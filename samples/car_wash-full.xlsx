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<sst xmlns="http://schemas.openxmlformats.org/spreadsheetml/2006/main" count="1229" uniqueCount="501">
  <si>
    <t xml:space="preserve">Car wash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</si>
  <si>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</si>
  <si>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</si>
  <si>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</si>
  <si>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</si>
  <si>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</si>
  <si>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</si>
  <si>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</si>
  <si>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</si>
  <si>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</si>
  <si>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</si>
  <si>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</si>
  <si>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</si>
  <si>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</si>
  <si>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</si>
  <si>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</si>
  <si>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</si>
  <si>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</si>
  <si>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</si>
  <si>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</si>
  <si>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</si>
  <si>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</si>
  <si>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</si>
  <si>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</si>
  <si>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</si>
  <si>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</si>
  <si>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</si>
  <si>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</si>
  <si>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</si>
  <si>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</si>
  <si>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</si>
  <si>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</si>
  <si>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</si>
  <si>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</si>
  <si>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</si>
  <si>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</si>
  <si>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</si>
  <si>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</si>
  <si>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</si>
  <si>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</si>
  <si>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</si>
  <si>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</si>
  <si>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</si>
  <si>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</si>
  <si>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</si>
  <si>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</si>
  <si>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</si>
  <si>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</si>
  <si>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</si>
  <si>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</si>
  <si>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</si>
  <si>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</si>
  <si>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</si>
  <si>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</si>
  <si>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</si>
  <si>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</si>
  <si>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</si>
  <si>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Car wash metrics</t>
  </si>
  <si>
    <t xml:space="preserve">Unlimited members (year end)</t>
  </si>
  <si>
    <t xml:space="preserve">Washes per operating day</t>
  </si>
  <si>
    <t xml:space="preserve">Tunnel capacity used</t>
  </si>
  <si>
    <t xml:space="preserve">Revenue per wash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</si>
  <si>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</si>
  <si>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</si>
  <si>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</si>
  <si>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</si>
  <si>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</si>
  <si>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</si>
  <si>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</si>
  <si>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</si>
  <si>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</si>
  <si>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</si>
  <si>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</si>
  <si>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</si>
  <si>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</si>
  <si>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</si>
  <si>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</si>
  <si>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</si>
  <si>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</si>
  <si>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</si>
  <si>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</si>
  <si>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</si>
  <si>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</si>
  <si>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</si>
  <si>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</si>
  <si>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</si>
  <si>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</si>
  <si>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</si>
  <si>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</si>
  <si>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</si>
  <si>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</si>
  <si>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</si>
  <si>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</si>
  <si>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</si>
  <si>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</si>
  <si>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</si>
  <si>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</si>
  <si>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</si>
  <si>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</si>
  <si>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</si>
  <si>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</si>
  <si>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</si>
  <si>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</si>
  <si>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</si>
  <si>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</si>
  <si>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</si>
  <si>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</si>
  <si>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</si>
  <si>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</si>
  <si>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Retail cars per operating day at maturity (year 1) (cars)</t>
  </si>
  <si>
    <t xml:space="preserve">Average price per retail wash (year 1) ($)</t>
  </si>
  <si>
    <t xml:space="preserve">Unlimited members at start (presale or current base) (#)</t>
  </si>
  <si>
    <t xml:space="preserve">Unlimited plan fee per member per month (year 1) ($)</t>
  </si>
  <si>
    <t xml:space="preserve">Members who cancel per month (%)</t>
  </si>
  <si>
    <t xml:space="preserve">Site lease or land cost per month ($)</t>
  </si>
  <si>
    <t xml:space="preserve">Tunnel equipment (month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</si>
  <si>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</si>
  <si>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</si>
  <si>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</si>
  <si>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</si>
  <si>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</si>
  <si>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</si>
  <si>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</si>
  <si>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</si>
  <si>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</si>
  <si>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</si>
  <si>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</si>
  <si>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</si>
  <si>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</si>
  <si>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</si>
  <si>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</si>
  <si>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</si>
  <si>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</si>
  <si>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</si>
  <si>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</si>
  <si>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</si>
  <si>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</si>
  <si>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</si>
  <si>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</si>
  <si>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</si>
  <si>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</si>
  <si>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</si>
  <si>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</si>
  <si>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</si>
  <si>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</si>
  <si>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</si>
  <si>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</si>
  <si>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</si>
  <si>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</si>
  <si>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</si>
  <si>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</si>
  <si>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</si>
  <si>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</si>
  <si>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</si>
  <si>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</si>
  <si>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</si>
  <si>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</si>
  <si>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</si>
  <si>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</si>
  <si>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</si>
  <si>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</si>
  <si>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</si>
  <si>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</si>
  <si>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</si>
  <si>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</si>
  <si>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</si>
  <si>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</si>
  <si>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</si>
  <si>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</si>
  <si>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</si>
  <si>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</si>
  <si>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</si>
  <si>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</si>
  <si>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</si>
  <si>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</si>
  <si>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</si>
  <si>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</si>
  <si>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</si>
  <si>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</si>
  <si>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</si>
  <si>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</si>
  <si>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</si>
  <si>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</si>
  <si>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</si>
  <si>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</si>
  <si>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</si>
  <si>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</si>
  <si>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</si>
  <si>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</si>
  <si>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</si>
  <si>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</si>
  <si>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</si>
  <si>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</si>
  <si>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</si>
  <si>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</si>
  <si>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</si>
  <si>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</si>
  <si>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</si>
  <si>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</si>
  <si>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</si>
  <si>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</si>
  <si>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</si>
  <si>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</si>
  <si>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</si>
  <si>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</si>
  <si>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</si>
  <si>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</si>
  <si>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</si>
  <si>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</si>
  <si>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</si>
  <si>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</si>
  <si>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</si>
  <si>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</si>
  <si>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</si>
  <si>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</si>
  <si>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Car wash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</si>
  <si>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</si>
  <si>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</si>
  <si>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</si>
  <si>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</si>
  <si>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</si>
  <si>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</si>
  <si>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</si>
  <si>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</si>
  <si>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</si>
  <si>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</si>
  <si>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</si>
  <si>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</si>
  <si>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</si>
  <si>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</si>
  <si>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</si>
  <si>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Car wash metrics ($'000; per-unit rows in $)</t>
  </si>
  <si>
    <t xml:space="preserve">New members in the year</t>
  </si>
  <si>
    <t xml:space="preserve">Members who cancelled in the year</t>
  </si>
  <si>
    <t xml:space="preserve">Members who cancel per month</t>
  </si>
  <si>
    <t xml:space="preserve">Washes in the year</t>
  </si>
  <si>
    <t xml:space="preserve">Retail cars washed</t>
  </si>
  <si>
    <t xml:space="preserve">Member washes</t>
  </si>
  <si>
    <t xml:space="preserve">Member share of washes</t>
  </si>
  <si>
    <t xml:space="preserve">Tunnel capacity (washes)</t>
  </si>
  <si>
    <t xml:space="preserve">Washes lost to the capacity limit</t>
  </si>
  <si>
    <t xml:space="preserve">Unlimited plan fees</t>
  </si>
  <si>
    <t xml:space="preserve">Retail wash &amp; add-on revenue</t>
  </si>
  <si>
    <t xml:space="preserve">Plan fees share of revenue</t>
  </si>
  <si>
    <t xml:space="preserve">Revenue per wash ($)</t>
  </si>
  <si>
    <t xml:space="preserve">Plan fee revenue per member wash ($)</t>
  </si>
  <si>
    <t xml:space="preserve">Chemicals, water &amp; electricity</t>
  </si>
  <si>
    <t xml:space="preserve">Chemicals, water &amp; electricity per wash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</si>
  <si>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</si>
  <si>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</si>
  <si>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</si>
  <si>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</si>
  <si>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Retail volume</t>
  </si>
  <si>
    <t xml:space="preserve">Retail cars per operating day at maturity (year 1)</t>
  </si>
  <si>
    <t xml:space="preserve">cars</t>
  </si>
  <si>
    <t xml:space="preserve">Low ≤ Base ≤ High</t>
  </si>
  <si>
    <t xml:space="preserve">Operating days per month</t>
  </si>
  <si>
    <t xml:space="preserve">days</t>
  </si>
  <si>
    <t xml:space="preserve">Months to reach mature retail volume (0 = already mature)</t>
  </si>
  <si>
    <t xml:space="preserve">months</t>
  </si>
  <si>
    <t xml:space="preserve">Low ≥ Base ≥ High (lower is better)</t>
  </si>
  <si>
    <t xml:space="preserve">Retail volume in month 1, % of mature</t>
  </si>
  <si>
    <t xml:space="preserve">%</t>
  </si>
  <si>
    <t xml:space="preserve">Winter volume dip, December-February (monthly models)</t>
  </si>
  <si>
    <t xml:space="preserve">Tunnel capacity</t>
  </si>
  <si>
    <t xml:space="preserve">Rated tunnel speed</t>
  </si>
  <si>
    <t xml:space="preserve">cars/hour</t>
  </si>
  <si>
    <t xml:space="preserve">Hours open per day</t>
  </si>
  <si>
    <t xml:space="preserve">hours</t>
  </si>
  <si>
    <t xml:space="preserve">Practical throughput, % of rated speed over open hours</t>
  </si>
  <si>
    <t xml:space="preserve">Unlimited members</t>
  </si>
  <si>
    <t xml:space="preserve">Unlimited members at start (presale or current base)</t>
  </si>
  <si>
    <t xml:space="preserve">#</t>
  </si>
  <si>
    <t xml:space="preserve">Direct sign-ups per month at maturity (year 1)</t>
  </si>
  <si>
    <t xml:space="preserve">Direct sign-ups growth per year</t>
  </si>
  <si>
    <t xml:space="preserve">Retail cars that sign up for an unlimited plan</t>
  </si>
  <si>
    <t xml:space="preserve">Washes per member per month</t>
  </si>
  <si>
    <t xml:space="preserve">washes</t>
  </si>
  <si>
    <t xml:space="preserve">Prices</t>
  </si>
  <si>
    <t xml:space="preserve">Average price per retail wash (year 1)</t>
  </si>
  <si>
    <t xml:space="preserve">$</t>
  </si>
  <si>
    <t xml:space="preserve">Add-on revenue per retail car (wax, ceramic, tire shine)</t>
  </si>
  <si>
    <t xml:space="preserve">Unlimited plan fee per member per month (year 1)</t>
  </si>
  <si>
    <t xml:space="preserve">Price increase per year</t>
  </si>
  <si>
    <t xml:space="preserve">Variable cost per wash</t>
  </si>
  <si>
    <t xml:space="preserve">Chemicals per wash</t>
  </si>
  <si>
    <t xml:space="preserve">Fresh water per wash (after reclaim)</t>
  </si>
  <si>
    <t xml:space="preserve">gallons</t>
  </si>
  <si>
    <t xml:space="preserve">Water and sewer rate per 1,000 gallons</t>
  </si>
  <si>
    <t xml:space="preserve">Electricity per wash</t>
  </si>
  <si>
    <t xml:space="preserve">Card processing fees, % of revenue</t>
  </si>
  <si>
    <t xml:space="preserve">Cost increase per year (per-wash costs, maintenance, other)</t>
  </si>
  <si>
    <t xml:space="preserve">Site costs</t>
  </si>
  <si>
    <t xml:space="preserve">Site lease or land cost per month</t>
  </si>
  <si>
    <t xml:space="preserve">Lease increase per year</t>
  </si>
  <si>
    <t xml:space="preserve">Equipment maintenance &amp; repairs per month</t>
  </si>
  <si>
    <t xml:space="preserve">Insurance, property tax, software &amp; other G&amp;A per month</t>
  </si>
  <si>
    <t xml:space="preserve">Marketing budget per month (year 1)</t>
  </si>
  <si>
    <t xml:space="preserve">Marketing budget growth per year</t>
  </si>
  <si>
    <t xml:space="preserve">Tunnel equipment (month 1)</t>
  </si>
  <si>
    <t xml:space="preserve">Building &amp; site works (month 1)</t>
  </si>
  <si>
    <t xml:space="preserve">Pay stations, signage &amp; vacuums (month 1)</t>
  </si>
  <si>
    <t xml:space="preserve">Equipment refresh &amp; upgrades per year (from year 2)</t>
  </si>
  <si>
    <t xml:space="preserve">Headcount</t>
  </si>
  <si>
    <t xml:space="preserve">Site manager: headcount (FTE)</t>
  </si>
  <si>
    <t xml:space="preserve">FTE</t>
  </si>
  <si>
    <t xml:space="preserve">Site manager: salary per FTE per year</t>
  </si>
  <si>
    <t xml:space="preserve">Site manager: headcount growth per year</t>
  </si>
  <si>
    <t xml:space="preserve">Site manager: first month on payroll</t>
  </si>
  <si>
    <t xml:space="preserve">month #</t>
  </si>
  <si>
    <t xml:space="preserve">Wash attendants &amp; customer service: headcount (FTE)</t>
  </si>
  <si>
    <t xml:space="preserve">Wash attendants &amp; customer service: salary per FTE per year</t>
  </si>
  <si>
    <t xml:space="preserve">Wash attendants &amp; customer service: headcount growth per year</t>
  </si>
  <si>
    <t xml:space="preserve">Wash attendants &amp; customer service: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</si>
  <si>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</si>
  <si>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</si>
  <si>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</si>
  <si>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</si>
  <si>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</si>
  <si>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</si>
  <si>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</si>
  <si>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</si>
  <si>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</si>
  <si>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</si>
  <si>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</si>
  <si>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</si>
  <si>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</si>
  <si>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</si>
  <si>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</si>
  <si>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</si>
  <si>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</si>
  <si>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</si>
  <si>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</si>
  <si>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</si>
  <si>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</si>
  <si>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</si>
  <si>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</si>
  <si>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</si>
  <si>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Site payroll</t>
  </si>
  <si>
    <t xml:space="preserve">Site lease or land cost</t>
  </si>
  <si>
    <t xml:space="preserve">Equipment maintenance &amp; repairs</t>
  </si>
  <si>
    <t xml:space="preserve">Insurance, property tax, software &amp; other</t>
  </si>
  <si>
    <t xml:space="preserve">Marketing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</si>
  <si>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</si>
  <si>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</si>
  <si>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</si>
  <si>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</si>
  <si>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</si>
  <si>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</si>
  <si>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</si>
  <si>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</si>
  <si>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</si>
  <si>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</si>
  <si>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</si>
  <si>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</si>
  <si>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</si>
  <si>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</si>
  <si>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</si>
  <si>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</si>
  <si>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</si>
  <si>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</si>
  <si>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</si>
  <si>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</si>
  <si>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</si>
  <si>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</si>
  <si>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</si>
  <si>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</si>
  <si>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</si>
  <si>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</si>
  <si>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</si>
  <si>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</si>
  <si>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</si>
  <si>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</si>
  <si>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</si>
  <si>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</si>
  <si>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</si>
  <si>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</si>
  <si>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</si>
  <si>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</si>
  <si>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</si>
  <si>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</si>
  <si>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</si>
  <si>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</si>
  <si>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</si>
  <si>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</si>
  <si>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</si>
  <si>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</si>
  <si>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</si>
  <si>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</si>
  <si>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Volume</t>
  </si>
  <si>
    <t xml:space="preserve">Helper: months of the period still on the ramp-up</t>
  </si>
  <si>
    <t xml:space="preserve">Ramp-up factor (share of mature retail volume)</t>
  </si>
  <si>
    <t xml:space="preserve">Season factor (winter dip)</t>
  </si>
  <si>
    <t xml:space="preserve">Retail cars demanded</t>
  </si>
  <si>
    <t xml:space="preserve">Members</t>
  </si>
  <si>
    <t xml:space="preserve">New members from retail cars</t>
  </si>
  <si>
    <t xml:space="preserve">New members from direct sign-ups</t>
  </si>
  <si>
    <t xml:space="preserve">New members - total</t>
  </si>
  <si>
    <t xml:space="preserve">Members - opening</t>
  </si>
  <si>
    <t xml:space="preserve">Members who cancelled</t>
  </si>
  <si>
    <t xml:space="preserve">Members - closing</t>
  </si>
  <si>
    <t xml:space="preserve">Members - average</t>
  </si>
  <si>
    <t xml:space="preserve">Washes</t>
  </si>
  <si>
    <t xml:space="preserve">Member washes demanded</t>
  </si>
  <si>
    <t xml:space="preserve">Tunnel capacity (rated speed × hours × practical share × days)</t>
  </si>
  <si>
    <t xml:space="preserve">Share of demand the tunnel can wash</t>
  </si>
  <si>
    <t xml:space="preserve">Washes - total</t>
  </si>
  <si>
    <t xml:space="preserve">Average price per retail wash</t>
  </si>
  <si>
    <t xml:space="preserve">Unlimited plan fee per month</t>
  </si>
  <si>
    <t xml:space="preserve">Retail wash revenue</t>
  </si>
  <si>
    <t xml:space="preserve">Add-on revenue</t>
  </si>
  <si>
    <t xml:space="preserve">Chemicals</t>
  </si>
  <si>
    <t xml:space="preserve">Water &amp; sewer</t>
  </si>
  <si>
    <t xml:space="preserve">Electricity</t>
  </si>
  <si>
    <t xml:space="preserve">Card processing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</si>
  <si>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</si>
  <si>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</si>
  <si>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</si>
  <si>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</si>
  <si>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</si>
  <si>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Tunnel equipment</t>
  </si>
  <si>
    <t xml:space="preserve">Building &amp; site works</t>
  </si>
  <si>
    <t xml:space="preserve">Pay stations, signage &amp; vacuums</t>
  </si>
  <si>
    <t xml:space="preserve">Equipment refresh &amp; upgrades (first period of each year from year 2)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</si>
  <si>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</si>
  <si>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</si>
  <si>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</si>
  <si>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</si>
  <si>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</si>
  <si>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</si>
  <si>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</si>
  <si>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</si>
  <si>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</si>
  <si>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</si>
  <si>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</si>
  <si>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</si>
  <si>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</si>
  <si>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</si>
  <si>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</si>
  <si>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</si>
  <si>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</si>
  <si>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</si>
  <si>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</si>
  <si>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</si>
  <si>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Site manager — FTE</t>
  </si>
  <si>
    <t xml:space="preserve">Wash attendants &amp; customer service — FTE</t>
  </si>
  <si>
    <t xml:space="preserve">Total FTE</t>
  </si>
  <si>
    <t xml:space="preserve">Payroll cost (salary + taxes &amp; benefits)</t>
  </si>
  <si>
    <t xml:space="preserve">Site manager — payroll cost</t>
  </si>
  <si>
    <t xml:space="preserve">Wash attendants &amp; customer service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</si>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</sst>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0.0\x"/>
    <numFmt numFmtId="190" formatCode="0.000"/>
    <numFmt numFmtId="191" formatCode="0.0\x;\(0.0&quot;x)&quot;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1180182.39164623</c:v>
                </c:pt>
                <c:pt idx="1">
                  <c:v>1805881.4666632</c:v>
                </c:pt>
                <c:pt idx="2">
                  <c:v>2080276.59708741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-123279.207270295</c:v>
                </c:pt>
                <c:pt idx="1">
                  <c:v>393591.208461737</c:v>
                </c:pt>
                <c:pt idx="2">
                  <c:v>606030.411732089</c:v>
                </c:pt>
              </c:numCache>
            </c:numRef>
          </c:val>
        </c:ser>
        <c:gapWidth val="60"/>
        <c:overlap val="0"/>
        <c:axId val="14643645"/>
        <c:axId val="46558998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391457"/>
        <c:axId val="62840983"/>
      </c:lineChart>
      <c:catAx>
        <c:axId val="146436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558998"/>
        <c:crosses val="autoZero"/>
        <c:auto val="1"/>
        <c:lblAlgn val="ctr"/>
        <c:lblOffset val="100"/>
        <c:noMultiLvlLbl val="0"/>
      </c:catAx>
      <c:valAx>
        <c:axId val="4655899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643645"/>
        <c:crosses val="autoZero"/>
        <c:crossBetween val="between"/>
      </c:valAx>
      <c:catAx>
        <c:axId val="7039145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840983"/>
        <c:crosses val="autoZero"/>
        <c:auto val="1"/>
        <c:lblAlgn val="ctr"/>
        <c:lblOffset val="100"/>
        <c:noMultiLvlLbl val="0"/>
      </c:catAx>
      <c:valAx>
        <c:axId val="628409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39145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-369557.792453481</c:v>
                </c:pt>
                <c:pt idx="1">
                  <c:v>174478.453532665</c:v>
                </c:pt>
                <c:pt idx="2">
                  <c:v>412515.85538278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-4100000</c:v>
                </c:pt>
                <c:pt idx="1">
                  <c:v>-40000</c:v>
                </c:pt>
                <c:pt idx="2">
                  <c:v>-40000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4825000</c:v>
                </c:pt>
                <c:pt idx="1">
                  <c:v>-300000</c:v>
                </c:pt>
                <c:pt idx="2">
                  <c:v>-300000</c:v>
                </c:pt>
              </c:numCache>
            </c:numRef>
          </c:val>
        </c:ser>
        <c:gapWidth val="60"/>
        <c:overlap val="0"/>
        <c:axId val="76347453"/>
        <c:axId val="20968440"/>
      </c:barChart>
      <c:catAx>
        <c:axId val="7634745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968440"/>
        <c:crosses val="autoZero"/>
        <c:auto val="1"/>
        <c:lblAlgn val="ctr"/>
        <c:lblOffset val="100"/>
        <c:noMultiLvlLbl val="0"/>
      </c:catAx>
      <c:valAx>
        <c:axId val="2096844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3474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355442.207546519</c:v>
                </c:pt>
                <c:pt idx="1">
                  <c:v>189920.661079184</c:v>
                </c:pt>
                <c:pt idx="2">
                  <c:v>262436.516461964</c:v>
                </c:pt>
              </c:numCache>
            </c:numRef>
          </c:val>
        </c:ser>
        <c:gapWidth val="60"/>
        <c:overlap val="0"/>
        <c:axId val="72815380"/>
        <c:axId val="53400305"/>
      </c:barChart>
      <c:catAx>
        <c:axId val="7281538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400305"/>
        <c:crosses val="autoZero"/>
        <c:auto val="1"/>
        <c:lblAlgn val="ctr"/>
        <c:lblOffset val="100"/>
        <c:noMultiLvlLbl val="0"/>
      </c:catAx>
      <c:valAx>
        <c:axId val="534003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8153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Washes per day &amp;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Washes per operating day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#,##0;\(#,##0\);\-</c:formatCode>
                <c:ptCount val="3"/>
                <c:pt idx="0">
                  <c:v>255.65215282268</c:v>
                </c:pt>
                <c:pt idx="1">
                  <c:v>401.36880504265</c:v>
                </c:pt>
                <c:pt idx="2">
                  <c:v>466.968087719058</c:v>
                </c:pt>
              </c:numCache>
            </c:numRef>
          </c:val>
        </c:ser>
        <c:gapWidth val="60"/>
        <c:overlap val="0"/>
        <c:axId val="88558934"/>
        <c:axId val="54996333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Dashboard!$B$30:$D$30</c:f>
              <c:numCache>
                <c:formatCode>0.0%;\(0.0%\);\-</c:formatCode>
                <c:ptCount val="3"/>
                <c:pt idx="0">
                  <c:v>0.301832529896906</c:v>
                </c:pt>
                <c:pt idx="1">
                  <c:v>0.473871080333707</c:v>
                </c:pt>
                <c:pt idx="2">
                  <c:v>0.551320056338912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9658618"/>
        <c:axId val="51981718"/>
      </c:lineChart>
      <c:catAx>
        <c:axId val="8855893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996333"/>
        <c:crosses val="autoZero"/>
        <c:auto val="1"/>
        <c:lblAlgn val="ctr"/>
        <c:lblOffset val="100"/>
        <c:noMultiLvlLbl val="0"/>
      </c:catAx>
      <c:valAx>
        <c:axId val="549963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558934"/>
        <c:crosses val="autoZero"/>
        <c:crossBetween val="between"/>
      </c:valAx>
      <c:catAx>
        <c:axId val="9965861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981718"/>
        <c:crosses val="autoZero"/>
        <c:auto val="1"/>
        <c:lblAlgn val="ctr"/>
        <c:lblOffset val="100"/>
        <c:noMultiLvlLbl val="0"/>
      </c:catAx>
      <c:valAx>
        <c:axId val="5198171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65861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47943.358</c:v>
                </c:pt>
                <c:pt idx="1">
                  <c:v>54448.9359022222</c:v>
                </c:pt>
                <c:pt idx="2">
                  <c:v>72773.4017994667</c:v>
                </c:pt>
                <c:pt idx="3">
                  <c:v>81051.8988385991</c:v>
                </c:pt>
                <c:pt idx="4">
                  <c:v>89490.2764406107</c:v>
                </c:pt>
                <c:pt idx="5">
                  <c:v>98082.1393829863</c:v>
                </c:pt>
                <c:pt idx="6">
                  <c:v>106821.348252111</c:v>
                </c:pt>
                <c:pt idx="7">
                  <c:v>115702.009210916</c:v>
                </c:pt>
                <c:pt idx="8">
                  <c:v>124718.464175812</c:v>
                </c:pt>
                <c:pt idx="9">
                  <c:v>133865.281386558</c:v>
                </c:pt>
                <c:pt idx="10">
                  <c:v>136545.550131095</c:v>
                </c:pt>
                <c:pt idx="11">
                  <c:v>118739.728125852</c:v>
                </c:pt>
              </c:numCache>
            </c:numRef>
          </c:val>
        </c:ser>
        <c:gapWidth val="60"/>
        <c:overlap val="0"/>
        <c:axId val="45791563"/>
        <c:axId val="44533929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-52715.2544125667</c:v>
                </c:pt>
                <c:pt idx="1">
                  <c:v>-47169.179570764</c:v>
                </c:pt>
                <c:pt idx="2">
                  <c:v>-31890.1001241627</c:v>
                </c:pt>
                <c:pt idx="3">
                  <c:v>-24896.4647094518</c:v>
                </c:pt>
                <c:pt idx="4">
                  <c:v>-17775.1087070848</c:v>
                </c:pt>
                <c:pt idx="5">
                  <c:v>-10531.1409405681</c:v>
                </c:pt>
                <c:pt idx="6">
                  <c:v>-3169.46588046759</c:v>
                </c:pt>
                <c:pt idx="7">
                  <c:v>4305.20818147335</c:v>
                </c:pt>
                <c:pt idx="8">
                  <c:v>11888.3612851811</c:v>
                </c:pt>
                <c:pt idx="9">
                  <c:v>19575.654268985</c:v>
                </c:pt>
                <c:pt idx="10">
                  <c:v>21716.7869555589</c:v>
                </c:pt>
                <c:pt idx="11">
                  <c:v>7381.49638357262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-102437.476634789</c:v>
                </c:pt>
                <c:pt idx="1">
                  <c:v>-96802.8601263196</c:v>
                </c:pt>
                <c:pt idx="2">
                  <c:v>-81346.6973463849</c:v>
                </c:pt>
                <c:pt idx="3">
                  <c:v>-74175.9785983407</c:v>
                </c:pt>
                <c:pt idx="4">
                  <c:v>-66877.5392626404</c:v>
                </c:pt>
                <c:pt idx="5">
                  <c:v>-59456.4881627903</c:v>
                </c:pt>
                <c:pt idx="6">
                  <c:v>-51917.7297693565</c:v>
                </c:pt>
                <c:pt idx="7">
                  <c:v>-44265.9723740822</c:v>
                </c:pt>
                <c:pt idx="8">
                  <c:v>-36505.7359370411</c:v>
                </c:pt>
                <c:pt idx="9">
                  <c:v>-28641.3596199039</c:v>
                </c:pt>
                <c:pt idx="10">
                  <c:v>-26323.1435999967</c:v>
                </c:pt>
                <c:pt idx="11">
                  <c:v>-40481.3508386496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791563"/>
        <c:axId val="44533929"/>
      </c:lineChart>
      <c:catAx>
        <c:axId val="4579156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533929"/>
        <c:crosses val="autoZero"/>
        <c:auto val="1"/>
        <c:lblAlgn val="ctr"/>
        <c:lblOffset val="100"/>
        <c:noMultiLvlLbl val="0"/>
      </c:catAx>
      <c:valAx>
        <c:axId val="445339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7915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-74804.1630306</c:v>
                </c:pt>
                <c:pt idx="1">
                  <c:v>-68444.5087441057</c:v>
                </c:pt>
                <c:pt idx="2">
                  <c:v>-53080.977367098</c:v>
                </c:pt>
                <c:pt idx="3">
                  <c:v>-45827.3689705868</c:v>
                </c:pt>
                <c:pt idx="4">
                  <c:v>-38528.8683473374</c:v>
                </c:pt>
                <c:pt idx="5">
                  <c:v>-31107.7584114402</c:v>
                </c:pt>
                <c:pt idx="6">
                  <c:v>-23568.9435354011</c:v>
                </c:pt>
                <c:pt idx="7">
                  <c:v>-15917.1319168258</c:v>
                </c:pt>
                <c:pt idx="8">
                  <c:v>-8156.84342541571</c:v>
                </c:pt>
                <c:pt idx="9">
                  <c:v>-292.417136084256</c:v>
                </c:pt>
                <c:pt idx="10">
                  <c:v>2150.10605857762</c:v>
                </c:pt>
                <c:pt idx="11">
                  <c:v>-11978.9176271636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-4100000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5100000</c:v>
                </c:pt>
                <c:pt idx="1">
                  <c:v>-25000</c:v>
                </c:pt>
                <c:pt idx="2">
                  <c:v>-25000</c:v>
                </c:pt>
                <c:pt idx="3">
                  <c:v>-25000</c:v>
                </c:pt>
                <c:pt idx="4">
                  <c:v>-25000</c:v>
                </c:pt>
                <c:pt idx="5">
                  <c:v>-25000</c:v>
                </c:pt>
                <c:pt idx="6">
                  <c:v>-25000</c:v>
                </c:pt>
                <c:pt idx="7">
                  <c:v>-25000</c:v>
                </c:pt>
                <c:pt idx="8">
                  <c:v>-25000</c:v>
                </c:pt>
                <c:pt idx="9">
                  <c:v>-25000</c:v>
                </c:pt>
                <c:pt idx="10">
                  <c:v>-25000</c:v>
                </c:pt>
                <c:pt idx="11">
                  <c:v>-25000</c:v>
                </c:pt>
              </c:numCache>
            </c:numRef>
          </c:val>
        </c:ser>
        <c:gapWidth val="60"/>
        <c:overlap val="0"/>
        <c:axId val="53640009"/>
        <c:axId val="34488366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925195.8369694</c:v>
                </c:pt>
                <c:pt idx="1">
                  <c:v>831751.328225294</c:v>
                </c:pt>
                <c:pt idx="2">
                  <c:v>753670.350858196</c:v>
                </c:pt>
                <c:pt idx="3">
                  <c:v>682842.981887609</c:v>
                </c:pt>
                <c:pt idx="4">
                  <c:v>619314.113540272</c:v>
                </c:pt>
                <c:pt idx="5">
                  <c:v>563206.355128832</c:v>
                </c:pt>
                <c:pt idx="6">
                  <c:v>514637.411593431</c:v>
                </c:pt>
                <c:pt idx="7">
                  <c:v>473720.279676605</c:v>
                </c:pt>
                <c:pt idx="8">
                  <c:v>440563.436251189</c:v>
                </c:pt>
                <c:pt idx="9">
                  <c:v>415271.019115105</c:v>
                </c:pt>
                <c:pt idx="10">
                  <c:v>392421.125173683</c:v>
                </c:pt>
                <c:pt idx="11">
                  <c:v>355442.207546519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687853"/>
        <c:axId val="77938470"/>
      </c:lineChart>
      <c:catAx>
        <c:axId val="5364000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488366"/>
        <c:crosses val="autoZero"/>
        <c:auto val="1"/>
        <c:lblAlgn val="ctr"/>
        <c:lblOffset val="100"/>
        <c:noMultiLvlLbl val="0"/>
      </c:catAx>
      <c:valAx>
        <c:axId val="344883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640009"/>
        <c:crosses val="autoZero"/>
        <c:crossBetween val="between"/>
      </c:valAx>
      <c:catAx>
        <c:axId val="40687853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938470"/>
        <c:crosses val="autoZero"/>
        <c:auto val="1"/>
        <c:lblAlgn val="ctr"/>
        <c:lblOffset val="100"/>
        <c:noMultiLvlLbl val="0"/>
      </c:catAx>
      <c:valAx>
        <c:axId val="77938470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68785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925195.8369694</c:v>
                </c:pt>
                <c:pt idx="1">
                  <c:v>831751.328225294</c:v>
                </c:pt>
                <c:pt idx="2">
                  <c:v>753670.350858196</c:v>
                </c:pt>
                <c:pt idx="3">
                  <c:v>682842.981887609</c:v>
                </c:pt>
                <c:pt idx="4">
                  <c:v>619314.113540272</c:v>
                </c:pt>
                <c:pt idx="5">
                  <c:v>563206.355128832</c:v>
                </c:pt>
                <c:pt idx="6">
                  <c:v>514637.411593431</c:v>
                </c:pt>
                <c:pt idx="7">
                  <c:v>473720.279676605</c:v>
                </c:pt>
                <c:pt idx="8">
                  <c:v>440563.436251189</c:v>
                </c:pt>
                <c:pt idx="9">
                  <c:v>415271.019115105</c:v>
                </c:pt>
                <c:pt idx="10">
                  <c:v>392421.125173683</c:v>
                </c:pt>
                <c:pt idx="11">
                  <c:v>355442.207546519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3196.22386666667</c:v>
                </c:pt>
                <c:pt idx="1">
                  <c:v>3629.92906014815</c:v>
                </c:pt>
                <c:pt idx="2">
                  <c:v>4851.56011996444</c:v>
                </c:pt>
                <c:pt idx="3">
                  <c:v>5403.45992257327</c:v>
                </c:pt>
                <c:pt idx="4">
                  <c:v>5966.01842937405</c:v>
                </c:pt>
                <c:pt idx="5">
                  <c:v>6538.80929219909</c:v>
                </c:pt>
                <c:pt idx="6">
                  <c:v>7121.42321680742</c:v>
                </c:pt>
                <c:pt idx="7">
                  <c:v>7713.46728072771</c:v>
                </c:pt>
                <c:pt idx="8">
                  <c:v>8314.5642783875</c:v>
                </c:pt>
                <c:pt idx="9">
                  <c:v>8924.35209243718</c:v>
                </c:pt>
                <c:pt idx="10">
                  <c:v>9103.03667540636</c:v>
                </c:pt>
                <c:pt idx="11">
                  <c:v>7915.98187505677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4071527.77777778</c:v>
                </c:pt>
                <c:pt idx="1">
                  <c:v>4043055.55555556</c:v>
                </c:pt>
                <c:pt idx="2">
                  <c:v>4014583.33333333</c:v>
                </c:pt>
                <c:pt idx="3">
                  <c:v>3986111.11111111</c:v>
                </c:pt>
                <c:pt idx="4">
                  <c:v>3957638.88888889</c:v>
                </c:pt>
                <c:pt idx="5">
                  <c:v>3929166.66666667</c:v>
                </c:pt>
                <c:pt idx="6">
                  <c:v>3900694.44444444</c:v>
                </c:pt>
                <c:pt idx="7">
                  <c:v>3872222.22222222</c:v>
                </c:pt>
                <c:pt idx="8">
                  <c:v>3843750</c:v>
                </c:pt>
                <c:pt idx="9">
                  <c:v>3815277.77777778</c:v>
                </c:pt>
                <c:pt idx="10">
                  <c:v>3786805.55555556</c:v>
                </c:pt>
                <c:pt idx="11">
                  <c:v>3758333.33333333</c:v>
                </c:pt>
              </c:numCache>
            </c:numRef>
          </c:val>
        </c:ser>
        <c:gapWidth val="60"/>
        <c:overlap val="100"/>
        <c:axId val="19255328"/>
        <c:axId val="60121062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1997562.52336521</c:v>
                </c:pt>
                <c:pt idx="1">
                  <c:v>1900759.66323889</c:v>
                </c:pt>
                <c:pt idx="2">
                  <c:v>1819412.96589251</c:v>
                </c:pt>
                <c:pt idx="3">
                  <c:v>1745236.98729417</c:v>
                </c:pt>
                <c:pt idx="4">
                  <c:v>1678359.44803153</c:v>
                </c:pt>
                <c:pt idx="5">
                  <c:v>1618902.95986874</c:v>
                </c:pt>
                <c:pt idx="6">
                  <c:v>1566985.23009938</c:v>
                </c:pt>
                <c:pt idx="7">
                  <c:v>1522719.2577253</c:v>
                </c:pt>
                <c:pt idx="8">
                  <c:v>1486213.52178826</c:v>
                </c:pt>
                <c:pt idx="9">
                  <c:v>1457572.16216835</c:v>
                </c:pt>
                <c:pt idx="10">
                  <c:v>1431249.01856836</c:v>
                </c:pt>
                <c:pt idx="11">
                  <c:v>1390767.66772971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255328"/>
        <c:axId val="60121062"/>
      </c:lineChart>
      <c:catAx>
        <c:axId val="1925532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121062"/>
        <c:crosses val="autoZero"/>
        <c:auto val="1"/>
        <c:lblAlgn val="ctr"/>
        <c:lblOffset val="100"/>
        <c:noMultiLvlLbl val="0"/>
      </c:catAx>
      <c:valAx>
        <c:axId val="6012106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2553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Scenarios!$B$31:$D$31</c:f>
              <c:numCache>
                <c:formatCode>\$#,##0,;"($"#,##0,\);\-</c:formatCode>
                <c:ptCount val="3"/>
                <c:pt idx="0">
                  <c:v>723753.781752898</c:v>
                </c:pt>
                <c:pt idx="1">
                  <c:v>1233556.71859013</c:v>
                </c:pt>
                <c:pt idx="2">
                  <c:v>1373352.59957725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Scenarios!$B$32:$D$32</c:f>
              <c:numCache>
                <c:formatCode>\$#,##0,;"($"#,##0,\);\-</c:formatCode>
                <c:ptCount val="3"/>
                <c:pt idx="0">
                  <c:v>1180182.39164623</c:v>
                </c:pt>
                <c:pt idx="1">
                  <c:v>1805881.4666632</c:v>
                </c:pt>
                <c:pt idx="2">
                  <c:v>2080276.59708741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Scenarios!$B$30:$D$30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Scenarios!$B$33:$D$33</c:f>
              <c:numCache>
                <c:formatCode>\$#,##0,;"($"#,##0,\);\-</c:formatCode>
                <c:ptCount val="3"/>
                <c:pt idx="0">
                  <c:v>1713972.34882851</c:v>
                </c:pt>
                <c:pt idx="1">
                  <c:v>2530234.39082342</c:v>
                </c:pt>
                <c:pt idx="2">
                  <c:v>3028027.20834572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00012"/>
        <c:axId val="89997013"/>
      </c:lineChart>
      <c:catAx>
        <c:axId val="10000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997013"/>
        <c:crosses val="autoZero"/>
        <c:auto val="1"/>
        <c:lblAlgn val="ctr"/>
        <c:lblOffset val="100"/>
        <c:noMultiLvlLbl val="0"/>
      </c:catAx>
      <c:valAx>
        <c:axId val="899970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000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Scenarios!$B$37:$D$37</c:f>
              <c:numCache>
                <c:formatCode>\$#,##0,;"($"#,##0,\);\-</c:formatCode>
                <c:ptCount val="3"/>
                <c:pt idx="0">
                  <c:v>-533892.676207162</c:v>
                </c:pt>
                <c:pt idx="1">
                  <c:v>-120382.60081196</c:v>
                </c:pt>
                <c:pt idx="2">
                  <c:v>-24636.2998835956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Scenarios!$B$38:$D$38</c:f>
              <c:numCache>
                <c:formatCode>\$#,##0,;"($"#,##0,\);\-</c:formatCode>
                <c:ptCount val="3"/>
                <c:pt idx="0">
                  <c:v>-123279.207270295</c:v>
                </c:pt>
                <c:pt idx="1">
                  <c:v>393591.208461737</c:v>
                </c:pt>
                <c:pt idx="2">
                  <c:v>606030.411732089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Scenarios!$B$36:$D$36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Scenarios!$B$39:$D$39</c:f>
              <c:numCache>
                <c:formatCode>\$#,##0,;"($"#,##0,\);\-</c:formatCode>
                <c:ptCount val="3"/>
                <c:pt idx="0">
                  <c:v>374729.35474249</c:v>
                </c:pt>
                <c:pt idx="1">
                  <c:v>1064559.31495256</c:v>
                </c:pt>
                <c:pt idx="2">
                  <c:v>1475107.63814208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424164"/>
        <c:axId val="55160476"/>
      </c:lineChart>
      <c:catAx>
        <c:axId val="6142416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160476"/>
        <c:crosses val="autoZero"/>
        <c:auto val="1"/>
        <c:lblAlgn val="ctr"/>
        <c:lblOffset val="100"/>
        <c:noMultiLvlLbl val="0"/>
      </c:catAx>
      <c:valAx>
        <c:axId val="5516047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4241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Scenarios!$B$43:$D$43</c:f>
              <c:numCache>
                <c:formatCode>\$#,##0,;"($"#,##0,\);\-</c:formatCode>
                <c:ptCount val="3"/>
                <c:pt idx="0">
                  <c:v>-1119845.80120716</c:v>
                </c:pt>
                <c:pt idx="1">
                  <c:v>-684257.60081196</c:v>
                </c:pt>
                <c:pt idx="2">
                  <c:v>-566344.633216929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Scenarios!$B$44:$D$44</c:f>
              <c:numCache>
                <c:formatCode>\$#,##0,;"($"#,##0,\);\-</c:formatCode>
                <c:ptCount val="3"/>
                <c:pt idx="0">
                  <c:v>-709232.332270295</c:v>
                </c:pt>
                <c:pt idx="1">
                  <c:v>-170283.791538263</c:v>
                </c:pt>
                <c:pt idx="2">
                  <c:v>64322.0783987556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Scenarios!$B$42:$D$42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Scenarios!$B$45:$D$45</c:f>
              <c:numCache>
                <c:formatCode>\$#,##0,;"($"#,##0,\);\-</c:formatCode>
                <c:ptCount val="3"/>
                <c:pt idx="0">
                  <c:v>-211223.770257511</c:v>
                </c:pt>
                <c:pt idx="1">
                  <c:v>439897.600566596</c:v>
                </c:pt>
                <c:pt idx="2">
                  <c:v>737385.45079891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953913"/>
        <c:axId val="21941511"/>
      </c:lineChart>
      <c:catAx>
        <c:axId val="4495391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941511"/>
        <c:crosses val="autoZero"/>
        <c:auto val="1"/>
        <c:lblAlgn val="ctr"/>
        <c:lblOffset val="100"/>
        <c:noMultiLvlLbl val="0"/>
      </c:catAx>
      <c:valAx>
        <c:axId val="219415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9539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Scenarios!$B$49:$D$49</c:f>
              <c:numCache>
                <c:formatCode>\$#,##0,;"($"#,##0,\);\-</c:formatCode>
                <c:ptCount val="3"/>
                <c:pt idx="0">
                  <c:v>-53672.9491542138</c:v>
                </c:pt>
                <c:pt idx="1">
                  <c:v>-732788.651719054</c:v>
                </c:pt>
                <c:pt idx="2">
                  <c:v>-1290608.83978511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Scenarios!$B$50:$D$50</c:f>
              <c:numCache>
                <c:formatCode>\$#,##0,;"($"#,##0,\);\-</c:formatCode>
                <c:ptCount val="3"/>
                <c:pt idx="0">
                  <c:v>355442.207546519</c:v>
                </c:pt>
                <c:pt idx="1">
                  <c:v>189920.661079184</c:v>
                </c:pt>
                <c:pt idx="2">
                  <c:v>262436.516461964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Scenarios!$B$48:$D$48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Scenarios!$B$51:$D$51</c:f>
              <c:numCache>
                <c:formatCode>\$#,##0,;"($"#,##0,\);\-</c:formatCode>
                <c:ptCount val="3"/>
                <c:pt idx="0">
                  <c:v>851182.534970552</c:v>
                </c:pt>
                <c:pt idx="1">
                  <c:v>1295076.01843464</c:v>
                </c:pt>
                <c:pt idx="2">
                  <c:v>2039947.59864561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322076"/>
        <c:axId val="69107652"/>
      </c:lineChart>
      <c:catAx>
        <c:axId val="473220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107652"/>
        <c:crosses val="autoZero"/>
        <c:auto val="1"/>
        <c:lblAlgn val="ctr"/>
        <c:lblOffset val="100"/>
        <c:noMultiLvlLbl val="0"/>
      </c:catAx>
      <c:valAx>
        <c:axId val="691076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32207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2100000</c:v>
                </c:pt>
                <c:pt idx="1">
                  <c:v>3000000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369557.792453481</c:v>
                </c:pt>
                <c:pt idx="1">
                  <c:v>4100000</c:v>
                </c:pt>
                <c:pt idx="2">
                  <c:v>275000</c:v>
                </c:pt>
                <c:pt idx="3">
                  <c:v>355442.207546519</c:v>
                </c:pt>
              </c:numCache>
            </c:numRef>
          </c:val>
        </c:ser>
        <c:gapWidth val="60"/>
        <c:overlap val="0"/>
        <c:axId val="28358511"/>
        <c:axId val="72766774"/>
      </c:barChart>
      <c:catAx>
        <c:axId val="283585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766774"/>
        <c:crosses val="autoZero"/>
        <c:auto val="1"/>
        <c:lblAlgn val="ctr"/>
        <c:lblOffset val="100"/>
        <c:noMultiLvlLbl val="0"/>
      </c:catAx>
      <c:valAx>
        <c:axId val="727667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358511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0.847123969825669</c:v>
                </c:pt>
                <c:pt idx="1">
                  <c:v>0.840145068471817</c:v>
                </c:pt>
                <c:pt idx="2">
                  <c:v>0.83491490995181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-0.600951460800047</c:v>
                </c:pt>
                <c:pt idx="1">
                  <c:v>-0.0942940025033336</c:v>
                </c:pt>
                <c:pt idx="2">
                  <c:v>0.0309199644358894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3921035"/>
        <c:axId val="26965872"/>
      </c:lineChart>
      <c:catAx>
        <c:axId val="1392103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965872"/>
        <c:crosses val="autoZero"/>
        <c:auto val="1"/>
        <c:lblAlgn val="ctr"/>
        <c:lblOffset val="100"/>
        <c:noMultiLvlLbl val="0"/>
      </c:catAx>
      <c:valAx>
        <c:axId val="2696587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9210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-0.171702955749435</c:v>
                </c:pt>
                <c:pt idx="1">
                  <c:v>-0.0464726723709948</c:v>
                </c:pt>
                <c:pt idx="2">
                  <c:v>0.0187455245178273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-0.50995744920361</c:v>
                </c:pt>
                <c:pt idx="1">
                  <c:v>-0.139521541300192</c:v>
                </c:pt>
                <c:pt idx="2">
                  <c:v>0.0500636521561513</c:v>
                </c:pt>
              </c:numCache>
            </c:numRef>
          </c:val>
        </c:ser>
        <c:gapWidth val="60"/>
        <c:overlap val="0"/>
        <c:axId val="48615195"/>
        <c:axId val="60979177"/>
      </c:barChart>
      <c:catAx>
        <c:axId val="4861519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979177"/>
        <c:crosses val="autoZero"/>
        <c:auto val="1"/>
        <c:lblAlgn val="ctr"/>
        <c:lblOffset val="100"/>
        <c:noMultiLvlLbl val="0"/>
      </c:catAx>
      <c:valAx>
        <c:axId val="6097917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6151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member washes,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Retail cars washed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KPIs!$B$34:$D$34</c:f>
              <c:numCache>
                <c:formatCode>#,##0;\(#,##0\);\-</c:formatCode>
                <c:ptCount val="3"/>
                <c:pt idx="0">
                  <c:v>64869.1333333333</c:v>
                </c:pt>
                <c:pt idx="1">
                  <c:v>83520</c:v>
                </c:pt>
                <c:pt idx="2">
                  <c:v>83520</c:v>
                </c:pt>
              </c:numCache>
            </c:numRef>
          </c:val>
        </c:ser>
        <c:ser>
          <c:idx val="1"/>
          <c:order val="1"/>
          <c:tx>
            <c:strRef>
              <c:f>KPIs!$A$35</c:f>
              <c:strCache>
                <c:ptCount val="1"/>
                <c:pt idx="0">
                  <c:v>Member washes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KPIs!$B$35:$D$35</c:f>
              <c:numCache>
                <c:formatCode>#,##0;\(#,##0\);\-</c:formatCode>
                <c:ptCount val="3"/>
                <c:pt idx="0">
                  <c:v>24097.8158489592</c:v>
                </c:pt>
                <c:pt idx="1">
                  <c:v>56156.3441548421</c:v>
                </c:pt>
                <c:pt idx="2">
                  <c:v>78984.8945262322</c:v>
                </c:pt>
              </c:numCache>
            </c:numRef>
          </c:val>
        </c:ser>
        <c:gapWidth val="60"/>
        <c:overlap val="100"/>
        <c:axId val="23030536"/>
        <c:axId val="62184646"/>
      </c:barChart>
      <c:lineChart>
        <c:grouping val="stacked"/>
        <c:varyColors val="0"/>
        <c:ser>
          <c:idx val="2"/>
          <c:order val="2"/>
          <c:tx>
            <c:strRef>
              <c:f>KPIs!$A$39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KPIs!$B$39:$D$39</c:f>
              <c:numCache>
                <c:formatCode>0.0%;\(0.0%\);\-</c:formatCode>
                <c:ptCount val="3"/>
                <c:pt idx="0">
                  <c:v>0.301832529896906</c:v>
                </c:pt>
                <c:pt idx="1">
                  <c:v>0.473871080333707</c:v>
                </c:pt>
                <c:pt idx="2">
                  <c:v>0.551320056338912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9313344"/>
        <c:axId val="39397603"/>
      </c:lineChart>
      <c:catAx>
        <c:axId val="2303053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184646"/>
        <c:crosses val="autoZero"/>
        <c:auto val="1"/>
        <c:lblAlgn val="ctr"/>
        <c:lblOffset val="100"/>
        <c:noMultiLvlLbl val="0"/>
      </c:catAx>
      <c:valAx>
        <c:axId val="621846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030536"/>
        <c:crosses val="autoZero"/>
        <c:crossBetween val="between"/>
      </c:valAx>
      <c:catAx>
        <c:axId val="3931334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397603"/>
        <c:crosses val="autoZero"/>
        <c:auto val="1"/>
        <c:lblAlgn val="ctr"/>
        <c:lblOffset val="100"/>
        <c:noMultiLvlLbl val="0"/>
      </c:catAx>
      <c:valAx>
        <c:axId val="3939760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31334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split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KPIs!$A$43</c:f>
              <c:strCache>
                <c:ptCount val="1"/>
                <c:pt idx="0">
                  <c:v>Retail wash &amp; add-on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KPIs!$B$43:$D$43</c:f>
              <c:numCache>
                <c:formatCode>\$#,##0,;"($"#,##0,\);\-</c:formatCode>
                <c:ptCount val="3"/>
                <c:pt idx="0">
                  <c:v>940602.433333333</c:v>
                </c:pt>
                <c:pt idx="1">
                  <c:v>1235260.8</c:v>
                </c:pt>
                <c:pt idx="2">
                  <c:v>1259966.016</c:v>
                </c:pt>
              </c:numCache>
            </c:numRef>
          </c:val>
        </c:ser>
        <c:ser>
          <c:idx val="1"/>
          <c:order val="1"/>
          <c:tx>
            <c:strRef>
              <c:f>KPIs!$A$42</c:f>
              <c:strCache>
                <c:ptCount val="1"/>
                <c:pt idx="0">
                  <c:v>Unlimited plan fees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KPIs!$B$42:$D$42</c:f>
              <c:numCache>
                <c:formatCode>\$#,##0,;"($"#,##0,\);\-</c:formatCode>
                <c:ptCount val="3"/>
                <c:pt idx="0">
                  <c:v>239579.958312896</c:v>
                </c:pt>
                <c:pt idx="1">
                  <c:v>570620.666663197</c:v>
                </c:pt>
                <c:pt idx="2">
                  <c:v>820310.581087405</c:v>
                </c:pt>
              </c:numCache>
            </c:numRef>
          </c:val>
        </c:ser>
        <c:gapWidth val="60"/>
        <c:overlap val="100"/>
        <c:axId val="62926232"/>
        <c:axId val="84928986"/>
      </c:barChart>
      <c:lineChart>
        <c:grouping val="stacked"/>
        <c:varyColors val="0"/>
        <c:ser>
          <c:idx val="2"/>
          <c:order val="2"/>
          <c:tx>
            <c:strRef>
              <c:f>KPIs!$A$52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KPIs!$B$52:$D$52</c:f>
              <c:numCache>
                <c:formatCode>0.0%;\(0.0%\);\-</c:formatCode>
                <c:ptCount val="3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303757"/>
        <c:axId val="49271021"/>
      </c:lineChart>
      <c:catAx>
        <c:axId val="6292623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928986"/>
        <c:crosses val="autoZero"/>
        <c:auto val="1"/>
        <c:lblAlgn val="ctr"/>
        <c:lblOffset val="100"/>
        <c:noMultiLvlLbl val="0"/>
      </c:catAx>
      <c:valAx>
        <c:axId val="8492898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926232"/>
        <c:crosses val="autoZero"/>
        <c:crossBetween val="between"/>
      </c:valAx>
      <c:catAx>
        <c:axId val="6330375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271021"/>
        <c:crosses val="autoZero"/>
        <c:auto val="1"/>
        <c:lblAlgn val="ctr"/>
        <c:lblOffset val="100"/>
        <c:noMultiLvlLbl val="0"/>
      </c:catAx>
      <c:valAx>
        <c:axId val="4927102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30375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2080276.59708741</v>
      </c>
      <c r="B7" s="25"/>
      <c r="C7" s="26" t="n">
        <f aca="false">D17</f>
        <v>0.291322035050816</v>
      </c>
      <c r="D7" s="26"/>
      <c r="E7" s="26"/>
      <c r="F7" s="26"/>
      <c r="H7" s="25" t="n">
        <f aca="false">D18</f>
        <v>64322.0783987556</v>
      </c>
      <c r="I7" s="25"/>
      <c r="J7" s="25"/>
      <c r="K7" s="25"/>
      <c r="L7" s="25" t="n">
        <f aca="false">F39</f>
        <v>131554.538556901</v>
      </c>
      <c r="M7" s="25"/>
      <c r="N7" s="25"/>
      <c r="O7" s="25"/>
      <c r="P7" s="25" t="n">
        <f aca="false">F37</f>
        <v>5249445.4614431</v>
      </c>
      <c r="Q7" s="25"/>
      <c r="R7" s="25"/>
      <c r="S7" s="25"/>
      <c r="T7" s="25" t="n">
        <f aca="false">F44</f>
        <v>-1738653.14438926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0.327657265129634</v>
      </c>
      <c r="B8" s="27"/>
      <c r="C8" s="28" t="n">
        <f aca="false">D16</f>
        <v>606030.411732089</v>
      </c>
      <c r="D8" s="28"/>
      <c r="E8" s="28"/>
      <c r="F8" s="28"/>
      <c r="H8" s="29" t="n">
        <f aca="false">D19</f>
        <v>0.0309199644358894</v>
      </c>
      <c r="I8" s="29"/>
      <c r="J8" s="29"/>
      <c r="K8" s="29"/>
      <c r="L8" s="30" t="n">
        <f aca="false">'Break-even'!B6</f>
        <v>26</v>
      </c>
      <c r="M8" s="30"/>
      <c r="N8" s="30"/>
      <c r="O8" s="30"/>
      <c r="P8" s="31" t="n">
        <f aca="false">IF(F38&gt;=0,"Covered by funding raised",-F38)</f>
        <v>149445.461443098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44</v>
      </c>
      <c r="B12" s="36" t="n">
        <f aca="false">SUMIF(Monthly!$C$5:$AL$5,B$11,Monthly!$C$37:$AL$37)</f>
        <v>1180182.39164623</v>
      </c>
      <c r="C12" s="36" t="n">
        <f aca="false">SUMIF(Monthly!$C$5:$AL$5,C$11,Monthly!$C$37:$AL$37)</f>
        <v>1805881.4666632</v>
      </c>
      <c r="D12" s="36" t="n">
        <f aca="false">SUMIF(Monthly!$C$5:$AL$5,D$11,Monthly!$C$37:$AL$37)</f>
        <v>2080276.59708741</v>
      </c>
    </row>
    <row r="13" customFormat="false" ht="15" hidden="false" customHeight="false" outlineLevel="0" collapsed="false">
      <c r="A13" s="37" t="s">
        <v>45</v>
      </c>
      <c r="B13" s="38" t="n">
        <f aca="false">SUMIF(Monthly!$C$5:$AL$5,B$11,Monthly!$C$46:$AL$46)</f>
        <v>999760.792729705</v>
      </c>
      <c r="C13" s="38" t="n">
        <f aca="false">SUMIF(Monthly!$C$5:$AL$5,C$11,Monthly!$C$46:$AL$46)</f>
        <v>1517202.40846174</v>
      </c>
      <c r="D13" s="38" t="n">
        <f aca="false">SUMIF(Monthly!$C$5:$AL$5,D$11,Monthly!$C$46:$AL$46)</f>
        <v>1736853.94773209</v>
      </c>
      <c r="E13" s="37"/>
      <c r="F13" s="37"/>
    </row>
    <row r="14" customFormat="false" ht="15" hidden="false" customHeight="false" outlineLevel="0" collapsed="false">
      <c r="A14" s="39" t="s">
        <v>46</v>
      </c>
      <c r="B14" s="40" t="n">
        <f aca="false">IF(B12=0,0,B13/B12)</f>
        <v>0.847123969825669</v>
      </c>
      <c r="C14" s="40" t="n">
        <f aca="false">IF(C12=0,0,C13/C12)</f>
        <v>0.840145068471817</v>
      </c>
      <c r="D14" s="40" t="n">
        <f aca="false">IF(D12=0,0,D13/D12)</f>
        <v>0.83491490995181</v>
      </c>
    </row>
    <row r="15" customFormat="false" ht="15" hidden="false" customHeight="false" outlineLevel="0" collapsed="false">
      <c r="A15" s="6" t="s">
        <v>47</v>
      </c>
      <c r="B15" s="36" t="n">
        <f aca="false">SUMIF(Monthly!$C$5:$AL$5,B$11,Monthly!$C$54:$AL$54)</f>
        <v>-1123040</v>
      </c>
      <c r="C15" s="36" t="n">
        <f aca="false">SUMIF(Monthly!$C$5:$AL$5,C$11,Monthly!$C$54:$AL$54)</f>
        <v>-1123611.2</v>
      </c>
      <c r="D15" s="36" t="n">
        <f aca="false">SUMIF(Monthly!$C$5:$AL$5,D$11,Monthly!$C$54:$AL$54)</f>
        <v>-1130823.536</v>
      </c>
    </row>
    <row r="16" customFormat="false" ht="15" hidden="false" customHeight="false" outlineLevel="0" collapsed="false">
      <c r="A16" s="37" t="s">
        <v>48</v>
      </c>
      <c r="B16" s="38" t="n">
        <f aca="false">SUMIF(Monthly!$C$5:$AL$5,B$11,Monthly!$C$55:$AL$55)</f>
        <v>-123279.207270295</v>
      </c>
      <c r="C16" s="38" t="n">
        <f aca="false">SUMIF(Monthly!$C$5:$AL$5,C$11,Monthly!$C$55:$AL$55)</f>
        <v>393591.208461737</v>
      </c>
      <c r="D16" s="38" t="n">
        <f aca="false">SUMIF(Monthly!$C$5:$AL$5,D$11,Monthly!$C$55:$AL$55)</f>
        <v>606030.411732089</v>
      </c>
      <c r="E16" s="37"/>
      <c r="F16" s="37"/>
    </row>
    <row r="17" customFormat="false" ht="15" hidden="false" customHeight="false" outlineLevel="0" collapsed="false">
      <c r="A17" s="39" t="s">
        <v>49</v>
      </c>
      <c r="B17" s="40" t="n">
        <f aca="false">IF(B12=0,0,B16/B12)</f>
        <v>-0.104457758515049</v>
      </c>
      <c r="C17" s="40" t="n">
        <f aca="false">IF(C12=0,0,C16/C12)</f>
        <v>0.217949636079378</v>
      </c>
      <c r="D17" s="40" t="n">
        <f aca="false">IF(D12=0,0,D16/D12)</f>
        <v>0.291322035050816</v>
      </c>
    </row>
    <row r="18" customFormat="false" ht="15" hidden="false" customHeight="false" outlineLevel="0" collapsed="false">
      <c r="A18" s="41" t="s">
        <v>50</v>
      </c>
      <c r="B18" s="42" t="n">
        <f aca="false">SUMIF(Monthly!$C$5:$AL$5,B$11,Monthly!$C$64:$AL$64)</f>
        <v>-709232.332270295</v>
      </c>
      <c r="C18" s="42" t="n">
        <f aca="false">SUMIF(Monthly!$C$5:$AL$5,C$11,Monthly!$C$64:$AL$64)</f>
        <v>-170283.791538263</v>
      </c>
      <c r="D18" s="42" t="n">
        <f aca="false">SUMIF(Monthly!$C$5:$AL$5,D$11,Monthly!$C$64:$AL$64)</f>
        <v>64322.0783987556</v>
      </c>
      <c r="E18" s="41"/>
      <c r="F18" s="41"/>
    </row>
    <row r="19" customFormat="false" ht="15" hidden="false" customHeight="false" outlineLevel="0" collapsed="false">
      <c r="A19" s="39" t="s">
        <v>51</v>
      </c>
      <c r="B19" s="40" t="n">
        <f aca="false">IF(B12=0,0,B18/B12)</f>
        <v>-0.600951460800047</v>
      </c>
      <c r="C19" s="40" t="n">
        <f aca="false">IF(C12=0,0,C18/C12)</f>
        <v>-0.0942940025033336</v>
      </c>
      <c r="D19" s="40" t="n">
        <f aca="false">IF(D12=0,0,D18/D12)</f>
        <v>0.0309199644358894</v>
      </c>
    </row>
    <row r="20" customFormat="false" ht="15" hidden="false" customHeight="false" outlineLevel="0" collapsed="false">
      <c r="A20" s="6" t="s">
        <v>52</v>
      </c>
      <c r="B20" s="36" t="n">
        <f aca="false">SUMIF(Monthly!$C$5:$AL$5,B$11,Monthly!$C$92:$AL$92)</f>
        <v>-369557.792453481</v>
      </c>
      <c r="C20" s="36" t="n">
        <f aca="false">SUMIF(Monthly!$C$5:$AL$5,C$11,Monthly!$C$92:$AL$92)</f>
        <v>174478.453532665</v>
      </c>
      <c r="D20" s="36" t="n">
        <f aca="false">SUMIF(Monthly!$C$5:$AL$5,D$11,Monthly!$C$92:$AL$92)</f>
        <v>412515.85538278</v>
      </c>
    </row>
    <row r="21" customFormat="false" ht="15" hidden="false" customHeight="false" outlineLevel="0" collapsed="false">
      <c r="A21" s="6" t="s">
        <v>53</v>
      </c>
      <c r="B21" s="36" t="n">
        <f aca="false">SUMIF(Monthly!$C$5:$AL$5,B$11,Monthly!$C$93:$AL$93)</f>
        <v>-4100000</v>
      </c>
      <c r="C21" s="36" t="n">
        <f aca="false">SUMIF(Monthly!$C$5:$AL$5,C$11,Monthly!$C$93:$AL$93)</f>
        <v>-40000</v>
      </c>
      <c r="D21" s="36" t="n">
        <f aca="false">SUMIF(Monthly!$C$5:$AL$5,D$11,Monthly!$C$93:$AL$93)</f>
        <v>-40000</v>
      </c>
    </row>
    <row r="22" customFormat="false" ht="15" hidden="false" customHeight="false" outlineLevel="0" collapsed="false">
      <c r="A22" s="6" t="s">
        <v>54</v>
      </c>
      <c r="B22" s="36" t="n">
        <f aca="false">SUMIF(Monthly!$C$5:$AL$5,B$11,Monthly!$C$95:$AL$95)</f>
        <v>4825000</v>
      </c>
      <c r="C22" s="36" t="n">
        <f aca="false">SUMIF(Monthly!$C$5:$AL$5,C$11,Monthly!$C$95:$AL$95)</f>
        <v>-300000</v>
      </c>
      <c r="D22" s="36" t="n">
        <f aca="false">SUMIF(Monthly!$C$5:$AL$5,D$11,Monthly!$C$95:$AL$95)</f>
        <v>-300000</v>
      </c>
    </row>
    <row r="23" customFormat="false" ht="15" hidden="false" customHeight="false" outlineLevel="0" collapsed="false">
      <c r="A23" s="37" t="s">
        <v>55</v>
      </c>
      <c r="B23" s="38" t="n">
        <f aca="false">SUMIF(Monthly!$C$5:$AL$5,B$11,Monthly!$C$96:$AL$96)</f>
        <v>355442.207546519</v>
      </c>
      <c r="C23" s="38" t="n">
        <f aca="false">SUMIF(Monthly!$C$5:$AL$5,C$11,Monthly!$C$96:$AL$96)</f>
        <v>-165521.546467335</v>
      </c>
      <c r="D23" s="38" t="n">
        <f aca="false">SUMIF(Monthly!$C$5:$AL$5,D$11,Monthly!$C$96:$AL$96)</f>
        <v>72515.8553827797</v>
      </c>
      <c r="E23" s="37"/>
      <c r="F23" s="37"/>
    </row>
    <row r="24" customFormat="false" ht="15" hidden="false" customHeight="false" outlineLevel="0" collapsed="false">
      <c r="A24" s="41" t="s">
        <v>56</v>
      </c>
      <c r="B24" s="42" t="n">
        <f aca="false">INDEX(Monthly!$C$98:$AL$98,B$11*12)</f>
        <v>355442.207546519</v>
      </c>
      <c r="C24" s="42" t="n">
        <f aca="false">INDEX(Monthly!$C$98:$AL$98,C$11*12)</f>
        <v>189920.661079184</v>
      </c>
      <c r="D24" s="42" t="n">
        <f aca="false">INDEX(Monthly!$C$98:$AL$98,D$11*12)</f>
        <v>262436.516461964</v>
      </c>
      <c r="E24" s="41"/>
      <c r="F24" s="41"/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58</v>
      </c>
      <c r="B28" s="43" t="n">
        <f aca="false">KPIs!B29</f>
        <v>972.089183697303</v>
      </c>
      <c r="C28" s="43" t="n">
        <f aca="false">KPIs!C29</f>
        <v>1644.34338061813</v>
      </c>
      <c r="D28" s="43" t="n">
        <f aca="false">KPIs!D29</f>
        <v>2081.65600865264</v>
      </c>
    </row>
    <row r="29" customFormat="false" ht="15" hidden="false" customHeight="false" outlineLevel="0" collapsed="false">
      <c r="A29" s="6" t="s">
        <v>59</v>
      </c>
      <c r="B29" s="43" t="n">
        <f aca="false">KPIs!B37</f>
        <v>255.65215282268</v>
      </c>
      <c r="C29" s="43" t="n">
        <f aca="false">KPIs!C37</f>
        <v>401.36880504265</v>
      </c>
      <c r="D29" s="43" t="n">
        <f aca="false">KPIs!D37</f>
        <v>466.968087719058</v>
      </c>
    </row>
    <row r="30" customFormat="false" ht="15" hidden="false" customHeight="false" outlineLevel="0" collapsed="false">
      <c r="A30" s="6" t="s">
        <v>60</v>
      </c>
      <c r="B30" s="44" t="n">
        <f aca="false">KPIs!B39</f>
        <v>0.301832529896906</v>
      </c>
      <c r="C30" s="44" t="n">
        <f aca="false">KPIs!C39</f>
        <v>0.473871080333707</v>
      </c>
      <c r="D30" s="44" t="n">
        <f aca="false">KPIs!D39</f>
        <v>0.551320056338912</v>
      </c>
    </row>
    <row r="31" customFormat="false" ht="15" hidden="false" customHeight="false" outlineLevel="0" collapsed="false">
      <c r="A31" s="6" t="s">
        <v>61</v>
      </c>
      <c r="B31" s="45" t="n">
        <f aca="false">KPIs!B45</f>
        <v>13.2654025173781</v>
      </c>
      <c r="C31" s="45" t="n">
        <f aca="false">KPIs!C45</f>
        <v>12.9290430501334</v>
      </c>
      <c r="D31" s="45" t="n">
        <f aca="false">KPIs!D45</f>
        <v>12.8013165582013</v>
      </c>
    </row>
    <row r="32" customFormat="false" ht="15" hidden="false" customHeight="false" outlineLevel="0" collapsed="false">
      <c r="A32" s="6" t="s">
        <v>62</v>
      </c>
      <c r="B32" s="46" t="n">
        <f aca="false">INDEX(Headcount!$C$10:$AL$10,B$27*12)</f>
        <v>11</v>
      </c>
      <c r="C32" s="46" t="n">
        <f aca="false">INDEX(Headcount!$C$10:$AL$10,C$27*12)</f>
        <v>11</v>
      </c>
      <c r="D32" s="46" t="n">
        <f aca="false">INDEX(Headcount!$C$10:$AL$10,D$27*12)</f>
        <v>11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7"/>
      <c r="C35" s="47"/>
      <c r="D35" s="47"/>
      <c r="E35" s="47"/>
      <c r="F35" s="48" t="n">
        <f aca="false">Inputs!$E$67</f>
        <v>2100000</v>
      </c>
    </row>
    <row r="36" customFormat="false" ht="15" hidden="false" customHeight="false" outlineLevel="0" collapsed="false">
      <c r="A36" s="6" t="s">
        <v>65</v>
      </c>
      <c r="B36" s="47"/>
      <c r="C36" s="47"/>
      <c r="D36" s="47"/>
      <c r="E36" s="47"/>
      <c r="F36" s="48" t="n">
        <f aca="false">Inputs!$E$68</f>
        <v>3000000</v>
      </c>
    </row>
    <row r="37" customFormat="false" ht="15" hidden="false" customHeight="false" outlineLevel="0" collapsed="false">
      <c r="A37" s="6" t="s">
        <v>66</v>
      </c>
      <c r="B37" s="47"/>
      <c r="C37" s="47"/>
      <c r="D37" s="47"/>
      <c r="E37" s="47"/>
      <c r="F37" s="48" t="n">
        <f aca="false">'Break-even'!B12</f>
        <v>5249445.4614431</v>
      </c>
    </row>
    <row r="38" customFormat="false" ht="15" hidden="false" customHeight="false" outlineLevel="0" collapsed="false">
      <c r="A38" s="37" t="s">
        <v>67</v>
      </c>
      <c r="B38" s="37"/>
      <c r="C38" s="37"/>
      <c r="D38" s="37"/>
      <c r="E38" s="37"/>
      <c r="F38" s="38" t="n">
        <f aca="false">'Break-even'!B17</f>
        <v>-149445.461443098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26)</v>
      </c>
      <c r="B39" s="47"/>
      <c r="C39" s="47"/>
      <c r="D39" s="47"/>
      <c r="E39" s="47"/>
      <c r="F39" s="48" t="n">
        <f aca="false">'Break-even'!B18</f>
        <v>131554.538556901</v>
      </c>
    </row>
    <row r="40" customFormat="false" ht="15" hidden="false" customHeight="false" outlineLevel="0" collapsed="false">
      <c r="A40" s="6" t="s">
        <v>68</v>
      </c>
      <c r="B40" s="47"/>
      <c r="C40" s="47"/>
      <c r="D40" s="47"/>
      <c r="E40" s="47"/>
      <c r="F40" s="49" t="n">
        <f aca="false">'Break-even'!B21</f>
        <v>8</v>
      </c>
    </row>
    <row r="41" customFormat="false" ht="15" hidden="false" customHeight="false" outlineLevel="0" collapsed="false">
      <c r="A41" s="6" t="s">
        <v>69</v>
      </c>
      <c r="B41" s="47"/>
      <c r="C41" s="47"/>
      <c r="D41" s="47"/>
      <c r="E41" s="47"/>
      <c r="F41" s="49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7"/>
      <c r="C42" s="47"/>
      <c r="D42" s="47"/>
      <c r="E42" s="47"/>
      <c r="F42" s="48" t="n">
        <f aca="false">Valuation!B27</f>
        <v>-1762873.22792661</v>
      </c>
    </row>
    <row r="43" customFormat="false" ht="15" hidden="false" customHeight="false" outlineLevel="0" collapsed="false">
      <c r="A43" s="6" t="s">
        <v>71</v>
      </c>
      <c r="B43" s="47"/>
      <c r="C43" s="47"/>
      <c r="D43" s="47"/>
      <c r="E43" s="47"/>
      <c r="F43" s="48" t="n">
        <f aca="false">Valuation!C27</f>
        <v>-1714433.06085191</v>
      </c>
    </row>
    <row r="44" customFormat="false" ht="15" hidden="false" customHeight="false" outlineLevel="0" collapsed="false">
      <c r="A44" s="41" t="s">
        <v>72</v>
      </c>
      <c r="B44" s="41"/>
      <c r="C44" s="41"/>
      <c r="D44" s="41"/>
      <c r="E44" s="41"/>
      <c r="F44" s="42" t="n">
        <f aca="false">Valuation!B30</f>
        <v>-1738653.14438926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50" t="n">
        <v>1</v>
      </c>
      <c r="S2" s="50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51" t="n">
        <f aca="false">INDEX(Monthly!$C$4:$AL$4,($R$2-1)*12+1)</f>
        <v>1</v>
      </c>
      <c r="I6" s="51" t="n">
        <f aca="false">INDEX(Monthly!$C$4:$AL$4,($R$2-1)*12+2)</f>
        <v>2</v>
      </c>
      <c r="J6" s="51" t="n">
        <f aca="false">INDEX(Monthly!$C$4:$AL$4,($R$2-1)*12+3)</f>
        <v>3</v>
      </c>
      <c r="K6" s="51" t="n">
        <f aca="false">INDEX(Monthly!$C$4:$AL$4,($R$2-1)*12+4)</f>
        <v>4</v>
      </c>
      <c r="L6" s="51" t="n">
        <f aca="false">INDEX(Monthly!$C$4:$AL$4,($R$2-1)*12+5)</f>
        <v>5</v>
      </c>
      <c r="M6" s="51" t="n">
        <f aca="false">INDEX(Monthly!$C$4:$AL$4,($R$2-1)*12+6)</f>
        <v>6</v>
      </c>
      <c r="N6" s="51" t="n">
        <f aca="false">INDEX(Monthly!$C$4:$AL$4,($R$2-1)*12+7)</f>
        <v>7</v>
      </c>
      <c r="O6" s="51" t="n">
        <f aca="false">INDEX(Monthly!$C$4:$AL$4,($R$2-1)*12+8)</f>
        <v>8</v>
      </c>
      <c r="P6" s="51" t="n">
        <f aca="false">INDEX(Monthly!$C$4:$AL$4,($R$2-1)*12+9)</f>
        <v>9</v>
      </c>
      <c r="Q6" s="51" t="n">
        <f aca="false">INDEX(Monthly!$C$4:$AL$4,($R$2-1)*12+10)</f>
        <v>10</v>
      </c>
      <c r="R6" s="51" t="n">
        <f aca="false">INDEX(Monthly!$C$4:$AL$4,($R$2-1)*12+11)</f>
        <v>11</v>
      </c>
      <c r="S6" s="51" t="n">
        <f aca="false">INDEX(Monthly!$C$4:$AL$4,($R$2-1)*12+12)</f>
        <v>12</v>
      </c>
    </row>
    <row r="7" customFormat="false" ht="15" hidden="false" customHeight="false" outlineLevel="0" collapsed="false">
      <c r="A7" s="52" t="s">
        <v>44</v>
      </c>
      <c r="B7" s="36" t="n">
        <f aca="false">'P&amp;L'!B5</f>
        <v>1180182.39164623</v>
      </c>
      <c r="C7" s="36" t="n">
        <f aca="false">'P&amp;L'!C5</f>
        <v>1805881.4666632</v>
      </c>
      <c r="D7" s="36" t="n">
        <f aca="false">'P&amp;L'!D5</f>
        <v>2080276.59708741</v>
      </c>
      <c r="H7" s="36" t="n">
        <f aca="false">INDEX(Monthly!$C$37:$AL$37,($R$2-1)*12+1)</f>
        <v>47943.358</v>
      </c>
      <c r="I7" s="36" t="n">
        <f aca="false">INDEX(Monthly!$C$37:$AL$37,($R$2-1)*12+2)</f>
        <v>54448.9359022222</v>
      </c>
      <c r="J7" s="36" t="n">
        <f aca="false">INDEX(Monthly!$C$37:$AL$37,($R$2-1)*12+3)</f>
        <v>72773.4017994667</v>
      </c>
      <c r="K7" s="36" t="n">
        <f aca="false">INDEX(Monthly!$C$37:$AL$37,($R$2-1)*12+4)</f>
        <v>81051.8988385991</v>
      </c>
      <c r="L7" s="36" t="n">
        <f aca="false">INDEX(Monthly!$C$37:$AL$37,($R$2-1)*12+5)</f>
        <v>89490.2764406107</v>
      </c>
      <c r="M7" s="36" t="n">
        <f aca="false">INDEX(Monthly!$C$37:$AL$37,($R$2-1)*12+6)</f>
        <v>98082.1393829863</v>
      </c>
      <c r="N7" s="36" t="n">
        <f aca="false">INDEX(Monthly!$C$37:$AL$37,($R$2-1)*12+7)</f>
        <v>106821.348252111</v>
      </c>
      <c r="O7" s="36" t="n">
        <f aca="false">INDEX(Monthly!$C$37:$AL$37,($R$2-1)*12+8)</f>
        <v>115702.009210916</v>
      </c>
      <c r="P7" s="36" t="n">
        <f aca="false">INDEX(Monthly!$C$37:$AL$37,($R$2-1)*12+9)</f>
        <v>124718.464175812</v>
      </c>
      <c r="Q7" s="36" t="n">
        <f aca="false">INDEX(Monthly!$C$37:$AL$37,($R$2-1)*12+10)</f>
        <v>133865.281386558</v>
      </c>
      <c r="R7" s="36" t="n">
        <f aca="false">INDEX(Monthly!$C$37:$AL$37,($R$2-1)*12+11)</f>
        <v>136545.550131095</v>
      </c>
      <c r="S7" s="36" t="n">
        <f aca="false">INDEX(Monthly!$C$37:$AL$37,($R$2-1)*12+12)</f>
        <v>118739.728125852</v>
      </c>
    </row>
    <row r="8" customFormat="false" ht="15" hidden="false" customHeight="false" outlineLevel="0" collapsed="false">
      <c r="A8" s="52" t="s">
        <v>76</v>
      </c>
      <c r="B8" s="36" t="n">
        <f aca="false">'P&amp;L'!B6</f>
        <v>-180421.598916524</v>
      </c>
      <c r="C8" s="36" t="n">
        <f aca="false">'P&amp;L'!C6</f>
        <v>-288679.05820146</v>
      </c>
      <c r="D8" s="36" t="n">
        <f aca="false">'P&amp;L'!D6</f>
        <v>-343422.649355316</v>
      </c>
      <c r="H8" s="36" t="n">
        <f aca="false">INDEX(Monthly!$C$45:$AL$45,($R$2-1)*12+1)</f>
        <v>-7071.9457459</v>
      </c>
      <c r="I8" s="36" t="n">
        <f aca="false">INDEX(Monthly!$C$45:$AL$45,($R$2-1)*12+2)</f>
        <v>-8031.44880631956</v>
      </c>
      <c r="J8" s="36" t="n">
        <f aca="false">INDEX(Monthly!$C$45:$AL$45,($R$2-1)*12+3)</f>
        <v>-11076.8352569627</v>
      </c>
      <c r="K8" s="36" t="n">
        <f aca="false">INDEX(Monthly!$C$45:$AL$45,($R$2-1)*12+4)</f>
        <v>-12361.6968813842</v>
      </c>
      <c r="L8" s="36" t="n">
        <f aca="false">INDEX(Monthly!$C$45:$AL$45,($R$2-1)*12+5)</f>
        <v>-13678.7184810288</v>
      </c>
      <c r="M8" s="36" t="n">
        <f aca="false">INDEX(Monthly!$C$45:$AL$45,($R$2-1)*12+6)</f>
        <v>-15026.6136568877</v>
      </c>
      <c r="N8" s="36" t="n">
        <f aca="false">INDEX(Monthly!$C$45:$AL$45,($R$2-1)*12+7)</f>
        <v>-16404.1474659122</v>
      </c>
      <c r="O8" s="36" t="n">
        <f aca="false">INDEX(Monthly!$C$45:$AL$45,($R$2-1)*12+8)</f>
        <v>-17810.1343627757</v>
      </c>
      <c r="P8" s="36" t="n">
        <f aca="false">INDEX(Monthly!$C$45:$AL$45,($R$2-1)*12+9)</f>
        <v>-19243.4362239647</v>
      </c>
      <c r="Q8" s="36" t="n">
        <f aca="false">INDEX(Monthly!$C$45:$AL$45,($R$2-1)*12+10)</f>
        <v>-20702.9604509061</v>
      </c>
      <c r="R8" s="36" t="n">
        <f aca="false">INDEX(Monthly!$C$45:$AL$45,($R$2-1)*12+11)</f>
        <v>-21242.0965088698</v>
      </c>
      <c r="S8" s="36" t="n">
        <f aca="false">INDEX(Monthly!$C$45:$AL$45,($R$2-1)*12+12)</f>
        <v>-17771.5650756123</v>
      </c>
    </row>
    <row r="9" customFormat="false" ht="15" hidden="false" customHeight="false" outlineLevel="0" collapsed="false">
      <c r="A9" s="37" t="s">
        <v>45</v>
      </c>
      <c r="B9" s="38" t="n">
        <f aca="false">'P&amp;L'!B7</f>
        <v>999760.792729705</v>
      </c>
      <c r="C9" s="38" t="n">
        <f aca="false">'P&amp;L'!C7</f>
        <v>1517202.40846174</v>
      </c>
      <c r="D9" s="38" t="n">
        <f aca="false">'P&amp;L'!D7</f>
        <v>1736853.94773209</v>
      </c>
      <c r="E9" s="37"/>
      <c r="F9" s="37"/>
      <c r="H9" s="38" t="n">
        <f aca="false">INDEX(Monthly!$C$46:$AL$46,($R$2-1)*12+1)</f>
        <v>40871.4122541</v>
      </c>
      <c r="I9" s="38" t="n">
        <f aca="false">INDEX(Monthly!$C$46:$AL$46,($R$2-1)*12+2)</f>
        <v>46417.4870959027</v>
      </c>
      <c r="J9" s="38" t="n">
        <f aca="false">INDEX(Monthly!$C$46:$AL$46,($R$2-1)*12+3)</f>
        <v>61696.566542504</v>
      </c>
      <c r="K9" s="38" t="n">
        <f aca="false">INDEX(Monthly!$C$46:$AL$46,($R$2-1)*12+4)</f>
        <v>68690.2019572149</v>
      </c>
      <c r="L9" s="38" t="n">
        <f aca="false">INDEX(Monthly!$C$46:$AL$46,($R$2-1)*12+5)</f>
        <v>75811.5579595819</v>
      </c>
      <c r="M9" s="38" t="n">
        <f aca="false">INDEX(Monthly!$C$46:$AL$46,($R$2-1)*12+6)</f>
        <v>83055.5257260986</v>
      </c>
      <c r="N9" s="38" t="n">
        <f aca="false">INDEX(Monthly!$C$46:$AL$46,($R$2-1)*12+7)</f>
        <v>90417.2007861991</v>
      </c>
      <c r="O9" s="38" t="n">
        <f aca="false">INDEX(Monthly!$C$46:$AL$46,($R$2-1)*12+8)</f>
        <v>97891.87484814</v>
      </c>
      <c r="P9" s="38" t="n">
        <f aca="false">INDEX(Monthly!$C$46:$AL$46,($R$2-1)*12+9)</f>
        <v>105475.027951848</v>
      </c>
      <c r="Q9" s="38" t="n">
        <f aca="false">INDEX(Monthly!$C$46:$AL$46,($R$2-1)*12+10)</f>
        <v>113162.320935652</v>
      </c>
      <c r="R9" s="38" t="n">
        <f aca="false">INDEX(Monthly!$C$46:$AL$46,($R$2-1)*12+11)</f>
        <v>115303.453622226</v>
      </c>
      <c r="S9" s="38" t="n">
        <f aca="false">INDEX(Monthly!$C$46:$AL$46,($R$2-1)*12+12)</f>
        <v>100968.163050239</v>
      </c>
    </row>
    <row r="10" customFormat="false" ht="15" hidden="false" customHeight="false" outlineLevel="0" collapsed="false">
      <c r="A10" s="39" t="s">
        <v>46</v>
      </c>
      <c r="B10" s="40" t="n">
        <f aca="false">'P&amp;L'!B8</f>
        <v>0.847123969825669</v>
      </c>
      <c r="C10" s="40" t="n">
        <f aca="false">'P&amp;L'!C8</f>
        <v>0.840145068471817</v>
      </c>
      <c r="D10" s="40" t="n">
        <f aca="false">'P&amp;L'!D8</f>
        <v>0.83491490995181</v>
      </c>
      <c r="H10" s="40" t="n">
        <f aca="false">IF(H7=0,0,H9/H7)</f>
        <v>0.852493733419758</v>
      </c>
      <c r="I10" s="40" t="n">
        <f aca="false">IF(I7=0,0,I9/I7)</f>
        <v>0.852495761887024</v>
      </c>
      <c r="J10" s="40" t="n">
        <f aca="false">IF(J7=0,0,J9/J7)</f>
        <v>0.847790058138468</v>
      </c>
      <c r="K10" s="40" t="n">
        <f aca="false">IF(K7=0,0,K9/K7)</f>
        <v>0.847484179167716</v>
      </c>
      <c r="L10" s="40" t="n">
        <f aca="false">IF(L7=0,0,L9/L7)</f>
        <v>0.847148550377911</v>
      </c>
      <c r="M10" s="40" t="n">
        <f aca="false">IF(M7=0,0,M9/M7)</f>
        <v>0.84679561690419</v>
      </c>
      <c r="N10" s="40" t="n">
        <f aca="false">IF(N7=0,0,N9/N7)</f>
        <v>0.846433809960941</v>
      </c>
      <c r="O10" s="40" t="n">
        <f aca="false">IF(O7=0,0,O9/O7)</f>
        <v>0.846068927547237</v>
      </c>
      <c r="P10" s="40" t="n">
        <f aca="false">IF(P7=0,0,P9/P7)</f>
        <v>0.845704993634</v>
      </c>
      <c r="Q10" s="40" t="n">
        <f aca="false">IF(Q7=0,0,Q9/Q7)</f>
        <v>0.845344810570241</v>
      </c>
      <c r="R10" s="40" t="n">
        <f aca="false">IF(R7=0,0,R9/R7)</f>
        <v>0.844432158437418</v>
      </c>
      <c r="S10" s="40" t="n">
        <f aca="false">IF(S7=0,0,S9/S7)</f>
        <v>0.850331768851818</v>
      </c>
    </row>
    <row r="11" customFormat="false" ht="15" hidden="false" customHeight="false" outlineLevel="0" collapsed="false">
      <c r="A11" s="52" t="s">
        <v>77</v>
      </c>
      <c r="B11" s="36" t="n">
        <f aca="false">'P&amp;L'!B14</f>
        <v>-1123040</v>
      </c>
      <c r="C11" s="36" t="n">
        <f aca="false">'P&amp;L'!C14</f>
        <v>-1123611.2</v>
      </c>
      <c r="D11" s="36" t="n">
        <f aca="false">'P&amp;L'!D14</f>
        <v>-1130823.536</v>
      </c>
      <c r="H11" s="36" t="n">
        <f aca="false">INDEX(Monthly!$C$54:$AL$54,($R$2-1)*12+1)</f>
        <v>-93586.6666666667</v>
      </c>
      <c r="I11" s="36" t="n">
        <f aca="false">INDEX(Monthly!$C$54:$AL$54,($R$2-1)*12+2)</f>
        <v>-93586.6666666667</v>
      </c>
      <c r="J11" s="36" t="n">
        <f aca="false">INDEX(Monthly!$C$54:$AL$54,($R$2-1)*12+3)</f>
        <v>-93586.6666666667</v>
      </c>
      <c r="K11" s="36" t="n">
        <f aca="false">INDEX(Monthly!$C$54:$AL$54,($R$2-1)*12+4)</f>
        <v>-93586.6666666667</v>
      </c>
      <c r="L11" s="36" t="n">
        <f aca="false">INDEX(Monthly!$C$54:$AL$54,($R$2-1)*12+5)</f>
        <v>-93586.6666666667</v>
      </c>
      <c r="M11" s="36" t="n">
        <f aca="false">INDEX(Monthly!$C$54:$AL$54,($R$2-1)*12+6)</f>
        <v>-93586.6666666667</v>
      </c>
      <c r="N11" s="36" t="n">
        <f aca="false">INDEX(Monthly!$C$54:$AL$54,($R$2-1)*12+7)</f>
        <v>-93586.6666666667</v>
      </c>
      <c r="O11" s="36" t="n">
        <f aca="false">INDEX(Monthly!$C$54:$AL$54,($R$2-1)*12+8)</f>
        <v>-93586.6666666667</v>
      </c>
      <c r="P11" s="36" t="n">
        <f aca="false">INDEX(Monthly!$C$54:$AL$54,($R$2-1)*12+9)</f>
        <v>-93586.6666666667</v>
      </c>
      <c r="Q11" s="36" t="n">
        <f aca="false">INDEX(Monthly!$C$54:$AL$54,($R$2-1)*12+10)</f>
        <v>-93586.6666666667</v>
      </c>
      <c r="R11" s="36" t="n">
        <f aca="false">INDEX(Monthly!$C$54:$AL$54,($R$2-1)*12+11)</f>
        <v>-93586.6666666667</v>
      </c>
      <c r="S11" s="36" t="n">
        <f aca="false">INDEX(Monthly!$C$54:$AL$54,($R$2-1)*12+12)</f>
        <v>-93586.6666666667</v>
      </c>
    </row>
    <row r="12" customFormat="false" ht="15" hidden="false" customHeight="false" outlineLevel="0" collapsed="false">
      <c r="A12" s="37" t="s">
        <v>48</v>
      </c>
      <c r="B12" s="38" t="n">
        <f aca="false">'P&amp;L'!B15</f>
        <v>-123279.207270295</v>
      </c>
      <c r="C12" s="38" t="n">
        <f aca="false">'P&amp;L'!C15</f>
        <v>393591.208461737</v>
      </c>
      <c r="D12" s="38" t="n">
        <f aca="false">'P&amp;L'!D15</f>
        <v>606030.411732089</v>
      </c>
      <c r="E12" s="37"/>
      <c r="F12" s="37"/>
      <c r="H12" s="38" t="n">
        <f aca="false">INDEX(Monthly!$C$55:$AL$55,($R$2-1)*12+1)</f>
        <v>-52715.2544125667</v>
      </c>
      <c r="I12" s="38" t="n">
        <f aca="false">INDEX(Monthly!$C$55:$AL$55,($R$2-1)*12+2)</f>
        <v>-47169.179570764</v>
      </c>
      <c r="J12" s="38" t="n">
        <f aca="false">INDEX(Monthly!$C$55:$AL$55,($R$2-1)*12+3)</f>
        <v>-31890.1001241627</v>
      </c>
      <c r="K12" s="38" t="n">
        <f aca="false">INDEX(Monthly!$C$55:$AL$55,($R$2-1)*12+4)</f>
        <v>-24896.4647094518</v>
      </c>
      <c r="L12" s="38" t="n">
        <f aca="false">INDEX(Monthly!$C$55:$AL$55,($R$2-1)*12+5)</f>
        <v>-17775.1087070848</v>
      </c>
      <c r="M12" s="38" t="n">
        <f aca="false">INDEX(Monthly!$C$55:$AL$55,($R$2-1)*12+6)</f>
        <v>-10531.1409405681</v>
      </c>
      <c r="N12" s="38" t="n">
        <f aca="false">INDEX(Monthly!$C$55:$AL$55,($R$2-1)*12+7)</f>
        <v>-3169.46588046759</v>
      </c>
      <c r="O12" s="38" t="n">
        <f aca="false">INDEX(Monthly!$C$55:$AL$55,($R$2-1)*12+8)</f>
        <v>4305.20818147335</v>
      </c>
      <c r="P12" s="38" t="n">
        <f aca="false">INDEX(Monthly!$C$55:$AL$55,($R$2-1)*12+9)</f>
        <v>11888.3612851811</v>
      </c>
      <c r="Q12" s="38" t="n">
        <f aca="false">INDEX(Monthly!$C$55:$AL$55,($R$2-1)*12+10)</f>
        <v>19575.654268985</v>
      </c>
      <c r="R12" s="38" t="n">
        <f aca="false">INDEX(Monthly!$C$55:$AL$55,($R$2-1)*12+11)</f>
        <v>21716.7869555589</v>
      </c>
      <c r="S12" s="38" t="n">
        <f aca="false">INDEX(Monthly!$C$55:$AL$55,($R$2-1)*12+12)</f>
        <v>7381.49638357262</v>
      </c>
    </row>
    <row r="13" customFormat="false" ht="15" hidden="false" customHeight="false" outlineLevel="0" collapsed="false">
      <c r="A13" s="39" t="s">
        <v>49</v>
      </c>
      <c r="B13" s="40" t="n">
        <f aca="false">'P&amp;L'!B16</f>
        <v>-0.104457758515049</v>
      </c>
      <c r="C13" s="40" t="n">
        <f aca="false">'P&amp;L'!C16</f>
        <v>0.217949636079378</v>
      </c>
      <c r="D13" s="40" t="n">
        <f aca="false">'P&amp;L'!D16</f>
        <v>0.291322035050816</v>
      </c>
      <c r="H13" s="40" t="n">
        <f aca="false">IF(H7=0,0,H12/H7)</f>
        <v>-1.09953196045564</v>
      </c>
      <c r="I13" s="40" t="n">
        <f aca="false">IF(I7=0,0,I12/I7)</f>
        <v>-0.866301219466787</v>
      </c>
      <c r="J13" s="40" t="n">
        <f aca="false">IF(J7=0,0,J12/J7)</f>
        <v>-0.438210930582009</v>
      </c>
      <c r="K13" s="40" t="n">
        <f aca="false">IF(K7=0,0,K12/K7)</f>
        <v>-0.307166951869059</v>
      </c>
      <c r="L13" s="40" t="n">
        <f aca="false">IF(L7=0,0,L12/L7)</f>
        <v>-0.198626145924145</v>
      </c>
      <c r="M13" s="40" t="n">
        <f aca="false">IF(M7=0,0,M12/M7)</f>
        <v>-0.107370628402044</v>
      </c>
      <c r="N13" s="40" t="n">
        <f aca="false">IF(N7=0,0,N12/N7)</f>
        <v>-0.0296707159414171</v>
      </c>
      <c r="O13" s="40" t="n">
        <f aca="false">IF(O7=0,0,O12/O7)</f>
        <v>0.0372094504739783</v>
      </c>
      <c r="P13" s="40" t="n">
        <f aca="false">IF(P7=0,0,P12/P7)</f>
        <v>0.0953215818022131</v>
      </c>
      <c r="Q13" s="40" t="n">
        <f aca="false">IF(Q7=0,0,Q12/Q7)</f>
        <v>0.146233990368698</v>
      </c>
      <c r="R13" s="40" t="n">
        <f aca="false">IF(R7=0,0,R12/R7)</f>
        <v>0.159044267167322</v>
      </c>
      <c r="S13" s="40" t="n">
        <f aca="false">IF(S7=0,0,S12/S7)</f>
        <v>0.0621653468479313</v>
      </c>
    </row>
    <row r="14" customFormat="false" ht="15" hidden="false" customHeight="false" outlineLevel="0" collapsed="false">
      <c r="A14" s="52" t="s">
        <v>78</v>
      </c>
      <c r="B14" s="36" t="n">
        <f aca="false">'P&amp;L'!B17</f>
        <v>-341666.666666667</v>
      </c>
      <c r="C14" s="36" t="n">
        <f aca="false">'P&amp;L'!C17</f>
        <v>-345000</v>
      </c>
      <c r="D14" s="36" t="n">
        <f aca="false">'P&amp;L'!D17</f>
        <v>-348333.333333333</v>
      </c>
      <c r="H14" s="36" t="n">
        <f aca="false">INDEX(Monthly!$C$73:$AL$73,($R$2-1)*12+1)</f>
        <v>-28472.2222222222</v>
      </c>
      <c r="I14" s="36" t="n">
        <f aca="false">INDEX(Monthly!$C$73:$AL$73,($R$2-1)*12+2)</f>
        <v>-28472.2222222222</v>
      </c>
      <c r="J14" s="36" t="n">
        <f aca="false">INDEX(Monthly!$C$73:$AL$73,($R$2-1)*12+3)</f>
        <v>-28472.2222222222</v>
      </c>
      <c r="K14" s="36" t="n">
        <f aca="false">INDEX(Monthly!$C$73:$AL$73,($R$2-1)*12+4)</f>
        <v>-28472.2222222222</v>
      </c>
      <c r="L14" s="36" t="n">
        <f aca="false">INDEX(Monthly!$C$73:$AL$73,($R$2-1)*12+5)</f>
        <v>-28472.2222222222</v>
      </c>
      <c r="M14" s="36" t="n">
        <f aca="false">INDEX(Monthly!$C$73:$AL$73,($R$2-1)*12+6)</f>
        <v>-28472.2222222222</v>
      </c>
      <c r="N14" s="36" t="n">
        <f aca="false">INDEX(Monthly!$C$73:$AL$73,($R$2-1)*12+7)</f>
        <v>-28472.2222222222</v>
      </c>
      <c r="O14" s="36" t="n">
        <f aca="false">INDEX(Monthly!$C$73:$AL$73,($R$2-1)*12+8)</f>
        <v>-28472.2222222222</v>
      </c>
      <c r="P14" s="36" t="n">
        <f aca="false">INDEX(Monthly!$C$73:$AL$73,($R$2-1)*12+9)</f>
        <v>-28472.2222222222</v>
      </c>
      <c r="Q14" s="36" t="n">
        <f aca="false">INDEX(Monthly!$C$73:$AL$73,($R$2-1)*12+10)</f>
        <v>-28472.2222222222</v>
      </c>
      <c r="R14" s="36" t="n">
        <f aca="false">INDEX(Monthly!$C$73:$AL$73,($R$2-1)*12+11)</f>
        <v>-28472.2222222222</v>
      </c>
      <c r="S14" s="36" t="n">
        <f aca="false">INDEX(Monthly!$C$73:$AL$73,($R$2-1)*12+12)</f>
        <v>-28472.2222222222</v>
      </c>
    </row>
    <row r="15" customFormat="false" ht="15" hidden="false" customHeight="false" outlineLevel="0" collapsed="false">
      <c r="A15" s="37" t="s">
        <v>79</v>
      </c>
      <c r="B15" s="38" t="n">
        <f aca="false">'P&amp;L'!B18</f>
        <v>-464945.873936961</v>
      </c>
      <c r="C15" s="38" t="n">
        <f aca="false">'P&amp;L'!C18</f>
        <v>48591.2084617368</v>
      </c>
      <c r="D15" s="38" t="n">
        <f aca="false">'P&amp;L'!D18</f>
        <v>257697.078398756</v>
      </c>
      <c r="E15" s="37"/>
      <c r="F15" s="37"/>
      <c r="H15" s="38" t="n">
        <f aca="false">INDEX(Monthly!$C$58:$AL$58,($R$2-1)*12+1)</f>
        <v>-81187.4766347889</v>
      </c>
      <c r="I15" s="38" t="n">
        <f aca="false">INDEX(Monthly!$C$58:$AL$58,($R$2-1)*12+2)</f>
        <v>-75641.4017929862</v>
      </c>
      <c r="J15" s="38" t="n">
        <f aca="false">INDEX(Monthly!$C$58:$AL$58,($R$2-1)*12+3)</f>
        <v>-60362.3223463849</v>
      </c>
      <c r="K15" s="38" t="n">
        <f aca="false">INDEX(Monthly!$C$58:$AL$58,($R$2-1)*12+4)</f>
        <v>-53368.686931674</v>
      </c>
      <c r="L15" s="38" t="n">
        <f aca="false">INDEX(Monthly!$C$58:$AL$58,($R$2-1)*12+5)</f>
        <v>-46247.330929307</v>
      </c>
      <c r="M15" s="38" t="n">
        <f aca="false">INDEX(Monthly!$C$58:$AL$58,($R$2-1)*12+6)</f>
        <v>-39003.3631627903</v>
      </c>
      <c r="N15" s="38" t="n">
        <f aca="false">INDEX(Monthly!$C$58:$AL$58,($R$2-1)*12+7)</f>
        <v>-31641.6881026898</v>
      </c>
      <c r="O15" s="38" t="n">
        <f aca="false">INDEX(Monthly!$C$58:$AL$58,($R$2-1)*12+8)</f>
        <v>-24167.0140407489</v>
      </c>
      <c r="P15" s="38" t="n">
        <f aca="false">INDEX(Monthly!$C$58:$AL$58,($R$2-1)*12+9)</f>
        <v>-16583.8609370411</v>
      </c>
      <c r="Q15" s="38" t="n">
        <f aca="false">INDEX(Monthly!$C$58:$AL$58,($R$2-1)*12+10)</f>
        <v>-8896.56795323726</v>
      </c>
      <c r="R15" s="38" t="n">
        <f aca="false">INDEX(Monthly!$C$58:$AL$58,($R$2-1)*12+11)</f>
        <v>-6755.43526666334</v>
      </c>
      <c r="S15" s="38" t="n">
        <f aca="false">INDEX(Monthly!$C$58:$AL$58,($R$2-1)*12+12)</f>
        <v>-21090.7258386496</v>
      </c>
    </row>
    <row r="16" customFormat="false" ht="15" hidden="false" customHeight="false" outlineLevel="0" collapsed="false">
      <c r="A16" s="52" t="s">
        <v>80</v>
      </c>
      <c r="B16" s="36" t="n">
        <f aca="false">'P&amp;L'!B19</f>
        <v>-244286.458333333</v>
      </c>
      <c r="C16" s="36" t="n">
        <f aca="false">'P&amp;L'!C19</f>
        <v>-218875</v>
      </c>
      <c r="D16" s="36" t="n">
        <f aca="false">'P&amp;L'!D19</f>
        <v>-193375</v>
      </c>
      <c r="H16" s="36" t="n">
        <f aca="false">INDEX(Monthly!$C$59:$AL$59,($R$2-1)*12+1)</f>
        <v>-21250</v>
      </c>
      <c r="I16" s="36" t="n">
        <f aca="false">INDEX(Monthly!$C$59:$AL$59,($R$2-1)*12+2)</f>
        <v>-21161.4583333333</v>
      </c>
      <c r="J16" s="36" t="n">
        <f aca="false">INDEX(Monthly!$C$59:$AL$59,($R$2-1)*12+3)</f>
        <v>-20984.375</v>
      </c>
      <c r="K16" s="36" t="n">
        <f aca="false">INDEX(Monthly!$C$59:$AL$59,($R$2-1)*12+4)</f>
        <v>-20807.2916666667</v>
      </c>
      <c r="L16" s="36" t="n">
        <f aca="false">INDEX(Monthly!$C$59:$AL$59,($R$2-1)*12+5)</f>
        <v>-20630.2083333333</v>
      </c>
      <c r="M16" s="36" t="n">
        <f aca="false">INDEX(Monthly!$C$59:$AL$59,($R$2-1)*12+6)</f>
        <v>-20453.125</v>
      </c>
      <c r="N16" s="36" t="n">
        <f aca="false">INDEX(Monthly!$C$59:$AL$59,($R$2-1)*12+7)</f>
        <v>-20276.0416666667</v>
      </c>
      <c r="O16" s="36" t="n">
        <f aca="false">INDEX(Monthly!$C$59:$AL$59,($R$2-1)*12+8)</f>
        <v>-20098.9583333333</v>
      </c>
      <c r="P16" s="36" t="n">
        <f aca="false">INDEX(Monthly!$C$59:$AL$59,($R$2-1)*12+9)</f>
        <v>-19921.875</v>
      </c>
      <c r="Q16" s="36" t="n">
        <f aca="false">INDEX(Monthly!$C$59:$AL$59,($R$2-1)*12+10)</f>
        <v>-19744.7916666667</v>
      </c>
      <c r="R16" s="36" t="n">
        <f aca="false">INDEX(Monthly!$C$59:$AL$59,($R$2-1)*12+11)</f>
        <v>-19567.7083333333</v>
      </c>
      <c r="S16" s="36" t="n">
        <f aca="false">INDEX(Monthly!$C$59:$AL$59,($R$2-1)*12+12)</f>
        <v>-19390.625</v>
      </c>
    </row>
    <row r="17" customFormat="false" ht="15" hidden="false" customHeight="false" outlineLevel="0" collapsed="false">
      <c r="A17" s="52" t="s">
        <v>81</v>
      </c>
      <c r="B17" s="36" t="n">
        <f aca="false">'P&amp;L'!B20</f>
        <v>-709232.332270295</v>
      </c>
      <c r="C17" s="36" t="n">
        <f aca="false">'P&amp;L'!C20</f>
        <v>-170283.791538263</v>
      </c>
      <c r="D17" s="36" t="n">
        <f aca="false">'P&amp;L'!D20</f>
        <v>64322.0783987556</v>
      </c>
      <c r="H17" s="36" t="n">
        <f aca="false">INDEX(Monthly!$C$60:$AL$60,($R$2-1)*12+1)</f>
        <v>-102437.476634789</v>
      </c>
      <c r="I17" s="36" t="n">
        <f aca="false">INDEX(Monthly!$C$60:$AL$60,($R$2-1)*12+2)</f>
        <v>-96802.8601263196</v>
      </c>
      <c r="J17" s="36" t="n">
        <f aca="false">INDEX(Monthly!$C$60:$AL$60,($R$2-1)*12+3)</f>
        <v>-81346.6973463849</v>
      </c>
      <c r="K17" s="36" t="n">
        <f aca="false">INDEX(Monthly!$C$60:$AL$60,($R$2-1)*12+4)</f>
        <v>-74175.9785983407</v>
      </c>
      <c r="L17" s="36" t="n">
        <f aca="false">INDEX(Monthly!$C$60:$AL$60,($R$2-1)*12+5)</f>
        <v>-66877.5392626404</v>
      </c>
      <c r="M17" s="36" t="n">
        <f aca="false">INDEX(Monthly!$C$60:$AL$60,($R$2-1)*12+6)</f>
        <v>-59456.4881627903</v>
      </c>
      <c r="N17" s="36" t="n">
        <f aca="false">INDEX(Monthly!$C$60:$AL$60,($R$2-1)*12+7)</f>
        <v>-51917.7297693565</v>
      </c>
      <c r="O17" s="36" t="n">
        <f aca="false">INDEX(Monthly!$C$60:$AL$60,($R$2-1)*12+8)</f>
        <v>-44265.9723740822</v>
      </c>
      <c r="P17" s="36" t="n">
        <f aca="false">INDEX(Monthly!$C$60:$AL$60,($R$2-1)*12+9)</f>
        <v>-36505.7359370411</v>
      </c>
      <c r="Q17" s="36" t="n">
        <f aca="false">INDEX(Monthly!$C$60:$AL$60,($R$2-1)*12+10)</f>
        <v>-28641.3596199039</v>
      </c>
      <c r="R17" s="36" t="n">
        <f aca="false">INDEX(Monthly!$C$60:$AL$60,($R$2-1)*12+11)</f>
        <v>-26323.1435999967</v>
      </c>
      <c r="S17" s="36" t="n">
        <f aca="false">INDEX(Monthly!$C$60:$AL$60,($R$2-1)*12+12)</f>
        <v>-40481.3508386496</v>
      </c>
    </row>
    <row r="18" customFormat="false" ht="15" hidden="false" customHeight="false" outlineLevel="0" collapsed="false">
      <c r="A18" s="52" t="s">
        <v>82</v>
      </c>
      <c r="B18" s="36" t="n">
        <f aca="false">'P&amp;L'!B21</f>
        <v>0</v>
      </c>
      <c r="C18" s="36" t="n">
        <f aca="false">'P&amp;L'!C21</f>
        <v>0</v>
      </c>
      <c r="D18" s="36" t="n">
        <f aca="false">'P&amp;L'!D21</f>
        <v>0</v>
      </c>
      <c r="H18" s="36" t="n">
        <f aca="false">INDEX(Monthly!$C$63:$AL$63,($R$2-1)*12+1)</f>
        <v>-0</v>
      </c>
      <c r="I18" s="36" t="n">
        <f aca="false">INDEX(Monthly!$C$63:$AL$63,($R$2-1)*12+2)</f>
        <v>-0</v>
      </c>
      <c r="J18" s="36" t="n">
        <f aca="false">INDEX(Monthly!$C$63:$AL$63,($R$2-1)*12+3)</f>
        <v>-0</v>
      </c>
      <c r="K18" s="36" t="n">
        <f aca="false">INDEX(Monthly!$C$63:$AL$63,($R$2-1)*12+4)</f>
        <v>-0</v>
      </c>
      <c r="L18" s="36" t="n">
        <f aca="false">INDEX(Monthly!$C$63:$AL$63,($R$2-1)*12+5)</f>
        <v>-0</v>
      </c>
      <c r="M18" s="36" t="n">
        <f aca="false">INDEX(Monthly!$C$63:$AL$63,($R$2-1)*12+6)</f>
        <v>-0</v>
      </c>
      <c r="N18" s="36" t="n">
        <f aca="false">INDEX(Monthly!$C$63:$AL$63,($R$2-1)*12+7)</f>
        <v>-0</v>
      </c>
      <c r="O18" s="36" t="n">
        <f aca="false">INDEX(Monthly!$C$63:$AL$63,($R$2-1)*12+8)</f>
        <v>-0</v>
      </c>
      <c r="P18" s="36" t="n">
        <f aca="false">INDEX(Monthly!$C$63:$AL$63,($R$2-1)*12+9)</f>
        <v>-0</v>
      </c>
      <c r="Q18" s="36" t="n">
        <f aca="false">INDEX(Monthly!$C$63:$AL$63,($R$2-1)*12+10)</f>
        <v>-0</v>
      </c>
      <c r="R18" s="36" t="n">
        <f aca="false">INDEX(Monthly!$C$63:$AL$63,($R$2-1)*12+11)</f>
        <v>-0</v>
      </c>
      <c r="S18" s="36" t="n">
        <f aca="false">INDEX(Monthly!$C$63:$AL$63,($R$2-1)*12+12)</f>
        <v>-0</v>
      </c>
    </row>
    <row r="19" customFormat="false" ht="15" hidden="false" customHeight="false" outlineLevel="0" collapsed="false">
      <c r="A19" s="41" t="s">
        <v>50</v>
      </c>
      <c r="B19" s="42" t="n">
        <f aca="false">'P&amp;L'!B22</f>
        <v>-709232.332270295</v>
      </c>
      <c r="C19" s="42" t="n">
        <f aca="false">'P&amp;L'!C22</f>
        <v>-170283.791538263</v>
      </c>
      <c r="D19" s="42" t="n">
        <f aca="false">'P&amp;L'!D22</f>
        <v>64322.0783987556</v>
      </c>
      <c r="E19" s="41"/>
      <c r="F19" s="41"/>
      <c r="H19" s="42" t="n">
        <f aca="false">INDEX(Monthly!$C$64:$AL$64,($R$2-1)*12+1)</f>
        <v>-102437.476634789</v>
      </c>
      <c r="I19" s="42" t="n">
        <f aca="false">INDEX(Monthly!$C$64:$AL$64,($R$2-1)*12+2)</f>
        <v>-96802.8601263196</v>
      </c>
      <c r="J19" s="42" t="n">
        <f aca="false">INDEX(Monthly!$C$64:$AL$64,($R$2-1)*12+3)</f>
        <v>-81346.6973463849</v>
      </c>
      <c r="K19" s="42" t="n">
        <f aca="false">INDEX(Monthly!$C$64:$AL$64,($R$2-1)*12+4)</f>
        <v>-74175.9785983407</v>
      </c>
      <c r="L19" s="42" t="n">
        <f aca="false">INDEX(Monthly!$C$64:$AL$64,($R$2-1)*12+5)</f>
        <v>-66877.5392626404</v>
      </c>
      <c r="M19" s="42" t="n">
        <f aca="false">INDEX(Monthly!$C$64:$AL$64,($R$2-1)*12+6)</f>
        <v>-59456.4881627903</v>
      </c>
      <c r="N19" s="42" t="n">
        <f aca="false">INDEX(Monthly!$C$64:$AL$64,($R$2-1)*12+7)</f>
        <v>-51917.7297693565</v>
      </c>
      <c r="O19" s="42" t="n">
        <f aca="false">INDEX(Monthly!$C$64:$AL$64,($R$2-1)*12+8)</f>
        <v>-44265.9723740822</v>
      </c>
      <c r="P19" s="42" t="n">
        <f aca="false">INDEX(Monthly!$C$64:$AL$64,($R$2-1)*12+9)</f>
        <v>-36505.7359370411</v>
      </c>
      <c r="Q19" s="42" t="n">
        <f aca="false">INDEX(Monthly!$C$64:$AL$64,($R$2-1)*12+10)</f>
        <v>-28641.3596199039</v>
      </c>
      <c r="R19" s="42" t="n">
        <f aca="false">INDEX(Monthly!$C$64:$AL$64,($R$2-1)*12+11)</f>
        <v>-26323.1435999967</v>
      </c>
      <c r="S19" s="42" t="n">
        <f aca="false">INDEX(Monthly!$C$64:$AL$64,($R$2-1)*12+12)</f>
        <v>-40481.3508386496</v>
      </c>
    </row>
    <row r="20" customFormat="false" ht="15" hidden="false" customHeight="false" outlineLevel="0" collapsed="false">
      <c r="A20" s="39" t="s">
        <v>51</v>
      </c>
      <c r="B20" s="40" t="n">
        <f aca="false">'P&amp;L'!B23</f>
        <v>-0.600951460800047</v>
      </c>
      <c r="C20" s="40" t="n">
        <f aca="false">'P&amp;L'!C23</f>
        <v>-0.0942940025033336</v>
      </c>
      <c r="D20" s="40" t="n">
        <f aca="false">'P&amp;L'!D23</f>
        <v>0.0309199644358894</v>
      </c>
      <c r="H20" s="40" t="n">
        <f aca="false">IF(H7=0,0,H19/H7)</f>
        <v>-2.13663541537472</v>
      </c>
      <c r="I20" s="40" t="n">
        <f aca="false">IF(I7=0,0,I19/I7)</f>
        <v>-1.77786504956048</v>
      </c>
      <c r="J20" s="40" t="n">
        <f aca="false">IF(J7=0,0,J19/J7)</f>
        <v>-1.11780809107348</v>
      </c>
      <c r="K20" s="40" t="n">
        <f aca="false">IF(K7=0,0,K19/K7)</f>
        <v>-0.915166450894005</v>
      </c>
      <c r="L20" s="40" t="n">
        <f aca="false">IF(L7=0,0,L19/L7)</f>
        <v>-0.747316266332275</v>
      </c>
      <c r="M20" s="40" t="n">
        <f aca="false">IF(M7=0,0,M19/M7)</f>
        <v>-0.606190775780569</v>
      </c>
      <c r="N20" s="40" t="n">
        <f aca="false">IF(N7=0,0,N19/N7)</f>
        <v>-0.486023913935484</v>
      </c>
      <c r="O20" s="40" t="n">
        <f aca="false">IF(O7=0,0,O19/O7)</f>
        <v>-0.382586030060972</v>
      </c>
      <c r="P20" s="40" t="n">
        <f aca="false">IF(P7=0,0,P19/P7)</f>
        <v>-0.292705143366582</v>
      </c>
      <c r="Q20" s="40" t="n">
        <f aca="false">IF(Q7=0,0,Q19/Q7)</f>
        <v>-0.213956593698088</v>
      </c>
      <c r="R20" s="40" t="n">
        <f aca="false">IF(R7=0,0,R19/R7)</f>
        <v>-0.192779212319436</v>
      </c>
      <c r="S20" s="40" t="n">
        <f aca="false">IF(S7=0,0,S19/S7)</f>
        <v>-0.340925076026312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51" t="n">
        <f aca="false">INDEX(Monthly!$C$4:$AL$4,($R$2-1)*12+1)</f>
        <v>1</v>
      </c>
      <c r="I23" s="51" t="n">
        <f aca="false">INDEX(Monthly!$C$4:$AL$4,($R$2-1)*12+2)</f>
        <v>2</v>
      </c>
      <c r="J23" s="51" t="n">
        <f aca="false">INDEX(Monthly!$C$4:$AL$4,($R$2-1)*12+3)</f>
        <v>3</v>
      </c>
      <c r="K23" s="51" t="n">
        <f aca="false">INDEX(Monthly!$C$4:$AL$4,($R$2-1)*12+4)</f>
        <v>4</v>
      </c>
      <c r="L23" s="51" t="n">
        <f aca="false">INDEX(Monthly!$C$4:$AL$4,($R$2-1)*12+5)</f>
        <v>5</v>
      </c>
      <c r="M23" s="51" t="n">
        <f aca="false">INDEX(Monthly!$C$4:$AL$4,($R$2-1)*12+6)</f>
        <v>6</v>
      </c>
      <c r="N23" s="51" t="n">
        <f aca="false">INDEX(Monthly!$C$4:$AL$4,($R$2-1)*12+7)</f>
        <v>7</v>
      </c>
      <c r="O23" s="51" t="n">
        <f aca="false">INDEX(Monthly!$C$4:$AL$4,($R$2-1)*12+8)</f>
        <v>8</v>
      </c>
      <c r="P23" s="51" t="n">
        <f aca="false">INDEX(Monthly!$C$4:$AL$4,($R$2-1)*12+9)</f>
        <v>9</v>
      </c>
      <c r="Q23" s="51" t="n">
        <f aca="false">INDEX(Monthly!$C$4:$AL$4,($R$2-1)*12+10)</f>
        <v>10</v>
      </c>
      <c r="R23" s="51" t="n">
        <f aca="false">INDEX(Monthly!$C$4:$AL$4,($R$2-1)*12+11)</f>
        <v>11</v>
      </c>
      <c r="S23" s="51" t="n">
        <f aca="false">INDEX(Monthly!$C$4:$AL$4,($R$2-1)*12+12)</f>
        <v>12</v>
      </c>
    </row>
    <row r="24" customFormat="false" ht="15" hidden="false" customHeight="false" outlineLevel="0" collapsed="false">
      <c r="A24" s="37" t="s">
        <v>52</v>
      </c>
      <c r="B24" s="38" t="n">
        <f aca="false">'Cash Flow'!B10</f>
        <v>-369557.792453481</v>
      </c>
      <c r="C24" s="38" t="n">
        <f aca="false">'Cash Flow'!C10</f>
        <v>174478.453532665</v>
      </c>
      <c r="D24" s="38" t="n">
        <f aca="false">'Cash Flow'!D10</f>
        <v>412515.85538278</v>
      </c>
      <c r="E24" s="37"/>
      <c r="F24" s="37"/>
      <c r="H24" s="38" t="n">
        <f aca="false">INDEX(Monthly!$C$92:$AL$92,($R$2-1)*12+1)</f>
        <v>-74804.1630306</v>
      </c>
      <c r="I24" s="38" t="n">
        <f aca="false">INDEX(Monthly!$C$92:$AL$92,($R$2-1)*12+2)</f>
        <v>-68444.5087441057</v>
      </c>
      <c r="J24" s="38" t="n">
        <f aca="false">INDEX(Monthly!$C$92:$AL$92,($R$2-1)*12+3)</f>
        <v>-53080.977367098</v>
      </c>
      <c r="K24" s="38" t="n">
        <f aca="false">INDEX(Monthly!$C$92:$AL$92,($R$2-1)*12+4)</f>
        <v>-45827.3689705868</v>
      </c>
      <c r="L24" s="38" t="n">
        <f aca="false">INDEX(Monthly!$C$92:$AL$92,($R$2-1)*12+5)</f>
        <v>-38528.8683473374</v>
      </c>
      <c r="M24" s="38" t="n">
        <f aca="false">INDEX(Monthly!$C$92:$AL$92,($R$2-1)*12+6)</f>
        <v>-31107.7584114402</v>
      </c>
      <c r="N24" s="38" t="n">
        <f aca="false">INDEX(Monthly!$C$92:$AL$92,($R$2-1)*12+7)</f>
        <v>-23568.9435354011</v>
      </c>
      <c r="O24" s="38" t="n">
        <f aca="false">INDEX(Monthly!$C$92:$AL$92,($R$2-1)*12+8)</f>
        <v>-15917.1319168258</v>
      </c>
      <c r="P24" s="38" t="n">
        <f aca="false">INDEX(Monthly!$C$92:$AL$92,($R$2-1)*12+9)</f>
        <v>-8156.84342541571</v>
      </c>
      <c r="Q24" s="38" t="n">
        <f aca="false">INDEX(Monthly!$C$92:$AL$92,($R$2-1)*12+10)</f>
        <v>-292.417136084256</v>
      </c>
      <c r="R24" s="38" t="n">
        <f aca="false">INDEX(Monthly!$C$92:$AL$92,($R$2-1)*12+11)</f>
        <v>2150.10605857762</v>
      </c>
      <c r="S24" s="38" t="n">
        <f aca="false">INDEX(Monthly!$C$92:$AL$92,($R$2-1)*12+12)</f>
        <v>-11978.9176271636</v>
      </c>
    </row>
    <row r="25" customFormat="false" ht="15" hidden="false" customHeight="false" outlineLevel="0" collapsed="false">
      <c r="A25" s="52" t="s">
        <v>84</v>
      </c>
      <c r="B25" s="36" t="n">
        <f aca="false">'Cash Flow'!B11</f>
        <v>-4100000</v>
      </c>
      <c r="C25" s="36" t="n">
        <f aca="false">'Cash Flow'!C11</f>
        <v>-40000</v>
      </c>
      <c r="D25" s="36" t="n">
        <f aca="false">'Cash Flow'!D11</f>
        <v>-40000</v>
      </c>
      <c r="H25" s="36" t="n">
        <f aca="false">INDEX(Monthly!$C$93:$AL$93,($R$2-1)*12+1)</f>
        <v>-4100000</v>
      </c>
      <c r="I25" s="36" t="n">
        <f aca="false">INDEX(Monthly!$C$93:$AL$93,($R$2-1)*12+2)</f>
        <v>-0</v>
      </c>
      <c r="J25" s="36" t="n">
        <f aca="false">INDEX(Monthly!$C$93:$AL$93,($R$2-1)*12+3)</f>
        <v>-0</v>
      </c>
      <c r="K25" s="36" t="n">
        <f aca="false">INDEX(Monthly!$C$93:$AL$93,($R$2-1)*12+4)</f>
        <v>-0</v>
      </c>
      <c r="L25" s="36" t="n">
        <f aca="false">INDEX(Monthly!$C$93:$AL$93,($R$2-1)*12+5)</f>
        <v>-0</v>
      </c>
      <c r="M25" s="36" t="n">
        <f aca="false">INDEX(Monthly!$C$93:$AL$93,($R$2-1)*12+6)</f>
        <v>-0</v>
      </c>
      <c r="N25" s="36" t="n">
        <f aca="false">INDEX(Monthly!$C$93:$AL$93,($R$2-1)*12+7)</f>
        <v>-0</v>
      </c>
      <c r="O25" s="36" t="n">
        <f aca="false">INDEX(Monthly!$C$93:$AL$93,($R$2-1)*12+8)</f>
        <v>-0</v>
      </c>
      <c r="P25" s="36" t="n">
        <f aca="false">INDEX(Monthly!$C$93:$AL$93,($R$2-1)*12+9)</f>
        <v>-0</v>
      </c>
      <c r="Q25" s="36" t="n">
        <f aca="false">INDEX(Monthly!$C$93:$AL$93,($R$2-1)*12+10)</f>
        <v>-0</v>
      </c>
      <c r="R25" s="36" t="n">
        <f aca="false">INDEX(Monthly!$C$93:$AL$93,($R$2-1)*12+11)</f>
        <v>-0</v>
      </c>
      <c r="S25" s="36" t="n">
        <f aca="false">INDEX(Monthly!$C$93:$AL$93,($R$2-1)*12+12)</f>
        <v>-0</v>
      </c>
    </row>
    <row r="26" customFormat="false" ht="15" hidden="false" customHeight="false" outlineLevel="0" collapsed="false">
      <c r="A26" s="52" t="s">
        <v>64</v>
      </c>
      <c r="B26" s="36" t="n">
        <f aca="false">'Cash Flow'!B12</f>
        <v>2100000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INDEX(Monthly!$C$94:$AL$94,($R$2-1)*12+1)</f>
        <v>2100000</v>
      </c>
      <c r="I26" s="36" t="n">
        <f aca="false">INDEX(Monthly!$C$94:$AL$94,($R$2-1)*12+2)</f>
        <v>0</v>
      </c>
      <c r="J26" s="36" t="n">
        <f aca="false">INDEX(Monthly!$C$94:$AL$94,($R$2-1)*12+3)</f>
        <v>0</v>
      </c>
      <c r="K26" s="36" t="n">
        <f aca="false">INDEX(Monthly!$C$94:$AL$94,($R$2-1)*12+4)</f>
        <v>0</v>
      </c>
      <c r="L26" s="36" t="n">
        <f aca="false">INDEX(Monthly!$C$94:$AL$94,($R$2-1)*12+5)</f>
        <v>0</v>
      </c>
      <c r="M26" s="36" t="n">
        <f aca="false">INDEX(Monthly!$C$94:$AL$94,($R$2-1)*12+6)</f>
        <v>0</v>
      </c>
      <c r="N26" s="36" t="n">
        <f aca="false">INDEX(Monthly!$C$94:$AL$94,($R$2-1)*12+7)</f>
        <v>0</v>
      </c>
      <c r="O26" s="36" t="n">
        <f aca="false">INDEX(Monthly!$C$94:$AL$94,($R$2-1)*12+8)</f>
        <v>0</v>
      </c>
      <c r="P26" s="36" t="n">
        <f aca="false">INDEX(Monthly!$C$94:$AL$94,($R$2-1)*12+9)</f>
        <v>0</v>
      </c>
      <c r="Q26" s="36" t="n">
        <f aca="false">INDEX(Monthly!$C$94:$AL$94,($R$2-1)*12+10)</f>
        <v>0</v>
      </c>
      <c r="R26" s="36" t="n">
        <f aca="false">INDEX(Monthly!$C$94:$AL$94,($R$2-1)*12+11)</f>
        <v>0</v>
      </c>
      <c r="S26" s="36" t="n">
        <f aca="false">INDEX(Monthly!$C$94:$AL$94,($R$2-1)*12+12)</f>
        <v>0</v>
      </c>
    </row>
    <row r="27" customFormat="false" ht="15" hidden="false" customHeight="false" outlineLevel="0" collapsed="false">
      <c r="A27" s="52" t="s">
        <v>85</v>
      </c>
      <c r="B27" s="36" t="n">
        <f aca="false">'Cash Flow'!B13</f>
        <v>3000000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INDEX(Monthly!$C$79:$AL$79,($R$2-1)*12+1)</f>
        <v>3000000</v>
      </c>
      <c r="I27" s="36" t="n">
        <f aca="false">INDEX(Monthly!$C$79:$AL$79,($R$2-1)*12+2)</f>
        <v>0</v>
      </c>
      <c r="J27" s="36" t="n">
        <f aca="false">INDEX(Monthly!$C$79:$AL$79,($R$2-1)*12+3)</f>
        <v>0</v>
      </c>
      <c r="K27" s="36" t="n">
        <f aca="false">INDEX(Monthly!$C$79:$AL$79,($R$2-1)*12+4)</f>
        <v>0</v>
      </c>
      <c r="L27" s="36" t="n">
        <f aca="false">INDEX(Monthly!$C$79:$AL$79,($R$2-1)*12+5)</f>
        <v>0</v>
      </c>
      <c r="M27" s="36" t="n">
        <f aca="false">INDEX(Monthly!$C$79:$AL$79,($R$2-1)*12+6)</f>
        <v>0</v>
      </c>
      <c r="N27" s="36" t="n">
        <f aca="false">INDEX(Monthly!$C$79:$AL$79,($R$2-1)*12+7)</f>
        <v>0</v>
      </c>
      <c r="O27" s="36" t="n">
        <f aca="false">INDEX(Monthly!$C$79:$AL$79,($R$2-1)*12+8)</f>
        <v>0</v>
      </c>
      <c r="P27" s="36" t="n">
        <f aca="false">INDEX(Monthly!$C$79:$AL$79,($R$2-1)*12+9)</f>
        <v>0</v>
      </c>
      <c r="Q27" s="36" t="n">
        <f aca="false">INDEX(Monthly!$C$79:$AL$79,($R$2-1)*12+10)</f>
        <v>0</v>
      </c>
      <c r="R27" s="36" t="n">
        <f aca="false">INDEX(Monthly!$C$79:$AL$79,($R$2-1)*12+11)</f>
        <v>0</v>
      </c>
      <c r="S27" s="36" t="n">
        <f aca="false">INDEX(Monthly!$C$79:$AL$79,($R$2-1)*12+12)</f>
        <v>0</v>
      </c>
    </row>
    <row r="28" customFormat="false" ht="15" hidden="false" customHeight="false" outlineLevel="0" collapsed="false">
      <c r="A28" s="52" t="s">
        <v>86</v>
      </c>
      <c r="B28" s="36" t="n">
        <f aca="false">'Cash Flow'!B14</f>
        <v>-275000</v>
      </c>
      <c r="C28" s="36" t="n">
        <f aca="false">'Cash Flow'!C14</f>
        <v>-300000</v>
      </c>
      <c r="D28" s="36" t="n">
        <f aca="false">'Cash Flow'!D14</f>
        <v>-300000</v>
      </c>
      <c r="H28" s="36" t="n">
        <f aca="false">INDEX(Monthly!$C$80:$AL$80,($R$2-1)*12+1)</f>
        <v>-0</v>
      </c>
      <c r="I28" s="36" t="n">
        <f aca="false">INDEX(Monthly!$C$80:$AL$80,($R$2-1)*12+2)</f>
        <v>-25000</v>
      </c>
      <c r="J28" s="36" t="n">
        <f aca="false">INDEX(Monthly!$C$80:$AL$80,($R$2-1)*12+3)</f>
        <v>-25000</v>
      </c>
      <c r="K28" s="36" t="n">
        <f aca="false">INDEX(Monthly!$C$80:$AL$80,($R$2-1)*12+4)</f>
        <v>-25000</v>
      </c>
      <c r="L28" s="36" t="n">
        <f aca="false">INDEX(Monthly!$C$80:$AL$80,($R$2-1)*12+5)</f>
        <v>-25000</v>
      </c>
      <c r="M28" s="36" t="n">
        <f aca="false">INDEX(Monthly!$C$80:$AL$80,($R$2-1)*12+6)</f>
        <v>-25000</v>
      </c>
      <c r="N28" s="36" t="n">
        <f aca="false">INDEX(Monthly!$C$80:$AL$80,($R$2-1)*12+7)</f>
        <v>-25000</v>
      </c>
      <c r="O28" s="36" t="n">
        <f aca="false">INDEX(Monthly!$C$80:$AL$80,($R$2-1)*12+8)</f>
        <v>-25000</v>
      </c>
      <c r="P28" s="36" t="n">
        <f aca="false">INDEX(Monthly!$C$80:$AL$80,($R$2-1)*12+9)</f>
        <v>-25000</v>
      </c>
      <c r="Q28" s="36" t="n">
        <f aca="false">INDEX(Monthly!$C$80:$AL$80,($R$2-1)*12+10)</f>
        <v>-25000</v>
      </c>
      <c r="R28" s="36" t="n">
        <f aca="false">INDEX(Monthly!$C$80:$AL$80,($R$2-1)*12+11)</f>
        <v>-25000</v>
      </c>
      <c r="S28" s="36" t="n">
        <f aca="false">INDEX(Monthly!$C$80:$AL$80,($R$2-1)*12+12)</f>
        <v>-25000</v>
      </c>
    </row>
    <row r="29" customFormat="false" ht="15" hidden="false" customHeight="false" outlineLevel="0" collapsed="false">
      <c r="A29" s="37" t="s">
        <v>54</v>
      </c>
      <c r="B29" s="38" t="n">
        <f aca="false">'Cash Flow'!B15</f>
        <v>4825000</v>
      </c>
      <c r="C29" s="38" t="n">
        <f aca="false">'Cash Flow'!C15</f>
        <v>-300000</v>
      </c>
      <c r="D29" s="38" t="n">
        <f aca="false">'Cash Flow'!D15</f>
        <v>-300000</v>
      </c>
      <c r="E29" s="37"/>
      <c r="F29" s="37"/>
      <c r="H29" s="38" t="n">
        <f aca="false">INDEX(Monthly!$C$95:$AL$95,($R$2-1)*12+1)</f>
        <v>5100000</v>
      </c>
      <c r="I29" s="38" t="n">
        <f aca="false">INDEX(Monthly!$C$95:$AL$95,($R$2-1)*12+2)</f>
        <v>-25000</v>
      </c>
      <c r="J29" s="38" t="n">
        <f aca="false">INDEX(Monthly!$C$95:$AL$95,($R$2-1)*12+3)</f>
        <v>-25000</v>
      </c>
      <c r="K29" s="38" t="n">
        <f aca="false">INDEX(Monthly!$C$95:$AL$95,($R$2-1)*12+4)</f>
        <v>-25000</v>
      </c>
      <c r="L29" s="38" t="n">
        <f aca="false">INDEX(Monthly!$C$95:$AL$95,($R$2-1)*12+5)</f>
        <v>-25000</v>
      </c>
      <c r="M29" s="38" t="n">
        <f aca="false">INDEX(Monthly!$C$95:$AL$95,($R$2-1)*12+6)</f>
        <v>-25000</v>
      </c>
      <c r="N29" s="38" t="n">
        <f aca="false">INDEX(Monthly!$C$95:$AL$95,($R$2-1)*12+7)</f>
        <v>-25000</v>
      </c>
      <c r="O29" s="38" t="n">
        <f aca="false">INDEX(Monthly!$C$95:$AL$95,($R$2-1)*12+8)</f>
        <v>-25000</v>
      </c>
      <c r="P29" s="38" t="n">
        <f aca="false">INDEX(Monthly!$C$95:$AL$95,($R$2-1)*12+9)</f>
        <v>-25000</v>
      </c>
      <c r="Q29" s="38" t="n">
        <f aca="false">INDEX(Monthly!$C$95:$AL$95,($R$2-1)*12+10)</f>
        <v>-25000</v>
      </c>
      <c r="R29" s="38" t="n">
        <f aca="false">INDEX(Monthly!$C$95:$AL$95,($R$2-1)*12+11)</f>
        <v>-25000</v>
      </c>
      <c r="S29" s="38" t="n">
        <f aca="false">INDEX(Monthly!$C$95:$AL$95,($R$2-1)*12+12)</f>
        <v>-25000</v>
      </c>
    </row>
    <row r="30" customFormat="false" ht="15" hidden="false" customHeight="false" outlineLevel="0" collapsed="false">
      <c r="A30" s="37" t="s">
        <v>55</v>
      </c>
      <c r="B30" s="38" t="n">
        <f aca="false">'Cash Flow'!B16</f>
        <v>355442.207546519</v>
      </c>
      <c r="C30" s="38" t="n">
        <f aca="false">'Cash Flow'!C16</f>
        <v>-165521.546467335</v>
      </c>
      <c r="D30" s="38" t="n">
        <f aca="false">'Cash Flow'!D16</f>
        <v>72515.8553827797</v>
      </c>
      <c r="E30" s="37"/>
      <c r="F30" s="37"/>
      <c r="H30" s="38" t="n">
        <f aca="false">INDEX(Monthly!$C$96:$AL$96,($R$2-1)*12+1)</f>
        <v>925195.8369694</v>
      </c>
      <c r="I30" s="38" t="n">
        <f aca="false">INDEX(Monthly!$C$96:$AL$96,($R$2-1)*12+2)</f>
        <v>-93444.5087441057</v>
      </c>
      <c r="J30" s="38" t="n">
        <f aca="false">INDEX(Monthly!$C$96:$AL$96,($R$2-1)*12+3)</f>
        <v>-78080.977367098</v>
      </c>
      <c r="K30" s="38" t="n">
        <f aca="false">INDEX(Monthly!$C$96:$AL$96,($R$2-1)*12+4)</f>
        <v>-70827.3689705868</v>
      </c>
      <c r="L30" s="38" t="n">
        <f aca="false">INDEX(Monthly!$C$96:$AL$96,($R$2-1)*12+5)</f>
        <v>-63528.8683473374</v>
      </c>
      <c r="M30" s="38" t="n">
        <f aca="false">INDEX(Monthly!$C$96:$AL$96,($R$2-1)*12+6)</f>
        <v>-56107.7584114402</v>
      </c>
      <c r="N30" s="38" t="n">
        <f aca="false">INDEX(Monthly!$C$96:$AL$96,($R$2-1)*12+7)</f>
        <v>-48568.9435354011</v>
      </c>
      <c r="O30" s="38" t="n">
        <f aca="false">INDEX(Monthly!$C$96:$AL$96,($R$2-1)*12+8)</f>
        <v>-40917.1319168258</v>
      </c>
      <c r="P30" s="38" t="n">
        <f aca="false">INDEX(Monthly!$C$96:$AL$96,($R$2-1)*12+9)</f>
        <v>-33156.8434254157</v>
      </c>
      <c r="Q30" s="38" t="n">
        <f aca="false">INDEX(Monthly!$C$96:$AL$96,($R$2-1)*12+10)</f>
        <v>-25292.4171360843</v>
      </c>
      <c r="R30" s="38" t="n">
        <f aca="false">INDEX(Monthly!$C$96:$AL$96,($R$2-1)*12+11)</f>
        <v>-22849.8939414224</v>
      </c>
      <c r="S30" s="38" t="n">
        <f aca="false">INDEX(Monthly!$C$96:$AL$96,($R$2-1)*12+12)</f>
        <v>-36978.9176271636</v>
      </c>
    </row>
    <row r="31" customFormat="false" ht="15" hidden="false" customHeight="false" outlineLevel="0" collapsed="false">
      <c r="A31" s="41" t="s">
        <v>87</v>
      </c>
      <c r="B31" s="42" t="n">
        <f aca="false">'Cash Flow'!B18</f>
        <v>355442.207546519</v>
      </c>
      <c r="C31" s="42" t="n">
        <f aca="false">'Cash Flow'!C18</f>
        <v>189920.661079184</v>
      </c>
      <c r="D31" s="42" t="n">
        <f aca="false">'Cash Flow'!D18</f>
        <v>262436.516461964</v>
      </c>
      <c r="E31" s="41"/>
      <c r="F31" s="41"/>
      <c r="H31" s="42" t="n">
        <f aca="false">INDEX(Monthly!$C$98:$AL$98,($R$2-1)*12+1)</f>
        <v>925195.8369694</v>
      </c>
      <c r="I31" s="42" t="n">
        <f aca="false">INDEX(Monthly!$C$98:$AL$98,($R$2-1)*12+2)</f>
        <v>831751.328225294</v>
      </c>
      <c r="J31" s="42" t="n">
        <f aca="false">INDEX(Monthly!$C$98:$AL$98,($R$2-1)*12+3)</f>
        <v>753670.350858196</v>
      </c>
      <c r="K31" s="42" t="n">
        <f aca="false">INDEX(Monthly!$C$98:$AL$98,($R$2-1)*12+4)</f>
        <v>682842.981887609</v>
      </c>
      <c r="L31" s="42" t="n">
        <f aca="false">INDEX(Monthly!$C$98:$AL$98,($R$2-1)*12+5)</f>
        <v>619314.113540272</v>
      </c>
      <c r="M31" s="42" t="n">
        <f aca="false">INDEX(Monthly!$C$98:$AL$98,($R$2-1)*12+6)</f>
        <v>563206.355128832</v>
      </c>
      <c r="N31" s="42" t="n">
        <f aca="false">INDEX(Monthly!$C$98:$AL$98,($R$2-1)*12+7)</f>
        <v>514637.411593431</v>
      </c>
      <c r="O31" s="42" t="n">
        <f aca="false">INDEX(Monthly!$C$98:$AL$98,($R$2-1)*12+8)</f>
        <v>473720.279676605</v>
      </c>
      <c r="P31" s="42" t="n">
        <f aca="false">INDEX(Monthly!$C$98:$AL$98,($R$2-1)*12+9)</f>
        <v>440563.436251189</v>
      </c>
      <c r="Q31" s="42" t="n">
        <f aca="false">INDEX(Monthly!$C$98:$AL$98,($R$2-1)*12+10)</f>
        <v>415271.019115105</v>
      </c>
      <c r="R31" s="42" t="n">
        <f aca="false">INDEX(Monthly!$C$98:$AL$98,($R$2-1)*12+11)</f>
        <v>392421.125173683</v>
      </c>
      <c r="S31" s="42" t="n">
        <f aca="false">INDEX(Monthly!$C$98:$AL$98,($R$2-1)*12+12)</f>
        <v>355442.207546519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51" t="n">
        <f aca="false">INDEX(Monthly!$C$4:$AL$4,($R$2-1)*12+1)</f>
        <v>1</v>
      </c>
      <c r="I40" s="51" t="n">
        <f aca="false">INDEX(Monthly!$C$4:$AL$4,($R$2-1)*12+2)</f>
        <v>2</v>
      </c>
      <c r="J40" s="51" t="n">
        <f aca="false">INDEX(Monthly!$C$4:$AL$4,($R$2-1)*12+3)</f>
        <v>3</v>
      </c>
      <c r="K40" s="51" t="n">
        <f aca="false">INDEX(Monthly!$C$4:$AL$4,($R$2-1)*12+4)</f>
        <v>4</v>
      </c>
      <c r="L40" s="51" t="n">
        <f aca="false">INDEX(Monthly!$C$4:$AL$4,($R$2-1)*12+5)</f>
        <v>5</v>
      </c>
      <c r="M40" s="51" t="n">
        <f aca="false">INDEX(Monthly!$C$4:$AL$4,($R$2-1)*12+6)</f>
        <v>6</v>
      </c>
      <c r="N40" s="51" t="n">
        <f aca="false">INDEX(Monthly!$C$4:$AL$4,($R$2-1)*12+7)</f>
        <v>7</v>
      </c>
      <c r="O40" s="51" t="n">
        <f aca="false">INDEX(Monthly!$C$4:$AL$4,($R$2-1)*12+8)</f>
        <v>8</v>
      </c>
      <c r="P40" s="51" t="n">
        <f aca="false">INDEX(Monthly!$C$4:$AL$4,($R$2-1)*12+9)</f>
        <v>9</v>
      </c>
      <c r="Q40" s="51" t="n">
        <f aca="false">INDEX(Monthly!$C$4:$AL$4,($R$2-1)*12+10)</f>
        <v>10</v>
      </c>
      <c r="R40" s="51" t="n">
        <f aca="false">INDEX(Monthly!$C$4:$AL$4,($R$2-1)*12+11)</f>
        <v>11</v>
      </c>
      <c r="S40" s="51" t="n">
        <f aca="false">INDEX(Monthly!$C$4:$AL$4,($R$2-1)*12+12)</f>
        <v>12</v>
      </c>
    </row>
    <row r="41" customFormat="false" ht="15" hidden="false" customHeight="false" outlineLevel="0" collapsed="false">
      <c r="A41" s="52" t="s">
        <v>89</v>
      </c>
      <c r="B41" s="36" t="n">
        <f aca="false">'Balance Sheet'!B5</f>
        <v>355442.207546519</v>
      </c>
      <c r="C41" s="36" t="n">
        <f aca="false">'Balance Sheet'!C5</f>
        <v>189920.661079184</v>
      </c>
      <c r="D41" s="36" t="n">
        <f aca="false">'Balance Sheet'!D5</f>
        <v>262436.516461964</v>
      </c>
      <c r="H41" s="36" t="n">
        <f aca="false">INDEX(Monthly!$C$98:$AL$98,($R$2-1)*12+1)</f>
        <v>925195.8369694</v>
      </c>
      <c r="I41" s="36" t="n">
        <f aca="false">INDEX(Monthly!$C$98:$AL$98,($R$2-1)*12+2)</f>
        <v>831751.328225294</v>
      </c>
      <c r="J41" s="36" t="n">
        <f aca="false">INDEX(Monthly!$C$98:$AL$98,($R$2-1)*12+3)</f>
        <v>753670.350858196</v>
      </c>
      <c r="K41" s="36" t="n">
        <f aca="false">INDEX(Monthly!$C$98:$AL$98,($R$2-1)*12+4)</f>
        <v>682842.981887609</v>
      </c>
      <c r="L41" s="36" t="n">
        <f aca="false">INDEX(Monthly!$C$98:$AL$98,($R$2-1)*12+5)</f>
        <v>619314.113540272</v>
      </c>
      <c r="M41" s="36" t="n">
        <f aca="false">INDEX(Monthly!$C$98:$AL$98,($R$2-1)*12+6)</f>
        <v>563206.355128832</v>
      </c>
      <c r="N41" s="36" t="n">
        <f aca="false">INDEX(Monthly!$C$98:$AL$98,($R$2-1)*12+7)</f>
        <v>514637.411593431</v>
      </c>
      <c r="O41" s="36" t="n">
        <f aca="false">INDEX(Monthly!$C$98:$AL$98,($R$2-1)*12+8)</f>
        <v>473720.279676605</v>
      </c>
      <c r="P41" s="36" t="n">
        <f aca="false">INDEX(Monthly!$C$98:$AL$98,($R$2-1)*12+9)</f>
        <v>440563.436251189</v>
      </c>
      <c r="Q41" s="36" t="n">
        <f aca="false">INDEX(Monthly!$C$98:$AL$98,($R$2-1)*12+10)</f>
        <v>415271.019115105</v>
      </c>
      <c r="R41" s="36" t="n">
        <f aca="false">INDEX(Monthly!$C$98:$AL$98,($R$2-1)*12+11)</f>
        <v>392421.125173683</v>
      </c>
      <c r="S41" s="36" t="n">
        <f aca="false">INDEX(Monthly!$C$98:$AL$98,($R$2-1)*12+12)</f>
        <v>355442.207546519</v>
      </c>
    </row>
    <row r="42" customFormat="false" ht="15" hidden="false" customHeight="false" outlineLevel="0" collapsed="false">
      <c r="A42" s="52" t="s">
        <v>90</v>
      </c>
      <c r="B42" s="36" t="n">
        <f aca="false">'Balance Sheet'!B6</f>
        <v>7915.98187505677</v>
      </c>
      <c r="C42" s="36" t="n">
        <f aca="false">'Balance Sheet'!C6</f>
        <v>9704.5001468268</v>
      </c>
      <c r="D42" s="36" t="n">
        <f aca="false">'Balance Sheet'!D6</f>
        <v>10979.0083873678</v>
      </c>
      <c r="H42" s="36" t="n">
        <f aca="false">INDEX(Monthly!$C$84:$AL$84,($R$2-1)*12+1)</f>
        <v>3196.22386666667</v>
      </c>
      <c r="I42" s="36" t="n">
        <f aca="false">INDEX(Monthly!$C$84:$AL$84,($R$2-1)*12+2)</f>
        <v>3629.92906014815</v>
      </c>
      <c r="J42" s="36" t="n">
        <f aca="false">INDEX(Monthly!$C$84:$AL$84,($R$2-1)*12+3)</f>
        <v>4851.56011996444</v>
      </c>
      <c r="K42" s="36" t="n">
        <f aca="false">INDEX(Monthly!$C$84:$AL$84,($R$2-1)*12+4)</f>
        <v>5403.45992257327</v>
      </c>
      <c r="L42" s="36" t="n">
        <f aca="false">INDEX(Monthly!$C$84:$AL$84,($R$2-1)*12+5)</f>
        <v>5966.01842937405</v>
      </c>
      <c r="M42" s="36" t="n">
        <f aca="false">INDEX(Monthly!$C$84:$AL$84,($R$2-1)*12+6)</f>
        <v>6538.80929219909</v>
      </c>
      <c r="N42" s="36" t="n">
        <f aca="false">INDEX(Monthly!$C$84:$AL$84,($R$2-1)*12+7)</f>
        <v>7121.42321680742</v>
      </c>
      <c r="O42" s="36" t="n">
        <f aca="false">INDEX(Monthly!$C$84:$AL$84,($R$2-1)*12+8)</f>
        <v>7713.46728072771</v>
      </c>
      <c r="P42" s="36" t="n">
        <f aca="false">INDEX(Monthly!$C$84:$AL$84,($R$2-1)*12+9)</f>
        <v>8314.5642783875</v>
      </c>
      <c r="Q42" s="36" t="n">
        <f aca="false">INDEX(Monthly!$C$84:$AL$84,($R$2-1)*12+10)</f>
        <v>8924.35209243718</v>
      </c>
      <c r="R42" s="36" t="n">
        <f aca="false">INDEX(Monthly!$C$84:$AL$84,($R$2-1)*12+11)</f>
        <v>9103.03667540636</v>
      </c>
      <c r="S42" s="36" t="n">
        <f aca="false">INDEX(Monthly!$C$84:$AL$84,($R$2-1)*12+12)</f>
        <v>7915.98187505677</v>
      </c>
    </row>
    <row r="43" customFormat="false" ht="15" hidden="false" customHeight="false" outlineLevel="0" collapsed="false">
      <c r="A43" s="52" t="s">
        <v>91</v>
      </c>
      <c r="B43" s="36" t="n">
        <f aca="false">'Balance Sheet'!B7</f>
        <v>8885.78253780614</v>
      </c>
      <c r="C43" s="36" t="n">
        <f aca="false">'Balance Sheet'!C7</f>
        <v>11211.9275518532</v>
      </c>
      <c r="D43" s="36" t="n">
        <f aca="false">'Balance Sheet'!D7</f>
        <v>12914.3553887009</v>
      </c>
      <c r="H43" s="36" t="n">
        <f aca="false">INDEX(Monthly!$C$85:$AL$85,($R$2-1)*12+1)</f>
        <v>3535.97287295</v>
      </c>
      <c r="I43" s="36" t="n">
        <f aca="false">INDEX(Monthly!$C$85:$AL$85,($R$2-1)*12+2)</f>
        <v>4015.72440315978</v>
      </c>
      <c r="J43" s="36" t="n">
        <f aca="false">INDEX(Monthly!$C$85:$AL$85,($R$2-1)*12+3)</f>
        <v>5538.41762848136</v>
      </c>
      <c r="K43" s="36" t="n">
        <f aca="false">INDEX(Monthly!$C$85:$AL$85,($R$2-1)*12+4)</f>
        <v>6180.84844069211</v>
      </c>
      <c r="L43" s="36" t="n">
        <f aca="false">INDEX(Monthly!$C$85:$AL$85,($R$2-1)*12+5)</f>
        <v>6839.35924051442</v>
      </c>
      <c r="M43" s="36" t="n">
        <f aca="false">INDEX(Monthly!$C$85:$AL$85,($R$2-1)*12+6)</f>
        <v>7513.30682844384</v>
      </c>
      <c r="N43" s="36" t="n">
        <f aca="false">INDEX(Monthly!$C$85:$AL$85,($R$2-1)*12+7)</f>
        <v>8202.07373295609</v>
      </c>
      <c r="O43" s="36" t="n">
        <f aca="false">INDEX(Monthly!$C$85:$AL$85,($R$2-1)*12+8)</f>
        <v>8905.06718138785</v>
      </c>
      <c r="P43" s="36" t="n">
        <f aca="false">INDEX(Monthly!$C$85:$AL$85,($R$2-1)*12+9)</f>
        <v>9621.71811198233</v>
      </c>
      <c r="Q43" s="36" t="n">
        <f aca="false">INDEX(Monthly!$C$85:$AL$85,($R$2-1)*12+10)</f>
        <v>10351.480225453</v>
      </c>
      <c r="R43" s="36" t="n">
        <f aca="false">INDEX(Monthly!$C$85:$AL$85,($R$2-1)*12+11)</f>
        <v>10621.0482544349</v>
      </c>
      <c r="S43" s="36" t="n">
        <f aca="false">INDEX(Monthly!$C$85:$AL$85,($R$2-1)*12+12)</f>
        <v>8885.78253780614</v>
      </c>
    </row>
    <row r="44" customFormat="false" ht="15" hidden="false" customHeight="false" outlineLevel="0" collapsed="false">
      <c r="A44" s="52" t="s">
        <v>92</v>
      </c>
      <c r="B44" s="36" t="n">
        <f aca="false">'Balance Sheet'!B8</f>
        <v>3758333.33333333</v>
      </c>
      <c r="C44" s="36" t="n">
        <f aca="false">'Balance Sheet'!C8</f>
        <v>3453333.33333333</v>
      </c>
      <c r="D44" s="36" t="n">
        <f aca="false">'Balance Sheet'!D8</f>
        <v>3145000</v>
      </c>
      <c r="H44" s="36" t="n">
        <f aca="false">INDEX(Monthly!$C$75:$AL$75,($R$2-1)*12+1)</f>
        <v>4071527.77777778</v>
      </c>
      <c r="I44" s="36" t="n">
        <f aca="false">INDEX(Monthly!$C$75:$AL$75,($R$2-1)*12+2)</f>
        <v>4043055.55555556</v>
      </c>
      <c r="J44" s="36" t="n">
        <f aca="false">INDEX(Monthly!$C$75:$AL$75,($R$2-1)*12+3)</f>
        <v>4014583.33333333</v>
      </c>
      <c r="K44" s="36" t="n">
        <f aca="false">INDEX(Monthly!$C$75:$AL$75,($R$2-1)*12+4)</f>
        <v>3986111.11111111</v>
      </c>
      <c r="L44" s="36" t="n">
        <f aca="false">INDEX(Monthly!$C$75:$AL$75,($R$2-1)*12+5)</f>
        <v>3957638.88888889</v>
      </c>
      <c r="M44" s="36" t="n">
        <f aca="false">INDEX(Monthly!$C$75:$AL$75,($R$2-1)*12+6)</f>
        <v>3929166.66666667</v>
      </c>
      <c r="N44" s="36" t="n">
        <f aca="false">INDEX(Monthly!$C$75:$AL$75,($R$2-1)*12+7)</f>
        <v>3900694.44444444</v>
      </c>
      <c r="O44" s="36" t="n">
        <f aca="false">INDEX(Monthly!$C$75:$AL$75,($R$2-1)*12+8)</f>
        <v>3872222.22222222</v>
      </c>
      <c r="P44" s="36" t="n">
        <f aca="false">INDEX(Monthly!$C$75:$AL$75,($R$2-1)*12+9)</f>
        <v>3843750</v>
      </c>
      <c r="Q44" s="36" t="n">
        <f aca="false">INDEX(Monthly!$C$75:$AL$75,($R$2-1)*12+10)</f>
        <v>3815277.77777778</v>
      </c>
      <c r="R44" s="36" t="n">
        <f aca="false">INDEX(Monthly!$C$75:$AL$75,($R$2-1)*12+11)</f>
        <v>3786805.55555556</v>
      </c>
      <c r="S44" s="36" t="n">
        <f aca="false">INDEX(Monthly!$C$75:$AL$75,($R$2-1)*12+12)</f>
        <v>3758333.33333333</v>
      </c>
    </row>
    <row r="45" customFormat="false" ht="15" hidden="false" customHeight="false" outlineLevel="0" collapsed="false">
      <c r="A45" s="37" t="s">
        <v>93</v>
      </c>
      <c r="B45" s="38" t="n">
        <f aca="false">'Balance Sheet'!B9</f>
        <v>4130577.30529272</v>
      </c>
      <c r="C45" s="38" t="n">
        <f aca="false">'Balance Sheet'!C9</f>
        <v>3664170.4221112</v>
      </c>
      <c r="D45" s="38" t="n">
        <f aca="false">'Balance Sheet'!D9</f>
        <v>3431329.88023803</v>
      </c>
      <c r="E45" s="37"/>
      <c r="F45" s="37"/>
      <c r="H45" s="38" t="n">
        <f aca="false">INDEX(Monthly!$C$112:$AL$112,($R$2-1)*12+1)</f>
        <v>5003455.8114868</v>
      </c>
      <c r="I45" s="38" t="n">
        <f aca="false">INDEX(Monthly!$C$112:$AL$112,($R$2-1)*12+2)</f>
        <v>4882452.53724416</v>
      </c>
      <c r="J45" s="38" t="n">
        <f aca="false">INDEX(Monthly!$C$112:$AL$112,($R$2-1)*12+3)</f>
        <v>4778643.66193998</v>
      </c>
      <c r="K45" s="38" t="n">
        <f aca="false">INDEX(Monthly!$C$112:$AL$112,($R$2-1)*12+4)</f>
        <v>4680538.40136199</v>
      </c>
      <c r="L45" s="38" t="n">
        <f aca="false">INDEX(Monthly!$C$112:$AL$112,($R$2-1)*12+5)</f>
        <v>4589758.38009905</v>
      </c>
      <c r="M45" s="38" t="n">
        <f aca="false">INDEX(Monthly!$C$112:$AL$112,($R$2-1)*12+6)</f>
        <v>4506425.13791614</v>
      </c>
      <c r="N45" s="38" t="n">
        <f aca="false">INDEX(Monthly!$C$112:$AL$112,($R$2-1)*12+7)</f>
        <v>4430655.35298764</v>
      </c>
      <c r="O45" s="38" t="n">
        <f aca="false">INDEX(Monthly!$C$112:$AL$112,($R$2-1)*12+8)</f>
        <v>4362561.03636094</v>
      </c>
      <c r="P45" s="38" t="n">
        <f aca="false">INDEX(Monthly!$C$112:$AL$112,($R$2-1)*12+9)</f>
        <v>4302249.71864156</v>
      </c>
      <c r="Q45" s="38" t="n">
        <f aca="false">INDEX(Monthly!$C$112:$AL$112,($R$2-1)*12+10)</f>
        <v>4249824.62921077</v>
      </c>
      <c r="R45" s="38" t="n">
        <f aca="false">INDEX(Monthly!$C$112:$AL$112,($R$2-1)*12+11)</f>
        <v>4198950.76565908</v>
      </c>
      <c r="S45" s="38" t="n">
        <f aca="false">INDEX(Monthly!$C$112:$AL$112,($R$2-1)*12+12)</f>
        <v>4130577.30529272</v>
      </c>
    </row>
    <row r="46" customFormat="false" ht="15" hidden="false" customHeight="false" outlineLevel="0" collapsed="false">
      <c r="A46" s="52" t="s">
        <v>94</v>
      </c>
      <c r="B46" s="36" t="n">
        <f aca="false">'Balance Sheet'!B10</f>
        <v>14809.6375630102</v>
      </c>
      <c r="C46" s="36" t="n">
        <f aca="false">'Balance Sheet'!C10</f>
        <v>18686.5459197554</v>
      </c>
      <c r="D46" s="36" t="n">
        <f aca="false">'Balance Sheet'!D10</f>
        <v>21523.9256478349</v>
      </c>
      <c r="H46" s="36" t="n">
        <f aca="false">INDEX(Monthly!$C$86:$AL$86,($R$2-1)*12+1)</f>
        <v>5893.28812158333</v>
      </c>
      <c r="I46" s="36" t="n">
        <f aca="false">INDEX(Monthly!$C$86:$AL$86,($R$2-1)*12+2)</f>
        <v>6692.8740052663</v>
      </c>
      <c r="J46" s="36" t="n">
        <f aca="false">INDEX(Monthly!$C$86:$AL$86,($R$2-1)*12+3)</f>
        <v>9230.69604746893</v>
      </c>
      <c r="K46" s="36" t="n">
        <f aca="false">INDEX(Monthly!$C$86:$AL$86,($R$2-1)*12+4)</f>
        <v>10301.4140678202</v>
      </c>
      <c r="L46" s="36" t="n">
        <f aca="false">INDEX(Monthly!$C$86:$AL$86,($R$2-1)*12+5)</f>
        <v>11398.932067524</v>
      </c>
      <c r="M46" s="36" t="n">
        <f aca="false">INDEX(Monthly!$C$86:$AL$86,($R$2-1)*12+6)</f>
        <v>12522.1780474064</v>
      </c>
      <c r="N46" s="36" t="n">
        <f aca="false">INDEX(Monthly!$C$86:$AL$86,($R$2-1)*12+7)</f>
        <v>13670.1228882601</v>
      </c>
      <c r="O46" s="36" t="n">
        <f aca="false">INDEX(Monthly!$C$86:$AL$86,($R$2-1)*12+8)</f>
        <v>14841.7786356464</v>
      </c>
      <c r="P46" s="36" t="n">
        <f aca="false">INDEX(Monthly!$C$86:$AL$86,($R$2-1)*12+9)</f>
        <v>16036.1968533039</v>
      </c>
      <c r="Q46" s="36" t="n">
        <f aca="false">INDEX(Monthly!$C$86:$AL$86,($R$2-1)*12+10)</f>
        <v>17252.4670424217</v>
      </c>
      <c r="R46" s="36" t="n">
        <f aca="false">INDEX(Monthly!$C$86:$AL$86,($R$2-1)*12+11)</f>
        <v>17701.7470907249</v>
      </c>
      <c r="S46" s="36" t="n">
        <f aca="false">INDEX(Monthly!$C$86:$AL$86,($R$2-1)*12+12)</f>
        <v>14809.6375630102</v>
      </c>
    </row>
    <row r="47" customFormat="false" ht="15" hidden="false" customHeight="false" outlineLevel="0" collapsed="false">
      <c r="A47" s="52" t="s">
        <v>95</v>
      </c>
      <c r="B47" s="36" t="n">
        <f aca="false">'Balance Sheet'!B11</f>
        <v>2725000</v>
      </c>
      <c r="C47" s="36" t="n">
        <f aca="false">'Balance Sheet'!C11</f>
        <v>2425000</v>
      </c>
      <c r="D47" s="36" t="n">
        <f aca="false">'Balance Sheet'!D11</f>
        <v>2125000</v>
      </c>
      <c r="H47" s="36" t="n">
        <f aca="false">INDEX(Monthly!$C$81:$AL$81,($R$2-1)*12+1)</f>
        <v>3000000</v>
      </c>
      <c r="I47" s="36" t="n">
        <f aca="false">INDEX(Monthly!$C$81:$AL$81,($R$2-1)*12+2)</f>
        <v>2975000</v>
      </c>
      <c r="J47" s="36" t="n">
        <f aca="false">INDEX(Monthly!$C$81:$AL$81,($R$2-1)*12+3)</f>
        <v>2950000</v>
      </c>
      <c r="K47" s="36" t="n">
        <f aca="false">INDEX(Monthly!$C$81:$AL$81,($R$2-1)*12+4)</f>
        <v>2925000</v>
      </c>
      <c r="L47" s="36" t="n">
        <f aca="false">INDEX(Monthly!$C$81:$AL$81,($R$2-1)*12+5)</f>
        <v>2900000</v>
      </c>
      <c r="M47" s="36" t="n">
        <f aca="false">INDEX(Monthly!$C$81:$AL$81,($R$2-1)*12+6)</f>
        <v>2875000</v>
      </c>
      <c r="N47" s="36" t="n">
        <f aca="false">INDEX(Monthly!$C$81:$AL$81,($R$2-1)*12+7)</f>
        <v>2850000</v>
      </c>
      <c r="O47" s="36" t="n">
        <f aca="false">INDEX(Monthly!$C$81:$AL$81,($R$2-1)*12+8)</f>
        <v>2825000</v>
      </c>
      <c r="P47" s="36" t="n">
        <f aca="false">INDEX(Monthly!$C$81:$AL$81,($R$2-1)*12+9)</f>
        <v>2800000</v>
      </c>
      <c r="Q47" s="36" t="n">
        <f aca="false">INDEX(Monthly!$C$81:$AL$81,($R$2-1)*12+10)</f>
        <v>2775000</v>
      </c>
      <c r="R47" s="36" t="n">
        <f aca="false">INDEX(Monthly!$C$81:$AL$81,($R$2-1)*12+11)</f>
        <v>2750000</v>
      </c>
      <c r="S47" s="36" t="n">
        <f aca="false">INDEX(Monthly!$C$81:$AL$81,($R$2-1)*12+12)</f>
        <v>2725000</v>
      </c>
    </row>
    <row r="48" customFormat="false" ht="15" hidden="false" customHeight="false" outlineLevel="0" collapsed="false">
      <c r="A48" s="37" t="s">
        <v>96</v>
      </c>
      <c r="B48" s="38" t="n">
        <f aca="false">'Balance Sheet'!B12</f>
        <v>2739809.63756301</v>
      </c>
      <c r="C48" s="38" t="n">
        <f aca="false">'Balance Sheet'!C12</f>
        <v>2443686.54591976</v>
      </c>
      <c r="D48" s="38" t="n">
        <f aca="false">'Balance Sheet'!D12</f>
        <v>2146523.92564784</v>
      </c>
      <c r="E48" s="37"/>
      <c r="F48" s="37"/>
      <c r="H48" s="38" t="n">
        <f aca="false">INDEX(Monthly!$C$113:$AL$113,($R$2-1)*12+1)</f>
        <v>3005893.28812158</v>
      </c>
      <c r="I48" s="38" t="n">
        <f aca="false">INDEX(Monthly!$C$113:$AL$113,($R$2-1)*12+2)</f>
        <v>2981692.87400527</v>
      </c>
      <c r="J48" s="38" t="n">
        <f aca="false">INDEX(Monthly!$C$113:$AL$113,($R$2-1)*12+3)</f>
        <v>2959230.69604747</v>
      </c>
      <c r="K48" s="38" t="n">
        <f aca="false">INDEX(Monthly!$C$113:$AL$113,($R$2-1)*12+4)</f>
        <v>2935301.41406782</v>
      </c>
      <c r="L48" s="38" t="n">
        <f aca="false">INDEX(Monthly!$C$113:$AL$113,($R$2-1)*12+5)</f>
        <v>2911398.93206752</v>
      </c>
      <c r="M48" s="38" t="n">
        <f aca="false">INDEX(Monthly!$C$113:$AL$113,($R$2-1)*12+6)</f>
        <v>2887522.17804741</v>
      </c>
      <c r="N48" s="38" t="n">
        <f aca="false">INDEX(Monthly!$C$113:$AL$113,($R$2-1)*12+7)</f>
        <v>2863670.12288826</v>
      </c>
      <c r="O48" s="38" t="n">
        <f aca="false">INDEX(Monthly!$C$113:$AL$113,($R$2-1)*12+8)</f>
        <v>2839841.77863565</v>
      </c>
      <c r="P48" s="38" t="n">
        <f aca="false">INDEX(Monthly!$C$113:$AL$113,($R$2-1)*12+9)</f>
        <v>2816036.1968533</v>
      </c>
      <c r="Q48" s="38" t="n">
        <f aca="false">INDEX(Monthly!$C$113:$AL$113,($R$2-1)*12+10)</f>
        <v>2792252.46704242</v>
      </c>
      <c r="R48" s="38" t="n">
        <f aca="false">INDEX(Monthly!$C$113:$AL$113,($R$2-1)*12+11)</f>
        <v>2767701.74709072</v>
      </c>
      <c r="S48" s="38" t="n">
        <f aca="false">INDEX(Monthly!$C$113:$AL$113,($R$2-1)*12+12)</f>
        <v>2739809.63756301</v>
      </c>
    </row>
    <row r="49" customFormat="false" ht="15" hidden="false" customHeight="false" outlineLevel="0" collapsed="false">
      <c r="A49" s="52" t="s">
        <v>97</v>
      </c>
      <c r="B49" s="36" t="n">
        <f aca="false">'Balance Sheet'!B13</f>
        <v>2100000</v>
      </c>
      <c r="C49" s="36" t="n">
        <f aca="false">'Balance Sheet'!C13</f>
        <v>2100000</v>
      </c>
      <c r="D49" s="36" t="n">
        <f aca="false">'Balance Sheet'!D13</f>
        <v>2100000</v>
      </c>
      <c r="H49" s="36" t="n">
        <f aca="false">INDEX(Monthly!$C$110:$AL$110,($R$2-1)*12+1)</f>
        <v>2100000</v>
      </c>
      <c r="I49" s="36" t="n">
        <f aca="false">INDEX(Monthly!$C$110:$AL$110,($R$2-1)*12+2)</f>
        <v>2100000</v>
      </c>
      <c r="J49" s="36" t="n">
        <f aca="false">INDEX(Monthly!$C$110:$AL$110,($R$2-1)*12+3)</f>
        <v>2100000</v>
      </c>
      <c r="K49" s="36" t="n">
        <f aca="false">INDEX(Monthly!$C$110:$AL$110,($R$2-1)*12+4)</f>
        <v>2100000</v>
      </c>
      <c r="L49" s="36" t="n">
        <f aca="false">INDEX(Monthly!$C$110:$AL$110,($R$2-1)*12+5)</f>
        <v>2100000</v>
      </c>
      <c r="M49" s="36" t="n">
        <f aca="false">INDEX(Monthly!$C$110:$AL$110,($R$2-1)*12+6)</f>
        <v>2100000</v>
      </c>
      <c r="N49" s="36" t="n">
        <f aca="false">INDEX(Monthly!$C$110:$AL$110,($R$2-1)*12+7)</f>
        <v>2100000</v>
      </c>
      <c r="O49" s="36" t="n">
        <f aca="false">INDEX(Monthly!$C$110:$AL$110,($R$2-1)*12+8)</f>
        <v>2100000</v>
      </c>
      <c r="P49" s="36" t="n">
        <f aca="false">INDEX(Monthly!$C$110:$AL$110,($R$2-1)*12+9)</f>
        <v>2100000</v>
      </c>
      <c r="Q49" s="36" t="n">
        <f aca="false">INDEX(Monthly!$C$110:$AL$110,($R$2-1)*12+10)</f>
        <v>2100000</v>
      </c>
      <c r="R49" s="36" t="n">
        <f aca="false">INDEX(Monthly!$C$110:$AL$110,($R$2-1)*12+11)</f>
        <v>2100000</v>
      </c>
      <c r="S49" s="36" t="n">
        <f aca="false">INDEX(Monthly!$C$110:$AL$110,($R$2-1)*12+12)</f>
        <v>2100000</v>
      </c>
    </row>
    <row r="50" customFormat="false" ht="15" hidden="false" customHeight="false" outlineLevel="0" collapsed="false">
      <c r="A50" s="52" t="s">
        <v>98</v>
      </c>
      <c r="B50" s="36" t="n">
        <f aca="false">'Balance Sheet'!B14</f>
        <v>-709232.332270295</v>
      </c>
      <c r="C50" s="36" t="n">
        <f aca="false">'Balance Sheet'!C14</f>
        <v>-879516.123808558</v>
      </c>
      <c r="D50" s="36" t="n">
        <f aca="false">'Balance Sheet'!D14</f>
        <v>-815194.045409802</v>
      </c>
      <c r="H50" s="36" t="n">
        <f aca="false">INDEX(Monthly!$C$111:$AL$111,($R$2-1)*12+1)</f>
        <v>-102437.476634789</v>
      </c>
      <c r="I50" s="36" t="n">
        <f aca="false">INDEX(Monthly!$C$111:$AL$111,($R$2-1)*12+2)</f>
        <v>-199240.336761108</v>
      </c>
      <c r="J50" s="36" t="n">
        <f aca="false">INDEX(Monthly!$C$111:$AL$111,($R$2-1)*12+3)</f>
        <v>-280587.034107493</v>
      </c>
      <c r="K50" s="36" t="n">
        <f aca="false">INDEX(Monthly!$C$111:$AL$111,($R$2-1)*12+4)</f>
        <v>-354763.012705834</v>
      </c>
      <c r="L50" s="36" t="n">
        <f aca="false">INDEX(Monthly!$C$111:$AL$111,($R$2-1)*12+5)</f>
        <v>-421640.551968474</v>
      </c>
      <c r="M50" s="36" t="n">
        <f aca="false">INDEX(Monthly!$C$111:$AL$111,($R$2-1)*12+6)</f>
        <v>-481097.040131265</v>
      </c>
      <c r="N50" s="36" t="n">
        <f aca="false">INDEX(Monthly!$C$111:$AL$111,($R$2-1)*12+7)</f>
        <v>-533014.769900621</v>
      </c>
      <c r="O50" s="36" t="n">
        <f aca="false">INDEX(Monthly!$C$111:$AL$111,($R$2-1)*12+8)</f>
        <v>-577280.742274703</v>
      </c>
      <c r="P50" s="36" t="n">
        <f aca="false">INDEX(Monthly!$C$111:$AL$111,($R$2-1)*12+9)</f>
        <v>-613786.478211745</v>
      </c>
      <c r="Q50" s="36" t="n">
        <f aca="false">INDEX(Monthly!$C$111:$AL$111,($R$2-1)*12+10)</f>
        <v>-642427.837831648</v>
      </c>
      <c r="R50" s="36" t="n">
        <f aca="false">INDEX(Monthly!$C$111:$AL$111,($R$2-1)*12+11)</f>
        <v>-668750.981431645</v>
      </c>
      <c r="S50" s="36" t="n">
        <f aca="false">INDEX(Monthly!$C$111:$AL$111,($R$2-1)*12+12)</f>
        <v>-709232.332270295</v>
      </c>
    </row>
    <row r="51" customFormat="false" ht="15" hidden="false" customHeight="false" outlineLevel="0" collapsed="false">
      <c r="A51" s="37" t="s">
        <v>99</v>
      </c>
      <c r="B51" s="38" t="n">
        <f aca="false">'Balance Sheet'!B15</f>
        <v>1390767.66772971</v>
      </c>
      <c r="C51" s="38" t="n">
        <f aca="false">'Balance Sheet'!C15</f>
        <v>1220483.87619144</v>
      </c>
      <c r="D51" s="38" t="n">
        <f aca="false">'Balance Sheet'!D15</f>
        <v>1284805.9545902</v>
      </c>
      <c r="E51" s="37"/>
      <c r="F51" s="37"/>
      <c r="H51" s="38" t="n">
        <f aca="false">INDEX(Monthly!$C$114:$AL$114,($R$2-1)*12+1)</f>
        <v>1997562.52336521</v>
      </c>
      <c r="I51" s="38" t="n">
        <f aca="false">INDEX(Monthly!$C$114:$AL$114,($R$2-1)*12+2)</f>
        <v>1900759.66323889</v>
      </c>
      <c r="J51" s="38" t="n">
        <f aca="false">INDEX(Monthly!$C$114:$AL$114,($R$2-1)*12+3)</f>
        <v>1819412.96589251</v>
      </c>
      <c r="K51" s="38" t="n">
        <f aca="false">INDEX(Monthly!$C$114:$AL$114,($R$2-1)*12+4)</f>
        <v>1745236.98729417</v>
      </c>
      <c r="L51" s="38" t="n">
        <f aca="false">INDEX(Monthly!$C$114:$AL$114,($R$2-1)*12+5)</f>
        <v>1678359.44803153</v>
      </c>
      <c r="M51" s="38" t="n">
        <f aca="false">INDEX(Monthly!$C$114:$AL$114,($R$2-1)*12+6)</f>
        <v>1618902.95986874</v>
      </c>
      <c r="N51" s="38" t="n">
        <f aca="false">INDEX(Monthly!$C$114:$AL$114,($R$2-1)*12+7)</f>
        <v>1566985.23009938</v>
      </c>
      <c r="O51" s="38" t="n">
        <f aca="false">INDEX(Monthly!$C$114:$AL$114,($R$2-1)*12+8)</f>
        <v>1522719.2577253</v>
      </c>
      <c r="P51" s="38" t="n">
        <f aca="false">INDEX(Monthly!$C$114:$AL$114,($R$2-1)*12+9)</f>
        <v>1486213.52178826</v>
      </c>
      <c r="Q51" s="38" t="n">
        <f aca="false">INDEX(Monthly!$C$114:$AL$114,($R$2-1)*12+10)</f>
        <v>1457572.16216835</v>
      </c>
      <c r="R51" s="38" t="n">
        <f aca="false">INDEX(Monthly!$C$114:$AL$114,($R$2-1)*12+11)</f>
        <v>1431249.01856836</v>
      </c>
      <c r="S51" s="38" t="n">
        <f aca="false">INDEX(Monthly!$C$114:$AL$114,($R$2-1)*12+12)</f>
        <v>1390767.66772971</v>
      </c>
    </row>
    <row r="52" customFormat="false" ht="15" hidden="false" customHeight="false" outlineLevel="0" collapsed="false">
      <c r="A52" s="41" t="s">
        <v>100</v>
      </c>
      <c r="B52" s="42" t="n">
        <f aca="false">'Balance Sheet'!B16</f>
        <v>4130577.30529272</v>
      </c>
      <c r="C52" s="42" t="n">
        <f aca="false">'Balance Sheet'!C16</f>
        <v>3664170.4221112</v>
      </c>
      <c r="D52" s="42" t="n">
        <f aca="false">'Balance Sheet'!D16</f>
        <v>3431329.88023803</v>
      </c>
      <c r="E52" s="41"/>
      <c r="F52" s="41"/>
      <c r="H52" s="42" t="n">
        <f aca="false">INDEX(Monthly!$C$115:$AL$115,($R$2-1)*12+1)</f>
        <v>5003455.8114868</v>
      </c>
      <c r="I52" s="42" t="n">
        <f aca="false">INDEX(Monthly!$C$115:$AL$115,($R$2-1)*12+2)</f>
        <v>4882452.53724416</v>
      </c>
      <c r="J52" s="42" t="n">
        <f aca="false">INDEX(Monthly!$C$115:$AL$115,($R$2-1)*12+3)</f>
        <v>4778643.66193998</v>
      </c>
      <c r="K52" s="42" t="n">
        <f aca="false">INDEX(Monthly!$C$115:$AL$115,($R$2-1)*12+4)</f>
        <v>4680538.40136199</v>
      </c>
      <c r="L52" s="42" t="n">
        <f aca="false">INDEX(Monthly!$C$115:$AL$115,($R$2-1)*12+5)</f>
        <v>4589758.38009905</v>
      </c>
      <c r="M52" s="42" t="n">
        <f aca="false">INDEX(Monthly!$C$115:$AL$115,($R$2-1)*12+6)</f>
        <v>4506425.13791614</v>
      </c>
      <c r="N52" s="42" t="n">
        <f aca="false">INDEX(Monthly!$C$115:$AL$115,($R$2-1)*12+7)</f>
        <v>4430655.35298764</v>
      </c>
      <c r="O52" s="42" t="n">
        <f aca="false">INDEX(Monthly!$C$115:$AL$115,($R$2-1)*12+8)</f>
        <v>4362561.03636094</v>
      </c>
      <c r="P52" s="42" t="n">
        <f aca="false">INDEX(Monthly!$C$115:$AL$115,($R$2-1)*12+9)</f>
        <v>4302249.71864156</v>
      </c>
      <c r="Q52" s="42" t="n">
        <f aca="false">INDEX(Monthly!$C$115:$AL$115,($R$2-1)*12+10)</f>
        <v>4249824.62921077</v>
      </c>
      <c r="R52" s="42" t="n">
        <f aca="false">INDEX(Monthly!$C$115:$AL$115,($R$2-1)*12+11)</f>
        <v>4198950.76565908</v>
      </c>
      <c r="S52" s="42" t="n">
        <f aca="false">INDEX(Monthly!$C$115:$AL$115,($R$2-1)*12+12)</f>
        <v>4130577.30529272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</row>
    <row r="6" customFormat="false" ht="15" hidden="false" customHeight="false" outlineLevel="0" collapsed="false">
      <c r="A6" s="33" t="s">
        <v>104</v>
      </c>
      <c r="B6" s="35" t="s">
        <v>105</v>
      </c>
      <c r="C6" s="35" t="s">
        <v>106</v>
      </c>
      <c r="D6" s="35" t="s">
        <v>107</v>
      </c>
      <c r="E6" s="35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200</v>
      </c>
      <c r="C7" s="53" t="n">
        <f aca="false">Inputs!$C$7</f>
        <v>240</v>
      </c>
      <c r="D7" s="53" t="n">
        <f aca="false">Inputs!$D$7</f>
        <v>280</v>
      </c>
      <c r="E7" s="54" t="n">
        <f aca="false">Inputs!$E$7</f>
        <v>240</v>
      </c>
    </row>
    <row r="8" customFormat="false" ht="15" hidden="false" customHeight="false" outlineLevel="0" collapsed="false">
      <c r="A8" s="6" t="s">
        <v>110</v>
      </c>
      <c r="B8" s="55" t="n">
        <f aca="false">Inputs!$B$27</f>
        <v>12</v>
      </c>
      <c r="C8" s="55" t="n">
        <f aca="false">Inputs!$C$27</f>
        <v>13</v>
      </c>
      <c r="D8" s="55" t="n">
        <f aca="false">Inputs!$D$27</f>
        <v>14</v>
      </c>
      <c r="E8" s="56" t="n">
        <f aca="false">Inputs!$E$27</f>
        <v>13</v>
      </c>
    </row>
    <row r="9" customFormat="false" ht="15" hidden="false" customHeight="false" outlineLevel="0" collapsed="false">
      <c r="A9" s="6" t="s">
        <v>111</v>
      </c>
      <c r="B9" s="57" t="n">
        <f aca="false">Inputs!$B$19</f>
        <v>150</v>
      </c>
      <c r="C9" s="57" t="n">
        <f aca="false">Inputs!$C$19</f>
        <v>250</v>
      </c>
      <c r="D9" s="57" t="n">
        <f aca="false">Inputs!$D$19</f>
        <v>350</v>
      </c>
      <c r="E9" s="58" t="n">
        <f aca="false">Inputs!$E$19</f>
        <v>250</v>
      </c>
    </row>
    <row r="10" customFormat="false" ht="15" hidden="false" customHeight="false" outlineLevel="0" collapsed="false">
      <c r="A10" s="6" t="s">
        <v>112</v>
      </c>
      <c r="B10" s="55" t="n">
        <f aca="false">Inputs!$B$29</f>
        <v>32</v>
      </c>
      <c r="C10" s="55" t="n">
        <f aca="false">Inputs!$C$29</f>
        <v>35</v>
      </c>
      <c r="D10" s="55" t="n">
        <f aca="false">Inputs!$D$29</f>
        <v>38</v>
      </c>
      <c r="E10" s="56" t="n">
        <f aca="false">Inputs!$E$29</f>
        <v>35</v>
      </c>
    </row>
    <row r="11" customFormat="false" ht="15" hidden="false" customHeight="false" outlineLevel="0" collapsed="false">
      <c r="A11" s="6" t="s">
        <v>113</v>
      </c>
      <c r="B11" s="59" t="n">
        <f aca="false">Inputs!$B$23</f>
        <v>0.05</v>
      </c>
      <c r="C11" s="59" t="n">
        <f aca="false">Inputs!$C$23</f>
        <v>0.04</v>
      </c>
      <c r="D11" s="59" t="n">
        <f aca="false">Inputs!$D$23</f>
        <v>0.032</v>
      </c>
      <c r="E11" s="60" t="n">
        <f aca="false">Inputs!$E$23</f>
        <v>0.04</v>
      </c>
    </row>
    <row r="12" customFormat="false" ht="15" hidden="false" customHeight="false" outlineLevel="0" collapsed="false">
      <c r="A12" s="6" t="s">
        <v>114</v>
      </c>
      <c r="B12" s="61" t="n">
        <f aca="false">Inputs!$B$41</f>
        <v>30000</v>
      </c>
      <c r="C12" s="61" t="n">
        <f aca="false">Inputs!$C$41</f>
        <v>30000</v>
      </c>
      <c r="D12" s="61" t="n">
        <f aca="false">Inputs!$D$41</f>
        <v>30000</v>
      </c>
      <c r="E12" s="62" t="n">
        <f aca="false">Inputs!$E$41</f>
        <v>30000</v>
      </c>
    </row>
    <row r="13" customFormat="false" ht="15" hidden="false" customHeight="false" outlineLevel="0" collapsed="false">
      <c r="A13" s="6" t="s">
        <v>115</v>
      </c>
      <c r="B13" s="61" t="n">
        <f aca="false">Inputs!$B$49</f>
        <v>1650000</v>
      </c>
      <c r="C13" s="61" t="n">
        <f aca="false">Inputs!$C$49</f>
        <v>1650000</v>
      </c>
      <c r="D13" s="61" t="n">
        <f aca="false">Inputs!$D$49</f>
        <v>1650000</v>
      </c>
      <c r="E13" s="62" t="n">
        <f aca="false">Inputs!$E$49</f>
        <v>1650000</v>
      </c>
    </row>
    <row r="14" customFormat="false" ht="15" hidden="false" customHeight="false" outlineLevel="0" collapsed="false">
      <c r="A14" s="6" t="s">
        <v>116</v>
      </c>
      <c r="B14" s="61" t="n">
        <f aca="false">Inputs!$B$67</f>
        <v>2100000</v>
      </c>
      <c r="C14" s="61" t="n">
        <f aca="false">Inputs!$C$67</f>
        <v>2100000</v>
      </c>
      <c r="D14" s="61" t="n">
        <f aca="false">Inputs!$D$67</f>
        <v>2100000</v>
      </c>
      <c r="E14" s="62" t="n">
        <f aca="false">Inputs!$E$67</f>
        <v>2100000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</row>
    <row r="17" customFormat="false" ht="15" hidden="false" customHeight="false" outlineLevel="0" collapsed="false">
      <c r="A17" s="33" t="s">
        <v>118</v>
      </c>
      <c r="B17" s="35" t="s">
        <v>105</v>
      </c>
      <c r="C17" s="35" t="s">
        <v>106</v>
      </c>
      <c r="D17" s="35" t="s">
        <v>107</v>
      </c>
      <c r="E17" s="35" t="s">
        <v>108</v>
      </c>
    </row>
    <row r="18" customFormat="false" ht="15" hidden="false" customHeight="false" outlineLevel="0" collapsed="false">
      <c r="A18" s="6" t="s">
        <v>119</v>
      </c>
      <c r="B18" s="63" t="n">
        <f aca="false">D31</f>
        <v>1373352.59957725</v>
      </c>
      <c r="C18" s="63" t="n">
        <f aca="false">D32</f>
        <v>2080276.59708741</v>
      </c>
      <c r="D18" s="63" t="n">
        <f aca="false">D33</f>
        <v>3028027.20834572</v>
      </c>
      <c r="E18" s="64" t="n">
        <f aca="false">'P&amp;L'!D5</f>
        <v>2080276.59708741</v>
      </c>
    </row>
    <row r="19" customFormat="false" ht="15" hidden="false" customHeight="false" outlineLevel="0" collapsed="false">
      <c r="A19" s="6" t="s">
        <v>120</v>
      </c>
      <c r="B19" s="63" t="n">
        <f aca="false">SUM(B31:D31)</f>
        <v>3330663.09992028</v>
      </c>
      <c r="C19" s="63" t="n">
        <f aca="false">SUM(B32:D32)</f>
        <v>5066340.45539683</v>
      </c>
      <c r="D19" s="63" t="n">
        <f aca="false">SUM(B33:D33)</f>
        <v>7272233.94799765</v>
      </c>
      <c r="E19" s="64" t="n">
        <f aca="false">SUM('P&amp;L'!$B$5:$D$5)</f>
        <v>5066340.45539683</v>
      </c>
    </row>
    <row r="20" customFormat="false" ht="15" hidden="false" customHeight="false" outlineLevel="0" collapsed="false">
      <c r="A20" s="6" t="s">
        <v>121</v>
      </c>
      <c r="B20" s="63" t="n">
        <f aca="false">D37</f>
        <v>-24636.2998835956</v>
      </c>
      <c r="C20" s="63" t="n">
        <f aca="false">D38</f>
        <v>606030.411732089</v>
      </c>
      <c r="D20" s="63" t="n">
        <f aca="false">D39</f>
        <v>1475107.63814208</v>
      </c>
      <c r="E20" s="64" t="n">
        <f aca="false">'P&amp;L'!D15</f>
        <v>606030.411732089</v>
      </c>
    </row>
    <row r="21" customFormat="false" ht="15" hidden="false" customHeight="false" outlineLevel="0" collapsed="false">
      <c r="A21" s="6" t="s">
        <v>122</v>
      </c>
      <c r="B21" s="65" t="n">
        <f aca="false">IF(B18=0,0,B20/B18)</f>
        <v>-0.0179388016531073</v>
      </c>
      <c r="C21" s="65" t="n">
        <f aca="false">IF(C18=0,0,C20/C18)</f>
        <v>0.291322035050816</v>
      </c>
      <c r="D21" s="65" t="n">
        <f aca="false">IF(D18=0,0,D20/D18)</f>
        <v>0.487151381624463</v>
      </c>
      <c r="E21" s="66" t="n">
        <f aca="false">IF(E18=0,0,E20/E18)</f>
        <v>0.291322035050816</v>
      </c>
    </row>
    <row r="22" customFormat="false" ht="15" hidden="false" customHeight="false" outlineLevel="0" collapsed="false">
      <c r="A22" s="6" t="s">
        <v>123</v>
      </c>
      <c r="B22" s="63" t="n">
        <f aca="false">D43</f>
        <v>-566344.633216929</v>
      </c>
      <c r="C22" s="63" t="n">
        <f aca="false">D44</f>
        <v>64322.0783987556</v>
      </c>
      <c r="D22" s="63" t="n">
        <f aca="false">D45</f>
        <v>737385.45079891</v>
      </c>
      <c r="E22" s="64" t="n">
        <f aca="false">'P&amp;L'!D22</f>
        <v>64322.0783987556</v>
      </c>
    </row>
    <row r="23" customFormat="false" ht="15" hidden="false" customHeight="false" outlineLevel="0" collapsed="false">
      <c r="A23" s="6" t="s">
        <v>124</v>
      </c>
      <c r="B23" s="63" t="n">
        <f aca="false">SUM(B43:D43)</f>
        <v>-2370448.03523605</v>
      </c>
      <c r="C23" s="63" t="n">
        <f aca="false">SUM(B44:D44)</f>
        <v>-815194.045409802</v>
      </c>
      <c r="D23" s="63" t="n">
        <f aca="false">SUM(B45:D45)</f>
        <v>966059.281107996</v>
      </c>
      <c r="E23" s="64" t="n">
        <f aca="false">SUM('P&amp;L'!$B$22:$D$22)</f>
        <v>-815194.045409802</v>
      </c>
    </row>
    <row r="24" customFormat="false" ht="15" hidden="false" customHeight="false" outlineLevel="0" collapsed="false">
      <c r="A24" s="6" t="s">
        <v>125</v>
      </c>
      <c r="B24" s="63" t="n">
        <f aca="false">D49</f>
        <v>-1290608.83978511</v>
      </c>
      <c r="C24" s="63" t="n">
        <f aca="false">D50</f>
        <v>262436.516461964</v>
      </c>
      <c r="D24" s="63" t="n">
        <f aca="false">D51</f>
        <v>2039947.59864561</v>
      </c>
      <c r="E24" s="64" t="n">
        <f aca="false">'Balance Sheet'!D5</f>
        <v>262436.516461964</v>
      </c>
    </row>
    <row r="25" customFormat="false" ht="15" hidden="false" customHeight="false" outlineLevel="0" collapsed="false">
      <c r="A25" s="6" t="s">
        <v>126</v>
      </c>
      <c r="B25" s="63" t="n">
        <f aca="false">MIN('Scenario calc'!$C$100:$AL$100)</f>
        <v>-1290608.83978511</v>
      </c>
      <c r="C25" s="63" t="n">
        <f aca="false">MIN('Scenario calc'!$C$227:$AL$227)</f>
        <v>131554.538556901</v>
      </c>
      <c r="D25" s="63" t="n">
        <f aca="false">MIN('Scenario calc'!$C$354:$AL$354)</f>
        <v>775910.091071967</v>
      </c>
      <c r="E25" s="64" t="n">
        <f aca="false">'Break-even'!B18</f>
        <v>131554.538556901</v>
      </c>
    </row>
    <row r="26" customFormat="false" ht="15" hidden="false" customHeight="false" outlineLevel="0" collapsed="false">
      <c r="A26" s="6" t="s">
        <v>127</v>
      </c>
      <c r="B26" s="67" t="n">
        <f aca="false">MATCH(MIN('Scenario calc'!$C$100:$AL$100),'Scenario calc'!$C$100:$AL$100,0)</f>
        <v>36</v>
      </c>
      <c r="C26" s="67" t="n">
        <f aca="false">MATCH(MIN('Scenario calc'!$C$227:$AL$227),'Scenario calc'!$C$227:$AL$227,0)</f>
        <v>26</v>
      </c>
      <c r="D26" s="67" t="n">
        <f aca="false">MATCH(MIN('Scenario calc'!$C$354:$AL$354),'Scenario calc'!$C$354:$AL$354,0)</f>
        <v>7</v>
      </c>
      <c r="E26" s="68" t="n">
        <f aca="false">'Break-even'!B6</f>
        <v>26</v>
      </c>
    </row>
    <row r="27" customFormat="false" ht="15" hidden="false" customHeight="false" outlineLevel="0" collapsed="false">
      <c r="A27" s="4" t="s">
        <v>66</v>
      </c>
      <c r="B27" s="63" t="n">
        <f aca="false">SUMPRODUCT(--('Scenario calc'!$C$6:$AL$6&lt;=B26),'Scenario calc'!$C$73:$AL$73)-SUMPRODUCT(--('Scenario calc'!$C$6:$AL$6&lt;=B26),'Scenario calc'!$C$94:$AL$94)-SUMPRODUCT(--('Scenario calc'!$C$6:$AL$6&lt;=B26),'Scenario calc'!$C$82:$AL$82)+Inputs!$B$82</f>
        <v>6671608.83978511</v>
      </c>
      <c r="C27" s="63" t="n">
        <f aca="false">SUMPRODUCT(--('Scenario calc'!$C$133:$AL$133&lt;=C26),'Scenario calc'!$C$200:$AL$200)-SUMPRODUCT(--('Scenario calc'!$C$133:$AL$133&lt;=C26),'Scenario calc'!$C$221:$AL$221)-SUMPRODUCT(--('Scenario calc'!$C$133:$AL$133&lt;=C26),'Scenario calc'!$C$209:$AL$209)+Inputs!$C$82</f>
        <v>5249445.4614431</v>
      </c>
      <c r="D27" s="63" t="n">
        <f aca="false">SUMPRODUCT(--('Scenario calc'!$C$260:$AL$260&lt;=D26),'Scenario calc'!$C$327:$AL$327)-SUMPRODUCT(--('Scenario calc'!$C$260:$AL$260&lt;=D26),'Scenario calc'!$C$348:$AL$348)-SUMPRODUCT(--('Scenario calc'!$C$260:$AL$260&lt;=D26),'Scenario calc'!$C$336:$AL$336)+Inputs!$D$82</f>
        <v>4605089.90892803</v>
      </c>
      <c r="E27" s="64" t="n">
        <f aca="false">'Break-even'!B12</f>
        <v>5249445.4614431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</row>
    <row r="31" customFormat="false" ht="15" hidden="false" customHeight="false" outlineLevel="0" collapsed="false">
      <c r="A31" s="6" t="s">
        <v>105</v>
      </c>
      <c r="B31" s="63" t="n">
        <f aca="false">SUMIF('Scenario calc'!$C$7:$AL$7,B$30,'Scenario calc'!$C$39:$AL$39)</f>
        <v>723753.781752898</v>
      </c>
      <c r="C31" s="63" t="n">
        <f aca="false">SUMIF('Scenario calc'!$C$7:$AL$7,C$30,'Scenario calc'!$C$39:$AL$39)</f>
        <v>1233556.71859013</v>
      </c>
      <c r="D31" s="63" t="n">
        <f aca="false">SUMIF('Scenario calc'!$C$7:$AL$7,D$30,'Scenario calc'!$C$39:$AL$39)</f>
        <v>1373352.59957725</v>
      </c>
    </row>
    <row r="32" customFormat="false" ht="15" hidden="false" customHeight="false" outlineLevel="0" collapsed="false">
      <c r="A32" s="6" t="s">
        <v>106</v>
      </c>
      <c r="B32" s="63" t="n">
        <f aca="false">SUMIF('Scenario calc'!$C$134:$AL$134,B$30,'Scenario calc'!$C$166:$AL$166)</f>
        <v>1180182.39164623</v>
      </c>
      <c r="C32" s="63" t="n">
        <f aca="false">SUMIF('Scenario calc'!$C$134:$AL$134,C$30,'Scenario calc'!$C$166:$AL$166)</f>
        <v>1805881.4666632</v>
      </c>
      <c r="D32" s="63" t="n">
        <f aca="false">SUMIF('Scenario calc'!$C$134:$AL$134,D$30,'Scenario calc'!$C$166:$AL$166)</f>
        <v>2080276.59708741</v>
      </c>
    </row>
    <row r="33" customFormat="false" ht="15" hidden="false" customHeight="false" outlineLevel="0" collapsed="false">
      <c r="A33" s="6" t="s">
        <v>107</v>
      </c>
      <c r="B33" s="63" t="n">
        <f aca="false">SUMIF('Scenario calc'!$C$261:$AL$261,B$30,'Scenario calc'!$C$293:$AL$293)</f>
        <v>1713972.34882851</v>
      </c>
      <c r="C33" s="63" t="n">
        <f aca="false">SUMIF('Scenario calc'!$C$261:$AL$261,C$30,'Scenario calc'!$C$293:$AL$293)</f>
        <v>2530234.39082342</v>
      </c>
      <c r="D33" s="63" t="n">
        <f aca="false">SUMIF('Scenario calc'!$C$261:$AL$261,D$30,'Scenario calc'!$C$293:$AL$293)</f>
        <v>3028027.20834572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</row>
    <row r="37" customFormat="false" ht="15" hidden="false" customHeight="false" outlineLevel="0" collapsed="false">
      <c r="A37" s="6" t="s">
        <v>105</v>
      </c>
      <c r="B37" s="63" t="n">
        <f aca="false">SUMIF('Scenario calc'!$C$7:$AL$7,B$36,'Scenario calc'!$C$57:$AL$57)</f>
        <v>-533892.676207162</v>
      </c>
      <c r="C37" s="63" t="n">
        <f aca="false">SUMIF('Scenario calc'!$C$7:$AL$7,C$36,'Scenario calc'!$C$57:$AL$57)</f>
        <v>-120382.60081196</v>
      </c>
      <c r="D37" s="63" t="n">
        <f aca="false">SUMIF('Scenario calc'!$C$7:$AL$7,D$36,'Scenario calc'!$C$57:$AL$57)</f>
        <v>-24636.2998835956</v>
      </c>
    </row>
    <row r="38" customFormat="false" ht="15" hidden="false" customHeight="false" outlineLevel="0" collapsed="false">
      <c r="A38" s="6" t="s">
        <v>106</v>
      </c>
      <c r="B38" s="63" t="n">
        <f aca="false">SUMIF('Scenario calc'!$C$134:$AL$134,B$36,'Scenario calc'!$C$184:$AL$184)</f>
        <v>-123279.207270295</v>
      </c>
      <c r="C38" s="63" t="n">
        <f aca="false">SUMIF('Scenario calc'!$C$134:$AL$134,C$36,'Scenario calc'!$C$184:$AL$184)</f>
        <v>393591.208461737</v>
      </c>
      <c r="D38" s="63" t="n">
        <f aca="false">SUMIF('Scenario calc'!$C$134:$AL$134,D$36,'Scenario calc'!$C$184:$AL$184)</f>
        <v>606030.411732089</v>
      </c>
    </row>
    <row r="39" customFormat="false" ht="15" hidden="false" customHeight="false" outlineLevel="0" collapsed="false">
      <c r="A39" s="6" t="s">
        <v>107</v>
      </c>
      <c r="B39" s="63" t="n">
        <f aca="false">SUMIF('Scenario calc'!$C$261:$AL$261,B$36,'Scenario calc'!$C$311:$AL$311)</f>
        <v>374729.35474249</v>
      </c>
      <c r="C39" s="63" t="n">
        <f aca="false">SUMIF('Scenario calc'!$C$261:$AL$261,C$36,'Scenario calc'!$C$311:$AL$311)</f>
        <v>1064559.31495256</v>
      </c>
      <c r="D39" s="63" t="n">
        <f aca="false">SUMIF('Scenario calc'!$C$261:$AL$261,D$36,'Scenario calc'!$C$311:$AL$311)</f>
        <v>1475107.63814208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</row>
    <row r="43" customFormat="false" ht="15" hidden="false" customHeight="false" outlineLevel="0" collapsed="false">
      <c r="A43" s="6" t="s">
        <v>105</v>
      </c>
      <c r="B43" s="63" t="n">
        <f aca="false">SUMIF('Scenario calc'!$C$7:$AL$7,B$42,'Scenario calc'!$C$66:$AL$66)</f>
        <v>-1119845.80120716</v>
      </c>
      <c r="C43" s="63" t="n">
        <f aca="false">SUMIF('Scenario calc'!$C$7:$AL$7,C$42,'Scenario calc'!$C$66:$AL$66)</f>
        <v>-684257.60081196</v>
      </c>
      <c r="D43" s="63" t="n">
        <f aca="false">SUMIF('Scenario calc'!$C$7:$AL$7,D$42,'Scenario calc'!$C$66:$AL$66)</f>
        <v>-566344.633216929</v>
      </c>
    </row>
    <row r="44" customFormat="false" ht="15" hidden="false" customHeight="false" outlineLevel="0" collapsed="false">
      <c r="A44" s="6" t="s">
        <v>106</v>
      </c>
      <c r="B44" s="63" t="n">
        <f aca="false">SUMIF('Scenario calc'!$C$134:$AL$134,B$42,'Scenario calc'!$C$193:$AL$193)</f>
        <v>-709232.332270295</v>
      </c>
      <c r="C44" s="63" t="n">
        <f aca="false">SUMIF('Scenario calc'!$C$134:$AL$134,C$42,'Scenario calc'!$C$193:$AL$193)</f>
        <v>-170283.791538263</v>
      </c>
      <c r="D44" s="63" t="n">
        <f aca="false">SUMIF('Scenario calc'!$C$134:$AL$134,D$42,'Scenario calc'!$C$193:$AL$193)</f>
        <v>64322.0783987556</v>
      </c>
    </row>
    <row r="45" customFormat="false" ht="15" hidden="false" customHeight="false" outlineLevel="0" collapsed="false">
      <c r="A45" s="6" t="s">
        <v>107</v>
      </c>
      <c r="B45" s="63" t="n">
        <f aca="false">SUMIF('Scenario calc'!$C$261:$AL$261,B$42,'Scenario calc'!$C$320:$AL$320)</f>
        <v>-211223.770257511</v>
      </c>
      <c r="C45" s="63" t="n">
        <f aca="false">SUMIF('Scenario calc'!$C$261:$AL$261,C$42,'Scenario calc'!$C$320:$AL$320)</f>
        <v>439897.600566596</v>
      </c>
      <c r="D45" s="63" t="n">
        <f aca="false">SUMIF('Scenario calc'!$C$261:$AL$261,D$42,'Scenario calc'!$C$320:$AL$320)</f>
        <v>737385.45079891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</row>
    <row r="49" customFormat="false" ht="15" hidden="false" customHeight="false" outlineLevel="0" collapsed="false">
      <c r="A49" s="6" t="s">
        <v>105</v>
      </c>
      <c r="B49" s="63" t="n">
        <f aca="false">INDEX('Scenario calc'!$C$100:$AL$100,B$48*12)</f>
        <v>-53672.9491542138</v>
      </c>
      <c r="C49" s="63" t="n">
        <f aca="false">INDEX('Scenario calc'!$C$100:$AL$100,C$48*12)</f>
        <v>-732788.651719054</v>
      </c>
      <c r="D49" s="63" t="n">
        <f aca="false">INDEX('Scenario calc'!$C$100:$AL$100,D$48*12)</f>
        <v>-1290608.83978511</v>
      </c>
    </row>
    <row r="50" customFormat="false" ht="15" hidden="false" customHeight="false" outlineLevel="0" collapsed="false">
      <c r="A50" s="6" t="s">
        <v>106</v>
      </c>
      <c r="B50" s="63" t="n">
        <f aca="false">INDEX('Scenario calc'!$C$227:$AL$227,B$48*12)</f>
        <v>355442.207546519</v>
      </c>
      <c r="C50" s="63" t="n">
        <f aca="false">INDEX('Scenario calc'!$C$227:$AL$227,C$48*12)</f>
        <v>189920.661079184</v>
      </c>
      <c r="D50" s="63" t="n">
        <f aca="false">INDEX('Scenario calc'!$C$227:$AL$227,D$48*12)</f>
        <v>262436.516461964</v>
      </c>
    </row>
    <row r="51" customFormat="false" ht="15" hidden="false" customHeight="false" outlineLevel="0" collapsed="false">
      <c r="A51" s="6" t="s">
        <v>107</v>
      </c>
      <c r="B51" s="63" t="n">
        <f aca="false">INDEX('Scenario calc'!$C$354:$AL$354,B$48*12)</f>
        <v>851182.534970552</v>
      </c>
      <c r="C51" s="63" t="n">
        <f aca="false">INDEX('Scenario calc'!$C$354:$AL$354,C$48*12)</f>
        <v>1295076.01843464</v>
      </c>
      <c r="D51" s="63" t="n">
        <f aca="false">INDEX('Scenario calc'!$C$354:$AL$354,D$48*12)</f>
        <v>2039947.59864561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133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</row>
    <row r="6" customFormat="false" ht="15" hidden="false" customHeight="false" outlineLevel="0" collapsed="false">
      <c r="A6" s="6" t="s">
        <v>127</v>
      </c>
      <c r="B6" s="67" t="n">
        <f aca="false">MATCH(MIN(Monthly!$C$98:$AL$98),Monthly!$C$98:$AL$98,0)</f>
        <v>26</v>
      </c>
    </row>
    <row r="7" customFormat="false" ht="15" hidden="false" customHeight="false" outlineLevel="0" collapsed="false">
      <c r="A7" s="6" t="s">
        <v>137</v>
      </c>
      <c r="B7" s="69" t="n">
        <f aca="false">SUMPRODUCT(--(Monthly!$C$4:$AL$4&lt;=$B$6),Monthly!$C$71:$AL$71)</f>
        <v>4180000</v>
      </c>
    </row>
    <row r="8" customFormat="false" ht="15" hidden="false" customHeight="false" outlineLevel="0" collapsed="false">
      <c r="A8" s="6" t="s">
        <v>138</v>
      </c>
      <c r="B8" s="69" t="n">
        <f aca="false">-SUMPRODUCT(--(Monthly!$C$4:$AL$4&lt;=$B$6),Monthly!$C$92:$AL$92)</f>
        <v>163445.461443099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9" t="n">
        <f aca="false">-SUMPRODUCT(--(Monthly!$C$4:$AL$4&lt;=$B$6),Monthly!$C$80:$AL$80)</f>
        <v>625000</v>
      </c>
    </row>
    <row r="10" customFormat="false" ht="15" hidden="false" customHeight="false" outlineLevel="0" collapsed="false">
      <c r="A10" s="4" t="s">
        <v>141</v>
      </c>
      <c r="B10" s="70" t="n">
        <f aca="false">B7+B8+B9</f>
        <v>4968445.4614431</v>
      </c>
    </row>
    <row r="11" customFormat="false" ht="15" hidden="false" customHeight="false" outlineLevel="0" collapsed="false">
      <c r="A11" s="6" t="s">
        <v>142</v>
      </c>
      <c r="B11" s="71" t="n">
        <f aca="false">Inputs!$E$82</f>
        <v>281000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70" t="n">
        <f aca="false">B10+B11</f>
        <v>5249445.4614431</v>
      </c>
    </row>
    <row r="14" customFormat="false" ht="15" hidden="false" customHeight="false" outlineLevel="0" collapsed="false">
      <c r="A14" s="6" t="s">
        <v>64</v>
      </c>
      <c r="B14" s="71" t="n">
        <f aca="false">Inputs!$E$67</f>
        <v>2100000</v>
      </c>
    </row>
    <row r="15" customFormat="false" ht="15" hidden="false" customHeight="false" outlineLevel="0" collapsed="false">
      <c r="A15" s="6" t="s">
        <v>65</v>
      </c>
      <c r="B15" s="71" t="n">
        <f aca="false">Inputs!$E$68</f>
        <v>3000000</v>
      </c>
    </row>
    <row r="16" customFormat="false" ht="15" hidden="false" customHeight="false" outlineLevel="0" collapsed="false">
      <c r="A16" s="4" t="s">
        <v>145</v>
      </c>
      <c r="B16" s="70" t="n">
        <f aca="false">B14+B15</f>
        <v>5100000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-149445.461443098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9" t="n">
        <f aca="false">MIN(Monthly!$C$98:$AL$98)</f>
        <v>131554.538556901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</row>
    <row r="21" customFormat="false" ht="15" hidden="false" customHeight="false" outlineLevel="0" collapsed="false">
      <c r="A21" s="6" t="s">
        <v>150</v>
      </c>
      <c r="B21" s="67" t="n">
        <f aca="false">IFERROR(MATCH(1,Monthly!$C$99:$AL$99,0),"Not within horizon")</f>
        <v>8</v>
      </c>
    </row>
    <row r="22" customFormat="false" ht="15" hidden="false" customHeight="false" outlineLevel="0" collapsed="false">
      <c r="A22" s="6" t="s">
        <v>151</v>
      </c>
      <c r="B22" s="67" t="n">
        <f aca="false">IFERROR(MATCH(1,Monthly!$C$102:$AL$102,0),"Not within horizon")</f>
        <v>27</v>
      </c>
    </row>
    <row r="23" customFormat="false" ht="15" hidden="false" customHeight="false" outlineLevel="0" collapsed="false">
      <c r="A23" s="6" t="s">
        <v>152</v>
      </c>
      <c r="B23" s="67" t="str">
        <f aca="false">IF(MIN(Monthly!$C$104:$AL$104)&gt;=0,"No investment to pay back",IFERROR(MATCH(1,Monthly!$C$106:$AL$106,0),"Not within horizon"))</f>
        <v>Not within horizon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</row>
    <row r="26" customFormat="false" ht="15" hidden="false" customHeight="false" outlineLevel="0" collapsed="false">
      <c r="A26" s="74" t="s">
        <v>155</v>
      </c>
      <c r="B26" s="74" t="n">
        <v>1</v>
      </c>
      <c r="C26" s="74" t="n">
        <v>2</v>
      </c>
      <c r="D26" s="74" t="n">
        <v>3</v>
      </c>
    </row>
    <row r="27" customFormat="false" ht="15" hidden="false" customHeight="false" outlineLevel="0" collapsed="false">
      <c r="A27" s="33"/>
      <c r="B27" s="35" t="s">
        <v>156</v>
      </c>
      <c r="C27" s="35" t="s">
        <v>157</v>
      </c>
      <c r="D27" s="35" t="s">
        <v>158</v>
      </c>
    </row>
    <row r="28" customFormat="false" ht="15" hidden="false" customHeight="false" outlineLevel="0" collapsed="false">
      <c r="A28" s="4" t="s">
        <v>44</v>
      </c>
      <c r="B28" s="75" t="n">
        <f aca="false">SUMIF(Monthly!$C$5:$AL$5,B$26,Monthly!$C$37:$AL$37)</f>
        <v>1180182.39164623</v>
      </c>
      <c r="C28" s="75" t="n">
        <f aca="false">SUMIF(Monthly!$C$5:$AL$5,C$26,Monthly!$C$37:$AL$37)</f>
        <v>1805881.4666632</v>
      </c>
      <c r="D28" s="75" t="n">
        <f aca="false">SUMIF(Monthly!$C$5:$AL$5,D$26,Monthly!$C$37:$AL$37)</f>
        <v>2080276.59708741</v>
      </c>
    </row>
    <row r="29" customFormat="false" ht="15" hidden="false" customHeight="false" outlineLevel="0" collapsed="false">
      <c r="A29" s="6" t="s">
        <v>45</v>
      </c>
      <c r="B29" s="69" t="n">
        <f aca="false">SUMIF(Monthly!$C$5:$AL$5,B$26,Monthly!$C$46:$AL$46)</f>
        <v>999760.792729705</v>
      </c>
      <c r="C29" s="69" t="n">
        <f aca="false">SUMIF(Monthly!$C$5:$AL$5,C$26,Monthly!$C$46:$AL$46)</f>
        <v>1517202.40846174</v>
      </c>
      <c r="D29" s="69" t="n">
        <f aca="false">SUMIF(Monthly!$C$5:$AL$5,D$26,Monthly!$C$46:$AL$46)</f>
        <v>1736853.94773209</v>
      </c>
    </row>
    <row r="30" customFormat="false" ht="15" hidden="false" customHeight="false" outlineLevel="0" collapsed="false">
      <c r="A30" s="39" t="s">
        <v>159</v>
      </c>
      <c r="B30" s="76" t="n">
        <f aca="false">IF(B28=0,0,B29/B28)</f>
        <v>0.847123969825669</v>
      </c>
      <c r="C30" s="76" t="n">
        <f aca="false">IF(C28=0,0,C29/C28)</f>
        <v>0.840145068471817</v>
      </c>
      <c r="D30" s="76" t="n">
        <f aca="false">IF(D28=0,0,D29/D28)</f>
        <v>0.83491490995181</v>
      </c>
    </row>
    <row r="31" customFormat="false" ht="15" hidden="false" customHeight="false" outlineLevel="0" collapsed="false">
      <c r="A31" s="6" t="s">
        <v>160</v>
      </c>
      <c r="B31" s="69" t="n">
        <f aca="false">-SUMIF(Monthly!$C$5:$AL$5,B$26,Monthly!$C$54:$AL$54)</f>
        <v>1123040</v>
      </c>
      <c r="C31" s="69" t="n">
        <f aca="false">-SUMIF(Monthly!$C$5:$AL$5,C$26,Monthly!$C$54:$AL$54)</f>
        <v>1123611.2</v>
      </c>
      <c r="D31" s="69" t="n">
        <f aca="false">-SUMIF(Monthly!$C$5:$AL$5,D$26,Monthly!$C$54:$AL$54)</f>
        <v>1130823.536</v>
      </c>
    </row>
    <row r="32" customFormat="false" ht="15" hidden="false" customHeight="false" outlineLevel="0" collapsed="false">
      <c r="A32" s="4" t="s">
        <v>161</v>
      </c>
      <c r="B32" s="75" t="n">
        <f aca="false">IF(B30&gt;0,B31/B30,"n/a")</f>
        <v>1325709.15238193</v>
      </c>
      <c r="C32" s="75" t="n">
        <f aca="false">IF(C30&gt;0,C31/C30,"n/a")</f>
        <v>1337401.4109775</v>
      </c>
      <c r="D32" s="75" t="n">
        <f aca="false">IF(D30&gt;0,D31/D30,"n/a")</f>
        <v>1354417.70475182</v>
      </c>
    </row>
    <row r="33" customFormat="false" ht="15" hidden="false" customHeight="false" outlineLevel="0" collapsed="false">
      <c r="A33" s="39" t="s">
        <v>162</v>
      </c>
      <c r="B33" s="76" t="n">
        <f aca="false">IF(AND(ISNUMBER(B32),B28&gt;0),(B28-B32)/B28,"n/a")</f>
        <v>-0.123308703608688</v>
      </c>
      <c r="C33" s="76" t="n">
        <f aca="false">IF(AND(ISNUMBER(C32),C28&gt;0),(C28-C32)/C28,"n/a")</f>
        <v>0.259419050659689</v>
      </c>
      <c r="D33" s="76" t="n">
        <f aca="false">IF(AND(ISNUMBER(D32),D28&gt;0),(D28-D32)/D28,"n/a")</f>
        <v>0.34892422159239</v>
      </c>
    </row>
    <row r="35" customFormat="false" ht="15" hidden="false" customHeight="false" outlineLevel="0" collapsed="false">
      <c r="A35" s="3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167</v>
      </c>
      <c r="B6" s="77" t="n">
        <f aca="false">Inputs!$E$85</f>
        <v>0.25</v>
      </c>
    </row>
    <row r="7" customFormat="false" ht="15" hidden="false" customHeight="false" outlineLevel="0" collapsed="false">
      <c r="A7" s="39" t="s">
        <v>168</v>
      </c>
      <c r="B7" s="77" t="n">
        <f aca="false">Inputs!$E$86</f>
        <v>0.02</v>
      </c>
    </row>
    <row r="8" customFormat="false" ht="15" hidden="false" customHeight="false" outlineLevel="0" collapsed="false">
      <c r="A8" s="6" t="s">
        <v>169</v>
      </c>
      <c r="B8" s="78" t="n">
        <f aca="false">Inputs!$E$87</f>
        <v>4</v>
      </c>
    </row>
    <row r="9" customFormat="false" ht="15" hidden="false" customHeight="false" outlineLevel="0" collapsed="false">
      <c r="A9" s="39" t="s">
        <v>170</v>
      </c>
      <c r="B9" s="77" t="n">
        <f aca="false">Inputs!$E$79</f>
        <v>0.21</v>
      </c>
    </row>
    <row r="10" customFormat="false" ht="15" hidden="false" customHeight="false" outlineLevel="0" collapsed="false">
      <c r="A10" s="39" t="s">
        <v>171</v>
      </c>
      <c r="B10" s="77" t="n">
        <f aca="false">Inputs!$E$88</f>
        <v>0.01</v>
      </c>
    </row>
    <row r="11" customFormat="false" ht="15" hidden="false" customHeight="false" outlineLevel="0" collapsed="false">
      <c r="A11" s="39" t="s">
        <v>172</v>
      </c>
      <c r="B11" s="77" t="n">
        <f aca="false">Inputs!$E$89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</row>
    <row r="14" customFormat="false" ht="15" hidden="false" customHeight="false" outlineLevel="0" collapsed="false">
      <c r="A14" s="74" t="s">
        <v>155</v>
      </c>
      <c r="B14" s="74" t="n">
        <v>1</v>
      </c>
      <c r="C14" s="74" t="n">
        <v>2</v>
      </c>
      <c r="D14" s="74" t="n">
        <v>3</v>
      </c>
    </row>
    <row r="15" customFormat="false" ht="15" hidden="false" customHeight="false" outlineLevel="0" collapsed="false">
      <c r="A15" s="33"/>
      <c r="B15" s="35" t="s">
        <v>156</v>
      </c>
      <c r="C15" s="35" t="s">
        <v>157</v>
      </c>
      <c r="D15" s="35" t="s">
        <v>158</v>
      </c>
    </row>
    <row r="16" customFormat="false" ht="15" hidden="false" customHeight="false" outlineLevel="0" collapsed="false">
      <c r="A16" s="6" t="s">
        <v>48</v>
      </c>
      <c r="B16" s="69" t="n">
        <f aca="false">SUMIF(Monthly!$C$5:$AL$5,B$14,Monthly!$C$55:$AL$55)</f>
        <v>-123279.207270295</v>
      </c>
      <c r="C16" s="69" t="n">
        <f aca="false">SUMIF(Monthly!$C$5:$AL$5,C$14,Monthly!$C$55:$AL$55)</f>
        <v>393591.208461737</v>
      </c>
      <c r="D16" s="69" t="n">
        <f aca="false">SUMIF(Monthly!$C$5:$AL$5,D$14,Monthly!$C$55:$AL$55)</f>
        <v>606030.411732089</v>
      </c>
    </row>
    <row r="17" customFormat="false" ht="15" hidden="false" customHeight="false" outlineLevel="0" collapsed="false">
      <c r="A17" s="4" t="s">
        <v>174</v>
      </c>
      <c r="B17" s="75" t="n">
        <f aca="false">SUMIF(Monthly!$C$5:$AL$5,B$14,Monthly!$C$107:$AL$107)</f>
        <v>-4276571.49037015</v>
      </c>
      <c r="C17" s="75" t="n">
        <f aca="false">SUMIF(Monthly!$C$5:$AL$5,C$14,Monthly!$C$107:$AL$107)</f>
        <v>307389.703532665</v>
      </c>
      <c r="D17" s="75" t="n">
        <f aca="false">SUMIF(Monthly!$C$5:$AL$5,D$14,Monthly!$C$107:$AL$107)</f>
        <v>525282.10538278</v>
      </c>
    </row>
    <row r="18" customFormat="false" ht="15" hidden="false" customHeight="false" outlineLevel="0" collapsed="false">
      <c r="A18" s="6" t="s">
        <v>175</v>
      </c>
      <c r="B18" s="79" t="n">
        <f aca="false">1/(1+Inputs!$E$85)^B$14</f>
        <v>0.8</v>
      </c>
      <c r="C18" s="79" t="n">
        <f aca="false">1/(1+Inputs!$E$85)^C$14</f>
        <v>0.64</v>
      </c>
      <c r="D18" s="79" t="n">
        <f aca="false">1/(1+Inputs!$E$85)^D$14</f>
        <v>0.512</v>
      </c>
    </row>
    <row r="19" customFormat="false" ht="15" hidden="false" customHeight="false" outlineLevel="0" collapsed="false">
      <c r="A19" s="6" t="s">
        <v>176</v>
      </c>
      <c r="B19" s="69" t="n">
        <f aca="false">B17*B18</f>
        <v>-3421257.19229612</v>
      </c>
      <c r="C19" s="69" t="n">
        <f aca="false">C17*C18</f>
        <v>196729.410260905</v>
      </c>
      <c r="D19" s="69" t="n">
        <f aca="false">D17*D18</f>
        <v>268944.437955983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178</v>
      </c>
      <c r="C22" s="35" t="s">
        <v>179</v>
      </c>
    </row>
    <row r="23" customFormat="false" ht="15" hidden="false" customHeight="false" outlineLevel="0" collapsed="false">
      <c r="A23" s="6" t="s">
        <v>180</v>
      </c>
      <c r="B23" s="69" t="n">
        <f aca="false">SUM($B$19:$D$19)</f>
        <v>-2955583.34407923</v>
      </c>
      <c r="C23" s="69" t="n">
        <f aca="false">B23</f>
        <v>-2955583.34407923</v>
      </c>
    </row>
    <row r="24" customFormat="false" ht="15" hidden="false" customHeight="false" outlineLevel="0" collapsed="false">
      <c r="A24" s="6" t="s">
        <v>181</v>
      </c>
      <c r="B24" s="69" t="n">
        <f aca="false">$D$17</f>
        <v>525282.10538278</v>
      </c>
      <c r="C24" s="69" t="n">
        <f aca="false">$D$16</f>
        <v>606030.411732089</v>
      </c>
    </row>
    <row r="25" customFormat="false" ht="15" hidden="false" customHeight="false" outlineLevel="0" collapsed="false">
      <c r="A25" s="6" t="s">
        <v>182</v>
      </c>
      <c r="B25" s="69" t="n">
        <f aca="false">IF($B$6&gt;$B$7,B24*(1+$B$7)/($B$6-$B$7),0)</f>
        <v>2329511.94561059</v>
      </c>
      <c r="C25" s="69" t="n">
        <f aca="false">C24*$B$8</f>
        <v>2424121.64692836</v>
      </c>
    </row>
    <row r="26" customFormat="false" ht="15" hidden="false" customHeight="false" outlineLevel="0" collapsed="false">
      <c r="A26" s="6" t="s">
        <v>183</v>
      </c>
      <c r="B26" s="69" t="n">
        <f aca="false">B25/(1+$B$6)^$D$14</f>
        <v>1192710.11615262</v>
      </c>
      <c r="C26" s="69" t="n">
        <f aca="false">C25/(1+$B$6)^$D$14</f>
        <v>1241150.28322732</v>
      </c>
    </row>
    <row r="27" customFormat="false" ht="15" hidden="false" customHeight="false" outlineLevel="0" collapsed="false">
      <c r="A27" s="4" t="s">
        <v>177</v>
      </c>
      <c r="B27" s="70" t="n">
        <f aca="false">B23+B26</f>
        <v>-1762873.22792661</v>
      </c>
      <c r="C27" s="70" t="n">
        <f aca="false">C23+C26</f>
        <v>-1714433.06085191</v>
      </c>
    </row>
    <row r="28" customFormat="false" ht="15" hidden="false" customHeight="false" outlineLevel="0" collapsed="false">
      <c r="A28" s="39" t="s">
        <v>184</v>
      </c>
      <c r="B28" s="76" t="n">
        <f aca="false">IF(B27&lt;&gt;0,B26/B27,0)</f>
        <v>-0.676571688342797</v>
      </c>
      <c r="C28" s="76" t="n">
        <f aca="false">IF(C27&lt;&gt;0,C26/C27,0)</f>
        <v>-0.723942107492131</v>
      </c>
    </row>
    <row r="29" customFormat="false" ht="15" hidden="false" customHeight="false" outlineLevel="0" collapsed="false">
      <c r="A29" s="6" t="s">
        <v>185</v>
      </c>
      <c r="B29" s="80" t="n">
        <f aca="false">IF(C24&gt;0,B25/C24,"n/a")</f>
        <v>3.84388621513669</v>
      </c>
      <c r="C29" s="76" t="n">
        <f aca="false">IF(C25+B24&lt;&gt;0,(C25*$B$6-B24)/(C25+B24),"n/a")</f>
        <v>0.0273778407876627</v>
      </c>
    </row>
    <row r="30" customFormat="false" ht="15" hidden="false" customHeight="false" outlineLevel="0" collapsed="false">
      <c r="A30" s="72" t="s">
        <v>186</v>
      </c>
      <c r="B30" s="73" t="n">
        <f aca="false">AVERAGE(B27,C27)</f>
        <v>-1738653.14438926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IF($A34&gt;B$33,SUMPRODUCT($B$17:$D$17/(1+$A34)^$B$14:$D$14)+$D$17*(1+B$33)/($A34-B$33)/(1+$A34)^$D$14,"n/a")</f>
        <v>-1695516.75329799</v>
      </c>
      <c r="C34" s="69" t="n">
        <f aca="false">IF($A34&gt;C$33,SUMPRODUCT($B$17:$D$17/(1+$A34)^$B$14:$D$14)+$D$17*(1+C$33)/($A34-C$33)/(1+$A34)^$D$14,"n/a")</f>
        <v>-1658814.62518798</v>
      </c>
      <c r="D34" s="69" t="n">
        <f aca="false">IF($A34&gt;D$33,SUMPRODUCT($B$17:$D$17/(1+$A34)^$B$14:$D$14)+$D$17*(1+D$33)/($A34-D$33)/(1+$A34)^$D$14,"n/a")</f>
        <v>-1620364.77669178</v>
      </c>
      <c r="E34" s="69" t="n">
        <f aca="false">IF($A34&gt;E$33,SUMPRODUCT($B$17:$D$17/(1+$A34)^$B$14:$D$14)+$D$17*(1+E$33)/($A34-E$33)/(1+$A34)^$D$14,"n/a")</f>
        <v>-1580039.32582992</v>
      </c>
      <c r="F34" s="69" t="n">
        <f aca="false">IF($A34&gt;F$33,SUMPRODUCT($B$17:$D$17/(1+$A34)^$B$14:$D$14)+$D$17*(1+F$33)/($A34-F$33)/(1+$A34)^$D$14,"n/a")</f>
        <v>-1537697.60242496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IF($A35&gt;B$33,SUMPRODUCT($B$17:$D$17/(1+$A35)^$B$14:$D$14)+$D$17*(1+B$33)/($A35-B$33)/(1+$A35)^$D$14,"n/a")</f>
        <v>-1763608.02792119</v>
      </c>
      <c r="C35" s="69" t="n">
        <f aca="false">IF($A35&gt;C$33,SUMPRODUCT($B$17:$D$17/(1+$A35)^$B$14:$D$14)+$D$17*(1+C$33)/($A35-C$33)/(1+$A35)^$D$14,"n/a")</f>
        <v>-1730600.8126247</v>
      </c>
      <c r="D35" s="69" t="n">
        <f aca="false">IF($A35&gt;D$33,SUMPRODUCT($B$17:$D$17/(1+$A35)^$B$14:$D$14)+$D$17*(1+D$33)/($A35-D$33)/(1+$A35)^$D$14,"n/a")</f>
        <v>-1696093.26936019</v>
      </c>
      <c r="E35" s="69" t="n">
        <f aca="false">IF($A35&gt;E$33,SUMPRODUCT($B$17:$D$17/(1+$A35)^$B$14:$D$14)+$D$17*(1+E$33)/($A35-E$33)/(1+$A35)^$D$14,"n/a")</f>
        <v>-1659980.72408338</v>
      </c>
      <c r="F35" s="69" t="n">
        <f aca="false">IF($A35&gt;F$33,SUMPRODUCT($B$17:$D$17/(1+$A35)^$B$14:$D$14)+$D$17*(1+F$33)/($A35-F$33)/(1+$A35)^$D$14,"n/a")</f>
        <v>-1622148.53379338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IF($A36&gt;B$33,SUMPRODUCT($B$17:$D$17/(1+$A36)^$B$14:$D$14)+$D$17*(1+B$33)/($A36-B$33)/(1+$A36)^$D$14,"n/a")</f>
        <v>-1823775.50101447</v>
      </c>
      <c r="C36" s="69" t="n">
        <f aca="false">IF($A36&gt;C$33,SUMPRODUCT($B$17:$D$17/(1+$A36)^$B$14:$D$14)+$D$17*(1+C$33)/($A36-C$33)/(1+$A36)^$D$14,"n/a")</f>
        <v>-1793972.26099275</v>
      </c>
      <c r="D36" s="69" t="n">
        <f aca="false">IF($A36&gt;D$33,SUMPRODUCT($B$17:$D$17/(1+$A36)^$B$14:$D$14)+$D$17*(1+D$33)/($A36-D$33)/(1+$A36)^$D$14,"n/a")</f>
        <v>-1762873.22792661</v>
      </c>
      <c r="E36" s="69" t="n">
        <f aca="false">IF($A36&gt;E$33,SUMPRODUCT($B$17:$D$17/(1+$A36)^$B$14:$D$14)+$D$17*(1+E$33)/($A36-E$33)/(1+$A36)^$D$14,"n/a")</f>
        <v>-1730392.01561308</v>
      </c>
      <c r="F36" s="69" t="n">
        <f aca="false">IF($A36&gt;F$33,SUMPRODUCT($B$17:$D$17/(1+$A36)^$B$14:$D$14)+$D$17*(1+F$33)/($A36-F$33)/(1+$A36)^$D$14,"n/a")</f>
        <v>-1696434.38455804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IF($A37&gt;B$33,SUMPRODUCT($B$17:$D$17/(1+$A37)^$B$14:$D$14)+$D$17*(1+B$33)/($A37-B$33)/(1+$A37)^$D$14,"n/a")</f>
        <v>-1877023.14991346</v>
      </c>
      <c r="C37" s="69" t="n">
        <f aca="false">IF($A37&gt;C$33,SUMPRODUCT($B$17:$D$17/(1+$A37)^$B$14:$D$14)+$D$17*(1+C$33)/($A37-C$33)/(1+$A37)^$D$14,"n/a")</f>
        <v>-1850013.71940956</v>
      </c>
      <c r="D37" s="69" t="n">
        <f aca="false">IF($A37&gt;D$33,SUMPRODUCT($B$17:$D$17/(1+$A37)^$B$14:$D$14)+$D$17*(1+D$33)/($A37-D$33)/(1+$A37)^$D$14,"n/a")</f>
        <v>-1821878.89596801</v>
      </c>
      <c r="E37" s="69" t="n">
        <f aca="false">IF($A37&gt;E$33,SUMPRODUCT($B$17:$D$17/(1+$A37)^$B$14:$D$14)+$D$17*(1+E$33)/($A37-E$33)/(1+$A37)^$D$14,"n/a")</f>
        <v>-1792546.84599702</v>
      </c>
      <c r="F37" s="69" t="n">
        <f aca="false">IF($A37&gt;F$33,SUMPRODUCT($B$17:$D$17/(1+$A37)^$B$14:$D$14)+$D$17*(1+F$33)/($A37-F$33)/(1+$A37)^$D$14,"n/a")</f>
        <v>-1761939.48950556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IF($A38&gt;B$33,SUMPRODUCT($B$17:$D$17/(1+$A38)^$B$14:$D$14)+$D$17*(1+B$33)/($A38-B$33)/(1+$A38)^$D$14,"n/a")</f>
        <v>-1924198.83396593</v>
      </c>
      <c r="C38" s="69" t="n">
        <f aca="false">IF($A38&gt;C$33,SUMPRODUCT($B$17:$D$17/(1+$A38)^$B$14:$D$14)+$D$17*(1+C$33)/($A38-C$33)/(1+$A38)^$D$14,"n/a")</f>
        <v>-1899638.08308445</v>
      </c>
      <c r="D38" s="69" t="n">
        <f aca="false">IF($A38&gt;D$33,SUMPRODUCT($B$17:$D$17/(1+$A38)^$B$14:$D$14)+$D$17*(1+D$33)/($A38-D$33)/(1+$A38)^$D$14,"n/a")</f>
        <v>-1874094.90216771</v>
      </c>
      <c r="E38" s="69" t="n">
        <f aca="false">IF($A38&gt;E$33,SUMPRODUCT($B$17:$D$17/(1+$A38)^$B$14:$D$14)+$D$17*(1+E$33)/($A38-E$33)/(1+$A38)^$D$14,"n/a")</f>
        <v>-1847509.14243804</v>
      </c>
      <c r="F38" s="69" t="n">
        <f aca="false">IF($A38&gt;F$33,SUMPRODUCT($B$17:$D$17/(1+$A38)^$B$14:$D$14)+$D$17*(1+F$33)/($A38-F$33)/(1+$A38)^$D$14,"n/a")</f>
        <v>-1819815.64271964</v>
      </c>
    </row>
    <row r="40" customFormat="false" ht="15" hidden="false" customHeight="false" outlineLevel="0" collapsed="false">
      <c r="A40" s="39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35" t="s">
        <v>193</v>
      </c>
      <c r="C6" s="35" t="s">
        <v>194</v>
      </c>
    </row>
    <row r="7" customFormat="false" ht="15" hidden="false" customHeight="false" outlineLevel="0" collapsed="false">
      <c r="A7" s="6" t="s">
        <v>195</v>
      </c>
      <c r="B7" s="82" t="n">
        <f aca="false">Inputs!$E$67</f>
        <v>2100000</v>
      </c>
      <c r="C7" s="76" t="n">
        <f aca="false">IF($B$9=0,0,B7/$B$9)</f>
        <v>0.411764705882353</v>
      </c>
    </row>
    <row r="8" customFormat="false" ht="15" hidden="false" customHeight="false" outlineLevel="0" collapsed="false">
      <c r="A8" s="6" t="s">
        <v>196</v>
      </c>
      <c r="B8" s="82" t="n">
        <f aca="false">Inputs!$E$68</f>
        <v>3000000</v>
      </c>
      <c r="C8" s="76" t="n">
        <f aca="false">IF($B$9=0,0,B8/$B$9)</f>
        <v>0.588235294117647</v>
      </c>
    </row>
    <row r="9" customFormat="false" ht="15" hidden="false" customHeight="false" outlineLevel="0" collapsed="false">
      <c r="A9" s="4" t="s">
        <v>197</v>
      </c>
      <c r="B9" s="83" t="n">
        <f aca="false">B7+B8</f>
        <v>5100000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80" t="n">
        <f aca="false">IF(B7&lt;=0,IF(B8&gt;0,"n/a",0),B8/B7)</f>
        <v>1.42857142857143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82" t="n">
        <f aca="false">'Break-even'!B12</f>
        <v>5249445.4614431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-149445.461443098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6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7" t="n">
        <f aca="false">MIN(36,MAX(1,ROUND(B15,0)))</f>
        <v>12</v>
      </c>
    </row>
    <row r="17" customFormat="false" ht="15" hidden="false" customHeight="false" outlineLevel="0" collapsed="false">
      <c r="A17" s="33" t="s">
        <v>204</v>
      </c>
      <c r="B17" s="35" t="s">
        <v>193</v>
      </c>
      <c r="C17" s="35" t="s">
        <v>194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SUMPRODUCT(--(Monthly!$C$4:$AL$4&lt;=$B$16),Monthly!$C$94:$AL$94)</f>
        <v>2100000</v>
      </c>
      <c r="C18" s="76" t="n">
        <f aca="false">IF($B$21=0,0,B18/$B$21)</f>
        <v>0.411764705882353</v>
      </c>
    </row>
    <row r="19" customFormat="false" ht="15" hidden="false" customHeight="false" outlineLevel="0" collapsed="false">
      <c r="A19" s="6" t="s">
        <v>205</v>
      </c>
      <c r="B19" s="63" t="n">
        <f aca="false">SUMPRODUCT(--(Monthly!$C$4:$AL$4&lt;=$B$16),Monthly!$C$79:$AL$79)</f>
        <v>3000000</v>
      </c>
      <c r="C19" s="76" t="n">
        <f aca="false">IF($B$21=0,0,B19/$B$21)</f>
        <v>0.588235294117647</v>
      </c>
    </row>
    <row r="20" customFormat="false" ht="15" hidden="false" customHeight="false" outlineLevel="0" collapsed="false">
      <c r="A20" s="6" t="s">
        <v>206</v>
      </c>
      <c r="B20" s="63" t="n">
        <f aca="false">MAX(0,SUMPRODUCT(--(Monthly!$C$4:$AL$4&lt;=$B$16),Monthly!$C$92:$AL$92))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207</v>
      </c>
      <c r="B21" s="83" t="n">
        <f aca="false">SUM(B18:B20)</f>
        <v>5100000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35" t="s">
        <v>193</v>
      </c>
      <c r="C23" s="35" t="s">
        <v>194</v>
      </c>
    </row>
    <row r="24" customFormat="false" ht="15" hidden="false" customHeight="false" outlineLevel="0" collapsed="false">
      <c r="A24" s="6" t="s">
        <v>209</v>
      </c>
      <c r="B24" s="63" t="n">
        <f aca="false">MAX(0,-SUMPRODUCT(--(Monthly!$C$4:$AL$4&lt;=$B$16),Monthly!$C$92:$AL$92))</f>
        <v>369557.792453481</v>
      </c>
      <c r="C24" s="76" t="n">
        <f aca="false">IF($B$28=0,0,B24/$B$28)</f>
        <v>0.0724623122457806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-SUMPRODUCT(--(Monthly!$C$4:$AL$4&lt;=$B$16),Monthly!$C$93:$AL$93)</f>
        <v>4100000</v>
      </c>
      <c r="C25" s="76" t="n">
        <f aca="false">IF($B$28=0,0,B25/$B$28)</f>
        <v>0.803921568627451</v>
      </c>
    </row>
    <row r="26" customFormat="false" ht="15" hidden="false" customHeight="false" outlineLevel="0" collapsed="false">
      <c r="A26" s="6" t="s">
        <v>210</v>
      </c>
      <c r="B26" s="63" t="n">
        <f aca="false">-SUMPRODUCT(--(Monthly!$C$4:$AL$4&lt;=$B$16),Monthly!$C$80:$AL$80)</f>
        <v>275000</v>
      </c>
      <c r="C26" s="76" t="n">
        <f aca="false">IF($B$28=0,0,B26/$B$28)</f>
        <v>0.053921568627451</v>
      </c>
    </row>
    <row r="27" customFormat="false" ht="15" hidden="false" customHeight="false" outlineLevel="0" collapsed="false">
      <c r="A27" s="6" t="s">
        <v>211</v>
      </c>
      <c r="B27" s="63" t="n">
        <f aca="false">INDEX(Monthly!$C$98:$AL$98,$B$16)</f>
        <v>355442.207546519</v>
      </c>
      <c r="C27" s="76" t="n">
        <f aca="false">IF($B$28=0,0,B27/$B$28)</f>
        <v>0.0696945504993175</v>
      </c>
    </row>
    <row r="28" customFormat="false" ht="15" hidden="false" customHeight="false" outlineLevel="0" collapsed="false">
      <c r="A28" s="4" t="s">
        <v>212</v>
      </c>
      <c r="B28" s="83" t="n">
        <f aca="false">SUM(B24:B27)</f>
        <v>5100000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3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214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217</v>
      </c>
    </row>
    <row r="6" customFormat="false" ht="15" hidden="false" customHeight="false" outlineLevel="0" collapsed="false">
      <c r="A6" s="39" t="s">
        <v>218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0.530171505223175</v>
      </c>
      <c r="D6" s="40" t="n">
        <f aca="false">IF(N('P&amp;L'!C5)&lt;=0,"n/a",'P&amp;L'!D5/'P&amp;L'!C5-1)</f>
        <v>0.151945260798993</v>
      </c>
      <c r="E6" s="87"/>
    </row>
    <row r="7" customFormat="false" ht="15" hidden="false" customHeight="false" outlineLevel="0" collapsed="false">
      <c r="A7" s="39" t="s">
        <v>46</v>
      </c>
      <c r="B7" s="40" t="n">
        <f aca="false">IF('P&amp;L'!B5&lt;=0,"n/a",'P&amp;L'!B7/'P&amp;L'!B5)</f>
        <v>0.847123969825669</v>
      </c>
      <c r="C7" s="40" t="n">
        <f aca="false">IF('P&amp;L'!C5&lt;=0,"n/a",'P&amp;L'!C7/'P&amp;L'!C5)</f>
        <v>0.840145068471817</v>
      </c>
      <c r="D7" s="40" t="n">
        <f aca="false">IF('P&amp;L'!D5&lt;=0,"n/a",'P&amp;L'!D7/'P&amp;L'!D5)</f>
        <v>0.83491490995181</v>
      </c>
      <c r="E7" s="87"/>
    </row>
    <row r="8" customFormat="false" ht="15" hidden="false" customHeight="false" outlineLevel="0" collapsed="false">
      <c r="A8" s="39" t="s">
        <v>49</v>
      </c>
      <c r="B8" s="40" t="n">
        <f aca="false">IF('P&amp;L'!B5&lt;=0,"n/a",'P&amp;L'!B15/'P&amp;L'!B5)</f>
        <v>-0.104457758515049</v>
      </c>
      <c r="C8" s="40" t="n">
        <f aca="false">IF('P&amp;L'!C5&lt;=0,"n/a",'P&amp;L'!C15/'P&amp;L'!C5)</f>
        <v>0.217949636079378</v>
      </c>
      <c r="D8" s="40" t="n">
        <f aca="false">IF('P&amp;L'!D5&lt;=0,"n/a",'P&amp;L'!D15/'P&amp;L'!D5)</f>
        <v>0.291322035050816</v>
      </c>
      <c r="E8" s="87"/>
    </row>
    <row r="9" customFormat="false" ht="15" hidden="false" customHeight="false" outlineLevel="0" collapsed="false">
      <c r="A9" s="39" t="s">
        <v>51</v>
      </c>
      <c r="B9" s="40" t="n">
        <f aca="false">IF('P&amp;L'!B5&lt;=0,"n/a",'P&amp;L'!B22/'P&amp;L'!B5)</f>
        <v>-0.600951460800047</v>
      </c>
      <c r="C9" s="40" t="n">
        <f aca="false">IF('P&amp;L'!C5&lt;=0,"n/a",'P&amp;L'!C22/'P&amp;L'!C5)</f>
        <v>-0.0942940025033336</v>
      </c>
      <c r="D9" s="40" t="n">
        <f aca="false">IF('P&amp;L'!D5&lt;=0,"n/a",'P&amp;L'!D22/'P&amp;L'!D5)</f>
        <v>0.0309199644358894</v>
      </c>
      <c r="E9" s="87"/>
    </row>
    <row r="10" customFormat="false" ht="15" hidden="false" customHeight="false" outlineLevel="0" collapsed="false">
      <c r="A10" s="39" t="s">
        <v>219</v>
      </c>
      <c r="B10" s="40" t="n">
        <f aca="false">IF('P&amp;L'!B5&lt;=0,"n/a",-SUMIF(Headcount!$C$5:$AL$5,B$5,Headcount!$C$15:$AL$15)/'P&amp;L'!B5)</f>
        <v>0.372010295279517</v>
      </c>
      <c r="C10" s="40" t="n">
        <f aca="false">IF('P&amp;L'!C5&lt;=0,"n/a",-SUMIF(Headcount!$C$5:$AL$5,C$5,Headcount!$C$15:$AL$15)/'P&amp;L'!C5)</f>
        <v>0.250410233643723</v>
      </c>
      <c r="D10" s="40" t="n">
        <f aca="false">IF('P&amp;L'!D5&lt;=0,"n/a",-SUMIF(Headcount!$C$5:$AL$5,D$5,Headcount!$C$15:$AL$15)/'P&amp;L'!D5)</f>
        <v>0.223901733381097</v>
      </c>
      <c r="E10" s="87"/>
    </row>
    <row r="11" customFormat="false" ht="15" hidden="false" customHeight="false" outlineLevel="0" collapsed="false">
      <c r="A11" s="39" t="s">
        <v>220</v>
      </c>
      <c r="B11" s="40" t="n">
        <f aca="false">IF('P&amp;L'!B5&lt;=0,"n/a",-'P&amp;L'!B13/'P&amp;L'!B5)</f>
        <v>0.1220150385392</v>
      </c>
      <c r="C11" s="40" t="n">
        <f aca="false">IF('P&amp;L'!C5&lt;=0,"n/a",-'P&amp;L'!C13/'P&amp;L'!C5)</f>
        <v>0.0637915622517905</v>
      </c>
      <c r="D11" s="40" t="n">
        <f aca="false">IF('P&amp;L'!D5&lt;=0,"n/a",-'P&amp;L'!D13/'P&amp;L'!D5)</f>
        <v>0.0443018010821413</v>
      </c>
      <c r="E11" s="87"/>
    </row>
    <row r="12" customFormat="false" ht="15" hidden="false" customHeight="false" outlineLevel="0" collapsed="false">
      <c r="A12" s="39" t="s">
        <v>221</v>
      </c>
      <c r="B12" s="40" t="n">
        <f aca="false">IF('P&amp;L'!B5&lt;=0,"n/a",-'P&amp;L'!B14/'P&amp;L'!B5)</f>
        <v>0.951581728340717</v>
      </c>
      <c r="C12" s="40" t="n">
        <f aca="false">IF('P&amp;L'!C5&lt;=0,"n/a",-'P&amp;L'!C14/'P&amp;L'!C5)</f>
        <v>0.622195432392439</v>
      </c>
      <c r="D12" s="40" t="n">
        <f aca="false">IF('P&amp;L'!D5&lt;=0,"n/a",-'P&amp;L'!D14/'P&amp;L'!D5)</f>
        <v>0.543592874900994</v>
      </c>
      <c r="E12" s="87"/>
    </row>
    <row r="13" customFormat="false" ht="15" hidden="false" customHeight="false" outlineLevel="0" collapsed="false">
      <c r="A13" s="6" t="s">
        <v>222</v>
      </c>
      <c r="B13" s="88" t="n">
        <f aca="false">IF(('Balance Sheet'!B12-'Balance Sheet'!B11)&lt;=0,"n/a",('Balance Sheet'!B5+'Balance Sheet'!B6+'Balance Sheet'!B7)/('Balance Sheet'!B12-'Balance Sheet'!B11))</f>
        <v>25.1352519854456</v>
      </c>
      <c r="C13" s="88" t="n">
        <f aca="false">IF(('Balance Sheet'!C12-'Balance Sheet'!C11)&lt;=0,"n/a",('Balance Sheet'!C5+'Balance Sheet'!C6+'Balance Sheet'!C7)/('Balance Sheet'!C12-'Balance Sheet'!C11))</f>
        <v>11.2828282810129</v>
      </c>
      <c r="D13" s="88" t="n">
        <f aca="false">IF(('Balance Sheet'!D12-'Balance Sheet'!D11)&lt;=0,"n/a",('Balance Sheet'!D5+'Balance Sheet'!D6+'Balance Sheet'!D7)/('Balance Sheet'!D12-'Balance Sheet'!D11))</f>
        <v>13.3028651428572</v>
      </c>
      <c r="E13" s="89"/>
    </row>
    <row r="14" customFormat="false" ht="15" hidden="false" customHeight="false" outlineLevel="0" collapsed="false">
      <c r="A14" s="6" t="s">
        <v>223</v>
      </c>
      <c r="B14" s="88" t="n">
        <f aca="false">IF('Balance Sheet'!B15&lt;=0,"n/a",'Balance Sheet'!B11/'Balance Sheet'!B15)</f>
        <v>1.95934954718088</v>
      </c>
      <c r="C14" s="88" t="n">
        <f aca="false">IF('Balance Sheet'!C15&lt;=0,"n/a",'Balance Sheet'!C11/'Balance Sheet'!C15)</f>
        <v>1.9869168674045</v>
      </c>
      <c r="D14" s="88" t="n">
        <f aca="false">IF('Balance Sheet'!D15&lt;=0,"n/a",'Balance Sheet'!D11/'Balance Sheet'!D15)</f>
        <v>1.65394625733797</v>
      </c>
      <c r="E14" s="89"/>
    </row>
    <row r="15" customFormat="false" ht="15" hidden="false" customHeight="false" outlineLevel="0" collapsed="false">
      <c r="A15" s="39" t="s">
        <v>224</v>
      </c>
      <c r="B15" s="40" t="n">
        <f aca="false">IF('Balance Sheet'!B9&lt;=0,"n/a",'P&amp;L'!B22/'Balance Sheet'!B9)</f>
        <v>-0.171702955749435</v>
      </c>
      <c r="C15" s="40" t="n">
        <f aca="false">IF('Balance Sheet'!C9&lt;=0,"n/a",'P&amp;L'!C22/'Balance Sheet'!C9)</f>
        <v>-0.0464726723709948</v>
      </c>
      <c r="D15" s="40" t="n">
        <f aca="false">IF('Balance Sheet'!D9&lt;=0,"n/a",'P&amp;L'!D22/'Balance Sheet'!D9)</f>
        <v>0.0187455245178273</v>
      </c>
      <c r="E15" s="87"/>
    </row>
    <row r="16" customFormat="false" ht="15" hidden="false" customHeight="false" outlineLevel="0" collapsed="false">
      <c r="A16" s="39" t="s">
        <v>225</v>
      </c>
      <c r="B16" s="40" t="n">
        <f aca="false">IF('Balance Sheet'!B15&lt;=0,"n/a",'P&amp;L'!B22/'Balance Sheet'!B15)</f>
        <v>-0.50995744920361</v>
      </c>
      <c r="C16" s="40" t="n">
        <f aca="false">IF('Balance Sheet'!C15&lt;=0,"n/a",'P&amp;L'!C22/'Balance Sheet'!C15)</f>
        <v>-0.139521541300192</v>
      </c>
      <c r="D16" s="40" t="n">
        <f aca="false">IF('Balance Sheet'!D15&lt;=0,"n/a",'P&amp;L'!D22/'Balance Sheet'!D15)</f>
        <v>0.0500636521561513</v>
      </c>
      <c r="E16" s="87"/>
    </row>
    <row r="18" customFormat="false" ht="15.75" hidden="false" customHeight="true" outlineLevel="0" collapsed="false">
      <c r="A18" s="7" t="s">
        <v>226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2" t="s">
        <v>51</v>
      </c>
      <c r="B20" s="40" t="n">
        <f aca="false">IF('P&amp;L'!B5&lt;=0,"n/a",'P&amp;L'!B22/'P&amp;L'!B5)</f>
        <v>-0.600951460800047</v>
      </c>
      <c r="C20" s="40" t="n">
        <f aca="false">IF('P&amp;L'!C5&lt;=0,"n/a",'P&amp;L'!C22/'P&amp;L'!C5)</f>
        <v>-0.0942940025033336</v>
      </c>
      <c r="D20" s="40" t="n">
        <f aca="false">IF('P&amp;L'!D5&lt;=0,"n/a",'P&amp;L'!D22/'P&amp;L'!D5)</f>
        <v>0.0309199644358894</v>
      </c>
    </row>
    <row r="21" customFormat="false" ht="15" hidden="false" customHeight="false" outlineLevel="0" collapsed="false">
      <c r="A21" s="52" t="s">
        <v>227</v>
      </c>
      <c r="B21" s="88" t="n">
        <f aca="false">IF('Balance Sheet'!B9&lt;=0,"n/a",'P&amp;L'!B5/'Balance Sheet'!B9)</f>
        <v>0.285718509646098</v>
      </c>
      <c r="C21" s="88" t="n">
        <f aca="false">IF('Balance Sheet'!C9&lt;=0,"n/a",'P&amp;L'!C5/'Balance Sheet'!C9)</f>
        <v>0.492848655664519</v>
      </c>
      <c r="D21" s="88" t="n">
        <f aca="false">IF('Balance Sheet'!D9&lt;=0,"n/a",'P&amp;L'!D5/'Balance Sheet'!D9)</f>
        <v>0.606259575643918</v>
      </c>
    </row>
    <row r="22" customFormat="false" ht="15" hidden="false" customHeight="false" outlineLevel="0" collapsed="false">
      <c r="A22" s="52" t="s">
        <v>228</v>
      </c>
      <c r="B22" s="88" t="n">
        <f aca="false">IF('Balance Sheet'!B15&lt;=0,"n/a",'Balance Sheet'!B9/'Balance Sheet'!B15)</f>
        <v>2.96999808173243</v>
      </c>
      <c r="C22" s="88" t="n">
        <f aca="false">IF('Balance Sheet'!C15&lt;=0,"n/a",'Balance Sheet'!C9/'Balance Sheet'!C15)</f>
        <v>3.002227635768</v>
      </c>
      <c r="D22" s="88" t="n">
        <f aca="false">IF('Balance Sheet'!D15&lt;=0,"n/a",'Balance Sheet'!D9/'Balance Sheet'!D15)</f>
        <v>2.67069892381725</v>
      </c>
    </row>
    <row r="23" customFormat="false" ht="15" hidden="false" customHeight="false" outlineLevel="0" collapsed="false">
      <c r="A23" s="41" t="s">
        <v>229</v>
      </c>
      <c r="B23" s="90" t="n">
        <f aca="false">IF(AND(ISNUMBER(B20),ISNUMBER(B21),ISNUMBER(B22)),B20*B21*B22,"n/a")</f>
        <v>-0.50995744920361</v>
      </c>
      <c r="C23" s="90" t="n">
        <f aca="false">IF(AND(ISNUMBER(C20),ISNUMBER(C21),ISNUMBER(C22)),C20*C21*C22,"n/a")</f>
        <v>-0.139521541300192</v>
      </c>
      <c r="D23" s="90" t="n">
        <f aca="false">IF(AND(ISNUMBER(D20),ISNUMBER(D21),ISNUMBER(D22)),D20*D21*D22,"n/a")</f>
        <v>0.0500636521561513</v>
      </c>
    </row>
    <row r="24" customFormat="false" ht="15" hidden="false" customHeight="false" outlineLevel="0" collapsed="false">
      <c r="A24" s="21" t="s">
        <v>230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</row>
    <row r="27" customFormat="false" ht="15" hidden="false" customHeight="false" outlineLevel="0" collapsed="false">
      <c r="A27" s="74" t="s">
        <v>155</v>
      </c>
      <c r="B27" s="74" t="n">
        <v>1</v>
      </c>
      <c r="C27" s="74" t="n">
        <v>2</v>
      </c>
      <c r="D27" s="74" t="n">
        <v>3</v>
      </c>
    </row>
    <row r="28" customFormat="false" ht="15" hidden="false" customHeight="false" outlineLevel="0" collapsed="false">
      <c r="A28" s="33"/>
      <c r="B28" s="35" t="s">
        <v>156</v>
      </c>
      <c r="C28" s="35" t="s">
        <v>157</v>
      </c>
      <c r="D28" s="35" t="s">
        <v>158</v>
      </c>
      <c r="E28" s="35" t="s">
        <v>217</v>
      </c>
    </row>
    <row r="29" customFormat="false" ht="15" hidden="false" customHeight="false" outlineLevel="0" collapsed="false">
      <c r="A29" s="4" t="s">
        <v>58</v>
      </c>
      <c r="B29" s="91" t="n">
        <f aca="false">INDEX(Monthly!$C$19:$AL$19,B$27*12)</f>
        <v>972.089183697303</v>
      </c>
      <c r="C29" s="91" t="n">
        <f aca="false">INDEX(Monthly!$C$19:$AL$19,C$27*12)</f>
        <v>1644.34338061813</v>
      </c>
      <c r="D29" s="91" t="n">
        <f aca="false">INDEX(Monthly!$C$19:$AL$19,D$27*12)</f>
        <v>2081.65600865264</v>
      </c>
      <c r="E29" s="92"/>
    </row>
    <row r="30" customFormat="false" ht="15" hidden="false" customHeight="false" outlineLevel="0" collapsed="false">
      <c r="A30" s="6" t="s">
        <v>232</v>
      </c>
      <c r="B30" s="93" t="n">
        <f aca="false">SUMIF(Monthly!$C$5:$AL$5,B$27,Monthly!$C$16:$AL$16)</f>
        <v>981.453066666667</v>
      </c>
      <c r="C30" s="93" t="n">
        <f aca="false">SUMIF(Monthly!$C$5:$AL$5,C$27,Monthly!$C$16:$AL$16)</f>
        <v>1298.16</v>
      </c>
      <c r="D30" s="93" t="n">
        <f aca="false">SUMIF(Monthly!$C$5:$AL$5,D$27,Monthly!$C$16:$AL$16)</f>
        <v>1329.66</v>
      </c>
      <c r="E30" s="92"/>
    </row>
    <row r="31" customFormat="false" ht="15" hidden="false" customHeight="false" outlineLevel="0" collapsed="false">
      <c r="A31" s="6" t="s">
        <v>233</v>
      </c>
      <c r="B31" s="93" t="n">
        <f aca="false">SUMIF(Monthly!$C$5:$AL$5,B$27,Monthly!$C$18:$AL$18)</f>
        <v>-259.363882969363</v>
      </c>
      <c r="C31" s="93" t="n">
        <f aca="false">SUMIF(Monthly!$C$5:$AL$5,C$27,Monthly!$C$18:$AL$18)</f>
        <v>-625.905803079172</v>
      </c>
      <c r="D31" s="93" t="n">
        <f aca="false">SUMIF(Monthly!$C$5:$AL$5,D$27,Monthly!$C$18:$AL$18)</f>
        <v>-892.347371965488</v>
      </c>
      <c r="E31" s="92"/>
    </row>
    <row r="32" customFormat="false" ht="15" hidden="false" customHeight="false" outlineLevel="0" collapsed="false">
      <c r="A32" s="39" t="s">
        <v>234</v>
      </c>
      <c r="B32" s="94" t="n">
        <f aca="false">Inputs!$E$23</f>
        <v>0.04</v>
      </c>
      <c r="C32" s="94" t="n">
        <f aca="false">Inputs!$E$23</f>
        <v>0.04</v>
      </c>
      <c r="D32" s="94" t="n">
        <f aca="false">Inputs!$E$23</f>
        <v>0.04</v>
      </c>
      <c r="E32" s="95"/>
    </row>
    <row r="33" customFormat="false" ht="15" hidden="false" customHeight="false" outlineLevel="0" collapsed="false">
      <c r="A33" s="4" t="s">
        <v>235</v>
      </c>
      <c r="B33" s="91" t="n">
        <f aca="false">SUMIF(Monthly!$C$5:$AL$5,B$27,Monthly!$C$28:$AL$28)</f>
        <v>88966.9491822926</v>
      </c>
      <c r="C33" s="91" t="n">
        <f aca="false">SUMIF(Monthly!$C$5:$AL$5,C$27,Monthly!$C$28:$AL$28)</f>
        <v>139676.344154842</v>
      </c>
      <c r="D33" s="91" t="n">
        <f aca="false">SUMIF(Monthly!$C$5:$AL$5,D$27,Monthly!$C$28:$AL$28)</f>
        <v>162504.894526232</v>
      </c>
      <c r="E33" s="92"/>
    </row>
    <row r="34" customFormat="false" ht="15" hidden="false" customHeight="false" outlineLevel="0" collapsed="false">
      <c r="A34" s="6" t="s">
        <v>236</v>
      </c>
      <c r="B34" s="93" t="n">
        <f aca="false">SUMIF(Monthly!$C$5:$AL$5,B$27,Monthly!$C$26:$AL$26)</f>
        <v>64869.1333333333</v>
      </c>
      <c r="C34" s="93" t="n">
        <f aca="false">SUMIF(Monthly!$C$5:$AL$5,C$27,Monthly!$C$26:$AL$26)</f>
        <v>83520</v>
      </c>
      <c r="D34" s="93" t="n">
        <f aca="false">SUMIF(Monthly!$C$5:$AL$5,D$27,Monthly!$C$26:$AL$26)</f>
        <v>83520</v>
      </c>
      <c r="E34" s="92"/>
    </row>
    <row r="35" customFormat="false" ht="15" hidden="false" customHeight="false" outlineLevel="0" collapsed="false">
      <c r="A35" s="6" t="s">
        <v>237</v>
      </c>
      <c r="B35" s="93" t="n">
        <f aca="false">SUMIF(Monthly!$C$5:$AL$5,B$27,Monthly!$C$27:$AL$27)</f>
        <v>24097.8158489592</v>
      </c>
      <c r="C35" s="93" t="n">
        <f aca="false">SUMIF(Monthly!$C$5:$AL$5,C$27,Monthly!$C$27:$AL$27)</f>
        <v>56156.3441548421</v>
      </c>
      <c r="D35" s="93" t="n">
        <f aca="false">SUMIF(Monthly!$C$5:$AL$5,D$27,Monthly!$C$27:$AL$27)</f>
        <v>78984.8945262322</v>
      </c>
      <c r="E35" s="92"/>
    </row>
    <row r="36" customFormat="false" ht="15" hidden="false" customHeight="false" outlineLevel="0" collapsed="false">
      <c r="A36" s="39" t="s">
        <v>238</v>
      </c>
      <c r="B36" s="94" t="n">
        <f aca="false">IF(B33=0,0,B35/B33)</f>
        <v>0.270862562675753</v>
      </c>
      <c r="C36" s="94" t="n">
        <f aca="false">IF(C33=0,0,C35/C33)</f>
        <v>0.402046205423221</v>
      </c>
      <c r="D36" s="94" t="n">
        <f aca="false">IF(D33=0,0,D35/D33)</f>
        <v>0.486046249600698</v>
      </c>
      <c r="E36" s="95"/>
    </row>
    <row r="37" customFormat="false" ht="15" hidden="false" customHeight="false" outlineLevel="0" collapsed="false">
      <c r="A37" s="6" t="s">
        <v>59</v>
      </c>
      <c r="B37" s="93" t="n">
        <f aca="false">IF(Inputs!$E$8=0,0,B33/(Inputs!$E$8*12))</f>
        <v>255.65215282268</v>
      </c>
      <c r="C37" s="93" t="n">
        <f aca="false">IF(Inputs!$E$8=0,0,C33/(Inputs!$E$8*12))</f>
        <v>401.36880504265</v>
      </c>
      <c r="D37" s="93" t="n">
        <f aca="false">IF(Inputs!$E$8=0,0,D33/(Inputs!$E$8*12))</f>
        <v>466.968087719058</v>
      </c>
      <c r="E37" s="92"/>
    </row>
    <row r="38" customFormat="false" ht="15" hidden="false" customHeight="false" outlineLevel="0" collapsed="false">
      <c r="A38" s="6" t="s">
        <v>239</v>
      </c>
      <c r="B38" s="93" t="n">
        <f aca="false">SUMIF(Monthly!$C$5:$AL$5,B$27,Monthly!$C$24:$AL$24)</f>
        <v>294756</v>
      </c>
      <c r="C38" s="93" t="n">
        <f aca="false">SUMIF(Monthly!$C$5:$AL$5,C$27,Monthly!$C$24:$AL$24)</f>
        <v>294756</v>
      </c>
      <c r="D38" s="93" t="n">
        <f aca="false">SUMIF(Monthly!$C$5:$AL$5,D$27,Monthly!$C$24:$AL$24)</f>
        <v>294756</v>
      </c>
      <c r="E38" s="92"/>
    </row>
    <row r="39" customFormat="false" ht="15" hidden="false" customHeight="false" outlineLevel="0" collapsed="false">
      <c r="A39" s="39" t="s">
        <v>60</v>
      </c>
      <c r="B39" s="94" t="n">
        <f aca="false">IF(B38=0,0,B33/B38)</f>
        <v>0.301832529896906</v>
      </c>
      <c r="C39" s="94" t="n">
        <f aca="false">IF(C38=0,0,C33/C38)</f>
        <v>0.473871080333707</v>
      </c>
      <c r="D39" s="94" t="n">
        <f aca="false">IF(D38=0,0,D33/D38)</f>
        <v>0.551320056338912</v>
      </c>
      <c r="E39" s="95"/>
    </row>
    <row r="40" customFormat="false" ht="15" hidden="false" customHeight="false" outlineLevel="0" collapsed="false">
      <c r="A40" s="6" t="s">
        <v>240</v>
      </c>
      <c r="B40" s="93" t="n">
        <f aca="false">SUMIF(Monthly!$C$5:$AL$5,B$27,Monthly!$C$29:$AL$29)</f>
        <v>0</v>
      </c>
      <c r="C40" s="93" t="n">
        <f aca="false">SUMIF(Monthly!$C$5:$AL$5,C$27,Monthly!$C$29:$AL$29)</f>
        <v>0</v>
      </c>
      <c r="D40" s="93" t="n">
        <f aca="false">SUMIF(Monthly!$C$5:$AL$5,D$27,Monthly!$C$29:$AL$29)</f>
        <v>0</v>
      </c>
      <c r="E40" s="92"/>
    </row>
    <row r="41" customFormat="false" ht="15" hidden="false" customHeight="false" outlineLevel="0" collapsed="false">
      <c r="A41" s="4" t="s">
        <v>44</v>
      </c>
      <c r="B41" s="96" t="n">
        <f aca="false">SUMIF(Monthly!$C$5:$AL$5,B$27,Monthly!$C$37:$AL$37)</f>
        <v>1180182.39164623</v>
      </c>
      <c r="C41" s="96" t="n">
        <f aca="false">SUMIF(Monthly!$C$5:$AL$5,C$27,Monthly!$C$37:$AL$37)</f>
        <v>1805881.4666632</v>
      </c>
      <c r="D41" s="96" t="n">
        <f aca="false">SUMIF(Monthly!$C$5:$AL$5,D$27,Monthly!$C$37:$AL$37)</f>
        <v>2080276.59708741</v>
      </c>
      <c r="E41" s="97"/>
    </row>
    <row r="42" customFormat="false" ht="15" hidden="false" customHeight="false" outlineLevel="0" collapsed="false">
      <c r="A42" s="6" t="s">
        <v>241</v>
      </c>
      <c r="B42" s="36" t="n">
        <f aca="false">SUMIF(Monthly!$C$5:$AL$5,B$27,Monthly!$C$36:$AL$36)</f>
        <v>239579.958312896</v>
      </c>
      <c r="C42" s="36" t="n">
        <f aca="false">SUMIF(Monthly!$C$5:$AL$5,C$27,Monthly!$C$36:$AL$36)</f>
        <v>570620.666663197</v>
      </c>
      <c r="D42" s="36" t="n">
        <f aca="false">SUMIF(Monthly!$C$5:$AL$5,D$27,Monthly!$C$36:$AL$36)</f>
        <v>820310.581087405</v>
      </c>
      <c r="E42" s="97"/>
    </row>
    <row r="43" customFormat="false" ht="15" hidden="false" customHeight="false" outlineLevel="0" collapsed="false">
      <c r="A43" s="6" t="s">
        <v>242</v>
      </c>
      <c r="B43" s="36" t="n">
        <f aca="false">B41-B42</f>
        <v>940602.433333333</v>
      </c>
      <c r="C43" s="36" t="n">
        <f aca="false">C41-C42</f>
        <v>1235260.8</v>
      </c>
      <c r="D43" s="36" t="n">
        <f aca="false">D41-D42</f>
        <v>1259966.016</v>
      </c>
      <c r="E43" s="97"/>
    </row>
    <row r="44" customFormat="false" ht="15" hidden="false" customHeight="false" outlineLevel="0" collapsed="false">
      <c r="A44" s="39" t="s">
        <v>243</v>
      </c>
      <c r="B44" s="94" t="n">
        <f aca="false">IF(B41=0,0,B42/B41)</f>
        <v>0.203002485046999</v>
      </c>
      <c r="C44" s="94" t="n">
        <f aca="false">IF(C41=0,0,C42/C41)</f>
        <v>0.315979025864614</v>
      </c>
      <c r="D44" s="94" t="n">
        <f aca="false">IF(D41=0,0,D42/D41)</f>
        <v>0.394327649619249</v>
      </c>
      <c r="E44" s="95"/>
    </row>
    <row r="45" customFormat="false" ht="15" hidden="false" customHeight="false" outlineLevel="0" collapsed="false">
      <c r="A45" s="6" t="s">
        <v>244</v>
      </c>
      <c r="B45" s="98" t="n">
        <f aca="false">IF(B33=0,0,B41/B33)</f>
        <v>13.2654025173781</v>
      </c>
      <c r="C45" s="98" t="n">
        <f aca="false">IF(C33=0,0,C41/C33)</f>
        <v>12.9290430501334</v>
      </c>
      <c r="D45" s="98" t="n">
        <f aca="false">IF(D33=0,0,D41/D33)</f>
        <v>12.8013165582013</v>
      </c>
      <c r="E45" s="99"/>
    </row>
    <row r="46" customFormat="false" ht="15" hidden="false" customHeight="false" outlineLevel="0" collapsed="false">
      <c r="A46" s="6" t="s">
        <v>245</v>
      </c>
      <c r="B46" s="98" t="n">
        <f aca="false">IF(B35=0,0,B42/B35)</f>
        <v>9.94197813671329</v>
      </c>
      <c r="C46" s="98" t="n">
        <f aca="false">IF(C35=0,0,C42/C35)</f>
        <v>10.1612858751952</v>
      </c>
      <c r="D46" s="98" t="n">
        <f aca="false">IF(D35=0,0,D42/D35)</f>
        <v>10.385664069159</v>
      </c>
      <c r="E46" s="99"/>
    </row>
    <row r="47" customFormat="false" ht="15" hidden="false" customHeight="false" outlineLevel="0" collapsed="false">
      <c r="A47" s="6" t="s">
        <v>246</v>
      </c>
      <c r="B47" s="36" t="n">
        <f aca="false">SUMIF(Monthly!$C$5:$AL$5,B$27,Monthly!$C$43:$AL$43)</f>
        <v>-145016.127167137</v>
      </c>
      <c r="C47" s="36" t="n">
        <f aca="false">SUMIF(Monthly!$C$5:$AL$5,C$27,Monthly!$C$43:$AL$43)</f>
        <v>-234502.614201564</v>
      </c>
      <c r="D47" s="36" t="n">
        <f aca="false">SUMIF(Monthly!$C$5:$AL$5,D$27,Monthly!$C$43:$AL$43)</f>
        <v>-281014.351442694</v>
      </c>
      <c r="E47" s="97"/>
    </row>
    <row r="48" customFormat="false" ht="15" hidden="false" customHeight="false" outlineLevel="0" collapsed="false">
      <c r="A48" s="6" t="s">
        <v>247</v>
      </c>
      <c r="B48" s="98" t="n">
        <f aca="false">IF(B33=0,0,-B47/B33)</f>
        <v>1.63</v>
      </c>
      <c r="C48" s="98" t="n">
        <f aca="false">IF(C33=0,0,-C47/C33)</f>
        <v>1.6789</v>
      </c>
      <c r="D48" s="98" t="n">
        <f aca="false">IF(D33=0,0,-D47/D33)</f>
        <v>1.729267</v>
      </c>
      <c r="E48" s="99"/>
    </row>
    <row r="49" customFormat="false" ht="15" hidden="false" customHeight="false" outlineLevel="0" collapsed="false">
      <c r="A49" s="6" t="s">
        <v>45</v>
      </c>
      <c r="B49" s="36" t="n">
        <f aca="false">SUMIF(Monthly!$C$5:$AL$5,B$27,Monthly!$C$46:$AL$46)</f>
        <v>999760.792729705</v>
      </c>
      <c r="C49" s="36" t="n">
        <f aca="false">SUMIF(Monthly!$C$5:$AL$5,C$27,Monthly!$C$46:$AL$46)</f>
        <v>1517202.40846174</v>
      </c>
      <c r="D49" s="36" t="n">
        <f aca="false">SUMIF(Monthly!$C$5:$AL$5,D$27,Monthly!$C$46:$AL$46)</f>
        <v>1736853.94773209</v>
      </c>
      <c r="E49" s="97"/>
    </row>
    <row r="50" customFormat="false" ht="15" hidden="false" customHeight="false" outlineLevel="0" collapsed="false">
      <c r="A50" s="39" t="s">
        <v>46</v>
      </c>
      <c r="B50" s="94" t="n">
        <f aca="false">IF(B41=0,0,B49/B41)</f>
        <v>0.847123969825669</v>
      </c>
      <c r="C50" s="94" t="n">
        <f aca="false">IF(C41=0,0,C49/C41)</f>
        <v>0.840145068471817</v>
      </c>
      <c r="D50" s="94" t="n">
        <f aca="false">IF(D41=0,0,D49/D41)</f>
        <v>0.83491490995181</v>
      </c>
      <c r="E50" s="95"/>
    </row>
    <row r="51" customFormat="false" ht="15" hidden="false" customHeight="false" outlineLevel="0" collapsed="false">
      <c r="A51" s="6" t="s">
        <v>48</v>
      </c>
      <c r="B51" s="36" t="n">
        <f aca="false">SUMIF(Monthly!$C$5:$AL$5,B$27,Monthly!$C$55:$AL$55)</f>
        <v>-123279.207270295</v>
      </c>
      <c r="C51" s="36" t="n">
        <f aca="false">SUMIF(Monthly!$C$5:$AL$5,C$27,Monthly!$C$55:$AL$55)</f>
        <v>393591.208461737</v>
      </c>
      <c r="D51" s="36" t="n">
        <f aca="false">SUMIF(Monthly!$C$5:$AL$5,D$27,Monthly!$C$55:$AL$55)</f>
        <v>606030.411732089</v>
      </c>
      <c r="E51" s="97"/>
    </row>
    <row r="52" customFormat="false" ht="15" hidden="false" customHeight="false" outlineLevel="0" collapsed="false">
      <c r="A52" s="39" t="s">
        <v>49</v>
      </c>
      <c r="B52" s="94" t="n">
        <f aca="false">IF(B41=0,0,B51/B41)</f>
        <v>-0.104457758515049</v>
      </c>
      <c r="C52" s="94" t="n">
        <f aca="false">IF(C41=0,0,C51/C41)</f>
        <v>0.217949636079378</v>
      </c>
      <c r="D52" s="94" t="n">
        <f aca="false">IF(D41=0,0,D51/D41)</f>
        <v>0.291322035050816</v>
      </c>
      <c r="E52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248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249</v>
      </c>
    </row>
    <row r="5" customFormat="false" ht="15" hidden="false" customHeight="false" outlineLevel="0" collapsed="false">
      <c r="A5" s="33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3" t="s">
        <v>250</v>
      </c>
      <c r="G5" s="33" t="s">
        <v>251</v>
      </c>
    </row>
    <row r="6" customFormat="false" ht="15.75" hidden="false" customHeight="true" outlineLevel="0" collapsed="false">
      <c r="A6" s="7" t="s">
        <v>252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253</v>
      </c>
      <c r="B7" s="100" t="n">
        <v>200</v>
      </c>
      <c r="C7" s="100" t="n">
        <v>240</v>
      </c>
      <c r="D7" s="100" t="n">
        <v>280</v>
      </c>
      <c r="E7" s="101" t="n">
        <f aca="false">CHOOSE(Dashboard!$B$4,B7,C7,D7)</f>
        <v>240</v>
      </c>
      <c r="F7" s="39" t="s">
        <v>254</v>
      </c>
      <c r="G7" s="102" t="s">
        <v>255</v>
      </c>
    </row>
    <row r="8" customFormat="false" ht="15" hidden="false" customHeight="false" outlineLevel="0" collapsed="false">
      <c r="A8" s="6" t="s">
        <v>256</v>
      </c>
      <c r="B8" s="100" t="n">
        <v>29</v>
      </c>
      <c r="C8" s="100" t="n">
        <v>29</v>
      </c>
      <c r="D8" s="100" t="n">
        <v>29</v>
      </c>
      <c r="E8" s="101" t="n">
        <f aca="false">CHOOSE(Dashboard!$B$4,B8,C8,D8)</f>
        <v>29</v>
      </c>
      <c r="F8" s="39" t="s">
        <v>257</v>
      </c>
      <c r="G8" s="102"/>
    </row>
    <row r="9" customFormat="false" ht="15" hidden="false" customHeight="false" outlineLevel="0" collapsed="false">
      <c r="A9" s="6" t="s">
        <v>258</v>
      </c>
      <c r="B9" s="103" t="n">
        <v>12</v>
      </c>
      <c r="C9" s="103" t="n">
        <v>9</v>
      </c>
      <c r="D9" s="103" t="n">
        <v>7</v>
      </c>
      <c r="E9" s="104" t="n">
        <f aca="false">CHOOSE(Dashboard!$B$4,B9,C9,D9)</f>
        <v>9</v>
      </c>
      <c r="F9" s="39" t="s">
        <v>259</v>
      </c>
      <c r="G9" s="102" t="s">
        <v>260</v>
      </c>
    </row>
    <row r="10" customFormat="false" ht="15" hidden="false" customHeight="false" outlineLevel="0" collapsed="false">
      <c r="A10" s="6" t="s">
        <v>261</v>
      </c>
      <c r="B10" s="105" t="n">
        <v>0.35</v>
      </c>
      <c r="C10" s="105" t="n">
        <v>0.45</v>
      </c>
      <c r="D10" s="105" t="n">
        <v>0.55</v>
      </c>
      <c r="E10" s="106" t="n">
        <f aca="false">CHOOSE(Dashboard!$B$4,B10,C10,D10)</f>
        <v>0.45</v>
      </c>
      <c r="F10" s="39" t="s">
        <v>262</v>
      </c>
      <c r="G10" s="102" t="s">
        <v>255</v>
      </c>
    </row>
    <row r="11" customFormat="false" ht="15" hidden="false" customHeight="false" outlineLevel="0" collapsed="false">
      <c r="A11" s="6" t="s">
        <v>263</v>
      </c>
      <c r="B11" s="105" t="n">
        <v>0.2</v>
      </c>
      <c r="C11" s="105" t="n">
        <v>0.15</v>
      </c>
      <c r="D11" s="105" t="n">
        <v>0.1</v>
      </c>
      <c r="E11" s="106" t="n">
        <f aca="false">CHOOSE(Dashboard!$B$4,B11,C11,D11)</f>
        <v>0.15</v>
      </c>
      <c r="F11" s="39" t="s">
        <v>262</v>
      </c>
      <c r="G11" s="102" t="s">
        <v>260</v>
      </c>
    </row>
    <row r="13" customFormat="false" ht="15.75" hidden="false" customHeight="true" outlineLevel="0" collapsed="false">
      <c r="A13" s="7" t="s">
        <v>264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265</v>
      </c>
      <c r="B14" s="103" t="n">
        <v>140</v>
      </c>
      <c r="C14" s="103" t="n">
        <v>140</v>
      </c>
      <c r="D14" s="103" t="n">
        <v>140</v>
      </c>
      <c r="E14" s="104" t="n">
        <f aca="false">CHOOSE(Dashboard!$B$4,B14,C14,D14)</f>
        <v>140</v>
      </c>
      <c r="F14" s="39" t="s">
        <v>266</v>
      </c>
      <c r="G14" s="102"/>
    </row>
    <row r="15" customFormat="false" ht="15" hidden="false" customHeight="false" outlineLevel="0" collapsed="false">
      <c r="A15" s="6" t="s">
        <v>267</v>
      </c>
      <c r="B15" s="100" t="n">
        <v>11</v>
      </c>
      <c r="C15" s="100" t="n">
        <v>11</v>
      </c>
      <c r="D15" s="100" t="n">
        <v>11</v>
      </c>
      <c r="E15" s="101" t="n">
        <f aca="false">CHOOSE(Dashboard!$B$4,B15,C15,D15)</f>
        <v>11</v>
      </c>
      <c r="F15" s="39" t="s">
        <v>268</v>
      </c>
      <c r="G15" s="102"/>
    </row>
    <row r="16" customFormat="false" ht="15" hidden="false" customHeight="false" outlineLevel="0" collapsed="false">
      <c r="A16" s="6" t="s">
        <v>269</v>
      </c>
      <c r="B16" s="105" t="n">
        <v>0.55</v>
      </c>
      <c r="C16" s="105" t="n">
        <v>0.55</v>
      </c>
      <c r="D16" s="105" t="n">
        <v>0.55</v>
      </c>
      <c r="E16" s="106" t="n">
        <f aca="false">CHOOSE(Dashboard!$B$4,B16,C16,D16)</f>
        <v>0.55</v>
      </c>
      <c r="F16" s="39" t="s">
        <v>262</v>
      </c>
      <c r="G16" s="102"/>
    </row>
    <row r="18" customFormat="false" ht="15.75" hidden="false" customHeight="true" outlineLevel="0" collapsed="false">
      <c r="A18" s="7" t="s">
        <v>270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271</v>
      </c>
      <c r="B19" s="103" t="n">
        <v>150</v>
      </c>
      <c r="C19" s="103" t="n">
        <v>250</v>
      </c>
      <c r="D19" s="103" t="n">
        <v>350</v>
      </c>
      <c r="E19" s="104" t="n">
        <f aca="false">CHOOSE(Dashboard!$B$4,B19,C19,D19)</f>
        <v>250</v>
      </c>
      <c r="F19" s="39" t="s">
        <v>272</v>
      </c>
      <c r="G19" s="102" t="s">
        <v>255</v>
      </c>
    </row>
    <row r="20" customFormat="false" ht="15" hidden="false" customHeight="false" outlineLevel="0" collapsed="false">
      <c r="A20" s="6" t="s">
        <v>273</v>
      </c>
      <c r="B20" s="100" t="n">
        <v>40</v>
      </c>
      <c r="C20" s="100" t="n">
        <v>50</v>
      </c>
      <c r="D20" s="100" t="n">
        <v>60</v>
      </c>
      <c r="E20" s="101" t="n">
        <f aca="false">CHOOSE(Dashboard!$B$4,B20,C20,D20)</f>
        <v>50</v>
      </c>
      <c r="F20" s="39" t="s">
        <v>272</v>
      </c>
      <c r="G20" s="102" t="s">
        <v>255</v>
      </c>
    </row>
    <row r="21" customFormat="false" ht="15" hidden="false" customHeight="false" outlineLevel="0" collapsed="false">
      <c r="A21" s="6" t="s">
        <v>274</v>
      </c>
      <c r="B21" s="105" t="n">
        <v>0</v>
      </c>
      <c r="C21" s="105" t="n">
        <v>0.05</v>
      </c>
      <c r="D21" s="105" t="n">
        <v>0.1</v>
      </c>
      <c r="E21" s="106" t="n">
        <f aca="false">CHOOSE(Dashboard!$B$4,B21,C21,D21)</f>
        <v>0.05</v>
      </c>
      <c r="F21" s="39" t="s">
        <v>262</v>
      </c>
      <c r="G21" s="102" t="s">
        <v>255</v>
      </c>
    </row>
    <row r="22" customFormat="false" ht="15" hidden="false" customHeight="false" outlineLevel="0" collapsed="false">
      <c r="A22" s="6" t="s">
        <v>275</v>
      </c>
      <c r="B22" s="105" t="n">
        <v>0.006</v>
      </c>
      <c r="C22" s="105" t="n">
        <v>0.008</v>
      </c>
      <c r="D22" s="105" t="n">
        <v>0.01</v>
      </c>
      <c r="E22" s="106" t="n">
        <f aca="false">CHOOSE(Dashboard!$B$4,B22,C22,D22)</f>
        <v>0.008</v>
      </c>
      <c r="F22" s="39" t="s">
        <v>262</v>
      </c>
      <c r="G22" s="102" t="s">
        <v>255</v>
      </c>
    </row>
    <row r="23" customFormat="false" ht="15" hidden="false" customHeight="false" outlineLevel="0" collapsed="false">
      <c r="A23" s="6" t="s">
        <v>234</v>
      </c>
      <c r="B23" s="105" t="n">
        <v>0.05</v>
      </c>
      <c r="C23" s="105" t="n">
        <v>0.04</v>
      </c>
      <c r="D23" s="105" t="n">
        <v>0.032</v>
      </c>
      <c r="E23" s="106" t="n">
        <f aca="false">CHOOSE(Dashboard!$B$4,B23,C23,D23)</f>
        <v>0.04</v>
      </c>
      <c r="F23" s="39" t="s">
        <v>262</v>
      </c>
      <c r="G23" s="102" t="s">
        <v>260</v>
      </c>
    </row>
    <row r="24" customFormat="false" ht="15" hidden="false" customHeight="false" outlineLevel="0" collapsed="false">
      <c r="A24" s="6" t="s">
        <v>276</v>
      </c>
      <c r="B24" s="100" t="n">
        <v>3.8</v>
      </c>
      <c r="C24" s="100" t="n">
        <v>3.5</v>
      </c>
      <c r="D24" s="100" t="n">
        <v>3.2</v>
      </c>
      <c r="E24" s="101" t="n">
        <f aca="false">CHOOSE(Dashboard!$B$4,B24,C24,D24)</f>
        <v>3.5</v>
      </c>
      <c r="F24" s="39" t="s">
        <v>277</v>
      </c>
      <c r="G24" s="102" t="s">
        <v>260</v>
      </c>
    </row>
    <row r="26" customFormat="false" ht="15.75" hidden="false" customHeight="true" outlineLevel="0" collapsed="false">
      <c r="A26" s="7" t="s">
        <v>278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279</v>
      </c>
      <c r="B27" s="107" t="n">
        <v>12</v>
      </c>
      <c r="C27" s="107" t="n">
        <v>13</v>
      </c>
      <c r="D27" s="107" t="n">
        <v>14</v>
      </c>
      <c r="E27" s="108" t="n">
        <f aca="false">CHOOSE(Dashboard!$B$4,B27,C27,D27)</f>
        <v>13</v>
      </c>
      <c r="F27" s="39" t="s">
        <v>280</v>
      </c>
      <c r="G27" s="102" t="s">
        <v>255</v>
      </c>
    </row>
    <row r="28" customFormat="false" ht="15" hidden="false" customHeight="false" outlineLevel="0" collapsed="false">
      <c r="A28" s="6" t="s">
        <v>281</v>
      </c>
      <c r="B28" s="107" t="n">
        <v>1.2</v>
      </c>
      <c r="C28" s="107" t="n">
        <v>1.5</v>
      </c>
      <c r="D28" s="107" t="n">
        <v>1.8</v>
      </c>
      <c r="E28" s="108" t="n">
        <f aca="false">CHOOSE(Dashboard!$B$4,B28,C28,D28)</f>
        <v>1.5</v>
      </c>
      <c r="F28" s="39" t="s">
        <v>280</v>
      </c>
      <c r="G28" s="102" t="s">
        <v>255</v>
      </c>
    </row>
    <row r="29" customFormat="false" ht="15" hidden="false" customHeight="false" outlineLevel="0" collapsed="false">
      <c r="A29" s="6" t="s">
        <v>282</v>
      </c>
      <c r="B29" s="107" t="n">
        <v>32</v>
      </c>
      <c r="C29" s="107" t="n">
        <v>35</v>
      </c>
      <c r="D29" s="107" t="n">
        <v>38</v>
      </c>
      <c r="E29" s="108" t="n">
        <f aca="false">CHOOSE(Dashboard!$B$4,B29,C29,D29)</f>
        <v>35</v>
      </c>
      <c r="F29" s="39" t="s">
        <v>280</v>
      </c>
      <c r="G29" s="102" t="s">
        <v>255</v>
      </c>
    </row>
    <row r="30" customFormat="false" ht="15" hidden="false" customHeight="false" outlineLevel="0" collapsed="false">
      <c r="A30" s="6" t="s">
        <v>283</v>
      </c>
      <c r="B30" s="105" t="n">
        <v>0.01</v>
      </c>
      <c r="C30" s="105" t="n">
        <v>0.02</v>
      </c>
      <c r="D30" s="105" t="n">
        <v>0.03</v>
      </c>
      <c r="E30" s="106" t="n">
        <f aca="false">CHOOSE(Dashboard!$B$4,B30,C30,D30)</f>
        <v>0.02</v>
      </c>
      <c r="F30" s="39" t="s">
        <v>262</v>
      </c>
      <c r="G30" s="102" t="s">
        <v>255</v>
      </c>
    </row>
    <row r="32" customFormat="false" ht="15.75" hidden="false" customHeight="true" outlineLevel="0" collapsed="false">
      <c r="A32" s="7" t="s">
        <v>284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285</v>
      </c>
      <c r="B33" s="107" t="n">
        <v>0.95</v>
      </c>
      <c r="C33" s="107" t="n">
        <v>0.85</v>
      </c>
      <c r="D33" s="107" t="n">
        <v>0.75</v>
      </c>
      <c r="E33" s="108" t="n">
        <f aca="false">CHOOSE(Dashboard!$B$4,B33,C33,D33)</f>
        <v>0.85</v>
      </c>
      <c r="F33" s="39" t="s">
        <v>280</v>
      </c>
      <c r="G33" s="102" t="s">
        <v>260</v>
      </c>
    </row>
    <row r="34" customFormat="false" ht="15" hidden="false" customHeight="false" outlineLevel="0" collapsed="false">
      <c r="A34" s="6" t="s">
        <v>286</v>
      </c>
      <c r="B34" s="100" t="n">
        <v>45</v>
      </c>
      <c r="C34" s="100" t="n">
        <v>40</v>
      </c>
      <c r="D34" s="100" t="n">
        <v>36</v>
      </c>
      <c r="E34" s="101" t="n">
        <f aca="false">CHOOSE(Dashboard!$B$4,B34,C34,D34)</f>
        <v>40</v>
      </c>
      <c r="F34" s="39" t="s">
        <v>287</v>
      </c>
      <c r="G34" s="102" t="s">
        <v>260</v>
      </c>
    </row>
    <row r="35" customFormat="false" ht="15" hidden="false" customHeight="false" outlineLevel="0" collapsed="false">
      <c r="A35" s="6" t="s">
        <v>288</v>
      </c>
      <c r="B35" s="107" t="n">
        <v>10</v>
      </c>
      <c r="C35" s="107" t="n">
        <v>9</v>
      </c>
      <c r="D35" s="107" t="n">
        <v>8</v>
      </c>
      <c r="E35" s="108" t="n">
        <f aca="false">CHOOSE(Dashboard!$B$4,B35,C35,D35)</f>
        <v>9</v>
      </c>
      <c r="F35" s="39" t="s">
        <v>280</v>
      </c>
      <c r="G35" s="102" t="s">
        <v>260</v>
      </c>
    </row>
    <row r="36" customFormat="false" ht="15" hidden="false" customHeight="false" outlineLevel="0" collapsed="false">
      <c r="A36" s="6" t="s">
        <v>289</v>
      </c>
      <c r="B36" s="107" t="n">
        <v>0.45</v>
      </c>
      <c r="C36" s="107" t="n">
        <v>0.42</v>
      </c>
      <c r="D36" s="107" t="n">
        <v>0.4</v>
      </c>
      <c r="E36" s="108" t="n">
        <f aca="false">CHOOSE(Dashboard!$B$4,B36,C36,D36)</f>
        <v>0.42</v>
      </c>
      <c r="F36" s="39" t="s">
        <v>280</v>
      </c>
      <c r="G36" s="102" t="s">
        <v>260</v>
      </c>
    </row>
    <row r="37" customFormat="false" ht="15" hidden="false" customHeight="false" outlineLevel="0" collapsed="false">
      <c r="A37" s="6" t="s">
        <v>290</v>
      </c>
      <c r="B37" s="105" t="n">
        <v>0.032</v>
      </c>
      <c r="C37" s="105" t="n">
        <v>0.03</v>
      </c>
      <c r="D37" s="105" t="n">
        <v>0.028</v>
      </c>
      <c r="E37" s="106" t="n">
        <f aca="false">CHOOSE(Dashboard!$B$4,B37,C37,D37)</f>
        <v>0.03</v>
      </c>
      <c r="F37" s="39" t="s">
        <v>262</v>
      </c>
      <c r="G37" s="102" t="s">
        <v>260</v>
      </c>
    </row>
    <row r="38" customFormat="false" ht="15" hidden="false" customHeight="false" outlineLevel="0" collapsed="false">
      <c r="A38" s="6" t="s">
        <v>291</v>
      </c>
      <c r="B38" s="105" t="n">
        <v>0.04</v>
      </c>
      <c r="C38" s="105" t="n">
        <v>0.03</v>
      </c>
      <c r="D38" s="105" t="n">
        <v>0.025</v>
      </c>
      <c r="E38" s="106" t="n">
        <f aca="false">CHOOSE(Dashboard!$B$4,B38,C38,D38)</f>
        <v>0.03</v>
      </c>
      <c r="F38" s="39" t="s">
        <v>262</v>
      </c>
      <c r="G38" s="102" t="s">
        <v>260</v>
      </c>
    </row>
    <row r="40" customFormat="false" ht="15.75" hidden="false" customHeight="true" outlineLevel="0" collapsed="false">
      <c r="A40" s="7" t="s">
        <v>292</v>
      </c>
      <c r="B40" s="7"/>
      <c r="C40" s="7"/>
      <c r="D40" s="7"/>
      <c r="E40" s="7"/>
      <c r="F40" s="7"/>
      <c r="G40" s="7"/>
    </row>
    <row r="41" customFormat="false" ht="15" hidden="false" customHeight="false" outlineLevel="0" collapsed="false">
      <c r="A41" s="6" t="s">
        <v>293</v>
      </c>
      <c r="B41" s="109" t="n">
        <v>30000</v>
      </c>
      <c r="C41" s="109" t="n">
        <v>30000</v>
      </c>
      <c r="D41" s="109" t="n">
        <v>30000</v>
      </c>
      <c r="E41" s="110" t="n">
        <f aca="false">CHOOSE(Dashboard!$B$4,B41,C41,D41)</f>
        <v>30000</v>
      </c>
      <c r="F41" s="39" t="s">
        <v>280</v>
      </c>
      <c r="G41" s="102"/>
    </row>
    <row r="42" customFormat="false" ht="15" hidden="false" customHeight="false" outlineLevel="0" collapsed="false">
      <c r="A42" s="6" t="s">
        <v>294</v>
      </c>
      <c r="B42" s="105" t="n">
        <v>0.03</v>
      </c>
      <c r="C42" s="105" t="n">
        <v>0.03</v>
      </c>
      <c r="D42" s="105" t="n">
        <v>0.03</v>
      </c>
      <c r="E42" s="106" t="n">
        <f aca="false">CHOOSE(Dashboard!$B$4,B42,C42,D42)</f>
        <v>0.03</v>
      </c>
      <c r="F42" s="39" t="s">
        <v>262</v>
      </c>
      <c r="G42" s="102"/>
    </row>
    <row r="43" customFormat="false" ht="15" hidden="false" customHeight="false" outlineLevel="0" collapsed="false">
      <c r="A43" s="6" t="s">
        <v>295</v>
      </c>
      <c r="B43" s="109" t="n">
        <v>5500</v>
      </c>
      <c r="C43" s="109" t="n">
        <v>5500</v>
      </c>
      <c r="D43" s="109" t="n">
        <v>5500</v>
      </c>
      <c r="E43" s="110" t="n">
        <f aca="false">CHOOSE(Dashboard!$B$4,B43,C43,D43)</f>
        <v>5500</v>
      </c>
      <c r="F43" s="39" t="s">
        <v>280</v>
      </c>
      <c r="G43" s="102"/>
    </row>
    <row r="44" customFormat="false" ht="15" hidden="false" customHeight="false" outlineLevel="0" collapsed="false">
      <c r="A44" s="6" t="s">
        <v>296</v>
      </c>
      <c r="B44" s="109" t="n">
        <v>9500</v>
      </c>
      <c r="C44" s="109" t="n">
        <v>9500</v>
      </c>
      <c r="D44" s="109" t="n">
        <v>9500</v>
      </c>
      <c r="E44" s="110" t="n">
        <f aca="false">CHOOSE(Dashboard!$B$4,B44,C44,D44)</f>
        <v>9500</v>
      </c>
      <c r="F44" s="39" t="s">
        <v>280</v>
      </c>
      <c r="G44" s="102"/>
    </row>
    <row r="45" customFormat="false" ht="15" hidden="false" customHeight="false" outlineLevel="0" collapsed="false">
      <c r="A45" s="6" t="s">
        <v>297</v>
      </c>
      <c r="B45" s="109" t="n">
        <v>12000</v>
      </c>
      <c r="C45" s="109" t="n">
        <v>12000</v>
      </c>
      <c r="D45" s="109" t="n">
        <v>12000</v>
      </c>
      <c r="E45" s="110" t="n">
        <f aca="false">CHOOSE(Dashboard!$B$4,B45,C45,D45)</f>
        <v>12000</v>
      </c>
      <c r="F45" s="39" t="s">
        <v>280</v>
      </c>
      <c r="G45" s="102"/>
    </row>
    <row r="46" customFormat="false" ht="15" hidden="false" customHeight="false" outlineLevel="0" collapsed="false">
      <c r="A46" s="6" t="s">
        <v>298</v>
      </c>
      <c r="B46" s="105" t="n">
        <v>-0.3</v>
      </c>
      <c r="C46" s="105" t="n">
        <v>-0.2</v>
      </c>
      <c r="D46" s="105" t="n">
        <v>-0.1</v>
      </c>
      <c r="E46" s="106" t="n">
        <f aca="false">CHOOSE(Dashboard!$B$4,B46,C46,D46)</f>
        <v>-0.2</v>
      </c>
      <c r="F46" s="39" t="s">
        <v>262</v>
      </c>
      <c r="G46" s="102" t="s">
        <v>255</v>
      </c>
    </row>
    <row r="48" customFormat="false" ht="15.75" hidden="false" customHeight="true" outlineLevel="0" collapsed="false">
      <c r="A48" s="7" t="s">
        <v>84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299</v>
      </c>
      <c r="B49" s="109" t="n">
        <v>1650000</v>
      </c>
      <c r="C49" s="109" t="n">
        <v>1650000</v>
      </c>
      <c r="D49" s="109" t="n">
        <v>1650000</v>
      </c>
      <c r="E49" s="110" t="n">
        <f aca="false">CHOOSE(Dashboard!$B$4,B49,C49,D49)</f>
        <v>1650000</v>
      </c>
      <c r="F49" s="39" t="s">
        <v>280</v>
      </c>
      <c r="G49" s="102"/>
    </row>
    <row r="50" customFormat="false" ht="15" hidden="false" customHeight="false" outlineLevel="0" collapsed="false">
      <c r="A50" s="6" t="s">
        <v>300</v>
      </c>
      <c r="B50" s="109" t="n">
        <v>2300000</v>
      </c>
      <c r="C50" s="109" t="n">
        <v>2300000</v>
      </c>
      <c r="D50" s="109" t="n">
        <v>2300000</v>
      </c>
      <c r="E50" s="110" t="n">
        <f aca="false">CHOOSE(Dashboard!$B$4,B50,C50,D50)</f>
        <v>2300000</v>
      </c>
      <c r="F50" s="39" t="s">
        <v>280</v>
      </c>
      <c r="G50" s="102"/>
    </row>
    <row r="51" customFormat="false" ht="15" hidden="false" customHeight="false" outlineLevel="0" collapsed="false">
      <c r="A51" s="6" t="s">
        <v>301</v>
      </c>
      <c r="B51" s="109" t="n">
        <v>150000</v>
      </c>
      <c r="C51" s="109" t="n">
        <v>150000</v>
      </c>
      <c r="D51" s="109" t="n">
        <v>150000</v>
      </c>
      <c r="E51" s="110" t="n">
        <f aca="false">CHOOSE(Dashboard!$B$4,B51,C51,D51)</f>
        <v>150000</v>
      </c>
      <c r="F51" s="39" t="s">
        <v>280</v>
      </c>
      <c r="G51" s="102"/>
    </row>
    <row r="52" customFormat="false" ht="15" hidden="false" customHeight="false" outlineLevel="0" collapsed="false">
      <c r="A52" s="6" t="s">
        <v>302</v>
      </c>
      <c r="B52" s="109" t="n">
        <v>40000</v>
      </c>
      <c r="C52" s="109" t="n">
        <v>40000</v>
      </c>
      <c r="D52" s="109" t="n">
        <v>40000</v>
      </c>
      <c r="E52" s="110" t="n">
        <f aca="false">CHOOSE(Dashboard!$B$4,B52,C52,D52)</f>
        <v>40000</v>
      </c>
      <c r="F52" s="39" t="s">
        <v>280</v>
      </c>
      <c r="G52" s="102"/>
    </row>
    <row r="54" customFormat="false" ht="15.75" hidden="false" customHeight="true" outlineLevel="0" collapsed="false">
      <c r="A54" s="7" t="s">
        <v>303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304</v>
      </c>
      <c r="B55" s="100" t="n">
        <v>1</v>
      </c>
      <c r="C55" s="100" t="n">
        <v>1</v>
      </c>
      <c r="D55" s="100" t="n">
        <v>1</v>
      </c>
      <c r="E55" s="101" t="n">
        <f aca="false">CHOOSE(Dashboard!$B$4,B55,C55,D55)</f>
        <v>1</v>
      </c>
      <c r="F55" s="39" t="s">
        <v>305</v>
      </c>
      <c r="G55" s="102" t="s">
        <v>255</v>
      </c>
    </row>
    <row r="56" customFormat="false" ht="15" hidden="false" customHeight="false" outlineLevel="0" collapsed="false">
      <c r="A56" s="6" t="s">
        <v>306</v>
      </c>
      <c r="B56" s="109" t="n">
        <v>72000</v>
      </c>
      <c r="C56" s="109" t="n">
        <v>72000</v>
      </c>
      <c r="D56" s="109" t="n">
        <v>72000</v>
      </c>
      <c r="E56" s="110" t="n">
        <f aca="false">CHOOSE(Dashboard!$B$4,B56,C56,D56)</f>
        <v>72000</v>
      </c>
      <c r="F56" s="39" t="s">
        <v>280</v>
      </c>
      <c r="G56" s="102"/>
    </row>
    <row r="57" customFormat="false" ht="15" hidden="false" customHeight="false" outlineLevel="0" collapsed="false">
      <c r="A57" s="6" t="s">
        <v>307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9" t="s">
        <v>262</v>
      </c>
      <c r="G57" s="102" t="s">
        <v>255</v>
      </c>
    </row>
    <row r="58" customFormat="false" ht="15" hidden="false" customHeight="false" outlineLevel="0" collapsed="false">
      <c r="A58" s="6" t="s">
        <v>308</v>
      </c>
      <c r="B58" s="103" t="n">
        <v>1</v>
      </c>
      <c r="C58" s="103" t="n">
        <v>1</v>
      </c>
      <c r="D58" s="103" t="n">
        <v>1</v>
      </c>
      <c r="E58" s="104" t="n">
        <f aca="false">CHOOSE(Dashboard!$B$4,B58,C58,D58)</f>
        <v>1</v>
      </c>
      <c r="F58" s="39" t="s">
        <v>309</v>
      </c>
      <c r="G58" s="102"/>
    </row>
    <row r="59" customFormat="false" ht="15" hidden="false" customHeight="false" outlineLevel="0" collapsed="false">
      <c r="A59" s="6" t="s">
        <v>310</v>
      </c>
      <c r="B59" s="100" t="n">
        <v>10</v>
      </c>
      <c r="C59" s="100" t="n">
        <v>10</v>
      </c>
      <c r="D59" s="100" t="n">
        <v>10</v>
      </c>
      <c r="E59" s="101" t="n">
        <f aca="false">CHOOSE(Dashboard!$B$4,B59,C59,D59)</f>
        <v>10</v>
      </c>
      <c r="F59" s="39" t="s">
        <v>305</v>
      </c>
      <c r="G59" s="102" t="s">
        <v>255</v>
      </c>
    </row>
    <row r="60" customFormat="false" ht="15" hidden="false" customHeight="false" outlineLevel="0" collapsed="false">
      <c r="A60" s="6" t="s">
        <v>311</v>
      </c>
      <c r="B60" s="109" t="n">
        <v>32000</v>
      </c>
      <c r="C60" s="109" t="n">
        <v>32000</v>
      </c>
      <c r="D60" s="109" t="n">
        <v>32000</v>
      </c>
      <c r="E60" s="110" t="n">
        <f aca="false">CHOOSE(Dashboard!$B$4,B60,C60,D60)</f>
        <v>32000</v>
      </c>
      <c r="F60" s="39" t="s">
        <v>280</v>
      </c>
      <c r="G60" s="102"/>
    </row>
    <row r="61" customFormat="false" ht="15" hidden="false" customHeight="false" outlineLevel="0" collapsed="false">
      <c r="A61" s="6" t="s">
        <v>312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9" t="s">
        <v>262</v>
      </c>
      <c r="G61" s="102" t="s">
        <v>255</v>
      </c>
    </row>
    <row r="62" customFormat="false" ht="15" hidden="false" customHeight="false" outlineLevel="0" collapsed="false">
      <c r="A62" s="6" t="s">
        <v>313</v>
      </c>
      <c r="B62" s="103" t="n">
        <v>1</v>
      </c>
      <c r="C62" s="103" t="n">
        <v>1</v>
      </c>
      <c r="D62" s="103" t="n">
        <v>1</v>
      </c>
      <c r="E62" s="104" t="n">
        <f aca="false">CHOOSE(Dashboard!$B$4,B62,C62,D62)</f>
        <v>1</v>
      </c>
      <c r="F62" s="39" t="s">
        <v>309</v>
      </c>
      <c r="G62" s="102"/>
    </row>
    <row r="63" customFormat="false" ht="15" hidden="false" customHeight="false" outlineLevel="0" collapsed="false">
      <c r="A63" s="6" t="s">
        <v>314</v>
      </c>
      <c r="B63" s="105" t="n">
        <v>0.12</v>
      </c>
      <c r="C63" s="105" t="n">
        <v>0.12</v>
      </c>
      <c r="D63" s="105" t="n">
        <v>0.12</v>
      </c>
      <c r="E63" s="106" t="n">
        <f aca="false">CHOOSE(Dashboard!$B$4,B63,C63,D63)</f>
        <v>0.12</v>
      </c>
      <c r="F63" s="39" t="s">
        <v>262</v>
      </c>
      <c r="G63" s="102"/>
    </row>
    <row r="64" customFormat="false" ht="15" hidden="false" customHeight="false" outlineLevel="0" collapsed="false">
      <c r="A64" s="6" t="s">
        <v>315</v>
      </c>
      <c r="B64" s="105" t="n">
        <v>0.03</v>
      </c>
      <c r="C64" s="105" t="n">
        <v>0.03</v>
      </c>
      <c r="D64" s="105" t="n">
        <v>0.03</v>
      </c>
      <c r="E64" s="106" t="n">
        <f aca="false">CHOOSE(Dashboard!$B$4,B64,C64,D64)</f>
        <v>0.03</v>
      </c>
      <c r="F64" s="39" t="s">
        <v>262</v>
      </c>
      <c r="G64" s="102"/>
    </row>
    <row r="66" customFormat="false" ht="15.75" hidden="false" customHeight="true" outlineLevel="0" collapsed="false">
      <c r="A66" s="7" t="s">
        <v>316</v>
      </c>
      <c r="B66" s="7"/>
      <c r="C66" s="7"/>
      <c r="D66" s="7"/>
      <c r="E66" s="7"/>
      <c r="F66" s="7"/>
      <c r="G66" s="7"/>
    </row>
    <row r="67" customFormat="false" ht="15" hidden="false" customHeight="false" outlineLevel="0" collapsed="false">
      <c r="A67" s="6" t="s">
        <v>317</v>
      </c>
      <c r="B67" s="109" t="n">
        <v>2100000</v>
      </c>
      <c r="C67" s="109" t="n">
        <v>2100000</v>
      </c>
      <c r="D67" s="109" t="n">
        <v>2100000</v>
      </c>
      <c r="E67" s="110" t="n">
        <f aca="false">CHOOSE(Dashboard!$B$4,B67,C67,D67)</f>
        <v>2100000</v>
      </c>
      <c r="F67" s="39" t="s">
        <v>280</v>
      </c>
      <c r="G67" s="102"/>
    </row>
    <row r="68" customFormat="false" ht="15" hidden="false" customHeight="false" outlineLevel="0" collapsed="false">
      <c r="A68" s="6" t="s">
        <v>318</v>
      </c>
      <c r="B68" s="109" t="n">
        <v>3000000</v>
      </c>
      <c r="C68" s="109" t="n">
        <v>3000000</v>
      </c>
      <c r="D68" s="109" t="n">
        <v>3000000</v>
      </c>
      <c r="E68" s="110" t="n">
        <f aca="false">CHOOSE(Dashboard!$B$4,B68,C68,D68)</f>
        <v>3000000</v>
      </c>
      <c r="F68" s="39" t="s">
        <v>280</v>
      </c>
      <c r="G68" s="102"/>
    </row>
    <row r="69" customFormat="false" ht="15" hidden="false" customHeight="false" outlineLevel="0" collapsed="false">
      <c r="A69" s="6" t="s">
        <v>319</v>
      </c>
      <c r="B69" s="105" t="n">
        <v>0.085</v>
      </c>
      <c r="C69" s="105" t="n">
        <v>0.085</v>
      </c>
      <c r="D69" s="105" t="n">
        <v>0.085</v>
      </c>
      <c r="E69" s="106" t="n">
        <f aca="false">CHOOSE(Dashboard!$B$4,B69,C69,D69)</f>
        <v>0.085</v>
      </c>
      <c r="F69" s="39" t="s">
        <v>262</v>
      </c>
      <c r="G69" s="102"/>
    </row>
    <row r="70" customFormat="false" ht="15" hidden="false" customHeight="false" outlineLevel="0" collapsed="false">
      <c r="A70" s="6" t="s">
        <v>320</v>
      </c>
      <c r="B70" s="103" t="n">
        <v>10</v>
      </c>
      <c r="C70" s="103" t="n">
        <v>10</v>
      </c>
      <c r="D70" s="103" t="n">
        <v>10</v>
      </c>
      <c r="E70" s="104" t="n">
        <f aca="false">CHOOSE(Dashboard!$B$4,B70,C70,D70)</f>
        <v>10</v>
      </c>
      <c r="F70" s="39" t="s">
        <v>321</v>
      </c>
      <c r="G70" s="102"/>
    </row>
    <row r="72" customFormat="false" ht="15.75" hidden="false" customHeight="true" outlineLevel="0" collapsed="false">
      <c r="A72" s="7" t="s">
        <v>322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323</v>
      </c>
      <c r="B73" s="103" t="n">
        <v>2</v>
      </c>
      <c r="C73" s="103" t="n">
        <v>2</v>
      </c>
      <c r="D73" s="103" t="n">
        <v>2</v>
      </c>
      <c r="E73" s="104" t="n">
        <f aca="false">CHOOSE(Dashboard!$B$4,B73,C73,D73)</f>
        <v>2</v>
      </c>
      <c r="F73" s="39" t="s">
        <v>257</v>
      </c>
      <c r="G73" s="102"/>
    </row>
    <row r="74" customFormat="false" ht="15" hidden="false" customHeight="false" outlineLevel="0" collapsed="false">
      <c r="A74" s="6" t="s">
        <v>324</v>
      </c>
      <c r="B74" s="103" t="n">
        <v>15</v>
      </c>
      <c r="C74" s="103" t="n">
        <v>15</v>
      </c>
      <c r="D74" s="103" t="n">
        <v>15</v>
      </c>
      <c r="E74" s="104" t="n">
        <f aca="false">CHOOSE(Dashboard!$B$4,B74,C74,D74)</f>
        <v>15</v>
      </c>
      <c r="F74" s="39" t="s">
        <v>257</v>
      </c>
      <c r="G74" s="102"/>
    </row>
    <row r="75" customFormat="false" ht="15" hidden="false" customHeight="false" outlineLevel="0" collapsed="false">
      <c r="A75" s="6" t="s">
        <v>325</v>
      </c>
      <c r="B75" s="103" t="n">
        <v>25</v>
      </c>
      <c r="C75" s="103" t="n">
        <v>25</v>
      </c>
      <c r="D75" s="103" t="n">
        <v>25</v>
      </c>
      <c r="E75" s="104" t="n">
        <f aca="false">CHOOSE(Dashboard!$B$4,B75,C75,D75)</f>
        <v>25</v>
      </c>
      <c r="F75" s="39" t="s">
        <v>257</v>
      </c>
      <c r="G75" s="102"/>
    </row>
    <row r="77" customFormat="false" ht="15.75" hidden="false" customHeight="true" outlineLevel="0" collapsed="false">
      <c r="A77" s="7" t="s">
        <v>326</v>
      </c>
      <c r="B77" s="7"/>
      <c r="C77" s="7"/>
      <c r="D77" s="7"/>
      <c r="E77" s="7"/>
      <c r="F77" s="7"/>
      <c r="G77" s="7"/>
    </row>
    <row r="78" customFormat="false" ht="15" hidden="false" customHeight="false" outlineLevel="0" collapsed="false">
      <c r="A78" s="6" t="s">
        <v>327</v>
      </c>
      <c r="B78" s="103" t="n">
        <v>12</v>
      </c>
      <c r="C78" s="103" t="n">
        <v>12</v>
      </c>
      <c r="D78" s="103" t="n">
        <v>12</v>
      </c>
      <c r="E78" s="104" t="n">
        <f aca="false">CHOOSE(Dashboard!$B$4,B78,C78,D78)</f>
        <v>12</v>
      </c>
      <c r="F78" s="39" t="s">
        <v>321</v>
      </c>
      <c r="G78" s="102"/>
    </row>
    <row r="79" customFormat="false" ht="15" hidden="false" customHeight="false" outlineLevel="0" collapsed="false">
      <c r="A79" s="6" t="s">
        <v>328</v>
      </c>
      <c r="B79" s="105" t="n">
        <v>0.21</v>
      </c>
      <c r="C79" s="105" t="n">
        <v>0.21</v>
      </c>
      <c r="D79" s="105" t="n">
        <v>0.21</v>
      </c>
      <c r="E79" s="106" t="n">
        <f aca="false">CHOOSE(Dashboard!$B$4,B79,C79,D79)</f>
        <v>0.21</v>
      </c>
      <c r="F79" s="39" t="s">
        <v>262</v>
      </c>
      <c r="G79" s="102"/>
    </row>
    <row r="81" customFormat="false" ht="15.75" hidden="false" customHeight="true" outlineLevel="0" collapsed="false">
      <c r="A81" s="7" t="s">
        <v>329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142</v>
      </c>
      <c r="B82" s="109" t="n">
        <v>281000</v>
      </c>
      <c r="C82" s="109" t="n">
        <v>281000</v>
      </c>
      <c r="D82" s="109" t="n">
        <v>281000</v>
      </c>
      <c r="E82" s="110" t="n">
        <f aca="false">CHOOSE(Dashboard!$B$4,B82,C82,D82)</f>
        <v>281000</v>
      </c>
      <c r="F82" s="39" t="s">
        <v>280</v>
      </c>
      <c r="G82" s="102" t="s">
        <v>330</v>
      </c>
    </row>
    <row r="84" customFormat="false" ht="15.75" hidden="false" customHeight="true" outlineLevel="0" collapsed="false">
      <c r="A84" s="7" t="s">
        <v>331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167</v>
      </c>
      <c r="B85" s="105" t="n">
        <v>0.3</v>
      </c>
      <c r="C85" s="105" t="n">
        <v>0.25</v>
      </c>
      <c r="D85" s="105" t="n">
        <v>0.2</v>
      </c>
      <c r="E85" s="106" t="n">
        <f aca="false">CHOOSE(Dashboard!$B$4,B85,C85,D85)</f>
        <v>0.25</v>
      </c>
      <c r="F85" s="39" t="s">
        <v>262</v>
      </c>
      <c r="G85" s="102" t="s">
        <v>260</v>
      </c>
    </row>
    <row r="86" customFormat="false" ht="15" hidden="false" customHeight="false" outlineLevel="0" collapsed="false">
      <c r="A86" s="6" t="s">
        <v>332</v>
      </c>
      <c r="B86" s="105" t="n">
        <v>0.01</v>
      </c>
      <c r="C86" s="105" t="n">
        <v>0.02</v>
      </c>
      <c r="D86" s="105" t="n">
        <v>0.03</v>
      </c>
      <c r="E86" s="106" t="n">
        <f aca="false">CHOOSE(Dashboard!$B$4,B86,C86,D86)</f>
        <v>0.02</v>
      </c>
      <c r="F86" s="39" t="s">
        <v>262</v>
      </c>
      <c r="G86" s="102" t="s">
        <v>255</v>
      </c>
    </row>
    <row r="87" customFormat="false" ht="15" hidden="false" customHeight="false" outlineLevel="0" collapsed="false">
      <c r="A87" s="6" t="s">
        <v>169</v>
      </c>
      <c r="B87" s="111" t="n">
        <v>3</v>
      </c>
      <c r="C87" s="111" t="n">
        <v>4</v>
      </c>
      <c r="D87" s="111" t="n">
        <v>5</v>
      </c>
      <c r="E87" s="112" t="n">
        <f aca="false">CHOOSE(Dashboard!$B$4,B87,C87,D87)</f>
        <v>4</v>
      </c>
      <c r="F87" s="39" t="s">
        <v>333</v>
      </c>
      <c r="G87" s="102" t="s">
        <v>255</v>
      </c>
    </row>
    <row r="88" customFormat="false" ht="15" hidden="false" customHeight="false" outlineLevel="0" collapsed="false">
      <c r="A88" s="6" t="s">
        <v>334</v>
      </c>
      <c r="B88" s="105" t="n">
        <v>0.01</v>
      </c>
      <c r="C88" s="105" t="n">
        <v>0.01</v>
      </c>
      <c r="D88" s="105" t="n">
        <v>0.01</v>
      </c>
      <c r="E88" s="106" t="n">
        <f aca="false">CHOOSE(Dashboard!$B$4,B88,C88,D88)</f>
        <v>0.01</v>
      </c>
      <c r="F88" s="39" t="s">
        <v>262</v>
      </c>
      <c r="G88" s="102"/>
    </row>
    <row r="89" customFormat="false" ht="15" hidden="false" customHeight="false" outlineLevel="0" collapsed="false">
      <c r="A89" s="6" t="s">
        <v>335</v>
      </c>
      <c r="B89" s="105" t="n">
        <v>0.005</v>
      </c>
      <c r="C89" s="105" t="n">
        <v>0.005</v>
      </c>
      <c r="D89" s="105" t="n">
        <v>0.005</v>
      </c>
      <c r="E89" s="106" t="n">
        <f aca="false">CHOOSE(Dashboard!$B$4,B89,C89,D89)</f>
        <v>0.005</v>
      </c>
      <c r="F89" s="39" t="s">
        <v>262</v>
      </c>
      <c r="G89" s="102"/>
    </row>
    <row r="91" customFormat="false" ht="15" hidden="false" customHeight="false" outlineLevel="0" collapsed="false">
      <c r="A91" s="21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337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4" t="s">
        <v>44</v>
      </c>
      <c r="B5" s="75" t="n">
        <f aca="false">SUMIF(Monthly!$C$5:$AL$5,B$3,Monthly!$C$37:$AL$37)</f>
        <v>1180182.39164623</v>
      </c>
      <c r="C5" s="75" t="n">
        <f aca="false">SUMIF(Monthly!$C$5:$AL$5,C$3,Monthly!$C$37:$AL$37)</f>
        <v>1805881.4666632</v>
      </c>
      <c r="D5" s="75" t="n">
        <f aca="false">SUMIF(Monthly!$C$5:$AL$5,D$3,Monthly!$C$37:$AL$37)</f>
        <v>2080276.59708741</v>
      </c>
    </row>
    <row r="6" customFormat="false" ht="15" hidden="false" customHeight="false" outlineLevel="0" collapsed="false">
      <c r="A6" s="6" t="s">
        <v>76</v>
      </c>
      <c r="B6" s="69" t="n">
        <f aca="false">SUMIF(Monthly!$C$5:$AL$5,B$3,Monthly!$C$45:$AL$45)</f>
        <v>-180421.598916524</v>
      </c>
      <c r="C6" s="69" t="n">
        <f aca="false">SUMIF(Monthly!$C$5:$AL$5,C$3,Monthly!$C$45:$AL$45)</f>
        <v>-288679.05820146</v>
      </c>
      <c r="D6" s="69" t="n">
        <f aca="false">SUMIF(Monthly!$C$5:$AL$5,D$3,Monthly!$C$45:$AL$45)</f>
        <v>-343422.649355316</v>
      </c>
    </row>
    <row r="7" customFormat="false" ht="15" hidden="false" customHeight="false" outlineLevel="0" collapsed="false">
      <c r="A7" s="113" t="s">
        <v>45</v>
      </c>
      <c r="B7" s="70" t="n">
        <f aca="false">SUMIF(Monthly!$C$5:$AL$5,B$3,Monthly!$C$46:$AL$46)</f>
        <v>999760.792729705</v>
      </c>
      <c r="C7" s="70" t="n">
        <f aca="false">SUMIF(Monthly!$C$5:$AL$5,C$3,Monthly!$C$46:$AL$46)</f>
        <v>1517202.40846174</v>
      </c>
      <c r="D7" s="70" t="n">
        <f aca="false">SUMIF(Monthly!$C$5:$AL$5,D$3,Monthly!$C$46:$AL$46)</f>
        <v>1736853.94773209</v>
      </c>
    </row>
    <row r="8" customFormat="false" ht="15" hidden="false" customHeight="false" outlineLevel="0" collapsed="false">
      <c r="A8" s="39" t="s">
        <v>46</v>
      </c>
      <c r="B8" s="76" t="n">
        <f aca="false">IF(B5=0,0,B7/B5)</f>
        <v>0.847123969825669</v>
      </c>
      <c r="C8" s="76" t="n">
        <f aca="false">IF(C5=0,0,C7/C5)</f>
        <v>0.840145068471817</v>
      </c>
      <c r="D8" s="76" t="n">
        <f aca="false">IF(D5=0,0,D7/D5)</f>
        <v>0.83491490995181</v>
      </c>
    </row>
    <row r="9" customFormat="false" ht="15" hidden="false" customHeight="false" outlineLevel="0" collapsed="false">
      <c r="A9" s="6" t="s">
        <v>338</v>
      </c>
      <c r="B9" s="69" t="n">
        <f aca="false">SUMIF(Monthly!$C$5:$AL$5,B$3,Monthly!$C$49:$AL$49)</f>
        <v>-439040</v>
      </c>
      <c r="C9" s="69" t="n">
        <f aca="false">SUMIF(Monthly!$C$5:$AL$5,C$3,Monthly!$C$49:$AL$49)</f>
        <v>-452211.2</v>
      </c>
      <c r="D9" s="69" t="n">
        <f aca="false">SUMIF(Monthly!$C$5:$AL$5,D$3,Monthly!$C$49:$AL$49)</f>
        <v>-465777.536</v>
      </c>
    </row>
    <row r="10" customFormat="false" ht="15" hidden="false" customHeight="false" outlineLevel="0" collapsed="false">
      <c r="A10" s="6" t="s">
        <v>339</v>
      </c>
      <c r="B10" s="69" t="n">
        <f aca="false">SUMIF(Monthly!$C$5:$AL$5,B$3,Monthly!$C$50:$AL$50)</f>
        <v>-360000</v>
      </c>
      <c r="C10" s="69" t="n">
        <f aca="false">SUMIF(Monthly!$C$5:$AL$5,C$3,Monthly!$C$50:$AL$50)</f>
        <v>-370800</v>
      </c>
      <c r="D10" s="69" t="n">
        <f aca="false">SUMIF(Monthly!$C$5:$AL$5,D$3,Monthly!$C$50:$AL$50)</f>
        <v>-381924</v>
      </c>
    </row>
    <row r="11" customFormat="false" ht="15" hidden="false" customHeight="false" outlineLevel="0" collapsed="false">
      <c r="A11" s="6" t="s">
        <v>340</v>
      </c>
      <c r="B11" s="69" t="n">
        <f aca="false">SUMIF(Monthly!$C$5:$AL$5,B$3,Monthly!$C$51:$AL$51)</f>
        <v>-66000</v>
      </c>
      <c r="C11" s="69" t="n">
        <f aca="false">SUMIF(Monthly!$C$5:$AL$5,C$3,Monthly!$C$51:$AL$51)</f>
        <v>-67980</v>
      </c>
      <c r="D11" s="69" t="n">
        <f aca="false">SUMIF(Monthly!$C$5:$AL$5,D$3,Monthly!$C$51:$AL$51)</f>
        <v>-70019.4</v>
      </c>
    </row>
    <row r="12" customFormat="false" ht="15" hidden="false" customHeight="false" outlineLevel="0" collapsed="false">
      <c r="A12" s="6" t="s">
        <v>341</v>
      </c>
      <c r="B12" s="69" t="n">
        <f aca="false">SUMIF(Monthly!$C$5:$AL$5,B$3,Monthly!$C$52:$AL$52)</f>
        <v>-114000</v>
      </c>
      <c r="C12" s="69" t="n">
        <f aca="false">SUMIF(Monthly!$C$5:$AL$5,C$3,Monthly!$C$52:$AL$52)</f>
        <v>-117420</v>
      </c>
      <c r="D12" s="69" t="n">
        <f aca="false">SUMIF(Monthly!$C$5:$AL$5,D$3,Monthly!$C$52:$AL$52)</f>
        <v>-120942.6</v>
      </c>
    </row>
    <row r="13" customFormat="false" ht="15" hidden="false" customHeight="false" outlineLevel="0" collapsed="false">
      <c r="A13" s="6" t="s">
        <v>342</v>
      </c>
      <c r="B13" s="69" t="n">
        <f aca="false">SUMIF(Monthly!$C$5:$AL$5,B$3,Monthly!$C$53:$AL$53)</f>
        <v>-144000</v>
      </c>
      <c r="C13" s="69" t="n">
        <f aca="false">SUMIF(Monthly!$C$5:$AL$5,C$3,Monthly!$C$53:$AL$53)</f>
        <v>-115200</v>
      </c>
      <c r="D13" s="69" t="n">
        <f aca="false">SUMIF(Monthly!$C$5:$AL$5,D$3,Monthly!$C$53:$AL$53)</f>
        <v>-92160</v>
      </c>
    </row>
    <row r="14" customFormat="false" ht="15" hidden="false" customHeight="false" outlineLevel="0" collapsed="false">
      <c r="A14" s="113" t="s">
        <v>77</v>
      </c>
      <c r="B14" s="70" t="n">
        <f aca="false">SUMIF(Monthly!$C$5:$AL$5,B$3,Monthly!$C$54:$AL$54)</f>
        <v>-1123040</v>
      </c>
      <c r="C14" s="70" t="n">
        <f aca="false">SUMIF(Monthly!$C$5:$AL$5,C$3,Monthly!$C$54:$AL$54)</f>
        <v>-1123611.2</v>
      </c>
      <c r="D14" s="70" t="n">
        <f aca="false">SUMIF(Monthly!$C$5:$AL$5,D$3,Monthly!$C$54:$AL$54)</f>
        <v>-1130823.536</v>
      </c>
    </row>
    <row r="15" customFormat="false" ht="15" hidden="false" customHeight="false" outlineLevel="0" collapsed="false">
      <c r="A15" s="113" t="s">
        <v>48</v>
      </c>
      <c r="B15" s="70" t="n">
        <f aca="false">SUMIF(Monthly!$C$5:$AL$5,B$3,Monthly!$C$55:$AL$55)</f>
        <v>-123279.207270295</v>
      </c>
      <c r="C15" s="70" t="n">
        <f aca="false">SUMIF(Monthly!$C$5:$AL$5,C$3,Monthly!$C$55:$AL$55)</f>
        <v>393591.208461737</v>
      </c>
      <c r="D15" s="70" t="n">
        <f aca="false">SUMIF(Monthly!$C$5:$AL$5,D$3,Monthly!$C$55:$AL$55)</f>
        <v>606030.411732089</v>
      </c>
    </row>
    <row r="16" customFormat="false" ht="15" hidden="false" customHeight="false" outlineLevel="0" collapsed="false">
      <c r="A16" s="39" t="s">
        <v>49</v>
      </c>
      <c r="B16" s="76" t="n">
        <f aca="false">IF(B5=0,0,B15/B5)</f>
        <v>-0.104457758515049</v>
      </c>
      <c r="C16" s="76" t="n">
        <f aca="false">IF(C5=0,0,C15/C5)</f>
        <v>0.217949636079378</v>
      </c>
      <c r="D16" s="76" t="n">
        <f aca="false">IF(D5=0,0,D15/D5)</f>
        <v>0.291322035050816</v>
      </c>
    </row>
    <row r="17" customFormat="false" ht="15" hidden="false" customHeight="false" outlineLevel="0" collapsed="false">
      <c r="A17" s="6" t="s">
        <v>78</v>
      </c>
      <c r="B17" s="69" t="n">
        <f aca="false">SUMIF(Monthly!$C$5:$AL$5,B$3,Monthly!$C$73:$AL$73)</f>
        <v>-341666.666666667</v>
      </c>
      <c r="C17" s="69" t="n">
        <f aca="false">SUMIF(Monthly!$C$5:$AL$5,C$3,Monthly!$C$73:$AL$73)</f>
        <v>-345000</v>
      </c>
      <c r="D17" s="69" t="n">
        <f aca="false">SUMIF(Monthly!$C$5:$AL$5,D$3,Monthly!$C$73:$AL$73)</f>
        <v>-348333.333333333</v>
      </c>
    </row>
    <row r="18" customFormat="false" ht="15" hidden="false" customHeight="false" outlineLevel="0" collapsed="false">
      <c r="A18" s="4" t="s">
        <v>79</v>
      </c>
      <c r="B18" s="75" t="n">
        <f aca="false">SUMIF(Monthly!$C$5:$AL$5,B$3,Monthly!$C$58:$AL$58)</f>
        <v>-464945.873936961</v>
      </c>
      <c r="C18" s="75" t="n">
        <f aca="false">SUMIF(Monthly!$C$5:$AL$5,C$3,Monthly!$C$58:$AL$58)</f>
        <v>48591.2084617368</v>
      </c>
      <c r="D18" s="75" t="n">
        <f aca="false">SUMIF(Monthly!$C$5:$AL$5,D$3,Monthly!$C$58:$AL$58)</f>
        <v>257697.078398756</v>
      </c>
    </row>
    <row r="19" customFormat="false" ht="15" hidden="false" customHeight="false" outlineLevel="0" collapsed="false">
      <c r="A19" s="6" t="s">
        <v>80</v>
      </c>
      <c r="B19" s="69" t="n">
        <f aca="false">SUMIF(Monthly!$C$5:$AL$5,B$3,Monthly!$C$59:$AL$59)</f>
        <v>-244286.458333333</v>
      </c>
      <c r="C19" s="69" t="n">
        <f aca="false">SUMIF(Monthly!$C$5:$AL$5,C$3,Monthly!$C$59:$AL$59)</f>
        <v>-218875</v>
      </c>
      <c r="D19" s="69" t="n">
        <f aca="false">SUMIF(Monthly!$C$5:$AL$5,D$3,Monthly!$C$59:$AL$59)</f>
        <v>-193375</v>
      </c>
    </row>
    <row r="20" customFormat="false" ht="15" hidden="false" customHeight="false" outlineLevel="0" collapsed="false">
      <c r="A20" s="114" t="s">
        <v>81</v>
      </c>
      <c r="B20" s="115" t="n">
        <f aca="false">SUMIF(Monthly!$C$5:$AL$5,B$3,Monthly!$C$60:$AL$60)</f>
        <v>-709232.332270295</v>
      </c>
      <c r="C20" s="115" t="n">
        <f aca="false">SUMIF(Monthly!$C$5:$AL$5,C$3,Monthly!$C$60:$AL$60)</f>
        <v>-170283.791538263</v>
      </c>
      <c r="D20" s="115" t="n">
        <f aca="false">SUMIF(Monthly!$C$5:$AL$5,D$3,Monthly!$C$60:$AL$60)</f>
        <v>64322.0783987556</v>
      </c>
    </row>
    <row r="21" customFormat="false" ht="15" hidden="false" customHeight="false" outlineLevel="0" collapsed="false">
      <c r="A21" s="6" t="s">
        <v>82</v>
      </c>
      <c r="B21" s="69" t="n">
        <f aca="false">SUMIF(Monthly!$C$5:$AL$5,B$3,Monthly!$C$63:$AL$63)</f>
        <v>0</v>
      </c>
      <c r="C21" s="69" t="n">
        <f aca="false">SUMIF(Monthly!$C$5:$AL$5,C$3,Monthly!$C$63:$AL$63)</f>
        <v>0</v>
      </c>
      <c r="D21" s="69" t="n">
        <f aca="false">SUMIF(Monthly!$C$5:$AL$5,D$3,Monthly!$C$63:$AL$63)</f>
        <v>0</v>
      </c>
    </row>
    <row r="22" customFormat="false" ht="15" hidden="false" customHeight="false" outlineLevel="0" collapsed="false">
      <c r="A22" s="72" t="s">
        <v>50</v>
      </c>
      <c r="B22" s="73" t="n">
        <f aca="false">SUMIF(Monthly!$C$5:$AL$5,B$3,Monthly!$C$64:$AL$64)</f>
        <v>-709232.332270295</v>
      </c>
      <c r="C22" s="73" t="n">
        <f aca="false">SUMIF(Monthly!$C$5:$AL$5,C$3,Monthly!$C$64:$AL$64)</f>
        <v>-170283.791538263</v>
      </c>
      <c r="D22" s="73" t="n">
        <f aca="false">SUMIF(Monthly!$C$5:$AL$5,D$3,Monthly!$C$64:$AL$64)</f>
        <v>64322.0783987556</v>
      </c>
    </row>
    <row r="23" customFormat="false" ht="15" hidden="false" customHeight="false" outlineLevel="0" collapsed="false">
      <c r="A23" s="39" t="s">
        <v>51</v>
      </c>
      <c r="B23" s="76" t="n">
        <f aca="false">IF(B5=0,0,B22/B5)</f>
        <v>-0.600951460800047</v>
      </c>
      <c r="C23" s="76" t="n">
        <f aca="false">IF(C5=0,0,C22/C5)</f>
        <v>-0.0942940025033336</v>
      </c>
      <c r="D23" s="76" t="n">
        <f aca="false">IF(D5=0,0,D22/D5)</f>
        <v>0.0309199644358894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337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50</v>
      </c>
      <c r="B5" s="69" t="n">
        <f aca="false">SUMIF(Monthly!$C$5:$AL$5,B$3,Monthly!$C$64:$AL$64)</f>
        <v>-709232.332270295</v>
      </c>
      <c r="C5" s="69" t="n">
        <f aca="false">SUMIF(Monthly!$C$5:$AL$5,C$3,Monthly!$C$64:$AL$64)</f>
        <v>-170283.791538263</v>
      </c>
      <c r="D5" s="69" t="n">
        <f aca="false">SUMIF(Monthly!$C$5:$AL$5,D$3,Monthly!$C$64:$AL$64)</f>
        <v>64322.0783987556</v>
      </c>
    </row>
    <row r="6" customFormat="false" ht="15" hidden="false" customHeight="false" outlineLevel="0" collapsed="false">
      <c r="A6" s="6" t="s">
        <v>343</v>
      </c>
      <c r="B6" s="69" t="n">
        <f aca="false">-SUMIF(Monthly!$C$5:$AL$5,B$3,Monthly!$C$73:$AL$73)</f>
        <v>341666.666666667</v>
      </c>
      <c r="C6" s="69" t="n">
        <f aca="false">-SUMIF(Monthly!$C$5:$AL$5,C$3,Monthly!$C$73:$AL$73)</f>
        <v>345000</v>
      </c>
      <c r="D6" s="69" t="n">
        <f aca="false">-SUMIF(Monthly!$C$5:$AL$5,D$3,Monthly!$C$73:$AL$73)</f>
        <v>348333.333333333</v>
      </c>
    </row>
    <row r="7" customFormat="false" ht="15" hidden="false" customHeight="false" outlineLevel="0" collapsed="false">
      <c r="A7" s="6" t="s">
        <v>344</v>
      </c>
      <c r="B7" s="69" t="n">
        <f aca="false">SUMIF(Monthly!$C$5:$AL$5,B$3,Monthly!$C$87:$AL$87)</f>
        <v>-7915.98187505677</v>
      </c>
      <c r="C7" s="69" t="n">
        <f aca="false">SUMIF(Monthly!$C$5:$AL$5,C$3,Monthly!$C$87:$AL$87)</f>
        <v>-1788.51827177003</v>
      </c>
      <c r="D7" s="69" t="n">
        <f aca="false">SUMIF(Monthly!$C$5:$AL$5,D$3,Monthly!$C$87:$AL$87)</f>
        <v>-1274.50824054096</v>
      </c>
    </row>
    <row r="8" customFormat="false" ht="15" hidden="false" customHeight="false" outlineLevel="0" collapsed="false">
      <c r="A8" s="6" t="s">
        <v>345</v>
      </c>
      <c r="B8" s="69" t="n">
        <f aca="false">SUMIF(Monthly!$C$5:$AL$5,B$3,Monthly!$C$88:$AL$88)</f>
        <v>-8885.78253780614</v>
      </c>
      <c r="C8" s="69" t="n">
        <f aca="false">SUMIF(Monthly!$C$5:$AL$5,C$3,Monthly!$C$88:$AL$88)</f>
        <v>-2326.14501404709</v>
      </c>
      <c r="D8" s="69" t="n">
        <f aca="false">SUMIF(Monthly!$C$5:$AL$5,D$3,Monthly!$C$88:$AL$88)</f>
        <v>-1702.42783684768</v>
      </c>
    </row>
    <row r="9" customFormat="false" ht="15" hidden="false" customHeight="false" outlineLevel="0" collapsed="false">
      <c r="A9" s="6" t="s">
        <v>346</v>
      </c>
      <c r="B9" s="69" t="n">
        <f aca="false">SUMIF(Monthly!$C$5:$AL$5,B$3,Monthly!$C$89:$AL$89)</f>
        <v>14809.6375630102</v>
      </c>
      <c r="C9" s="69" t="n">
        <f aca="false">SUMIF(Monthly!$C$5:$AL$5,C$3,Monthly!$C$89:$AL$89)</f>
        <v>3876.90835674514</v>
      </c>
      <c r="D9" s="69" t="n">
        <f aca="false">SUMIF(Monthly!$C$5:$AL$5,D$3,Monthly!$C$89:$AL$89)</f>
        <v>2837.37972807948</v>
      </c>
    </row>
    <row r="10" customFormat="false" ht="15" hidden="false" customHeight="false" outlineLevel="0" collapsed="false">
      <c r="A10" s="113" t="s">
        <v>52</v>
      </c>
      <c r="B10" s="70" t="n">
        <f aca="false">SUMIF(Monthly!$C$5:$AL$5,B$3,Monthly!$C$92:$AL$92)</f>
        <v>-369557.792453481</v>
      </c>
      <c r="C10" s="70" t="n">
        <f aca="false">SUMIF(Monthly!$C$5:$AL$5,C$3,Monthly!$C$92:$AL$92)</f>
        <v>174478.453532665</v>
      </c>
      <c r="D10" s="70" t="n">
        <f aca="false">SUMIF(Monthly!$C$5:$AL$5,D$3,Monthly!$C$92:$AL$92)</f>
        <v>412515.85538278</v>
      </c>
    </row>
    <row r="11" customFormat="false" ht="15" hidden="false" customHeight="false" outlineLevel="0" collapsed="false">
      <c r="A11" s="6" t="s">
        <v>84</v>
      </c>
      <c r="B11" s="69" t="n">
        <f aca="false">SUMIF(Monthly!$C$5:$AL$5,B$3,Monthly!$C$93:$AL$93)</f>
        <v>-4100000</v>
      </c>
      <c r="C11" s="69" t="n">
        <f aca="false">SUMIF(Monthly!$C$5:$AL$5,C$3,Monthly!$C$93:$AL$93)</f>
        <v>-40000</v>
      </c>
      <c r="D11" s="69" t="n">
        <f aca="false">SUMIF(Monthly!$C$5:$AL$5,D$3,Monthly!$C$93:$AL$93)</f>
        <v>-40000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SUMIF(Monthly!$C$5:$AL$5,B$3,Monthly!$C$94:$AL$94)</f>
        <v>2100000</v>
      </c>
      <c r="C12" s="69" t="n">
        <f aca="false">SUMIF(Monthly!$C$5:$AL$5,C$3,Monthly!$C$94:$AL$94)</f>
        <v>0</v>
      </c>
      <c r="D12" s="69" t="n">
        <f aca="false">SUMIF(Monthly!$C$5:$AL$5,D$3,Monthly!$C$94:$AL$94)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SUMIF(Monthly!$C$5:$AL$5,B$3,Monthly!$C$79:$AL$79)</f>
        <v>3000000</v>
      </c>
      <c r="C13" s="69" t="n">
        <f aca="false">SUMIF(Monthly!$C$5:$AL$5,C$3,Monthly!$C$79:$AL$79)</f>
        <v>0</v>
      </c>
      <c r="D13" s="69" t="n">
        <f aca="false">SUMIF(Monthly!$C$5:$AL$5,D$3,Monthly!$C$79:$AL$79)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SUMIF(Monthly!$C$5:$AL$5,B$3,Monthly!$C$80:$AL$80)</f>
        <v>-275000</v>
      </c>
      <c r="C14" s="69" t="n">
        <f aca="false">SUMIF(Monthly!$C$5:$AL$5,C$3,Monthly!$C$80:$AL$80)</f>
        <v>-300000</v>
      </c>
      <c r="D14" s="69" t="n">
        <f aca="false">SUMIF(Monthly!$C$5:$AL$5,D$3,Monthly!$C$80:$AL$80)</f>
        <v>-300000</v>
      </c>
    </row>
    <row r="15" customFormat="false" ht="15" hidden="false" customHeight="false" outlineLevel="0" collapsed="false">
      <c r="A15" s="113" t="s">
        <v>54</v>
      </c>
      <c r="B15" s="70" t="n">
        <f aca="false">SUMIF(Monthly!$C$5:$AL$5,B$3,Monthly!$C$95:$AL$95)</f>
        <v>4825000</v>
      </c>
      <c r="C15" s="70" t="n">
        <f aca="false">SUMIF(Monthly!$C$5:$AL$5,C$3,Monthly!$C$95:$AL$95)</f>
        <v>-300000</v>
      </c>
      <c r="D15" s="70" t="n">
        <f aca="false">SUMIF(Monthly!$C$5:$AL$5,D$3,Monthly!$C$95:$AL$95)</f>
        <v>-300000</v>
      </c>
    </row>
    <row r="16" customFormat="false" ht="15" hidden="false" customHeight="false" outlineLevel="0" collapsed="false">
      <c r="A16" s="4" t="s">
        <v>55</v>
      </c>
      <c r="B16" s="75" t="n">
        <f aca="false">SUMIF(Monthly!$C$5:$AL$5,B$3,Monthly!$C$96:$AL$96)</f>
        <v>355442.207546519</v>
      </c>
      <c r="C16" s="75" t="n">
        <f aca="false">SUMIF(Monthly!$C$5:$AL$5,C$3,Monthly!$C$96:$AL$96)</f>
        <v>-165521.546467335</v>
      </c>
      <c r="D16" s="75" t="n">
        <f aca="false">SUMIF(Monthly!$C$5:$AL$5,D$3,Monthly!$C$96:$AL$96)</f>
        <v>72515.8553827797</v>
      </c>
    </row>
    <row r="17" customFormat="false" ht="15" hidden="false" customHeight="false" outlineLevel="0" collapsed="false">
      <c r="A17" s="6" t="s">
        <v>347</v>
      </c>
      <c r="B17" s="69" t="n">
        <f aca="false">INDEX(Monthly!$C$97:$AL$97,(B$3-1)*12+1)</f>
        <v>0</v>
      </c>
      <c r="C17" s="69" t="n">
        <f aca="false">INDEX(Monthly!$C$97:$AL$97,(C$3-1)*12+1)</f>
        <v>355442.207546519</v>
      </c>
      <c r="D17" s="69" t="n">
        <f aca="false">INDEX(Monthly!$C$97:$AL$97,(D$3-1)*12+1)</f>
        <v>189920.661079184</v>
      </c>
    </row>
    <row r="18" customFormat="false" ht="15" hidden="false" customHeight="false" outlineLevel="0" collapsed="false">
      <c r="A18" s="72" t="s">
        <v>87</v>
      </c>
      <c r="B18" s="73" t="n">
        <f aca="false">INDEX(Monthly!$C$98:$AL$98,B$3*12)</f>
        <v>355442.207546519</v>
      </c>
      <c r="C18" s="73" t="n">
        <f aca="false">INDEX(Monthly!$C$98:$AL$98,C$3*12)</f>
        <v>189920.661079184</v>
      </c>
      <c r="D18" s="73" t="n">
        <f aca="false">INDEX(Monthly!$C$98:$AL$98,D$3*12)</f>
        <v>262436.516461964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337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</row>
    <row r="4" customFormat="false" ht="15" hidden="false" customHeight="false" outlineLevel="0" collapsed="false">
      <c r="A4" s="33"/>
      <c r="B4" s="35" t="s">
        <v>156</v>
      </c>
      <c r="C4" s="35" t="s">
        <v>157</v>
      </c>
      <c r="D4" s="35" t="s">
        <v>158</v>
      </c>
    </row>
    <row r="5" customFormat="false" ht="15" hidden="false" customHeight="false" outlineLevel="0" collapsed="false">
      <c r="A5" s="6" t="s">
        <v>89</v>
      </c>
      <c r="B5" s="69" t="n">
        <f aca="false">INDEX(Monthly!$C$98:$AL$98,B$3*12)</f>
        <v>355442.207546519</v>
      </c>
      <c r="C5" s="69" t="n">
        <f aca="false">INDEX(Monthly!$C$98:$AL$98,C$3*12)</f>
        <v>189920.661079184</v>
      </c>
      <c r="D5" s="69" t="n">
        <f aca="false">INDEX(Monthly!$C$98:$AL$98,D$3*12)</f>
        <v>262436.516461964</v>
      </c>
    </row>
    <row r="6" customFormat="false" ht="15" hidden="false" customHeight="false" outlineLevel="0" collapsed="false">
      <c r="A6" s="6" t="s">
        <v>90</v>
      </c>
      <c r="B6" s="69" t="n">
        <f aca="false">INDEX(Monthly!$C$84:$AL$84,B$3*12)</f>
        <v>7915.98187505677</v>
      </c>
      <c r="C6" s="69" t="n">
        <f aca="false">INDEX(Monthly!$C$84:$AL$84,C$3*12)</f>
        <v>9704.5001468268</v>
      </c>
      <c r="D6" s="69" t="n">
        <f aca="false">INDEX(Monthly!$C$84:$AL$84,D$3*12)</f>
        <v>10979.0083873678</v>
      </c>
    </row>
    <row r="7" customFormat="false" ht="15" hidden="false" customHeight="false" outlineLevel="0" collapsed="false">
      <c r="A7" s="6" t="s">
        <v>91</v>
      </c>
      <c r="B7" s="69" t="n">
        <f aca="false">INDEX(Monthly!$C$85:$AL$85,B$3*12)</f>
        <v>8885.78253780614</v>
      </c>
      <c r="C7" s="69" t="n">
        <f aca="false">INDEX(Monthly!$C$85:$AL$85,C$3*12)</f>
        <v>11211.9275518532</v>
      </c>
      <c r="D7" s="69" t="n">
        <f aca="false">INDEX(Monthly!$C$85:$AL$85,D$3*12)</f>
        <v>12914.3553887009</v>
      </c>
    </row>
    <row r="8" customFormat="false" ht="15" hidden="false" customHeight="false" outlineLevel="0" collapsed="false">
      <c r="A8" s="6" t="s">
        <v>92</v>
      </c>
      <c r="B8" s="69" t="n">
        <f aca="false">INDEX(Monthly!$C$75:$AL$75,B$3*12)</f>
        <v>3758333.33333333</v>
      </c>
      <c r="C8" s="69" t="n">
        <f aca="false">INDEX(Monthly!$C$75:$AL$75,C$3*12)</f>
        <v>3453333.33333333</v>
      </c>
      <c r="D8" s="69" t="n">
        <f aca="false">INDEX(Monthly!$C$75:$AL$75,D$3*12)</f>
        <v>3145000</v>
      </c>
    </row>
    <row r="9" customFormat="false" ht="15" hidden="false" customHeight="false" outlineLevel="0" collapsed="false">
      <c r="A9" s="113" t="s">
        <v>93</v>
      </c>
      <c r="B9" s="70" t="n">
        <f aca="false">INDEX(Monthly!$C$112:$AL$112,B$3*12)</f>
        <v>4130577.30529272</v>
      </c>
      <c r="C9" s="70" t="n">
        <f aca="false">INDEX(Monthly!$C$112:$AL$112,C$3*12)</f>
        <v>3664170.4221112</v>
      </c>
      <c r="D9" s="70" t="n">
        <f aca="false">INDEX(Monthly!$C$112:$AL$112,D$3*12)</f>
        <v>3431329.88023803</v>
      </c>
    </row>
    <row r="10" customFormat="false" ht="15" hidden="false" customHeight="false" outlineLevel="0" collapsed="false">
      <c r="A10" s="6" t="s">
        <v>94</v>
      </c>
      <c r="B10" s="69" t="n">
        <f aca="false">INDEX(Monthly!$C$86:$AL$86,B$3*12)</f>
        <v>14809.6375630102</v>
      </c>
      <c r="C10" s="69" t="n">
        <f aca="false">INDEX(Monthly!$C$86:$AL$86,C$3*12)</f>
        <v>18686.5459197554</v>
      </c>
      <c r="D10" s="69" t="n">
        <f aca="false">INDEX(Monthly!$C$86:$AL$86,D$3*12)</f>
        <v>21523.9256478349</v>
      </c>
    </row>
    <row r="11" customFormat="false" ht="15" hidden="false" customHeight="false" outlineLevel="0" collapsed="false">
      <c r="A11" s="6" t="s">
        <v>95</v>
      </c>
      <c r="B11" s="69" t="n">
        <f aca="false">INDEX(Monthly!$C$81:$AL$81,B$3*12)</f>
        <v>2725000</v>
      </c>
      <c r="C11" s="69" t="n">
        <f aca="false">INDEX(Monthly!$C$81:$AL$81,C$3*12)</f>
        <v>2425000</v>
      </c>
      <c r="D11" s="69" t="n">
        <f aca="false">INDEX(Monthly!$C$81:$AL$81,D$3*12)</f>
        <v>2125000</v>
      </c>
    </row>
    <row r="12" customFormat="false" ht="15" hidden="false" customHeight="false" outlineLevel="0" collapsed="false">
      <c r="A12" s="114" t="s">
        <v>96</v>
      </c>
      <c r="B12" s="115" t="n">
        <f aca="false">INDEX(Monthly!$C$113:$AL$113,B$3*12)</f>
        <v>2739809.63756301</v>
      </c>
      <c r="C12" s="115" t="n">
        <f aca="false">INDEX(Monthly!$C$113:$AL$113,C$3*12)</f>
        <v>2443686.54591976</v>
      </c>
      <c r="D12" s="115" t="n">
        <f aca="false">INDEX(Monthly!$C$113:$AL$113,D$3*12)</f>
        <v>2146523.92564784</v>
      </c>
    </row>
    <row r="13" customFormat="false" ht="15" hidden="false" customHeight="false" outlineLevel="0" collapsed="false">
      <c r="A13" s="6" t="s">
        <v>97</v>
      </c>
      <c r="B13" s="69" t="n">
        <f aca="false">INDEX(Monthly!$C$110:$AL$110,B$3*12)</f>
        <v>2100000</v>
      </c>
      <c r="C13" s="69" t="n">
        <f aca="false">INDEX(Monthly!$C$110:$AL$110,C$3*12)</f>
        <v>2100000</v>
      </c>
      <c r="D13" s="69" t="n">
        <f aca="false">INDEX(Monthly!$C$110:$AL$110,D$3*12)</f>
        <v>2100000</v>
      </c>
    </row>
    <row r="14" customFormat="false" ht="15" hidden="false" customHeight="false" outlineLevel="0" collapsed="false">
      <c r="A14" s="6" t="s">
        <v>98</v>
      </c>
      <c r="B14" s="69" t="n">
        <f aca="false">INDEX(Monthly!$C$111:$AL$111,B$3*12)</f>
        <v>-709232.332270295</v>
      </c>
      <c r="C14" s="69" t="n">
        <f aca="false">INDEX(Monthly!$C$111:$AL$111,C$3*12)</f>
        <v>-879516.123808558</v>
      </c>
      <c r="D14" s="69" t="n">
        <f aca="false">INDEX(Monthly!$C$111:$AL$111,D$3*12)</f>
        <v>-815194.045409802</v>
      </c>
    </row>
    <row r="15" customFormat="false" ht="15" hidden="false" customHeight="false" outlineLevel="0" collapsed="false">
      <c r="A15" s="114" t="s">
        <v>99</v>
      </c>
      <c r="B15" s="115" t="n">
        <f aca="false">INDEX(Monthly!$C$114:$AL$114,B$3*12)</f>
        <v>1390767.66772971</v>
      </c>
      <c r="C15" s="115" t="n">
        <f aca="false">INDEX(Monthly!$C$114:$AL$114,C$3*12)</f>
        <v>1220483.87619144</v>
      </c>
      <c r="D15" s="115" t="n">
        <f aca="false">INDEX(Monthly!$C$114:$AL$114,D$3*12)</f>
        <v>1284805.9545902</v>
      </c>
    </row>
    <row r="16" customFormat="false" ht="15" hidden="false" customHeight="false" outlineLevel="0" collapsed="false">
      <c r="A16" s="72" t="s">
        <v>100</v>
      </c>
      <c r="B16" s="73" t="n">
        <f aca="false">INDEX(Monthly!$C$115:$AL$115,B$3*12)</f>
        <v>4130577.30529272</v>
      </c>
      <c r="C16" s="73" t="n">
        <f aca="false">INDEX(Monthly!$C$115:$AL$115,C$3*12)</f>
        <v>3664170.4221112</v>
      </c>
      <c r="D16" s="73" t="n">
        <f aca="false">INDEX(Monthly!$C$115:$AL$115,D$3*12)</f>
        <v>3431329.88023803</v>
      </c>
    </row>
    <row r="17" customFormat="false" ht="15" hidden="false" customHeight="false" outlineLevel="0" collapsed="false">
      <c r="A17" s="6" t="s">
        <v>348</v>
      </c>
      <c r="B17" s="69" t="n">
        <f aca="false">INDEX(Monthly!$C$116:$AL$116,B$3*12)</f>
        <v>0</v>
      </c>
      <c r="C17" s="69" t="n">
        <f aca="false">INDEX(Monthly!$C$116:$AL$116,C$3*12)</f>
        <v>0</v>
      </c>
      <c r="D17" s="69" t="n">
        <f aca="false">INDEX(Monthly!$C$116:$AL$116,D$3*12)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1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349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350</v>
      </c>
    </row>
    <row r="3" customFormat="false" ht="15" hidden="false" customHeight="false" outlineLevel="0" collapsed="false">
      <c r="A3" s="33" t="s">
        <v>351</v>
      </c>
      <c r="C3" s="35" t="s">
        <v>352</v>
      </c>
      <c r="D3" s="35" t="s">
        <v>353</v>
      </c>
      <c r="E3" s="35" t="s">
        <v>354</v>
      </c>
      <c r="F3" s="35" t="s">
        <v>355</v>
      </c>
      <c r="G3" s="35" t="s">
        <v>356</v>
      </c>
      <c r="H3" s="35" t="s">
        <v>357</v>
      </c>
      <c r="I3" s="35" t="s">
        <v>358</v>
      </c>
      <c r="J3" s="35" t="s">
        <v>359</v>
      </c>
      <c r="K3" s="35" t="s">
        <v>360</v>
      </c>
      <c r="L3" s="35" t="s">
        <v>361</v>
      </c>
      <c r="M3" s="35" t="s">
        <v>362</v>
      </c>
      <c r="N3" s="35" t="s">
        <v>363</v>
      </c>
      <c r="O3" s="35" t="s">
        <v>364</v>
      </c>
      <c r="P3" s="35" t="s">
        <v>365</v>
      </c>
      <c r="Q3" s="35" t="s">
        <v>366</v>
      </c>
      <c r="R3" s="35" t="s">
        <v>367</v>
      </c>
      <c r="S3" s="35" t="s">
        <v>368</v>
      </c>
      <c r="T3" s="35" t="s">
        <v>369</v>
      </c>
      <c r="U3" s="35" t="s">
        <v>370</v>
      </c>
      <c r="V3" s="35" t="s">
        <v>371</v>
      </c>
      <c r="W3" s="35" t="s">
        <v>372</v>
      </c>
      <c r="X3" s="35" t="s">
        <v>373</v>
      </c>
      <c r="Y3" s="35" t="s">
        <v>374</v>
      </c>
      <c r="Z3" s="35" t="s">
        <v>375</v>
      </c>
      <c r="AA3" s="35" t="s">
        <v>376</v>
      </c>
      <c r="AB3" s="35" t="s">
        <v>377</v>
      </c>
      <c r="AC3" s="35" t="s">
        <v>378</v>
      </c>
      <c r="AD3" s="35" t="s">
        <v>379</v>
      </c>
      <c r="AE3" s="35" t="s">
        <v>380</v>
      </c>
      <c r="AF3" s="35" t="s">
        <v>381</v>
      </c>
      <c r="AG3" s="35" t="s">
        <v>382</v>
      </c>
      <c r="AH3" s="35" t="s">
        <v>383</v>
      </c>
      <c r="AI3" s="35" t="s">
        <v>384</v>
      </c>
      <c r="AJ3" s="35" t="s">
        <v>385</v>
      </c>
      <c r="AK3" s="35" t="s">
        <v>386</v>
      </c>
      <c r="AL3" s="35" t="s">
        <v>387</v>
      </c>
    </row>
    <row r="4" customFormat="false" ht="15" hidden="false" customHeight="false" outlineLevel="0" collapsed="false">
      <c r="A4" s="74" t="s">
        <v>388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155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389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6" t="s">
        <v>390</v>
      </c>
      <c r="C8" s="117" t="n">
        <f aca="false">MAX(0,MIN(1,Inputs!$E$9-(C$4-1)*1))</f>
        <v>1</v>
      </c>
      <c r="D8" s="117" t="n">
        <f aca="false">MAX(0,MIN(1,Inputs!$E$9-(D$4-1)*1))</f>
        <v>1</v>
      </c>
      <c r="E8" s="117" t="n">
        <f aca="false">MAX(0,MIN(1,Inputs!$E$9-(E$4-1)*1))</f>
        <v>1</v>
      </c>
      <c r="F8" s="117" t="n">
        <f aca="false">MAX(0,MIN(1,Inputs!$E$9-(F$4-1)*1))</f>
        <v>1</v>
      </c>
      <c r="G8" s="117" t="n">
        <f aca="false">MAX(0,MIN(1,Inputs!$E$9-(G$4-1)*1))</f>
        <v>1</v>
      </c>
      <c r="H8" s="117" t="n">
        <f aca="false">MAX(0,MIN(1,Inputs!$E$9-(H$4-1)*1))</f>
        <v>1</v>
      </c>
      <c r="I8" s="117" t="n">
        <f aca="false">MAX(0,MIN(1,Inputs!$E$9-(I$4-1)*1))</f>
        <v>1</v>
      </c>
      <c r="J8" s="117" t="n">
        <f aca="false">MAX(0,MIN(1,Inputs!$E$9-(J$4-1)*1))</f>
        <v>1</v>
      </c>
      <c r="K8" s="117" t="n">
        <f aca="false">MAX(0,MIN(1,Inputs!$E$9-(K$4-1)*1))</f>
        <v>1</v>
      </c>
      <c r="L8" s="117" t="n">
        <f aca="false">MAX(0,MIN(1,Inputs!$E$9-(L$4-1)*1))</f>
        <v>0</v>
      </c>
      <c r="M8" s="117" t="n">
        <f aca="false">MAX(0,MIN(1,Inputs!$E$9-(M$4-1)*1))</f>
        <v>0</v>
      </c>
      <c r="N8" s="117" t="n">
        <f aca="false">MAX(0,MIN(1,Inputs!$E$9-(N$4-1)*1))</f>
        <v>0</v>
      </c>
      <c r="O8" s="117" t="n">
        <f aca="false">MAX(0,MIN(1,Inputs!$E$9-(O$4-1)*1))</f>
        <v>0</v>
      </c>
      <c r="P8" s="117" t="n">
        <f aca="false">MAX(0,MIN(1,Inputs!$E$9-(P$4-1)*1))</f>
        <v>0</v>
      </c>
      <c r="Q8" s="117" t="n">
        <f aca="false">MAX(0,MIN(1,Inputs!$E$9-(Q$4-1)*1))</f>
        <v>0</v>
      </c>
      <c r="R8" s="117" t="n">
        <f aca="false">MAX(0,MIN(1,Inputs!$E$9-(R$4-1)*1))</f>
        <v>0</v>
      </c>
      <c r="S8" s="117" t="n">
        <f aca="false">MAX(0,MIN(1,Inputs!$E$9-(S$4-1)*1))</f>
        <v>0</v>
      </c>
      <c r="T8" s="117" t="n">
        <f aca="false">MAX(0,MIN(1,Inputs!$E$9-(T$4-1)*1))</f>
        <v>0</v>
      </c>
      <c r="U8" s="117" t="n">
        <f aca="false">MAX(0,MIN(1,Inputs!$E$9-(U$4-1)*1))</f>
        <v>0</v>
      </c>
      <c r="V8" s="117" t="n">
        <f aca="false">MAX(0,MIN(1,Inputs!$E$9-(V$4-1)*1))</f>
        <v>0</v>
      </c>
      <c r="W8" s="117" t="n">
        <f aca="false">MAX(0,MIN(1,Inputs!$E$9-(W$4-1)*1))</f>
        <v>0</v>
      </c>
      <c r="X8" s="117" t="n">
        <f aca="false">MAX(0,MIN(1,Inputs!$E$9-(X$4-1)*1))</f>
        <v>0</v>
      </c>
      <c r="Y8" s="117" t="n">
        <f aca="false">MAX(0,MIN(1,Inputs!$E$9-(Y$4-1)*1))</f>
        <v>0</v>
      </c>
      <c r="Z8" s="117" t="n">
        <f aca="false">MAX(0,MIN(1,Inputs!$E$9-(Z$4-1)*1))</f>
        <v>0</v>
      </c>
      <c r="AA8" s="117" t="n">
        <f aca="false">MAX(0,MIN(1,Inputs!$E$9-(AA$4-1)*1))</f>
        <v>0</v>
      </c>
      <c r="AB8" s="117" t="n">
        <f aca="false">MAX(0,MIN(1,Inputs!$E$9-(AB$4-1)*1))</f>
        <v>0</v>
      </c>
      <c r="AC8" s="117" t="n">
        <f aca="false">MAX(0,MIN(1,Inputs!$E$9-(AC$4-1)*1))</f>
        <v>0</v>
      </c>
      <c r="AD8" s="117" t="n">
        <f aca="false">MAX(0,MIN(1,Inputs!$E$9-(AD$4-1)*1))</f>
        <v>0</v>
      </c>
      <c r="AE8" s="117" t="n">
        <f aca="false">MAX(0,MIN(1,Inputs!$E$9-(AE$4-1)*1))</f>
        <v>0</v>
      </c>
      <c r="AF8" s="117" t="n">
        <f aca="false">MAX(0,MIN(1,Inputs!$E$9-(AF$4-1)*1))</f>
        <v>0</v>
      </c>
      <c r="AG8" s="117" t="n">
        <f aca="false">MAX(0,MIN(1,Inputs!$E$9-(AG$4-1)*1))</f>
        <v>0</v>
      </c>
      <c r="AH8" s="117" t="n">
        <f aca="false">MAX(0,MIN(1,Inputs!$E$9-(AH$4-1)*1))</f>
        <v>0</v>
      </c>
      <c r="AI8" s="117" t="n">
        <f aca="false">MAX(0,MIN(1,Inputs!$E$9-(AI$4-1)*1))</f>
        <v>0</v>
      </c>
      <c r="AJ8" s="117" t="n">
        <f aca="false">MAX(0,MIN(1,Inputs!$E$9-(AJ$4-1)*1))</f>
        <v>0</v>
      </c>
      <c r="AK8" s="117" t="n">
        <f aca="false">MAX(0,MIN(1,Inputs!$E$9-(AK$4-1)*1))</f>
        <v>0</v>
      </c>
      <c r="AL8" s="117" t="n">
        <f aca="false">MAX(0,MIN(1,Inputs!$E$9-(AL$4-1)*1))</f>
        <v>0</v>
      </c>
    </row>
    <row r="9" customFormat="false" ht="15" hidden="false" customHeight="false" outlineLevel="0" collapsed="false">
      <c r="A9" s="39" t="s">
        <v>391</v>
      </c>
      <c r="C9" s="76" t="n">
        <f aca="false">IF(Inputs!$E$9&lt;=0,1,(C8*Inputs!$E$10+(1-Inputs!$E$10)/MAX(1,Inputs!$E$9)*(C8*(C$4-1)*1+C8*(C8-1)/2)+1-C8)/1)</f>
        <v>0.45</v>
      </c>
      <c r="D9" s="76" t="n">
        <f aca="false">IF(Inputs!$E$9&lt;=0,1,(D8*Inputs!$E$10+(1-Inputs!$E$10)/MAX(1,Inputs!$E$9)*(D8*(D$4-1)*1+D8*(D8-1)/2)+1-D8)/1)</f>
        <v>0.511111111111111</v>
      </c>
      <c r="E9" s="76" t="n">
        <f aca="false">IF(Inputs!$E$9&lt;=0,1,(E8*Inputs!$E$10+(1-Inputs!$E$10)/MAX(1,Inputs!$E$9)*(E8*(E$4-1)*1+E8*(E8-1)/2)+1-E8)/1)</f>
        <v>0.572222222222222</v>
      </c>
      <c r="F9" s="76" t="n">
        <f aca="false">IF(Inputs!$E$9&lt;=0,1,(F8*Inputs!$E$10+(1-Inputs!$E$10)/MAX(1,Inputs!$E$9)*(F8*(F$4-1)*1+F8*(F8-1)/2)+1-F8)/1)</f>
        <v>0.633333333333333</v>
      </c>
      <c r="G9" s="76" t="n">
        <f aca="false">IF(Inputs!$E$9&lt;=0,1,(G8*Inputs!$E$10+(1-Inputs!$E$10)/MAX(1,Inputs!$E$9)*(G8*(G$4-1)*1+G8*(G8-1)/2)+1-G8)/1)</f>
        <v>0.694444444444444</v>
      </c>
      <c r="H9" s="76" t="n">
        <f aca="false">IF(Inputs!$E$9&lt;=0,1,(H8*Inputs!$E$10+(1-Inputs!$E$10)/MAX(1,Inputs!$E$9)*(H8*(H$4-1)*1+H8*(H8-1)/2)+1-H8)/1)</f>
        <v>0.755555555555556</v>
      </c>
      <c r="I9" s="76" t="n">
        <f aca="false">IF(Inputs!$E$9&lt;=0,1,(I8*Inputs!$E$10+(1-Inputs!$E$10)/MAX(1,Inputs!$E$9)*(I8*(I$4-1)*1+I8*(I8-1)/2)+1-I8)/1)</f>
        <v>0.816666666666667</v>
      </c>
      <c r="J9" s="76" t="n">
        <f aca="false">IF(Inputs!$E$9&lt;=0,1,(J8*Inputs!$E$10+(1-Inputs!$E$10)/MAX(1,Inputs!$E$9)*(J8*(J$4-1)*1+J8*(J8-1)/2)+1-J8)/1)</f>
        <v>0.877777777777778</v>
      </c>
      <c r="K9" s="76" t="n">
        <f aca="false">IF(Inputs!$E$9&lt;=0,1,(K8*Inputs!$E$10+(1-Inputs!$E$10)/MAX(1,Inputs!$E$9)*(K8*(K$4-1)*1+K8*(K8-1)/2)+1-K8)/1)</f>
        <v>0.938888888888889</v>
      </c>
      <c r="L9" s="76" t="n">
        <f aca="false">IF(Inputs!$E$9&lt;=0,1,(L8*Inputs!$E$10+(1-Inputs!$E$10)/MAX(1,Inputs!$E$9)*(L8*(L$4-1)*1+L8*(L8-1)/2)+1-L8)/1)</f>
        <v>1</v>
      </c>
      <c r="M9" s="76" t="n">
        <f aca="false">IF(Inputs!$E$9&lt;=0,1,(M8*Inputs!$E$10+(1-Inputs!$E$10)/MAX(1,Inputs!$E$9)*(M8*(M$4-1)*1+M8*(M8-1)/2)+1-M8)/1)</f>
        <v>1</v>
      </c>
      <c r="N9" s="76" t="n">
        <f aca="false">IF(Inputs!$E$9&lt;=0,1,(N8*Inputs!$E$10+(1-Inputs!$E$10)/MAX(1,Inputs!$E$9)*(N8*(N$4-1)*1+N8*(N8-1)/2)+1-N8)/1)</f>
        <v>1</v>
      </c>
      <c r="O9" s="76" t="n">
        <f aca="false">IF(Inputs!$E$9&lt;=0,1,(O8*Inputs!$E$10+(1-Inputs!$E$10)/MAX(1,Inputs!$E$9)*(O8*(O$4-1)*1+O8*(O8-1)/2)+1-O8)/1)</f>
        <v>1</v>
      </c>
      <c r="P9" s="76" t="n">
        <f aca="false">IF(Inputs!$E$9&lt;=0,1,(P8*Inputs!$E$10+(1-Inputs!$E$10)/MAX(1,Inputs!$E$9)*(P8*(P$4-1)*1+P8*(P8-1)/2)+1-P8)/1)</f>
        <v>1</v>
      </c>
      <c r="Q9" s="76" t="n">
        <f aca="false">IF(Inputs!$E$9&lt;=0,1,(Q8*Inputs!$E$10+(1-Inputs!$E$10)/MAX(1,Inputs!$E$9)*(Q8*(Q$4-1)*1+Q8*(Q8-1)/2)+1-Q8)/1)</f>
        <v>1</v>
      </c>
      <c r="R9" s="76" t="n">
        <f aca="false">IF(Inputs!$E$9&lt;=0,1,(R8*Inputs!$E$10+(1-Inputs!$E$10)/MAX(1,Inputs!$E$9)*(R8*(R$4-1)*1+R8*(R8-1)/2)+1-R8)/1)</f>
        <v>1</v>
      </c>
      <c r="S9" s="76" t="n">
        <f aca="false">IF(Inputs!$E$9&lt;=0,1,(S8*Inputs!$E$10+(1-Inputs!$E$10)/MAX(1,Inputs!$E$9)*(S8*(S$4-1)*1+S8*(S8-1)/2)+1-S8)/1)</f>
        <v>1</v>
      </c>
      <c r="T9" s="76" t="n">
        <f aca="false">IF(Inputs!$E$9&lt;=0,1,(T8*Inputs!$E$10+(1-Inputs!$E$10)/MAX(1,Inputs!$E$9)*(T8*(T$4-1)*1+T8*(T8-1)/2)+1-T8)/1)</f>
        <v>1</v>
      </c>
      <c r="U9" s="76" t="n">
        <f aca="false">IF(Inputs!$E$9&lt;=0,1,(U8*Inputs!$E$10+(1-Inputs!$E$10)/MAX(1,Inputs!$E$9)*(U8*(U$4-1)*1+U8*(U8-1)/2)+1-U8)/1)</f>
        <v>1</v>
      </c>
      <c r="V9" s="76" t="n">
        <f aca="false">IF(Inputs!$E$9&lt;=0,1,(V8*Inputs!$E$10+(1-Inputs!$E$10)/MAX(1,Inputs!$E$9)*(V8*(V$4-1)*1+V8*(V8-1)/2)+1-V8)/1)</f>
        <v>1</v>
      </c>
      <c r="W9" s="76" t="n">
        <f aca="false">IF(Inputs!$E$9&lt;=0,1,(W8*Inputs!$E$10+(1-Inputs!$E$10)/MAX(1,Inputs!$E$9)*(W8*(W$4-1)*1+W8*(W8-1)/2)+1-W8)/1)</f>
        <v>1</v>
      </c>
      <c r="X9" s="76" t="n">
        <f aca="false">IF(Inputs!$E$9&lt;=0,1,(X8*Inputs!$E$10+(1-Inputs!$E$10)/MAX(1,Inputs!$E$9)*(X8*(X$4-1)*1+X8*(X8-1)/2)+1-X8)/1)</f>
        <v>1</v>
      </c>
      <c r="Y9" s="76" t="n">
        <f aca="false">IF(Inputs!$E$9&lt;=0,1,(Y8*Inputs!$E$10+(1-Inputs!$E$10)/MAX(1,Inputs!$E$9)*(Y8*(Y$4-1)*1+Y8*(Y8-1)/2)+1-Y8)/1)</f>
        <v>1</v>
      </c>
      <c r="Z9" s="76" t="n">
        <f aca="false">IF(Inputs!$E$9&lt;=0,1,(Z8*Inputs!$E$10+(1-Inputs!$E$10)/MAX(1,Inputs!$E$9)*(Z8*(Z$4-1)*1+Z8*(Z8-1)/2)+1-Z8)/1)</f>
        <v>1</v>
      </c>
      <c r="AA9" s="76" t="n">
        <f aca="false">IF(Inputs!$E$9&lt;=0,1,(AA8*Inputs!$E$10+(1-Inputs!$E$10)/MAX(1,Inputs!$E$9)*(AA8*(AA$4-1)*1+AA8*(AA8-1)/2)+1-AA8)/1)</f>
        <v>1</v>
      </c>
      <c r="AB9" s="76" t="n">
        <f aca="false">IF(Inputs!$E$9&lt;=0,1,(AB8*Inputs!$E$10+(1-Inputs!$E$10)/MAX(1,Inputs!$E$9)*(AB8*(AB$4-1)*1+AB8*(AB8-1)/2)+1-AB8)/1)</f>
        <v>1</v>
      </c>
      <c r="AC9" s="76" t="n">
        <f aca="false">IF(Inputs!$E$9&lt;=0,1,(AC8*Inputs!$E$10+(1-Inputs!$E$10)/MAX(1,Inputs!$E$9)*(AC8*(AC$4-1)*1+AC8*(AC8-1)/2)+1-AC8)/1)</f>
        <v>1</v>
      </c>
      <c r="AD9" s="76" t="n">
        <f aca="false">IF(Inputs!$E$9&lt;=0,1,(AD8*Inputs!$E$10+(1-Inputs!$E$10)/MAX(1,Inputs!$E$9)*(AD8*(AD$4-1)*1+AD8*(AD8-1)/2)+1-AD8)/1)</f>
        <v>1</v>
      </c>
      <c r="AE9" s="76" t="n">
        <f aca="false">IF(Inputs!$E$9&lt;=0,1,(AE8*Inputs!$E$10+(1-Inputs!$E$10)/MAX(1,Inputs!$E$9)*(AE8*(AE$4-1)*1+AE8*(AE8-1)/2)+1-AE8)/1)</f>
        <v>1</v>
      </c>
      <c r="AF9" s="76" t="n">
        <f aca="false">IF(Inputs!$E$9&lt;=0,1,(AF8*Inputs!$E$10+(1-Inputs!$E$10)/MAX(1,Inputs!$E$9)*(AF8*(AF$4-1)*1+AF8*(AF8-1)/2)+1-AF8)/1)</f>
        <v>1</v>
      </c>
      <c r="AG9" s="76" t="n">
        <f aca="false">IF(Inputs!$E$9&lt;=0,1,(AG8*Inputs!$E$10+(1-Inputs!$E$10)/MAX(1,Inputs!$E$9)*(AG8*(AG$4-1)*1+AG8*(AG8-1)/2)+1-AG8)/1)</f>
        <v>1</v>
      </c>
      <c r="AH9" s="76" t="n">
        <f aca="false">IF(Inputs!$E$9&lt;=0,1,(AH8*Inputs!$E$10+(1-Inputs!$E$10)/MAX(1,Inputs!$E$9)*(AH8*(AH$4-1)*1+AH8*(AH8-1)/2)+1-AH8)/1)</f>
        <v>1</v>
      </c>
      <c r="AI9" s="76" t="n">
        <f aca="false">IF(Inputs!$E$9&lt;=0,1,(AI8*Inputs!$E$10+(1-Inputs!$E$10)/MAX(1,Inputs!$E$9)*(AI8*(AI$4-1)*1+AI8*(AI8-1)/2)+1-AI8)/1)</f>
        <v>1</v>
      </c>
      <c r="AJ9" s="76" t="n">
        <f aca="false">IF(Inputs!$E$9&lt;=0,1,(AJ8*Inputs!$E$10+(1-Inputs!$E$10)/MAX(1,Inputs!$E$9)*(AJ8*(AJ$4-1)*1+AJ8*(AJ8-1)/2)+1-AJ8)/1)</f>
        <v>1</v>
      </c>
      <c r="AK9" s="76" t="n">
        <f aca="false">IF(Inputs!$E$9&lt;=0,1,(AK8*Inputs!$E$10+(1-Inputs!$E$10)/MAX(1,Inputs!$E$9)*(AK8*(AK$4-1)*1+AK8*(AK8-1)/2)+1-AK8)/1)</f>
        <v>1</v>
      </c>
      <c r="AL9" s="76" t="n">
        <f aca="false">IF(Inputs!$E$9&lt;=0,1,(AL8*Inputs!$E$10+(1-Inputs!$E$10)/MAX(1,Inputs!$E$9)*(AL8*(AL$4-1)*1+AL8*(AL8-1)/2)+1-AL8)/1)</f>
        <v>1</v>
      </c>
    </row>
    <row r="10" customFormat="false" ht="15" hidden="false" customHeight="false" outlineLevel="0" collapsed="false">
      <c r="A10" s="6" t="s">
        <v>392</v>
      </c>
      <c r="C10" s="79" t="n">
        <f aca="false">IF(OR(MOD(C$4-1,12)&gt;=11,MOD(C$4-1,12)&lt;=1),1-Inputs!$E$11,1+Inputs!$E$11/3)</f>
        <v>0.85</v>
      </c>
      <c r="D10" s="79" t="n">
        <f aca="false">IF(OR(MOD(D$4-1,12)&gt;=11,MOD(D$4-1,12)&lt;=1),1-Inputs!$E$11,1+Inputs!$E$11/3)</f>
        <v>0.85</v>
      </c>
      <c r="E10" s="79" t="n">
        <f aca="false">IF(OR(MOD(E$4-1,12)&gt;=11,MOD(E$4-1,12)&lt;=1),1-Inputs!$E$11,1+Inputs!$E$11/3)</f>
        <v>1.05</v>
      </c>
      <c r="F10" s="79" t="n">
        <f aca="false">IF(OR(MOD(F$4-1,12)&gt;=11,MOD(F$4-1,12)&lt;=1),1-Inputs!$E$11,1+Inputs!$E$11/3)</f>
        <v>1.05</v>
      </c>
      <c r="G10" s="79" t="n">
        <f aca="false">IF(OR(MOD(G$4-1,12)&gt;=11,MOD(G$4-1,12)&lt;=1),1-Inputs!$E$11,1+Inputs!$E$11/3)</f>
        <v>1.05</v>
      </c>
      <c r="H10" s="79" t="n">
        <f aca="false">IF(OR(MOD(H$4-1,12)&gt;=11,MOD(H$4-1,12)&lt;=1),1-Inputs!$E$11,1+Inputs!$E$11/3)</f>
        <v>1.05</v>
      </c>
      <c r="I10" s="79" t="n">
        <f aca="false">IF(OR(MOD(I$4-1,12)&gt;=11,MOD(I$4-1,12)&lt;=1),1-Inputs!$E$11,1+Inputs!$E$11/3)</f>
        <v>1.05</v>
      </c>
      <c r="J10" s="79" t="n">
        <f aca="false">IF(OR(MOD(J$4-1,12)&gt;=11,MOD(J$4-1,12)&lt;=1),1-Inputs!$E$11,1+Inputs!$E$11/3)</f>
        <v>1.05</v>
      </c>
      <c r="K10" s="79" t="n">
        <f aca="false">IF(OR(MOD(K$4-1,12)&gt;=11,MOD(K$4-1,12)&lt;=1),1-Inputs!$E$11,1+Inputs!$E$11/3)</f>
        <v>1.05</v>
      </c>
      <c r="L10" s="79" t="n">
        <f aca="false">IF(OR(MOD(L$4-1,12)&gt;=11,MOD(L$4-1,12)&lt;=1),1-Inputs!$E$11,1+Inputs!$E$11/3)</f>
        <v>1.05</v>
      </c>
      <c r="M10" s="79" t="n">
        <f aca="false">IF(OR(MOD(M$4-1,12)&gt;=11,MOD(M$4-1,12)&lt;=1),1-Inputs!$E$11,1+Inputs!$E$11/3)</f>
        <v>1.05</v>
      </c>
      <c r="N10" s="79" t="n">
        <f aca="false">IF(OR(MOD(N$4-1,12)&gt;=11,MOD(N$4-1,12)&lt;=1),1-Inputs!$E$11,1+Inputs!$E$11/3)</f>
        <v>0.85</v>
      </c>
      <c r="O10" s="79" t="n">
        <f aca="false">IF(OR(MOD(O$4-1,12)&gt;=11,MOD(O$4-1,12)&lt;=1),1-Inputs!$E$11,1+Inputs!$E$11/3)</f>
        <v>0.85</v>
      </c>
      <c r="P10" s="79" t="n">
        <f aca="false">IF(OR(MOD(P$4-1,12)&gt;=11,MOD(P$4-1,12)&lt;=1),1-Inputs!$E$11,1+Inputs!$E$11/3)</f>
        <v>0.85</v>
      </c>
      <c r="Q10" s="79" t="n">
        <f aca="false">IF(OR(MOD(Q$4-1,12)&gt;=11,MOD(Q$4-1,12)&lt;=1),1-Inputs!$E$11,1+Inputs!$E$11/3)</f>
        <v>1.05</v>
      </c>
      <c r="R10" s="79" t="n">
        <f aca="false">IF(OR(MOD(R$4-1,12)&gt;=11,MOD(R$4-1,12)&lt;=1),1-Inputs!$E$11,1+Inputs!$E$11/3)</f>
        <v>1.05</v>
      </c>
      <c r="S10" s="79" t="n">
        <f aca="false">IF(OR(MOD(S$4-1,12)&gt;=11,MOD(S$4-1,12)&lt;=1),1-Inputs!$E$11,1+Inputs!$E$11/3)</f>
        <v>1.05</v>
      </c>
      <c r="T10" s="79" t="n">
        <f aca="false">IF(OR(MOD(T$4-1,12)&gt;=11,MOD(T$4-1,12)&lt;=1),1-Inputs!$E$11,1+Inputs!$E$11/3)</f>
        <v>1.05</v>
      </c>
      <c r="U10" s="79" t="n">
        <f aca="false">IF(OR(MOD(U$4-1,12)&gt;=11,MOD(U$4-1,12)&lt;=1),1-Inputs!$E$11,1+Inputs!$E$11/3)</f>
        <v>1.05</v>
      </c>
      <c r="V10" s="79" t="n">
        <f aca="false">IF(OR(MOD(V$4-1,12)&gt;=11,MOD(V$4-1,12)&lt;=1),1-Inputs!$E$11,1+Inputs!$E$11/3)</f>
        <v>1.05</v>
      </c>
      <c r="W10" s="79" t="n">
        <f aca="false">IF(OR(MOD(W$4-1,12)&gt;=11,MOD(W$4-1,12)&lt;=1),1-Inputs!$E$11,1+Inputs!$E$11/3)</f>
        <v>1.05</v>
      </c>
      <c r="X10" s="79" t="n">
        <f aca="false">IF(OR(MOD(X$4-1,12)&gt;=11,MOD(X$4-1,12)&lt;=1),1-Inputs!$E$11,1+Inputs!$E$11/3)</f>
        <v>1.05</v>
      </c>
      <c r="Y10" s="79" t="n">
        <f aca="false">IF(OR(MOD(Y$4-1,12)&gt;=11,MOD(Y$4-1,12)&lt;=1),1-Inputs!$E$11,1+Inputs!$E$11/3)</f>
        <v>1.05</v>
      </c>
      <c r="Z10" s="79" t="n">
        <f aca="false">IF(OR(MOD(Z$4-1,12)&gt;=11,MOD(Z$4-1,12)&lt;=1),1-Inputs!$E$11,1+Inputs!$E$11/3)</f>
        <v>0.85</v>
      </c>
      <c r="AA10" s="79" t="n">
        <f aca="false">IF(OR(MOD(AA$4-1,12)&gt;=11,MOD(AA$4-1,12)&lt;=1),1-Inputs!$E$11,1+Inputs!$E$11/3)</f>
        <v>0.85</v>
      </c>
      <c r="AB10" s="79" t="n">
        <f aca="false">IF(OR(MOD(AB$4-1,12)&gt;=11,MOD(AB$4-1,12)&lt;=1),1-Inputs!$E$11,1+Inputs!$E$11/3)</f>
        <v>0.85</v>
      </c>
      <c r="AC10" s="79" t="n">
        <f aca="false">IF(OR(MOD(AC$4-1,12)&gt;=11,MOD(AC$4-1,12)&lt;=1),1-Inputs!$E$11,1+Inputs!$E$11/3)</f>
        <v>1.05</v>
      </c>
      <c r="AD10" s="79" t="n">
        <f aca="false">IF(OR(MOD(AD$4-1,12)&gt;=11,MOD(AD$4-1,12)&lt;=1),1-Inputs!$E$11,1+Inputs!$E$11/3)</f>
        <v>1.05</v>
      </c>
      <c r="AE10" s="79" t="n">
        <f aca="false">IF(OR(MOD(AE$4-1,12)&gt;=11,MOD(AE$4-1,12)&lt;=1),1-Inputs!$E$11,1+Inputs!$E$11/3)</f>
        <v>1.05</v>
      </c>
      <c r="AF10" s="79" t="n">
        <f aca="false">IF(OR(MOD(AF$4-1,12)&gt;=11,MOD(AF$4-1,12)&lt;=1),1-Inputs!$E$11,1+Inputs!$E$11/3)</f>
        <v>1.05</v>
      </c>
      <c r="AG10" s="79" t="n">
        <f aca="false">IF(OR(MOD(AG$4-1,12)&gt;=11,MOD(AG$4-1,12)&lt;=1),1-Inputs!$E$11,1+Inputs!$E$11/3)</f>
        <v>1.05</v>
      </c>
      <c r="AH10" s="79" t="n">
        <f aca="false">IF(OR(MOD(AH$4-1,12)&gt;=11,MOD(AH$4-1,12)&lt;=1),1-Inputs!$E$11,1+Inputs!$E$11/3)</f>
        <v>1.05</v>
      </c>
      <c r="AI10" s="79" t="n">
        <f aca="false">IF(OR(MOD(AI$4-1,12)&gt;=11,MOD(AI$4-1,12)&lt;=1),1-Inputs!$E$11,1+Inputs!$E$11/3)</f>
        <v>1.05</v>
      </c>
      <c r="AJ10" s="79" t="n">
        <f aca="false">IF(OR(MOD(AJ$4-1,12)&gt;=11,MOD(AJ$4-1,12)&lt;=1),1-Inputs!$E$11,1+Inputs!$E$11/3)</f>
        <v>1.05</v>
      </c>
      <c r="AK10" s="79" t="n">
        <f aca="false">IF(OR(MOD(AK$4-1,12)&gt;=11,MOD(AK$4-1,12)&lt;=1),1-Inputs!$E$11,1+Inputs!$E$11/3)</f>
        <v>1.05</v>
      </c>
      <c r="AL10" s="79" t="n">
        <f aca="false">IF(OR(MOD(AL$4-1,12)&gt;=11,MOD(AL$4-1,12)&lt;=1),1-Inputs!$E$11,1+Inputs!$E$11/3)</f>
        <v>0.85</v>
      </c>
    </row>
    <row r="11" customFormat="false" ht="15" hidden="false" customHeight="false" outlineLevel="0" collapsed="false">
      <c r="A11" s="6" t="s">
        <v>393</v>
      </c>
      <c r="C11" s="118" t="n">
        <f aca="false">Inputs!$E$7*Inputs!$E$8*1*C9*C10</f>
        <v>2662.2</v>
      </c>
      <c r="D11" s="118" t="n">
        <f aca="false">Inputs!$E$7*Inputs!$E$8*1*D9*D10</f>
        <v>3023.73333333333</v>
      </c>
      <c r="E11" s="118" t="n">
        <f aca="false">Inputs!$E$7*Inputs!$E$8*1*E9*E10</f>
        <v>4181.8</v>
      </c>
      <c r="F11" s="118" t="n">
        <f aca="false">Inputs!$E$7*Inputs!$E$8*1*F9*F10</f>
        <v>4628.4</v>
      </c>
      <c r="G11" s="118" t="n">
        <f aca="false">Inputs!$E$7*Inputs!$E$8*1*G9*G10</f>
        <v>5075</v>
      </c>
      <c r="H11" s="118" t="n">
        <f aca="false">Inputs!$E$7*Inputs!$E$8*1*H9*H10</f>
        <v>5521.6</v>
      </c>
      <c r="I11" s="118" t="n">
        <f aca="false">Inputs!$E$7*Inputs!$E$8*1*I9*I10</f>
        <v>5968.2</v>
      </c>
      <c r="J11" s="118" t="n">
        <f aca="false">Inputs!$E$7*Inputs!$E$8*1*J9*J10</f>
        <v>6414.8</v>
      </c>
      <c r="K11" s="118" t="n">
        <f aca="false">Inputs!$E$7*Inputs!$E$8*1*K9*K10</f>
        <v>6861.4</v>
      </c>
      <c r="L11" s="118" t="n">
        <f aca="false">Inputs!$E$7*Inputs!$E$8*1*L9*L10</f>
        <v>7308</v>
      </c>
      <c r="M11" s="118" t="n">
        <f aca="false">Inputs!$E$7*Inputs!$E$8*1*M9*M10</f>
        <v>7308</v>
      </c>
      <c r="N11" s="118" t="n">
        <f aca="false">Inputs!$E$7*Inputs!$E$8*1*N9*N10</f>
        <v>5916</v>
      </c>
      <c r="O11" s="118" t="n">
        <f aca="false">Inputs!$E$7*Inputs!$E$8*1*O9*O10</f>
        <v>5916</v>
      </c>
      <c r="P11" s="118" t="n">
        <f aca="false">Inputs!$E$7*Inputs!$E$8*1*P9*P10</f>
        <v>5916</v>
      </c>
      <c r="Q11" s="118" t="n">
        <f aca="false">Inputs!$E$7*Inputs!$E$8*1*Q9*Q10</f>
        <v>7308</v>
      </c>
      <c r="R11" s="118" t="n">
        <f aca="false">Inputs!$E$7*Inputs!$E$8*1*R9*R10</f>
        <v>7308</v>
      </c>
      <c r="S11" s="118" t="n">
        <f aca="false">Inputs!$E$7*Inputs!$E$8*1*S9*S10</f>
        <v>7308</v>
      </c>
      <c r="T11" s="118" t="n">
        <f aca="false">Inputs!$E$7*Inputs!$E$8*1*T9*T10</f>
        <v>7308</v>
      </c>
      <c r="U11" s="118" t="n">
        <f aca="false">Inputs!$E$7*Inputs!$E$8*1*U9*U10</f>
        <v>7308</v>
      </c>
      <c r="V11" s="118" t="n">
        <f aca="false">Inputs!$E$7*Inputs!$E$8*1*V9*V10</f>
        <v>7308</v>
      </c>
      <c r="W11" s="118" t="n">
        <f aca="false">Inputs!$E$7*Inputs!$E$8*1*W9*W10</f>
        <v>7308</v>
      </c>
      <c r="X11" s="118" t="n">
        <f aca="false">Inputs!$E$7*Inputs!$E$8*1*X9*X10</f>
        <v>7308</v>
      </c>
      <c r="Y11" s="118" t="n">
        <f aca="false">Inputs!$E$7*Inputs!$E$8*1*Y9*Y10</f>
        <v>7308</v>
      </c>
      <c r="Z11" s="118" t="n">
        <f aca="false">Inputs!$E$7*Inputs!$E$8*1*Z9*Z10</f>
        <v>5916</v>
      </c>
      <c r="AA11" s="118" t="n">
        <f aca="false">Inputs!$E$7*Inputs!$E$8*1*AA9*AA10</f>
        <v>5916</v>
      </c>
      <c r="AB11" s="118" t="n">
        <f aca="false">Inputs!$E$7*Inputs!$E$8*1*AB9*AB10</f>
        <v>5916</v>
      </c>
      <c r="AC11" s="118" t="n">
        <f aca="false">Inputs!$E$7*Inputs!$E$8*1*AC9*AC10</f>
        <v>7308</v>
      </c>
      <c r="AD11" s="118" t="n">
        <f aca="false">Inputs!$E$7*Inputs!$E$8*1*AD9*AD10</f>
        <v>7308</v>
      </c>
      <c r="AE11" s="118" t="n">
        <f aca="false">Inputs!$E$7*Inputs!$E$8*1*AE9*AE10</f>
        <v>7308</v>
      </c>
      <c r="AF11" s="118" t="n">
        <f aca="false">Inputs!$E$7*Inputs!$E$8*1*AF9*AF10</f>
        <v>7308</v>
      </c>
      <c r="AG11" s="118" t="n">
        <f aca="false">Inputs!$E$7*Inputs!$E$8*1*AG9*AG10</f>
        <v>7308</v>
      </c>
      <c r="AH11" s="118" t="n">
        <f aca="false">Inputs!$E$7*Inputs!$E$8*1*AH9*AH10</f>
        <v>7308</v>
      </c>
      <c r="AI11" s="118" t="n">
        <f aca="false">Inputs!$E$7*Inputs!$E$8*1*AI9*AI10</f>
        <v>7308</v>
      </c>
      <c r="AJ11" s="118" t="n">
        <f aca="false">Inputs!$E$7*Inputs!$E$8*1*AJ9*AJ10</f>
        <v>7308</v>
      </c>
      <c r="AK11" s="118" t="n">
        <f aca="false">Inputs!$E$7*Inputs!$E$8*1*AK9*AK10</f>
        <v>7308</v>
      </c>
      <c r="AL11" s="118" t="n">
        <f aca="false">Inputs!$E$7*Inputs!$E$8*1*AL9*AL10</f>
        <v>5916</v>
      </c>
    </row>
    <row r="13" customFormat="false" ht="15.75" hidden="false" customHeight="true" outlineLevel="0" collapsed="false">
      <c r="A13" s="7" t="s">
        <v>394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395</v>
      </c>
      <c r="C14" s="117" t="n">
        <f aca="false">C11*Inputs!$E$22</f>
        <v>21.2976</v>
      </c>
      <c r="D14" s="117" t="n">
        <f aca="false">D11*Inputs!$E$22</f>
        <v>24.1898666666667</v>
      </c>
      <c r="E14" s="117" t="n">
        <f aca="false">E11*Inputs!$E$22</f>
        <v>33.4544</v>
      </c>
      <c r="F14" s="117" t="n">
        <f aca="false">F11*Inputs!$E$22</f>
        <v>37.0272</v>
      </c>
      <c r="G14" s="117" t="n">
        <f aca="false">G11*Inputs!$E$22</f>
        <v>40.6</v>
      </c>
      <c r="H14" s="117" t="n">
        <f aca="false">H11*Inputs!$E$22</f>
        <v>44.1728</v>
      </c>
      <c r="I14" s="117" t="n">
        <f aca="false">I11*Inputs!$E$22</f>
        <v>47.7456</v>
      </c>
      <c r="J14" s="117" t="n">
        <f aca="false">J11*Inputs!$E$22</f>
        <v>51.3184</v>
      </c>
      <c r="K14" s="117" t="n">
        <f aca="false">K11*Inputs!$E$22</f>
        <v>54.8912</v>
      </c>
      <c r="L14" s="117" t="n">
        <f aca="false">L11*Inputs!$E$22</f>
        <v>58.464</v>
      </c>
      <c r="M14" s="117" t="n">
        <f aca="false">M11*Inputs!$E$22</f>
        <v>58.464</v>
      </c>
      <c r="N14" s="117" t="n">
        <f aca="false">N11*Inputs!$E$22</f>
        <v>47.328</v>
      </c>
      <c r="O14" s="117" t="n">
        <f aca="false">O11*Inputs!$E$22</f>
        <v>47.328</v>
      </c>
      <c r="P14" s="117" t="n">
        <f aca="false">P11*Inputs!$E$22</f>
        <v>47.328</v>
      </c>
      <c r="Q14" s="117" t="n">
        <f aca="false">Q11*Inputs!$E$22</f>
        <v>58.464</v>
      </c>
      <c r="R14" s="117" t="n">
        <f aca="false">R11*Inputs!$E$22</f>
        <v>58.464</v>
      </c>
      <c r="S14" s="117" t="n">
        <f aca="false">S11*Inputs!$E$22</f>
        <v>58.464</v>
      </c>
      <c r="T14" s="117" t="n">
        <f aca="false">T11*Inputs!$E$22</f>
        <v>58.464</v>
      </c>
      <c r="U14" s="117" t="n">
        <f aca="false">U11*Inputs!$E$22</f>
        <v>58.464</v>
      </c>
      <c r="V14" s="117" t="n">
        <f aca="false">V11*Inputs!$E$22</f>
        <v>58.464</v>
      </c>
      <c r="W14" s="117" t="n">
        <f aca="false">W11*Inputs!$E$22</f>
        <v>58.464</v>
      </c>
      <c r="X14" s="117" t="n">
        <f aca="false">X11*Inputs!$E$22</f>
        <v>58.464</v>
      </c>
      <c r="Y14" s="117" t="n">
        <f aca="false">Y11*Inputs!$E$22</f>
        <v>58.464</v>
      </c>
      <c r="Z14" s="117" t="n">
        <f aca="false">Z11*Inputs!$E$22</f>
        <v>47.328</v>
      </c>
      <c r="AA14" s="117" t="n">
        <f aca="false">AA11*Inputs!$E$22</f>
        <v>47.328</v>
      </c>
      <c r="AB14" s="117" t="n">
        <f aca="false">AB11*Inputs!$E$22</f>
        <v>47.328</v>
      </c>
      <c r="AC14" s="117" t="n">
        <f aca="false">AC11*Inputs!$E$22</f>
        <v>58.464</v>
      </c>
      <c r="AD14" s="117" t="n">
        <f aca="false">AD11*Inputs!$E$22</f>
        <v>58.464</v>
      </c>
      <c r="AE14" s="117" t="n">
        <f aca="false">AE11*Inputs!$E$22</f>
        <v>58.464</v>
      </c>
      <c r="AF14" s="117" t="n">
        <f aca="false">AF11*Inputs!$E$22</f>
        <v>58.464</v>
      </c>
      <c r="AG14" s="117" t="n">
        <f aca="false">AG11*Inputs!$E$22</f>
        <v>58.464</v>
      </c>
      <c r="AH14" s="117" t="n">
        <f aca="false">AH11*Inputs!$E$22</f>
        <v>58.464</v>
      </c>
      <c r="AI14" s="117" t="n">
        <f aca="false">AI11*Inputs!$E$22</f>
        <v>58.464</v>
      </c>
      <c r="AJ14" s="117" t="n">
        <f aca="false">AJ11*Inputs!$E$22</f>
        <v>58.464</v>
      </c>
      <c r="AK14" s="117" t="n">
        <f aca="false">AK11*Inputs!$E$22</f>
        <v>58.464</v>
      </c>
      <c r="AL14" s="117" t="n">
        <f aca="false">AL11*Inputs!$E$22</f>
        <v>47.328</v>
      </c>
    </row>
    <row r="15" customFormat="false" ht="15" hidden="false" customHeight="false" outlineLevel="0" collapsed="false">
      <c r="A15" s="6" t="s">
        <v>396</v>
      </c>
      <c r="C15" s="117" t="n">
        <f aca="false">Inputs!$E$20*(1+Inputs!$E$21)^(C$5-1)*1*C9</f>
        <v>22.5</v>
      </c>
      <c r="D15" s="117" t="n">
        <f aca="false">Inputs!$E$20*(1+Inputs!$E$21)^(D$5-1)*1*D9</f>
        <v>25.5555555555556</v>
      </c>
      <c r="E15" s="117" t="n">
        <f aca="false">Inputs!$E$20*(1+Inputs!$E$21)^(E$5-1)*1*E9</f>
        <v>28.6111111111111</v>
      </c>
      <c r="F15" s="117" t="n">
        <f aca="false">Inputs!$E$20*(1+Inputs!$E$21)^(F$5-1)*1*F9</f>
        <v>31.6666666666667</v>
      </c>
      <c r="G15" s="117" t="n">
        <f aca="false">Inputs!$E$20*(1+Inputs!$E$21)^(G$5-1)*1*G9</f>
        <v>34.7222222222222</v>
      </c>
      <c r="H15" s="117" t="n">
        <f aca="false">Inputs!$E$20*(1+Inputs!$E$21)^(H$5-1)*1*H9</f>
        <v>37.7777777777778</v>
      </c>
      <c r="I15" s="117" t="n">
        <f aca="false">Inputs!$E$20*(1+Inputs!$E$21)^(I$5-1)*1*I9</f>
        <v>40.8333333333333</v>
      </c>
      <c r="J15" s="117" t="n">
        <f aca="false">Inputs!$E$20*(1+Inputs!$E$21)^(J$5-1)*1*J9</f>
        <v>43.8888888888889</v>
      </c>
      <c r="K15" s="117" t="n">
        <f aca="false">Inputs!$E$20*(1+Inputs!$E$21)^(K$5-1)*1*K9</f>
        <v>46.9444444444444</v>
      </c>
      <c r="L15" s="117" t="n">
        <f aca="false">Inputs!$E$20*(1+Inputs!$E$21)^(L$5-1)*1*L9</f>
        <v>50</v>
      </c>
      <c r="M15" s="117" t="n">
        <f aca="false">Inputs!$E$20*(1+Inputs!$E$21)^(M$5-1)*1*M9</f>
        <v>50</v>
      </c>
      <c r="N15" s="117" t="n">
        <f aca="false">Inputs!$E$20*(1+Inputs!$E$21)^(N$5-1)*1*N9</f>
        <v>50</v>
      </c>
      <c r="O15" s="117" t="n">
        <f aca="false">Inputs!$E$20*(1+Inputs!$E$21)^(O$5-1)*1*O9</f>
        <v>52.5</v>
      </c>
      <c r="P15" s="117" t="n">
        <f aca="false">Inputs!$E$20*(1+Inputs!$E$21)^(P$5-1)*1*P9</f>
        <v>52.5</v>
      </c>
      <c r="Q15" s="117" t="n">
        <f aca="false">Inputs!$E$20*(1+Inputs!$E$21)^(Q$5-1)*1*Q9</f>
        <v>52.5</v>
      </c>
      <c r="R15" s="117" t="n">
        <f aca="false">Inputs!$E$20*(1+Inputs!$E$21)^(R$5-1)*1*R9</f>
        <v>52.5</v>
      </c>
      <c r="S15" s="117" t="n">
        <f aca="false">Inputs!$E$20*(1+Inputs!$E$21)^(S$5-1)*1*S9</f>
        <v>52.5</v>
      </c>
      <c r="T15" s="117" t="n">
        <f aca="false">Inputs!$E$20*(1+Inputs!$E$21)^(T$5-1)*1*T9</f>
        <v>52.5</v>
      </c>
      <c r="U15" s="117" t="n">
        <f aca="false">Inputs!$E$20*(1+Inputs!$E$21)^(U$5-1)*1*U9</f>
        <v>52.5</v>
      </c>
      <c r="V15" s="117" t="n">
        <f aca="false">Inputs!$E$20*(1+Inputs!$E$21)^(V$5-1)*1*V9</f>
        <v>52.5</v>
      </c>
      <c r="W15" s="117" t="n">
        <f aca="false">Inputs!$E$20*(1+Inputs!$E$21)^(W$5-1)*1*W9</f>
        <v>52.5</v>
      </c>
      <c r="X15" s="117" t="n">
        <f aca="false">Inputs!$E$20*(1+Inputs!$E$21)^(X$5-1)*1*X9</f>
        <v>52.5</v>
      </c>
      <c r="Y15" s="117" t="n">
        <f aca="false">Inputs!$E$20*(1+Inputs!$E$21)^(Y$5-1)*1*Y9</f>
        <v>52.5</v>
      </c>
      <c r="Z15" s="117" t="n">
        <f aca="false">Inputs!$E$20*(1+Inputs!$E$21)^(Z$5-1)*1*Z9</f>
        <v>52.5</v>
      </c>
      <c r="AA15" s="117" t="n">
        <f aca="false">Inputs!$E$20*(1+Inputs!$E$21)^(AA$5-1)*1*AA9</f>
        <v>55.125</v>
      </c>
      <c r="AB15" s="117" t="n">
        <f aca="false">Inputs!$E$20*(1+Inputs!$E$21)^(AB$5-1)*1*AB9</f>
        <v>55.125</v>
      </c>
      <c r="AC15" s="117" t="n">
        <f aca="false">Inputs!$E$20*(1+Inputs!$E$21)^(AC$5-1)*1*AC9</f>
        <v>55.125</v>
      </c>
      <c r="AD15" s="117" t="n">
        <f aca="false">Inputs!$E$20*(1+Inputs!$E$21)^(AD$5-1)*1*AD9</f>
        <v>55.125</v>
      </c>
      <c r="AE15" s="117" t="n">
        <f aca="false">Inputs!$E$20*(1+Inputs!$E$21)^(AE$5-1)*1*AE9</f>
        <v>55.125</v>
      </c>
      <c r="AF15" s="117" t="n">
        <f aca="false">Inputs!$E$20*(1+Inputs!$E$21)^(AF$5-1)*1*AF9</f>
        <v>55.125</v>
      </c>
      <c r="AG15" s="117" t="n">
        <f aca="false">Inputs!$E$20*(1+Inputs!$E$21)^(AG$5-1)*1*AG9</f>
        <v>55.125</v>
      </c>
      <c r="AH15" s="117" t="n">
        <f aca="false">Inputs!$E$20*(1+Inputs!$E$21)^(AH$5-1)*1*AH9</f>
        <v>55.125</v>
      </c>
      <c r="AI15" s="117" t="n">
        <f aca="false">Inputs!$E$20*(1+Inputs!$E$21)^(AI$5-1)*1*AI9</f>
        <v>55.125</v>
      </c>
      <c r="AJ15" s="117" t="n">
        <f aca="false">Inputs!$E$20*(1+Inputs!$E$21)^(AJ$5-1)*1*AJ9</f>
        <v>55.125</v>
      </c>
      <c r="AK15" s="117" t="n">
        <f aca="false">Inputs!$E$20*(1+Inputs!$E$21)^(AK$5-1)*1*AK9</f>
        <v>55.125</v>
      </c>
      <c r="AL15" s="117" t="n">
        <f aca="false">Inputs!$E$20*(1+Inputs!$E$21)^(AL$5-1)*1*AL9</f>
        <v>55.125</v>
      </c>
    </row>
    <row r="16" customFormat="false" ht="15" hidden="false" customHeight="false" outlineLevel="0" collapsed="false">
      <c r="A16" s="4" t="s">
        <v>397</v>
      </c>
      <c r="C16" s="119" t="n">
        <f aca="false">C14+C15</f>
        <v>43.7976</v>
      </c>
      <c r="D16" s="119" t="n">
        <f aca="false">D14+D15</f>
        <v>49.7454222222222</v>
      </c>
      <c r="E16" s="119" t="n">
        <f aca="false">E14+E15</f>
        <v>62.0655111111111</v>
      </c>
      <c r="F16" s="119" t="n">
        <f aca="false">F14+F15</f>
        <v>68.6938666666667</v>
      </c>
      <c r="G16" s="119" t="n">
        <f aca="false">G14+G15</f>
        <v>75.3222222222222</v>
      </c>
      <c r="H16" s="119" t="n">
        <f aca="false">H14+H15</f>
        <v>81.9505777777778</v>
      </c>
      <c r="I16" s="119" t="n">
        <f aca="false">I14+I15</f>
        <v>88.5789333333333</v>
      </c>
      <c r="J16" s="119" t="n">
        <f aca="false">J14+J15</f>
        <v>95.2072888888889</v>
      </c>
      <c r="K16" s="119" t="n">
        <f aca="false">K14+K15</f>
        <v>101.835644444444</v>
      </c>
      <c r="L16" s="119" t="n">
        <f aca="false">L14+L15</f>
        <v>108.464</v>
      </c>
      <c r="M16" s="119" t="n">
        <f aca="false">M14+M15</f>
        <v>108.464</v>
      </c>
      <c r="N16" s="119" t="n">
        <f aca="false">N14+N15</f>
        <v>97.328</v>
      </c>
      <c r="O16" s="119" t="n">
        <f aca="false">O14+O15</f>
        <v>99.828</v>
      </c>
      <c r="P16" s="119" t="n">
        <f aca="false">P14+P15</f>
        <v>99.828</v>
      </c>
      <c r="Q16" s="119" t="n">
        <f aca="false">Q14+Q15</f>
        <v>110.964</v>
      </c>
      <c r="R16" s="119" t="n">
        <f aca="false">R14+R15</f>
        <v>110.964</v>
      </c>
      <c r="S16" s="119" t="n">
        <f aca="false">S14+S15</f>
        <v>110.964</v>
      </c>
      <c r="T16" s="119" t="n">
        <f aca="false">T14+T15</f>
        <v>110.964</v>
      </c>
      <c r="U16" s="119" t="n">
        <f aca="false">U14+U15</f>
        <v>110.964</v>
      </c>
      <c r="V16" s="119" t="n">
        <f aca="false">V14+V15</f>
        <v>110.964</v>
      </c>
      <c r="W16" s="119" t="n">
        <f aca="false">W14+W15</f>
        <v>110.964</v>
      </c>
      <c r="X16" s="119" t="n">
        <f aca="false">X14+X15</f>
        <v>110.964</v>
      </c>
      <c r="Y16" s="119" t="n">
        <f aca="false">Y14+Y15</f>
        <v>110.964</v>
      </c>
      <c r="Z16" s="119" t="n">
        <f aca="false">Z14+Z15</f>
        <v>99.828</v>
      </c>
      <c r="AA16" s="119" t="n">
        <f aca="false">AA14+AA15</f>
        <v>102.453</v>
      </c>
      <c r="AB16" s="119" t="n">
        <f aca="false">AB14+AB15</f>
        <v>102.453</v>
      </c>
      <c r="AC16" s="119" t="n">
        <f aca="false">AC14+AC15</f>
        <v>113.589</v>
      </c>
      <c r="AD16" s="119" t="n">
        <f aca="false">AD14+AD15</f>
        <v>113.589</v>
      </c>
      <c r="AE16" s="119" t="n">
        <f aca="false">AE14+AE15</f>
        <v>113.589</v>
      </c>
      <c r="AF16" s="119" t="n">
        <f aca="false">AF14+AF15</f>
        <v>113.589</v>
      </c>
      <c r="AG16" s="119" t="n">
        <f aca="false">AG14+AG15</f>
        <v>113.589</v>
      </c>
      <c r="AH16" s="119" t="n">
        <f aca="false">AH14+AH15</f>
        <v>113.589</v>
      </c>
      <c r="AI16" s="119" t="n">
        <f aca="false">AI14+AI15</f>
        <v>113.589</v>
      </c>
      <c r="AJ16" s="119" t="n">
        <f aca="false">AJ14+AJ15</f>
        <v>113.589</v>
      </c>
      <c r="AK16" s="119" t="n">
        <f aca="false">AK14+AK15</f>
        <v>113.589</v>
      </c>
      <c r="AL16" s="119" t="n">
        <f aca="false">AL14+AL15</f>
        <v>102.453</v>
      </c>
    </row>
    <row r="17" customFormat="false" ht="15" hidden="false" customHeight="false" outlineLevel="0" collapsed="false">
      <c r="A17" s="6" t="s">
        <v>398</v>
      </c>
      <c r="C17" s="120" t="n">
        <f aca="false">Inputs!$E$19</f>
        <v>250</v>
      </c>
      <c r="D17" s="117" t="n">
        <f aca="false">C19</f>
        <v>283.7976</v>
      </c>
      <c r="E17" s="117" t="n">
        <f aca="false">D19</f>
        <v>322.191118222222</v>
      </c>
      <c r="F17" s="117" t="n">
        <f aca="false">E19</f>
        <v>371.368984604444</v>
      </c>
      <c r="G17" s="117" t="n">
        <f aca="false">F19</f>
        <v>425.208091886933</v>
      </c>
      <c r="H17" s="117" t="n">
        <f aca="false">G19</f>
        <v>483.521990433678</v>
      </c>
      <c r="I17" s="117" t="n">
        <f aca="false">H19</f>
        <v>546.131688594109</v>
      </c>
      <c r="J17" s="117" t="n">
        <f aca="false">I19</f>
        <v>612.865354383678</v>
      </c>
      <c r="K17" s="117" t="n">
        <f aca="false">J19</f>
        <v>683.55802909722</v>
      </c>
      <c r="L17" s="117" t="n">
        <f aca="false">K19</f>
        <v>758.051352377775</v>
      </c>
      <c r="M17" s="117" t="n">
        <f aca="false">L19</f>
        <v>836.193298282664</v>
      </c>
      <c r="N17" s="117" t="n">
        <f aca="false">M19</f>
        <v>911.209566351358</v>
      </c>
      <c r="O17" s="117" t="n">
        <f aca="false">N19</f>
        <v>972.089183697303</v>
      </c>
      <c r="P17" s="117" t="n">
        <f aca="false">O19</f>
        <v>1033.03361634941</v>
      </c>
      <c r="Q17" s="117" t="n">
        <f aca="false">P19</f>
        <v>1091.54027169543</v>
      </c>
      <c r="R17" s="117" t="n">
        <f aca="false">Q19</f>
        <v>1158.84266082762</v>
      </c>
      <c r="S17" s="117" t="n">
        <f aca="false">R19</f>
        <v>1223.45295439451</v>
      </c>
      <c r="T17" s="117" t="n">
        <f aca="false">S19</f>
        <v>1285.47883621873</v>
      </c>
      <c r="U17" s="117" t="n">
        <f aca="false">T19</f>
        <v>1345.02368276998</v>
      </c>
      <c r="V17" s="117" t="n">
        <f aca="false">U19</f>
        <v>1402.18673545918</v>
      </c>
      <c r="W17" s="117" t="n">
        <f aca="false">V19</f>
        <v>1457.06326604082</v>
      </c>
      <c r="X17" s="117" t="n">
        <f aca="false">W19</f>
        <v>1509.74473539918</v>
      </c>
      <c r="Y17" s="117" t="n">
        <f aca="false">X19</f>
        <v>1560.31894598322</v>
      </c>
      <c r="Z17" s="117" t="n">
        <f aca="false">Y19</f>
        <v>1608.87018814389</v>
      </c>
      <c r="AA17" s="117" t="n">
        <f aca="false">Z19</f>
        <v>1644.34338061813</v>
      </c>
      <c r="AB17" s="117" t="n">
        <f aca="false">AA19</f>
        <v>1681.02264539341</v>
      </c>
      <c r="AC17" s="117" t="n">
        <f aca="false">AB19</f>
        <v>1716.23473957767</v>
      </c>
      <c r="AD17" s="117" t="n">
        <f aca="false">AC19</f>
        <v>1761.17434999456</v>
      </c>
      <c r="AE17" s="117" t="n">
        <f aca="false">AD19</f>
        <v>1804.31637599478</v>
      </c>
      <c r="AF17" s="117" t="n">
        <f aca="false">AE19</f>
        <v>1845.73272095499</v>
      </c>
      <c r="AG17" s="117" t="n">
        <f aca="false">AF19</f>
        <v>1885.49241211679</v>
      </c>
      <c r="AH17" s="117" t="n">
        <f aca="false">AG19</f>
        <v>1923.66171563212</v>
      </c>
      <c r="AI17" s="117" t="n">
        <f aca="false">AH19</f>
        <v>1960.30424700683</v>
      </c>
      <c r="AJ17" s="117" t="n">
        <f aca="false">AI19</f>
        <v>1995.48107712656</v>
      </c>
      <c r="AK17" s="117" t="n">
        <f aca="false">AJ19</f>
        <v>2029.2508340415</v>
      </c>
      <c r="AL17" s="117" t="n">
        <f aca="false">AK19</f>
        <v>2061.66980067984</v>
      </c>
    </row>
    <row r="18" customFormat="false" ht="15" hidden="false" customHeight="false" outlineLevel="0" collapsed="false">
      <c r="A18" s="6" t="s">
        <v>399</v>
      </c>
      <c r="C18" s="117" t="n">
        <f aca="false">C19-C17-C16</f>
        <v>-10</v>
      </c>
      <c r="D18" s="117" t="n">
        <f aca="false">D19-D17-D16</f>
        <v>-11.351904</v>
      </c>
      <c r="E18" s="117" t="n">
        <f aca="false">E19-E17-E16</f>
        <v>-12.8876447288889</v>
      </c>
      <c r="F18" s="117" t="n">
        <f aca="false">F19-F17-F16</f>
        <v>-14.8547593841778</v>
      </c>
      <c r="G18" s="117" t="n">
        <f aca="false">G19-G17-G16</f>
        <v>-17.0083236754773</v>
      </c>
      <c r="H18" s="117" t="n">
        <f aca="false">H19-H17-H16</f>
        <v>-19.3408796173471</v>
      </c>
      <c r="I18" s="117" t="n">
        <f aca="false">I19-I17-I16</f>
        <v>-21.8452675437644</v>
      </c>
      <c r="J18" s="117" t="n">
        <f aca="false">J19-J17-J16</f>
        <v>-24.5146141753471</v>
      </c>
      <c r="K18" s="117" t="n">
        <f aca="false">K19-K17-K16</f>
        <v>-27.3423211638887</v>
      </c>
      <c r="L18" s="117" t="n">
        <f aca="false">L19-L17-L16</f>
        <v>-30.322054095111</v>
      </c>
      <c r="M18" s="117" t="n">
        <f aca="false">M19-M17-M16</f>
        <v>-33.4477319313067</v>
      </c>
      <c r="N18" s="117" t="n">
        <f aca="false">N19-N17-N16</f>
        <v>-36.4483826540543</v>
      </c>
      <c r="O18" s="117" t="n">
        <f aca="false">O19-O17-O16</f>
        <v>-38.8835673478921</v>
      </c>
      <c r="P18" s="117" t="n">
        <f aca="false">P19-P17-P16</f>
        <v>-41.3213446539765</v>
      </c>
      <c r="Q18" s="117" t="n">
        <f aca="false">Q19-Q17-Q16</f>
        <v>-43.6616108678175</v>
      </c>
      <c r="R18" s="117" t="n">
        <f aca="false">R19-R17-R16</f>
        <v>-46.3537064331047</v>
      </c>
      <c r="S18" s="117" t="n">
        <f aca="false">S19-S17-S16</f>
        <v>-48.9381181757806</v>
      </c>
      <c r="T18" s="117" t="n">
        <f aca="false">T19-T17-T16</f>
        <v>-51.4191534487493</v>
      </c>
      <c r="U18" s="117" t="n">
        <f aca="false">U19-U17-U16</f>
        <v>-53.8009473107994</v>
      </c>
      <c r="V18" s="117" t="n">
        <f aca="false">V19-V17-V16</f>
        <v>-56.0874694183675</v>
      </c>
      <c r="W18" s="117" t="n">
        <f aca="false">W19-W17-W16</f>
        <v>-58.2825306416328</v>
      </c>
      <c r="X18" s="117" t="n">
        <f aca="false">X19-X17-X16</f>
        <v>-60.3897894159675</v>
      </c>
      <c r="Y18" s="117" t="n">
        <f aca="false">Y19-Y17-Y16</f>
        <v>-62.4127578393287</v>
      </c>
      <c r="Z18" s="117" t="n">
        <f aca="false">Z19-Z17-Z16</f>
        <v>-64.3548075257557</v>
      </c>
      <c r="AA18" s="117" t="n">
        <f aca="false">AA19-AA17-AA16</f>
        <v>-65.7737352247252</v>
      </c>
      <c r="AB18" s="117" t="n">
        <f aca="false">AB19-AB17-AB16</f>
        <v>-67.2409058157364</v>
      </c>
      <c r="AC18" s="117" t="n">
        <f aca="false">AC19-AC17-AC16</f>
        <v>-68.6493895831068</v>
      </c>
      <c r="AD18" s="117" t="n">
        <f aca="false">AD19-AD17-AD16</f>
        <v>-70.4469739997826</v>
      </c>
      <c r="AE18" s="117" t="n">
        <f aca="false">AE19-AE17-AE16</f>
        <v>-72.1726550397912</v>
      </c>
      <c r="AF18" s="117" t="n">
        <f aca="false">AF19-AF17-AF16</f>
        <v>-73.8293088381998</v>
      </c>
      <c r="AG18" s="117" t="n">
        <f aca="false">AG19-AG17-AG16</f>
        <v>-75.4196964846718</v>
      </c>
      <c r="AH18" s="117" t="n">
        <f aca="false">AH19-AH17-AH16</f>
        <v>-76.9464686252848</v>
      </c>
      <c r="AI18" s="117" t="n">
        <f aca="false">AI19-AI17-AI16</f>
        <v>-78.4121698802733</v>
      </c>
      <c r="AJ18" s="117" t="n">
        <f aca="false">AJ19-AJ17-AJ16</f>
        <v>-79.8192430850625</v>
      </c>
      <c r="AK18" s="117" t="n">
        <f aca="false">AK19-AK17-AK16</f>
        <v>-81.1700333616601</v>
      </c>
      <c r="AL18" s="117" t="n">
        <f aca="false">AL19-AL17-AL16</f>
        <v>-82.4667920271936</v>
      </c>
    </row>
    <row r="19" customFormat="false" ht="15" hidden="false" customHeight="false" outlineLevel="0" collapsed="false">
      <c r="A19" s="4" t="s">
        <v>400</v>
      </c>
      <c r="C19" s="119" t="n">
        <f aca="false">C17*(1-Inputs!$E$23)+C16</f>
        <v>283.7976</v>
      </c>
      <c r="D19" s="119" t="n">
        <f aca="false">D17*(1-Inputs!$E$23)+D16</f>
        <v>322.191118222222</v>
      </c>
      <c r="E19" s="119" t="n">
        <f aca="false">E17*(1-Inputs!$E$23)+E16</f>
        <v>371.368984604444</v>
      </c>
      <c r="F19" s="119" t="n">
        <f aca="false">F17*(1-Inputs!$E$23)+F16</f>
        <v>425.208091886933</v>
      </c>
      <c r="G19" s="119" t="n">
        <f aca="false">G17*(1-Inputs!$E$23)+G16</f>
        <v>483.521990433678</v>
      </c>
      <c r="H19" s="119" t="n">
        <f aca="false">H17*(1-Inputs!$E$23)+H16</f>
        <v>546.131688594109</v>
      </c>
      <c r="I19" s="119" t="n">
        <f aca="false">I17*(1-Inputs!$E$23)+I16</f>
        <v>612.865354383678</v>
      </c>
      <c r="J19" s="119" t="n">
        <f aca="false">J17*(1-Inputs!$E$23)+J16</f>
        <v>683.55802909722</v>
      </c>
      <c r="K19" s="119" t="n">
        <f aca="false">K17*(1-Inputs!$E$23)+K16</f>
        <v>758.051352377775</v>
      </c>
      <c r="L19" s="119" t="n">
        <f aca="false">L17*(1-Inputs!$E$23)+L16</f>
        <v>836.193298282664</v>
      </c>
      <c r="M19" s="119" t="n">
        <f aca="false">M17*(1-Inputs!$E$23)+M16</f>
        <v>911.209566351358</v>
      </c>
      <c r="N19" s="119" t="n">
        <f aca="false">N17*(1-Inputs!$E$23)+N16</f>
        <v>972.089183697303</v>
      </c>
      <c r="O19" s="119" t="n">
        <f aca="false">O17*(1-Inputs!$E$23)+O16</f>
        <v>1033.03361634941</v>
      </c>
      <c r="P19" s="119" t="n">
        <f aca="false">P17*(1-Inputs!$E$23)+P16</f>
        <v>1091.54027169543</v>
      </c>
      <c r="Q19" s="119" t="n">
        <f aca="false">Q17*(1-Inputs!$E$23)+Q16</f>
        <v>1158.84266082762</v>
      </c>
      <c r="R19" s="119" t="n">
        <f aca="false">R17*(1-Inputs!$E$23)+R16</f>
        <v>1223.45295439451</v>
      </c>
      <c r="S19" s="119" t="n">
        <f aca="false">S17*(1-Inputs!$E$23)+S16</f>
        <v>1285.47883621873</v>
      </c>
      <c r="T19" s="119" t="n">
        <f aca="false">T17*(1-Inputs!$E$23)+T16</f>
        <v>1345.02368276998</v>
      </c>
      <c r="U19" s="119" t="n">
        <f aca="false">U17*(1-Inputs!$E$23)+U16</f>
        <v>1402.18673545918</v>
      </c>
      <c r="V19" s="119" t="n">
        <f aca="false">V17*(1-Inputs!$E$23)+V16</f>
        <v>1457.06326604082</v>
      </c>
      <c r="W19" s="119" t="n">
        <f aca="false">W17*(1-Inputs!$E$23)+W16</f>
        <v>1509.74473539918</v>
      </c>
      <c r="X19" s="119" t="n">
        <f aca="false">X17*(1-Inputs!$E$23)+X16</f>
        <v>1560.31894598322</v>
      </c>
      <c r="Y19" s="119" t="n">
        <f aca="false">Y17*(1-Inputs!$E$23)+Y16</f>
        <v>1608.87018814389</v>
      </c>
      <c r="Z19" s="119" t="n">
        <f aca="false">Z17*(1-Inputs!$E$23)+Z16</f>
        <v>1644.34338061813</v>
      </c>
      <c r="AA19" s="119" t="n">
        <f aca="false">AA17*(1-Inputs!$E$23)+AA16</f>
        <v>1681.02264539341</v>
      </c>
      <c r="AB19" s="119" t="n">
        <f aca="false">AB17*(1-Inputs!$E$23)+AB16</f>
        <v>1716.23473957767</v>
      </c>
      <c r="AC19" s="119" t="n">
        <f aca="false">AC17*(1-Inputs!$E$23)+AC16</f>
        <v>1761.17434999456</v>
      </c>
      <c r="AD19" s="119" t="n">
        <f aca="false">AD17*(1-Inputs!$E$23)+AD16</f>
        <v>1804.31637599478</v>
      </c>
      <c r="AE19" s="119" t="n">
        <f aca="false">AE17*(1-Inputs!$E$23)+AE16</f>
        <v>1845.73272095499</v>
      </c>
      <c r="AF19" s="119" t="n">
        <f aca="false">AF17*(1-Inputs!$E$23)+AF16</f>
        <v>1885.49241211679</v>
      </c>
      <c r="AG19" s="119" t="n">
        <f aca="false">AG17*(1-Inputs!$E$23)+AG16</f>
        <v>1923.66171563212</v>
      </c>
      <c r="AH19" s="119" t="n">
        <f aca="false">AH17*(1-Inputs!$E$23)+AH16</f>
        <v>1960.30424700683</v>
      </c>
      <c r="AI19" s="119" t="n">
        <f aca="false">AI17*(1-Inputs!$E$23)+AI16</f>
        <v>1995.48107712656</v>
      </c>
      <c r="AJ19" s="119" t="n">
        <f aca="false">AJ17*(1-Inputs!$E$23)+AJ16</f>
        <v>2029.2508340415</v>
      </c>
      <c r="AK19" s="119" t="n">
        <f aca="false">AK17*(1-Inputs!$E$23)+AK16</f>
        <v>2061.66980067984</v>
      </c>
      <c r="AL19" s="119" t="n">
        <f aca="false">AL17*(1-Inputs!$E$23)+AL16</f>
        <v>2081.65600865264</v>
      </c>
    </row>
    <row r="20" customFormat="false" ht="15" hidden="false" customHeight="false" outlineLevel="0" collapsed="false">
      <c r="A20" s="6" t="s">
        <v>401</v>
      </c>
      <c r="C20" s="117" t="n">
        <f aca="false">(C17+C19)/2</f>
        <v>266.8988</v>
      </c>
      <c r="D20" s="117" t="n">
        <f aca="false">(D17+D19)/2</f>
        <v>302.994359111111</v>
      </c>
      <c r="E20" s="117" t="n">
        <f aca="false">(E17+E19)/2</f>
        <v>346.780051413333</v>
      </c>
      <c r="F20" s="117" t="n">
        <f aca="false">(F17+F19)/2</f>
        <v>398.288538245689</v>
      </c>
      <c r="G20" s="117" t="n">
        <f aca="false">(G17+G19)/2</f>
        <v>454.365041160306</v>
      </c>
      <c r="H20" s="117" t="n">
        <f aca="false">(H17+H19)/2</f>
        <v>514.826839513893</v>
      </c>
      <c r="I20" s="117" t="n">
        <f aca="false">(I17+I19)/2</f>
        <v>579.498521488893</v>
      </c>
      <c r="J20" s="117" t="n">
        <f aca="false">(J17+J19)/2</f>
        <v>648.211691740449</v>
      </c>
      <c r="K20" s="117" t="n">
        <f aca="false">(K17+K19)/2</f>
        <v>720.804690737497</v>
      </c>
      <c r="L20" s="117" t="n">
        <f aca="false">(L17+L19)/2</f>
        <v>797.12232533022</v>
      </c>
      <c r="M20" s="117" t="n">
        <f aca="false">(M17+M19)/2</f>
        <v>873.701432317011</v>
      </c>
      <c r="N20" s="117" t="n">
        <f aca="false">(N17+N19)/2</f>
        <v>941.64937502433</v>
      </c>
      <c r="O20" s="117" t="n">
        <f aca="false">(O17+O19)/2</f>
        <v>1002.56140002336</v>
      </c>
      <c r="P20" s="117" t="n">
        <f aca="false">(P17+P19)/2</f>
        <v>1062.28694402242</v>
      </c>
      <c r="Q20" s="117" t="n">
        <f aca="false">(Q17+Q19)/2</f>
        <v>1125.19146626153</v>
      </c>
      <c r="R20" s="117" t="n">
        <f aca="false">(R17+R19)/2</f>
        <v>1191.14780761106</v>
      </c>
      <c r="S20" s="117" t="n">
        <f aca="false">(S17+S19)/2</f>
        <v>1254.46589530662</v>
      </c>
      <c r="T20" s="117" t="n">
        <f aca="false">(T17+T19)/2</f>
        <v>1315.25125949436</v>
      </c>
      <c r="U20" s="117" t="n">
        <f aca="false">(U17+U19)/2</f>
        <v>1373.60520911458</v>
      </c>
      <c r="V20" s="117" t="n">
        <f aca="false">(V17+V19)/2</f>
        <v>1429.62500075</v>
      </c>
      <c r="W20" s="117" t="n">
        <f aca="false">(W17+W19)/2</f>
        <v>1483.40400072</v>
      </c>
      <c r="X20" s="117" t="n">
        <f aca="false">(X17+X19)/2</f>
        <v>1535.0318406912</v>
      </c>
      <c r="Y20" s="117" t="n">
        <f aca="false">(Y17+Y19)/2</f>
        <v>1584.59456706355</v>
      </c>
      <c r="Z20" s="117" t="n">
        <f aca="false">(Z17+Z19)/2</f>
        <v>1626.60678438101</v>
      </c>
      <c r="AA20" s="117" t="n">
        <f aca="false">(AA17+AA19)/2</f>
        <v>1662.68301300577</v>
      </c>
      <c r="AB20" s="117" t="n">
        <f aca="false">(AB17+AB19)/2</f>
        <v>1698.62869248554</v>
      </c>
      <c r="AC20" s="117" t="n">
        <f aca="false">(AC17+AC19)/2</f>
        <v>1738.70454478612</v>
      </c>
      <c r="AD20" s="117" t="n">
        <f aca="false">(AD17+AD19)/2</f>
        <v>1782.74536299467</v>
      </c>
      <c r="AE20" s="117" t="n">
        <f aca="false">(AE17+AE19)/2</f>
        <v>1825.02454847488</v>
      </c>
      <c r="AF20" s="117" t="n">
        <f aca="false">(AF17+AF19)/2</f>
        <v>1865.61256653589</v>
      </c>
      <c r="AG20" s="117" t="n">
        <f aca="false">(AG17+AG19)/2</f>
        <v>1904.57706387445</v>
      </c>
      <c r="AH20" s="117" t="n">
        <f aca="false">(AH17+AH19)/2</f>
        <v>1941.98298131947</v>
      </c>
      <c r="AI20" s="117" t="n">
        <f aca="false">(AI17+AI19)/2</f>
        <v>1977.8926620667</v>
      </c>
      <c r="AJ20" s="117" t="n">
        <f aca="false">(AJ17+AJ19)/2</f>
        <v>2012.36595558403</v>
      </c>
      <c r="AK20" s="117" t="n">
        <f aca="false">(AK17+AK19)/2</f>
        <v>2045.46031736067</v>
      </c>
      <c r="AL20" s="117" t="n">
        <f aca="false">(AL17+AL19)/2</f>
        <v>2071.66290466624</v>
      </c>
    </row>
    <row r="22" customFormat="false" ht="15.75" hidden="false" customHeight="true" outlineLevel="0" collapsed="false">
      <c r="A22" s="7" t="s">
        <v>402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403</v>
      </c>
      <c r="C23" s="118" t="n">
        <f aca="false">C20*Inputs!$E$24*C10*1</f>
        <v>794.02393</v>
      </c>
      <c r="D23" s="118" t="n">
        <f aca="false">D20*Inputs!$E$24*D10*1</f>
        <v>901.408218355555</v>
      </c>
      <c r="E23" s="118" t="n">
        <f aca="false">E20*Inputs!$E$24*E10*1</f>
        <v>1274.416688944</v>
      </c>
      <c r="F23" s="118" t="n">
        <f aca="false">F20*Inputs!$E$24*F10*1</f>
        <v>1463.71037805291</v>
      </c>
      <c r="G23" s="118" t="n">
        <f aca="false">G20*Inputs!$E$24*G10*1</f>
        <v>1669.79152626412</v>
      </c>
      <c r="H23" s="118" t="n">
        <f aca="false">H20*Inputs!$E$24*H10*1</f>
        <v>1891.98863521356</v>
      </c>
      <c r="I23" s="118" t="n">
        <f aca="false">I20*Inputs!$E$24*I10*1</f>
        <v>2129.65706647168</v>
      </c>
      <c r="J23" s="118" t="n">
        <f aca="false">J20*Inputs!$E$24*J10*1</f>
        <v>2382.17796714615</v>
      </c>
      <c r="K23" s="118" t="n">
        <f aca="false">K20*Inputs!$E$24*K10*1</f>
        <v>2648.9572384603</v>
      </c>
      <c r="L23" s="118" t="n">
        <f aca="false">L20*Inputs!$E$24*L10*1</f>
        <v>2929.42454558856</v>
      </c>
      <c r="M23" s="118" t="n">
        <f aca="false">M20*Inputs!$E$24*M10*1</f>
        <v>3210.85276376502</v>
      </c>
      <c r="N23" s="118" t="n">
        <f aca="false">N20*Inputs!$E$24*N10*1</f>
        <v>2801.40689069738</v>
      </c>
      <c r="O23" s="118" t="n">
        <f aca="false">O20*Inputs!$E$24*O10*1</f>
        <v>2982.62016506949</v>
      </c>
      <c r="P23" s="118" t="n">
        <f aca="false">P20*Inputs!$E$24*P10*1</f>
        <v>3160.30365846671</v>
      </c>
      <c r="Q23" s="118" t="n">
        <f aca="false">Q20*Inputs!$E$24*Q10*1</f>
        <v>4135.07863851111</v>
      </c>
      <c r="R23" s="118" t="n">
        <f aca="false">R20*Inputs!$E$24*R10*1</f>
        <v>4377.46819297066</v>
      </c>
      <c r="S23" s="118" t="n">
        <f aca="false">S20*Inputs!$E$24*S10*1</f>
        <v>4610.16216525184</v>
      </c>
      <c r="T23" s="118" t="n">
        <f aca="false">T20*Inputs!$E$24*T10*1</f>
        <v>4833.54837864176</v>
      </c>
      <c r="U23" s="118" t="n">
        <f aca="false">U20*Inputs!$E$24*U10*1</f>
        <v>5047.99914349609</v>
      </c>
      <c r="V23" s="118" t="n">
        <f aca="false">V20*Inputs!$E$24*V10*1</f>
        <v>5253.87187775625</v>
      </c>
      <c r="W23" s="118" t="n">
        <f aca="false">W20*Inputs!$E$24*W10*1</f>
        <v>5451.509702646</v>
      </c>
      <c r="X23" s="118" t="n">
        <f aca="false">X20*Inputs!$E$24*X10*1</f>
        <v>5641.24201454016</v>
      </c>
      <c r="Y23" s="118" t="n">
        <f aca="false">Y20*Inputs!$E$24*Y10*1</f>
        <v>5823.38503395855</v>
      </c>
      <c r="Z23" s="118" t="n">
        <f aca="false">Z20*Inputs!$E$24*Z10*1</f>
        <v>4839.1551835335</v>
      </c>
      <c r="AA23" s="118" t="n">
        <f aca="false">AA20*Inputs!$E$24*AA10*1</f>
        <v>4946.48196369216</v>
      </c>
      <c r="AB23" s="118" t="n">
        <f aca="false">AB20*Inputs!$E$24*AB10*1</f>
        <v>5053.42036014447</v>
      </c>
      <c r="AC23" s="118" t="n">
        <f aca="false">AC20*Inputs!$E$24*AC10*1</f>
        <v>6389.73920208898</v>
      </c>
      <c r="AD23" s="118" t="n">
        <f aca="false">AD20*Inputs!$E$24*AD10*1</f>
        <v>6551.58920900542</v>
      </c>
      <c r="AE23" s="118" t="n">
        <f aca="false">AE20*Inputs!$E$24*AE10*1</f>
        <v>6706.9652156452</v>
      </c>
      <c r="AF23" s="118" t="n">
        <f aca="false">AF20*Inputs!$E$24*AF10*1</f>
        <v>6856.12618201939</v>
      </c>
      <c r="AG23" s="118" t="n">
        <f aca="false">AG20*Inputs!$E$24*AG10*1</f>
        <v>6999.32070973862</v>
      </c>
      <c r="AH23" s="118" t="n">
        <f aca="false">AH20*Inputs!$E$24*AH10*1</f>
        <v>7136.78745634907</v>
      </c>
      <c r="AI23" s="118" t="n">
        <f aca="false">AI20*Inputs!$E$24*AI10*1</f>
        <v>7268.75553309511</v>
      </c>
      <c r="AJ23" s="118" t="n">
        <f aca="false">AJ20*Inputs!$E$24*AJ10*1</f>
        <v>7395.4448867713</v>
      </c>
      <c r="AK23" s="118" t="n">
        <f aca="false">AK20*Inputs!$E$24*AK10*1</f>
        <v>7517.06666630045</v>
      </c>
      <c r="AL23" s="118" t="n">
        <f aca="false">AL20*Inputs!$E$24*AL10*1</f>
        <v>6163.19714138206</v>
      </c>
    </row>
    <row r="24" customFormat="false" ht="15" hidden="false" customHeight="false" outlineLevel="0" collapsed="false">
      <c r="A24" s="6" t="s">
        <v>404</v>
      </c>
      <c r="C24" s="118" t="n">
        <f aca="false">Inputs!$E$14*Inputs!$E$15*Inputs!$E$16*Inputs!$E$8*1</f>
        <v>24563</v>
      </c>
      <c r="D24" s="118" t="n">
        <f aca="false">Inputs!$E$14*Inputs!$E$15*Inputs!$E$16*Inputs!$E$8*1</f>
        <v>24563</v>
      </c>
      <c r="E24" s="118" t="n">
        <f aca="false">Inputs!$E$14*Inputs!$E$15*Inputs!$E$16*Inputs!$E$8*1</f>
        <v>24563</v>
      </c>
      <c r="F24" s="118" t="n">
        <f aca="false">Inputs!$E$14*Inputs!$E$15*Inputs!$E$16*Inputs!$E$8*1</f>
        <v>24563</v>
      </c>
      <c r="G24" s="118" t="n">
        <f aca="false">Inputs!$E$14*Inputs!$E$15*Inputs!$E$16*Inputs!$E$8*1</f>
        <v>24563</v>
      </c>
      <c r="H24" s="118" t="n">
        <f aca="false">Inputs!$E$14*Inputs!$E$15*Inputs!$E$16*Inputs!$E$8*1</f>
        <v>24563</v>
      </c>
      <c r="I24" s="118" t="n">
        <f aca="false">Inputs!$E$14*Inputs!$E$15*Inputs!$E$16*Inputs!$E$8*1</f>
        <v>24563</v>
      </c>
      <c r="J24" s="118" t="n">
        <f aca="false">Inputs!$E$14*Inputs!$E$15*Inputs!$E$16*Inputs!$E$8*1</f>
        <v>24563</v>
      </c>
      <c r="K24" s="118" t="n">
        <f aca="false">Inputs!$E$14*Inputs!$E$15*Inputs!$E$16*Inputs!$E$8*1</f>
        <v>24563</v>
      </c>
      <c r="L24" s="118" t="n">
        <f aca="false">Inputs!$E$14*Inputs!$E$15*Inputs!$E$16*Inputs!$E$8*1</f>
        <v>24563</v>
      </c>
      <c r="M24" s="118" t="n">
        <f aca="false">Inputs!$E$14*Inputs!$E$15*Inputs!$E$16*Inputs!$E$8*1</f>
        <v>24563</v>
      </c>
      <c r="N24" s="118" t="n">
        <f aca="false">Inputs!$E$14*Inputs!$E$15*Inputs!$E$16*Inputs!$E$8*1</f>
        <v>24563</v>
      </c>
      <c r="O24" s="118" t="n">
        <f aca="false">Inputs!$E$14*Inputs!$E$15*Inputs!$E$16*Inputs!$E$8*1</f>
        <v>24563</v>
      </c>
      <c r="P24" s="118" t="n">
        <f aca="false">Inputs!$E$14*Inputs!$E$15*Inputs!$E$16*Inputs!$E$8*1</f>
        <v>24563</v>
      </c>
      <c r="Q24" s="118" t="n">
        <f aca="false">Inputs!$E$14*Inputs!$E$15*Inputs!$E$16*Inputs!$E$8*1</f>
        <v>24563</v>
      </c>
      <c r="R24" s="118" t="n">
        <f aca="false">Inputs!$E$14*Inputs!$E$15*Inputs!$E$16*Inputs!$E$8*1</f>
        <v>24563</v>
      </c>
      <c r="S24" s="118" t="n">
        <f aca="false">Inputs!$E$14*Inputs!$E$15*Inputs!$E$16*Inputs!$E$8*1</f>
        <v>24563</v>
      </c>
      <c r="T24" s="118" t="n">
        <f aca="false">Inputs!$E$14*Inputs!$E$15*Inputs!$E$16*Inputs!$E$8*1</f>
        <v>24563</v>
      </c>
      <c r="U24" s="118" t="n">
        <f aca="false">Inputs!$E$14*Inputs!$E$15*Inputs!$E$16*Inputs!$E$8*1</f>
        <v>24563</v>
      </c>
      <c r="V24" s="118" t="n">
        <f aca="false">Inputs!$E$14*Inputs!$E$15*Inputs!$E$16*Inputs!$E$8*1</f>
        <v>24563</v>
      </c>
      <c r="W24" s="118" t="n">
        <f aca="false">Inputs!$E$14*Inputs!$E$15*Inputs!$E$16*Inputs!$E$8*1</f>
        <v>24563</v>
      </c>
      <c r="X24" s="118" t="n">
        <f aca="false">Inputs!$E$14*Inputs!$E$15*Inputs!$E$16*Inputs!$E$8*1</f>
        <v>24563</v>
      </c>
      <c r="Y24" s="118" t="n">
        <f aca="false">Inputs!$E$14*Inputs!$E$15*Inputs!$E$16*Inputs!$E$8*1</f>
        <v>24563</v>
      </c>
      <c r="Z24" s="118" t="n">
        <f aca="false">Inputs!$E$14*Inputs!$E$15*Inputs!$E$16*Inputs!$E$8*1</f>
        <v>24563</v>
      </c>
      <c r="AA24" s="118" t="n">
        <f aca="false">Inputs!$E$14*Inputs!$E$15*Inputs!$E$16*Inputs!$E$8*1</f>
        <v>24563</v>
      </c>
      <c r="AB24" s="118" t="n">
        <f aca="false">Inputs!$E$14*Inputs!$E$15*Inputs!$E$16*Inputs!$E$8*1</f>
        <v>24563</v>
      </c>
      <c r="AC24" s="118" t="n">
        <f aca="false">Inputs!$E$14*Inputs!$E$15*Inputs!$E$16*Inputs!$E$8*1</f>
        <v>24563</v>
      </c>
      <c r="AD24" s="118" t="n">
        <f aca="false">Inputs!$E$14*Inputs!$E$15*Inputs!$E$16*Inputs!$E$8*1</f>
        <v>24563</v>
      </c>
      <c r="AE24" s="118" t="n">
        <f aca="false">Inputs!$E$14*Inputs!$E$15*Inputs!$E$16*Inputs!$E$8*1</f>
        <v>24563</v>
      </c>
      <c r="AF24" s="118" t="n">
        <f aca="false">Inputs!$E$14*Inputs!$E$15*Inputs!$E$16*Inputs!$E$8*1</f>
        <v>24563</v>
      </c>
      <c r="AG24" s="118" t="n">
        <f aca="false">Inputs!$E$14*Inputs!$E$15*Inputs!$E$16*Inputs!$E$8*1</f>
        <v>24563</v>
      </c>
      <c r="AH24" s="118" t="n">
        <f aca="false">Inputs!$E$14*Inputs!$E$15*Inputs!$E$16*Inputs!$E$8*1</f>
        <v>24563</v>
      </c>
      <c r="AI24" s="118" t="n">
        <f aca="false">Inputs!$E$14*Inputs!$E$15*Inputs!$E$16*Inputs!$E$8*1</f>
        <v>24563</v>
      </c>
      <c r="AJ24" s="118" t="n">
        <f aca="false">Inputs!$E$14*Inputs!$E$15*Inputs!$E$16*Inputs!$E$8*1</f>
        <v>24563</v>
      </c>
      <c r="AK24" s="118" t="n">
        <f aca="false">Inputs!$E$14*Inputs!$E$15*Inputs!$E$16*Inputs!$E$8*1</f>
        <v>24563</v>
      </c>
      <c r="AL24" s="118" t="n">
        <f aca="false">Inputs!$E$14*Inputs!$E$15*Inputs!$E$16*Inputs!$E$8*1</f>
        <v>24563</v>
      </c>
    </row>
    <row r="25" customFormat="false" ht="15" hidden="false" customHeight="false" outlineLevel="0" collapsed="false">
      <c r="A25" s="39" t="s">
        <v>405</v>
      </c>
      <c r="C25" s="76" t="n">
        <f aca="false">MIN(1,C24/MAX(1,C11+C23))</f>
        <v>1</v>
      </c>
      <c r="D25" s="76" t="n">
        <f aca="false">MIN(1,D24/MAX(1,D11+D23))</f>
        <v>1</v>
      </c>
      <c r="E25" s="76" t="n">
        <f aca="false">MIN(1,E24/MAX(1,E11+E23))</f>
        <v>1</v>
      </c>
      <c r="F25" s="76" t="n">
        <f aca="false">MIN(1,F24/MAX(1,F11+F23))</f>
        <v>1</v>
      </c>
      <c r="G25" s="76" t="n">
        <f aca="false">MIN(1,G24/MAX(1,G11+G23))</f>
        <v>1</v>
      </c>
      <c r="H25" s="76" t="n">
        <f aca="false">MIN(1,H24/MAX(1,H11+H23))</f>
        <v>1</v>
      </c>
      <c r="I25" s="76" t="n">
        <f aca="false">MIN(1,I24/MAX(1,I11+I23))</f>
        <v>1</v>
      </c>
      <c r="J25" s="76" t="n">
        <f aca="false">MIN(1,J24/MAX(1,J11+J23))</f>
        <v>1</v>
      </c>
      <c r="K25" s="76" t="n">
        <f aca="false">MIN(1,K24/MAX(1,K11+K23))</f>
        <v>1</v>
      </c>
      <c r="L25" s="76" t="n">
        <f aca="false">MIN(1,L24/MAX(1,L11+L23))</f>
        <v>1</v>
      </c>
      <c r="M25" s="76" t="n">
        <f aca="false">MIN(1,M24/MAX(1,M11+M23))</f>
        <v>1</v>
      </c>
      <c r="N25" s="76" t="n">
        <f aca="false">MIN(1,N24/MAX(1,N11+N23))</f>
        <v>1</v>
      </c>
      <c r="O25" s="76" t="n">
        <f aca="false">MIN(1,O24/MAX(1,O11+O23))</f>
        <v>1</v>
      </c>
      <c r="P25" s="76" t="n">
        <f aca="false">MIN(1,P24/MAX(1,P11+P23))</f>
        <v>1</v>
      </c>
      <c r="Q25" s="76" t="n">
        <f aca="false">MIN(1,Q24/MAX(1,Q11+Q23))</f>
        <v>1</v>
      </c>
      <c r="R25" s="76" t="n">
        <f aca="false">MIN(1,R24/MAX(1,R11+R23))</f>
        <v>1</v>
      </c>
      <c r="S25" s="76" t="n">
        <f aca="false">MIN(1,S24/MAX(1,S11+S23))</f>
        <v>1</v>
      </c>
      <c r="T25" s="76" t="n">
        <f aca="false">MIN(1,T24/MAX(1,T11+T23))</f>
        <v>1</v>
      </c>
      <c r="U25" s="76" t="n">
        <f aca="false">MIN(1,U24/MAX(1,U11+U23))</f>
        <v>1</v>
      </c>
      <c r="V25" s="76" t="n">
        <f aca="false">MIN(1,V24/MAX(1,V11+V23))</f>
        <v>1</v>
      </c>
      <c r="W25" s="76" t="n">
        <f aca="false">MIN(1,W24/MAX(1,W11+W23))</f>
        <v>1</v>
      </c>
      <c r="X25" s="76" t="n">
        <f aca="false">MIN(1,X24/MAX(1,X11+X23))</f>
        <v>1</v>
      </c>
      <c r="Y25" s="76" t="n">
        <f aca="false">MIN(1,Y24/MAX(1,Y11+Y23))</f>
        <v>1</v>
      </c>
      <c r="Z25" s="76" t="n">
        <f aca="false">MIN(1,Z24/MAX(1,Z11+Z23))</f>
        <v>1</v>
      </c>
      <c r="AA25" s="76" t="n">
        <f aca="false">MIN(1,AA24/MAX(1,AA11+AA23))</f>
        <v>1</v>
      </c>
      <c r="AB25" s="76" t="n">
        <f aca="false">MIN(1,AB24/MAX(1,AB11+AB23))</f>
        <v>1</v>
      </c>
      <c r="AC25" s="76" t="n">
        <f aca="false">MIN(1,AC24/MAX(1,AC11+AC23))</f>
        <v>1</v>
      </c>
      <c r="AD25" s="76" t="n">
        <f aca="false">MIN(1,AD24/MAX(1,AD11+AD23))</f>
        <v>1</v>
      </c>
      <c r="AE25" s="76" t="n">
        <f aca="false">MIN(1,AE24/MAX(1,AE11+AE23))</f>
        <v>1</v>
      </c>
      <c r="AF25" s="76" t="n">
        <f aca="false">MIN(1,AF24/MAX(1,AF11+AF23))</f>
        <v>1</v>
      </c>
      <c r="AG25" s="76" t="n">
        <f aca="false">MIN(1,AG24/MAX(1,AG11+AG23))</f>
        <v>1</v>
      </c>
      <c r="AH25" s="76" t="n">
        <f aca="false">MIN(1,AH24/MAX(1,AH11+AH23))</f>
        <v>1</v>
      </c>
      <c r="AI25" s="76" t="n">
        <f aca="false">MIN(1,AI24/MAX(1,AI11+AI23))</f>
        <v>1</v>
      </c>
      <c r="AJ25" s="76" t="n">
        <f aca="false">MIN(1,AJ24/MAX(1,AJ11+AJ23))</f>
        <v>1</v>
      </c>
      <c r="AK25" s="76" t="n">
        <f aca="false">MIN(1,AK24/MAX(1,AK11+AK23))</f>
        <v>1</v>
      </c>
      <c r="AL25" s="76" t="n">
        <f aca="false">MIN(1,AL24/MAX(1,AL11+AL23))</f>
        <v>1</v>
      </c>
    </row>
    <row r="26" customFormat="false" ht="15" hidden="false" customHeight="false" outlineLevel="0" collapsed="false">
      <c r="A26" s="6" t="s">
        <v>236</v>
      </c>
      <c r="C26" s="118" t="n">
        <f aca="false">C11*C25</f>
        <v>2662.2</v>
      </c>
      <c r="D26" s="118" t="n">
        <f aca="false">D11*D25</f>
        <v>3023.73333333333</v>
      </c>
      <c r="E26" s="118" t="n">
        <f aca="false">E11*E25</f>
        <v>4181.8</v>
      </c>
      <c r="F26" s="118" t="n">
        <f aca="false">F11*F25</f>
        <v>4628.4</v>
      </c>
      <c r="G26" s="118" t="n">
        <f aca="false">G11*G25</f>
        <v>5075</v>
      </c>
      <c r="H26" s="118" t="n">
        <f aca="false">H11*H25</f>
        <v>5521.6</v>
      </c>
      <c r="I26" s="118" t="n">
        <f aca="false">I11*I25</f>
        <v>5968.2</v>
      </c>
      <c r="J26" s="118" t="n">
        <f aca="false">J11*J25</f>
        <v>6414.8</v>
      </c>
      <c r="K26" s="118" t="n">
        <f aca="false">K11*K25</f>
        <v>6861.4</v>
      </c>
      <c r="L26" s="118" t="n">
        <f aca="false">L11*L25</f>
        <v>7308</v>
      </c>
      <c r="M26" s="118" t="n">
        <f aca="false">M11*M25</f>
        <v>7308</v>
      </c>
      <c r="N26" s="118" t="n">
        <f aca="false">N11*N25</f>
        <v>5916</v>
      </c>
      <c r="O26" s="118" t="n">
        <f aca="false">O11*O25</f>
        <v>5916</v>
      </c>
      <c r="P26" s="118" t="n">
        <f aca="false">P11*P25</f>
        <v>5916</v>
      </c>
      <c r="Q26" s="118" t="n">
        <f aca="false">Q11*Q25</f>
        <v>7308</v>
      </c>
      <c r="R26" s="118" t="n">
        <f aca="false">R11*R25</f>
        <v>7308</v>
      </c>
      <c r="S26" s="118" t="n">
        <f aca="false">S11*S25</f>
        <v>7308</v>
      </c>
      <c r="T26" s="118" t="n">
        <f aca="false">T11*T25</f>
        <v>7308</v>
      </c>
      <c r="U26" s="118" t="n">
        <f aca="false">U11*U25</f>
        <v>7308</v>
      </c>
      <c r="V26" s="118" t="n">
        <f aca="false">V11*V25</f>
        <v>7308</v>
      </c>
      <c r="W26" s="118" t="n">
        <f aca="false">W11*W25</f>
        <v>7308</v>
      </c>
      <c r="X26" s="118" t="n">
        <f aca="false">X11*X25</f>
        <v>7308</v>
      </c>
      <c r="Y26" s="118" t="n">
        <f aca="false">Y11*Y25</f>
        <v>7308</v>
      </c>
      <c r="Z26" s="118" t="n">
        <f aca="false">Z11*Z25</f>
        <v>5916</v>
      </c>
      <c r="AA26" s="118" t="n">
        <f aca="false">AA11*AA25</f>
        <v>5916</v>
      </c>
      <c r="AB26" s="118" t="n">
        <f aca="false">AB11*AB25</f>
        <v>5916</v>
      </c>
      <c r="AC26" s="118" t="n">
        <f aca="false">AC11*AC25</f>
        <v>7308</v>
      </c>
      <c r="AD26" s="118" t="n">
        <f aca="false">AD11*AD25</f>
        <v>7308</v>
      </c>
      <c r="AE26" s="118" t="n">
        <f aca="false">AE11*AE25</f>
        <v>7308</v>
      </c>
      <c r="AF26" s="118" t="n">
        <f aca="false">AF11*AF25</f>
        <v>7308</v>
      </c>
      <c r="AG26" s="118" t="n">
        <f aca="false">AG11*AG25</f>
        <v>7308</v>
      </c>
      <c r="AH26" s="118" t="n">
        <f aca="false">AH11*AH25</f>
        <v>7308</v>
      </c>
      <c r="AI26" s="118" t="n">
        <f aca="false">AI11*AI25</f>
        <v>7308</v>
      </c>
      <c r="AJ26" s="118" t="n">
        <f aca="false">AJ11*AJ25</f>
        <v>7308</v>
      </c>
      <c r="AK26" s="118" t="n">
        <f aca="false">AK11*AK25</f>
        <v>7308</v>
      </c>
      <c r="AL26" s="118" t="n">
        <f aca="false">AL11*AL25</f>
        <v>5916</v>
      </c>
    </row>
    <row r="27" customFormat="false" ht="15" hidden="false" customHeight="false" outlineLevel="0" collapsed="false">
      <c r="A27" s="6" t="s">
        <v>237</v>
      </c>
      <c r="C27" s="118" t="n">
        <f aca="false">C23*C25</f>
        <v>794.02393</v>
      </c>
      <c r="D27" s="118" t="n">
        <f aca="false">D23*D25</f>
        <v>901.408218355555</v>
      </c>
      <c r="E27" s="118" t="n">
        <f aca="false">E23*E25</f>
        <v>1274.416688944</v>
      </c>
      <c r="F27" s="118" t="n">
        <f aca="false">F23*F25</f>
        <v>1463.71037805291</v>
      </c>
      <c r="G27" s="118" t="n">
        <f aca="false">G23*G25</f>
        <v>1669.79152626412</v>
      </c>
      <c r="H27" s="118" t="n">
        <f aca="false">H23*H25</f>
        <v>1891.98863521356</v>
      </c>
      <c r="I27" s="118" t="n">
        <f aca="false">I23*I25</f>
        <v>2129.65706647168</v>
      </c>
      <c r="J27" s="118" t="n">
        <f aca="false">J23*J25</f>
        <v>2382.17796714615</v>
      </c>
      <c r="K27" s="118" t="n">
        <f aca="false">K23*K25</f>
        <v>2648.9572384603</v>
      </c>
      <c r="L27" s="118" t="n">
        <f aca="false">L23*L25</f>
        <v>2929.42454558856</v>
      </c>
      <c r="M27" s="118" t="n">
        <f aca="false">M23*M25</f>
        <v>3210.85276376502</v>
      </c>
      <c r="N27" s="118" t="n">
        <f aca="false">N23*N25</f>
        <v>2801.40689069738</v>
      </c>
      <c r="O27" s="118" t="n">
        <f aca="false">O23*O25</f>
        <v>2982.62016506949</v>
      </c>
      <c r="P27" s="118" t="n">
        <f aca="false">P23*P25</f>
        <v>3160.30365846671</v>
      </c>
      <c r="Q27" s="118" t="n">
        <f aca="false">Q23*Q25</f>
        <v>4135.07863851111</v>
      </c>
      <c r="R27" s="118" t="n">
        <f aca="false">R23*R25</f>
        <v>4377.46819297066</v>
      </c>
      <c r="S27" s="118" t="n">
        <f aca="false">S23*S25</f>
        <v>4610.16216525184</v>
      </c>
      <c r="T27" s="118" t="n">
        <f aca="false">T23*T25</f>
        <v>4833.54837864176</v>
      </c>
      <c r="U27" s="118" t="n">
        <f aca="false">U23*U25</f>
        <v>5047.99914349609</v>
      </c>
      <c r="V27" s="118" t="n">
        <f aca="false">V23*V25</f>
        <v>5253.87187775625</v>
      </c>
      <c r="W27" s="118" t="n">
        <f aca="false">W23*W25</f>
        <v>5451.509702646</v>
      </c>
      <c r="X27" s="118" t="n">
        <f aca="false">X23*X25</f>
        <v>5641.24201454016</v>
      </c>
      <c r="Y27" s="118" t="n">
        <f aca="false">Y23*Y25</f>
        <v>5823.38503395855</v>
      </c>
      <c r="Z27" s="118" t="n">
        <f aca="false">Z23*Z25</f>
        <v>4839.1551835335</v>
      </c>
      <c r="AA27" s="118" t="n">
        <f aca="false">AA23*AA25</f>
        <v>4946.48196369216</v>
      </c>
      <c r="AB27" s="118" t="n">
        <f aca="false">AB23*AB25</f>
        <v>5053.42036014447</v>
      </c>
      <c r="AC27" s="118" t="n">
        <f aca="false">AC23*AC25</f>
        <v>6389.73920208898</v>
      </c>
      <c r="AD27" s="118" t="n">
        <f aca="false">AD23*AD25</f>
        <v>6551.58920900542</v>
      </c>
      <c r="AE27" s="118" t="n">
        <f aca="false">AE23*AE25</f>
        <v>6706.9652156452</v>
      </c>
      <c r="AF27" s="118" t="n">
        <f aca="false">AF23*AF25</f>
        <v>6856.12618201939</v>
      </c>
      <c r="AG27" s="118" t="n">
        <f aca="false">AG23*AG25</f>
        <v>6999.32070973862</v>
      </c>
      <c r="AH27" s="118" t="n">
        <f aca="false">AH23*AH25</f>
        <v>7136.78745634907</v>
      </c>
      <c r="AI27" s="118" t="n">
        <f aca="false">AI23*AI25</f>
        <v>7268.75553309511</v>
      </c>
      <c r="AJ27" s="118" t="n">
        <f aca="false">AJ23*AJ25</f>
        <v>7395.4448867713</v>
      </c>
      <c r="AK27" s="118" t="n">
        <f aca="false">AK23*AK25</f>
        <v>7517.06666630045</v>
      </c>
      <c r="AL27" s="118" t="n">
        <f aca="false">AL23*AL25</f>
        <v>6163.19714138206</v>
      </c>
    </row>
    <row r="28" customFormat="false" ht="15" hidden="false" customHeight="false" outlineLevel="0" collapsed="false">
      <c r="A28" s="4" t="s">
        <v>406</v>
      </c>
      <c r="C28" s="121" t="n">
        <f aca="false">C26+C27</f>
        <v>3456.22393</v>
      </c>
      <c r="D28" s="121" t="n">
        <f aca="false">D26+D27</f>
        <v>3925.14155168889</v>
      </c>
      <c r="E28" s="121" t="n">
        <f aca="false">E26+E27</f>
        <v>5456.216688944</v>
      </c>
      <c r="F28" s="121" t="n">
        <f aca="false">F26+F27</f>
        <v>6092.11037805291</v>
      </c>
      <c r="G28" s="121" t="n">
        <f aca="false">G26+G27</f>
        <v>6744.79152626412</v>
      </c>
      <c r="H28" s="121" t="n">
        <f aca="false">H26+H27</f>
        <v>7413.58863521356</v>
      </c>
      <c r="I28" s="121" t="n">
        <f aca="false">I26+I27</f>
        <v>8097.85706647168</v>
      </c>
      <c r="J28" s="121" t="n">
        <f aca="false">J26+J27</f>
        <v>8796.97796714615</v>
      </c>
      <c r="K28" s="121" t="n">
        <f aca="false">K26+K27</f>
        <v>9510.3572384603</v>
      </c>
      <c r="L28" s="121" t="n">
        <f aca="false">L26+L27</f>
        <v>10237.4245455886</v>
      </c>
      <c r="M28" s="121" t="n">
        <f aca="false">M26+M27</f>
        <v>10518.852763765</v>
      </c>
      <c r="N28" s="121" t="n">
        <f aca="false">N26+N27</f>
        <v>8717.40689069738</v>
      </c>
      <c r="O28" s="121" t="n">
        <f aca="false">O26+O27</f>
        <v>8898.62016506949</v>
      </c>
      <c r="P28" s="121" t="n">
        <f aca="false">P26+P27</f>
        <v>9076.30365846671</v>
      </c>
      <c r="Q28" s="121" t="n">
        <f aca="false">Q26+Q27</f>
        <v>11443.0786385111</v>
      </c>
      <c r="R28" s="121" t="n">
        <f aca="false">R26+R27</f>
        <v>11685.4681929707</v>
      </c>
      <c r="S28" s="121" t="n">
        <f aca="false">S26+S27</f>
        <v>11918.1621652518</v>
      </c>
      <c r="T28" s="121" t="n">
        <f aca="false">T26+T27</f>
        <v>12141.5483786418</v>
      </c>
      <c r="U28" s="121" t="n">
        <f aca="false">U26+U27</f>
        <v>12355.9991434961</v>
      </c>
      <c r="V28" s="121" t="n">
        <f aca="false">V26+V27</f>
        <v>12561.8718777562</v>
      </c>
      <c r="W28" s="121" t="n">
        <f aca="false">W26+W27</f>
        <v>12759.509702646</v>
      </c>
      <c r="X28" s="121" t="n">
        <f aca="false">X26+X27</f>
        <v>12949.2420145402</v>
      </c>
      <c r="Y28" s="121" t="n">
        <f aca="false">Y26+Y27</f>
        <v>13131.3850339586</v>
      </c>
      <c r="Z28" s="121" t="n">
        <f aca="false">Z26+Z27</f>
        <v>10755.1551835335</v>
      </c>
      <c r="AA28" s="121" t="n">
        <f aca="false">AA26+AA27</f>
        <v>10862.4819636922</v>
      </c>
      <c r="AB28" s="121" t="n">
        <f aca="false">AB26+AB27</f>
        <v>10969.4203601445</v>
      </c>
      <c r="AC28" s="121" t="n">
        <f aca="false">AC26+AC27</f>
        <v>13697.739202089</v>
      </c>
      <c r="AD28" s="121" t="n">
        <f aca="false">AD26+AD27</f>
        <v>13859.5892090054</v>
      </c>
      <c r="AE28" s="121" t="n">
        <f aca="false">AE26+AE27</f>
        <v>14014.9652156452</v>
      </c>
      <c r="AF28" s="121" t="n">
        <f aca="false">AF26+AF27</f>
        <v>14164.1261820194</v>
      </c>
      <c r="AG28" s="121" t="n">
        <f aca="false">AG26+AG27</f>
        <v>14307.3207097386</v>
      </c>
      <c r="AH28" s="121" t="n">
        <f aca="false">AH26+AH27</f>
        <v>14444.7874563491</v>
      </c>
      <c r="AI28" s="121" t="n">
        <f aca="false">AI26+AI27</f>
        <v>14576.7555330951</v>
      </c>
      <c r="AJ28" s="121" t="n">
        <f aca="false">AJ26+AJ27</f>
        <v>14703.4448867713</v>
      </c>
      <c r="AK28" s="121" t="n">
        <f aca="false">AK26+AK27</f>
        <v>14825.0666663004</v>
      </c>
      <c r="AL28" s="121" t="n">
        <f aca="false">AL26+AL27</f>
        <v>12079.1971413821</v>
      </c>
    </row>
    <row r="29" customFormat="false" ht="15" hidden="false" customHeight="false" outlineLevel="0" collapsed="false">
      <c r="A29" s="6" t="s">
        <v>240</v>
      </c>
      <c r="C29" s="118" t="n">
        <f aca="false">C11+C23-C28</f>
        <v>0</v>
      </c>
      <c r="D29" s="118" t="n">
        <f aca="false">D11+D23-D28</f>
        <v>0</v>
      </c>
      <c r="E29" s="118" t="n">
        <f aca="false">E11+E23-E28</f>
        <v>0</v>
      </c>
      <c r="F29" s="118" t="n">
        <f aca="false">F11+F23-F28</f>
        <v>0</v>
      </c>
      <c r="G29" s="118" t="n">
        <f aca="false">G11+G23-G28</f>
        <v>0</v>
      </c>
      <c r="H29" s="118" t="n">
        <f aca="false">H11+H23-H28</f>
        <v>0</v>
      </c>
      <c r="I29" s="118" t="n">
        <f aca="false">I11+I23-I28</f>
        <v>0</v>
      </c>
      <c r="J29" s="118" t="n">
        <f aca="false">J11+J23-J28</f>
        <v>0</v>
      </c>
      <c r="K29" s="118" t="n">
        <f aca="false">K11+K23-K28</f>
        <v>0</v>
      </c>
      <c r="L29" s="118" t="n">
        <f aca="false">L11+L23-L28</f>
        <v>0</v>
      </c>
      <c r="M29" s="118" t="n">
        <f aca="false">M11+M23-M28</f>
        <v>0</v>
      </c>
      <c r="N29" s="118" t="n">
        <f aca="false">N11+N23-N28</f>
        <v>0</v>
      </c>
      <c r="O29" s="118" t="n">
        <f aca="false">O11+O23-O28</f>
        <v>0</v>
      </c>
      <c r="P29" s="118" t="n">
        <f aca="false">P11+P23-P28</f>
        <v>0</v>
      </c>
      <c r="Q29" s="118" t="n">
        <f aca="false">Q11+Q23-Q28</f>
        <v>0</v>
      </c>
      <c r="R29" s="118" t="n">
        <f aca="false">R11+R23-R28</f>
        <v>0</v>
      </c>
      <c r="S29" s="118" t="n">
        <f aca="false">S11+S23-S28</f>
        <v>0</v>
      </c>
      <c r="T29" s="118" t="n">
        <f aca="false">T11+T23-T28</f>
        <v>0</v>
      </c>
      <c r="U29" s="118" t="n">
        <f aca="false">U11+U23-U28</f>
        <v>0</v>
      </c>
      <c r="V29" s="118" t="n">
        <f aca="false">V11+V23-V28</f>
        <v>0</v>
      </c>
      <c r="W29" s="118" t="n">
        <f aca="false">W11+W23-W28</f>
        <v>0</v>
      </c>
      <c r="X29" s="118" t="n">
        <f aca="false">X11+X23-X28</f>
        <v>0</v>
      </c>
      <c r="Y29" s="118" t="n">
        <f aca="false">Y11+Y23-Y28</f>
        <v>0</v>
      </c>
      <c r="Z29" s="118" t="n">
        <f aca="false">Z11+Z23-Z28</f>
        <v>0</v>
      </c>
      <c r="AA29" s="118" t="n">
        <f aca="false">AA11+AA23-AA28</f>
        <v>0</v>
      </c>
      <c r="AB29" s="118" t="n">
        <f aca="false">AB11+AB23-AB28</f>
        <v>0</v>
      </c>
      <c r="AC29" s="118" t="n">
        <f aca="false">AC11+AC23-AC28</f>
        <v>0</v>
      </c>
      <c r="AD29" s="118" t="n">
        <f aca="false">AD11+AD23-AD28</f>
        <v>0</v>
      </c>
      <c r="AE29" s="118" t="n">
        <f aca="false">AE11+AE23-AE28</f>
        <v>0</v>
      </c>
      <c r="AF29" s="118" t="n">
        <f aca="false">AF11+AF23-AF28</f>
        <v>0</v>
      </c>
      <c r="AG29" s="118" t="n">
        <f aca="false">AG11+AG23-AG28</f>
        <v>0</v>
      </c>
      <c r="AH29" s="118" t="n">
        <f aca="false">AH11+AH23-AH28</f>
        <v>0</v>
      </c>
      <c r="AI29" s="118" t="n">
        <f aca="false">AI11+AI23-AI28</f>
        <v>0</v>
      </c>
      <c r="AJ29" s="118" t="n">
        <f aca="false">AJ11+AJ23-AJ28</f>
        <v>0</v>
      </c>
      <c r="AK29" s="118" t="n">
        <f aca="false">AK11+AK23-AK28</f>
        <v>0</v>
      </c>
      <c r="AL29" s="118" t="n">
        <f aca="false">AL11+AL23-AL28</f>
        <v>0</v>
      </c>
    </row>
    <row r="31" customFormat="false" ht="15.75" hidden="false" customHeight="true" outlineLevel="0" collapsed="false">
      <c r="A31" s="7" t="s">
        <v>44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407</v>
      </c>
      <c r="C32" s="122" t="n">
        <f aca="false">Inputs!$E$27*(1+Inputs!$E$30)^(C$5-1)</f>
        <v>13</v>
      </c>
      <c r="D32" s="122" t="n">
        <f aca="false">Inputs!$E$27*(1+Inputs!$E$30)^(D$5-1)</f>
        <v>13</v>
      </c>
      <c r="E32" s="122" t="n">
        <f aca="false">Inputs!$E$27*(1+Inputs!$E$30)^(E$5-1)</f>
        <v>13</v>
      </c>
      <c r="F32" s="122" t="n">
        <f aca="false">Inputs!$E$27*(1+Inputs!$E$30)^(F$5-1)</f>
        <v>13</v>
      </c>
      <c r="G32" s="122" t="n">
        <f aca="false">Inputs!$E$27*(1+Inputs!$E$30)^(G$5-1)</f>
        <v>13</v>
      </c>
      <c r="H32" s="122" t="n">
        <f aca="false">Inputs!$E$27*(1+Inputs!$E$30)^(H$5-1)</f>
        <v>13</v>
      </c>
      <c r="I32" s="122" t="n">
        <f aca="false">Inputs!$E$27*(1+Inputs!$E$30)^(I$5-1)</f>
        <v>13</v>
      </c>
      <c r="J32" s="122" t="n">
        <f aca="false">Inputs!$E$27*(1+Inputs!$E$30)^(J$5-1)</f>
        <v>13</v>
      </c>
      <c r="K32" s="122" t="n">
        <f aca="false">Inputs!$E$27*(1+Inputs!$E$30)^(K$5-1)</f>
        <v>13</v>
      </c>
      <c r="L32" s="122" t="n">
        <f aca="false">Inputs!$E$27*(1+Inputs!$E$30)^(L$5-1)</f>
        <v>13</v>
      </c>
      <c r="M32" s="122" t="n">
        <f aca="false">Inputs!$E$27*(1+Inputs!$E$30)^(M$5-1)</f>
        <v>13</v>
      </c>
      <c r="N32" s="122" t="n">
        <f aca="false">Inputs!$E$27*(1+Inputs!$E$30)^(N$5-1)</f>
        <v>13</v>
      </c>
      <c r="O32" s="122" t="n">
        <f aca="false">Inputs!$E$27*(1+Inputs!$E$30)^(O$5-1)</f>
        <v>13.26</v>
      </c>
      <c r="P32" s="122" t="n">
        <f aca="false">Inputs!$E$27*(1+Inputs!$E$30)^(P$5-1)</f>
        <v>13.26</v>
      </c>
      <c r="Q32" s="122" t="n">
        <f aca="false">Inputs!$E$27*(1+Inputs!$E$30)^(Q$5-1)</f>
        <v>13.26</v>
      </c>
      <c r="R32" s="122" t="n">
        <f aca="false">Inputs!$E$27*(1+Inputs!$E$30)^(R$5-1)</f>
        <v>13.26</v>
      </c>
      <c r="S32" s="122" t="n">
        <f aca="false">Inputs!$E$27*(1+Inputs!$E$30)^(S$5-1)</f>
        <v>13.26</v>
      </c>
      <c r="T32" s="122" t="n">
        <f aca="false">Inputs!$E$27*(1+Inputs!$E$30)^(T$5-1)</f>
        <v>13.26</v>
      </c>
      <c r="U32" s="122" t="n">
        <f aca="false">Inputs!$E$27*(1+Inputs!$E$30)^(U$5-1)</f>
        <v>13.26</v>
      </c>
      <c r="V32" s="122" t="n">
        <f aca="false">Inputs!$E$27*(1+Inputs!$E$30)^(V$5-1)</f>
        <v>13.26</v>
      </c>
      <c r="W32" s="122" t="n">
        <f aca="false">Inputs!$E$27*(1+Inputs!$E$30)^(W$5-1)</f>
        <v>13.26</v>
      </c>
      <c r="X32" s="122" t="n">
        <f aca="false">Inputs!$E$27*(1+Inputs!$E$30)^(X$5-1)</f>
        <v>13.26</v>
      </c>
      <c r="Y32" s="122" t="n">
        <f aca="false">Inputs!$E$27*(1+Inputs!$E$30)^(Y$5-1)</f>
        <v>13.26</v>
      </c>
      <c r="Z32" s="122" t="n">
        <f aca="false">Inputs!$E$27*(1+Inputs!$E$30)^(Z$5-1)</f>
        <v>13.26</v>
      </c>
      <c r="AA32" s="122" t="n">
        <f aca="false">Inputs!$E$27*(1+Inputs!$E$30)^(AA$5-1)</f>
        <v>13.5252</v>
      </c>
      <c r="AB32" s="122" t="n">
        <f aca="false">Inputs!$E$27*(1+Inputs!$E$30)^(AB$5-1)</f>
        <v>13.5252</v>
      </c>
      <c r="AC32" s="122" t="n">
        <f aca="false">Inputs!$E$27*(1+Inputs!$E$30)^(AC$5-1)</f>
        <v>13.5252</v>
      </c>
      <c r="AD32" s="122" t="n">
        <f aca="false">Inputs!$E$27*(1+Inputs!$E$30)^(AD$5-1)</f>
        <v>13.5252</v>
      </c>
      <c r="AE32" s="122" t="n">
        <f aca="false">Inputs!$E$27*(1+Inputs!$E$30)^(AE$5-1)</f>
        <v>13.5252</v>
      </c>
      <c r="AF32" s="122" t="n">
        <f aca="false">Inputs!$E$27*(1+Inputs!$E$30)^(AF$5-1)</f>
        <v>13.5252</v>
      </c>
      <c r="AG32" s="122" t="n">
        <f aca="false">Inputs!$E$27*(1+Inputs!$E$30)^(AG$5-1)</f>
        <v>13.5252</v>
      </c>
      <c r="AH32" s="122" t="n">
        <f aca="false">Inputs!$E$27*(1+Inputs!$E$30)^(AH$5-1)</f>
        <v>13.5252</v>
      </c>
      <c r="AI32" s="122" t="n">
        <f aca="false">Inputs!$E$27*(1+Inputs!$E$30)^(AI$5-1)</f>
        <v>13.5252</v>
      </c>
      <c r="AJ32" s="122" t="n">
        <f aca="false">Inputs!$E$27*(1+Inputs!$E$30)^(AJ$5-1)</f>
        <v>13.5252</v>
      </c>
      <c r="AK32" s="122" t="n">
        <f aca="false">Inputs!$E$27*(1+Inputs!$E$30)^(AK$5-1)</f>
        <v>13.5252</v>
      </c>
      <c r="AL32" s="122" t="n">
        <f aca="false">Inputs!$E$27*(1+Inputs!$E$30)^(AL$5-1)</f>
        <v>13.5252</v>
      </c>
    </row>
    <row r="33" customFormat="false" ht="15" hidden="false" customHeight="false" outlineLevel="0" collapsed="false">
      <c r="A33" s="6" t="s">
        <v>408</v>
      </c>
      <c r="C33" s="122" t="n">
        <f aca="false">Inputs!$E$29*(1+Inputs!$E$30)^(C$5-1)</f>
        <v>35</v>
      </c>
      <c r="D33" s="122" t="n">
        <f aca="false">Inputs!$E$29*(1+Inputs!$E$30)^(D$5-1)</f>
        <v>35</v>
      </c>
      <c r="E33" s="122" t="n">
        <f aca="false">Inputs!$E$29*(1+Inputs!$E$30)^(E$5-1)</f>
        <v>35</v>
      </c>
      <c r="F33" s="122" t="n">
        <f aca="false">Inputs!$E$29*(1+Inputs!$E$30)^(F$5-1)</f>
        <v>35</v>
      </c>
      <c r="G33" s="122" t="n">
        <f aca="false">Inputs!$E$29*(1+Inputs!$E$30)^(G$5-1)</f>
        <v>35</v>
      </c>
      <c r="H33" s="122" t="n">
        <f aca="false">Inputs!$E$29*(1+Inputs!$E$30)^(H$5-1)</f>
        <v>35</v>
      </c>
      <c r="I33" s="122" t="n">
        <f aca="false">Inputs!$E$29*(1+Inputs!$E$30)^(I$5-1)</f>
        <v>35</v>
      </c>
      <c r="J33" s="122" t="n">
        <f aca="false">Inputs!$E$29*(1+Inputs!$E$30)^(J$5-1)</f>
        <v>35</v>
      </c>
      <c r="K33" s="122" t="n">
        <f aca="false">Inputs!$E$29*(1+Inputs!$E$30)^(K$5-1)</f>
        <v>35</v>
      </c>
      <c r="L33" s="122" t="n">
        <f aca="false">Inputs!$E$29*(1+Inputs!$E$30)^(L$5-1)</f>
        <v>35</v>
      </c>
      <c r="M33" s="122" t="n">
        <f aca="false">Inputs!$E$29*(1+Inputs!$E$30)^(M$5-1)</f>
        <v>35</v>
      </c>
      <c r="N33" s="122" t="n">
        <f aca="false">Inputs!$E$29*(1+Inputs!$E$30)^(N$5-1)</f>
        <v>35</v>
      </c>
      <c r="O33" s="122" t="n">
        <f aca="false">Inputs!$E$29*(1+Inputs!$E$30)^(O$5-1)</f>
        <v>35.7</v>
      </c>
      <c r="P33" s="122" t="n">
        <f aca="false">Inputs!$E$29*(1+Inputs!$E$30)^(P$5-1)</f>
        <v>35.7</v>
      </c>
      <c r="Q33" s="122" t="n">
        <f aca="false">Inputs!$E$29*(1+Inputs!$E$30)^(Q$5-1)</f>
        <v>35.7</v>
      </c>
      <c r="R33" s="122" t="n">
        <f aca="false">Inputs!$E$29*(1+Inputs!$E$30)^(R$5-1)</f>
        <v>35.7</v>
      </c>
      <c r="S33" s="122" t="n">
        <f aca="false">Inputs!$E$29*(1+Inputs!$E$30)^(S$5-1)</f>
        <v>35.7</v>
      </c>
      <c r="T33" s="122" t="n">
        <f aca="false">Inputs!$E$29*(1+Inputs!$E$30)^(T$5-1)</f>
        <v>35.7</v>
      </c>
      <c r="U33" s="122" t="n">
        <f aca="false">Inputs!$E$29*(1+Inputs!$E$30)^(U$5-1)</f>
        <v>35.7</v>
      </c>
      <c r="V33" s="122" t="n">
        <f aca="false">Inputs!$E$29*(1+Inputs!$E$30)^(V$5-1)</f>
        <v>35.7</v>
      </c>
      <c r="W33" s="122" t="n">
        <f aca="false">Inputs!$E$29*(1+Inputs!$E$30)^(W$5-1)</f>
        <v>35.7</v>
      </c>
      <c r="X33" s="122" t="n">
        <f aca="false">Inputs!$E$29*(1+Inputs!$E$30)^(X$5-1)</f>
        <v>35.7</v>
      </c>
      <c r="Y33" s="122" t="n">
        <f aca="false">Inputs!$E$29*(1+Inputs!$E$30)^(Y$5-1)</f>
        <v>35.7</v>
      </c>
      <c r="Z33" s="122" t="n">
        <f aca="false">Inputs!$E$29*(1+Inputs!$E$30)^(Z$5-1)</f>
        <v>35.7</v>
      </c>
      <c r="AA33" s="122" t="n">
        <f aca="false">Inputs!$E$29*(1+Inputs!$E$30)^(AA$5-1)</f>
        <v>36.414</v>
      </c>
      <c r="AB33" s="122" t="n">
        <f aca="false">Inputs!$E$29*(1+Inputs!$E$30)^(AB$5-1)</f>
        <v>36.414</v>
      </c>
      <c r="AC33" s="122" t="n">
        <f aca="false">Inputs!$E$29*(1+Inputs!$E$30)^(AC$5-1)</f>
        <v>36.414</v>
      </c>
      <c r="AD33" s="122" t="n">
        <f aca="false">Inputs!$E$29*(1+Inputs!$E$30)^(AD$5-1)</f>
        <v>36.414</v>
      </c>
      <c r="AE33" s="122" t="n">
        <f aca="false">Inputs!$E$29*(1+Inputs!$E$30)^(AE$5-1)</f>
        <v>36.414</v>
      </c>
      <c r="AF33" s="122" t="n">
        <f aca="false">Inputs!$E$29*(1+Inputs!$E$30)^(AF$5-1)</f>
        <v>36.414</v>
      </c>
      <c r="AG33" s="122" t="n">
        <f aca="false">Inputs!$E$29*(1+Inputs!$E$30)^(AG$5-1)</f>
        <v>36.414</v>
      </c>
      <c r="AH33" s="122" t="n">
        <f aca="false">Inputs!$E$29*(1+Inputs!$E$30)^(AH$5-1)</f>
        <v>36.414</v>
      </c>
      <c r="AI33" s="122" t="n">
        <f aca="false">Inputs!$E$29*(1+Inputs!$E$30)^(AI$5-1)</f>
        <v>36.414</v>
      </c>
      <c r="AJ33" s="122" t="n">
        <f aca="false">Inputs!$E$29*(1+Inputs!$E$30)^(AJ$5-1)</f>
        <v>36.414</v>
      </c>
      <c r="AK33" s="122" t="n">
        <f aca="false">Inputs!$E$29*(1+Inputs!$E$30)^(AK$5-1)</f>
        <v>36.414</v>
      </c>
      <c r="AL33" s="122" t="n">
        <f aca="false">Inputs!$E$29*(1+Inputs!$E$30)^(AL$5-1)</f>
        <v>36.414</v>
      </c>
    </row>
    <row r="34" customFormat="false" ht="15" hidden="false" customHeight="false" outlineLevel="0" collapsed="false">
      <c r="A34" s="6" t="s">
        <v>409</v>
      </c>
      <c r="C34" s="69" t="n">
        <f aca="false">C26*C32</f>
        <v>34608.6</v>
      </c>
      <c r="D34" s="69" t="n">
        <f aca="false">D26*D32</f>
        <v>39308.5333333333</v>
      </c>
      <c r="E34" s="69" t="n">
        <f aca="false">E26*E32</f>
        <v>54363.4</v>
      </c>
      <c r="F34" s="69" t="n">
        <f aca="false">F26*F32</f>
        <v>60169.2</v>
      </c>
      <c r="G34" s="69" t="n">
        <f aca="false">G26*G32</f>
        <v>65975</v>
      </c>
      <c r="H34" s="69" t="n">
        <f aca="false">H26*H32</f>
        <v>71780.8</v>
      </c>
      <c r="I34" s="69" t="n">
        <f aca="false">I26*I32</f>
        <v>77586.6</v>
      </c>
      <c r="J34" s="69" t="n">
        <f aca="false">J26*J32</f>
        <v>83392.4</v>
      </c>
      <c r="K34" s="69" t="n">
        <f aca="false">K26*K32</f>
        <v>89198.2</v>
      </c>
      <c r="L34" s="69" t="n">
        <f aca="false">L26*L32</f>
        <v>95004</v>
      </c>
      <c r="M34" s="69" t="n">
        <f aca="false">M26*M32</f>
        <v>95004</v>
      </c>
      <c r="N34" s="69" t="n">
        <f aca="false">N26*N32</f>
        <v>76908</v>
      </c>
      <c r="O34" s="69" t="n">
        <f aca="false">O26*O32</f>
        <v>78446.16</v>
      </c>
      <c r="P34" s="69" t="n">
        <f aca="false">P26*P32</f>
        <v>78446.16</v>
      </c>
      <c r="Q34" s="69" t="n">
        <f aca="false">Q26*Q32</f>
        <v>96904.08</v>
      </c>
      <c r="R34" s="69" t="n">
        <f aca="false">R26*R32</f>
        <v>96904.08</v>
      </c>
      <c r="S34" s="69" t="n">
        <f aca="false">S26*S32</f>
        <v>96904.08</v>
      </c>
      <c r="T34" s="69" t="n">
        <f aca="false">T26*T32</f>
        <v>96904.08</v>
      </c>
      <c r="U34" s="69" t="n">
        <f aca="false">U26*U32</f>
        <v>96904.08</v>
      </c>
      <c r="V34" s="69" t="n">
        <f aca="false">V26*V32</f>
        <v>96904.08</v>
      </c>
      <c r="W34" s="69" t="n">
        <f aca="false">W26*W32</f>
        <v>96904.08</v>
      </c>
      <c r="X34" s="69" t="n">
        <f aca="false">X26*X32</f>
        <v>96904.08</v>
      </c>
      <c r="Y34" s="69" t="n">
        <f aca="false">Y26*Y32</f>
        <v>96904.08</v>
      </c>
      <c r="Z34" s="69" t="n">
        <f aca="false">Z26*Z32</f>
        <v>78446.16</v>
      </c>
      <c r="AA34" s="69" t="n">
        <f aca="false">AA26*AA32</f>
        <v>80015.0832</v>
      </c>
      <c r="AB34" s="69" t="n">
        <f aca="false">AB26*AB32</f>
        <v>80015.0832</v>
      </c>
      <c r="AC34" s="69" t="n">
        <f aca="false">AC26*AC32</f>
        <v>98842.1616</v>
      </c>
      <c r="AD34" s="69" t="n">
        <f aca="false">AD26*AD32</f>
        <v>98842.1616</v>
      </c>
      <c r="AE34" s="69" t="n">
        <f aca="false">AE26*AE32</f>
        <v>98842.1616</v>
      </c>
      <c r="AF34" s="69" t="n">
        <f aca="false">AF26*AF32</f>
        <v>98842.1616</v>
      </c>
      <c r="AG34" s="69" t="n">
        <f aca="false">AG26*AG32</f>
        <v>98842.1616</v>
      </c>
      <c r="AH34" s="69" t="n">
        <f aca="false">AH26*AH32</f>
        <v>98842.1616</v>
      </c>
      <c r="AI34" s="69" t="n">
        <f aca="false">AI26*AI32</f>
        <v>98842.1616</v>
      </c>
      <c r="AJ34" s="69" t="n">
        <f aca="false">AJ26*AJ32</f>
        <v>98842.1616</v>
      </c>
      <c r="AK34" s="69" t="n">
        <f aca="false">AK26*AK32</f>
        <v>98842.1616</v>
      </c>
      <c r="AL34" s="69" t="n">
        <f aca="false">AL26*AL32</f>
        <v>80015.0832</v>
      </c>
    </row>
    <row r="35" customFormat="false" ht="15" hidden="false" customHeight="false" outlineLevel="0" collapsed="false">
      <c r="A35" s="6" t="s">
        <v>410</v>
      </c>
      <c r="C35" s="69" t="n">
        <f aca="false">C26*Inputs!$E$28*(1+Inputs!$E$30)^(C$5-1)</f>
        <v>3993.3</v>
      </c>
      <c r="D35" s="69" t="n">
        <f aca="false">D26*Inputs!$E$28*(1+Inputs!$E$30)^(D$5-1)</f>
        <v>4535.6</v>
      </c>
      <c r="E35" s="69" t="n">
        <f aca="false">E26*Inputs!$E$28*(1+Inputs!$E$30)^(E$5-1)</f>
        <v>6272.7</v>
      </c>
      <c r="F35" s="69" t="n">
        <f aca="false">F26*Inputs!$E$28*(1+Inputs!$E$30)^(F$5-1)</f>
        <v>6942.6</v>
      </c>
      <c r="G35" s="69" t="n">
        <f aca="false">G26*Inputs!$E$28*(1+Inputs!$E$30)^(G$5-1)</f>
        <v>7612.5</v>
      </c>
      <c r="H35" s="69" t="n">
        <f aca="false">H26*Inputs!$E$28*(1+Inputs!$E$30)^(H$5-1)</f>
        <v>8282.4</v>
      </c>
      <c r="I35" s="69" t="n">
        <f aca="false">I26*Inputs!$E$28*(1+Inputs!$E$30)^(I$5-1)</f>
        <v>8952.3</v>
      </c>
      <c r="J35" s="69" t="n">
        <f aca="false">J26*Inputs!$E$28*(1+Inputs!$E$30)^(J$5-1)</f>
        <v>9622.2</v>
      </c>
      <c r="K35" s="69" t="n">
        <f aca="false">K26*Inputs!$E$28*(1+Inputs!$E$30)^(K$5-1)</f>
        <v>10292.1</v>
      </c>
      <c r="L35" s="69" t="n">
        <f aca="false">L26*Inputs!$E$28*(1+Inputs!$E$30)^(L$5-1)</f>
        <v>10962</v>
      </c>
      <c r="M35" s="69" t="n">
        <f aca="false">M26*Inputs!$E$28*(1+Inputs!$E$30)^(M$5-1)</f>
        <v>10962</v>
      </c>
      <c r="N35" s="69" t="n">
        <f aca="false">N26*Inputs!$E$28*(1+Inputs!$E$30)^(N$5-1)</f>
        <v>8874</v>
      </c>
      <c r="O35" s="69" t="n">
        <f aca="false">O26*Inputs!$E$28*(1+Inputs!$E$30)^(O$5-1)</f>
        <v>9051.48</v>
      </c>
      <c r="P35" s="69" t="n">
        <f aca="false">P26*Inputs!$E$28*(1+Inputs!$E$30)^(P$5-1)</f>
        <v>9051.48</v>
      </c>
      <c r="Q35" s="69" t="n">
        <f aca="false">Q26*Inputs!$E$28*(1+Inputs!$E$30)^(Q$5-1)</f>
        <v>11181.24</v>
      </c>
      <c r="R35" s="69" t="n">
        <f aca="false">R26*Inputs!$E$28*(1+Inputs!$E$30)^(R$5-1)</f>
        <v>11181.24</v>
      </c>
      <c r="S35" s="69" t="n">
        <f aca="false">S26*Inputs!$E$28*(1+Inputs!$E$30)^(S$5-1)</f>
        <v>11181.24</v>
      </c>
      <c r="T35" s="69" t="n">
        <f aca="false">T26*Inputs!$E$28*(1+Inputs!$E$30)^(T$5-1)</f>
        <v>11181.24</v>
      </c>
      <c r="U35" s="69" t="n">
        <f aca="false">U26*Inputs!$E$28*(1+Inputs!$E$30)^(U$5-1)</f>
        <v>11181.24</v>
      </c>
      <c r="V35" s="69" t="n">
        <f aca="false">V26*Inputs!$E$28*(1+Inputs!$E$30)^(V$5-1)</f>
        <v>11181.24</v>
      </c>
      <c r="W35" s="69" t="n">
        <f aca="false">W26*Inputs!$E$28*(1+Inputs!$E$30)^(W$5-1)</f>
        <v>11181.24</v>
      </c>
      <c r="X35" s="69" t="n">
        <f aca="false">X26*Inputs!$E$28*(1+Inputs!$E$30)^(X$5-1)</f>
        <v>11181.24</v>
      </c>
      <c r="Y35" s="69" t="n">
        <f aca="false">Y26*Inputs!$E$28*(1+Inputs!$E$30)^(Y$5-1)</f>
        <v>11181.24</v>
      </c>
      <c r="Z35" s="69" t="n">
        <f aca="false">Z26*Inputs!$E$28*(1+Inputs!$E$30)^(Z$5-1)</f>
        <v>9051.48</v>
      </c>
      <c r="AA35" s="69" t="n">
        <f aca="false">AA26*Inputs!$E$28*(1+Inputs!$E$30)^(AA$5-1)</f>
        <v>9232.5096</v>
      </c>
      <c r="AB35" s="69" t="n">
        <f aca="false">AB26*Inputs!$E$28*(1+Inputs!$E$30)^(AB$5-1)</f>
        <v>9232.5096</v>
      </c>
      <c r="AC35" s="69" t="n">
        <f aca="false">AC26*Inputs!$E$28*(1+Inputs!$E$30)^(AC$5-1)</f>
        <v>11404.8648</v>
      </c>
      <c r="AD35" s="69" t="n">
        <f aca="false">AD26*Inputs!$E$28*(1+Inputs!$E$30)^(AD$5-1)</f>
        <v>11404.8648</v>
      </c>
      <c r="AE35" s="69" t="n">
        <f aca="false">AE26*Inputs!$E$28*(1+Inputs!$E$30)^(AE$5-1)</f>
        <v>11404.8648</v>
      </c>
      <c r="AF35" s="69" t="n">
        <f aca="false">AF26*Inputs!$E$28*(1+Inputs!$E$30)^(AF$5-1)</f>
        <v>11404.8648</v>
      </c>
      <c r="AG35" s="69" t="n">
        <f aca="false">AG26*Inputs!$E$28*(1+Inputs!$E$30)^(AG$5-1)</f>
        <v>11404.8648</v>
      </c>
      <c r="AH35" s="69" t="n">
        <f aca="false">AH26*Inputs!$E$28*(1+Inputs!$E$30)^(AH$5-1)</f>
        <v>11404.8648</v>
      </c>
      <c r="AI35" s="69" t="n">
        <f aca="false">AI26*Inputs!$E$28*(1+Inputs!$E$30)^(AI$5-1)</f>
        <v>11404.8648</v>
      </c>
      <c r="AJ35" s="69" t="n">
        <f aca="false">AJ26*Inputs!$E$28*(1+Inputs!$E$30)^(AJ$5-1)</f>
        <v>11404.8648</v>
      </c>
      <c r="AK35" s="69" t="n">
        <f aca="false">AK26*Inputs!$E$28*(1+Inputs!$E$30)^(AK$5-1)</f>
        <v>11404.8648</v>
      </c>
      <c r="AL35" s="69" t="n">
        <f aca="false">AL26*Inputs!$E$28*(1+Inputs!$E$30)^(AL$5-1)</f>
        <v>9232.5096</v>
      </c>
    </row>
    <row r="36" customFormat="false" ht="15" hidden="false" customHeight="false" outlineLevel="0" collapsed="false">
      <c r="A36" s="6" t="s">
        <v>241</v>
      </c>
      <c r="C36" s="69" t="n">
        <f aca="false">C20*C33*1</f>
        <v>9341.458</v>
      </c>
      <c r="D36" s="69" t="n">
        <f aca="false">D20*D33*1</f>
        <v>10604.8025688889</v>
      </c>
      <c r="E36" s="69" t="n">
        <f aca="false">E20*E33*1</f>
        <v>12137.3017994667</v>
      </c>
      <c r="F36" s="69" t="n">
        <f aca="false">F20*F33*1</f>
        <v>13940.0988385991</v>
      </c>
      <c r="G36" s="69" t="n">
        <f aca="false">G20*G33*1</f>
        <v>15902.7764406107</v>
      </c>
      <c r="H36" s="69" t="n">
        <f aca="false">H20*H33*1</f>
        <v>18018.9393829863</v>
      </c>
      <c r="I36" s="69" t="n">
        <f aca="false">I20*I33*1</f>
        <v>20282.4482521113</v>
      </c>
      <c r="J36" s="69" t="n">
        <f aca="false">J20*J33*1</f>
        <v>22687.4092109157</v>
      </c>
      <c r="K36" s="69" t="n">
        <f aca="false">K20*K33*1</f>
        <v>25228.1641758124</v>
      </c>
      <c r="L36" s="69" t="n">
        <f aca="false">L20*L33*1</f>
        <v>27899.2813865577</v>
      </c>
      <c r="M36" s="69" t="n">
        <f aca="false">M20*M33*1</f>
        <v>30579.5501310954</v>
      </c>
      <c r="N36" s="69" t="n">
        <f aca="false">N20*N33*1</f>
        <v>32957.7281258516</v>
      </c>
      <c r="O36" s="69" t="n">
        <f aca="false">O20*O33*1</f>
        <v>35791.4419808339</v>
      </c>
      <c r="P36" s="69" t="n">
        <f aca="false">P20*P33*1</f>
        <v>37923.6439016005</v>
      </c>
      <c r="Q36" s="69" t="n">
        <f aca="false">Q20*Q33*1</f>
        <v>40169.3353455365</v>
      </c>
      <c r="R36" s="69" t="n">
        <f aca="false">R20*R33*1</f>
        <v>42523.976731715</v>
      </c>
      <c r="S36" s="69" t="n">
        <f aca="false">S20*S33*1</f>
        <v>44784.4324624464</v>
      </c>
      <c r="T36" s="69" t="n">
        <f aca="false">T20*T33*1</f>
        <v>46954.4699639486</v>
      </c>
      <c r="U36" s="69" t="n">
        <f aca="false">U20*U33*1</f>
        <v>49037.7059653906</v>
      </c>
      <c r="V36" s="69" t="n">
        <f aca="false">V20*V33*1</f>
        <v>51037.612526775</v>
      </c>
      <c r="W36" s="69" t="n">
        <f aca="false">W20*W33*1</f>
        <v>52957.522825704</v>
      </c>
      <c r="X36" s="69" t="n">
        <f aca="false">X20*X33*1</f>
        <v>54800.6367126758</v>
      </c>
      <c r="Y36" s="69" t="n">
        <f aca="false">Y20*Y33*1</f>
        <v>56570.0260441688</v>
      </c>
      <c r="Z36" s="69" t="n">
        <f aca="false">Z20*Z33*1</f>
        <v>58069.862202402</v>
      </c>
      <c r="AA36" s="69" t="n">
        <f aca="false">AA20*AA33*1</f>
        <v>60544.9392355921</v>
      </c>
      <c r="AB36" s="69" t="n">
        <f aca="false">AB20*AB33*1</f>
        <v>61853.8652081684</v>
      </c>
      <c r="AC36" s="69" t="n">
        <f aca="false">AC20*AC33*1</f>
        <v>63313.1872938416</v>
      </c>
      <c r="AD36" s="69" t="n">
        <f aca="false">AD20*AD33*1</f>
        <v>64916.889648088</v>
      </c>
      <c r="AE36" s="69" t="n">
        <f aca="false">AE20*AE33*1</f>
        <v>66456.4439081644</v>
      </c>
      <c r="AF36" s="69" t="n">
        <f aca="false">AF20*AF33*1</f>
        <v>67934.4159978379</v>
      </c>
      <c r="AG36" s="69" t="n">
        <f aca="false">AG20*AG33*1</f>
        <v>69353.2692039243</v>
      </c>
      <c r="AH36" s="69" t="n">
        <f aca="false">AH20*AH33*1</f>
        <v>70715.3682817674</v>
      </c>
      <c r="AI36" s="69" t="n">
        <f aca="false">AI20*AI33*1</f>
        <v>72022.9833964967</v>
      </c>
      <c r="AJ36" s="69" t="n">
        <f aca="false">AJ20*AJ33*1</f>
        <v>73278.2939066368</v>
      </c>
      <c r="AK36" s="69" t="n">
        <f aca="false">AK20*AK33*1</f>
        <v>74483.3919963713</v>
      </c>
      <c r="AL36" s="69" t="n">
        <f aca="false">AL20*AL33*1</f>
        <v>75437.5330105165</v>
      </c>
    </row>
    <row r="37" customFormat="false" ht="15" hidden="false" customHeight="false" outlineLevel="0" collapsed="false">
      <c r="A37" s="113" t="s">
        <v>44</v>
      </c>
      <c r="C37" s="70" t="n">
        <f aca="false">C34+C35+C36</f>
        <v>47943.358</v>
      </c>
      <c r="D37" s="70" t="n">
        <f aca="false">D34+D35+D36</f>
        <v>54448.9359022222</v>
      </c>
      <c r="E37" s="70" t="n">
        <f aca="false">E34+E35+E36</f>
        <v>72773.4017994667</v>
      </c>
      <c r="F37" s="70" t="n">
        <f aca="false">F34+F35+F36</f>
        <v>81051.8988385991</v>
      </c>
      <c r="G37" s="70" t="n">
        <f aca="false">G34+G35+G36</f>
        <v>89490.2764406107</v>
      </c>
      <c r="H37" s="70" t="n">
        <f aca="false">H34+H35+H36</f>
        <v>98082.1393829863</v>
      </c>
      <c r="I37" s="70" t="n">
        <f aca="false">I34+I35+I36</f>
        <v>106821.348252111</v>
      </c>
      <c r="J37" s="70" t="n">
        <f aca="false">J34+J35+J36</f>
        <v>115702.009210916</v>
      </c>
      <c r="K37" s="70" t="n">
        <f aca="false">K34+K35+K36</f>
        <v>124718.464175812</v>
      </c>
      <c r="L37" s="70" t="n">
        <f aca="false">L34+L35+L36</f>
        <v>133865.281386558</v>
      </c>
      <c r="M37" s="70" t="n">
        <f aca="false">M34+M35+M36</f>
        <v>136545.550131095</v>
      </c>
      <c r="N37" s="70" t="n">
        <f aca="false">N34+N35+N36</f>
        <v>118739.728125852</v>
      </c>
      <c r="O37" s="70" t="n">
        <f aca="false">O34+O35+O36</f>
        <v>123289.081980834</v>
      </c>
      <c r="P37" s="70" t="n">
        <f aca="false">P34+P35+P36</f>
        <v>125421.283901601</v>
      </c>
      <c r="Q37" s="70" t="n">
        <f aca="false">Q34+Q35+Q36</f>
        <v>148254.655345536</v>
      </c>
      <c r="R37" s="70" t="n">
        <f aca="false">R34+R35+R36</f>
        <v>150609.296731715</v>
      </c>
      <c r="S37" s="70" t="n">
        <f aca="false">S34+S35+S36</f>
        <v>152869.752462446</v>
      </c>
      <c r="T37" s="70" t="n">
        <f aca="false">T34+T35+T36</f>
        <v>155039.789963949</v>
      </c>
      <c r="U37" s="70" t="n">
        <f aca="false">U34+U35+U36</f>
        <v>157123.025965391</v>
      </c>
      <c r="V37" s="70" t="n">
        <f aca="false">V34+V35+V36</f>
        <v>159122.932526775</v>
      </c>
      <c r="W37" s="70" t="n">
        <f aca="false">W34+W35+W36</f>
        <v>161042.842825704</v>
      </c>
      <c r="X37" s="70" t="n">
        <f aca="false">X34+X35+X36</f>
        <v>162885.956712676</v>
      </c>
      <c r="Y37" s="70" t="n">
        <f aca="false">Y34+Y35+Y36</f>
        <v>164655.346044169</v>
      </c>
      <c r="Z37" s="70" t="n">
        <f aca="false">Z34+Z35+Z36</f>
        <v>145567.502202402</v>
      </c>
      <c r="AA37" s="70" t="n">
        <f aca="false">AA34+AA35+AA36</f>
        <v>149792.532035592</v>
      </c>
      <c r="AB37" s="70" t="n">
        <f aca="false">AB34+AB35+AB36</f>
        <v>151101.458008168</v>
      </c>
      <c r="AC37" s="70" t="n">
        <f aca="false">AC34+AC35+AC36</f>
        <v>173560.213693842</v>
      </c>
      <c r="AD37" s="70" t="n">
        <f aca="false">AD34+AD35+AD36</f>
        <v>175163.916048088</v>
      </c>
      <c r="AE37" s="70" t="n">
        <f aca="false">AE34+AE35+AE36</f>
        <v>176703.470308164</v>
      </c>
      <c r="AF37" s="70" t="n">
        <f aca="false">AF34+AF35+AF36</f>
        <v>178181.442397838</v>
      </c>
      <c r="AG37" s="70" t="n">
        <f aca="false">AG34+AG35+AG36</f>
        <v>179600.295603924</v>
      </c>
      <c r="AH37" s="70" t="n">
        <f aca="false">AH34+AH35+AH36</f>
        <v>180962.394681767</v>
      </c>
      <c r="AI37" s="70" t="n">
        <f aca="false">AI34+AI35+AI36</f>
        <v>182270.009796497</v>
      </c>
      <c r="AJ37" s="70" t="n">
        <f aca="false">AJ34+AJ35+AJ36</f>
        <v>183525.320306637</v>
      </c>
      <c r="AK37" s="70" t="n">
        <f aca="false">AK34+AK35+AK36</f>
        <v>184730.418396371</v>
      </c>
      <c r="AL37" s="70" t="n">
        <f aca="false">AL34+AL35+AL36</f>
        <v>164685.125810516</v>
      </c>
    </row>
    <row r="39" customFormat="false" ht="15.75" hidden="false" customHeight="true" outlineLevel="0" collapsed="false">
      <c r="A39" s="7" t="s">
        <v>76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411</v>
      </c>
      <c r="C40" s="69" t="n">
        <f aca="false">-C28*Inputs!$E$33*(1+Inputs!$E$38)^(C$5-1)</f>
        <v>-2937.7903405</v>
      </c>
      <c r="D40" s="69" t="n">
        <f aca="false">-D28*Inputs!$E$33*(1+Inputs!$E$38)^(D$5-1)</f>
        <v>-3336.37031893556</v>
      </c>
      <c r="E40" s="69" t="n">
        <f aca="false">-E28*Inputs!$E$33*(1+Inputs!$E$38)^(E$5-1)</f>
        <v>-4637.7841856024</v>
      </c>
      <c r="F40" s="69" t="n">
        <f aca="false">-F28*Inputs!$E$33*(1+Inputs!$E$38)^(F$5-1)</f>
        <v>-5178.29382134497</v>
      </c>
      <c r="G40" s="69" t="n">
        <f aca="false">-G28*Inputs!$E$33*(1+Inputs!$E$38)^(G$5-1)</f>
        <v>-5733.07279732451</v>
      </c>
      <c r="H40" s="69" t="n">
        <f aca="false">-H28*Inputs!$E$33*(1+Inputs!$E$38)^(H$5-1)</f>
        <v>-6301.55033993153</v>
      </c>
      <c r="I40" s="69" t="n">
        <f aca="false">-I28*Inputs!$E$33*(1+Inputs!$E$38)^(I$5-1)</f>
        <v>-6883.17850650093</v>
      </c>
      <c r="J40" s="69" t="n">
        <f aca="false">-J28*Inputs!$E$33*(1+Inputs!$E$38)^(J$5-1)</f>
        <v>-7477.43127207423</v>
      </c>
      <c r="K40" s="69" t="n">
        <f aca="false">-K28*Inputs!$E$33*(1+Inputs!$E$38)^(K$5-1)</f>
        <v>-8083.80365269126</v>
      </c>
      <c r="L40" s="69" t="n">
        <f aca="false">-L28*Inputs!$E$33*(1+Inputs!$E$38)^(L$5-1)</f>
        <v>-8701.81086375027</v>
      </c>
      <c r="M40" s="69" t="n">
        <f aca="false">-M28*Inputs!$E$33*(1+Inputs!$E$38)^(M$5-1)</f>
        <v>-8941.02484920026</v>
      </c>
      <c r="N40" s="69" t="n">
        <f aca="false">-N28*Inputs!$E$33*(1+Inputs!$E$38)^(N$5-1)</f>
        <v>-7409.79585709278</v>
      </c>
      <c r="O40" s="69" t="n">
        <f aca="false">-O28*Inputs!$E$33*(1+Inputs!$E$38)^(O$5-1)</f>
        <v>-7790.74195451834</v>
      </c>
      <c r="P40" s="69" t="n">
        <f aca="false">-P28*Inputs!$E$33*(1+Inputs!$E$38)^(P$5-1)</f>
        <v>-7946.3038529876</v>
      </c>
      <c r="Q40" s="69" t="n">
        <f aca="false">-Q28*Inputs!$E$33*(1+Inputs!$E$38)^(Q$5-1)</f>
        <v>-10018.4153480165</v>
      </c>
      <c r="R40" s="69" t="n">
        <f aca="false">-R28*Inputs!$E$33*(1+Inputs!$E$38)^(R$5-1)</f>
        <v>-10230.6274029458</v>
      </c>
      <c r="S40" s="69" t="n">
        <f aca="false">-S28*Inputs!$E$33*(1+Inputs!$E$38)^(S$5-1)</f>
        <v>-10434.350975678</v>
      </c>
      <c r="T40" s="69" t="n">
        <f aca="false">-T28*Inputs!$E$33*(1+Inputs!$E$38)^(T$5-1)</f>
        <v>-10629.9256055009</v>
      </c>
      <c r="U40" s="69" t="n">
        <f aca="false">-U28*Inputs!$E$33*(1+Inputs!$E$38)^(U$5-1)</f>
        <v>-10817.6772501308</v>
      </c>
      <c r="V40" s="69" t="n">
        <f aca="false">-V28*Inputs!$E$33*(1+Inputs!$E$38)^(V$5-1)</f>
        <v>-10997.9188289756</v>
      </c>
      <c r="W40" s="69" t="n">
        <f aca="false">-W28*Inputs!$E$33*(1+Inputs!$E$38)^(W$5-1)</f>
        <v>-11170.9507446666</v>
      </c>
      <c r="X40" s="69" t="n">
        <f aca="false">-X28*Inputs!$E$33*(1+Inputs!$E$38)^(X$5-1)</f>
        <v>-11337.0613837299</v>
      </c>
      <c r="Y40" s="69" t="n">
        <f aca="false">-Y28*Inputs!$E$33*(1+Inputs!$E$38)^(Y$5-1)</f>
        <v>-11496.5275972307</v>
      </c>
      <c r="Z40" s="69" t="n">
        <f aca="false">-Z28*Inputs!$E$33*(1+Inputs!$E$38)^(Z$5-1)</f>
        <v>-9416.13836318358</v>
      </c>
      <c r="AA40" s="69" t="n">
        <f aca="false">-AA28*Inputs!$E$33*(1+Inputs!$E$38)^(AA$5-1)</f>
        <v>-9795.40604798886</v>
      </c>
      <c r="AB40" s="69" t="n">
        <f aca="false">-AB28*Inputs!$E$33*(1+Inputs!$E$38)^(AB$5-1)</f>
        <v>-9891.83935106568</v>
      </c>
      <c r="AC40" s="69" t="n">
        <f aca="false">-AC28*Inputs!$E$33*(1+Inputs!$E$38)^(AC$5-1)</f>
        <v>-12352.1417915718</v>
      </c>
      <c r="AD40" s="69" t="n">
        <f aca="false">-AD28*Inputs!$E$33*(1+Inputs!$E$38)^(AD$5-1)</f>
        <v>-12498.0924630588</v>
      </c>
      <c r="AE40" s="69" t="n">
        <f aca="false">-AE28*Inputs!$E$33*(1+Inputs!$E$38)^(AE$5-1)</f>
        <v>-12638.2051076863</v>
      </c>
      <c r="AF40" s="69" t="n">
        <f aca="false">-AF28*Inputs!$E$33*(1+Inputs!$E$38)^(AF$5-1)</f>
        <v>-12772.7132465287</v>
      </c>
      <c r="AG40" s="69" t="n">
        <f aca="false">-AG28*Inputs!$E$33*(1+Inputs!$E$38)^(AG$5-1)</f>
        <v>-12901.8410598174</v>
      </c>
      <c r="AH40" s="69" t="n">
        <f aca="false">-AH28*Inputs!$E$33*(1+Inputs!$E$38)^(AH$5-1)</f>
        <v>-13025.8037605746</v>
      </c>
      <c r="AI40" s="69" t="n">
        <f aca="false">-AI28*Inputs!$E$33*(1+Inputs!$E$38)^(AI$5-1)</f>
        <v>-13144.8079533015</v>
      </c>
      <c r="AJ40" s="69" t="n">
        <f aca="false">-AJ28*Inputs!$E$33*(1+Inputs!$E$38)^(AJ$5-1)</f>
        <v>-13259.0519783193</v>
      </c>
      <c r="AK40" s="69" t="n">
        <f aca="false">-AK28*Inputs!$E$33*(1+Inputs!$E$38)^(AK$5-1)</f>
        <v>-13368.7262423364</v>
      </c>
      <c r="AL40" s="69" t="n">
        <f aca="false">-AL28*Inputs!$E$33*(1+Inputs!$E$38)^(AL$5-1)</f>
        <v>-10892.5972101984</v>
      </c>
    </row>
    <row r="41" customFormat="false" ht="15" hidden="false" customHeight="false" outlineLevel="0" collapsed="false">
      <c r="A41" s="6" t="s">
        <v>412</v>
      </c>
      <c r="C41" s="69" t="n">
        <f aca="false">-C28*Inputs!$E$34/1000*Inputs!$E$35*(1+Inputs!$E$38)^(C$5-1)</f>
        <v>-1244.2406148</v>
      </c>
      <c r="D41" s="69" t="n">
        <f aca="false">-D28*Inputs!$E$34/1000*Inputs!$E$35*(1+Inputs!$E$38)^(D$5-1)</f>
        <v>-1413.050958608</v>
      </c>
      <c r="E41" s="69" t="n">
        <f aca="false">-E28*Inputs!$E$34/1000*Inputs!$E$35*(1+Inputs!$E$38)^(E$5-1)</f>
        <v>-1964.23800801984</v>
      </c>
      <c r="F41" s="69" t="n">
        <f aca="false">-F28*Inputs!$E$34/1000*Inputs!$E$35*(1+Inputs!$E$38)^(F$5-1)</f>
        <v>-2193.15973609905</v>
      </c>
      <c r="G41" s="69" t="n">
        <f aca="false">-G28*Inputs!$E$34/1000*Inputs!$E$35*(1+Inputs!$E$38)^(G$5-1)</f>
        <v>-2428.12494945509</v>
      </c>
      <c r="H41" s="69" t="n">
        <f aca="false">-H28*Inputs!$E$34/1000*Inputs!$E$35*(1+Inputs!$E$38)^(H$5-1)</f>
        <v>-2668.89190867688</v>
      </c>
      <c r="I41" s="69" t="n">
        <f aca="false">-I28*Inputs!$E$34/1000*Inputs!$E$35*(1+Inputs!$E$38)^(I$5-1)</f>
        <v>-2915.22854392981</v>
      </c>
      <c r="J41" s="69" t="n">
        <f aca="false">-J28*Inputs!$E$34/1000*Inputs!$E$35*(1+Inputs!$E$38)^(J$5-1)</f>
        <v>-3166.91206817261</v>
      </c>
      <c r="K41" s="69" t="n">
        <f aca="false">-K28*Inputs!$E$34/1000*Inputs!$E$35*(1+Inputs!$E$38)^(K$5-1)</f>
        <v>-3423.72860584571</v>
      </c>
      <c r="L41" s="69" t="n">
        <f aca="false">-L28*Inputs!$E$34/1000*Inputs!$E$35*(1+Inputs!$E$38)^(L$5-1)</f>
        <v>-3685.47283641188</v>
      </c>
      <c r="M41" s="69" t="n">
        <f aca="false">-M28*Inputs!$E$34/1000*Inputs!$E$35*(1+Inputs!$E$38)^(M$5-1)</f>
        <v>-3786.78699495541</v>
      </c>
      <c r="N41" s="69" t="n">
        <f aca="false">-N28*Inputs!$E$34/1000*Inputs!$E$35*(1+Inputs!$E$38)^(N$5-1)</f>
        <v>-3138.26648065106</v>
      </c>
      <c r="O41" s="69" t="n">
        <f aca="false">-O28*Inputs!$E$34/1000*Inputs!$E$35*(1+Inputs!$E$38)^(O$5-1)</f>
        <v>-3299.60835720777</v>
      </c>
      <c r="P41" s="69" t="n">
        <f aca="false">-P28*Inputs!$E$34/1000*Inputs!$E$35*(1+Inputs!$E$38)^(P$5-1)</f>
        <v>-3365.49339655946</v>
      </c>
      <c r="Q41" s="69" t="n">
        <f aca="false">-Q28*Inputs!$E$34/1000*Inputs!$E$35*(1+Inputs!$E$38)^(Q$5-1)</f>
        <v>-4243.09355915992</v>
      </c>
      <c r="R41" s="69" t="n">
        <f aca="false">-R28*Inputs!$E$34/1000*Inputs!$E$35*(1+Inputs!$E$38)^(R$5-1)</f>
        <v>-4332.97160595352</v>
      </c>
      <c r="S41" s="69" t="n">
        <f aca="false">-S28*Inputs!$E$34/1000*Inputs!$E$35*(1+Inputs!$E$38)^(S$5-1)</f>
        <v>-4419.25453087538</v>
      </c>
      <c r="T41" s="69" t="n">
        <f aca="false">-T28*Inputs!$E$34/1000*Inputs!$E$35*(1+Inputs!$E$38)^(T$5-1)</f>
        <v>-4502.08613880037</v>
      </c>
      <c r="U41" s="69" t="n">
        <f aca="false">-U28*Inputs!$E$34/1000*Inputs!$E$35*(1+Inputs!$E$38)^(U$5-1)</f>
        <v>-4581.60448240835</v>
      </c>
      <c r="V41" s="69" t="n">
        <f aca="false">-V28*Inputs!$E$34/1000*Inputs!$E$35*(1+Inputs!$E$38)^(V$5-1)</f>
        <v>-4657.94209227202</v>
      </c>
      <c r="W41" s="69" t="n">
        <f aca="false">-W28*Inputs!$E$34/1000*Inputs!$E$35*(1+Inputs!$E$38)^(W$5-1)</f>
        <v>-4731.22619774114</v>
      </c>
      <c r="X41" s="69" t="n">
        <f aca="false">-X28*Inputs!$E$34/1000*Inputs!$E$35*(1+Inputs!$E$38)^(X$5-1)</f>
        <v>-4801.57893899149</v>
      </c>
      <c r="Y41" s="69" t="n">
        <f aca="false">-Y28*Inputs!$E$34/1000*Inputs!$E$35*(1+Inputs!$E$38)^(Y$5-1)</f>
        <v>-4869.11757059183</v>
      </c>
      <c r="Z41" s="69" t="n">
        <f aca="false">-Z28*Inputs!$E$34/1000*Inputs!$E$35*(1+Inputs!$E$38)^(Z$5-1)</f>
        <v>-3988.01154205422</v>
      </c>
      <c r="AA41" s="69" t="n">
        <f aca="false">-AA28*Inputs!$E$34/1000*Inputs!$E$35*(1+Inputs!$E$38)^(AA$5-1)</f>
        <v>-4148.64256150117</v>
      </c>
      <c r="AB41" s="69" t="n">
        <f aca="false">-AB28*Inputs!$E$34/1000*Inputs!$E$35*(1+Inputs!$E$38)^(AB$5-1)</f>
        <v>-4189.48490162782</v>
      </c>
      <c r="AC41" s="69" t="n">
        <f aca="false">-AC28*Inputs!$E$34/1000*Inputs!$E$35*(1+Inputs!$E$38)^(AC$5-1)</f>
        <v>-5231.49534701863</v>
      </c>
      <c r="AD41" s="69" t="n">
        <f aca="false">-AD28*Inputs!$E$34/1000*Inputs!$E$35*(1+Inputs!$E$38)^(AD$5-1)</f>
        <v>-5293.30974906019</v>
      </c>
      <c r="AE41" s="69" t="n">
        <f aca="false">-AE28*Inputs!$E$34/1000*Inputs!$E$35*(1+Inputs!$E$38)^(AE$5-1)</f>
        <v>-5352.65157502008</v>
      </c>
      <c r="AF41" s="69" t="n">
        <f aca="false">-AF28*Inputs!$E$34/1000*Inputs!$E$35*(1+Inputs!$E$38)^(AF$5-1)</f>
        <v>-5409.61972794158</v>
      </c>
      <c r="AG41" s="69" t="n">
        <f aca="false">-AG28*Inputs!$E$34/1000*Inputs!$E$35*(1+Inputs!$E$38)^(AG$5-1)</f>
        <v>-5464.30915474621</v>
      </c>
      <c r="AH41" s="69" t="n">
        <f aca="false">-AH28*Inputs!$E$34/1000*Inputs!$E$35*(1+Inputs!$E$38)^(AH$5-1)</f>
        <v>-5516.81100447866</v>
      </c>
      <c r="AI41" s="69" t="n">
        <f aca="false">-AI28*Inputs!$E$34/1000*Inputs!$E$35*(1+Inputs!$E$38)^(AI$5-1)</f>
        <v>-5567.21278022182</v>
      </c>
      <c r="AJ41" s="69" t="n">
        <f aca="false">-AJ28*Inputs!$E$34/1000*Inputs!$E$35*(1+Inputs!$E$38)^(AJ$5-1)</f>
        <v>-5615.59848493524</v>
      </c>
      <c r="AK41" s="69" t="n">
        <f aca="false">-AK28*Inputs!$E$34/1000*Inputs!$E$35*(1+Inputs!$E$38)^(AK$5-1)</f>
        <v>-5662.04876146013</v>
      </c>
      <c r="AL41" s="69" t="n">
        <f aca="false">-AL28*Inputs!$E$34/1000*Inputs!$E$35*(1+Inputs!$E$38)^(AL$5-1)</f>
        <v>-4613.3352890252</v>
      </c>
    </row>
    <row r="42" customFormat="false" ht="15" hidden="false" customHeight="false" outlineLevel="0" collapsed="false">
      <c r="A42" s="6" t="s">
        <v>413</v>
      </c>
      <c r="C42" s="69" t="n">
        <f aca="false">-C28*Inputs!$E$36*(1+Inputs!$E$38)^(C$5-1)</f>
        <v>-1451.6140506</v>
      </c>
      <c r="D42" s="69" t="n">
        <f aca="false">-D28*Inputs!$E$36*(1+Inputs!$E$38)^(D$5-1)</f>
        <v>-1648.55945170933</v>
      </c>
      <c r="E42" s="69" t="n">
        <f aca="false">-E28*Inputs!$E$36*(1+Inputs!$E$38)^(E$5-1)</f>
        <v>-2291.61100935648</v>
      </c>
      <c r="F42" s="69" t="n">
        <f aca="false">-F28*Inputs!$E$36*(1+Inputs!$E$38)^(F$5-1)</f>
        <v>-2558.68635878222</v>
      </c>
      <c r="G42" s="69" t="n">
        <f aca="false">-G28*Inputs!$E$36*(1+Inputs!$E$38)^(G$5-1)</f>
        <v>-2832.81244103093</v>
      </c>
      <c r="H42" s="69" t="n">
        <f aca="false">-H28*Inputs!$E$36*(1+Inputs!$E$38)^(H$5-1)</f>
        <v>-3113.70722678969</v>
      </c>
      <c r="I42" s="69" t="n">
        <f aca="false">-I28*Inputs!$E$36*(1+Inputs!$E$38)^(I$5-1)</f>
        <v>-3401.09996791811</v>
      </c>
      <c r="J42" s="69" t="n">
        <f aca="false">-J28*Inputs!$E$36*(1+Inputs!$E$38)^(J$5-1)</f>
        <v>-3694.73074620138</v>
      </c>
      <c r="K42" s="69" t="n">
        <f aca="false">-K28*Inputs!$E$36*(1+Inputs!$E$38)^(K$5-1)</f>
        <v>-3994.35004015333</v>
      </c>
      <c r="L42" s="69" t="n">
        <f aca="false">-L28*Inputs!$E$36*(1+Inputs!$E$38)^(L$5-1)</f>
        <v>-4299.71830914719</v>
      </c>
      <c r="M42" s="69" t="n">
        <f aca="false">-M28*Inputs!$E$36*(1+Inputs!$E$38)^(M$5-1)</f>
        <v>-4417.91816078131</v>
      </c>
      <c r="N42" s="69" t="n">
        <f aca="false">-N28*Inputs!$E$36*(1+Inputs!$E$38)^(N$5-1)</f>
        <v>-3661.3108940929</v>
      </c>
      <c r="O42" s="69" t="n">
        <f aca="false">-O28*Inputs!$E$36*(1+Inputs!$E$38)^(O$5-1)</f>
        <v>-3849.54308340906</v>
      </c>
      <c r="P42" s="69" t="n">
        <f aca="false">-P28*Inputs!$E$36*(1+Inputs!$E$38)^(P$5-1)</f>
        <v>-3926.4089626527</v>
      </c>
      <c r="Q42" s="69" t="n">
        <f aca="false">-Q28*Inputs!$E$36*(1+Inputs!$E$38)^(Q$5-1)</f>
        <v>-4950.27581901991</v>
      </c>
      <c r="R42" s="69" t="n">
        <f aca="false">-R28*Inputs!$E$36*(1+Inputs!$E$38)^(R$5-1)</f>
        <v>-5055.13354027911</v>
      </c>
      <c r="S42" s="69" t="n">
        <f aca="false">-S28*Inputs!$E$36*(1+Inputs!$E$38)^(S$5-1)</f>
        <v>-5155.79695268794</v>
      </c>
      <c r="T42" s="69" t="n">
        <f aca="false">-T28*Inputs!$E$36*(1+Inputs!$E$38)^(T$5-1)</f>
        <v>-5252.43382860043</v>
      </c>
      <c r="U42" s="69" t="n">
        <f aca="false">-U28*Inputs!$E$36*(1+Inputs!$E$38)^(U$5-1)</f>
        <v>-5345.20522947641</v>
      </c>
      <c r="V42" s="69" t="n">
        <f aca="false">-V28*Inputs!$E$36*(1+Inputs!$E$38)^(V$5-1)</f>
        <v>-5434.26577431735</v>
      </c>
      <c r="W42" s="69" t="n">
        <f aca="false">-W28*Inputs!$E$36*(1+Inputs!$E$38)^(W$5-1)</f>
        <v>-5519.76389736466</v>
      </c>
      <c r="X42" s="69" t="n">
        <f aca="false">-X28*Inputs!$E$36*(1+Inputs!$E$38)^(X$5-1)</f>
        <v>-5601.84209549007</v>
      </c>
      <c r="Y42" s="69" t="n">
        <f aca="false">-Y28*Inputs!$E$36*(1+Inputs!$E$38)^(Y$5-1)</f>
        <v>-5680.63716569047</v>
      </c>
      <c r="Z42" s="69" t="n">
        <f aca="false">-Z28*Inputs!$E$36*(1+Inputs!$E$38)^(Z$5-1)</f>
        <v>-4652.68013239659</v>
      </c>
      <c r="AA42" s="69" t="n">
        <f aca="false">-AA28*Inputs!$E$36*(1+Inputs!$E$38)^(AA$5-1)</f>
        <v>-4840.08298841803</v>
      </c>
      <c r="AB42" s="69" t="n">
        <f aca="false">-AB28*Inputs!$E$36*(1+Inputs!$E$38)^(AB$5-1)</f>
        <v>-4887.73238523245</v>
      </c>
      <c r="AC42" s="69" t="n">
        <f aca="false">-AC28*Inputs!$E$36*(1+Inputs!$E$38)^(AC$5-1)</f>
        <v>-6103.4112381884</v>
      </c>
      <c r="AD42" s="69" t="n">
        <f aca="false">-AD28*Inputs!$E$36*(1+Inputs!$E$38)^(AD$5-1)</f>
        <v>-6175.52804057022</v>
      </c>
      <c r="AE42" s="69" t="n">
        <f aca="false">-AE28*Inputs!$E$36*(1+Inputs!$E$38)^(AE$5-1)</f>
        <v>-6244.76017085676</v>
      </c>
      <c r="AF42" s="69" t="n">
        <f aca="false">-AF28*Inputs!$E$36*(1+Inputs!$E$38)^(AF$5-1)</f>
        <v>-6311.22301593184</v>
      </c>
      <c r="AG42" s="69" t="n">
        <f aca="false">-AG28*Inputs!$E$36*(1+Inputs!$E$38)^(AG$5-1)</f>
        <v>-6375.02734720391</v>
      </c>
      <c r="AH42" s="69" t="n">
        <f aca="false">-AH28*Inputs!$E$36*(1+Inputs!$E$38)^(AH$5-1)</f>
        <v>-6436.27950522511</v>
      </c>
      <c r="AI42" s="69" t="n">
        <f aca="false">-AI28*Inputs!$E$36*(1+Inputs!$E$38)^(AI$5-1)</f>
        <v>-6495.08157692545</v>
      </c>
      <c r="AJ42" s="69" t="n">
        <f aca="false">-AJ28*Inputs!$E$36*(1+Inputs!$E$38)^(AJ$5-1)</f>
        <v>-6551.53156575778</v>
      </c>
      <c r="AK42" s="69" t="n">
        <f aca="false">-AK28*Inputs!$E$36*(1+Inputs!$E$38)^(AK$5-1)</f>
        <v>-6605.72355503682</v>
      </c>
      <c r="AL42" s="69" t="n">
        <f aca="false">-AL28*Inputs!$E$36*(1+Inputs!$E$38)^(AL$5-1)</f>
        <v>-5382.22450386274</v>
      </c>
    </row>
    <row r="43" customFormat="false" ht="15" hidden="false" customHeight="false" outlineLevel="0" collapsed="false">
      <c r="A43" s="6" t="s">
        <v>246</v>
      </c>
      <c r="C43" s="69" t="n">
        <f aca="false">C40+C41+C42</f>
        <v>-5633.6450059</v>
      </c>
      <c r="D43" s="69" t="n">
        <f aca="false">D40+D41+D42</f>
        <v>-6397.98072925289</v>
      </c>
      <c r="E43" s="69" t="n">
        <f aca="false">E40+E41+E42</f>
        <v>-8893.63320297872</v>
      </c>
      <c r="F43" s="69" t="n">
        <f aca="false">F40+F41+F42</f>
        <v>-9930.13991622624</v>
      </c>
      <c r="G43" s="69" t="n">
        <f aca="false">G40+G41+G42</f>
        <v>-10994.0101878105</v>
      </c>
      <c r="H43" s="69" t="n">
        <f aca="false">H40+H41+H42</f>
        <v>-12084.1494753981</v>
      </c>
      <c r="I43" s="69" t="n">
        <f aca="false">I40+I41+I42</f>
        <v>-13199.5070183488</v>
      </c>
      <c r="J43" s="69" t="n">
        <f aca="false">J40+J41+J42</f>
        <v>-14339.0740864482</v>
      </c>
      <c r="K43" s="69" t="n">
        <f aca="false">K40+K41+K42</f>
        <v>-15501.8822986903</v>
      </c>
      <c r="L43" s="69" t="n">
        <f aca="false">L40+L41+L42</f>
        <v>-16687.0020093093</v>
      </c>
      <c r="M43" s="69" t="n">
        <f aca="false">M40+M41+M42</f>
        <v>-17145.730004937</v>
      </c>
      <c r="N43" s="69" t="n">
        <f aca="false">N40+N41+N42</f>
        <v>-14209.3732318367</v>
      </c>
      <c r="O43" s="69" t="n">
        <f aca="false">O40+O41+O42</f>
        <v>-14939.8933951352</v>
      </c>
      <c r="P43" s="69" t="n">
        <f aca="false">P40+P41+P42</f>
        <v>-15238.2062121998</v>
      </c>
      <c r="Q43" s="69" t="n">
        <f aca="false">Q40+Q41+Q42</f>
        <v>-19211.7847261963</v>
      </c>
      <c r="R43" s="69" t="n">
        <f aca="false">R40+R41+R42</f>
        <v>-19618.7325491784</v>
      </c>
      <c r="S43" s="69" t="n">
        <f aca="false">S40+S41+S42</f>
        <v>-20009.4024592413</v>
      </c>
      <c r="T43" s="69" t="n">
        <f aca="false">T40+T41+T42</f>
        <v>-20384.4455729017</v>
      </c>
      <c r="U43" s="69" t="n">
        <f aca="false">U40+U41+U42</f>
        <v>-20744.4869620156</v>
      </c>
      <c r="V43" s="69" t="n">
        <f aca="false">V40+V41+V42</f>
        <v>-21090.126695565</v>
      </c>
      <c r="W43" s="69" t="n">
        <f aca="false">W40+W41+W42</f>
        <v>-21421.9408397724</v>
      </c>
      <c r="X43" s="69" t="n">
        <f aca="false">X40+X41+X42</f>
        <v>-21740.4824182115</v>
      </c>
      <c r="Y43" s="69" t="n">
        <f aca="false">Y40+Y41+Y42</f>
        <v>-22046.282333513</v>
      </c>
      <c r="Z43" s="69" t="n">
        <f aca="false">Z40+Z41+Z42</f>
        <v>-18056.8300376344</v>
      </c>
      <c r="AA43" s="69" t="n">
        <f aca="false">AA40+AA41+AA42</f>
        <v>-18784.1315979081</v>
      </c>
      <c r="AB43" s="69" t="n">
        <f aca="false">AB40+AB41+AB42</f>
        <v>-18969.056637926</v>
      </c>
      <c r="AC43" s="69" t="n">
        <f aca="false">AC40+AC41+AC42</f>
        <v>-23687.0483767788</v>
      </c>
      <c r="AD43" s="69" t="n">
        <f aca="false">AD40+AD41+AD42</f>
        <v>-23966.9302526892</v>
      </c>
      <c r="AE43" s="69" t="n">
        <f aca="false">AE40+AE41+AE42</f>
        <v>-24235.6168535631</v>
      </c>
      <c r="AF43" s="69" t="n">
        <f aca="false">AF40+AF41+AF42</f>
        <v>-24493.5559904021</v>
      </c>
      <c r="AG43" s="69" t="n">
        <f aca="false">AG40+AG41+AG42</f>
        <v>-24741.1775617676</v>
      </c>
      <c r="AH43" s="69" t="n">
        <f aca="false">AH40+AH41+AH42</f>
        <v>-24978.8942702784</v>
      </c>
      <c r="AI43" s="69" t="n">
        <f aca="false">AI40+AI41+AI42</f>
        <v>-25207.1023104488</v>
      </c>
      <c r="AJ43" s="69" t="n">
        <f aca="false">AJ40+AJ41+AJ42</f>
        <v>-25426.1820290123</v>
      </c>
      <c r="AK43" s="69" t="n">
        <f aca="false">AK40+AK41+AK42</f>
        <v>-25636.4985588334</v>
      </c>
      <c r="AL43" s="69" t="n">
        <f aca="false">AL40+AL41+AL42</f>
        <v>-20888.1570030863</v>
      </c>
    </row>
    <row r="44" customFormat="false" ht="15" hidden="false" customHeight="false" outlineLevel="0" collapsed="false">
      <c r="A44" s="6" t="s">
        <v>414</v>
      </c>
      <c r="C44" s="69" t="n">
        <f aca="false">-C37*Inputs!$E$37</f>
        <v>-1438.30074</v>
      </c>
      <c r="D44" s="69" t="n">
        <f aca="false">-D37*Inputs!$E$37</f>
        <v>-1633.46807706667</v>
      </c>
      <c r="E44" s="69" t="n">
        <f aca="false">-E37*Inputs!$E$37</f>
        <v>-2183.202053984</v>
      </c>
      <c r="F44" s="69" t="n">
        <f aca="false">-F37*Inputs!$E$37</f>
        <v>-2431.55696515797</v>
      </c>
      <c r="G44" s="69" t="n">
        <f aca="false">-G37*Inputs!$E$37</f>
        <v>-2684.70829321832</v>
      </c>
      <c r="H44" s="69" t="n">
        <f aca="false">-H37*Inputs!$E$37</f>
        <v>-2942.46418148959</v>
      </c>
      <c r="I44" s="69" t="n">
        <f aca="false">-I37*Inputs!$E$37</f>
        <v>-3204.64044756334</v>
      </c>
      <c r="J44" s="69" t="n">
        <f aca="false">-J37*Inputs!$E$37</f>
        <v>-3471.06027632747</v>
      </c>
      <c r="K44" s="69" t="n">
        <f aca="false">-K37*Inputs!$E$37</f>
        <v>-3741.55392527437</v>
      </c>
      <c r="L44" s="69" t="n">
        <f aca="false">-L37*Inputs!$E$37</f>
        <v>-4015.95844159673</v>
      </c>
      <c r="M44" s="69" t="n">
        <f aca="false">-M37*Inputs!$E$37</f>
        <v>-4096.36650393286</v>
      </c>
      <c r="N44" s="69" t="n">
        <f aca="false">-N37*Inputs!$E$37</f>
        <v>-3562.19184377555</v>
      </c>
      <c r="O44" s="69" t="n">
        <f aca="false">-O37*Inputs!$E$37</f>
        <v>-3698.67245942502</v>
      </c>
      <c r="P44" s="69" t="n">
        <f aca="false">-P37*Inputs!$E$37</f>
        <v>-3762.63851704802</v>
      </c>
      <c r="Q44" s="69" t="n">
        <f aca="false">-Q37*Inputs!$E$37</f>
        <v>-4447.63966036609</v>
      </c>
      <c r="R44" s="69" t="n">
        <f aca="false">-R37*Inputs!$E$37</f>
        <v>-4518.27890195145</v>
      </c>
      <c r="S44" s="69" t="n">
        <f aca="false">-S37*Inputs!$E$37</f>
        <v>-4586.09257387339</v>
      </c>
      <c r="T44" s="69" t="n">
        <f aca="false">-T37*Inputs!$E$37</f>
        <v>-4651.19369891846</v>
      </c>
      <c r="U44" s="69" t="n">
        <f aca="false">-U37*Inputs!$E$37</f>
        <v>-4713.69077896172</v>
      </c>
      <c r="V44" s="69" t="n">
        <f aca="false">-V37*Inputs!$E$37</f>
        <v>-4773.68797580325</v>
      </c>
      <c r="W44" s="69" t="n">
        <f aca="false">-W37*Inputs!$E$37</f>
        <v>-4831.28528477112</v>
      </c>
      <c r="X44" s="69" t="n">
        <f aca="false">-X37*Inputs!$E$37</f>
        <v>-4886.57870138028</v>
      </c>
      <c r="Y44" s="69" t="n">
        <f aca="false">-Y37*Inputs!$E$37</f>
        <v>-4939.66038132506</v>
      </c>
      <c r="Z44" s="69" t="n">
        <f aca="false">-Z37*Inputs!$E$37</f>
        <v>-4367.02506607206</v>
      </c>
      <c r="AA44" s="69" t="n">
        <f aca="false">-AA37*Inputs!$E$37</f>
        <v>-4493.77596106776</v>
      </c>
      <c r="AB44" s="69" t="n">
        <f aca="false">-AB37*Inputs!$E$37</f>
        <v>-4533.04374024505</v>
      </c>
      <c r="AC44" s="69" t="n">
        <f aca="false">-AC37*Inputs!$E$37</f>
        <v>-5206.80641081525</v>
      </c>
      <c r="AD44" s="69" t="n">
        <f aca="false">-AD37*Inputs!$E$37</f>
        <v>-5254.91748144264</v>
      </c>
      <c r="AE44" s="69" t="n">
        <f aca="false">-AE37*Inputs!$E$37</f>
        <v>-5301.10410924493</v>
      </c>
      <c r="AF44" s="69" t="n">
        <f aca="false">-AF37*Inputs!$E$37</f>
        <v>-5345.44327193514</v>
      </c>
      <c r="AG44" s="69" t="n">
        <f aca="false">-AG37*Inputs!$E$37</f>
        <v>-5388.00886811773</v>
      </c>
      <c r="AH44" s="69" t="n">
        <f aca="false">-AH37*Inputs!$E$37</f>
        <v>-5428.87184045302</v>
      </c>
      <c r="AI44" s="69" t="n">
        <f aca="false">-AI37*Inputs!$E$37</f>
        <v>-5468.1002938949</v>
      </c>
      <c r="AJ44" s="69" t="n">
        <f aca="false">-AJ37*Inputs!$E$37</f>
        <v>-5505.7596091991</v>
      </c>
      <c r="AK44" s="69" t="n">
        <f aca="false">-AK37*Inputs!$E$37</f>
        <v>-5541.91255189114</v>
      </c>
      <c r="AL44" s="69" t="n">
        <f aca="false">-AL37*Inputs!$E$37</f>
        <v>-4940.55377431549</v>
      </c>
    </row>
    <row r="45" customFormat="false" ht="15" hidden="false" customHeight="false" outlineLevel="0" collapsed="false">
      <c r="A45" s="4" t="s">
        <v>76</v>
      </c>
      <c r="C45" s="75" t="n">
        <f aca="false">C43+C44</f>
        <v>-7071.9457459</v>
      </c>
      <c r="D45" s="75" t="n">
        <f aca="false">D43+D44</f>
        <v>-8031.44880631956</v>
      </c>
      <c r="E45" s="75" t="n">
        <f aca="false">E43+E44</f>
        <v>-11076.8352569627</v>
      </c>
      <c r="F45" s="75" t="n">
        <f aca="false">F43+F44</f>
        <v>-12361.6968813842</v>
      </c>
      <c r="G45" s="75" t="n">
        <f aca="false">G43+G44</f>
        <v>-13678.7184810288</v>
      </c>
      <c r="H45" s="75" t="n">
        <f aca="false">H43+H44</f>
        <v>-15026.6136568877</v>
      </c>
      <c r="I45" s="75" t="n">
        <f aca="false">I43+I44</f>
        <v>-16404.1474659122</v>
      </c>
      <c r="J45" s="75" t="n">
        <f aca="false">J43+J44</f>
        <v>-17810.1343627757</v>
      </c>
      <c r="K45" s="75" t="n">
        <f aca="false">K43+K44</f>
        <v>-19243.4362239647</v>
      </c>
      <c r="L45" s="75" t="n">
        <f aca="false">L43+L44</f>
        <v>-20702.9604509061</v>
      </c>
      <c r="M45" s="75" t="n">
        <f aca="false">M43+M44</f>
        <v>-21242.0965088698</v>
      </c>
      <c r="N45" s="75" t="n">
        <f aca="false">N43+N44</f>
        <v>-17771.5650756123</v>
      </c>
      <c r="O45" s="75" t="n">
        <f aca="false">O43+O44</f>
        <v>-18638.5658545602</v>
      </c>
      <c r="P45" s="75" t="n">
        <f aca="false">P43+P44</f>
        <v>-19000.8447292478</v>
      </c>
      <c r="Q45" s="75" t="n">
        <f aca="false">Q43+Q44</f>
        <v>-23659.4243865624</v>
      </c>
      <c r="R45" s="75" t="n">
        <f aca="false">R43+R44</f>
        <v>-24137.0114511299</v>
      </c>
      <c r="S45" s="75" t="n">
        <f aca="false">S43+S44</f>
        <v>-24595.4950331147</v>
      </c>
      <c r="T45" s="75" t="n">
        <f aca="false">T43+T44</f>
        <v>-25035.6392718201</v>
      </c>
      <c r="U45" s="75" t="n">
        <f aca="false">U43+U44</f>
        <v>-25458.1777409773</v>
      </c>
      <c r="V45" s="75" t="n">
        <f aca="false">V43+V44</f>
        <v>-25863.8146713682</v>
      </c>
      <c r="W45" s="75" t="n">
        <f aca="false">W43+W44</f>
        <v>-26253.2261245435</v>
      </c>
      <c r="X45" s="75" t="n">
        <f aca="false">X43+X44</f>
        <v>-26627.0611195917</v>
      </c>
      <c r="Y45" s="75" t="n">
        <f aca="false">Y43+Y44</f>
        <v>-26985.9427148381</v>
      </c>
      <c r="Z45" s="75" t="n">
        <f aca="false">Z43+Z44</f>
        <v>-22423.8551037065</v>
      </c>
      <c r="AA45" s="75" t="n">
        <f aca="false">AA43+AA44</f>
        <v>-23277.9075589758</v>
      </c>
      <c r="AB45" s="75" t="n">
        <f aca="false">AB43+AB44</f>
        <v>-23502.100378171</v>
      </c>
      <c r="AC45" s="75" t="n">
        <f aca="false">AC43+AC44</f>
        <v>-28893.854787594</v>
      </c>
      <c r="AD45" s="75" t="n">
        <f aca="false">AD43+AD44</f>
        <v>-29221.8477341318</v>
      </c>
      <c r="AE45" s="75" t="n">
        <f aca="false">AE43+AE44</f>
        <v>-29536.7209628081</v>
      </c>
      <c r="AF45" s="75" t="n">
        <f aca="false">AF43+AF44</f>
        <v>-29838.9992623373</v>
      </c>
      <c r="AG45" s="75" t="n">
        <f aca="false">AG43+AG44</f>
        <v>-30129.1864298853</v>
      </c>
      <c r="AH45" s="75" t="n">
        <f aca="false">AH43+AH44</f>
        <v>-30407.7661107314</v>
      </c>
      <c r="AI45" s="75" t="n">
        <f aca="false">AI43+AI44</f>
        <v>-30675.2026043437</v>
      </c>
      <c r="AJ45" s="75" t="n">
        <f aca="false">AJ43+AJ44</f>
        <v>-30931.9416382114</v>
      </c>
      <c r="AK45" s="75" t="n">
        <f aca="false">AK43+AK44</f>
        <v>-31178.4111107245</v>
      </c>
      <c r="AL45" s="75" t="n">
        <f aca="false">AL43+AL44</f>
        <v>-25828.7107774018</v>
      </c>
    </row>
    <row r="46" customFormat="false" ht="15" hidden="false" customHeight="false" outlineLevel="0" collapsed="false">
      <c r="A46" s="113" t="s">
        <v>45</v>
      </c>
      <c r="C46" s="70" t="n">
        <f aca="false">C37+C45</f>
        <v>40871.4122541</v>
      </c>
      <c r="D46" s="70" t="n">
        <f aca="false">D37+D45</f>
        <v>46417.4870959027</v>
      </c>
      <c r="E46" s="70" t="n">
        <f aca="false">E37+E45</f>
        <v>61696.566542504</v>
      </c>
      <c r="F46" s="70" t="n">
        <f aca="false">F37+F45</f>
        <v>68690.2019572149</v>
      </c>
      <c r="G46" s="70" t="n">
        <f aca="false">G37+G45</f>
        <v>75811.5579595819</v>
      </c>
      <c r="H46" s="70" t="n">
        <f aca="false">H37+H45</f>
        <v>83055.5257260986</v>
      </c>
      <c r="I46" s="70" t="n">
        <f aca="false">I37+I45</f>
        <v>90417.2007861991</v>
      </c>
      <c r="J46" s="70" t="n">
        <f aca="false">J37+J45</f>
        <v>97891.87484814</v>
      </c>
      <c r="K46" s="70" t="n">
        <f aca="false">K37+K45</f>
        <v>105475.027951848</v>
      </c>
      <c r="L46" s="70" t="n">
        <f aca="false">L37+L45</f>
        <v>113162.320935652</v>
      </c>
      <c r="M46" s="70" t="n">
        <f aca="false">M37+M45</f>
        <v>115303.453622226</v>
      </c>
      <c r="N46" s="70" t="n">
        <f aca="false">N37+N45</f>
        <v>100968.163050239</v>
      </c>
      <c r="O46" s="70" t="n">
        <f aca="false">O37+O45</f>
        <v>104650.516126274</v>
      </c>
      <c r="P46" s="70" t="n">
        <f aca="false">P37+P45</f>
        <v>106420.439172353</v>
      </c>
      <c r="Q46" s="70" t="n">
        <f aca="false">Q37+Q45</f>
        <v>124595.230958974</v>
      </c>
      <c r="R46" s="70" t="n">
        <f aca="false">R37+R45</f>
        <v>126472.285280585</v>
      </c>
      <c r="S46" s="70" t="n">
        <f aca="false">S37+S45</f>
        <v>128274.257429332</v>
      </c>
      <c r="T46" s="70" t="n">
        <f aca="false">T37+T45</f>
        <v>130004.150692128</v>
      </c>
      <c r="U46" s="70" t="n">
        <f aca="false">U37+U45</f>
        <v>131664.848224413</v>
      </c>
      <c r="V46" s="70" t="n">
        <f aca="false">V37+V45</f>
        <v>133259.117855407</v>
      </c>
      <c r="W46" s="70" t="n">
        <f aca="false">W37+W45</f>
        <v>134789.616701161</v>
      </c>
      <c r="X46" s="70" t="n">
        <f aca="false">X37+X45</f>
        <v>136258.895593084</v>
      </c>
      <c r="Y46" s="70" t="n">
        <f aca="false">Y37+Y45</f>
        <v>137669.403329331</v>
      </c>
      <c r="Z46" s="70" t="n">
        <f aca="false">Z37+Z45</f>
        <v>123143.647098696</v>
      </c>
      <c r="AA46" s="70" t="n">
        <f aca="false">AA37+AA45</f>
        <v>126514.624476616</v>
      </c>
      <c r="AB46" s="70" t="n">
        <f aca="false">AB37+AB45</f>
        <v>127599.357629997</v>
      </c>
      <c r="AC46" s="70" t="n">
        <f aca="false">AC37+AC45</f>
        <v>144666.358906248</v>
      </c>
      <c r="AD46" s="70" t="n">
        <f aca="false">AD37+AD45</f>
        <v>145942.068313956</v>
      </c>
      <c r="AE46" s="70" t="n">
        <f aca="false">AE37+AE45</f>
        <v>147166.749345356</v>
      </c>
      <c r="AF46" s="70" t="n">
        <f aca="false">AF37+AF45</f>
        <v>148342.443135501</v>
      </c>
      <c r="AG46" s="70" t="n">
        <f aca="false">AG37+AG45</f>
        <v>149471.109174039</v>
      </c>
      <c r="AH46" s="70" t="n">
        <f aca="false">AH37+AH45</f>
        <v>150554.628571036</v>
      </c>
      <c r="AI46" s="70" t="n">
        <f aca="false">AI37+AI45</f>
        <v>151594.807192153</v>
      </c>
      <c r="AJ46" s="70" t="n">
        <f aca="false">AJ37+AJ45</f>
        <v>152593.378668425</v>
      </c>
      <c r="AK46" s="70" t="n">
        <f aca="false">AK37+AK45</f>
        <v>153552.007285647</v>
      </c>
      <c r="AL46" s="70" t="n">
        <f aca="false">AL37+AL45</f>
        <v>138856.415033115</v>
      </c>
    </row>
    <row r="48" customFormat="false" ht="15.75" hidden="false" customHeight="true" outlineLevel="0" collapsed="false">
      <c r="A48" s="7" t="s">
        <v>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338</v>
      </c>
      <c r="C49" s="71" t="n">
        <f aca="false">Headcount!C15</f>
        <v>-36586.6666666667</v>
      </c>
      <c r="D49" s="71" t="n">
        <f aca="false">Headcount!D15</f>
        <v>-36586.6666666667</v>
      </c>
      <c r="E49" s="71" t="n">
        <f aca="false">Headcount!E15</f>
        <v>-36586.6666666667</v>
      </c>
      <c r="F49" s="71" t="n">
        <f aca="false">Headcount!F15</f>
        <v>-36586.6666666667</v>
      </c>
      <c r="G49" s="71" t="n">
        <f aca="false">Headcount!G15</f>
        <v>-36586.6666666667</v>
      </c>
      <c r="H49" s="71" t="n">
        <f aca="false">Headcount!H15</f>
        <v>-36586.6666666667</v>
      </c>
      <c r="I49" s="71" t="n">
        <f aca="false">Headcount!I15</f>
        <v>-36586.6666666667</v>
      </c>
      <c r="J49" s="71" t="n">
        <f aca="false">Headcount!J15</f>
        <v>-36586.6666666667</v>
      </c>
      <c r="K49" s="71" t="n">
        <f aca="false">Headcount!K15</f>
        <v>-36586.6666666667</v>
      </c>
      <c r="L49" s="71" t="n">
        <f aca="false">Headcount!L15</f>
        <v>-36586.6666666667</v>
      </c>
      <c r="M49" s="71" t="n">
        <f aca="false">Headcount!M15</f>
        <v>-36586.6666666667</v>
      </c>
      <c r="N49" s="71" t="n">
        <f aca="false">Headcount!N15</f>
        <v>-36586.6666666667</v>
      </c>
      <c r="O49" s="71" t="n">
        <f aca="false">Headcount!O15</f>
        <v>-37684.2666666667</v>
      </c>
      <c r="P49" s="71" t="n">
        <f aca="false">Headcount!P15</f>
        <v>-37684.2666666667</v>
      </c>
      <c r="Q49" s="71" t="n">
        <f aca="false">Headcount!Q15</f>
        <v>-37684.2666666667</v>
      </c>
      <c r="R49" s="71" t="n">
        <f aca="false">Headcount!R15</f>
        <v>-37684.2666666667</v>
      </c>
      <c r="S49" s="71" t="n">
        <f aca="false">Headcount!S15</f>
        <v>-37684.2666666667</v>
      </c>
      <c r="T49" s="71" t="n">
        <f aca="false">Headcount!T15</f>
        <v>-37684.2666666667</v>
      </c>
      <c r="U49" s="71" t="n">
        <f aca="false">Headcount!U15</f>
        <v>-37684.2666666667</v>
      </c>
      <c r="V49" s="71" t="n">
        <f aca="false">Headcount!V15</f>
        <v>-37684.2666666667</v>
      </c>
      <c r="W49" s="71" t="n">
        <f aca="false">Headcount!W15</f>
        <v>-37684.2666666667</v>
      </c>
      <c r="X49" s="71" t="n">
        <f aca="false">Headcount!X15</f>
        <v>-37684.2666666667</v>
      </c>
      <c r="Y49" s="71" t="n">
        <f aca="false">Headcount!Y15</f>
        <v>-37684.2666666667</v>
      </c>
      <c r="Z49" s="71" t="n">
        <f aca="false">Headcount!Z15</f>
        <v>-37684.2666666667</v>
      </c>
      <c r="AA49" s="71" t="n">
        <f aca="false">Headcount!AA15</f>
        <v>-38814.7946666667</v>
      </c>
      <c r="AB49" s="71" t="n">
        <f aca="false">Headcount!AB15</f>
        <v>-38814.7946666667</v>
      </c>
      <c r="AC49" s="71" t="n">
        <f aca="false">Headcount!AC15</f>
        <v>-38814.7946666667</v>
      </c>
      <c r="AD49" s="71" t="n">
        <f aca="false">Headcount!AD15</f>
        <v>-38814.7946666667</v>
      </c>
      <c r="AE49" s="71" t="n">
        <f aca="false">Headcount!AE15</f>
        <v>-38814.7946666667</v>
      </c>
      <c r="AF49" s="71" t="n">
        <f aca="false">Headcount!AF15</f>
        <v>-38814.7946666667</v>
      </c>
      <c r="AG49" s="71" t="n">
        <f aca="false">Headcount!AG15</f>
        <v>-38814.7946666667</v>
      </c>
      <c r="AH49" s="71" t="n">
        <f aca="false">Headcount!AH15</f>
        <v>-38814.7946666667</v>
      </c>
      <c r="AI49" s="71" t="n">
        <f aca="false">Headcount!AI15</f>
        <v>-38814.7946666667</v>
      </c>
      <c r="AJ49" s="71" t="n">
        <f aca="false">Headcount!AJ15</f>
        <v>-38814.7946666667</v>
      </c>
      <c r="AK49" s="71" t="n">
        <f aca="false">Headcount!AK15</f>
        <v>-38814.7946666667</v>
      </c>
      <c r="AL49" s="71" t="n">
        <f aca="false">Headcount!AL15</f>
        <v>-38814.7946666667</v>
      </c>
    </row>
    <row r="50" customFormat="false" ht="15" hidden="false" customHeight="false" outlineLevel="0" collapsed="false">
      <c r="A50" s="6" t="s">
        <v>339</v>
      </c>
      <c r="C50" s="69" t="n">
        <f aca="false">-Inputs!$E$41*(1+Inputs!$E$42)^(C$5-1)*1</f>
        <v>-30000</v>
      </c>
      <c r="D50" s="69" t="n">
        <f aca="false">-Inputs!$E$41*(1+Inputs!$E$42)^(D$5-1)*1</f>
        <v>-30000</v>
      </c>
      <c r="E50" s="69" t="n">
        <f aca="false">-Inputs!$E$41*(1+Inputs!$E$42)^(E$5-1)*1</f>
        <v>-30000</v>
      </c>
      <c r="F50" s="69" t="n">
        <f aca="false">-Inputs!$E$41*(1+Inputs!$E$42)^(F$5-1)*1</f>
        <v>-30000</v>
      </c>
      <c r="G50" s="69" t="n">
        <f aca="false">-Inputs!$E$41*(1+Inputs!$E$42)^(G$5-1)*1</f>
        <v>-30000</v>
      </c>
      <c r="H50" s="69" t="n">
        <f aca="false">-Inputs!$E$41*(1+Inputs!$E$42)^(H$5-1)*1</f>
        <v>-30000</v>
      </c>
      <c r="I50" s="69" t="n">
        <f aca="false">-Inputs!$E$41*(1+Inputs!$E$42)^(I$5-1)*1</f>
        <v>-30000</v>
      </c>
      <c r="J50" s="69" t="n">
        <f aca="false">-Inputs!$E$41*(1+Inputs!$E$42)^(J$5-1)*1</f>
        <v>-30000</v>
      </c>
      <c r="K50" s="69" t="n">
        <f aca="false">-Inputs!$E$41*(1+Inputs!$E$42)^(K$5-1)*1</f>
        <v>-30000</v>
      </c>
      <c r="L50" s="69" t="n">
        <f aca="false">-Inputs!$E$41*(1+Inputs!$E$42)^(L$5-1)*1</f>
        <v>-30000</v>
      </c>
      <c r="M50" s="69" t="n">
        <f aca="false">-Inputs!$E$41*(1+Inputs!$E$42)^(M$5-1)*1</f>
        <v>-30000</v>
      </c>
      <c r="N50" s="69" t="n">
        <f aca="false">-Inputs!$E$41*(1+Inputs!$E$42)^(N$5-1)*1</f>
        <v>-30000</v>
      </c>
      <c r="O50" s="69" t="n">
        <f aca="false">-Inputs!$E$41*(1+Inputs!$E$42)^(O$5-1)*1</f>
        <v>-30900</v>
      </c>
      <c r="P50" s="69" t="n">
        <f aca="false">-Inputs!$E$41*(1+Inputs!$E$42)^(P$5-1)*1</f>
        <v>-30900</v>
      </c>
      <c r="Q50" s="69" t="n">
        <f aca="false">-Inputs!$E$41*(1+Inputs!$E$42)^(Q$5-1)*1</f>
        <v>-30900</v>
      </c>
      <c r="R50" s="69" t="n">
        <f aca="false">-Inputs!$E$41*(1+Inputs!$E$42)^(R$5-1)*1</f>
        <v>-30900</v>
      </c>
      <c r="S50" s="69" t="n">
        <f aca="false">-Inputs!$E$41*(1+Inputs!$E$42)^(S$5-1)*1</f>
        <v>-30900</v>
      </c>
      <c r="T50" s="69" t="n">
        <f aca="false">-Inputs!$E$41*(1+Inputs!$E$42)^(T$5-1)*1</f>
        <v>-30900</v>
      </c>
      <c r="U50" s="69" t="n">
        <f aca="false">-Inputs!$E$41*(1+Inputs!$E$42)^(U$5-1)*1</f>
        <v>-30900</v>
      </c>
      <c r="V50" s="69" t="n">
        <f aca="false">-Inputs!$E$41*(1+Inputs!$E$42)^(V$5-1)*1</f>
        <v>-30900</v>
      </c>
      <c r="W50" s="69" t="n">
        <f aca="false">-Inputs!$E$41*(1+Inputs!$E$42)^(W$5-1)*1</f>
        <v>-30900</v>
      </c>
      <c r="X50" s="69" t="n">
        <f aca="false">-Inputs!$E$41*(1+Inputs!$E$42)^(X$5-1)*1</f>
        <v>-30900</v>
      </c>
      <c r="Y50" s="69" t="n">
        <f aca="false">-Inputs!$E$41*(1+Inputs!$E$42)^(Y$5-1)*1</f>
        <v>-30900</v>
      </c>
      <c r="Z50" s="69" t="n">
        <f aca="false">-Inputs!$E$41*(1+Inputs!$E$42)^(Z$5-1)*1</f>
        <v>-30900</v>
      </c>
      <c r="AA50" s="69" t="n">
        <f aca="false">-Inputs!$E$41*(1+Inputs!$E$42)^(AA$5-1)*1</f>
        <v>-31827</v>
      </c>
      <c r="AB50" s="69" t="n">
        <f aca="false">-Inputs!$E$41*(1+Inputs!$E$42)^(AB$5-1)*1</f>
        <v>-31827</v>
      </c>
      <c r="AC50" s="69" t="n">
        <f aca="false">-Inputs!$E$41*(1+Inputs!$E$42)^(AC$5-1)*1</f>
        <v>-31827</v>
      </c>
      <c r="AD50" s="69" t="n">
        <f aca="false">-Inputs!$E$41*(1+Inputs!$E$42)^(AD$5-1)*1</f>
        <v>-31827</v>
      </c>
      <c r="AE50" s="69" t="n">
        <f aca="false">-Inputs!$E$41*(1+Inputs!$E$42)^(AE$5-1)*1</f>
        <v>-31827</v>
      </c>
      <c r="AF50" s="69" t="n">
        <f aca="false">-Inputs!$E$41*(1+Inputs!$E$42)^(AF$5-1)*1</f>
        <v>-31827</v>
      </c>
      <c r="AG50" s="69" t="n">
        <f aca="false">-Inputs!$E$41*(1+Inputs!$E$42)^(AG$5-1)*1</f>
        <v>-31827</v>
      </c>
      <c r="AH50" s="69" t="n">
        <f aca="false">-Inputs!$E$41*(1+Inputs!$E$42)^(AH$5-1)*1</f>
        <v>-31827</v>
      </c>
      <c r="AI50" s="69" t="n">
        <f aca="false">-Inputs!$E$41*(1+Inputs!$E$42)^(AI$5-1)*1</f>
        <v>-31827</v>
      </c>
      <c r="AJ50" s="69" t="n">
        <f aca="false">-Inputs!$E$41*(1+Inputs!$E$42)^(AJ$5-1)*1</f>
        <v>-31827</v>
      </c>
      <c r="AK50" s="69" t="n">
        <f aca="false">-Inputs!$E$41*(1+Inputs!$E$42)^(AK$5-1)*1</f>
        <v>-31827</v>
      </c>
      <c r="AL50" s="69" t="n">
        <f aca="false">-Inputs!$E$41*(1+Inputs!$E$42)^(AL$5-1)*1</f>
        <v>-31827</v>
      </c>
    </row>
    <row r="51" customFormat="false" ht="15" hidden="false" customHeight="false" outlineLevel="0" collapsed="false">
      <c r="A51" s="6" t="s">
        <v>340</v>
      </c>
      <c r="C51" s="69" t="n">
        <f aca="false">-Inputs!$E$43*(1+Inputs!$E$38)^(C$5-1)*1</f>
        <v>-5500</v>
      </c>
      <c r="D51" s="69" t="n">
        <f aca="false">-Inputs!$E$43*(1+Inputs!$E$38)^(D$5-1)*1</f>
        <v>-5500</v>
      </c>
      <c r="E51" s="69" t="n">
        <f aca="false">-Inputs!$E$43*(1+Inputs!$E$38)^(E$5-1)*1</f>
        <v>-5500</v>
      </c>
      <c r="F51" s="69" t="n">
        <f aca="false">-Inputs!$E$43*(1+Inputs!$E$38)^(F$5-1)*1</f>
        <v>-5500</v>
      </c>
      <c r="G51" s="69" t="n">
        <f aca="false">-Inputs!$E$43*(1+Inputs!$E$38)^(G$5-1)*1</f>
        <v>-5500</v>
      </c>
      <c r="H51" s="69" t="n">
        <f aca="false">-Inputs!$E$43*(1+Inputs!$E$38)^(H$5-1)*1</f>
        <v>-5500</v>
      </c>
      <c r="I51" s="69" t="n">
        <f aca="false">-Inputs!$E$43*(1+Inputs!$E$38)^(I$5-1)*1</f>
        <v>-5500</v>
      </c>
      <c r="J51" s="69" t="n">
        <f aca="false">-Inputs!$E$43*(1+Inputs!$E$38)^(J$5-1)*1</f>
        <v>-5500</v>
      </c>
      <c r="K51" s="69" t="n">
        <f aca="false">-Inputs!$E$43*(1+Inputs!$E$38)^(K$5-1)*1</f>
        <v>-5500</v>
      </c>
      <c r="L51" s="69" t="n">
        <f aca="false">-Inputs!$E$43*(1+Inputs!$E$38)^(L$5-1)*1</f>
        <v>-5500</v>
      </c>
      <c r="M51" s="69" t="n">
        <f aca="false">-Inputs!$E$43*(1+Inputs!$E$38)^(M$5-1)*1</f>
        <v>-5500</v>
      </c>
      <c r="N51" s="69" t="n">
        <f aca="false">-Inputs!$E$43*(1+Inputs!$E$38)^(N$5-1)*1</f>
        <v>-5500</v>
      </c>
      <c r="O51" s="69" t="n">
        <f aca="false">-Inputs!$E$43*(1+Inputs!$E$38)^(O$5-1)*1</f>
        <v>-5665</v>
      </c>
      <c r="P51" s="69" t="n">
        <f aca="false">-Inputs!$E$43*(1+Inputs!$E$38)^(P$5-1)*1</f>
        <v>-5665</v>
      </c>
      <c r="Q51" s="69" t="n">
        <f aca="false">-Inputs!$E$43*(1+Inputs!$E$38)^(Q$5-1)*1</f>
        <v>-5665</v>
      </c>
      <c r="R51" s="69" t="n">
        <f aca="false">-Inputs!$E$43*(1+Inputs!$E$38)^(R$5-1)*1</f>
        <v>-5665</v>
      </c>
      <c r="S51" s="69" t="n">
        <f aca="false">-Inputs!$E$43*(1+Inputs!$E$38)^(S$5-1)*1</f>
        <v>-5665</v>
      </c>
      <c r="T51" s="69" t="n">
        <f aca="false">-Inputs!$E$43*(1+Inputs!$E$38)^(T$5-1)*1</f>
        <v>-5665</v>
      </c>
      <c r="U51" s="69" t="n">
        <f aca="false">-Inputs!$E$43*(1+Inputs!$E$38)^(U$5-1)*1</f>
        <v>-5665</v>
      </c>
      <c r="V51" s="69" t="n">
        <f aca="false">-Inputs!$E$43*(1+Inputs!$E$38)^(V$5-1)*1</f>
        <v>-5665</v>
      </c>
      <c r="W51" s="69" t="n">
        <f aca="false">-Inputs!$E$43*(1+Inputs!$E$38)^(W$5-1)*1</f>
        <v>-5665</v>
      </c>
      <c r="X51" s="69" t="n">
        <f aca="false">-Inputs!$E$43*(1+Inputs!$E$38)^(X$5-1)*1</f>
        <v>-5665</v>
      </c>
      <c r="Y51" s="69" t="n">
        <f aca="false">-Inputs!$E$43*(1+Inputs!$E$38)^(Y$5-1)*1</f>
        <v>-5665</v>
      </c>
      <c r="Z51" s="69" t="n">
        <f aca="false">-Inputs!$E$43*(1+Inputs!$E$38)^(Z$5-1)*1</f>
        <v>-5665</v>
      </c>
      <c r="AA51" s="69" t="n">
        <f aca="false">-Inputs!$E$43*(1+Inputs!$E$38)^(AA$5-1)*1</f>
        <v>-5834.95</v>
      </c>
      <c r="AB51" s="69" t="n">
        <f aca="false">-Inputs!$E$43*(1+Inputs!$E$38)^(AB$5-1)*1</f>
        <v>-5834.95</v>
      </c>
      <c r="AC51" s="69" t="n">
        <f aca="false">-Inputs!$E$43*(1+Inputs!$E$38)^(AC$5-1)*1</f>
        <v>-5834.95</v>
      </c>
      <c r="AD51" s="69" t="n">
        <f aca="false">-Inputs!$E$43*(1+Inputs!$E$38)^(AD$5-1)*1</f>
        <v>-5834.95</v>
      </c>
      <c r="AE51" s="69" t="n">
        <f aca="false">-Inputs!$E$43*(1+Inputs!$E$38)^(AE$5-1)*1</f>
        <v>-5834.95</v>
      </c>
      <c r="AF51" s="69" t="n">
        <f aca="false">-Inputs!$E$43*(1+Inputs!$E$38)^(AF$5-1)*1</f>
        <v>-5834.95</v>
      </c>
      <c r="AG51" s="69" t="n">
        <f aca="false">-Inputs!$E$43*(1+Inputs!$E$38)^(AG$5-1)*1</f>
        <v>-5834.95</v>
      </c>
      <c r="AH51" s="69" t="n">
        <f aca="false">-Inputs!$E$43*(1+Inputs!$E$38)^(AH$5-1)*1</f>
        <v>-5834.95</v>
      </c>
      <c r="AI51" s="69" t="n">
        <f aca="false">-Inputs!$E$43*(1+Inputs!$E$38)^(AI$5-1)*1</f>
        <v>-5834.95</v>
      </c>
      <c r="AJ51" s="69" t="n">
        <f aca="false">-Inputs!$E$43*(1+Inputs!$E$38)^(AJ$5-1)*1</f>
        <v>-5834.95</v>
      </c>
      <c r="AK51" s="69" t="n">
        <f aca="false">-Inputs!$E$43*(1+Inputs!$E$38)^(AK$5-1)*1</f>
        <v>-5834.95</v>
      </c>
      <c r="AL51" s="69" t="n">
        <f aca="false">-Inputs!$E$43*(1+Inputs!$E$38)^(AL$5-1)*1</f>
        <v>-5834.95</v>
      </c>
    </row>
    <row r="52" customFormat="false" ht="15" hidden="false" customHeight="false" outlineLevel="0" collapsed="false">
      <c r="A52" s="6" t="s">
        <v>341</v>
      </c>
      <c r="C52" s="69" t="n">
        <f aca="false">-Inputs!$E$44*(1+Inputs!$E$38)^(C$5-1)*1</f>
        <v>-9500</v>
      </c>
      <c r="D52" s="69" t="n">
        <f aca="false">-Inputs!$E$44*(1+Inputs!$E$38)^(D$5-1)*1</f>
        <v>-9500</v>
      </c>
      <c r="E52" s="69" t="n">
        <f aca="false">-Inputs!$E$44*(1+Inputs!$E$38)^(E$5-1)*1</f>
        <v>-9500</v>
      </c>
      <c r="F52" s="69" t="n">
        <f aca="false">-Inputs!$E$44*(1+Inputs!$E$38)^(F$5-1)*1</f>
        <v>-9500</v>
      </c>
      <c r="G52" s="69" t="n">
        <f aca="false">-Inputs!$E$44*(1+Inputs!$E$38)^(G$5-1)*1</f>
        <v>-9500</v>
      </c>
      <c r="H52" s="69" t="n">
        <f aca="false">-Inputs!$E$44*(1+Inputs!$E$38)^(H$5-1)*1</f>
        <v>-9500</v>
      </c>
      <c r="I52" s="69" t="n">
        <f aca="false">-Inputs!$E$44*(1+Inputs!$E$38)^(I$5-1)*1</f>
        <v>-9500</v>
      </c>
      <c r="J52" s="69" t="n">
        <f aca="false">-Inputs!$E$44*(1+Inputs!$E$38)^(J$5-1)*1</f>
        <v>-9500</v>
      </c>
      <c r="K52" s="69" t="n">
        <f aca="false">-Inputs!$E$44*(1+Inputs!$E$38)^(K$5-1)*1</f>
        <v>-9500</v>
      </c>
      <c r="L52" s="69" t="n">
        <f aca="false">-Inputs!$E$44*(1+Inputs!$E$38)^(L$5-1)*1</f>
        <v>-9500</v>
      </c>
      <c r="M52" s="69" t="n">
        <f aca="false">-Inputs!$E$44*(1+Inputs!$E$38)^(M$5-1)*1</f>
        <v>-9500</v>
      </c>
      <c r="N52" s="69" t="n">
        <f aca="false">-Inputs!$E$44*(1+Inputs!$E$38)^(N$5-1)*1</f>
        <v>-9500</v>
      </c>
      <c r="O52" s="69" t="n">
        <f aca="false">-Inputs!$E$44*(1+Inputs!$E$38)^(O$5-1)*1</f>
        <v>-9785</v>
      </c>
      <c r="P52" s="69" t="n">
        <f aca="false">-Inputs!$E$44*(1+Inputs!$E$38)^(P$5-1)*1</f>
        <v>-9785</v>
      </c>
      <c r="Q52" s="69" t="n">
        <f aca="false">-Inputs!$E$44*(1+Inputs!$E$38)^(Q$5-1)*1</f>
        <v>-9785</v>
      </c>
      <c r="R52" s="69" t="n">
        <f aca="false">-Inputs!$E$44*(1+Inputs!$E$38)^(R$5-1)*1</f>
        <v>-9785</v>
      </c>
      <c r="S52" s="69" t="n">
        <f aca="false">-Inputs!$E$44*(1+Inputs!$E$38)^(S$5-1)*1</f>
        <v>-9785</v>
      </c>
      <c r="T52" s="69" t="n">
        <f aca="false">-Inputs!$E$44*(1+Inputs!$E$38)^(T$5-1)*1</f>
        <v>-9785</v>
      </c>
      <c r="U52" s="69" t="n">
        <f aca="false">-Inputs!$E$44*(1+Inputs!$E$38)^(U$5-1)*1</f>
        <v>-9785</v>
      </c>
      <c r="V52" s="69" t="n">
        <f aca="false">-Inputs!$E$44*(1+Inputs!$E$38)^(V$5-1)*1</f>
        <v>-9785</v>
      </c>
      <c r="W52" s="69" t="n">
        <f aca="false">-Inputs!$E$44*(1+Inputs!$E$38)^(W$5-1)*1</f>
        <v>-9785</v>
      </c>
      <c r="X52" s="69" t="n">
        <f aca="false">-Inputs!$E$44*(1+Inputs!$E$38)^(X$5-1)*1</f>
        <v>-9785</v>
      </c>
      <c r="Y52" s="69" t="n">
        <f aca="false">-Inputs!$E$44*(1+Inputs!$E$38)^(Y$5-1)*1</f>
        <v>-9785</v>
      </c>
      <c r="Z52" s="69" t="n">
        <f aca="false">-Inputs!$E$44*(1+Inputs!$E$38)^(Z$5-1)*1</f>
        <v>-9785</v>
      </c>
      <c r="AA52" s="69" t="n">
        <f aca="false">-Inputs!$E$44*(1+Inputs!$E$38)^(AA$5-1)*1</f>
        <v>-10078.55</v>
      </c>
      <c r="AB52" s="69" t="n">
        <f aca="false">-Inputs!$E$44*(1+Inputs!$E$38)^(AB$5-1)*1</f>
        <v>-10078.55</v>
      </c>
      <c r="AC52" s="69" t="n">
        <f aca="false">-Inputs!$E$44*(1+Inputs!$E$38)^(AC$5-1)*1</f>
        <v>-10078.55</v>
      </c>
      <c r="AD52" s="69" t="n">
        <f aca="false">-Inputs!$E$44*(1+Inputs!$E$38)^(AD$5-1)*1</f>
        <v>-10078.55</v>
      </c>
      <c r="AE52" s="69" t="n">
        <f aca="false">-Inputs!$E$44*(1+Inputs!$E$38)^(AE$5-1)*1</f>
        <v>-10078.55</v>
      </c>
      <c r="AF52" s="69" t="n">
        <f aca="false">-Inputs!$E$44*(1+Inputs!$E$38)^(AF$5-1)*1</f>
        <v>-10078.55</v>
      </c>
      <c r="AG52" s="69" t="n">
        <f aca="false">-Inputs!$E$44*(1+Inputs!$E$38)^(AG$5-1)*1</f>
        <v>-10078.55</v>
      </c>
      <c r="AH52" s="69" t="n">
        <f aca="false">-Inputs!$E$44*(1+Inputs!$E$38)^(AH$5-1)*1</f>
        <v>-10078.55</v>
      </c>
      <c r="AI52" s="69" t="n">
        <f aca="false">-Inputs!$E$44*(1+Inputs!$E$38)^(AI$5-1)*1</f>
        <v>-10078.55</v>
      </c>
      <c r="AJ52" s="69" t="n">
        <f aca="false">-Inputs!$E$44*(1+Inputs!$E$38)^(AJ$5-1)*1</f>
        <v>-10078.55</v>
      </c>
      <c r="AK52" s="69" t="n">
        <f aca="false">-Inputs!$E$44*(1+Inputs!$E$38)^(AK$5-1)*1</f>
        <v>-10078.55</v>
      </c>
      <c r="AL52" s="69" t="n">
        <f aca="false">-Inputs!$E$44*(1+Inputs!$E$38)^(AL$5-1)*1</f>
        <v>-10078.55</v>
      </c>
    </row>
    <row r="53" customFormat="false" ht="15" hidden="false" customHeight="false" outlineLevel="0" collapsed="false">
      <c r="A53" s="6" t="s">
        <v>342</v>
      </c>
      <c r="C53" s="69" t="n">
        <f aca="false">-Inputs!$E$45*(1+Inputs!$E$46)^(C$5-1)*1</f>
        <v>-12000</v>
      </c>
      <c r="D53" s="69" t="n">
        <f aca="false">-Inputs!$E$45*(1+Inputs!$E$46)^(D$5-1)*1</f>
        <v>-12000</v>
      </c>
      <c r="E53" s="69" t="n">
        <f aca="false">-Inputs!$E$45*(1+Inputs!$E$46)^(E$5-1)*1</f>
        <v>-12000</v>
      </c>
      <c r="F53" s="69" t="n">
        <f aca="false">-Inputs!$E$45*(1+Inputs!$E$46)^(F$5-1)*1</f>
        <v>-12000</v>
      </c>
      <c r="G53" s="69" t="n">
        <f aca="false">-Inputs!$E$45*(1+Inputs!$E$46)^(G$5-1)*1</f>
        <v>-12000</v>
      </c>
      <c r="H53" s="69" t="n">
        <f aca="false">-Inputs!$E$45*(1+Inputs!$E$46)^(H$5-1)*1</f>
        <v>-12000</v>
      </c>
      <c r="I53" s="69" t="n">
        <f aca="false">-Inputs!$E$45*(1+Inputs!$E$46)^(I$5-1)*1</f>
        <v>-12000</v>
      </c>
      <c r="J53" s="69" t="n">
        <f aca="false">-Inputs!$E$45*(1+Inputs!$E$46)^(J$5-1)*1</f>
        <v>-12000</v>
      </c>
      <c r="K53" s="69" t="n">
        <f aca="false">-Inputs!$E$45*(1+Inputs!$E$46)^(K$5-1)*1</f>
        <v>-12000</v>
      </c>
      <c r="L53" s="69" t="n">
        <f aca="false">-Inputs!$E$45*(1+Inputs!$E$46)^(L$5-1)*1</f>
        <v>-12000</v>
      </c>
      <c r="M53" s="69" t="n">
        <f aca="false">-Inputs!$E$45*(1+Inputs!$E$46)^(M$5-1)*1</f>
        <v>-12000</v>
      </c>
      <c r="N53" s="69" t="n">
        <f aca="false">-Inputs!$E$45*(1+Inputs!$E$46)^(N$5-1)*1</f>
        <v>-12000</v>
      </c>
      <c r="O53" s="69" t="n">
        <f aca="false">-Inputs!$E$45*(1+Inputs!$E$46)^(O$5-1)*1</f>
        <v>-9600</v>
      </c>
      <c r="P53" s="69" t="n">
        <f aca="false">-Inputs!$E$45*(1+Inputs!$E$46)^(P$5-1)*1</f>
        <v>-9600</v>
      </c>
      <c r="Q53" s="69" t="n">
        <f aca="false">-Inputs!$E$45*(1+Inputs!$E$46)^(Q$5-1)*1</f>
        <v>-9600</v>
      </c>
      <c r="R53" s="69" t="n">
        <f aca="false">-Inputs!$E$45*(1+Inputs!$E$46)^(R$5-1)*1</f>
        <v>-9600</v>
      </c>
      <c r="S53" s="69" t="n">
        <f aca="false">-Inputs!$E$45*(1+Inputs!$E$46)^(S$5-1)*1</f>
        <v>-9600</v>
      </c>
      <c r="T53" s="69" t="n">
        <f aca="false">-Inputs!$E$45*(1+Inputs!$E$46)^(T$5-1)*1</f>
        <v>-9600</v>
      </c>
      <c r="U53" s="69" t="n">
        <f aca="false">-Inputs!$E$45*(1+Inputs!$E$46)^(U$5-1)*1</f>
        <v>-9600</v>
      </c>
      <c r="V53" s="69" t="n">
        <f aca="false">-Inputs!$E$45*(1+Inputs!$E$46)^(V$5-1)*1</f>
        <v>-9600</v>
      </c>
      <c r="W53" s="69" t="n">
        <f aca="false">-Inputs!$E$45*(1+Inputs!$E$46)^(W$5-1)*1</f>
        <v>-9600</v>
      </c>
      <c r="X53" s="69" t="n">
        <f aca="false">-Inputs!$E$45*(1+Inputs!$E$46)^(X$5-1)*1</f>
        <v>-9600</v>
      </c>
      <c r="Y53" s="69" t="n">
        <f aca="false">-Inputs!$E$45*(1+Inputs!$E$46)^(Y$5-1)*1</f>
        <v>-9600</v>
      </c>
      <c r="Z53" s="69" t="n">
        <f aca="false">-Inputs!$E$45*(1+Inputs!$E$46)^(Z$5-1)*1</f>
        <v>-9600</v>
      </c>
      <c r="AA53" s="69" t="n">
        <f aca="false">-Inputs!$E$45*(1+Inputs!$E$46)^(AA$5-1)*1</f>
        <v>-7680</v>
      </c>
      <c r="AB53" s="69" t="n">
        <f aca="false">-Inputs!$E$45*(1+Inputs!$E$46)^(AB$5-1)*1</f>
        <v>-7680</v>
      </c>
      <c r="AC53" s="69" t="n">
        <f aca="false">-Inputs!$E$45*(1+Inputs!$E$46)^(AC$5-1)*1</f>
        <v>-7680</v>
      </c>
      <c r="AD53" s="69" t="n">
        <f aca="false">-Inputs!$E$45*(1+Inputs!$E$46)^(AD$5-1)*1</f>
        <v>-7680</v>
      </c>
      <c r="AE53" s="69" t="n">
        <f aca="false">-Inputs!$E$45*(1+Inputs!$E$46)^(AE$5-1)*1</f>
        <v>-7680</v>
      </c>
      <c r="AF53" s="69" t="n">
        <f aca="false">-Inputs!$E$45*(1+Inputs!$E$46)^(AF$5-1)*1</f>
        <v>-7680</v>
      </c>
      <c r="AG53" s="69" t="n">
        <f aca="false">-Inputs!$E$45*(1+Inputs!$E$46)^(AG$5-1)*1</f>
        <v>-7680</v>
      </c>
      <c r="AH53" s="69" t="n">
        <f aca="false">-Inputs!$E$45*(1+Inputs!$E$46)^(AH$5-1)*1</f>
        <v>-7680</v>
      </c>
      <c r="AI53" s="69" t="n">
        <f aca="false">-Inputs!$E$45*(1+Inputs!$E$46)^(AI$5-1)*1</f>
        <v>-7680</v>
      </c>
      <c r="AJ53" s="69" t="n">
        <f aca="false">-Inputs!$E$45*(1+Inputs!$E$46)^(AJ$5-1)*1</f>
        <v>-7680</v>
      </c>
      <c r="AK53" s="69" t="n">
        <f aca="false">-Inputs!$E$45*(1+Inputs!$E$46)^(AK$5-1)*1</f>
        <v>-7680</v>
      </c>
      <c r="AL53" s="69" t="n">
        <f aca="false">-Inputs!$E$45*(1+Inputs!$E$46)^(AL$5-1)*1</f>
        <v>-7680</v>
      </c>
    </row>
    <row r="54" customFormat="false" ht="15" hidden="false" customHeight="false" outlineLevel="0" collapsed="false">
      <c r="A54" s="113" t="s">
        <v>77</v>
      </c>
      <c r="C54" s="70" t="n">
        <f aca="false">C49+C50+C51+C52+C53</f>
        <v>-93586.6666666667</v>
      </c>
      <c r="D54" s="70" t="n">
        <f aca="false">D49+D50+D51+D52+D53</f>
        <v>-93586.6666666667</v>
      </c>
      <c r="E54" s="70" t="n">
        <f aca="false">E49+E50+E51+E52+E53</f>
        <v>-93586.6666666667</v>
      </c>
      <c r="F54" s="70" t="n">
        <f aca="false">F49+F50+F51+F52+F53</f>
        <v>-93586.6666666667</v>
      </c>
      <c r="G54" s="70" t="n">
        <f aca="false">G49+G50+G51+G52+G53</f>
        <v>-93586.6666666667</v>
      </c>
      <c r="H54" s="70" t="n">
        <f aca="false">H49+H50+H51+H52+H53</f>
        <v>-93586.6666666667</v>
      </c>
      <c r="I54" s="70" t="n">
        <f aca="false">I49+I50+I51+I52+I53</f>
        <v>-93586.6666666667</v>
      </c>
      <c r="J54" s="70" t="n">
        <f aca="false">J49+J50+J51+J52+J53</f>
        <v>-93586.6666666667</v>
      </c>
      <c r="K54" s="70" t="n">
        <f aca="false">K49+K50+K51+K52+K53</f>
        <v>-93586.6666666667</v>
      </c>
      <c r="L54" s="70" t="n">
        <f aca="false">L49+L50+L51+L52+L53</f>
        <v>-93586.6666666667</v>
      </c>
      <c r="M54" s="70" t="n">
        <f aca="false">M49+M50+M51+M52+M53</f>
        <v>-93586.6666666667</v>
      </c>
      <c r="N54" s="70" t="n">
        <f aca="false">N49+N50+N51+N52+N53</f>
        <v>-93586.6666666667</v>
      </c>
      <c r="O54" s="70" t="n">
        <f aca="false">O49+O50+O51+O52+O53</f>
        <v>-93634.2666666667</v>
      </c>
      <c r="P54" s="70" t="n">
        <f aca="false">P49+P50+P51+P52+P53</f>
        <v>-93634.2666666667</v>
      </c>
      <c r="Q54" s="70" t="n">
        <f aca="false">Q49+Q50+Q51+Q52+Q53</f>
        <v>-93634.2666666667</v>
      </c>
      <c r="R54" s="70" t="n">
        <f aca="false">R49+R50+R51+R52+R53</f>
        <v>-93634.2666666667</v>
      </c>
      <c r="S54" s="70" t="n">
        <f aca="false">S49+S50+S51+S52+S53</f>
        <v>-93634.2666666667</v>
      </c>
      <c r="T54" s="70" t="n">
        <f aca="false">T49+T50+T51+T52+T53</f>
        <v>-93634.2666666667</v>
      </c>
      <c r="U54" s="70" t="n">
        <f aca="false">U49+U50+U51+U52+U53</f>
        <v>-93634.2666666667</v>
      </c>
      <c r="V54" s="70" t="n">
        <f aca="false">V49+V50+V51+V52+V53</f>
        <v>-93634.2666666667</v>
      </c>
      <c r="W54" s="70" t="n">
        <f aca="false">W49+W50+W51+W52+W53</f>
        <v>-93634.2666666667</v>
      </c>
      <c r="X54" s="70" t="n">
        <f aca="false">X49+X50+X51+X52+X53</f>
        <v>-93634.2666666667</v>
      </c>
      <c r="Y54" s="70" t="n">
        <f aca="false">Y49+Y50+Y51+Y52+Y53</f>
        <v>-93634.2666666667</v>
      </c>
      <c r="Z54" s="70" t="n">
        <f aca="false">Z49+Z50+Z51+Z52+Z53</f>
        <v>-93634.2666666667</v>
      </c>
      <c r="AA54" s="70" t="n">
        <f aca="false">AA49+AA50+AA51+AA52+AA53</f>
        <v>-94235.2946666667</v>
      </c>
      <c r="AB54" s="70" t="n">
        <f aca="false">AB49+AB50+AB51+AB52+AB53</f>
        <v>-94235.2946666667</v>
      </c>
      <c r="AC54" s="70" t="n">
        <f aca="false">AC49+AC50+AC51+AC52+AC53</f>
        <v>-94235.2946666667</v>
      </c>
      <c r="AD54" s="70" t="n">
        <f aca="false">AD49+AD50+AD51+AD52+AD53</f>
        <v>-94235.2946666667</v>
      </c>
      <c r="AE54" s="70" t="n">
        <f aca="false">AE49+AE50+AE51+AE52+AE53</f>
        <v>-94235.2946666667</v>
      </c>
      <c r="AF54" s="70" t="n">
        <f aca="false">AF49+AF50+AF51+AF52+AF53</f>
        <v>-94235.2946666667</v>
      </c>
      <c r="AG54" s="70" t="n">
        <f aca="false">AG49+AG50+AG51+AG52+AG53</f>
        <v>-94235.2946666667</v>
      </c>
      <c r="AH54" s="70" t="n">
        <f aca="false">AH49+AH50+AH51+AH52+AH53</f>
        <v>-94235.2946666667</v>
      </c>
      <c r="AI54" s="70" t="n">
        <f aca="false">AI49+AI50+AI51+AI52+AI53</f>
        <v>-94235.2946666667</v>
      </c>
      <c r="AJ54" s="70" t="n">
        <f aca="false">AJ49+AJ50+AJ51+AJ52+AJ53</f>
        <v>-94235.2946666667</v>
      </c>
      <c r="AK54" s="70" t="n">
        <f aca="false">AK49+AK50+AK51+AK52+AK53</f>
        <v>-94235.2946666667</v>
      </c>
      <c r="AL54" s="70" t="n">
        <f aca="false">AL49+AL50+AL51+AL52+AL53</f>
        <v>-94235.2946666667</v>
      </c>
    </row>
    <row r="55" customFormat="false" ht="15" hidden="false" customHeight="false" outlineLevel="0" collapsed="false">
      <c r="A55" s="113" t="s">
        <v>48</v>
      </c>
      <c r="C55" s="70" t="n">
        <f aca="false">C46+C54</f>
        <v>-52715.2544125667</v>
      </c>
      <c r="D55" s="70" t="n">
        <f aca="false">D46+D54</f>
        <v>-47169.179570764</v>
      </c>
      <c r="E55" s="70" t="n">
        <f aca="false">E46+E54</f>
        <v>-31890.1001241627</v>
      </c>
      <c r="F55" s="70" t="n">
        <f aca="false">F46+F54</f>
        <v>-24896.4647094518</v>
      </c>
      <c r="G55" s="70" t="n">
        <f aca="false">G46+G54</f>
        <v>-17775.1087070848</v>
      </c>
      <c r="H55" s="70" t="n">
        <f aca="false">H46+H54</f>
        <v>-10531.1409405681</v>
      </c>
      <c r="I55" s="70" t="n">
        <f aca="false">I46+I54</f>
        <v>-3169.46588046759</v>
      </c>
      <c r="J55" s="70" t="n">
        <f aca="false">J46+J54</f>
        <v>4305.20818147335</v>
      </c>
      <c r="K55" s="70" t="n">
        <f aca="false">K46+K54</f>
        <v>11888.3612851811</v>
      </c>
      <c r="L55" s="70" t="n">
        <f aca="false">L46+L54</f>
        <v>19575.654268985</v>
      </c>
      <c r="M55" s="70" t="n">
        <f aca="false">M46+M54</f>
        <v>21716.7869555589</v>
      </c>
      <c r="N55" s="70" t="n">
        <f aca="false">N46+N54</f>
        <v>7381.49638357262</v>
      </c>
      <c r="O55" s="70" t="n">
        <f aca="false">O46+O54</f>
        <v>11016.249459607</v>
      </c>
      <c r="P55" s="70" t="n">
        <f aca="false">P46+P54</f>
        <v>12786.1725056861</v>
      </c>
      <c r="Q55" s="70" t="n">
        <f aca="false">Q46+Q54</f>
        <v>30960.9642923074</v>
      </c>
      <c r="R55" s="70" t="n">
        <f aca="false">R46+R54</f>
        <v>32838.0186139185</v>
      </c>
      <c r="S55" s="70" t="n">
        <f aca="false">S46+S54</f>
        <v>34639.9907626651</v>
      </c>
      <c r="T55" s="70" t="n">
        <f aca="false">T46+T54</f>
        <v>36369.8840254618</v>
      </c>
      <c r="U55" s="70" t="n">
        <f aca="false">U46+U54</f>
        <v>38030.5815577466</v>
      </c>
      <c r="V55" s="70" t="n">
        <f aca="false">V46+V54</f>
        <v>39624.8511887401</v>
      </c>
      <c r="W55" s="70" t="n">
        <f aca="false">W46+W54</f>
        <v>41155.3500344938</v>
      </c>
      <c r="X55" s="70" t="n">
        <f aca="false">X46+X54</f>
        <v>42624.6289264174</v>
      </c>
      <c r="Y55" s="70" t="n">
        <f aca="false">Y46+Y54</f>
        <v>44035.136662664</v>
      </c>
      <c r="Z55" s="70" t="n">
        <f aca="false">Z46+Z54</f>
        <v>29509.3804320289</v>
      </c>
      <c r="AA55" s="70" t="n">
        <f aca="false">AA46+AA54</f>
        <v>32279.3298099496</v>
      </c>
      <c r="AB55" s="70" t="n">
        <f aca="false">AB46+AB54</f>
        <v>33364.0629633307</v>
      </c>
      <c r="AC55" s="70" t="n">
        <f aca="false">AC46+AC54</f>
        <v>50431.0642395809</v>
      </c>
      <c r="AD55" s="70" t="n">
        <f aca="false">AD46+AD54</f>
        <v>51706.7736472895</v>
      </c>
      <c r="AE55" s="70" t="n">
        <f aca="false">AE46+AE54</f>
        <v>52931.4546786897</v>
      </c>
      <c r="AF55" s="70" t="n">
        <f aca="false">AF46+AF54</f>
        <v>54107.1484688339</v>
      </c>
      <c r="AG55" s="70" t="n">
        <f aca="false">AG46+AG54</f>
        <v>55235.8145073723</v>
      </c>
      <c r="AH55" s="70" t="n">
        <f aca="false">AH46+AH54</f>
        <v>56319.3339043693</v>
      </c>
      <c r="AI55" s="70" t="n">
        <f aca="false">AI46+AI54</f>
        <v>57359.5125254863</v>
      </c>
      <c r="AJ55" s="70" t="n">
        <f aca="false">AJ46+AJ54</f>
        <v>58358.0840017586</v>
      </c>
      <c r="AK55" s="70" t="n">
        <f aca="false">AK46+AK54</f>
        <v>59316.7126189801</v>
      </c>
      <c r="AL55" s="70" t="n">
        <f aca="false">AL46+AL54</f>
        <v>44621.120366448</v>
      </c>
    </row>
    <row r="57" customFormat="false" ht="15.75" hidden="false" customHeight="true" outlineLevel="0" collapsed="false">
      <c r="A57" s="7" t="s">
        <v>415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4" t="s">
        <v>79</v>
      </c>
      <c r="C58" s="75" t="n">
        <f aca="false">C55+C73</f>
        <v>-81187.4766347889</v>
      </c>
      <c r="D58" s="75" t="n">
        <f aca="false">D55+D73</f>
        <v>-75641.4017929862</v>
      </c>
      <c r="E58" s="75" t="n">
        <f aca="false">E55+E73</f>
        <v>-60362.3223463849</v>
      </c>
      <c r="F58" s="75" t="n">
        <f aca="false">F55+F73</f>
        <v>-53368.686931674</v>
      </c>
      <c r="G58" s="75" t="n">
        <f aca="false">G55+G73</f>
        <v>-46247.330929307</v>
      </c>
      <c r="H58" s="75" t="n">
        <f aca="false">H55+H73</f>
        <v>-39003.3631627903</v>
      </c>
      <c r="I58" s="75" t="n">
        <f aca="false">I55+I73</f>
        <v>-31641.6881026898</v>
      </c>
      <c r="J58" s="75" t="n">
        <f aca="false">J55+J73</f>
        <v>-24167.0140407489</v>
      </c>
      <c r="K58" s="75" t="n">
        <f aca="false">K55+K73</f>
        <v>-16583.8609370411</v>
      </c>
      <c r="L58" s="75" t="n">
        <f aca="false">L55+L73</f>
        <v>-8896.56795323726</v>
      </c>
      <c r="M58" s="75" t="n">
        <f aca="false">M55+M73</f>
        <v>-6755.43526666334</v>
      </c>
      <c r="N58" s="75" t="n">
        <f aca="false">N55+N73</f>
        <v>-21090.7258386496</v>
      </c>
      <c r="O58" s="75" t="n">
        <f aca="false">O55+O73</f>
        <v>-17733.750540393</v>
      </c>
      <c r="P58" s="75" t="n">
        <f aca="false">P55+P73</f>
        <v>-15963.8274943139</v>
      </c>
      <c r="Q58" s="75" t="n">
        <f aca="false">Q55+Q73</f>
        <v>2210.96429230741</v>
      </c>
      <c r="R58" s="75" t="n">
        <f aca="false">R55+R73</f>
        <v>4088.01861391848</v>
      </c>
      <c r="S58" s="75" t="n">
        <f aca="false">S55+S73</f>
        <v>5889.99076266505</v>
      </c>
      <c r="T58" s="75" t="n">
        <f aca="false">T55+T73</f>
        <v>7619.8840254618</v>
      </c>
      <c r="U58" s="75" t="n">
        <f aca="false">U55+U73</f>
        <v>9280.58155774663</v>
      </c>
      <c r="V58" s="75" t="n">
        <f aca="false">V55+V73</f>
        <v>10874.8511887401</v>
      </c>
      <c r="W58" s="75" t="n">
        <f aca="false">W55+W73</f>
        <v>12405.3500344938</v>
      </c>
      <c r="X58" s="75" t="n">
        <f aca="false">X55+X73</f>
        <v>13874.6289264174</v>
      </c>
      <c r="Y58" s="75" t="n">
        <f aca="false">Y55+Y73</f>
        <v>15285.136662664</v>
      </c>
      <c r="Z58" s="75" t="n">
        <f aca="false">Z55+Z73</f>
        <v>759.380432028891</v>
      </c>
      <c r="AA58" s="75" t="n">
        <f aca="false">AA55+AA73</f>
        <v>3251.55203217178</v>
      </c>
      <c r="AB58" s="75" t="n">
        <f aca="false">AB55+AB73</f>
        <v>4336.28518555293</v>
      </c>
      <c r="AC58" s="75" t="n">
        <f aca="false">AC55+AC73</f>
        <v>21403.2864618032</v>
      </c>
      <c r="AD58" s="75" t="n">
        <f aca="false">AD55+AD73</f>
        <v>22678.9958695117</v>
      </c>
      <c r="AE58" s="75" t="n">
        <f aca="false">AE55+AE73</f>
        <v>23903.6769009119</v>
      </c>
      <c r="AF58" s="75" t="n">
        <f aca="false">AF55+AF73</f>
        <v>25079.3706910562</v>
      </c>
      <c r="AG58" s="75" t="n">
        <f aca="false">AG55+AG73</f>
        <v>26208.0367295946</v>
      </c>
      <c r="AH58" s="75" t="n">
        <f aca="false">AH55+AH73</f>
        <v>27291.5561265915</v>
      </c>
      <c r="AI58" s="75" t="n">
        <f aca="false">AI55+AI73</f>
        <v>28331.7347477085</v>
      </c>
      <c r="AJ58" s="75" t="n">
        <f aca="false">AJ55+AJ73</f>
        <v>29330.3062239809</v>
      </c>
      <c r="AK58" s="75" t="n">
        <f aca="false">AK55+AK73</f>
        <v>30288.9348412023</v>
      </c>
      <c r="AL58" s="75" t="n">
        <f aca="false">AL55+AL73</f>
        <v>15593.3425886702</v>
      </c>
    </row>
    <row r="59" customFormat="false" ht="15" hidden="false" customHeight="false" outlineLevel="0" collapsed="false">
      <c r="A59" s="6" t="s">
        <v>416</v>
      </c>
      <c r="C59" s="69" t="n">
        <f aca="false">-(C78+C79+C81)/2*Inputs!$E$69/12</f>
        <v>-21250</v>
      </c>
      <c r="D59" s="69" t="n">
        <f aca="false">-(D78+D79+D81)/2*Inputs!$E$69/12</f>
        <v>-21161.4583333333</v>
      </c>
      <c r="E59" s="69" t="n">
        <f aca="false">-(E78+E79+E81)/2*Inputs!$E$69/12</f>
        <v>-20984.375</v>
      </c>
      <c r="F59" s="69" t="n">
        <f aca="false">-(F78+F79+F81)/2*Inputs!$E$69/12</f>
        <v>-20807.2916666667</v>
      </c>
      <c r="G59" s="69" t="n">
        <f aca="false">-(G78+G79+G81)/2*Inputs!$E$69/12</f>
        <v>-20630.2083333333</v>
      </c>
      <c r="H59" s="69" t="n">
        <f aca="false">-(H78+H79+H81)/2*Inputs!$E$69/12</f>
        <v>-20453.125</v>
      </c>
      <c r="I59" s="69" t="n">
        <f aca="false">-(I78+I79+I81)/2*Inputs!$E$69/12</f>
        <v>-20276.0416666667</v>
      </c>
      <c r="J59" s="69" t="n">
        <f aca="false">-(J78+J79+J81)/2*Inputs!$E$69/12</f>
        <v>-20098.9583333333</v>
      </c>
      <c r="K59" s="69" t="n">
        <f aca="false">-(K78+K79+K81)/2*Inputs!$E$69/12</f>
        <v>-19921.875</v>
      </c>
      <c r="L59" s="69" t="n">
        <f aca="false">-(L78+L79+L81)/2*Inputs!$E$69/12</f>
        <v>-19744.7916666667</v>
      </c>
      <c r="M59" s="69" t="n">
        <f aca="false">-(M78+M79+M81)/2*Inputs!$E$69/12</f>
        <v>-19567.7083333333</v>
      </c>
      <c r="N59" s="69" t="n">
        <f aca="false">-(N78+N79+N81)/2*Inputs!$E$69/12</f>
        <v>-19390.625</v>
      </c>
      <c r="O59" s="69" t="n">
        <f aca="false">-(O78+O79+O81)/2*Inputs!$E$69/12</f>
        <v>-19213.5416666667</v>
      </c>
      <c r="P59" s="69" t="n">
        <f aca="false">-(P78+P79+P81)/2*Inputs!$E$69/12</f>
        <v>-19036.4583333333</v>
      </c>
      <c r="Q59" s="69" t="n">
        <f aca="false">-(Q78+Q79+Q81)/2*Inputs!$E$69/12</f>
        <v>-18859.375</v>
      </c>
      <c r="R59" s="69" t="n">
        <f aca="false">-(R78+R79+R81)/2*Inputs!$E$69/12</f>
        <v>-18682.2916666667</v>
      </c>
      <c r="S59" s="69" t="n">
        <f aca="false">-(S78+S79+S81)/2*Inputs!$E$69/12</f>
        <v>-18505.2083333333</v>
      </c>
      <c r="T59" s="69" t="n">
        <f aca="false">-(T78+T79+T81)/2*Inputs!$E$69/12</f>
        <v>-18328.125</v>
      </c>
      <c r="U59" s="69" t="n">
        <f aca="false">-(U78+U79+U81)/2*Inputs!$E$69/12</f>
        <v>-18151.0416666667</v>
      </c>
      <c r="V59" s="69" t="n">
        <f aca="false">-(V78+V79+V81)/2*Inputs!$E$69/12</f>
        <v>-17973.9583333333</v>
      </c>
      <c r="W59" s="69" t="n">
        <f aca="false">-(W78+W79+W81)/2*Inputs!$E$69/12</f>
        <v>-17796.875</v>
      </c>
      <c r="X59" s="69" t="n">
        <f aca="false">-(X78+X79+X81)/2*Inputs!$E$69/12</f>
        <v>-17619.7916666667</v>
      </c>
      <c r="Y59" s="69" t="n">
        <f aca="false">-(Y78+Y79+Y81)/2*Inputs!$E$69/12</f>
        <v>-17442.7083333333</v>
      </c>
      <c r="Z59" s="69" t="n">
        <f aca="false">-(Z78+Z79+Z81)/2*Inputs!$E$69/12</f>
        <v>-17265.625</v>
      </c>
      <c r="AA59" s="69" t="n">
        <f aca="false">-(AA78+AA79+AA81)/2*Inputs!$E$69/12</f>
        <v>-17088.5416666667</v>
      </c>
      <c r="AB59" s="69" t="n">
        <f aca="false">-(AB78+AB79+AB81)/2*Inputs!$E$69/12</f>
        <v>-16911.4583333333</v>
      </c>
      <c r="AC59" s="69" t="n">
        <f aca="false">-(AC78+AC79+AC81)/2*Inputs!$E$69/12</f>
        <v>-16734.375</v>
      </c>
      <c r="AD59" s="69" t="n">
        <f aca="false">-(AD78+AD79+AD81)/2*Inputs!$E$69/12</f>
        <v>-16557.2916666667</v>
      </c>
      <c r="AE59" s="69" t="n">
        <f aca="false">-(AE78+AE79+AE81)/2*Inputs!$E$69/12</f>
        <v>-16380.2083333333</v>
      </c>
      <c r="AF59" s="69" t="n">
        <f aca="false">-(AF78+AF79+AF81)/2*Inputs!$E$69/12</f>
        <v>-16203.125</v>
      </c>
      <c r="AG59" s="69" t="n">
        <f aca="false">-(AG78+AG79+AG81)/2*Inputs!$E$69/12</f>
        <v>-16026.0416666667</v>
      </c>
      <c r="AH59" s="69" t="n">
        <f aca="false">-(AH78+AH79+AH81)/2*Inputs!$E$69/12</f>
        <v>-15848.9583333333</v>
      </c>
      <c r="AI59" s="69" t="n">
        <f aca="false">-(AI78+AI79+AI81)/2*Inputs!$E$69/12</f>
        <v>-15671.875</v>
      </c>
      <c r="AJ59" s="69" t="n">
        <f aca="false">-(AJ78+AJ79+AJ81)/2*Inputs!$E$69/12</f>
        <v>-15494.7916666667</v>
      </c>
      <c r="AK59" s="69" t="n">
        <f aca="false">-(AK78+AK79+AK81)/2*Inputs!$E$69/12</f>
        <v>-15317.7083333333</v>
      </c>
      <c r="AL59" s="69" t="n">
        <f aca="false">-(AL78+AL79+AL81)/2*Inputs!$E$69/12</f>
        <v>-15140.625</v>
      </c>
    </row>
    <row r="60" customFormat="false" ht="15" hidden="false" customHeight="false" outlineLevel="0" collapsed="false">
      <c r="A60" s="113" t="s">
        <v>81</v>
      </c>
      <c r="C60" s="70" t="n">
        <f aca="false">C58+C59</f>
        <v>-102437.476634789</v>
      </c>
      <c r="D60" s="70" t="n">
        <f aca="false">D58+D59</f>
        <v>-96802.8601263196</v>
      </c>
      <c r="E60" s="70" t="n">
        <f aca="false">E58+E59</f>
        <v>-81346.6973463849</v>
      </c>
      <c r="F60" s="70" t="n">
        <f aca="false">F58+F59</f>
        <v>-74175.9785983407</v>
      </c>
      <c r="G60" s="70" t="n">
        <f aca="false">G58+G59</f>
        <v>-66877.5392626404</v>
      </c>
      <c r="H60" s="70" t="n">
        <f aca="false">H58+H59</f>
        <v>-59456.4881627903</v>
      </c>
      <c r="I60" s="70" t="n">
        <f aca="false">I58+I59</f>
        <v>-51917.7297693565</v>
      </c>
      <c r="J60" s="70" t="n">
        <f aca="false">J58+J59</f>
        <v>-44265.9723740822</v>
      </c>
      <c r="K60" s="70" t="n">
        <f aca="false">K58+K59</f>
        <v>-36505.7359370411</v>
      </c>
      <c r="L60" s="70" t="n">
        <f aca="false">L58+L59</f>
        <v>-28641.3596199039</v>
      </c>
      <c r="M60" s="70" t="n">
        <f aca="false">M58+M59</f>
        <v>-26323.1435999967</v>
      </c>
      <c r="N60" s="70" t="n">
        <f aca="false">N58+N59</f>
        <v>-40481.3508386496</v>
      </c>
      <c r="O60" s="70" t="n">
        <f aca="false">O58+O59</f>
        <v>-36947.2922070597</v>
      </c>
      <c r="P60" s="70" t="n">
        <f aca="false">P58+P59</f>
        <v>-35000.2858276473</v>
      </c>
      <c r="Q60" s="70" t="n">
        <f aca="false">Q58+Q59</f>
        <v>-16648.4107076926</v>
      </c>
      <c r="R60" s="70" t="n">
        <f aca="false">R58+R59</f>
        <v>-14594.2730527482</v>
      </c>
      <c r="S60" s="70" t="n">
        <f aca="false">S58+S59</f>
        <v>-12615.2175706683</v>
      </c>
      <c r="T60" s="70" t="n">
        <f aca="false">T58+T59</f>
        <v>-10708.2409745382</v>
      </c>
      <c r="U60" s="70" t="n">
        <f aca="false">U58+U59</f>
        <v>-8870.46010892004</v>
      </c>
      <c r="V60" s="70" t="n">
        <f aca="false">V58+V59</f>
        <v>-7099.10714459323</v>
      </c>
      <c r="W60" s="70" t="n">
        <f aca="false">W58+W59</f>
        <v>-5391.52496550617</v>
      </c>
      <c r="X60" s="70" t="n">
        <f aca="false">X58+X59</f>
        <v>-3745.16274024923</v>
      </c>
      <c r="Y60" s="70" t="n">
        <f aca="false">Y58+Y59</f>
        <v>-2157.5716706693</v>
      </c>
      <c r="Z60" s="70" t="n">
        <f aca="false">Z58+Z59</f>
        <v>-16506.2445679711</v>
      </c>
      <c r="AA60" s="70" t="n">
        <f aca="false">AA58+AA59</f>
        <v>-13836.9896344949</v>
      </c>
      <c r="AB60" s="70" t="n">
        <f aca="false">AB58+AB59</f>
        <v>-12575.1731477804</v>
      </c>
      <c r="AC60" s="70" t="n">
        <f aca="false">AC58+AC59</f>
        <v>4668.91146180315</v>
      </c>
      <c r="AD60" s="70" t="n">
        <f aca="false">AD58+AD59</f>
        <v>6121.70420284503</v>
      </c>
      <c r="AE60" s="70" t="n">
        <f aca="false">AE58+AE59</f>
        <v>7523.46856757859</v>
      </c>
      <c r="AF60" s="70" t="n">
        <f aca="false">AF58+AF59</f>
        <v>8876.24569105615</v>
      </c>
      <c r="AG60" s="70" t="n">
        <f aca="false">AG58+AG59</f>
        <v>10181.9950629279</v>
      </c>
      <c r="AH60" s="70" t="n">
        <f aca="false">AH58+AH59</f>
        <v>11442.5977932581</v>
      </c>
      <c r="AI60" s="70" t="n">
        <f aca="false">AI58+AI59</f>
        <v>12659.8597477085</v>
      </c>
      <c r="AJ60" s="70" t="n">
        <f aca="false">AJ58+AJ59</f>
        <v>13835.5145573142</v>
      </c>
      <c r="AK60" s="70" t="n">
        <f aca="false">AK58+AK59</f>
        <v>14971.226507869</v>
      </c>
      <c r="AL60" s="70" t="n">
        <f aca="false">AL58+AL59</f>
        <v>452.717588670192</v>
      </c>
    </row>
    <row r="61" customFormat="false" ht="15" hidden="false" customHeight="false" outlineLevel="0" collapsed="false">
      <c r="A61" s="116" t="s">
        <v>417</v>
      </c>
      <c r="C61" s="69" t="n">
        <f aca="false">C60</f>
        <v>-102437.476634789</v>
      </c>
      <c r="D61" s="69" t="n">
        <f aca="false">C61+D60</f>
        <v>-199240.336761108</v>
      </c>
      <c r="E61" s="69" t="n">
        <f aca="false">D61+E60</f>
        <v>-280587.034107493</v>
      </c>
      <c r="F61" s="69" t="n">
        <f aca="false">E61+F60</f>
        <v>-354763.012705834</v>
      </c>
      <c r="G61" s="69" t="n">
        <f aca="false">F61+G60</f>
        <v>-421640.551968474</v>
      </c>
      <c r="H61" s="69" t="n">
        <f aca="false">G61+H60</f>
        <v>-481097.040131265</v>
      </c>
      <c r="I61" s="69" t="n">
        <f aca="false">H61+I60</f>
        <v>-533014.769900621</v>
      </c>
      <c r="J61" s="69" t="n">
        <f aca="false">I61+J60</f>
        <v>-577280.742274703</v>
      </c>
      <c r="K61" s="69" t="n">
        <f aca="false">J61+K60</f>
        <v>-613786.478211745</v>
      </c>
      <c r="L61" s="69" t="n">
        <f aca="false">K61+L60</f>
        <v>-642427.837831648</v>
      </c>
      <c r="M61" s="69" t="n">
        <f aca="false">L61+M60</f>
        <v>-668750.981431645</v>
      </c>
      <c r="N61" s="69" t="n">
        <f aca="false">M61+N60</f>
        <v>-709232.332270295</v>
      </c>
      <c r="O61" s="69" t="n">
        <f aca="false">N61+O60</f>
        <v>-746179.624477354</v>
      </c>
      <c r="P61" s="69" t="n">
        <f aca="false">O61+P60</f>
        <v>-781179.910305002</v>
      </c>
      <c r="Q61" s="69" t="n">
        <f aca="false">P61+Q60</f>
        <v>-797828.321012694</v>
      </c>
      <c r="R61" s="69" t="n">
        <f aca="false">Q61+R60</f>
        <v>-812422.594065442</v>
      </c>
      <c r="S61" s="69" t="n">
        <f aca="false">R61+S60</f>
        <v>-825037.811636111</v>
      </c>
      <c r="T61" s="69" t="n">
        <f aca="false">S61+T60</f>
        <v>-835746.052610649</v>
      </c>
      <c r="U61" s="69" t="n">
        <f aca="false">T61+U60</f>
        <v>-844616.512719569</v>
      </c>
      <c r="V61" s="69" t="n">
        <f aca="false">U61+V60</f>
        <v>-851715.619864162</v>
      </c>
      <c r="W61" s="69" t="n">
        <f aca="false">V61+W60</f>
        <v>-857107.144829668</v>
      </c>
      <c r="X61" s="69" t="n">
        <f aca="false">W61+X60</f>
        <v>-860852.307569918</v>
      </c>
      <c r="Y61" s="69" t="n">
        <f aca="false">X61+Y60</f>
        <v>-863009.879240587</v>
      </c>
      <c r="Z61" s="69" t="n">
        <f aca="false">Y61+Z60</f>
        <v>-879516.123808558</v>
      </c>
      <c r="AA61" s="69" t="n">
        <f aca="false">Z61+AA60</f>
        <v>-893353.113443053</v>
      </c>
      <c r="AB61" s="69" t="n">
        <f aca="false">AA61+AB60</f>
        <v>-905928.286590833</v>
      </c>
      <c r="AC61" s="69" t="n">
        <f aca="false">AB61+AC60</f>
        <v>-901259.37512903</v>
      </c>
      <c r="AD61" s="69" t="n">
        <f aca="false">AC61+AD60</f>
        <v>-895137.670926185</v>
      </c>
      <c r="AE61" s="69" t="n">
        <f aca="false">AD61+AE60</f>
        <v>-887614.202358606</v>
      </c>
      <c r="AF61" s="69" t="n">
        <f aca="false">AE61+AF60</f>
        <v>-878737.95666755</v>
      </c>
      <c r="AG61" s="69" t="n">
        <f aca="false">AF61+AG60</f>
        <v>-868555.961604622</v>
      </c>
      <c r="AH61" s="69" t="n">
        <f aca="false">AG61+AH60</f>
        <v>-857113.363811364</v>
      </c>
      <c r="AI61" s="69" t="n">
        <f aca="false">AH61+AI60</f>
        <v>-844453.504063656</v>
      </c>
      <c r="AJ61" s="69" t="n">
        <f aca="false">AI61+AJ60</f>
        <v>-830617.989506341</v>
      </c>
      <c r="AK61" s="69" t="n">
        <f aca="false">AJ61+AK60</f>
        <v>-815646.762998472</v>
      </c>
      <c r="AL61" s="69" t="n">
        <f aca="false">AK61+AL60</f>
        <v>-815194.045409802</v>
      </c>
    </row>
    <row r="62" customFormat="false" ht="15" hidden="false" customHeight="false" outlineLevel="0" collapsed="false">
      <c r="A62" s="116" t="s">
        <v>418</v>
      </c>
      <c r="C62" s="69" t="n">
        <f aca="false">MAX(0,C61)</f>
        <v>0</v>
      </c>
      <c r="D62" s="69" t="n">
        <f aca="false">MAX(C62,D61)</f>
        <v>0</v>
      </c>
      <c r="E62" s="69" t="n">
        <f aca="false">MAX(D62,E61)</f>
        <v>0</v>
      </c>
      <c r="F62" s="69" t="n">
        <f aca="false">MAX(E62,F61)</f>
        <v>0</v>
      </c>
      <c r="G62" s="69" t="n">
        <f aca="false">MAX(F62,G61)</f>
        <v>0</v>
      </c>
      <c r="H62" s="69" t="n">
        <f aca="false">MAX(G62,H61)</f>
        <v>0</v>
      </c>
      <c r="I62" s="69" t="n">
        <f aca="false">MAX(H62,I61)</f>
        <v>0</v>
      </c>
      <c r="J62" s="69" t="n">
        <f aca="false">MAX(I62,J61)</f>
        <v>0</v>
      </c>
      <c r="K62" s="69" t="n">
        <f aca="false">MAX(J62,K61)</f>
        <v>0</v>
      </c>
      <c r="L62" s="69" t="n">
        <f aca="false">MAX(K62,L61)</f>
        <v>0</v>
      </c>
      <c r="M62" s="69" t="n">
        <f aca="false">MAX(L62,M61)</f>
        <v>0</v>
      </c>
      <c r="N62" s="69" t="n">
        <f aca="false">MAX(M62,N61)</f>
        <v>0</v>
      </c>
      <c r="O62" s="69" t="n">
        <f aca="false">MAX(N62,O61)</f>
        <v>0</v>
      </c>
      <c r="P62" s="69" t="n">
        <f aca="false">MAX(O62,P61)</f>
        <v>0</v>
      </c>
      <c r="Q62" s="69" t="n">
        <f aca="false">MAX(P62,Q61)</f>
        <v>0</v>
      </c>
      <c r="R62" s="69" t="n">
        <f aca="false">MAX(Q62,R61)</f>
        <v>0</v>
      </c>
      <c r="S62" s="69" t="n">
        <f aca="false">MAX(R62,S61)</f>
        <v>0</v>
      </c>
      <c r="T62" s="69" t="n">
        <f aca="false">MAX(S62,T61)</f>
        <v>0</v>
      </c>
      <c r="U62" s="69" t="n">
        <f aca="false">MAX(T62,U61)</f>
        <v>0</v>
      </c>
      <c r="V62" s="69" t="n">
        <f aca="false">MAX(U62,V61)</f>
        <v>0</v>
      </c>
      <c r="W62" s="69" t="n">
        <f aca="false">MAX(V62,W61)</f>
        <v>0</v>
      </c>
      <c r="X62" s="69" t="n">
        <f aca="false">MAX(W62,X61)</f>
        <v>0</v>
      </c>
      <c r="Y62" s="69" t="n">
        <f aca="false">MAX(X62,Y61)</f>
        <v>0</v>
      </c>
      <c r="Z62" s="69" t="n">
        <f aca="false">MAX(Y62,Z61)</f>
        <v>0</v>
      </c>
      <c r="AA62" s="69" t="n">
        <f aca="false">MAX(Z62,AA61)</f>
        <v>0</v>
      </c>
      <c r="AB62" s="69" t="n">
        <f aca="false">MAX(AA62,AB61)</f>
        <v>0</v>
      </c>
      <c r="AC62" s="69" t="n">
        <f aca="false">MAX(AB62,AC61)</f>
        <v>0</v>
      </c>
      <c r="AD62" s="69" t="n">
        <f aca="false">MAX(AC62,AD61)</f>
        <v>0</v>
      </c>
      <c r="AE62" s="69" t="n">
        <f aca="false">MAX(AD62,AE61)</f>
        <v>0</v>
      </c>
      <c r="AF62" s="69" t="n">
        <f aca="false">MAX(AE62,AF61)</f>
        <v>0</v>
      </c>
      <c r="AG62" s="69" t="n">
        <f aca="false">MAX(AF62,AG61)</f>
        <v>0</v>
      </c>
      <c r="AH62" s="69" t="n">
        <f aca="false">MAX(AG62,AH61)</f>
        <v>0</v>
      </c>
      <c r="AI62" s="69" t="n">
        <f aca="false">MAX(AH62,AI61)</f>
        <v>0</v>
      </c>
      <c r="AJ62" s="69" t="n">
        <f aca="false">MAX(AI62,AJ61)</f>
        <v>0</v>
      </c>
      <c r="AK62" s="69" t="n">
        <f aca="false">MAX(AJ62,AK61)</f>
        <v>0</v>
      </c>
      <c r="AL62" s="69" t="n">
        <f aca="false">MAX(AK62,AL61)</f>
        <v>0</v>
      </c>
    </row>
    <row r="63" customFormat="false" ht="15" hidden="false" customHeight="false" outlineLevel="0" collapsed="false">
      <c r="A63" s="6" t="s">
        <v>82</v>
      </c>
      <c r="C63" s="69" t="n">
        <f aca="false">-C62*Inputs!$E$79</f>
        <v>-0</v>
      </c>
      <c r="D63" s="69" t="n">
        <f aca="false">-(D62-C62)*Inputs!$E$79</f>
        <v>-0</v>
      </c>
      <c r="E63" s="69" t="n">
        <f aca="false">-(E62-D62)*Inputs!$E$79</f>
        <v>-0</v>
      </c>
      <c r="F63" s="69" t="n">
        <f aca="false">-(F62-E62)*Inputs!$E$79</f>
        <v>-0</v>
      </c>
      <c r="G63" s="69" t="n">
        <f aca="false">-(G62-F62)*Inputs!$E$79</f>
        <v>-0</v>
      </c>
      <c r="H63" s="69" t="n">
        <f aca="false">-(H62-G62)*Inputs!$E$79</f>
        <v>-0</v>
      </c>
      <c r="I63" s="69" t="n">
        <f aca="false">-(I62-H62)*Inputs!$E$79</f>
        <v>-0</v>
      </c>
      <c r="J63" s="69" t="n">
        <f aca="false">-(J62-I62)*Inputs!$E$79</f>
        <v>-0</v>
      </c>
      <c r="K63" s="69" t="n">
        <f aca="false">-(K62-J62)*Inputs!$E$79</f>
        <v>-0</v>
      </c>
      <c r="L63" s="69" t="n">
        <f aca="false">-(L62-K62)*Inputs!$E$79</f>
        <v>-0</v>
      </c>
      <c r="M63" s="69" t="n">
        <f aca="false">-(M62-L62)*Inputs!$E$79</f>
        <v>-0</v>
      </c>
      <c r="N63" s="69" t="n">
        <f aca="false">-(N62-M62)*Inputs!$E$79</f>
        <v>-0</v>
      </c>
      <c r="O63" s="69" t="n">
        <f aca="false">-(O62-N62)*Inputs!$E$79</f>
        <v>-0</v>
      </c>
      <c r="P63" s="69" t="n">
        <f aca="false">-(P62-O62)*Inputs!$E$79</f>
        <v>-0</v>
      </c>
      <c r="Q63" s="69" t="n">
        <f aca="false">-(Q62-P62)*Inputs!$E$79</f>
        <v>-0</v>
      </c>
      <c r="R63" s="69" t="n">
        <f aca="false">-(R62-Q62)*Inputs!$E$79</f>
        <v>-0</v>
      </c>
      <c r="S63" s="69" t="n">
        <f aca="false">-(S62-R62)*Inputs!$E$79</f>
        <v>-0</v>
      </c>
      <c r="T63" s="69" t="n">
        <f aca="false">-(T62-S62)*Inputs!$E$79</f>
        <v>-0</v>
      </c>
      <c r="U63" s="69" t="n">
        <f aca="false">-(U62-T62)*Inputs!$E$79</f>
        <v>-0</v>
      </c>
      <c r="V63" s="69" t="n">
        <f aca="false">-(V62-U62)*Inputs!$E$79</f>
        <v>-0</v>
      </c>
      <c r="W63" s="69" t="n">
        <f aca="false">-(W62-V62)*Inputs!$E$79</f>
        <v>-0</v>
      </c>
      <c r="X63" s="69" t="n">
        <f aca="false">-(X62-W62)*Inputs!$E$79</f>
        <v>-0</v>
      </c>
      <c r="Y63" s="69" t="n">
        <f aca="false">-(Y62-X62)*Inputs!$E$79</f>
        <v>-0</v>
      </c>
      <c r="Z63" s="69" t="n">
        <f aca="false">-(Z62-Y62)*Inputs!$E$79</f>
        <v>-0</v>
      </c>
      <c r="AA63" s="69" t="n">
        <f aca="false">-(AA62-Z62)*Inputs!$E$79</f>
        <v>-0</v>
      </c>
      <c r="AB63" s="69" t="n">
        <f aca="false">-(AB62-AA62)*Inputs!$E$79</f>
        <v>-0</v>
      </c>
      <c r="AC63" s="69" t="n">
        <f aca="false">-(AC62-AB62)*Inputs!$E$79</f>
        <v>-0</v>
      </c>
      <c r="AD63" s="69" t="n">
        <f aca="false">-(AD62-AC62)*Inputs!$E$79</f>
        <v>-0</v>
      </c>
      <c r="AE63" s="69" t="n">
        <f aca="false">-(AE62-AD62)*Inputs!$E$79</f>
        <v>-0</v>
      </c>
      <c r="AF63" s="69" t="n">
        <f aca="false">-(AF62-AE62)*Inputs!$E$79</f>
        <v>-0</v>
      </c>
      <c r="AG63" s="69" t="n">
        <f aca="false">-(AG62-AF62)*Inputs!$E$79</f>
        <v>-0</v>
      </c>
      <c r="AH63" s="69" t="n">
        <f aca="false">-(AH62-AG62)*Inputs!$E$79</f>
        <v>-0</v>
      </c>
      <c r="AI63" s="69" t="n">
        <f aca="false">-(AI62-AH62)*Inputs!$E$79</f>
        <v>-0</v>
      </c>
      <c r="AJ63" s="69" t="n">
        <f aca="false">-(AJ62-AI62)*Inputs!$E$79</f>
        <v>-0</v>
      </c>
      <c r="AK63" s="69" t="n">
        <f aca="false">-(AK62-AJ62)*Inputs!$E$79</f>
        <v>-0</v>
      </c>
      <c r="AL63" s="69" t="n">
        <f aca="false">-(AL62-AK62)*Inputs!$E$79</f>
        <v>-0</v>
      </c>
    </row>
    <row r="64" customFormat="false" ht="15" hidden="false" customHeight="false" outlineLevel="0" collapsed="false">
      <c r="A64" s="113" t="s">
        <v>50</v>
      </c>
      <c r="C64" s="70" t="n">
        <f aca="false">C60+C63</f>
        <v>-102437.476634789</v>
      </c>
      <c r="D64" s="70" t="n">
        <f aca="false">D60+D63</f>
        <v>-96802.8601263196</v>
      </c>
      <c r="E64" s="70" t="n">
        <f aca="false">E60+E63</f>
        <v>-81346.6973463849</v>
      </c>
      <c r="F64" s="70" t="n">
        <f aca="false">F60+F63</f>
        <v>-74175.9785983407</v>
      </c>
      <c r="G64" s="70" t="n">
        <f aca="false">G60+G63</f>
        <v>-66877.5392626404</v>
      </c>
      <c r="H64" s="70" t="n">
        <f aca="false">H60+H63</f>
        <v>-59456.4881627903</v>
      </c>
      <c r="I64" s="70" t="n">
        <f aca="false">I60+I63</f>
        <v>-51917.7297693565</v>
      </c>
      <c r="J64" s="70" t="n">
        <f aca="false">J60+J63</f>
        <v>-44265.9723740822</v>
      </c>
      <c r="K64" s="70" t="n">
        <f aca="false">K60+K63</f>
        <v>-36505.7359370411</v>
      </c>
      <c r="L64" s="70" t="n">
        <f aca="false">L60+L63</f>
        <v>-28641.3596199039</v>
      </c>
      <c r="M64" s="70" t="n">
        <f aca="false">M60+M63</f>
        <v>-26323.1435999967</v>
      </c>
      <c r="N64" s="70" t="n">
        <f aca="false">N60+N63</f>
        <v>-40481.3508386496</v>
      </c>
      <c r="O64" s="70" t="n">
        <f aca="false">O60+O63</f>
        <v>-36947.2922070597</v>
      </c>
      <c r="P64" s="70" t="n">
        <f aca="false">P60+P63</f>
        <v>-35000.2858276473</v>
      </c>
      <c r="Q64" s="70" t="n">
        <f aca="false">Q60+Q63</f>
        <v>-16648.4107076926</v>
      </c>
      <c r="R64" s="70" t="n">
        <f aca="false">R60+R63</f>
        <v>-14594.2730527482</v>
      </c>
      <c r="S64" s="70" t="n">
        <f aca="false">S60+S63</f>
        <v>-12615.2175706683</v>
      </c>
      <c r="T64" s="70" t="n">
        <f aca="false">T60+T63</f>
        <v>-10708.2409745382</v>
      </c>
      <c r="U64" s="70" t="n">
        <f aca="false">U60+U63</f>
        <v>-8870.46010892004</v>
      </c>
      <c r="V64" s="70" t="n">
        <f aca="false">V60+V63</f>
        <v>-7099.10714459323</v>
      </c>
      <c r="W64" s="70" t="n">
        <f aca="false">W60+W63</f>
        <v>-5391.52496550617</v>
      </c>
      <c r="X64" s="70" t="n">
        <f aca="false">X60+X63</f>
        <v>-3745.16274024923</v>
      </c>
      <c r="Y64" s="70" t="n">
        <f aca="false">Y60+Y63</f>
        <v>-2157.5716706693</v>
      </c>
      <c r="Z64" s="70" t="n">
        <f aca="false">Z60+Z63</f>
        <v>-16506.2445679711</v>
      </c>
      <c r="AA64" s="70" t="n">
        <f aca="false">AA60+AA63</f>
        <v>-13836.9896344949</v>
      </c>
      <c r="AB64" s="70" t="n">
        <f aca="false">AB60+AB63</f>
        <v>-12575.1731477804</v>
      </c>
      <c r="AC64" s="70" t="n">
        <f aca="false">AC60+AC63</f>
        <v>4668.91146180315</v>
      </c>
      <c r="AD64" s="70" t="n">
        <f aca="false">AD60+AD63</f>
        <v>6121.70420284503</v>
      </c>
      <c r="AE64" s="70" t="n">
        <f aca="false">AE60+AE63</f>
        <v>7523.46856757859</v>
      </c>
      <c r="AF64" s="70" t="n">
        <f aca="false">AF60+AF63</f>
        <v>8876.24569105615</v>
      </c>
      <c r="AG64" s="70" t="n">
        <f aca="false">AG60+AG63</f>
        <v>10181.9950629279</v>
      </c>
      <c r="AH64" s="70" t="n">
        <f aca="false">AH60+AH63</f>
        <v>11442.5977932581</v>
      </c>
      <c r="AI64" s="70" t="n">
        <f aca="false">AI60+AI63</f>
        <v>12659.8597477085</v>
      </c>
      <c r="AJ64" s="70" t="n">
        <f aca="false">AJ60+AJ63</f>
        <v>13835.5145573142</v>
      </c>
      <c r="AK64" s="70" t="n">
        <f aca="false">AK60+AK63</f>
        <v>14971.226507869</v>
      </c>
      <c r="AL64" s="70" t="n">
        <f aca="false">AL60+AL63</f>
        <v>452.717588670192</v>
      </c>
    </row>
    <row r="66" customFormat="false" ht="15.75" hidden="false" customHeight="true" outlineLevel="0" collapsed="false">
      <c r="A66" s="7" t="s">
        <v>419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420</v>
      </c>
      <c r="C67" s="69" t="n">
        <f aca="false">IF(C$4=1,Inputs!$E$49,0)</f>
        <v>1650000</v>
      </c>
      <c r="D67" s="69" t="n">
        <f aca="false">IF(D$4=1,Inputs!$E$49,0)</f>
        <v>0</v>
      </c>
      <c r="E67" s="69" t="n">
        <f aca="false">IF(E$4=1,Inputs!$E$49,0)</f>
        <v>0</v>
      </c>
      <c r="F67" s="69" t="n">
        <f aca="false">IF(F$4=1,Inputs!$E$49,0)</f>
        <v>0</v>
      </c>
      <c r="G67" s="69" t="n">
        <f aca="false">IF(G$4=1,Inputs!$E$49,0)</f>
        <v>0</v>
      </c>
      <c r="H67" s="69" t="n">
        <f aca="false">IF(H$4=1,Inputs!$E$49,0)</f>
        <v>0</v>
      </c>
      <c r="I67" s="69" t="n">
        <f aca="false">IF(I$4=1,Inputs!$E$49,0)</f>
        <v>0</v>
      </c>
      <c r="J67" s="69" t="n">
        <f aca="false">IF(J$4=1,Inputs!$E$49,0)</f>
        <v>0</v>
      </c>
      <c r="K67" s="69" t="n">
        <f aca="false">IF(K$4=1,Inputs!$E$49,0)</f>
        <v>0</v>
      </c>
      <c r="L67" s="69" t="n">
        <f aca="false">IF(L$4=1,Inputs!$E$49,0)</f>
        <v>0</v>
      </c>
      <c r="M67" s="69" t="n">
        <f aca="false">IF(M$4=1,Inputs!$E$49,0)</f>
        <v>0</v>
      </c>
      <c r="N67" s="69" t="n">
        <f aca="false">IF(N$4=1,Inputs!$E$49,0)</f>
        <v>0</v>
      </c>
      <c r="O67" s="69" t="n">
        <f aca="false">IF(O$4=1,Inputs!$E$49,0)</f>
        <v>0</v>
      </c>
      <c r="P67" s="69" t="n">
        <f aca="false">IF(P$4=1,Inputs!$E$49,0)</f>
        <v>0</v>
      </c>
      <c r="Q67" s="69" t="n">
        <f aca="false">IF(Q$4=1,Inputs!$E$49,0)</f>
        <v>0</v>
      </c>
      <c r="R67" s="69" t="n">
        <f aca="false">IF(R$4=1,Inputs!$E$49,0)</f>
        <v>0</v>
      </c>
      <c r="S67" s="69" t="n">
        <f aca="false">IF(S$4=1,Inputs!$E$49,0)</f>
        <v>0</v>
      </c>
      <c r="T67" s="69" t="n">
        <f aca="false">IF(T$4=1,Inputs!$E$49,0)</f>
        <v>0</v>
      </c>
      <c r="U67" s="69" t="n">
        <f aca="false">IF(U$4=1,Inputs!$E$49,0)</f>
        <v>0</v>
      </c>
      <c r="V67" s="69" t="n">
        <f aca="false">IF(V$4=1,Inputs!$E$49,0)</f>
        <v>0</v>
      </c>
      <c r="W67" s="69" t="n">
        <f aca="false">IF(W$4=1,Inputs!$E$49,0)</f>
        <v>0</v>
      </c>
      <c r="X67" s="69" t="n">
        <f aca="false">IF(X$4=1,Inputs!$E$49,0)</f>
        <v>0</v>
      </c>
      <c r="Y67" s="69" t="n">
        <f aca="false">IF(Y$4=1,Inputs!$E$49,0)</f>
        <v>0</v>
      </c>
      <c r="Z67" s="69" t="n">
        <f aca="false">IF(Z$4=1,Inputs!$E$49,0)</f>
        <v>0</v>
      </c>
      <c r="AA67" s="69" t="n">
        <f aca="false">IF(AA$4=1,Inputs!$E$49,0)</f>
        <v>0</v>
      </c>
      <c r="AB67" s="69" t="n">
        <f aca="false">IF(AB$4=1,Inputs!$E$49,0)</f>
        <v>0</v>
      </c>
      <c r="AC67" s="69" t="n">
        <f aca="false">IF(AC$4=1,Inputs!$E$49,0)</f>
        <v>0</v>
      </c>
      <c r="AD67" s="69" t="n">
        <f aca="false">IF(AD$4=1,Inputs!$E$49,0)</f>
        <v>0</v>
      </c>
      <c r="AE67" s="69" t="n">
        <f aca="false">IF(AE$4=1,Inputs!$E$49,0)</f>
        <v>0</v>
      </c>
      <c r="AF67" s="69" t="n">
        <f aca="false">IF(AF$4=1,Inputs!$E$49,0)</f>
        <v>0</v>
      </c>
      <c r="AG67" s="69" t="n">
        <f aca="false">IF(AG$4=1,Inputs!$E$49,0)</f>
        <v>0</v>
      </c>
      <c r="AH67" s="69" t="n">
        <f aca="false">IF(AH$4=1,Inputs!$E$49,0)</f>
        <v>0</v>
      </c>
      <c r="AI67" s="69" t="n">
        <f aca="false">IF(AI$4=1,Inputs!$E$49,0)</f>
        <v>0</v>
      </c>
      <c r="AJ67" s="69" t="n">
        <f aca="false">IF(AJ$4=1,Inputs!$E$49,0)</f>
        <v>0</v>
      </c>
      <c r="AK67" s="69" t="n">
        <f aca="false">IF(AK$4=1,Inputs!$E$49,0)</f>
        <v>0</v>
      </c>
      <c r="AL67" s="69" t="n">
        <f aca="false">IF(AL$4=1,Inputs!$E$49,0)</f>
        <v>0</v>
      </c>
    </row>
    <row r="68" customFormat="false" ht="15" hidden="false" customHeight="false" outlineLevel="0" collapsed="false">
      <c r="A68" s="6" t="s">
        <v>421</v>
      </c>
      <c r="C68" s="69" t="n">
        <f aca="false">IF(C$4=1,Inputs!$E$50,0)</f>
        <v>2300000</v>
      </c>
      <c r="D68" s="69" t="n">
        <f aca="false">IF(D$4=1,Inputs!$E$50,0)</f>
        <v>0</v>
      </c>
      <c r="E68" s="69" t="n">
        <f aca="false">IF(E$4=1,Inputs!$E$50,0)</f>
        <v>0</v>
      </c>
      <c r="F68" s="69" t="n">
        <f aca="false">IF(F$4=1,Inputs!$E$50,0)</f>
        <v>0</v>
      </c>
      <c r="G68" s="69" t="n">
        <f aca="false">IF(G$4=1,Inputs!$E$50,0)</f>
        <v>0</v>
      </c>
      <c r="H68" s="69" t="n">
        <f aca="false">IF(H$4=1,Inputs!$E$50,0)</f>
        <v>0</v>
      </c>
      <c r="I68" s="69" t="n">
        <f aca="false">IF(I$4=1,Inputs!$E$50,0)</f>
        <v>0</v>
      </c>
      <c r="J68" s="69" t="n">
        <f aca="false">IF(J$4=1,Inputs!$E$50,0)</f>
        <v>0</v>
      </c>
      <c r="K68" s="69" t="n">
        <f aca="false">IF(K$4=1,Inputs!$E$50,0)</f>
        <v>0</v>
      </c>
      <c r="L68" s="69" t="n">
        <f aca="false">IF(L$4=1,Inputs!$E$50,0)</f>
        <v>0</v>
      </c>
      <c r="M68" s="69" t="n">
        <f aca="false">IF(M$4=1,Inputs!$E$50,0)</f>
        <v>0</v>
      </c>
      <c r="N68" s="69" t="n">
        <f aca="false">IF(N$4=1,Inputs!$E$50,0)</f>
        <v>0</v>
      </c>
      <c r="O68" s="69" t="n">
        <f aca="false">IF(O$4=1,Inputs!$E$50,0)</f>
        <v>0</v>
      </c>
      <c r="P68" s="69" t="n">
        <f aca="false">IF(P$4=1,Inputs!$E$50,0)</f>
        <v>0</v>
      </c>
      <c r="Q68" s="69" t="n">
        <f aca="false">IF(Q$4=1,Inputs!$E$50,0)</f>
        <v>0</v>
      </c>
      <c r="R68" s="69" t="n">
        <f aca="false">IF(R$4=1,Inputs!$E$50,0)</f>
        <v>0</v>
      </c>
      <c r="S68" s="69" t="n">
        <f aca="false">IF(S$4=1,Inputs!$E$50,0)</f>
        <v>0</v>
      </c>
      <c r="T68" s="69" t="n">
        <f aca="false">IF(T$4=1,Inputs!$E$50,0)</f>
        <v>0</v>
      </c>
      <c r="U68" s="69" t="n">
        <f aca="false">IF(U$4=1,Inputs!$E$50,0)</f>
        <v>0</v>
      </c>
      <c r="V68" s="69" t="n">
        <f aca="false">IF(V$4=1,Inputs!$E$50,0)</f>
        <v>0</v>
      </c>
      <c r="W68" s="69" t="n">
        <f aca="false">IF(W$4=1,Inputs!$E$50,0)</f>
        <v>0</v>
      </c>
      <c r="X68" s="69" t="n">
        <f aca="false">IF(X$4=1,Inputs!$E$50,0)</f>
        <v>0</v>
      </c>
      <c r="Y68" s="69" t="n">
        <f aca="false">IF(Y$4=1,Inputs!$E$50,0)</f>
        <v>0</v>
      </c>
      <c r="Z68" s="69" t="n">
        <f aca="false">IF(Z$4=1,Inputs!$E$50,0)</f>
        <v>0</v>
      </c>
      <c r="AA68" s="69" t="n">
        <f aca="false">IF(AA$4=1,Inputs!$E$50,0)</f>
        <v>0</v>
      </c>
      <c r="AB68" s="69" t="n">
        <f aca="false">IF(AB$4=1,Inputs!$E$50,0)</f>
        <v>0</v>
      </c>
      <c r="AC68" s="69" t="n">
        <f aca="false">IF(AC$4=1,Inputs!$E$50,0)</f>
        <v>0</v>
      </c>
      <c r="AD68" s="69" t="n">
        <f aca="false">IF(AD$4=1,Inputs!$E$50,0)</f>
        <v>0</v>
      </c>
      <c r="AE68" s="69" t="n">
        <f aca="false">IF(AE$4=1,Inputs!$E$50,0)</f>
        <v>0</v>
      </c>
      <c r="AF68" s="69" t="n">
        <f aca="false">IF(AF$4=1,Inputs!$E$50,0)</f>
        <v>0</v>
      </c>
      <c r="AG68" s="69" t="n">
        <f aca="false">IF(AG$4=1,Inputs!$E$50,0)</f>
        <v>0</v>
      </c>
      <c r="AH68" s="69" t="n">
        <f aca="false">IF(AH$4=1,Inputs!$E$50,0)</f>
        <v>0</v>
      </c>
      <c r="AI68" s="69" t="n">
        <f aca="false">IF(AI$4=1,Inputs!$E$50,0)</f>
        <v>0</v>
      </c>
      <c r="AJ68" s="69" t="n">
        <f aca="false">IF(AJ$4=1,Inputs!$E$50,0)</f>
        <v>0</v>
      </c>
      <c r="AK68" s="69" t="n">
        <f aca="false">IF(AK$4=1,Inputs!$E$50,0)</f>
        <v>0</v>
      </c>
      <c r="AL68" s="69" t="n">
        <f aca="false">IF(AL$4=1,Inputs!$E$50,0)</f>
        <v>0</v>
      </c>
    </row>
    <row r="69" customFormat="false" ht="15" hidden="false" customHeight="false" outlineLevel="0" collapsed="false">
      <c r="A69" s="6" t="s">
        <v>422</v>
      </c>
      <c r="C69" s="69" t="n">
        <f aca="false">IF(C$4=1,Inputs!$E$51,0)</f>
        <v>150000</v>
      </c>
      <c r="D69" s="69" t="n">
        <f aca="false">IF(D$4=1,Inputs!$E$51,0)</f>
        <v>0</v>
      </c>
      <c r="E69" s="69" t="n">
        <f aca="false">IF(E$4=1,Inputs!$E$51,0)</f>
        <v>0</v>
      </c>
      <c r="F69" s="69" t="n">
        <f aca="false">IF(F$4=1,Inputs!$E$51,0)</f>
        <v>0</v>
      </c>
      <c r="G69" s="69" t="n">
        <f aca="false">IF(G$4=1,Inputs!$E$51,0)</f>
        <v>0</v>
      </c>
      <c r="H69" s="69" t="n">
        <f aca="false">IF(H$4=1,Inputs!$E$51,0)</f>
        <v>0</v>
      </c>
      <c r="I69" s="69" t="n">
        <f aca="false">IF(I$4=1,Inputs!$E$51,0)</f>
        <v>0</v>
      </c>
      <c r="J69" s="69" t="n">
        <f aca="false">IF(J$4=1,Inputs!$E$51,0)</f>
        <v>0</v>
      </c>
      <c r="K69" s="69" t="n">
        <f aca="false">IF(K$4=1,Inputs!$E$51,0)</f>
        <v>0</v>
      </c>
      <c r="L69" s="69" t="n">
        <f aca="false">IF(L$4=1,Inputs!$E$51,0)</f>
        <v>0</v>
      </c>
      <c r="M69" s="69" t="n">
        <f aca="false">IF(M$4=1,Inputs!$E$51,0)</f>
        <v>0</v>
      </c>
      <c r="N69" s="69" t="n">
        <f aca="false">IF(N$4=1,Inputs!$E$51,0)</f>
        <v>0</v>
      </c>
      <c r="O69" s="69" t="n">
        <f aca="false">IF(O$4=1,Inputs!$E$51,0)</f>
        <v>0</v>
      </c>
      <c r="P69" s="69" t="n">
        <f aca="false">IF(P$4=1,Inputs!$E$51,0)</f>
        <v>0</v>
      </c>
      <c r="Q69" s="69" t="n">
        <f aca="false">IF(Q$4=1,Inputs!$E$51,0)</f>
        <v>0</v>
      </c>
      <c r="R69" s="69" t="n">
        <f aca="false">IF(R$4=1,Inputs!$E$51,0)</f>
        <v>0</v>
      </c>
      <c r="S69" s="69" t="n">
        <f aca="false">IF(S$4=1,Inputs!$E$51,0)</f>
        <v>0</v>
      </c>
      <c r="T69" s="69" t="n">
        <f aca="false">IF(T$4=1,Inputs!$E$51,0)</f>
        <v>0</v>
      </c>
      <c r="U69" s="69" t="n">
        <f aca="false">IF(U$4=1,Inputs!$E$51,0)</f>
        <v>0</v>
      </c>
      <c r="V69" s="69" t="n">
        <f aca="false">IF(V$4=1,Inputs!$E$51,0)</f>
        <v>0</v>
      </c>
      <c r="W69" s="69" t="n">
        <f aca="false">IF(W$4=1,Inputs!$E$51,0)</f>
        <v>0</v>
      </c>
      <c r="X69" s="69" t="n">
        <f aca="false">IF(X$4=1,Inputs!$E$51,0)</f>
        <v>0</v>
      </c>
      <c r="Y69" s="69" t="n">
        <f aca="false">IF(Y$4=1,Inputs!$E$51,0)</f>
        <v>0</v>
      </c>
      <c r="Z69" s="69" t="n">
        <f aca="false">IF(Z$4=1,Inputs!$E$51,0)</f>
        <v>0</v>
      </c>
      <c r="AA69" s="69" t="n">
        <f aca="false">IF(AA$4=1,Inputs!$E$51,0)</f>
        <v>0</v>
      </c>
      <c r="AB69" s="69" t="n">
        <f aca="false">IF(AB$4=1,Inputs!$E$51,0)</f>
        <v>0</v>
      </c>
      <c r="AC69" s="69" t="n">
        <f aca="false">IF(AC$4=1,Inputs!$E$51,0)</f>
        <v>0</v>
      </c>
      <c r="AD69" s="69" t="n">
        <f aca="false">IF(AD$4=1,Inputs!$E$51,0)</f>
        <v>0</v>
      </c>
      <c r="AE69" s="69" t="n">
        <f aca="false">IF(AE$4=1,Inputs!$E$51,0)</f>
        <v>0</v>
      </c>
      <c r="AF69" s="69" t="n">
        <f aca="false">IF(AF$4=1,Inputs!$E$51,0)</f>
        <v>0</v>
      </c>
      <c r="AG69" s="69" t="n">
        <f aca="false">IF(AG$4=1,Inputs!$E$51,0)</f>
        <v>0</v>
      </c>
      <c r="AH69" s="69" t="n">
        <f aca="false">IF(AH$4=1,Inputs!$E$51,0)</f>
        <v>0</v>
      </c>
      <c r="AI69" s="69" t="n">
        <f aca="false">IF(AI$4=1,Inputs!$E$51,0)</f>
        <v>0</v>
      </c>
      <c r="AJ69" s="69" t="n">
        <f aca="false">IF(AJ$4=1,Inputs!$E$51,0)</f>
        <v>0</v>
      </c>
      <c r="AK69" s="69" t="n">
        <f aca="false">IF(AK$4=1,Inputs!$E$51,0)</f>
        <v>0</v>
      </c>
      <c r="AL69" s="69" t="n">
        <f aca="false">IF(AL$4=1,Inputs!$E$51,0)</f>
        <v>0</v>
      </c>
    </row>
    <row r="70" customFormat="false" ht="15" hidden="false" customHeight="false" outlineLevel="0" collapsed="false">
      <c r="A70" s="6" t="s">
        <v>423</v>
      </c>
      <c r="C70" s="69" t="n">
        <f aca="false">IF(AND(C$5&gt;1,MOD(C$4-1,12)=0),Inputs!$E$52,0)</f>
        <v>0</v>
      </c>
      <c r="D70" s="69" t="n">
        <f aca="false">IF(AND(D$5&gt;1,MOD(D$4-1,12)=0),Inputs!$E$52,0)</f>
        <v>0</v>
      </c>
      <c r="E70" s="69" t="n">
        <f aca="false">IF(AND(E$5&gt;1,MOD(E$4-1,12)=0),Inputs!$E$52,0)</f>
        <v>0</v>
      </c>
      <c r="F70" s="69" t="n">
        <f aca="false">IF(AND(F$5&gt;1,MOD(F$4-1,12)=0),Inputs!$E$52,0)</f>
        <v>0</v>
      </c>
      <c r="G70" s="69" t="n">
        <f aca="false">IF(AND(G$5&gt;1,MOD(G$4-1,12)=0),Inputs!$E$52,0)</f>
        <v>0</v>
      </c>
      <c r="H70" s="69" t="n">
        <f aca="false">IF(AND(H$5&gt;1,MOD(H$4-1,12)=0),Inputs!$E$52,0)</f>
        <v>0</v>
      </c>
      <c r="I70" s="69" t="n">
        <f aca="false">IF(AND(I$5&gt;1,MOD(I$4-1,12)=0),Inputs!$E$52,0)</f>
        <v>0</v>
      </c>
      <c r="J70" s="69" t="n">
        <f aca="false">IF(AND(J$5&gt;1,MOD(J$4-1,12)=0),Inputs!$E$52,0)</f>
        <v>0</v>
      </c>
      <c r="K70" s="69" t="n">
        <f aca="false">IF(AND(K$5&gt;1,MOD(K$4-1,12)=0),Inputs!$E$52,0)</f>
        <v>0</v>
      </c>
      <c r="L70" s="69" t="n">
        <f aca="false">IF(AND(L$5&gt;1,MOD(L$4-1,12)=0),Inputs!$E$52,0)</f>
        <v>0</v>
      </c>
      <c r="M70" s="69" t="n">
        <f aca="false">IF(AND(M$5&gt;1,MOD(M$4-1,12)=0),Inputs!$E$52,0)</f>
        <v>0</v>
      </c>
      <c r="N70" s="69" t="n">
        <f aca="false">IF(AND(N$5&gt;1,MOD(N$4-1,12)=0),Inputs!$E$52,0)</f>
        <v>0</v>
      </c>
      <c r="O70" s="69" t="n">
        <f aca="false">IF(AND(O$5&gt;1,MOD(O$4-1,12)=0),Inputs!$E$52,0)</f>
        <v>40000</v>
      </c>
      <c r="P70" s="69" t="n">
        <f aca="false">IF(AND(P$5&gt;1,MOD(P$4-1,12)=0),Inputs!$E$52,0)</f>
        <v>0</v>
      </c>
      <c r="Q70" s="69" t="n">
        <f aca="false">IF(AND(Q$5&gt;1,MOD(Q$4-1,12)=0),Inputs!$E$52,0)</f>
        <v>0</v>
      </c>
      <c r="R70" s="69" t="n">
        <f aca="false">IF(AND(R$5&gt;1,MOD(R$4-1,12)=0),Inputs!$E$52,0)</f>
        <v>0</v>
      </c>
      <c r="S70" s="69" t="n">
        <f aca="false">IF(AND(S$5&gt;1,MOD(S$4-1,12)=0),Inputs!$E$52,0)</f>
        <v>0</v>
      </c>
      <c r="T70" s="69" t="n">
        <f aca="false">IF(AND(T$5&gt;1,MOD(T$4-1,12)=0),Inputs!$E$52,0)</f>
        <v>0</v>
      </c>
      <c r="U70" s="69" t="n">
        <f aca="false">IF(AND(U$5&gt;1,MOD(U$4-1,12)=0),Inputs!$E$52,0)</f>
        <v>0</v>
      </c>
      <c r="V70" s="69" t="n">
        <f aca="false">IF(AND(V$5&gt;1,MOD(V$4-1,12)=0),Inputs!$E$52,0)</f>
        <v>0</v>
      </c>
      <c r="W70" s="69" t="n">
        <f aca="false">IF(AND(W$5&gt;1,MOD(W$4-1,12)=0),Inputs!$E$52,0)</f>
        <v>0</v>
      </c>
      <c r="X70" s="69" t="n">
        <f aca="false">IF(AND(X$5&gt;1,MOD(X$4-1,12)=0),Inputs!$E$52,0)</f>
        <v>0</v>
      </c>
      <c r="Y70" s="69" t="n">
        <f aca="false">IF(AND(Y$5&gt;1,MOD(Y$4-1,12)=0),Inputs!$E$52,0)</f>
        <v>0</v>
      </c>
      <c r="Z70" s="69" t="n">
        <f aca="false">IF(AND(Z$5&gt;1,MOD(Z$4-1,12)=0),Inputs!$E$52,0)</f>
        <v>0</v>
      </c>
      <c r="AA70" s="69" t="n">
        <f aca="false">IF(AND(AA$5&gt;1,MOD(AA$4-1,12)=0),Inputs!$E$52,0)</f>
        <v>40000</v>
      </c>
      <c r="AB70" s="69" t="n">
        <f aca="false">IF(AND(AB$5&gt;1,MOD(AB$4-1,12)=0),Inputs!$E$52,0)</f>
        <v>0</v>
      </c>
      <c r="AC70" s="69" t="n">
        <f aca="false">IF(AND(AC$5&gt;1,MOD(AC$4-1,12)=0),Inputs!$E$52,0)</f>
        <v>0</v>
      </c>
      <c r="AD70" s="69" t="n">
        <f aca="false">IF(AND(AD$5&gt;1,MOD(AD$4-1,12)=0),Inputs!$E$52,0)</f>
        <v>0</v>
      </c>
      <c r="AE70" s="69" t="n">
        <f aca="false">IF(AND(AE$5&gt;1,MOD(AE$4-1,12)=0),Inputs!$E$52,0)</f>
        <v>0</v>
      </c>
      <c r="AF70" s="69" t="n">
        <f aca="false">IF(AND(AF$5&gt;1,MOD(AF$4-1,12)=0),Inputs!$E$52,0)</f>
        <v>0</v>
      </c>
      <c r="AG70" s="69" t="n">
        <f aca="false">IF(AND(AG$5&gt;1,MOD(AG$4-1,12)=0),Inputs!$E$52,0)</f>
        <v>0</v>
      </c>
      <c r="AH70" s="69" t="n">
        <f aca="false">IF(AND(AH$5&gt;1,MOD(AH$4-1,12)=0),Inputs!$E$52,0)</f>
        <v>0</v>
      </c>
      <c r="AI70" s="69" t="n">
        <f aca="false">IF(AND(AI$5&gt;1,MOD(AI$4-1,12)=0),Inputs!$E$52,0)</f>
        <v>0</v>
      </c>
      <c r="AJ70" s="69" t="n">
        <f aca="false">IF(AND(AJ$5&gt;1,MOD(AJ$4-1,12)=0),Inputs!$E$52,0)</f>
        <v>0</v>
      </c>
      <c r="AK70" s="69" t="n">
        <f aca="false">IF(AND(AK$5&gt;1,MOD(AK$4-1,12)=0),Inputs!$E$52,0)</f>
        <v>0</v>
      </c>
      <c r="AL70" s="69" t="n">
        <f aca="false">IF(AND(AL$5&gt;1,MOD(AL$4-1,12)=0),Inputs!$E$52,0)</f>
        <v>0</v>
      </c>
    </row>
    <row r="71" customFormat="false" ht="15" hidden="false" customHeight="false" outlineLevel="0" collapsed="false">
      <c r="A71" s="4" t="s">
        <v>84</v>
      </c>
      <c r="C71" s="75" t="n">
        <f aca="false">C67+C68+C69+C70</f>
        <v>4100000</v>
      </c>
      <c r="D71" s="75" t="n">
        <f aca="false">D67+D68+D69+D70</f>
        <v>0</v>
      </c>
      <c r="E71" s="75" t="n">
        <f aca="false">E67+E68+E69+E70</f>
        <v>0</v>
      </c>
      <c r="F71" s="75" t="n">
        <f aca="false">F67+F68+F69+F70</f>
        <v>0</v>
      </c>
      <c r="G71" s="75" t="n">
        <f aca="false">G67+G68+G69+G70</f>
        <v>0</v>
      </c>
      <c r="H71" s="75" t="n">
        <f aca="false">H67+H68+H69+H70</f>
        <v>0</v>
      </c>
      <c r="I71" s="75" t="n">
        <f aca="false">I67+I68+I69+I70</f>
        <v>0</v>
      </c>
      <c r="J71" s="75" t="n">
        <f aca="false">J67+J68+J69+J70</f>
        <v>0</v>
      </c>
      <c r="K71" s="75" t="n">
        <f aca="false">K67+K68+K69+K70</f>
        <v>0</v>
      </c>
      <c r="L71" s="75" t="n">
        <f aca="false">L67+L68+L69+L70</f>
        <v>0</v>
      </c>
      <c r="M71" s="75" t="n">
        <f aca="false">M67+M68+M69+M70</f>
        <v>0</v>
      </c>
      <c r="N71" s="75" t="n">
        <f aca="false">N67+N68+N69+N70</f>
        <v>0</v>
      </c>
      <c r="O71" s="75" t="n">
        <f aca="false">O67+O68+O69+O70</f>
        <v>40000</v>
      </c>
      <c r="P71" s="75" t="n">
        <f aca="false">P67+P68+P69+P70</f>
        <v>0</v>
      </c>
      <c r="Q71" s="75" t="n">
        <f aca="false">Q67+Q68+Q69+Q70</f>
        <v>0</v>
      </c>
      <c r="R71" s="75" t="n">
        <f aca="false">R67+R68+R69+R70</f>
        <v>0</v>
      </c>
      <c r="S71" s="75" t="n">
        <f aca="false">S67+S68+S69+S70</f>
        <v>0</v>
      </c>
      <c r="T71" s="75" t="n">
        <f aca="false">T67+T68+T69+T70</f>
        <v>0</v>
      </c>
      <c r="U71" s="75" t="n">
        <f aca="false">U67+U68+U69+U70</f>
        <v>0</v>
      </c>
      <c r="V71" s="75" t="n">
        <f aca="false">V67+V68+V69+V70</f>
        <v>0</v>
      </c>
      <c r="W71" s="75" t="n">
        <f aca="false">W67+W68+W69+W70</f>
        <v>0</v>
      </c>
      <c r="X71" s="75" t="n">
        <f aca="false">X67+X68+X69+X70</f>
        <v>0</v>
      </c>
      <c r="Y71" s="75" t="n">
        <f aca="false">Y67+Y68+Y69+Y70</f>
        <v>0</v>
      </c>
      <c r="Z71" s="75" t="n">
        <f aca="false">Z67+Z68+Z69+Z70</f>
        <v>0</v>
      </c>
      <c r="AA71" s="75" t="n">
        <f aca="false">AA67+AA68+AA69+AA70</f>
        <v>40000</v>
      </c>
      <c r="AB71" s="75" t="n">
        <f aca="false">AB67+AB68+AB69+AB70</f>
        <v>0</v>
      </c>
      <c r="AC71" s="75" t="n">
        <f aca="false">AC67+AC68+AC69+AC70</f>
        <v>0</v>
      </c>
      <c r="AD71" s="75" t="n">
        <f aca="false">AD67+AD68+AD69+AD70</f>
        <v>0</v>
      </c>
      <c r="AE71" s="75" t="n">
        <f aca="false">AE67+AE68+AE69+AE70</f>
        <v>0</v>
      </c>
      <c r="AF71" s="75" t="n">
        <f aca="false">AF67+AF68+AF69+AF70</f>
        <v>0</v>
      </c>
      <c r="AG71" s="75" t="n">
        <f aca="false">AG67+AG68+AG69+AG70</f>
        <v>0</v>
      </c>
      <c r="AH71" s="75" t="n">
        <f aca="false">AH67+AH68+AH69+AH70</f>
        <v>0</v>
      </c>
      <c r="AI71" s="75" t="n">
        <f aca="false">AI67+AI68+AI69+AI70</f>
        <v>0</v>
      </c>
      <c r="AJ71" s="75" t="n">
        <f aca="false">AJ67+AJ68+AJ69+AJ70</f>
        <v>0</v>
      </c>
      <c r="AK71" s="75" t="n">
        <f aca="false">AK67+AK68+AK69+AK70</f>
        <v>0</v>
      </c>
      <c r="AL71" s="75" t="n">
        <f aca="false">AL67+AL68+AL69+AL70</f>
        <v>0</v>
      </c>
    </row>
    <row r="72" customFormat="false" ht="15" hidden="false" customHeight="false" outlineLevel="0" collapsed="false">
      <c r="A72" s="6" t="s">
        <v>424</v>
      </c>
      <c r="C72" s="69" t="n">
        <f aca="false">C71</f>
        <v>4100000</v>
      </c>
      <c r="D72" s="69" t="n">
        <f aca="false">C72+D71</f>
        <v>4100000</v>
      </c>
      <c r="E72" s="69" t="n">
        <f aca="false">D72+E71</f>
        <v>4100000</v>
      </c>
      <c r="F72" s="69" t="n">
        <f aca="false">E72+F71</f>
        <v>4100000</v>
      </c>
      <c r="G72" s="69" t="n">
        <f aca="false">F72+G71</f>
        <v>4100000</v>
      </c>
      <c r="H72" s="69" t="n">
        <f aca="false">G72+H71</f>
        <v>4100000</v>
      </c>
      <c r="I72" s="69" t="n">
        <f aca="false">H72+I71</f>
        <v>4100000</v>
      </c>
      <c r="J72" s="69" t="n">
        <f aca="false">I72+J71</f>
        <v>4100000</v>
      </c>
      <c r="K72" s="69" t="n">
        <f aca="false">J72+K71</f>
        <v>4100000</v>
      </c>
      <c r="L72" s="69" t="n">
        <f aca="false">K72+L71</f>
        <v>4100000</v>
      </c>
      <c r="M72" s="69" t="n">
        <f aca="false">L72+M71</f>
        <v>4100000</v>
      </c>
      <c r="N72" s="69" t="n">
        <f aca="false">M72+N71</f>
        <v>4100000</v>
      </c>
      <c r="O72" s="69" t="n">
        <f aca="false">N72+O71</f>
        <v>4140000</v>
      </c>
      <c r="P72" s="69" t="n">
        <f aca="false">O72+P71</f>
        <v>4140000</v>
      </c>
      <c r="Q72" s="69" t="n">
        <f aca="false">P72+Q71</f>
        <v>4140000</v>
      </c>
      <c r="R72" s="69" t="n">
        <f aca="false">Q72+R71</f>
        <v>4140000</v>
      </c>
      <c r="S72" s="69" t="n">
        <f aca="false">R72+S71</f>
        <v>4140000</v>
      </c>
      <c r="T72" s="69" t="n">
        <f aca="false">S72+T71</f>
        <v>4140000</v>
      </c>
      <c r="U72" s="69" t="n">
        <f aca="false">T72+U71</f>
        <v>4140000</v>
      </c>
      <c r="V72" s="69" t="n">
        <f aca="false">U72+V71</f>
        <v>4140000</v>
      </c>
      <c r="W72" s="69" t="n">
        <f aca="false">V72+W71</f>
        <v>4140000</v>
      </c>
      <c r="X72" s="69" t="n">
        <f aca="false">W72+X71</f>
        <v>4140000</v>
      </c>
      <c r="Y72" s="69" t="n">
        <f aca="false">X72+Y71</f>
        <v>4140000</v>
      </c>
      <c r="Z72" s="69" t="n">
        <f aca="false">Y72+Z71</f>
        <v>4140000</v>
      </c>
      <c r="AA72" s="69" t="n">
        <f aca="false">Z72+AA71</f>
        <v>4180000</v>
      </c>
      <c r="AB72" s="69" t="n">
        <f aca="false">AA72+AB71</f>
        <v>4180000</v>
      </c>
      <c r="AC72" s="69" t="n">
        <f aca="false">AB72+AC71</f>
        <v>4180000</v>
      </c>
      <c r="AD72" s="69" t="n">
        <f aca="false">AC72+AD71</f>
        <v>4180000</v>
      </c>
      <c r="AE72" s="69" t="n">
        <f aca="false">AD72+AE71</f>
        <v>4180000</v>
      </c>
      <c r="AF72" s="69" t="n">
        <f aca="false">AE72+AF71</f>
        <v>4180000</v>
      </c>
      <c r="AG72" s="69" t="n">
        <f aca="false">AF72+AG71</f>
        <v>4180000</v>
      </c>
      <c r="AH72" s="69" t="n">
        <f aca="false">AG72+AH71</f>
        <v>4180000</v>
      </c>
      <c r="AI72" s="69" t="n">
        <f aca="false">AH72+AI71</f>
        <v>4180000</v>
      </c>
      <c r="AJ72" s="69" t="n">
        <f aca="false">AI72+AJ71</f>
        <v>4180000</v>
      </c>
      <c r="AK72" s="69" t="n">
        <f aca="false">AJ72+AK71</f>
        <v>4180000</v>
      </c>
      <c r="AL72" s="69" t="n">
        <f aca="false">AK72+AL71</f>
        <v>4180000</v>
      </c>
    </row>
    <row r="73" customFormat="false" ht="15" hidden="false" customHeight="false" outlineLevel="0" collapsed="false">
      <c r="A73" s="6" t="s">
        <v>78</v>
      </c>
      <c r="C73" s="69" t="n">
        <f aca="false">-MIN(C72/MAX(1,Inputs!$E$78*12),C71)</f>
        <v>-28472.2222222222</v>
      </c>
      <c r="D73" s="69" t="n">
        <f aca="false">-MIN(D72/MAX(1,Inputs!$E$78*12),C75+D71)</f>
        <v>-28472.2222222222</v>
      </c>
      <c r="E73" s="69" t="n">
        <f aca="false">-MIN(E72/MAX(1,Inputs!$E$78*12),D75+E71)</f>
        <v>-28472.2222222222</v>
      </c>
      <c r="F73" s="69" t="n">
        <f aca="false">-MIN(F72/MAX(1,Inputs!$E$78*12),E75+F71)</f>
        <v>-28472.2222222222</v>
      </c>
      <c r="G73" s="69" t="n">
        <f aca="false">-MIN(G72/MAX(1,Inputs!$E$78*12),F75+G71)</f>
        <v>-28472.2222222222</v>
      </c>
      <c r="H73" s="69" t="n">
        <f aca="false">-MIN(H72/MAX(1,Inputs!$E$78*12),G75+H71)</f>
        <v>-28472.2222222222</v>
      </c>
      <c r="I73" s="69" t="n">
        <f aca="false">-MIN(I72/MAX(1,Inputs!$E$78*12),H75+I71)</f>
        <v>-28472.2222222222</v>
      </c>
      <c r="J73" s="69" t="n">
        <f aca="false">-MIN(J72/MAX(1,Inputs!$E$78*12),I75+J71)</f>
        <v>-28472.2222222222</v>
      </c>
      <c r="K73" s="69" t="n">
        <f aca="false">-MIN(K72/MAX(1,Inputs!$E$78*12),J75+K71)</f>
        <v>-28472.2222222222</v>
      </c>
      <c r="L73" s="69" t="n">
        <f aca="false">-MIN(L72/MAX(1,Inputs!$E$78*12),K75+L71)</f>
        <v>-28472.2222222222</v>
      </c>
      <c r="M73" s="69" t="n">
        <f aca="false">-MIN(M72/MAX(1,Inputs!$E$78*12),L75+M71)</f>
        <v>-28472.2222222222</v>
      </c>
      <c r="N73" s="69" t="n">
        <f aca="false">-MIN(N72/MAX(1,Inputs!$E$78*12),M75+N71)</f>
        <v>-28472.2222222222</v>
      </c>
      <c r="O73" s="69" t="n">
        <f aca="false">-MIN(O72/MAX(1,Inputs!$E$78*12),N75+O71)</f>
        <v>-28750</v>
      </c>
      <c r="P73" s="69" t="n">
        <f aca="false">-MIN(P72/MAX(1,Inputs!$E$78*12),O75+P71)</f>
        <v>-28750</v>
      </c>
      <c r="Q73" s="69" t="n">
        <f aca="false">-MIN(Q72/MAX(1,Inputs!$E$78*12),P75+Q71)</f>
        <v>-28750</v>
      </c>
      <c r="R73" s="69" t="n">
        <f aca="false">-MIN(R72/MAX(1,Inputs!$E$78*12),Q75+R71)</f>
        <v>-28750</v>
      </c>
      <c r="S73" s="69" t="n">
        <f aca="false">-MIN(S72/MAX(1,Inputs!$E$78*12),R75+S71)</f>
        <v>-28750</v>
      </c>
      <c r="T73" s="69" t="n">
        <f aca="false">-MIN(T72/MAX(1,Inputs!$E$78*12),S75+T71)</f>
        <v>-28750</v>
      </c>
      <c r="U73" s="69" t="n">
        <f aca="false">-MIN(U72/MAX(1,Inputs!$E$78*12),T75+U71)</f>
        <v>-28750</v>
      </c>
      <c r="V73" s="69" t="n">
        <f aca="false">-MIN(V72/MAX(1,Inputs!$E$78*12),U75+V71)</f>
        <v>-28750</v>
      </c>
      <c r="W73" s="69" t="n">
        <f aca="false">-MIN(W72/MAX(1,Inputs!$E$78*12),V75+W71)</f>
        <v>-28750</v>
      </c>
      <c r="X73" s="69" t="n">
        <f aca="false">-MIN(X72/MAX(1,Inputs!$E$78*12),W75+X71)</f>
        <v>-28750</v>
      </c>
      <c r="Y73" s="69" t="n">
        <f aca="false">-MIN(Y72/MAX(1,Inputs!$E$78*12),X75+Y71)</f>
        <v>-28750</v>
      </c>
      <c r="Z73" s="69" t="n">
        <f aca="false">-MIN(Z72/MAX(1,Inputs!$E$78*12),Y75+Z71)</f>
        <v>-28750</v>
      </c>
      <c r="AA73" s="69" t="n">
        <f aca="false">-MIN(AA72/MAX(1,Inputs!$E$78*12),Z75+AA71)</f>
        <v>-29027.7777777778</v>
      </c>
      <c r="AB73" s="69" t="n">
        <f aca="false">-MIN(AB72/MAX(1,Inputs!$E$78*12),AA75+AB71)</f>
        <v>-29027.7777777778</v>
      </c>
      <c r="AC73" s="69" t="n">
        <f aca="false">-MIN(AC72/MAX(1,Inputs!$E$78*12),AB75+AC71)</f>
        <v>-29027.7777777778</v>
      </c>
      <c r="AD73" s="69" t="n">
        <f aca="false">-MIN(AD72/MAX(1,Inputs!$E$78*12),AC75+AD71)</f>
        <v>-29027.7777777778</v>
      </c>
      <c r="AE73" s="69" t="n">
        <f aca="false">-MIN(AE72/MAX(1,Inputs!$E$78*12),AD75+AE71)</f>
        <v>-29027.7777777778</v>
      </c>
      <c r="AF73" s="69" t="n">
        <f aca="false">-MIN(AF72/MAX(1,Inputs!$E$78*12),AE75+AF71)</f>
        <v>-29027.7777777778</v>
      </c>
      <c r="AG73" s="69" t="n">
        <f aca="false">-MIN(AG72/MAX(1,Inputs!$E$78*12),AF75+AG71)</f>
        <v>-29027.7777777778</v>
      </c>
      <c r="AH73" s="69" t="n">
        <f aca="false">-MIN(AH72/MAX(1,Inputs!$E$78*12),AG75+AH71)</f>
        <v>-29027.7777777778</v>
      </c>
      <c r="AI73" s="69" t="n">
        <f aca="false">-MIN(AI72/MAX(1,Inputs!$E$78*12),AH75+AI71)</f>
        <v>-29027.7777777778</v>
      </c>
      <c r="AJ73" s="69" t="n">
        <f aca="false">-MIN(AJ72/MAX(1,Inputs!$E$78*12),AI75+AJ71)</f>
        <v>-29027.7777777778</v>
      </c>
      <c r="AK73" s="69" t="n">
        <f aca="false">-MIN(AK72/MAX(1,Inputs!$E$78*12),AJ75+AK71)</f>
        <v>-29027.7777777778</v>
      </c>
      <c r="AL73" s="69" t="n">
        <f aca="false">-MIN(AL72/MAX(1,Inputs!$E$78*12),AK75+AL71)</f>
        <v>-29027.7777777778</v>
      </c>
    </row>
    <row r="74" customFormat="false" ht="15" hidden="false" customHeight="false" outlineLevel="0" collapsed="false">
      <c r="A74" s="6" t="s">
        <v>425</v>
      </c>
      <c r="C74" s="69" t="n">
        <f aca="false">C73</f>
        <v>-28472.2222222222</v>
      </c>
      <c r="D74" s="69" t="n">
        <f aca="false">C74+D73</f>
        <v>-56944.4444444444</v>
      </c>
      <c r="E74" s="69" t="n">
        <f aca="false">D74+E73</f>
        <v>-85416.6666666667</v>
      </c>
      <c r="F74" s="69" t="n">
        <f aca="false">E74+F73</f>
        <v>-113888.888888889</v>
      </c>
      <c r="G74" s="69" t="n">
        <f aca="false">F74+G73</f>
        <v>-142361.111111111</v>
      </c>
      <c r="H74" s="69" t="n">
        <f aca="false">G74+H73</f>
        <v>-170833.333333333</v>
      </c>
      <c r="I74" s="69" t="n">
        <f aca="false">H74+I73</f>
        <v>-199305.555555556</v>
      </c>
      <c r="J74" s="69" t="n">
        <f aca="false">I74+J73</f>
        <v>-227777.777777778</v>
      </c>
      <c r="K74" s="69" t="n">
        <f aca="false">J74+K73</f>
        <v>-256250</v>
      </c>
      <c r="L74" s="69" t="n">
        <f aca="false">K74+L73</f>
        <v>-284722.222222222</v>
      </c>
      <c r="M74" s="69" t="n">
        <f aca="false">L74+M73</f>
        <v>-313194.444444445</v>
      </c>
      <c r="N74" s="69" t="n">
        <f aca="false">M74+N73</f>
        <v>-341666.666666667</v>
      </c>
      <c r="O74" s="69" t="n">
        <f aca="false">N74+O73</f>
        <v>-370416.666666667</v>
      </c>
      <c r="P74" s="69" t="n">
        <f aca="false">O74+P73</f>
        <v>-399166.666666667</v>
      </c>
      <c r="Q74" s="69" t="n">
        <f aca="false">P74+Q73</f>
        <v>-427916.666666667</v>
      </c>
      <c r="R74" s="69" t="n">
        <f aca="false">Q74+R73</f>
        <v>-456666.666666667</v>
      </c>
      <c r="S74" s="69" t="n">
        <f aca="false">R74+S73</f>
        <v>-485416.666666667</v>
      </c>
      <c r="T74" s="69" t="n">
        <f aca="false">S74+T73</f>
        <v>-514166.666666667</v>
      </c>
      <c r="U74" s="69" t="n">
        <f aca="false">T74+U73</f>
        <v>-542916.666666667</v>
      </c>
      <c r="V74" s="69" t="n">
        <f aca="false">U74+V73</f>
        <v>-571666.666666667</v>
      </c>
      <c r="W74" s="69" t="n">
        <f aca="false">V74+W73</f>
        <v>-600416.666666667</v>
      </c>
      <c r="X74" s="69" t="n">
        <f aca="false">W74+X73</f>
        <v>-629166.666666667</v>
      </c>
      <c r="Y74" s="69" t="n">
        <f aca="false">X74+Y73</f>
        <v>-657916.666666667</v>
      </c>
      <c r="Z74" s="69" t="n">
        <f aca="false">Y74+Z73</f>
        <v>-686666.666666667</v>
      </c>
      <c r="AA74" s="69" t="n">
        <f aca="false">Z74+AA73</f>
        <v>-715694.444444445</v>
      </c>
      <c r="AB74" s="69" t="n">
        <f aca="false">AA74+AB73</f>
        <v>-744722.222222222</v>
      </c>
      <c r="AC74" s="69" t="n">
        <f aca="false">AB74+AC73</f>
        <v>-773750</v>
      </c>
      <c r="AD74" s="69" t="n">
        <f aca="false">AC74+AD73</f>
        <v>-802777.777777778</v>
      </c>
      <c r="AE74" s="69" t="n">
        <f aca="false">AD74+AE73</f>
        <v>-831805.555555556</v>
      </c>
      <c r="AF74" s="69" t="n">
        <f aca="false">AE74+AF73</f>
        <v>-860833.333333333</v>
      </c>
      <c r="AG74" s="69" t="n">
        <f aca="false">AF74+AG73</f>
        <v>-889861.111111111</v>
      </c>
      <c r="AH74" s="69" t="n">
        <f aca="false">AG74+AH73</f>
        <v>-918888.888888889</v>
      </c>
      <c r="AI74" s="69" t="n">
        <f aca="false">AH74+AI73</f>
        <v>-947916.666666667</v>
      </c>
      <c r="AJ74" s="69" t="n">
        <f aca="false">AI74+AJ73</f>
        <v>-976944.444444444</v>
      </c>
      <c r="AK74" s="69" t="n">
        <f aca="false">AJ74+AK73</f>
        <v>-1005972.22222222</v>
      </c>
      <c r="AL74" s="69" t="n">
        <f aca="false">AK74+AL73</f>
        <v>-1035000</v>
      </c>
    </row>
    <row r="75" customFormat="false" ht="15" hidden="false" customHeight="false" outlineLevel="0" collapsed="false">
      <c r="A75" s="4" t="s">
        <v>92</v>
      </c>
      <c r="C75" s="75" t="n">
        <f aca="false">C72+C74</f>
        <v>4071527.77777778</v>
      </c>
      <c r="D75" s="75" t="n">
        <f aca="false">D72+D74</f>
        <v>4043055.55555556</v>
      </c>
      <c r="E75" s="75" t="n">
        <f aca="false">E72+E74</f>
        <v>4014583.33333333</v>
      </c>
      <c r="F75" s="75" t="n">
        <f aca="false">F72+F74</f>
        <v>3986111.11111111</v>
      </c>
      <c r="G75" s="75" t="n">
        <f aca="false">G72+G74</f>
        <v>3957638.88888889</v>
      </c>
      <c r="H75" s="75" t="n">
        <f aca="false">H72+H74</f>
        <v>3929166.66666667</v>
      </c>
      <c r="I75" s="75" t="n">
        <f aca="false">I72+I74</f>
        <v>3900694.44444444</v>
      </c>
      <c r="J75" s="75" t="n">
        <f aca="false">J72+J74</f>
        <v>3872222.22222222</v>
      </c>
      <c r="K75" s="75" t="n">
        <f aca="false">K72+K74</f>
        <v>3843750</v>
      </c>
      <c r="L75" s="75" t="n">
        <f aca="false">L72+L74</f>
        <v>3815277.77777778</v>
      </c>
      <c r="M75" s="75" t="n">
        <f aca="false">M72+M74</f>
        <v>3786805.55555556</v>
      </c>
      <c r="N75" s="75" t="n">
        <f aca="false">N72+N74</f>
        <v>3758333.33333333</v>
      </c>
      <c r="O75" s="75" t="n">
        <f aca="false">O72+O74</f>
        <v>3769583.33333333</v>
      </c>
      <c r="P75" s="75" t="n">
        <f aca="false">P72+P74</f>
        <v>3740833.33333333</v>
      </c>
      <c r="Q75" s="75" t="n">
        <f aca="false">Q72+Q74</f>
        <v>3712083.33333333</v>
      </c>
      <c r="R75" s="75" t="n">
        <f aca="false">R72+R74</f>
        <v>3683333.33333333</v>
      </c>
      <c r="S75" s="75" t="n">
        <f aca="false">S72+S74</f>
        <v>3654583.33333333</v>
      </c>
      <c r="T75" s="75" t="n">
        <f aca="false">T72+T74</f>
        <v>3625833.33333333</v>
      </c>
      <c r="U75" s="75" t="n">
        <f aca="false">U72+U74</f>
        <v>3597083.33333333</v>
      </c>
      <c r="V75" s="75" t="n">
        <f aca="false">V72+V74</f>
        <v>3568333.33333333</v>
      </c>
      <c r="W75" s="75" t="n">
        <f aca="false">W72+W74</f>
        <v>3539583.33333333</v>
      </c>
      <c r="X75" s="75" t="n">
        <f aca="false">X72+X74</f>
        <v>3510833.33333333</v>
      </c>
      <c r="Y75" s="75" t="n">
        <f aca="false">Y72+Y74</f>
        <v>3482083.33333333</v>
      </c>
      <c r="Z75" s="75" t="n">
        <f aca="false">Z72+Z74</f>
        <v>3453333.33333333</v>
      </c>
      <c r="AA75" s="75" t="n">
        <f aca="false">AA72+AA74</f>
        <v>3464305.55555556</v>
      </c>
      <c r="AB75" s="75" t="n">
        <f aca="false">AB72+AB74</f>
        <v>3435277.77777778</v>
      </c>
      <c r="AC75" s="75" t="n">
        <f aca="false">AC72+AC74</f>
        <v>3406250</v>
      </c>
      <c r="AD75" s="75" t="n">
        <f aca="false">AD72+AD74</f>
        <v>3377222.22222222</v>
      </c>
      <c r="AE75" s="75" t="n">
        <f aca="false">AE72+AE74</f>
        <v>3348194.44444444</v>
      </c>
      <c r="AF75" s="75" t="n">
        <f aca="false">AF72+AF74</f>
        <v>3319166.66666667</v>
      </c>
      <c r="AG75" s="75" t="n">
        <f aca="false">AG72+AG74</f>
        <v>3290138.88888889</v>
      </c>
      <c r="AH75" s="75" t="n">
        <f aca="false">AH72+AH74</f>
        <v>3261111.11111111</v>
      </c>
      <c r="AI75" s="75" t="n">
        <f aca="false">AI72+AI74</f>
        <v>3232083.33333333</v>
      </c>
      <c r="AJ75" s="75" t="n">
        <f aca="false">AJ72+AJ74</f>
        <v>3203055.55555556</v>
      </c>
      <c r="AK75" s="75" t="n">
        <f aca="false">AK72+AK74</f>
        <v>3174027.77777778</v>
      </c>
      <c r="AL75" s="75" t="n">
        <f aca="false">AL72+AL74</f>
        <v>3145000</v>
      </c>
    </row>
    <row r="77" customFormat="false" ht="15.75" hidden="false" customHeight="true" outlineLevel="0" collapsed="false">
      <c r="A77" s="7" t="s">
        <v>426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customFormat="false" ht="15" hidden="false" customHeight="false" outlineLevel="0" collapsed="false">
      <c r="A78" s="6" t="s">
        <v>427</v>
      </c>
      <c r="C78" s="69" t="n">
        <f aca="false">0</f>
        <v>0</v>
      </c>
      <c r="D78" s="69" t="n">
        <f aca="false">C81</f>
        <v>3000000</v>
      </c>
      <c r="E78" s="69" t="n">
        <f aca="false">D81</f>
        <v>2975000</v>
      </c>
      <c r="F78" s="69" t="n">
        <f aca="false">E81</f>
        <v>2950000</v>
      </c>
      <c r="G78" s="69" t="n">
        <f aca="false">F81</f>
        <v>2925000</v>
      </c>
      <c r="H78" s="69" t="n">
        <f aca="false">G81</f>
        <v>2900000</v>
      </c>
      <c r="I78" s="69" t="n">
        <f aca="false">H81</f>
        <v>2875000</v>
      </c>
      <c r="J78" s="69" t="n">
        <f aca="false">I81</f>
        <v>2850000</v>
      </c>
      <c r="K78" s="69" t="n">
        <f aca="false">J81</f>
        <v>2825000</v>
      </c>
      <c r="L78" s="69" t="n">
        <f aca="false">K81</f>
        <v>2800000</v>
      </c>
      <c r="M78" s="69" t="n">
        <f aca="false">L81</f>
        <v>2775000</v>
      </c>
      <c r="N78" s="69" t="n">
        <f aca="false">M81</f>
        <v>2750000</v>
      </c>
      <c r="O78" s="69" t="n">
        <f aca="false">N81</f>
        <v>2725000</v>
      </c>
      <c r="P78" s="69" t="n">
        <f aca="false">O81</f>
        <v>2700000</v>
      </c>
      <c r="Q78" s="69" t="n">
        <f aca="false">P81</f>
        <v>2675000</v>
      </c>
      <c r="R78" s="69" t="n">
        <f aca="false">Q81</f>
        <v>2650000</v>
      </c>
      <c r="S78" s="69" t="n">
        <f aca="false">R81</f>
        <v>2625000</v>
      </c>
      <c r="T78" s="69" t="n">
        <f aca="false">S81</f>
        <v>2600000</v>
      </c>
      <c r="U78" s="69" t="n">
        <f aca="false">T81</f>
        <v>2575000</v>
      </c>
      <c r="V78" s="69" t="n">
        <f aca="false">U81</f>
        <v>2550000</v>
      </c>
      <c r="W78" s="69" t="n">
        <f aca="false">V81</f>
        <v>2525000</v>
      </c>
      <c r="X78" s="69" t="n">
        <f aca="false">W81</f>
        <v>2500000</v>
      </c>
      <c r="Y78" s="69" t="n">
        <f aca="false">X81</f>
        <v>2475000</v>
      </c>
      <c r="Z78" s="69" t="n">
        <f aca="false">Y81</f>
        <v>2450000</v>
      </c>
      <c r="AA78" s="69" t="n">
        <f aca="false">Z81</f>
        <v>2425000</v>
      </c>
      <c r="AB78" s="69" t="n">
        <f aca="false">AA81</f>
        <v>2400000</v>
      </c>
      <c r="AC78" s="69" t="n">
        <f aca="false">AB81</f>
        <v>2375000</v>
      </c>
      <c r="AD78" s="69" t="n">
        <f aca="false">AC81</f>
        <v>2350000</v>
      </c>
      <c r="AE78" s="69" t="n">
        <f aca="false">AD81</f>
        <v>2325000</v>
      </c>
      <c r="AF78" s="69" t="n">
        <f aca="false">AE81</f>
        <v>2300000</v>
      </c>
      <c r="AG78" s="69" t="n">
        <f aca="false">AF81</f>
        <v>2275000</v>
      </c>
      <c r="AH78" s="69" t="n">
        <f aca="false">AG81</f>
        <v>2250000</v>
      </c>
      <c r="AI78" s="69" t="n">
        <f aca="false">AH81</f>
        <v>2225000</v>
      </c>
      <c r="AJ78" s="69" t="n">
        <f aca="false">AI81</f>
        <v>2200000</v>
      </c>
      <c r="AK78" s="69" t="n">
        <f aca="false">AJ81</f>
        <v>2175000</v>
      </c>
      <c r="AL78" s="69" t="n">
        <f aca="false">AK81</f>
        <v>2150000</v>
      </c>
    </row>
    <row r="79" customFormat="false" ht="15" hidden="false" customHeight="false" outlineLevel="0" collapsed="false">
      <c r="A79" s="6" t="s">
        <v>85</v>
      </c>
      <c r="C79" s="69" t="n">
        <f aca="false">IF(C$4=1,Inputs!$E$68,0)</f>
        <v>3000000</v>
      </c>
      <c r="D79" s="69" t="n">
        <f aca="false">IF(D$4=1,Inputs!$E$68,0)</f>
        <v>0</v>
      </c>
      <c r="E79" s="69" t="n">
        <f aca="false">IF(E$4=1,Inputs!$E$68,0)</f>
        <v>0</v>
      </c>
      <c r="F79" s="69" t="n">
        <f aca="false">IF(F$4=1,Inputs!$E$68,0)</f>
        <v>0</v>
      </c>
      <c r="G79" s="69" t="n">
        <f aca="false">IF(G$4=1,Inputs!$E$68,0)</f>
        <v>0</v>
      </c>
      <c r="H79" s="69" t="n">
        <f aca="false">IF(H$4=1,Inputs!$E$68,0)</f>
        <v>0</v>
      </c>
      <c r="I79" s="69" t="n">
        <f aca="false">IF(I$4=1,Inputs!$E$68,0)</f>
        <v>0</v>
      </c>
      <c r="J79" s="69" t="n">
        <f aca="false">IF(J$4=1,Inputs!$E$68,0)</f>
        <v>0</v>
      </c>
      <c r="K79" s="69" t="n">
        <f aca="false">IF(K$4=1,Inputs!$E$68,0)</f>
        <v>0</v>
      </c>
      <c r="L79" s="69" t="n">
        <f aca="false">IF(L$4=1,Inputs!$E$68,0)</f>
        <v>0</v>
      </c>
      <c r="M79" s="69" t="n">
        <f aca="false">IF(M$4=1,Inputs!$E$68,0)</f>
        <v>0</v>
      </c>
      <c r="N79" s="69" t="n">
        <f aca="false">IF(N$4=1,Inputs!$E$68,0)</f>
        <v>0</v>
      </c>
      <c r="O79" s="69" t="n">
        <f aca="false">IF(O$4=1,Inputs!$E$68,0)</f>
        <v>0</v>
      </c>
      <c r="P79" s="69" t="n">
        <f aca="false">IF(P$4=1,Inputs!$E$68,0)</f>
        <v>0</v>
      </c>
      <c r="Q79" s="69" t="n">
        <f aca="false">IF(Q$4=1,Inputs!$E$68,0)</f>
        <v>0</v>
      </c>
      <c r="R79" s="69" t="n">
        <f aca="false">IF(R$4=1,Inputs!$E$68,0)</f>
        <v>0</v>
      </c>
      <c r="S79" s="69" t="n">
        <f aca="false">IF(S$4=1,Inputs!$E$68,0)</f>
        <v>0</v>
      </c>
      <c r="T79" s="69" t="n">
        <f aca="false">IF(T$4=1,Inputs!$E$68,0)</f>
        <v>0</v>
      </c>
      <c r="U79" s="69" t="n">
        <f aca="false">IF(U$4=1,Inputs!$E$68,0)</f>
        <v>0</v>
      </c>
      <c r="V79" s="69" t="n">
        <f aca="false">IF(V$4=1,Inputs!$E$68,0)</f>
        <v>0</v>
      </c>
      <c r="W79" s="69" t="n">
        <f aca="false">IF(W$4=1,Inputs!$E$68,0)</f>
        <v>0</v>
      </c>
      <c r="X79" s="69" t="n">
        <f aca="false">IF(X$4=1,Inputs!$E$68,0)</f>
        <v>0</v>
      </c>
      <c r="Y79" s="69" t="n">
        <f aca="false">IF(Y$4=1,Inputs!$E$68,0)</f>
        <v>0</v>
      </c>
      <c r="Z79" s="69" t="n">
        <f aca="false">IF(Z$4=1,Inputs!$E$68,0)</f>
        <v>0</v>
      </c>
      <c r="AA79" s="69" t="n">
        <f aca="false">IF(AA$4=1,Inputs!$E$68,0)</f>
        <v>0</v>
      </c>
      <c r="AB79" s="69" t="n">
        <f aca="false">IF(AB$4=1,Inputs!$E$68,0)</f>
        <v>0</v>
      </c>
      <c r="AC79" s="69" t="n">
        <f aca="false">IF(AC$4=1,Inputs!$E$68,0)</f>
        <v>0</v>
      </c>
      <c r="AD79" s="69" t="n">
        <f aca="false">IF(AD$4=1,Inputs!$E$68,0)</f>
        <v>0</v>
      </c>
      <c r="AE79" s="69" t="n">
        <f aca="false">IF(AE$4=1,Inputs!$E$68,0)</f>
        <v>0</v>
      </c>
      <c r="AF79" s="69" t="n">
        <f aca="false">IF(AF$4=1,Inputs!$E$68,0)</f>
        <v>0</v>
      </c>
      <c r="AG79" s="69" t="n">
        <f aca="false">IF(AG$4=1,Inputs!$E$68,0)</f>
        <v>0</v>
      </c>
      <c r="AH79" s="69" t="n">
        <f aca="false">IF(AH$4=1,Inputs!$E$68,0)</f>
        <v>0</v>
      </c>
      <c r="AI79" s="69" t="n">
        <f aca="false">IF(AI$4=1,Inputs!$E$68,0)</f>
        <v>0</v>
      </c>
      <c r="AJ79" s="69" t="n">
        <f aca="false">IF(AJ$4=1,Inputs!$E$68,0)</f>
        <v>0</v>
      </c>
      <c r="AK79" s="69" t="n">
        <f aca="false">IF(AK$4=1,Inputs!$E$68,0)</f>
        <v>0</v>
      </c>
      <c r="AL79" s="69" t="n">
        <f aca="false">IF(AL$4=1,Inputs!$E$68,0)</f>
        <v>0</v>
      </c>
    </row>
    <row r="80" customFormat="false" ht="15" hidden="false" customHeight="false" outlineLevel="0" collapsed="false">
      <c r="A80" s="6" t="s">
        <v>86</v>
      </c>
      <c r="C80" s="69" t="n">
        <f aca="false">-MIN(C78,Inputs!$E$68/MAX(1,Inputs!$E$70*12))</f>
        <v>-0</v>
      </c>
      <c r="D80" s="69" t="n">
        <f aca="false">-MIN(D78,Inputs!$E$68/MAX(1,Inputs!$E$70*12))</f>
        <v>-25000</v>
      </c>
      <c r="E80" s="69" t="n">
        <f aca="false">-MIN(E78,Inputs!$E$68/MAX(1,Inputs!$E$70*12))</f>
        <v>-25000</v>
      </c>
      <c r="F80" s="69" t="n">
        <f aca="false">-MIN(F78,Inputs!$E$68/MAX(1,Inputs!$E$70*12))</f>
        <v>-25000</v>
      </c>
      <c r="G80" s="69" t="n">
        <f aca="false">-MIN(G78,Inputs!$E$68/MAX(1,Inputs!$E$70*12))</f>
        <v>-25000</v>
      </c>
      <c r="H80" s="69" t="n">
        <f aca="false">-MIN(H78,Inputs!$E$68/MAX(1,Inputs!$E$70*12))</f>
        <v>-25000</v>
      </c>
      <c r="I80" s="69" t="n">
        <f aca="false">-MIN(I78,Inputs!$E$68/MAX(1,Inputs!$E$70*12))</f>
        <v>-25000</v>
      </c>
      <c r="J80" s="69" t="n">
        <f aca="false">-MIN(J78,Inputs!$E$68/MAX(1,Inputs!$E$70*12))</f>
        <v>-25000</v>
      </c>
      <c r="K80" s="69" t="n">
        <f aca="false">-MIN(K78,Inputs!$E$68/MAX(1,Inputs!$E$70*12))</f>
        <v>-25000</v>
      </c>
      <c r="L80" s="69" t="n">
        <f aca="false">-MIN(L78,Inputs!$E$68/MAX(1,Inputs!$E$70*12))</f>
        <v>-25000</v>
      </c>
      <c r="M80" s="69" t="n">
        <f aca="false">-MIN(M78,Inputs!$E$68/MAX(1,Inputs!$E$70*12))</f>
        <v>-25000</v>
      </c>
      <c r="N80" s="69" t="n">
        <f aca="false">-MIN(N78,Inputs!$E$68/MAX(1,Inputs!$E$70*12))</f>
        <v>-25000</v>
      </c>
      <c r="O80" s="69" t="n">
        <f aca="false">-MIN(O78,Inputs!$E$68/MAX(1,Inputs!$E$70*12))</f>
        <v>-25000</v>
      </c>
      <c r="P80" s="69" t="n">
        <f aca="false">-MIN(P78,Inputs!$E$68/MAX(1,Inputs!$E$70*12))</f>
        <v>-25000</v>
      </c>
      <c r="Q80" s="69" t="n">
        <f aca="false">-MIN(Q78,Inputs!$E$68/MAX(1,Inputs!$E$70*12))</f>
        <v>-25000</v>
      </c>
      <c r="R80" s="69" t="n">
        <f aca="false">-MIN(R78,Inputs!$E$68/MAX(1,Inputs!$E$70*12))</f>
        <v>-25000</v>
      </c>
      <c r="S80" s="69" t="n">
        <f aca="false">-MIN(S78,Inputs!$E$68/MAX(1,Inputs!$E$70*12))</f>
        <v>-25000</v>
      </c>
      <c r="T80" s="69" t="n">
        <f aca="false">-MIN(T78,Inputs!$E$68/MAX(1,Inputs!$E$70*12))</f>
        <v>-25000</v>
      </c>
      <c r="U80" s="69" t="n">
        <f aca="false">-MIN(U78,Inputs!$E$68/MAX(1,Inputs!$E$70*12))</f>
        <v>-25000</v>
      </c>
      <c r="V80" s="69" t="n">
        <f aca="false">-MIN(V78,Inputs!$E$68/MAX(1,Inputs!$E$70*12))</f>
        <v>-25000</v>
      </c>
      <c r="W80" s="69" t="n">
        <f aca="false">-MIN(W78,Inputs!$E$68/MAX(1,Inputs!$E$70*12))</f>
        <v>-25000</v>
      </c>
      <c r="X80" s="69" t="n">
        <f aca="false">-MIN(X78,Inputs!$E$68/MAX(1,Inputs!$E$70*12))</f>
        <v>-25000</v>
      </c>
      <c r="Y80" s="69" t="n">
        <f aca="false">-MIN(Y78,Inputs!$E$68/MAX(1,Inputs!$E$70*12))</f>
        <v>-25000</v>
      </c>
      <c r="Z80" s="69" t="n">
        <f aca="false">-MIN(Z78,Inputs!$E$68/MAX(1,Inputs!$E$70*12))</f>
        <v>-25000</v>
      </c>
      <c r="AA80" s="69" t="n">
        <f aca="false">-MIN(AA78,Inputs!$E$68/MAX(1,Inputs!$E$70*12))</f>
        <v>-25000</v>
      </c>
      <c r="AB80" s="69" t="n">
        <f aca="false">-MIN(AB78,Inputs!$E$68/MAX(1,Inputs!$E$70*12))</f>
        <v>-25000</v>
      </c>
      <c r="AC80" s="69" t="n">
        <f aca="false">-MIN(AC78,Inputs!$E$68/MAX(1,Inputs!$E$70*12))</f>
        <v>-25000</v>
      </c>
      <c r="AD80" s="69" t="n">
        <f aca="false">-MIN(AD78,Inputs!$E$68/MAX(1,Inputs!$E$70*12))</f>
        <v>-25000</v>
      </c>
      <c r="AE80" s="69" t="n">
        <f aca="false">-MIN(AE78,Inputs!$E$68/MAX(1,Inputs!$E$70*12))</f>
        <v>-25000</v>
      </c>
      <c r="AF80" s="69" t="n">
        <f aca="false">-MIN(AF78,Inputs!$E$68/MAX(1,Inputs!$E$70*12))</f>
        <v>-25000</v>
      </c>
      <c r="AG80" s="69" t="n">
        <f aca="false">-MIN(AG78,Inputs!$E$68/MAX(1,Inputs!$E$70*12))</f>
        <v>-25000</v>
      </c>
      <c r="AH80" s="69" t="n">
        <f aca="false">-MIN(AH78,Inputs!$E$68/MAX(1,Inputs!$E$70*12))</f>
        <v>-25000</v>
      </c>
      <c r="AI80" s="69" t="n">
        <f aca="false">-MIN(AI78,Inputs!$E$68/MAX(1,Inputs!$E$70*12))</f>
        <v>-25000</v>
      </c>
      <c r="AJ80" s="69" t="n">
        <f aca="false">-MIN(AJ78,Inputs!$E$68/MAX(1,Inputs!$E$70*12))</f>
        <v>-25000</v>
      </c>
      <c r="AK80" s="69" t="n">
        <f aca="false">-MIN(AK78,Inputs!$E$68/MAX(1,Inputs!$E$70*12))</f>
        <v>-25000</v>
      </c>
      <c r="AL80" s="69" t="n">
        <f aca="false">-MIN(AL78,Inputs!$E$68/MAX(1,Inputs!$E$70*12))</f>
        <v>-25000</v>
      </c>
    </row>
    <row r="81" customFormat="false" ht="15" hidden="false" customHeight="false" outlineLevel="0" collapsed="false">
      <c r="A81" s="4" t="s">
        <v>428</v>
      </c>
      <c r="C81" s="75" t="n">
        <f aca="false">C78+C79+C80</f>
        <v>3000000</v>
      </c>
      <c r="D81" s="75" t="n">
        <f aca="false">D78+D79+D80</f>
        <v>2975000</v>
      </c>
      <c r="E81" s="75" t="n">
        <f aca="false">E78+E79+E80</f>
        <v>2950000</v>
      </c>
      <c r="F81" s="75" t="n">
        <f aca="false">F78+F79+F80</f>
        <v>2925000</v>
      </c>
      <c r="G81" s="75" t="n">
        <f aca="false">G78+G79+G80</f>
        <v>2900000</v>
      </c>
      <c r="H81" s="75" t="n">
        <f aca="false">H78+H79+H80</f>
        <v>2875000</v>
      </c>
      <c r="I81" s="75" t="n">
        <f aca="false">I78+I79+I80</f>
        <v>2850000</v>
      </c>
      <c r="J81" s="75" t="n">
        <f aca="false">J78+J79+J80</f>
        <v>2825000</v>
      </c>
      <c r="K81" s="75" t="n">
        <f aca="false">K78+K79+K80</f>
        <v>2800000</v>
      </c>
      <c r="L81" s="75" t="n">
        <f aca="false">L78+L79+L80</f>
        <v>2775000</v>
      </c>
      <c r="M81" s="75" t="n">
        <f aca="false">M78+M79+M80</f>
        <v>2750000</v>
      </c>
      <c r="N81" s="75" t="n">
        <f aca="false">N78+N79+N80</f>
        <v>2725000</v>
      </c>
      <c r="O81" s="75" t="n">
        <f aca="false">O78+O79+O80</f>
        <v>2700000</v>
      </c>
      <c r="P81" s="75" t="n">
        <f aca="false">P78+P79+P80</f>
        <v>2675000</v>
      </c>
      <c r="Q81" s="75" t="n">
        <f aca="false">Q78+Q79+Q80</f>
        <v>2650000</v>
      </c>
      <c r="R81" s="75" t="n">
        <f aca="false">R78+R79+R80</f>
        <v>2625000</v>
      </c>
      <c r="S81" s="75" t="n">
        <f aca="false">S78+S79+S80</f>
        <v>2600000</v>
      </c>
      <c r="T81" s="75" t="n">
        <f aca="false">T78+T79+T80</f>
        <v>2575000</v>
      </c>
      <c r="U81" s="75" t="n">
        <f aca="false">U78+U79+U80</f>
        <v>2550000</v>
      </c>
      <c r="V81" s="75" t="n">
        <f aca="false">V78+V79+V80</f>
        <v>2525000</v>
      </c>
      <c r="W81" s="75" t="n">
        <f aca="false">W78+W79+W80</f>
        <v>2500000</v>
      </c>
      <c r="X81" s="75" t="n">
        <f aca="false">X78+X79+X80</f>
        <v>2475000</v>
      </c>
      <c r="Y81" s="75" t="n">
        <f aca="false">Y78+Y79+Y80</f>
        <v>2450000</v>
      </c>
      <c r="Z81" s="75" t="n">
        <f aca="false">Z78+Z79+Z80</f>
        <v>2425000</v>
      </c>
      <c r="AA81" s="75" t="n">
        <f aca="false">AA78+AA79+AA80</f>
        <v>2400000</v>
      </c>
      <c r="AB81" s="75" t="n">
        <f aca="false">AB78+AB79+AB80</f>
        <v>2375000</v>
      </c>
      <c r="AC81" s="75" t="n">
        <f aca="false">AC78+AC79+AC80</f>
        <v>2350000</v>
      </c>
      <c r="AD81" s="75" t="n">
        <f aca="false">AD78+AD79+AD80</f>
        <v>2325000</v>
      </c>
      <c r="AE81" s="75" t="n">
        <f aca="false">AE78+AE79+AE80</f>
        <v>2300000</v>
      </c>
      <c r="AF81" s="75" t="n">
        <f aca="false">AF78+AF79+AF80</f>
        <v>2275000</v>
      </c>
      <c r="AG81" s="75" t="n">
        <f aca="false">AG78+AG79+AG80</f>
        <v>2250000</v>
      </c>
      <c r="AH81" s="75" t="n">
        <f aca="false">AH78+AH79+AH80</f>
        <v>2225000</v>
      </c>
      <c r="AI81" s="75" t="n">
        <f aca="false">AI78+AI79+AI80</f>
        <v>2200000</v>
      </c>
      <c r="AJ81" s="75" t="n">
        <f aca="false">AJ78+AJ79+AJ80</f>
        <v>2175000</v>
      </c>
      <c r="AK81" s="75" t="n">
        <f aca="false">AK78+AK79+AK80</f>
        <v>2150000</v>
      </c>
      <c r="AL81" s="75" t="n">
        <f aca="false">AL78+AL79+AL80</f>
        <v>2125000</v>
      </c>
    </row>
    <row r="83" customFormat="false" ht="15.75" hidden="false" customHeight="true" outlineLevel="0" collapsed="false">
      <c r="A83" s="7" t="s">
        <v>322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6" t="s">
        <v>90</v>
      </c>
      <c r="C84" s="69" t="n">
        <f aca="false">C37*Inputs!$E$73/30</f>
        <v>3196.22386666667</v>
      </c>
      <c r="D84" s="69" t="n">
        <f aca="false">D37*Inputs!$E$73/30</f>
        <v>3629.92906014815</v>
      </c>
      <c r="E84" s="69" t="n">
        <f aca="false">E37*Inputs!$E$73/30</f>
        <v>4851.56011996444</v>
      </c>
      <c r="F84" s="69" t="n">
        <f aca="false">F37*Inputs!$E$73/30</f>
        <v>5403.45992257327</v>
      </c>
      <c r="G84" s="69" t="n">
        <f aca="false">G37*Inputs!$E$73/30</f>
        <v>5966.01842937405</v>
      </c>
      <c r="H84" s="69" t="n">
        <f aca="false">H37*Inputs!$E$73/30</f>
        <v>6538.80929219909</v>
      </c>
      <c r="I84" s="69" t="n">
        <f aca="false">I37*Inputs!$E$73/30</f>
        <v>7121.42321680742</v>
      </c>
      <c r="J84" s="69" t="n">
        <f aca="false">J37*Inputs!$E$73/30</f>
        <v>7713.46728072771</v>
      </c>
      <c r="K84" s="69" t="n">
        <f aca="false">K37*Inputs!$E$73/30</f>
        <v>8314.5642783875</v>
      </c>
      <c r="L84" s="69" t="n">
        <f aca="false">L37*Inputs!$E$73/30</f>
        <v>8924.35209243718</v>
      </c>
      <c r="M84" s="69" t="n">
        <f aca="false">M37*Inputs!$E$73/30</f>
        <v>9103.03667540636</v>
      </c>
      <c r="N84" s="69" t="n">
        <f aca="false">N37*Inputs!$E$73/30</f>
        <v>7915.98187505677</v>
      </c>
      <c r="O84" s="69" t="n">
        <f aca="false">O37*Inputs!$E$73/30</f>
        <v>8219.27213205559</v>
      </c>
      <c r="P84" s="69" t="n">
        <f aca="false">P37*Inputs!$E$73/30</f>
        <v>8361.41892677337</v>
      </c>
      <c r="Q84" s="69" t="n">
        <f aca="false">Q37*Inputs!$E$73/30</f>
        <v>9883.64368970243</v>
      </c>
      <c r="R84" s="69" t="n">
        <f aca="false">R37*Inputs!$E$73/30</f>
        <v>10040.6197821143</v>
      </c>
      <c r="S84" s="69" t="n">
        <f aca="false">S37*Inputs!$E$73/30</f>
        <v>10191.3168308298</v>
      </c>
      <c r="T84" s="69" t="n">
        <f aca="false">T37*Inputs!$E$73/30</f>
        <v>10335.9859975966</v>
      </c>
      <c r="U84" s="69" t="n">
        <f aca="false">U37*Inputs!$E$73/30</f>
        <v>10474.8683976927</v>
      </c>
      <c r="V84" s="69" t="n">
        <f aca="false">V37*Inputs!$E$73/30</f>
        <v>10608.195501785</v>
      </c>
      <c r="W84" s="69" t="n">
        <f aca="false">W37*Inputs!$E$73/30</f>
        <v>10736.1895217136</v>
      </c>
      <c r="X84" s="69" t="n">
        <f aca="false">X37*Inputs!$E$73/30</f>
        <v>10859.0637808451</v>
      </c>
      <c r="Y84" s="69" t="n">
        <f aca="false">Y37*Inputs!$E$73/30</f>
        <v>10977.0230696113</v>
      </c>
      <c r="Z84" s="69" t="n">
        <f aca="false">Z37*Inputs!$E$73/30</f>
        <v>9704.5001468268</v>
      </c>
      <c r="AA84" s="69" t="n">
        <f aca="false">AA37*Inputs!$E$73/30</f>
        <v>9986.1688023728</v>
      </c>
      <c r="AB84" s="69" t="n">
        <f aca="false">AB37*Inputs!$E$73/30</f>
        <v>10073.4305338779</v>
      </c>
      <c r="AC84" s="69" t="n">
        <f aca="false">AC37*Inputs!$E$73/30</f>
        <v>11570.6809129228</v>
      </c>
      <c r="AD84" s="69" t="n">
        <f aca="false">AD37*Inputs!$E$73/30</f>
        <v>11677.5944032059</v>
      </c>
      <c r="AE84" s="69" t="n">
        <f aca="false">AE37*Inputs!$E$73/30</f>
        <v>11780.2313538776</v>
      </c>
      <c r="AF84" s="69" t="n">
        <f aca="false">AF37*Inputs!$E$73/30</f>
        <v>11878.7628265225</v>
      </c>
      <c r="AG84" s="69" t="n">
        <f aca="false">AG37*Inputs!$E$73/30</f>
        <v>11973.3530402616</v>
      </c>
      <c r="AH84" s="69" t="n">
        <f aca="false">AH37*Inputs!$E$73/30</f>
        <v>12064.1596454512</v>
      </c>
      <c r="AI84" s="69" t="n">
        <f aca="false">AI37*Inputs!$E$73/30</f>
        <v>12151.3339864331</v>
      </c>
      <c r="AJ84" s="69" t="n">
        <f aca="false">AJ37*Inputs!$E$73/30</f>
        <v>12235.0213537758</v>
      </c>
      <c r="AK84" s="69" t="n">
        <f aca="false">AK37*Inputs!$E$73/30</f>
        <v>12315.3612264248</v>
      </c>
      <c r="AL84" s="69" t="n">
        <f aca="false">AL37*Inputs!$E$73/30</f>
        <v>10979.0083873678</v>
      </c>
    </row>
    <row r="85" customFormat="false" ht="15" hidden="false" customHeight="false" outlineLevel="0" collapsed="false">
      <c r="A85" s="6" t="s">
        <v>91</v>
      </c>
      <c r="C85" s="69" t="n">
        <f aca="false">-C45*Inputs!$E$74/30</f>
        <v>3535.97287295</v>
      </c>
      <c r="D85" s="69" t="n">
        <f aca="false">-D45*Inputs!$E$74/30</f>
        <v>4015.72440315978</v>
      </c>
      <c r="E85" s="69" t="n">
        <f aca="false">-E45*Inputs!$E$74/30</f>
        <v>5538.41762848136</v>
      </c>
      <c r="F85" s="69" t="n">
        <f aca="false">-F45*Inputs!$E$74/30</f>
        <v>6180.84844069211</v>
      </c>
      <c r="G85" s="69" t="n">
        <f aca="false">-G45*Inputs!$E$74/30</f>
        <v>6839.35924051442</v>
      </c>
      <c r="H85" s="69" t="n">
        <f aca="false">-H45*Inputs!$E$74/30</f>
        <v>7513.30682844384</v>
      </c>
      <c r="I85" s="69" t="n">
        <f aca="false">-I45*Inputs!$E$74/30</f>
        <v>8202.07373295609</v>
      </c>
      <c r="J85" s="69" t="n">
        <f aca="false">-J45*Inputs!$E$74/30</f>
        <v>8905.06718138785</v>
      </c>
      <c r="K85" s="69" t="n">
        <f aca="false">-K45*Inputs!$E$74/30</f>
        <v>9621.71811198233</v>
      </c>
      <c r="L85" s="69" t="n">
        <f aca="false">-L45*Inputs!$E$74/30</f>
        <v>10351.480225453</v>
      </c>
      <c r="M85" s="69" t="n">
        <f aca="false">-M45*Inputs!$E$74/30</f>
        <v>10621.0482544349</v>
      </c>
      <c r="N85" s="69" t="n">
        <f aca="false">-N45*Inputs!$E$74/30</f>
        <v>8885.78253780614</v>
      </c>
      <c r="O85" s="69" t="n">
        <f aca="false">-O45*Inputs!$E$74/30</f>
        <v>9319.28292728009</v>
      </c>
      <c r="P85" s="69" t="n">
        <f aca="false">-P45*Inputs!$E$74/30</f>
        <v>9500.42236462389</v>
      </c>
      <c r="Q85" s="69" t="n">
        <f aca="false">-Q45*Inputs!$E$74/30</f>
        <v>11829.7121932812</v>
      </c>
      <c r="R85" s="69" t="n">
        <f aca="false">-R45*Inputs!$E$74/30</f>
        <v>12068.5057255649</v>
      </c>
      <c r="S85" s="69" t="n">
        <f aca="false">-S45*Inputs!$E$74/30</f>
        <v>12297.7475165574</v>
      </c>
      <c r="T85" s="69" t="n">
        <f aca="false">-T45*Inputs!$E$74/30</f>
        <v>12517.8196359101</v>
      </c>
      <c r="U85" s="69" t="n">
        <f aca="false">-U45*Inputs!$E$74/30</f>
        <v>12729.0888704887</v>
      </c>
      <c r="V85" s="69" t="n">
        <f aca="false">-V45*Inputs!$E$74/30</f>
        <v>12931.9073356841</v>
      </c>
      <c r="W85" s="69" t="n">
        <f aca="false">-W45*Inputs!$E$74/30</f>
        <v>13126.6130622717</v>
      </c>
      <c r="X85" s="69" t="n">
        <f aca="false">-X45*Inputs!$E$74/30</f>
        <v>13313.5305597959</v>
      </c>
      <c r="Y85" s="69" t="n">
        <f aca="false">-Y45*Inputs!$E$74/30</f>
        <v>13492.971357419</v>
      </c>
      <c r="Z85" s="69" t="n">
        <f aca="false">-Z45*Inputs!$E$74/30</f>
        <v>11211.9275518532</v>
      </c>
      <c r="AA85" s="69" t="n">
        <f aca="false">-AA45*Inputs!$E$74/30</f>
        <v>11638.9537794879</v>
      </c>
      <c r="AB85" s="69" t="n">
        <f aca="false">-AB45*Inputs!$E$74/30</f>
        <v>11751.0501890855</v>
      </c>
      <c r="AC85" s="69" t="n">
        <f aca="false">-AC45*Inputs!$E$74/30</f>
        <v>14446.927393797</v>
      </c>
      <c r="AD85" s="69" t="n">
        <f aca="false">-AD45*Inputs!$E$74/30</f>
        <v>14610.9238670659</v>
      </c>
      <c r="AE85" s="69" t="n">
        <f aca="false">-AE45*Inputs!$E$74/30</f>
        <v>14768.360481404</v>
      </c>
      <c r="AF85" s="69" t="n">
        <f aca="false">-AF45*Inputs!$E$74/30</f>
        <v>14919.4996311686</v>
      </c>
      <c r="AG85" s="69" t="n">
        <f aca="false">-AG45*Inputs!$E$74/30</f>
        <v>15064.5932149426</v>
      </c>
      <c r="AH85" s="69" t="n">
        <f aca="false">-AH45*Inputs!$E$74/30</f>
        <v>15203.8830553657</v>
      </c>
      <c r="AI85" s="69" t="n">
        <f aca="false">-AI45*Inputs!$E$74/30</f>
        <v>15337.6013021718</v>
      </c>
      <c r="AJ85" s="69" t="n">
        <f aca="false">-AJ45*Inputs!$E$74/30</f>
        <v>15465.9708191057</v>
      </c>
      <c r="AK85" s="69" t="n">
        <f aca="false">-AK45*Inputs!$E$74/30</f>
        <v>15589.2055553623</v>
      </c>
      <c r="AL85" s="69" t="n">
        <f aca="false">-AL45*Inputs!$E$74/30</f>
        <v>12914.3553887009</v>
      </c>
    </row>
    <row r="86" customFormat="false" ht="15" hidden="false" customHeight="false" outlineLevel="0" collapsed="false">
      <c r="A86" s="6" t="s">
        <v>94</v>
      </c>
      <c r="C86" s="69" t="n">
        <f aca="false">-C45*Inputs!$E$75/30</f>
        <v>5893.28812158333</v>
      </c>
      <c r="D86" s="69" t="n">
        <f aca="false">-D45*Inputs!$E$75/30</f>
        <v>6692.8740052663</v>
      </c>
      <c r="E86" s="69" t="n">
        <f aca="false">-E45*Inputs!$E$75/30</f>
        <v>9230.69604746893</v>
      </c>
      <c r="F86" s="69" t="n">
        <f aca="false">-F45*Inputs!$E$75/30</f>
        <v>10301.4140678202</v>
      </c>
      <c r="G86" s="69" t="n">
        <f aca="false">-G45*Inputs!$E$75/30</f>
        <v>11398.932067524</v>
      </c>
      <c r="H86" s="69" t="n">
        <f aca="false">-H45*Inputs!$E$75/30</f>
        <v>12522.1780474064</v>
      </c>
      <c r="I86" s="69" t="n">
        <f aca="false">-I45*Inputs!$E$75/30</f>
        <v>13670.1228882601</v>
      </c>
      <c r="J86" s="69" t="n">
        <f aca="false">-J45*Inputs!$E$75/30</f>
        <v>14841.7786356464</v>
      </c>
      <c r="K86" s="69" t="n">
        <f aca="false">-K45*Inputs!$E$75/30</f>
        <v>16036.1968533039</v>
      </c>
      <c r="L86" s="69" t="n">
        <f aca="false">-L45*Inputs!$E$75/30</f>
        <v>17252.4670424217</v>
      </c>
      <c r="M86" s="69" t="n">
        <f aca="false">-M45*Inputs!$E$75/30</f>
        <v>17701.7470907249</v>
      </c>
      <c r="N86" s="69" t="n">
        <f aca="false">-N45*Inputs!$E$75/30</f>
        <v>14809.6375630102</v>
      </c>
      <c r="O86" s="69" t="n">
        <f aca="false">-O45*Inputs!$E$75/30</f>
        <v>15532.1382121335</v>
      </c>
      <c r="P86" s="69" t="n">
        <f aca="false">-P45*Inputs!$E$75/30</f>
        <v>15834.0372743731</v>
      </c>
      <c r="Q86" s="69" t="n">
        <f aca="false">-Q45*Inputs!$E$75/30</f>
        <v>19716.186988802</v>
      </c>
      <c r="R86" s="69" t="n">
        <f aca="false">-R45*Inputs!$E$75/30</f>
        <v>20114.1762092749</v>
      </c>
      <c r="S86" s="69" t="n">
        <f aca="false">-S45*Inputs!$E$75/30</f>
        <v>20496.2458609289</v>
      </c>
      <c r="T86" s="69" t="n">
        <f aca="false">-T45*Inputs!$E$75/30</f>
        <v>20863.0327265168</v>
      </c>
      <c r="U86" s="69" t="n">
        <f aca="false">-U45*Inputs!$E$75/30</f>
        <v>21215.1481174811</v>
      </c>
      <c r="V86" s="69" t="n">
        <f aca="false">-V45*Inputs!$E$75/30</f>
        <v>21553.1788928068</v>
      </c>
      <c r="W86" s="69" t="n">
        <f aca="false">-W45*Inputs!$E$75/30</f>
        <v>21877.6884371196</v>
      </c>
      <c r="X86" s="69" t="n">
        <f aca="false">-X45*Inputs!$E$75/30</f>
        <v>22189.2175996598</v>
      </c>
      <c r="Y86" s="69" t="n">
        <f aca="false">-Y45*Inputs!$E$75/30</f>
        <v>22488.2855956984</v>
      </c>
      <c r="Z86" s="69" t="n">
        <f aca="false">-Z45*Inputs!$E$75/30</f>
        <v>18686.5459197554</v>
      </c>
      <c r="AA86" s="69" t="n">
        <f aca="false">-AA45*Inputs!$E$75/30</f>
        <v>19398.2562991465</v>
      </c>
      <c r="AB86" s="69" t="n">
        <f aca="false">-AB45*Inputs!$E$75/30</f>
        <v>19585.0836484758</v>
      </c>
      <c r="AC86" s="69" t="n">
        <f aca="false">-AC45*Inputs!$E$75/30</f>
        <v>24078.212322995</v>
      </c>
      <c r="AD86" s="69" t="n">
        <f aca="false">-AD45*Inputs!$E$75/30</f>
        <v>24351.5397784432</v>
      </c>
      <c r="AE86" s="69" t="n">
        <f aca="false">-AE45*Inputs!$E$75/30</f>
        <v>24613.9341356734</v>
      </c>
      <c r="AF86" s="69" t="n">
        <f aca="false">-AF45*Inputs!$E$75/30</f>
        <v>24865.8327186144</v>
      </c>
      <c r="AG86" s="69" t="n">
        <f aca="false">-AG45*Inputs!$E$75/30</f>
        <v>25107.6553582377</v>
      </c>
      <c r="AH86" s="69" t="n">
        <f aca="false">-AH45*Inputs!$E$75/30</f>
        <v>25339.8050922762</v>
      </c>
      <c r="AI86" s="69" t="n">
        <f aca="false">-AI45*Inputs!$E$75/30</f>
        <v>25562.6688369531</v>
      </c>
      <c r="AJ86" s="69" t="n">
        <f aca="false">-AJ45*Inputs!$E$75/30</f>
        <v>25776.6180318429</v>
      </c>
      <c r="AK86" s="69" t="n">
        <f aca="false">-AK45*Inputs!$E$75/30</f>
        <v>25982.0092589371</v>
      </c>
      <c r="AL86" s="69" t="n">
        <f aca="false">-AL45*Inputs!$E$75/30</f>
        <v>21523.9256478349</v>
      </c>
    </row>
    <row r="87" customFormat="false" ht="15" hidden="false" customHeight="false" outlineLevel="0" collapsed="false">
      <c r="A87" s="6" t="s">
        <v>344</v>
      </c>
      <c r="C87" s="69" t="n">
        <f aca="false">-C84</f>
        <v>-3196.22386666667</v>
      </c>
      <c r="D87" s="69" t="n">
        <f aca="false">C84-D84</f>
        <v>-433.705193481482</v>
      </c>
      <c r="E87" s="69" t="n">
        <f aca="false">D84-E84</f>
        <v>-1221.6310598163</v>
      </c>
      <c r="F87" s="69" t="n">
        <f aca="false">E84-F84</f>
        <v>-551.899802608829</v>
      </c>
      <c r="G87" s="69" t="n">
        <f aca="false">F84-G84</f>
        <v>-562.558506800773</v>
      </c>
      <c r="H87" s="69" t="n">
        <f aca="false">G84-H84</f>
        <v>-572.790862825039</v>
      </c>
      <c r="I87" s="69" t="n">
        <f aca="false">H84-I84</f>
        <v>-582.613924608332</v>
      </c>
      <c r="J87" s="69" t="n">
        <f aca="false">I84-J84</f>
        <v>-592.044063920296</v>
      </c>
      <c r="K87" s="69" t="n">
        <f aca="false">J84-K84</f>
        <v>-601.096997659782</v>
      </c>
      <c r="L87" s="69" t="n">
        <f aca="false">K84-L84</f>
        <v>-609.787814049685</v>
      </c>
      <c r="M87" s="69" t="n">
        <f aca="false">L84-M84</f>
        <v>-178.684582969179</v>
      </c>
      <c r="N87" s="69" t="n">
        <f aca="false">M84-N84</f>
        <v>1187.05480034959</v>
      </c>
      <c r="O87" s="69" t="n">
        <f aca="false">N84-O84</f>
        <v>-303.290256998819</v>
      </c>
      <c r="P87" s="69" t="n">
        <f aca="false">O84-P84</f>
        <v>-142.146794717777</v>
      </c>
      <c r="Q87" s="69" t="n">
        <f aca="false">P84-Q84</f>
        <v>-1522.22476292907</v>
      </c>
      <c r="R87" s="69" t="n">
        <f aca="false">Q84-R84</f>
        <v>-156.976092411904</v>
      </c>
      <c r="S87" s="69" t="n">
        <f aca="false">R84-S84</f>
        <v>-150.697048715427</v>
      </c>
      <c r="T87" s="69" t="n">
        <f aca="false">S84-T84</f>
        <v>-144.669166766809</v>
      </c>
      <c r="U87" s="69" t="n">
        <f aca="false">T84-U84</f>
        <v>-138.882400096136</v>
      </c>
      <c r="V87" s="69" t="n">
        <f aca="false">U84-V84</f>
        <v>-133.327104092292</v>
      </c>
      <c r="W87" s="69" t="n">
        <f aca="false">V84-W84</f>
        <v>-127.994019928599</v>
      </c>
      <c r="X87" s="69" t="n">
        <f aca="false">W84-X84</f>
        <v>-122.874259131457</v>
      </c>
      <c r="Y87" s="69" t="n">
        <f aca="false">X84-Y84</f>
        <v>-117.959288766197</v>
      </c>
      <c r="Z87" s="69" t="n">
        <f aca="false">Y84-Z84</f>
        <v>1272.52292278445</v>
      </c>
      <c r="AA87" s="69" t="n">
        <f aca="false">Z84-AA84</f>
        <v>-281.668655546002</v>
      </c>
      <c r="AB87" s="69" t="n">
        <f aca="false">AA84-AB84</f>
        <v>-87.2617315050902</v>
      </c>
      <c r="AC87" s="69" t="n">
        <f aca="false">AB84-AC84</f>
        <v>-1497.25037904488</v>
      </c>
      <c r="AD87" s="69" t="n">
        <f aca="false">AC84-AD84</f>
        <v>-106.913490283088</v>
      </c>
      <c r="AE87" s="69" t="n">
        <f aca="false">AD84-AE84</f>
        <v>-102.636950671766</v>
      </c>
      <c r="AF87" s="69" t="n">
        <f aca="false">AE84-AF84</f>
        <v>-98.5314726448942</v>
      </c>
      <c r="AG87" s="69" t="n">
        <f aca="false">AF84-AG84</f>
        <v>-94.5902137390985</v>
      </c>
      <c r="AH87" s="69" t="n">
        <f aca="false">AG84-AH84</f>
        <v>-90.806605189533</v>
      </c>
      <c r="AI87" s="69" t="n">
        <f aca="false">AH84-AI84</f>
        <v>-87.1743409819555</v>
      </c>
      <c r="AJ87" s="69" t="n">
        <f aca="false">AI84-AJ84</f>
        <v>-83.6873673426744</v>
      </c>
      <c r="AK87" s="69" t="n">
        <f aca="false">AJ84-AK84</f>
        <v>-80.3398726489686</v>
      </c>
      <c r="AL87" s="69" t="n">
        <f aca="false">AK84-AL84</f>
        <v>1336.35283905699</v>
      </c>
    </row>
    <row r="88" customFormat="false" ht="15" hidden="false" customHeight="false" outlineLevel="0" collapsed="false">
      <c r="A88" s="6" t="s">
        <v>345</v>
      </c>
      <c r="C88" s="69" t="n">
        <f aca="false">-C85</f>
        <v>-3535.97287295</v>
      </c>
      <c r="D88" s="69" t="n">
        <f aca="false">C85-D85</f>
        <v>-479.751530209779</v>
      </c>
      <c r="E88" s="69" t="n">
        <f aca="false">D85-E85</f>
        <v>-1522.69322532158</v>
      </c>
      <c r="F88" s="69" t="n">
        <f aca="false">E85-F85</f>
        <v>-642.430812210746</v>
      </c>
      <c r="G88" s="69" t="n">
        <f aca="false">F85-G85</f>
        <v>-658.510799822315</v>
      </c>
      <c r="H88" s="69" t="n">
        <f aca="false">G85-H85</f>
        <v>-673.947587929423</v>
      </c>
      <c r="I88" s="69" t="n">
        <f aca="false">H85-I85</f>
        <v>-688.766904512245</v>
      </c>
      <c r="J88" s="69" t="n">
        <f aca="false">I85-J85</f>
        <v>-702.993448431758</v>
      </c>
      <c r="K88" s="69" t="n">
        <f aca="false">J85-K85</f>
        <v>-716.650930594486</v>
      </c>
      <c r="L88" s="69" t="n">
        <f aca="false">K85-L85</f>
        <v>-729.762113470708</v>
      </c>
      <c r="M88" s="69" t="n">
        <f aca="false">L85-M85</f>
        <v>-269.568028981877</v>
      </c>
      <c r="N88" s="69" t="n">
        <f aca="false">M85-N85</f>
        <v>1735.26571662878</v>
      </c>
      <c r="O88" s="69" t="n">
        <f aca="false">N85-O85</f>
        <v>-433.500389473948</v>
      </c>
      <c r="P88" s="69" t="n">
        <f aca="false">O85-P85</f>
        <v>-181.139437343798</v>
      </c>
      <c r="Q88" s="69" t="n">
        <f aca="false">P85-Q85</f>
        <v>-2329.28982865731</v>
      </c>
      <c r="R88" s="69" t="n">
        <f aca="false">Q85-R85</f>
        <v>-238.793532283751</v>
      </c>
      <c r="S88" s="69" t="n">
        <f aca="false">R85-S85</f>
        <v>-229.241790992404</v>
      </c>
      <c r="T88" s="69" t="n">
        <f aca="false">S85-T85</f>
        <v>-220.072119352706</v>
      </c>
      <c r="U88" s="69" t="n">
        <f aca="false">T85-U85</f>
        <v>-211.269234578596</v>
      </c>
      <c r="V88" s="69" t="n">
        <f aca="false">U85-V85</f>
        <v>-202.818465195453</v>
      </c>
      <c r="W88" s="69" t="n">
        <f aca="false">V85-W85</f>
        <v>-194.705726587636</v>
      </c>
      <c r="X88" s="69" t="n">
        <f aca="false">W85-X85</f>
        <v>-186.917497524129</v>
      </c>
      <c r="Y88" s="69" t="n">
        <f aca="false">X85-Y85</f>
        <v>-179.440797623163</v>
      </c>
      <c r="Z88" s="69" t="n">
        <f aca="false">Y85-Z85</f>
        <v>2281.04380556581</v>
      </c>
      <c r="AA88" s="69" t="n">
        <f aca="false">Z85-AA85</f>
        <v>-427.026227634677</v>
      </c>
      <c r="AB88" s="69" t="n">
        <f aca="false">AA85-AB85</f>
        <v>-112.096409597598</v>
      </c>
      <c r="AC88" s="69" t="n">
        <f aca="false">AB85-AC85</f>
        <v>-2695.87720471152</v>
      </c>
      <c r="AD88" s="69" t="n">
        <f aca="false">AC85-AD85</f>
        <v>-163.996473268882</v>
      </c>
      <c r="AE88" s="69" t="n">
        <f aca="false">AD85-AE85</f>
        <v>-157.436614338127</v>
      </c>
      <c r="AF88" s="69" t="n">
        <f aca="false">AE85-AF85</f>
        <v>-151.139149764602</v>
      </c>
      <c r="AG88" s="69" t="n">
        <f aca="false">AF85-AG85</f>
        <v>-145.093583774014</v>
      </c>
      <c r="AH88" s="69" t="n">
        <f aca="false">AG85-AH85</f>
        <v>-139.289840423056</v>
      </c>
      <c r="AI88" s="69" t="n">
        <f aca="false">AH85-AI85</f>
        <v>-133.718246806135</v>
      </c>
      <c r="AJ88" s="69" t="n">
        <f aca="false">AI85-AJ85</f>
        <v>-128.369516933886</v>
      </c>
      <c r="AK88" s="69" t="n">
        <f aca="false">AJ85-AK85</f>
        <v>-123.234736256534</v>
      </c>
      <c r="AL88" s="69" t="n">
        <f aca="false">AK85-AL85</f>
        <v>2674.85016666134</v>
      </c>
    </row>
    <row r="89" customFormat="false" ht="15" hidden="false" customHeight="false" outlineLevel="0" collapsed="false">
      <c r="A89" s="6" t="s">
        <v>346</v>
      </c>
      <c r="C89" s="69" t="n">
        <f aca="false">C86</f>
        <v>5893.28812158333</v>
      </c>
      <c r="D89" s="69" t="n">
        <f aca="false">D86-C86</f>
        <v>799.585883682964</v>
      </c>
      <c r="E89" s="69" t="n">
        <f aca="false">E86-D86</f>
        <v>2537.82204220264</v>
      </c>
      <c r="F89" s="69" t="n">
        <f aca="false">F86-E86</f>
        <v>1070.71802035124</v>
      </c>
      <c r="G89" s="69" t="n">
        <f aca="false">G86-F86</f>
        <v>1097.51799970386</v>
      </c>
      <c r="H89" s="69" t="n">
        <f aca="false">H86-G86</f>
        <v>1123.24597988237</v>
      </c>
      <c r="I89" s="69" t="n">
        <f aca="false">I86-H86</f>
        <v>1147.94484085374</v>
      </c>
      <c r="J89" s="69" t="n">
        <f aca="false">J86-I86</f>
        <v>1171.65574738627</v>
      </c>
      <c r="K89" s="69" t="n">
        <f aca="false">K86-J86</f>
        <v>1194.41821765747</v>
      </c>
      <c r="L89" s="69" t="n">
        <f aca="false">L86-K86</f>
        <v>1216.27018911785</v>
      </c>
      <c r="M89" s="69" t="n">
        <f aca="false">M86-L86</f>
        <v>449.280048303132</v>
      </c>
      <c r="N89" s="69" t="n">
        <f aca="false">N86-M86</f>
        <v>-2892.10952771463</v>
      </c>
      <c r="O89" s="69" t="n">
        <f aca="false">O86-N86</f>
        <v>722.500649123245</v>
      </c>
      <c r="P89" s="69" t="n">
        <f aca="false">P86-O86</f>
        <v>301.899062239663</v>
      </c>
      <c r="Q89" s="69" t="n">
        <f aca="false">Q86-P86</f>
        <v>3882.14971442885</v>
      </c>
      <c r="R89" s="69" t="n">
        <f aca="false">R86-Q86</f>
        <v>397.989220472919</v>
      </c>
      <c r="S89" s="69" t="n">
        <f aca="false">S86-R86</f>
        <v>382.069651654008</v>
      </c>
      <c r="T89" s="69" t="n">
        <f aca="false">T86-S86</f>
        <v>366.786865587845</v>
      </c>
      <c r="U89" s="69" t="n">
        <f aca="false">U86-T86</f>
        <v>352.115390964325</v>
      </c>
      <c r="V89" s="69" t="n">
        <f aca="false">V86-U86</f>
        <v>338.030775325755</v>
      </c>
      <c r="W89" s="69" t="n">
        <f aca="false">W86-V86</f>
        <v>324.509544312728</v>
      </c>
      <c r="X89" s="69" t="n">
        <f aca="false">X86-W86</f>
        <v>311.529162540213</v>
      </c>
      <c r="Y89" s="69" t="n">
        <f aca="false">Y86-X86</f>
        <v>299.067996038604</v>
      </c>
      <c r="Z89" s="69" t="n">
        <f aca="false">Z86-Y86</f>
        <v>-3801.73967594301</v>
      </c>
      <c r="AA89" s="69" t="n">
        <f aca="false">AA86-Z86</f>
        <v>711.71037939113</v>
      </c>
      <c r="AB89" s="69" t="n">
        <f aca="false">AB86-AA86</f>
        <v>186.827349329327</v>
      </c>
      <c r="AC89" s="69" t="n">
        <f aca="false">AC86-AB86</f>
        <v>4493.1286745192</v>
      </c>
      <c r="AD89" s="69" t="n">
        <f aca="false">AD86-AC86</f>
        <v>273.32745544814</v>
      </c>
      <c r="AE89" s="69" t="n">
        <f aca="false">AE86-AD86</f>
        <v>262.394357230209</v>
      </c>
      <c r="AF89" s="69" t="n">
        <f aca="false">AF86-AE86</f>
        <v>251.898582941005</v>
      </c>
      <c r="AG89" s="69" t="n">
        <f aca="false">AG86-AF86</f>
        <v>241.822639623355</v>
      </c>
      <c r="AH89" s="69" t="n">
        <f aca="false">AH86-AG86</f>
        <v>232.14973403843</v>
      </c>
      <c r="AI89" s="69" t="n">
        <f aca="false">AI86-AH86</f>
        <v>222.863744676888</v>
      </c>
      <c r="AJ89" s="69" t="n">
        <f aca="false">AJ86-AI86</f>
        <v>213.94919488981</v>
      </c>
      <c r="AK89" s="69" t="n">
        <f aca="false">AK86-AJ86</f>
        <v>205.391227094224</v>
      </c>
      <c r="AL89" s="69" t="n">
        <f aca="false">AL86-AK86</f>
        <v>-4458.08361110224</v>
      </c>
    </row>
    <row r="91" customFormat="false" ht="15.75" hidden="false" customHeight="true" outlineLevel="0" collapsed="false">
      <c r="A91" s="7" t="s">
        <v>429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4" t="s">
        <v>52</v>
      </c>
      <c r="C92" s="75" t="n">
        <f aca="false">C64-C73+C87+C88+C89</f>
        <v>-74804.1630306</v>
      </c>
      <c r="D92" s="75" t="n">
        <f aca="false">D64-D73+D87+D88+D89</f>
        <v>-68444.5087441057</v>
      </c>
      <c r="E92" s="75" t="n">
        <f aca="false">E64-E73+E87+E88+E89</f>
        <v>-53080.977367098</v>
      </c>
      <c r="F92" s="75" t="n">
        <f aca="false">F64-F73+F87+F88+F89</f>
        <v>-45827.3689705868</v>
      </c>
      <c r="G92" s="75" t="n">
        <f aca="false">G64-G73+G87+G88+G89</f>
        <v>-38528.8683473374</v>
      </c>
      <c r="H92" s="75" t="n">
        <f aca="false">H64-H73+H87+H88+H89</f>
        <v>-31107.7584114402</v>
      </c>
      <c r="I92" s="75" t="n">
        <f aca="false">I64-I73+I87+I88+I89</f>
        <v>-23568.9435354011</v>
      </c>
      <c r="J92" s="75" t="n">
        <f aca="false">J64-J73+J87+J88+J89</f>
        <v>-15917.1319168258</v>
      </c>
      <c r="K92" s="75" t="n">
        <f aca="false">K64-K73+K87+K88+K89</f>
        <v>-8156.84342541571</v>
      </c>
      <c r="L92" s="75" t="n">
        <f aca="false">L64-L73+L87+L88+L89</f>
        <v>-292.417136084256</v>
      </c>
      <c r="M92" s="75" t="n">
        <f aca="false">M64-M73+M87+M88+M89</f>
        <v>2150.10605857762</v>
      </c>
      <c r="N92" s="75" t="n">
        <f aca="false">N64-N73+N87+N88+N89</f>
        <v>-11978.9176271636</v>
      </c>
      <c r="O92" s="75" t="n">
        <f aca="false">O64-O73+O87+O88+O89</f>
        <v>-8211.58220440918</v>
      </c>
      <c r="P92" s="75" t="n">
        <f aca="false">P64-P73+P87+P88+P89</f>
        <v>-6271.67299746916</v>
      </c>
      <c r="Q92" s="75" t="n">
        <f aca="false">Q64-Q73+Q87+Q88+Q89</f>
        <v>12132.2244151499</v>
      </c>
      <c r="R92" s="75" t="n">
        <f aca="false">R64-R73+R87+R88+R89</f>
        <v>14157.9465430291</v>
      </c>
      <c r="S92" s="75" t="n">
        <f aca="false">S64-S73+S87+S88+S89</f>
        <v>16136.9132412779</v>
      </c>
      <c r="T92" s="75" t="n">
        <f aca="false">T64-T73+T87+T88+T89</f>
        <v>18043.8046049301</v>
      </c>
      <c r="U92" s="75" t="n">
        <f aca="false">U64-U73+U87+U88+U89</f>
        <v>19881.5036473696</v>
      </c>
      <c r="V92" s="75" t="n">
        <f aca="false">V64-V73+V87+V88+V89</f>
        <v>21652.7780614448</v>
      </c>
      <c r="W92" s="75" t="n">
        <f aca="false">W64-W73+W87+W88+W89</f>
        <v>23360.2848322903</v>
      </c>
      <c r="X92" s="75" t="n">
        <f aca="false">X64-X73+X87+X88+X89</f>
        <v>25006.5746656354</v>
      </c>
      <c r="Y92" s="75" t="n">
        <f aca="false">Y64-Y73+Y87+Y88+Y89</f>
        <v>26594.0962389799</v>
      </c>
      <c r="Z92" s="75" t="n">
        <f aca="false">Z64-Z73+Z87+Z88+Z89</f>
        <v>11995.5824844361</v>
      </c>
      <c r="AA92" s="75" t="n">
        <f aca="false">AA64-AA73+AA87+AA88+AA89</f>
        <v>15193.8036394933</v>
      </c>
      <c r="AB92" s="75" t="n">
        <f aca="false">AB64-AB73+AB87+AB88+AB89</f>
        <v>16440.073838224</v>
      </c>
      <c r="AC92" s="75" t="n">
        <f aca="false">AC64-AC73+AC87+AC88+AC89</f>
        <v>33996.6903303437</v>
      </c>
      <c r="AD92" s="75" t="n">
        <f aca="false">AD64-AD73+AD87+AD88+AD89</f>
        <v>35151.899472519</v>
      </c>
      <c r="AE92" s="75" t="n">
        <f aca="false">AE64-AE73+AE87+AE88+AE89</f>
        <v>36553.5671375767</v>
      </c>
      <c r="AF92" s="75" t="n">
        <f aca="false">AF64-AF73+AF87+AF88+AF89</f>
        <v>37906.2514293654</v>
      </c>
      <c r="AG92" s="75" t="n">
        <f aca="false">AG64-AG73+AG87+AG88+AG89</f>
        <v>39211.9116828159</v>
      </c>
      <c r="AH92" s="75" t="n">
        <f aca="false">AH64-AH73+AH87+AH88+AH89</f>
        <v>40472.4288594618</v>
      </c>
      <c r="AI92" s="75" t="n">
        <f aca="false">AI64-AI73+AI87+AI88+AI89</f>
        <v>41689.6086823751</v>
      </c>
      <c r="AJ92" s="75" t="n">
        <f aca="false">AJ64-AJ73+AJ87+AJ88+AJ89</f>
        <v>42865.1846457052</v>
      </c>
      <c r="AK92" s="75" t="n">
        <f aca="false">AK64-AK73+AK87+AK88+AK89</f>
        <v>44000.8209038355</v>
      </c>
      <c r="AL92" s="75" t="n">
        <f aca="false">AL64-AL73+AL87+AL88+AL89</f>
        <v>29033.6147610641</v>
      </c>
    </row>
    <row r="93" customFormat="false" ht="15" hidden="false" customHeight="false" outlineLevel="0" collapsed="false">
      <c r="A93" s="6" t="s">
        <v>430</v>
      </c>
      <c r="C93" s="69" t="n">
        <f aca="false">-C71</f>
        <v>-4100000</v>
      </c>
      <c r="D93" s="69" t="n">
        <f aca="false">-D71</f>
        <v>-0</v>
      </c>
      <c r="E93" s="69" t="n">
        <f aca="false">-E71</f>
        <v>-0</v>
      </c>
      <c r="F93" s="69" t="n">
        <f aca="false">-F71</f>
        <v>-0</v>
      </c>
      <c r="G93" s="69" t="n">
        <f aca="false">-G71</f>
        <v>-0</v>
      </c>
      <c r="H93" s="69" t="n">
        <f aca="false">-H71</f>
        <v>-0</v>
      </c>
      <c r="I93" s="69" t="n">
        <f aca="false">-I71</f>
        <v>-0</v>
      </c>
      <c r="J93" s="69" t="n">
        <f aca="false">-J71</f>
        <v>-0</v>
      </c>
      <c r="K93" s="69" t="n">
        <f aca="false">-K71</f>
        <v>-0</v>
      </c>
      <c r="L93" s="69" t="n">
        <f aca="false">-L71</f>
        <v>-0</v>
      </c>
      <c r="M93" s="69" t="n">
        <f aca="false">-M71</f>
        <v>-0</v>
      </c>
      <c r="N93" s="69" t="n">
        <f aca="false">-N71</f>
        <v>-0</v>
      </c>
      <c r="O93" s="69" t="n">
        <f aca="false">-O71</f>
        <v>-40000</v>
      </c>
      <c r="P93" s="69" t="n">
        <f aca="false">-P71</f>
        <v>-0</v>
      </c>
      <c r="Q93" s="69" t="n">
        <f aca="false">-Q71</f>
        <v>-0</v>
      </c>
      <c r="R93" s="69" t="n">
        <f aca="false">-R71</f>
        <v>-0</v>
      </c>
      <c r="S93" s="69" t="n">
        <f aca="false">-S71</f>
        <v>-0</v>
      </c>
      <c r="T93" s="69" t="n">
        <f aca="false">-T71</f>
        <v>-0</v>
      </c>
      <c r="U93" s="69" t="n">
        <f aca="false">-U71</f>
        <v>-0</v>
      </c>
      <c r="V93" s="69" t="n">
        <f aca="false">-V71</f>
        <v>-0</v>
      </c>
      <c r="W93" s="69" t="n">
        <f aca="false">-W71</f>
        <v>-0</v>
      </c>
      <c r="X93" s="69" t="n">
        <f aca="false">-X71</f>
        <v>-0</v>
      </c>
      <c r="Y93" s="69" t="n">
        <f aca="false">-Y71</f>
        <v>-0</v>
      </c>
      <c r="Z93" s="69" t="n">
        <f aca="false">-Z71</f>
        <v>-0</v>
      </c>
      <c r="AA93" s="69" t="n">
        <f aca="false">-AA71</f>
        <v>-40000</v>
      </c>
      <c r="AB93" s="69" t="n">
        <f aca="false">-AB71</f>
        <v>-0</v>
      </c>
      <c r="AC93" s="69" t="n">
        <f aca="false">-AC71</f>
        <v>-0</v>
      </c>
      <c r="AD93" s="69" t="n">
        <f aca="false">-AD71</f>
        <v>-0</v>
      </c>
      <c r="AE93" s="69" t="n">
        <f aca="false">-AE71</f>
        <v>-0</v>
      </c>
      <c r="AF93" s="69" t="n">
        <f aca="false">-AF71</f>
        <v>-0</v>
      </c>
      <c r="AG93" s="69" t="n">
        <f aca="false">-AG71</f>
        <v>-0</v>
      </c>
      <c r="AH93" s="69" t="n">
        <f aca="false">-AH71</f>
        <v>-0</v>
      </c>
      <c r="AI93" s="69" t="n">
        <f aca="false">-AI71</f>
        <v>-0</v>
      </c>
      <c r="AJ93" s="69" t="n">
        <f aca="false">-AJ71</f>
        <v>-0</v>
      </c>
      <c r="AK93" s="69" t="n">
        <f aca="false">-AK71</f>
        <v>-0</v>
      </c>
      <c r="AL93" s="69" t="n">
        <f aca="false">-AL71</f>
        <v>-0</v>
      </c>
    </row>
    <row r="94" customFormat="false" ht="15" hidden="false" customHeight="false" outlineLevel="0" collapsed="false">
      <c r="A94" s="6" t="s">
        <v>64</v>
      </c>
      <c r="C94" s="69" t="n">
        <f aca="false">IF(C$4=1,Inputs!$E$67,0)</f>
        <v>2100000</v>
      </c>
      <c r="D94" s="69" t="n">
        <f aca="false">IF(D$4=1,Inputs!$E$67,0)</f>
        <v>0</v>
      </c>
      <c r="E94" s="69" t="n">
        <f aca="false">IF(E$4=1,Inputs!$E$67,0)</f>
        <v>0</v>
      </c>
      <c r="F94" s="69" t="n">
        <f aca="false">IF(F$4=1,Inputs!$E$67,0)</f>
        <v>0</v>
      </c>
      <c r="G94" s="69" t="n">
        <f aca="false">IF(G$4=1,Inputs!$E$67,0)</f>
        <v>0</v>
      </c>
      <c r="H94" s="69" t="n">
        <f aca="false">IF(H$4=1,Inputs!$E$67,0)</f>
        <v>0</v>
      </c>
      <c r="I94" s="69" t="n">
        <f aca="false">IF(I$4=1,Inputs!$E$67,0)</f>
        <v>0</v>
      </c>
      <c r="J94" s="69" t="n">
        <f aca="false">IF(J$4=1,Inputs!$E$67,0)</f>
        <v>0</v>
      </c>
      <c r="K94" s="69" t="n">
        <f aca="false">IF(K$4=1,Inputs!$E$67,0)</f>
        <v>0</v>
      </c>
      <c r="L94" s="69" t="n">
        <f aca="false">IF(L$4=1,Inputs!$E$67,0)</f>
        <v>0</v>
      </c>
      <c r="M94" s="69" t="n">
        <f aca="false">IF(M$4=1,Inputs!$E$67,0)</f>
        <v>0</v>
      </c>
      <c r="N94" s="69" t="n">
        <f aca="false">IF(N$4=1,Inputs!$E$67,0)</f>
        <v>0</v>
      </c>
      <c r="O94" s="69" t="n">
        <f aca="false">IF(O$4=1,Inputs!$E$67,0)</f>
        <v>0</v>
      </c>
      <c r="P94" s="69" t="n">
        <f aca="false">IF(P$4=1,Inputs!$E$67,0)</f>
        <v>0</v>
      </c>
      <c r="Q94" s="69" t="n">
        <f aca="false">IF(Q$4=1,Inputs!$E$67,0)</f>
        <v>0</v>
      </c>
      <c r="R94" s="69" t="n">
        <f aca="false">IF(R$4=1,Inputs!$E$67,0)</f>
        <v>0</v>
      </c>
      <c r="S94" s="69" t="n">
        <f aca="false">IF(S$4=1,Inputs!$E$67,0)</f>
        <v>0</v>
      </c>
      <c r="T94" s="69" t="n">
        <f aca="false">IF(T$4=1,Inputs!$E$67,0)</f>
        <v>0</v>
      </c>
      <c r="U94" s="69" t="n">
        <f aca="false">IF(U$4=1,Inputs!$E$67,0)</f>
        <v>0</v>
      </c>
      <c r="V94" s="69" t="n">
        <f aca="false">IF(V$4=1,Inputs!$E$67,0)</f>
        <v>0</v>
      </c>
      <c r="W94" s="69" t="n">
        <f aca="false">IF(W$4=1,Inputs!$E$67,0)</f>
        <v>0</v>
      </c>
      <c r="X94" s="69" t="n">
        <f aca="false">IF(X$4=1,Inputs!$E$67,0)</f>
        <v>0</v>
      </c>
      <c r="Y94" s="69" t="n">
        <f aca="false">IF(Y$4=1,Inputs!$E$67,0)</f>
        <v>0</v>
      </c>
      <c r="Z94" s="69" t="n">
        <f aca="false">IF(Z$4=1,Inputs!$E$67,0)</f>
        <v>0</v>
      </c>
      <c r="AA94" s="69" t="n">
        <f aca="false">IF(AA$4=1,Inputs!$E$67,0)</f>
        <v>0</v>
      </c>
      <c r="AB94" s="69" t="n">
        <f aca="false">IF(AB$4=1,Inputs!$E$67,0)</f>
        <v>0</v>
      </c>
      <c r="AC94" s="69" t="n">
        <f aca="false">IF(AC$4=1,Inputs!$E$67,0)</f>
        <v>0</v>
      </c>
      <c r="AD94" s="69" t="n">
        <f aca="false">IF(AD$4=1,Inputs!$E$67,0)</f>
        <v>0</v>
      </c>
      <c r="AE94" s="69" t="n">
        <f aca="false">IF(AE$4=1,Inputs!$E$67,0)</f>
        <v>0</v>
      </c>
      <c r="AF94" s="69" t="n">
        <f aca="false">IF(AF$4=1,Inputs!$E$67,0)</f>
        <v>0</v>
      </c>
      <c r="AG94" s="69" t="n">
        <f aca="false">IF(AG$4=1,Inputs!$E$67,0)</f>
        <v>0</v>
      </c>
      <c r="AH94" s="69" t="n">
        <f aca="false">IF(AH$4=1,Inputs!$E$67,0)</f>
        <v>0</v>
      </c>
      <c r="AI94" s="69" t="n">
        <f aca="false">IF(AI$4=1,Inputs!$E$67,0)</f>
        <v>0</v>
      </c>
      <c r="AJ94" s="69" t="n">
        <f aca="false">IF(AJ$4=1,Inputs!$E$67,0)</f>
        <v>0</v>
      </c>
      <c r="AK94" s="69" t="n">
        <f aca="false">IF(AK$4=1,Inputs!$E$67,0)</f>
        <v>0</v>
      </c>
      <c r="AL94" s="69" t="n">
        <f aca="false">IF(AL$4=1,Inputs!$E$67,0)</f>
        <v>0</v>
      </c>
    </row>
    <row r="95" customFormat="false" ht="15" hidden="false" customHeight="false" outlineLevel="0" collapsed="false">
      <c r="A95" s="6" t="s">
        <v>54</v>
      </c>
      <c r="C95" s="69" t="n">
        <f aca="false">C94+C79+C80</f>
        <v>5100000</v>
      </c>
      <c r="D95" s="69" t="n">
        <f aca="false">D94+D79+D80</f>
        <v>-25000</v>
      </c>
      <c r="E95" s="69" t="n">
        <f aca="false">E94+E79+E80</f>
        <v>-25000</v>
      </c>
      <c r="F95" s="69" t="n">
        <f aca="false">F94+F79+F80</f>
        <v>-25000</v>
      </c>
      <c r="G95" s="69" t="n">
        <f aca="false">G94+G79+G80</f>
        <v>-25000</v>
      </c>
      <c r="H95" s="69" t="n">
        <f aca="false">H94+H79+H80</f>
        <v>-25000</v>
      </c>
      <c r="I95" s="69" t="n">
        <f aca="false">I94+I79+I80</f>
        <v>-25000</v>
      </c>
      <c r="J95" s="69" t="n">
        <f aca="false">J94+J79+J80</f>
        <v>-25000</v>
      </c>
      <c r="K95" s="69" t="n">
        <f aca="false">K94+K79+K80</f>
        <v>-25000</v>
      </c>
      <c r="L95" s="69" t="n">
        <f aca="false">L94+L79+L80</f>
        <v>-25000</v>
      </c>
      <c r="M95" s="69" t="n">
        <f aca="false">M94+M79+M80</f>
        <v>-25000</v>
      </c>
      <c r="N95" s="69" t="n">
        <f aca="false">N94+N79+N80</f>
        <v>-25000</v>
      </c>
      <c r="O95" s="69" t="n">
        <f aca="false">O94+O79+O80</f>
        <v>-25000</v>
      </c>
      <c r="P95" s="69" t="n">
        <f aca="false">P94+P79+P80</f>
        <v>-25000</v>
      </c>
      <c r="Q95" s="69" t="n">
        <f aca="false">Q94+Q79+Q80</f>
        <v>-25000</v>
      </c>
      <c r="R95" s="69" t="n">
        <f aca="false">R94+R79+R80</f>
        <v>-25000</v>
      </c>
      <c r="S95" s="69" t="n">
        <f aca="false">S94+S79+S80</f>
        <v>-25000</v>
      </c>
      <c r="T95" s="69" t="n">
        <f aca="false">T94+T79+T80</f>
        <v>-25000</v>
      </c>
      <c r="U95" s="69" t="n">
        <f aca="false">U94+U79+U80</f>
        <v>-25000</v>
      </c>
      <c r="V95" s="69" t="n">
        <f aca="false">V94+V79+V80</f>
        <v>-25000</v>
      </c>
      <c r="W95" s="69" t="n">
        <f aca="false">W94+W79+W80</f>
        <v>-25000</v>
      </c>
      <c r="X95" s="69" t="n">
        <f aca="false">X94+X79+X80</f>
        <v>-25000</v>
      </c>
      <c r="Y95" s="69" t="n">
        <f aca="false">Y94+Y79+Y80</f>
        <v>-25000</v>
      </c>
      <c r="Z95" s="69" t="n">
        <f aca="false">Z94+Z79+Z80</f>
        <v>-25000</v>
      </c>
      <c r="AA95" s="69" t="n">
        <f aca="false">AA94+AA79+AA80</f>
        <v>-25000</v>
      </c>
      <c r="AB95" s="69" t="n">
        <f aca="false">AB94+AB79+AB80</f>
        <v>-25000</v>
      </c>
      <c r="AC95" s="69" t="n">
        <f aca="false">AC94+AC79+AC80</f>
        <v>-25000</v>
      </c>
      <c r="AD95" s="69" t="n">
        <f aca="false">AD94+AD79+AD80</f>
        <v>-25000</v>
      </c>
      <c r="AE95" s="69" t="n">
        <f aca="false">AE94+AE79+AE80</f>
        <v>-25000</v>
      </c>
      <c r="AF95" s="69" t="n">
        <f aca="false">AF94+AF79+AF80</f>
        <v>-25000</v>
      </c>
      <c r="AG95" s="69" t="n">
        <f aca="false">AG94+AG79+AG80</f>
        <v>-25000</v>
      </c>
      <c r="AH95" s="69" t="n">
        <f aca="false">AH94+AH79+AH80</f>
        <v>-25000</v>
      </c>
      <c r="AI95" s="69" t="n">
        <f aca="false">AI94+AI79+AI80</f>
        <v>-25000</v>
      </c>
      <c r="AJ95" s="69" t="n">
        <f aca="false">AJ94+AJ79+AJ80</f>
        <v>-25000</v>
      </c>
      <c r="AK95" s="69" t="n">
        <f aca="false">AK94+AK79+AK80</f>
        <v>-25000</v>
      </c>
      <c r="AL95" s="69" t="n">
        <f aca="false">AL94+AL79+AL80</f>
        <v>-25000</v>
      </c>
    </row>
    <row r="96" customFormat="false" ht="15" hidden="false" customHeight="false" outlineLevel="0" collapsed="false">
      <c r="A96" s="113" t="s">
        <v>431</v>
      </c>
      <c r="C96" s="70" t="n">
        <f aca="false">C92+C93+C95</f>
        <v>925195.8369694</v>
      </c>
      <c r="D96" s="70" t="n">
        <f aca="false">D92+D93+D95</f>
        <v>-93444.5087441057</v>
      </c>
      <c r="E96" s="70" t="n">
        <f aca="false">E92+E93+E95</f>
        <v>-78080.977367098</v>
      </c>
      <c r="F96" s="70" t="n">
        <f aca="false">F92+F93+F95</f>
        <v>-70827.3689705868</v>
      </c>
      <c r="G96" s="70" t="n">
        <f aca="false">G92+G93+G95</f>
        <v>-63528.8683473374</v>
      </c>
      <c r="H96" s="70" t="n">
        <f aca="false">H92+H93+H95</f>
        <v>-56107.7584114402</v>
      </c>
      <c r="I96" s="70" t="n">
        <f aca="false">I92+I93+I95</f>
        <v>-48568.9435354011</v>
      </c>
      <c r="J96" s="70" t="n">
        <f aca="false">J92+J93+J95</f>
        <v>-40917.1319168258</v>
      </c>
      <c r="K96" s="70" t="n">
        <f aca="false">K92+K93+K95</f>
        <v>-33156.8434254157</v>
      </c>
      <c r="L96" s="70" t="n">
        <f aca="false">L92+L93+L95</f>
        <v>-25292.4171360843</v>
      </c>
      <c r="M96" s="70" t="n">
        <f aca="false">M92+M93+M95</f>
        <v>-22849.8939414224</v>
      </c>
      <c r="N96" s="70" t="n">
        <f aca="false">N92+N93+N95</f>
        <v>-36978.9176271636</v>
      </c>
      <c r="O96" s="70" t="n">
        <f aca="false">O92+O93+O95</f>
        <v>-73211.5822044092</v>
      </c>
      <c r="P96" s="70" t="n">
        <f aca="false">P92+P93+P95</f>
        <v>-31271.6729974692</v>
      </c>
      <c r="Q96" s="70" t="n">
        <f aca="false">Q92+Q93+Q95</f>
        <v>-12867.7755848501</v>
      </c>
      <c r="R96" s="70" t="n">
        <f aca="false">R92+R93+R95</f>
        <v>-10842.0534569709</v>
      </c>
      <c r="S96" s="70" t="n">
        <f aca="false">S92+S93+S95</f>
        <v>-8863.08675872211</v>
      </c>
      <c r="T96" s="70" t="n">
        <f aca="false">T92+T93+T95</f>
        <v>-6956.19539506988</v>
      </c>
      <c r="U96" s="70" t="n">
        <f aca="false">U92+U93+U95</f>
        <v>-5118.49635263045</v>
      </c>
      <c r="V96" s="70" t="n">
        <f aca="false">V92+V93+V95</f>
        <v>-3347.22193855521</v>
      </c>
      <c r="W96" s="70" t="n">
        <f aca="false">W92+W93+W95</f>
        <v>-1639.71516770967</v>
      </c>
      <c r="X96" s="70" t="n">
        <f aca="false">X92+X93+X95</f>
        <v>6.5746656354022</v>
      </c>
      <c r="Y96" s="70" t="n">
        <f aca="false">Y92+Y93+Y95</f>
        <v>1594.09623897995</v>
      </c>
      <c r="Z96" s="70" t="n">
        <f aca="false">Z92+Z93+Z95</f>
        <v>-13004.4175155639</v>
      </c>
      <c r="AA96" s="70" t="n">
        <f aca="false">AA92+AA93+AA95</f>
        <v>-49806.1963605067</v>
      </c>
      <c r="AB96" s="70" t="n">
        <f aca="false">AB92+AB93+AB95</f>
        <v>-8559.92616177598</v>
      </c>
      <c r="AC96" s="70" t="n">
        <f aca="false">AC92+AC93+AC95</f>
        <v>8996.69033034372</v>
      </c>
      <c r="AD96" s="70" t="n">
        <f aca="false">AD92+AD93+AD95</f>
        <v>10151.899472519</v>
      </c>
      <c r="AE96" s="70" t="n">
        <f aca="false">AE92+AE93+AE95</f>
        <v>11553.5671375767</v>
      </c>
      <c r="AF96" s="70" t="n">
        <f aca="false">AF92+AF93+AF95</f>
        <v>12906.2514293654</v>
      </c>
      <c r="AG96" s="70" t="n">
        <f aca="false">AG92+AG93+AG95</f>
        <v>14211.9116828159</v>
      </c>
      <c r="AH96" s="70" t="n">
        <f aca="false">AH92+AH93+AH95</f>
        <v>15472.4288594618</v>
      </c>
      <c r="AI96" s="70" t="n">
        <f aca="false">AI92+AI93+AI95</f>
        <v>16689.6086823751</v>
      </c>
      <c r="AJ96" s="70" t="n">
        <f aca="false">AJ92+AJ93+AJ95</f>
        <v>17865.1846457052</v>
      </c>
      <c r="AK96" s="70" t="n">
        <f aca="false">AK92+AK93+AK95</f>
        <v>19000.8209038355</v>
      </c>
      <c r="AL96" s="70" t="n">
        <f aca="false">AL92+AL93+AL95</f>
        <v>4033.61476106406</v>
      </c>
    </row>
    <row r="97" customFormat="false" ht="15" hidden="false" customHeight="false" outlineLevel="0" collapsed="false">
      <c r="A97" s="6" t="s">
        <v>347</v>
      </c>
      <c r="C97" s="69" t="n">
        <f aca="false">0</f>
        <v>0</v>
      </c>
      <c r="D97" s="69" t="n">
        <f aca="false">C98</f>
        <v>925195.8369694</v>
      </c>
      <c r="E97" s="69" t="n">
        <f aca="false">D98</f>
        <v>831751.328225294</v>
      </c>
      <c r="F97" s="69" t="n">
        <f aca="false">E98</f>
        <v>753670.350858196</v>
      </c>
      <c r="G97" s="69" t="n">
        <f aca="false">F98</f>
        <v>682842.981887609</v>
      </c>
      <c r="H97" s="69" t="n">
        <f aca="false">G98</f>
        <v>619314.113540272</v>
      </c>
      <c r="I97" s="69" t="n">
        <f aca="false">H98</f>
        <v>563206.355128832</v>
      </c>
      <c r="J97" s="69" t="n">
        <f aca="false">I98</f>
        <v>514637.411593431</v>
      </c>
      <c r="K97" s="69" t="n">
        <f aca="false">J98</f>
        <v>473720.279676605</v>
      </c>
      <c r="L97" s="69" t="n">
        <f aca="false">K98</f>
        <v>440563.436251189</v>
      </c>
      <c r="M97" s="69" t="n">
        <f aca="false">L98</f>
        <v>415271.019115105</v>
      </c>
      <c r="N97" s="69" t="n">
        <f aca="false">M98</f>
        <v>392421.125173683</v>
      </c>
      <c r="O97" s="69" t="n">
        <f aca="false">N98</f>
        <v>355442.207546519</v>
      </c>
      <c r="P97" s="69" t="n">
        <f aca="false">O98</f>
        <v>282230.62534211</v>
      </c>
      <c r="Q97" s="69" t="n">
        <f aca="false">P98</f>
        <v>250958.952344641</v>
      </c>
      <c r="R97" s="69" t="n">
        <f aca="false">Q98</f>
        <v>238091.176759791</v>
      </c>
      <c r="S97" s="69" t="n">
        <f aca="false">R98</f>
        <v>227249.12330282</v>
      </c>
      <c r="T97" s="69" t="n">
        <f aca="false">S98</f>
        <v>218386.036544098</v>
      </c>
      <c r="U97" s="69" t="n">
        <f aca="false">T98</f>
        <v>211429.841149028</v>
      </c>
      <c r="V97" s="69" t="n">
        <f aca="false">U98</f>
        <v>206311.344796397</v>
      </c>
      <c r="W97" s="69" t="n">
        <f aca="false">V98</f>
        <v>202964.122857842</v>
      </c>
      <c r="X97" s="69" t="n">
        <f aca="false">W98</f>
        <v>201324.407690132</v>
      </c>
      <c r="Y97" s="69" t="n">
        <f aca="false">X98</f>
        <v>201330.982355768</v>
      </c>
      <c r="Z97" s="69" t="n">
        <f aca="false">Y98</f>
        <v>202925.078594748</v>
      </c>
      <c r="AA97" s="69" t="n">
        <f aca="false">Z98</f>
        <v>189920.661079184</v>
      </c>
      <c r="AB97" s="69" t="n">
        <f aca="false">AA98</f>
        <v>140114.464718677</v>
      </c>
      <c r="AC97" s="69" t="n">
        <f aca="false">AB98</f>
        <v>131554.538556901</v>
      </c>
      <c r="AD97" s="69" t="n">
        <f aca="false">AC98</f>
        <v>140551.228887245</v>
      </c>
      <c r="AE97" s="69" t="n">
        <f aca="false">AD98</f>
        <v>150703.128359764</v>
      </c>
      <c r="AF97" s="69" t="n">
        <f aca="false">AE98</f>
        <v>162256.695497341</v>
      </c>
      <c r="AG97" s="69" t="n">
        <f aca="false">AF98</f>
        <v>175162.946926706</v>
      </c>
      <c r="AH97" s="69" t="n">
        <f aca="false">AG98</f>
        <v>189374.858609522</v>
      </c>
      <c r="AI97" s="69" t="n">
        <f aca="false">AH98</f>
        <v>204847.287468984</v>
      </c>
      <c r="AJ97" s="69" t="n">
        <f aca="false">AI98</f>
        <v>221536.896151359</v>
      </c>
      <c r="AK97" s="69" t="n">
        <f aca="false">AJ98</f>
        <v>239402.080797064</v>
      </c>
      <c r="AL97" s="69" t="n">
        <f aca="false">AK98</f>
        <v>258402.901700899</v>
      </c>
    </row>
    <row r="98" customFormat="false" ht="15" hidden="false" customHeight="false" outlineLevel="0" collapsed="false">
      <c r="A98" s="113" t="s">
        <v>87</v>
      </c>
      <c r="C98" s="70" t="n">
        <f aca="false">C97+C96</f>
        <v>925195.8369694</v>
      </c>
      <c r="D98" s="70" t="n">
        <f aca="false">D97+D96</f>
        <v>831751.328225294</v>
      </c>
      <c r="E98" s="70" t="n">
        <f aca="false">E97+E96</f>
        <v>753670.350858196</v>
      </c>
      <c r="F98" s="70" t="n">
        <f aca="false">F97+F96</f>
        <v>682842.981887609</v>
      </c>
      <c r="G98" s="70" t="n">
        <f aca="false">G97+G96</f>
        <v>619314.113540272</v>
      </c>
      <c r="H98" s="70" t="n">
        <f aca="false">H97+H96</f>
        <v>563206.355128832</v>
      </c>
      <c r="I98" s="70" t="n">
        <f aca="false">I97+I96</f>
        <v>514637.411593431</v>
      </c>
      <c r="J98" s="70" t="n">
        <f aca="false">J97+J96</f>
        <v>473720.279676605</v>
      </c>
      <c r="K98" s="70" t="n">
        <f aca="false">K97+K96</f>
        <v>440563.436251189</v>
      </c>
      <c r="L98" s="70" t="n">
        <f aca="false">L97+L96</f>
        <v>415271.019115105</v>
      </c>
      <c r="M98" s="70" t="n">
        <f aca="false">M97+M96</f>
        <v>392421.125173683</v>
      </c>
      <c r="N98" s="70" t="n">
        <f aca="false">N97+N96</f>
        <v>355442.207546519</v>
      </c>
      <c r="O98" s="70" t="n">
        <f aca="false">O97+O96</f>
        <v>282230.62534211</v>
      </c>
      <c r="P98" s="70" t="n">
        <f aca="false">P97+P96</f>
        <v>250958.952344641</v>
      </c>
      <c r="Q98" s="70" t="n">
        <f aca="false">Q97+Q96</f>
        <v>238091.176759791</v>
      </c>
      <c r="R98" s="70" t="n">
        <f aca="false">R97+R96</f>
        <v>227249.12330282</v>
      </c>
      <c r="S98" s="70" t="n">
        <f aca="false">S97+S96</f>
        <v>218386.036544098</v>
      </c>
      <c r="T98" s="70" t="n">
        <f aca="false">T97+T96</f>
        <v>211429.841149028</v>
      </c>
      <c r="U98" s="70" t="n">
        <f aca="false">U97+U96</f>
        <v>206311.344796397</v>
      </c>
      <c r="V98" s="70" t="n">
        <f aca="false">V97+V96</f>
        <v>202964.122857842</v>
      </c>
      <c r="W98" s="70" t="n">
        <f aca="false">W97+W96</f>
        <v>201324.407690132</v>
      </c>
      <c r="X98" s="70" t="n">
        <f aca="false">X97+X96</f>
        <v>201330.982355768</v>
      </c>
      <c r="Y98" s="70" t="n">
        <f aca="false">Y97+Y96</f>
        <v>202925.078594748</v>
      </c>
      <c r="Z98" s="70" t="n">
        <f aca="false">Z97+Z96</f>
        <v>189920.661079184</v>
      </c>
      <c r="AA98" s="70" t="n">
        <f aca="false">AA97+AA96</f>
        <v>140114.464718677</v>
      </c>
      <c r="AB98" s="70" t="n">
        <f aca="false">AB97+AB96</f>
        <v>131554.538556901</v>
      </c>
      <c r="AC98" s="70" t="n">
        <f aca="false">AC97+AC96</f>
        <v>140551.228887245</v>
      </c>
      <c r="AD98" s="70" t="n">
        <f aca="false">AD97+AD96</f>
        <v>150703.128359764</v>
      </c>
      <c r="AE98" s="70" t="n">
        <f aca="false">AE97+AE96</f>
        <v>162256.695497341</v>
      </c>
      <c r="AF98" s="70" t="n">
        <f aca="false">AF97+AF96</f>
        <v>175162.946926706</v>
      </c>
      <c r="AG98" s="70" t="n">
        <f aca="false">AG97+AG96</f>
        <v>189374.858609522</v>
      </c>
      <c r="AH98" s="70" t="n">
        <f aca="false">AH97+AH96</f>
        <v>204847.287468984</v>
      </c>
      <c r="AI98" s="70" t="n">
        <f aca="false">AI97+AI96</f>
        <v>221536.896151359</v>
      </c>
      <c r="AJ98" s="70" t="n">
        <f aca="false">AJ97+AJ96</f>
        <v>239402.080797064</v>
      </c>
      <c r="AK98" s="70" t="n">
        <f aca="false">AK97+AK96</f>
        <v>258402.901700899</v>
      </c>
      <c r="AL98" s="70" t="n">
        <f aca="false">AL97+AL96</f>
        <v>262436.516461964</v>
      </c>
    </row>
    <row r="99" customFormat="false" ht="15" hidden="false" customHeight="false" outlineLevel="0" collapsed="false">
      <c r="A99" s="116" t="s">
        <v>432</v>
      </c>
      <c r="C99" s="118" t="n">
        <f aca="false">IF(C55&gt;0,1,0)</f>
        <v>0</v>
      </c>
      <c r="D99" s="118" t="n">
        <f aca="false">IF(D55&gt;0,1,0)</f>
        <v>0</v>
      </c>
      <c r="E99" s="118" t="n">
        <f aca="false">IF(E55&gt;0,1,0)</f>
        <v>0</v>
      </c>
      <c r="F99" s="118" t="n">
        <f aca="false">IF(F55&gt;0,1,0)</f>
        <v>0</v>
      </c>
      <c r="G99" s="118" t="n">
        <f aca="false">IF(G55&gt;0,1,0)</f>
        <v>0</v>
      </c>
      <c r="H99" s="118" t="n">
        <f aca="false">IF(H55&gt;0,1,0)</f>
        <v>0</v>
      </c>
      <c r="I99" s="118" t="n">
        <f aca="false">IF(I55&gt;0,1,0)</f>
        <v>0</v>
      </c>
      <c r="J99" s="118" t="n">
        <f aca="false">IF(J55&gt;0,1,0)</f>
        <v>1</v>
      </c>
      <c r="K99" s="118" t="n">
        <f aca="false">IF(K55&gt;0,1,0)</f>
        <v>1</v>
      </c>
      <c r="L99" s="118" t="n">
        <f aca="false">IF(L55&gt;0,1,0)</f>
        <v>1</v>
      </c>
      <c r="M99" s="118" t="n">
        <f aca="false">IF(M55&gt;0,1,0)</f>
        <v>1</v>
      </c>
      <c r="N99" s="118" t="n">
        <f aca="false">IF(N55&gt;0,1,0)</f>
        <v>1</v>
      </c>
      <c r="O99" s="118" t="n">
        <f aca="false">IF(O55&gt;0,1,0)</f>
        <v>1</v>
      </c>
      <c r="P99" s="118" t="n">
        <f aca="false">IF(P55&gt;0,1,0)</f>
        <v>1</v>
      </c>
      <c r="Q99" s="118" t="n">
        <f aca="false">IF(Q55&gt;0,1,0)</f>
        <v>1</v>
      </c>
      <c r="R99" s="118" t="n">
        <f aca="false">IF(R55&gt;0,1,0)</f>
        <v>1</v>
      </c>
      <c r="S99" s="118" t="n">
        <f aca="false">IF(S55&gt;0,1,0)</f>
        <v>1</v>
      </c>
      <c r="T99" s="118" t="n">
        <f aca="false">IF(T55&gt;0,1,0)</f>
        <v>1</v>
      </c>
      <c r="U99" s="118" t="n">
        <f aca="false">IF(U55&gt;0,1,0)</f>
        <v>1</v>
      </c>
      <c r="V99" s="118" t="n">
        <f aca="false">IF(V55&gt;0,1,0)</f>
        <v>1</v>
      </c>
      <c r="W99" s="118" t="n">
        <f aca="false">IF(W55&gt;0,1,0)</f>
        <v>1</v>
      </c>
      <c r="X99" s="118" t="n">
        <f aca="false">IF(X55&gt;0,1,0)</f>
        <v>1</v>
      </c>
      <c r="Y99" s="118" t="n">
        <f aca="false">IF(Y55&gt;0,1,0)</f>
        <v>1</v>
      </c>
      <c r="Z99" s="118" t="n">
        <f aca="false">IF(Z55&gt;0,1,0)</f>
        <v>1</v>
      </c>
      <c r="AA99" s="118" t="n">
        <f aca="false">IF(AA55&gt;0,1,0)</f>
        <v>1</v>
      </c>
      <c r="AB99" s="118" t="n">
        <f aca="false">IF(AB55&gt;0,1,0)</f>
        <v>1</v>
      </c>
      <c r="AC99" s="118" t="n">
        <f aca="false">IF(AC55&gt;0,1,0)</f>
        <v>1</v>
      </c>
      <c r="AD99" s="118" t="n">
        <f aca="false">IF(AD55&gt;0,1,0)</f>
        <v>1</v>
      </c>
      <c r="AE99" s="118" t="n">
        <f aca="false">IF(AE55&gt;0,1,0)</f>
        <v>1</v>
      </c>
      <c r="AF99" s="118" t="n">
        <f aca="false">IF(AF55&gt;0,1,0)</f>
        <v>1</v>
      </c>
      <c r="AG99" s="118" t="n">
        <f aca="false">IF(AG55&gt;0,1,0)</f>
        <v>1</v>
      </c>
      <c r="AH99" s="118" t="n">
        <f aca="false">IF(AH55&gt;0,1,0)</f>
        <v>1</v>
      </c>
      <c r="AI99" s="118" t="n">
        <f aca="false">IF(AI55&gt;0,1,0)</f>
        <v>1</v>
      </c>
      <c r="AJ99" s="118" t="n">
        <f aca="false">IF(AJ55&gt;0,1,0)</f>
        <v>1</v>
      </c>
      <c r="AK99" s="118" t="n">
        <f aca="false">IF(AK55&gt;0,1,0)</f>
        <v>1</v>
      </c>
      <c r="AL99" s="118" t="n">
        <f aca="false">IF(AL55&gt;0,1,0)</f>
        <v>1</v>
      </c>
    </row>
    <row r="101" customFormat="false" ht="15.75" hidden="false" customHeight="true" outlineLevel="0" collapsed="false">
      <c r="A101" s="7" t="s">
        <v>433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customFormat="false" ht="15" hidden="false" customHeight="false" outlineLevel="0" collapsed="false">
      <c r="A102" s="116" t="s">
        <v>434</v>
      </c>
      <c r="C102" s="118" t="n">
        <f aca="false">IF(C64&gt;0,1,0)</f>
        <v>0</v>
      </c>
      <c r="D102" s="118" t="n">
        <f aca="false">IF(D64&gt;0,1,0)</f>
        <v>0</v>
      </c>
      <c r="E102" s="118" t="n">
        <f aca="false">IF(E64&gt;0,1,0)</f>
        <v>0</v>
      </c>
      <c r="F102" s="118" t="n">
        <f aca="false">IF(F64&gt;0,1,0)</f>
        <v>0</v>
      </c>
      <c r="G102" s="118" t="n">
        <f aca="false">IF(G64&gt;0,1,0)</f>
        <v>0</v>
      </c>
      <c r="H102" s="118" t="n">
        <f aca="false">IF(H64&gt;0,1,0)</f>
        <v>0</v>
      </c>
      <c r="I102" s="118" t="n">
        <f aca="false">IF(I64&gt;0,1,0)</f>
        <v>0</v>
      </c>
      <c r="J102" s="118" t="n">
        <f aca="false">IF(J64&gt;0,1,0)</f>
        <v>0</v>
      </c>
      <c r="K102" s="118" t="n">
        <f aca="false">IF(K64&gt;0,1,0)</f>
        <v>0</v>
      </c>
      <c r="L102" s="118" t="n">
        <f aca="false">IF(L64&gt;0,1,0)</f>
        <v>0</v>
      </c>
      <c r="M102" s="118" t="n">
        <f aca="false">IF(M64&gt;0,1,0)</f>
        <v>0</v>
      </c>
      <c r="N102" s="118" t="n">
        <f aca="false">IF(N64&gt;0,1,0)</f>
        <v>0</v>
      </c>
      <c r="O102" s="118" t="n">
        <f aca="false">IF(O64&gt;0,1,0)</f>
        <v>0</v>
      </c>
      <c r="P102" s="118" t="n">
        <f aca="false">IF(P64&gt;0,1,0)</f>
        <v>0</v>
      </c>
      <c r="Q102" s="118" t="n">
        <f aca="false">IF(Q64&gt;0,1,0)</f>
        <v>0</v>
      </c>
      <c r="R102" s="118" t="n">
        <f aca="false">IF(R64&gt;0,1,0)</f>
        <v>0</v>
      </c>
      <c r="S102" s="118" t="n">
        <f aca="false">IF(S64&gt;0,1,0)</f>
        <v>0</v>
      </c>
      <c r="T102" s="118" t="n">
        <f aca="false">IF(T64&gt;0,1,0)</f>
        <v>0</v>
      </c>
      <c r="U102" s="118" t="n">
        <f aca="false">IF(U64&gt;0,1,0)</f>
        <v>0</v>
      </c>
      <c r="V102" s="118" t="n">
        <f aca="false">IF(V64&gt;0,1,0)</f>
        <v>0</v>
      </c>
      <c r="W102" s="118" t="n">
        <f aca="false">IF(W64&gt;0,1,0)</f>
        <v>0</v>
      </c>
      <c r="X102" s="118" t="n">
        <f aca="false">IF(X64&gt;0,1,0)</f>
        <v>0</v>
      </c>
      <c r="Y102" s="118" t="n">
        <f aca="false">IF(Y64&gt;0,1,0)</f>
        <v>0</v>
      </c>
      <c r="Z102" s="118" t="n">
        <f aca="false">IF(Z64&gt;0,1,0)</f>
        <v>0</v>
      </c>
      <c r="AA102" s="118" t="n">
        <f aca="false">IF(AA64&gt;0,1,0)</f>
        <v>0</v>
      </c>
      <c r="AB102" s="118" t="n">
        <f aca="false">IF(AB64&gt;0,1,0)</f>
        <v>0</v>
      </c>
      <c r="AC102" s="118" t="n">
        <f aca="false">IF(AC64&gt;0,1,0)</f>
        <v>1</v>
      </c>
      <c r="AD102" s="118" t="n">
        <f aca="false">IF(AD64&gt;0,1,0)</f>
        <v>1</v>
      </c>
      <c r="AE102" s="118" t="n">
        <f aca="false">IF(AE64&gt;0,1,0)</f>
        <v>1</v>
      </c>
      <c r="AF102" s="118" t="n">
        <f aca="false">IF(AF64&gt;0,1,0)</f>
        <v>1</v>
      </c>
      <c r="AG102" s="118" t="n">
        <f aca="false">IF(AG64&gt;0,1,0)</f>
        <v>1</v>
      </c>
      <c r="AH102" s="118" t="n">
        <f aca="false">IF(AH64&gt;0,1,0)</f>
        <v>1</v>
      </c>
      <c r="AI102" s="118" t="n">
        <f aca="false">IF(AI64&gt;0,1,0)</f>
        <v>1</v>
      </c>
      <c r="AJ102" s="118" t="n">
        <f aca="false">IF(AJ64&gt;0,1,0)</f>
        <v>1</v>
      </c>
      <c r="AK102" s="118" t="n">
        <f aca="false">IF(AK64&gt;0,1,0)</f>
        <v>1</v>
      </c>
      <c r="AL102" s="118" t="n">
        <f aca="false">IF(AL64&gt;0,1,0)</f>
        <v>1</v>
      </c>
    </row>
    <row r="103" customFormat="false" ht="15" hidden="false" customHeight="false" outlineLevel="0" collapsed="false">
      <c r="A103" s="6" t="s">
        <v>435</v>
      </c>
      <c r="C103" s="69" t="n">
        <f aca="false">C92+C93</f>
        <v>-4174804.1630306</v>
      </c>
      <c r="D103" s="69" t="n">
        <f aca="false">D92+D93</f>
        <v>-68444.5087441057</v>
      </c>
      <c r="E103" s="69" t="n">
        <f aca="false">E92+E93</f>
        <v>-53080.977367098</v>
      </c>
      <c r="F103" s="69" t="n">
        <f aca="false">F92+F93</f>
        <v>-45827.3689705868</v>
      </c>
      <c r="G103" s="69" t="n">
        <f aca="false">G92+G93</f>
        <v>-38528.8683473374</v>
      </c>
      <c r="H103" s="69" t="n">
        <f aca="false">H92+H93</f>
        <v>-31107.7584114402</v>
      </c>
      <c r="I103" s="69" t="n">
        <f aca="false">I92+I93</f>
        <v>-23568.9435354011</v>
      </c>
      <c r="J103" s="69" t="n">
        <f aca="false">J92+J93</f>
        <v>-15917.1319168258</v>
      </c>
      <c r="K103" s="69" t="n">
        <f aca="false">K92+K93</f>
        <v>-8156.84342541571</v>
      </c>
      <c r="L103" s="69" t="n">
        <f aca="false">L92+L93</f>
        <v>-292.417136084256</v>
      </c>
      <c r="M103" s="69" t="n">
        <f aca="false">M92+M93</f>
        <v>2150.10605857762</v>
      </c>
      <c r="N103" s="69" t="n">
        <f aca="false">N92+N93</f>
        <v>-11978.9176271636</v>
      </c>
      <c r="O103" s="69" t="n">
        <f aca="false">O92+O93</f>
        <v>-48211.5822044092</v>
      </c>
      <c r="P103" s="69" t="n">
        <f aca="false">P92+P93</f>
        <v>-6271.67299746916</v>
      </c>
      <c r="Q103" s="69" t="n">
        <f aca="false">Q92+Q93</f>
        <v>12132.2244151499</v>
      </c>
      <c r="R103" s="69" t="n">
        <f aca="false">R92+R93</f>
        <v>14157.9465430291</v>
      </c>
      <c r="S103" s="69" t="n">
        <f aca="false">S92+S93</f>
        <v>16136.9132412779</v>
      </c>
      <c r="T103" s="69" t="n">
        <f aca="false">T92+T93</f>
        <v>18043.8046049301</v>
      </c>
      <c r="U103" s="69" t="n">
        <f aca="false">U92+U93</f>
        <v>19881.5036473696</v>
      </c>
      <c r="V103" s="69" t="n">
        <f aca="false">V92+V93</f>
        <v>21652.7780614448</v>
      </c>
      <c r="W103" s="69" t="n">
        <f aca="false">W92+W93</f>
        <v>23360.2848322903</v>
      </c>
      <c r="X103" s="69" t="n">
        <f aca="false">X92+X93</f>
        <v>25006.5746656354</v>
      </c>
      <c r="Y103" s="69" t="n">
        <f aca="false">Y92+Y93</f>
        <v>26594.0962389799</v>
      </c>
      <c r="Z103" s="69" t="n">
        <f aca="false">Z92+Z93</f>
        <v>11995.5824844361</v>
      </c>
      <c r="AA103" s="69" t="n">
        <f aca="false">AA92+AA93</f>
        <v>-24806.1963605067</v>
      </c>
      <c r="AB103" s="69" t="n">
        <f aca="false">AB92+AB93</f>
        <v>16440.073838224</v>
      </c>
      <c r="AC103" s="69" t="n">
        <f aca="false">AC92+AC93</f>
        <v>33996.6903303437</v>
      </c>
      <c r="AD103" s="69" t="n">
        <f aca="false">AD92+AD93</f>
        <v>35151.899472519</v>
      </c>
      <c r="AE103" s="69" t="n">
        <f aca="false">AE92+AE93</f>
        <v>36553.5671375767</v>
      </c>
      <c r="AF103" s="69" t="n">
        <f aca="false">AF92+AF93</f>
        <v>37906.2514293654</v>
      </c>
      <c r="AG103" s="69" t="n">
        <f aca="false">AG92+AG93</f>
        <v>39211.9116828159</v>
      </c>
      <c r="AH103" s="69" t="n">
        <f aca="false">AH92+AH93</f>
        <v>40472.4288594618</v>
      </c>
      <c r="AI103" s="69" t="n">
        <f aca="false">AI92+AI93</f>
        <v>41689.6086823751</v>
      </c>
      <c r="AJ103" s="69" t="n">
        <f aca="false">AJ92+AJ93</f>
        <v>42865.1846457052</v>
      </c>
      <c r="AK103" s="69" t="n">
        <f aca="false">AK92+AK93</f>
        <v>44000.8209038355</v>
      </c>
      <c r="AL103" s="69" t="n">
        <f aca="false">AL92+AL93</f>
        <v>29033.6147610641</v>
      </c>
    </row>
    <row r="104" customFormat="false" ht="15" hidden="false" customHeight="false" outlineLevel="0" collapsed="false">
      <c r="A104" s="6" t="s">
        <v>436</v>
      </c>
      <c r="C104" s="69" t="n">
        <f aca="false">C103</f>
        <v>-4174804.1630306</v>
      </c>
      <c r="D104" s="69" t="n">
        <f aca="false">C104+D103</f>
        <v>-4243248.67177471</v>
      </c>
      <c r="E104" s="69" t="n">
        <f aca="false">D104+E103</f>
        <v>-4296329.6491418</v>
      </c>
      <c r="F104" s="69" t="n">
        <f aca="false">E104+F103</f>
        <v>-4342157.01811239</v>
      </c>
      <c r="G104" s="69" t="n">
        <f aca="false">F104+G103</f>
        <v>-4380685.88645973</v>
      </c>
      <c r="H104" s="69" t="n">
        <f aca="false">G104+H103</f>
        <v>-4411793.64487117</v>
      </c>
      <c r="I104" s="69" t="n">
        <f aca="false">H104+I103</f>
        <v>-4435362.58840657</v>
      </c>
      <c r="J104" s="69" t="n">
        <f aca="false">I104+J103</f>
        <v>-4451279.7203234</v>
      </c>
      <c r="K104" s="69" t="n">
        <f aca="false">J104+K103</f>
        <v>-4459436.56374881</v>
      </c>
      <c r="L104" s="69" t="n">
        <f aca="false">K104+L103</f>
        <v>-4459728.9808849</v>
      </c>
      <c r="M104" s="69" t="n">
        <f aca="false">L104+M103</f>
        <v>-4457578.87482632</v>
      </c>
      <c r="N104" s="69" t="n">
        <f aca="false">M104+N103</f>
        <v>-4469557.79245348</v>
      </c>
      <c r="O104" s="69" t="n">
        <f aca="false">N104+O103</f>
        <v>-4517769.37465789</v>
      </c>
      <c r="P104" s="69" t="n">
        <f aca="false">O104+P103</f>
        <v>-4524041.04765536</v>
      </c>
      <c r="Q104" s="69" t="n">
        <f aca="false">P104+Q103</f>
        <v>-4511908.82324021</v>
      </c>
      <c r="R104" s="69" t="n">
        <f aca="false">Q104+R103</f>
        <v>-4497750.87669718</v>
      </c>
      <c r="S104" s="69" t="n">
        <f aca="false">R104+S103</f>
        <v>-4481613.9634559</v>
      </c>
      <c r="T104" s="69" t="n">
        <f aca="false">S104+T103</f>
        <v>-4463570.15885097</v>
      </c>
      <c r="U104" s="69" t="n">
        <f aca="false">T104+U103</f>
        <v>-4443688.6552036</v>
      </c>
      <c r="V104" s="69" t="n">
        <f aca="false">U104+V103</f>
        <v>-4422035.87714216</v>
      </c>
      <c r="W104" s="69" t="n">
        <f aca="false">V104+W103</f>
        <v>-4398675.59230987</v>
      </c>
      <c r="X104" s="69" t="n">
        <f aca="false">W104+X103</f>
        <v>-4373669.01764423</v>
      </c>
      <c r="Y104" s="69" t="n">
        <f aca="false">X104+Y103</f>
        <v>-4347074.92140525</v>
      </c>
      <c r="Z104" s="69" t="n">
        <f aca="false">Y104+Z103</f>
        <v>-4335079.33892082</v>
      </c>
      <c r="AA104" s="69" t="n">
        <f aca="false">Z104+AA103</f>
        <v>-4359885.53528132</v>
      </c>
      <c r="AB104" s="69" t="n">
        <f aca="false">AA104+AB103</f>
        <v>-4343445.4614431</v>
      </c>
      <c r="AC104" s="69" t="n">
        <f aca="false">AB104+AC103</f>
        <v>-4309448.77111276</v>
      </c>
      <c r="AD104" s="69" t="n">
        <f aca="false">AC104+AD103</f>
        <v>-4274296.87164024</v>
      </c>
      <c r="AE104" s="69" t="n">
        <f aca="false">AD104+AE103</f>
        <v>-4237743.30450266</v>
      </c>
      <c r="AF104" s="69" t="n">
        <f aca="false">AE104+AF103</f>
        <v>-4199837.05307329</v>
      </c>
      <c r="AG104" s="69" t="n">
        <f aca="false">AF104+AG103</f>
        <v>-4160625.14139048</v>
      </c>
      <c r="AH104" s="69" t="n">
        <f aca="false">AG104+AH103</f>
        <v>-4120152.71253102</v>
      </c>
      <c r="AI104" s="69" t="n">
        <f aca="false">AH104+AI103</f>
        <v>-4078463.10384864</v>
      </c>
      <c r="AJ104" s="69" t="n">
        <f aca="false">AI104+AJ103</f>
        <v>-4035597.91920294</v>
      </c>
      <c r="AK104" s="69" t="n">
        <f aca="false">AJ104+AK103</f>
        <v>-3991597.0982991</v>
      </c>
      <c r="AL104" s="69" t="n">
        <f aca="false">AK104+AL103</f>
        <v>-3962563.48353804</v>
      </c>
    </row>
    <row r="105" customFormat="false" ht="15" hidden="false" customHeight="false" outlineLevel="0" collapsed="false">
      <c r="A105" s="116" t="s">
        <v>437</v>
      </c>
      <c r="C105" s="69" t="n">
        <f aca="false">C104</f>
        <v>-4174804.1630306</v>
      </c>
      <c r="D105" s="69" t="n">
        <f aca="false">MIN(C105,D104)</f>
        <v>-4243248.67177471</v>
      </c>
      <c r="E105" s="69" t="n">
        <f aca="false">MIN(D105,E104)</f>
        <v>-4296329.6491418</v>
      </c>
      <c r="F105" s="69" t="n">
        <f aca="false">MIN(E105,F104)</f>
        <v>-4342157.01811239</v>
      </c>
      <c r="G105" s="69" t="n">
        <f aca="false">MIN(F105,G104)</f>
        <v>-4380685.88645973</v>
      </c>
      <c r="H105" s="69" t="n">
        <f aca="false">MIN(G105,H104)</f>
        <v>-4411793.64487117</v>
      </c>
      <c r="I105" s="69" t="n">
        <f aca="false">MIN(H105,I104)</f>
        <v>-4435362.58840657</v>
      </c>
      <c r="J105" s="69" t="n">
        <f aca="false">MIN(I105,J104)</f>
        <v>-4451279.7203234</v>
      </c>
      <c r="K105" s="69" t="n">
        <f aca="false">MIN(J105,K104)</f>
        <v>-4459436.56374881</v>
      </c>
      <c r="L105" s="69" t="n">
        <f aca="false">MIN(K105,L104)</f>
        <v>-4459728.9808849</v>
      </c>
      <c r="M105" s="69" t="n">
        <f aca="false">MIN(L105,M104)</f>
        <v>-4459728.9808849</v>
      </c>
      <c r="N105" s="69" t="n">
        <f aca="false">MIN(M105,N104)</f>
        <v>-4469557.79245348</v>
      </c>
      <c r="O105" s="69" t="n">
        <f aca="false">MIN(N105,O104)</f>
        <v>-4517769.37465789</v>
      </c>
      <c r="P105" s="69" t="n">
        <f aca="false">MIN(O105,P104)</f>
        <v>-4524041.04765536</v>
      </c>
      <c r="Q105" s="69" t="n">
        <f aca="false">MIN(P105,Q104)</f>
        <v>-4524041.04765536</v>
      </c>
      <c r="R105" s="69" t="n">
        <f aca="false">MIN(Q105,R104)</f>
        <v>-4524041.04765536</v>
      </c>
      <c r="S105" s="69" t="n">
        <f aca="false">MIN(R105,S104)</f>
        <v>-4524041.04765536</v>
      </c>
      <c r="T105" s="69" t="n">
        <f aca="false">MIN(S105,T104)</f>
        <v>-4524041.04765536</v>
      </c>
      <c r="U105" s="69" t="n">
        <f aca="false">MIN(T105,U104)</f>
        <v>-4524041.04765536</v>
      </c>
      <c r="V105" s="69" t="n">
        <f aca="false">MIN(U105,V104)</f>
        <v>-4524041.04765536</v>
      </c>
      <c r="W105" s="69" t="n">
        <f aca="false">MIN(V105,W104)</f>
        <v>-4524041.04765536</v>
      </c>
      <c r="X105" s="69" t="n">
        <f aca="false">MIN(W105,X104)</f>
        <v>-4524041.04765536</v>
      </c>
      <c r="Y105" s="69" t="n">
        <f aca="false">MIN(X105,Y104)</f>
        <v>-4524041.04765536</v>
      </c>
      <c r="Z105" s="69" t="n">
        <f aca="false">MIN(Y105,Z104)</f>
        <v>-4524041.04765536</v>
      </c>
      <c r="AA105" s="69" t="n">
        <f aca="false">MIN(Z105,AA104)</f>
        <v>-4524041.04765536</v>
      </c>
      <c r="AB105" s="69" t="n">
        <f aca="false">MIN(AA105,AB104)</f>
        <v>-4524041.04765536</v>
      </c>
      <c r="AC105" s="69" t="n">
        <f aca="false">MIN(AB105,AC104)</f>
        <v>-4524041.04765536</v>
      </c>
      <c r="AD105" s="69" t="n">
        <f aca="false">MIN(AC105,AD104)</f>
        <v>-4524041.04765536</v>
      </c>
      <c r="AE105" s="69" t="n">
        <f aca="false">MIN(AD105,AE104)</f>
        <v>-4524041.04765536</v>
      </c>
      <c r="AF105" s="69" t="n">
        <f aca="false">MIN(AE105,AF104)</f>
        <v>-4524041.04765536</v>
      </c>
      <c r="AG105" s="69" t="n">
        <f aca="false">MIN(AF105,AG104)</f>
        <v>-4524041.04765536</v>
      </c>
      <c r="AH105" s="69" t="n">
        <f aca="false">MIN(AG105,AH104)</f>
        <v>-4524041.04765536</v>
      </c>
      <c r="AI105" s="69" t="n">
        <f aca="false">MIN(AH105,AI104)</f>
        <v>-4524041.04765536</v>
      </c>
      <c r="AJ105" s="69" t="n">
        <f aca="false">MIN(AI105,AJ104)</f>
        <v>-4524041.04765536</v>
      </c>
      <c r="AK105" s="69" t="n">
        <f aca="false">MIN(AJ105,AK104)</f>
        <v>-4524041.04765536</v>
      </c>
      <c r="AL105" s="69" t="n">
        <f aca="false">MIN(AK105,AL104)</f>
        <v>-4524041.04765536</v>
      </c>
    </row>
    <row r="106" customFormat="false" ht="15" hidden="false" customHeight="false" outlineLevel="0" collapsed="false">
      <c r="A106" s="116" t="s">
        <v>438</v>
      </c>
      <c r="C106" s="118" t="n">
        <f aca="false">IF(AND(C104&gt;=0,C105&lt;0),1,0)</f>
        <v>0</v>
      </c>
      <c r="D106" s="118" t="n">
        <f aca="false">IF(AND(D104&gt;=0,D105&lt;0),1,0)</f>
        <v>0</v>
      </c>
      <c r="E106" s="118" t="n">
        <f aca="false">IF(AND(E104&gt;=0,E105&lt;0),1,0)</f>
        <v>0</v>
      </c>
      <c r="F106" s="118" t="n">
        <f aca="false">IF(AND(F104&gt;=0,F105&lt;0),1,0)</f>
        <v>0</v>
      </c>
      <c r="G106" s="118" t="n">
        <f aca="false">IF(AND(G104&gt;=0,G105&lt;0),1,0)</f>
        <v>0</v>
      </c>
      <c r="H106" s="118" t="n">
        <f aca="false">IF(AND(H104&gt;=0,H105&lt;0),1,0)</f>
        <v>0</v>
      </c>
      <c r="I106" s="118" t="n">
        <f aca="false">IF(AND(I104&gt;=0,I105&lt;0),1,0)</f>
        <v>0</v>
      </c>
      <c r="J106" s="118" t="n">
        <f aca="false">IF(AND(J104&gt;=0,J105&lt;0),1,0)</f>
        <v>0</v>
      </c>
      <c r="K106" s="118" t="n">
        <f aca="false">IF(AND(K104&gt;=0,K105&lt;0),1,0)</f>
        <v>0</v>
      </c>
      <c r="L106" s="118" t="n">
        <f aca="false">IF(AND(L104&gt;=0,L105&lt;0),1,0)</f>
        <v>0</v>
      </c>
      <c r="M106" s="118" t="n">
        <f aca="false">IF(AND(M104&gt;=0,M105&lt;0),1,0)</f>
        <v>0</v>
      </c>
      <c r="N106" s="118" t="n">
        <f aca="false">IF(AND(N104&gt;=0,N105&lt;0),1,0)</f>
        <v>0</v>
      </c>
      <c r="O106" s="118" t="n">
        <f aca="false">IF(AND(O104&gt;=0,O105&lt;0),1,0)</f>
        <v>0</v>
      </c>
      <c r="P106" s="118" t="n">
        <f aca="false">IF(AND(P104&gt;=0,P105&lt;0),1,0)</f>
        <v>0</v>
      </c>
      <c r="Q106" s="118" t="n">
        <f aca="false">IF(AND(Q104&gt;=0,Q105&lt;0),1,0)</f>
        <v>0</v>
      </c>
      <c r="R106" s="118" t="n">
        <f aca="false">IF(AND(R104&gt;=0,R105&lt;0),1,0)</f>
        <v>0</v>
      </c>
      <c r="S106" s="118" t="n">
        <f aca="false">IF(AND(S104&gt;=0,S105&lt;0),1,0)</f>
        <v>0</v>
      </c>
      <c r="T106" s="118" t="n">
        <f aca="false">IF(AND(T104&gt;=0,T105&lt;0),1,0)</f>
        <v>0</v>
      </c>
      <c r="U106" s="118" t="n">
        <f aca="false">IF(AND(U104&gt;=0,U105&lt;0),1,0)</f>
        <v>0</v>
      </c>
      <c r="V106" s="118" t="n">
        <f aca="false">IF(AND(V104&gt;=0,V105&lt;0),1,0)</f>
        <v>0</v>
      </c>
      <c r="W106" s="118" t="n">
        <f aca="false">IF(AND(W104&gt;=0,W105&lt;0),1,0)</f>
        <v>0</v>
      </c>
      <c r="X106" s="118" t="n">
        <f aca="false">IF(AND(X104&gt;=0,X105&lt;0),1,0)</f>
        <v>0</v>
      </c>
      <c r="Y106" s="118" t="n">
        <f aca="false">IF(AND(Y104&gt;=0,Y105&lt;0),1,0)</f>
        <v>0</v>
      </c>
      <c r="Z106" s="118" t="n">
        <f aca="false">IF(AND(Z104&gt;=0,Z105&lt;0),1,0)</f>
        <v>0</v>
      </c>
      <c r="AA106" s="118" t="n">
        <f aca="false">IF(AND(AA104&gt;=0,AA105&lt;0),1,0)</f>
        <v>0</v>
      </c>
      <c r="AB106" s="118" t="n">
        <f aca="false">IF(AND(AB104&gt;=0,AB105&lt;0),1,0)</f>
        <v>0</v>
      </c>
      <c r="AC106" s="118" t="n">
        <f aca="false">IF(AND(AC104&gt;=0,AC105&lt;0),1,0)</f>
        <v>0</v>
      </c>
      <c r="AD106" s="118" t="n">
        <f aca="false">IF(AND(AD104&gt;=0,AD105&lt;0),1,0)</f>
        <v>0</v>
      </c>
      <c r="AE106" s="118" t="n">
        <f aca="false">IF(AND(AE104&gt;=0,AE105&lt;0),1,0)</f>
        <v>0</v>
      </c>
      <c r="AF106" s="118" t="n">
        <f aca="false">IF(AND(AF104&gt;=0,AF105&lt;0),1,0)</f>
        <v>0</v>
      </c>
      <c r="AG106" s="118" t="n">
        <f aca="false">IF(AND(AG104&gt;=0,AG105&lt;0),1,0)</f>
        <v>0</v>
      </c>
      <c r="AH106" s="118" t="n">
        <f aca="false">IF(AND(AH104&gt;=0,AH105&lt;0),1,0)</f>
        <v>0</v>
      </c>
      <c r="AI106" s="118" t="n">
        <f aca="false">IF(AND(AI104&gt;=0,AI105&lt;0),1,0)</f>
        <v>0</v>
      </c>
      <c r="AJ106" s="118" t="n">
        <f aca="false">IF(AND(AJ104&gt;=0,AJ105&lt;0),1,0)</f>
        <v>0</v>
      </c>
      <c r="AK106" s="118" t="n">
        <f aca="false">IF(AND(AK104&gt;=0,AK105&lt;0),1,0)</f>
        <v>0</v>
      </c>
      <c r="AL106" s="118" t="n">
        <f aca="false">IF(AND(AL104&gt;=0,AL105&lt;0),1,0)</f>
        <v>0</v>
      </c>
    </row>
    <row r="107" customFormat="false" ht="15" hidden="false" customHeight="false" outlineLevel="0" collapsed="false">
      <c r="A107" s="6" t="s">
        <v>439</v>
      </c>
      <c r="C107" s="69" t="n">
        <f aca="false">C92-C59*(1-Inputs!$E$79)+C93</f>
        <v>-4158016.6630306</v>
      </c>
      <c r="D107" s="69" t="n">
        <f aca="false">D92-D59*(1-Inputs!$E$79)+D93</f>
        <v>-51726.9566607723</v>
      </c>
      <c r="E107" s="69" t="n">
        <f aca="false">E92-E59*(1-Inputs!$E$79)+E93</f>
        <v>-36503.321117098</v>
      </c>
      <c r="F107" s="69" t="n">
        <f aca="false">F92-F59*(1-Inputs!$E$79)+F93</f>
        <v>-29389.6085539201</v>
      </c>
      <c r="G107" s="69" t="n">
        <f aca="false">G92-G59*(1-Inputs!$E$79)+G93</f>
        <v>-22231.0037640041</v>
      </c>
      <c r="H107" s="69" t="n">
        <f aca="false">H92-H59*(1-Inputs!$E$79)+H93</f>
        <v>-14949.7896614402</v>
      </c>
      <c r="I107" s="69" t="n">
        <f aca="false">I92-I59*(1-Inputs!$E$79)+I93</f>
        <v>-7550.87061873443</v>
      </c>
      <c r="J107" s="69" t="n">
        <f aca="false">J92-J59*(1-Inputs!$E$79)+J93</f>
        <v>-38.9548334924384</v>
      </c>
      <c r="K107" s="69" t="n">
        <f aca="false">K92-K59*(1-Inputs!$E$79)+K93</f>
        <v>7581.4378245843</v>
      </c>
      <c r="L107" s="69" t="n">
        <f aca="false">L92-L59*(1-Inputs!$E$79)+L93</f>
        <v>15305.9682805824</v>
      </c>
      <c r="M107" s="69" t="n">
        <f aca="false">M92-M59*(1-Inputs!$E$79)+M93</f>
        <v>17608.595641911</v>
      </c>
      <c r="N107" s="69" t="n">
        <f aca="false">N92-N59*(1-Inputs!$E$79)+N93</f>
        <v>3339.67612283636</v>
      </c>
      <c r="O107" s="69" t="n">
        <f aca="false">O92-O59*(1-Inputs!$E$79)+O93</f>
        <v>-33032.8842877425</v>
      </c>
      <c r="P107" s="69" t="n">
        <f aca="false">P92-P59*(1-Inputs!$E$79)+P93</f>
        <v>8767.12908586418</v>
      </c>
      <c r="Q107" s="69" t="n">
        <f aca="false">Q92-Q59*(1-Inputs!$E$79)+Q93</f>
        <v>27031.1306651499</v>
      </c>
      <c r="R107" s="69" t="n">
        <f aca="false">R92-R59*(1-Inputs!$E$79)+R93</f>
        <v>28916.9569596957</v>
      </c>
      <c r="S107" s="69" t="n">
        <f aca="false">S92-S59*(1-Inputs!$E$79)+S93</f>
        <v>30756.0278246112</v>
      </c>
      <c r="T107" s="69" t="n">
        <f aca="false">T92-T59*(1-Inputs!$E$79)+T93</f>
        <v>32523.0233549301</v>
      </c>
      <c r="U107" s="69" t="n">
        <f aca="false">U92-U59*(1-Inputs!$E$79)+U93</f>
        <v>34220.8265640362</v>
      </c>
      <c r="V107" s="69" t="n">
        <f aca="false">V92-V59*(1-Inputs!$E$79)+V93</f>
        <v>35852.2051447781</v>
      </c>
      <c r="W107" s="69" t="n">
        <f aca="false">W92-W59*(1-Inputs!$E$79)+W93</f>
        <v>37419.8160822903</v>
      </c>
      <c r="X107" s="69" t="n">
        <f aca="false">X92-X59*(1-Inputs!$E$79)+X93</f>
        <v>38926.2100823021</v>
      </c>
      <c r="Y107" s="69" t="n">
        <f aca="false">Y92-Y59*(1-Inputs!$E$79)+Y93</f>
        <v>40373.8358223133</v>
      </c>
      <c r="Z107" s="69" t="n">
        <f aca="false">Z92-Z59*(1-Inputs!$E$79)+Z93</f>
        <v>25635.4262344361</v>
      </c>
      <c r="AA107" s="69" t="n">
        <f aca="false">AA92-AA59*(1-Inputs!$E$79)+AA93</f>
        <v>-11306.24844384</v>
      </c>
      <c r="AB107" s="69" t="n">
        <f aca="false">AB92-AB59*(1-Inputs!$E$79)+AB93</f>
        <v>29800.1259215574</v>
      </c>
      <c r="AC107" s="69" t="n">
        <f aca="false">AC92-AC59*(1-Inputs!$E$79)+AC93</f>
        <v>47216.8465803437</v>
      </c>
      <c r="AD107" s="69" t="n">
        <f aca="false">AD92-AD59*(1-Inputs!$E$79)+AD93</f>
        <v>48232.1598891856</v>
      </c>
      <c r="AE107" s="69" t="n">
        <f aca="false">AE92-AE59*(1-Inputs!$E$79)+AE93</f>
        <v>49493.93172091</v>
      </c>
      <c r="AF107" s="69" t="n">
        <f aca="false">AF92-AF59*(1-Inputs!$E$79)+AF93</f>
        <v>50706.7201793654</v>
      </c>
      <c r="AG107" s="69" t="n">
        <f aca="false">AG92-AG59*(1-Inputs!$E$79)+AG93</f>
        <v>51872.4845994826</v>
      </c>
      <c r="AH107" s="69" t="n">
        <f aca="false">AH92-AH59*(1-Inputs!$E$79)+AH93</f>
        <v>52993.1059427951</v>
      </c>
      <c r="AI107" s="69" t="n">
        <f aca="false">AI92-AI59*(1-Inputs!$E$79)+AI93</f>
        <v>54070.3899323751</v>
      </c>
      <c r="AJ107" s="69" t="n">
        <f aca="false">AJ92-AJ59*(1-Inputs!$E$79)+AJ93</f>
        <v>55106.0700623719</v>
      </c>
      <c r="AK107" s="69" t="n">
        <f aca="false">AK92-AK59*(1-Inputs!$E$79)+AK93</f>
        <v>56101.8104871688</v>
      </c>
      <c r="AL107" s="69" t="n">
        <f aca="false">AL92-AL59*(1-Inputs!$E$79)+AL93</f>
        <v>40994.7085110641</v>
      </c>
    </row>
    <row r="109" customFormat="false" ht="15.75" hidden="false" customHeight="true" outlineLevel="0" collapsed="false">
      <c r="A109" s="7" t="s">
        <v>440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customFormat="false" ht="15" hidden="false" customHeight="false" outlineLevel="0" collapsed="false">
      <c r="A110" s="6" t="s">
        <v>97</v>
      </c>
      <c r="C110" s="69" t="n">
        <f aca="false">C94</f>
        <v>2100000</v>
      </c>
      <c r="D110" s="69" t="n">
        <f aca="false">C110+D94</f>
        <v>2100000</v>
      </c>
      <c r="E110" s="69" t="n">
        <f aca="false">D110+E94</f>
        <v>2100000</v>
      </c>
      <c r="F110" s="69" t="n">
        <f aca="false">E110+F94</f>
        <v>2100000</v>
      </c>
      <c r="G110" s="69" t="n">
        <f aca="false">F110+G94</f>
        <v>2100000</v>
      </c>
      <c r="H110" s="69" t="n">
        <f aca="false">G110+H94</f>
        <v>2100000</v>
      </c>
      <c r="I110" s="69" t="n">
        <f aca="false">H110+I94</f>
        <v>2100000</v>
      </c>
      <c r="J110" s="69" t="n">
        <f aca="false">I110+J94</f>
        <v>2100000</v>
      </c>
      <c r="K110" s="69" t="n">
        <f aca="false">J110+K94</f>
        <v>2100000</v>
      </c>
      <c r="L110" s="69" t="n">
        <f aca="false">K110+L94</f>
        <v>2100000</v>
      </c>
      <c r="M110" s="69" t="n">
        <f aca="false">L110+M94</f>
        <v>2100000</v>
      </c>
      <c r="N110" s="69" t="n">
        <f aca="false">M110+N94</f>
        <v>2100000</v>
      </c>
      <c r="O110" s="69" t="n">
        <f aca="false">N110+O94</f>
        <v>2100000</v>
      </c>
      <c r="P110" s="69" t="n">
        <f aca="false">O110+P94</f>
        <v>2100000</v>
      </c>
      <c r="Q110" s="69" t="n">
        <f aca="false">P110+Q94</f>
        <v>2100000</v>
      </c>
      <c r="R110" s="69" t="n">
        <f aca="false">Q110+R94</f>
        <v>2100000</v>
      </c>
      <c r="S110" s="69" t="n">
        <f aca="false">R110+S94</f>
        <v>2100000</v>
      </c>
      <c r="T110" s="69" t="n">
        <f aca="false">S110+T94</f>
        <v>2100000</v>
      </c>
      <c r="U110" s="69" t="n">
        <f aca="false">T110+U94</f>
        <v>2100000</v>
      </c>
      <c r="V110" s="69" t="n">
        <f aca="false">U110+V94</f>
        <v>2100000</v>
      </c>
      <c r="W110" s="69" t="n">
        <f aca="false">V110+W94</f>
        <v>2100000</v>
      </c>
      <c r="X110" s="69" t="n">
        <f aca="false">W110+X94</f>
        <v>2100000</v>
      </c>
      <c r="Y110" s="69" t="n">
        <f aca="false">X110+Y94</f>
        <v>2100000</v>
      </c>
      <c r="Z110" s="69" t="n">
        <f aca="false">Y110+Z94</f>
        <v>2100000</v>
      </c>
      <c r="AA110" s="69" t="n">
        <f aca="false">Z110+AA94</f>
        <v>2100000</v>
      </c>
      <c r="AB110" s="69" t="n">
        <f aca="false">AA110+AB94</f>
        <v>2100000</v>
      </c>
      <c r="AC110" s="69" t="n">
        <f aca="false">AB110+AC94</f>
        <v>2100000</v>
      </c>
      <c r="AD110" s="69" t="n">
        <f aca="false">AC110+AD94</f>
        <v>2100000</v>
      </c>
      <c r="AE110" s="69" t="n">
        <f aca="false">AD110+AE94</f>
        <v>2100000</v>
      </c>
      <c r="AF110" s="69" t="n">
        <f aca="false">AE110+AF94</f>
        <v>2100000</v>
      </c>
      <c r="AG110" s="69" t="n">
        <f aca="false">AF110+AG94</f>
        <v>2100000</v>
      </c>
      <c r="AH110" s="69" t="n">
        <f aca="false">AG110+AH94</f>
        <v>2100000</v>
      </c>
      <c r="AI110" s="69" t="n">
        <f aca="false">AH110+AI94</f>
        <v>2100000</v>
      </c>
      <c r="AJ110" s="69" t="n">
        <f aca="false">AI110+AJ94</f>
        <v>2100000</v>
      </c>
      <c r="AK110" s="69" t="n">
        <f aca="false">AJ110+AK94</f>
        <v>2100000</v>
      </c>
      <c r="AL110" s="69" t="n">
        <f aca="false">AK110+AL94</f>
        <v>2100000</v>
      </c>
    </row>
    <row r="111" customFormat="false" ht="15" hidden="false" customHeight="false" outlineLevel="0" collapsed="false">
      <c r="A111" s="6" t="s">
        <v>98</v>
      </c>
      <c r="C111" s="69" t="n">
        <f aca="false">C64</f>
        <v>-102437.476634789</v>
      </c>
      <c r="D111" s="69" t="n">
        <f aca="false">C111+D64</f>
        <v>-199240.336761108</v>
      </c>
      <c r="E111" s="69" t="n">
        <f aca="false">D111+E64</f>
        <v>-280587.034107493</v>
      </c>
      <c r="F111" s="69" t="n">
        <f aca="false">E111+F64</f>
        <v>-354763.012705834</v>
      </c>
      <c r="G111" s="69" t="n">
        <f aca="false">F111+G64</f>
        <v>-421640.551968474</v>
      </c>
      <c r="H111" s="69" t="n">
        <f aca="false">G111+H64</f>
        <v>-481097.040131265</v>
      </c>
      <c r="I111" s="69" t="n">
        <f aca="false">H111+I64</f>
        <v>-533014.769900621</v>
      </c>
      <c r="J111" s="69" t="n">
        <f aca="false">I111+J64</f>
        <v>-577280.742274703</v>
      </c>
      <c r="K111" s="69" t="n">
        <f aca="false">J111+K64</f>
        <v>-613786.478211745</v>
      </c>
      <c r="L111" s="69" t="n">
        <f aca="false">K111+L64</f>
        <v>-642427.837831648</v>
      </c>
      <c r="M111" s="69" t="n">
        <f aca="false">L111+M64</f>
        <v>-668750.981431645</v>
      </c>
      <c r="N111" s="69" t="n">
        <f aca="false">M111+N64</f>
        <v>-709232.332270295</v>
      </c>
      <c r="O111" s="69" t="n">
        <f aca="false">N111+O64</f>
        <v>-746179.624477354</v>
      </c>
      <c r="P111" s="69" t="n">
        <f aca="false">O111+P64</f>
        <v>-781179.910305002</v>
      </c>
      <c r="Q111" s="69" t="n">
        <f aca="false">P111+Q64</f>
        <v>-797828.321012694</v>
      </c>
      <c r="R111" s="69" t="n">
        <f aca="false">Q111+R64</f>
        <v>-812422.594065442</v>
      </c>
      <c r="S111" s="69" t="n">
        <f aca="false">R111+S64</f>
        <v>-825037.811636111</v>
      </c>
      <c r="T111" s="69" t="n">
        <f aca="false">S111+T64</f>
        <v>-835746.052610649</v>
      </c>
      <c r="U111" s="69" t="n">
        <f aca="false">T111+U64</f>
        <v>-844616.512719569</v>
      </c>
      <c r="V111" s="69" t="n">
        <f aca="false">U111+V64</f>
        <v>-851715.619864162</v>
      </c>
      <c r="W111" s="69" t="n">
        <f aca="false">V111+W64</f>
        <v>-857107.144829668</v>
      </c>
      <c r="X111" s="69" t="n">
        <f aca="false">W111+X64</f>
        <v>-860852.307569918</v>
      </c>
      <c r="Y111" s="69" t="n">
        <f aca="false">X111+Y64</f>
        <v>-863009.879240587</v>
      </c>
      <c r="Z111" s="69" t="n">
        <f aca="false">Y111+Z64</f>
        <v>-879516.123808558</v>
      </c>
      <c r="AA111" s="69" t="n">
        <f aca="false">Z111+AA64</f>
        <v>-893353.113443053</v>
      </c>
      <c r="AB111" s="69" t="n">
        <f aca="false">AA111+AB64</f>
        <v>-905928.286590833</v>
      </c>
      <c r="AC111" s="69" t="n">
        <f aca="false">AB111+AC64</f>
        <v>-901259.37512903</v>
      </c>
      <c r="AD111" s="69" t="n">
        <f aca="false">AC111+AD64</f>
        <v>-895137.670926185</v>
      </c>
      <c r="AE111" s="69" t="n">
        <f aca="false">AD111+AE64</f>
        <v>-887614.202358606</v>
      </c>
      <c r="AF111" s="69" t="n">
        <f aca="false">AE111+AF64</f>
        <v>-878737.95666755</v>
      </c>
      <c r="AG111" s="69" t="n">
        <f aca="false">AF111+AG64</f>
        <v>-868555.961604622</v>
      </c>
      <c r="AH111" s="69" t="n">
        <f aca="false">AG111+AH64</f>
        <v>-857113.363811364</v>
      </c>
      <c r="AI111" s="69" t="n">
        <f aca="false">AH111+AI64</f>
        <v>-844453.504063656</v>
      </c>
      <c r="AJ111" s="69" t="n">
        <f aca="false">AI111+AJ64</f>
        <v>-830617.989506341</v>
      </c>
      <c r="AK111" s="69" t="n">
        <f aca="false">AJ111+AK64</f>
        <v>-815646.762998472</v>
      </c>
      <c r="AL111" s="69" t="n">
        <f aca="false">AK111+AL64</f>
        <v>-815194.045409802</v>
      </c>
    </row>
    <row r="112" customFormat="false" ht="15" hidden="false" customHeight="false" outlineLevel="0" collapsed="false">
      <c r="A112" s="4" t="s">
        <v>93</v>
      </c>
      <c r="C112" s="75" t="n">
        <f aca="false">C98+C84+C85+C75</f>
        <v>5003455.8114868</v>
      </c>
      <c r="D112" s="75" t="n">
        <f aca="false">D98+D84+D85+D75</f>
        <v>4882452.53724416</v>
      </c>
      <c r="E112" s="75" t="n">
        <f aca="false">E98+E84+E85+E75</f>
        <v>4778643.66193998</v>
      </c>
      <c r="F112" s="75" t="n">
        <f aca="false">F98+F84+F85+F75</f>
        <v>4680538.40136199</v>
      </c>
      <c r="G112" s="75" t="n">
        <f aca="false">G98+G84+G85+G75</f>
        <v>4589758.38009905</v>
      </c>
      <c r="H112" s="75" t="n">
        <f aca="false">H98+H84+H85+H75</f>
        <v>4506425.13791614</v>
      </c>
      <c r="I112" s="75" t="n">
        <f aca="false">I98+I84+I85+I75</f>
        <v>4430655.35298764</v>
      </c>
      <c r="J112" s="75" t="n">
        <f aca="false">J98+J84+J85+J75</f>
        <v>4362561.03636094</v>
      </c>
      <c r="K112" s="75" t="n">
        <f aca="false">K98+K84+K85+K75</f>
        <v>4302249.71864156</v>
      </c>
      <c r="L112" s="75" t="n">
        <f aca="false">L98+L84+L85+L75</f>
        <v>4249824.62921077</v>
      </c>
      <c r="M112" s="75" t="n">
        <f aca="false">M98+M84+M85+M75</f>
        <v>4198950.76565908</v>
      </c>
      <c r="N112" s="75" t="n">
        <f aca="false">N98+N84+N85+N75</f>
        <v>4130577.30529272</v>
      </c>
      <c r="O112" s="75" t="n">
        <f aca="false">O98+O84+O85+O75</f>
        <v>4069352.51373478</v>
      </c>
      <c r="P112" s="75" t="n">
        <f aca="false">P98+P84+P85+P75</f>
        <v>4009654.12696937</v>
      </c>
      <c r="Q112" s="75" t="n">
        <f aca="false">Q98+Q84+Q85+Q75</f>
        <v>3971887.86597611</v>
      </c>
      <c r="R112" s="75" t="n">
        <f aca="false">R98+R84+R85+R75</f>
        <v>3932691.58214383</v>
      </c>
      <c r="S112" s="75" t="n">
        <f aca="false">S98+S84+S85+S75</f>
        <v>3895458.43422482</v>
      </c>
      <c r="T112" s="75" t="n">
        <f aca="false">T98+T84+T85+T75</f>
        <v>3860116.98011587</v>
      </c>
      <c r="U112" s="75" t="n">
        <f aca="false">U98+U84+U85+U75</f>
        <v>3826598.63539791</v>
      </c>
      <c r="V112" s="75" t="n">
        <f aca="false">V98+V84+V85+V75</f>
        <v>3794837.55902864</v>
      </c>
      <c r="W112" s="75" t="n">
        <f aca="false">W98+W84+W85+W75</f>
        <v>3764770.54360745</v>
      </c>
      <c r="X112" s="75" t="n">
        <f aca="false">X98+X84+X85+X75</f>
        <v>3736336.91002974</v>
      </c>
      <c r="Y112" s="75" t="n">
        <f aca="false">Y98+Y84+Y85+Y75</f>
        <v>3709478.40635511</v>
      </c>
      <c r="Z112" s="75" t="n">
        <f aca="false">Z98+Z84+Z85+Z75</f>
        <v>3664170.4221112</v>
      </c>
      <c r="AA112" s="75" t="n">
        <f aca="false">AA98+AA84+AA85+AA75</f>
        <v>3626045.14285609</v>
      </c>
      <c r="AB112" s="75" t="n">
        <f aca="false">AB98+AB84+AB85+AB75</f>
        <v>3588656.79705764</v>
      </c>
      <c r="AC112" s="75" t="n">
        <f aca="false">AC98+AC84+AC85+AC75</f>
        <v>3572818.83719396</v>
      </c>
      <c r="AD112" s="75" t="n">
        <f aca="false">AD98+AD84+AD85+AD75</f>
        <v>3554213.86885226</v>
      </c>
      <c r="AE112" s="75" t="n">
        <f aca="false">AE98+AE84+AE85+AE75</f>
        <v>3536999.73177707</v>
      </c>
      <c r="AF112" s="75" t="n">
        <f aca="false">AF98+AF84+AF85+AF75</f>
        <v>3521127.87605106</v>
      </c>
      <c r="AG112" s="75" t="n">
        <f aca="false">AG98+AG84+AG85+AG75</f>
        <v>3506551.69375362</v>
      </c>
      <c r="AH112" s="75" t="n">
        <f aca="false">AH98+AH84+AH85+AH75</f>
        <v>3493226.44128091</v>
      </c>
      <c r="AI112" s="75" t="n">
        <f aca="false">AI98+AI84+AI85+AI75</f>
        <v>3481109.1647733</v>
      </c>
      <c r="AJ112" s="75" t="n">
        <f aca="false">AJ98+AJ84+AJ85+AJ75</f>
        <v>3470158.6285255</v>
      </c>
      <c r="AK112" s="75" t="n">
        <f aca="false">AK98+AK84+AK85+AK75</f>
        <v>3460335.24626046</v>
      </c>
      <c r="AL112" s="75" t="n">
        <f aca="false">AL98+AL84+AL85+AL75</f>
        <v>3431329.88023803</v>
      </c>
    </row>
    <row r="113" customFormat="false" ht="15" hidden="false" customHeight="false" outlineLevel="0" collapsed="false">
      <c r="A113" s="6" t="s">
        <v>96</v>
      </c>
      <c r="C113" s="69" t="n">
        <f aca="false">C86+C81</f>
        <v>3005893.28812158</v>
      </c>
      <c r="D113" s="69" t="n">
        <f aca="false">D86+D81</f>
        <v>2981692.87400527</v>
      </c>
      <c r="E113" s="69" t="n">
        <f aca="false">E86+E81</f>
        <v>2959230.69604747</v>
      </c>
      <c r="F113" s="69" t="n">
        <f aca="false">F86+F81</f>
        <v>2935301.41406782</v>
      </c>
      <c r="G113" s="69" t="n">
        <f aca="false">G86+G81</f>
        <v>2911398.93206752</v>
      </c>
      <c r="H113" s="69" t="n">
        <f aca="false">H86+H81</f>
        <v>2887522.17804741</v>
      </c>
      <c r="I113" s="69" t="n">
        <f aca="false">I86+I81</f>
        <v>2863670.12288826</v>
      </c>
      <c r="J113" s="69" t="n">
        <f aca="false">J86+J81</f>
        <v>2839841.77863565</v>
      </c>
      <c r="K113" s="69" t="n">
        <f aca="false">K86+K81</f>
        <v>2816036.1968533</v>
      </c>
      <c r="L113" s="69" t="n">
        <f aca="false">L86+L81</f>
        <v>2792252.46704242</v>
      </c>
      <c r="M113" s="69" t="n">
        <f aca="false">M86+M81</f>
        <v>2767701.74709072</v>
      </c>
      <c r="N113" s="69" t="n">
        <f aca="false">N86+N81</f>
        <v>2739809.63756301</v>
      </c>
      <c r="O113" s="69" t="n">
        <f aca="false">O86+O81</f>
        <v>2715532.13821213</v>
      </c>
      <c r="P113" s="69" t="n">
        <f aca="false">P86+P81</f>
        <v>2690834.03727437</v>
      </c>
      <c r="Q113" s="69" t="n">
        <f aca="false">Q86+Q81</f>
        <v>2669716.1869888</v>
      </c>
      <c r="R113" s="69" t="n">
        <f aca="false">R86+R81</f>
        <v>2645114.17620927</v>
      </c>
      <c r="S113" s="69" t="n">
        <f aca="false">S86+S81</f>
        <v>2620496.24586093</v>
      </c>
      <c r="T113" s="69" t="n">
        <f aca="false">T86+T81</f>
        <v>2595863.03272652</v>
      </c>
      <c r="U113" s="69" t="n">
        <f aca="false">U86+U81</f>
        <v>2571215.14811748</v>
      </c>
      <c r="V113" s="69" t="n">
        <f aca="false">V86+V81</f>
        <v>2546553.17889281</v>
      </c>
      <c r="W113" s="69" t="n">
        <f aca="false">W86+W81</f>
        <v>2521877.68843712</v>
      </c>
      <c r="X113" s="69" t="n">
        <f aca="false">X86+X81</f>
        <v>2497189.21759966</v>
      </c>
      <c r="Y113" s="69" t="n">
        <f aca="false">Y86+Y81</f>
        <v>2472488.2855957</v>
      </c>
      <c r="Z113" s="69" t="n">
        <f aca="false">Z86+Z81</f>
        <v>2443686.54591976</v>
      </c>
      <c r="AA113" s="69" t="n">
        <f aca="false">AA86+AA81</f>
        <v>2419398.25629915</v>
      </c>
      <c r="AB113" s="69" t="n">
        <f aca="false">AB86+AB81</f>
        <v>2394585.08364848</v>
      </c>
      <c r="AC113" s="69" t="n">
        <f aca="false">AC86+AC81</f>
        <v>2374078.212323</v>
      </c>
      <c r="AD113" s="69" t="n">
        <f aca="false">AD86+AD81</f>
        <v>2349351.53977844</v>
      </c>
      <c r="AE113" s="69" t="n">
        <f aca="false">AE86+AE81</f>
        <v>2324613.93413567</v>
      </c>
      <c r="AF113" s="69" t="n">
        <f aca="false">AF86+AF81</f>
        <v>2299865.83271861</v>
      </c>
      <c r="AG113" s="69" t="n">
        <f aca="false">AG86+AG81</f>
        <v>2275107.65535824</v>
      </c>
      <c r="AH113" s="69" t="n">
        <f aca="false">AH86+AH81</f>
        <v>2250339.80509228</v>
      </c>
      <c r="AI113" s="69" t="n">
        <f aca="false">AI86+AI81</f>
        <v>2225562.66883695</v>
      </c>
      <c r="AJ113" s="69" t="n">
        <f aca="false">AJ86+AJ81</f>
        <v>2200776.61803184</v>
      </c>
      <c r="AK113" s="69" t="n">
        <f aca="false">AK86+AK81</f>
        <v>2175982.00925894</v>
      </c>
      <c r="AL113" s="69" t="n">
        <f aca="false">AL86+AL81</f>
        <v>2146523.92564784</v>
      </c>
    </row>
    <row r="114" customFormat="false" ht="15" hidden="false" customHeight="false" outlineLevel="0" collapsed="false">
      <c r="A114" s="6" t="s">
        <v>99</v>
      </c>
      <c r="C114" s="69" t="n">
        <f aca="false">C110+C111</f>
        <v>1997562.52336521</v>
      </c>
      <c r="D114" s="69" t="n">
        <f aca="false">D110+D111</f>
        <v>1900759.66323889</v>
      </c>
      <c r="E114" s="69" t="n">
        <f aca="false">E110+E111</f>
        <v>1819412.96589251</v>
      </c>
      <c r="F114" s="69" t="n">
        <f aca="false">F110+F111</f>
        <v>1745236.98729417</v>
      </c>
      <c r="G114" s="69" t="n">
        <f aca="false">G110+G111</f>
        <v>1678359.44803153</v>
      </c>
      <c r="H114" s="69" t="n">
        <f aca="false">H110+H111</f>
        <v>1618902.95986874</v>
      </c>
      <c r="I114" s="69" t="n">
        <f aca="false">I110+I111</f>
        <v>1566985.23009938</v>
      </c>
      <c r="J114" s="69" t="n">
        <f aca="false">J110+J111</f>
        <v>1522719.2577253</v>
      </c>
      <c r="K114" s="69" t="n">
        <f aca="false">K110+K111</f>
        <v>1486213.52178826</v>
      </c>
      <c r="L114" s="69" t="n">
        <f aca="false">L110+L111</f>
        <v>1457572.16216835</v>
      </c>
      <c r="M114" s="69" t="n">
        <f aca="false">M110+M111</f>
        <v>1431249.01856836</v>
      </c>
      <c r="N114" s="69" t="n">
        <f aca="false">N110+N111</f>
        <v>1390767.66772971</v>
      </c>
      <c r="O114" s="69" t="n">
        <f aca="false">O110+O111</f>
        <v>1353820.37552265</v>
      </c>
      <c r="P114" s="69" t="n">
        <f aca="false">P110+P111</f>
        <v>1318820.089695</v>
      </c>
      <c r="Q114" s="69" t="n">
        <f aca="false">Q110+Q111</f>
        <v>1302171.67898731</v>
      </c>
      <c r="R114" s="69" t="n">
        <f aca="false">R110+R111</f>
        <v>1287577.40593456</v>
      </c>
      <c r="S114" s="69" t="n">
        <f aca="false">S110+S111</f>
        <v>1274962.18836389</v>
      </c>
      <c r="T114" s="69" t="n">
        <f aca="false">T110+T111</f>
        <v>1264253.94738935</v>
      </c>
      <c r="U114" s="69" t="n">
        <f aca="false">U110+U111</f>
        <v>1255383.48728043</v>
      </c>
      <c r="V114" s="69" t="n">
        <f aca="false">V110+V111</f>
        <v>1248284.38013584</v>
      </c>
      <c r="W114" s="69" t="n">
        <f aca="false">W110+W111</f>
        <v>1242892.85517033</v>
      </c>
      <c r="X114" s="69" t="n">
        <f aca="false">X110+X111</f>
        <v>1239147.69243008</v>
      </c>
      <c r="Y114" s="69" t="n">
        <f aca="false">Y110+Y111</f>
        <v>1236990.12075941</v>
      </c>
      <c r="Z114" s="69" t="n">
        <f aca="false">Z110+Z111</f>
        <v>1220483.87619144</v>
      </c>
      <c r="AA114" s="69" t="n">
        <f aca="false">AA110+AA111</f>
        <v>1206646.88655695</v>
      </c>
      <c r="AB114" s="69" t="n">
        <f aca="false">AB110+AB111</f>
        <v>1194071.71340917</v>
      </c>
      <c r="AC114" s="69" t="n">
        <f aca="false">AC110+AC111</f>
        <v>1198740.62487097</v>
      </c>
      <c r="AD114" s="69" t="n">
        <f aca="false">AD110+AD111</f>
        <v>1204862.32907382</v>
      </c>
      <c r="AE114" s="69" t="n">
        <f aca="false">AE110+AE111</f>
        <v>1212385.79764139</v>
      </c>
      <c r="AF114" s="69" t="n">
        <f aca="false">AF110+AF111</f>
        <v>1221262.04333245</v>
      </c>
      <c r="AG114" s="69" t="n">
        <f aca="false">AG110+AG111</f>
        <v>1231444.03839538</v>
      </c>
      <c r="AH114" s="69" t="n">
        <f aca="false">AH110+AH111</f>
        <v>1242886.63618864</v>
      </c>
      <c r="AI114" s="69" t="n">
        <f aca="false">AI110+AI111</f>
        <v>1255546.49593634</v>
      </c>
      <c r="AJ114" s="69" t="n">
        <f aca="false">AJ110+AJ111</f>
        <v>1269382.01049366</v>
      </c>
      <c r="AK114" s="69" t="n">
        <f aca="false">AK110+AK111</f>
        <v>1284353.23700153</v>
      </c>
      <c r="AL114" s="69" t="n">
        <f aca="false">AL110+AL111</f>
        <v>1284805.9545902</v>
      </c>
    </row>
    <row r="115" customFormat="false" ht="15" hidden="false" customHeight="false" outlineLevel="0" collapsed="false">
      <c r="A115" s="4" t="s">
        <v>100</v>
      </c>
      <c r="C115" s="75" t="n">
        <f aca="false">C113+C114</f>
        <v>5003455.8114868</v>
      </c>
      <c r="D115" s="75" t="n">
        <f aca="false">D113+D114</f>
        <v>4882452.53724416</v>
      </c>
      <c r="E115" s="75" t="n">
        <f aca="false">E113+E114</f>
        <v>4778643.66193998</v>
      </c>
      <c r="F115" s="75" t="n">
        <f aca="false">F113+F114</f>
        <v>4680538.40136199</v>
      </c>
      <c r="G115" s="75" t="n">
        <f aca="false">G113+G114</f>
        <v>4589758.38009905</v>
      </c>
      <c r="H115" s="75" t="n">
        <f aca="false">H113+H114</f>
        <v>4506425.13791614</v>
      </c>
      <c r="I115" s="75" t="n">
        <f aca="false">I113+I114</f>
        <v>4430655.35298764</v>
      </c>
      <c r="J115" s="75" t="n">
        <f aca="false">J113+J114</f>
        <v>4362561.03636094</v>
      </c>
      <c r="K115" s="75" t="n">
        <f aca="false">K113+K114</f>
        <v>4302249.71864156</v>
      </c>
      <c r="L115" s="75" t="n">
        <f aca="false">L113+L114</f>
        <v>4249824.62921077</v>
      </c>
      <c r="M115" s="75" t="n">
        <f aca="false">M113+M114</f>
        <v>4198950.76565908</v>
      </c>
      <c r="N115" s="75" t="n">
        <f aca="false">N113+N114</f>
        <v>4130577.30529272</v>
      </c>
      <c r="O115" s="75" t="n">
        <f aca="false">O113+O114</f>
        <v>4069352.51373478</v>
      </c>
      <c r="P115" s="75" t="n">
        <f aca="false">P113+P114</f>
        <v>4009654.12696937</v>
      </c>
      <c r="Q115" s="75" t="n">
        <f aca="false">Q113+Q114</f>
        <v>3971887.86597611</v>
      </c>
      <c r="R115" s="75" t="n">
        <f aca="false">R113+R114</f>
        <v>3932691.58214383</v>
      </c>
      <c r="S115" s="75" t="n">
        <f aca="false">S113+S114</f>
        <v>3895458.43422482</v>
      </c>
      <c r="T115" s="75" t="n">
        <f aca="false">T113+T114</f>
        <v>3860116.98011587</v>
      </c>
      <c r="U115" s="75" t="n">
        <f aca="false">U113+U114</f>
        <v>3826598.63539791</v>
      </c>
      <c r="V115" s="75" t="n">
        <f aca="false">V113+V114</f>
        <v>3794837.55902864</v>
      </c>
      <c r="W115" s="75" t="n">
        <f aca="false">W113+W114</f>
        <v>3764770.54360745</v>
      </c>
      <c r="X115" s="75" t="n">
        <f aca="false">X113+X114</f>
        <v>3736336.91002974</v>
      </c>
      <c r="Y115" s="75" t="n">
        <f aca="false">Y113+Y114</f>
        <v>3709478.40635511</v>
      </c>
      <c r="Z115" s="75" t="n">
        <f aca="false">Z113+Z114</f>
        <v>3664170.4221112</v>
      </c>
      <c r="AA115" s="75" t="n">
        <f aca="false">AA113+AA114</f>
        <v>3626045.14285609</v>
      </c>
      <c r="AB115" s="75" t="n">
        <f aca="false">AB113+AB114</f>
        <v>3588656.79705764</v>
      </c>
      <c r="AC115" s="75" t="n">
        <f aca="false">AC113+AC114</f>
        <v>3572818.83719397</v>
      </c>
      <c r="AD115" s="75" t="n">
        <f aca="false">AD113+AD114</f>
        <v>3554213.86885226</v>
      </c>
      <c r="AE115" s="75" t="n">
        <f aca="false">AE113+AE114</f>
        <v>3536999.73177707</v>
      </c>
      <c r="AF115" s="75" t="n">
        <f aca="false">AF113+AF114</f>
        <v>3521127.87605106</v>
      </c>
      <c r="AG115" s="75" t="n">
        <f aca="false">AG113+AG114</f>
        <v>3506551.69375362</v>
      </c>
      <c r="AH115" s="75" t="n">
        <f aca="false">AH113+AH114</f>
        <v>3493226.44128091</v>
      </c>
      <c r="AI115" s="75" t="n">
        <f aca="false">AI113+AI114</f>
        <v>3481109.1647733</v>
      </c>
      <c r="AJ115" s="75" t="n">
        <f aca="false">AJ113+AJ114</f>
        <v>3470158.6285255</v>
      </c>
      <c r="AK115" s="75" t="n">
        <f aca="false">AK113+AK114</f>
        <v>3460335.24626046</v>
      </c>
      <c r="AL115" s="75" t="n">
        <f aca="false">AL113+AL114</f>
        <v>3431329.88023803</v>
      </c>
    </row>
    <row r="116" customFormat="false" ht="15" hidden="false" customHeight="false" outlineLevel="0" collapsed="false">
      <c r="A116" s="6" t="s">
        <v>441</v>
      </c>
      <c r="C116" s="69" t="n">
        <f aca="false">C112-C115</f>
        <v>0</v>
      </c>
      <c r="D116" s="69" t="n">
        <f aca="false">D112-D115</f>
        <v>0</v>
      </c>
      <c r="E116" s="69" t="n">
        <f aca="false">E112-E115</f>
        <v>0</v>
      </c>
      <c r="F116" s="69" t="n">
        <f aca="false">F112-F115</f>
        <v>0</v>
      </c>
      <c r="G116" s="69" t="n">
        <f aca="false">G112-G115</f>
        <v>0</v>
      </c>
      <c r="H116" s="69" t="n">
        <f aca="false">H112-H115</f>
        <v>0</v>
      </c>
      <c r="I116" s="69" t="n">
        <f aca="false">I112-I115</f>
        <v>0</v>
      </c>
      <c r="J116" s="69" t="n">
        <f aca="false">J112-J115</f>
        <v>0</v>
      </c>
      <c r="K116" s="69" t="n">
        <f aca="false">K112-K115</f>
        <v>0</v>
      </c>
      <c r="L116" s="69" t="n">
        <f aca="false">L112-L115</f>
        <v>0</v>
      </c>
      <c r="M116" s="69" t="n">
        <f aca="false">M112-M115</f>
        <v>0</v>
      </c>
      <c r="N116" s="69" t="n">
        <f aca="false">N112-N115</f>
        <v>0</v>
      </c>
      <c r="O116" s="69" t="n">
        <f aca="false">O112-O115</f>
        <v>0</v>
      </c>
      <c r="P116" s="69" t="n">
        <f aca="false">P112-P115</f>
        <v>0</v>
      </c>
      <c r="Q116" s="69" t="n">
        <f aca="false">Q112-Q115</f>
        <v>0</v>
      </c>
      <c r="R116" s="69" t="n">
        <f aca="false">R112-R115</f>
        <v>0</v>
      </c>
      <c r="S116" s="69" t="n">
        <f aca="false">S112-S115</f>
        <v>0</v>
      </c>
      <c r="T116" s="69" t="n">
        <f aca="false">T112-T115</f>
        <v>0</v>
      </c>
      <c r="U116" s="69" t="n">
        <f aca="false">U112-U115</f>
        <v>0</v>
      </c>
      <c r="V116" s="69" t="n">
        <f aca="false">V112-V115</f>
        <v>0</v>
      </c>
      <c r="W116" s="69" t="n">
        <f aca="false">W112-W115</f>
        <v>0</v>
      </c>
      <c r="X116" s="69" t="n">
        <f aca="false">X112-X115</f>
        <v>0</v>
      </c>
      <c r="Y116" s="69" t="n">
        <f aca="false">Y112-Y115</f>
        <v>0</v>
      </c>
      <c r="Z116" s="69" t="n">
        <f aca="false">Z112-Z115</f>
        <v>0</v>
      </c>
      <c r="AA116" s="69" t="n">
        <f aca="false">AA112-AA115</f>
        <v>0</v>
      </c>
      <c r="AB116" s="69" t="n">
        <f aca="false">AB112-AB115</f>
        <v>0</v>
      </c>
      <c r="AC116" s="69" t="n">
        <f aca="false">AC112-AC115</f>
        <v>0</v>
      </c>
      <c r="AD116" s="69" t="n">
        <f aca="false">AD112-AD115</f>
        <v>0</v>
      </c>
      <c r="AE116" s="69" t="n">
        <f aca="false">AE112-AE115</f>
        <v>0</v>
      </c>
      <c r="AF116" s="69" t="n">
        <f aca="false">AF112-AF115</f>
        <v>0</v>
      </c>
      <c r="AG116" s="69" t="n">
        <f aca="false">AG112-AG115</f>
        <v>0</v>
      </c>
      <c r="AH116" s="69" t="n">
        <f aca="false">AH112-AH115</f>
        <v>0</v>
      </c>
      <c r="AI116" s="69" t="n">
        <f aca="false">AI112-AI115</f>
        <v>0</v>
      </c>
      <c r="AJ116" s="69" t="n">
        <f aca="false">AJ112-AJ115</f>
        <v>0</v>
      </c>
      <c r="AK116" s="69" t="n">
        <f aca="false">AK112-AK115</f>
        <v>0</v>
      </c>
      <c r="AL116" s="69" t="n">
        <f aca="false">AL112-AL115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442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350</v>
      </c>
    </row>
    <row r="3" customFormat="false" ht="15" hidden="false" customHeight="false" outlineLevel="0" collapsed="false">
      <c r="A3" s="33" t="s">
        <v>351</v>
      </c>
      <c r="C3" s="35" t="s">
        <v>352</v>
      </c>
      <c r="D3" s="35" t="s">
        <v>353</v>
      </c>
      <c r="E3" s="35" t="s">
        <v>354</v>
      </c>
      <c r="F3" s="35" t="s">
        <v>355</v>
      </c>
      <c r="G3" s="35" t="s">
        <v>356</v>
      </c>
      <c r="H3" s="35" t="s">
        <v>357</v>
      </c>
      <c r="I3" s="35" t="s">
        <v>358</v>
      </c>
      <c r="J3" s="35" t="s">
        <v>359</v>
      </c>
      <c r="K3" s="35" t="s">
        <v>360</v>
      </c>
      <c r="L3" s="35" t="s">
        <v>361</v>
      </c>
      <c r="M3" s="35" t="s">
        <v>362</v>
      </c>
      <c r="N3" s="35" t="s">
        <v>363</v>
      </c>
      <c r="O3" s="35" t="s">
        <v>364</v>
      </c>
      <c r="P3" s="35" t="s">
        <v>365</v>
      </c>
      <c r="Q3" s="35" t="s">
        <v>366</v>
      </c>
      <c r="R3" s="35" t="s">
        <v>367</v>
      </c>
      <c r="S3" s="35" t="s">
        <v>368</v>
      </c>
      <c r="T3" s="35" t="s">
        <v>369</v>
      </c>
      <c r="U3" s="35" t="s">
        <v>370</v>
      </c>
      <c r="V3" s="35" t="s">
        <v>371</v>
      </c>
      <c r="W3" s="35" t="s">
        <v>372</v>
      </c>
      <c r="X3" s="35" t="s">
        <v>373</v>
      </c>
      <c r="Y3" s="35" t="s">
        <v>374</v>
      </c>
      <c r="Z3" s="35" t="s">
        <v>375</v>
      </c>
      <c r="AA3" s="35" t="s">
        <v>376</v>
      </c>
      <c r="AB3" s="35" t="s">
        <v>377</v>
      </c>
      <c r="AC3" s="35" t="s">
        <v>378</v>
      </c>
      <c r="AD3" s="35" t="s">
        <v>379</v>
      </c>
      <c r="AE3" s="35" t="s">
        <v>380</v>
      </c>
      <c r="AF3" s="35" t="s">
        <v>381</v>
      </c>
      <c r="AG3" s="35" t="s">
        <v>382</v>
      </c>
      <c r="AH3" s="35" t="s">
        <v>383</v>
      </c>
      <c r="AI3" s="35" t="s">
        <v>384</v>
      </c>
      <c r="AJ3" s="35" t="s">
        <v>385</v>
      </c>
      <c r="AK3" s="35" t="s">
        <v>386</v>
      </c>
      <c r="AL3" s="35" t="s">
        <v>387</v>
      </c>
    </row>
    <row r="4" customFormat="false" ht="15" hidden="false" customHeight="false" outlineLevel="0" collapsed="false">
      <c r="A4" s="74" t="s">
        <v>388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</row>
    <row r="5" customFormat="false" ht="15" hidden="false" customHeight="false" outlineLevel="0" collapsed="false">
      <c r="A5" s="74" t="s">
        <v>155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</row>
    <row r="7" customFormat="false" ht="15.75" hidden="false" customHeight="true" outlineLevel="0" collapsed="false">
      <c r="A7" s="7" t="s">
        <v>443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444</v>
      </c>
      <c r="C8" s="117" t="n">
        <f aca="false">Inputs!$E$55*(1+Inputs!$E$57)^(C$5-1)*MAX(0,MIN(1,C$4*1-Inputs!$E$58+1))/1</f>
        <v>1</v>
      </c>
      <c r="D8" s="117" t="n">
        <f aca="false">Inputs!$E$55*(1+Inputs!$E$57)^(D$5-1)*MAX(0,MIN(1,D$4*1-Inputs!$E$58+1))/1</f>
        <v>1</v>
      </c>
      <c r="E8" s="117" t="n">
        <f aca="false">Inputs!$E$55*(1+Inputs!$E$57)^(E$5-1)*MAX(0,MIN(1,E$4*1-Inputs!$E$58+1))/1</f>
        <v>1</v>
      </c>
      <c r="F8" s="117" t="n">
        <f aca="false">Inputs!$E$55*(1+Inputs!$E$57)^(F$5-1)*MAX(0,MIN(1,F$4*1-Inputs!$E$58+1))/1</f>
        <v>1</v>
      </c>
      <c r="G8" s="117" t="n">
        <f aca="false">Inputs!$E$55*(1+Inputs!$E$57)^(G$5-1)*MAX(0,MIN(1,G$4*1-Inputs!$E$58+1))/1</f>
        <v>1</v>
      </c>
      <c r="H8" s="117" t="n">
        <f aca="false">Inputs!$E$55*(1+Inputs!$E$57)^(H$5-1)*MAX(0,MIN(1,H$4*1-Inputs!$E$58+1))/1</f>
        <v>1</v>
      </c>
      <c r="I8" s="117" t="n">
        <f aca="false">Inputs!$E$55*(1+Inputs!$E$57)^(I$5-1)*MAX(0,MIN(1,I$4*1-Inputs!$E$58+1))/1</f>
        <v>1</v>
      </c>
      <c r="J8" s="117" t="n">
        <f aca="false">Inputs!$E$55*(1+Inputs!$E$57)^(J$5-1)*MAX(0,MIN(1,J$4*1-Inputs!$E$58+1))/1</f>
        <v>1</v>
      </c>
      <c r="K8" s="117" t="n">
        <f aca="false">Inputs!$E$55*(1+Inputs!$E$57)^(K$5-1)*MAX(0,MIN(1,K$4*1-Inputs!$E$58+1))/1</f>
        <v>1</v>
      </c>
      <c r="L8" s="117" t="n">
        <f aca="false">Inputs!$E$55*(1+Inputs!$E$57)^(L$5-1)*MAX(0,MIN(1,L$4*1-Inputs!$E$58+1))/1</f>
        <v>1</v>
      </c>
      <c r="M8" s="117" t="n">
        <f aca="false">Inputs!$E$55*(1+Inputs!$E$57)^(M$5-1)*MAX(0,MIN(1,M$4*1-Inputs!$E$58+1))/1</f>
        <v>1</v>
      </c>
      <c r="N8" s="117" t="n">
        <f aca="false">Inputs!$E$55*(1+Inputs!$E$57)^(N$5-1)*MAX(0,MIN(1,N$4*1-Inputs!$E$58+1))/1</f>
        <v>1</v>
      </c>
      <c r="O8" s="117" t="n">
        <f aca="false">Inputs!$E$55*(1+Inputs!$E$57)^(O$5-1)*MAX(0,MIN(1,O$4*1-Inputs!$E$58+1))/1</f>
        <v>1</v>
      </c>
      <c r="P8" s="117" t="n">
        <f aca="false">Inputs!$E$55*(1+Inputs!$E$57)^(P$5-1)*MAX(0,MIN(1,P$4*1-Inputs!$E$58+1))/1</f>
        <v>1</v>
      </c>
      <c r="Q8" s="117" t="n">
        <f aca="false">Inputs!$E$55*(1+Inputs!$E$57)^(Q$5-1)*MAX(0,MIN(1,Q$4*1-Inputs!$E$58+1))/1</f>
        <v>1</v>
      </c>
      <c r="R8" s="117" t="n">
        <f aca="false">Inputs!$E$55*(1+Inputs!$E$57)^(R$5-1)*MAX(0,MIN(1,R$4*1-Inputs!$E$58+1))/1</f>
        <v>1</v>
      </c>
      <c r="S8" s="117" t="n">
        <f aca="false">Inputs!$E$55*(1+Inputs!$E$57)^(S$5-1)*MAX(0,MIN(1,S$4*1-Inputs!$E$58+1))/1</f>
        <v>1</v>
      </c>
      <c r="T8" s="117" t="n">
        <f aca="false">Inputs!$E$55*(1+Inputs!$E$57)^(T$5-1)*MAX(0,MIN(1,T$4*1-Inputs!$E$58+1))/1</f>
        <v>1</v>
      </c>
      <c r="U8" s="117" t="n">
        <f aca="false">Inputs!$E$55*(1+Inputs!$E$57)^(U$5-1)*MAX(0,MIN(1,U$4*1-Inputs!$E$58+1))/1</f>
        <v>1</v>
      </c>
      <c r="V8" s="117" t="n">
        <f aca="false">Inputs!$E$55*(1+Inputs!$E$57)^(V$5-1)*MAX(0,MIN(1,V$4*1-Inputs!$E$58+1))/1</f>
        <v>1</v>
      </c>
      <c r="W8" s="117" t="n">
        <f aca="false">Inputs!$E$55*(1+Inputs!$E$57)^(W$5-1)*MAX(0,MIN(1,W$4*1-Inputs!$E$58+1))/1</f>
        <v>1</v>
      </c>
      <c r="X8" s="117" t="n">
        <f aca="false">Inputs!$E$55*(1+Inputs!$E$57)^(X$5-1)*MAX(0,MIN(1,X$4*1-Inputs!$E$58+1))/1</f>
        <v>1</v>
      </c>
      <c r="Y8" s="117" t="n">
        <f aca="false">Inputs!$E$55*(1+Inputs!$E$57)^(Y$5-1)*MAX(0,MIN(1,Y$4*1-Inputs!$E$58+1))/1</f>
        <v>1</v>
      </c>
      <c r="Z8" s="117" t="n">
        <f aca="false">Inputs!$E$55*(1+Inputs!$E$57)^(Z$5-1)*MAX(0,MIN(1,Z$4*1-Inputs!$E$58+1))/1</f>
        <v>1</v>
      </c>
      <c r="AA8" s="117" t="n">
        <f aca="false">Inputs!$E$55*(1+Inputs!$E$57)^(AA$5-1)*MAX(0,MIN(1,AA$4*1-Inputs!$E$58+1))/1</f>
        <v>1</v>
      </c>
      <c r="AB8" s="117" t="n">
        <f aca="false">Inputs!$E$55*(1+Inputs!$E$57)^(AB$5-1)*MAX(0,MIN(1,AB$4*1-Inputs!$E$58+1))/1</f>
        <v>1</v>
      </c>
      <c r="AC8" s="117" t="n">
        <f aca="false">Inputs!$E$55*(1+Inputs!$E$57)^(AC$5-1)*MAX(0,MIN(1,AC$4*1-Inputs!$E$58+1))/1</f>
        <v>1</v>
      </c>
      <c r="AD8" s="117" t="n">
        <f aca="false">Inputs!$E$55*(1+Inputs!$E$57)^(AD$5-1)*MAX(0,MIN(1,AD$4*1-Inputs!$E$58+1))/1</f>
        <v>1</v>
      </c>
      <c r="AE8" s="117" t="n">
        <f aca="false">Inputs!$E$55*(1+Inputs!$E$57)^(AE$5-1)*MAX(0,MIN(1,AE$4*1-Inputs!$E$58+1))/1</f>
        <v>1</v>
      </c>
      <c r="AF8" s="117" t="n">
        <f aca="false">Inputs!$E$55*(1+Inputs!$E$57)^(AF$5-1)*MAX(0,MIN(1,AF$4*1-Inputs!$E$58+1))/1</f>
        <v>1</v>
      </c>
      <c r="AG8" s="117" t="n">
        <f aca="false">Inputs!$E$55*(1+Inputs!$E$57)^(AG$5-1)*MAX(0,MIN(1,AG$4*1-Inputs!$E$58+1))/1</f>
        <v>1</v>
      </c>
      <c r="AH8" s="117" t="n">
        <f aca="false">Inputs!$E$55*(1+Inputs!$E$57)^(AH$5-1)*MAX(0,MIN(1,AH$4*1-Inputs!$E$58+1))/1</f>
        <v>1</v>
      </c>
      <c r="AI8" s="117" t="n">
        <f aca="false">Inputs!$E$55*(1+Inputs!$E$57)^(AI$5-1)*MAX(0,MIN(1,AI$4*1-Inputs!$E$58+1))/1</f>
        <v>1</v>
      </c>
      <c r="AJ8" s="117" t="n">
        <f aca="false">Inputs!$E$55*(1+Inputs!$E$57)^(AJ$5-1)*MAX(0,MIN(1,AJ$4*1-Inputs!$E$58+1))/1</f>
        <v>1</v>
      </c>
      <c r="AK8" s="117" t="n">
        <f aca="false">Inputs!$E$55*(1+Inputs!$E$57)^(AK$5-1)*MAX(0,MIN(1,AK$4*1-Inputs!$E$58+1))/1</f>
        <v>1</v>
      </c>
      <c r="AL8" s="117" t="n">
        <f aca="false">Inputs!$E$55*(1+Inputs!$E$57)^(AL$5-1)*MAX(0,MIN(1,AL$4*1-Inputs!$E$58+1))/1</f>
        <v>1</v>
      </c>
    </row>
    <row r="9" customFormat="false" ht="15" hidden="false" customHeight="false" outlineLevel="0" collapsed="false">
      <c r="A9" s="6" t="s">
        <v>445</v>
      </c>
      <c r="C9" s="117" t="n">
        <f aca="false">Inputs!$E$59*(1+Inputs!$E$61)^(C$5-1)*MAX(0,MIN(1,C$4*1-Inputs!$E$62+1))/1</f>
        <v>10</v>
      </c>
      <c r="D9" s="117" t="n">
        <f aca="false">Inputs!$E$59*(1+Inputs!$E$61)^(D$5-1)*MAX(0,MIN(1,D$4*1-Inputs!$E$62+1))/1</f>
        <v>10</v>
      </c>
      <c r="E9" s="117" t="n">
        <f aca="false">Inputs!$E$59*(1+Inputs!$E$61)^(E$5-1)*MAX(0,MIN(1,E$4*1-Inputs!$E$62+1))/1</f>
        <v>10</v>
      </c>
      <c r="F9" s="117" t="n">
        <f aca="false">Inputs!$E$59*(1+Inputs!$E$61)^(F$5-1)*MAX(0,MIN(1,F$4*1-Inputs!$E$62+1))/1</f>
        <v>10</v>
      </c>
      <c r="G9" s="117" t="n">
        <f aca="false">Inputs!$E$59*(1+Inputs!$E$61)^(G$5-1)*MAX(0,MIN(1,G$4*1-Inputs!$E$62+1))/1</f>
        <v>10</v>
      </c>
      <c r="H9" s="117" t="n">
        <f aca="false">Inputs!$E$59*(1+Inputs!$E$61)^(H$5-1)*MAX(0,MIN(1,H$4*1-Inputs!$E$62+1))/1</f>
        <v>10</v>
      </c>
      <c r="I9" s="117" t="n">
        <f aca="false">Inputs!$E$59*(1+Inputs!$E$61)^(I$5-1)*MAX(0,MIN(1,I$4*1-Inputs!$E$62+1))/1</f>
        <v>10</v>
      </c>
      <c r="J9" s="117" t="n">
        <f aca="false">Inputs!$E$59*(1+Inputs!$E$61)^(J$5-1)*MAX(0,MIN(1,J$4*1-Inputs!$E$62+1))/1</f>
        <v>10</v>
      </c>
      <c r="K9" s="117" t="n">
        <f aca="false">Inputs!$E$59*(1+Inputs!$E$61)^(K$5-1)*MAX(0,MIN(1,K$4*1-Inputs!$E$62+1))/1</f>
        <v>10</v>
      </c>
      <c r="L9" s="117" t="n">
        <f aca="false">Inputs!$E$59*(1+Inputs!$E$61)^(L$5-1)*MAX(0,MIN(1,L$4*1-Inputs!$E$62+1))/1</f>
        <v>10</v>
      </c>
      <c r="M9" s="117" t="n">
        <f aca="false">Inputs!$E$59*(1+Inputs!$E$61)^(M$5-1)*MAX(0,MIN(1,M$4*1-Inputs!$E$62+1))/1</f>
        <v>10</v>
      </c>
      <c r="N9" s="117" t="n">
        <f aca="false">Inputs!$E$59*(1+Inputs!$E$61)^(N$5-1)*MAX(0,MIN(1,N$4*1-Inputs!$E$62+1))/1</f>
        <v>10</v>
      </c>
      <c r="O9" s="117" t="n">
        <f aca="false">Inputs!$E$59*(1+Inputs!$E$61)^(O$5-1)*MAX(0,MIN(1,O$4*1-Inputs!$E$62+1))/1</f>
        <v>10</v>
      </c>
      <c r="P9" s="117" t="n">
        <f aca="false">Inputs!$E$59*(1+Inputs!$E$61)^(P$5-1)*MAX(0,MIN(1,P$4*1-Inputs!$E$62+1))/1</f>
        <v>10</v>
      </c>
      <c r="Q9" s="117" t="n">
        <f aca="false">Inputs!$E$59*(1+Inputs!$E$61)^(Q$5-1)*MAX(0,MIN(1,Q$4*1-Inputs!$E$62+1))/1</f>
        <v>10</v>
      </c>
      <c r="R9" s="117" t="n">
        <f aca="false">Inputs!$E$59*(1+Inputs!$E$61)^(R$5-1)*MAX(0,MIN(1,R$4*1-Inputs!$E$62+1))/1</f>
        <v>10</v>
      </c>
      <c r="S9" s="117" t="n">
        <f aca="false">Inputs!$E$59*(1+Inputs!$E$61)^(S$5-1)*MAX(0,MIN(1,S$4*1-Inputs!$E$62+1))/1</f>
        <v>10</v>
      </c>
      <c r="T9" s="117" t="n">
        <f aca="false">Inputs!$E$59*(1+Inputs!$E$61)^(T$5-1)*MAX(0,MIN(1,T$4*1-Inputs!$E$62+1))/1</f>
        <v>10</v>
      </c>
      <c r="U9" s="117" t="n">
        <f aca="false">Inputs!$E$59*(1+Inputs!$E$61)^(U$5-1)*MAX(0,MIN(1,U$4*1-Inputs!$E$62+1))/1</f>
        <v>10</v>
      </c>
      <c r="V9" s="117" t="n">
        <f aca="false">Inputs!$E$59*(1+Inputs!$E$61)^(V$5-1)*MAX(0,MIN(1,V$4*1-Inputs!$E$62+1))/1</f>
        <v>10</v>
      </c>
      <c r="W9" s="117" t="n">
        <f aca="false">Inputs!$E$59*(1+Inputs!$E$61)^(W$5-1)*MAX(0,MIN(1,W$4*1-Inputs!$E$62+1))/1</f>
        <v>10</v>
      </c>
      <c r="X9" s="117" t="n">
        <f aca="false">Inputs!$E$59*(1+Inputs!$E$61)^(X$5-1)*MAX(0,MIN(1,X$4*1-Inputs!$E$62+1))/1</f>
        <v>10</v>
      </c>
      <c r="Y9" s="117" t="n">
        <f aca="false">Inputs!$E$59*(1+Inputs!$E$61)^(Y$5-1)*MAX(0,MIN(1,Y$4*1-Inputs!$E$62+1))/1</f>
        <v>10</v>
      </c>
      <c r="Z9" s="117" t="n">
        <f aca="false">Inputs!$E$59*(1+Inputs!$E$61)^(Z$5-1)*MAX(0,MIN(1,Z$4*1-Inputs!$E$62+1))/1</f>
        <v>10</v>
      </c>
      <c r="AA9" s="117" t="n">
        <f aca="false">Inputs!$E$59*(1+Inputs!$E$61)^(AA$5-1)*MAX(0,MIN(1,AA$4*1-Inputs!$E$62+1))/1</f>
        <v>10</v>
      </c>
      <c r="AB9" s="117" t="n">
        <f aca="false">Inputs!$E$59*(1+Inputs!$E$61)^(AB$5-1)*MAX(0,MIN(1,AB$4*1-Inputs!$E$62+1))/1</f>
        <v>10</v>
      </c>
      <c r="AC9" s="117" t="n">
        <f aca="false">Inputs!$E$59*(1+Inputs!$E$61)^(AC$5-1)*MAX(0,MIN(1,AC$4*1-Inputs!$E$62+1))/1</f>
        <v>10</v>
      </c>
      <c r="AD9" s="117" t="n">
        <f aca="false">Inputs!$E$59*(1+Inputs!$E$61)^(AD$5-1)*MAX(0,MIN(1,AD$4*1-Inputs!$E$62+1))/1</f>
        <v>10</v>
      </c>
      <c r="AE9" s="117" t="n">
        <f aca="false">Inputs!$E$59*(1+Inputs!$E$61)^(AE$5-1)*MAX(0,MIN(1,AE$4*1-Inputs!$E$62+1))/1</f>
        <v>10</v>
      </c>
      <c r="AF9" s="117" t="n">
        <f aca="false">Inputs!$E$59*(1+Inputs!$E$61)^(AF$5-1)*MAX(0,MIN(1,AF$4*1-Inputs!$E$62+1))/1</f>
        <v>10</v>
      </c>
      <c r="AG9" s="117" t="n">
        <f aca="false">Inputs!$E$59*(1+Inputs!$E$61)^(AG$5-1)*MAX(0,MIN(1,AG$4*1-Inputs!$E$62+1))/1</f>
        <v>10</v>
      </c>
      <c r="AH9" s="117" t="n">
        <f aca="false">Inputs!$E$59*(1+Inputs!$E$61)^(AH$5-1)*MAX(0,MIN(1,AH$4*1-Inputs!$E$62+1))/1</f>
        <v>10</v>
      </c>
      <c r="AI9" s="117" t="n">
        <f aca="false">Inputs!$E$59*(1+Inputs!$E$61)^(AI$5-1)*MAX(0,MIN(1,AI$4*1-Inputs!$E$62+1))/1</f>
        <v>10</v>
      </c>
      <c r="AJ9" s="117" t="n">
        <f aca="false">Inputs!$E$59*(1+Inputs!$E$61)^(AJ$5-1)*MAX(0,MIN(1,AJ$4*1-Inputs!$E$62+1))/1</f>
        <v>10</v>
      </c>
      <c r="AK9" s="117" t="n">
        <f aca="false">Inputs!$E$59*(1+Inputs!$E$61)^(AK$5-1)*MAX(0,MIN(1,AK$4*1-Inputs!$E$62+1))/1</f>
        <v>10</v>
      </c>
      <c r="AL9" s="117" t="n">
        <f aca="false">Inputs!$E$59*(1+Inputs!$E$61)^(AL$5-1)*MAX(0,MIN(1,AL$4*1-Inputs!$E$62+1))/1</f>
        <v>10</v>
      </c>
    </row>
    <row r="10" customFormat="false" ht="15" hidden="false" customHeight="false" outlineLevel="0" collapsed="false">
      <c r="A10" s="113" t="s">
        <v>446</v>
      </c>
      <c r="C10" s="123" t="n">
        <f aca="false">C8+C9</f>
        <v>11</v>
      </c>
      <c r="D10" s="123" t="n">
        <f aca="false">D8+D9</f>
        <v>11</v>
      </c>
      <c r="E10" s="123" t="n">
        <f aca="false">E8+E9</f>
        <v>11</v>
      </c>
      <c r="F10" s="123" t="n">
        <f aca="false">F8+F9</f>
        <v>11</v>
      </c>
      <c r="G10" s="123" t="n">
        <f aca="false">G8+G9</f>
        <v>11</v>
      </c>
      <c r="H10" s="123" t="n">
        <f aca="false">H8+H9</f>
        <v>11</v>
      </c>
      <c r="I10" s="123" t="n">
        <f aca="false">I8+I9</f>
        <v>11</v>
      </c>
      <c r="J10" s="123" t="n">
        <f aca="false">J8+J9</f>
        <v>11</v>
      </c>
      <c r="K10" s="123" t="n">
        <f aca="false">K8+K9</f>
        <v>11</v>
      </c>
      <c r="L10" s="123" t="n">
        <f aca="false">L8+L9</f>
        <v>11</v>
      </c>
      <c r="M10" s="123" t="n">
        <f aca="false">M8+M9</f>
        <v>11</v>
      </c>
      <c r="N10" s="123" t="n">
        <f aca="false">N8+N9</f>
        <v>11</v>
      </c>
      <c r="O10" s="123" t="n">
        <f aca="false">O8+O9</f>
        <v>11</v>
      </c>
      <c r="P10" s="123" t="n">
        <f aca="false">P8+P9</f>
        <v>11</v>
      </c>
      <c r="Q10" s="123" t="n">
        <f aca="false">Q8+Q9</f>
        <v>11</v>
      </c>
      <c r="R10" s="123" t="n">
        <f aca="false">R8+R9</f>
        <v>11</v>
      </c>
      <c r="S10" s="123" t="n">
        <f aca="false">S8+S9</f>
        <v>11</v>
      </c>
      <c r="T10" s="123" t="n">
        <f aca="false">T8+T9</f>
        <v>11</v>
      </c>
      <c r="U10" s="123" t="n">
        <f aca="false">U8+U9</f>
        <v>11</v>
      </c>
      <c r="V10" s="123" t="n">
        <f aca="false">V8+V9</f>
        <v>11</v>
      </c>
      <c r="W10" s="123" t="n">
        <f aca="false">W8+W9</f>
        <v>11</v>
      </c>
      <c r="X10" s="123" t="n">
        <f aca="false">X8+X9</f>
        <v>11</v>
      </c>
      <c r="Y10" s="123" t="n">
        <f aca="false">Y8+Y9</f>
        <v>11</v>
      </c>
      <c r="Z10" s="123" t="n">
        <f aca="false">Z8+Z9</f>
        <v>11</v>
      </c>
      <c r="AA10" s="123" t="n">
        <f aca="false">AA8+AA9</f>
        <v>11</v>
      </c>
      <c r="AB10" s="123" t="n">
        <f aca="false">AB8+AB9</f>
        <v>11</v>
      </c>
      <c r="AC10" s="123" t="n">
        <f aca="false">AC8+AC9</f>
        <v>11</v>
      </c>
      <c r="AD10" s="123" t="n">
        <f aca="false">AD8+AD9</f>
        <v>11</v>
      </c>
      <c r="AE10" s="123" t="n">
        <f aca="false">AE8+AE9</f>
        <v>11</v>
      </c>
      <c r="AF10" s="123" t="n">
        <f aca="false">AF8+AF9</f>
        <v>11</v>
      </c>
      <c r="AG10" s="123" t="n">
        <f aca="false">AG8+AG9</f>
        <v>11</v>
      </c>
      <c r="AH10" s="123" t="n">
        <f aca="false">AH8+AH9</f>
        <v>11</v>
      </c>
      <c r="AI10" s="123" t="n">
        <f aca="false">AI8+AI9</f>
        <v>11</v>
      </c>
      <c r="AJ10" s="123" t="n">
        <f aca="false">AJ8+AJ9</f>
        <v>11</v>
      </c>
      <c r="AK10" s="123" t="n">
        <f aca="false">AK8+AK9</f>
        <v>11</v>
      </c>
      <c r="AL10" s="123" t="n">
        <f aca="false">AL8+AL9</f>
        <v>11</v>
      </c>
    </row>
    <row r="12" customFormat="false" ht="15.75" hidden="false" customHeight="true" outlineLevel="0" collapsed="false">
      <c r="A12" s="7" t="s">
        <v>447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448</v>
      </c>
      <c r="C13" s="69" t="n">
        <f aca="false">-C8*Inputs!$E$56/12*1*(1+Inputs!$E$63)*(1+Inputs!$E$64)^(C$5-1)</f>
        <v>-6720</v>
      </c>
      <c r="D13" s="69" t="n">
        <f aca="false">-D8*Inputs!$E$56/12*1*(1+Inputs!$E$63)*(1+Inputs!$E$64)^(D$5-1)</f>
        <v>-6720</v>
      </c>
      <c r="E13" s="69" t="n">
        <f aca="false">-E8*Inputs!$E$56/12*1*(1+Inputs!$E$63)*(1+Inputs!$E$64)^(E$5-1)</f>
        <v>-6720</v>
      </c>
      <c r="F13" s="69" t="n">
        <f aca="false">-F8*Inputs!$E$56/12*1*(1+Inputs!$E$63)*(1+Inputs!$E$64)^(F$5-1)</f>
        <v>-6720</v>
      </c>
      <c r="G13" s="69" t="n">
        <f aca="false">-G8*Inputs!$E$56/12*1*(1+Inputs!$E$63)*(1+Inputs!$E$64)^(G$5-1)</f>
        <v>-6720</v>
      </c>
      <c r="H13" s="69" t="n">
        <f aca="false">-H8*Inputs!$E$56/12*1*(1+Inputs!$E$63)*(1+Inputs!$E$64)^(H$5-1)</f>
        <v>-6720</v>
      </c>
      <c r="I13" s="69" t="n">
        <f aca="false">-I8*Inputs!$E$56/12*1*(1+Inputs!$E$63)*(1+Inputs!$E$64)^(I$5-1)</f>
        <v>-6720</v>
      </c>
      <c r="J13" s="69" t="n">
        <f aca="false">-J8*Inputs!$E$56/12*1*(1+Inputs!$E$63)*(1+Inputs!$E$64)^(J$5-1)</f>
        <v>-6720</v>
      </c>
      <c r="K13" s="69" t="n">
        <f aca="false">-K8*Inputs!$E$56/12*1*(1+Inputs!$E$63)*(1+Inputs!$E$64)^(K$5-1)</f>
        <v>-6720</v>
      </c>
      <c r="L13" s="69" t="n">
        <f aca="false">-L8*Inputs!$E$56/12*1*(1+Inputs!$E$63)*(1+Inputs!$E$64)^(L$5-1)</f>
        <v>-6720</v>
      </c>
      <c r="M13" s="69" t="n">
        <f aca="false">-M8*Inputs!$E$56/12*1*(1+Inputs!$E$63)*(1+Inputs!$E$64)^(M$5-1)</f>
        <v>-6720</v>
      </c>
      <c r="N13" s="69" t="n">
        <f aca="false">-N8*Inputs!$E$56/12*1*(1+Inputs!$E$63)*(1+Inputs!$E$64)^(N$5-1)</f>
        <v>-6720</v>
      </c>
      <c r="O13" s="69" t="n">
        <f aca="false">-O8*Inputs!$E$56/12*1*(1+Inputs!$E$63)*(1+Inputs!$E$64)^(O$5-1)</f>
        <v>-6921.6</v>
      </c>
      <c r="P13" s="69" t="n">
        <f aca="false">-P8*Inputs!$E$56/12*1*(1+Inputs!$E$63)*(1+Inputs!$E$64)^(P$5-1)</f>
        <v>-6921.6</v>
      </c>
      <c r="Q13" s="69" t="n">
        <f aca="false">-Q8*Inputs!$E$56/12*1*(1+Inputs!$E$63)*(1+Inputs!$E$64)^(Q$5-1)</f>
        <v>-6921.6</v>
      </c>
      <c r="R13" s="69" t="n">
        <f aca="false">-R8*Inputs!$E$56/12*1*(1+Inputs!$E$63)*(1+Inputs!$E$64)^(R$5-1)</f>
        <v>-6921.6</v>
      </c>
      <c r="S13" s="69" t="n">
        <f aca="false">-S8*Inputs!$E$56/12*1*(1+Inputs!$E$63)*(1+Inputs!$E$64)^(S$5-1)</f>
        <v>-6921.6</v>
      </c>
      <c r="T13" s="69" t="n">
        <f aca="false">-T8*Inputs!$E$56/12*1*(1+Inputs!$E$63)*(1+Inputs!$E$64)^(T$5-1)</f>
        <v>-6921.6</v>
      </c>
      <c r="U13" s="69" t="n">
        <f aca="false">-U8*Inputs!$E$56/12*1*(1+Inputs!$E$63)*(1+Inputs!$E$64)^(U$5-1)</f>
        <v>-6921.6</v>
      </c>
      <c r="V13" s="69" t="n">
        <f aca="false">-V8*Inputs!$E$56/12*1*(1+Inputs!$E$63)*(1+Inputs!$E$64)^(V$5-1)</f>
        <v>-6921.6</v>
      </c>
      <c r="W13" s="69" t="n">
        <f aca="false">-W8*Inputs!$E$56/12*1*(1+Inputs!$E$63)*(1+Inputs!$E$64)^(W$5-1)</f>
        <v>-6921.6</v>
      </c>
      <c r="X13" s="69" t="n">
        <f aca="false">-X8*Inputs!$E$56/12*1*(1+Inputs!$E$63)*(1+Inputs!$E$64)^(X$5-1)</f>
        <v>-6921.6</v>
      </c>
      <c r="Y13" s="69" t="n">
        <f aca="false">-Y8*Inputs!$E$56/12*1*(1+Inputs!$E$63)*(1+Inputs!$E$64)^(Y$5-1)</f>
        <v>-6921.6</v>
      </c>
      <c r="Z13" s="69" t="n">
        <f aca="false">-Z8*Inputs!$E$56/12*1*(1+Inputs!$E$63)*(1+Inputs!$E$64)^(Z$5-1)</f>
        <v>-6921.6</v>
      </c>
      <c r="AA13" s="69" t="n">
        <f aca="false">-AA8*Inputs!$E$56/12*1*(1+Inputs!$E$63)*(1+Inputs!$E$64)^(AA$5-1)</f>
        <v>-7129.248</v>
      </c>
      <c r="AB13" s="69" t="n">
        <f aca="false">-AB8*Inputs!$E$56/12*1*(1+Inputs!$E$63)*(1+Inputs!$E$64)^(AB$5-1)</f>
        <v>-7129.248</v>
      </c>
      <c r="AC13" s="69" t="n">
        <f aca="false">-AC8*Inputs!$E$56/12*1*(1+Inputs!$E$63)*(1+Inputs!$E$64)^(AC$5-1)</f>
        <v>-7129.248</v>
      </c>
      <c r="AD13" s="69" t="n">
        <f aca="false">-AD8*Inputs!$E$56/12*1*(1+Inputs!$E$63)*(1+Inputs!$E$64)^(AD$5-1)</f>
        <v>-7129.248</v>
      </c>
      <c r="AE13" s="69" t="n">
        <f aca="false">-AE8*Inputs!$E$56/12*1*(1+Inputs!$E$63)*(1+Inputs!$E$64)^(AE$5-1)</f>
        <v>-7129.248</v>
      </c>
      <c r="AF13" s="69" t="n">
        <f aca="false">-AF8*Inputs!$E$56/12*1*(1+Inputs!$E$63)*(1+Inputs!$E$64)^(AF$5-1)</f>
        <v>-7129.248</v>
      </c>
      <c r="AG13" s="69" t="n">
        <f aca="false">-AG8*Inputs!$E$56/12*1*(1+Inputs!$E$63)*(1+Inputs!$E$64)^(AG$5-1)</f>
        <v>-7129.248</v>
      </c>
      <c r="AH13" s="69" t="n">
        <f aca="false">-AH8*Inputs!$E$56/12*1*(1+Inputs!$E$63)*(1+Inputs!$E$64)^(AH$5-1)</f>
        <v>-7129.248</v>
      </c>
      <c r="AI13" s="69" t="n">
        <f aca="false">-AI8*Inputs!$E$56/12*1*(1+Inputs!$E$63)*(1+Inputs!$E$64)^(AI$5-1)</f>
        <v>-7129.248</v>
      </c>
      <c r="AJ13" s="69" t="n">
        <f aca="false">-AJ8*Inputs!$E$56/12*1*(1+Inputs!$E$63)*(1+Inputs!$E$64)^(AJ$5-1)</f>
        <v>-7129.248</v>
      </c>
      <c r="AK13" s="69" t="n">
        <f aca="false">-AK8*Inputs!$E$56/12*1*(1+Inputs!$E$63)*(1+Inputs!$E$64)^(AK$5-1)</f>
        <v>-7129.248</v>
      </c>
      <c r="AL13" s="69" t="n">
        <f aca="false">-AL8*Inputs!$E$56/12*1*(1+Inputs!$E$63)*(1+Inputs!$E$64)^(AL$5-1)</f>
        <v>-7129.248</v>
      </c>
    </row>
    <row r="14" customFormat="false" ht="15" hidden="false" customHeight="false" outlineLevel="0" collapsed="false">
      <c r="A14" s="6" t="s">
        <v>449</v>
      </c>
      <c r="C14" s="69" t="n">
        <f aca="false">-C9*Inputs!$E$60/12*1*(1+Inputs!$E$63)*(1+Inputs!$E$64)^(C$5-1)</f>
        <v>-29866.6666666667</v>
      </c>
      <c r="D14" s="69" t="n">
        <f aca="false">-D9*Inputs!$E$60/12*1*(1+Inputs!$E$63)*(1+Inputs!$E$64)^(D$5-1)</f>
        <v>-29866.6666666667</v>
      </c>
      <c r="E14" s="69" t="n">
        <f aca="false">-E9*Inputs!$E$60/12*1*(1+Inputs!$E$63)*(1+Inputs!$E$64)^(E$5-1)</f>
        <v>-29866.6666666667</v>
      </c>
      <c r="F14" s="69" t="n">
        <f aca="false">-F9*Inputs!$E$60/12*1*(1+Inputs!$E$63)*(1+Inputs!$E$64)^(F$5-1)</f>
        <v>-29866.6666666667</v>
      </c>
      <c r="G14" s="69" t="n">
        <f aca="false">-G9*Inputs!$E$60/12*1*(1+Inputs!$E$63)*(1+Inputs!$E$64)^(G$5-1)</f>
        <v>-29866.6666666667</v>
      </c>
      <c r="H14" s="69" t="n">
        <f aca="false">-H9*Inputs!$E$60/12*1*(1+Inputs!$E$63)*(1+Inputs!$E$64)^(H$5-1)</f>
        <v>-29866.6666666667</v>
      </c>
      <c r="I14" s="69" t="n">
        <f aca="false">-I9*Inputs!$E$60/12*1*(1+Inputs!$E$63)*(1+Inputs!$E$64)^(I$5-1)</f>
        <v>-29866.6666666667</v>
      </c>
      <c r="J14" s="69" t="n">
        <f aca="false">-J9*Inputs!$E$60/12*1*(1+Inputs!$E$63)*(1+Inputs!$E$64)^(J$5-1)</f>
        <v>-29866.6666666667</v>
      </c>
      <c r="K14" s="69" t="n">
        <f aca="false">-K9*Inputs!$E$60/12*1*(1+Inputs!$E$63)*(1+Inputs!$E$64)^(K$5-1)</f>
        <v>-29866.6666666667</v>
      </c>
      <c r="L14" s="69" t="n">
        <f aca="false">-L9*Inputs!$E$60/12*1*(1+Inputs!$E$63)*(1+Inputs!$E$64)^(L$5-1)</f>
        <v>-29866.6666666667</v>
      </c>
      <c r="M14" s="69" t="n">
        <f aca="false">-M9*Inputs!$E$60/12*1*(1+Inputs!$E$63)*(1+Inputs!$E$64)^(M$5-1)</f>
        <v>-29866.6666666667</v>
      </c>
      <c r="N14" s="69" t="n">
        <f aca="false">-N9*Inputs!$E$60/12*1*(1+Inputs!$E$63)*(1+Inputs!$E$64)^(N$5-1)</f>
        <v>-29866.6666666667</v>
      </c>
      <c r="O14" s="69" t="n">
        <f aca="false">-O9*Inputs!$E$60/12*1*(1+Inputs!$E$63)*(1+Inputs!$E$64)^(O$5-1)</f>
        <v>-30762.6666666667</v>
      </c>
      <c r="P14" s="69" t="n">
        <f aca="false">-P9*Inputs!$E$60/12*1*(1+Inputs!$E$63)*(1+Inputs!$E$64)^(P$5-1)</f>
        <v>-30762.6666666667</v>
      </c>
      <c r="Q14" s="69" t="n">
        <f aca="false">-Q9*Inputs!$E$60/12*1*(1+Inputs!$E$63)*(1+Inputs!$E$64)^(Q$5-1)</f>
        <v>-30762.6666666667</v>
      </c>
      <c r="R14" s="69" t="n">
        <f aca="false">-R9*Inputs!$E$60/12*1*(1+Inputs!$E$63)*(1+Inputs!$E$64)^(R$5-1)</f>
        <v>-30762.6666666667</v>
      </c>
      <c r="S14" s="69" t="n">
        <f aca="false">-S9*Inputs!$E$60/12*1*(1+Inputs!$E$63)*(1+Inputs!$E$64)^(S$5-1)</f>
        <v>-30762.6666666667</v>
      </c>
      <c r="T14" s="69" t="n">
        <f aca="false">-T9*Inputs!$E$60/12*1*(1+Inputs!$E$63)*(1+Inputs!$E$64)^(T$5-1)</f>
        <v>-30762.6666666667</v>
      </c>
      <c r="U14" s="69" t="n">
        <f aca="false">-U9*Inputs!$E$60/12*1*(1+Inputs!$E$63)*(1+Inputs!$E$64)^(U$5-1)</f>
        <v>-30762.6666666667</v>
      </c>
      <c r="V14" s="69" t="n">
        <f aca="false">-V9*Inputs!$E$60/12*1*(1+Inputs!$E$63)*(1+Inputs!$E$64)^(V$5-1)</f>
        <v>-30762.6666666667</v>
      </c>
      <c r="W14" s="69" t="n">
        <f aca="false">-W9*Inputs!$E$60/12*1*(1+Inputs!$E$63)*(1+Inputs!$E$64)^(W$5-1)</f>
        <v>-30762.6666666667</v>
      </c>
      <c r="X14" s="69" t="n">
        <f aca="false">-X9*Inputs!$E$60/12*1*(1+Inputs!$E$63)*(1+Inputs!$E$64)^(X$5-1)</f>
        <v>-30762.6666666667</v>
      </c>
      <c r="Y14" s="69" t="n">
        <f aca="false">-Y9*Inputs!$E$60/12*1*(1+Inputs!$E$63)*(1+Inputs!$E$64)^(Y$5-1)</f>
        <v>-30762.6666666667</v>
      </c>
      <c r="Z14" s="69" t="n">
        <f aca="false">-Z9*Inputs!$E$60/12*1*(1+Inputs!$E$63)*(1+Inputs!$E$64)^(Z$5-1)</f>
        <v>-30762.6666666667</v>
      </c>
      <c r="AA14" s="69" t="n">
        <f aca="false">-AA9*Inputs!$E$60/12*1*(1+Inputs!$E$63)*(1+Inputs!$E$64)^(AA$5-1)</f>
        <v>-31685.5466666667</v>
      </c>
      <c r="AB14" s="69" t="n">
        <f aca="false">-AB9*Inputs!$E$60/12*1*(1+Inputs!$E$63)*(1+Inputs!$E$64)^(AB$5-1)</f>
        <v>-31685.5466666667</v>
      </c>
      <c r="AC14" s="69" t="n">
        <f aca="false">-AC9*Inputs!$E$60/12*1*(1+Inputs!$E$63)*(1+Inputs!$E$64)^(AC$5-1)</f>
        <v>-31685.5466666667</v>
      </c>
      <c r="AD14" s="69" t="n">
        <f aca="false">-AD9*Inputs!$E$60/12*1*(1+Inputs!$E$63)*(1+Inputs!$E$64)^(AD$5-1)</f>
        <v>-31685.5466666667</v>
      </c>
      <c r="AE14" s="69" t="n">
        <f aca="false">-AE9*Inputs!$E$60/12*1*(1+Inputs!$E$63)*(1+Inputs!$E$64)^(AE$5-1)</f>
        <v>-31685.5466666667</v>
      </c>
      <c r="AF14" s="69" t="n">
        <f aca="false">-AF9*Inputs!$E$60/12*1*(1+Inputs!$E$63)*(1+Inputs!$E$64)^(AF$5-1)</f>
        <v>-31685.5466666667</v>
      </c>
      <c r="AG14" s="69" t="n">
        <f aca="false">-AG9*Inputs!$E$60/12*1*(1+Inputs!$E$63)*(1+Inputs!$E$64)^(AG$5-1)</f>
        <v>-31685.5466666667</v>
      </c>
      <c r="AH14" s="69" t="n">
        <f aca="false">-AH9*Inputs!$E$60/12*1*(1+Inputs!$E$63)*(1+Inputs!$E$64)^(AH$5-1)</f>
        <v>-31685.5466666667</v>
      </c>
      <c r="AI14" s="69" t="n">
        <f aca="false">-AI9*Inputs!$E$60/12*1*(1+Inputs!$E$63)*(1+Inputs!$E$64)^(AI$5-1)</f>
        <v>-31685.5466666667</v>
      </c>
      <c r="AJ14" s="69" t="n">
        <f aca="false">-AJ9*Inputs!$E$60/12*1*(1+Inputs!$E$63)*(1+Inputs!$E$64)^(AJ$5-1)</f>
        <v>-31685.5466666667</v>
      </c>
      <c r="AK14" s="69" t="n">
        <f aca="false">-AK9*Inputs!$E$60/12*1*(1+Inputs!$E$63)*(1+Inputs!$E$64)^(AK$5-1)</f>
        <v>-31685.5466666667</v>
      </c>
      <c r="AL14" s="69" t="n">
        <f aca="false">-AL9*Inputs!$E$60/12*1*(1+Inputs!$E$63)*(1+Inputs!$E$64)^(AL$5-1)</f>
        <v>-31685.5466666667</v>
      </c>
    </row>
    <row r="15" customFormat="false" ht="15" hidden="false" customHeight="false" outlineLevel="0" collapsed="false">
      <c r="A15" s="113" t="s">
        <v>450</v>
      </c>
      <c r="C15" s="70" t="n">
        <f aca="false">C13+C14</f>
        <v>-36586.6666666667</v>
      </c>
      <c r="D15" s="70" t="n">
        <f aca="false">D13+D14</f>
        <v>-36586.6666666667</v>
      </c>
      <c r="E15" s="70" t="n">
        <f aca="false">E13+E14</f>
        <v>-36586.6666666667</v>
      </c>
      <c r="F15" s="70" t="n">
        <f aca="false">F13+F14</f>
        <v>-36586.6666666667</v>
      </c>
      <c r="G15" s="70" t="n">
        <f aca="false">G13+G14</f>
        <v>-36586.6666666667</v>
      </c>
      <c r="H15" s="70" t="n">
        <f aca="false">H13+H14</f>
        <v>-36586.6666666667</v>
      </c>
      <c r="I15" s="70" t="n">
        <f aca="false">I13+I14</f>
        <v>-36586.6666666667</v>
      </c>
      <c r="J15" s="70" t="n">
        <f aca="false">J13+J14</f>
        <v>-36586.6666666667</v>
      </c>
      <c r="K15" s="70" t="n">
        <f aca="false">K13+K14</f>
        <v>-36586.6666666667</v>
      </c>
      <c r="L15" s="70" t="n">
        <f aca="false">L13+L14</f>
        <v>-36586.6666666667</v>
      </c>
      <c r="M15" s="70" t="n">
        <f aca="false">M13+M14</f>
        <v>-36586.6666666667</v>
      </c>
      <c r="N15" s="70" t="n">
        <f aca="false">N13+N14</f>
        <v>-36586.6666666667</v>
      </c>
      <c r="O15" s="70" t="n">
        <f aca="false">O13+O14</f>
        <v>-37684.2666666667</v>
      </c>
      <c r="P15" s="70" t="n">
        <f aca="false">P13+P14</f>
        <v>-37684.2666666667</v>
      </c>
      <c r="Q15" s="70" t="n">
        <f aca="false">Q13+Q14</f>
        <v>-37684.2666666667</v>
      </c>
      <c r="R15" s="70" t="n">
        <f aca="false">R13+R14</f>
        <v>-37684.2666666667</v>
      </c>
      <c r="S15" s="70" t="n">
        <f aca="false">S13+S14</f>
        <v>-37684.2666666667</v>
      </c>
      <c r="T15" s="70" t="n">
        <f aca="false">T13+T14</f>
        <v>-37684.2666666667</v>
      </c>
      <c r="U15" s="70" t="n">
        <f aca="false">U13+U14</f>
        <v>-37684.2666666667</v>
      </c>
      <c r="V15" s="70" t="n">
        <f aca="false">V13+V14</f>
        <v>-37684.2666666667</v>
      </c>
      <c r="W15" s="70" t="n">
        <f aca="false">W13+W14</f>
        <v>-37684.2666666667</v>
      </c>
      <c r="X15" s="70" t="n">
        <f aca="false">X13+X14</f>
        <v>-37684.2666666667</v>
      </c>
      <c r="Y15" s="70" t="n">
        <f aca="false">Y13+Y14</f>
        <v>-37684.2666666667</v>
      </c>
      <c r="Z15" s="70" t="n">
        <f aca="false">Z13+Z14</f>
        <v>-37684.2666666667</v>
      </c>
      <c r="AA15" s="70" t="n">
        <f aca="false">AA13+AA14</f>
        <v>-38814.7946666667</v>
      </c>
      <c r="AB15" s="70" t="n">
        <f aca="false">AB13+AB14</f>
        <v>-38814.7946666667</v>
      </c>
      <c r="AC15" s="70" t="n">
        <f aca="false">AC13+AC14</f>
        <v>-38814.7946666667</v>
      </c>
      <c r="AD15" s="70" t="n">
        <f aca="false">AD13+AD14</f>
        <v>-38814.7946666667</v>
      </c>
      <c r="AE15" s="70" t="n">
        <f aca="false">AE13+AE14</f>
        <v>-38814.7946666667</v>
      </c>
      <c r="AF15" s="70" t="n">
        <f aca="false">AF13+AF14</f>
        <v>-38814.7946666667</v>
      </c>
      <c r="AG15" s="70" t="n">
        <f aca="false">AG13+AG14</f>
        <v>-38814.7946666667</v>
      </c>
      <c r="AH15" s="70" t="n">
        <f aca="false">AH13+AH14</f>
        <v>-38814.7946666667</v>
      </c>
      <c r="AI15" s="70" t="n">
        <f aca="false">AI13+AI14</f>
        <v>-38814.7946666667</v>
      </c>
      <c r="AJ15" s="70" t="n">
        <f aca="false">AJ13+AJ14</f>
        <v>-38814.7946666667</v>
      </c>
      <c r="AK15" s="70" t="n">
        <f aca="false">AK13+AK14</f>
        <v>-38814.7946666667</v>
      </c>
      <c r="AL15" s="70" t="n">
        <f aca="false">AL13+AL14</f>
        <v>-38814.7946666667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38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451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452</v>
      </c>
    </row>
    <row r="4" customFormat="false" ht="15.75" hidden="false" customHeight="true" outlineLevel="0" collapsed="false">
      <c r="A4" s="7" t="s">
        <v>453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351</v>
      </c>
      <c r="C5" s="35" t="s">
        <v>352</v>
      </c>
      <c r="D5" s="35" t="s">
        <v>353</v>
      </c>
      <c r="E5" s="35" t="s">
        <v>354</v>
      </c>
      <c r="F5" s="35" t="s">
        <v>355</v>
      </c>
      <c r="G5" s="35" t="s">
        <v>356</v>
      </c>
      <c r="H5" s="35" t="s">
        <v>357</v>
      </c>
      <c r="I5" s="35" t="s">
        <v>358</v>
      </c>
      <c r="J5" s="35" t="s">
        <v>359</v>
      </c>
      <c r="K5" s="35" t="s">
        <v>360</v>
      </c>
      <c r="L5" s="35" t="s">
        <v>361</v>
      </c>
      <c r="M5" s="35" t="s">
        <v>362</v>
      </c>
      <c r="N5" s="35" t="s">
        <v>363</v>
      </c>
      <c r="O5" s="35" t="s">
        <v>364</v>
      </c>
      <c r="P5" s="35" t="s">
        <v>365</v>
      </c>
      <c r="Q5" s="35" t="s">
        <v>366</v>
      </c>
      <c r="R5" s="35" t="s">
        <v>367</v>
      </c>
      <c r="S5" s="35" t="s">
        <v>368</v>
      </c>
      <c r="T5" s="35" t="s">
        <v>369</v>
      </c>
      <c r="U5" s="35" t="s">
        <v>370</v>
      </c>
      <c r="V5" s="35" t="s">
        <v>371</v>
      </c>
      <c r="W5" s="35" t="s">
        <v>372</v>
      </c>
      <c r="X5" s="35" t="s">
        <v>373</v>
      </c>
      <c r="Y5" s="35" t="s">
        <v>374</v>
      </c>
      <c r="Z5" s="35" t="s">
        <v>375</v>
      </c>
      <c r="AA5" s="35" t="s">
        <v>376</v>
      </c>
      <c r="AB5" s="35" t="s">
        <v>377</v>
      </c>
      <c r="AC5" s="35" t="s">
        <v>378</v>
      </c>
      <c r="AD5" s="35" t="s">
        <v>379</v>
      </c>
      <c r="AE5" s="35" t="s">
        <v>380</v>
      </c>
      <c r="AF5" s="35" t="s">
        <v>381</v>
      </c>
      <c r="AG5" s="35" t="s">
        <v>382</v>
      </c>
      <c r="AH5" s="35" t="s">
        <v>383</v>
      </c>
      <c r="AI5" s="35" t="s">
        <v>384</v>
      </c>
      <c r="AJ5" s="35" t="s">
        <v>385</v>
      </c>
      <c r="AK5" s="35" t="s">
        <v>386</v>
      </c>
      <c r="AL5" s="35" t="s">
        <v>387</v>
      </c>
    </row>
    <row r="6" customFormat="false" ht="15" hidden="false" customHeight="false" outlineLevel="0" collapsed="false">
      <c r="A6" s="74" t="s">
        <v>388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</row>
    <row r="7" customFormat="false" ht="15" hidden="false" customHeight="false" outlineLevel="0" collapsed="false">
      <c r="A7" s="74" t="s">
        <v>155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</row>
    <row r="9" customFormat="false" ht="15.75" hidden="false" customHeight="true" outlineLevel="0" collapsed="false">
      <c r="A9" s="7" t="s">
        <v>389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6" t="s">
        <v>390</v>
      </c>
      <c r="C10" s="117" t="n">
        <f aca="false">MAX(0,MIN(1,Inputs!$B$9-(C$6-1)*1))</f>
        <v>1</v>
      </c>
      <c r="D10" s="117" t="n">
        <f aca="false">MAX(0,MIN(1,Inputs!$B$9-(D$6-1)*1))</f>
        <v>1</v>
      </c>
      <c r="E10" s="117" t="n">
        <f aca="false">MAX(0,MIN(1,Inputs!$B$9-(E$6-1)*1))</f>
        <v>1</v>
      </c>
      <c r="F10" s="117" t="n">
        <f aca="false">MAX(0,MIN(1,Inputs!$B$9-(F$6-1)*1))</f>
        <v>1</v>
      </c>
      <c r="G10" s="117" t="n">
        <f aca="false">MAX(0,MIN(1,Inputs!$B$9-(G$6-1)*1))</f>
        <v>1</v>
      </c>
      <c r="H10" s="117" t="n">
        <f aca="false">MAX(0,MIN(1,Inputs!$B$9-(H$6-1)*1))</f>
        <v>1</v>
      </c>
      <c r="I10" s="117" t="n">
        <f aca="false">MAX(0,MIN(1,Inputs!$B$9-(I$6-1)*1))</f>
        <v>1</v>
      </c>
      <c r="J10" s="117" t="n">
        <f aca="false">MAX(0,MIN(1,Inputs!$B$9-(J$6-1)*1))</f>
        <v>1</v>
      </c>
      <c r="K10" s="117" t="n">
        <f aca="false">MAX(0,MIN(1,Inputs!$B$9-(K$6-1)*1))</f>
        <v>1</v>
      </c>
      <c r="L10" s="117" t="n">
        <f aca="false">MAX(0,MIN(1,Inputs!$B$9-(L$6-1)*1))</f>
        <v>1</v>
      </c>
      <c r="M10" s="117" t="n">
        <f aca="false">MAX(0,MIN(1,Inputs!$B$9-(M$6-1)*1))</f>
        <v>1</v>
      </c>
      <c r="N10" s="117" t="n">
        <f aca="false">MAX(0,MIN(1,Inputs!$B$9-(N$6-1)*1))</f>
        <v>1</v>
      </c>
      <c r="O10" s="117" t="n">
        <f aca="false">MAX(0,MIN(1,Inputs!$B$9-(O$6-1)*1))</f>
        <v>0</v>
      </c>
      <c r="P10" s="117" t="n">
        <f aca="false">MAX(0,MIN(1,Inputs!$B$9-(P$6-1)*1))</f>
        <v>0</v>
      </c>
      <c r="Q10" s="117" t="n">
        <f aca="false">MAX(0,MIN(1,Inputs!$B$9-(Q$6-1)*1))</f>
        <v>0</v>
      </c>
      <c r="R10" s="117" t="n">
        <f aca="false">MAX(0,MIN(1,Inputs!$B$9-(R$6-1)*1))</f>
        <v>0</v>
      </c>
      <c r="S10" s="117" t="n">
        <f aca="false">MAX(0,MIN(1,Inputs!$B$9-(S$6-1)*1))</f>
        <v>0</v>
      </c>
      <c r="T10" s="117" t="n">
        <f aca="false">MAX(0,MIN(1,Inputs!$B$9-(T$6-1)*1))</f>
        <v>0</v>
      </c>
      <c r="U10" s="117" t="n">
        <f aca="false">MAX(0,MIN(1,Inputs!$B$9-(U$6-1)*1))</f>
        <v>0</v>
      </c>
      <c r="V10" s="117" t="n">
        <f aca="false">MAX(0,MIN(1,Inputs!$B$9-(V$6-1)*1))</f>
        <v>0</v>
      </c>
      <c r="W10" s="117" t="n">
        <f aca="false">MAX(0,MIN(1,Inputs!$B$9-(W$6-1)*1))</f>
        <v>0</v>
      </c>
      <c r="X10" s="117" t="n">
        <f aca="false">MAX(0,MIN(1,Inputs!$B$9-(X$6-1)*1))</f>
        <v>0</v>
      </c>
      <c r="Y10" s="117" t="n">
        <f aca="false">MAX(0,MIN(1,Inputs!$B$9-(Y$6-1)*1))</f>
        <v>0</v>
      </c>
      <c r="Z10" s="117" t="n">
        <f aca="false">MAX(0,MIN(1,Inputs!$B$9-(Z$6-1)*1))</f>
        <v>0</v>
      </c>
      <c r="AA10" s="117" t="n">
        <f aca="false">MAX(0,MIN(1,Inputs!$B$9-(AA$6-1)*1))</f>
        <v>0</v>
      </c>
      <c r="AB10" s="117" t="n">
        <f aca="false">MAX(0,MIN(1,Inputs!$B$9-(AB$6-1)*1))</f>
        <v>0</v>
      </c>
      <c r="AC10" s="117" t="n">
        <f aca="false">MAX(0,MIN(1,Inputs!$B$9-(AC$6-1)*1))</f>
        <v>0</v>
      </c>
      <c r="AD10" s="117" t="n">
        <f aca="false">MAX(0,MIN(1,Inputs!$B$9-(AD$6-1)*1))</f>
        <v>0</v>
      </c>
      <c r="AE10" s="117" t="n">
        <f aca="false">MAX(0,MIN(1,Inputs!$B$9-(AE$6-1)*1))</f>
        <v>0</v>
      </c>
      <c r="AF10" s="117" t="n">
        <f aca="false">MAX(0,MIN(1,Inputs!$B$9-(AF$6-1)*1))</f>
        <v>0</v>
      </c>
      <c r="AG10" s="117" t="n">
        <f aca="false">MAX(0,MIN(1,Inputs!$B$9-(AG$6-1)*1))</f>
        <v>0</v>
      </c>
      <c r="AH10" s="117" t="n">
        <f aca="false">MAX(0,MIN(1,Inputs!$B$9-(AH$6-1)*1))</f>
        <v>0</v>
      </c>
      <c r="AI10" s="117" t="n">
        <f aca="false">MAX(0,MIN(1,Inputs!$B$9-(AI$6-1)*1))</f>
        <v>0</v>
      </c>
      <c r="AJ10" s="117" t="n">
        <f aca="false">MAX(0,MIN(1,Inputs!$B$9-(AJ$6-1)*1))</f>
        <v>0</v>
      </c>
      <c r="AK10" s="117" t="n">
        <f aca="false">MAX(0,MIN(1,Inputs!$B$9-(AK$6-1)*1))</f>
        <v>0</v>
      </c>
      <c r="AL10" s="117" t="n">
        <f aca="false">MAX(0,MIN(1,Inputs!$B$9-(AL$6-1)*1))</f>
        <v>0</v>
      </c>
    </row>
    <row r="11" customFormat="false" ht="15" hidden="false" customHeight="false" outlineLevel="0" collapsed="false">
      <c r="A11" s="39" t="s">
        <v>391</v>
      </c>
      <c r="C11" s="76" t="n">
        <f aca="false">IF(Inputs!$B$9&lt;=0,1,(C10*Inputs!$B$10+(1-Inputs!$B$10)/MAX(1,Inputs!$B$9)*(C10*(C$6-1)*1+C10*(C10-1)/2)+1-C10)/1)</f>
        <v>0.35</v>
      </c>
      <c r="D11" s="76" t="n">
        <f aca="false">IF(Inputs!$B$9&lt;=0,1,(D10*Inputs!$B$10+(1-Inputs!$B$10)/MAX(1,Inputs!$B$9)*(D10*(D$6-1)*1+D10*(D10-1)/2)+1-D10)/1)</f>
        <v>0.404166666666667</v>
      </c>
      <c r="E11" s="76" t="n">
        <f aca="false">IF(Inputs!$B$9&lt;=0,1,(E10*Inputs!$B$10+(1-Inputs!$B$10)/MAX(1,Inputs!$B$9)*(E10*(E$6-1)*1+E10*(E10-1)/2)+1-E10)/1)</f>
        <v>0.458333333333333</v>
      </c>
      <c r="F11" s="76" t="n">
        <f aca="false">IF(Inputs!$B$9&lt;=0,1,(F10*Inputs!$B$10+(1-Inputs!$B$10)/MAX(1,Inputs!$B$9)*(F10*(F$6-1)*1+F10*(F10-1)/2)+1-F10)/1)</f>
        <v>0.5125</v>
      </c>
      <c r="G11" s="76" t="n">
        <f aca="false">IF(Inputs!$B$9&lt;=0,1,(G10*Inputs!$B$10+(1-Inputs!$B$10)/MAX(1,Inputs!$B$9)*(G10*(G$6-1)*1+G10*(G10-1)/2)+1-G10)/1)</f>
        <v>0.566666666666667</v>
      </c>
      <c r="H11" s="76" t="n">
        <f aca="false">IF(Inputs!$B$9&lt;=0,1,(H10*Inputs!$B$10+(1-Inputs!$B$10)/MAX(1,Inputs!$B$9)*(H10*(H$6-1)*1+H10*(H10-1)/2)+1-H10)/1)</f>
        <v>0.620833333333333</v>
      </c>
      <c r="I11" s="76" t="n">
        <f aca="false">IF(Inputs!$B$9&lt;=0,1,(I10*Inputs!$B$10+(1-Inputs!$B$10)/MAX(1,Inputs!$B$9)*(I10*(I$6-1)*1+I10*(I10-1)/2)+1-I10)/1)</f>
        <v>0.675</v>
      </c>
      <c r="J11" s="76" t="n">
        <f aca="false">IF(Inputs!$B$9&lt;=0,1,(J10*Inputs!$B$10+(1-Inputs!$B$10)/MAX(1,Inputs!$B$9)*(J10*(J$6-1)*1+J10*(J10-1)/2)+1-J10)/1)</f>
        <v>0.729166666666667</v>
      </c>
      <c r="K11" s="76" t="n">
        <f aca="false">IF(Inputs!$B$9&lt;=0,1,(K10*Inputs!$B$10+(1-Inputs!$B$10)/MAX(1,Inputs!$B$9)*(K10*(K$6-1)*1+K10*(K10-1)/2)+1-K10)/1)</f>
        <v>0.783333333333333</v>
      </c>
      <c r="L11" s="76" t="n">
        <f aca="false">IF(Inputs!$B$9&lt;=0,1,(L10*Inputs!$B$10+(1-Inputs!$B$10)/MAX(1,Inputs!$B$9)*(L10*(L$6-1)*1+L10*(L10-1)/2)+1-L10)/1)</f>
        <v>0.8375</v>
      </c>
      <c r="M11" s="76" t="n">
        <f aca="false">IF(Inputs!$B$9&lt;=0,1,(M10*Inputs!$B$10+(1-Inputs!$B$10)/MAX(1,Inputs!$B$9)*(M10*(M$6-1)*1+M10*(M10-1)/2)+1-M10)/1)</f>
        <v>0.891666666666667</v>
      </c>
      <c r="N11" s="76" t="n">
        <f aca="false">IF(Inputs!$B$9&lt;=0,1,(N10*Inputs!$B$10+(1-Inputs!$B$10)/MAX(1,Inputs!$B$9)*(N10*(N$6-1)*1+N10*(N10-1)/2)+1-N10)/1)</f>
        <v>0.945833333333333</v>
      </c>
      <c r="O11" s="76" t="n">
        <f aca="false">IF(Inputs!$B$9&lt;=0,1,(O10*Inputs!$B$10+(1-Inputs!$B$10)/MAX(1,Inputs!$B$9)*(O10*(O$6-1)*1+O10*(O10-1)/2)+1-O10)/1)</f>
        <v>1</v>
      </c>
      <c r="P11" s="76" t="n">
        <f aca="false">IF(Inputs!$B$9&lt;=0,1,(P10*Inputs!$B$10+(1-Inputs!$B$10)/MAX(1,Inputs!$B$9)*(P10*(P$6-1)*1+P10*(P10-1)/2)+1-P10)/1)</f>
        <v>1</v>
      </c>
      <c r="Q11" s="76" t="n">
        <f aca="false">IF(Inputs!$B$9&lt;=0,1,(Q10*Inputs!$B$10+(1-Inputs!$B$10)/MAX(1,Inputs!$B$9)*(Q10*(Q$6-1)*1+Q10*(Q10-1)/2)+1-Q10)/1)</f>
        <v>1</v>
      </c>
      <c r="R11" s="76" t="n">
        <f aca="false">IF(Inputs!$B$9&lt;=0,1,(R10*Inputs!$B$10+(1-Inputs!$B$10)/MAX(1,Inputs!$B$9)*(R10*(R$6-1)*1+R10*(R10-1)/2)+1-R10)/1)</f>
        <v>1</v>
      </c>
      <c r="S11" s="76" t="n">
        <f aca="false">IF(Inputs!$B$9&lt;=0,1,(S10*Inputs!$B$10+(1-Inputs!$B$10)/MAX(1,Inputs!$B$9)*(S10*(S$6-1)*1+S10*(S10-1)/2)+1-S10)/1)</f>
        <v>1</v>
      </c>
      <c r="T11" s="76" t="n">
        <f aca="false">IF(Inputs!$B$9&lt;=0,1,(T10*Inputs!$B$10+(1-Inputs!$B$10)/MAX(1,Inputs!$B$9)*(T10*(T$6-1)*1+T10*(T10-1)/2)+1-T10)/1)</f>
        <v>1</v>
      </c>
      <c r="U11" s="76" t="n">
        <f aca="false">IF(Inputs!$B$9&lt;=0,1,(U10*Inputs!$B$10+(1-Inputs!$B$10)/MAX(1,Inputs!$B$9)*(U10*(U$6-1)*1+U10*(U10-1)/2)+1-U10)/1)</f>
        <v>1</v>
      </c>
      <c r="V11" s="76" t="n">
        <f aca="false">IF(Inputs!$B$9&lt;=0,1,(V10*Inputs!$B$10+(1-Inputs!$B$10)/MAX(1,Inputs!$B$9)*(V10*(V$6-1)*1+V10*(V10-1)/2)+1-V10)/1)</f>
        <v>1</v>
      </c>
      <c r="W11" s="76" t="n">
        <f aca="false">IF(Inputs!$B$9&lt;=0,1,(W10*Inputs!$B$10+(1-Inputs!$B$10)/MAX(1,Inputs!$B$9)*(W10*(W$6-1)*1+W10*(W10-1)/2)+1-W10)/1)</f>
        <v>1</v>
      </c>
      <c r="X11" s="76" t="n">
        <f aca="false">IF(Inputs!$B$9&lt;=0,1,(X10*Inputs!$B$10+(1-Inputs!$B$10)/MAX(1,Inputs!$B$9)*(X10*(X$6-1)*1+X10*(X10-1)/2)+1-X10)/1)</f>
        <v>1</v>
      </c>
      <c r="Y11" s="76" t="n">
        <f aca="false">IF(Inputs!$B$9&lt;=0,1,(Y10*Inputs!$B$10+(1-Inputs!$B$10)/MAX(1,Inputs!$B$9)*(Y10*(Y$6-1)*1+Y10*(Y10-1)/2)+1-Y10)/1)</f>
        <v>1</v>
      </c>
      <c r="Z11" s="76" t="n">
        <f aca="false">IF(Inputs!$B$9&lt;=0,1,(Z10*Inputs!$B$10+(1-Inputs!$B$10)/MAX(1,Inputs!$B$9)*(Z10*(Z$6-1)*1+Z10*(Z10-1)/2)+1-Z10)/1)</f>
        <v>1</v>
      </c>
      <c r="AA11" s="76" t="n">
        <f aca="false">IF(Inputs!$B$9&lt;=0,1,(AA10*Inputs!$B$10+(1-Inputs!$B$10)/MAX(1,Inputs!$B$9)*(AA10*(AA$6-1)*1+AA10*(AA10-1)/2)+1-AA10)/1)</f>
        <v>1</v>
      </c>
      <c r="AB11" s="76" t="n">
        <f aca="false">IF(Inputs!$B$9&lt;=0,1,(AB10*Inputs!$B$10+(1-Inputs!$B$10)/MAX(1,Inputs!$B$9)*(AB10*(AB$6-1)*1+AB10*(AB10-1)/2)+1-AB10)/1)</f>
        <v>1</v>
      </c>
      <c r="AC11" s="76" t="n">
        <f aca="false">IF(Inputs!$B$9&lt;=0,1,(AC10*Inputs!$B$10+(1-Inputs!$B$10)/MAX(1,Inputs!$B$9)*(AC10*(AC$6-1)*1+AC10*(AC10-1)/2)+1-AC10)/1)</f>
        <v>1</v>
      </c>
      <c r="AD11" s="76" t="n">
        <f aca="false">IF(Inputs!$B$9&lt;=0,1,(AD10*Inputs!$B$10+(1-Inputs!$B$10)/MAX(1,Inputs!$B$9)*(AD10*(AD$6-1)*1+AD10*(AD10-1)/2)+1-AD10)/1)</f>
        <v>1</v>
      </c>
      <c r="AE11" s="76" t="n">
        <f aca="false">IF(Inputs!$B$9&lt;=0,1,(AE10*Inputs!$B$10+(1-Inputs!$B$10)/MAX(1,Inputs!$B$9)*(AE10*(AE$6-1)*1+AE10*(AE10-1)/2)+1-AE10)/1)</f>
        <v>1</v>
      </c>
      <c r="AF11" s="76" t="n">
        <f aca="false">IF(Inputs!$B$9&lt;=0,1,(AF10*Inputs!$B$10+(1-Inputs!$B$10)/MAX(1,Inputs!$B$9)*(AF10*(AF$6-1)*1+AF10*(AF10-1)/2)+1-AF10)/1)</f>
        <v>1</v>
      </c>
      <c r="AG11" s="76" t="n">
        <f aca="false">IF(Inputs!$B$9&lt;=0,1,(AG10*Inputs!$B$10+(1-Inputs!$B$10)/MAX(1,Inputs!$B$9)*(AG10*(AG$6-1)*1+AG10*(AG10-1)/2)+1-AG10)/1)</f>
        <v>1</v>
      </c>
      <c r="AH11" s="76" t="n">
        <f aca="false">IF(Inputs!$B$9&lt;=0,1,(AH10*Inputs!$B$10+(1-Inputs!$B$10)/MAX(1,Inputs!$B$9)*(AH10*(AH$6-1)*1+AH10*(AH10-1)/2)+1-AH10)/1)</f>
        <v>1</v>
      </c>
      <c r="AI11" s="76" t="n">
        <f aca="false">IF(Inputs!$B$9&lt;=0,1,(AI10*Inputs!$B$10+(1-Inputs!$B$10)/MAX(1,Inputs!$B$9)*(AI10*(AI$6-1)*1+AI10*(AI10-1)/2)+1-AI10)/1)</f>
        <v>1</v>
      </c>
      <c r="AJ11" s="76" t="n">
        <f aca="false">IF(Inputs!$B$9&lt;=0,1,(AJ10*Inputs!$B$10+(1-Inputs!$B$10)/MAX(1,Inputs!$B$9)*(AJ10*(AJ$6-1)*1+AJ10*(AJ10-1)/2)+1-AJ10)/1)</f>
        <v>1</v>
      </c>
      <c r="AK11" s="76" t="n">
        <f aca="false">IF(Inputs!$B$9&lt;=0,1,(AK10*Inputs!$B$10+(1-Inputs!$B$10)/MAX(1,Inputs!$B$9)*(AK10*(AK$6-1)*1+AK10*(AK10-1)/2)+1-AK10)/1)</f>
        <v>1</v>
      </c>
      <c r="AL11" s="76" t="n">
        <f aca="false">IF(Inputs!$B$9&lt;=0,1,(AL10*Inputs!$B$10+(1-Inputs!$B$10)/MAX(1,Inputs!$B$9)*(AL10*(AL$6-1)*1+AL10*(AL10-1)/2)+1-AL10)/1)</f>
        <v>1</v>
      </c>
    </row>
    <row r="12" customFormat="false" ht="15" hidden="false" customHeight="false" outlineLevel="0" collapsed="false">
      <c r="A12" s="6" t="s">
        <v>392</v>
      </c>
      <c r="C12" s="79" t="n">
        <f aca="false">IF(OR(MOD(C$6-1,12)&gt;=11,MOD(C$6-1,12)&lt;=1),1-Inputs!$B$11,1+Inputs!$B$11/3)</f>
        <v>0.8</v>
      </c>
      <c r="D12" s="79" t="n">
        <f aca="false">IF(OR(MOD(D$6-1,12)&gt;=11,MOD(D$6-1,12)&lt;=1),1-Inputs!$B$11,1+Inputs!$B$11/3)</f>
        <v>0.8</v>
      </c>
      <c r="E12" s="79" t="n">
        <f aca="false">IF(OR(MOD(E$6-1,12)&gt;=11,MOD(E$6-1,12)&lt;=1),1-Inputs!$B$11,1+Inputs!$B$11/3)</f>
        <v>1.06666666666667</v>
      </c>
      <c r="F12" s="79" t="n">
        <f aca="false">IF(OR(MOD(F$6-1,12)&gt;=11,MOD(F$6-1,12)&lt;=1),1-Inputs!$B$11,1+Inputs!$B$11/3)</f>
        <v>1.06666666666667</v>
      </c>
      <c r="G12" s="79" t="n">
        <f aca="false">IF(OR(MOD(G$6-1,12)&gt;=11,MOD(G$6-1,12)&lt;=1),1-Inputs!$B$11,1+Inputs!$B$11/3)</f>
        <v>1.06666666666667</v>
      </c>
      <c r="H12" s="79" t="n">
        <f aca="false">IF(OR(MOD(H$6-1,12)&gt;=11,MOD(H$6-1,12)&lt;=1),1-Inputs!$B$11,1+Inputs!$B$11/3)</f>
        <v>1.06666666666667</v>
      </c>
      <c r="I12" s="79" t="n">
        <f aca="false">IF(OR(MOD(I$6-1,12)&gt;=11,MOD(I$6-1,12)&lt;=1),1-Inputs!$B$11,1+Inputs!$B$11/3)</f>
        <v>1.06666666666667</v>
      </c>
      <c r="J12" s="79" t="n">
        <f aca="false">IF(OR(MOD(J$6-1,12)&gt;=11,MOD(J$6-1,12)&lt;=1),1-Inputs!$B$11,1+Inputs!$B$11/3)</f>
        <v>1.06666666666667</v>
      </c>
      <c r="K12" s="79" t="n">
        <f aca="false">IF(OR(MOD(K$6-1,12)&gt;=11,MOD(K$6-1,12)&lt;=1),1-Inputs!$B$11,1+Inputs!$B$11/3)</f>
        <v>1.06666666666667</v>
      </c>
      <c r="L12" s="79" t="n">
        <f aca="false">IF(OR(MOD(L$6-1,12)&gt;=11,MOD(L$6-1,12)&lt;=1),1-Inputs!$B$11,1+Inputs!$B$11/3)</f>
        <v>1.06666666666667</v>
      </c>
      <c r="M12" s="79" t="n">
        <f aca="false">IF(OR(MOD(M$6-1,12)&gt;=11,MOD(M$6-1,12)&lt;=1),1-Inputs!$B$11,1+Inputs!$B$11/3)</f>
        <v>1.06666666666667</v>
      </c>
      <c r="N12" s="79" t="n">
        <f aca="false">IF(OR(MOD(N$6-1,12)&gt;=11,MOD(N$6-1,12)&lt;=1),1-Inputs!$B$11,1+Inputs!$B$11/3)</f>
        <v>0.8</v>
      </c>
      <c r="O12" s="79" t="n">
        <f aca="false">IF(OR(MOD(O$6-1,12)&gt;=11,MOD(O$6-1,12)&lt;=1),1-Inputs!$B$11,1+Inputs!$B$11/3)</f>
        <v>0.8</v>
      </c>
      <c r="P12" s="79" t="n">
        <f aca="false">IF(OR(MOD(P$6-1,12)&gt;=11,MOD(P$6-1,12)&lt;=1),1-Inputs!$B$11,1+Inputs!$B$11/3)</f>
        <v>0.8</v>
      </c>
      <c r="Q12" s="79" t="n">
        <f aca="false">IF(OR(MOD(Q$6-1,12)&gt;=11,MOD(Q$6-1,12)&lt;=1),1-Inputs!$B$11,1+Inputs!$B$11/3)</f>
        <v>1.06666666666667</v>
      </c>
      <c r="R12" s="79" t="n">
        <f aca="false">IF(OR(MOD(R$6-1,12)&gt;=11,MOD(R$6-1,12)&lt;=1),1-Inputs!$B$11,1+Inputs!$B$11/3)</f>
        <v>1.06666666666667</v>
      </c>
      <c r="S12" s="79" t="n">
        <f aca="false">IF(OR(MOD(S$6-1,12)&gt;=11,MOD(S$6-1,12)&lt;=1),1-Inputs!$B$11,1+Inputs!$B$11/3)</f>
        <v>1.06666666666667</v>
      </c>
      <c r="T12" s="79" t="n">
        <f aca="false">IF(OR(MOD(T$6-1,12)&gt;=11,MOD(T$6-1,12)&lt;=1),1-Inputs!$B$11,1+Inputs!$B$11/3)</f>
        <v>1.06666666666667</v>
      </c>
      <c r="U12" s="79" t="n">
        <f aca="false">IF(OR(MOD(U$6-1,12)&gt;=11,MOD(U$6-1,12)&lt;=1),1-Inputs!$B$11,1+Inputs!$B$11/3)</f>
        <v>1.06666666666667</v>
      </c>
      <c r="V12" s="79" t="n">
        <f aca="false">IF(OR(MOD(V$6-1,12)&gt;=11,MOD(V$6-1,12)&lt;=1),1-Inputs!$B$11,1+Inputs!$B$11/3)</f>
        <v>1.06666666666667</v>
      </c>
      <c r="W12" s="79" t="n">
        <f aca="false">IF(OR(MOD(W$6-1,12)&gt;=11,MOD(W$6-1,12)&lt;=1),1-Inputs!$B$11,1+Inputs!$B$11/3)</f>
        <v>1.06666666666667</v>
      </c>
      <c r="X12" s="79" t="n">
        <f aca="false">IF(OR(MOD(X$6-1,12)&gt;=11,MOD(X$6-1,12)&lt;=1),1-Inputs!$B$11,1+Inputs!$B$11/3)</f>
        <v>1.06666666666667</v>
      </c>
      <c r="Y12" s="79" t="n">
        <f aca="false">IF(OR(MOD(Y$6-1,12)&gt;=11,MOD(Y$6-1,12)&lt;=1),1-Inputs!$B$11,1+Inputs!$B$11/3)</f>
        <v>1.06666666666667</v>
      </c>
      <c r="Z12" s="79" t="n">
        <f aca="false">IF(OR(MOD(Z$6-1,12)&gt;=11,MOD(Z$6-1,12)&lt;=1),1-Inputs!$B$11,1+Inputs!$B$11/3)</f>
        <v>0.8</v>
      </c>
      <c r="AA12" s="79" t="n">
        <f aca="false">IF(OR(MOD(AA$6-1,12)&gt;=11,MOD(AA$6-1,12)&lt;=1),1-Inputs!$B$11,1+Inputs!$B$11/3)</f>
        <v>0.8</v>
      </c>
      <c r="AB12" s="79" t="n">
        <f aca="false">IF(OR(MOD(AB$6-1,12)&gt;=11,MOD(AB$6-1,12)&lt;=1),1-Inputs!$B$11,1+Inputs!$B$11/3)</f>
        <v>0.8</v>
      </c>
      <c r="AC12" s="79" t="n">
        <f aca="false">IF(OR(MOD(AC$6-1,12)&gt;=11,MOD(AC$6-1,12)&lt;=1),1-Inputs!$B$11,1+Inputs!$B$11/3)</f>
        <v>1.06666666666667</v>
      </c>
      <c r="AD12" s="79" t="n">
        <f aca="false">IF(OR(MOD(AD$6-1,12)&gt;=11,MOD(AD$6-1,12)&lt;=1),1-Inputs!$B$11,1+Inputs!$B$11/3)</f>
        <v>1.06666666666667</v>
      </c>
      <c r="AE12" s="79" t="n">
        <f aca="false">IF(OR(MOD(AE$6-1,12)&gt;=11,MOD(AE$6-1,12)&lt;=1),1-Inputs!$B$11,1+Inputs!$B$11/3)</f>
        <v>1.06666666666667</v>
      </c>
      <c r="AF12" s="79" t="n">
        <f aca="false">IF(OR(MOD(AF$6-1,12)&gt;=11,MOD(AF$6-1,12)&lt;=1),1-Inputs!$B$11,1+Inputs!$B$11/3)</f>
        <v>1.06666666666667</v>
      </c>
      <c r="AG12" s="79" t="n">
        <f aca="false">IF(OR(MOD(AG$6-1,12)&gt;=11,MOD(AG$6-1,12)&lt;=1),1-Inputs!$B$11,1+Inputs!$B$11/3)</f>
        <v>1.06666666666667</v>
      </c>
      <c r="AH12" s="79" t="n">
        <f aca="false">IF(OR(MOD(AH$6-1,12)&gt;=11,MOD(AH$6-1,12)&lt;=1),1-Inputs!$B$11,1+Inputs!$B$11/3)</f>
        <v>1.06666666666667</v>
      </c>
      <c r="AI12" s="79" t="n">
        <f aca="false">IF(OR(MOD(AI$6-1,12)&gt;=11,MOD(AI$6-1,12)&lt;=1),1-Inputs!$B$11,1+Inputs!$B$11/3)</f>
        <v>1.06666666666667</v>
      </c>
      <c r="AJ12" s="79" t="n">
        <f aca="false">IF(OR(MOD(AJ$6-1,12)&gt;=11,MOD(AJ$6-1,12)&lt;=1),1-Inputs!$B$11,1+Inputs!$B$11/3)</f>
        <v>1.06666666666667</v>
      </c>
      <c r="AK12" s="79" t="n">
        <f aca="false">IF(OR(MOD(AK$6-1,12)&gt;=11,MOD(AK$6-1,12)&lt;=1),1-Inputs!$B$11,1+Inputs!$B$11/3)</f>
        <v>1.06666666666667</v>
      </c>
      <c r="AL12" s="79" t="n">
        <f aca="false">IF(OR(MOD(AL$6-1,12)&gt;=11,MOD(AL$6-1,12)&lt;=1),1-Inputs!$B$11,1+Inputs!$B$11/3)</f>
        <v>0.8</v>
      </c>
    </row>
    <row r="13" customFormat="false" ht="15" hidden="false" customHeight="false" outlineLevel="0" collapsed="false">
      <c r="A13" s="6" t="s">
        <v>393</v>
      </c>
      <c r="C13" s="118" t="n">
        <f aca="false">Inputs!$B$7*Inputs!$B$8*1*C11*C12</f>
        <v>1624</v>
      </c>
      <c r="D13" s="118" t="n">
        <f aca="false">Inputs!$B$7*Inputs!$B$8*1*D11*D12</f>
        <v>1875.33333333333</v>
      </c>
      <c r="E13" s="118" t="n">
        <f aca="false">Inputs!$B$7*Inputs!$B$8*1*E11*E12</f>
        <v>2835.55555555556</v>
      </c>
      <c r="F13" s="118" t="n">
        <f aca="false">Inputs!$B$7*Inputs!$B$8*1*F11*F12</f>
        <v>3170.66666666667</v>
      </c>
      <c r="G13" s="118" t="n">
        <f aca="false">Inputs!$B$7*Inputs!$B$8*1*G11*G12</f>
        <v>3505.77777777778</v>
      </c>
      <c r="H13" s="118" t="n">
        <f aca="false">Inputs!$B$7*Inputs!$B$8*1*H11*H12</f>
        <v>3840.88888888889</v>
      </c>
      <c r="I13" s="118" t="n">
        <f aca="false">Inputs!$B$7*Inputs!$B$8*1*I11*I12</f>
        <v>4176</v>
      </c>
      <c r="J13" s="118" t="n">
        <f aca="false">Inputs!$B$7*Inputs!$B$8*1*J11*J12</f>
        <v>4511.11111111111</v>
      </c>
      <c r="K13" s="118" t="n">
        <f aca="false">Inputs!$B$7*Inputs!$B$8*1*K11*K12</f>
        <v>4846.22222222222</v>
      </c>
      <c r="L13" s="118" t="n">
        <f aca="false">Inputs!$B$7*Inputs!$B$8*1*L11*L12</f>
        <v>5181.33333333333</v>
      </c>
      <c r="M13" s="118" t="n">
        <f aca="false">Inputs!$B$7*Inputs!$B$8*1*M11*M12</f>
        <v>5516.44444444444</v>
      </c>
      <c r="N13" s="118" t="n">
        <f aca="false">Inputs!$B$7*Inputs!$B$8*1*N11*N12</f>
        <v>4388.66666666667</v>
      </c>
      <c r="O13" s="118" t="n">
        <f aca="false">Inputs!$B$7*Inputs!$B$8*1*O11*O12</f>
        <v>4640</v>
      </c>
      <c r="P13" s="118" t="n">
        <f aca="false">Inputs!$B$7*Inputs!$B$8*1*P11*P12</f>
        <v>4640</v>
      </c>
      <c r="Q13" s="118" t="n">
        <f aca="false">Inputs!$B$7*Inputs!$B$8*1*Q11*Q12</f>
        <v>6186.66666666667</v>
      </c>
      <c r="R13" s="118" t="n">
        <f aca="false">Inputs!$B$7*Inputs!$B$8*1*R11*R12</f>
        <v>6186.66666666667</v>
      </c>
      <c r="S13" s="118" t="n">
        <f aca="false">Inputs!$B$7*Inputs!$B$8*1*S11*S12</f>
        <v>6186.66666666667</v>
      </c>
      <c r="T13" s="118" t="n">
        <f aca="false">Inputs!$B$7*Inputs!$B$8*1*T11*T12</f>
        <v>6186.66666666667</v>
      </c>
      <c r="U13" s="118" t="n">
        <f aca="false">Inputs!$B$7*Inputs!$B$8*1*U11*U12</f>
        <v>6186.66666666667</v>
      </c>
      <c r="V13" s="118" t="n">
        <f aca="false">Inputs!$B$7*Inputs!$B$8*1*V11*V12</f>
        <v>6186.66666666667</v>
      </c>
      <c r="W13" s="118" t="n">
        <f aca="false">Inputs!$B$7*Inputs!$B$8*1*W11*W12</f>
        <v>6186.66666666667</v>
      </c>
      <c r="X13" s="118" t="n">
        <f aca="false">Inputs!$B$7*Inputs!$B$8*1*X11*X12</f>
        <v>6186.66666666667</v>
      </c>
      <c r="Y13" s="118" t="n">
        <f aca="false">Inputs!$B$7*Inputs!$B$8*1*Y11*Y12</f>
        <v>6186.66666666667</v>
      </c>
      <c r="Z13" s="118" t="n">
        <f aca="false">Inputs!$B$7*Inputs!$B$8*1*Z11*Z12</f>
        <v>4640</v>
      </c>
      <c r="AA13" s="118" t="n">
        <f aca="false">Inputs!$B$7*Inputs!$B$8*1*AA11*AA12</f>
        <v>4640</v>
      </c>
      <c r="AB13" s="118" t="n">
        <f aca="false">Inputs!$B$7*Inputs!$B$8*1*AB11*AB12</f>
        <v>4640</v>
      </c>
      <c r="AC13" s="118" t="n">
        <f aca="false">Inputs!$B$7*Inputs!$B$8*1*AC11*AC12</f>
        <v>6186.66666666667</v>
      </c>
      <c r="AD13" s="118" t="n">
        <f aca="false">Inputs!$B$7*Inputs!$B$8*1*AD11*AD12</f>
        <v>6186.66666666667</v>
      </c>
      <c r="AE13" s="118" t="n">
        <f aca="false">Inputs!$B$7*Inputs!$B$8*1*AE11*AE12</f>
        <v>6186.66666666667</v>
      </c>
      <c r="AF13" s="118" t="n">
        <f aca="false">Inputs!$B$7*Inputs!$B$8*1*AF11*AF12</f>
        <v>6186.66666666667</v>
      </c>
      <c r="AG13" s="118" t="n">
        <f aca="false">Inputs!$B$7*Inputs!$B$8*1*AG11*AG12</f>
        <v>6186.66666666667</v>
      </c>
      <c r="AH13" s="118" t="n">
        <f aca="false">Inputs!$B$7*Inputs!$B$8*1*AH11*AH12</f>
        <v>6186.66666666667</v>
      </c>
      <c r="AI13" s="118" t="n">
        <f aca="false">Inputs!$B$7*Inputs!$B$8*1*AI11*AI12</f>
        <v>6186.66666666667</v>
      </c>
      <c r="AJ13" s="118" t="n">
        <f aca="false">Inputs!$B$7*Inputs!$B$8*1*AJ11*AJ12</f>
        <v>6186.66666666667</v>
      </c>
      <c r="AK13" s="118" t="n">
        <f aca="false">Inputs!$B$7*Inputs!$B$8*1*AK11*AK12</f>
        <v>6186.66666666667</v>
      </c>
      <c r="AL13" s="118" t="n">
        <f aca="false">Inputs!$B$7*Inputs!$B$8*1*AL11*AL12</f>
        <v>4640</v>
      </c>
    </row>
    <row r="15" customFormat="false" ht="15.75" hidden="false" customHeight="true" outlineLevel="0" collapsed="false">
      <c r="A15" s="7" t="s">
        <v>394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395</v>
      </c>
      <c r="C16" s="117" t="n">
        <f aca="false">C13*Inputs!$B$22</f>
        <v>9.744</v>
      </c>
      <c r="D16" s="117" t="n">
        <f aca="false">D13*Inputs!$B$22</f>
        <v>11.252</v>
      </c>
      <c r="E16" s="117" t="n">
        <f aca="false">E13*Inputs!$B$22</f>
        <v>17.0133333333333</v>
      </c>
      <c r="F16" s="117" t="n">
        <f aca="false">F13*Inputs!$B$22</f>
        <v>19.024</v>
      </c>
      <c r="G16" s="117" t="n">
        <f aca="false">G13*Inputs!$B$22</f>
        <v>21.0346666666667</v>
      </c>
      <c r="H16" s="117" t="n">
        <f aca="false">H13*Inputs!$B$22</f>
        <v>23.0453333333333</v>
      </c>
      <c r="I16" s="117" t="n">
        <f aca="false">I13*Inputs!$B$22</f>
        <v>25.056</v>
      </c>
      <c r="J16" s="117" t="n">
        <f aca="false">J13*Inputs!$B$22</f>
        <v>27.0666666666667</v>
      </c>
      <c r="K16" s="117" t="n">
        <f aca="false">K13*Inputs!$B$22</f>
        <v>29.0773333333333</v>
      </c>
      <c r="L16" s="117" t="n">
        <f aca="false">L13*Inputs!$B$22</f>
        <v>31.088</v>
      </c>
      <c r="M16" s="117" t="n">
        <f aca="false">M13*Inputs!$B$22</f>
        <v>33.0986666666667</v>
      </c>
      <c r="N16" s="117" t="n">
        <f aca="false">N13*Inputs!$B$22</f>
        <v>26.332</v>
      </c>
      <c r="O16" s="117" t="n">
        <f aca="false">O13*Inputs!$B$22</f>
        <v>27.84</v>
      </c>
      <c r="P16" s="117" t="n">
        <f aca="false">P13*Inputs!$B$22</f>
        <v>27.84</v>
      </c>
      <c r="Q16" s="117" t="n">
        <f aca="false">Q13*Inputs!$B$22</f>
        <v>37.12</v>
      </c>
      <c r="R16" s="117" t="n">
        <f aca="false">R13*Inputs!$B$22</f>
        <v>37.12</v>
      </c>
      <c r="S16" s="117" t="n">
        <f aca="false">S13*Inputs!$B$22</f>
        <v>37.12</v>
      </c>
      <c r="T16" s="117" t="n">
        <f aca="false">T13*Inputs!$B$22</f>
        <v>37.12</v>
      </c>
      <c r="U16" s="117" t="n">
        <f aca="false">U13*Inputs!$B$22</f>
        <v>37.12</v>
      </c>
      <c r="V16" s="117" t="n">
        <f aca="false">V13*Inputs!$B$22</f>
        <v>37.12</v>
      </c>
      <c r="W16" s="117" t="n">
        <f aca="false">W13*Inputs!$B$22</f>
        <v>37.12</v>
      </c>
      <c r="X16" s="117" t="n">
        <f aca="false">X13*Inputs!$B$22</f>
        <v>37.12</v>
      </c>
      <c r="Y16" s="117" t="n">
        <f aca="false">Y13*Inputs!$B$22</f>
        <v>37.12</v>
      </c>
      <c r="Z16" s="117" t="n">
        <f aca="false">Z13*Inputs!$B$22</f>
        <v>27.84</v>
      </c>
      <c r="AA16" s="117" t="n">
        <f aca="false">AA13*Inputs!$B$22</f>
        <v>27.84</v>
      </c>
      <c r="AB16" s="117" t="n">
        <f aca="false">AB13*Inputs!$B$22</f>
        <v>27.84</v>
      </c>
      <c r="AC16" s="117" t="n">
        <f aca="false">AC13*Inputs!$B$22</f>
        <v>37.12</v>
      </c>
      <c r="AD16" s="117" t="n">
        <f aca="false">AD13*Inputs!$B$22</f>
        <v>37.12</v>
      </c>
      <c r="AE16" s="117" t="n">
        <f aca="false">AE13*Inputs!$B$22</f>
        <v>37.12</v>
      </c>
      <c r="AF16" s="117" t="n">
        <f aca="false">AF13*Inputs!$B$22</f>
        <v>37.12</v>
      </c>
      <c r="AG16" s="117" t="n">
        <f aca="false">AG13*Inputs!$B$22</f>
        <v>37.12</v>
      </c>
      <c r="AH16" s="117" t="n">
        <f aca="false">AH13*Inputs!$B$22</f>
        <v>37.12</v>
      </c>
      <c r="AI16" s="117" t="n">
        <f aca="false">AI13*Inputs!$B$22</f>
        <v>37.12</v>
      </c>
      <c r="AJ16" s="117" t="n">
        <f aca="false">AJ13*Inputs!$B$22</f>
        <v>37.12</v>
      </c>
      <c r="AK16" s="117" t="n">
        <f aca="false">AK13*Inputs!$B$22</f>
        <v>37.12</v>
      </c>
      <c r="AL16" s="117" t="n">
        <f aca="false">AL13*Inputs!$B$22</f>
        <v>27.84</v>
      </c>
    </row>
    <row r="17" customFormat="false" ht="15" hidden="false" customHeight="false" outlineLevel="0" collapsed="false">
      <c r="A17" s="6" t="s">
        <v>396</v>
      </c>
      <c r="C17" s="117" t="n">
        <f aca="false">Inputs!$B$20*(1+Inputs!$B$21)^(C$7-1)*1*C11</f>
        <v>14</v>
      </c>
      <c r="D17" s="117" t="n">
        <f aca="false">Inputs!$B$20*(1+Inputs!$B$21)^(D$7-1)*1*D11</f>
        <v>16.1666666666667</v>
      </c>
      <c r="E17" s="117" t="n">
        <f aca="false">Inputs!$B$20*(1+Inputs!$B$21)^(E$7-1)*1*E11</f>
        <v>18.3333333333333</v>
      </c>
      <c r="F17" s="117" t="n">
        <f aca="false">Inputs!$B$20*(1+Inputs!$B$21)^(F$7-1)*1*F11</f>
        <v>20.5</v>
      </c>
      <c r="G17" s="117" t="n">
        <f aca="false">Inputs!$B$20*(1+Inputs!$B$21)^(G$7-1)*1*G11</f>
        <v>22.6666666666667</v>
      </c>
      <c r="H17" s="117" t="n">
        <f aca="false">Inputs!$B$20*(1+Inputs!$B$21)^(H$7-1)*1*H11</f>
        <v>24.8333333333333</v>
      </c>
      <c r="I17" s="117" t="n">
        <f aca="false">Inputs!$B$20*(1+Inputs!$B$21)^(I$7-1)*1*I11</f>
        <v>27</v>
      </c>
      <c r="J17" s="117" t="n">
        <f aca="false">Inputs!$B$20*(1+Inputs!$B$21)^(J$7-1)*1*J11</f>
        <v>29.1666666666667</v>
      </c>
      <c r="K17" s="117" t="n">
        <f aca="false">Inputs!$B$20*(1+Inputs!$B$21)^(K$7-1)*1*K11</f>
        <v>31.3333333333333</v>
      </c>
      <c r="L17" s="117" t="n">
        <f aca="false">Inputs!$B$20*(1+Inputs!$B$21)^(L$7-1)*1*L11</f>
        <v>33.5</v>
      </c>
      <c r="M17" s="117" t="n">
        <f aca="false">Inputs!$B$20*(1+Inputs!$B$21)^(M$7-1)*1*M11</f>
        <v>35.6666666666667</v>
      </c>
      <c r="N17" s="117" t="n">
        <f aca="false">Inputs!$B$20*(1+Inputs!$B$21)^(N$7-1)*1*N11</f>
        <v>37.8333333333333</v>
      </c>
      <c r="O17" s="117" t="n">
        <f aca="false">Inputs!$B$20*(1+Inputs!$B$21)^(O$7-1)*1*O11</f>
        <v>40</v>
      </c>
      <c r="P17" s="117" t="n">
        <f aca="false">Inputs!$B$20*(1+Inputs!$B$21)^(P$7-1)*1*P11</f>
        <v>40</v>
      </c>
      <c r="Q17" s="117" t="n">
        <f aca="false">Inputs!$B$20*(1+Inputs!$B$21)^(Q$7-1)*1*Q11</f>
        <v>40</v>
      </c>
      <c r="R17" s="117" t="n">
        <f aca="false">Inputs!$B$20*(1+Inputs!$B$21)^(R$7-1)*1*R11</f>
        <v>40</v>
      </c>
      <c r="S17" s="117" t="n">
        <f aca="false">Inputs!$B$20*(1+Inputs!$B$21)^(S$7-1)*1*S11</f>
        <v>40</v>
      </c>
      <c r="T17" s="117" t="n">
        <f aca="false">Inputs!$B$20*(1+Inputs!$B$21)^(T$7-1)*1*T11</f>
        <v>40</v>
      </c>
      <c r="U17" s="117" t="n">
        <f aca="false">Inputs!$B$20*(1+Inputs!$B$21)^(U$7-1)*1*U11</f>
        <v>40</v>
      </c>
      <c r="V17" s="117" t="n">
        <f aca="false">Inputs!$B$20*(1+Inputs!$B$21)^(V$7-1)*1*V11</f>
        <v>40</v>
      </c>
      <c r="W17" s="117" t="n">
        <f aca="false">Inputs!$B$20*(1+Inputs!$B$21)^(W$7-1)*1*W11</f>
        <v>40</v>
      </c>
      <c r="X17" s="117" t="n">
        <f aca="false">Inputs!$B$20*(1+Inputs!$B$21)^(X$7-1)*1*X11</f>
        <v>40</v>
      </c>
      <c r="Y17" s="117" t="n">
        <f aca="false">Inputs!$B$20*(1+Inputs!$B$21)^(Y$7-1)*1*Y11</f>
        <v>40</v>
      </c>
      <c r="Z17" s="117" t="n">
        <f aca="false">Inputs!$B$20*(1+Inputs!$B$21)^(Z$7-1)*1*Z11</f>
        <v>40</v>
      </c>
      <c r="AA17" s="117" t="n">
        <f aca="false">Inputs!$B$20*(1+Inputs!$B$21)^(AA$7-1)*1*AA11</f>
        <v>40</v>
      </c>
      <c r="AB17" s="117" t="n">
        <f aca="false">Inputs!$B$20*(1+Inputs!$B$21)^(AB$7-1)*1*AB11</f>
        <v>40</v>
      </c>
      <c r="AC17" s="117" t="n">
        <f aca="false">Inputs!$B$20*(1+Inputs!$B$21)^(AC$7-1)*1*AC11</f>
        <v>40</v>
      </c>
      <c r="AD17" s="117" t="n">
        <f aca="false">Inputs!$B$20*(1+Inputs!$B$21)^(AD$7-1)*1*AD11</f>
        <v>40</v>
      </c>
      <c r="AE17" s="117" t="n">
        <f aca="false">Inputs!$B$20*(1+Inputs!$B$21)^(AE$7-1)*1*AE11</f>
        <v>40</v>
      </c>
      <c r="AF17" s="117" t="n">
        <f aca="false">Inputs!$B$20*(1+Inputs!$B$21)^(AF$7-1)*1*AF11</f>
        <v>40</v>
      </c>
      <c r="AG17" s="117" t="n">
        <f aca="false">Inputs!$B$20*(1+Inputs!$B$21)^(AG$7-1)*1*AG11</f>
        <v>40</v>
      </c>
      <c r="AH17" s="117" t="n">
        <f aca="false">Inputs!$B$20*(1+Inputs!$B$21)^(AH$7-1)*1*AH11</f>
        <v>40</v>
      </c>
      <c r="AI17" s="117" t="n">
        <f aca="false">Inputs!$B$20*(1+Inputs!$B$21)^(AI$7-1)*1*AI11</f>
        <v>40</v>
      </c>
      <c r="AJ17" s="117" t="n">
        <f aca="false">Inputs!$B$20*(1+Inputs!$B$21)^(AJ$7-1)*1*AJ11</f>
        <v>40</v>
      </c>
      <c r="AK17" s="117" t="n">
        <f aca="false">Inputs!$B$20*(1+Inputs!$B$21)^(AK$7-1)*1*AK11</f>
        <v>40</v>
      </c>
      <c r="AL17" s="117" t="n">
        <f aca="false">Inputs!$B$20*(1+Inputs!$B$21)^(AL$7-1)*1*AL11</f>
        <v>40</v>
      </c>
    </row>
    <row r="18" customFormat="false" ht="15" hidden="false" customHeight="false" outlineLevel="0" collapsed="false">
      <c r="A18" s="4" t="s">
        <v>397</v>
      </c>
      <c r="C18" s="119" t="n">
        <f aca="false">C16+C17</f>
        <v>23.744</v>
      </c>
      <c r="D18" s="119" t="n">
        <f aca="false">D16+D17</f>
        <v>27.4186666666667</v>
      </c>
      <c r="E18" s="119" t="n">
        <f aca="false">E16+E17</f>
        <v>35.3466666666667</v>
      </c>
      <c r="F18" s="119" t="n">
        <f aca="false">F16+F17</f>
        <v>39.524</v>
      </c>
      <c r="G18" s="119" t="n">
        <f aca="false">G16+G17</f>
        <v>43.7013333333333</v>
      </c>
      <c r="H18" s="119" t="n">
        <f aca="false">H16+H17</f>
        <v>47.8786666666667</v>
      </c>
      <c r="I18" s="119" t="n">
        <f aca="false">I16+I17</f>
        <v>52.056</v>
      </c>
      <c r="J18" s="119" t="n">
        <f aca="false">J16+J17</f>
        <v>56.2333333333333</v>
      </c>
      <c r="K18" s="119" t="n">
        <f aca="false">K16+K17</f>
        <v>60.4106666666667</v>
      </c>
      <c r="L18" s="119" t="n">
        <f aca="false">L16+L17</f>
        <v>64.588</v>
      </c>
      <c r="M18" s="119" t="n">
        <f aca="false">M16+M17</f>
        <v>68.7653333333333</v>
      </c>
      <c r="N18" s="119" t="n">
        <f aca="false">N16+N17</f>
        <v>64.1653333333333</v>
      </c>
      <c r="O18" s="119" t="n">
        <f aca="false">O16+O17</f>
        <v>67.84</v>
      </c>
      <c r="P18" s="119" t="n">
        <f aca="false">P16+P17</f>
        <v>67.84</v>
      </c>
      <c r="Q18" s="119" t="n">
        <f aca="false">Q16+Q17</f>
        <v>77.12</v>
      </c>
      <c r="R18" s="119" t="n">
        <f aca="false">R16+R17</f>
        <v>77.12</v>
      </c>
      <c r="S18" s="119" t="n">
        <f aca="false">S16+S17</f>
        <v>77.12</v>
      </c>
      <c r="T18" s="119" t="n">
        <f aca="false">T16+T17</f>
        <v>77.12</v>
      </c>
      <c r="U18" s="119" t="n">
        <f aca="false">U16+U17</f>
        <v>77.12</v>
      </c>
      <c r="V18" s="119" t="n">
        <f aca="false">V16+V17</f>
        <v>77.12</v>
      </c>
      <c r="W18" s="119" t="n">
        <f aca="false">W16+W17</f>
        <v>77.12</v>
      </c>
      <c r="X18" s="119" t="n">
        <f aca="false">X16+X17</f>
        <v>77.12</v>
      </c>
      <c r="Y18" s="119" t="n">
        <f aca="false">Y16+Y17</f>
        <v>77.12</v>
      </c>
      <c r="Z18" s="119" t="n">
        <f aca="false">Z16+Z17</f>
        <v>67.84</v>
      </c>
      <c r="AA18" s="119" t="n">
        <f aca="false">AA16+AA17</f>
        <v>67.84</v>
      </c>
      <c r="AB18" s="119" t="n">
        <f aca="false">AB16+AB17</f>
        <v>67.84</v>
      </c>
      <c r="AC18" s="119" t="n">
        <f aca="false">AC16+AC17</f>
        <v>77.12</v>
      </c>
      <c r="AD18" s="119" t="n">
        <f aca="false">AD16+AD17</f>
        <v>77.12</v>
      </c>
      <c r="AE18" s="119" t="n">
        <f aca="false">AE16+AE17</f>
        <v>77.12</v>
      </c>
      <c r="AF18" s="119" t="n">
        <f aca="false">AF16+AF17</f>
        <v>77.12</v>
      </c>
      <c r="AG18" s="119" t="n">
        <f aca="false">AG16+AG17</f>
        <v>77.12</v>
      </c>
      <c r="AH18" s="119" t="n">
        <f aca="false">AH16+AH17</f>
        <v>77.12</v>
      </c>
      <c r="AI18" s="119" t="n">
        <f aca="false">AI16+AI17</f>
        <v>77.12</v>
      </c>
      <c r="AJ18" s="119" t="n">
        <f aca="false">AJ16+AJ17</f>
        <v>77.12</v>
      </c>
      <c r="AK18" s="119" t="n">
        <f aca="false">AK16+AK17</f>
        <v>77.12</v>
      </c>
      <c r="AL18" s="119" t="n">
        <f aca="false">AL16+AL17</f>
        <v>67.84</v>
      </c>
    </row>
    <row r="19" customFormat="false" ht="15" hidden="false" customHeight="false" outlineLevel="0" collapsed="false">
      <c r="A19" s="6" t="s">
        <v>398</v>
      </c>
      <c r="C19" s="120" t="n">
        <f aca="false">Inputs!$B$19</f>
        <v>150</v>
      </c>
      <c r="D19" s="117" t="n">
        <f aca="false">C21</f>
        <v>166.244</v>
      </c>
      <c r="E19" s="117" t="n">
        <f aca="false">D21</f>
        <v>185.350466666667</v>
      </c>
      <c r="F19" s="117" t="n">
        <f aca="false">E21</f>
        <v>211.42961</v>
      </c>
      <c r="G19" s="117" t="n">
        <f aca="false">F21</f>
        <v>240.3821295</v>
      </c>
      <c r="H19" s="117" t="n">
        <f aca="false">G21</f>
        <v>272.064356358333</v>
      </c>
      <c r="I19" s="117" t="n">
        <f aca="false">H21</f>
        <v>306.339805207083</v>
      </c>
      <c r="J19" s="117" t="n">
        <f aca="false">I21</f>
        <v>343.078814946729</v>
      </c>
      <c r="K19" s="117" t="n">
        <f aca="false">J21</f>
        <v>382.158207532726</v>
      </c>
      <c r="L19" s="117" t="n">
        <f aca="false">K21</f>
        <v>423.460963822756</v>
      </c>
      <c r="M19" s="117" t="n">
        <f aca="false">L21</f>
        <v>466.875915631618</v>
      </c>
      <c r="N19" s="117" t="n">
        <f aca="false">M21</f>
        <v>512.297453183371</v>
      </c>
      <c r="O19" s="117" t="n">
        <f aca="false">N21</f>
        <v>550.847913857536</v>
      </c>
      <c r="P19" s="117" t="n">
        <f aca="false">O21</f>
        <v>591.145518164659</v>
      </c>
      <c r="Q19" s="117" t="n">
        <f aca="false">P21</f>
        <v>629.428242256426</v>
      </c>
      <c r="R19" s="117" t="n">
        <f aca="false">Q21</f>
        <v>675.076830143605</v>
      </c>
      <c r="S19" s="117" t="n">
        <f aca="false">R21</f>
        <v>718.442988636424</v>
      </c>
      <c r="T19" s="117" t="n">
        <f aca="false">S21</f>
        <v>759.640839204603</v>
      </c>
      <c r="U19" s="117" t="n">
        <f aca="false">T21</f>
        <v>798.778797244373</v>
      </c>
      <c r="V19" s="117" t="n">
        <f aca="false">U21</f>
        <v>835.959857382154</v>
      </c>
      <c r="W19" s="117" t="n">
        <f aca="false">V21</f>
        <v>871.281864513047</v>
      </c>
      <c r="X19" s="117" t="n">
        <f aca="false">W21</f>
        <v>904.837771287394</v>
      </c>
      <c r="Y19" s="117" t="n">
        <f aca="false">X21</f>
        <v>936.715882723024</v>
      </c>
      <c r="Z19" s="117" t="n">
        <f aca="false">Y21</f>
        <v>967.000088586873</v>
      </c>
      <c r="AA19" s="117" t="n">
        <f aca="false">Z21</f>
        <v>986.49008415753</v>
      </c>
      <c r="AB19" s="117" t="n">
        <f aca="false">AA21</f>
        <v>1005.00557994965</v>
      </c>
      <c r="AC19" s="117" t="n">
        <f aca="false">AB21</f>
        <v>1022.59530095217</v>
      </c>
      <c r="AD19" s="117" t="n">
        <f aca="false">AC21</f>
        <v>1048.58553590456</v>
      </c>
      <c r="AE19" s="117" t="n">
        <f aca="false">AD21</f>
        <v>1073.27625910933</v>
      </c>
      <c r="AF19" s="117" t="n">
        <f aca="false">AE21</f>
        <v>1096.73244615387</v>
      </c>
      <c r="AG19" s="117" t="n">
        <f aca="false">AF21</f>
        <v>1119.01582384617</v>
      </c>
      <c r="AH19" s="117" t="n">
        <f aca="false">AG21</f>
        <v>1140.18503265386</v>
      </c>
      <c r="AI19" s="117" t="n">
        <f aca="false">AH21</f>
        <v>1160.29578102117</v>
      </c>
      <c r="AJ19" s="117" t="n">
        <f aca="false">AI21</f>
        <v>1179.40099197011</v>
      </c>
      <c r="AK19" s="117" t="n">
        <f aca="false">AJ21</f>
        <v>1197.55094237161</v>
      </c>
      <c r="AL19" s="117" t="n">
        <f aca="false">AK21</f>
        <v>1214.79339525303</v>
      </c>
    </row>
    <row r="20" customFormat="false" ht="15" hidden="false" customHeight="false" outlineLevel="0" collapsed="false">
      <c r="A20" s="6" t="s">
        <v>399</v>
      </c>
      <c r="C20" s="117" t="n">
        <f aca="false">C21-C19-C18</f>
        <v>-7.50000000000001</v>
      </c>
      <c r="D20" s="117" t="n">
        <f aca="false">D21-D19-D18</f>
        <v>-8.31220000000003</v>
      </c>
      <c r="E20" s="117" t="n">
        <f aca="false">E21-E19-E18</f>
        <v>-9.26752333333334</v>
      </c>
      <c r="F20" s="117" t="n">
        <f aca="false">F21-F19-F18</f>
        <v>-10.5714805</v>
      </c>
      <c r="G20" s="117" t="n">
        <f aca="false">G21-G19-G18</f>
        <v>-12.019106475</v>
      </c>
      <c r="H20" s="117" t="n">
        <f aca="false">H21-H19-H18</f>
        <v>-13.6032178179167</v>
      </c>
      <c r="I20" s="117" t="n">
        <f aca="false">I21-I19-I18</f>
        <v>-15.3169902603542</v>
      </c>
      <c r="J20" s="117" t="n">
        <f aca="false">J21-J19-J18</f>
        <v>-17.1539407473365</v>
      </c>
      <c r="K20" s="117" t="n">
        <f aca="false">K21-K19-K18</f>
        <v>-19.1079103766363</v>
      </c>
      <c r="L20" s="117" t="n">
        <f aca="false">L21-L19-L18</f>
        <v>-21.1730481911378</v>
      </c>
      <c r="M20" s="117" t="n">
        <f aca="false">M21-M19-M18</f>
        <v>-23.3437957815809</v>
      </c>
      <c r="N20" s="117" t="n">
        <f aca="false">N21-N19-N18</f>
        <v>-25.6148726591685</v>
      </c>
      <c r="O20" s="117" t="n">
        <f aca="false">O21-O19-O18</f>
        <v>-27.5423956928767</v>
      </c>
      <c r="P20" s="117" t="n">
        <f aca="false">P21-P19-P18</f>
        <v>-29.557275908233</v>
      </c>
      <c r="Q20" s="117" t="n">
        <f aca="false">Q21-Q19-Q18</f>
        <v>-31.4714121128213</v>
      </c>
      <c r="R20" s="117" t="n">
        <f aca="false">R21-R19-R18</f>
        <v>-33.7538415071803</v>
      </c>
      <c r="S20" s="117" t="n">
        <f aca="false">S21-S19-S18</f>
        <v>-35.9221494318213</v>
      </c>
      <c r="T20" s="117" t="n">
        <f aca="false">T21-T19-T18</f>
        <v>-37.9820419602302</v>
      </c>
      <c r="U20" s="117" t="n">
        <f aca="false">U21-U19-U18</f>
        <v>-39.9389398622187</v>
      </c>
      <c r="V20" s="117" t="n">
        <f aca="false">V21-V19-V18</f>
        <v>-41.7979928691077</v>
      </c>
      <c r="W20" s="117" t="n">
        <f aca="false">W21-W19-W18</f>
        <v>-43.5640932256524</v>
      </c>
      <c r="X20" s="117" t="n">
        <f aca="false">X21-X19-X18</f>
        <v>-45.2418885643698</v>
      </c>
      <c r="Y20" s="117" t="n">
        <f aca="false">Y21-Y19-Y18</f>
        <v>-46.8357941361512</v>
      </c>
      <c r="Z20" s="117" t="n">
        <f aca="false">Z21-Z19-Z18</f>
        <v>-48.3500044293437</v>
      </c>
      <c r="AA20" s="117" t="n">
        <f aca="false">AA21-AA19-AA18</f>
        <v>-49.3245042078765</v>
      </c>
      <c r="AB20" s="117" t="n">
        <f aca="false">AB21-AB19-AB18</f>
        <v>-50.2502789974827</v>
      </c>
      <c r="AC20" s="117" t="n">
        <f aca="false">AC21-AC19-AC18</f>
        <v>-51.1297650476085</v>
      </c>
      <c r="AD20" s="117" t="n">
        <f aca="false">AD21-AD19-AD18</f>
        <v>-52.429276795228</v>
      </c>
      <c r="AE20" s="117" t="n">
        <f aca="false">AE21-AE19-AE18</f>
        <v>-53.6638129554668</v>
      </c>
      <c r="AF20" s="117" t="n">
        <f aca="false">AF21-AF19-AF18</f>
        <v>-54.8366223076934</v>
      </c>
      <c r="AG20" s="117" t="n">
        <f aca="false">AG21-AG19-AG18</f>
        <v>-55.9507911923089</v>
      </c>
      <c r="AH20" s="117" t="n">
        <f aca="false">AH21-AH19-AH18</f>
        <v>-57.0092516326932</v>
      </c>
      <c r="AI20" s="117" t="n">
        <f aca="false">AI21-AI19-AI18</f>
        <v>-58.0147890510585</v>
      </c>
      <c r="AJ20" s="117" t="n">
        <f aca="false">AJ21-AJ19-AJ18</f>
        <v>-58.9700495985059</v>
      </c>
      <c r="AK20" s="117" t="n">
        <f aca="false">AK21-AK19-AK18</f>
        <v>-59.8775471185805</v>
      </c>
      <c r="AL20" s="117" t="n">
        <f aca="false">AL21-AL19-AL18</f>
        <v>-60.7396697626515</v>
      </c>
    </row>
    <row r="21" customFormat="false" ht="15" hidden="false" customHeight="false" outlineLevel="0" collapsed="false">
      <c r="A21" s="4" t="s">
        <v>400</v>
      </c>
      <c r="C21" s="119" t="n">
        <f aca="false">C19*(1-Inputs!$B$23)+C18</f>
        <v>166.244</v>
      </c>
      <c r="D21" s="119" t="n">
        <f aca="false">D19*(1-Inputs!$B$23)+D18</f>
        <v>185.350466666667</v>
      </c>
      <c r="E21" s="119" t="n">
        <f aca="false">E19*(1-Inputs!$B$23)+E18</f>
        <v>211.42961</v>
      </c>
      <c r="F21" s="119" t="n">
        <f aca="false">F19*(1-Inputs!$B$23)+F18</f>
        <v>240.3821295</v>
      </c>
      <c r="G21" s="119" t="n">
        <f aca="false">G19*(1-Inputs!$B$23)+G18</f>
        <v>272.064356358333</v>
      </c>
      <c r="H21" s="119" t="n">
        <f aca="false">H19*(1-Inputs!$B$23)+H18</f>
        <v>306.339805207083</v>
      </c>
      <c r="I21" s="119" t="n">
        <f aca="false">I19*(1-Inputs!$B$23)+I18</f>
        <v>343.078814946729</v>
      </c>
      <c r="J21" s="119" t="n">
        <f aca="false">J19*(1-Inputs!$B$23)+J18</f>
        <v>382.158207532726</v>
      </c>
      <c r="K21" s="119" t="n">
        <f aca="false">K19*(1-Inputs!$B$23)+K18</f>
        <v>423.460963822756</v>
      </c>
      <c r="L21" s="119" t="n">
        <f aca="false">L19*(1-Inputs!$B$23)+L18</f>
        <v>466.875915631618</v>
      </c>
      <c r="M21" s="119" t="n">
        <f aca="false">M19*(1-Inputs!$B$23)+M18</f>
        <v>512.297453183371</v>
      </c>
      <c r="N21" s="119" t="n">
        <f aca="false">N19*(1-Inputs!$B$23)+N18</f>
        <v>550.847913857536</v>
      </c>
      <c r="O21" s="119" t="n">
        <f aca="false">O19*(1-Inputs!$B$23)+O18</f>
        <v>591.145518164659</v>
      </c>
      <c r="P21" s="119" t="n">
        <f aca="false">P19*(1-Inputs!$B$23)+P18</f>
        <v>629.428242256426</v>
      </c>
      <c r="Q21" s="119" t="n">
        <f aca="false">Q19*(1-Inputs!$B$23)+Q18</f>
        <v>675.076830143605</v>
      </c>
      <c r="R21" s="119" t="n">
        <f aca="false">R19*(1-Inputs!$B$23)+R18</f>
        <v>718.442988636424</v>
      </c>
      <c r="S21" s="119" t="n">
        <f aca="false">S19*(1-Inputs!$B$23)+S18</f>
        <v>759.640839204603</v>
      </c>
      <c r="T21" s="119" t="n">
        <f aca="false">T19*(1-Inputs!$B$23)+T18</f>
        <v>798.778797244373</v>
      </c>
      <c r="U21" s="119" t="n">
        <f aca="false">U19*(1-Inputs!$B$23)+U18</f>
        <v>835.959857382154</v>
      </c>
      <c r="V21" s="119" t="n">
        <f aca="false">V19*(1-Inputs!$B$23)+V18</f>
        <v>871.281864513047</v>
      </c>
      <c r="W21" s="119" t="n">
        <f aca="false">W19*(1-Inputs!$B$23)+W18</f>
        <v>904.837771287394</v>
      </c>
      <c r="X21" s="119" t="n">
        <f aca="false">X19*(1-Inputs!$B$23)+X18</f>
        <v>936.715882723024</v>
      </c>
      <c r="Y21" s="119" t="n">
        <f aca="false">Y19*(1-Inputs!$B$23)+Y18</f>
        <v>967.000088586873</v>
      </c>
      <c r="Z21" s="119" t="n">
        <f aca="false">Z19*(1-Inputs!$B$23)+Z18</f>
        <v>986.49008415753</v>
      </c>
      <c r="AA21" s="119" t="n">
        <f aca="false">AA19*(1-Inputs!$B$23)+AA18</f>
        <v>1005.00557994965</v>
      </c>
      <c r="AB21" s="119" t="n">
        <f aca="false">AB19*(1-Inputs!$B$23)+AB18</f>
        <v>1022.59530095217</v>
      </c>
      <c r="AC21" s="119" t="n">
        <f aca="false">AC19*(1-Inputs!$B$23)+AC18</f>
        <v>1048.58553590456</v>
      </c>
      <c r="AD21" s="119" t="n">
        <f aca="false">AD19*(1-Inputs!$B$23)+AD18</f>
        <v>1073.27625910933</v>
      </c>
      <c r="AE21" s="119" t="n">
        <f aca="false">AE19*(1-Inputs!$B$23)+AE18</f>
        <v>1096.73244615387</v>
      </c>
      <c r="AF21" s="119" t="n">
        <f aca="false">AF19*(1-Inputs!$B$23)+AF18</f>
        <v>1119.01582384617</v>
      </c>
      <c r="AG21" s="119" t="n">
        <f aca="false">AG19*(1-Inputs!$B$23)+AG18</f>
        <v>1140.18503265386</v>
      </c>
      <c r="AH21" s="119" t="n">
        <f aca="false">AH19*(1-Inputs!$B$23)+AH18</f>
        <v>1160.29578102117</v>
      </c>
      <c r="AI21" s="119" t="n">
        <f aca="false">AI19*(1-Inputs!$B$23)+AI18</f>
        <v>1179.40099197011</v>
      </c>
      <c r="AJ21" s="119" t="n">
        <f aca="false">AJ19*(1-Inputs!$B$23)+AJ18</f>
        <v>1197.55094237161</v>
      </c>
      <c r="AK21" s="119" t="n">
        <f aca="false">AK19*(1-Inputs!$B$23)+AK18</f>
        <v>1214.79339525303</v>
      </c>
      <c r="AL21" s="119" t="n">
        <f aca="false">AL19*(1-Inputs!$B$23)+AL18</f>
        <v>1221.89372549038</v>
      </c>
    </row>
    <row r="22" customFormat="false" ht="15" hidden="false" customHeight="false" outlineLevel="0" collapsed="false">
      <c r="A22" s="6" t="s">
        <v>401</v>
      </c>
      <c r="C22" s="117" t="n">
        <f aca="false">(C19+C21)/2</f>
        <v>158.122</v>
      </c>
      <c r="D22" s="117" t="n">
        <f aca="false">(D19+D21)/2</f>
        <v>175.797233333333</v>
      </c>
      <c r="E22" s="117" t="n">
        <f aca="false">(E19+E21)/2</f>
        <v>198.390038333333</v>
      </c>
      <c r="F22" s="117" t="n">
        <f aca="false">(F19+F21)/2</f>
        <v>225.90586975</v>
      </c>
      <c r="G22" s="117" t="n">
        <f aca="false">(G19+G21)/2</f>
        <v>256.223242929167</v>
      </c>
      <c r="H22" s="117" t="n">
        <f aca="false">(H19+H21)/2</f>
        <v>289.202080782708</v>
      </c>
      <c r="I22" s="117" t="n">
        <f aca="false">(I19+I21)/2</f>
        <v>324.709310076906</v>
      </c>
      <c r="J22" s="117" t="n">
        <f aca="false">(J19+J21)/2</f>
        <v>362.618511239727</v>
      </c>
      <c r="K22" s="117" t="n">
        <f aca="false">(K19+K21)/2</f>
        <v>402.809585677741</v>
      </c>
      <c r="L22" s="117" t="n">
        <f aca="false">(L19+L21)/2</f>
        <v>445.168439727187</v>
      </c>
      <c r="M22" s="117" t="n">
        <f aca="false">(M19+M21)/2</f>
        <v>489.586684407495</v>
      </c>
      <c r="N22" s="117" t="n">
        <f aca="false">(N19+N21)/2</f>
        <v>531.572683520453</v>
      </c>
      <c r="O22" s="117" t="n">
        <f aca="false">(O19+O21)/2</f>
        <v>570.996716011097</v>
      </c>
      <c r="P22" s="117" t="n">
        <f aca="false">(P19+P21)/2</f>
        <v>610.286880210542</v>
      </c>
      <c r="Q22" s="117" t="n">
        <f aca="false">(Q19+Q21)/2</f>
        <v>652.252536200015</v>
      </c>
      <c r="R22" s="117" t="n">
        <f aca="false">(R19+R21)/2</f>
        <v>696.759909390015</v>
      </c>
      <c r="S22" s="117" t="n">
        <f aca="false">(S19+S21)/2</f>
        <v>739.041913920514</v>
      </c>
      <c r="T22" s="117" t="n">
        <f aca="false">(T19+T21)/2</f>
        <v>779.209818224488</v>
      </c>
      <c r="U22" s="117" t="n">
        <f aca="false">(U19+U21)/2</f>
        <v>817.369327313264</v>
      </c>
      <c r="V22" s="117" t="n">
        <f aca="false">(V19+V21)/2</f>
        <v>853.620860947601</v>
      </c>
      <c r="W22" s="117" t="n">
        <f aca="false">(W19+W21)/2</f>
        <v>888.05981790022</v>
      </c>
      <c r="X22" s="117" t="n">
        <f aca="false">(X19+X21)/2</f>
        <v>920.776827005209</v>
      </c>
      <c r="Y22" s="117" t="n">
        <f aca="false">(Y19+Y21)/2</f>
        <v>951.857985654949</v>
      </c>
      <c r="Z22" s="117" t="n">
        <f aca="false">(Z19+Z21)/2</f>
        <v>976.745086372201</v>
      </c>
      <c r="AA22" s="117" t="n">
        <f aca="false">(AA19+AA21)/2</f>
        <v>995.747832053591</v>
      </c>
      <c r="AB22" s="117" t="n">
        <f aca="false">(AB19+AB21)/2</f>
        <v>1013.80044045091</v>
      </c>
      <c r="AC22" s="117" t="n">
        <f aca="false">(AC19+AC21)/2</f>
        <v>1035.59041842837</v>
      </c>
      <c r="AD22" s="117" t="n">
        <f aca="false">(AD19+AD21)/2</f>
        <v>1060.93089750695</v>
      </c>
      <c r="AE22" s="117" t="n">
        <f aca="false">(AE19+AE21)/2</f>
        <v>1085.0043526316</v>
      </c>
      <c r="AF22" s="117" t="n">
        <f aca="false">(AF19+AF21)/2</f>
        <v>1107.87413500002</v>
      </c>
      <c r="AG22" s="117" t="n">
        <f aca="false">(AG19+AG21)/2</f>
        <v>1129.60042825002</v>
      </c>
      <c r="AH22" s="117" t="n">
        <f aca="false">(AH19+AH21)/2</f>
        <v>1150.24040683752</v>
      </c>
      <c r="AI22" s="117" t="n">
        <f aca="false">(AI19+AI21)/2</f>
        <v>1169.84838649564</v>
      </c>
      <c r="AJ22" s="117" t="n">
        <f aca="false">(AJ19+AJ21)/2</f>
        <v>1188.47596717086</v>
      </c>
      <c r="AK22" s="117" t="n">
        <f aca="false">(AK19+AK21)/2</f>
        <v>1206.17216881232</v>
      </c>
      <c r="AL22" s="117" t="n">
        <f aca="false">(AL19+AL21)/2</f>
        <v>1218.3435603717</v>
      </c>
    </row>
    <row r="24" customFormat="false" ht="15.75" hidden="false" customHeight="true" outlineLevel="0" collapsed="false">
      <c r="A24" s="7" t="s">
        <v>402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403</v>
      </c>
      <c r="C25" s="118" t="n">
        <f aca="false">C22*Inputs!$B$24*C12*1</f>
        <v>480.69088</v>
      </c>
      <c r="D25" s="118" t="n">
        <f aca="false">D22*Inputs!$B$24*D12*1</f>
        <v>534.423589333333</v>
      </c>
      <c r="E25" s="118" t="n">
        <f aca="false">E22*Inputs!$B$24*E12*1</f>
        <v>804.140955377778</v>
      </c>
      <c r="F25" s="118" t="n">
        <f aca="false">F22*Inputs!$B$24*F12*1</f>
        <v>915.671792053333</v>
      </c>
      <c r="G25" s="118" t="n">
        <f aca="false">G22*Inputs!$B$24*G12*1</f>
        <v>1038.55821133956</v>
      </c>
      <c r="H25" s="118" t="n">
        <f aca="false">H22*Inputs!$B$24*H12*1</f>
        <v>1172.23243410591</v>
      </c>
      <c r="I25" s="118" t="n">
        <f aca="false">I22*Inputs!$B$24*I12*1</f>
        <v>1316.15507017839</v>
      </c>
      <c r="J25" s="118" t="n">
        <f aca="false">J22*Inputs!$B$24*J12*1</f>
        <v>1469.8136988917</v>
      </c>
      <c r="K25" s="118" t="n">
        <f aca="false">K22*Inputs!$B$24*K12*1</f>
        <v>1632.72152061378</v>
      </c>
      <c r="L25" s="118" t="n">
        <f aca="false">L22*Inputs!$B$24*L12*1</f>
        <v>1804.4160756942</v>
      </c>
      <c r="M25" s="118" t="n">
        <f aca="false">M22*Inputs!$B$24*M12*1</f>
        <v>1984.45802746504</v>
      </c>
      <c r="N25" s="118" t="n">
        <f aca="false">N22*Inputs!$B$24*N12*1</f>
        <v>1615.98095790218</v>
      </c>
      <c r="O25" s="118" t="n">
        <f aca="false">O22*Inputs!$B$24*O12*1</f>
        <v>1735.83001667374</v>
      </c>
      <c r="P25" s="118" t="n">
        <f aca="false">P22*Inputs!$B$24*P12*1</f>
        <v>1855.27211584005</v>
      </c>
      <c r="Q25" s="118" t="n">
        <f aca="false">Q22*Inputs!$B$24*Q12*1</f>
        <v>2643.79694673073</v>
      </c>
      <c r="R25" s="118" t="n">
        <f aca="false">R22*Inputs!$B$24*R12*1</f>
        <v>2824.20016606086</v>
      </c>
      <c r="S25" s="118" t="n">
        <f aca="false">S22*Inputs!$B$24*S12*1</f>
        <v>2995.58322442448</v>
      </c>
      <c r="T25" s="118" t="n">
        <f aca="false">T22*Inputs!$B$24*T12*1</f>
        <v>3158.39712986993</v>
      </c>
      <c r="U25" s="118" t="n">
        <f aca="false">U22*Inputs!$B$24*U12*1</f>
        <v>3313.0703400431</v>
      </c>
      <c r="V25" s="118" t="n">
        <f aca="false">V22*Inputs!$B$24*V12*1</f>
        <v>3460.00988970761</v>
      </c>
      <c r="W25" s="118" t="n">
        <f aca="false">W22*Inputs!$B$24*W12*1</f>
        <v>3599.60246188889</v>
      </c>
      <c r="X25" s="118" t="n">
        <f aca="false">X22*Inputs!$B$24*X12*1</f>
        <v>3732.21540546111</v>
      </c>
      <c r="Y25" s="118" t="n">
        <f aca="false">Y22*Inputs!$B$24*Y12*1</f>
        <v>3858.19770185473</v>
      </c>
      <c r="Z25" s="118" t="n">
        <f aca="false">Z22*Inputs!$B$24*Z12*1</f>
        <v>2969.30506257149</v>
      </c>
      <c r="AA25" s="118" t="n">
        <f aca="false">AA22*Inputs!$B$24*AA12*1</f>
        <v>3027.07340944292</v>
      </c>
      <c r="AB25" s="118" t="n">
        <f aca="false">AB22*Inputs!$B$24*AB12*1</f>
        <v>3081.95333897077</v>
      </c>
      <c r="AC25" s="118" t="n">
        <f aca="false">AC22*Inputs!$B$24*AC12*1</f>
        <v>4197.59316269631</v>
      </c>
      <c r="AD25" s="118" t="n">
        <f aca="false">AD22*Inputs!$B$24*AD12*1</f>
        <v>4300.30657122816</v>
      </c>
      <c r="AE25" s="118" t="n">
        <f aca="false">AE22*Inputs!$B$24*AE12*1</f>
        <v>4397.88430933342</v>
      </c>
      <c r="AF25" s="118" t="n">
        <f aca="false">AF22*Inputs!$B$24*AF12*1</f>
        <v>4490.58316053342</v>
      </c>
      <c r="AG25" s="118" t="n">
        <f aca="false">AG22*Inputs!$B$24*AG12*1</f>
        <v>4578.64706917341</v>
      </c>
      <c r="AH25" s="118" t="n">
        <f aca="false">AH22*Inputs!$B$24*AH12*1</f>
        <v>4662.30778238141</v>
      </c>
      <c r="AI25" s="118" t="n">
        <f aca="false">AI22*Inputs!$B$24*AI12*1</f>
        <v>4741.785459929</v>
      </c>
      <c r="AJ25" s="118" t="n">
        <f aca="false">AJ22*Inputs!$B$24*AJ12*1</f>
        <v>4817.28925359922</v>
      </c>
      <c r="AK25" s="118" t="n">
        <f aca="false">AK22*Inputs!$B$24*AK12*1</f>
        <v>4889.01785758592</v>
      </c>
      <c r="AL25" s="118" t="n">
        <f aca="false">AL22*Inputs!$B$24*AL12*1</f>
        <v>3703.76442352997</v>
      </c>
    </row>
    <row r="26" customFormat="false" ht="15" hidden="false" customHeight="false" outlineLevel="0" collapsed="false">
      <c r="A26" s="6" t="s">
        <v>404</v>
      </c>
      <c r="C26" s="118" t="n">
        <f aca="false">Inputs!$B$14*Inputs!$B$15*Inputs!$B$16*Inputs!$B$8*1</f>
        <v>24563</v>
      </c>
      <c r="D26" s="118" t="n">
        <f aca="false">Inputs!$B$14*Inputs!$B$15*Inputs!$B$16*Inputs!$B$8*1</f>
        <v>24563</v>
      </c>
      <c r="E26" s="118" t="n">
        <f aca="false">Inputs!$B$14*Inputs!$B$15*Inputs!$B$16*Inputs!$B$8*1</f>
        <v>24563</v>
      </c>
      <c r="F26" s="118" t="n">
        <f aca="false">Inputs!$B$14*Inputs!$B$15*Inputs!$B$16*Inputs!$B$8*1</f>
        <v>24563</v>
      </c>
      <c r="G26" s="118" t="n">
        <f aca="false">Inputs!$B$14*Inputs!$B$15*Inputs!$B$16*Inputs!$B$8*1</f>
        <v>24563</v>
      </c>
      <c r="H26" s="118" t="n">
        <f aca="false">Inputs!$B$14*Inputs!$B$15*Inputs!$B$16*Inputs!$B$8*1</f>
        <v>24563</v>
      </c>
      <c r="I26" s="118" t="n">
        <f aca="false">Inputs!$B$14*Inputs!$B$15*Inputs!$B$16*Inputs!$B$8*1</f>
        <v>24563</v>
      </c>
      <c r="J26" s="118" t="n">
        <f aca="false">Inputs!$B$14*Inputs!$B$15*Inputs!$B$16*Inputs!$B$8*1</f>
        <v>24563</v>
      </c>
      <c r="K26" s="118" t="n">
        <f aca="false">Inputs!$B$14*Inputs!$B$15*Inputs!$B$16*Inputs!$B$8*1</f>
        <v>24563</v>
      </c>
      <c r="L26" s="118" t="n">
        <f aca="false">Inputs!$B$14*Inputs!$B$15*Inputs!$B$16*Inputs!$B$8*1</f>
        <v>24563</v>
      </c>
      <c r="M26" s="118" t="n">
        <f aca="false">Inputs!$B$14*Inputs!$B$15*Inputs!$B$16*Inputs!$B$8*1</f>
        <v>24563</v>
      </c>
      <c r="N26" s="118" t="n">
        <f aca="false">Inputs!$B$14*Inputs!$B$15*Inputs!$B$16*Inputs!$B$8*1</f>
        <v>24563</v>
      </c>
      <c r="O26" s="118" t="n">
        <f aca="false">Inputs!$B$14*Inputs!$B$15*Inputs!$B$16*Inputs!$B$8*1</f>
        <v>24563</v>
      </c>
      <c r="P26" s="118" t="n">
        <f aca="false">Inputs!$B$14*Inputs!$B$15*Inputs!$B$16*Inputs!$B$8*1</f>
        <v>24563</v>
      </c>
      <c r="Q26" s="118" t="n">
        <f aca="false">Inputs!$B$14*Inputs!$B$15*Inputs!$B$16*Inputs!$B$8*1</f>
        <v>24563</v>
      </c>
      <c r="R26" s="118" t="n">
        <f aca="false">Inputs!$B$14*Inputs!$B$15*Inputs!$B$16*Inputs!$B$8*1</f>
        <v>24563</v>
      </c>
      <c r="S26" s="118" t="n">
        <f aca="false">Inputs!$B$14*Inputs!$B$15*Inputs!$B$16*Inputs!$B$8*1</f>
        <v>24563</v>
      </c>
      <c r="T26" s="118" t="n">
        <f aca="false">Inputs!$B$14*Inputs!$B$15*Inputs!$B$16*Inputs!$B$8*1</f>
        <v>24563</v>
      </c>
      <c r="U26" s="118" t="n">
        <f aca="false">Inputs!$B$14*Inputs!$B$15*Inputs!$B$16*Inputs!$B$8*1</f>
        <v>24563</v>
      </c>
      <c r="V26" s="118" t="n">
        <f aca="false">Inputs!$B$14*Inputs!$B$15*Inputs!$B$16*Inputs!$B$8*1</f>
        <v>24563</v>
      </c>
      <c r="W26" s="118" t="n">
        <f aca="false">Inputs!$B$14*Inputs!$B$15*Inputs!$B$16*Inputs!$B$8*1</f>
        <v>24563</v>
      </c>
      <c r="X26" s="118" t="n">
        <f aca="false">Inputs!$B$14*Inputs!$B$15*Inputs!$B$16*Inputs!$B$8*1</f>
        <v>24563</v>
      </c>
      <c r="Y26" s="118" t="n">
        <f aca="false">Inputs!$B$14*Inputs!$B$15*Inputs!$B$16*Inputs!$B$8*1</f>
        <v>24563</v>
      </c>
      <c r="Z26" s="118" t="n">
        <f aca="false">Inputs!$B$14*Inputs!$B$15*Inputs!$B$16*Inputs!$B$8*1</f>
        <v>24563</v>
      </c>
      <c r="AA26" s="118" t="n">
        <f aca="false">Inputs!$B$14*Inputs!$B$15*Inputs!$B$16*Inputs!$B$8*1</f>
        <v>24563</v>
      </c>
      <c r="AB26" s="118" t="n">
        <f aca="false">Inputs!$B$14*Inputs!$B$15*Inputs!$B$16*Inputs!$B$8*1</f>
        <v>24563</v>
      </c>
      <c r="AC26" s="118" t="n">
        <f aca="false">Inputs!$B$14*Inputs!$B$15*Inputs!$B$16*Inputs!$B$8*1</f>
        <v>24563</v>
      </c>
      <c r="AD26" s="118" t="n">
        <f aca="false">Inputs!$B$14*Inputs!$B$15*Inputs!$B$16*Inputs!$B$8*1</f>
        <v>24563</v>
      </c>
      <c r="AE26" s="118" t="n">
        <f aca="false">Inputs!$B$14*Inputs!$B$15*Inputs!$B$16*Inputs!$B$8*1</f>
        <v>24563</v>
      </c>
      <c r="AF26" s="118" t="n">
        <f aca="false">Inputs!$B$14*Inputs!$B$15*Inputs!$B$16*Inputs!$B$8*1</f>
        <v>24563</v>
      </c>
      <c r="AG26" s="118" t="n">
        <f aca="false">Inputs!$B$14*Inputs!$B$15*Inputs!$B$16*Inputs!$B$8*1</f>
        <v>24563</v>
      </c>
      <c r="AH26" s="118" t="n">
        <f aca="false">Inputs!$B$14*Inputs!$B$15*Inputs!$B$16*Inputs!$B$8*1</f>
        <v>24563</v>
      </c>
      <c r="AI26" s="118" t="n">
        <f aca="false">Inputs!$B$14*Inputs!$B$15*Inputs!$B$16*Inputs!$B$8*1</f>
        <v>24563</v>
      </c>
      <c r="AJ26" s="118" t="n">
        <f aca="false">Inputs!$B$14*Inputs!$B$15*Inputs!$B$16*Inputs!$B$8*1</f>
        <v>24563</v>
      </c>
      <c r="AK26" s="118" t="n">
        <f aca="false">Inputs!$B$14*Inputs!$B$15*Inputs!$B$16*Inputs!$B$8*1</f>
        <v>24563</v>
      </c>
      <c r="AL26" s="118" t="n">
        <f aca="false">Inputs!$B$14*Inputs!$B$15*Inputs!$B$16*Inputs!$B$8*1</f>
        <v>24563</v>
      </c>
    </row>
    <row r="27" customFormat="false" ht="15" hidden="false" customHeight="false" outlineLevel="0" collapsed="false">
      <c r="A27" s="39" t="s">
        <v>405</v>
      </c>
      <c r="C27" s="76" t="n">
        <f aca="false">MIN(1,C26/MAX(1,C13+C25))</f>
        <v>1</v>
      </c>
      <c r="D27" s="76" t="n">
        <f aca="false">MIN(1,D26/MAX(1,D13+D25))</f>
        <v>1</v>
      </c>
      <c r="E27" s="76" t="n">
        <f aca="false">MIN(1,E26/MAX(1,E13+E25))</f>
        <v>1</v>
      </c>
      <c r="F27" s="76" t="n">
        <f aca="false">MIN(1,F26/MAX(1,F13+F25))</f>
        <v>1</v>
      </c>
      <c r="G27" s="76" t="n">
        <f aca="false">MIN(1,G26/MAX(1,G13+G25))</f>
        <v>1</v>
      </c>
      <c r="H27" s="76" t="n">
        <f aca="false">MIN(1,H26/MAX(1,H13+H25))</f>
        <v>1</v>
      </c>
      <c r="I27" s="76" t="n">
        <f aca="false">MIN(1,I26/MAX(1,I13+I25))</f>
        <v>1</v>
      </c>
      <c r="J27" s="76" t="n">
        <f aca="false">MIN(1,J26/MAX(1,J13+J25))</f>
        <v>1</v>
      </c>
      <c r="K27" s="76" t="n">
        <f aca="false">MIN(1,K26/MAX(1,K13+K25))</f>
        <v>1</v>
      </c>
      <c r="L27" s="76" t="n">
        <f aca="false">MIN(1,L26/MAX(1,L13+L25))</f>
        <v>1</v>
      </c>
      <c r="M27" s="76" t="n">
        <f aca="false">MIN(1,M26/MAX(1,M13+M25))</f>
        <v>1</v>
      </c>
      <c r="N27" s="76" t="n">
        <f aca="false">MIN(1,N26/MAX(1,N13+N25))</f>
        <v>1</v>
      </c>
      <c r="O27" s="76" t="n">
        <f aca="false">MIN(1,O26/MAX(1,O13+O25))</f>
        <v>1</v>
      </c>
      <c r="P27" s="76" t="n">
        <f aca="false">MIN(1,P26/MAX(1,P13+P25))</f>
        <v>1</v>
      </c>
      <c r="Q27" s="76" t="n">
        <f aca="false">MIN(1,Q26/MAX(1,Q13+Q25))</f>
        <v>1</v>
      </c>
      <c r="R27" s="76" t="n">
        <f aca="false">MIN(1,R26/MAX(1,R13+R25))</f>
        <v>1</v>
      </c>
      <c r="S27" s="76" t="n">
        <f aca="false">MIN(1,S26/MAX(1,S13+S25))</f>
        <v>1</v>
      </c>
      <c r="T27" s="76" t="n">
        <f aca="false">MIN(1,T26/MAX(1,T13+T25))</f>
        <v>1</v>
      </c>
      <c r="U27" s="76" t="n">
        <f aca="false">MIN(1,U26/MAX(1,U13+U25))</f>
        <v>1</v>
      </c>
      <c r="V27" s="76" t="n">
        <f aca="false">MIN(1,V26/MAX(1,V13+V25))</f>
        <v>1</v>
      </c>
      <c r="W27" s="76" t="n">
        <f aca="false">MIN(1,W26/MAX(1,W13+W25))</f>
        <v>1</v>
      </c>
      <c r="X27" s="76" t="n">
        <f aca="false">MIN(1,X26/MAX(1,X13+X25))</f>
        <v>1</v>
      </c>
      <c r="Y27" s="76" t="n">
        <f aca="false">MIN(1,Y26/MAX(1,Y13+Y25))</f>
        <v>1</v>
      </c>
      <c r="Z27" s="76" t="n">
        <f aca="false">MIN(1,Z26/MAX(1,Z13+Z25))</f>
        <v>1</v>
      </c>
      <c r="AA27" s="76" t="n">
        <f aca="false">MIN(1,AA26/MAX(1,AA13+AA25))</f>
        <v>1</v>
      </c>
      <c r="AB27" s="76" t="n">
        <f aca="false">MIN(1,AB26/MAX(1,AB13+AB25))</f>
        <v>1</v>
      </c>
      <c r="AC27" s="76" t="n">
        <f aca="false">MIN(1,AC26/MAX(1,AC13+AC25))</f>
        <v>1</v>
      </c>
      <c r="AD27" s="76" t="n">
        <f aca="false">MIN(1,AD26/MAX(1,AD13+AD25))</f>
        <v>1</v>
      </c>
      <c r="AE27" s="76" t="n">
        <f aca="false">MIN(1,AE26/MAX(1,AE13+AE25))</f>
        <v>1</v>
      </c>
      <c r="AF27" s="76" t="n">
        <f aca="false">MIN(1,AF26/MAX(1,AF13+AF25))</f>
        <v>1</v>
      </c>
      <c r="AG27" s="76" t="n">
        <f aca="false">MIN(1,AG26/MAX(1,AG13+AG25))</f>
        <v>1</v>
      </c>
      <c r="AH27" s="76" t="n">
        <f aca="false">MIN(1,AH26/MAX(1,AH13+AH25))</f>
        <v>1</v>
      </c>
      <c r="AI27" s="76" t="n">
        <f aca="false">MIN(1,AI26/MAX(1,AI13+AI25))</f>
        <v>1</v>
      </c>
      <c r="AJ27" s="76" t="n">
        <f aca="false">MIN(1,AJ26/MAX(1,AJ13+AJ25))</f>
        <v>1</v>
      </c>
      <c r="AK27" s="76" t="n">
        <f aca="false">MIN(1,AK26/MAX(1,AK13+AK25))</f>
        <v>1</v>
      </c>
      <c r="AL27" s="76" t="n">
        <f aca="false">MIN(1,AL26/MAX(1,AL13+AL25))</f>
        <v>1</v>
      </c>
    </row>
    <row r="28" customFormat="false" ht="15" hidden="false" customHeight="false" outlineLevel="0" collapsed="false">
      <c r="A28" s="6" t="s">
        <v>236</v>
      </c>
      <c r="C28" s="118" t="n">
        <f aca="false">C13*C27</f>
        <v>1624</v>
      </c>
      <c r="D28" s="118" t="n">
        <f aca="false">D13*D27</f>
        <v>1875.33333333333</v>
      </c>
      <c r="E28" s="118" t="n">
        <f aca="false">E13*E27</f>
        <v>2835.55555555556</v>
      </c>
      <c r="F28" s="118" t="n">
        <f aca="false">F13*F27</f>
        <v>3170.66666666667</v>
      </c>
      <c r="G28" s="118" t="n">
        <f aca="false">G13*G27</f>
        <v>3505.77777777778</v>
      </c>
      <c r="H28" s="118" t="n">
        <f aca="false">H13*H27</f>
        <v>3840.88888888889</v>
      </c>
      <c r="I28" s="118" t="n">
        <f aca="false">I13*I27</f>
        <v>4176</v>
      </c>
      <c r="J28" s="118" t="n">
        <f aca="false">J13*J27</f>
        <v>4511.11111111111</v>
      </c>
      <c r="K28" s="118" t="n">
        <f aca="false">K13*K27</f>
        <v>4846.22222222222</v>
      </c>
      <c r="L28" s="118" t="n">
        <f aca="false">L13*L27</f>
        <v>5181.33333333333</v>
      </c>
      <c r="M28" s="118" t="n">
        <f aca="false">M13*M27</f>
        <v>5516.44444444444</v>
      </c>
      <c r="N28" s="118" t="n">
        <f aca="false">N13*N27</f>
        <v>4388.66666666667</v>
      </c>
      <c r="O28" s="118" t="n">
        <f aca="false">O13*O27</f>
        <v>4640</v>
      </c>
      <c r="P28" s="118" t="n">
        <f aca="false">P13*P27</f>
        <v>4640</v>
      </c>
      <c r="Q28" s="118" t="n">
        <f aca="false">Q13*Q27</f>
        <v>6186.66666666667</v>
      </c>
      <c r="R28" s="118" t="n">
        <f aca="false">R13*R27</f>
        <v>6186.66666666667</v>
      </c>
      <c r="S28" s="118" t="n">
        <f aca="false">S13*S27</f>
        <v>6186.66666666667</v>
      </c>
      <c r="T28" s="118" t="n">
        <f aca="false">T13*T27</f>
        <v>6186.66666666667</v>
      </c>
      <c r="U28" s="118" t="n">
        <f aca="false">U13*U27</f>
        <v>6186.66666666667</v>
      </c>
      <c r="V28" s="118" t="n">
        <f aca="false">V13*V27</f>
        <v>6186.66666666667</v>
      </c>
      <c r="W28" s="118" t="n">
        <f aca="false">W13*W27</f>
        <v>6186.66666666667</v>
      </c>
      <c r="X28" s="118" t="n">
        <f aca="false">X13*X27</f>
        <v>6186.66666666667</v>
      </c>
      <c r="Y28" s="118" t="n">
        <f aca="false">Y13*Y27</f>
        <v>6186.66666666667</v>
      </c>
      <c r="Z28" s="118" t="n">
        <f aca="false">Z13*Z27</f>
        <v>4640</v>
      </c>
      <c r="AA28" s="118" t="n">
        <f aca="false">AA13*AA27</f>
        <v>4640</v>
      </c>
      <c r="AB28" s="118" t="n">
        <f aca="false">AB13*AB27</f>
        <v>4640</v>
      </c>
      <c r="AC28" s="118" t="n">
        <f aca="false">AC13*AC27</f>
        <v>6186.66666666667</v>
      </c>
      <c r="AD28" s="118" t="n">
        <f aca="false">AD13*AD27</f>
        <v>6186.66666666667</v>
      </c>
      <c r="AE28" s="118" t="n">
        <f aca="false">AE13*AE27</f>
        <v>6186.66666666667</v>
      </c>
      <c r="AF28" s="118" t="n">
        <f aca="false">AF13*AF27</f>
        <v>6186.66666666667</v>
      </c>
      <c r="AG28" s="118" t="n">
        <f aca="false">AG13*AG27</f>
        <v>6186.66666666667</v>
      </c>
      <c r="AH28" s="118" t="n">
        <f aca="false">AH13*AH27</f>
        <v>6186.66666666667</v>
      </c>
      <c r="AI28" s="118" t="n">
        <f aca="false">AI13*AI27</f>
        <v>6186.66666666667</v>
      </c>
      <c r="AJ28" s="118" t="n">
        <f aca="false">AJ13*AJ27</f>
        <v>6186.66666666667</v>
      </c>
      <c r="AK28" s="118" t="n">
        <f aca="false">AK13*AK27</f>
        <v>6186.66666666667</v>
      </c>
      <c r="AL28" s="118" t="n">
        <f aca="false">AL13*AL27</f>
        <v>4640</v>
      </c>
    </row>
    <row r="29" customFormat="false" ht="15" hidden="false" customHeight="false" outlineLevel="0" collapsed="false">
      <c r="A29" s="6" t="s">
        <v>237</v>
      </c>
      <c r="C29" s="118" t="n">
        <f aca="false">C25*C27</f>
        <v>480.69088</v>
      </c>
      <c r="D29" s="118" t="n">
        <f aca="false">D25*D27</f>
        <v>534.423589333333</v>
      </c>
      <c r="E29" s="118" t="n">
        <f aca="false">E25*E27</f>
        <v>804.140955377778</v>
      </c>
      <c r="F29" s="118" t="n">
        <f aca="false">F25*F27</f>
        <v>915.671792053333</v>
      </c>
      <c r="G29" s="118" t="n">
        <f aca="false">G25*G27</f>
        <v>1038.55821133956</v>
      </c>
      <c r="H29" s="118" t="n">
        <f aca="false">H25*H27</f>
        <v>1172.23243410591</v>
      </c>
      <c r="I29" s="118" t="n">
        <f aca="false">I25*I27</f>
        <v>1316.15507017839</v>
      </c>
      <c r="J29" s="118" t="n">
        <f aca="false">J25*J27</f>
        <v>1469.8136988917</v>
      </c>
      <c r="K29" s="118" t="n">
        <f aca="false">K25*K27</f>
        <v>1632.72152061378</v>
      </c>
      <c r="L29" s="118" t="n">
        <f aca="false">L25*L27</f>
        <v>1804.4160756942</v>
      </c>
      <c r="M29" s="118" t="n">
        <f aca="false">M25*M27</f>
        <v>1984.45802746504</v>
      </c>
      <c r="N29" s="118" t="n">
        <f aca="false">N25*N27</f>
        <v>1615.98095790218</v>
      </c>
      <c r="O29" s="118" t="n">
        <f aca="false">O25*O27</f>
        <v>1735.83001667374</v>
      </c>
      <c r="P29" s="118" t="n">
        <f aca="false">P25*P27</f>
        <v>1855.27211584005</v>
      </c>
      <c r="Q29" s="118" t="n">
        <f aca="false">Q25*Q27</f>
        <v>2643.79694673073</v>
      </c>
      <c r="R29" s="118" t="n">
        <f aca="false">R25*R27</f>
        <v>2824.20016606086</v>
      </c>
      <c r="S29" s="118" t="n">
        <f aca="false">S25*S27</f>
        <v>2995.58322442448</v>
      </c>
      <c r="T29" s="118" t="n">
        <f aca="false">T25*T27</f>
        <v>3158.39712986993</v>
      </c>
      <c r="U29" s="118" t="n">
        <f aca="false">U25*U27</f>
        <v>3313.0703400431</v>
      </c>
      <c r="V29" s="118" t="n">
        <f aca="false">V25*V27</f>
        <v>3460.00988970761</v>
      </c>
      <c r="W29" s="118" t="n">
        <f aca="false">W25*W27</f>
        <v>3599.60246188889</v>
      </c>
      <c r="X29" s="118" t="n">
        <f aca="false">X25*X27</f>
        <v>3732.21540546111</v>
      </c>
      <c r="Y29" s="118" t="n">
        <f aca="false">Y25*Y27</f>
        <v>3858.19770185473</v>
      </c>
      <c r="Z29" s="118" t="n">
        <f aca="false">Z25*Z27</f>
        <v>2969.30506257149</v>
      </c>
      <c r="AA29" s="118" t="n">
        <f aca="false">AA25*AA27</f>
        <v>3027.07340944292</v>
      </c>
      <c r="AB29" s="118" t="n">
        <f aca="false">AB25*AB27</f>
        <v>3081.95333897077</v>
      </c>
      <c r="AC29" s="118" t="n">
        <f aca="false">AC25*AC27</f>
        <v>4197.59316269631</v>
      </c>
      <c r="AD29" s="118" t="n">
        <f aca="false">AD25*AD27</f>
        <v>4300.30657122816</v>
      </c>
      <c r="AE29" s="118" t="n">
        <f aca="false">AE25*AE27</f>
        <v>4397.88430933342</v>
      </c>
      <c r="AF29" s="118" t="n">
        <f aca="false">AF25*AF27</f>
        <v>4490.58316053342</v>
      </c>
      <c r="AG29" s="118" t="n">
        <f aca="false">AG25*AG27</f>
        <v>4578.64706917341</v>
      </c>
      <c r="AH29" s="118" t="n">
        <f aca="false">AH25*AH27</f>
        <v>4662.30778238141</v>
      </c>
      <c r="AI29" s="118" t="n">
        <f aca="false">AI25*AI27</f>
        <v>4741.785459929</v>
      </c>
      <c r="AJ29" s="118" t="n">
        <f aca="false">AJ25*AJ27</f>
        <v>4817.28925359922</v>
      </c>
      <c r="AK29" s="118" t="n">
        <f aca="false">AK25*AK27</f>
        <v>4889.01785758592</v>
      </c>
      <c r="AL29" s="118" t="n">
        <f aca="false">AL25*AL27</f>
        <v>3703.76442352997</v>
      </c>
    </row>
    <row r="30" customFormat="false" ht="15" hidden="false" customHeight="false" outlineLevel="0" collapsed="false">
      <c r="A30" s="4" t="s">
        <v>406</v>
      </c>
      <c r="C30" s="121" t="n">
        <f aca="false">C28+C29</f>
        <v>2104.69088</v>
      </c>
      <c r="D30" s="121" t="n">
        <f aca="false">D28+D29</f>
        <v>2409.75692266667</v>
      </c>
      <c r="E30" s="121" t="n">
        <f aca="false">E28+E29</f>
        <v>3639.69651093333</v>
      </c>
      <c r="F30" s="121" t="n">
        <f aca="false">F28+F29</f>
        <v>4086.33845872</v>
      </c>
      <c r="G30" s="121" t="n">
        <f aca="false">G28+G29</f>
        <v>4544.33598911733</v>
      </c>
      <c r="H30" s="121" t="n">
        <f aca="false">H28+H29</f>
        <v>5013.1213229948</v>
      </c>
      <c r="I30" s="121" t="n">
        <f aca="false">I28+I29</f>
        <v>5492.15507017839</v>
      </c>
      <c r="J30" s="121" t="n">
        <f aca="false">J28+J29</f>
        <v>5980.92481000281</v>
      </c>
      <c r="K30" s="121" t="n">
        <f aca="false">K28+K29</f>
        <v>6478.943742836</v>
      </c>
      <c r="L30" s="121" t="n">
        <f aca="false">L28+L29</f>
        <v>6985.74940902753</v>
      </c>
      <c r="M30" s="121" t="n">
        <f aca="false">M28+M29</f>
        <v>7500.90247190949</v>
      </c>
      <c r="N30" s="121" t="n">
        <f aca="false">N28+N29</f>
        <v>6004.64762456885</v>
      </c>
      <c r="O30" s="121" t="n">
        <f aca="false">O28+O29</f>
        <v>6375.83001667374</v>
      </c>
      <c r="P30" s="121" t="n">
        <f aca="false">P28+P29</f>
        <v>6495.27211584005</v>
      </c>
      <c r="Q30" s="121" t="n">
        <f aca="false">Q28+Q29</f>
        <v>8830.4636133974</v>
      </c>
      <c r="R30" s="121" t="n">
        <f aca="false">R28+R29</f>
        <v>9010.86683272753</v>
      </c>
      <c r="S30" s="121" t="n">
        <f aca="false">S28+S29</f>
        <v>9182.24989109115</v>
      </c>
      <c r="T30" s="121" t="n">
        <f aca="false">T28+T29</f>
        <v>9345.06379653659</v>
      </c>
      <c r="U30" s="121" t="n">
        <f aca="false">U28+U29</f>
        <v>9499.73700670976</v>
      </c>
      <c r="V30" s="121" t="n">
        <f aca="false">V28+V29</f>
        <v>9646.67655637427</v>
      </c>
      <c r="W30" s="121" t="n">
        <f aca="false">W28+W29</f>
        <v>9786.26912855556</v>
      </c>
      <c r="X30" s="121" t="n">
        <f aca="false">X28+X29</f>
        <v>9918.88207212778</v>
      </c>
      <c r="Y30" s="121" t="n">
        <f aca="false">Y28+Y29</f>
        <v>10044.8643685214</v>
      </c>
      <c r="Z30" s="121" t="n">
        <f aca="false">Z28+Z29</f>
        <v>7609.30506257149</v>
      </c>
      <c r="AA30" s="121" t="n">
        <f aca="false">AA28+AA29</f>
        <v>7667.07340944292</v>
      </c>
      <c r="AB30" s="121" t="n">
        <f aca="false">AB28+AB29</f>
        <v>7721.95333897077</v>
      </c>
      <c r="AC30" s="121" t="n">
        <f aca="false">AC28+AC29</f>
        <v>10384.259829363</v>
      </c>
      <c r="AD30" s="121" t="n">
        <f aca="false">AD28+AD29</f>
        <v>10486.9732378948</v>
      </c>
      <c r="AE30" s="121" t="n">
        <f aca="false">AE28+AE29</f>
        <v>10584.5509760001</v>
      </c>
      <c r="AF30" s="121" t="n">
        <f aca="false">AF28+AF29</f>
        <v>10677.2498272001</v>
      </c>
      <c r="AG30" s="121" t="n">
        <f aca="false">AG28+AG29</f>
        <v>10765.3137358401</v>
      </c>
      <c r="AH30" s="121" t="n">
        <f aca="false">AH28+AH29</f>
        <v>10848.9744490481</v>
      </c>
      <c r="AI30" s="121" t="n">
        <f aca="false">AI28+AI29</f>
        <v>10928.4521265957</v>
      </c>
      <c r="AJ30" s="121" t="n">
        <f aca="false">AJ28+AJ29</f>
        <v>11003.9559202659</v>
      </c>
      <c r="AK30" s="121" t="n">
        <f aca="false">AK28+AK29</f>
        <v>11075.6845242526</v>
      </c>
      <c r="AL30" s="121" t="n">
        <f aca="false">AL28+AL29</f>
        <v>8343.76442352997</v>
      </c>
    </row>
    <row r="31" customFormat="false" ht="15" hidden="false" customHeight="false" outlineLevel="0" collapsed="false">
      <c r="A31" s="6" t="s">
        <v>240</v>
      </c>
      <c r="C31" s="118" t="n">
        <f aca="false">C13+C25-C30</f>
        <v>0</v>
      </c>
      <c r="D31" s="118" t="n">
        <f aca="false">D13+D25-D30</f>
        <v>0</v>
      </c>
      <c r="E31" s="118" t="n">
        <f aca="false">E13+E25-E30</f>
        <v>0</v>
      </c>
      <c r="F31" s="118" t="n">
        <f aca="false">F13+F25-F30</f>
        <v>0</v>
      </c>
      <c r="G31" s="118" t="n">
        <f aca="false">G13+G25-G30</f>
        <v>0</v>
      </c>
      <c r="H31" s="118" t="n">
        <f aca="false">H13+H25-H30</f>
        <v>0</v>
      </c>
      <c r="I31" s="118" t="n">
        <f aca="false">I13+I25-I30</f>
        <v>0</v>
      </c>
      <c r="J31" s="118" t="n">
        <f aca="false">J13+J25-J30</f>
        <v>0</v>
      </c>
      <c r="K31" s="118" t="n">
        <f aca="false">K13+K25-K30</f>
        <v>0</v>
      </c>
      <c r="L31" s="118" t="n">
        <f aca="false">L13+L25-L30</f>
        <v>0</v>
      </c>
      <c r="M31" s="118" t="n">
        <f aca="false">M13+M25-M30</f>
        <v>0</v>
      </c>
      <c r="N31" s="118" t="n">
        <f aca="false">N13+N25-N30</f>
        <v>0</v>
      </c>
      <c r="O31" s="118" t="n">
        <f aca="false">O13+O25-O30</f>
        <v>0</v>
      </c>
      <c r="P31" s="118" t="n">
        <f aca="false">P13+P25-P30</f>
        <v>0</v>
      </c>
      <c r="Q31" s="118" t="n">
        <f aca="false">Q13+Q25-Q30</f>
        <v>0</v>
      </c>
      <c r="R31" s="118" t="n">
        <f aca="false">R13+R25-R30</f>
        <v>0</v>
      </c>
      <c r="S31" s="118" t="n">
        <f aca="false">S13+S25-S30</f>
        <v>0</v>
      </c>
      <c r="T31" s="118" t="n">
        <f aca="false">T13+T25-T30</f>
        <v>0</v>
      </c>
      <c r="U31" s="118" t="n">
        <f aca="false">U13+U25-U30</f>
        <v>0</v>
      </c>
      <c r="V31" s="118" t="n">
        <f aca="false">V13+V25-V30</f>
        <v>0</v>
      </c>
      <c r="W31" s="118" t="n">
        <f aca="false">W13+W25-W30</f>
        <v>0</v>
      </c>
      <c r="X31" s="118" t="n">
        <f aca="false">X13+X25-X30</f>
        <v>0</v>
      </c>
      <c r="Y31" s="118" t="n">
        <f aca="false">Y13+Y25-Y30</f>
        <v>0</v>
      </c>
      <c r="Z31" s="118" t="n">
        <f aca="false">Z13+Z25-Z30</f>
        <v>0</v>
      </c>
      <c r="AA31" s="118" t="n">
        <f aca="false">AA13+AA25-AA30</f>
        <v>0</v>
      </c>
      <c r="AB31" s="118" t="n">
        <f aca="false">AB13+AB25-AB30</f>
        <v>0</v>
      </c>
      <c r="AC31" s="118" t="n">
        <f aca="false">AC13+AC25-AC30</f>
        <v>0</v>
      </c>
      <c r="AD31" s="118" t="n">
        <f aca="false">AD13+AD25-AD30</f>
        <v>0</v>
      </c>
      <c r="AE31" s="118" t="n">
        <f aca="false">AE13+AE25-AE30</f>
        <v>0</v>
      </c>
      <c r="AF31" s="118" t="n">
        <f aca="false">AF13+AF25-AF30</f>
        <v>0</v>
      </c>
      <c r="AG31" s="118" t="n">
        <f aca="false">AG13+AG25-AG30</f>
        <v>0</v>
      </c>
      <c r="AH31" s="118" t="n">
        <f aca="false">AH13+AH25-AH30</f>
        <v>0</v>
      </c>
      <c r="AI31" s="118" t="n">
        <f aca="false">AI13+AI25-AI30</f>
        <v>0</v>
      </c>
      <c r="AJ31" s="118" t="n">
        <f aca="false">AJ13+AJ25-AJ30</f>
        <v>0</v>
      </c>
      <c r="AK31" s="118" t="n">
        <f aca="false">AK13+AK25-AK30</f>
        <v>0</v>
      </c>
      <c r="AL31" s="118" t="n">
        <f aca="false">AL13+AL25-AL30</f>
        <v>0</v>
      </c>
    </row>
    <row r="33" customFormat="false" ht="15.75" hidden="false" customHeight="true" outlineLevel="0" collapsed="false">
      <c r="A33" s="7" t="s">
        <v>44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407</v>
      </c>
      <c r="C34" s="122" t="n">
        <f aca="false">Inputs!$B$27*(1+Inputs!$B$30)^(C$7-1)</f>
        <v>12</v>
      </c>
      <c r="D34" s="122" t="n">
        <f aca="false">Inputs!$B$27*(1+Inputs!$B$30)^(D$7-1)</f>
        <v>12</v>
      </c>
      <c r="E34" s="122" t="n">
        <f aca="false">Inputs!$B$27*(1+Inputs!$B$30)^(E$7-1)</f>
        <v>12</v>
      </c>
      <c r="F34" s="122" t="n">
        <f aca="false">Inputs!$B$27*(1+Inputs!$B$30)^(F$7-1)</f>
        <v>12</v>
      </c>
      <c r="G34" s="122" t="n">
        <f aca="false">Inputs!$B$27*(1+Inputs!$B$30)^(G$7-1)</f>
        <v>12</v>
      </c>
      <c r="H34" s="122" t="n">
        <f aca="false">Inputs!$B$27*(1+Inputs!$B$30)^(H$7-1)</f>
        <v>12</v>
      </c>
      <c r="I34" s="122" t="n">
        <f aca="false">Inputs!$B$27*(1+Inputs!$B$30)^(I$7-1)</f>
        <v>12</v>
      </c>
      <c r="J34" s="122" t="n">
        <f aca="false">Inputs!$B$27*(1+Inputs!$B$30)^(J$7-1)</f>
        <v>12</v>
      </c>
      <c r="K34" s="122" t="n">
        <f aca="false">Inputs!$B$27*(1+Inputs!$B$30)^(K$7-1)</f>
        <v>12</v>
      </c>
      <c r="L34" s="122" t="n">
        <f aca="false">Inputs!$B$27*(1+Inputs!$B$30)^(L$7-1)</f>
        <v>12</v>
      </c>
      <c r="M34" s="122" t="n">
        <f aca="false">Inputs!$B$27*(1+Inputs!$B$30)^(M$7-1)</f>
        <v>12</v>
      </c>
      <c r="N34" s="122" t="n">
        <f aca="false">Inputs!$B$27*(1+Inputs!$B$30)^(N$7-1)</f>
        <v>12</v>
      </c>
      <c r="O34" s="122" t="n">
        <f aca="false">Inputs!$B$27*(1+Inputs!$B$30)^(O$7-1)</f>
        <v>12.12</v>
      </c>
      <c r="P34" s="122" t="n">
        <f aca="false">Inputs!$B$27*(1+Inputs!$B$30)^(P$7-1)</f>
        <v>12.12</v>
      </c>
      <c r="Q34" s="122" t="n">
        <f aca="false">Inputs!$B$27*(1+Inputs!$B$30)^(Q$7-1)</f>
        <v>12.12</v>
      </c>
      <c r="R34" s="122" t="n">
        <f aca="false">Inputs!$B$27*(1+Inputs!$B$30)^(R$7-1)</f>
        <v>12.12</v>
      </c>
      <c r="S34" s="122" t="n">
        <f aca="false">Inputs!$B$27*(1+Inputs!$B$30)^(S$7-1)</f>
        <v>12.12</v>
      </c>
      <c r="T34" s="122" t="n">
        <f aca="false">Inputs!$B$27*(1+Inputs!$B$30)^(T$7-1)</f>
        <v>12.12</v>
      </c>
      <c r="U34" s="122" t="n">
        <f aca="false">Inputs!$B$27*(1+Inputs!$B$30)^(U$7-1)</f>
        <v>12.12</v>
      </c>
      <c r="V34" s="122" t="n">
        <f aca="false">Inputs!$B$27*(1+Inputs!$B$30)^(V$7-1)</f>
        <v>12.12</v>
      </c>
      <c r="W34" s="122" t="n">
        <f aca="false">Inputs!$B$27*(1+Inputs!$B$30)^(W$7-1)</f>
        <v>12.12</v>
      </c>
      <c r="X34" s="122" t="n">
        <f aca="false">Inputs!$B$27*(1+Inputs!$B$30)^(X$7-1)</f>
        <v>12.12</v>
      </c>
      <c r="Y34" s="122" t="n">
        <f aca="false">Inputs!$B$27*(1+Inputs!$B$30)^(Y$7-1)</f>
        <v>12.12</v>
      </c>
      <c r="Z34" s="122" t="n">
        <f aca="false">Inputs!$B$27*(1+Inputs!$B$30)^(Z$7-1)</f>
        <v>12.12</v>
      </c>
      <c r="AA34" s="122" t="n">
        <f aca="false">Inputs!$B$27*(1+Inputs!$B$30)^(AA$7-1)</f>
        <v>12.2412</v>
      </c>
      <c r="AB34" s="122" t="n">
        <f aca="false">Inputs!$B$27*(1+Inputs!$B$30)^(AB$7-1)</f>
        <v>12.2412</v>
      </c>
      <c r="AC34" s="122" t="n">
        <f aca="false">Inputs!$B$27*(1+Inputs!$B$30)^(AC$7-1)</f>
        <v>12.2412</v>
      </c>
      <c r="AD34" s="122" t="n">
        <f aca="false">Inputs!$B$27*(1+Inputs!$B$30)^(AD$7-1)</f>
        <v>12.2412</v>
      </c>
      <c r="AE34" s="122" t="n">
        <f aca="false">Inputs!$B$27*(1+Inputs!$B$30)^(AE$7-1)</f>
        <v>12.2412</v>
      </c>
      <c r="AF34" s="122" t="n">
        <f aca="false">Inputs!$B$27*(1+Inputs!$B$30)^(AF$7-1)</f>
        <v>12.2412</v>
      </c>
      <c r="AG34" s="122" t="n">
        <f aca="false">Inputs!$B$27*(1+Inputs!$B$30)^(AG$7-1)</f>
        <v>12.2412</v>
      </c>
      <c r="AH34" s="122" t="n">
        <f aca="false">Inputs!$B$27*(1+Inputs!$B$30)^(AH$7-1)</f>
        <v>12.2412</v>
      </c>
      <c r="AI34" s="122" t="n">
        <f aca="false">Inputs!$B$27*(1+Inputs!$B$30)^(AI$7-1)</f>
        <v>12.2412</v>
      </c>
      <c r="AJ34" s="122" t="n">
        <f aca="false">Inputs!$B$27*(1+Inputs!$B$30)^(AJ$7-1)</f>
        <v>12.2412</v>
      </c>
      <c r="AK34" s="122" t="n">
        <f aca="false">Inputs!$B$27*(1+Inputs!$B$30)^(AK$7-1)</f>
        <v>12.2412</v>
      </c>
      <c r="AL34" s="122" t="n">
        <f aca="false">Inputs!$B$27*(1+Inputs!$B$30)^(AL$7-1)</f>
        <v>12.2412</v>
      </c>
    </row>
    <row r="35" customFormat="false" ht="15" hidden="false" customHeight="false" outlineLevel="0" collapsed="false">
      <c r="A35" s="6" t="s">
        <v>408</v>
      </c>
      <c r="C35" s="122" t="n">
        <f aca="false">Inputs!$B$29*(1+Inputs!$B$30)^(C$7-1)</f>
        <v>32</v>
      </c>
      <c r="D35" s="122" t="n">
        <f aca="false">Inputs!$B$29*(1+Inputs!$B$30)^(D$7-1)</f>
        <v>32</v>
      </c>
      <c r="E35" s="122" t="n">
        <f aca="false">Inputs!$B$29*(1+Inputs!$B$30)^(E$7-1)</f>
        <v>32</v>
      </c>
      <c r="F35" s="122" t="n">
        <f aca="false">Inputs!$B$29*(1+Inputs!$B$30)^(F$7-1)</f>
        <v>32</v>
      </c>
      <c r="G35" s="122" t="n">
        <f aca="false">Inputs!$B$29*(1+Inputs!$B$30)^(G$7-1)</f>
        <v>32</v>
      </c>
      <c r="H35" s="122" t="n">
        <f aca="false">Inputs!$B$29*(1+Inputs!$B$30)^(H$7-1)</f>
        <v>32</v>
      </c>
      <c r="I35" s="122" t="n">
        <f aca="false">Inputs!$B$29*(1+Inputs!$B$30)^(I$7-1)</f>
        <v>32</v>
      </c>
      <c r="J35" s="122" t="n">
        <f aca="false">Inputs!$B$29*(1+Inputs!$B$30)^(J$7-1)</f>
        <v>32</v>
      </c>
      <c r="K35" s="122" t="n">
        <f aca="false">Inputs!$B$29*(1+Inputs!$B$30)^(K$7-1)</f>
        <v>32</v>
      </c>
      <c r="L35" s="122" t="n">
        <f aca="false">Inputs!$B$29*(1+Inputs!$B$30)^(L$7-1)</f>
        <v>32</v>
      </c>
      <c r="M35" s="122" t="n">
        <f aca="false">Inputs!$B$29*(1+Inputs!$B$30)^(M$7-1)</f>
        <v>32</v>
      </c>
      <c r="N35" s="122" t="n">
        <f aca="false">Inputs!$B$29*(1+Inputs!$B$30)^(N$7-1)</f>
        <v>32</v>
      </c>
      <c r="O35" s="122" t="n">
        <f aca="false">Inputs!$B$29*(1+Inputs!$B$30)^(O$7-1)</f>
        <v>32.32</v>
      </c>
      <c r="P35" s="122" t="n">
        <f aca="false">Inputs!$B$29*(1+Inputs!$B$30)^(P$7-1)</f>
        <v>32.32</v>
      </c>
      <c r="Q35" s="122" t="n">
        <f aca="false">Inputs!$B$29*(1+Inputs!$B$30)^(Q$7-1)</f>
        <v>32.32</v>
      </c>
      <c r="R35" s="122" t="n">
        <f aca="false">Inputs!$B$29*(1+Inputs!$B$30)^(R$7-1)</f>
        <v>32.32</v>
      </c>
      <c r="S35" s="122" t="n">
        <f aca="false">Inputs!$B$29*(1+Inputs!$B$30)^(S$7-1)</f>
        <v>32.32</v>
      </c>
      <c r="T35" s="122" t="n">
        <f aca="false">Inputs!$B$29*(1+Inputs!$B$30)^(T$7-1)</f>
        <v>32.32</v>
      </c>
      <c r="U35" s="122" t="n">
        <f aca="false">Inputs!$B$29*(1+Inputs!$B$30)^(U$7-1)</f>
        <v>32.32</v>
      </c>
      <c r="V35" s="122" t="n">
        <f aca="false">Inputs!$B$29*(1+Inputs!$B$30)^(V$7-1)</f>
        <v>32.32</v>
      </c>
      <c r="W35" s="122" t="n">
        <f aca="false">Inputs!$B$29*(1+Inputs!$B$30)^(W$7-1)</f>
        <v>32.32</v>
      </c>
      <c r="X35" s="122" t="n">
        <f aca="false">Inputs!$B$29*(1+Inputs!$B$30)^(X$7-1)</f>
        <v>32.32</v>
      </c>
      <c r="Y35" s="122" t="n">
        <f aca="false">Inputs!$B$29*(1+Inputs!$B$30)^(Y$7-1)</f>
        <v>32.32</v>
      </c>
      <c r="Z35" s="122" t="n">
        <f aca="false">Inputs!$B$29*(1+Inputs!$B$30)^(Z$7-1)</f>
        <v>32.32</v>
      </c>
      <c r="AA35" s="122" t="n">
        <f aca="false">Inputs!$B$29*(1+Inputs!$B$30)^(AA$7-1)</f>
        <v>32.6432</v>
      </c>
      <c r="AB35" s="122" t="n">
        <f aca="false">Inputs!$B$29*(1+Inputs!$B$30)^(AB$7-1)</f>
        <v>32.6432</v>
      </c>
      <c r="AC35" s="122" t="n">
        <f aca="false">Inputs!$B$29*(1+Inputs!$B$30)^(AC$7-1)</f>
        <v>32.6432</v>
      </c>
      <c r="AD35" s="122" t="n">
        <f aca="false">Inputs!$B$29*(1+Inputs!$B$30)^(AD$7-1)</f>
        <v>32.6432</v>
      </c>
      <c r="AE35" s="122" t="n">
        <f aca="false">Inputs!$B$29*(1+Inputs!$B$30)^(AE$7-1)</f>
        <v>32.6432</v>
      </c>
      <c r="AF35" s="122" t="n">
        <f aca="false">Inputs!$B$29*(1+Inputs!$B$30)^(AF$7-1)</f>
        <v>32.6432</v>
      </c>
      <c r="AG35" s="122" t="n">
        <f aca="false">Inputs!$B$29*(1+Inputs!$B$30)^(AG$7-1)</f>
        <v>32.6432</v>
      </c>
      <c r="AH35" s="122" t="n">
        <f aca="false">Inputs!$B$29*(1+Inputs!$B$30)^(AH$7-1)</f>
        <v>32.6432</v>
      </c>
      <c r="AI35" s="122" t="n">
        <f aca="false">Inputs!$B$29*(1+Inputs!$B$30)^(AI$7-1)</f>
        <v>32.6432</v>
      </c>
      <c r="AJ35" s="122" t="n">
        <f aca="false">Inputs!$B$29*(1+Inputs!$B$30)^(AJ$7-1)</f>
        <v>32.6432</v>
      </c>
      <c r="AK35" s="122" t="n">
        <f aca="false">Inputs!$B$29*(1+Inputs!$B$30)^(AK$7-1)</f>
        <v>32.6432</v>
      </c>
      <c r="AL35" s="122" t="n">
        <f aca="false">Inputs!$B$29*(1+Inputs!$B$30)^(AL$7-1)</f>
        <v>32.6432</v>
      </c>
    </row>
    <row r="36" customFormat="false" ht="15" hidden="false" customHeight="false" outlineLevel="0" collapsed="false">
      <c r="A36" s="6" t="s">
        <v>409</v>
      </c>
      <c r="C36" s="69" t="n">
        <f aca="false">C28*C34</f>
        <v>19488</v>
      </c>
      <c r="D36" s="69" t="n">
        <f aca="false">D28*D34</f>
        <v>22504</v>
      </c>
      <c r="E36" s="69" t="n">
        <f aca="false">E28*E34</f>
        <v>34026.6666666667</v>
      </c>
      <c r="F36" s="69" t="n">
        <f aca="false">F28*F34</f>
        <v>38048</v>
      </c>
      <c r="G36" s="69" t="n">
        <f aca="false">G28*G34</f>
        <v>42069.3333333333</v>
      </c>
      <c r="H36" s="69" t="n">
        <f aca="false">H28*H34</f>
        <v>46090.6666666667</v>
      </c>
      <c r="I36" s="69" t="n">
        <f aca="false">I28*I34</f>
        <v>50112</v>
      </c>
      <c r="J36" s="69" t="n">
        <f aca="false">J28*J34</f>
        <v>54133.3333333333</v>
      </c>
      <c r="K36" s="69" t="n">
        <f aca="false">K28*K34</f>
        <v>58154.6666666667</v>
      </c>
      <c r="L36" s="69" t="n">
        <f aca="false">L28*L34</f>
        <v>62176</v>
      </c>
      <c r="M36" s="69" t="n">
        <f aca="false">M28*M34</f>
        <v>66197.3333333333</v>
      </c>
      <c r="N36" s="69" t="n">
        <f aca="false">N28*N34</f>
        <v>52664</v>
      </c>
      <c r="O36" s="69" t="n">
        <f aca="false">O28*O34</f>
        <v>56236.8</v>
      </c>
      <c r="P36" s="69" t="n">
        <f aca="false">P28*P34</f>
        <v>56236.8</v>
      </c>
      <c r="Q36" s="69" t="n">
        <f aca="false">Q28*Q34</f>
        <v>74982.4</v>
      </c>
      <c r="R36" s="69" t="n">
        <f aca="false">R28*R34</f>
        <v>74982.4</v>
      </c>
      <c r="S36" s="69" t="n">
        <f aca="false">S28*S34</f>
        <v>74982.4</v>
      </c>
      <c r="T36" s="69" t="n">
        <f aca="false">T28*T34</f>
        <v>74982.4</v>
      </c>
      <c r="U36" s="69" t="n">
        <f aca="false">U28*U34</f>
        <v>74982.4</v>
      </c>
      <c r="V36" s="69" t="n">
        <f aca="false">V28*V34</f>
        <v>74982.4</v>
      </c>
      <c r="W36" s="69" t="n">
        <f aca="false">W28*W34</f>
        <v>74982.4</v>
      </c>
      <c r="X36" s="69" t="n">
        <f aca="false">X28*X34</f>
        <v>74982.4</v>
      </c>
      <c r="Y36" s="69" t="n">
        <f aca="false">Y28*Y34</f>
        <v>74982.4</v>
      </c>
      <c r="Z36" s="69" t="n">
        <f aca="false">Z28*Z34</f>
        <v>56236.8</v>
      </c>
      <c r="AA36" s="69" t="n">
        <f aca="false">AA28*AA34</f>
        <v>56799.168</v>
      </c>
      <c r="AB36" s="69" t="n">
        <f aca="false">AB28*AB34</f>
        <v>56799.168</v>
      </c>
      <c r="AC36" s="69" t="n">
        <f aca="false">AC28*AC34</f>
        <v>75732.224</v>
      </c>
      <c r="AD36" s="69" t="n">
        <f aca="false">AD28*AD34</f>
        <v>75732.224</v>
      </c>
      <c r="AE36" s="69" t="n">
        <f aca="false">AE28*AE34</f>
        <v>75732.224</v>
      </c>
      <c r="AF36" s="69" t="n">
        <f aca="false">AF28*AF34</f>
        <v>75732.224</v>
      </c>
      <c r="AG36" s="69" t="n">
        <f aca="false">AG28*AG34</f>
        <v>75732.224</v>
      </c>
      <c r="AH36" s="69" t="n">
        <f aca="false">AH28*AH34</f>
        <v>75732.224</v>
      </c>
      <c r="AI36" s="69" t="n">
        <f aca="false">AI28*AI34</f>
        <v>75732.224</v>
      </c>
      <c r="AJ36" s="69" t="n">
        <f aca="false">AJ28*AJ34</f>
        <v>75732.224</v>
      </c>
      <c r="AK36" s="69" t="n">
        <f aca="false">AK28*AK34</f>
        <v>75732.224</v>
      </c>
      <c r="AL36" s="69" t="n">
        <f aca="false">AL28*AL34</f>
        <v>56799.168</v>
      </c>
    </row>
    <row r="37" customFormat="false" ht="15" hidden="false" customHeight="false" outlineLevel="0" collapsed="false">
      <c r="A37" s="6" t="s">
        <v>410</v>
      </c>
      <c r="C37" s="69" t="n">
        <f aca="false">C28*Inputs!$B$28*(1+Inputs!$B$30)^(C$7-1)</f>
        <v>1948.8</v>
      </c>
      <c r="D37" s="69" t="n">
        <f aca="false">D28*Inputs!$B$28*(1+Inputs!$B$30)^(D$7-1)</f>
        <v>2250.4</v>
      </c>
      <c r="E37" s="69" t="n">
        <f aca="false">E28*Inputs!$B$28*(1+Inputs!$B$30)^(E$7-1)</f>
        <v>3402.66666666667</v>
      </c>
      <c r="F37" s="69" t="n">
        <f aca="false">F28*Inputs!$B$28*(1+Inputs!$B$30)^(F$7-1)</f>
        <v>3804.8</v>
      </c>
      <c r="G37" s="69" t="n">
        <f aca="false">G28*Inputs!$B$28*(1+Inputs!$B$30)^(G$7-1)</f>
        <v>4206.93333333333</v>
      </c>
      <c r="H37" s="69" t="n">
        <f aca="false">H28*Inputs!$B$28*(1+Inputs!$B$30)^(H$7-1)</f>
        <v>4609.06666666667</v>
      </c>
      <c r="I37" s="69" t="n">
        <f aca="false">I28*Inputs!$B$28*(1+Inputs!$B$30)^(I$7-1)</f>
        <v>5011.2</v>
      </c>
      <c r="J37" s="69" t="n">
        <f aca="false">J28*Inputs!$B$28*(1+Inputs!$B$30)^(J$7-1)</f>
        <v>5413.33333333333</v>
      </c>
      <c r="K37" s="69" t="n">
        <f aca="false">K28*Inputs!$B$28*(1+Inputs!$B$30)^(K$7-1)</f>
        <v>5815.46666666667</v>
      </c>
      <c r="L37" s="69" t="n">
        <f aca="false">L28*Inputs!$B$28*(1+Inputs!$B$30)^(L$7-1)</f>
        <v>6217.6</v>
      </c>
      <c r="M37" s="69" t="n">
        <f aca="false">M28*Inputs!$B$28*(1+Inputs!$B$30)^(M$7-1)</f>
        <v>6619.73333333333</v>
      </c>
      <c r="N37" s="69" t="n">
        <f aca="false">N28*Inputs!$B$28*(1+Inputs!$B$30)^(N$7-1)</f>
        <v>5266.4</v>
      </c>
      <c r="O37" s="69" t="n">
        <f aca="false">O28*Inputs!$B$28*(1+Inputs!$B$30)^(O$7-1)</f>
        <v>5623.68</v>
      </c>
      <c r="P37" s="69" t="n">
        <f aca="false">P28*Inputs!$B$28*(1+Inputs!$B$30)^(P$7-1)</f>
        <v>5623.68</v>
      </c>
      <c r="Q37" s="69" t="n">
        <f aca="false">Q28*Inputs!$B$28*(1+Inputs!$B$30)^(Q$7-1)</f>
        <v>7498.24</v>
      </c>
      <c r="R37" s="69" t="n">
        <f aca="false">R28*Inputs!$B$28*(1+Inputs!$B$30)^(R$7-1)</f>
        <v>7498.24</v>
      </c>
      <c r="S37" s="69" t="n">
        <f aca="false">S28*Inputs!$B$28*(1+Inputs!$B$30)^(S$7-1)</f>
        <v>7498.24</v>
      </c>
      <c r="T37" s="69" t="n">
        <f aca="false">T28*Inputs!$B$28*(1+Inputs!$B$30)^(T$7-1)</f>
        <v>7498.24</v>
      </c>
      <c r="U37" s="69" t="n">
        <f aca="false">U28*Inputs!$B$28*(1+Inputs!$B$30)^(U$7-1)</f>
        <v>7498.24</v>
      </c>
      <c r="V37" s="69" t="n">
        <f aca="false">V28*Inputs!$B$28*(1+Inputs!$B$30)^(V$7-1)</f>
        <v>7498.24</v>
      </c>
      <c r="W37" s="69" t="n">
        <f aca="false">W28*Inputs!$B$28*(1+Inputs!$B$30)^(W$7-1)</f>
        <v>7498.24</v>
      </c>
      <c r="X37" s="69" t="n">
        <f aca="false">X28*Inputs!$B$28*(1+Inputs!$B$30)^(X$7-1)</f>
        <v>7498.24</v>
      </c>
      <c r="Y37" s="69" t="n">
        <f aca="false">Y28*Inputs!$B$28*(1+Inputs!$B$30)^(Y$7-1)</f>
        <v>7498.24</v>
      </c>
      <c r="Z37" s="69" t="n">
        <f aca="false">Z28*Inputs!$B$28*(1+Inputs!$B$30)^(Z$7-1)</f>
        <v>5623.68</v>
      </c>
      <c r="AA37" s="69" t="n">
        <f aca="false">AA28*Inputs!$B$28*(1+Inputs!$B$30)^(AA$7-1)</f>
        <v>5679.9168</v>
      </c>
      <c r="AB37" s="69" t="n">
        <f aca="false">AB28*Inputs!$B$28*(1+Inputs!$B$30)^(AB$7-1)</f>
        <v>5679.9168</v>
      </c>
      <c r="AC37" s="69" t="n">
        <f aca="false">AC28*Inputs!$B$28*(1+Inputs!$B$30)^(AC$7-1)</f>
        <v>7573.2224</v>
      </c>
      <c r="AD37" s="69" t="n">
        <f aca="false">AD28*Inputs!$B$28*(1+Inputs!$B$30)^(AD$7-1)</f>
        <v>7573.2224</v>
      </c>
      <c r="AE37" s="69" t="n">
        <f aca="false">AE28*Inputs!$B$28*(1+Inputs!$B$30)^(AE$7-1)</f>
        <v>7573.2224</v>
      </c>
      <c r="AF37" s="69" t="n">
        <f aca="false">AF28*Inputs!$B$28*(1+Inputs!$B$30)^(AF$7-1)</f>
        <v>7573.2224</v>
      </c>
      <c r="AG37" s="69" t="n">
        <f aca="false">AG28*Inputs!$B$28*(1+Inputs!$B$30)^(AG$7-1)</f>
        <v>7573.2224</v>
      </c>
      <c r="AH37" s="69" t="n">
        <f aca="false">AH28*Inputs!$B$28*(1+Inputs!$B$30)^(AH$7-1)</f>
        <v>7573.2224</v>
      </c>
      <c r="AI37" s="69" t="n">
        <f aca="false">AI28*Inputs!$B$28*(1+Inputs!$B$30)^(AI$7-1)</f>
        <v>7573.2224</v>
      </c>
      <c r="AJ37" s="69" t="n">
        <f aca="false">AJ28*Inputs!$B$28*(1+Inputs!$B$30)^(AJ$7-1)</f>
        <v>7573.2224</v>
      </c>
      <c r="AK37" s="69" t="n">
        <f aca="false">AK28*Inputs!$B$28*(1+Inputs!$B$30)^(AK$7-1)</f>
        <v>7573.2224</v>
      </c>
      <c r="AL37" s="69" t="n">
        <f aca="false">AL28*Inputs!$B$28*(1+Inputs!$B$30)^(AL$7-1)</f>
        <v>5679.9168</v>
      </c>
    </row>
    <row r="38" customFormat="false" ht="15" hidden="false" customHeight="false" outlineLevel="0" collapsed="false">
      <c r="A38" s="6" t="s">
        <v>241</v>
      </c>
      <c r="C38" s="69" t="n">
        <f aca="false">C22*C35*1</f>
        <v>5059.904</v>
      </c>
      <c r="D38" s="69" t="n">
        <f aca="false">D22*D35*1</f>
        <v>5625.51146666667</v>
      </c>
      <c r="E38" s="69" t="n">
        <f aca="false">E22*E35*1</f>
        <v>6348.48122666667</v>
      </c>
      <c r="F38" s="69" t="n">
        <f aca="false">F22*F35*1</f>
        <v>7228.987832</v>
      </c>
      <c r="G38" s="69" t="n">
        <f aca="false">G22*G35*1</f>
        <v>8199.14377373333</v>
      </c>
      <c r="H38" s="69" t="n">
        <f aca="false">H22*H35*1</f>
        <v>9254.46658504666</v>
      </c>
      <c r="I38" s="69" t="n">
        <f aca="false">I22*I35*1</f>
        <v>10390.697922461</v>
      </c>
      <c r="J38" s="69" t="n">
        <f aca="false">J22*J35*1</f>
        <v>11603.7923596713</v>
      </c>
      <c r="K38" s="69" t="n">
        <f aca="false">K22*K35*1</f>
        <v>12889.9067416877</v>
      </c>
      <c r="L38" s="69" t="n">
        <f aca="false">L22*L35*1</f>
        <v>14245.39007127</v>
      </c>
      <c r="M38" s="69" t="n">
        <f aca="false">M22*M35*1</f>
        <v>15666.7739010398</v>
      </c>
      <c r="N38" s="69" t="n">
        <f aca="false">N22*N35*1</f>
        <v>17010.3258726545</v>
      </c>
      <c r="O38" s="69" t="n">
        <f aca="false">O22*O35*1</f>
        <v>18454.6138614787</v>
      </c>
      <c r="P38" s="69" t="n">
        <f aca="false">P22*P35*1</f>
        <v>19724.4719684047</v>
      </c>
      <c r="Q38" s="69" t="n">
        <f aca="false">Q22*Q35*1</f>
        <v>21080.8019699845</v>
      </c>
      <c r="R38" s="69" t="n">
        <f aca="false">R22*R35*1</f>
        <v>22519.2802714853</v>
      </c>
      <c r="S38" s="69" t="n">
        <f aca="false">S22*S35*1</f>
        <v>23885.834657911</v>
      </c>
      <c r="T38" s="69" t="n">
        <f aca="false">T22*T35*1</f>
        <v>25184.0613250155</v>
      </c>
      <c r="U38" s="69" t="n">
        <f aca="false">U22*U35*1</f>
        <v>26417.3766587647</v>
      </c>
      <c r="V38" s="69" t="n">
        <f aca="false">V22*V35*1</f>
        <v>27589.0262258265</v>
      </c>
      <c r="W38" s="69" t="n">
        <f aca="false">W22*W35*1</f>
        <v>28702.0933145351</v>
      </c>
      <c r="X38" s="69" t="n">
        <f aca="false">X22*X35*1</f>
        <v>29759.5070488084</v>
      </c>
      <c r="Y38" s="69" t="n">
        <f aca="false">Y22*Y35*1</f>
        <v>30764.0500963679</v>
      </c>
      <c r="Z38" s="69" t="n">
        <f aca="false">Z22*Z35*1</f>
        <v>31568.4011915495</v>
      </c>
      <c r="AA38" s="69" t="n">
        <f aca="false">AA22*AA35*1</f>
        <v>32504.3956312918</v>
      </c>
      <c r="AB38" s="69" t="n">
        <f aca="false">AB22*AB35*1</f>
        <v>33093.6905377272</v>
      </c>
      <c r="AC38" s="69" t="n">
        <f aca="false">AC22*AC35*1</f>
        <v>33804.9851468408</v>
      </c>
      <c r="AD38" s="69" t="n">
        <f aca="false">AD22*AD35*1</f>
        <v>34632.1794734988</v>
      </c>
      <c r="AE38" s="69" t="n">
        <f aca="false">AE22*AE35*1</f>
        <v>35418.0140838239</v>
      </c>
      <c r="AF38" s="69" t="n">
        <f aca="false">AF22*AF35*1</f>
        <v>36164.5569636327</v>
      </c>
      <c r="AG38" s="69" t="n">
        <f aca="false">AG22*AG35*1</f>
        <v>36873.772699451</v>
      </c>
      <c r="AH38" s="69" t="n">
        <f aca="false">AH22*AH35*1</f>
        <v>37547.5276484785</v>
      </c>
      <c r="AI38" s="69" t="n">
        <f aca="false">AI22*AI35*1</f>
        <v>38187.5948500546</v>
      </c>
      <c r="AJ38" s="69" t="n">
        <f aca="false">AJ22*AJ35*1</f>
        <v>38795.6586915518</v>
      </c>
      <c r="AK38" s="69" t="n">
        <f aca="false">AK22*AK35*1</f>
        <v>39373.3193409742</v>
      </c>
      <c r="AL38" s="69" t="n">
        <f aca="false">AL22*AL35*1</f>
        <v>39770.6325099255</v>
      </c>
    </row>
    <row r="39" customFormat="false" ht="15" hidden="false" customHeight="false" outlineLevel="0" collapsed="false">
      <c r="A39" s="113" t="s">
        <v>44</v>
      </c>
      <c r="C39" s="70" t="n">
        <f aca="false">C36+C37+C38</f>
        <v>26496.704</v>
      </c>
      <c r="D39" s="70" t="n">
        <f aca="false">D36+D37+D38</f>
        <v>30379.9114666667</v>
      </c>
      <c r="E39" s="70" t="n">
        <f aca="false">E36+E37+E38</f>
        <v>43777.81456</v>
      </c>
      <c r="F39" s="70" t="n">
        <f aca="false">F36+F37+F38</f>
        <v>49081.787832</v>
      </c>
      <c r="G39" s="70" t="n">
        <f aca="false">G36+G37+G38</f>
        <v>54475.4104404</v>
      </c>
      <c r="H39" s="70" t="n">
        <f aca="false">H36+H37+H38</f>
        <v>59954.19991838</v>
      </c>
      <c r="I39" s="70" t="n">
        <f aca="false">I36+I37+I38</f>
        <v>65513.897922461</v>
      </c>
      <c r="J39" s="70" t="n">
        <f aca="false">J36+J37+J38</f>
        <v>71150.4590263379</v>
      </c>
      <c r="K39" s="70" t="n">
        <f aca="false">K36+K37+K38</f>
        <v>76860.040075021</v>
      </c>
      <c r="L39" s="70" t="n">
        <f aca="false">L36+L37+L38</f>
        <v>82638.99007127</v>
      </c>
      <c r="M39" s="70" t="n">
        <f aca="false">M36+M37+M38</f>
        <v>88483.8405677065</v>
      </c>
      <c r="N39" s="70" t="n">
        <f aca="false">N36+N37+N38</f>
        <v>74940.7258726545</v>
      </c>
      <c r="O39" s="70" t="n">
        <f aca="false">O36+O37+O38</f>
        <v>80315.0938614787</v>
      </c>
      <c r="P39" s="70" t="n">
        <f aca="false">P36+P37+P38</f>
        <v>81584.9519684047</v>
      </c>
      <c r="Q39" s="70" t="n">
        <f aca="false">Q36+Q37+Q38</f>
        <v>103561.441969985</v>
      </c>
      <c r="R39" s="70" t="n">
        <f aca="false">R36+R37+R38</f>
        <v>104999.920271485</v>
      </c>
      <c r="S39" s="70" t="n">
        <f aca="false">S36+S37+S38</f>
        <v>106366.474657911</v>
      </c>
      <c r="T39" s="70" t="n">
        <f aca="false">T36+T37+T38</f>
        <v>107664.701325015</v>
      </c>
      <c r="U39" s="70" t="n">
        <f aca="false">U36+U37+U38</f>
        <v>108898.016658765</v>
      </c>
      <c r="V39" s="70" t="n">
        <f aca="false">V36+V37+V38</f>
        <v>110069.666225826</v>
      </c>
      <c r="W39" s="70" t="n">
        <f aca="false">W36+W37+W38</f>
        <v>111182.733314535</v>
      </c>
      <c r="X39" s="70" t="n">
        <f aca="false">X36+X37+X38</f>
        <v>112240.147048808</v>
      </c>
      <c r="Y39" s="70" t="n">
        <f aca="false">Y36+Y37+Y38</f>
        <v>113244.690096368</v>
      </c>
      <c r="Z39" s="70" t="n">
        <f aca="false">Z36+Z37+Z38</f>
        <v>93428.8811915496</v>
      </c>
      <c r="AA39" s="70" t="n">
        <f aca="false">AA36+AA37+AA38</f>
        <v>94983.4804312918</v>
      </c>
      <c r="AB39" s="70" t="n">
        <f aca="false">AB36+AB37+AB38</f>
        <v>95572.7753377272</v>
      </c>
      <c r="AC39" s="70" t="n">
        <f aca="false">AC36+AC37+AC38</f>
        <v>117110.431546841</v>
      </c>
      <c r="AD39" s="70" t="n">
        <f aca="false">AD36+AD37+AD38</f>
        <v>117937.625873499</v>
      </c>
      <c r="AE39" s="70" t="n">
        <f aca="false">AE36+AE37+AE38</f>
        <v>118723.460483824</v>
      </c>
      <c r="AF39" s="70" t="n">
        <f aca="false">AF36+AF37+AF38</f>
        <v>119470.003363633</v>
      </c>
      <c r="AG39" s="70" t="n">
        <f aca="false">AG36+AG37+AG38</f>
        <v>120179.219099451</v>
      </c>
      <c r="AH39" s="70" t="n">
        <f aca="false">AH36+AH37+AH38</f>
        <v>120852.974048478</v>
      </c>
      <c r="AI39" s="70" t="n">
        <f aca="false">AI36+AI37+AI38</f>
        <v>121493.041250055</v>
      </c>
      <c r="AJ39" s="70" t="n">
        <f aca="false">AJ36+AJ37+AJ38</f>
        <v>122101.105091552</v>
      </c>
      <c r="AK39" s="70" t="n">
        <f aca="false">AK36+AK37+AK38</f>
        <v>122678.765740974</v>
      </c>
      <c r="AL39" s="70" t="n">
        <f aca="false">AL36+AL37+AL38</f>
        <v>102249.717309926</v>
      </c>
    </row>
    <row r="41" customFormat="false" ht="15.75" hidden="false" customHeight="true" outlineLevel="0" collapsed="false">
      <c r="A41" s="7" t="s">
        <v>76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6" t="s">
        <v>411</v>
      </c>
      <c r="C42" s="69" t="n">
        <f aca="false">-C30*Inputs!$B$33*(1+Inputs!$B$38)^(C$7-1)</f>
        <v>-1999.456336</v>
      </c>
      <c r="D42" s="69" t="n">
        <f aca="false">-D30*Inputs!$B$33*(1+Inputs!$B$38)^(D$7-1)</f>
        <v>-2289.26907653333</v>
      </c>
      <c r="E42" s="69" t="n">
        <f aca="false">-E30*Inputs!$B$33*(1+Inputs!$B$38)^(E$7-1)</f>
        <v>-3457.71168538667</v>
      </c>
      <c r="F42" s="69" t="n">
        <f aca="false">-F30*Inputs!$B$33*(1+Inputs!$B$38)^(F$7-1)</f>
        <v>-3882.021535784</v>
      </c>
      <c r="G42" s="69" t="n">
        <f aca="false">-G30*Inputs!$B$33*(1+Inputs!$B$38)^(G$7-1)</f>
        <v>-4317.11918966147</v>
      </c>
      <c r="H42" s="69" t="n">
        <f aca="false">-H30*Inputs!$B$33*(1+Inputs!$B$38)^(H$7-1)</f>
        <v>-4762.46525684506</v>
      </c>
      <c r="I42" s="69" t="n">
        <f aca="false">-I30*Inputs!$B$33*(1+Inputs!$B$38)^(I$7-1)</f>
        <v>-5217.54731666947</v>
      </c>
      <c r="J42" s="69" t="n">
        <f aca="false">-J30*Inputs!$B$33*(1+Inputs!$B$38)^(J$7-1)</f>
        <v>-5681.87856950266</v>
      </c>
      <c r="K42" s="69" t="n">
        <f aca="false">-K30*Inputs!$B$33*(1+Inputs!$B$38)^(K$7-1)</f>
        <v>-6154.9965556942</v>
      </c>
      <c r="L42" s="69" t="n">
        <f aca="false">-L30*Inputs!$B$33*(1+Inputs!$B$38)^(L$7-1)</f>
        <v>-6636.46193857615</v>
      </c>
      <c r="M42" s="69" t="n">
        <f aca="false">-M30*Inputs!$B$33*(1+Inputs!$B$38)^(M$7-1)</f>
        <v>-7125.85734831401</v>
      </c>
      <c r="N42" s="69" t="n">
        <f aca="false">-N30*Inputs!$B$33*(1+Inputs!$B$38)^(N$7-1)</f>
        <v>-5704.4152433404</v>
      </c>
      <c r="O42" s="69" t="n">
        <f aca="false">-O30*Inputs!$B$33*(1+Inputs!$B$38)^(O$7-1)</f>
        <v>-6299.32005647365</v>
      </c>
      <c r="P42" s="69" t="n">
        <f aca="false">-P30*Inputs!$B$33*(1+Inputs!$B$38)^(P$7-1)</f>
        <v>-6417.32885044997</v>
      </c>
      <c r="Q42" s="69" t="n">
        <f aca="false">-Q30*Inputs!$B$33*(1+Inputs!$B$38)^(Q$7-1)</f>
        <v>-8724.49805003663</v>
      </c>
      <c r="R42" s="69" t="n">
        <f aca="false">-R30*Inputs!$B$33*(1+Inputs!$B$38)^(R$7-1)</f>
        <v>-8902.73643073479</v>
      </c>
      <c r="S42" s="69" t="n">
        <f aca="false">-S30*Inputs!$B$33*(1+Inputs!$B$38)^(S$7-1)</f>
        <v>-9072.06289239806</v>
      </c>
      <c r="T42" s="69" t="n">
        <f aca="false">-T30*Inputs!$B$33*(1+Inputs!$B$38)^(T$7-1)</f>
        <v>-9232.92303097815</v>
      </c>
      <c r="U42" s="69" t="n">
        <f aca="false">-U30*Inputs!$B$33*(1+Inputs!$B$38)^(U$7-1)</f>
        <v>-9385.74016262925</v>
      </c>
      <c r="V42" s="69" t="n">
        <f aca="false">-V30*Inputs!$B$33*(1+Inputs!$B$38)^(V$7-1)</f>
        <v>-9530.91643769778</v>
      </c>
      <c r="W42" s="69" t="n">
        <f aca="false">-W30*Inputs!$B$33*(1+Inputs!$B$38)^(W$7-1)</f>
        <v>-9668.83389901289</v>
      </c>
      <c r="X42" s="69" t="n">
        <f aca="false">-X30*Inputs!$B$33*(1+Inputs!$B$38)^(X$7-1)</f>
        <v>-9799.85548726225</v>
      </c>
      <c r="Y42" s="69" t="n">
        <f aca="false">-Y30*Inputs!$B$33*(1+Inputs!$B$38)^(Y$7-1)</f>
        <v>-9924.32599609914</v>
      </c>
      <c r="Z42" s="69" t="n">
        <f aca="false">-Z30*Inputs!$B$33*(1+Inputs!$B$38)^(Z$7-1)</f>
        <v>-7517.99340182063</v>
      </c>
      <c r="AA42" s="69" t="n">
        <f aca="false">-AA30*Inputs!$B$33*(1+Inputs!$B$38)^(AA$7-1)</f>
        <v>-7878.07126967079</v>
      </c>
      <c r="AB42" s="69" t="n">
        <f aca="false">-AB30*Inputs!$B$33*(1+Inputs!$B$38)^(AB$7-1)</f>
        <v>-7934.46149485925</v>
      </c>
      <c r="AC42" s="69" t="n">
        <f aca="false">-AC30*Inputs!$B$33*(1+Inputs!$B$38)^(AC$7-1)</f>
        <v>-10670.034659867</v>
      </c>
      <c r="AD42" s="69" t="n">
        <f aca="false">-AD30*Inputs!$B$33*(1+Inputs!$B$38)^(AD$7-1)</f>
        <v>-10775.5747414017</v>
      </c>
      <c r="AE42" s="69" t="n">
        <f aca="false">-AE30*Inputs!$B$33*(1+Inputs!$B$38)^(AE$7-1)</f>
        <v>-10875.8378188596</v>
      </c>
      <c r="AF42" s="69" t="n">
        <f aca="false">-AF30*Inputs!$B$33*(1+Inputs!$B$38)^(AF$7-1)</f>
        <v>-10971.0877424446</v>
      </c>
      <c r="AG42" s="69" t="n">
        <f aca="false">-AG30*Inputs!$B$33*(1+Inputs!$B$38)^(AG$7-1)</f>
        <v>-11061.5751698504</v>
      </c>
      <c r="AH42" s="69" t="n">
        <f aca="false">-AH30*Inputs!$B$33*(1+Inputs!$B$38)^(AH$7-1)</f>
        <v>-11147.5382258859</v>
      </c>
      <c r="AI42" s="69" t="n">
        <f aca="false">-AI30*Inputs!$B$33*(1+Inputs!$B$38)^(AI$7-1)</f>
        <v>-11229.2031291196</v>
      </c>
      <c r="AJ42" s="69" t="n">
        <f aca="false">-AJ30*Inputs!$B$33*(1+Inputs!$B$38)^(AJ$7-1)</f>
        <v>-11306.7847871916</v>
      </c>
      <c r="AK42" s="69" t="n">
        <f aca="false">-AK30*Inputs!$B$33*(1+Inputs!$B$38)^(AK$7-1)</f>
        <v>-11380.48736236</v>
      </c>
      <c r="AL42" s="69" t="n">
        <f aca="false">-AL30*Inputs!$B$33*(1+Inputs!$B$38)^(AL$7-1)</f>
        <v>-8573.38482046552</v>
      </c>
    </row>
    <row r="43" customFormat="false" ht="15" hidden="false" customHeight="false" outlineLevel="0" collapsed="false">
      <c r="A43" s="6" t="s">
        <v>412</v>
      </c>
      <c r="C43" s="69" t="n">
        <f aca="false">-C30*Inputs!$B$34/1000*Inputs!$B$35*(1+Inputs!$B$38)^(C$7-1)</f>
        <v>-947.110896</v>
      </c>
      <c r="D43" s="69" t="n">
        <f aca="false">-D30*Inputs!$B$34/1000*Inputs!$B$35*(1+Inputs!$B$38)^(D$7-1)</f>
        <v>-1084.3906152</v>
      </c>
      <c r="E43" s="69" t="n">
        <f aca="false">-E30*Inputs!$B$34/1000*Inputs!$B$35*(1+Inputs!$B$38)^(E$7-1)</f>
        <v>-1637.86342992</v>
      </c>
      <c r="F43" s="69" t="n">
        <f aca="false">-F30*Inputs!$B$34/1000*Inputs!$B$35*(1+Inputs!$B$38)^(F$7-1)</f>
        <v>-1838.852306424</v>
      </c>
      <c r="G43" s="69" t="n">
        <f aca="false">-G30*Inputs!$B$34/1000*Inputs!$B$35*(1+Inputs!$B$38)^(G$7-1)</f>
        <v>-2044.9511951028</v>
      </c>
      <c r="H43" s="69" t="n">
        <f aca="false">-H30*Inputs!$B$34/1000*Inputs!$B$35*(1+Inputs!$B$38)^(H$7-1)</f>
        <v>-2255.90459534766</v>
      </c>
      <c r="I43" s="69" t="n">
        <f aca="false">-I30*Inputs!$B$34/1000*Inputs!$B$35*(1+Inputs!$B$38)^(I$7-1)</f>
        <v>-2471.46978158028</v>
      </c>
      <c r="J43" s="69" t="n">
        <f aca="false">-J30*Inputs!$B$34/1000*Inputs!$B$35*(1+Inputs!$B$38)^(J$7-1)</f>
        <v>-2691.41616450126</v>
      </c>
      <c r="K43" s="69" t="n">
        <f aca="false">-K30*Inputs!$B$34/1000*Inputs!$B$35*(1+Inputs!$B$38)^(K$7-1)</f>
        <v>-2915.5246842762</v>
      </c>
      <c r="L43" s="69" t="n">
        <f aca="false">-L30*Inputs!$B$34/1000*Inputs!$B$35*(1+Inputs!$B$38)^(L$7-1)</f>
        <v>-3143.58723406239</v>
      </c>
      <c r="M43" s="69" t="n">
        <f aca="false">-M30*Inputs!$B$34/1000*Inputs!$B$35*(1+Inputs!$B$38)^(M$7-1)</f>
        <v>-3375.40611235927</v>
      </c>
      <c r="N43" s="69" t="n">
        <f aca="false">-N30*Inputs!$B$34/1000*Inputs!$B$35*(1+Inputs!$B$38)^(N$7-1)</f>
        <v>-2702.09143105598</v>
      </c>
      <c r="O43" s="69" t="n">
        <f aca="false">-O30*Inputs!$B$34/1000*Inputs!$B$35*(1+Inputs!$B$38)^(O$7-1)</f>
        <v>-2983.88844780331</v>
      </c>
      <c r="P43" s="69" t="n">
        <f aca="false">-P30*Inputs!$B$34/1000*Inputs!$B$35*(1+Inputs!$B$38)^(P$7-1)</f>
        <v>-3039.78735021314</v>
      </c>
      <c r="Q43" s="69" t="n">
        <f aca="false">-Q30*Inputs!$B$34/1000*Inputs!$B$35*(1+Inputs!$B$38)^(Q$7-1)</f>
        <v>-4132.65697106998</v>
      </c>
      <c r="R43" s="69" t="n">
        <f aca="false">-R30*Inputs!$B$34/1000*Inputs!$B$35*(1+Inputs!$B$38)^(R$7-1)</f>
        <v>-4217.08567771648</v>
      </c>
      <c r="S43" s="69" t="n">
        <f aca="false">-S30*Inputs!$B$34/1000*Inputs!$B$35*(1+Inputs!$B$38)^(S$7-1)</f>
        <v>-4297.29294903066</v>
      </c>
      <c r="T43" s="69" t="n">
        <f aca="false">-T30*Inputs!$B$34/1000*Inputs!$B$35*(1+Inputs!$B$38)^(T$7-1)</f>
        <v>-4373.48985677912</v>
      </c>
      <c r="U43" s="69" t="n">
        <f aca="false">-U30*Inputs!$B$34/1000*Inputs!$B$35*(1+Inputs!$B$38)^(U$7-1)</f>
        <v>-4445.87691914017</v>
      </c>
      <c r="V43" s="69" t="n">
        <f aca="false">-V30*Inputs!$B$34/1000*Inputs!$B$35*(1+Inputs!$B$38)^(V$7-1)</f>
        <v>-4514.64462838316</v>
      </c>
      <c r="W43" s="69" t="n">
        <f aca="false">-W30*Inputs!$B$34/1000*Inputs!$B$35*(1+Inputs!$B$38)^(W$7-1)</f>
        <v>-4579.973952164</v>
      </c>
      <c r="X43" s="69" t="n">
        <f aca="false">-X30*Inputs!$B$34/1000*Inputs!$B$35*(1+Inputs!$B$38)^(X$7-1)</f>
        <v>-4642.0368097558</v>
      </c>
      <c r="Y43" s="69" t="n">
        <f aca="false">-Y30*Inputs!$B$34/1000*Inputs!$B$35*(1+Inputs!$B$38)^(Y$7-1)</f>
        <v>-4700.99652446801</v>
      </c>
      <c r="Z43" s="69" t="n">
        <f aca="false">-Z30*Inputs!$B$34/1000*Inputs!$B$35*(1+Inputs!$B$38)^(Z$7-1)</f>
        <v>-3561.15476928346</v>
      </c>
      <c r="AA43" s="69" t="n">
        <f aca="false">-AA30*Inputs!$B$34/1000*Inputs!$B$35*(1+Inputs!$B$38)^(AA$7-1)</f>
        <v>-3731.71796984406</v>
      </c>
      <c r="AB43" s="69" t="n">
        <f aca="false">-AB30*Inputs!$B$34/1000*Inputs!$B$35*(1+Inputs!$B$38)^(AB$7-1)</f>
        <v>-3758.42912914385</v>
      </c>
      <c r="AC43" s="69" t="n">
        <f aca="false">-AC30*Inputs!$B$34/1000*Inputs!$B$35*(1+Inputs!$B$38)^(AC$7-1)</f>
        <v>-5054.22694414755</v>
      </c>
      <c r="AD43" s="69" t="n">
        <f aca="false">-AD30*Inputs!$B$34/1000*Inputs!$B$35*(1+Inputs!$B$38)^(AD$7-1)</f>
        <v>-5104.21961434817</v>
      </c>
      <c r="AE43" s="69" t="n">
        <f aca="false">-AE30*Inputs!$B$34/1000*Inputs!$B$35*(1+Inputs!$B$38)^(AE$7-1)</f>
        <v>-5151.71265103876</v>
      </c>
      <c r="AF43" s="69" t="n">
        <f aca="false">-AF30*Inputs!$B$34/1000*Inputs!$B$35*(1+Inputs!$B$38)^(AF$7-1)</f>
        <v>-5196.83103589482</v>
      </c>
      <c r="AG43" s="69" t="n">
        <f aca="false">-AG30*Inputs!$B$34/1000*Inputs!$B$35*(1+Inputs!$B$38)^(AG$7-1)</f>
        <v>-5239.69350150808</v>
      </c>
      <c r="AH43" s="69" t="n">
        <f aca="false">-AH30*Inputs!$B$34/1000*Inputs!$B$35*(1+Inputs!$B$38)^(AH$7-1)</f>
        <v>-5280.41284384068</v>
      </c>
      <c r="AI43" s="69" t="n">
        <f aca="false">-AI30*Inputs!$B$34/1000*Inputs!$B$35*(1+Inputs!$B$38)^(AI$7-1)</f>
        <v>-5319.09621905665</v>
      </c>
      <c r="AJ43" s="69" t="n">
        <f aca="false">-AJ30*Inputs!$B$34/1000*Inputs!$B$35*(1+Inputs!$B$38)^(AJ$7-1)</f>
        <v>-5355.84542551181</v>
      </c>
      <c r="AK43" s="69" t="n">
        <f aca="false">-AK30*Inputs!$B$34/1000*Inputs!$B$35*(1+Inputs!$B$38)^(AK$7-1)</f>
        <v>-5390.75717164422</v>
      </c>
      <c r="AL43" s="69" t="n">
        <f aca="false">-AL30*Inputs!$B$34/1000*Inputs!$B$35*(1+Inputs!$B$38)^(AL$7-1)</f>
        <v>-4061.07702022051</v>
      </c>
    </row>
    <row r="44" customFormat="false" ht="15" hidden="false" customHeight="false" outlineLevel="0" collapsed="false">
      <c r="A44" s="6" t="s">
        <v>413</v>
      </c>
      <c r="C44" s="69" t="n">
        <f aca="false">-C30*Inputs!$B$36*(1+Inputs!$B$38)^(C$7-1)</f>
        <v>-947.110896</v>
      </c>
      <c r="D44" s="69" t="n">
        <f aca="false">-D30*Inputs!$B$36*(1+Inputs!$B$38)^(D$7-1)</f>
        <v>-1084.3906152</v>
      </c>
      <c r="E44" s="69" t="n">
        <f aca="false">-E30*Inputs!$B$36*(1+Inputs!$B$38)^(E$7-1)</f>
        <v>-1637.86342992</v>
      </c>
      <c r="F44" s="69" t="n">
        <f aca="false">-F30*Inputs!$B$36*(1+Inputs!$B$38)^(F$7-1)</f>
        <v>-1838.852306424</v>
      </c>
      <c r="G44" s="69" t="n">
        <f aca="false">-G30*Inputs!$B$36*(1+Inputs!$B$38)^(G$7-1)</f>
        <v>-2044.9511951028</v>
      </c>
      <c r="H44" s="69" t="n">
        <f aca="false">-H30*Inputs!$B$36*(1+Inputs!$B$38)^(H$7-1)</f>
        <v>-2255.90459534766</v>
      </c>
      <c r="I44" s="69" t="n">
        <f aca="false">-I30*Inputs!$B$36*(1+Inputs!$B$38)^(I$7-1)</f>
        <v>-2471.46978158028</v>
      </c>
      <c r="J44" s="69" t="n">
        <f aca="false">-J30*Inputs!$B$36*(1+Inputs!$B$38)^(J$7-1)</f>
        <v>-2691.41616450126</v>
      </c>
      <c r="K44" s="69" t="n">
        <f aca="false">-K30*Inputs!$B$36*(1+Inputs!$B$38)^(K$7-1)</f>
        <v>-2915.5246842762</v>
      </c>
      <c r="L44" s="69" t="n">
        <f aca="false">-L30*Inputs!$B$36*(1+Inputs!$B$38)^(L$7-1)</f>
        <v>-3143.58723406239</v>
      </c>
      <c r="M44" s="69" t="n">
        <f aca="false">-M30*Inputs!$B$36*(1+Inputs!$B$38)^(M$7-1)</f>
        <v>-3375.40611235927</v>
      </c>
      <c r="N44" s="69" t="n">
        <f aca="false">-N30*Inputs!$B$36*(1+Inputs!$B$38)^(N$7-1)</f>
        <v>-2702.09143105598</v>
      </c>
      <c r="O44" s="69" t="n">
        <f aca="false">-O30*Inputs!$B$36*(1+Inputs!$B$38)^(O$7-1)</f>
        <v>-2983.88844780331</v>
      </c>
      <c r="P44" s="69" t="n">
        <f aca="false">-P30*Inputs!$B$36*(1+Inputs!$B$38)^(P$7-1)</f>
        <v>-3039.78735021314</v>
      </c>
      <c r="Q44" s="69" t="n">
        <f aca="false">-Q30*Inputs!$B$36*(1+Inputs!$B$38)^(Q$7-1)</f>
        <v>-4132.65697106998</v>
      </c>
      <c r="R44" s="69" t="n">
        <f aca="false">-R30*Inputs!$B$36*(1+Inputs!$B$38)^(R$7-1)</f>
        <v>-4217.08567771648</v>
      </c>
      <c r="S44" s="69" t="n">
        <f aca="false">-S30*Inputs!$B$36*(1+Inputs!$B$38)^(S$7-1)</f>
        <v>-4297.29294903066</v>
      </c>
      <c r="T44" s="69" t="n">
        <f aca="false">-T30*Inputs!$B$36*(1+Inputs!$B$38)^(T$7-1)</f>
        <v>-4373.48985677912</v>
      </c>
      <c r="U44" s="69" t="n">
        <f aca="false">-U30*Inputs!$B$36*(1+Inputs!$B$38)^(U$7-1)</f>
        <v>-4445.87691914017</v>
      </c>
      <c r="V44" s="69" t="n">
        <f aca="false">-V30*Inputs!$B$36*(1+Inputs!$B$38)^(V$7-1)</f>
        <v>-4514.64462838316</v>
      </c>
      <c r="W44" s="69" t="n">
        <f aca="false">-W30*Inputs!$B$36*(1+Inputs!$B$38)^(W$7-1)</f>
        <v>-4579.973952164</v>
      </c>
      <c r="X44" s="69" t="n">
        <f aca="false">-X30*Inputs!$B$36*(1+Inputs!$B$38)^(X$7-1)</f>
        <v>-4642.0368097558</v>
      </c>
      <c r="Y44" s="69" t="n">
        <f aca="false">-Y30*Inputs!$B$36*(1+Inputs!$B$38)^(Y$7-1)</f>
        <v>-4700.99652446801</v>
      </c>
      <c r="Z44" s="69" t="n">
        <f aca="false">-Z30*Inputs!$B$36*(1+Inputs!$B$38)^(Z$7-1)</f>
        <v>-3561.15476928346</v>
      </c>
      <c r="AA44" s="69" t="n">
        <f aca="false">-AA30*Inputs!$B$36*(1+Inputs!$B$38)^(AA$7-1)</f>
        <v>-3731.71796984406</v>
      </c>
      <c r="AB44" s="69" t="n">
        <f aca="false">-AB30*Inputs!$B$36*(1+Inputs!$B$38)^(AB$7-1)</f>
        <v>-3758.42912914386</v>
      </c>
      <c r="AC44" s="69" t="n">
        <f aca="false">-AC30*Inputs!$B$36*(1+Inputs!$B$38)^(AC$7-1)</f>
        <v>-5054.22694414755</v>
      </c>
      <c r="AD44" s="69" t="n">
        <f aca="false">-AD30*Inputs!$B$36*(1+Inputs!$B$38)^(AD$7-1)</f>
        <v>-5104.21961434817</v>
      </c>
      <c r="AE44" s="69" t="n">
        <f aca="false">-AE30*Inputs!$B$36*(1+Inputs!$B$38)^(AE$7-1)</f>
        <v>-5151.71265103876</v>
      </c>
      <c r="AF44" s="69" t="n">
        <f aca="false">-AF30*Inputs!$B$36*(1+Inputs!$B$38)^(AF$7-1)</f>
        <v>-5196.83103589482</v>
      </c>
      <c r="AG44" s="69" t="n">
        <f aca="false">-AG30*Inputs!$B$36*(1+Inputs!$B$38)^(AG$7-1)</f>
        <v>-5239.69350150808</v>
      </c>
      <c r="AH44" s="69" t="n">
        <f aca="false">-AH30*Inputs!$B$36*(1+Inputs!$B$38)^(AH$7-1)</f>
        <v>-5280.41284384068</v>
      </c>
      <c r="AI44" s="69" t="n">
        <f aca="false">-AI30*Inputs!$B$36*(1+Inputs!$B$38)^(AI$7-1)</f>
        <v>-5319.09621905665</v>
      </c>
      <c r="AJ44" s="69" t="n">
        <f aca="false">-AJ30*Inputs!$B$36*(1+Inputs!$B$38)^(AJ$7-1)</f>
        <v>-5355.84542551181</v>
      </c>
      <c r="AK44" s="69" t="n">
        <f aca="false">-AK30*Inputs!$B$36*(1+Inputs!$B$38)^(AK$7-1)</f>
        <v>-5390.75717164422</v>
      </c>
      <c r="AL44" s="69" t="n">
        <f aca="false">-AL30*Inputs!$B$36*(1+Inputs!$B$38)^(AL$7-1)</f>
        <v>-4061.07702022051</v>
      </c>
    </row>
    <row r="45" customFormat="false" ht="15" hidden="false" customHeight="false" outlineLevel="0" collapsed="false">
      <c r="A45" s="6" t="s">
        <v>246</v>
      </c>
      <c r="C45" s="69" t="n">
        <f aca="false">C42+C43+C44</f>
        <v>-3893.678128</v>
      </c>
      <c r="D45" s="69" t="n">
        <f aca="false">D42+D43+D44</f>
        <v>-4458.05030693334</v>
      </c>
      <c r="E45" s="69" t="n">
        <f aca="false">E42+E43+E44</f>
        <v>-6733.43854522667</v>
      </c>
      <c r="F45" s="69" t="n">
        <f aca="false">F42+F43+F44</f>
        <v>-7559.726148632</v>
      </c>
      <c r="G45" s="69" t="n">
        <f aca="false">G42+G43+G44</f>
        <v>-8407.02157986707</v>
      </c>
      <c r="H45" s="69" t="n">
        <f aca="false">H42+H43+H44</f>
        <v>-9274.27444754038</v>
      </c>
      <c r="I45" s="69" t="n">
        <f aca="false">I42+I43+I44</f>
        <v>-10160.48687983</v>
      </c>
      <c r="J45" s="69" t="n">
        <f aca="false">J42+J43+J44</f>
        <v>-11064.7108985052</v>
      </c>
      <c r="K45" s="69" t="n">
        <f aca="false">K42+K43+K44</f>
        <v>-11986.0459242466</v>
      </c>
      <c r="L45" s="69" t="n">
        <f aca="false">L42+L43+L44</f>
        <v>-12923.6364067009</v>
      </c>
      <c r="M45" s="69" t="n">
        <f aca="false">M42+M43+M44</f>
        <v>-13876.6695730326</v>
      </c>
      <c r="N45" s="69" t="n">
        <f aca="false">N42+N43+N44</f>
        <v>-11108.5981054524</v>
      </c>
      <c r="O45" s="69" t="n">
        <f aca="false">O42+O43+O44</f>
        <v>-12267.0969520803</v>
      </c>
      <c r="P45" s="69" t="n">
        <f aca="false">P42+P43+P44</f>
        <v>-12496.9035508763</v>
      </c>
      <c r="Q45" s="69" t="n">
        <f aca="false">Q42+Q43+Q44</f>
        <v>-16989.8119921766</v>
      </c>
      <c r="R45" s="69" t="n">
        <f aca="false">R42+R43+R44</f>
        <v>-17336.9077861678</v>
      </c>
      <c r="S45" s="69" t="n">
        <f aca="false">S42+S43+S44</f>
        <v>-17666.6487904594</v>
      </c>
      <c r="T45" s="69" t="n">
        <f aca="false">T42+T43+T44</f>
        <v>-17979.9027445364</v>
      </c>
      <c r="U45" s="69" t="n">
        <f aca="false">U42+U43+U44</f>
        <v>-18277.4940009096</v>
      </c>
      <c r="V45" s="69" t="n">
        <f aca="false">V42+V43+V44</f>
        <v>-18560.2056944641</v>
      </c>
      <c r="W45" s="69" t="n">
        <f aca="false">W42+W43+W44</f>
        <v>-18828.7818033409</v>
      </c>
      <c r="X45" s="69" t="n">
        <f aca="false">X42+X43+X44</f>
        <v>-19083.9291067739</v>
      </c>
      <c r="Y45" s="69" t="n">
        <f aca="false">Y42+Y43+Y44</f>
        <v>-19326.3190450352</v>
      </c>
      <c r="Z45" s="69" t="n">
        <f aca="false">Z42+Z43+Z44</f>
        <v>-14640.3029403876</v>
      </c>
      <c r="AA45" s="69" t="n">
        <f aca="false">AA42+AA43+AA44</f>
        <v>-15341.5072093589</v>
      </c>
      <c r="AB45" s="69" t="n">
        <f aca="false">AB42+AB43+AB44</f>
        <v>-15451.319753147</v>
      </c>
      <c r="AC45" s="69" t="n">
        <f aca="false">AC42+AC43+AC44</f>
        <v>-20778.4885481621</v>
      </c>
      <c r="AD45" s="69" t="n">
        <f aca="false">AD42+AD43+AD44</f>
        <v>-20984.013970098</v>
      </c>
      <c r="AE45" s="69" t="n">
        <f aca="false">AE42+AE43+AE44</f>
        <v>-21179.2631209371</v>
      </c>
      <c r="AF45" s="69" t="n">
        <f aca="false">AF42+AF43+AF44</f>
        <v>-21364.7498142343</v>
      </c>
      <c r="AG45" s="69" t="n">
        <f aca="false">AG42+AG43+AG44</f>
        <v>-21540.9621728666</v>
      </c>
      <c r="AH45" s="69" t="n">
        <f aca="false">AH42+AH43+AH44</f>
        <v>-21708.3639135672</v>
      </c>
      <c r="AI45" s="69" t="n">
        <f aca="false">AI42+AI43+AI44</f>
        <v>-21867.3955672329</v>
      </c>
      <c r="AJ45" s="69" t="n">
        <f aca="false">AJ42+AJ43+AJ44</f>
        <v>-22018.4756382152</v>
      </c>
      <c r="AK45" s="69" t="n">
        <f aca="false">AK42+AK43+AK44</f>
        <v>-22162.0017056485</v>
      </c>
      <c r="AL45" s="69" t="n">
        <f aca="false">AL42+AL43+AL44</f>
        <v>-16695.5388609065</v>
      </c>
    </row>
    <row r="46" customFormat="false" ht="15" hidden="false" customHeight="false" outlineLevel="0" collapsed="false">
      <c r="A46" s="6" t="s">
        <v>414</v>
      </c>
      <c r="C46" s="69" t="n">
        <f aca="false">-C39*Inputs!$B$37</f>
        <v>-847.894528</v>
      </c>
      <c r="D46" s="69" t="n">
        <f aca="false">-D39*Inputs!$B$37</f>
        <v>-972.157166933334</v>
      </c>
      <c r="E46" s="69" t="n">
        <f aca="false">-E39*Inputs!$B$37</f>
        <v>-1400.89006592</v>
      </c>
      <c r="F46" s="69" t="n">
        <f aca="false">-F39*Inputs!$B$37</f>
        <v>-1570.617210624</v>
      </c>
      <c r="G46" s="69" t="n">
        <f aca="false">-G39*Inputs!$B$37</f>
        <v>-1743.2131340928</v>
      </c>
      <c r="H46" s="69" t="n">
        <f aca="false">-H39*Inputs!$B$37</f>
        <v>-1918.53439738816</v>
      </c>
      <c r="I46" s="69" t="n">
        <f aca="false">-I39*Inputs!$B$37</f>
        <v>-2096.44473351875</v>
      </c>
      <c r="J46" s="69" t="n">
        <f aca="false">-J39*Inputs!$B$37</f>
        <v>-2276.81468884281</v>
      </c>
      <c r="K46" s="69" t="n">
        <f aca="false">-K39*Inputs!$B$37</f>
        <v>-2459.52128240067</v>
      </c>
      <c r="L46" s="69" t="n">
        <f aca="false">-L39*Inputs!$B$37</f>
        <v>-2644.44768228064</v>
      </c>
      <c r="M46" s="69" t="n">
        <f aca="false">-M39*Inputs!$B$37</f>
        <v>-2831.48289816661</v>
      </c>
      <c r="N46" s="69" t="n">
        <f aca="false">-N39*Inputs!$B$37</f>
        <v>-2398.10322792494</v>
      </c>
      <c r="O46" s="69" t="n">
        <f aca="false">-O39*Inputs!$B$37</f>
        <v>-2570.08300356732</v>
      </c>
      <c r="P46" s="69" t="n">
        <f aca="false">-P39*Inputs!$B$37</f>
        <v>-2610.71846298895</v>
      </c>
      <c r="Q46" s="69" t="n">
        <f aca="false">-Q39*Inputs!$B$37</f>
        <v>-3313.9661430395</v>
      </c>
      <c r="R46" s="69" t="n">
        <f aca="false">-R39*Inputs!$B$37</f>
        <v>-3359.99744868753</v>
      </c>
      <c r="S46" s="69" t="n">
        <f aca="false">-S39*Inputs!$B$37</f>
        <v>-3403.72718905315</v>
      </c>
      <c r="T46" s="69" t="n">
        <f aca="false">-T39*Inputs!$B$37</f>
        <v>-3445.2704424005</v>
      </c>
      <c r="U46" s="69" t="n">
        <f aca="false">-U39*Inputs!$B$37</f>
        <v>-3484.73653308047</v>
      </c>
      <c r="V46" s="69" t="n">
        <f aca="false">-V39*Inputs!$B$37</f>
        <v>-3522.22931922645</v>
      </c>
      <c r="W46" s="69" t="n">
        <f aca="false">-W39*Inputs!$B$37</f>
        <v>-3557.84746606512</v>
      </c>
      <c r="X46" s="69" t="n">
        <f aca="false">-X39*Inputs!$B$37</f>
        <v>-3591.68470556187</v>
      </c>
      <c r="Y46" s="69" t="n">
        <f aca="false">-Y39*Inputs!$B$37</f>
        <v>-3623.83008308377</v>
      </c>
      <c r="Z46" s="69" t="n">
        <f aca="false">-Z39*Inputs!$B$37</f>
        <v>-2989.72419812959</v>
      </c>
      <c r="AA46" s="69" t="n">
        <f aca="false">-AA39*Inputs!$B$37</f>
        <v>-3039.47137380134</v>
      </c>
      <c r="AB46" s="69" t="n">
        <f aca="false">-AB39*Inputs!$B$37</f>
        <v>-3058.32881080727</v>
      </c>
      <c r="AC46" s="69" t="n">
        <f aca="false">-AC39*Inputs!$B$37</f>
        <v>-3747.53380949891</v>
      </c>
      <c r="AD46" s="69" t="n">
        <f aca="false">-AD39*Inputs!$B$37</f>
        <v>-3774.00402795196</v>
      </c>
      <c r="AE46" s="69" t="n">
        <f aca="false">-AE39*Inputs!$B$37</f>
        <v>-3799.15073548236</v>
      </c>
      <c r="AF46" s="69" t="n">
        <f aca="false">-AF39*Inputs!$B$37</f>
        <v>-3823.04010763625</v>
      </c>
      <c r="AG46" s="69" t="n">
        <f aca="false">-AG39*Inputs!$B$37</f>
        <v>-3845.73501118243</v>
      </c>
      <c r="AH46" s="69" t="n">
        <f aca="false">-AH39*Inputs!$B$37</f>
        <v>-3867.29516955131</v>
      </c>
      <c r="AI46" s="69" t="n">
        <f aca="false">-AI39*Inputs!$B$37</f>
        <v>-3887.77732000175</v>
      </c>
      <c r="AJ46" s="69" t="n">
        <f aca="false">-AJ39*Inputs!$B$37</f>
        <v>-3907.23536292966</v>
      </c>
      <c r="AK46" s="69" t="n">
        <f aca="false">-AK39*Inputs!$B$37</f>
        <v>-3925.72050371118</v>
      </c>
      <c r="AL46" s="69" t="n">
        <f aca="false">-AL39*Inputs!$B$37</f>
        <v>-3271.99095391762</v>
      </c>
    </row>
    <row r="47" customFormat="false" ht="15" hidden="false" customHeight="false" outlineLevel="0" collapsed="false">
      <c r="A47" s="4" t="s">
        <v>76</v>
      </c>
      <c r="C47" s="75" t="n">
        <f aca="false">C45+C46</f>
        <v>-4741.572656</v>
      </c>
      <c r="D47" s="75" t="n">
        <f aca="false">D45+D46</f>
        <v>-5430.20747386667</v>
      </c>
      <c r="E47" s="75" t="n">
        <f aca="false">E45+E46</f>
        <v>-8134.32861114667</v>
      </c>
      <c r="F47" s="75" t="n">
        <f aca="false">F45+F46</f>
        <v>-9130.343359256</v>
      </c>
      <c r="G47" s="75" t="n">
        <f aca="false">G45+G46</f>
        <v>-10150.2347139599</v>
      </c>
      <c r="H47" s="75" t="n">
        <f aca="false">H45+H46</f>
        <v>-11192.8088449285</v>
      </c>
      <c r="I47" s="75" t="n">
        <f aca="false">I45+I46</f>
        <v>-12256.9316133488</v>
      </c>
      <c r="J47" s="75" t="n">
        <f aca="false">J45+J46</f>
        <v>-13341.525587348</v>
      </c>
      <c r="K47" s="75" t="n">
        <f aca="false">K45+K46</f>
        <v>-14445.5672066473</v>
      </c>
      <c r="L47" s="75" t="n">
        <f aca="false">L45+L46</f>
        <v>-15568.0840889816</v>
      </c>
      <c r="M47" s="75" t="n">
        <f aca="false">M45+M46</f>
        <v>-16708.1524711992</v>
      </c>
      <c r="N47" s="75" t="n">
        <f aca="false">N45+N46</f>
        <v>-13506.7013333773</v>
      </c>
      <c r="O47" s="75" t="n">
        <f aca="false">O45+O46</f>
        <v>-14837.1799556476</v>
      </c>
      <c r="P47" s="75" t="n">
        <f aca="false">P45+P46</f>
        <v>-15107.6220138652</v>
      </c>
      <c r="Q47" s="75" t="n">
        <f aca="false">Q45+Q46</f>
        <v>-20303.7781352161</v>
      </c>
      <c r="R47" s="75" t="n">
        <f aca="false">R45+R46</f>
        <v>-20696.9052348553</v>
      </c>
      <c r="S47" s="75" t="n">
        <f aca="false">S45+S46</f>
        <v>-21070.3759795125</v>
      </c>
      <c r="T47" s="75" t="n">
        <f aca="false">T45+T46</f>
        <v>-21425.1731869369</v>
      </c>
      <c r="U47" s="75" t="n">
        <f aca="false">U45+U46</f>
        <v>-21762.2305339901</v>
      </c>
      <c r="V47" s="75" t="n">
        <f aca="false">V45+V46</f>
        <v>-22082.4350136906</v>
      </c>
      <c r="W47" s="75" t="n">
        <f aca="false">W45+W46</f>
        <v>-22386.629269406</v>
      </c>
      <c r="X47" s="75" t="n">
        <f aca="false">X45+X46</f>
        <v>-22675.6138123357</v>
      </c>
      <c r="Y47" s="75" t="n">
        <f aca="false">Y45+Y46</f>
        <v>-22950.1491281189</v>
      </c>
      <c r="Z47" s="75" t="n">
        <f aca="false">Z45+Z46</f>
        <v>-17630.0271385171</v>
      </c>
      <c r="AA47" s="75" t="n">
        <f aca="false">AA45+AA46</f>
        <v>-18380.9785831602</v>
      </c>
      <c r="AB47" s="75" t="n">
        <f aca="false">AB45+AB46</f>
        <v>-18509.6485639542</v>
      </c>
      <c r="AC47" s="75" t="n">
        <f aca="false">AC45+AC46</f>
        <v>-24526.0223576611</v>
      </c>
      <c r="AD47" s="75" t="n">
        <f aca="false">AD45+AD46</f>
        <v>-24758.01799805</v>
      </c>
      <c r="AE47" s="75" t="n">
        <f aca="false">AE45+AE46</f>
        <v>-24978.4138564195</v>
      </c>
      <c r="AF47" s="75" t="n">
        <f aca="false">AF45+AF46</f>
        <v>-25187.7899218705</v>
      </c>
      <c r="AG47" s="75" t="n">
        <f aca="false">AG45+AG46</f>
        <v>-25386.697184049</v>
      </c>
      <c r="AH47" s="75" t="n">
        <f aca="false">AH45+AH46</f>
        <v>-25575.6590831185</v>
      </c>
      <c r="AI47" s="75" t="n">
        <f aca="false">AI45+AI46</f>
        <v>-25755.1728872346</v>
      </c>
      <c r="AJ47" s="75" t="n">
        <f aca="false">AJ45+AJ46</f>
        <v>-25925.7110011449</v>
      </c>
      <c r="AK47" s="75" t="n">
        <f aca="false">AK45+AK46</f>
        <v>-26087.7222093596</v>
      </c>
      <c r="AL47" s="75" t="n">
        <f aca="false">AL45+AL46</f>
        <v>-19967.5298148241</v>
      </c>
    </row>
    <row r="48" customFormat="false" ht="15" hidden="false" customHeight="false" outlineLevel="0" collapsed="false">
      <c r="A48" s="113" t="s">
        <v>45</v>
      </c>
      <c r="C48" s="70" t="n">
        <f aca="false">C39+C47</f>
        <v>21755.131344</v>
      </c>
      <c r="D48" s="70" t="n">
        <f aca="false">D39+D47</f>
        <v>24949.7039928</v>
      </c>
      <c r="E48" s="70" t="n">
        <f aca="false">E39+E47</f>
        <v>35643.4859488533</v>
      </c>
      <c r="F48" s="70" t="n">
        <f aca="false">F39+F47</f>
        <v>39951.444472744</v>
      </c>
      <c r="G48" s="70" t="n">
        <f aca="false">G39+G47</f>
        <v>44325.1757264401</v>
      </c>
      <c r="H48" s="70" t="n">
        <f aca="false">H39+H47</f>
        <v>48761.3910734515</v>
      </c>
      <c r="I48" s="70" t="n">
        <f aca="false">I39+I47</f>
        <v>53256.9663091122</v>
      </c>
      <c r="J48" s="70" t="n">
        <f aca="false">J39+J47</f>
        <v>57808.9334389899</v>
      </c>
      <c r="K48" s="70" t="n">
        <f aca="false">K39+K47</f>
        <v>62414.4728683738</v>
      </c>
      <c r="L48" s="70" t="n">
        <f aca="false">L39+L47</f>
        <v>67070.9059822884</v>
      </c>
      <c r="M48" s="70" t="n">
        <f aca="false">M39+M47</f>
        <v>71775.6880965073</v>
      </c>
      <c r="N48" s="70" t="n">
        <f aca="false">N39+N47</f>
        <v>61434.0245392772</v>
      </c>
      <c r="O48" s="70" t="n">
        <f aca="false">O39+O47</f>
        <v>65477.9139058311</v>
      </c>
      <c r="P48" s="70" t="n">
        <f aca="false">P39+P47</f>
        <v>66477.3299545395</v>
      </c>
      <c r="Q48" s="70" t="n">
        <f aca="false">Q39+Q47</f>
        <v>83257.6638347684</v>
      </c>
      <c r="R48" s="70" t="n">
        <f aca="false">R39+R47</f>
        <v>84303.01503663</v>
      </c>
      <c r="S48" s="70" t="n">
        <f aca="false">S39+S47</f>
        <v>85296.0986783985</v>
      </c>
      <c r="T48" s="70" t="n">
        <f aca="false">T39+T47</f>
        <v>86239.5281380786</v>
      </c>
      <c r="U48" s="70" t="n">
        <f aca="false">U39+U47</f>
        <v>87135.7861247746</v>
      </c>
      <c r="V48" s="70" t="n">
        <f aca="false">V39+V47</f>
        <v>87987.2312121359</v>
      </c>
      <c r="W48" s="70" t="n">
        <f aca="false">W39+W47</f>
        <v>88796.1040451291</v>
      </c>
      <c r="X48" s="70" t="n">
        <f aca="false">X39+X47</f>
        <v>89564.5332364727</v>
      </c>
      <c r="Y48" s="70" t="n">
        <f aca="false">Y39+Y47</f>
        <v>90294.540968249</v>
      </c>
      <c r="Z48" s="70" t="n">
        <f aca="false">Z39+Z47</f>
        <v>75798.8540530324</v>
      </c>
      <c r="AA48" s="70" t="n">
        <f aca="false">AA39+AA47</f>
        <v>76602.5018481316</v>
      </c>
      <c r="AB48" s="70" t="n">
        <f aca="false">AB39+AB47</f>
        <v>77063.126773773</v>
      </c>
      <c r="AC48" s="70" t="n">
        <f aca="false">AC39+AC47</f>
        <v>92584.4091891798</v>
      </c>
      <c r="AD48" s="70" t="n">
        <f aca="false">AD39+AD47</f>
        <v>93179.6078754488</v>
      </c>
      <c r="AE48" s="70" t="n">
        <f aca="false">AE39+AE47</f>
        <v>93745.0466274044</v>
      </c>
      <c r="AF48" s="70" t="n">
        <f aca="false">AF39+AF47</f>
        <v>94282.2134417621</v>
      </c>
      <c r="AG48" s="70" t="n">
        <f aca="false">AG39+AG47</f>
        <v>94792.521915402</v>
      </c>
      <c r="AH48" s="70" t="n">
        <f aca="false">AH39+AH47</f>
        <v>95277.3149653599</v>
      </c>
      <c r="AI48" s="70" t="n">
        <f aca="false">AI39+AI47</f>
        <v>95737.8683628199</v>
      </c>
      <c r="AJ48" s="70" t="n">
        <f aca="false">AJ39+AJ47</f>
        <v>96175.3940904069</v>
      </c>
      <c r="AK48" s="70" t="n">
        <f aca="false">AK39+AK47</f>
        <v>96591.0435316146</v>
      </c>
      <c r="AL48" s="70" t="n">
        <f aca="false">AL39+AL47</f>
        <v>82282.1874951014</v>
      </c>
    </row>
    <row r="50" customFormat="false" ht="15.75" hidden="false" customHeight="true" outlineLevel="0" collapsed="false">
      <c r="A50" s="7" t="s">
        <v>47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338</v>
      </c>
      <c r="C51" s="69" t="n">
        <f aca="false">C128</f>
        <v>-36586.6666666667</v>
      </c>
      <c r="D51" s="69" t="n">
        <f aca="false">D128</f>
        <v>-36586.6666666667</v>
      </c>
      <c r="E51" s="69" t="n">
        <f aca="false">E128</f>
        <v>-36586.6666666667</v>
      </c>
      <c r="F51" s="69" t="n">
        <f aca="false">F128</f>
        <v>-36586.6666666667</v>
      </c>
      <c r="G51" s="69" t="n">
        <f aca="false">G128</f>
        <v>-36586.6666666667</v>
      </c>
      <c r="H51" s="69" t="n">
        <f aca="false">H128</f>
        <v>-36586.6666666667</v>
      </c>
      <c r="I51" s="69" t="n">
        <f aca="false">I128</f>
        <v>-36586.6666666667</v>
      </c>
      <c r="J51" s="69" t="n">
        <f aca="false">J128</f>
        <v>-36586.6666666667</v>
      </c>
      <c r="K51" s="69" t="n">
        <f aca="false">K128</f>
        <v>-36586.6666666667</v>
      </c>
      <c r="L51" s="69" t="n">
        <f aca="false">L128</f>
        <v>-36586.6666666667</v>
      </c>
      <c r="M51" s="69" t="n">
        <f aca="false">M128</f>
        <v>-36586.6666666667</v>
      </c>
      <c r="N51" s="69" t="n">
        <f aca="false">N128</f>
        <v>-36586.6666666667</v>
      </c>
      <c r="O51" s="69" t="n">
        <f aca="false">O128</f>
        <v>-37684.2666666667</v>
      </c>
      <c r="P51" s="69" t="n">
        <f aca="false">P128</f>
        <v>-37684.2666666667</v>
      </c>
      <c r="Q51" s="69" t="n">
        <f aca="false">Q128</f>
        <v>-37684.2666666667</v>
      </c>
      <c r="R51" s="69" t="n">
        <f aca="false">R128</f>
        <v>-37684.2666666667</v>
      </c>
      <c r="S51" s="69" t="n">
        <f aca="false">S128</f>
        <v>-37684.2666666667</v>
      </c>
      <c r="T51" s="69" t="n">
        <f aca="false">T128</f>
        <v>-37684.2666666667</v>
      </c>
      <c r="U51" s="69" t="n">
        <f aca="false">U128</f>
        <v>-37684.2666666667</v>
      </c>
      <c r="V51" s="69" t="n">
        <f aca="false">V128</f>
        <v>-37684.2666666667</v>
      </c>
      <c r="W51" s="69" t="n">
        <f aca="false">W128</f>
        <v>-37684.2666666667</v>
      </c>
      <c r="X51" s="69" t="n">
        <f aca="false">X128</f>
        <v>-37684.2666666667</v>
      </c>
      <c r="Y51" s="69" t="n">
        <f aca="false">Y128</f>
        <v>-37684.2666666667</v>
      </c>
      <c r="Z51" s="69" t="n">
        <f aca="false">Z128</f>
        <v>-37684.2666666667</v>
      </c>
      <c r="AA51" s="69" t="n">
        <f aca="false">AA128</f>
        <v>-38814.7946666667</v>
      </c>
      <c r="AB51" s="69" t="n">
        <f aca="false">AB128</f>
        <v>-38814.7946666667</v>
      </c>
      <c r="AC51" s="69" t="n">
        <f aca="false">AC128</f>
        <v>-38814.7946666667</v>
      </c>
      <c r="AD51" s="69" t="n">
        <f aca="false">AD128</f>
        <v>-38814.7946666667</v>
      </c>
      <c r="AE51" s="69" t="n">
        <f aca="false">AE128</f>
        <v>-38814.7946666667</v>
      </c>
      <c r="AF51" s="69" t="n">
        <f aca="false">AF128</f>
        <v>-38814.7946666667</v>
      </c>
      <c r="AG51" s="69" t="n">
        <f aca="false">AG128</f>
        <v>-38814.7946666667</v>
      </c>
      <c r="AH51" s="69" t="n">
        <f aca="false">AH128</f>
        <v>-38814.7946666667</v>
      </c>
      <c r="AI51" s="69" t="n">
        <f aca="false">AI128</f>
        <v>-38814.7946666667</v>
      </c>
      <c r="AJ51" s="69" t="n">
        <f aca="false">AJ128</f>
        <v>-38814.7946666667</v>
      </c>
      <c r="AK51" s="69" t="n">
        <f aca="false">AK128</f>
        <v>-38814.7946666667</v>
      </c>
      <c r="AL51" s="69" t="n">
        <f aca="false">AL128</f>
        <v>-38814.7946666667</v>
      </c>
    </row>
    <row r="52" customFormat="false" ht="15" hidden="false" customHeight="false" outlineLevel="0" collapsed="false">
      <c r="A52" s="6" t="s">
        <v>339</v>
      </c>
      <c r="C52" s="69" t="n">
        <f aca="false">-Inputs!$B$41*(1+Inputs!$B$42)^(C$7-1)*1</f>
        <v>-30000</v>
      </c>
      <c r="D52" s="69" t="n">
        <f aca="false">-Inputs!$B$41*(1+Inputs!$B$42)^(D$7-1)*1</f>
        <v>-30000</v>
      </c>
      <c r="E52" s="69" t="n">
        <f aca="false">-Inputs!$B$41*(1+Inputs!$B$42)^(E$7-1)*1</f>
        <v>-30000</v>
      </c>
      <c r="F52" s="69" t="n">
        <f aca="false">-Inputs!$B$41*(1+Inputs!$B$42)^(F$7-1)*1</f>
        <v>-30000</v>
      </c>
      <c r="G52" s="69" t="n">
        <f aca="false">-Inputs!$B$41*(1+Inputs!$B$42)^(G$7-1)*1</f>
        <v>-30000</v>
      </c>
      <c r="H52" s="69" t="n">
        <f aca="false">-Inputs!$B$41*(1+Inputs!$B$42)^(H$7-1)*1</f>
        <v>-30000</v>
      </c>
      <c r="I52" s="69" t="n">
        <f aca="false">-Inputs!$B$41*(1+Inputs!$B$42)^(I$7-1)*1</f>
        <v>-30000</v>
      </c>
      <c r="J52" s="69" t="n">
        <f aca="false">-Inputs!$B$41*(1+Inputs!$B$42)^(J$7-1)*1</f>
        <v>-30000</v>
      </c>
      <c r="K52" s="69" t="n">
        <f aca="false">-Inputs!$B$41*(1+Inputs!$B$42)^(K$7-1)*1</f>
        <v>-30000</v>
      </c>
      <c r="L52" s="69" t="n">
        <f aca="false">-Inputs!$B$41*(1+Inputs!$B$42)^(L$7-1)*1</f>
        <v>-30000</v>
      </c>
      <c r="M52" s="69" t="n">
        <f aca="false">-Inputs!$B$41*(1+Inputs!$B$42)^(M$7-1)*1</f>
        <v>-30000</v>
      </c>
      <c r="N52" s="69" t="n">
        <f aca="false">-Inputs!$B$41*(1+Inputs!$B$42)^(N$7-1)*1</f>
        <v>-30000</v>
      </c>
      <c r="O52" s="69" t="n">
        <f aca="false">-Inputs!$B$41*(1+Inputs!$B$42)^(O$7-1)*1</f>
        <v>-30900</v>
      </c>
      <c r="P52" s="69" t="n">
        <f aca="false">-Inputs!$B$41*(1+Inputs!$B$42)^(P$7-1)*1</f>
        <v>-30900</v>
      </c>
      <c r="Q52" s="69" t="n">
        <f aca="false">-Inputs!$B$41*(1+Inputs!$B$42)^(Q$7-1)*1</f>
        <v>-30900</v>
      </c>
      <c r="R52" s="69" t="n">
        <f aca="false">-Inputs!$B$41*(1+Inputs!$B$42)^(R$7-1)*1</f>
        <v>-30900</v>
      </c>
      <c r="S52" s="69" t="n">
        <f aca="false">-Inputs!$B$41*(1+Inputs!$B$42)^(S$7-1)*1</f>
        <v>-30900</v>
      </c>
      <c r="T52" s="69" t="n">
        <f aca="false">-Inputs!$B$41*(1+Inputs!$B$42)^(T$7-1)*1</f>
        <v>-30900</v>
      </c>
      <c r="U52" s="69" t="n">
        <f aca="false">-Inputs!$B$41*(1+Inputs!$B$42)^(U$7-1)*1</f>
        <v>-30900</v>
      </c>
      <c r="V52" s="69" t="n">
        <f aca="false">-Inputs!$B$41*(1+Inputs!$B$42)^(V$7-1)*1</f>
        <v>-30900</v>
      </c>
      <c r="W52" s="69" t="n">
        <f aca="false">-Inputs!$B$41*(1+Inputs!$B$42)^(W$7-1)*1</f>
        <v>-30900</v>
      </c>
      <c r="X52" s="69" t="n">
        <f aca="false">-Inputs!$B$41*(1+Inputs!$B$42)^(X$7-1)*1</f>
        <v>-30900</v>
      </c>
      <c r="Y52" s="69" t="n">
        <f aca="false">-Inputs!$B$41*(1+Inputs!$B$42)^(Y$7-1)*1</f>
        <v>-30900</v>
      </c>
      <c r="Z52" s="69" t="n">
        <f aca="false">-Inputs!$B$41*(1+Inputs!$B$42)^(Z$7-1)*1</f>
        <v>-30900</v>
      </c>
      <c r="AA52" s="69" t="n">
        <f aca="false">-Inputs!$B$41*(1+Inputs!$B$42)^(AA$7-1)*1</f>
        <v>-31827</v>
      </c>
      <c r="AB52" s="69" t="n">
        <f aca="false">-Inputs!$B$41*(1+Inputs!$B$42)^(AB$7-1)*1</f>
        <v>-31827</v>
      </c>
      <c r="AC52" s="69" t="n">
        <f aca="false">-Inputs!$B$41*(1+Inputs!$B$42)^(AC$7-1)*1</f>
        <v>-31827</v>
      </c>
      <c r="AD52" s="69" t="n">
        <f aca="false">-Inputs!$B$41*(1+Inputs!$B$42)^(AD$7-1)*1</f>
        <v>-31827</v>
      </c>
      <c r="AE52" s="69" t="n">
        <f aca="false">-Inputs!$B$41*(1+Inputs!$B$42)^(AE$7-1)*1</f>
        <v>-31827</v>
      </c>
      <c r="AF52" s="69" t="n">
        <f aca="false">-Inputs!$B$41*(1+Inputs!$B$42)^(AF$7-1)*1</f>
        <v>-31827</v>
      </c>
      <c r="AG52" s="69" t="n">
        <f aca="false">-Inputs!$B$41*(1+Inputs!$B$42)^(AG$7-1)*1</f>
        <v>-31827</v>
      </c>
      <c r="AH52" s="69" t="n">
        <f aca="false">-Inputs!$B$41*(1+Inputs!$B$42)^(AH$7-1)*1</f>
        <v>-31827</v>
      </c>
      <c r="AI52" s="69" t="n">
        <f aca="false">-Inputs!$B$41*(1+Inputs!$B$42)^(AI$7-1)*1</f>
        <v>-31827</v>
      </c>
      <c r="AJ52" s="69" t="n">
        <f aca="false">-Inputs!$B$41*(1+Inputs!$B$42)^(AJ$7-1)*1</f>
        <v>-31827</v>
      </c>
      <c r="AK52" s="69" t="n">
        <f aca="false">-Inputs!$B$41*(1+Inputs!$B$42)^(AK$7-1)*1</f>
        <v>-31827</v>
      </c>
      <c r="AL52" s="69" t="n">
        <f aca="false">-Inputs!$B$41*(1+Inputs!$B$42)^(AL$7-1)*1</f>
        <v>-31827</v>
      </c>
    </row>
    <row r="53" customFormat="false" ht="15" hidden="false" customHeight="false" outlineLevel="0" collapsed="false">
      <c r="A53" s="6" t="s">
        <v>340</v>
      </c>
      <c r="C53" s="69" t="n">
        <f aca="false">-Inputs!$B$43*(1+Inputs!$B$38)^(C$7-1)*1</f>
        <v>-5500</v>
      </c>
      <c r="D53" s="69" t="n">
        <f aca="false">-Inputs!$B$43*(1+Inputs!$B$38)^(D$7-1)*1</f>
        <v>-5500</v>
      </c>
      <c r="E53" s="69" t="n">
        <f aca="false">-Inputs!$B$43*(1+Inputs!$B$38)^(E$7-1)*1</f>
        <v>-5500</v>
      </c>
      <c r="F53" s="69" t="n">
        <f aca="false">-Inputs!$B$43*(1+Inputs!$B$38)^(F$7-1)*1</f>
        <v>-5500</v>
      </c>
      <c r="G53" s="69" t="n">
        <f aca="false">-Inputs!$B$43*(1+Inputs!$B$38)^(G$7-1)*1</f>
        <v>-5500</v>
      </c>
      <c r="H53" s="69" t="n">
        <f aca="false">-Inputs!$B$43*(1+Inputs!$B$38)^(H$7-1)*1</f>
        <v>-5500</v>
      </c>
      <c r="I53" s="69" t="n">
        <f aca="false">-Inputs!$B$43*(1+Inputs!$B$38)^(I$7-1)*1</f>
        <v>-5500</v>
      </c>
      <c r="J53" s="69" t="n">
        <f aca="false">-Inputs!$B$43*(1+Inputs!$B$38)^(J$7-1)*1</f>
        <v>-5500</v>
      </c>
      <c r="K53" s="69" t="n">
        <f aca="false">-Inputs!$B$43*(1+Inputs!$B$38)^(K$7-1)*1</f>
        <v>-5500</v>
      </c>
      <c r="L53" s="69" t="n">
        <f aca="false">-Inputs!$B$43*(1+Inputs!$B$38)^(L$7-1)*1</f>
        <v>-5500</v>
      </c>
      <c r="M53" s="69" t="n">
        <f aca="false">-Inputs!$B$43*(1+Inputs!$B$38)^(M$7-1)*1</f>
        <v>-5500</v>
      </c>
      <c r="N53" s="69" t="n">
        <f aca="false">-Inputs!$B$43*(1+Inputs!$B$38)^(N$7-1)*1</f>
        <v>-5500</v>
      </c>
      <c r="O53" s="69" t="n">
        <f aca="false">-Inputs!$B$43*(1+Inputs!$B$38)^(O$7-1)*1</f>
        <v>-5720</v>
      </c>
      <c r="P53" s="69" t="n">
        <f aca="false">-Inputs!$B$43*(1+Inputs!$B$38)^(P$7-1)*1</f>
        <v>-5720</v>
      </c>
      <c r="Q53" s="69" t="n">
        <f aca="false">-Inputs!$B$43*(1+Inputs!$B$38)^(Q$7-1)*1</f>
        <v>-5720</v>
      </c>
      <c r="R53" s="69" t="n">
        <f aca="false">-Inputs!$B$43*(1+Inputs!$B$38)^(R$7-1)*1</f>
        <v>-5720</v>
      </c>
      <c r="S53" s="69" t="n">
        <f aca="false">-Inputs!$B$43*(1+Inputs!$B$38)^(S$7-1)*1</f>
        <v>-5720</v>
      </c>
      <c r="T53" s="69" t="n">
        <f aca="false">-Inputs!$B$43*(1+Inputs!$B$38)^(T$7-1)*1</f>
        <v>-5720</v>
      </c>
      <c r="U53" s="69" t="n">
        <f aca="false">-Inputs!$B$43*(1+Inputs!$B$38)^(U$7-1)*1</f>
        <v>-5720</v>
      </c>
      <c r="V53" s="69" t="n">
        <f aca="false">-Inputs!$B$43*(1+Inputs!$B$38)^(V$7-1)*1</f>
        <v>-5720</v>
      </c>
      <c r="W53" s="69" t="n">
        <f aca="false">-Inputs!$B$43*(1+Inputs!$B$38)^(W$7-1)*1</f>
        <v>-5720</v>
      </c>
      <c r="X53" s="69" t="n">
        <f aca="false">-Inputs!$B$43*(1+Inputs!$B$38)^(X$7-1)*1</f>
        <v>-5720</v>
      </c>
      <c r="Y53" s="69" t="n">
        <f aca="false">-Inputs!$B$43*(1+Inputs!$B$38)^(Y$7-1)*1</f>
        <v>-5720</v>
      </c>
      <c r="Z53" s="69" t="n">
        <f aca="false">-Inputs!$B$43*(1+Inputs!$B$38)^(Z$7-1)*1</f>
        <v>-5720</v>
      </c>
      <c r="AA53" s="69" t="n">
        <f aca="false">-Inputs!$B$43*(1+Inputs!$B$38)^(AA$7-1)*1</f>
        <v>-5948.8</v>
      </c>
      <c r="AB53" s="69" t="n">
        <f aca="false">-Inputs!$B$43*(1+Inputs!$B$38)^(AB$7-1)*1</f>
        <v>-5948.8</v>
      </c>
      <c r="AC53" s="69" t="n">
        <f aca="false">-Inputs!$B$43*(1+Inputs!$B$38)^(AC$7-1)*1</f>
        <v>-5948.8</v>
      </c>
      <c r="AD53" s="69" t="n">
        <f aca="false">-Inputs!$B$43*(1+Inputs!$B$38)^(AD$7-1)*1</f>
        <v>-5948.8</v>
      </c>
      <c r="AE53" s="69" t="n">
        <f aca="false">-Inputs!$B$43*(1+Inputs!$B$38)^(AE$7-1)*1</f>
        <v>-5948.8</v>
      </c>
      <c r="AF53" s="69" t="n">
        <f aca="false">-Inputs!$B$43*(1+Inputs!$B$38)^(AF$7-1)*1</f>
        <v>-5948.8</v>
      </c>
      <c r="AG53" s="69" t="n">
        <f aca="false">-Inputs!$B$43*(1+Inputs!$B$38)^(AG$7-1)*1</f>
        <v>-5948.8</v>
      </c>
      <c r="AH53" s="69" t="n">
        <f aca="false">-Inputs!$B$43*(1+Inputs!$B$38)^(AH$7-1)*1</f>
        <v>-5948.8</v>
      </c>
      <c r="AI53" s="69" t="n">
        <f aca="false">-Inputs!$B$43*(1+Inputs!$B$38)^(AI$7-1)*1</f>
        <v>-5948.8</v>
      </c>
      <c r="AJ53" s="69" t="n">
        <f aca="false">-Inputs!$B$43*(1+Inputs!$B$38)^(AJ$7-1)*1</f>
        <v>-5948.8</v>
      </c>
      <c r="AK53" s="69" t="n">
        <f aca="false">-Inputs!$B$43*(1+Inputs!$B$38)^(AK$7-1)*1</f>
        <v>-5948.8</v>
      </c>
      <c r="AL53" s="69" t="n">
        <f aca="false">-Inputs!$B$43*(1+Inputs!$B$38)^(AL$7-1)*1</f>
        <v>-5948.8</v>
      </c>
    </row>
    <row r="54" customFormat="false" ht="15" hidden="false" customHeight="false" outlineLevel="0" collapsed="false">
      <c r="A54" s="6" t="s">
        <v>341</v>
      </c>
      <c r="C54" s="69" t="n">
        <f aca="false">-Inputs!$B$44*(1+Inputs!$B$38)^(C$7-1)*1</f>
        <v>-9500</v>
      </c>
      <c r="D54" s="69" t="n">
        <f aca="false">-Inputs!$B$44*(1+Inputs!$B$38)^(D$7-1)*1</f>
        <v>-9500</v>
      </c>
      <c r="E54" s="69" t="n">
        <f aca="false">-Inputs!$B$44*(1+Inputs!$B$38)^(E$7-1)*1</f>
        <v>-9500</v>
      </c>
      <c r="F54" s="69" t="n">
        <f aca="false">-Inputs!$B$44*(1+Inputs!$B$38)^(F$7-1)*1</f>
        <v>-9500</v>
      </c>
      <c r="G54" s="69" t="n">
        <f aca="false">-Inputs!$B$44*(1+Inputs!$B$38)^(G$7-1)*1</f>
        <v>-9500</v>
      </c>
      <c r="H54" s="69" t="n">
        <f aca="false">-Inputs!$B$44*(1+Inputs!$B$38)^(H$7-1)*1</f>
        <v>-9500</v>
      </c>
      <c r="I54" s="69" t="n">
        <f aca="false">-Inputs!$B$44*(1+Inputs!$B$38)^(I$7-1)*1</f>
        <v>-9500</v>
      </c>
      <c r="J54" s="69" t="n">
        <f aca="false">-Inputs!$B$44*(1+Inputs!$B$38)^(J$7-1)*1</f>
        <v>-9500</v>
      </c>
      <c r="K54" s="69" t="n">
        <f aca="false">-Inputs!$B$44*(1+Inputs!$B$38)^(K$7-1)*1</f>
        <v>-9500</v>
      </c>
      <c r="L54" s="69" t="n">
        <f aca="false">-Inputs!$B$44*(1+Inputs!$B$38)^(L$7-1)*1</f>
        <v>-9500</v>
      </c>
      <c r="M54" s="69" t="n">
        <f aca="false">-Inputs!$B$44*(1+Inputs!$B$38)^(M$7-1)*1</f>
        <v>-9500</v>
      </c>
      <c r="N54" s="69" t="n">
        <f aca="false">-Inputs!$B$44*(1+Inputs!$B$38)^(N$7-1)*1</f>
        <v>-9500</v>
      </c>
      <c r="O54" s="69" t="n">
        <f aca="false">-Inputs!$B$44*(1+Inputs!$B$38)^(O$7-1)*1</f>
        <v>-9880</v>
      </c>
      <c r="P54" s="69" t="n">
        <f aca="false">-Inputs!$B$44*(1+Inputs!$B$38)^(P$7-1)*1</f>
        <v>-9880</v>
      </c>
      <c r="Q54" s="69" t="n">
        <f aca="false">-Inputs!$B$44*(1+Inputs!$B$38)^(Q$7-1)*1</f>
        <v>-9880</v>
      </c>
      <c r="R54" s="69" t="n">
        <f aca="false">-Inputs!$B$44*(1+Inputs!$B$38)^(R$7-1)*1</f>
        <v>-9880</v>
      </c>
      <c r="S54" s="69" t="n">
        <f aca="false">-Inputs!$B$44*(1+Inputs!$B$38)^(S$7-1)*1</f>
        <v>-9880</v>
      </c>
      <c r="T54" s="69" t="n">
        <f aca="false">-Inputs!$B$44*(1+Inputs!$B$38)^(T$7-1)*1</f>
        <v>-9880</v>
      </c>
      <c r="U54" s="69" t="n">
        <f aca="false">-Inputs!$B$44*(1+Inputs!$B$38)^(U$7-1)*1</f>
        <v>-9880</v>
      </c>
      <c r="V54" s="69" t="n">
        <f aca="false">-Inputs!$B$44*(1+Inputs!$B$38)^(V$7-1)*1</f>
        <v>-9880</v>
      </c>
      <c r="W54" s="69" t="n">
        <f aca="false">-Inputs!$B$44*(1+Inputs!$B$38)^(W$7-1)*1</f>
        <v>-9880</v>
      </c>
      <c r="X54" s="69" t="n">
        <f aca="false">-Inputs!$B$44*(1+Inputs!$B$38)^(X$7-1)*1</f>
        <v>-9880</v>
      </c>
      <c r="Y54" s="69" t="n">
        <f aca="false">-Inputs!$B$44*(1+Inputs!$B$38)^(Y$7-1)*1</f>
        <v>-9880</v>
      </c>
      <c r="Z54" s="69" t="n">
        <f aca="false">-Inputs!$B$44*(1+Inputs!$B$38)^(Z$7-1)*1</f>
        <v>-9880</v>
      </c>
      <c r="AA54" s="69" t="n">
        <f aca="false">-Inputs!$B$44*(1+Inputs!$B$38)^(AA$7-1)*1</f>
        <v>-10275.2</v>
      </c>
      <c r="AB54" s="69" t="n">
        <f aca="false">-Inputs!$B$44*(1+Inputs!$B$38)^(AB$7-1)*1</f>
        <v>-10275.2</v>
      </c>
      <c r="AC54" s="69" t="n">
        <f aca="false">-Inputs!$B$44*(1+Inputs!$B$38)^(AC$7-1)*1</f>
        <v>-10275.2</v>
      </c>
      <c r="AD54" s="69" t="n">
        <f aca="false">-Inputs!$B$44*(1+Inputs!$B$38)^(AD$7-1)*1</f>
        <v>-10275.2</v>
      </c>
      <c r="AE54" s="69" t="n">
        <f aca="false">-Inputs!$B$44*(1+Inputs!$B$38)^(AE$7-1)*1</f>
        <v>-10275.2</v>
      </c>
      <c r="AF54" s="69" t="n">
        <f aca="false">-Inputs!$B$44*(1+Inputs!$B$38)^(AF$7-1)*1</f>
        <v>-10275.2</v>
      </c>
      <c r="AG54" s="69" t="n">
        <f aca="false">-Inputs!$B$44*(1+Inputs!$B$38)^(AG$7-1)*1</f>
        <v>-10275.2</v>
      </c>
      <c r="AH54" s="69" t="n">
        <f aca="false">-Inputs!$B$44*(1+Inputs!$B$38)^(AH$7-1)*1</f>
        <v>-10275.2</v>
      </c>
      <c r="AI54" s="69" t="n">
        <f aca="false">-Inputs!$B$44*(1+Inputs!$B$38)^(AI$7-1)*1</f>
        <v>-10275.2</v>
      </c>
      <c r="AJ54" s="69" t="n">
        <f aca="false">-Inputs!$B$44*(1+Inputs!$B$38)^(AJ$7-1)*1</f>
        <v>-10275.2</v>
      </c>
      <c r="AK54" s="69" t="n">
        <f aca="false">-Inputs!$B$44*(1+Inputs!$B$38)^(AK$7-1)*1</f>
        <v>-10275.2</v>
      </c>
      <c r="AL54" s="69" t="n">
        <f aca="false">-Inputs!$B$44*(1+Inputs!$B$38)^(AL$7-1)*1</f>
        <v>-10275.2</v>
      </c>
    </row>
    <row r="55" customFormat="false" ht="15" hidden="false" customHeight="false" outlineLevel="0" collapsed="false">
      <c r="A55" s="6" t="s">
        <v>342</v>
      </c>
      <c r="C55" s="69" t="n">
        <f aca="false">-Inputs!$B$45*(1+Inputs!$B$46)^(C$7-1)*1</f>
        <v>-12000</v>
      </c>
      <c r="D55" s="69" t="n">
        <f aca="false">-Inputs!$B$45*(1+Inputs!$B$46)^(D$7-1)*1</f>
        <v>-12000</v>
      </c>
      <c r="E55" s="69" t="n">
        <f aca="false">-Inputs!$B$45*(1+Inputs!$B$46)^(E$7-1)*1</f>
        <v>-12000</v>
      </c>
      <c r="F55" s="69" t="n">
        <f aca="false">-Inputs!$B$45*(1+Inputs!$B$46)^(F$7-1)*1</f>
        <v>-12000</v>
      </c>
      <c r="G55" s="69" t="n">
        <f aca="false">-Inputs!$B$45*(1+Inputs!$B$46)^(G$7-1)*1</f>
        <v>-12000</v>
      </c>
      <c r="H55" s="69" t="n">
        <f aca="false">-Inputs!$B$45*(1+Inputs!$B$46)^(H$7-1)*1</f>
        <v>-12000</v>
      </c>
      <c r="I55" s="69" t="n">
        <f aca="false">-Inputs!$B$45*(1+Inputs!$B$46)^(I$7-1)*1</f>
        <v>-12000</v>
      </c>
      <c r="J55" s="69" t="n">
        <f aca="false">-Inputs!$B$45*(1+Inputs!$B$46)^(J$7-1)*1</f>
        <v>-12000</v>
      </c>
      <c r="K55" s="69" t="n">
        <f aca="false">-Inputs!$B$45*(1+Inputs!$B$46)^(K$7-1)*1</f>
        <v>-12000</v>
      </c>
      <c r="L55" s="69" t="n">
        <f aca="false">-Inputs!$B$45*(1+Inputs!$B$46)^(L$7-1)*1</f>
        <v>-12000</v>
      </c>
      <c r="M55" s="69" t="n">
        <f aca="false">-Inputs!$B$45*(1+Inputs!$B$46)^(M$7-1)*1</f>
        <v>-12000</v>
      </c>
      <c r="N55" s="69" t="n">
        <f aca="false">-Inputs!$B$45*(1+Inputs!$B$46)^(N$7-1)*1</f>
        <v>-12000</v>
      </c>
      <c r="O55" s="69" t="n">
        <f aca="false">-Inputs!$B$45*(1+Inputs!$B$46)^(O$7-1)*1</f>
        <v>-8400</v>
      </c>
      <c r="P55" s="69" t="n">
        <f aca="false">-Inputs!$B$45*(1+Inputs!$B$46)^(P$7-1)*1</f>
        <v>-8400</v>
      </c>
      <c r="Q55" s="69" t="n">
        <f aca="false">-Inputs!$B$45*(1+Inputs!$B$46)^(Q$7-1)*1</f>
        <v>-8400</v>
      </c>
      <c r="R55" s="69" t="n">
        <f aca="false">-Inputs!$B$45*(1+Inputs!$B$46)^(R$7-1)*1</f>
        <v>-8400</v>
      </c>
      <c r="S55" s="69" t="n">
        <f aca="false">-Inputs!$B$45*(1+Inputs!$B$46)^(S$7-1)*1</f>
        <v>-8400</v>
      </c>
      <c r="T55" s="69" t="n">
        <f aca="false">-Inputs!$B$45*(1+Inputs!$B$46)^(T$7-1)*1</f>
        <v>-8400</v>
      </c>
      <c r="U55" s="69" t="n">
        <f aca="false">-Inputs!$B$45*(1+Inputs!$B$46)^(U$7-1)*1</f>
        <v>-8400</v>
      </c>
      <c r="V55" s="69" t="n">
        <f aca="false">-Inputs!$B$45*(1+Inputs!$B$46)^(V$7-1)*1</f>
        <v>-8400</v>
      </c>
      <c r="W55" s="69" t="n">
        <f aca="false">-Inputs!$B$45*(1+Inputs!$B$46)^(W$7-1)*1</f>
        <v>-8400</v>
      </c>
      <c r="X55" s="69" t="n">
        <f aca="false">-Inputs!$B$45*(1+Inputs!$B$46)^(X$7-1)*1</f>
        <v>-8400</v>
      </c>
      <c r="Y55" s="69" t="n">
        <f aca="false">-Inputs!$B$45*(1+Inputs!$B$46)^(Y$7-1)*1</f>
        <v>-8400</v>
      </c>
      <c r="Z55" s="69" t="n">
        <f aca="false">-Inputs!$B$45*(1+Inputs!$B$46)^(Z$7-1)*1</f>
        <v>-8400</v>
      </c>
      <c r="AA55" s="69" t="n">
        <f aca="false">-Inputs!$B$45*(1+Inputs!$B$46)^(AA$7-1)*1</f>
        <v>-5880</v>
      </c>
      <c r="AB55" s="69" t="n">
        <f aca="false">-Inputs!$B$45*(1+Inputs!$B$46)^(AB$7-1)*1</f>
        <v>-5880</v>
      </c>
      <c r="AC55" s="69" t="n">
        <f aca="false">-Inputs!$B$45*(1+Inputs!$B$46)^(AC$7-1)*1</f>
        <v>-5880</v>
      </c>
      <c r="AD55" s="69" t="n">
        <f aca="false">-Inputs!$B$45*(1+Inputs!$B$46)^(AD$7-1)*1</f>
        <v>-5880</v>
      </c>
      <c r="AE55" s="69" t="n">
        <f aca="false">-Inputs!$B$45*(1+Inputs!$B$46)^(AE$7-1)*1</f>
        <v>-5880</v>
      </c>
      <c r="AF55" s="69" t="n">
        <f aca="false">-Inputs!$B$45*(1+Inputs!$B$46)^(AF$7-1)*1</f>
        <v>-5880</v>
      </c>
      <c r="AG55" s="69" t="n">
        <f aca="false">-Inputs!$B$45*(1+Inputs!$B$46)^(AG$7-1)*1</f>
        <v>-5880</v>
      </c>
      <c r="AH55" s="69" t="n">
        <f aca="false">-Inputs!$B$45*(1+Inputs!$B$46)^(AH$7-1)*1</f>
        <v>-5880</v>
      </c>
      <c r="AI55" s="69" t="n">
        <f aca="false">-Inputs!$B$45*(1+Inputs!$B$46)^(AI$7-1)*1</f>
        <v>-5880</v>
      </c>
      <c r="AJ55" s="69" t="n">
        <f aca="false">-Inputs!$B$45*(1+Inputs!$B$46)^(AJ$7-1)*1</f>
        <v>-5880</v>
      </c>
      <c r="AK55" s="69" t="n">
        <f aca="false">-Inputs!$B$45*(1+Inputs!$B$46)^(AK$7-1)*1</f>
        <v>-5880</v>
      </c>
      <c r="AL55" s="69" t="n">
        <f aca="false">-Inputs!$B$45*(1+Inputs!$B$46)^(AL$7-1)*1</f>
        <v>-5880</v>
      </c>
    </row>
    <row r="56" customFormat="false" ht="15" hidden="false" customHeight="false" outlineLevel="0" collapsed="false">
      <c r="A56" s="113" t="s">
        <v>77</v>
      </c>
      <c r="C56" s="70" t="n">
        <f aca="false">C51+C52+C53+C54+C55</f>
        <v>-93586.6666666667</v>
      </c>
      <c r="D56" s="70" t="n">
        <f aca="false">D51+D52+D53+D54+D55</f>
        <v>-93586.6666666667</v>
      </c>
      <c r="E56" s="70" t="n">
        <f aca="false">E51+E52+E53+E54+E55</f>
        <v>-93586.6666666667</v>
      </c>
      <c r="F56" s="70" t="n">
        <f aca="false">F51+F52+F53+F54+F55</f>
        <v>-93586.6666666667</v>
      </c>
      <c r="G56" s="70" t="n">
        <f aca="false">G51+G52+G53+G54+G55</f>
        <v>-93586.6666666667</v>
      </c>
      <c r="H56" s="70" t="n">
        <f aca="false">H51+H52+H53+H54+H55</f>
        <v>-93586.6666666667</v>
      </c>
      <c r="I56" s="70" t="n">
        <f aca="false">I51+I52+I53+I54+I55</f>
        <v>-93586.6666666667</v>
      </c>
      <c r="J56" s="70" t="n">
        <f aca="false">J51+J52+J53+J54+J55</f>
        <v>-93586.6666666667</v>
      </c>
      <c r="K56" s="70" t="n">
        <f aca="false">K51+K52+K53+K54+K55</f>
        <v>-93586.6666666667</v>
      </c>
      <c r="L56" s="70" t="n">
        <f aca="false">L51+L52+L53+L54+L55</f>
        <v>-93586.6666666667</v>
      </c>
      <c r="M56" s="70" t="n">
        <f aca="false">M51+M52+M53+M54+M55</f>
        <v>-93586.6666666667</v>
      </c>
      <c r="N56" s="70" t="n">
        <f aca="false">N51+N52+N53+N54+N55</f>
        <v>-93586.6666666667</v>
      </c>
      <c r="O56" s="70" t="n">
        <f aca="false">O51+O52+O53+O54+O55</f>
        <v>-92584.2666666667</v>
      </c>
      <c r="P56" s="70" t="n">
        <f aca="false">P51+P52+P53+P54+P55</f>
        <v>-92584.2666666667</v>
      </c>
      <c r="Q56" s="70" t="n">
        <f aca="false">Q51+Q52+Q53+Q54+Q55</f>
        <v>-92584.2666666667</v>
      </c>
      <c r="R56" s="70" t="n">
        <f aca="false">R51+R52+R53+R54+R55</f>
        <v>-92584.2666666667</v>
      </c>
      <c r="S56" s="70" t="n">
        <f aca="false">S51+S52+S53+S54+S55</f>
        <v>-92584.2666666667</v>
      </c>
      <c r="T56" s="70" t="n">
        <f aca="false">T51+T52+T53+T54+T55</f>
        <v>-92584.2666666667</v>
      </c>
      <c r="U56" s="70" t="n">
        <f aca="false">U51+U52+U53+U54+U55</f>
        <v>-92584.2666666667</v>
      </c>
      <c r="V56" s="70" t="n">
        <f aca="false">V51+V52+V53+V54+V55</f>
        <v>-92584.2666666667</v>
      </c>
      <c r="W56" s="70" t="n">
        <f aca="false">W51+W52+W53+W54+W55</f>
        <v>-92584.2666666667</v>
      </c>
      <c r="X56" s="70" t="n">
        <f aca="false">X51+X52+X53+X54+X55</f>
        <v>-92584.2666666667</v>
      </c>
      <c r="Y56" s="70" t="n">
        <f aca="false">Y51+Y52+Y53+Y54+Y55</f>
        <v>-92584.2666666667</v>
      </c>
      <c r="Z56" s="70" t="n">
        <f aca="false">Z51+Z52+Z53+Z54+Z55</f>
        <v>-92584.2666666667</v>
      </c>
      <c r="AA56" s="70" t="n">
        <f aca="false">AA51+AA52+AA53+AA54+AA55</f>
        <v>-92745.7946666667</v>
      </c>
      <c r="AB56" s="70" t="n">
        <f aca="false">AB51+AB52+AB53+AB54+AB55</f>
        <v>-92745.7946666667</v>
      </c>
      <c r="AC56" s="70" t="n">
        <f aca="false">AC51+AC52+AC53+AC54+AC55</f>
        <v>-92745.7946666667</v>
      </c>
      <c r="AD56" s="70" t="n">
        <f aca="false">AD51+AD52+AD53+AD54+AD55</f>
        <v>-92745.7946666667</v>
      </c>
      <c r="AE56" s="70" t="n">
        <f aca="false">AE51+AE52+AE53+AE54+AE55</f>
        <v>-92745.7946666667</v>
      </c>
      <c r="AF56" s="70" t="n">
        <f aca="false">AF51+AF52+AF53+AF54+AF55</f>
        <v>-92745.7946666667</v>
      </c>
      <c r="AG56" s="70" t="n">
        <f aca="false">AG51+AG52+AG53+AG54+AG55</f>
        <v>-92745.7946666667</v>
      </c>
      <c r="AH56" s="70" t="n">
        <f aca="false">AH51+AH52+AH53+AH54+AH55</f>
        <v>-92745.7946666667</v>
      </c>
      <c r="AI56" s="70" t="n">
        <f aca="false">AI51+AI52+AI53+AI54+AI55</f>
        <v>-92745.7946666667</v>
      </c>
      <c r="AJ56" s="70" t="n">
        <f aca="false">AJ51+AJ52+AJ53+AJ54+AJ55</f>
        <v>-92745.7946666667</v>
      </c>
      <c r="AK56" s="70" t="n">
        <f aca="false">AK51+AK52+AK53+AK54+AK55</f>
        <v>-92745.7946666667</v>
      </c>
      <c r="AL56" s="70" t="n">
        <f aca="false">AL51+AL52+AL53+AL54+AL55</f>
        <v>-92745.7946666667</v>
      </c>
    </row>
    <row r="57" customFormat="false" ht="15" hidden="false" customHeight="false" outlineLevel="0" collapsed="false">
      <c r="A57" s="113" t="s">
        <v>48</v>
      </c>
      <c r="C57" s="70" t="n">
        <f aca="false">C48+C56</f>
        <v>-71831.5353226667</v>
      </c>
      <c r="D57" s="70" t="n">
        <f aca="false">D48+D56</f>
        <v>-68636.9626738667</v>
      </c>
      <c r="E57" s="70" t="n">
        <f aca="false">E48+E56</f>
        <v>-57943.1807178133</v>
      </c>
      <c r="F57" s="70" t="n">
        <f aca="false">F48+F56</f>
        <v>-53635.2221939227</v>
      </c>
      <c r="G57" s="70" t="n">
        <f aca="false">G48+G56</f>
        <v>-49261.4909402266</v>
      </c>
      <c r="H57" s="70" t="n">
        <f aca="false">H48+H56</f>
        <v>-44825.2755932152</v>
      </c>
      <c r="I57" s="70" t="n">
        <f aca="false">I48+I56</f>
        <v>-40329.7003575545</v>
      </c>
      <c r="J57" s="70" t="n">
        <f aca="false">J48+J56</f>
        <v>-35777.7332276767</v>
      </c>
      <c r="K57" s="70" t="n">
        <f aca="false">K48+K56</f>
        <v>-31172.1937982929</v>
      </c>
      <c r="L57" s="70" t="n">
        <f aca="false">L48+L56</f>
        <v>-26515.7606843783</v>
      </c>
      <c r="M57" s="70" t="n">
        <f aca="false">M48+M56</f>
        <v>-21810.9785701594</v>
      </c>
      <c r="N57" s="70" t="n">
        <f aca="false">N48+N56</f>
        <v>-32152.6421273895</v>
      </c>
      <c r="O57" s="70" t="n">
        <f aca="false">O48+O56</f>
        <v>-27106.3527608356</v>
      </c>
      <c r="P57" s="70" t="n">
        <f aca="false">P48+P56</f>
        <v>-26106.9367121271</v>
      </c>
      <c r="Q57" s="70" t="n">
        <f aca="false">Q48+Q56</f>
        <v>-9326.60283189826</v>
      </c>
      <c r="R57" s="70" t="n">
        <f aca="false">R48+R56</f>
        <v>-8281.25163003666</v>
      </c>
      <c r="S57" s="70" t="n">
        <f aca="false">S48+S56</f>
        <v>-7288.16798826816</v>
      </c>
      <c r="T57" s="70" t="n">
        <f aca="false">T48+T56</f>
        <v>-6344.73852858809</v>
      </c>
      <c r="U57" s="70" t="n">
        <f aca="false">U48+U56</f>
        <v>-5448.48054189203</v>
      </c>
      <c r="V57" s="70" t="n">
        <f aca="false">V48+V56</f>
        <v>-4597.03545453076</v>
      </c>
      <c r="W57" s="70" t="n">
        <f aca="false">W48+W56</f>
        <v>-3788.16262153754</v>
      </c>
      <c r="X57" s="70" t="n">
        <f aca="false">X48+X56</f>
        <v>-3019.73343019401</v>
      </c>
      <c r="Y57" s="70" t="n">
        <f aca="false">Y48+Y56</f>
        <v>-2289.72569841763</v>
      </c>
      <c r="Z57" s="70" t="n">
        <f aca="false">Z48+Z56</f>
        <v>-16785.4126136343</v>
      </c>
      <c r="AA57" s="70" t="n">
        <f aca="false">AA48+AA56</f>
        <v>-16143.2928185351</v>
      </c>
      <c r="AB57" s="70" t="n">
        <f aca="false">AB48+AB56</f>
        <v>-15682.6678928937</v>
      </c>
      <c r="AC57" s="70" t="n">
        <f aca="false">AC48+AC56</f>
        <v>-161.385477486867</v>
      </c>
      <c r="AD57" s="70" t="n">
        <f aca="false">AD48+AD56</f>
        <v>433.813208782129</v>
      </c>
      <c r="AE57" s="70" t="n">
        <f aca="false">AE48+AE56</f>
        <v>999.251960737704</v>
      </c>
      <c r="AF57" s="70" t="n">
        <f aca="false">AF48+AF56</f>
        <v>1536.41877509547</v>
      </c>
      <c r="AG57" s="70" t="n">
        <f aca="false">AG48+AG56</f>
        <v>2046.72724873536</v>
      </c>
      <c r="AH57" s="70" t="n">
        <f aca="false">AH48+AH56</f>
        <v>2531.52029869326</v>
      </c>
      <c r="AI57" s="70" t="n">
        <f aca="false">AI48+AI56</f>
        <v>2992.07369615325</v>
      </c>
      <c r="AJ57" s="70" t="n">
        <f aca="false">AJ48+AJ56</f>
        <v>3429.59942374026</v>
      </c>
      <c r="AK57" s="70" t="n">
        <f aca="false">AK48+AK56</f>
        <v>3845.24886494792</v>
      </c>
      <c r="AL57" s="70" t="n">
        <f aca="false">AL48+AL56</f>
        <v>-10463.6071715653</v>
      </c>
    </row>
    <row r="59" customFormat="false" ht="15.75" hidden="false" customHeight="true" outlineLevel="0" collapsed="false">
      <c r="A59" s="7" t="s">
        <v>415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4" t="s">
        <v>79</v>
      </c>
      <c r="C60" s="75" t="n">
        <f aca="false">C57+C75</f>
        <v>-100303.757544889</v>
      </c>
      <c r="D60" s="75" t="n">
        <f aca="false">D57+D75</f>
        <v>-97109.1848960889</v>
      </c>
      <c r="E60" s="75" t="n">
        <f aca="false">E57+E75</f>
        <v>-86415.4029400356</v>
      </c>
      <c r="F60" s="75" t="n">
        <f aca="false">F57+F75</f>
        <v>-82107.4444161449</v>
      </c>
      <c r="G60" s="75" t="n">
        <f aca="false">G57+G75</f>
        <v>-77733.7131624488</v>
      </c>
      <c r="H60" s="75" t="n">
        <f aca="false">H57+H75</f>
        <v>-73297.4978154374</v>
      </c>
      <c r="I60" s="75" t="n">
        <f aca="false">I57+I75</f>
        <v>-68801.9225797767</v>
      </c>
      <c r="J60" s="75" t="n">
        <f aca="false">J57+J75</f>
        <v>-64249.955449899</v>
      </c>
      <c r="K60" s="75" t="n">
        <f aca="false">K57+K75</f>
        <v>-59644.4160205151</v>
      </c>
      <c r="L60" s="75" t="n">
        <f aca="false">L57+L75</f>
        <v>-54987.9829066005</v>
      </c>
      <c r="M60" s="75" t="n">
        <f aca="false">M57+M75</f>
        <v>-50283.2007923816</v>
      </c>
      <c r="N60" s="75" t="n">
        <f aca="false">N57+N75</f>
        <v>-60624.8643496117</v>
      </c>
      <c r="O60" s="75" t="n">
        <f aca="false">O57+O75</f>
        <v>-55856.3527608356</v>
      </c>
      <c r="P60" s="75" t="n">
        <f aca="false">P57+P75</f>
        <v>-54856.9367121271</v>
      </c>
      <c r="Q60" s="75" t="n">
        <f aca="false">Q57+Q75</f>
        <v>-38076.6028318983</v>
      </c>
      <c r="R60" s="75" t="n">
        <f aca="false">R57+R75</f>
        <v>-37031.2516300367</v>
      </c>
      <c r="S60" s="75" t="n">
        <f aca="false">S57+S75</f>
        <v>-36038.1679882682</v>
      </c>
      <c r="T60" s="75" t="n">
        <f aca="false">T57+T75</f>
        <v>-35094.7385285881</v>
      </c>
      <c r="U60" s="75" t="n">
        <f aca="false">U57+U75</f>
        <v>-34198.480541892</v>
      </c>
      <c r="V60" s="75" t="n">
        <f aca="false">V57+V75</f>
        <v>-33347.0354545308</v>
      </c>
      <c r="W60" s="75" t="n">
        <f aca="false">W57+W75</f>
        <v>-32538.1626215375</v>
      </c>
      <c r="X60" s="75" t="n">
        <f aca="false">X57+X75</f>
        <v>-31769.733430194</v>
      </c>
      <c r="Y60" s="75" t="n">
        <f aca="false">Y57+Y75</f>
        <v>-31039.7256984176</v>
      </c>
      <c r="Z60" s="75" t="n">
        <f aca="false">Z57+Z75</f>
        <v>-45535.4126136343</v>
      </c>
      <c r="AA60" s="75" t="n">
        <f aca="false">AA57+AA75</f>
        <v>-45171.0705963129</v>
      </c>
      <c r="AB60" s="75" t="n">
        <f aca="false">AB57+AB75</f>
        <v>-44710.4456706715</v>
      </c>
      <c r="AC60" s="75" t="n">
        <f aca="false">AC57+AC75</f>
        <v>-29189.1632552646</v>
      </c>
      <c r="AD60" s="75" t="n">
        <f aca="false">AD57+AD75</f>
        <v>-28593.9645689957</v>
      </c>
      <c r="AE60" s="75" t="n">
        <f aca="false">AE57+AE75</f>
        <v>-28028.5258170401</v>
      </c>
      <c r="AF60" s="75" t="n">
        <f aca="false">AF57+AF75</f>
        <v>-27491.3590026823</v>
      </c>
      <c r="AG60" s="75" t="n">
        <f aca="false">AG57+AG75</f>
        <v>-26981.0505290424</v>
      </c>
      <c r="AH60" s="75" t="n">
        <f aca="false">AH57+AH75</f>
        <v>-26496.2574790845</v>
      </c>
      <c r="AI60" s="75" t="n">
        <f aca="false">AI57+AI75</f>
        <v>-26035.7040816245</v>
      </c>
      <c r="AJ60" s="75" t="n">
        <f aca="false">AJ57+AJ75</f>
        <v>-25598.1783540375</v>
      </c>
      <c r="AK60" s="75" t="n">
        <f aca="false">AK57+AK75</f>
        <v>-25182.5289128299</v>
      </c>
      <c r="AL60" s="75" t="n">
        <f aca="false">AL57+AL75</f>
        <v>-39491.3849493431</v>
      </c>
    </row>
    <row r="61" customFormat="false" ht="15" hidden="false" customHeight="false" outlineLevel="0" collapsed="false">
      <c r="A61" s="6" t="s">
        <v>416</v>
      </c>
      <c r="C61" s="69" t="n">
        <f aca="false">-(C80+C81+C83)/2*Inputs!$B$69/12</f>
        <v>-21250</v>
      </c>
      <c r="D61" s="69" t="n">
        <f aca="false">-(D80+D81+D83)/2*Inputs!$B$69/12</f>
        <v>-21161.4583333333</v>
      </c>
      <c r="E61" s="69" t="n">
        <f aca="false">-(E80+E81+E83)/2*Inputs!$B$69/12</f>
        <v>-20984.375</v>
      </c>
      <c r="F61" s="69" t="n">
        <f aca="false">-(F80+F81+F83)/2*Inputs!$B$69/12</f>
        <v>-20807.2916666667</v>
      </c>
      <c r="G61" s="69" t="n">
        <f aca="false">-(G80+G81+G83)/2*Inputs!$B$69/12</f>
        <v>-20630.2083333333</v>
      </c>
      <c r="H61" s="69" t="n">
        <f aca="false">-(H80+H81+H83)/2*Inputs!$B$69/12</f>
        <v>-20453.125</v>
      </c>
      <c r="I61" s="69" t="n">
        <f aca="false">-(I80+I81+I83)/2*Inputs!$B$69/12</f>
        <v>-20276.0416666667</v>
      </c>
      <c r="J61" s="69" t="n">
        <f aca="false">-(J80+J81+J83)/2*Inputs!$B$69/12</f>
        <v>-20098.9583333333</v>
      </c>
      <c r="K61" s="69" t="n">
        <f aca="false">-(K80+K81+K83)/2*Inputs!$B$69/12</f>
        <v>-19921.875</v>
      </c>
      <c r="L61" s="69" t="n">
        <f aca="false">-(L80+L81+L83)/2*Inputs!$B$69/12</f>
        <v>-19744.7916666667</v>
      </c>
      <c r="M61" s="69" t="n">
        <f aca="false">-(M80+M81+M83)/2*Inputs!$B$69/12</f>
        <v>-19567.7083333333</v>
      </c>
      <c r="N61" s="69" t="n">
        <f aca="false">-(N80+N81+N83)/2*Inputs!$B$69/12</f>
        <v>-19390.625</v>
      </c>
      <c r="O61" s="69" t="n">
        <f aca="false">-(O80+O81+O83)/2*Inputs!$B$69/12</f>
        <v>-19213.5416666667</v>
      </c>
      <c r="P61" s="69" t="n">
        <f aca="false">-(P80+P81+P83)/2*Inputs!$B$69/12</f>
        <v>-19036.4583333333</v>
      </c>
      <c r="Q61" s="69" t="n">
        <f aca="false">-(Q80+Q81+Q83)/2*Inputs!$B$69/12</f>
        <v>-18859.375</v>
      </c>
      <c r="R61" s="69" t="n">
        <f aca="false">-(R80+R81+R83)/2*Inputs!$B$69/12</f>
        <v>-18682.2916666667</v>
      </c>
      <c r="S61" s="69" t="n">
        <f aca="false">-(S80+S81+S83)/2*Inputs!$B$69/12</f>
        <v>-18505.2083333333</v>
      </c>
      <c r="T61" s="69" t="n">
        <f aca="false">-(T80+T81+T83)/2*Inputs!$B$69/12</f>
        <v>-18328.125</v>
      </c>
      <c r="U61" s="69" t="n">
        <f aca="false">-(U80+U81+U83)/2*Inputs!$B$69/12</f>
        <v>-18151.0416666667</v>
      </c>
      <c r="V61" s="69" t="n">
        <f aca="false">-(V80+V81+V83)/2*Inputs!$B$69/12</f>
        <v>-17973.9583333333</v>
      </c>
      <c r="W61" s="69" t="n">
        <f aca="false">-(W80+W81+W83)/2*Inputs!$B$69/12</f>
        <v>-17796.875</v>
      </c>
      <c r="X61" s="69" t="n">
        <f aca="false">-(X80+X81+X83)/2*Inputs!$B$69/12</f>
        <v>-17619.7916666667</v>
      </c>
      <c r="Y61" s="69" t="n">
        <f aca="false">-(Y80+Y81+Y83)/2*Inputs!$B$69/12</f>
        <v>-17442.7083333333</v>
      </c>
      <c r="Z61" s="69" t="n">
        <f aca="false">-(Z80+Z81+Z83)/2*Inputs!$B$69/12</f>
        <v>-17265.625</v>
      </c>
      <c r="AA61" s="69" t="n">
        <f aca="false">-(AA80+AA81+AA83)/2*Inputs!$B$69/12</f>
        <v>-17088.5416666667</v>
      </c>
      <c r="AB61" s="69" t="n">
        <f aca="false">-(AB80+AB81+AB83)/2*Inputs!$B$69/12</f>
        <v>-16911.4583333333</v>
      </c>
      <c r="AC61" s="69" t="n">
        <f aca="false">-(AC80+AC81+AC83)/2*Inputs!$B$69/12</f>
        <v>-16734.375</v>
      </c>
      <c r="AD61" s="69" t="n">
        <f aca="false">-(AD80+AD81+AD83)/2*Inputs!$B$69/12</f>
        <v>-16557.2916666667</v>
      </c>
      <c r="AE61" s="69" t="n">
        <f aca="false">-(AE80+AE81+AE83)/2*Inputs!$B$69/12</f>
        <v>-16380.2083333333</v>
      </c>
      <c r="AF61" s="69" t="n">
        <f aca="false">-(AF80+AF81+AF83)/2*Inputs!$B$69/12</f>
        <v>-16203.125</v>
      </c>
      <c r="AG61" s="69" t="n">
        <f aca="false">-(AG80+AG81+AG83)/2*Inputs!$B$69/12</f>
        <v>-16026.0416666667</v>
      </c>
      <c r="AH61" s="69" t="n">
        <f aca="false">-(AH80+AH81+AH83)/2*Inputs!$B$69/12</f>
        <v>-15848.9583333333</v>
      </c>
      <c r="AI61" s="69" t="n">
        <f aca="false">-(AI80+AI81+AI83)/2*Inputs!$B$69/12</f>
        <v>-15671.875</v>
      </c>
      <c r="AJ61" s="69" t="n">
        <f aca="false">-(AJ80+AJ81+AJ83)/2*Inputs!$B$69/12</f>
        <v>-15494.7916666667</v>
      </c>
      <c r="AK61" s="69" t="n">
        <f aca="false">-(AK80+AK81+AK83)/2*Inputs!$B$69/12</f>
        <v>-15317.7083333333</v>
      </c>
      <c r="AL61" s="69" t="n">
        <f aca="false">-(AL80+AL81+AL83)/2*Inputs!$B$69/12</f>
        <v>-15140.625</v>
      </c>
    </row>
    <row r="62" customFormat="false" ht="15" hidden="false" customHeight="false" outlineLevel="0" collapsed="false">
      <c r="A62" s="113" t="s">
        <v>81</v>
      </c>
      <c r="C62" s="70" t="n">
        <f aca="false">C60+C61</f>
        <v>-121553.757544889</v>
      </c>
      <c r="D62" s="70" t="n">
        <f aca="false">D60+D61</f>
        <v>-118270.643229422</v>
      </c>
      <c r="E62" s="70" t="n">
        <f aca="false">E60+E61</f>
        <v>-107399.777940036</v>
      </c>
      <c r="F62" s="70" t="n">
        <f aca="false">F60+F61</f>
        <v>-102914.736082812</v>
      </c>
      <c r="G62" s="70" t="n">
        <f aca="false">G60+G61</f>
        <v>-98363.9214957821</v>
      </c>
      <c r="H62" s="70" t="n">
        <f aca="false">H60+H61</f>
        <v>-93750.6228154374</v>
      </c>
      <c r="I62" s="70" t="n">
        <f aca="false">I60+I61</f>
        <v>-89077.9642464434</v>
      </c>
      <c r="J62" s="70" t="n">
        <f aca="false">J60+J61</f>
        <v>-84348.9137832323</v>
      </c>
      <c r="K62" s="70" t="n">
        <f aca="false">K60+K61</f>
        <v>-79566.2910205151</v>
      </c>
      <c r="L62" s="70" t="n">
        <f aca="false">L60+L61</f>
        <v>-74732.7745732672</v>
      </c>
      <c r="M62" s="70" t="n">
        <f aca="false">M60+M61</f>
        <v>-69850.9091257149</v>
      </c>
      <c r="N62" s="70" t="n">
        <f aca="false">N60+N61</f>
        <v>-80015.4893496117</v>
      </c>
      <c r="O62" s="70" t="n">
        <f aca="false">O60+O61</f>
        <v>-75069.8944275023</v>
      </c>
      <c r="P62" s="70" t="n">
        <f aca="false">P60+P61</f>
        <v>-73893.3950454605</v>
      </c>
      <c r="Q62" s="70" t="n">
        <f aca="false">Q60+Q61</f>
        <v>-56935.9778318983</v>
      </c>
      <c r="R62" s="70" t="n">
        <f aca="false">R60+R61</f>
        <v>-55713.5432967033</v>
      </c>
      <c r="S62" s="70" t="n">
        <f aca="false">S60+S61</f>
        <v>-54543.3763216015</v>
      </c>
      <c r="T62" s="70" t="n">
        <f aca="false">T60+T61</f>
        <v>-53422.8635285881</v>
      </c>
      <c r="U62" s="70" t="n">
        <f aca="false">U60+U61</f>
        <v>-52349.5222085587</v>
      </c>
      <c r="V62" s="70" t="n">
        <f aca="false">V60+V61</f>
        <v>-51320.9937878641</v>
      </c>
      <c r="W62" s="70" t="n">
        <f aca="false">W60+W61</f>
        <v>-50335.0376215375</v>
      </c>
      <c r="X62" s="70" t="n">
        <f aca="false">X60+X61</f>
        <v>-49389.5250968607</v>
      </c>
      <c r="Y62" s="70" t="n">
        <f aca="false">Y60+Y61</f>
        <v>-48482.434031751</v>
      </c>
      <c r="Z62" s="70" t="n">
        <f aca="false">Z60+Z61</f>
        <v>-62801.0376136343</v>
      </c>
      <c r="AA62" s="70" t="n">
        <f aca="false">AA60+AA61</f>
        <v>-62259.6122629796</v>
      </c>
      <c r="AB62" s="70" t="n">
        <f aca="false">AB60+AB61</f>
        <v>-61621.9040040048</v>
      </c>
      <c r="AC62" s="70" t="n">
        <f aca="false">AC60+AC61</f>
        <v>-45923.5382552647</v>
      </c>
      <c r="AD62" s="70" t="n">
        <f aca="false">AD60+AD61</f>
        <v>-45151.2562356623</v>
      </c>
      <c r="AE62" s="70" t="n">
        <f aca="false">AE60+AE61</f>
        <v>-44408.7341503734</v>
      </c>
      <c r="AF62" s="70" t="n">
        <f aca="false">AF60+AF61</f>
        <v>-43694.4840026823</v>
      </c>
      <c r="AG62" s="70" t="n">
        <f aca="false">AG60+AG61</f>
        <v>-43007.0921957091</v>
      </c>
      <c r="AH62" s="70" t="n">
        <f aca="false">AH60+AH61</f>
        <v>-42345.2158124179</v>
      </c>
      <c r="AI62" s="70" t="n">
        <f aca="false">AI60+AI61</f>
        <v>-41707.5790816245</v>
      </c>
      <c r="AJ62" s="70" t="n">
        <f aca="false">AJ60+AJ61</f>
        <v>-41092.9700207042</v>
      </c>
      <c r="AK62" s="70" t="n">
        <f aca="false">AK60+AK61</f>
        <v>-40500.2372461632</v>
      </c>
      <c r="AL62" s="70" t="n">
        <f aca="false">AL60+AL61</f>
        <v>-54632.0099493431</v>
      </c>
    </row>
    <row r="63" customFormat="false" ht="15" hidden="false" customHeight="false" outlineLevel="0" collapsed="false">
      <c r="A63" s="116" t="s">
        <v>417</v>
      </c>
      <c r="C63" s="69" t="n">
        <f aca="false">C62</f>
        <v>-121553.757544889</v>
      </c>
      <c r="D63" s="69" t="n">
        <f aca="false">C63+D62</f>
        <v>-239824.400774311</v>
      </c>
      <c r="E63" s="69" t="n">
        <f aca="false">D63+E62</f>
        <v>-347224.178714347</v>
      </c>
      <c r="F63" s="69" t="n">
        <f aca="false">E63+F62</f>
        <v>-450138.914797158</v>
      </c>
      <c r="G63" s="69" t="n">
        <f aca="false">F63+G62</f>
        <v>-548502.83629294</v>
      </c>
      <c r="H63" s="69" t="n">
        <f aca="false">G63+H62</f>
        <v>-642253.459108378</v>
      </c>
      <c r="I63" s="69" t="n">
        <f aca="false">H63+I62</f>
        <v>-731331.423354821</v>
      </c>
      <c r="J63" s="69" t="n">
        <f aca="false">I63+J62</f>
        <v>-815680.337138053</v>
      </c>
      <c r="K63" s="69" t="n">
        <f aca="false">J63+K62</f>
        <v>-895246.628158569</v>
      </c>
      <c r="L63" s="69" t="n">
        <f aca="false">K63+L62</f>
        <v>-969979.402731836</v>
      </c>
      <c r="M63" s="69" t="n">
        <f aca="false">L63+M62</f>
        <v>-1039830.31185755</v>
      </c>
      <c r="N63" s="69" t="n">
        <f aca="false">M63+N62</f>
        <v>-1119845.80120716</v>
      </c>
      <c r="O63" s="69" t="n">
        <f aca="false">N63+O62</f>
        <v>-1194915.69563466</v>
      </c>
      <c r="P63" s="69" t="n">
        <f aca="false">O63+P62</f>
        <v>-1268809.09068013</v>
      </c>
      <c r="Q63" s="69" t="n">
        <f aca="false">P63+Q62</f>
        <v>-1325745.06851202</v>
      </c>
      <c r="R63" s="69" t="n">
        <f aca="false">Q63+R62</f>
        <v>-1381458.61180873</v>
      </c>
      <c r="S63" s="69" t="n">
        <f aca="false">R63+S62</f>
        <v>-1436001.98813033</v>
      </c>
      <c r="T63" s="69" t="n">
        <f aca="false">S63+T62</f>
        <v>-1489424.85165892</v>
      </c>
      <c r="U63" s="69" t="n">
        <f aca="false">T63+U62</f>
        <v>-1541774.37386748</v>
      </c>
      <c r="V63" s="69" t="n">
        <f aca="false">U63+V62</f>
        <v>-1593095.36765534</v>
      </c>
      <c r="W63" s="69" t="n">
        <f aca="false">V63+W62</f>
        <v>-1643430.40527688</v>
      </c>
      <c r="X63" s="69" t="n">
        <f aca="false">W63+X62</f>
        <v>-1692819.93037374</v>
      </c>
      <c r="Y63" s="69" t="n">
        <f aca="false">X63+Y62</f>
        <v>-1741302.36440549</v>
      </c>
      <c r="Z63" s="69" t="n">
        <f aca="false">Y63+Z62</f>
        <v>-1804103.40201912</v>
      </c>
      <c r="AA63" s="69" t="n">
        <f aca="false">Z63+AA62</f>
        <v>-1866363.0142821</v>
      </c>
      <c r="AB63" s="69" t="n">
        <f aca="false">AA63+AB62</f>
        <v>-1927984.91828611</v>
      </c>
      <c r="AC63" s="69" t="n">
        <f aca="false">AB63+AC62</f>
        <v>-1973908.45654137</v>
      </c>
      <c r="AD63" s="69" t="n">
        <f aca="false">AC63+AD62</f>
        <v>-2019059.71277703</v>
      </c>
      <c r="AE63" s="69" t="n">
        <f aca="false">AD63+AE62</f>
        <v>-2063468.44692741</v>
      </c>
      <c r="AF63" s="69" t="n">
        <f aca="false">AE63+AF62</f>
        <v>-2107162.93093009</v>
      </c>
      <c r="AG63" s="69" t="n">
        <f aca="false">AF63+AG62</f>
        <v>-2150170.0231258</v>
      </c>
      <c r="AH63" s="69" t="n">
        <f aca="false">AG63+AH62</f>
        <v>-2192515.23893822</v>
      </c>
      <c r="AI63" s="69" t="n">
        <f aca="false">AH63+AI62</f>
        <v>-2234222.81801984</v>
      </c>
      <c r="AJ63" s="69" t="n">
        <f aca="false">AI63+AJ62</f>
        <v>-2275315.78804055</v>
      </c>
      <c r="AK63" s="69" t="n">
        <f aca="false">AJ63+AK62</f>
        <v>-2315816.02528671</v>
      </c>
      <c r="AL63" s="69" t="n">
        <f aca="false">AK63+AL62</f>
        <v>-2370448.03523605</v>
      </c>
    </row>
    <row r="64" customFormat="false" ht="15" hidden="false" customHeight="false" outlineLevel="0" collapsed="false">
      <c r="A64" s="116" t="s">
        <v>418</v>
      </c>
      <c r="C64" s="69" t="n">
        <f aca="false">MAX(0,C63)</f>
        <v>0</v>
      </c>
      <c r="D64" s="69" t="n">
        <f aca="false">MAX(C64,D63)</f>
        <v>0</v>
      </c>
      <c r="E64" s="69" t="n">
        <f aca="false">MAX(D64,E63)</f>
        <v>0</v>
      </c>
      <c r="F64" s="69" t="n">
        <f aca="false">MAX(E64,F63)</f>
        <v>0</v>
      </c>
      <c r="G64" s="69" t="n">
        <f aca="false">MAX(F64,G63)</f>
        <v>0</v>
      </c>
      <c r="H64" s="69" t="n">
        <f aca="false">MAX(G64,H63)</f>
        <v>0</v>
      </c>
      <c r="I64" s="69" t="n">
        <f aca="false">MAX(H64,I63)</f>
        <v>0</v>
      </c>
      <c r="J64" s="69" t="n">
        <f aca="false">MAX(I64,J63)</f>
        <v>0</v>
      </c>
      <c r="K64" s="69" t="n">
        <f aca="false">MAX(J64,K63)</f>
        <v>0</v>
      </c>
      <c r="L64" s="69" t="n">
        <f aca="false">MAX(K64,L63)</f>
        <v>0</v>
      </c>
      <c r="M64" s="69" t="n">
        <f aca="false">MAX(L64,M63)</f>
        <v>0</v>
      </c>
      <c r="N64" s="69" t="n">
        <f aca="false">MAX(M64,N63)</f>
        <v>0</v>
      </c>
      <c r="O64" s="69" t="n">
        <f aca="false">MAX(N64,O63)</f>
        <v>0</v>
      </c>
      <c r="P64" s="69" t="n">
        <f aca="false">MAX(O64,P63)</f>
        <v>0</v>
      </c>
      <c r="Q64" s="69" t="n">
        <f aca="false">MAX(P64,Q63)</f>
        <v>0</v>
      </c>
      <c r="R64" s="69" t="n">
        <f aca="false">MAX(Q64,R63)</f>
        <v>0</v>
      </c>
      <c r="S64" s="69" t="n">
        <f aca="false">MAX(R64,S63)</f>
        <v>0</v>
      </c>
      <c r="T64" s="69" t="n">
        <f aca="false">MAX(S64,T63)</f>
        <v>0</v>
      </c>
      <c r="U64" s="69" t="n">
        <f aca="false">MAX(T64,U63)</f>
        <v>0</v>
      </c>
      <c r="V64" s="69" t="n">
        <f aca="false">MAX(U64,V63)</f>
        <v>0</v>
      </c>
      <c r="W64" s="69" t="n">
        <f aca="false">MAX(V64,W63)</f>
        <v>0</v>
      </c>
      <c r="X64" s="69" t="n">
        <f aca="false">MAX(W64,X63)</f>
        <v>0</v>
      </c>
      <c r="Y64" s="69" t="n">
        <f aca="false">MAX(X64,Y63)</f>
        <v>0</v>
      </c>
      <c r="Z64" s="69" t="n">
        <f aca="false">MAX(Y64,Z63)</f>
        <v>0</v>
      </c>
      <c r="AA64" s="69" t="n">
        <f aca="false">MAX(Z64,AA63)</f>
        <v>0</v>
      </c>
      <c r="AB64" s="69" t="n">
        <f aca="false">MAX(AA64,AB63)</f>
        <v>0</v>
      </c>
      <c r="AC64" s="69" t="n">
        <f aca="false">MAX(AB64,AC63)</f>
        <v>0</v>
      </c>
      <c r="AD64" s="69" t="n">
        <f aca="false">MAX(AC64,AD63)</f>
        <v>0</v>
      </c>
      <c r="AE64" s="69" t="n">
        <f aca="false">MAX(AD64,AE63)</f>
        <v>0</v>
      </c>
      <c r="AF64" s="69" t="n">
        <f aca="false">MAX(AE64,AF63)</f>
        <v>0</v>
      </c>
      <c r="AG64" s="69" t="n">
        <f aca="false">MAX(AF64,AG63)</f>
        <v>0</v>
      </c>
      <c r="AH64" s="69" t="n">
        <f aca="false">MAX(AG64,AH63)</f>
        <v>0</v>
      </c>
      <c r="AI64" s="69" t="n">
        <f aca="false">MAX(AH64,AI63)</f>
        <v>0</v>
      </c>
      <c r="AJ64" s="69" t="n">
        <f aca="false">MAX(AI64,AJ63)</f>
        <v>0</v>
      </c>
      <c r="AK64" s="69" t="n">
        <f aca="false">MAX(AJ64,AK63)</f>
        <v>0</v>
      </c>
      <c r="AL64" s="69" t="n">
        <f aca="false">MAX(AK64,AL63)</f>
        <v>0</v>
      </c>
    </row>
    <row r="65" customFormat="false" ht="15" hidden="false" customHeight="false" outlineLevel="0" collapsed="false">
      <c r="A65" s="6" t="s">
        <v>82</v>
      </c>
      <c r="C65" s="69" t="n">
        <f aca="false">-C64*Inputs!$B$79</f>
        <v>-0</v>
      </c>
      <c r="D65" s="69" t="n">
        <f aca="false">-(D64-C64)*Inputs!$B$79</f>
        <v>-0</v>
      </c>
      <c r="E65" s="69" t="n">
        <f aca="false">-(E64-D64)*Inputs!$B$79</f>
        <v>-0</v>
      </c>
      <c r="F65" s="69" t="n">
        <f aca="false">-(F64-E64)*Inputs!$B$79</f>
        <v>-0</v>
      </c>
      <c r="G65" s="69" t="n">
        <f aca="false">-(G64-F64)*Inputs!$B$79</f>
        <v>-0</v>
      </c>
      <c r="H65" s="69" t="n">
        <f aca="false">-(H64-G64)*Inputs!$B$79</f>
        <v>-0</v>
      </c>
      <c r="I65" s="69" t="n">
        <f aca="false">-(I64-H64)*Inputs!$B$79</f>
        <v>-0</v>
      </c>
      <c r="J65" s="69" t="n">
        <f aca="false">-(J64-I64)*Inputs!$B$79</f>
        <v>-0</v>
      </c>
      <c r="K65" s="69" t="n">
        <f aca="false">-(K64-J64)*Inputs!$B$79</f>
        <v>-0</v>
      </c>
      <c r="L65" s="69" t="n">
        <f aca="false">-(L64-K64)*Inputs!$B$79</f>
        <v>-0</v>
      </c>
      <c r="M65" s="69" t="n">
        <f aca="false">-(M64-L64)*Inputs!$B$79</f>
        <v>-0</v>
      </c>
      <c r="N65" s="69" t="n">
        <f aca="false">-(N64-M64)*Inputs!$B$79</f>
        <v>-0</v>
      </c>
      <c r="O65" s="69" t="n">
        <f aca="false">-(O64-N64)*Inputs!$B$79</f>
        <v>-0</v>
      </c>
      <c r="P65" s="69" t="n">
        <f aca="false">-(P64-O64)*Inputs!$B$79</f>
        <v>-0</v>
      </c>
      <c r="Q65" s="69" t="n">
        <f aca="false">-(Q64-P64)*Inputs!$B$79</f>
        <v>-0</v>
      </c>
      <c r="R65" s="69" t="n">
        <f aca="false">-(R64-Q64)*Inputs!$B$79</f>
        <v>-0</v>
      </c>
      <c r="S65" s="69" t="n">
        <f aca="false">-(S64-R64)*Inputs!$B$79</f>
        <v>-0</v>
      </c>
      <c r="T65" s="69" t="n">
        <f aca="false">-(T64-S64)*Inputs!$B$79</f>
        <v>-0</v>
      </c>
      <c r="U65" s="69" t="n">
        <f aca="false">-(U64-T64)*Inputs!$B$79</f>
        <v>-0</v>
      </c>
      <c r="V65" s="69" t="n">
        <f aca="false">-(V64-U64)*Inputs!$B$79</f>
        <v>-0</v>
      </c>
      <c r="W65" s="69" t="n">
        <f aca="false">-(W64-V64)*Inputs!$B$79</f>
        <v>-0</v>
      </c>
      <c r="X65" s="69" t="n">
        <f aca="false">-(X64-W64)*Inputs!$B$79</f>
        <v>-0</v>
      </c>
      <c r="Y65" s="69" t="n">
        <f aca="false">-(Y64-X64)*Inputs!$B$79</f>
        <v>-0</v>
      </c>
      <c r="Z65" s="69" t="n">
        <f aca="false">-(Z64-Y64)*Inputs!$B$79</f>
        <v>-0</v>
      </c>
      <c r="AA65" s="69" t="n">
        <f aca="false">-(AA64-Z64)*Inputs!$B$79</f>
        <v>-0</v>
      </c>
      <c r="AB65" s="69" t="n">
        <f aca="false">-(AB64-AA64)*Inputs!$B$79</f>
        <v>-0</v>
      </c>
      <c r="AC65" s="69" t="n">
        <f aca="false">-(AC64-AB64)*Inputs!$B$79</f>
        <v>-0</v>
      </c>
      <c r="AD65" s="69" t="n">
        <f aca="false">-(AD64-AC64)*Inputs!$B$79</f>
        <v>-0</v>
      </c>
      <c r="AE65" s="69" t="n">
        <f aca="false">-(AE64-AD64)*Inputs!$B$79</f>
        <v>-0</v>
      </c>
      <c r="AF65" s="69" t="n">
        <f aca="false">-(AF64-AE64)*Inputs!$B$79</f>
        <v>-0</v>
      </c>
      <c r="AG65" s="69" t="n">
        <f aca="false">-(AG64-AF64)*Inputs!$B$79</f>
        <v>-0</v>
      </c>
      <c r="AH65" s="69" t="n">
        <f aca="false">-(AH64-AG64)*Inputs!$B$79</f>
        <v>-0</v>
      </c>
      <c r="AI65" s="69" t="n">
        <f aca="false">-(AI64-AH64)*Inputs!$B$79</f>
        <v>-0</v>
      </c>
      <c r="AJ65" s="69" t="n">
        <f aca="false">-(AJ64-AI64)*Inputs!$B$79</f>
        <v>-0</v>
      </c>
      <c r="AK65" s="69" t="n">
        <f aca="false">-(AK64-AJ64)*Inputs!$B$79</f>
        <v>-0</v>
      </c>
      <c r="AL65" s="69" t="n">
        <f aca="false">-(AL64-AK64)*Inputs!$B$79</f>
        <v>-0</v>
      </c>
    </row>
    <row r="66" customFormat="false" ht="15" hidden="false" customHeight="false" outlineLevel="0" collapsed="false">
      <c r="A66" s="113" t="s">
        <v>50</v>
      </c>
      <c r="C66" s="70" t="n">
        <f aca="false">C62+C65</f>
        <v>-121553.757544889</v>
      </c>
      <c r="D66" s="70" t="n">
        <f aca="false">D62+D65</f>
        <v>-118270.643229422</v>
      </c>
      <c r="E66" s="70" t="n">
        <f aca="false">E62+E65</f>
        <v>-107399.777940036</v>
      </c>
      <c r="F66" s="70" t="n">
        <f aca="false">F62+F65</f>
        <v>-102914.736082812</v>
      </c>
      <c r="G66" s="70" t="n">
        <f aca="false">G62+G65</f>
        <v>-98363.9214957821</v>
      </c>
      <c r="H66" s="70" t="n">
        <f aca="false">H62+H65</f>
        <v>-93750.6228154374</v>
      </c>
      <c r="I66" s="70" t="n">
        <f aca="false">I62+I65</f>
        <v>-89077.9642464434</v>
      </c>
      <c r="J66" s="70" t="n">
        <f aca="false">J62+J65</f>
        <v>-84348.9137832323</v>
      </c>
      <c r="K66" s="70" t="n">
        <f aca="false">K62+K65</f>
        <v>-79566.2910205151</v>
      </c>
      <c r="L66" s="70" t="n">
        <f aca="false">L62+L65</f>
        <v>-74732.7745732672</v>
      </c>
      <c r="M66" s="70" t="n">
        <f aca="false">M62+M65</f>
        <v>-69850.9091257149</v>
      </c>
      <c r="N66" s="70" t="n">
        <f aca="false">N62+N65</f>
        <v>-80015.4893496117</v>
      </c>
      <c r="O66" s="70" t="n">
        <f aca="false">O62+O65</f>
        <v>-75069.8944275023</v>
      </c>
      <c r="P66" s="70" t="n">
        <f aca="false">P62+P65</f>
        <v>-73893.3950454605</v>
      </c>
      <c r="Q66" s="70" t="n">
        <f aca="false">Q62+Q65</f>
        <v>-56935.9778318983</v>
      </c>
      <c r="R66" s="70" t="n">
        <f aca="false">R62+R65</f>
        <v>-55713.5432967033</v>
      </c>
      <c r="S66" s="70" t="n">
        <f aca="false">S62+S65</f>
        <v>-54543.3763216015</v>
      </c>
      <c r="T66" s="70" t="n">
        <f aca="false">T62+T65</f>
        <v>-53422.8635285881</v>
      </c>
      <c r="U66" s="70" t="n">
        <f aca="false">U62+U65</f>
        <v>-52349.5222085587</v>
      </c>
      <c r="V66" s="70" t="n">
        <f aca="false">V62+V65</f>
        <v>-51320.9937878641</v>
      </c>
      <c r="W66" s="70" t="n">
        <f aca="false">W62+W65</f>
        <v>-50335.0376215375</v>
      </c>
      <c r="X66" s="70" t="n">
        <f aca="false">X62+X65</f>
        <v>-49389.5250968607</v>
      </c>
      <c r="Y66" s="70" t="n">
        <f aca="false">Y62+Y65</f>
        <v>-48482.434031751</v>
      </c>
      <c r="Z66" s="70" t="n">
        <f aca="false">Z62+Z65</f>
        <v>-62801.0376136343</v>
      </c>
      <c r="AA66" s="70" t="n">
        <f aca="false">AA62+AA65</f>
        <v>-62259.6122629796</v>
      </c>
      <c r="AB66" s="70" t="n">
        <f aca="false">AB62+AB65</f>
        <v>-61621.9040040048</v>
      </c>
      <c r="AC66" s="70" t="n">
        <f aca="false">AC62+AC65</f>
        <v>-45923.5382552647</v>
      </c>
      <c r="AD66" s="70" t="n">
        <f aca="false">AD62+AD65</f>
        <v>-45151.2562356623</v>
      </c>
      <c r="AE66" s="70" t="n">
        <f aca="false">AE62+AE65</f>
        <v>-44408.7341503734</v>
      </c>
      <c r="AF66" s="70" t="n">
        <f aca="false">AF62+AF65</f>
        <v>-43694.4840026823</v>
      </c>
      <c r="AG66" s="70" t="n">
        <f aca="false">AG62+AG65</f>
        <v>-43007.0921957091</v>
      </c>
      <c r="AH66" s="70" t="n">
        <f aca="false">AH62+AH65</f>
        <v>-42345.2158124179</v>
      </c>
      <c r="AI66" s="70" t="n">
        <f aca="false">AI62+AI65</f>
        <v>-41707.5790816245</v>
      </c>
      <c r="AJ66" s="70" t="n">
        <f aca="false">AJ62+AJ65</f>
        <v>-41092.9700207042</v>
      </c>
      <c r="AK66" s="70" t="n">
        <f aca="false">AK62+AK65</f>
        <v>-40500.2372461632</v>
      </c>
      <c r="AL66" s="70" t="n">
        <f aca="false">AL62+AL65</f>
        <v>-54632.0099493431</v>
      </c>
    </row>
    <row r="68" customFormat="false" ht="15.75" hidden="false" customHeight="true" outlineLevel="0" collapsed="false">
      <c r="A68" s="7" t="s">
        <v>419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420</v>
      </c>
      <c r="C69" s="69" t="n">
        <f aca="false">IF(C$6=1,Inputs!$B$49,0)</f>
        <v>1650000</v>
      </c>
      <c r="D69" s="69" t="n">
        <f aca="false">IF(D$6=1,Inputs!$B$49,0)</f>
        <v>0</v>
      </c>
      <c r="E69" s="69" t="n">
        <f aca="false">IF(E$6=1,Inputs!$B$49,0)</f>
        <v>0</v>
      </c>
      <c r="F69" s="69" t="n">
        <f aca="false">IF(F$6=1,Inputs!$B$49,0)</f>
        <v>0</v>
      </c>
      <c r="G69" s="69" t="n">
        <f aca="false">IF(G$6=1,Inputs!$B$49,0)</f>
        <v>0</v>
      </c>
      <c r="H69" s="69" t="n">
        <f aca="false">IF(H$6=1,Inputs!$B$49,0)</f>
        <v>0</v>
      </c>
      <c r="I69" s="69" t="n">
        <f aca="false">IF(I$6=1,Inputs!$B$49,0)</f>
        <v>0</v>
      </c>
      <c r="J69" s="69" t="n">
        <f aca="false">IF(J$6=1,Inputs!$B$49,0)</f>
        <v>0</v>
      </c>
      <c r="K69" s="69" t="n">
        <f aca="false">IF(K$6=1,Inputs!$B$49,0)</f>
        <v>0</v>
      </c>
      <c r="L69" s="69" t="n">
        <f aca="false">IF(L$6=1,Inputs!$B$49,0)</f>
        <v>0</v>
      </c>
      <c r="M69" s="69" t="n">
        <f aca="false">IF(M$6=1,Inputs!$B$49,0)</f>
        <v>0</v>
      </c>
      <c r="N69" s="69" t="n">
        <f aca="false">IF(N$6=1,Inputs!$B$49,0)</f>
        <v>0</v>
      </c>
      <c r="O69" s="69" t="n">
        <f aca="false">IF(O$6=1,Inputs!$B$49,0)</f>
        <v>0</v>
      </c>
      <c r="P69" s="69" t="n">
        <f aca="false">IF(P$6=1,Inputs!$B$49,0)</f>
        <v>0</v>
      </c>
      <c r="Q69" s="69" t="n">
        <f aca="false">IF(Q$6=1,Inputs!$B$49,0)</f>
        <v>0</v>
      </c>
      <c r="R69" s="69" t="n">
        <f aca="false">IF(R$6=1,Inputs!$B$49,0)</f>
        <v>0</v>
      </c>
      <c r="S69" s="69" t="n">
        <f aca="false">IF(S$6=1,Inputs!$B$49,0)</f>
        <v>0</v>
      </c>
      <c r="T69" s="69" t="n">
        <f aca="false">IF(T$6=1,Inputs!$B$49,0)</f>
        <v>0</v>
      </c>
      <c r="U69" s="69" t="n">
        <f aca="false">IF(U$6=1,Inputs!$B$49,0)</f>
        <v>0</v>
      </c>
      <c r="V69" s="69" t="n">
        <f aca="false">IF(V$6=1,Inputs!$B$49,0)</f>
        <v>0</v>
      </c>
      <c r="W69" s="69" t="n">
        <f aca="false">IF(W$6=1,Inputs!$B$49,0)</f>
        <v>0</v>
      </c>
      <c r="X69" s="69" t="n">
        <f aca="false">IF(X$6=1,Inputs!$B$49,0)</f>
        <v>0</v>
      </c>
      <c r="Y69" s="69" t="n">
        <f aca="false">IF(Y$6=1,Inputs!$B$49,0)</f>
        <v>0</v>
      </c>
      <c r="Z69" s="69" t="n">
        <f aca="false">IF(Z$6=1,Inputs!$B$49,0)</f>
        <v>0</v>
      </c>
      <c r="AA69" s="69" t="n">
        <f aca="false">IF(AA$6=1,Inputs!$B$49,0)</f>
        <v>0</v>
      </c>
      <c r="AB69" s="69" t="n">
        <f aca="false">IF(AB$6=1,Inputs!$B$49,0)</f>
        <v>0</v>
      </c>
      <c r="AC69" s="69" t="n">
        <f aca="false">IF(AC$6=1,Inputs!$B$49,0)</f>
        <v>0</v>
      </c>
      <c r="AD69" s="69" t="n">
        <f aca="false">IF(AD$6=1,Inputs!$B$49,0)</f>
        <v>0</v>
      </c>
      <c r="AE69" s="69" t="n">
        <f aca="false">IF(AE$6=1,Inputs!$B$49,0)</f>
        <v>0</v>
      </c>
      <c r="AF69" s="69" t="n">
        <f aca="false">IF(AF$6=1,Inputs!$B$49,0)</f>
        <v>0</v>
      </c>
      <c r="AG69" s="69" t="n">
        <f aca="false">IF(AG$6=1,Inputs!$B$49,0)</f>
        <v>0</v>
      </c>
      <c r="AH69" s="69" t="n">
        <f aca="false">IF(AH$6=1,Inputs!$B$49,0)</f>
        <v>0</v>
      </c>
      <c r="AI69" s="69" t="n">
        <f aca="false">IF(AI$6=1,Inputs!$B$49,0)</f>
        <v>0</v>
      </c>
      <c r="AJ69" s="69" t="n">
        <f aca="false">IF(AJ$6=1,Inputs!$B$49,0)</f>
        <v>0</v>
      </c>
      <c r="AK69" s="69" t="n">
        <f aca="false">IF(AK$6=1,Inputs!$B$49,0)</f>
        <v>0</v>
      </c>
      <c r="AL69" s="69" t="n">
        <f aca="false">IF(AL$6=1,Inputs!$B$49,0)</f>
        <v>0</v>
      </c>
    </row>
    <row r="70" customFormat="false" ht="15" hidden="false" customHeight="false" outlineLevel="0" collapsed="false">
      <c r="A70" s="6" t="s">
        <v>421</v>
      </c>
      <c r="C70" s="69" t="n">
        <f aca="false">IF(C$6=1,Inputs!$B$50,0)</f>
        <v>2300000</v>
      </c>
      <c r="D70" s="69" t="n">
        <f aca="false">IF(D$6=1,Inputs!$B$50,0)</f>
        <v>0</v>
      </c>
      <c r="E70" s="69" t="n">
        <f aca="false">IF(E$6=1,Inputs!$B$50,0)</f>
        <v>0</v>
      </c>
      <c r="F70" s="69" t="n">
        <f aca="false">IF(F$6=1,Inputs!$B$50,0)</f>
        <v>0</v>
      </c>
      <c r="G70" s="69" t="n">
        <f aca="false">IF(G$6=1,Inputs!$B$50,0)</f>
        <v>0</v>
      </c>
      <c r="H70" s="69" t="n">
        <f aca="false">IF(H$6=1,Inputs!$B$50,0)</f>
        <v>0</v>
      </c>
      <c r="I70" s="69" t="n">
        <f aca="false">IF(I$6=1,Inputs!$B$50,0)</f>
        <v>0</v>
      </c>
      <c r="J70" s="69" t="n">
        <f aca="false">IF(J$6=1,Inputs!$B$50,0)</f>
        <v>0</v>
      </c>
      <c r="K70" s="69" t="n">
        <f aca="false">IF(K$6=1,Inputs!$B$50,0)</f>
        <v>0</v>
      </c>
      <c r="L70" s="69" t="n">
        <f aca="false">IF(L$6=1,Inputs!$B$50,0)</f>
        <v>0</v>
      </c>
      <c r="M70" s="69" t="n">
        <f aca="false">IF(M$6=1,Inputs!$B$50,0)</f>
        <v>0</v>
      </c>
      <c r="N70" s="69" t="n">
        <f aca="false">IF(N$6=1,Inputs!$B$50,0)</f>
        <v>0</v>
      </c>
      <c r="O70" s="69" t="n">
        <f aca="false">IF(O$6=1,Inputs!$B$50,0)</f>
        <v>0</v>
      </c>
      <c r="P70" s="69" t="n">
        <f aca="false">IF(P$6=1,Inputs!$B$50,0)</f>
        <v>0</v>
      </c>
      <c r="Q70" s="69" t="n">
        <f aca="false">IF(Q$6=1,Inputs!$B$50,0)</f>
        <v>0</v>
      </c>
      <c r="R70" s="69" t="n">
        <f aca="false">IF(R$6=1,Inputs!$B$50,0)</f>
        <v>0</v>
      </c>
      <c r="S70" s="69" t="n">
        <f aca="false">IF(S$6=1,Inputs!$B$50,0)</f>
        <v>0</v>
      </c>
      <c r="T70" s="69" t="n">
        <f aca="false">IF(T$6=1,Inputs!$B$50,0)</f>
        <v>0</v>
      </c>
      <c r="U70" s="69" t="n">
        <f aca="false">IF(U$6=1,Inputs!$B$50,0)</f>
        <v>0</v>
      </c>
      <c r="V70" s="69" t="n">
        <f aca="false">IF(V$6=1,Inputs!$B$50,0)</f>
        <v>0</v>
      </c>
      <c r="W70" s="69" t="n">
        <f aca="false">IF(W$6=1,Inputs!$B$50,0)</f>
        <v>0</v>
      </c>
      <c r="X70" s="69" t="n">
        <f aca="false">IF(X$6=1,Inputs!$B$50,0)</f>
        <v>0</v>
      </c>
      <c r="Y70" s="69" t="n">
        <f aca="false">IF(Y$6=1,Inputs!$B$50,0)</f>
        <v>0</v>
      </c>
      <c r="Z70" s="69" t="n">
        <f aca="false">IF(Z$6=1,Inputs!$B$50,0)</f>
        <v>0</v>
      </c>
      <c r="AA70" s="69" t="n">
        <f aca="false">IF(AA$6=1,Inputs!$B$50,0)</f>
        <v>0</v>
      </c>
      <c r="AB70" s="69" t="n">
        <f aca="false">IF(AB$6=1,Inputs!$B$50,0)</f>
        <v>0</v>
      </c>
      <c r="AC70" s="69" t="n">
        <f aca="false">IF(AC$6=1,Inputs!$B$50,0)</f>
        <v>0</v>
      </c>
      <c r="AD70" s="69" t="n">
        <f aca="false">IF(AD$6=1,Inputs!$B$50,0)</f>
        <v>0</v>
      </c>
      <c r="AE70" s="69" t="n">
        <f aca="false">IF(AE$6=1,Inputs!$B$50,0)</f>
        <v>0</v>
      </c>
      <c r="AF70" s="69" t="n">
        <f aca="false">IF(AF$6=1,Inputs!$B$50,0)</f>
        <v>0</v>
      </c>
      <c r="AG70" s="69" t="n">
        <f aca="false">IF(AG$6=1,Inputs!$B$50,0)</f>
        <v>0</v>
      </c>
      <c r="AH70" s="69" t="n">
        <f aca="false">IF(AH$6=1,Inputs!$B$50,0)</f>
        <v>0</v>
      </c>
      <c r="AI70" s="69" t="n">
        <f aca="false">IF(AI$6=1,Inputs!$B$50,0)</f>
        <v>0</v>
      </c>
      <c r="AJ70" s="69" t="n">
        <f aca="false">IF(AJ$6=1,Inputs!$B$50,0)</f>
        <v>0</v>
      </c>
      <c r="AK70" s="69" t="n">
        <f aca="false">IF(AK$6=1,Inputs!$B$50,0)</f>
        <v>0</v>
      </c>
      <c r="AL70" s="69" t="n">
        <f aca="false">IF(AL$6=1,Inputs!$B$50,0)</f>
        <v>0</v>
      </c>
    </row>
    <row r="71" customFormat="false" ht="15" hidden="false" customHeight="false" outlineLevel="0" collapsed="false">
      <c r="A71" s="6" t="s">
        <v>422</v>
      </c>
      <c r="C71" s="69" t="n">
        <f aca="false">IF(C$6=1,Inputs!$B$51,0)</f>
        <v>150000</v>
      </c>
      <c r="D71" s="69" t="n">
        <f aca="false">IF(D$6=1,Inputs!$B$51,0)</f>
        <v>0</v>
      </c>
      <c r="E71" s="69" t="n">
        <f aca="false">IF(E$6=1,Inputs!$B$51,0)</f>
        <v>0</v>
      </c>
      <c r="F71" s="69" t="n">
        <f aca="false">IF(F$6=1,Inputs!$B$51,0)</f>
        <v>0</v>
      </c>
      <c r="G71" s="69" t="n">
        <f aca="false">IF(G$6=1,Inputs!$B$51,0)</f>
        <v>0</v>
      </c>
      <c r="H71" s="69" t="n">
        <f aca="false">IF(H$6=1,Inputs!$B$51,0)</f>
        <v>0</v>
      </c>
      <c r="I71" s="69" t="n">
        <f aca="false">IF(I$6=1,Inputs!$B$51,0)</f>
        <v>0</v>
      </c>
      <c r="J71" s="69" t="n">
        <f aca="false">IF(J$6=1,Inputs!$B$51,0)</f>
        <v>0</v>
      </c>
      <c r="K71" s="69" t="n">
        <f aca="false">IF(K$6=1,Inputs!$B$51,0)</f>
        <v>0</v>
      </c>
      <c r="L71" s="69" t="n">
        <f aca="false">IF(L$6=1,Inputs!$B$51,0)</f>
        <v>0</v>
      </c>
      <c r="M71" s="69" t="n">
        <f aca="false">IF(M$6=1,Inputs!$B$51,0)</f>
        <v>0</v>
      </c>
      <c r="N71" s="69" t="n">
        <f aca="false">IF(N$6=1,Inputs!$B$51,0)</f>
        <v>0</v>
      </c>
      <c r="O71" s="69" t="n">
        <f aca="false">IF(O$6=1,Inputs!$B$51,0)</f>
        <v>0</v>
      </c>
      <c r="P71" s="69" t="n">
        <f aca="false">IF(P$6=1,Inputs!$B$51,0)</f>
        <v>0</v>
      </c>
      <c r="Q71" s="69" t="n">
        <f aca="false">IF(Q$6=1,Inputs!$B$51,0)</f>
        <v>0</v>
      </c>
      <c r="R71" s="69" t="n">
        <f aca="false">IF(R$6=1,Inputs!$B$51,0)</f>
        <v>0</v>
      </c>
      <c r="S71" s="69" t="n">
        <f aca="false">IF(S$6=1,Inputs!$B$51,0)</f>
        <v>0</v>
      </c>
      <c r="T71" s="69" t="n">
        <f aca="false">IF(T$6=1,Inputs!$B$51,0)</f>
        <v>0</v>
      </c>
      <c r="U71" s="69" t="n">
        <f aca="false">IF(U$6=1,Inputs!$B$51,0)</f>
        <v>0</v>
      </c>
      <c r="V71" s="69" t="n">
        <f aca="false">IF(V$6=1,Inputs!$B$51,0)</f>
        <v>0</v>
      </c>
      <c r="W71" s="69" t="n">
        <f aca="false">IF(W$6=1,Inputs!$B$51,0)</f>
        <v>0</v>
      </c>
      <c r="X71" s="69" t="n">
        <f aca="false">IF(X$6=1,Inputs!$B$51,0)</f>
        <v>0</v>
      </c>
      <c r="Y71" s="69" t="n">
        <f aca="false">IF(Y$6=1,Inputs!$B$51,0)</f>
        <v>0</v>
      </c>
      <c r="Z71" s="69" t="n">
        <f aca="false">IF(Z$6=1,Inputs!$B$51,0)</f>
        <v>0</v>
      </c>
      <c r="AA71" s="69" t="n">
        <f aca="false">IF(AA$6=1,Inputs!$B$51,0)</f>
        <v>0</v>
      </c>
      <c r="AB71" s="69" t="n">
        <f aca="false">IF(AB$6=1,Inputs!$B$51,0)</f>
        <v>0</v>
      </c>
      <c r="AC71" s="69" t="n">
        <f aca="false">IF(AC$6=1,Inputs!$B$51,0)</f>
        <v>0</v>
      </c>
      <c r="AD71" s="69" t="n">
        <f aca="false">IF(AD$6=1,Inputs!$B$51,0)</f>
        <v>0</v>
      </c>
      <c r="AE71" s="69" t="n">
        <f aca="false">IF(AE$6=1,Inputs!$B$51,0)</f>
        <v>0</v>
      </c>
      <c r="AF71" s="69" t="n">
        <f aca="false">IF(AF$6=1,Inputs!$B$51,0)</f>
        <v>0</v>
      </c>
      <c r="AG71" s="69" t="n">
        <f aca="false">IF(AG$6=1,Inputs!$B$51,0)</f>
        <v>0</v>
      </c>
      <c r="AH71" s="69" t="n">
        <f aca="false">IF(AH$6=1,Inputs!$B$51,0)</f>
        <v>0</v>
      </c>
      <c r="AI71" s="69" t="n">
        <f aca="false">IF(AI$6=1,Inputs!$B$51,0)</f>
        <v>0</v>
      </c>
      <c r="AJ71" s="69" t="n">
        <f aca="false">IF(AJ$6=1,Inputs!$B$51,0)</f>
        <v>0</v>
      </c>
      <c r="AK71" s="69" t="n">
        <f aca="false">IF(AK$6=1,Inputs!$B$51,0)</f>
        <v>0</v>
      </c>
      <c r="AL71" s="69" t="n">
        <f aca="false">IF(AL$6=1,Inputs!$B$51,0)</f>
        <v>0</v>
      </c>
    </row>
    <row r="72" customFormat="false" ht="15" hidden="false" customHeight="false" outlineLevel="0" collapsed="false">
      <c r="A72" s="6" t="s">
        <v>423</v>
      </c>
      <c r="C72" s="69" t="n">
        <f aca="false">IF(AND(C$7&gt;1,MOD(C$6-1,12)=0),Inputs!$B$52,0)</f>
        <v>0</v>
      </c>
      <c r="D72" s="69" t="n">
        <f aca="false">IF(AND(D$7&gt;1,MOD(D$6-1,12)=0),Inputs!$B$52,0)</f>
        <v>0</v>
      </c>
      <c r="E72" s="69" t="n">
        <f aca="false">IF(AND(E$7&gt;1,MOD(E$6-1,12)=0),Inputs!$B$52,0)</f>
        <v>0</v>
      </c>
      <c r="F72" s="69" t="n">
        <f aca="false">IF(AND(F$7&gt;1,MOD(F$6-1,12)=0),Inputs!$B$52,0)</f>
        <v>0</v>
      </c>
      <c r="G72" s="69" t="n">
        <f aca="false">IF(AND(G$7&gt;1,MOD(G$6-1,12)=0),Inputs!$B$52,0)</f>
        <v>0</v>
      </c>
      <c r="H72" s="69" t="n">
        <f aca="false">IF(AND(H$7&gt;1,MOD(H$6-1,12)=0),Inputs!$B$52,0)</f>
        <v>0</v>
      </c>
      <c r="I72" s="69" t="n">
        <f aca="false">IF(AND(I$7&gt;1,MOD(I$6-1,12)=0),Inputs!$B$52,0)</f>
        <v>0</v>
      </c>
      <c r="J72" s="69" t="n">
        <f aca="false">IF(AND(J$7&gt;1,MOD(J$6-1,12)=0),Inputs!$B$52,0)</f>
        <v>0</v>
      </c>
      <c r="K72" s="69" t="n">
        <f aca="false">IF(AND(K$7&gt;1,MOD(K$6-1,12)=0),Inputs!$B$52,0)</f>
        <v>0</v>
      </c>
      <c r="L72" s="69" t="n">
        <f aca="false">IF(AND(L$7&gt;1,MOD(L$6-1,12)=0),Inputs!$B$52,0)</f>
        <v>0</v>
      </c>
      <c r="M72" s="69" t="n">
        <f aca="false">IF(AND(M$7&gt;1,MOD(M$6-1,12)=0),Inputs!$B$52,0)</f>
        <v>0</v>
      </c>
      <c r="N72" s="69" t="n">
        <f aca="false">IF(AND(N$7&gt;1,MOD(N$6-1,12)=0),Inputs!$B$52,0)</f>
        <v>0</v>
      </c>
      <c r="O72" s="69" t="n">
        <f aca="false">IF(AND(O$7&gt;1,MOD(O$6-1,12)=0),Inputs!$B$52,0)</f>
        <v>40000</v>
      </c>
      <c r="P72" s="69" t="n">
        <f aca="false">IF(AND(P$7&gt;1,MOD(P$6-1,12)=0),Inputs!$B$52,0)</f>
        <v>0</v>
      </c>
      <c r="Q72" s="69" t="n">
        <f aca="false">IF(AND(Q$7&gt;1,MOD(Q$6-1,12)=0),Inputs!$B$52,0)</f>
        <v>0</v>
      </c>
      <c r="R72" s="69" t="n">
        <f aca="false">IF(AND(R$7&gt;1,MOD(R$6-1,12)=0),Inputs!$B$52,0)</f>
        <v>0</v>
      </c>
      <c r="S72" s="69" t="n">
        <f aca="false">IF(AND(S$7&gt;1,MOD(S$6-1,12)=0),Inputs!$B$52,0)</f>
        <v>0</v>
      </c>
      <c r="T72" s="69" t="n">
        <f aca="false">IF(AND(T$7&gt;1,MOD(T$6-1,12)=0),Inputs!$B$52,0)</f>
        <v>0</v>
      </c>
      <c r="U72" s="69" t="n">
        <f aca="false">IF(AND(U$7&gt;1,MOD(U$6-1,12)=0),Inputs!$B$52,0)</f>
        <v>0</v>
      </c>
      <c r="V72" s="69" t="n">
        <f aca="false">IF(AND(V$7&gt;1,MOD(V$6-1,12)=0),Inputs!$B$52,0)</f>
        <v>0</v>
      </c>
      <c r="W72" s="69" t="n">
        <f aca="false">IF(AND(W$7&gt;1,MOD(W$6-1,12)=0),Inputs!$B$52,0)</f>
        <v>0</v>
      </c>
      <c r="X72" s="69" t="n">
        <f aca="false">IF(AND(X$7&gt;1,MOD(X$6-1,12)=0),Inputs!$B$52,0)</f>
        <v>0</v>
      </c>
      <c r="Y72" s="69" t="n">
        <f aca="false">IF(AND(Y$7&gt;1,MOD(Y$6-1,12)=0),Inputs!$B$52,0)</f>
        <v>0</v>
      </c>
      <c r="Z72" s="69" t="n">
        <f aca="false">IF(AND(Z$7&gt;1,MOD(Z$6-1,12)=0),Inputs!$B$52,0)</f>
        <v>0</v>
      </c>
      <c r="AA72" s="69" t="n">
        <f aca="false">IF(AND(AA$7&gt;1,MOD(AA$6-1,12)=0),Inputs!$B$52,0)</f>
        <v>40000</v>
      </c>
      <c r="AB72" s="69" t="n">
        <f aca="false">IF(AND(AB$7&gt;1,MOD(AB$6-1,12)=0),Inputs!$B$52,0)</f>
        <v>0</v>
      </c>
      <c r="AC72" s="69" t="n">
        <f aca="false">IF(AND(AC$7&gt;1,MOD(AC$6-1,12)=0),Inputs!$B$52,0)</f>
        <v>0</v>
      </c>
      <c r="AD72" s="69" t="n">
        <f aca="false">IF(AND(AD$7&gt;1,MOD(AD$6-1,12)=0),Inputs!$B$52,0)</f>
        <v>0</v>
      </c>
      <c r="AE72" s="69" t="n">
        <f aca="false">IF(AND(AE$7&gt;1,MOD(AE$6-1,12)=0),Inputs!$B$52,0)</f>
        <v>0</v>
      </c>
      <c r="AF72" s="69" t="n">
        <f aca="false">IF(AND(AF$7&gt;1,MOD(AF$6-1,12)=0),Inputs!$B$52,0)</f>
        <v>0</v>
      </c>
      <c r="AG72" s="69" t="n">
        <f aca="false">IF(AND(AG$7&gt;1,MOD(AG$6-1,12)=0),Inputs!$B$52,0)</f>
        <v>0</v>
      </c>
      <c r="AH72" s="69" t="n">
        <f aca="false">IF(AND(AH$7&gt;1,MOD(AH$6-1,12)=0),Inputs!$B$52,0)</f>
        <v>0</v>
      </c>
      <c r="AI72" s="69" t="n">
        <f aca="false">IF(AND(AI$7&gt;1,MOD(AI$6-1,12)=0),Inputs!$B$52,0)</f>
        <v>0</v>
      </c>
      <c r="AJ72" s="69" t="n">
        <f aca="false">IF(AND(AJ$7&gt;1,MOD(AJ$6-1,12)=0),Inputs!$B$52,0)</f>
        <v>0</v>
      </c>
      <c r="AK72" s="69" t="n">
        <f aca="false">IF(AND(AK$7&gt;1,MOD(AK$6-1,12)=0),Inputs!$B$52,0)</f>
        <v>0</v>
      </c>
      <c r="AL72" s="69" t="n">
        <f aca="false">IF(AND(AL$7&gt;1,MOD(AL$6-1,12)=0),Inputs!$B$52,0)</f>
        <v>0</v>
      </c>
    </row>
    <row r="73" customFormat="false" ht="15" hidden="false" customHeight="false" outlineLevel="0" collapsed="false">
      <c r="A73" s="4" t="s">
        <v>84</v>
      </c>
      <c r="C73" s="75" t="n">
        <f aca="false">C69+C70+C71+C72</f>
        <v>4100000</v>
      </c>
      <c r="D73" s="75" t="n">
        <f aca="false">D69+D70+D71+D72</f>
        <v>0</v>
      </c>
      <c r="E73" s="75" t="n">
        <f aca="false">E69+E70+E71+E72</f>
        <v>0</v>
      </c>
      <c r="F73" s="75" t="n">
        <f aca="false">F69+F70+F71+F72</f>
        <v>0</v>
      </c>
      <c r="G73" s="75" t="n">
        <f aca="false">G69+G70+G71+G72</f>
        <v>0</v>
      </c>
      <c r="H73" s="75" t="n">
        <f aca="false">H69+H70+H71+H72</f>
        <v>0</v>
      </c>
      <c r="I73" s="75" t="n">
        <f aca="false">I69+I70+I71+I72</f>
        <v>0</v>
      </c>
      <c r="J73" s="75" t="n">
        <f aca="false">J69+J70+J71+J72</f>
        <v>0</v>
      </c>
      <c r="K73" s="75" t="n">
        <f aca="false">K69+K70+K71+K72</f>
        <v>0</v>
      </c>
      <c r="L73" s="75" t="n">
        <f aca="false">L69+L70+L71+L72</f>
        <v>0</v>
      </c>
      <c r="M73" s="75" t="n">
        <f aca="false">M69+M70+M71+M72</f>
        <v>0</v>
      </c>
      <c r="N73" s="75" t="n">
        <f aca="false">N69+N70+N71+N72</f>
        <v>0</v>
      </c>
      <c r="O73" s="75" t="n">
        <f aca="false">O69+O70+O71+O72</f>
        <v>40000</v>
      </c>
      <c r="P73" s="75" t="n">
        <f aca="false">P69+P70+P71+P72</f>
        <v>0</v>
      </c>
      <c r="Q73" s="75" t="n">
        <f aca="false">Q69+Q70+Q71+Q72</f>
        <v>0</v>
      </c>
      <c r="R73" s="75" t="n">
        <f aca="false">R69+R70+R71+R72</f>
        <v>0</v>
      </c>
      <c r="S73" s="75" t="n">
        <f aca="false">S69+S70+S71+S72</f>
        <v>0</v>
      </c>
      <c r="T73" s="75" t="n">
        <f aca="false">T69+T70+T71+T72</f>
        <v>0</v>
      </c>
      <c r="U73" s="75" t="n">
        <f aca="false">U69+U70+U71+U72</f>
        <v>0</v>
      </c>
      <c r="V73" s="75" t="n">
        <f aca="false">V69+V70+V71+V72</f>
        <v>0</v>
      </c>
      <c r="W73" s="75" t="n">
        <f aca="false">W69+W70+W71+W72</f>
        <v>0</v>
      </c>
      <c r="X73" s="75" t="n">
        <f aca="false">X69+X70+X71+X72</f>
        <v>0</v>
      </c>
      <c r="Y73" s="75" t="n">
        <f aca="false">Y69+Y70+Y71+Y72</f>
        <v>0</v>
      </c>
      <c r="Z73" s="75" t="n">
        <f aca="false">Z69+Z70+Z71+Z72</f>
        <v>0</v>
      </c>
      <c r="AA73" s="75" t="n">
        <f aca="false">AA69+AA70+AA71+AA72</f>
        <v>40000</v>
      </c>
      <c r="AB73" s="75" t="n">
        <f aca="false">AB69+AB70+AB71+AB72</f>
        <v>0</v>
      </c>
      <c r="AC73" s="75" t="n">
        <f aca="false">AC69+AC70+AC71+AC72</f>
        <v>0</v>
      </c>
      <c r="AD73" s="75" t="n">
        <f aca="false">AD69+AD70+AD71+AD72</f>
        <v>0</v>
      </c>
      <c r="AE73" s="75" t="n">
        <f aca="false">AE69+AE70+AE71+AE72</f>
        <v>0</v>
      </c>
      <c r="AF73" s="75" t="n">
        <f aca="false">AF69+AF70+AF71+AF72</f>
        <v>0</v>
      </c>
      <c r="AG73" s="75" t="n">
        <f aca="false">AG69+AG70+AG71+AG72</f>
        <v>0</v>
      </c>
      <c r="AH73" s="75" t="n">
        <f aca="false">AH69+AH70+AH71+AH72</f>
        <v>0</v>
      </c>
      <c r="AI73" s="75" t="n">
        <f aca="false">AI69+AI70+AI71+AI72</f>
        <v>0</v>
      </c>
      <c r="AJ73" s="75" t="n">
        <f aca="false">AJ69+AJ70+AJ71+AJ72</f>
        <v>0</v>
      </c>
      <c r="AK73" s="75" t="n">
        <f aca="false">AK69+AK70+AK71+AK72</f>
        <v>0</v>
      </c>
      <c r="AL73" s="75" t="n">
        <f aca="false">AL69+AL70+AL71+AL72</f>
        <v>0</v>
      </c>
    </row>
    <row r="74" customFormat="false" ht="15" hidden="false" customHeight="false" outlineLevel="0" collapsed="false">
      <c r="A74" s="6" t="s">
        <v>424</v>
      </c>
      <c r="C74" s="69" t="n">
        <f aca="false">C73</f>
        <v>4100000</v>
      </c>
      <c r="D74" s="69" t="n">
        <f aca="false">C74+D73</f>
        <v>4100000</v>
      </c>
      <c r="E74" s="69" t="n">
        <f aca="false">D74+E73</f>
        <v>4100000</v>
      </c>
      <c r="F74" s="69" t="n">
        <f aca="false">E74+F73</f>
        <v>4100000</v>
      </c>
      <c r="G74" s="69" t="n">
        <f aca="false">F74+G73</f>
        <v>4100000</v>
      </c>
      <c r="H74" s="69" t="n">
        <f aca="false">G74+H73</f>
        <v>4100000</v>
      </c>
      <c r="I74" s="69" t="n">
        <f aca="false">H74+I73</f>
        <v>4100000</v>
      </c>
      <c r="J74" s="69" t="n">
        <f aca="false">I74+J73</f>
        <v>4100000</v>
      </c>
      <c r="K74" s="69" t="n">
        <f aca="false">J74+K73</f>
        <v>4100000</v>
      </c>
      <c r="L74" s="69" t="n">
        <f aca="false">K74+L73</f>
        <v>4100000</v>
      </c>
      <c r="M74" s="69" t="n">
        <f aca="false">L74+M73</f>
        <v>4100000</v>
      </c>
      <c r="N74" s="69" t="n">
        <f aca="false">M74+N73</f>
        <v>4100000</v>
      </c>
      <c r="O74" s="69" t="n">
        <f aca="false">N74+O73</f>
        <v>4140000</v>
      </c>
      <c r="P74" s="69" t="n">
        <f aca="false">O74+P73</f>
        <v>4140000</v>
      </c>
      <c r="Q74" s="69" t="n">
        <f aca="false">P74+Q73</f>
        <v>4140000</v>
      </c>
      <c r="R74" s="69" t="n">
        <f aca="false">Q74+R73</f>
        <v>4140000</v>
      </c>
      <c r="S74" s="69" t="n">
        <f aca="false">R74+S73</f>
        <v>4140000</v>
      </c>
      <c r="T74" s="69" t="n">
        <f aca="false">S74+T73</f>
        <v>4140000</v>
      </c>
      <c r="U74" s="69" t="n">
        <f aca="false">T74+U73</f>
        <v>4140000</v>
      </c>
      <c r="V74" s="69" t="n">
        <f aca="false">U74+V73</f>
        <v>4140000</v>
      </c>
      <c r="W74" s="69" t="n">
        <f aca="false">V74+W73</f>
        <v>4140000</v>
      </c>
      <c r="X74" s="69" t="n">
        <f aca="false">W74+X73</f>
        <v>4140000</v>
      </c>
      <c r="Y74" s="69" t="n">
        <f aca="false">X74+Y73</f>
        <v>4140000</v>
      </c>
      <c r="Z74" s="69" t="n">
        <f aca="false">Y74+Z73</f>
        <v>4140000</v>
      </c>
      <c r="AA74" s="69" t="n">
        <f aca="false">Z74+AA73</f>
        <v>4180000</v>
      </c>
      <c r="AB74" s="69" t="n">
        <f aca="false">AA74+AB73</f>
        <v>4180000</v>
      </c>
      <c r="AC74" s="69" t="n">
        <f aca="false">AB74+AC73</f>
        <v>4180000</v>
      </c>
      <c r="AD74" s="69" t="n">
        <f aca="false">AC74+AD73</f>
        <v>4180000</v>
      </c>
      <c r="AE74" s="69" t="n">
        <f aca="false">AD74+AE73</f>
        <v>4180000</v>
      </c>
      <c r="AF74" s="69" t="n">
        <f aca="false">AE74+AF73</f>
        <v>4180000</v>
      </c>
      <c r="AG74" s="69" t="n">
        <f aca="false">AF74+AG73</f>
        <v>4180000</v>
      </c>
      <c r="AH74" s="69" t="n">
        <f aca="false">AG74+AH73</f>
        <v>4180000</v>
      </c>
      <c r="AI74" s="69" t="n">
        <f aca="false">AH74+AI73</f>
        <v>4180000</v>
      </c>
      <c r="AJ74" s="69" t="n">
        <f aca="false">AI74+AJ73</f>
        <v>4180000</v>
      </c>
      <c r="AK74" s="69" t="n">
        <f aca="false">AJ74+AK73</f>
        <v>4180000</v>
      </c>
      <c r="AL74" s="69" t="n">
        <f aca="false">AK74+AL73</f>
        <v>4180000</v>
      </c>
    </row>
    <row r="75" customFormat="false" ht="15" hidden="false" customHeight="false" outlineLevel="0" collapsed="false">
      <c r="A75" s="6" t="s">
        <v>78</v>
      </c>
      <c r="C75" s="69" t="n">
        <f aca="false">-MIN(C74/MAX(1,Inputs!$B$78*12),C73)</f>
        <v>-28472.2222222222</v>
      </c>
      <c r="D75" s="69" t="n">
        <f aca="false">-MIN(D74/MAX(1,Inputs!$B$78*12),C77+D73)</f>
        <v>-28472.2222222222</v>
      </c>
      <c r="E75" s="69" t="n">
        <f aca="false">-MIN(E74/MAX(1,Inputs!$B$78*12),D77+E73)</f>
        <v>-28472.2222222222</v>
      </c>
      <c r="F75" s="69" t="n">
        <f aca="false">-MIN(F74/MAX(1,Inputs!$B$78*12),E77+F73)</f>
        <v>-28472.2222222222</v>
      </c>
      <c r="G75" s="69" t="n">
        <f aca="false">-MIN(G74/MAX(1,Inputs!$B$78*12),F77+G73)</f>
        <v>-28472.2222222222</v>
      </c>
      <c r="H75" s="69" t="n">
        <f aca="false">-MIN(H74/MAX(1,Inputs!$B$78*12),G77+H73)</f>
        <v>-28472.2222222222</v>
      </c>
      <c r="I75" s="69" t="n">
        <f aca="false">-MIN(I74/MAX(1,Inputs!$B$78*12),H77+I73)</f>
        <v>-28472.2222222222</v>
      </c>
      <c r="J75" s="69" t="n">
        <f aca="false">-MIN(J74/MAX(1,Inputs!$B$78*12),I77+J73)</f>
        <v>-28472.2222222222</v>
      </c>
      <c r="K75" s="69" t="n">
        <f aca="false">-MIN(K74/MAX(1,Inputs!$B$78*12),J77+K73)</f>
        <v>-28472.2222222222</v>
      </c>
      <c r="L75" s="69" t="n">
        <f aca="false">-MIN(L74/MAX(1,Inputs!$B$78*12),K77+L73)</f>
        <v>-28472.2222222222</v>
      </c>
      <c r="M75" s="69" t="n">
        <f aca="false">-MIN(M74/MAX(1,Inputs!$B$78*12),L77+M73)</f>
        <v>-28472.2222222222</v>
      </c>
      <c r="N75" s="69" t="n">
        <f aca="false">-MIN(N74/MAX(1,Inputs!$B$78*12),M77+N73)</f>
        <v>-28472.2222222222</v>
      </c>
      <c r="O75" s="69" t="n">
        <f aca="false">-MIN(O74/MAX(1,Inputs!$B$78*12),N77+O73)</f>
        <v>-28750</v>
      </c>
      <c r="P75" s="69" t="n">
        <f aca="false">-MIN(P74/MAX(1,Inputs!$B$78*12),O77+P73)</f>
        <v>-28750</v>
      </c>
      <c r="Q75" s="69" t="n">
        <f aca="false">-MIN(Q74/MAX(1,Inputs!$B$78*12),P77+Q73)</f>
        <v>-28750</v>
      </c>
      <c r="R75" s="69" t="n">
        <f aca="false">-MIN(R74/MAX(1,Inputs!$B$78*12),Q77+R73)</f>
        <v>-28750</v>
      </c>
      <c r="S75" s="69" t="n">
        <f aca="false">-MIN(S74/MAX(1,Inputs!$B$78*12),R77+S73)</f>
        <v>-28750</v>
      </c>
      <c r="T75" s="69" t="n">
        <f aca="false">-MIN(T74/MAX(1,Inputs!$B$78*12),S77+T73)</f>
        <v>-28750</v>
      </c>
      <c r="U75" s="69" t="n">
        <f aca="false">-MIN(U74/MAX(1,Inputs!$B$78*12),T77+U73)</f>
        <v>-28750</v>
      </c>
      <c r="V75" s="69" t="n">
        <f aca="false">-MIN(V74/MAX(1,Inputs!$B$78*12),U77+V73)</f>
        <v>-28750</v>
      </c>
      <c r="W75" s="69" t="n">
        <f aca="false">-MIN(W74/MAX(1,Inputs!$B$78*12),V77+W73)</f>
        <v>-28750</v>
      </c>
      <c r="X75" s="69" t="n">
        <f aca="false">-MIN(X74/MAX(1,Inputs!$B$78*12),W77+X73)</f>
        <v>-28750</v>
      </c>
      <c r="Y75" s="69" t="n">
        <f aca="false">-MIN(Y74/MAX(1,Inputs!$B$78*12),X77+Y73)</f>
        <v>-28750</v>
      </c>
      <c r="Z75" s="69" t="n">
        <f aca="false">-MIN(Z74/MAX(1,Inputs!$B$78*12),Y77+Z73)</f>
        <v>-28750</v>
      </c>
      <c r="AA75" s="69" t="n">
        <f aca="false">-MIN(AA74/MAX(1,Inputs!$B$78*12),Z77+AA73)</f>
        <v>-29027.7777777778</v>
      </c>
      <c r="AB75" s="69" t="n">
        <f aca="false">-MIN(AB74/MAX(1,Inputs!$B$78*12),AA77+AB73)</f>
        <v>-29027.7777777778</v>
      </c>
      <c r="AC75" s="69" t="n">
        <f aca="false">-MIN(AC74/MAX(1,Inputs!$B$78*12),AB77+AC73)</f>
        <v>-29027.7777777778</v>
      </c>
      <c r="AD75" s="69" t="n">
        <f aca="false">-MIN(AD74/MAX(1,Inputs!$B$78*12),AC77+AD73)</f>
        <v>-29027.7777777778</v>
      </c>
      <c r="AE75" s="69" t="n">
        <f aca="false">-MIN(AE74/MAX(1,Inputs!$B$78*12),AD77+AE73)</f>
        <v>-29027.7777777778</v>
      </c>
      <c r="AF75" s="69" t="n">
        <f aca="false">-MIN(AF74/MAX(1,Inputs!$B$78*12),AE77+AF73)</f>
        <v>-29027.7777777778</v>
      </c>
      <c r="AG75" s="69" t="n">
        <f aca="false">-MIN(AG74/MAX(1,Inputs!$B$78*12),AF77+AG73)</f>
        <v>-29027.7777777778</v>
      </c>
      <c r="AH75" s="69" t="n">
        <f aca="false">-MIN(AH74/MAX(1,Inputs!$B$78*12),AG77+AH73)</f>
        <v>-29027.7777777778</v>
      </c>
      <c r="AI75" s="69" t="n">
        <f aca="false">-MIN(AI74/MAX(1,Inputs!$B$78*12),AH77+AI73)</f>
        <v>-29027.7777777778</v>
      </c>
      <c r="AJ75" s="69" t="n">
        <f aca="false">-MIN(AJ74/MAX(1,Inputs!$B$78*12),AI77+AJ73)</f>
        <v>-29027.7777777778</v>
      </c>
      <c r="AK75" s="69" t="n">
        <f aca="false">-MIN(AK74/MAX(1,Inputs!$B$78*12),AJ77+AK73)</f>
        <v>-29027.7777777778</v>
      </c>
      <c r="AL75" s="69" t="n">
        <f aca="false">-MIN(AL74/MAX(1,Inputs!$B$78*12),AK77+AL73)</f>
        <v>-29027.7777777778</v>
      </c>
    </row>
    <row r="76" customFormat="false" ht="15" hidden="false" customHeight="false" outlineLevel="0" collapsed="false">
      <c r="A76" s="6" t="s">
        <v>425</v>
      </c>
      <c r="C76" s="69" t="n">
        <f aca="false">C75</f>
        <v>-28472.2222222222</v>
      </c>
      <c r="D76" s="69" t="n">
        <f aca="false">C76+D75</f>
        <v>-56944.4444444444</v>
      </c>
      <c r="E76" s="69" t="n">
        <f aca="false">D76+E75</f>
        <v>-85416.6666666667</v>
      </c>
      <c r="F76" s="69" t="n">
        <f aca="false">E76+F75</f>
        <v>-113888.888888889</v>
      </c>
      <c r="G76" s="69" t="n">
        <f aca="false">F76+G75</f>
        <v>-142361.111111111</v>
      </c>
      <c r="H76" s="69" t="n">
        <f aca="false">G76+H75</f>
        <v>-170833.333333333</v>
      </c>
      <c r="I76" s="69" t="n">
        <f aca="false">H76+I75</f>
        <v>-199305.555555556</v>
      </c>
      <c r="J76" s="69" t="n">
        <f aca="false">I76+J75</f>
        <v>-227777.777777778</v>
      </c>
      <c r="K76" s="69" t="n">
        <f aca="false">J76+K75</f>
        <v>-256250</v>
      </c>
      <c r="L76" s="69" t="n">
        <f aca="false">K76+L75</f>
        <v>-284722.222222222</v>
      </c>
      <c r="M76" s="69" t="n">
        <f aca="false">L76+M75</f>
        <v>-313194.444444445</v>
      </c>
      <c r="N76" s="69" t="n">
        <f aca="false">M76+N75</f>
        <v>-341666.666666667</v>
      </c>
      <c r="O76" s="69" t="n">
        <f aca="false">N76+O75</f>
        <v>-370416.666666667</v>
      </c>
      <c r="P76" s="69" t="n">
        <f aca="false">O76+P75</f>
        <v>-399166.666666667</v>
      </c>
      <c r="Q76" s="69" t="n">
        <f aca="false">P76+Q75</f>
        <v>-427916.666666667</v>
      </c>
      <c r="R76" s="69" t="n">
        <f aca="false">Q76+R75</f>
        <v>-456666.666666667</v>
      </c>
      <c r="S76" s="69" t="n">
        <f aca="false">R76+S75</f>
        <v>-485416.666666667</v>
      </c>
      <c r="T76" s="69" t="n">
        <f aca="false">S76+T75</f>
        <v>-514166.666666667</v>
      </c>
      <c r="U76" s="69" t="n">
        <f aca="false">T76+U75</f>
        <v>-542916.666666667</v>
      </c>
      <c r="V76" s="69" t="n">
        <f aca="false">U76+V75</f>
        <v>-571666.666666667</v>
      </c>
      <c r="W76" s="69" t="n">
        <f aca="false">V76+W75</f>
        <v>-600416.666666667</v>
      </c>
      <c r="X76" s="69" t="n">
        <f aca="false">W76+X75</f>
        <v>-629166.666666667</v>
      </c>
      <c r="Y76" s="69" t="n">
        <f aca="false">X76+Y75</f>
        <v>-657916.666666667</v>
      </c>
      <c r="Z76" s="69" t="n">
        <f aca="false">Y76+Z75</f>
        <v>-686666.666666667</v>
      </c>
      <c r="AA76" s="69" t="n">
        <f aca="false">Z76+AA75</f>
        <v>-715694.444444445</v>
      </c>
      <c r="AB76" s="69" t="n">
        <f aca="false">AA76+AB75</f>
        <v>-744722.222222222</v>
      </c>
      <c r="AC76" s="69" t="n">
        <f aca="false">AB76+AC75</f>
        <v>-773750</v>
      </c>
      <c r="AD76" s="69" t="n">
        <f aca="false">AC76+AD75</f>
        <v>-802777.777777778</v>
      </c>
      <c r="AE76" s="69" t="n">
        <f aca="false">AD76+AE75</f>
        <v>-831805.555555556</v>
      </c>
      <c r="AF76" s="69" t="n">
        <f aca="false">AE76+AF75</f>
        <v>-860833.333333333</v>
      </c>
      <c r="AG76" s="69" t="n">
        <f aca="false">AF76+AG75</f>
        <v>-889861.111111111</v>
      </c>
      <c r="AH76" s="69" t="n">
        <f aca="false">AG76+AH75</f>
        <v>-918888.888888889</v>
      </c>
      <c r="AI76" s="69" t="n">
        <f aca="false">AH76+AI75</f>
        <v>-947916.666666667</v>
      </c>
      <c r="AJ76" s="69" t="n">
        <f aca="false">AI76+AJ75</f>
        <v>-976944.444444444</v>
      </c>
      <c r="AK76" s="69" t="n">
        <f aca="false">AJ76+AK75</f>
        <v>-1005972.22222222</v>
      </c>
      <c r="AL76" s="69" t="n">
        <f aca="false">AK76+AL75</f>
        <v>-1035000</v>
      </c>
    </row>
    <row r="77" customFormat="false" ht="15" hidden="false" customHeight="false" outlineLevel="0" collapsed="false">
      <c r="A77" s="4" t="s">
        <v>92</v>
      </c>
      <c r="C77" s="75" t="n">
        <f aca="false">C74+C76</f>
        <v>4071527.77777778</v>
      </c>
      <c r="D77" s="75" t="n">
        <f aca="false">D74+D76</f>
        <v>4043055.55555556</v>
      </c>
      <c r="E77" s="75" t="n">
        <f aca="false">E74+E76</f>
        <v>4014583.33333333</v>
      </c>
      <c r="F77" s="75" t="n">
        <f aca="false">F74+F76</f>
        <v>3986111.11111111</v>
      </c>
      <c r="G77" s="75" t="n">
        <f aca="false">G74+G76</f>
        <v>3957638.88888889</v>
      </c>
      <c r="H77" s="75" t="n">
        <f aca="false">H74+H76</f>
        <v>3929166.66666667</v>
      </c>
      <c r="I77" s="75" t="n">
        <f aca="false">I74+I76</f>
        <v>3900694.44444444</v>
      </c>
      <c r="J77" s="75" t="n">
        <f aca="false">J74+J76</f>
        <v>3872222.22222222</v>
      </c>
      <c r="K77" s="75" t="n">
        <f aca="false">K74+K76</f>
        <v>3843750</v>
      </c>
      <c r="L77" s="75" t="n">
        <f aca="false">L74+L76</f>
        <v>3815277.77777778</v>
      </c>
      <c r="M77" s="75" t="n">
        <f aca="false">M74+M76</f>
        <v>3786805.55555556</v>
      </c>
      <c r="N77" s="75" t="n">
        <f aca="false">N74+N76</f>
        <v>3758333.33333333</v>
      </c>
      <c r="O77" s="75" t="n">
        <f aca="false">O74+O76</f>
        <v>3769583.33333333</v>
      </c>
      <c r="P77" s="75" t="n">
        <f aca="false">P74+P76</f>
        <v>3740833.33333333</v>
      </c>
      <c r="Q77" s="75" t="n">
        <f aca="false">Q74+Q76</f>
        <v>3712083.33333333</v>
      </c>
      <c r="R77" s="75" t="n">
        <f aca="false">R74+R76</f>
        <v>3683333.33333333</v>
      </c>
      <c r="S77" s="75" t="n">
        <f aca="false">S74+S76</f>
        <v>3654583.33333333</v>
      </c>
      <c r="T77" s="75" t="n">
        <f aca="false">T74+T76</f>
        <v>3625833.33333333</v>
      </c>
      <c r="U77" s="75" t="n">
        <f aca="false">U74+U76</f>
        <v>3597083.33333333</v>
      </c>
      <c r="V77" s="75" t="n">
        <f aca="false">V74+V76</f>
        <v>3568333.33333333</v>
      </c>
      <c r="W77" s="75" t="n">
        <f aca="false">W74+W76</f>
        <v>3539583.33333333</v>
      </c>
      <c r="X77" s="75" t="n">
        <f aca="false">X74+X76</f>
        <v>3510833.33333333</v>
      </c>
      <c r="Y77" s="75" t="n">
        <f aca="false">Y74+Y76</f>
        <v>3482083.33333333</v>
      </c>
      <c r="Z77" s="75" t="n">
        <f aca="false">Z74+Z76</f>
        <v>3453333.33333333</v>
      </c>
      <c r="AA77" s="75" t="n">
        <f aca="false">AA74+AA76</f>
        <v>3464305.55555556</v>
      </c>
      <c r="AB77" s="75" t="n">
        <f aca="false">AB74+AB76</f>
        <v>3435277.77777778</v>
      </c>
      <c r="AC77" s="75" t="n">
        <f aca="false">AC74+AC76</f>
        <v>3406250</v>
      </c>
      <c r="AD77" s="75" t="n">
        <f aca="false">AD74+AD76</f>
        <v>3377222.22222222</v>
      </c>
      <c r="AE77" s="75" t="n">
        <f aca="false">AE74+AE76</f>
        <v>3348194.44444444</v>
      </c>
      <c r="AF77" s="75" t="n">
        <f aca="false">AF74+AF76</f>
        <v>3319166.66666667</v>
      </c>
      <c r="AG77" s="75" t="n">
        <f aca="false">AG74+AG76</f>
        <v>3290138.88888889</v>
      </c>
      <c r="AH77" s="75" t="n">
        <f aca="false">AH74+AH76</f>
        <v>3261111.11111111</v>
      </c>
      <c r="AI77" s="75" t="n">
        <f aca="false">AI74+AI76</f>
        <v>3232083.33333333</v>
      </c>
      <c r="AJ77" s="75" t="n">
        <f aca="false">AJ74+AJ76</f>
        <v>3203055.55555556</v>
      </c>
      <c r="AK77" s="75" t="n">
        <f aca="false">AK74+AK76</f>
        <v>3174027.77777778</v>
      </c>
      <c r="AL77" s="75" t="n">
        <f aca="false">AL74+AL76</f>
        <v>3145000</v>
      </c>
    </row>
    <row r="79" customFormat="false" ht="15.75" hidden="false" customHeight="true" outlineLevel="0" collapsed="false">
      <c r="A79" s="7" t="s">
        <v>426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customFormat="false" ht="15" hidden="false" customHeight="false" outlineLevel="0" collapsed="false">
      <c r="A80" s="6" t="s">
        <v>427</v>
      </c>
      <c r="C80" s="69" t="n">
        <f aca="false">0</f>
        <v>0</v>
      </c>
      <c r="D80" s="69" t="n">
        <f aca="false">C83</f>
        <v>3000000</v>
      </c>
      <c r="E80" s="69" t="n">
        <f aca="false">D83</f>
        <v>2975000</v>
      </c>
      <c r="F80" s="69" t="n">
        <f aca="false">E83</f>
        <v>2950000</v>
      </c>
      <c r="G80" s="69" t="n">
        <f aca="false">F83</f>
        <v>2925000</v>
      </c>
      <c r="H80" s="69" t="n">
        <f aca="false">G83</f>
        <v>2900000</v>
      </c>
      <c r="I80" s="69" t="n">
        <f aca="false">H83</f>
        <v>2875000</v>
      </c>
      <c r="J80" s="69" t="n">
        <f aca="false">I83</f>
        <v>2850000</v>
      </c>
      <c r="K80" s="69" t="n">
        <f aca="false">J83</f>
        <v>2825000</v>
      </c>
      <c r="L80" s="69" t="n">
        <f aca="false">K83</f>
        <v>2800000</v>
      </c>
      <c r="M80" s="69" t="n">
        <f aca="false">L83</f>
        <v>2775000</v>
      </c>
      <c r="N80" s="69" t="n">
        <f aca="false">M83</f>
        <v>2750000</v>
      </c>
      <c r="O80" s="69" t="n">
        <f aca="false">N83</f>
        <v>2725000</v>
      </c>
      <c r="P80" s="69" t="n">
        <f aca="false">O83</f>
        <v>2700000</v>
      </c>
      <c r="Q80" s="69" t="n">
        <f aca="false">P83</f>
        <v>2675000</v>
      </c>
      <c r="R80" s="69" t="n">
        <f aca="false">Q83</f>
        <v>2650000</v>
      </c>
      <c r="S80" s="69" t="n">
        <f aca="false">R83</f>
        <v>2625000</v>
      </c>
      <c r="T80" s="69" t="n">
        <f aca="false">S83</f>
        <v>2600000</v>
      </c>
      <c r="U80" s="69" t="n">
        <f aca="false">T83</f>
        <v>2575000</v>
      </c>
      <c r="V80" s="69" t="n">
        <f aca="false">U83</f>
        <v>2550000</v>
      </c>
      <c r="W80" s="69" t="n">
        <f aca="false">V83</f>
        <v>2525000</v>
      </c>
      <c r="X80" s="69" t="n">
        <f aca="false">W83</f>
        <v>2500000</v>
      </c>
      <c r="Y80" s="69" t="n">
        <f aca="false">X83</f>
        <v>2475000</v>
      </c>
      <c r="Z80" s="69" t="n">
        <f aca="false">Y83</f>
        <v>2450000</v>
      </c>
      <c r="AA80" s="69" t="n">
        <f aca="false">Z83</f>
        <v>2425000</v>
      </c>
      <c r="AB80" s="69" t="n">
        <f aca="false">AA83</f>
        <v>2400000</v>
      </c>
      <c r="AC80" s="69" t="n">
        <f aca="false">AB83</f>
        <v>2375000</v>
      </c>
      <c r="AD80" s="69" t="n">
        <f aca="false">AC83</f>
        <v>2350000</v>
      </c>
      <c r="AE80" s="69" t="n">
        <f aca="false">AD83</f>
        <v>2325000</v>
      </c>
      <c r="AF80" s="69" t="n">
        <f aca="false">AE83</f>
        <v>2300000</v>
      </c>
      <c r="AG80" s="69" t="n">
        <f aca="false">AF83</f>
        <v>2275000</v>
      </c>
      <c r="AH80" s="69" t="n">
        <f aca="false">AG83</f>
        <v>2250000</v>
      </c>
      <c r="AI80" s="69" t="n">
        <f aca="false">AH83</f>
        <v>2225000</v>
      </c>
      <c r="AJ80" s="69" t="n">
        <f aca="false">AI83</f>
        <v>2200000</v>
      </c>
      <c r="AK80" s="69" t="n">
        <f aca="false">AJ83</f>
        <v>2175000</v>
      </c>
      <c r="AL80" s="69" t="n">
        <f aca="false">AK83</f>
        <v>2150000</v>
      </c>
    </row>
    <row r="81" customFormat="false" ht="15" hidden="false" customHeight="false" outlineLevel="0" collapsed="false">
      <c r="A81" s="6" t="s">
        <v>85</v>
      </c>
      <c r="C81" s="69" t="n">
        <f aca="false">IF(C$6=1,Inputs!$B$68,0)</f>
        <v>3000000</v>
      </c>
      <c r="D81" s="69" t="n">
        <f aca="false">IF(D$6=1,Inputs!$B$68,0)</f>
        <v>0</v>
      </c>
      <c r="E81" s="69" t="n">
        <f aca="false">IF(E$6=1,Inputs!$B$68,0)</f>
        <v>0</v>
      </c>
      <c r="F81" s="69" t="n">
        <f aca="false">IF(F$6=1,Inputs!$B$68,0)</f>
        <v>0</v>
      </c>
      <c r="G81" s="69" t="n">
        <f aca="false">IF(G$6=1,Inputs!$B$68,0)</f>
        <v>0</v>
      </c>
      <c r="H81" s="69" t="n">
        <f aca="false">IF(H$6=1,Inputs!$B$68,0)</f>
        <v>0</v>
      </c>
      <c r="I81" s="69" t="n">
        <f aca="false">IF(I$6=1,Inputs!$B$68,0)</f>
        <v>0</v>
      </c>
      <c r="J81" s="69" t="n">
        <f aca="false">IF(J$6=1,Inputs!$B$68,0)</f>
        <v>0</v>
      </c>
      <c r="K81" s="69" t="n">
        <f aca="false">IF(K$6=1,Inputs!$B$68,0)</f>
        <v>0</v>
      </c>
      <c r="L81" s="69" t="n">
        <f aca="false">IF(L$6=1,Inputs!$B$68,0)</f>
        <v>0</v>
      </c>
      <c r="M81" s="69" t="n">
        <f aca="false">IF(M$6=1,Inputs!$B$68,0)</f>
        <v>0</v>
      </c>
      <c r="N81" s="69" t="n">
        <f aca="false">IF(N$6=1,Inputs!$B$68,0)</f>
        <v>0</v>
      </c>
      <c r="O81" s="69" t="n">
        <f aca="false">IF(O$6=1,Inputs!$B$68,0)</f>
        <v>0</v>
      </c>
      <c r="P81" s="69" t="n">
        <f aca="false">IF(P$6=1,Inputs!$B$68,0)</f>
        <v>0</v>
      </c>
      <c r="Q81" s="69" t="n">
        <f aca="false">IF(Q$6=1,Inputs!$B$68,0)</f>
        <v>0</v>
      </c>
      <c r="R81" s="69" t="n">
        <f aca="false">IF(R$6=1,Inputs!$B$68,0)</f>
        <v>0</v>
      </c>
      <c r="S81" s="69" t="n">
        <f aca="false">IF(S$6=1,Inputs!$B$68,0)</f>
        <v>0</v>
      </c>
      <c r="T81" s="69" t="n">
        <f aca="false">IF(T$6=1,Inputs!$B$68,0)</f>
        <v>0</v>
      </c>
      <c r="U81" s="69" t="n">
        <f aca="false">IF(U$6=1,Inputs!$B$68,0)</f>
        <v>0</v>
      </c>
      <c r="V81" s="69" t="n">
        <f aca="false">IF(V$6=1,Inputs!$B$68,0)</f>
        <v>0</v>
      </c>
      <c r="W81" s="69" t="n">
        <f aca="false">IF(W$6=1,Inputs!$B$68,0)</f>
        <v>0</v>
      </c>
      <c r="X81" s="69" t="n">
        <f aca="false">IF(X$6=1,Inputs!$B$68,0)</f>
        <v>0</v>
      </c>
      <c r="Y81" s="69" t="n">
        <f aca="false">IF(Y$6=1,Inputs!$B$68,0)</f>
        <v>0</v>
      </c>
      <c r="Z81" s="69" t="n">
        <f aca="false">IF(Z$6=1,Inputs!$B$68,0)</f>
        <v>0</v>
      </c>
      <c r="AA81" s="69" t="n">
        <f aca="false">IF(AA$6=1,Inputs!$B$68,0)</f>
        <v>0</v>
      </c>
      <c r="AB81" s="69" t="n">
        <f aca="false">IF(AB$6=1,Inputs!$B$68,0)</f>
        <v>0</v>
      </c>
      <c r="AC81" s="69" t="n">
        <f aca="false">IF(AC$6=1,Inputs!$B$68,0)</f>
        <v>0</v>
      </c>
      <c r="AD81" s="69" t="n">
        <f aca="false">IF(AD$6=1,Inputs!$B$68,0)</f>
        <v>0</v>
      </c>
      <c r="AE81" s="69" t="n">
        <f aca="false">IF(AE$6=1,Inputs!$B$68,0)</f>
        <v>0</v>
      </c>
      <c r="AF81" s="69" t="n">
        <f aca="false">IF(AF$6=1,Inputs!$B$68,0)</f>
        <v>0</v>
      </c>
      <c r="AG81" s="69" t="n">
        <f aca="false">IF(AG$6=1,Inputs!$B$68,0)</f>
        <v>0</v>
      </c>
      <c r="AH81" s="69" t="n">
        <f aca="false">IF(AH$6=1,Inputs!$B$68,0)</f>
        <v>0</v>
      </c>
      <c r="AI81" s="69" t="n">
        <f aca="false">IF(AI$6=1,Inputs!$B$68,0)</f>
        <v>0</v>
      </c>
      <c r="AJ81" s="69" t="n">
        <f aca="false">IF(AJ$6=1,Inputs!$B$68,0)</f>
        <v>0</v>
      </c>
      <c r="AK81" s="69" t="n">
        <f aca="false">IF(AK$6=1,Inputs!$B$68,0)</f>
        <v>0</v>
      </c>
      <c r="AL81" s="69" t="n">
        <f aca="false">IF(AL$6=1,Inputs!$B$68,0)</f>
        <v>0</v>
      </c>
    </row>
    <row r="82" customFormat="false" ht="15" hidden="false" customHeight="false" outlineLevel="0" collapsed="false">
      <c r="A82" s="6" t="s">
        <v>86</v>
      </c>
      <c r="C82" s="69" t="n">
        <f aca="false">-MIN(C80,Inputs!$B$68/MAX(1,Inputs!$B$70*12))</f>
        <v>-0</v>
      </c>
      <c r="D82" s="69" t="n">
        <f aca="false">-MIN(D80,Inputs!$B$68/MAX(1,Inputs!$B$70*12))</f>
        <v>-25000</v>
      </c>
      <c r="E82" s="69" t="n">
        <f aca="false">-MIN(E80,Inputs!$B$68/MAX(1,Inputs!$B$70*12))</f>
        <v>-25000</v>
      </c>
      <c r="F82" s="69" t="n">
        <f aca="false">-MIN(F80,Inputs!$B$68/MAX(1,Inputs!$B$70*12))</f>
        <v>-25000</v>
      </c>
      <c r="G82" s="69" t="n">
        <f aca="false">-MIN(G80,Inputs!$B$68/MAX(1,Inputs!$B$70*12))</f>
        <v>-25000</v>
      </c>
      <c r="H82" s="69" t="n">
        <f aca="false">-MIN(H80,Inputs!$B$68/MAX(1,Inputs!$B$70*12))</f>
        <v>-25000</v>
      </c>
      <c r="I82" s="69" t="n">
        <f aca="false">-MIN(I80,Inputs!$B$68/MAX(1,Inputs!$B$70*12))</f>
        <v>-25000</v>
      </c>
      <c r="J82" s="69" t="n">
        <f aca="false">-MIN(J80,Inputs!$B$68/MAX(1,Inputs!$B$70*12))</f>
        <v>-25000</v>
      </c>
      <c r="K82" s="69" t="n">
        <f aca="false">-MIN(K80,Inputs!$B$68/MAX(1,Inputs!$B$70*12))</f>
        <v>-25000</v>
      </c>
      <c r="L82" s="69" t="n">
        <f aca="false">-MIN(L80,Inputs!$B$68/MAX(1,Inputs!$B$70*12))</f>
        <v>-25000</v>
      </c>
      <c r="M82" s="69" t="n">
        <f aca="false">-MIN(M80,Inputs!$B$68/MAX(1,Inputs!$B$70*12))</f>
        <v>-25000</v>
      </c>
      <c r="N82" s="69" t="n">
        <f aca="false">-MIN(N80,Inputs!$B$68/MAX(1,Inputs!$B$70*12))</f>
        <v>-25000</v>
      </c>
      <c r="O82" s="69" t="n">
        <f aca="false">-MIN(O80,Inputs!$B$68/MAX(1,Inputs!$B$70*12))</f>
        <v>-25000</v>
      </c>
      <c r="P82" s="69" t="n">
        <f aca="false">-MIN(P80,Inputs!$B$68/MAX(1,Inputs!$B$70*12))</f>
        <v>-25000</v>
      </c>
      <c r="Q82" s="69" t="n">
        <f aca="false">-MIN(Q80,Inputs!$B$68/MAX(1,Inputs!$B$70*12))</f>
        <v>-25000</v>
      </c>
      <c r="R82" s="69" t="n">
        <f aca="false">-MIN(R80,Inputs!$B$68/MAX(1,Inputs!$B$70*12))</f>
        <v>-25000</v>
      </c>
      <c r="S82" s="69" t="n">
        <f aca="false">-MIN(S80,Inputs!$B$68/MAX(1,Inputs!$B$70*12))</f>
        <v>-25000</v>
      </c>
      <c r="T82" s="69" t="n">
        <f aca="false">-MIN(T80,Inputs!$B$68/MAX(1,Inputs!$B$70*12))</f>
        <v>-25000</v>
      </c>
      <c r="U82" s="69" t="n">
        <f aca="false">-MIN(U80,Inputs!$B$68/MAX(1,Inputs!$B$70*12))</f>
        <v>-25000</v>
      </c>
      <c r="V82" s="69" t="n">
        <f aca="false">-MIN(V80,Inputs!$B$68/MAX(1,Inputs!$B$70*12))</f>
        <v>-25000</v>
      </c>
      <c r="W82" s="69" t="n">
        <f aca="false">-MIN(W80,Inputs!$B$68/MAX(1,Inputs!$B$70*12))</f>
        <v>-25000</v>
      </c>
      <c r="X82" s="69" t="n">
        <f aca="false">-MIN(X80,Inputs!$B$68/MAX(1,Inputs!$B$70*12))</f>
        <v>-25000</v>
      </c>
      <c r="Y82" s="69" t="n">
        <f aca="false">-MIN(Y80,Inputs!$B$68/MAX(1,Inputs!$B$70*12))</f>
        <v>-25000</v>
      </c>
      <c r="Z82" s="69" t="n">
        <f aca="false">-MIN(Z80,Inputs!$B$68/MAX(1,Inputs!$B$70*12))</f>
        <v>-25000</v>
      </c>
      <c r="AA82" s="69" t="n">
        <f aca="false">-MIN(AA80,Inputs!$B$68/MAX(1,Inputs!$B$70*12))</f>
        <v>-25000</v>
      </c>
      <c r="AB82" s="69" t="n">
        <f aca="false">-MIN(AB80,Inputs!$B$68/MAX(1,Inputs!$B$70*12))</f>
        <v>-25000</v>
      </c>
      <c r="AC82" s="69" t="n">
        <f aca="false">-MIN(AC80,Inputs!$B$68/MAX(1,Inputs!$B$70*12))</f>
        <v>-25000</v>
      </c>
      <c r="AD82" s="69" t="n">
        <f aca="false">-MIN(AD80,Inputs!$B$68/MAX(1,Inputs!$B$70*12))</f>
        <v>-25000</v>
      </c>
      <c r="AE82" s="69" t="n">
        <f aca="false">-MIN(AE80,Inputs!$B$68/MAX(1,Inputs!$B$70*12))</f>
        <v>-25000</v>
      </c>
      <c r="AF82" s="69" t="n">
        <f aca="false">-MIN(AF80,Inputs!$B$68/MAX(1,Inputs!$B$70*12))</f>
        <v>-25000</v>
      </c>
      <c r="AG82" s="69" t="n">
        <f aca="false">-MIN(AG80,Inputs!$B$68/MAX(1,Inputs!$B$70*12))</f>
        <v>-25000</v>
      </c>
      <c r="AH82" s="69" t="n">
        <f aca="false">-MIN(AH80,Inputs!$B$68/MAX(1,Inputs!$B$70*12))</f>
        <v>-25000</v>
      </c>
      <c r="AI82" s="69" t="n">
        <f aca="false">-MIN(AI80,Inputs!$B$68/MAX(1,Inputs!$B$70*12))</f>
        <v>-25000</v>
      </c>
      <c r="AJ82" s="69" t="n">
        <f aca="false">-MIN(AJ80,Inputs!$B$68/MAX(1,Inputs!$B$70*12))</f>
        <v>-25000</v>
      </c>
      <c r="AK82" s="69" t="n">
        <f aca="false">-MIN(AK80,Inputs!$B$68/MAX(1,Inputs!$B$70*12))</f>
        <v>-25000</v>
      </c>
      <c r="AL82" s="69" t="n">
        <f aca="false">-MIN(AL80,Inputs!$B$68/MAX(1,Inputs!$B$70*12))</f>
        <v>-25000</v>
      </c>
    </row>
    <row r="83" customFormat="false" ht="15" hidden="false" customHeight="false" outlineLevel="0" collapsed="false">
      <c r="A83" s="4" t="s">
        <v>428</v>
      </c>
      <c r="C83" s="75" t="n">
        <f aca="false">C80+C81+C82</f>
        <v>3000000</v>
      </c>
      <c r="D83" s="75" t="n">
        <f aca="false">D80+D81+D82</f>
        <v>2975000</v>
      </c>
      <c r="E83" s="75" t="n">
        <f aca="false">E80+E81+E82</f>
        <v>2950000</v>
      </c>
      <c r="F83" s="75" t="n">
        <f aca="false">F80+F81+F82</f>
        <v>2925000</v>
      </c>
      <c r="G83" s="75" t="n">
        <f aca="false">G80+G81+G82</f>
        <v>2900000</v>
      </c>
      <c r="H83" s="75" t="n">
        <f aca="false">H80+H81+H82</f>
        <v>2875000</v>
      </c>
      <c r="I83" s="75" t="n">
        <f aca="false">I80+I81+I82</f>
        <v>2850000</v>
      </c>
      <c r="J83" s="75" t="n">
        <f aca="false">J80+J81+J82</f>
        <v>2825000</v>
      </c>
      <c r="K83" s="75" t="n">
        <f aca="false">K80+K81+K82</f>
        <v>2800000</v>
      </c>
      <c r="L83" s="75" t="n">
        <f aca="false">L80+L81+L82</f>
        <v>2775000</v>
      </c>
      <c r="M83" s="75" t="n">
        <f aca="false">M80+M81+M82</f>
        <v>2750000</v>
      </c>
      <c r="N83" s="75" t="n">
        <f aca="false">N80+N81+N82</f>
        <v>2725000</v>
      </c>
      <c r="O83" s="75" t="n">
        <f aca="false">O80+O81+O82</f>
        <v>2700000</v>
      </c>
      <c r="P83" s="75" t="n">
        <f aca="false">P80+P81+P82</f>
        <v>2675000</v>
      </c>
      <c r="Q83" s="75" t="n">
        <f aca="false">Q80+Q81+Q82</f>
        <v>2650000</v>
      </c>
      <c r="R83" s="75" t="n">
        <f aca="false">R80+R81+R82</f>
        <v>2625000</v>
      </c>
      <c r="S83" s="75" t="n">
        <f aca="false">S80+S81+S82</f>
        <v>2600000</v>
      </c>
      <c r="T83" s="75" t="n">
        <f aca="false">T80+T81+T82</f>
        <v>2575000</v>
      </c>
      <c r="U83" s="75" t="n">
        <f aca="false">U80+U81+U82</f>
        <v>2550000</v>
      </c>
      <c r="V83" s="75" t="n">
        <f aca="false">V80+V81+V82</f>
        <v>2525000</v>
      </c>
      <c r="W83" s="75" t="n">
        <f aca="false">W80+W81+W82</f>
        <v>2500000</v>
      </c>
      <c r="X83" s="75" t="n">
        <f aca="false">X80+X81+X82</f>
        <v>2475000</v>
      </c>
      <c r="Y83" s="75" t="n">
        <f aca="false">Y80+Y81+Y82</f>
        <v>2450000</v>
      </c>
      <c r="Z83" s="75" t="n">
        <f aca="false">Z80+Z81+Z82</f>
        <v>2425000</v>
      </c>
      <c r="AA83" s="75" t="n">
        <f aca="false">AA80+AA81+AA82</f>
        <v>2400000</v>
      </c>
      <c r="AB83" s="75" t="n">
        <f aca="false">AB80+AB81+AB82</f>
        <v>2375000</v>
      </c>
      <c r="AC83" s="75" t="n">
        <f aca="false">AC80+AC81+AC82</f>
        <v>2350000</v>
      </c>
      <c r="AD83" s="75" t="n">
        <f aca="false">AD80+AD81+AD82</f>
        <v>2325000</v>
      </c>
      <c r="AE83" s="75" t="n">
        <f aca="false">AE80+AE81+AE82</f>
        <v>2300000</v>
      </c>
      <c r="AF83" s="75" t="n">
        <f aca="false">AF80+AF81+AF82</f>
        <v>2275000</v>
      </c>
      <c r="AG83" s="75" t="n">
        <f aca="false">AG80+AG81+AG82</f>
        <v>2250000</v>
      </c>
      <c r="AH83" s="75" t="n">
        <f aca="false">AH80+AH81+AH82</f>
        <v>2225000</v>
      </c>
      <c r="AI83" s="75" t="n">
        <f aca="false">AI80+AI81+AI82</f>
        <v>2200000</v>
      </c>
      <c r="AJ83" s="75" t="n">
        <f aca="false">AJ80+AJ81+AJ82</f>
        <v>2175000</v>
      </c>
      <c r="AK83" s="75" t="n">
        <f aca="false">AK80+AK81+AK82</f>
        <v>2150000</v>
      </c>
      <c r="AL83" s="75" t="n">
        <f aca="false">AL80+AL81+AL82</f>
        <v>2125000</v>
      </c>
    </row>
    <row r="85" customFormat="false" ht="15.75" hidden="false" customHeight="true" outlineLevel="0" collapsed="false">
      <c r="A85" s="7" t="s">
        <v>322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6" t="s">
        <v>90</v>
      </c>
      <c r="C86" s="69" t="n">
        <f aca="false">C39*Inputs!$B$73/30</f>
        <v>1766.44693333333</v>
      </c>
      <c r="D86" s="69" t="n">
        <f aca="false">D39*Inputs!$B$73/30</f>
        <v>2025.32743111111</v>
      </c>
      <c r="E86" s="69" t="n">
        <f aca="false">E39*Inputs!$B$73/30</f>
        <v>2918.52097066667</v>
      </c>
      <c r="F86" s="69" t="n">
        <f aca="false">F39*Inputs!$B$73/30</f>
        <v>3272.1191888</v>
      </c>
      <c r="G86" s="69" t="n">
        <f aca="false">G39*Inputs!$B$73/30</f>
        <v>3631.69402936</v>
      </c>
      <c r="H86" s="69" t="n">
        <f aca="false">H39*Inputs!$B$73/30</f>
        <v>3996.94666122533</v>
      </c>
      <c r="I86" s="69" t="n">
        <f aca="false">I39*Inputs!$B$73/30</f>
        <v>4367.59319483073</v>
      </c>
      <c r="J86" s="69" t="n">
        <f aca="false">J39*Inputs!$B$73/30</f>
        <v>4743.3639350892</v>
      </c>
      <c r="K86" s="69" t="n">
        <f aca="false">K39*Inputs!$B$73/30</f>
        <v>5124.00267166807</v>
      </c>
      <c r="L86" s="69" t="n">
        <f aca="false">L39*Inputs!$B$73/30</f>
        <v>5509.26600475133</v>
      </c>
      <c r="M86" s="69" t="n">
        <f aca="false">M39*Inputs!$B$73/30</f>
        <v>5898.92270451377</v>
      </c>
      <c r="N86" s="69" t="n">
        <f aca="false">N39*Inputs!$B$73/30</f>
        <v>4996.0483915103</v>
      </c>
      <c r="O86" s="69" t="n">
        <f aca="false">O39*Inputs!$B$73/30</f>
        <v>5354.33959076525</v>
      </c>
      <c r="P86" s="69" t="n">
        <f aca="false">P39*Inputs!$B$73/30</f>
        <v>5438.99679789365</v>
      </c>
      <c r="Q86" s="69" t="n">
        <f aca="false">Q39*Inputs!$B$73/30</f>
        <v>6904.0961313323</v>
      </c>
      <c r="R86" s="69" t="n">
        <f aca="false">R39*Inputs!$B$73/30</f>
        <v>6999.99468476569</v>
      </c>
      <c r="S86" s="69" t="n">
        <f aca="false">S39*Inputs!$B$73/30</f>
        <v>7091.0983105274</v>
      </c>
      <c r="T86" s="69" t="n">
        <f aca="false">T39*Inputs!$B$73/30</f>
        <v>7177.64675500103</v>
      </c>
      <c r="U86" s="69" t="n">
        <f aca="false">U39*Inputs!$B$73/30</f>
        <v>7259.86777725098</v>
      </c>
      <c r="V86" s="69" t="n">
        <f aca="false">V39*Inputs!$B$73/30</f>
        <v>7337.97774838843</v>
      </c>
      <c r="W86" s="69" t="n">
        <f aca="false">W39*Inputs!$B$73/30</f>
        <v>7412.18222096901</v>
      </c>
      <c r="X86" s="69" t="n">
        <f aca="false">X39*Inputs!$B$73/30</f>
        <v>7482.67646992056</v>
      </c>
      <c r="Y86" s="69" t="n">
        <f aca="false">Y39*Inputs!$B$73/30</f>
        <v>7549.64600642453</v>
      </c>
      <c r="Z86" s="69" t="n">
        <f aca="false">Z39*Inputs!$B$73/30</f>
        <v>6228.59207943664</v>
      </c>
      <c r="AA86" s="69" t="n">
        <f aca="false">AA39*Inputs!$B$73/30</f>
        <v>6332.23202875279</v>
      </c>
      <c r="AB86" s="69" t="n">
        <f aca="false">AB39*Inputs!$B$73/30</f>
        <v>6371.51835584848</v>
      </c>
      <c r="AC86" s="69" t="n">
        <f aca="false">AC39*Inputs!$B$73/30</f>
        <v>7807.36210312272</v>
      </c>
      <c r="AD86" s="69" t="n">
        <f aca="false">AD39*Inputs!$B$73/30</f>
        <v>7862.50839156659</v>
      </c>
      <c r="AE86" s="69" t="n">
        <f aca="false">AE39*Inputs!$B$73/30</f>
        <v>7914.89736558826</v>
      </c>
      <c r="AF86" s="69" t="n">
        <f aca="false">AF39*Inputs!$B$73/30</f>
        <v>7964.66689090884</v>
      </c>
      <c r="AG86" s="69" t="n">
        <f aca="false">AG39*Inputs!$B$73/30</f>
        <v>8011.9479399634</v>
      </c>
      <c r="AH86" s="69" t="n">
        <f aca="false">AH39*Inputs!$B$73/30</f>
        <v>8056.86493656523</v>
      </c>
      <c r="AI86" s="69" t="n">
        <f aca="false">AI39*Inputs!$B$73/30</f>
        <v>8099.53608333697</v>
      </c>
      <c r="AJ86" s="69" t="n">
        <f aca="false">AJ39*Inputs!$B$73/30</f>
        <v>8140.07367277012</v>
      </c>
      <c r="AK86" s="69" t="n">
        <f aca="false">AK39*Inputs!$B$73/30</f>
        <v>8178.58438273162</v>
      </c>
      <c r="AL86" s="69" t="n">
        <f aca="false">AL39*Inputs!$B$73/30</f>
        <v>6816.6478206617</v>
      </c>
    </row>
    <row r="87" customFormat="false" ht="15" hidden="false" customHeight="false" outlineLevel="0" collapsed="false">
      <c r="A87" s="6" t="s">
        <v>91</v>
      </c>
      <c r="C87" s="69" t="n">
        <f aca="false">-C47*Inputs!$B$74/30</f>
        <v>2370.786328</v>
      </c>
      <c r="D87" s="69" t="n">
        <f aca="false">-D47*Inputs!$B$74/30</f>
        <v>2715.10373693333</v>
      </c>
      <c r="E87" s="69" t="n">
        <f aca="false">-E47*Inputs!$B$74/30</f>
        <v>4067.16430557333</v>
      </c>
      <c r="F87" s="69" t="n">
        <f aca="false">-F47*Inputs!$B$74/30</f>
        <v>4565.171679628</v>
      </c>
      <c r="G87" s="69" t="n">
        <f aca="false">-G47*Inputs!$B$74/30</f>
        <v>5075.11735697993</v>
      </c>
      <c r="H87" s="69" t="n">
        <f aca="false">-H47*Inputs!$B$74/30</f>
        <v>5596.40442246427</v>
      </c>
      <c r="I87" s="69" t="n">
        <f aca="false">-I47*Inputs!$B$74/30</f>
        <v>6128.46580667439</v>
      </c>
      <c r="J87" s="69" t="n">
        <f aca="false">-J47*Inputs!$B$74/30</f>
        <v>6670.762793674</v>
      </c>
      <c r="K87" s="69" t="n">
        <f aca="false">-K47*Inputs!$B$74/30</f>
        <v>7222.78360332364</v>
      </c>
      <c r="L87" s="69" t="n">
        <f aca="false">-L47*Inputs!$B$74/30</f>
        <v>7784.04204449079</v>
      </c>
      <c r="M87" s="69" t="n">
        <f aca="false">-M47*Inputs!$B$74/30</f>
        <v>8354.07623559958</v>
      </c>
      <c r="N87" s="69" t="n">
        <f aca="false">-N47*Inputs!$B$74/30</f>
        <v>6753.35066668865</v>
      </c>
      <c r="O87" s="69" t="n">
        <f aca="false">-O47*Inputs!$B$74/30</f>
        <v>7418.58997782379</v>
      </c>
      <c r="P87" s="69" t="n">
        <f aca="false">-P47*Inputs!$B$74/30</f>
        <v>7553.8110069326</v>
      </c>
      <c r="Q87" s="69" t="n">
        <f aca="false">-Q47*Inputs!$B$74/30</f>
        <v>10151.889067608</v>
      </c>
      <c r="R87" s="69" t="n">
        <f aca="false">-R47*Inputs!$B$74/30</f>
        <v>10348.4526174276</v>
      </c>
      <c r="S87" s="69" t="n">
        <f aca="false">-S47*Inputs!$B$74/30</f>
        <v>10535.1879897563</v>
      </c>
      <c r="T87" s="69" t="n">
        <f aca="false">-T47*Inputs!$B$74/30</f>
        <v>10712.5865934684</v>
      </c>
      <c r="U87" s="69" t="n">
        <f aca="false">-U47*Inputs!$B$74/30</f>
        <v>10881.115266995</v>
      </c>
      <c r="V87" s="69" t="n">
        <f aca="false">-V47*Inputs!$B$74/30</f>
        <v>11041.2175068453</v>
      </c>
      <c r="W87" s="69" t="n">
        <f aca="false">-W47*Inputs!$B$74/30</f>
        <v>11193.314634703</v>
      </c>
      <c r="X87" s="69" t="n">
        <f aca="false">-X47*Inputs!$B$74/30</f>
        <v>11337.8069061679</v>
      </c>
      <c r="Y87" s="69" t="n">
        <f aca="false">-Y47*Inputs!$B$74/30</f>
        <v>11475.0745640595</v>
      </c>
      <c r="Z87" s="69" t="n">
        <f aca="false">-Z47*Inputs!$B$74/30</f>
        <v>8815.01356925857</v>
      </c>
      <c r="AA87" s="69" t="n">
        <f aca="false">-AA47*Inputs!$B$74/30</f>
        <v>9190.48929158012</v>
      </c>
      <c r="AB87" s="69" t="n">
        <f aca="false">-AB47*Inputs!$B$74/30</f>
        <v>9254.82428197712</v>
      </c>
      <c r="AC87" s="69" t="n">
        <f aca="false">-AC47*Inputs!$B$74/30</f>
        <v>12263.0111788305</v>
      </c>
      <c r="AD87" s="69" t="n">
        <f aca="false">-AD47*Inputs!$B$74/30</f>
        <v>12379.008999025</v>
      </c>
      <c r="AE87" s="69" t="n">
        <f aca="false">-AE47*Inputs!$B$74/30</f>
        <v>12489.2069282097</v>
      </c>
      <c r="AF87" s="69" t="n">
        <f aca="false">-AF47*Inputs!$B$74/30</f>
        <v>12593.8949609353</v>
      </c>
      <c r="AG87" s="69" t="n">
        <f aca="false">-AG47*Inputs!$B$74/30</f>
        <v>12693.3485920245</v>
      </c>
      <c r="AH87" s="69" t="n">
        <f aca="false">-AH47*Inputs!$B$74/30</f>
        <v>12787.8295415593</v>
      </c>
      <c r="AI87" s="69" t="n">
        <f aca="false">-AI47*Inputs!$B$74/30</f>
        <v>12877.5864436173</v>
      </c>
      <c r="AJ87" s="69" t="n">
        <f aca="false">-AJ47*Inputs!$B$74/30</f>
        <v>12962.8555005724</v>
      </c>
      <c r="AK87" s="69" t="n">
        <f aca="false">-AK47*Inputs!$B$74/30</f>
        <v>13043.8611046798</v>
      </c>
      <c r="AL87" s="69" t="n">
        <f aca="false">-AL47*Inputs!$B$74/30</f>
        <v>9983.76490741207</v>
      </c>
    </row>
    <row r="88" customFormat="false" ht="15" hidden="false" customHeight="false" outlineLevel="0" collapsed="false">
      <c r="A88" s="6" t="s">
        <v>94</v>
      </c>
      <c r="C88" s="69" t="n">
        <f aca="false">-C47*Inputs!$B$75/30</f>
        <v>3951.31054666667</v>
      </c>
      <c r="D88" s="69" t="n">
        <f aca="false">-D47*Inputs!$B$75/30</f>
        <v>4525.17289488889</v>
      </c>
      <c r="E88" s="69" t="n">
        <f aca="false">-E47*Inputs!$B$75/30</f>
        <v>6778.60717595555</v>
      </c>
      <c r="F88" s="69" t="n">
        <f aca="false">-F47*Inputs!$B$75/30</f>
        <v>7608.61946604667</v>
      </c>
      <c r="G88" s="69" t="n">
        <f aca="false">-G47*Inputs!$B$75/30</f>
        <v>8458.52892829989</v>
      </c>
      <c r="H88" s="69" t="n">
        <f aca="false">-H47*Inputs!$B$75/30</f>
        <v>9327.34070410712</v>
      </c>
      <c r="I88" s="69" t="n">
        <f aca="false">-I47*Inputs!$B$75/30</f>
        <v>10214.1096777906</v>
      </c>
      <c r="J88" s="69" t="n">
        <f aca="false">-J47*Inputs!$B$75/30</f>
        <v>11117.9379894567</v>
      </c>
      <c r="K88" s="69" t="n">
        <f aca="false">-K47*Inputs!$B$75/30</f>
        <v>12037.9726722061</v>
      </c>
      <c r="L88" s="69" t="n">
        <f aca="false">-L47*Inputs!$B$75/30</f>
        <v>12973.4034074846</v>
      </c>
      <c r="M88" s="69" t="n">
        <f aca="false">-M47*Inputs!$B$75/30</f>
        <v>13923.460392666</v>
      </c>
      <c r="N88" s="69" t="n">
        <f aca="false">-N47*Inputs!$B$75/30</f>
        <v>11255.5844444811</v>
      </c>
      <c r="O88" s="69" t="n">
        <f aca="false">-O47*Inputs!$B$75/30</f>
        <v>12364.3166297063</v>
      </c>
      <c r="P88" s="69" t="n">
        <f aca="false">-P47*Inputs!$B$75/30</f>
        <v>12589.6850115543</v>
      </c>
      <c r="Q88" s="69" t="n">
        <f aca="false">-Q47*Inputs!$B$75/30</f>
        <v>16919.8151126801</v>
      </c>
      <c r="R88" s="69" t="n">
        <f aca="false">-R47*Inputs!$B$75/30</f>
        <v>17247.4210290461</v>
      </c>
      <c r="S88" s="69" t="n">
        <f aca="false">-S47*Inputs!$B$75/30</f>
        <v>17558.6466495938</v>
      </c>
      <c r="T88" s="69" t="n">
        <f aca="false">-T47*Inputs!$B$75/30</f>
        <v>17854.3109891141</v>
      </c>
      <c r="U88" s="69" t="n">
        <f aca="false">-U47*Inputs!$B$75/30</f>
        <v>18135.1921116584</v>
      </c>
      <c r="V88" s="69" t="n">
        <f aca="false">-V47*Inputs!$B$75/30</f>
        <v>18402.0291780755</v>
      </c>
      <c r="W88" s="69" t="n">
        <f aca="false">-W47*Inputs!$B$75/30</f>
        <v>18655.5243911717</v>
      </c>
      <c r="X88" s="69" t="n">
        <f aca="false">-X47*Inputs!$B$75/30</f>
        <v>18896.3448436131</v>
      </c>
      <c r="Y88" s="69" t="n">
        <f aca="false">-Y47*Inputs!$B$75/30</f>
        <v>19125.1242734325</v>
      </c>
      <c r="Z88" s="69" t="n">
        <f aca="false">-Z47*Inputs!$B$75/30</f>
        <v>14691.6892820976</v>
      </c>
      <c r="AA88" s="69" t="n">
        <f aca="false">-AA47*Inputs!$B$75/30</f>
        <v>15317.4821526335</v>
      </c>
      <c r="AB88" s="69" t="n">
        <f aca="false">-AB47*Inputs!$B$75/30</f>
        <v>15424.7071366285</v>
      </c>
      <c r="AC88" s="69" t="n">
        <f aca="false">-AC47*Inputs!$B$75/30</f>
        <v>20438.3519647175</v>
      </c>
      <c r="AD88" s="69" t="n">
        <f aca="false">-AD47*Inputs!$B$75/30</f>
        <v>20631.6816650417</v>
      </c>
      <c r="AE88" s="69" t="n">
        <f aca="false">-AE47*Inputs!$B$75/30</f>
        <v>20815.3448803496</v>
      </c>
      <c r="AF88" s="69" t="n">
        <f aca="false">-AF47*Inputs!$B$75/30</f>
        <v>20989.8249348921</v>
      </c>
      <c r="AG88" s="69" t="n">
        <f aca="false">-AG47*Inputs!$B$75/30</f>
        <v>21155.5809867075</v>
      </c>
      <c r="AH88" s="69" t="n">
        <f aca="false">-AH47*Inputs!$B$75/30</f>
        <v>21313.0492359321</v>
      </c>
      <c r="AI88" s="69" t="n">
        <f aca="false">-AI47*Inputs!$B$75/30</f>
        <v>21462.6440726955</v>
      </c>
      <c r="AJ88" s="69" t="n">
        <f aca="false">-AJ47*Inputs!$B$75/30</f>
        <v>21604.7591676207</v>
      </c>
      <c r="AK88" s="69" t="n">
        <f aca="false">-AK47*Inputs!$B$75/30</f>
        <v>21739.7685077997</v>
      </c>
      <c r="AL88" s="69" t="n">
        <f aca="false">-AL47*Inputs!$B$75/30</f>
        <v>16639.6081790201</v>
      </c>
    </row>
    <row r="89" customFormat="false" ht="15" hidden="false" customHeight="false" outlineLevel="0" collapsed="false">
      <c r="A89" s="6" t="s">
        <v>344</v>
      </c>
      <c r="C89" s="69" t="n">
        <f aca="false">-C86</f>
        <v>-1766.44693333333</v>
      </c>
      <c r="D89" s="69" t="n">
        <f aca="false">C86-D86</f>
        <v>-258.880497777778</v>
      </c>
      <c r="E89" s="69" t="n">
        <f aca="false">D86-E86</f>
        <v>-893.193539555554</v>
      </c>
      <c r="F89" s="69" t="n">
        <f aca="false">E86-F86</f>
        <v>-353.598218133333</v>
      </c>
      <c r="G89" s="69" t="n">
        <f aca="false">F86-G86</f>
        <v>-359.574840560001</v>
      </c>
      <c r="H89" s="69" t="n">
        <f aca="false">G86-H86</f>
        <v>-365.252631865334</v>
      </c>
      <c r="I89" s="69" t="n">
        <f aca="false">H86-I86</f>
        <v>-370.646533605399</v>
      </c>
      <c r="J89" s="69" t="n">
        <f aca="false">I86-J86</f>
        <v>-375.770740258463</v>
      </c>
      <c r="K89" s="69" t="n">
        <f aca="false">J86-K86</f>
        <v>-380.638736578874</v>
      </c>
      <c r="L89" s="69" t="n">
        <f aca="false">K86-L86</f>
        <v>-385.263333083262</v>
      </c>
      <c r="M89" s="69" t="n">
        <f aca="false">L86-M86</f>
        <v>-389.656699762433</v>
      </c>
      <c r="N89" s="69" t="n">
        <f aca="false">M86-N86</f>
        <v>902.874313003465</v>
      </c>
      <c r="O89" s="69" t="n">
        <f aca="false">N86-O86</f>
        <v>-358.291199254945</v>
      </c>
      <c r="P89" s="69" t="n">
        <f aca="false">O86-P86</f>
        <v>-84.6572071284036</v>
      </c>
      <c r="Q89" s="69" t="n">
        <f aca="false">P86-Q86</f>
        <v>-1465.09933343865</v>
      </c>
      <c r="R89" s="69" t="n">
        <f aca="false">Q86-R86</f>
        <v>-95.8985534333851</v>
      </c>
      <c r="S89" s="69" t="n">
        <f aca="false">R86-S86</f>
        <v>-91.1036257617161</v>
      </c>
      <c r="T89" s="69" t="n">
        <f aca="false">S86-T86</f>
        <v>-86.5484444736294</v>
      </c>
      <c r="U89" s="69" t="n">
        <f aca="false">T86-U86</f>
        <v>-82.2210222499489</v>
      </c>
      <c r="V89" s="69" t="n">
        <f aca="false">U86-V86</f>
        <v>-78.10997113745</v>
      </c>
      <c r="W89" s="69" t="n">
        <f aca="false">V86-W86</f>
        <v>-74.2044725805799</v>
      </c>
      <c r="X89" s="69" t="n">
        <f aca="false">W86-X86</f>
        <v>-70.4942489515479</v>
      </c>
      <c r="Y89" s="69" t="n">
        <f aca="false">X86-Y86</f>
        <v>-66.9695365039734</v>
      </c>
      <c r="Z89" s="69" t="n">
        <f aca="false">Y86-Z86</f>
        <v>1321.05392698789</v>
      </c>
      <c r="AA89" s="69" t="n">
        <f aca="false">Z86-AA86</f>
        <v>-103.639949316149</v>
      </c>
      <c r="AB89" s="69" t="n">
        <f aca="false">AA86-AB86</f>
        <v>-39.2863270956941</v>
      </c>
      <c r="AC89" s="69" t="n">
        <f aca="false">AB86-AC86</f>
        <v>-1435.84374727424</v>
      </c>
      <c r="AD89" s="69" t="n">
        <f aca="false">AC86-AD86</f>
        <v>-55.1462884438633</v>
      </c>
      <c r="AE89" s="69" t="n">
        <f aca="false">AD86-AE86</f>
        <v>-52.388974021671</v>
      </c>
      <c r="AF89" s="69" t="n">
        <f aca="false">AE86-AF86</f>
        <v>-49.7695253205866</v>
      </c>
      <c r="AG89" s="69" t="n">
        <f aca="false">AF86-AG86</f>
        <v>-47.281049054558</v>
      </c>
      <c r="AH89" s="69" t="n">
        <f aca="false">AG86-AH86</f>
        <v>-44.9169966018299</v>
      </c>
      <c r="AI89" s="69" t="n">
        <f aca="false">AH86-AI86</f>
        <v>-42.6711467717378</v>
      </c>
      <c r="AJ89" s="69" t="n">
        <f aca="false">AI86-AJ86</f>
        <v>-40.537589433151</v>
      </c>
      <c r="AK89" s="69" t="n">
        <f aca="false">AJ86-AK86</f>
        <v>-38.5107099614943</v>
      </c>
      <c r="AL89" s="69" t="n">
        <f aca="false">AK86-AL86</f>
        <v>1361.93656206991</v>
      </c>
    </row>
    <row r="90" customFormat="false" ht="15" hidden="false" customHeight="false" outlineLevel="0" collapsed="false">
      <c r="A90" s="6" t="s">
        <v>345</v>
      </c>
      <c r="C90" s="69" t="n">
        <f aca="false">-C87</f>
        <v>-2370.786328</v>
      </c>
      <c r="D90" s="69" t="n">
        <f aca="false">C87-D87</f>
        <v>-344.317408933334</v>
      </c>
      <c r="E90" s="69" t="n">
        <f aca="false">D87-E87</f>
        <v>-1352.06056864</v>
      </c>
      <c r="F90" s="69" t="n">
        <f aca="false">E87-F87</f>
        <v>-498.007374054666</v>
      </c>
      <c r="G90" s="69" t="n">
        <f aca="false">F87-G87</f>
        <v>-509.945677351935</v>
      </c>
      <c r="H90" s="69" t="n">
        <f aca="false">G87-H87</f>
        <v>-521.287065484336</v>
      </c>
      <c r="I90" s="69" t="n">
        <f aca="false">H87-I87</f>
        <v>-532.06138421012</v>
      </c>
      <c r="J90" s="69" t="n">
        <f aca="false">I87-J87</f>
        <v>-542.296986999612</v>
      </c>
      <c r="K90" s="69" t="n">
        <f aca="false">J87-K87</f>
        <v>-552.020809649634</v>
      </c>
      <c r="L90" s="69" t="n">
        <f aca="false">K87-L87</f>
        <v>-561.25844116715</v>
      </c>
      <c r="M90" s="69" t="n">
        <f aca="false">L87-M87</f>
        <v>-570.034191108794</v>
      </c>
      <c r="N90" s="69" t="n">
        <f aca="false">M87-N87</f>
        <v>1600.72556891093</v>
      </c>
      <c r="O90" s="69" t="n">
        <f aca="false">N87-O87</f>
        <v>-665.239311135139</v>
      </c>
      <c r="P90" s="69" t="n">
        <f aca="false">O87-P87</f>
        <v>-135.22102910881</v>
      </c>
      <c r="Q90" s="69" t="n">
        <f aca="false">P87-Q87</f>
        <v>-2598.07806067544</v>
      </c>
      <c r="R90" s="69" t="n">
        <f aca="false">Q87-R87</f>
        <v>-196.563549819599</v>
      </c>
      <c r="S90" s="69" t="n">
        <f aca="false">R87-S87</f>
        <v>-186.735372328616</v>
      </c>
      <c r="T90" s="69" t="n">
        <f aca="false">S87-T87</f>
        <v>-177.398603712189</v>
      </c>
      <c r="U90" s="69" t="n">
        <f aca="false">T87-U87</f>
        <v>-168.52867352658</v>
      </c>
      <c r="V90" s="69" t="n">
        <f aca="false">U87-V87</f>
        <v>-160.102239850248</v>
      </c>
      <c r="W90" s="69" t="n">
        <f aca="false">V87-W87</f>
        <v>-152.097127857736</v>
      </c>
      <c r="X90" s="69" t="n">
        <f aca="false">W87-X87</f>
        <v>-144.492271464847</v>
      </c>
      <c r="Y90" s="69" t="n">
        <f aca="false">X87-Y87</f>
        <v>-137.267657891609</v>
      </c>
      <c r="Z90" s="69" t="n">
        <f aca="false">Y87-Z87</f>
        <v>2660.0609948009</v>
      </c>
      <c r="AA90" s="69" t="n">
        <f aca="false">Z87-AA87</f>
        <v>-375.475722321551</v>
      </c>
      <c r="AB90" s="69" t="n">
        <f aca="false">AA87-AB87</f>
        <v>-64.3349903969956</v>
      </c>
      <c r="AC90" s="69" t="n">
        <f aca="false">AB87-AC87</f>
        <v>-3008.18689685341</v>
      </c>
      <c r="AD90" s="69" t="n">
        <f aca="false">AC87-AD87</f>
        <v>-115.997820194474</v>
      </c>
      <c r="AE90" s="69" t="n">
        <f aca="false">AD87-AE87</f>
        <v>-110.197929184747</v>
      </c>
      <c r="AF90" s="69" t="n">
        <f aca="false">AE87-AF87</f>
        <v>-104.688032725513</v>
      </c>
      <c r="AG90" s="69" t="n">
        <f aca="false">AF87-AG87</f>
        <v>-99.4536310892399</v>
      </c>
      <c r="AH90" s="69" t="n">
        <f aca="false">AG87-AH87</f>
        <v>-94.4809495347727</v>
      </c>
      <c r="AI90" s="69" t="n">
        <f aca="false">AH87-AI87</f>
        <v>-89.7569020580377</v>
      </c>
      <c r="AJ90" s="69" t="n">
        <f aca="false">AI87-AJ87</f>
        <v>-85.2690569551323</v>
      </c>
      <c r="AK90" s="69" t="n">
        <f aca="false">AJ87-AK87</f>
        <v>-81.0056041073767</v>
      </c>
      <c r="AL90" s="69" t="n">
        <f aca="false">AK87-AL87</f>
        <v>3060.09619726775</v>
      </c>
    </row>
    <row r="91" customFormat="false" ht="15" hidden="false" customHeight="false" outlineLevel="0" collapsed="false">
      <c r="A91" s="6" t="s">
        <v>346</v>
      </c>
      <c r="C91" s="69" t="n">
        <f aca="false">C88</f>
        <v>3951.31054666667</v>
      </c>
      <c r="D91" s="69" t="n">
        <f aca="false">D88-C88</f>
        <v>573.862348222223</v>
      </c>
      <c r="E91" s="69" t="n">
        <f aca="false">E88-D88</f>
        <v>2253.43428106666</v>
      </c>
      <c r="F91" s="69" t="n">
        <f aca="false">F88-E88</f>
        <v>830.012290091112</v>
      </c>
      <c r="G91" s="69" t="n">
        <f aca="false">G88-F88</f>
        <v>849.909462253224</v>
      </c>
      <c r="H91" s="69" t="n">
        <f aca="false">H88-G88</f>
        <v>868.811775807226</v>
      </c>
      <c r="I91" s="69" t="n">
        <f aca="false">I88-H88</f>
        <v>886.768973683533</v>
      </c>
      <c r="J91" s="69" t="n">
        <f aca="false">J88-I88</f>
        <v>903.828311666022</v>
      </c>
      <c r="K91" s="69" t="n">
        <f aca="false">K88-J88</f>
        <v>920.034682749389</v>
      </c>
      <c r="L91" s="69" t="n">
        <f aca="false">L88-K88</f>
        <v>935.430735278584</v>
      </c>
      <c r="M91" s="69" t="n">
        <f aca="false">M88-L88</f>
        <v>950.056985181323</v>
      </c>
      <c r="N91" s="69" t="n">
        <f aca="false">N88-M88</f>
        <v>-2667.87594818488</v>
      </c>
      <c r="O91" s="69" t="n">
        <f aca="false">O88-N88</f>
        <v>1108.73218522523</v>
      </c>
      <c r="P91" s="69" t="n">
        <f aca="false">P88-O88</f>
        <v>225.368381848015</v>
      </c>
      <c r="Q91" s="69" t="n">
        <f aca="false">Q88-P88</f>
        <v>4330.13010112574</v>
      </c>
      <c r="R91" s="69" t="n">
        <f aca="false">R88-Q88</f>
        <v>327.605916365999</v>
      </c>
      <c r="S91" s="69" t="n">
        <f aca="false">S88-R88</f>
        <v>311.225620547695</v>
      </c>
      <c r="T91" s="69" t="n">
        <f aca="false">T88-S88</f>
        <v>295.664339520314</v>
      </c>
      <c r="U91" s="69" t="n">
        <f aca="false">U88-T88</f>
        <v>280.881122544299</v>
      </c>
      <c r="V91" s="69" t="n">
        <f aca="false">V88-U88</f>
        <v>266.83706641708</v>
      </c>
      <c r="W91" s="69" t="n">
        <f aca="false">W88-V88</f>
        <v>253.495213096227</v>
      </c>
      <c r="X91" s="69" t="n">
        <f aca="false">X88-W88</f>
        <v>240.820452441414</v>
      </c>
      <c r="Y91" s="69" t="n">
        <f aca="false">Y88-X88</f>
        <v>228.779429819351</v>
      </c>
      <c r="Z91" s="69" t="n">
        <f aca="false">Z88-Y88</f>
        <v>-4433.43499133484</v>
      </c>
      <c r="AA91" s="69" t="n">
        <f aca="false">AA88-Z88</f>
        <v>625.792870535919</v>
      </c>
      <c r="AB91" s="69" t="n">
        <f aca="false">AB88-AA88</f>
        <v>107.224983994993</v>
      </c>
      <c r="AC91" s="69" t="n">
        <f aca="false">AC88-AB88</f>
        <v>5013.64482808902</v>
      </c>
      <c r="AD91" s="69" t="n">
        <f aca="false">AD88-AC88</f>
        <v>193.329700324117</v>
      </c>
      <c r="AE91" s="69" t="n">
        <f aca="false">AE88-AD88</f>
        <v>183.663215307915</v>
      </c>
      <c r="AF91" s="69" t="n">
        <f aca="false">AF88-AE88</f>
        <v>174.480054542524</v>
      </c>
      <c r="AG91" s="69" t="n">
        <f aca="false">AG88-AF88</f>
        <v>165.756051815402</v>
      </c>
      <c r="AH91" s="69" t="n">
        <f aca="false">AH88-AG88</f>
        <v>157.468249224617</v>
      </c>
      <c r="AI91" s="69" t="n">
        <f aca="false">AI88-AH88</f>
        <v>149.594836763397</v>
      </c>
      <c r="AJ91" s="69" t="n">
        <f aca="false">AJ88-AI88</f>
        <v>142.115094925219</v>
      </c>
      <c r="AK91" s="69" t="n">
        <f aca="false">AK88-AJ88</f>
        <v>135.009340178964</v>
      </c>
      <c r="AL91" s="69" t="n">
        <f aca="false">AL88-AK88</f>
        <v>-5100.16032877958</v>
      </c>
    </row>
    <row r="93" customFormat="false" ht="15.75" hidden="false" customHeight="true" outlineLevel="0" collapsed="false">
      <c r="A93" s="7" t="s">
        <v>429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4" t="s">
        <v>52</v>
      </c>
      <c r="C94" s="75" t="n">
        <f aca="false">C66-C75+C89+C90+C91</f>
        <v>-93267.4580373333</v>
      </c>
      <c r="D94" s="75" t="n">
        <f aca="false">D66-D75+D89+D90+D91</f>
        <v>-89827.7565656889</v>
      </c>
      <c r="E94" s="75" t="n">
        <f aca="false">E66-E75+E89+E90+E91</f>
        <v>-78919.3755449422</v>
      </c>
      <c r="F94" s="75" t="n">
        <f aca="false">F66-F75+F89+F90+F91</f>
        <v>-74464.1071626863</v>
      </c>
      <c r="G94" s="75" t="n">
        <f aca="false">G66-G75+G89+G90+G91</f>
        <v>-69911.3103292186</v>
      </c>
      <c r="H94" s="75" t="n">
        <f aca="false">H66-H75+H89+H90+H91</f>
        <v>-65296.1285147577</v>
      </c>
      <c r="I94" s="75" t="n">
        <f aca="false">I66-I75+I89+I90+I91</f>
        <v>-60621.6809683531</v>
      </c>
      <c r="J94" s="75" t="n">
        <f aca="false">J66-J75+J89+J90+J91</f>
        <v>-55890.9309766021</v>
      </c>
      <c r="K94" s="75" t="n">
        <f aca="false">K66-K75+K89+K90+K91</f>
        <v>-51106.693661772</v>
      </c>
      <c r="L94" s="75" t="n">
        <f aca="false">L66-L75+L89+L90+L91</f>
        <v>-46271.6433900168</v>
      </c>
      <c r="M94" s="75" t="n">
        <f aca="false">M66-M75+M89+M90+M91</f>
        <v>-41388.3208091826</v>
      </c>
      <c r="N94" s="75" t="n">
        <f aca="false">N66-N75+N89+N90+N91</f>
        <v>-51707.54319366</v>
      </c>
      <c r="O94" s="75" t="n">
        <f aca="false">O66-O75+O89+O90+O91</f>
        <v>-46234.6927526671</v>
      </c>
      <c r="P94" s="75" t="n">
        <f aca="false">P66-P75+P89+P90+P91</f>
        <v>-45137.9048998497</v>
      </c>
      <c r="Q94" s="75" t="n">
        <f aca="false">Q66-Q75+Q89+Q90+Q91</f>
        <v>-27919.0251248866</v>
      </c>
      <c r="R94" s="75" t="n">
        <f aca="false">R66-R75+R89+R90+R91</f>
        <v>-26928.3994835903</v>
      </c>
      <c r="S94" s="75" t="n">
        <f aca="false">S66-S75+S89+S90+S91</f>
        <v>-25759.9896991441</v>
      </c>
      <c r="T94" s="75" t="n">
        <f aca="false">T66-T75+T89+T90+T91</f>
        <v>-24641.1462372536</v>
      </c>
      <c r="U94" s="75" t="n">
        <f aca="false">U66-U75+U89+U90+U91</f>
        <v>-23569.3907817909</v>
      </c>
      <c r="V94" s="75" t="n">
        <f aca="false">V66-V75+V89+V90+V91</f>
        <v>-22542.3689324347</v>
      </c>
      <c r="W94" s="75" t="n">
        <f aca="false">W66-W75+W89+W90+W91</f>
        <v>-21557.8440088796</v>
      </c>
      <c r="X94" s="75" t="n">
        <f aca="false">X66-X75+X89+X90+X91</f>
        <v>-20613.6911648357</v>
      </c>
      <c r="Y94" s="75" t="n">
        <f aca="false">Y66-Y75+Y89+Y90+Y91</f>
        <v>-19707.8917963272</v>
      </c>
      <c r="Z94" s="75" t="n">
        <f aca="false">Z66-Z75+Z89+Z90+Z91</f>
        <v>-34503.3576831803</v>
      </c>
      <c r="AA94" s="75" t="n">
        <f aca="false">AA66-AA75+AA89+AA90+AA91</f>
        <v>-33085.1572863036</v>
      </c>
      <c r="AB94" s="75" t="n">
        <f aca="false">AB66-AB75+AB89+AB90+AB91</f>
        <v>-32590.5225597247</v>
      </c>
      <c r="AC94" s="75" t="n">
        <f aca="false">AC66-AC75+AC89+AC90+AC91</f>
        <v>-16326.1462935255</v>
      </c>
      <c r="AD94" s="75" t="n">
        <f aca="false">AD66-AD75+AD89+AD90+AD91</f>
        <v>-16101.2928661988</v>
      </c>
      <c r="AE94" s="75" t="n">
        <f aca="false">AE66-AE75+AE89+AE90+AE91</f>
        <v>-15359.8800604941</v>
      </c>
      <c r="AF94" s="75" t="n">
        <f aca="false">AF66-AF75+AF89+AF90+AF91</f>
        <v>-14646.6837284081</v>
      </c>
      <c r="AG94" s="75" t="n">
        <f aca="false">AG66-AG75+AG89+AG90+AG91</f>
        <v>-13960.2930462597</v>
      </c>
      <c r="AH94" s="75" t="n">
        <f aca="false">AH66-AH75+AH89+AH90+AH91</f>
        <v>-13299.3677315521</v>
      </c>
      <c r="AI94" s="75" t="n">
        <f aca="false">AI66-AI75+AI89+AI90+AI91</f>
        <v>-12662.6345159131</v>
      </c>
      <c r="AJ94" s="75" t="n">
        <f aca="false">AJ66-AJ75+AJ89+AJ90+AJ91</f>
        <v>-12048.8837943895</v>
      </c>
      <c r="AK94" s="75" t="n">
        <f aca="false">AK66-AK75+AK89+AK90+AK91</f>
        <v>-11456.9664422753</v>
      </c>
      <c r="AL94" s="75" t="n">
        <f aca="false">AL66-AL75+AL89+AL90+AL91</f>
        <v>-26282.3597410072</v>
      </c>
    </row>
    <row r="95" customFormat="false" ht="15" hidden="false" customHeight="false" outlineLevel="0" collapsed="false">
      <c r="A95" s="6" t="s">
        <v>430</v>
      </c>
      <c r="C95" s="69" t="n">
        <f aca="false">-C73</f>
        <v>-4100000</v>
      </c>
      <c r="D95" s="69" t="n">
        <f aca="false">-D73</f>
        <v>-0</v>
      </c>
      <c r="E95" s="69" t="n">
        <f aca="false">-E73</f>
        <v>-0</v>
      </c>
      <c r="F95" s="69" t="n">
        <f aca="false">-F73</f>
        <v>-0</v>
      </c>
      <c r="G95" s="69" t="n">
        <f aca="false">-G73</f>
        <v>-0</v>
      </c>
      <c r="H95" s="69" t="n">
        <f aca="false">-H73</f>
        <v>-0</v>
      </c>
      <c r="I95" s="69" t="n">
        <f aca="false">-I73</f>
        <v>-0</v>
      </c>
      <c r="J95" s="69" t="n">
        <f aca="false">-J73</f>
        <v>-0</v>
      </c>
      <c r="K95" s="69" t="n">
        <f aca="false">-K73</f>
        <v>-0</v>
      </c>
      <c r="L95" s="69" t="n">
        <f aca="false">-L73</f>
        <v>-0</v>
      </c>
      <c r="M95" s="69" t="n">
        <f aca="false">-M73</f>
        <v>-0</v>
      </c>
      <c r="N95" s="69" t="n">
        <f aca="false">-N73</f>
        <v>-0</v>
      </c>
      <c r="O95" s="69" t="n">
        <f aca="false">-O73</f>
        <v>-40000</v>
      </c>
      <c r="P95" s="69" t="n">
        <f aca="false">-P73</f>
        <v>-0</v>
      </c>
      <c r="Q95" s="69" t="n">
        <f aca="false">-Q73</f>
        <v>-0</v>
      </c>
      <c r="R95" s="69" t="n">
        <f aca="false">-R73</f>
        <v>-0</v>
      </c>
      <c r="S95" s="69" t="n">
        <f aca="false">-S73</f>
        <v>-0</v>
      </c>
      <c r="T95" s="69" t="n">
        <f aca="false">-T73</f>
        <v>-0</v>
      </c>
      <c r="U95" s="69" t="n">
        <f aca="false">-U73</f>
        <v>-0</v>
      </c>
      <c r="V95" s="69" t="n">
        <f aca="false">-V73</f>
        <v>-0</v>
      </c>
      <c r="W95" s="69" t="n">
        <f aca="false">-W73</f>
        <v>-0</v>
      </c>
      <c r="X95" s="69" t="n">
        <f aca="false">-X73</f>
        <v>-0</v>
      </c>
      <c r="Y95" s="69" t="n">
        <f aca="false">-Y73</f>
        <v>-0</v>
      </c>
      <c r="Z95" s="69" t="n">
        <f aca="false">-Z73</f>
        <v>-0</v>
      </c>
      <c r="AA95" s="69" t="n">
        <f aca="false">-AA73</f>
        <v>-40000</v>
      </c>
      <c r="AB95" s="69" t="n">
        <f aca="false">-AB73</f>
        <v>-0</v>
      </c>
      <c r="AC95" s="69" t="n">
        <f aca="false">-AC73</f>
        <v>-0</v>
      </c>
      <c r="AD95" s="69" t="n">
        <f aca="false">-AD73</f>
        <v>-0</v>
      </c>
      <c r="AE95" s="69" t="n">
        <f aca="false">-AE73</f>
        <v>-0</v>
      </c>
      <c r="AF95" s="69" t="n">
        <f aca="false">-AF73</f>
        <v>-0</v>
      </c>
      <c r="AG95" s="69" t="n">
        <f aca="false">-AG73</f>
        <v>-0</v>
      </c>
      <c r="AH95" s="69" t="n">
        <f aca="false">-AH73</f>
        <v>-0</v>
      </c>
      <c r="AI95" s="69" t="n">
        <f aca="false">-AI73</f>
        <v>-0</v>
      </c>
      <c r="AJ95" s="69" t="n">
        <f aca="false">-AJ73</f>
        <v>-0</v>
      </c>
      <c r="AK95" s="69" t="n">
        <f aca="false">-AK73</f>
        <v>-0</v>
      </c>
      <c r="AL95" s="69" t="n">
        <f aca="false">-AL73</f>
        <v>-0</v>
      </c>
    </row>
    <row r="96" customFormat="false" ht="15" hidden="false" customHeight="false" outlineLevel="0" collapsed="false">
      <c r="A96" s="6" t="s">
        <v>64</v>
      </c>
      <c r="C96" s="69" t="n">
        <f aca="false">IF(C$6=1,Inputs!$B$67,0)</f>
        <v>2100000</v>
      </c>
      <c r="D96" s="69" t="n">
        <f aca="false">IF(D$6=1,Inputs!$B$67,0)</f>
        <v>0</v>
      </c>
      <c r="E96" s="69" t="n">
        <f aca="false">IF(E$6=1,Inputs!$B$67,0)</f>
        <v>0</v>
      </c>
      <c r="F96" s="69" t="n">
        <f aca="false">IF(F$6=1,Inputs!$B$67,0)</f>
        <v>0</v>
      </c>
      <c r="G96" s="69" t="n">
        <f aca="false">IF(G$6=1,Inputs!$B$67,0)</f>
        <v>0</v>
      </c>
      <c r="H96" s="69" t="n">
        <f aca="false">IF(H$6=1,Inputs!$B$67,0)</f>
        <v>0</v>
      </c>
      <c r="I96" s="69" t="n">
        <f aca="false">IF(I$6=1,Inputs!$B$67,0)</f>
        <v>0</v>
      </c>
      <c r="J96" s="69" t="n">
        <f aca="false">IF(J$6=1,Inputs!$B$67,0)</f>
        <v>0</v>
      </c>
      <c r="K96" s="69" t="n">
        <f aca="false">IF(K$6=1,Inputs!$B$67,0)</f>
        <v>0</v>
      </c>
      <c r="L96" s="69" t="n">
        <f aca="false">IF(L$6=1,Inputs!$B$67,0)</f>
        <v>0</v>
      </c>
      <c r="M96" s="69" t="n">
        <f aca="false">IF(M$6=1,Inputs!$B$67,0)</f>
        <v>0</v>
      </c>
      <c r="N96" s="69" t="n">
        <f aca="false">IF(N$6=1,Inputs!$B$67,0)</f>
        <v>0</v>
      </c>
      <c r="O96" s="69" t="n">
        <f aca="false">IF(O$6=1,Inputs!$B$67,0)</f>
        <v>0</v>
      </c>
      <c r="P96" s="69" t="n">
        <f aca="false">IF(P$6=1,Inputs!$B$67,0)</f>
        <v>0</v>
      </c>
      <c r="Q96" s="69" t="n">
        <f aca="false">IF(Q$6=1,Inputs!$B$67,0)</f>
        <v>0</v>
      </c>
      <c r="R96" s="69" t="n">
        <f aca="false">IF(R$6=1,Inputs!$B$67,0)</f>
        <v>0</v>
      </c>
      <c r="S96" s="69" t="n">
        <f aca="false">IF(S$6=1,Inputs!$B$67,0)</f>
        <v>0</v>
      </c>
      <c r="T96" s="69" t="n">
        <f aca="false">IF(T$6=1,Inputs!$B$67,0)</f>
        <v>0</v>
      </c>
      <c r="U96" s="69" t="n">
        <f aca="false">IF(U$6=1,Inputs!$B$67,0)</f>
        <v>0</v>
      </c>
      <c r="V96" s="69" t="n">
        <f aca="false">IF(V$6=1,Inputs!$B$67,0)</f>
        <v>0</v>
      </c>
      <c r="W96" s="69" t="n">
        <f aca="false">IF(W$6=1,Inputs!$B$67,0)</f>
        <v>0</v>
      </c>
      <c r="X96" s="69" t="n">
        <f aca="false">IF(X$6=1,Inputs!$B$67,0)</f>
        <v>0</v>
      </c>
      <c r="Y96" s="69" t="n">
        <f aca="false">IF(Y$6=1,Inputs!$B$67,0)</f>
        <v>0</v>
      </c>
      <c r="Z96" s="69" t="n">
        <f aca="false">IF(Z$6=1,Inputs!$B$67,0)</f>
        <v>0</v>
      </c>
      <c r="AA96" s="69" t="n">
        <f aca="false">IF(AA$6=1,Inputs!$B$67,0)</f>
        <v>0</v>
      </c>
      <c r="AB96" s="69" t="n">
        <f aca="false">IF(AB$6=1,Inputs!$B$67,0)</f>
        <v>0</v>
      </c>
      <c r="AC96" s="69" t="n">
        <f aca="false">IF(AC$6=1,Inputs!$B$67,0)</f>
        <v>0</v>
      </c>
      <c r="AD96" s="69" t="n">
        <f aca="false">IF(AD$6=1,Inputs!$B$67,0)</f>
        <v>0</v>
      </c>
      <c r="AE96" s="69" t="n">
        <f aca="false">IF(AE$6=1,Inputs!$B$67,0)</f>
        <v>0</v>
      </c>
      <c r="AF96" s="69" t="n">
        <f aca="false">IF(AF$6=1,Inputs!$B$67,0)</f>
        <v>0</v>
      </c>
      <c r="AG96" s="69" t="n">
        <f aca="false">IF(AG$6=1,Inputs!$B$67,0)</f>
        <v>0</v>
      </c>
      <c r="AH96" s="69" t="n">
        <f aca="false">IF(AH$6=1,Inputs!$B$67,0)</f>
        <v>0</v>
      </c>
      <c r="AI96" s="69" t="n">
        <f aca="false">IF(AI$6=1,Inputs!$B$67,0)</f>
        <v>0</v>
      </c>
      <c r="AJ96" s="69" t="n">
        <f aca="false">IF(AJ$6=1,Inputs!$B$67,0)</f>
        <v>0</v>
      </c>
      <c r="AK96" s="69" t="n">
        <f aca="false">IF(AK$6=1,Inputs!$B$67,0)</f>
        <v>0</v>
      </c>
      <c r="AL96" s="69" t="n">
        <f aca="false">IF(AL$6=1,Inputs!$B$67,0)</f>
        <v>0</v>
      </c>
    </row>
    <row r="97" customFormat="false" ht="15" hidden="false" customHeight="false" outlineLevel="0" collapsed="false">
      <c r="A97" s="6" t="s">
        <v>54</v>
      </c>
      <c r="C97" s="69" t="n">
        <f aca="false">C96+C81+C82</f>
        <v>5100000</v>
      </c>
      <c r="D97" s="69" t="n">
        <f aca="false">D96+D81+D82</f>
        <v>-25000</v>
      </c>
      <c r="E97" s="69" t="n">
        <f aca="false">E96+E81+E82</f>
        <v>-25000</v>
      </c>
      <c r="F97" s="69" t="n">
        <f aca="false">F96+F81+F82</f>
        <v>-25000</v>
      </c>
      <c r="G97" s="69" t="n">
        <f aca="false">G96+G81+G82</f>
        <v>-25000</v>
      </c>
      <c r="H97" s="69" t="n">
        <f aca="false">H96+H81+H82</f>
        <v>-25000</v>
      </c>
      <c r="I97" s="69" t="n">
        <f aca="false">I96+I81+I82</f>
        <v>-25000</v>
      </c>
      <c r="J97" s="69" t="n">
        <f aca="false">J96+J81+J82</f>
        <v>-25000</v>
      </c>
      <c r="K97" s="69" t="n">
        <f aca="false">K96+K81+K82</f>
        <v>-25000</v>
      </c>
      <c r="L97" s="69" t="n">
        <f aca="false">L96+L81+L82</f>
        <v>-25000</v>
      </c>
      <c r="M97" s="69" t="n">
        <f aca="false">M96+M81+M82</f>
        <v>-25000</v>
      </c>
      <c r="N97" s="69" t="n">
        <f aca="false">N96+N81+N82</f>
        <v>-25000</v>
      </c>
      <c r="O97" s="69" t="n">
        <f aca="false">O96+O81+O82</f>
        <v>-25000</v>
      </c>
      <c r="P97" s="69" t="n">
        <f aca="false">P96+P81+P82</f>
        <v>-25000</v>
      </c>
      <c r="Q97" s="69" t="n">
        <f aca="false">Q96+Q81+Q82</f>
        <v>-25000</v>
      </c>
      <c r="R97" s="69" t="n">
        <f aca="false">R96+R81+R82</f>
        <v>-25000</v>
      </c>
      <c r="S97" s="69" t="n">
        <f aca="false">S96+S81+S82</f>
        <v>-25000</v>
      </c>
      <c r="T97" s="69" t="n">
        <f aca="false">T96+T81+T82</f>
        <v>-25000</v>
      </c>
      <c r="U97" s="69" t="n">
        <f aca="false">U96+U81+U82</f>
        <v>-25000</v>
      </c>
      <c r="V97" s="69" t="n">
        <f aca="false">V96+V81+V82</f>
        <v>-25000</v>
      </c>
      <c r="W97" s="69" t="n">
        <f aca="false">W96+W81+W82</f>
        <v>-25000</v>
      </c>
      <c r="X97" s="69" t="n">
        <f aca="false">X96+X81+X82</f>
        <v>-25000</v>
      </c>
      <c r="Y97" s="69" t="n">
        <f aca="false">Y96+Y81+Y82</f>
        <v>-25000</v>
      </c>
      <c r="Z97" s="69" t="n">
        <f aca="false">Z96+Z81+Z82</f>
        <v>-25000</v>
      </c>
      <c r="AA97" s="69" t="n">
        <f aca="false">AA96+AA81+AA82</f>
        <v>-25000</v>
      </c>
      <c r="AB97" s="69" t="n">
        <f aca="false">AB96+AB81+AB82</f>
        <v>-25000</v>
      </c>
      <c r="AC97" s="69" t="n">
        <f aca="false">AC96+AC81+AC82</f>
        <v>-25000</v>
      </c>
      <c r="AD97" s="69" t="n">
        <f aca="false">AD96+AD81+AD82</f>
        <v>-25000</v>
      </c>
      <c r="AE97" s="69" t="n">
        <f aca="false">AE96+AE81+AE82</f>
        <v>-25000</v>
      </c>
      <c r="AF97" s="69" t="n">
        <f aca="false">AF96+AF81+AF82</f>
        <v>-25000</v>
      </c>
      <c r="AG97" s="69" t="n">
        <f aca="false">AG96+AG81+AG82</f>
        <v>-25000</v>
      </c>
      <c r="AH97" s="69" t="n">
        <f aca="false">AH96+AH81+AH82</f>
        <v>-25000</v>
      </c>
      <c r="AI97" s="69" t="n">
        <f aca="false">AI96+AI81+AI82</f>
        <v>-25000</v>
      </c>
      <c r="AJ97" s="69" t="n">
        <f aca="false">AJ96+AJ81+AJ82</f>
        <v>-25000</v>
      </c>
      <c r="AK97" s="69" t="n">
        <f aca="false">AK96+AK81+AK82</f>
        <v>-25000</v>
      </c>
      <c r="AL97" s="69" t="n">
        <f aca="false">AL96+AL81+AL82</f>
        <v>-25000</v>
      </c>
    </row>
    <row r="98" customFormat="false" ht="15" hidden="false" customHeight="false" outlineLevel="0" collapsed="false">
      <c r="A98" s="113" t="s">
        <v>431</v>
      </c>
      <c r="C98" s="70" t="n">
        <f aca="false">C94+C95+C97</f>
        <v>906732.541962666</v>
      </c>
      <c r="D98" s="70" t="n">
        <f aca="false">D94+D95+D97</f>
        <v>-114827.756565689</v>
      </c>
      <c r="E98" s="70" t="n">
        <f aca="false">E94+E95+E97</f>
        <v>-103919.375544942</v>
      </c>
      <c r="F98" s="70" t="n">
        <f aca="false">F94+F95+F97</f>
        <v>-99464.1071626863</v>
      </c>
      <c r="G98" s="70" t="n">
        <f aca="false">G94+G95+G97</f>
        <v>-94911.3103292186</v>
      </c>
      <c r="H98" s="70" t="n">
        <f aca="false">H94+H95+H97</f>
        <v>-90296.1285147576</v>
      </c>
      <c r="I98" s="70" t="n">
        <f aca="false">I94+I95+I97</f>
        <v>-85621.6809683531</v>
      </c>
      <c r="J98" s="70" t="n">
        <f aca="false">J94+J95+J97</f>
        <v>-80890.9309766021</v>
      </c>
      <c r="K98" s="70" t="n">
        <f aca="false">K94+K95+K97</f>
        <v>-76106.693661772</v>
      </c>
      <c r="L98" s="70" t="n">
        <f aca="false">L94+L95+L97</f>
        <v>-71271.6433900168</v>
      </c>
      <c r="M98" s="70" t="n">
        <f aca="false">M94+M95+M97</f>
        <v>-66388.3208091826</v>
      </c>
      <c r="N98" s="70" t="n">
        <f aca="false">N94+N95+N97</f>
        <v>-76707.54319366</v>
      </c>
      <c r="O98" s="70" t="n">
        <f aca="false">O94+O95+O97</f>
        <v>-111234.692752667</v>
      </c>
      <c r="P98" s="70" t="n">
        <f aca="false">P94+P95+P97</f>
        <v>-70137.9048998497</v>
      </c>
      <c r="Q98" s="70" t="n">
        <f aca="false">Q94+Q95+Q97</f>
        <v>-52919.0251248866</v>
      </c>
      <c r="R98" s="70" t="n">
        <f aca="false">R94+R95+R97</f>
        <v>-51928.3994835903</v>
      </c>
      <c r="S98" s="70" t="n">
        <f aca="false">S94+S95+S97</f>
        <v>-50759.9896991441</v>
      </c>
      <c r="T98" s="70" t="n">
        <f aca="false">T94+T95+T97</f>
        <v>-49641.1462372536</v>
      </c>
      <c r="U98" s="70" t="n">
        <f aca="false">U94+U95+U97</f>
        <v>-48569.3907817909</v>
      </c>
      <c r="V98" s="70" t="n">
        <f aca="false">V94+V95+V97</f>
        <v>-47542.3689324347</v>
      </c>
      <c r="W98" s="70" t="n">
        <f aca="false">W94+W95+W97</f>
        <v>-46557.8440088796</v>
      </c>
      <c r="X98" s="70" t="n">
        <f aca="false">X94+X95+X97</f>
        <v>-45613.6911648357</v>
      </c>
      <c r="Y98" s="70" t="n">
        <f aca="false">Y94+Y95+Y97</f>
        <v>-44707.8917963272</v>
      </c>
      <c r="Z98" s="70" t="n">
        <f aca="false">Z94+Z95+Z97</f>
        <v>-59503.3576831803</v>
      </c>
      <c r="AA98" s="70" t="n">
        <f aca="false">AA94+AA95+AA97</f>
        <v>-98085.1572863036</v>
      </c>
      <c r="AB98" s="70" t="n">
        <f aca="false">AB94+AB95+AB97</f>
        <v>-57590.5225597247</v>
      </c>
      <c r="AC98" s="70" t="n">
        <f aca="false">AC94+AC95+AC97</f>
        <v>-41326.1462935255</v>
      </c>
      <c r="AD98" s="70" t="n">
        <f aca="false">AD94+AD95+AD97</f>
        <v>-41101.2928661988</v>
      </c>
      <c r="AE98" s="70" t="n">
        <f aca="false">AE94+AE95+AE97</f>
        <v>-40359.8800604941</v>
      </c>
      <c r="AF98" s="70" t="n">
        <f aca="false">AF94+AF95+AF97</f>
        <v>-39646.6837284081</v>
      </c>
      <c r="AG98" s="70" t="n">
        <f aca="false">AG94+AG95+AG97</f>
        <v>-38960.2930462597</v>
      </c>
      <c r="AH98" s="70" t="n">
        <f aca="false">AH94+AH95+AH97</f>
        <v>-38299.3677315521</v>
      </c>
      <c r="AI98" s="70" t="n">
        <f aca="false">AI94+AI95+AI97</f>
        <v>-37662.6345159131</v>
      </c>
      <c r="AJ98" s="70" t="n">
        <f aca="false">AJ94+AJ95+AJ97</f>
        <v>-37048.8837943895</v>
      </c>
      <c r="AK98" s="70" t="n">
        <f aca="false">AK94+AK95+AK97</f>
        <v>-36456.9664422753</v>
      </c>
      <c r="AL98" s="70" t="n">
        <f aca="false">AL94+AL95+AL97</f>
        <v>-51282.3597410072</v>
      </c>
    </row>
    <row r="99" customFormat="false" ht="15" hidden="false" customHeight="false" outlineLevel="0" collapsed="false">
      <c r="A99" s="6" t="s">
        <v>347</v>
      </c>
      <c r="C99" s="69" t="n">
        <f aca="false">0</f>
        <v>0</v>
      </c>
      <c r="D99" s="69" t="n">
        <f aca="false">C100</f>
        <v>906732.541962666</v>
      </c>
      <c r="E99" s="69" t="n">
        <f aca="false">D100</f>
        <v>791904.785396978</v>
      </c>
      <c r="F99" s="69" t="n">
        <f aca="false">E100</f>
        <v>687985.409852035</v>
      </c>
      <c r="G99" s="69" t="n">
        <f aca="false">F100</f>
        <v>588521.302689349</v>
      </c>
      <c r="H99" s="69" t="n">
        <f aca="false">G100</f>
        <v>493609.992360131</v>
      </c>
      <c r="I99" s="69" t="n">
        <f aca="false">H100</f>
        <v>403313.863845373</v>
      </c>
      <c r="J99" s="69" t="n">
        <f aca="false">I100</f>
        <v>317692.18287702</v>
      </c>
      <c r="K99" s="69" t="n">
        <f aca="false">J100</f>
        <v>236801.251900418</v>
      </c>
      <c r="L99" s="69" t="n">
        <f aca="false">K100</f>
        <v>160694.558238646</v>
      </c>
      <c r="M99" s="69" t="n">
        <f aca="false">L100</f>
        <v>89422.9148486287</v>
      </c>
      <c r="N99" s="69" t="n">
        <f aca="false">M100</f>
        <v>23034.5940394462</v>
      </c>
      <c r="O99" s="69" t="n">
        <f aca="false">N100</f>
        <v>-53672.9491542138</v>
      </c>
      <c r="P99" s="69" t="n">
        <f aca="false">O100</f>
        <v>-164907.641906881</v>
      </c>
      <c r="Q99" s="69" t="n">
        <f aca="false">P100</f>
        <v>-235045.546806731</v>
      </c>
      <c r="R99" s="69" t="n">
        <f aca="false">Q100</f>
        <v>-287964.571931617</v>
      </c>
      <c r="S99" s="69" t="n">
        <f aca="false">R100</f>
        <v>-339892.971415208</v>
      </c>
      <c r="T99" s="69" t="n">
        <f aca="false">S100</f>
        <v>-390652.961114352</v>
      </c>
      <c r="U99" s="69" t="n">
        <f aca="false">T100</f>
        <v>-440294.107351605</v>
      </c>
      <c r="V99" s="69" t="n">
        <f aca="false">U100</f>
        <v>-488863.498133396</v>
      </c>
      <c r="W99" s="69" t="n">
        <f aca="false">V100</f>
        <v>-536405.867065831</v>
      </c>
      <c r="X99" s="69" t="n">
        <f aca="false">W100</f>
        <v>-582963.711074711</v>
      </c>
      <c r="Y99" s="69" t="n">
        <f aca="false">X100</f>
        <v>-628577.402239546</v>
      </c>
      <c r="Z99" s="69" t="n">
        <f aca="false">Y100</f>
        <v>-673285.294035874</v>
      </c>
      <c r="AA99" s="69" t="n">
        <f aca="false">Z100</f>
        <v>-732788.651719054</v>
      </c>
      <c r="AB99" s="69" t="n">
        <f aca="false">AA100</f>
        <v>-830873.809005357</v>
      </c>
      <c r="AC99" s="69" t="n">
        <f aca="false">AB100</f>
        <v>-888464.331565082</v>
      </c>
      <c r="AD99" s="69" t="n">
        <f aca="false">AC100</f>
        <v>-929790.477858608</v>
      </c>
      <c r="AE99" s="69" t="n">
        <f aca="false">AD100</f>
        <v>-970891.770724806</v>
      </c>
      <c r="AF99" s="69" t="n">
        <f aca="false">AE100</f>
        <v>-1011251.6507853</v>
      </c>
      <c r="AG99" s="69" t="n">
        <f aca="false">AF100</f>
        <v>-1050898.33451371</v>
      </c>
      <c r="AH99" s="69" t="n">
        <f aca="false">AG100</f>
        <v>-1089858.62755997</v>
      </c>
      <c r="AI99" s="69" t="n">
        <f aca="false">AH100</f>
        <v>-1128157.99529152</v>
      </c>
      <c r="AJ99" s="69" t="n">
        <f aca="false">AI100</f>
        <v>-1165820.62980743</v>
      </c>
      <c r="AK99" s="69" t="n">
        <f aca="false">AJ100</f>
        <v>-1202869.51360182</v>
      </c>
      <c r="AL99" s="69" t="n">
        <f aca="false">AK100</f>
        <v>-1239326.4800441</v>
      </c>
    </row>
    <row r="100" customFormat="false" ht="15" hidden="false" customHeight="false" outlineLevel="0" collapsed="false">
      <c r="A100" s="113" t="s">
        <v>87</v>
      </c>
      <c r="C100" s="70" t="n">
        <f aca="false">C99+C98</f>
        <v>906732.541962666</v>
      </c>
      <c r="D100" s="70" t="n">
        <f aca="false">D99+D98</f>
        <v>791904.785396978</v>
      </c>
      <c r="E100" s="70" t="n">
        <f aca="false">E99+E98</f>
        <v>687985.409852035</v>
      </c>
      <c r="F100" s="70" t="n">
        <f aca="false">F99+F98</f>
        <v>588521.302689349</v>
      </c>
      <c r="G100" s="70" t="n">
        <f aca="false">G99+G98</f>
        <v>493609.992360131</v>
      </c>
      <c r="H100" s="70" t="n">
        <f aca="false">H99+H98</f>
        <v>403313.863845373</v>
      </c>
      <c r="I100" s="70" t="n">
        <f aca="false">I99+I98</f>
        <v>317692.18287702</v>
      </c>
      <c r="J100" s="70" t="n">
        <f aca="false">J99+J98</f>
        <v>236801.251900418</v>
      </c>
      <c r="K100" s="70" t="n">
        <f aca="false">K99+K98</f>
        <v>160694.558238646</v>
      </c>
      <c r="L100" s="70" t="n">
        <f aca="false">L99+L98</f>
        <v>89422.9148486287</v>
      </c>
      <c r="M100" s="70" t="n">
        <f aca="false">M99+M98</f>
        <v>23034.5940394462</v>
      </c>
      <c r="N100" s="70" t="n">
        <f aca="false">N99+N98</f>
        <v>-53672.9491542138</v>
      </c>
      <c r="O100" s="70" t="n">
        <f aca="false">O99+O98</f>
        <v>-164907.641906881</v>
      </c>
      <c r="P100" s="70" t="n">
        <f aca="false">P99+P98</f>
        <v>-235045.546806731</v>
      </c>
      <c r="Q100" s="70" t="n">
        <f aca="false">Q99+Q98</f>
        <v>-287964.571931617</v>
      </c>
      <c r="R100" s="70" t="n">
        <f aca="false">R99+R98</f>
        <v>-339892.971415208</v>
      </c>
      <c r="S100" s="70" t="n">
        <f aca="false">S99+S98</f>
        <v>-390652.961114352</v>
      </c>
      <c r="T100" s="70" t="n">
        <f aca="false">T99+T98</f>
        <v>-440294.107351605</v>
      </c>
      <c r="U100" s="70" t="n">
        <f aca="false">U99+U98</f>
        <v>-488863.498133396</v>
      </c>
      <c r="V100" s="70" t="n">
        <f aca="false">V99+V98</f>
        <v>-536405.867065831</v>
      </c>
      <c r="W100" s="70" t="n">
        <f aca="false">W99+W98</f>
        <v>-582963.711074711</v>
      </c>
      <c r="X100" s="70" t="n">
        <f aca="false">X99+X98</f>
        <v>-628577.402239546</v>
      </c>
      <c r="Y100" s="70" t="n">
        <f aca="false">Y99+Y98</f>
        <v>-673285.294035874</v>
      </c>
      <c r="Z100" s="70" t="n">
        <f aca="false">Z99+Z98</f>
        <v>-732788.651719054</v>
      </c>
      <c r="AA100" s="70" t="n">
        <f aca="false">AA99+AA98</f>
        <v>-830873.809005357</v>
      </c>
      <c r="AB100" s="70" t="n">
        <f aca="false">AB99+AB98</f>
        <v>-888464.331565082</v>
      </c>
      <c r="AC100" s="70" t="n">
        <f aca="false">AC99+AC98</f>
        <v>-929790.477858608</v>
      </c>
      <c r="AD100" s="70" t="n">
        <f aca="false">AD99+AD98</f>
        <v>-970891.770724806</v>
      </c>
      <c r="AE100" s="70" t="n">
        <f aca="false">AE99+AE98</f>
        <v>-1011251.6507853</v>
      </c>
      <c r="AF100" s="70" t="n">
        <f aca="false">AF99+AF98</f>
        <v>-1050898.33451371</v>
      </c>
      <c r="AG100" s="70" t="n">
        <f aca="false">AG99+AG98</f>
        <v>-1089858.62755997</v>
      </c>
      <c r="AH100" s="70" t="n">
        <f aca="false">AH99+AH98</f>
        <v>-1128157.99529152</v>
      </c>
      <c r="AI100" s="70" t="n">
        <f aca="false">AI99+AI98</f>
        <v>-1165820.62980743</v>
      </c>
      <c r="AJ100" s="70" t="n">
        <f aca="false">AJ99+AJ98</f>
        <v>-1202869.51360182</v>
      </c>
      <c r="AK100" s="70" t="n">
        <f aca="false">AK99+AK98</f>
        <v>-1239326.4800441</v>
      </c>
      <c r="AL100" s="70" t="n">
        <f aca="false">AL99+AL98</f>
        <v>-1290608.83978511</v>
      </c>
    </row>
    <row r="101" customFormat="false" ht="15" hidden="false" customHeight="false" outlineLevel="0" collapsed="false">
      <c r="A101" s="116" t="s">
        <v>432</v>
      </c>
      <c r="C101" s="118" t="n">
        <f aca="false">IF(C57&gt;0,1,0)</f>
        <v>0</v>
      </c>
      <c r="D101" s="118" t="n">
        <f aca="false">IF(D57&gt;0,1,0)</f>
        <v>0</v>
      </c>
      <c r="E101" s="118" t="n">
        <f aca="false">IF(E57&gt;0,1,0)</f>
        <v>0</v>
      </c>
      <c r="F101" s="118" t="n">
        <f aca="false">IF(F57&gt;0,1,0)</f>
        <v>0</v>
      </c>
      <c r="G101" s="118" t="n">
        <f aca="false">IF(G57&gt;0,1,0)</f>
        <v>0</v>
      </c>
      <c r="H101" s="118" t="n">
        <f aca="false">IF(H57&gt;0,1,0)</f>
        <v>0</v>
      </c>
      <c r="I101" s="118" t="n">
        <f aca="false">IF(I57&gt;0,1,0)</f>
        <v>0</v>
      </c>
      <c r="J101" s="118" t="n">
        <f aca="false">IF(J57&gt;0,1,0)</f>
        <v>0</v>
      </c>
      <c r="K101" s="118" t="n">
        <f aca="false">IF(K57&gt;0,1,0)</f>
        <v>0</v>
      </c>
      <c r="L101" s="118" t="n">
        <f aca="false">IF(L57&gt;0,1,0)</f>
        <v>0</v>
      </c>
      <c r="M101" s="118" t="n">
        <f aca="false">IF(M57&gt;0,1,0)</f>
        <v>0</v>
      </c>
      <c r="N101" s="118" t="n">
        <f aca="false">IF(N57&gt;0,1,0)</f>
        <v>0</v>
      </c>
      <c r="O101" s="118" t="n">
        <f aca="false">IF(O57&gt;0,1,0)</f>
        <v>0</v>
      </c>
      <c r="P101" s="118" t="n">
        <f aca="false">IF(P57&gt;0,1,0)</f>
        <v>0</v>
      </c>
      <c r="Q101" s="118" t="n">
        <f aca="false">IF(Q57&gt;0,1,0)</f>
        <v>0</v>
      </c>
      <c r="R101" s="118" t="n">
        <f aca="false">IF(R57&gt;0,1,0)</f>
        <v>0</v>
      </c>
      <c r="S101" s="118" t="n">
        <f aca="false">IF(S57&gt;0,1,0)</f>
        <v>0</v>
      </c>
      <c r="T101" s="118" t="n">
        <f aca="false">IF(T57&gt;0,1,0)</f>
        <v>0</v>
      </c>
      <c r="U101" s="118" t="n">
        <f aca="false">IF(U57&gt;0,1,0)</f>
        <v>0</v>
      </c>
      <c r="V101" s="118" t="n">
        <f aca="false">IF(V57&gt;0,1,0)</f>
        <v>0</v>
      </c>
      <c r="W101" s="118" t="n">
        <f aca="false">IF(W57&gt;0,1,0)</f>
        <v>0</v>
      </c>
      <c r="X101" s="118" t="n">
        <f aca="false">IF(X57&gt;0,1,0)</f>
        <v>0</v>
      </c>
      <c r="Y101" s="118" t="n">
        <f aca="false">IF(Y57&gt;0,1,0)</f>
        <v>0</v>
      </c>
      <c r="Z101" s="118" t="n">
        <f aca="false">IF(Z57&gt;0,1,0)</f>
        <v>0</v>
      </c>
      <c r="AA101" s="118" t="n">
        <f aca="false">IF(AA57&gt;0,1,0)</f>
        <v>0</v>
      </c>
      <c r="AB101" s="118" t="n">
        <f aca="false">IF(AB57&gt;0,1,0)</f>
        <v>0</v>
      </c>
      <c r="AC101" s="118" t="n">
        <f aca="false">IF(AC57&gt;0,1,0)</f>
        <v>0</v>
      </c>
      <c r="AD101" s="118" t="n">
        <f aca="false">IF(AD57&gt;0,1,0)</f>
        <v>1</v>
      </c>
      <c r="AE101" s="118" t="n">
        <f aca="false">IF(AE57&gt;0,1,0)</f>
        <v>1</v>
      </c>
      <c r="AF101" s="118" t="n">
        <f aca="false">IF(AF57&gt;0,1,0)</f>
        <v>1</v>
      </c>
      <c r="AG101" s="118" t="n">
        <f aca="false">IF(AG57&gt;0,1,0)</f>
        <v>1</v>
      </c>
      <c r="AH101" s="118" t="n">
        <f aca="false">IF(AH57&gt;0,1,0)</f>
        <v>1</v>
      </c>
      <c r="AI101" s="118" t="n">
        <f aca="false">IF(AI57&gt;0,1,0)</f>
        <v>1</v>
      </c>
      <c r="AJ101" s="118" t="n">
        <f aca="false">IF(AJ57&gt;0,1,0)</f>
        <v>1</v>
      </c>
      <c r="AK101" s="118" t="n">
        <f aca="false">IF(AK57&gt;0,1,0)</f>
        <v>1</v>
      </c>
      <c r="AL101" s="118" t="n">
        <f aca="false">IF(AL57&gt;0,1,0)</f>
        <v>0</v>
      </c>
    </row>
    <row r="103" customFormat="false" ht="15.75" hidden="false" customHeight="true" outlineLevel="0" collapsed="false">
      <c r="A103" s="7" t="s">
        <v>433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customFormat="false" ht="15" hidden="false" customHeight="false" outlineLevel="0" collapsed="false">
      <c r="A104" s="116" t="s">
        <v>434</v>
      </c>
      <c r="C104" s="118" t="n">
        <f aca="false">IF(C66&gt;0,1,0)</f>
        <v>0</v>
      </c>
      <c r="D104" s="118" t="n">
        <f aca="false">IF(D66&gt;0,1,0)</f>
        <v>0</v>
      </c>
      <c r="E104" s="118" t="n">
        <f aca="false">IF(E66&gt;0,1,0)</f>
        <v>0</v>
      </c>
      <c r="F104" s="118" t="n">
        <f aca="false">IF(F66&gt;0,1,0)</f>
        <v>0</v>
      </c>
      <c r="G104" s="118" t="n">
        <f aca="false">IF(G66&gt;0,1,0)</f>
        <v>0</v>
      </c>
      <c r="H104" s="118" t="n">
        <f aca="false">IF(H66&gt;0,1,0)</f>
        <v>0</v>
      </c>
      <c r="I104" s="118" t="n">
        <f aca="false">IF(I66&gt;0,1,0)</f>
        <v>0</v>
      </c>
      <c r="J104" s="118" t="n">
        <f aca="false">IF(J66&gt;0,1,0)</f>
        <v>0</v>
      </c>
      <c r="K104" s="118" t="n">
        <f aca="false">IF(K66&gt;0,1,0)</f>
        <v>0</v>
      </c>
      <c r="L104" s="118" t="n">
        <f aca="false">IF(L66&gt;0,1,0)</f>
        <v>0</v>
      </c>
      <c r="M104" s="118" t="n">
        <f aca="false">IF(M66&gt;0,1,0)</f>
        <v>0</v>
      </c>
      <c r="N104" s="118" t="n">
        <f aca="false">IF(N66&gt;0,1,0)</f>
        <v>0</v>
      </c>
      <c r="O104" s="118" t="n">
        <f aca="false">IF(O66&gt;0,1,0)</f>
        <v>0</v>
      </c>
      <c r="P104" s="118" t="n">
        <f aca="false">IF(P66&gt;0,1,0)</f>
        <v>0</v>
      </c>
      <c r="Q104" s="118" t="n">
        <f aca="false">IF(Q66&gt;0,1,0)</f>
        <v>0</v>
      </c>
      <c r="R104" s="118" t="n">
        <f aca="false">IF(R66&gt;0,1,0)</f>
        <v>0</v>
      </c>
      <c r="S104" s="118" t="n">
        <f aca="false">IF(S66&gt;0,1,0)</f>
        <v>0</v>
      </c>
      <c r="T104" s="118" t="n">
        <f aca="false">IF(T66&gt;0,1,0)</f>
        <v>0</v>
      </c>
      <c r="U104" s="118" t="n">
        <f aca="false">IF(U66&gt;0,1,0)</f>
        <v>0</v>
      </c>
      <c r="V104" s="118" t="n">
        <f aca="false">IF(V66&gt;0,1,0)</f>
        <v>0</v>
      </c>
      <c r="W104" s="118" t="n">
        <f aca="false">IF(W66&gt;0,1,0)</f>
        <v>0</v>
      </c>
      <c r="X104" s="118" t="n">
        <f aca="false">IF(X66&gt;0,1,0)</f>
        <v>0</v>
      </c>
      <c r="Y104" s="118" t="n">
        <f aca="false">IF(Y66&gt;0,1,0)</f>
        <v>0</v>
      </c>
      <c r="Z104" s="118" t="n">
        <f aca="false">IF(Z66&gt;0,1,0)</f>
        <v>0</v>
      </c>
      <c r="AA104" s="118" t="n">
        <f aca="false">IF(AA66&gt;0,1,0)</f>
        <v>0</v>
      </c>
      <c r="AB104" s="118" t="n">
        <f aca="false">IF(AB66&gt;0,1,0)</f>
        <v>0</v>
      </c>
      <c r="AC104" s="118" t="n">
        <f aca="false">IF(AC66&gt;0,1,0)</f>
        <v>0</v>
      </c>
      <c r="AD104" s="118" t="n">
        <f aca="false">IF(AD66&gt;0,1,0)</f>
        <v>0</v>
      </c>
      <c r="AE104" s="118" t="n">
        <f aca="false">IF(AE66&gt;0,1,0)</f>
        <v>0</v>
      </c>
      <c r="AF104" s="118" t="n">
        <f aca="false">IF(AF66&gt;0,1,0)</f>
        <v>0</v>
      </c>
      <c r="AG104" s="118" t="n">
        <f aca="false">IF(AG66&gt;0,1,0)</f>
        <v>0</v>
      </c>
      <c r="AH104" s="118" t="n">
        <f aca="false">IF(AH66&gt;0,1,0)</f>
        <v>0</v>
      </c>
      <c r="AI104" s="118" t="n">
        <f aca="false">IF(AI66&gt;0,1,0)</f>
        <v>0</v>
      </c>
      <c r="AJ104" s="118" t="n">
        <f aca="false">IF(AJ66&gt;0,1,0)</f>
        <v>0</v>
      </c>
      <c r="AK104" s="118" t="n">
        <f aca="false">IF(AK66&gt;0,1,0)</f>
        <v>0</v>
      </c>
      <c r="AL104" s="118" t="n">
        <f aca="false">IF(AL66&gt;0,1,0)</f>
        <v>0</v>
      </c>
    </row>
    <row r="105" customFormat="false" ht="15" hidden="false" customHeight="false" outlineLevel="0" collapsed="false">
      <c r="A105" s="6" t="s">
        <v>435</v>
      </c>
      <c r="C105" s="69" t="n">
        <f aca="false">C94+C95</f>
        <v>-4193267.45803733</v>
      </c>
      <c r="D105" s="69" t="n">
        <f aca="false">D94+D95</f>
        <v>-89827.7565656889</v>
      </c>
      <c r="E105" s="69" t="n">
        <f aca="false">E94+E95</f>
        <v>-78919.3755449422</v>
      </c>
      <c r="F105" s="69" t="n">
        <f aca="false">F94+F95</f>
        <v>-74464.1071626863</v>
      </c>
      <c r="G105" s="69" t="n">
        <f aca="false">G94+G95</f>
        <v>-69911.3103292186</v>
      </c>
      <c r="H105" s="69" t="n">
        <f aca="false">H94+H95</f>
        <v>-65296.1285147577</v>
      </c>
      <c r="I105" s="69" t="n">
        <f aca="false">I94+I95</f>
        <v>-60621.6809683531</v>
      </c>
      <c r="J105" s="69" t="n">
        <f aca="false">J94+J95</f>
        <v>-55890.9309766021</v>
      </c>
      <c r="K105" s="69" t="n">
        <f aca="false">K94+K95</f>
        <v>-51106.693661772</v>
      </c>
      <c r="L105" s="69" t="n">
        <f aca="false">L94+L95</f>
        <v>-46271.6433900168</v>
      </c>
      <c r="M105" s="69" t="n">
        <f aca="false">M94+M95</f>
        <v>-41388.3208091826</v>
      </c>
      <c r="N105" s="69" t="n">
        <f aca="false">N94+N95</f>
        <v>-51707.54319366</v>
      </c>
      <c r="O105" s="69" t="n">
        <f aca="false">O94+O95</f>
        <v>-86234.6927526671</v>
      </c>
      <c r="P105" s="69" t="n">
        <f aca="false">P94+P95</f>
        <v>-45137.9048998497</v>
      </c>
      <c r="Q105" s="69" t="n">
        <f aca="false">Q94+Q95</f>
        <v>-27919.0251248866</v>
      </c>
      <c r="R105" s="69" t="n">
        <f aca="false">R94+R95</f>
        <v>-26928.3994835903</v>
      </c>
      <c r="S105" s="69" t="n">
        <f aca="false">S94+S95</f>
        <v>-25759.9896991441</v>
      </c>
      <c r="T105" s="69" t="n">
        <f aca="false">T94+T95</f>
        <v>-24641.1462372536</v>
      </c>
      <c r="U105" s="69" t="n">
        <f aca="false">U94+U95</f>
        <v>-23569.3907817909</v>
      </c>
      <c r="V105" s="69" t="n">
        <f aca="false">V94+V95</f>
        <v>-22542.3689324347</v>
      </c>
      <c r="W105" s="69" t="n">
        <f aca="false">W94+W95</f>
        <v>-21557.8440088796</v>
      </c>
      <c r="X105" s="69" t="n">
        <f aca="false">X94+X95</f>
        <v>-20613.6911648357</v>
      </c>
      <c r="Y105" s="69" t="n">
        <f aca="false">Y94+Y95</f>
        <v>-19707.8917963272</v>
      </c>
      <c r="Z105" s="69" t="n">
        <f aca="false">Z94+Z95</f>
        <v>-34503.3576831803</v>
      </c>
      <c r="AA105" s="69" t="n">
        <f aca="false">AA94+AA95</f>
        <v>-73085.1572863036</v>
      </c>
      <c r="AB105" s="69" t="n">
        <f aca="false">AB94+AB95</f>
        <v>-32590.5225597247</v>
      </c>
      <c r="AC105" s="69" t="n">
        <f aca="false">AC94+AC95</f>
        <v>-16326.1462935255</v>
      </c>
      <c r="AD105" s="69" t="n">
        <f aca="false">AD94+AD95</f>
        <v>-16101.2928661988</v>
      </c>
      <c r="AE105" s="69" t="n">
        <f aca="false">AE94+AE95</f>
        <v>-15359.8800604941</v>
      </c>
      <c r="AF105" s="69" t="n">
        <f aca="false">AF94+AF95</f>
        <v>-14646.6837284081</v>
      </c>
      <c r="AG105" s="69" t="n">
        <f aca="false">AG94+AG95</f>
        <v>-13960.2930462597</v>
      </c>
      <c r="AH105" s="69" t="n">
        <f aca="false">AH94+AH95</f>
        <v>-13299.3677315521</v>
      </c>
      <c r="AI105" s="69" t="n">
        <f aca="false">AI94+AI95</f>
        <v>-12662.6345159131</v>
      </c>
      <c r="AJ105" s="69" t="n">
        <f aca="false">AJ94+AJ95</f>
        <v>-12048.8837943895</v>
      </c>
      <c r="AK105" s="69" t="n">
        <f aca="false">AK94+AK95</f>
        <v>-11456.9664422753</v>
      </c>
      <c r="AL105" s="69" t="n">
        <f aca="false">AL94+AL95</f>
        <v>-26282.3597410072</v>
      </c>
    </row>
    <row r="106" customFormat="false" ht="15" hidden="false" customHeight="false" outlineLevel="0" collapsed="false">
      <c r="A106" s="6" t="s">
        <v>436</v>
      </c>
      <c r="C106" s="69" t="n">
        <f aca="false">C105</f>
        <v>-4193267.45803733</v>
      </c>
      <c r="D106" s="69" t="n">
        <f aca="false">C106+D105</f>
        <v>-4283095.21460302</v>
      </c>
      <c r="E106" s="69" t="n">
        <f aca="false">D106+E105</f>
        <v>-4362014.59014797</v>
      </c>
      <c r="F106" s="69" t="n">
        <f aca="false">E106+F105</f>
        <v>-4436478.69731065</v>
      </c>
      <c r="G106" s="69" t="n">
        <f aca="false">F106+G105</f>
        <v>-4506390.00763987</v>
      </c>
      <c r="H106" s="69" t="n">
        <f aca="false">G106+H105</f>
        <v>-4571686.13615463</v>
      </c>
      <c r="I106" s="69" t="n">
        <f aca="false">H106+I105</f>
        <v>-4632307.81712298</v>
      </c>
      <c r="J106" s="69" t="n">
        <f aca="false">I106+J105</f>
        <v>-4688198.74809958</v>
      </c>
      <c r="K106" s="69" t="n">
        <f aca="false">J106+K105</f>
        <v>-4739305.44176135</v>
      </c>
      <c r="L106" s="69" t="n">
        <f aca="false">K106+L105</f>
        <v>-4785577.08515137</v>
      </c>
      <c r="M106" s="69" t="n">
        <f aca="false">L106+M105</f>
        <v>-4826965.40596055</v>
      </c>
      <c r="N106" s="69" t="n">
        <f aca="false">M106+N105</f>
        <v>-4878672.94915421</v>
      </c>
      <c r="O106" s="69" t="n">
        <f aca="false">N106+O105</f>
        <v>-4964907.64190688</v>
      </c>
      <c r="P106" s="69" t="n">
        <f aca="false">O106+P105</f>
        <v>-5010045.54680673</v>
      </c>
      <c r="Q106" s="69" t="n">
        <f aca="false">P106+Q105</f>
        <v>-5037964.57193162</v>
      </c>
      <c r="R106" s="69" t="n">
        <f aca="false">Q106+R105</f>
        <v>-5064892.97141521</v>
      </c>
      <c r="S106" s="69" t="n">
        <f aca="false">R106+S105</f>
        <v>-5090652.96111435</v>
      </c>
      <c r="T106" s="69" t="n">
        <f aca="false">S106+T105</f>
        <v>-5115294.1073516</v>
      </c>
      <c r="U106" s="69" t="n">
        <f aca="false">T106+U105</f>
        <v>-5138863.4981334</v>
      </c>
      <c r="V106" s="69" t="n">
        <f aca="false">U106+V105</f>
        <v>-5161405.86706583</v>
      </c>
      <c r="W106" s="69" t="n">
        <f aca="false">V106+W105</f>
        <v>-5182963.71107471</v>
      </c>
      <c r="X106" s="69" t="n">
        <f aca="false">W106+X105</f>
        <v>-5203577.40223954</v>
      </c>
      <c r="Y106" s="69" t="n">
        <f aca="false">X106+Y105</f>
        <v>-5223285.29403587</v>
      </c>
      <c r="Z106" s="69" t="n">
        <f aca="false">Y106+Z105</f>
        <v>-5257788.65171905</v>
      </c>
      <c r="AA106" s="69" t="n">
        <f aca="false">Z106+AA105</f>
        <v>-5330873.80900535</v>
      </c>
      <c r="AB106" s="69" t="n">
        <f aca="false">AA106+AB105</f>
        <v>-5363464.33156508</v>
      </c>
      <c r="AC106" s="69" t="n">
        <f aca="false">AB106+AC105</f>
        <v>-5379790.47785861</v>
      </c>
      <c r="AD106" s="69" t="n">
        <f aca="false">AC106+AD105</f>
        <v>-5395891.7707248</v>
      </c>
      <c r="AE106" s="69" t="n">
        <f aca="false">AD106+AE105</f>
        <v>-5411251.6507853</v>
      </c>
      <c r="AF106" s="69" t="n">
        <f aca="false">AE106+AF105</f>
        <v>-5425898.33451371</v>
      </c>
      <c r="AG106" s="69" t="n">
        <f aca="false">AF106+AG105</f>
        <v>-5439858.62755997</v>
      </c>
      <c r="AH106" s="69" t="n">
        <f aca="false">AG106+AH105</f>
        <v>-5453157.99529152</v>
      </c>
      <c r="AI106" s="69" t="n">
        <f aca="false">AH106+AI105</f>
        <v>-5465820.62980743</v>
      </c>
      <c r="AJ106" s="69" t="n">
        <f aca="false">AI106+AJ105</f>
        <v>-5477869.51360182</v>
      </c>
      <c r="AK106" s="69" t="n">
        <f aca="false">AJ106+AK105</f>
        <v>-5489326.48004409</v>
      </c>
      <c r="AL106" s="69" t="n">
        <f aca="false">AK106+AL105</f>
        <v>-5515608.8397851</v>
      </c>
    </row>
    <row r="107" customFormat="false" ht="15" hidden="false" customHeight="false" outlineLevel="0" collapsed="false">
      <c r="A107" s="116" t="s">
        <v>437</v>
      </c>
      <c r="C107" s="69" t="n">
        <f aca="false">C106</f>
        <v>-4193267.45803733</v>
      </c>
      <c r="D107" s="69" t="n">
        <f aca="false">MIN(C107,D106)</f>
        <v>-4283095.21460302</v>
      </c>
      <c r="E107" s="69" t="n">
        <f aca="false">MIN(D107,E106)</f>
        <v>-4362014.59014797</v>
      </c>
      <c r="F107" s="69" t="n">
        <f aca="false">MIN(E107,F106)</f>
        <v>-4436478.69731065</v>
      </c>
      <c r="G107" s="69" t="n">
        <f aca="false">MIN(F107,G106)</f>
        <v>-4506390.00763987</v>
      </c>
      <c r="H107" s="69" t="n">
        <f aca="false">MIN(G107,H106)</f>
        <v>-4571686.13615463</v>
      </c>
      <c r="I107" s="69" t="n">
        <f aca="false">MIN(H107,I106)</f>
        <v>-4632307.81712298</v>
      </c>
      <c r="J107" s="69" t="n">
        <f aca="false">MIN(I107,J106)</f>
        <v>-4688198.74809958</v>
      </c>
      <c r="K107" s="69" t="n">
        <f aca="false">MIN(J107,K106)</f>
        <v>-4739305.44176135</v>
      </c>
      <c r="L107" s="69" t="n">
        <f aca="false">MIN(K107,L106)</f>
        <v>-4785577.08515137</v>
      </c>
      <c r="M107" s="69" t="n">
        <f aca="false">MIN(L107,M106)</f>
        <v>-4826965.40596055</v>
      </c>
      <c r="N107" s="69" t="n">
        <f aca="false">MIN(M107,N106)</f>
        <v>-4878672.94915421</v>
      </c>
      <c r="O107" s="69" t="n">
        <f aca="false">MIN(N107,O106)</f>
        <v>-4964907.64190688</v>
      </c>
      <c r="P107" s="69" t="n">
        <f aca="false">MIN(O107,P106)</f>
        <v>-5010045.54680673</v>
      </c>
      <c r="Q107" s="69" t="n">
        <f aca="false">MIN(P107,Q106)</f>
        <v>-5037964.57193162</v>
      </c>
      <c r="R107" s="69" t="n">
        <f aca="false">MIN(Q107,R106)</f>
        <v>-5064892.97141521</v>
      </c>
      <c r="S107" s="69" t="n">
        <f aca="false">MIN(R107,S106)</f>
        <v>-5090652.96111435</v>
      </c>
      <c r="T107" s="69" t="n">
        <f aca="false">MIN(S107,T106)</f>
        <v>-5115294.1073516</v>
      </c>
      <c r="U107" s="69" t="n">
        <f aca="false">MIN(T107,U106)</f>
        <v>-5138863.4981334</v>
      </c>
      <c r="V107" s="69" t="n">
        <f aca="false">MIN(U107,V106)</f>
        <v>-5161405.86706583</v>
      </c>
      <c r="W107" s="69" t="n">
        <f aca="false">MIN(V107,W106)</f>
        <v>-5182963.71107471</v>
      </c>
      <c r="X107" s="69" t="n">
        <f aca="false">MIN(W107,X106)</f>
        <v>-5203577.40223954</v>
      </c>
      <c r="Y107" s="69" t="n">
        <f aca="false">MIN(X107,Y106)</f>
        <v>-5223285.29403587</v>
      </c>
      <c r="Z107" s="69" t="n">
        <f aca="false">MIN(Y107,Z106)</f>
        <v>-5257788.65171905</v>
      </c>
      <c r="AA107" s="69" t="n">
        <f aca="false">MIN(Z107,AA106)</f>
        <v>-5330873.80900535</v>
      </c>
      <c r="AB107" s="69" t="n">
        <f aca="false">MIN(AA107,AB106)</f>
        <v>-5363464.33156508</v>
      </c>
      <c r="AC107" s="69" t="n">
        <f aca="false">MIN(AB107,AC106)</f>
        <v>-5379790.47785861</v>
      </c>
      <c r="AD107" s="69" t="n">
        <f aca="false">MIN(AC107,AD106)</f>
        <v>-5395891.7707248</v>
      </c>
      <c r="AE107" s="69" t="n">
        <f aca="false">MIN(AD107,AE106)</f>
        <v>-5411251.6507853</v>
      </c>
      <c r="AF107" s="69" t="n">
        <f aca="false">MIN(AE107,AF106)</f>
        <v>-5425898.33451371</v>
      </c>
      <c r="AG107" s="69" t="n">
        <f aca="false">MIN(AF107,AG106)</f>
        <v>-5439858.62755997</v>
      </c>
      <c r="AH107" s="69" t="n">
        <f aca="false">MIN(AG107,AH106)</f>
        <v>-5453157.99529152</v>
      </c>
      <c r="AI107" s="69" t="n">
        <f aca="false">MIN(AH107,AI106)</f>
        <v>-5465820.62980743</v>
      </c>
      <c r="AJ107" s="69" t="n">
        <f aca="false">MIN(AI107,AJ106)</f>
        <v>-5477869.51360182</v>
      </c>
      <c r="AK107" s="69" t="n">
        <f aca="false">MIN(AJ107,AK106)</f>
        <v>-5489326.48004409</v>
      </c>
      <c r="AL107" s="69" t="n">
        <f aca="false">MIN(AK107,AL106)</f>
        <v>-5515608.8397851</v>
      </c>
    </row>
    <row r="108" customFormat="false" ht="15" hidden="false" customHeight="false" outlineLevel="0" collapsed="false">
      <c r="A108" s="116" t="s">
        <v>438</v>
      </c>
      <c r="C108" s="118" t="n">
        <f aca="false">IF(AND(C106&gt;=0,C107&lt;0),1,0)</f>
        <v>0</v>
      </c>
      <c r="D108" s="118" t="n">
        <f aca="false">IF(AND(D106&gt;=0,D107&lt;0),1,0)</f>
        <v>0</v>
      </c>
      <c r="E108" s="118" t="n">
        <f aca="false">IF(AND(E106&gt;=0,E107&lt;0),1,0)</f>
        <v>0</v>
      </c>
      <c r="F108" s="118" t="n">
        <f aca="false">IF(AND(F106&gt;=0,F107&lt;0),1,0)</f>
        <v>0</v>
      </c>
      <c r="G108" s="118" t="n">
        <f aca="false">IF(AND(G106&gt;=0,G107&lt;0),1,0)</f>
        <v>0</v>
      </c>
      <c r="H108" s="118" t="n">
        <f aca="false">IF(AND(H106&gt;=0,H107&lt;0),1,0)</f>
        <v>0</v>
      </c>
      <c r="I108" s="118" t="n">
        <f aca="false">IF(AND(I106&gt;=0,I107&lt;0),1,0)</f>
        <v>0</v>
      </c>
      <c r="J108" s="118" t="n">
        <f aca="false">IF(AND(J106&gt;=0,J107&lt;0),1,0)</f>
        <v>0</v>
      </c>
      <c r="K108" s="118" t="n">
        <f aca="false">IF(AND(K106&gt;=0,K107&lt;0),1,0)</f>
        <v>0</v>
      </c>
      <c r="L108" s="118" t="n">
        <f aca="false">IF(AND(L106&gt;=0,L107&lt;0),1,0)</f>
        <v>0</v>
      </c>
      <c r="M108" s="118" t="n">
        <f aca="false">IF(AND(M106&gt;=0,M107&lt;0),1,0)</f>
        <v>0</v>
      </c>
      <c r="N108" s="118" t="n">
        <f aca="false">IF(AND(N106&gt;=0,N107&lt;0),1,0)</f>
        <v>0</v>
      </c>
      <c r="O108" s="118" t="n">
        <f aca="false">IF(AND(O106&gt;=0,O107&lt;0),1,0)</f>
        <v>0</v>
      </c>
      <c r="P108" s="118" t="n">
        <f aca="false">IF(AND(P106&gt;=0,P107&lt;0),1,0)</f>
        <v>0</v>
      </c>
      <c r="Q108" s="118" t="n">
        <f aca="false">IF(AND(Q106&gt;=0,Q107&lt;0),1,0)</f>
        <v>0</v>
      </c>
      <c r="R108" s="118" t="n">
        <f aca="false">IF(AND(R106&gt;=0,R107&lt;0),1,0)</f>
        <v>0</v>
      </c>
      <c r="S108" s="118" t="n">
        <f aca="false">IF(AND(S106&gt;=0,S107&lt;0),1,0)</f>
        <v>0</v>
      </c>
      <c r="T108" s="118" t="n">
        <f aca="false">IF(AND(T106&gt;=0,T107&lt;0),1,0)</f>
        <v>0</v>
      </c>
      <c r="U108" s="118" t="n">
        <f aca="false">IF(AND(U106&gt;=0,U107&lt;0),1,0)</f>
        <v>0</v>
      </c>
      <c r="V108" s="118" t="n">
        <f aca="false">IF(AND(V106&gt;=0,V107&lt;0),1,0)</f>
        <v>0</v>
      </c>
      <c r="W108" s="118" t="n">
        <f aca="false">IF(AND(W106&gt;=0,W107&lt;0),1,0)</f>
        <v>0</v>
      </c>
      <c r="X108" s="118" t="n">
        <f aca="false">IF(AND(X106&gt;=0,X107&lt;0),1,0)</f>
        <v>0</v>
      </c>
      <c r="Y108" s="118" t="n">
        <f aca="false">IF(AND(Y106&gt;=0,Y107&lt;0),1,0)</f>
        <v>0</v>
      </c>
      <c r="Z108" s="118" t="n">
        <f aca="false">IF(AND(Z106&gt;=0,Z107&lt;0),1,0)</f>
        <v>0</v>
      </c>
      <c r="AA108" s="118" t="n">
        <f aca="false">IF(AND(AA106&gt;=0,AA107&lt;0),1,0)</f>
        <v>0</v>
      </c>
      <c r="AB108" s="118" t="n">
        <f aca="false">IF(AND(AB106&gt;=0,AB107&lt;0),1,0)</f>
        <v>0</v>
      </c>
      <c r="AC108" s="118" t="n">
        <f aca="false">IF(AND(AC106&gt;=0,AC107&lt;0),1,0)</f>
        <v>0</v>
      </c>
      <c r="AD108" s="118" t="n">
        <f aca="false">IF(AND(AD106&gt;=0,AD107&lt;0),1,0)</f>
        <v>0</v>
      </c>
      <c r="AE108" s="118" t="n">
        <f aca="false">IF(AND(AE106&gt;=0,AE107&lt;0),1,0)</f>
        <v>0</v>
      </c>
      <c r="AF108" s="118" t="n">
        <f aca="false">IF(AND(AF106&gt;=0,AF107&lt;0),1,0)</f>
        <v>0</v>
      </c>
      <c r="AG108" s="118" t="n">
        <f aca="false">IF(AND(AG106&gt;=0,AG107&lt;0),1,0)</f>
        <v>0</v>
      </c>
      <c r="AH108" s="118" t="n">
        <f aca="false">IF(AND(AH106&gt;=0,AH107&lt;0),1,0)</f>
        <v>0</v>
      </c>
      <c r="AI108" s="118" t="n">
        <f aca="false">IF(AND(AI106&gt;=0,AI107&lt;0),1,0)</f>
        <v>0</v>
      </c>
      <c r="AJ108" s="118" t="n">
        <f aca="false">IF(AND(AJ106&gt;=0,AJ107&lt;0),1,0)</f>
        <v>0</v>
      </c>
      <c r="AK108" s="118" t="n">
        <f aca="false">IF(AND(AK106&gt;=0,AK107&lt;0),1,0)</f>
        <v>0</v>
      </c>
      <c r="AL108" s="118" t="n">
        <f aca="false">IF(AND(AL106&gt;=0,AL107&lt;0),1,0)</f>
        <v>0</v>
      </c>
    </row>
    <row r="109" customFormat="false" ht="15" hidden="false" customHeight="false" outlineLevel="0" collapsed="false">
      <c r="A109" s="6" t="s">
        <v>439</v>
      </c>
      <c r="C109" s="69" t="n">
        <f aca="false">C94-C61*(1-Inputs!$B$79)+C95</f>
        <v>-4176479.95803733</v>
      </c>
      <c r="D109" s="69" t="n">
        <f aca="false">D94-D61*(1-Inputs!$B$79)+D95</f>
        <v>-73110.2044823556</v>
      </c>
      <c r="E109" s="69" t="n">
        <f aca="false">E94-E61*(1-Inputs!$B$79)+E95</f>
        <v>-62341.7192949422</v>
      </c>
      <c r="F109" s="69" t="n">
        <f aca="false">F94-F61*(1-Inputs!$B$79)+F95</f>
        <v>-58026.3467460196</v>
      </c>
      <c r="G109" s="69" t="n">
        <f aca="false">G94-G61*(1-Inputs!$B$79)+G95</f>
        <v>-53613.4457458853</v>
      </c>
      <c r="H109" s="69" t="n">
        <f aca="false">H94-H61*(1-Inputs!$B$79)+H95</f>
        <v>-49138.1597647576</v>
      </c>
      <c r="I109" s="69" t="n">
        <f aca="false">I94-I61*(1-Inputs!$B$79)+I95</f>
        <v>-44603.6080516865</v>
      </c>
      <c r="J109" s="69" t="n">
        <f aca="false">J94-J61*(1-Inputs!$B$79)+J95</f>
        <v>-40012.7538932688</v>
      </c>
      <c r="K109" s="69" t="n">
        <f aca="false">K94-K61*(1-Inputs!$B$79)+K95</f>
        <v>-35368.412411772</v>
      </c>
      <c r="L109" s="69" t="n">
        <f aca="false">L94-L61*(1-Inputs!$B$79)+L95</f>
        <v>-30673.2579733501</v>
      </c>
      <c r="M109" s="69" t="n">
        <f aca="false">M94-M61*(1-Inputs!$B$79)+M95</f>
        <v>-25929.8312258493</v>
      </c>
      <c r="N109" s="69" t="n">
        <f aca="false">N94-N61*(1-Inputs!$B$79)+N95</f>
        <v>-36388.94944366</v>
      </c>
      <c r="O109" s="69" t="n">
        <f aca="false">O94-O61*(1-Inputs!$B$79)+O95</f>
        <v>-71055.9948360004</v>
      </c>
      <c r="P109" s="69" t="n">
        <f aca="false">P94-P61*(1-Inputs!$B$79)+P95</f>
        <v>-30099.1028165163</v>
      </c>
      <c r="Q109" s="69" t="n">
        <f aca="false">Q94-Q61*(1-Inputs!$B$79)+Q95</f>
        <v>-13020.1188748866</v>
      </c>
      <c r="R109" s="69" t="n">
        <f aca="false">R94-R61*(1-Inputs!$B$79)+R95</f>
        <v>-12169.3890669236</v>
      </c>
      <c r="S109" s="69" t="n">
        <f aca="false">S94-S61*(1-Inputs!$B$79)+S95</f>
        <v>-11140.8751158108</v>
      </c>
      <c r="T109" s="69" t="n">
        <f aca="false">T94-T61*(1-Inputs!$B$79)+T95</f>
        <v>-10161.9274872536</v>
      </c>
      <c r="U109" s="69" t="n">
        <f aca="false">U94-U61*(1-Inputs!$B$79)+U95</f>
        <v>-9230.06786512426</v>
      </c>
      <c r="V109" s="69" t="n">
        <f aca="false">V94-V61*(1-Inputs!$B$79)+V95</f>
        <v>-8342.94184910138</v>
      </c>
      <c r="W109" s="69" t="n">
        <f aca="false">W94-W61*(1-Inputs!$B$79)+W95</f>
        <v>-7498.31275887963</v>
      </c>
      <c r="X109" s="69" t="n">
        <f aca="false">X94-X61*(1-Inputs!$B$79)+X95</f>
        <v>-6694.055748169</v>
      </c>
      <c r="Y109" s="69" t="n">
        <f aca="false">Y94-Y61*(1-Inputs!$B$79)+Y95</f>
        <v>-5928.15221299386</v>
      </c>
      <c r="Z109" s="69" t="n">
        <f aca="false">Z94-Z61*(1-Inputs!$B$79)+Z95</f>
        <v>-20863.5139331803</v>
      </c>
      <c r="AA109" s="69" t="n">
        <f aca="false">AA94-AA61*(1-Inputs!$B$79)+AA95</f>
        <v>-59585.2093696369</v>
      </c>
      <c r="AB109" s="69" t="n">
        <f aca="false">AB94-AB61*(1-Inputs!$B$79)+AB95</f>
        <v>-19230.4704763914</v>
      </c>
      <c r="AC109" s="69" t="n">
        <f aca="false">AC94-AC61*(1-Inputs!$B$79)+AC95</f>
        <v>-3105.99004352551</v>
      </c>
      <c r="AD109" s="69" t="n">
        <f aca="false">AD94-AD61*(1-Inputs!$B$79)+AD95</f>
        <v>-3021.03244953209</v>
      </c>
      <c r="AE109" s="69" t="n">
        <f aca="false">AE94-AE61*(1-Inputs!$B$79)+AE95</f>
        <v>-2419.5154771608</v>
      </c>
      <c r="AF109" s="69" t="n">
        <f aca="false">AF94-AF61*(1-Inputs!$B$79)+AF95</f>
        <v>-1846.2149784081</v>
      </c>
      <c r="AG109" s="69" t="n">
        <f aca="false">AG94-AG61*(1-Inputs!$B$79)+AG95</f>
        <v>-1299.72012959304</v>
      </c>
      <c r="AH109" s="69" t="n">
        <f aca="false">AH94-AH61*(1-Inputs!$B$79)+AH95</f>
        <v>-778.690648218728</v>
      </c>
      <c r="AI109" s="69" t="n">
        <f aca="false">AI94-AI61*(1-Inputs!$B$79)+AI95</f>
        <v>-281.853265913129</v>
      </c>
      <c r="AJ109" s="69" t="n">
        <f aca="false">AJ94-AJ61*(1-Inputs!$B$79)+AJ95</f>
        <v>192.001622277196</v>
      </c>
      <c r="AK109" s="69" t="n">
        <f aca="false">AK94-AK61*(1-Inputs!$B$79)+AK95</f>
        <v>644.023141058015</v>
      </c>
      <c r="AL109" s="69" t="n">
        <f aca="false">AL94-AL61*(1-Inputs!$B$79)+AL95</f>
        <v>-14321.2659910072</v>
      </c>
    </row>
    <row r="111" customFormat="false" ht="15.75" hidden="false" customHeight="true" outlineLevel="0" collapsed="false">
      <c r="A111" s="7" t="s">
        <v>440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97</v>
      </c>
      <c r="C112" s="69" t="n">
        <f aca="false">C96</f>
        <v>2100000</v>
      </c>
      <c r="D112" s="69" t="n">
        <f aca="false">C112+D96</f>
        <v>2100000</v>
      </c>
      <c r="E112" s="69" t="n">
        <f aca="false">D112+E96</f>
        <v>2100000</v>
      </c>
      <c r="F112" s="69" t="n">
        <f aca="false">E112+F96</f>
        <v>2100000</v>
      </c>
      <c r="G112" s="69" t="n">
        <f aca="false">F112+G96</f>
        <v>2100000</v>
      </c>
      <c r="H112" s="69" t="n">
        <f aca="false">G112+H96</f>
        <v>2100000</v>
      </c>
      <c r="I112" s="69" t="n">
        <f aca="false">H112+I96</f>
        <v>2100000</v>
      </c>
      <c r="J112" s="69" t="n">
        <f aca="false">I112+J96</f>
        <v>2100000</v>
      </c>
      <c r="K112" s="69" t="n">
        <f aca="false">J112+K96</f>
        <v>2100000</v>
      </c>
      <c r="L112" s="69" t="n">
        <f aca="false">K112+L96</f>
        <v>2100000</v>
      </c>
      <c r="M112" s="69" t="n">
        <f aca="false">L112+M96</f>
        <v>2100000</v>
      </c>
      <c r="N112" s="69" t="n">
        <f aca="false">M112+N96</f>
        <v>2100000</v>
      </c>
      <c r="O112" s="69" t="n">
        <f aca="false">N112+O96</f>
        <v>2100000</v>
      </c>
      <c r="P112" s="69" t="n">
        <f aca="false">O112+P96</f>
        <v>2100000</v>
      </c>
      <c r="Q112" s="69" t="n">
        <f aca="false">P112+Q96</f>
        <v>2100000</v>
      </c>
      <c r="R112" s="69" t="n">
        <f aca="false">Q112+R96</f>
        <v>2100000</v>
      </c>
      <c r="S112" s="69" t="n">
        <f aca="false">R112+S96</f>
        <v>2100000</v>
      </c>
      <c r="T112" s="69" t="n">
        <f aca="false">S112+T96</f>
        <v>2100000</v>
      </c>
      <c r="U112" s="69" t="n">
        <f aca="false">T112+U96</f>
        <v>2100000</v>
      </c>
      <c r="V112" s="69" t="n">
        <f aca="false">U112+V96</f>
        <v>2100000</v>
      </c>
      <c r="W112" s="69" t="n">
        <f aca="false">V112+W96</f>
        <v>2100000</v>
      </c>
      <c r="X112" s="69" t="n">
        <f aca="false">W112+X96</f>
        <v>2100000</v>
      </c>
      <c r="Y112" s="69" t="n">
        <f aca="false">X112+Y96</f>
        <v>2100000</v>
      </c>
      <c r="Z112" s="69" t="n">
        <f aca="false">Y112+Z96</f>
        <v>2100000</v>
      </c>
      <c r="AA112" s="69" t="n">
        <f aca="false">Z112+AA96</f>
        <v>2100000</v>
      </c>
      <c r="AB112" s="69" t="n">
        <f aca="false">AA112+AB96</f>
        <v>2100000</v>
      </c>
      <c r="AC112" s="69" t="n">
        <f aca="false">AB112+AC96</f>
        <v>2100000</v>
      </c>
      <c r="AD112" s="69" t="n">
        <f aca="false">AC112+AD96</f>
        <v>2100000</v>
      </c>
      <c r="AE112" s="69" t="n">
        <f aca="false">AD112+AE96</f>
        <v>2100000</v>
      </c>
      <c r="AF112" s="69" t="n">
        <f aca="false">AE112+AF96</f>
        <v>2100000</v>
      </c>
      <c r="AG112" s="69" t="n">
        <f aca="false">AF112+AG96</f>
        <v>2100000</v>
      </c>
      <c r="AH112" s="69" t="n">
        <f aca="false">AG112+AH96</f>
        <v>2100000</v>
      </c>
      <c r="AI112" s="69" t="n">
        <f aca="false">AH112+AI96</f>
        <v>2100000</v>
      </c>
      <c r="AJ112" s="69" t="n">
        <f aca="false">AI112+AJ96</f>
        <v>2100000</v>
      </c>
      <c r="AK112" s="69" t="n">
        <f aca="false">AJ112+AK96</f>
        <v>2100000</v>
      </c>
      <c r="AL112" s="69" t="n">
        <f aca="false">AK112+AL96</f>
        <v>2100000</v>
      </c>
    </row>
    <row r="113" customFormat="false" ht="15" hidden="false" customHeight="false" outlineLevel="0" collapsed="false">
      <c r="A113" s="6" t="s">
        <v>98</v>
      </c>
      <c r="C113" s="69" t="n">
        <f aca="false">C66</f>
        <v>-121553.757544889</v>
      </c>
      <c r="D113" s="69" t="n">
        <f aca="false">C113+D66</f>
        <v>-239824.400774311</v>
      </c>
      <c r="E113" s="69" t="n">
        <f aca="false">D113+E66</f>
        <v>-347224.178714347</v>
      </c>
      <c r="F113" s="69" t="n">
        <f aca="false">E113+F66</f>
        <v>-450138.914797158</v>
      </c>
      <c r="G113" s="69" t="n">
        <f aca="false">F113+G66</f>
        <v>-548502.83629294</v>
      </c>
      <c r="H113" s="69" t="n">
        <f aca="false">G113+H66</f>
        <v>-642253.459108378</v>
      </c>
      <c r="I113" s="69" t="n">
        <f aca="false">H113+I66</f>
        <v>-731331.423354821</v>
      </c>
      <c r="J113" s="69" t="n">
        <f aca="false">I113+J66</f>
        <v>-815680.337138053</v>
      </c>
      <c r="K113" s="69" t="n">
        <f aca="false">J113+K66</f>
        <v>-895246.628158569</v>
      </c>
      <c r="L113" s="69" t="n">
        <f aca="false">K113+L66</f>
        <v>-969979.402731836</v>
      </c>
      <c r="M113" s="69" t="n">
        <f aca="false">L113+M66</f>
        <v>-1039830.31185755</v>
      </c>
      <c r="N113" s="69" t="n">
        <f aca="false">M113+N66</f>
        <v>-1119845.80120716</v>
      </c>
      <c r="O113" s="69" t="n">
        <f aca="false">N113+O66</f>
        <v>-1194915.69563466</v>
      </c>
      <c r="P113" s="69" t="n">
        <f aca="false">O113+P66</f>
        <v>-1268809.09068013</v>
      </c>
      <c r="Q113" s="69" t="n">
        <f aca="false">P113+Q66</f>
        <v>-1325745.06851202</v>
      </c>
      <c r="R113" s="69" t="n">
        <f aca="false">Q113+R66</f>
        <v>-1381458.61180873</v>
      </c>
      <c r="S113" s="69" t="n">
        <f aca="false">R113+S66</f>
        <v>-1436001.98813033</v>
      </c>
      <c r="T113" s="69" t="n">
        <f aca="false">S113+T66</f>
        <v>-1489424.85165892</v>
      </c>
      <c r="U113" s="69" t="n">
        <f aca="false">T113+U66</f>
        <v>-1541774.37386748</v>
      </c>
      <c r="V113" s="69" t="n">
        <f aca="false">U113+V66</f>
        <v>-1593095.36765534</v>
      </c>
      <c r="W113" s="69" t="n">
        <f aca="false">V113+W66</f>
        <v>-1643430.40527688</v>
      </c>
      <c r="X113" s="69" t="n">
        <f aca="false">W113+X66</f>
        <v>-1692819.93037374</v>
      </c>
      <c r="Y113" s="69" t="n">
        <f aca="false">X113+Y66</f>
        <v>-1741302.36440549</v>
      </c>
      <c r="Z113" s="69" t="n">
        <f aca="false">Y113+Z66</f>
        <v>-1804103.40201912</v>
      </c>
      <c r="AA113" s="69" t="n">
        <f aca="false">Z113+AA66</f>
        <v>-1866363.0142821</v>
      </c>
      <c r="AB113" s="69" t="n">
        <f aca="false">AA113+AB66</f>
        <v>-1927984.91828611</v>
      </c>
      <c r="AC113" s="69" t="n">
        <f aca="false">AB113+AC66</f>
        <v>-1973908.45654137</v>
      </c>
      <c r="AD113" s="69" t="n">
        <f aca="false">AC113+AD66</f>
        <v>-2019059.71277703</v>
      </c>
      <c r="AE113" s="69" t="n">
        <f aca="false">AD113+AE66</f>
        <v>-2063468.44692741</v>
      </c>
      <c r="AF113" s="69" t="n">
        <f aca="false">AE113+AF66</f>
        <v>-2107162.93093009</v>
      </c>
      <c r="AG113" s="69" t="n">
        <f aca="false">AF113+AG66</f>
        <v>-2150170.0231258</v>
      </c>
      <c r="AH113" s="69" t="n">
        <f aca="false">AG113+AH66</f>
        <v>-2192515.23893822</v>
      </c>
      <c r="AI113" s="69" t="n">
        <f aca="false">AH113+AI66</f>
        <v>-2234222.81801984</v>
      </c>
      <c r="AJ113" s="69" t="n">
        <f aca="false">AI113+AJ66</f>
        <v>-2275315.78804055</v>
      </c>
      <c r="AK113" s="69" t="n">
        <f aca="false">AJ113+AK66</f>
        <v>-2315816.02528671</v>
      </c>
      <c r="AL113" s="69" t="n">
        <f aca="false">AK113+AL66</f>
        <v>-2370448.03523605</v>
      </c>
    </row>
    <row r="114" customFormat="false" ht="15" hidden="false" customHeight="false" outlineLevel="0" collapsed="false">
      <c r="A114" s="4" t="s">
        <v>93</v>
      </c>
      <c r="C114" s="75" t="n">
        <f aca="false">C100+C86+C87+C77</f>
        <v>4982397.55300178</v>
      </c>
      <c r="D114" s="75" t="n">
        <f aca="false">D100+D86+D87+D77</f>
        <v>4839700.77212058</v>
      </c>
      <c r="E114" s="75" t="n">
        <f aca="false">E100+E86+E87+E77</f>
        <v>4709554.42846161</v>
      </c>
      <c r="F114" s="75" t="n">
        <f aca="false">F100+F86+F87+F77</f>
        <v>4582469.70466889</v>
      </c>
      <c r="G114" s="75" t="n">
        <f aca="false">G100+G86+G87+G77</f>
        <v>4459955.69263536</v>
      </c>
      <c r="H114" s="75" t="n">
        <f aca="false">H100+H86+H87+H77</f>
        <v>4342073.88159573</v>
      </c>
      <c r="I114" s="75" t="n">
        <f aca="false">I100+I86+I87+I77</f>
        <v>4228882.68632297</v>
      </c>
      <c r="J114" s="75" t="n">
        <f aca="false">J100+J86+J87+J77</f>
        <v>4120437.6008514</v>
      </c>
      <c r="K114" s="75" t="n">
        <f aca="false">K100+K86+K87+K77</f>
        <v>4016791.34451364</v>
      </c>
      <c r="L114" s="75" t="n">
        <f aca="false">L100+L86+L87+L77</f>
        <v>3917994.00067565</v>
      </c>
      <c r="M114" s="75" t="n">
        <f aca="false">M100+M86+M87+M77</f>
        <v>3824093.14853512</v>
      </c>
      <c r="N114" s="75" t="n">
        <f aca="false">N100+N86+N87+N77</f>
        <v>3716409.78323732</v>
      </c>
      <c r="O114" s="75" t="n">
        <f aca="false">O100+O86+O87+O77</f>
        <v>3617448.62099504</v>
      </c>
      <c r="P114" s="75" t="n">
        <f aca="false">P100+P86+P87+P77</f>
        <v>3518780.59433143</v>
      </c>
      <c r="Q114" s="75" t="n">
        <f aca="false">Q100+Q86+Q87+Q77</f>
        <v>3441174.74660066</v>
      </c>
      <c r="R114" s="75" t="n">
        <f aca="false">R100+R86+R87+R77</f>
        <v>3360788.80922032</v>
      </c>
      <c r="S114" s="75" t="n">
        <f aca="false">S100+S86+S87+S77</f>
        <v>3281556.65851927</v>
      </c>
      <c r="T114" s="75" t="n">
        <f aca="false">T100+T86+T87+T77</f>
        <v>3203429.4593302</v>
      </c>
      <c r="U114" s="75" t="n">
        <f aca="false">U100+U86+U87+U77</f>
        <v>3126360.81824418</v>
      </c>
      <c r="V114" s="75" t="n">
        <f aca="false">V100+V86+V87+V77</f>
        <v>3050306.66152274</v>
      </c>
      <c r="W114" s="75" t="n">
        <f aca="false">W100+W86+W87+W77</f>
        <v>2975225.11911429</v>
      </c>
      <c r="X114" s="75" t="n">
        <f aca="false">X100+X86+X87+X77</f>
        <v>2901076.41446988</v>
      </c>
      <c r="Y114" s="75" t="n">
        <f aca="false">Y100+Y86+Y87+Y77</f>
        <v>2827822.75986794</v>
      </c>
      <c r="Z114" s="75" t="n">
        <f aca="false">Z100+Z86+Z87+Z77</f>
        <v>2735588.28726297</v>
      </c>
      <c r="AA114" s="75" t="n">
        <f aca="false">AA100+AA86+AA87+AA77</f>
        <v>2648954.46787053</v>
      </c>
      <c r="AB114" s="75" t="n">
        <f aca="false">AB100+AB86+AB87+AB77</f>
        <v>2562439.78885052</v>
      </c>
      <c r="AC114" s="75" t="n">
        <f aca="false">AC100+AC86+AC87+AC77</f>
        <v>2496529.89542335</v>
      </c>
      <c r="AD114" s="75" t="n">
        <f aca="false">AD100+AD86+AD87+AD77</f>
        <v>2426571.96888801</v>
      </c>
      <c r="AE114" s="75" t="n">
        <f aca="false">AE100+AE86+AE87+AE77</f>
        <v>2357346.89795294</v>
      </c>
      <c r="AF114" s="75" t="n">
        <f aca="false">AF100+AF86+AF87+AF77</f>
        <v>2288826.8940048</v>
      </c>
      <c r="AG114" s="75" t="n">
        <f aca="false">AG100+AG86+AG87+AG77</f>
        <v>2220985.55786091</v>
      </c>
      <c r="AH114" s="75" t="n">
        <f aca="false">AH100+AH86+AH87+AH77</f>
        <v>2153797.81029772</v>
      </c>
      <c r="AI114" s="75" t="n">
        <f aca="false">AI100+AI86+AI87+AI77</f>
        <v>2087239.82605285</v>
      </c>
      <c r="AJ114" s="75" t="n">
        <f aca="false">AJ100+AJ86+AJ87+AJ77</f>
        <v>2021288.97112708</v>
      </c>
      <c r="AK114" s="75" t="n">
        <f aca="false">AK100+AK86+AK87+AK77</f>
        <v>1955923.74322109</v>
      </c>
      <c r="AL114" s="75" t="n">
        <f aca="false">AL100+AL86+AL87+AL77</f>
        <v>1871191.57294297</v>
      </c>
    </row>
    <row r="115" customFormat="false" ht="15" hidden="false" customHeight="false" outlineLevel="0" collapsed="false">
      <c r="A115" s="6" t="s">
        <v>96</v>
      </c>
      <c r="C115" s="69" t="n">
        <f aca="false">C88+C83</f>
        <v>3003951.31054667</v>
      </c>
      <c r="D115" s="69" t="n">
        <f aca="false">D88+D83</f>
        <v>2979525.17289489</v>
      </c>
      <c r="E115" s="69" t="n">
        <f aca="false">E88+E83</f>
        <v>2956778.60717596</v>
      </c>
      <c r="F115" s="69" t="n">
        <f aca="false">F88+F83</f>
        <v>2932608.61946605</v>
      </c>
      <c r="G115" s="69" t="n">
        <f aca="false">G88+G83</f>
        <v>2908458.5289283</v>
      </c>
      <c r="H115" s="69" t="n">
        <f aca="false">H88+H83</f>
        <v>2884327.34070411</v>
      </c>
      <c r="I115" s="69" t="n">
        <f aca="false">I88+I83</f>
        <v>2860214.10967779</v>
      </c>
      <c r="J115" s="69" t="n">
        <f aca="false">J88+J83</f>
        <v>2836117.93798946</v>
      </c>
      <c r="K115" s="69" t="n">
        <f aca="false">K88+K83</f>
        <v>2812037.97267221</v>
      </c>
      <c r="L115" s="69" t="n">
        <f aca="false">L88+L83</f>
        <v>2787973.40340748</v>
      </c>
      <c r="M115" s="69" t="n">
        <f aca="false">M88+M83</f>
        <v>2763923.46039267</v>
      </c>
      <c r="N115" s="69" t="n">
        <f aca="false">N88+N83</f>
        <v>2736255.58444448</v>
      </c>
      <c r="O115" s="69" t="n">
        <f aca="false">O88+O83</f>
        <v>2712364.31662971</v>
      </c>
      <c r="P115" s="69" t="n">
        <f aca="false">P88+P83</f>
        <v>2687589.68501155</v>
      </c>
      <c r="Q115" s="69" t="n">
        <f aca="false">Q88+Q83</f>
        <v>2666919.81511268</v>
      </c>
      <c r="R115" s="69" t="n">
        <f aca="false">R88+R83</f>
        <v>2642247.42102905</v>
      </c>
      <c r="S115" s="69" t="n">
        <f aca="false">S88+S83</f>
        <v>2617558.64664959</v>
      </c>
      <c r="T115" s="69" t="n">
        <f aca="false">T88+T83</f>
        <v>2592854.31098911</v>
      </c>
      <c r="U115" s="69" t="n">
        <f aca="false">U88+U83</f>
        <v>2568135.19211166</v>
      </c>
      <c r="V115" s="69" t="n">
        <f aca="false">V88+V83</f>
        <v>2543402.02917808</v>
      </c>
      <c r="W115" s="69" t="n">
        <f aca="false">W88+W83</f>
        <v>2518655.52439117</v>
      </c>
      <c r="X115" s="69" t="n">
        <f aca="false">X88+X83</f>
        <v>2493896.34484361</v>
      </c>
      <c r="Y115" s="69" t="n">
        <f aca="false">Y88+Y83</f>
        <v>2469125.12427343</v>
      </c>
      <c r="Z115" s="69" t="n">
        <f aca="false">Z88+Z83</f>
        <v>2439691.6892821</v>
      </c>
      <c r="AA115" s="69" t="n">
        <f aca="false">AA88+AA83</f>
        <v>2415317.48215263</v>
      </c>
      <c r="AB115" s="69" t="n">
        <f aca="false">AB88+AB83</f>
        <v>2390424.70713663</v>
      </c>
      <c r="AC115" s="69" t="n">
        <f aca="false">AC88+AC83</f>
        <v>2370438.35196472</v>
      </c>
      <c r="AD115" s="69" t="n">
        <f aca="false">AD88+AD83</f>
        <v>2345631.68166504</v>
      </c>
      <c r="AE115" s="69" t="n">
        <f aca="false">AE88+AE83</f>
        <v>2320815.34488035</v>
      </c>
      <c r="AF115" s="69" t="n">
        <f aca="false">AF88+AF83</f>
        <v>2295989.82493489</v>
      </c>
      <c r="AG115" s="69" t="n">
        <f aca="false">AG88+AG83</f>
        <v>2271155.58098671</v>
      </c>
      <c r="AH115" s="69" t="n">
        <f aca="false">AH88+AH83</f>
        <v>2246313.04923593</v>
      </c>
      <c r="AI115" s="69" t="n">
        <f aca="false">AI88+AI83</f>
        <v>2221462.6440727</v>
      </c>
      <c r="AJ115" s="69" t="n">
        <f aca="false">AJ88+AJ83</f>
        <v>2196604.75916762</v>
      </c>
      <c r="AK115" s="69" t="n">
        <f aca="false">AK88+AK83</f>
        <v>2171739.7685078</v>
      </c>
      <c r="AL115" s="69" t="n">
        <f aca="false">AL88+AL83</f>
        <v>2141639.60817902</v>
      </c>
    </row>
    <row r="116" customFormat="false" ht="15" hidden="false" customHeight="false" outlineLevel="0" collapsed="false">
      <c r="A116" s="6" t="s">
        <v>99</v>
      </c>
      <c r="C116" s="69" t="n">
        <f aca="false">C112+C113</f>
        <v>1978446.24245511</v>
      </c>
      <c r="D116" s="69" t="n">
        <f aca="false">D112+D113</f>
        <v>1860175.59922569</v>
      </c>
      <c r="E116" s="69" t="n">
        <f aca="false">E112+E113</f>
        <v>1752775.82128565</v>
      </c>
      <c r="F116" s="69" t="n">
        <f aca="false">F112+F113</f>
        <v>1649861.08520284</v>
      </c>
      <c r="G116" s="69" t="n">
        <f aca="false">G112+G113</f>
        <v>1551497.16370706</v>
      </c>
      <c r="H116" s="69" t="n">
        <f aca="false">H112+H113</f>
        <v>1457746.54089162</v>
      </c>
      <c r="I116" s="69" t="n">
        <f aca="false">I112+I113</f>
        <v>1368668.57664518</v>
      </c>
      <c r="J116" s="69" t="n">
        <f aca="false">J112+J113</f>
        <v>1284319.66286195</v>
      </c>
      <c r="K116" s="69" t="n">
        <f aca="false">K112+K113</f>
        <v>1204753.37184143</v>
      </c>
      <c r="L116" s="69" t="n">
        <f aca="false">L112+L113</f>
        <v>1130020.59726816</v>
      </c>
      <c r="M116" s="69" t="n">
        <f aca="false">M112+M113</f>
        <v>1060169.68814245</v>
      </c>
      <c r="N116" s="69" t="n">
        <f aca="false">N112+N113</f>
        <v>980154.198792838</v>
      </c>
      <c r="O116" s="69" t="n">
        <f aca="false">O112+O113</f>
        <v>905084.304365335</v>
      </c>
      <c r="P116" s="69" t="n">
        <f aca="false">P112+P113</f>
        <v>831190.909319875</v>
      </c>
      <c r="Q116" s="69" t="n">
        <f aca="false">Q112+Q113</f>
        <v>774254.931487977</v>
      </c>
      <c r="R116" s="69" t="n">
        <f aca="false">R112+R113</f>
        <v>718541.388191273</v>
      </c>
      <c r="S116" s="69" t="n">
        <f aca="false">S112+S113</f>
        <v>663998.011869672</v>
      </c>
      <c r="T116" s="69" t="n">
        <f aca="false">T112+T113</f>
        <v>610575.148341084</v>
      </c>
      <c r="U116" s="69" t="n">
        <f aca="false">U112+U113</f>
        <v>558225.626132525</v>
      </c>
      <c r="V116" s="69" t="n">
        <f aca="false">V112+V113</f>
        <v>506904.632344661</v>
      </c>
      <c r="W116" s="69" t="n">
        <f aca="false">W112+W113</f>
        <v>456569.594723124</v>
      </c>
      <c r="X116" s="69" t="n">
        <f aca="false">X112+X113</f>
        <v>407180.069626263</v>
      </c>
      <c r="Y116" s="69" t="n">
        <f aca="false">Y112+Y113</f>
        <v>358697.635594512</v>
      </c>
      <c r="Z116" s="69" t="n">
        <f aca="false">Z112+Z113</f>
        <v>295896.597980878</v>
      </c>
      <c r="AA116" s="69" t="n">
        <f aca="false">AA112+AA113</f>
        <v>233636.985717898</v>
      </c>
      <c r="AB116" s="69" t="n">
        <f aca="false">AB112+AB113</f>
        <v>172015.081713893</v>
      </c>
      <c r="AC116" s="69" t="n">
        <f aca="false">AC112+AC113</f>
        <v>126091.543458628</v>
      </c>
      <c r="AD116" s="69" t="n">
        <f aca="false">AD112+AD113</f>
        <v>80940.2872229661</v>
      </c>
      <c r="AE116" s="69" t="n">
        <f aca="false">AE112+AE113</f>
        <v>36531.5530725927</v>
      </c>
      <c r="AF116" s="69" t="n">
        <f aca="false">AF112+AF113</f>
        <v>-7162.93093008967</v>
      </c>
      <c r="AG116" s="69" t="n">
        <f aca="false">AG112+AG113</f>
        <v>-50170.0231257989</v>
      </c>
      <c r="AH116" s="69" t="n">
        <f aca="false">AH112+AH113</f>
        <v>-92515.2389382166</v>
      </c>
      <c r="AI116" s="69" t="n">
        <f aca="false">AI112+AI113</f>
        <v>-134222.818019841</v>
      </c>
      <c r="AJ116" s="69" t="n">
        <f aca="false">AJ112+AJ113</f>
        <v>-175315.788040545</v>
      </c>
      <c r="AK116" s="69" t="n">
        <f aca="false">AK112+AK113</f>
        <v>-215816.025286709</v>
      </c>
      <c r="AL116" s="69" t="n">
        <f aca="false">AL112+AL113</f>
        <v>-270448.035236052</v>
      </c>
    </row>
    <row r="117" customFormat="false" ht="15" hidden="false" customHeight="false" outlineLevel="0" collapsed="false">
      <c r="A117" s="4" t="s">
        <v>100</v>
      </c>
      <c r="C117" s="75" t="n">
        <f aca="false">C115+C116</f>
        <v>4982397.55300178</v>
      </c>
      <c r="D117" s="75" t="n">
        <f aca="false">D115+D116</f>
        <v>4839700.77212058</v>
      </c>
      <c r="E117" s="75" t="n">
        <f aca="false">E115+E116</f>
        <v>4709554.42846161</v>
      </c>
      <c r="F117" s="75" t="n">
        <f aca="false">F115+F116</f>
        <v>4582469.70466889</v>
      </c>
      <c r="G117" s="75" t="n">
        <f aca="false">G115+G116</f>
        <v>4459955.69263536</v>
      </c>
      <c r="H117" s="75" t="n">
        <f aca="false">H115+H116</f>
        <v>4342073.88159573</v>
      </c>
      <c r="I117" s="75" t="n">
        <f aca="false">I115+I116</f>
        <v>4228882.68632297</v>
      </c>
      <c r="J117" s="75" t="n">
        <f aca="false">J115+J116</f>
        <v>4120437.6008514</v>
      </c>
      <c r="K117" s="75" t="n">
        <f aca="false">K115+K116</f>
        <v>4016791.34451364</v>
      </c>
      <c r="L117" s="75" t="n">
        <f aca="false">L115+L116</f>
        <v>3917994.00067565</v>
      </c>
      <c r="M117" s="75" t="n">
        <f aca="false">M115+M116</f>
        <v>3824093.14853512</v>
      </c>
      <c r="N117" s="75" t="n">
        <f aca="false">N115+N116</f>
        <v>3716409.78323732</v>
      </c>
      <c r="O117" s="75" t="n">
        <f aca="false">O115+O116</f>
        <v>3617448.62099504</v>
      </c>
      <c r="P117" s="75" t="n">
        <f aca="false">P115+P116</f>
        <v>3518780.59433143</v>
      </c>
      <c r="Q117" s="75" t="n">
        <f aca="false">Q115+Q116</f>
        <v>3441174.74660066</v>
      </c>
      <c r="R117" s="75" t="n">
        <f aca="false">R115+R116</f>
        <v>3360788.80922032</v>
      </c>
      <c r="S117" s="75" t="n">
        <f aca="false">S115+S116</f>
        <v>3281556.65851927</v>
      </c>
      <c r="T117" s="75" t="n">
        <f aca="false">T115+T116</f>
        <v>3203429.4593302</v>
      </c>
      <c r="U117" s="75" t="n">
        <f aca="false">U115+U116</f>
        <v>3126360.81824418</v>
      </c>
      <c r="V117" s="75" t="n">
        <f aca="false">V115+V116</f>
        <v>3050306.66152274</v>
      </c>
      <c r="W117" s="75" t="n">
        <f aca="false">W115+W116</f>
        <v>2975225.1191143</v>
      </c>
      <c r="X117" s="75" t="n">
        <f aca="false">X115+X116</f>
        <v>2901076.41446988</v>
      </c>
      <c r="Y117" s="75" t="n">
        <f aca="false">Y115+Y116</f>
        <v>2827822.75986794</v>
      </c>
      <c r="Z117" s="75" t="n">
        <f aca="false">Z115+Z116</f>
        <v>2735588.28726298</v>
      </c>
      <c r="AA117" s="75" t="n">
        <f aca="false">AA115+AA116</f>
        <v>2648954.46787053</v>
      </c>
      <c r="AB117" s="75" t="n">
        <f aca="false">AB115+AB116</f>
        <v>2562439.78885052</v>
      </c>
      <c r="AC117" s="75" t="n">
        <f aca="false">AC115+AC116</f>
        <v>2496529.89542335</v>
      </c>
      <c r="AD117" s="75" t="n">
        <f aca="false">AD115+AD116</f>
        <v>2426571.96888801</v>
      </c>
      <c r="AE117" s="75" t="n">
        <f aca="false">AE115+AE116</f>
        <v>2357346.89795294</v>
      </c>
      <c r="AF117" s="75" t="n">
        <f aca="false">AF115+AF116</f>
        <v>2288826.8940048</v>
      </c>
      <c r="AG117" s="75" t="n">
        <f aca="false">AG115+AG116</f>
        <v>2220985.55786091</v>
      </c>
      <c r="AH117" s="75" t="n">
        <f aca="false">AH115+AH116</f>
        <v>2153797.81029772</v>
      </c>
      <c r="AI117" s="75" t="n">
        <f aca="false">AI115+AI116</f>
        <v>2087239.82605285</v>
      </c>
      <c r="AJ117" s="75" t="n">
        <f aca="false">AJ115+AJ116</f>
        <v>2021288.97112708</v>
      </c>
      <c r="AK117" s="75" t="n">
        <f aca="false">AK115+AK116</f>
        <v>1955923.74322109</v>
      </c>
      <c r="AL117" s="75" t="n">
        <f aca="false">AL115+AL116</f>
        <v>1871191.57294297</v>
      </c>
    </row>
    <row r="118" customFormat="false" ht="15" hidden="false" customHeight="false" outlineLevel="0" collapsed="false">
      <c r="A118" s="6" t="s">
        <v>441</v>
      </c>
      <c r="C118" s="69" t="n">
        <f aca="false">C114-C117</f>
        <v>0</v>
      </c>
      <c r="D118" s="69" t="n">
        <f aca="false">D114-D117</f>
        <v>0</v>
      </c>
      <c r="E118" s="69" t="n">
        <f aca="false">E114-E117</f>
        <v>0</v>
      </c>
      <c r="F118" s="69" t="n">
        <f aca="false">F114-F117</f>
        <v>0</v>
      </c>
      <c r="G118" s="69" t="n">
        <f aca="false">G114-G117</f>
        <v>0</v>
      </c>
      <c r="H118" s="69" t="n">
        <f aca="false">H114-H117</f>
        <v>0</v>
      </c>
      <c r="I118" s="69" t="n">
        <f aca="false">I114-I117</f>
        <v>0</v>
      </c>
      <c r="J118" s="69" t="n">
        <f aca="false">J114-J117</f>
        <v>0</v>
      </c>
      <c r="K118" s="69" t="n">
        <f aca="false">K114-K117</f>
        <v>0</v>
      </c>
      <c r="L118" s="69" t="n">
        <f aca="false">L114-L117</f>
        <v>0</v>
      </c>
      <c r="M118" s="69" t="n">
        <f aca="false">M114-M117</f>
        <v>0</v>
      </c>
      <c r="N118" s="69" t="n">
        <f aca="false">N114-N117</f>
        <v>0</v>
      </c>
      <c r="O118" s="69" t="n">
        <f aca="false">O114-O117</f>
        <v>0</v>
      </c>
      <c r="P118" s="69" t="n">
        <f aca="false">P114-P117</f>
        <v>0</v>
      </c>
      <c r="Q118" s="69" t="n">
        <f aca="false">Q114-Q117</f>
        <v>0</v>
      </c>
      <c r="R118" s="69" t="n">
        <f aca="false">R114-R117</f>
        <v>0</v>
      </c>
      <c r="S118" s="69" t="n">
        <f aca="false">S114-S117</f>
        <v>0</v>
      </c>
      <c r="T118" s="69" t="n">
        <f aca="false">T114-T117</f>
        <v>0</v>
      </c>
      <c r="U118" s="69" t="n">
        <f aca="false">U114-U117</f>
        <v>0</v>
      </c>
      <c r="V118" s="69" t="n">
        <f aca="false">V114-V117</f>
        <v>0</v>
      </c>
      <c r="W118" s="69" t="n">
        <f aca="false">W114-W117</f>
        <v>0</v>
      </c>
      <c r="X118" s="69" t="n">
        <f aca="false">X114-X117</f>
        <v>0</v>
      </c>
      <c r="Y118" s="69" t="n">
        <f aca="false">Y114-Y117</f>
        <v>0</v>
      </c>
      <c r="Z118" s="69" t="n">
        <f aca="false">Z114-Z117</f>
        <v>0</v>
      </c>
      <c r="AA118" s="69" t="n">
        <f aca="false">AA114-AA117</f>
        <v>0</v>
      </c>
      <c r="AB118" s="69" t="n">
        <f aca="false">AB114-AB117</f>
        <v>0</v>
      </c>
      <c r="AC118" s="69" t="n">
        <f aca="false">AC114-AC117</f>
        <v>0</v>
      </c>
      <c r="AD118" s="69" t="n">
        <f aca="false">AD114-AD117</f>
        <v>0</v>
      </c>
      <c r="AE118" s="69" t="n">
        <f aca="false">AE114-AE117</f>
        <v>0</v>
      </c>
      <c r="AF118" s="69" t="n">
        <f aca="false">AF114-AF117</f>
        <v>0</v>
      </c>
      <c r="AG118" s="69" t="n">
        <f aca="false">AG114-AG117</f>
        <v>0</v>
      </c>
      <c r="AH118" s="69" t="n">
        <f aca="false">AH114-AH117</f>
        <v>0</v>
      </c>
      <c r="AI118" s="69" t="n">
        <f aca="false">AI114-AI117</f>
        <v>0</v>
      </c>
      <c r="AJ118" s="69" t="n">
        <f aca="false">AJ114-AJ117</f>
        <v>0</v>
      </c>
      <c r="AK118" s="69" t="n">
        <f aca="false">AK114-AK117</f>
        <v>0</v>
      </c>
      <c r="AL118" s="69" t="n">
        <f aca="false">AL114-AL117</f>
        <v>0</v>
      </c>
    </row>
    <row r="120" customFormat="false" ht="15.75" hidden="false" customHeight="true" outlineLevel="0" collapsed="false">
      <c r="A120" s="7" t="s">
        <v>443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6" t="s">
        <v>444</v>
      </c>
      <c r="C121" s="117" t="n">
        <f aca="false">Inputs!$B$55*(1+Inputs!$B$57)^(C$7-1)*MAX(0,MIN(1,C$6*1-Inputs!$B$58+1))/1</f>
        <v>1</v>
      </c>
      <c r="D121" s="117" t="n">
        <f aca="false">Inputs!$B$55*(1+Inputs!$B$57)^(D$7-1)*MAX(0,MIN(1,D$6*1-Inputs!$B$58+1))/1</f>
        <v>1</v>
      </c>
      <c r="E121" s="117" t="n">
        <f aca="false">Inputs!$B$55*(1+Inputs!$B$57)^(E$7-1)*MAX(0,MIN(1,E$6*1-Inputs!$B$58+1))/1</f>
        <v>1</v>
      </c>
      <c r="F121" s="117" t="n">
        <f aca="false">Inputs!$B$55*(1+Inputs!$B$57)^(F$7-1)*MAX(0,MIN(1,F$6*1-Inputs!$B$58+1))/1</f>
        <v>1</v>
      </c>
      <c r="G121" s="117" t="n">
        <f aca="false">Inputs!$B$55*(1+Inputs!$B$57)^(G$7-1)*MAX(0,MIN(1,G$6*1-Inputs!$B$58+1))/1</f>
        <v>1</v>
      </c>
      <c r="H121" s="117" t="n">
        <f aca="false">Inputs!$B$55*(1+Inputs!$B$57)^(H$7-1)*MAX(0,MIN(1,H$6*1-Inputs!$B$58+1))/1</f>
        <v>1</v>
      </c>
      <c r="I121" s="117" t="n">
        <f aca="false">Inputs!$B$55*(1+Inputs!$B$57)^(I$7-1)*MAX(0,MIN(1,I$6*1-Inputs!$B$58+1))/1</f>
        <v>1</v>
      </c>
      <c r="J121" s="117" t="n">
        <f aca="false">Inputs!$B$55*(1+Inputs!$B$57)^(J$7-1)*MAX(0,MIN(1,J$6*1-Inputs!$B$58+1))/1</f>
        <v>1</v>
      </c>
      <c r="K121" s="117" t="n">
        <f aca="false">Inputs!$B$55*(1+Inputs!$B$57)^(K$7-1)*MAX(0,MIN(1,K$6*1-Inputs!$B$58+1))/1</f>
        <v>1</v>
      </c>
      <c r="L121" s="117" t="n">
        <f aca="false">Inputs!$B$55*(1+Inputs!$B$57)^(L$7-1)*MAX(0,MIN(1,L$6*1-Inputs!$B$58+1))/1</f>
        <v>1</v>
      </c>
      <c r="M121" s="117" t="n">
        <f aca="false">Inputs!$B$55*(1+Inputs!$B$57)^(M$7-1)*MAX(0,MIN(1,M$6*1-Inputs!$B$58+1))/1</f>
        <v>1</v>
      </c>
      <c r="N121" s="117" t="n">
        <f aca="false">Inputs!$B$55*(1+Inputs!$B$57)^(N$7-1)*MAX(0,MIN(1,N$6*1-Inputs!$B$58+1))/1</f>
        <v>1</v>
      </c>
      <c r="O121" s="117" t="n">
        <f aca="false">Inputs!$B$55*(1+Inputs!$B$57)^(O$7-1)*MAX(0,MIN(1,O$6*1-Inputs!$B$58+1))/1</f>
        <v>1</v>
      </c>
      <c r="P121" s="117" t="n">
        <f aca="false">Inputs!$B$55*(1+Inputs!$B$57)^(P$7-1)*MAX(0,MIN(1,P$6*1-Inputs!$B$58+1))/1</f>
        <v>1</v>
      </c>
      <c r="Q121" s="117" t="n">
        <f aca="false">Inputs!$B$55*(1+Inputs!$B$57)^(Q$7-1)*MAX(0,MIN(1,Q$6*1-Inputs!$B$58+1))/1</f>
        <v>1</v>
      </c>
      <c r="R121" s="117" t="n">
        <f aca="false">Inputs!$B$55*(1+Inputs!$B$57)^(R$7-1)*MAX(0,MIN(1,R$6*1-Inputs!$B$58+1))/1</f>
        <v>1</v>
      </c>
      <c r="S121" s="117" t="n">
        <f aca="false">Inputs!$B$55*(1+Inputs!$B$57)^(S$7-1)*MAX(0,MIN(1,S$6*1-Inputs!$B$58+1))/1</f>
        <v>1</v>
      </c>
      <c r="T121" s="117" t="n">
        <f aca="false">Inputs!$B$55*(1+Inputs!$B$57)^(T$7-1)*MAX(0,MIN(1,T$6*1-Inputs!$B$58+1))/1</f>
        <v>1</v>
      </c>
      <c r="U121" s="117" t="n">
        <f aca="false">Inputs!$B$55*(1+Inputs!$B$57)^(U$7-1)*MAX(0,MIN(1,U$6*1-Inputs!$B$58+1))/1</f>
        <v>1</v>
      </c>
      <c r="V121" s="117" t="n">
        <f aca="false">Inputs!$B$55*(1+Inputs!$B$57)^(V$7-1)*MAX(0,MIN(1,V$6*1-Inputs!$B$58+1))/1</f>
        <v>1</v>
      </c>
      <c r="W121" s="117" t="n">
        <f aca="false">Inputs!$B$55*(1+Inputs!$B$57)^(W$7-1)*MAX(0,MIN(1,W$6*1-Inputs!$B$58+1))/1</f>
        <v>1</v>
      </c>
      <c r="X121" s="117" t="n">
        <f aca="false">Inputs!$B$55*(1+Inputs!$B$57)^(X$7-1)*MAX(0,MIN(1,X$6*1-Inputs!$B$58+1))/1</f>
        <v>1</v>
      </c>
      <c r="Y121" s="117" t="n">
        <f aca="false">Inputs!$B$55*(1+Inputs!$B$57)^(Y$7-1)*MAX(0,MIN(1,Y$6*1-Inputs!$B$58+1))/1</f>
        <v>1</v>
      </c>
      <c r="Z121" s="117" t="n">
        <f aca="false">Inputs!$B$55*(1+Inputs!$B$57)^(Z$7-1)*MAX(0,MIN(1,Z$6*1-Inputs!$B$58+1))/1</f>
        <v>1</v>
      </c>
      <c r="AA121" s="117" t="n">
        <f aca="false">Inputs!$B$55*(1+Inputs!$B$57)^(AA$7-1)*MAX(0,MIN(1,AA$6*1-Inputs!$B$58+1))/1</f>
        <v>1</v>
      </c>
      <c r="AB121" s="117" t="n">
        <f aca="false">Inputs!$B$55*(1+Inputs!$B$57)^(AB$7-1)*MAX(0,MIN(1,AB$6*1-Inputs!$B$58+1))/1</f>
        <v>1</v>
      </c>
      <c r="AC121" s="117" t="n">
        <f aca="false">Inputs!$B$55*(1+Inputs!$B$57)^(AC$7-1)*MAX(0,MIN(1,AC$6*1-Inputs!$B$58+1))/1</f>
        <v>1</v>
      </c>
      <c r="AD121" s="117" t="n">
        <f aca="false">Inputs!$B$55*(1+Inputs!$B$57)^(AD$7-1)*MAX(0,MIN(1,AD$6*1-Inputs!$B$58+1))/1</f>
        <v>1</v>
      </c>
      <c r="AE121" s="117" t="n">
        <f aca="false">Inputs!$B$55*(1+Inputs!$B$57)^(AE$7-1)*MAX(0,MIN(1,AE$6*1-Inputs!$B$58+1))/1</f>
        <v>1</v>
      </c>
      <c r="AF121" s="117" t="n">
        <f aca="false">Inputs!$B$55*(1+Inputs!$B$57)^(AF$7-1)*MAX(0,MIN(1,AF$6*1-Inputs!$B$58+1))/1</f>
        <v>1</v>
      </c>
      <c r="AG121" s="117" t="n">
        <f aca="false">Inputs!$B$55*(1+Inputs!$B$57)^(AG$7-1)*MAX(0,MIN(1,AG$6*1-Inputs!$B$58+1))/1</f>
        <v>1</v>
      </c>
      <c r="AH121" s="117" t="n">
        <f aca="false">Inputs!$B$55*(1+Inputs!$B$57)^(AH$7-1)*MAX(0,MIN(1,AH$6*1-Inputs!$B$58+1))/1</f>
        <v>1</v>
      </c>
      <c r="AI121" s="117" t="n">
        <f aca="false">Inputs!$B$55*(1+Inputs!$B$57)^(AI$7-1)*MAX(0,MIN(1,AI$6*1-Inputs!$B$58+1))/1</f>
        <v>1</v>
      </c>
      <c r="AJ121" s="117" t="n">
        <f aca="false">Inputs!$B$55*(1+Inputs!$B$57)^(AJ$7-1)*MAX(0,MIN(1,AJ$6*1-Inputs!$B$58+1))/1</f>
        <v>1</v>
      </c>
      <c r="AK121" s="117" t="n">
        <f aca="false">Inputs!$B$55*(1+Inputs!$B$57)^(AK$7-1)*MAX(0,MIN(1,AK$6*1-Inputs!$B$58+1))/1</f>
        <v>1</v>
      </c>
      <c r="AL121" s="117" t="n">
        <f aca="false">Inputs!$B$55*(1+Inputs!$B$57)^(AL$7-1)*MAX(0,MIN(1,AL$6*1-Inputs!$B$58+1))/1</f>
        <v>1</v>
      </c>
    </row>
    <row r="122" customFormat="false" ht="15" hidden="false" customHeight="false" outlineLevel="0" collapsed="false">
      <c r="A122" s="6" t="s">
        <v>445</v>
      </c>
      <c r="C122" s="117" t="n">
        <f aca="false">Inputs!$B$59*(1+Inputs!$B$61)^(C$7-1)*MAX(0,MIN(1,C$6*1-Inputs!$B$62+1))/1</f>
        <v>10</v>
      </c>
      <c r="D122" s="117" t="n">
        <f aca="false">Inputs!$B$59*(1+Inputs!$B$61)^(D$7-1)*MAX(0,MIN(1,D$6*1-Inputs!$B$62+1))/1</f>
        <v>10</v>
      </c>
      <c r="E122" s="117" t="n">
        <f aca="false">Inputs!$B$59*(1+Inputs!$B$61)^(E$7-1)*MAX(0,MIN(1,E$6*1-Inputs!$B$62+1))/1</f>
        <v>10</v>
      </c>
      <c r="F122" s="117" t="n">
        <f aca="false">Inputs!$B$59*(1+Inputs!$B$61)^(F$7-1)*MAX(0,MIN(1,F$6*1-Inputs!$B$62+1))/1</f>
        <v>10</v>
      </c>
      <c r="G122" s="117" t="n">
        <f aca="false">Inputs!$B$59*(1+Inputs!$B$61)^(G$7-1)*MAX(0,MIN(1,G$6*1-Inputs!$B$62+1))/1</f>
        <v>10</v>
      </c>
      <c r="H122" s="117" t="n">
        <f aca="false">Inputs!$B$59*(1+Inputs!$B$61)^(H$7-1)*MAX(0,MIN(1,H$6*1-Inputs!$B$62+1))/1</f>
        <v>10</v>
      </c>
      <c r="I122" s="117" t="n">
        <f aca="false">Inputs!$B$59*(1+Inputs!$B$61)^(I$7-1)*MAX(0,MIN(1,I$6*1-Inputs!$B$62+1))/1</f>
        <v>10</v>
      </c>
      <c r="J122" s="117" t="n">
        <f aca="false">Inputs!$B$59*(1+Inputs!$B$61)^(J$7-1)*MAX(0,MIN(1,J$6*1-Inputs!$B$62+1))/1</f>
        <v>10</v>
      </c>
      <c r="K122" s="117" t="n">
        <f aca="false">Inputs!$B$59*(1+Inputs!$B$61)^(K$7-1)*MAX(0,MIN(1,K$6*1-Inputs!$B$62+1))/1</f>
        <v>10</v>
      </c>
      <c r="L122" s="117" t="n">
        <f aca="false">Inputs!$B$59*(1+Inputs!$B$61)^(L$7-1)*MAX(0,MIN(1,L$6*1-Inputs!$B$62+1))/1</f>
        <v>10</v>
      </c>
      <c r="M122" s="117" t="n">
        <f aca="false">Inputs!$B$59*(1+Inputs!$B$61)^(M$7-1)*MAX(0,MIN(1,M$6*1-Inputs!$B$62+1))/1</f>
        <v>10</v>
      </c>
      <c r="N122" s="117" t="n">
        <f aca="false">Inputs!$B$59*(1+Inputs!$B$61)^(N$7-1)*MAX(0,MIN(1,N$6*1-Inputs!$B$62+1))/1</f>
        <v>10</v>
      </c>
      <c r="O122" s="117" t="n">
        <f aca="false">Inputs!$B$59*(1+Inputs!$B$61)^(O$7-1)*MAX(0,MIN(1,O$6*1-Inputs!$B$62+1))/1</f>
        <v>10</v>
      </c>
      <c r="P122" s="117" t="n">
        <f aca="false">Inputs!$B$59*(1+Inputs!$B$61)^(P$7-1)*MAX(0,MIN(1,P$6*1-Inputs!$B$62+1))/1</f>
        <v>10</v>
      </c>
      <c r="Q122" s="117" t="n">
        <f aca="false">Inputs!$B$59*(1+Inputs!$B$61)^(Q$7-1)*MAX(0,MIN(1,Q$6*1-Inputs!$B$62+1))/1</f>
        <v>10</v>
      </c>
      <c r="R122" s="117" t="n">
        <f aca="false">Inputs!$B$59*(1+Inputs!$B$61)^(R$7-1)*MAX(0,MIN(1,R$6*1-Inputs!$B$62+1))/1</f>
        <v>10</v>
      </c>
      <c r="S122" s="117" t="n">
        <f aca="false">Inputs!$B$59*(1+Inputs!$B$61)^(S$7-1)*MAX(0,MIN(1,S$6*1-Inputs!$B$62+1))/1</f>
        <v>10</v>
      </c>
      <c r="T122" s="117" t="n">
        <f aca="false">Inputs!$B$59*(1+Inputs!$B$61)^(T$7-1)*MAX(0,MIN(1,T$6*1-Inputs!$B$62+1))/1</f>
        <v>10</v>
      </c>
      <c r="U122" s="117" t="n">
        <f aca="false">Inputs!$B$59*(1+Inputs!$B$61)^(U$7-1)*MAX(0,MIN(1,U$6*1-Inputs!$B$62+1))/1</f>
        <v>10</v>
      </c>
      <c r="V122" s="117" t="n">
        <f aca="false">Inputs!$B$59*(1+Inputs!$B$61)^(V$7-1)*MAX(0,MIN(1,V$6*1-Inputs!$B$62+1))/1</f>
        <v>10</v>
      </c>
      <c r="W122" s="117" t="n">
        <f aca="false">Inputs!$B$59*(1+Inputs!$B$61)^(W$7-1)*MAX(0,MIN(1,W$6*1-Inputs!$B$62+1))/1</f>
        <v>10</v>
      </c>
      <c r="X122" s="117" t="n">
        <f aca="false">Inputs!$B$59*(1+Inputs!$B$61)^(X$7-1)*MAX(0,MIN(1,X$6*1-Inputs!$B$62+1))/1</f>
        <v>10</v>
      </c>
      <c r="Y122" s="117" t="n">
        <f aca="false">Inputs!$B$59*(1+Inputs!$B$61)^(Y$7-1)*MAX(0,MIN(1,Y$6*1-Inputs!$B$62+1))/1</f>
        <v>10</v>
      </c>
      <c r="Z122" s="117" t="n">
        <f aca="false">Inputs!$B$59*(1+Inputs!$B$61)^(Z$7-1)*MAX(0,MIN(1,Z$6*1-Inputs!$B$62+1))/1</f>
        <v>10</v>
      </c>
      <c r="AA122" s="117" t="n">
        <f aca="false">Inputs!$B$59*(1+Inputs!$B$61)^(AA$7-1)*MAX(0,MIN(1,AA$6*1-Inputs!$B$62+1))/1</f>
        <v>10</v>
      </c>
      <c r="AB122" s="117" t="n">
        <f aca="false">Inputs!$B$59*(1+Inputs!$B$61)^(AB$7-1)*MAX(0,MIN(1,AB$6*1-Inputs!$B$62+1))/1</f>
        <v>10</v>
      </c>
      <c r="AC122" s="117" t="n">
        <f aca="false">Inputs!$B$59*(1+Inputs!$B$61)^(AC$7-1)*MAX(0,MIN(1,AC$6*1-Inputs!$B$62+1))/1</f>
        <v>10</v>
      </c>
      <c r="AD122" s="117" t="n">
        <f aca="false">Inputs!$B$59*(1+Inputs!$B$61)^(AD$7-1)*MAX(0,MIN(1,AD$6*1-Inputs!$B$62+1))/1</f>
        <v>10</v>
      </c>
      <c r="AE122" s="117" t="n">
        <f aca="false">Inputs!$B$59*(1+Inputs!$B$61)^(AE$7-1)*MAX(0,MIN(1,AE$6*1-Inputs!$B$62+1))/1</f>
        <v>10</v>
      </c>
      <c r="AF122" s="117" t="n">
        <f aca="false">Inputs!$B$59*(1+Inputs!$B$61)^(AF$7-1)*MAX(0,MIN(1,AF$6*1-Inputs!$B$62+1))/1</f>
        <v>10</v>
      </c>
      <c r="AG122" s="117" t="n">
        <f aca="false">Inputs!$B$59*(1+Inputs!$B$61)^(AG$7-1)*MAX(0,MIN(1,AG$6*1-Inputs!$B$62+1))/1</f>
        <v>10</v>
      </c>
      <c r="AH122" s="117" t="n">
        <f aca="false">Inputs!$B$59*(1+Inputs!$B$61)^(AH$7-1)*MAX(0,MIN(1,AH$6*1-Inputs!$B$62+1))/1</f>
        <v>10</v>
      </c>
      <c r="AI122" s="117" t="n">
        <f aca="false">Inputs!$B$59*(1+Inputs!$B$61)^(AI$7-1)*MAX(0,MIN(1,AI$6*1-Inputs!$B$62+1))/1</f>
        <v>10</v>
      </c>
      <c r="AJ122" s="117" t="n">
        <f aca="false">Inputs!$B$59*(1+Inputs!$B$61)^(AJ$7-1)*MAX(0,MIN(1,AJ$6*1-Inputs!$B$62+1))/1</f>
        <v>10</v>
      </c>
      <c r="AK122" s="117" t="n">
        <f aca="false">Inputs!$B$59*(1+Inputs!$B$61)^(AK$7-1)*MAX(0,MIN(1,AK$6*1-Inputs!$B$62+1))/1</f>
        <v>10</v>
      </c>
      <c r="AL122" s="117" t="n">
        <f aca="false">Inputs!$B$59*(1+Inputs!$B$61)^(AL$7-1)*MAX(0,MIN(1,AL$6*1-Inputs!$B$62+1))/1</f>
        <v>10</v>
      </c>
    </row>
    <row r="123" customFormat="false" ht="15" hidden="false" customHeight="false" outlineLevel="0" collapsed="false">
      <c r="A123" s="113" t="s">
        <v>446</v>
      </c>
      <c r="C123" s="123" t="n">
        <f aca="false">C121+C122</f>
        <v>11</v>
      </c>
      <c r="D123" s="123" t="n">
        <f aca="false">D121+D122</f>
        <v>11</v>
      </c>
      <c r="E123" s="123" t="n">
        <f aca="false">E121+E122</f>
        <v>11</v>
      </c>
      <c r="F123" s="123" t="n">
        <f aca="false">F121+F122</f>
        <v>11</v>
      </c>
      <c r="G123" s="123" t="n">
        <f aca="false">G121+G122</f>
        <v>11</v>
      </c>
      <c r="H123" s="123" t="n">
        <f aca="false">H121+H122</f>
        <v>11</v>
      </c>
      <c r="I123" s="123" t="n">
        <f aca="false">I121+I122</f>
        <v>11</v>
      </c>
      <c r="J123" s="123" t="n">
        <f aca="false">J121+J122</f>
        <v>11</v>
      </c>
      <c r="K123" s="123" t="n">
        <f aca="false">K121+K122</f>
        <v>11</v>
      </c>
      <c r="L123" s="123" t="n">
        <f aca="false">L121+L122</f>
        <v>11</v>
      </c>
      <c r="M123" s="123" t="n">
        <f aca="false">M121+M122</f>
        <v>11</v>
      </c>
      <c r="N123" s="123" t="n">
        <f aca="false">N121+N122</f>
        <v>11</v>
      </c>
      <c r="O123" s="123" t="n">
        <f aca="false">O121+O122</f>
        <v>11</v>
      </c>
      <c r="P123" s="123" t="n">
        <f aca="false">P121+P122</f>
        <v>11</v>
      </c>
      <c r="Q123" s="123" t="n">
        <f aca="false">Q121+Q122</f>
        <v>11</v>
      </c>
      <c r="R123" s="123" t="n">
        <f aca="false">R121+R122</f>
        <v>11</v>
      </c>
      <c r="S123" s="123" t="n">
        <f aca="false">S121+S122</f>
        <v>11</v>
      </c>
      <c r="T123" s="123" t="n">
        <f aca="false">T121+T122</f>
        <v>11</v>
      </c>
      <c r="U123" s="123" t="n">
        <f aca="false">U121+U122</f>
        <v>11</v>
      </c>
      <c r="V123" s="123" t="n">
        <f aca="false">V121+V122</f>
        <v>11</v>
      </c>
      <c r="W123" s="123" t="n">
        <f aca="false">W121+W122</f>
        <v>11</v>
      </c>
      <c r="X123" s="123" t="n">
        <f aca="false">X121+X122</f>
        <v>11</v>
      </c>
      <c r="Y123" s="123" t="n">
        <f aca="false">Y121+Y122</f>
        <v>11</v>
      </c>
      <c r="Z123" s="123" t="n">
        <f aca="false">Z121+Z122</f>
        <v>11</v>
      </c>
      <c r="AA123" s="123" t="n">
        <f aca="false">AA121+AA122</f>
        <v>11</v>
      </c>
      <c r="AB123" s="123" t="n">
        <f aca="false">AB121+AB122</f>
        <v>11</v>
      </c>
      <c r="AC123" s="123" t="n">
        <f aca="false">AC121+AC122</f>
        <v>11</v>
      </c>
      <c r="AD123" s="123" t="n">
        <f aca="false">AD121+AD122</f>
        <v>11</v>
      </c>
      <c r="AE123" s="123" t="n">
        <f aca="false">AE121+AE122</f>
        <v>11</v>
      </c>
      <c r="AF123" s="123" t="n">
        <f aca="false">AF121+AF122</f>
        <v>11</v>
      </c>
      <c r="AG123" s="123" t="n">
        <f aca="false">AG121+AG122</f>
        <v>11</v>
      </c>
      <c r="AH123" s="123" t="n">
        <f aca="false">AH121+AH122</f>
        <v>11</v>
      </c>
      <c r="AI123" s="123" t="n">
        <f aca="false">AI121+AI122</f>
        <v>11</v>
      </c>
      <c r="AJ123" s="123" t="n">
        <f aca="false">AJ121+AJ122</f>
        <v>11</v>
      </c>
      <c r="AK123" s="123" t="n">
        <f aca="false">AK121+AK122</f>
        <v>11</v>
      </c>
      <c r="AL123" s="123" t="n">
        <f aca="false">AL121+AL122</f>
        <v>11</v>
      </c>
    </row>
    <row r="125" customFormat="false" ht="15.75" hidden="false" customHeight="true" outlineLevel="0" collapsed="false">
      <c r="A125" s="7" t="s">
        <v>447</v>
      </c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</row>
    <row r="126" customFormat="false" ht="15" hidden="false" customHeight="false" outlineLevel="0" collapsed="false">
      <c r="A126" s="6" t="s">
        <v>448</v>
      </c>
      <c r="C126" s="69" t="n">
        <f aca="false">-C121*Inputs!$B$56/12*1*(1+Inputs!$B$63)*(1+Inputs!$B$64)^(C$7-1)</f>
        <v>-6720</v>
      </c>
      <c r="D126" s="69" t="n">
        <f aca="false">-D121*Inputs!$B$56/12*1*(1+Inputs!$B$63)*(1+Inputs!$B$64)^(D$7-1)</f>
        <v>-6720</v>
      </c>
      <c r="E126" s="69" t="n">
        <f aca="false">-E121*Inputs!$B$56/12*1*(1+Inputs!$B$63)*(1+Inputs!$B$64)^(E$7-1)</f>
        <v>-6720</v>
      </c>
      <c r="F126" s="69" t="n">
        <f aca="false">-F121*Inputs!$B$56/12*1*(1+Inputs!$B$63)*(1+Inputs!$B$64)^(F$7-1)</f>
        <v>-6720</v>
      </c>
      <c r="G126" s="69" t="n">
        <f aca="false">-G121*Inputs!$B$56/12*1*(1+Inputs!$B$63)*(1+Inputs!$B$64)^(G$7-1)</f>
        <v>-6720</v>
      </c>
      <c r="H126" s="69" t="n">
        <f aca="false">-H121*Inputs!$B$56/12*1*(1+Inputs!$B$63)*(1+Inputs!$B$64)^(H$7-1)</f>
        <v>-6720</v>
      </c>
      <c r="I126" s="69" t="n">
        <f aca="false">-I121*Inputs!$B$56/12*1*(1+Inputs!$B$63)*(1+Inputs!$B$64)^(I$7-1)</f>
        <v>-6720</v>
      </c>
      <c r="J126" s="69" t="n">
        <f aca="false">-J121*Inputs!$B$56/12*1*(1+Inputs!$B$63)*(1+Inputs!$B$64)^(J$7-1)</f>
        <v>-6720</v>
      </c>
      <c r="K126" s="69" t="n">
        <f aca="false">-K121*Inputs!$B$56/12*1*(1+Inputs!$B$63)*(1+Inputs!$B$64)^(K$7-1)</f>
        <v>-6720</v>
      </c>
      <c r="L126" s="69" t="n">
        <f aca="false">-L121*Inputs!$B$56/12*1*(1+Inputs!$B$63)*(1+Inputs!$B$64)^(L$7-1)</f>
        <v>-6720</v>
      </c>
      <c r="M126" s="69" t="n">
        <f aca="false">-M121*Inputs!$B$56/12*1*(1+Inputs!$B$63)*(1+Inputs!$B$64)^(M$7-1)</f>
        <v>-6720</v>
      </c>
      <c r="N126" s="69" t="n">
        <f aca="false">-N121*Inputs!$B$56/12*1*(1+Inputs!$B$63)*(1+Inputs!$B$64)^(N$7-1)</f>
        <v>-6720</v>
      </c>
      <c r="O126" s="69" t="n">
        <f aca="false">-O121*Inputs!$B$56/12*1*(1+Inputs!$B$63)*(1+Inputs!$B$64)^(O$7-1)</f>
        <v>-6921.6</v>
      </c>
      <c r="P126" s="69" t="n">
        <f aca="false">-P121*Inputs!$B$56/12*1*(1+Inputs!$B$63)*(1+Inputs!$B$64)^(P$7-1)</f>
        <v>-6921.6</v>
      </c>
      <c r="Q126" s="69" t="n">
        <f aca="false">-Q121*Inputs!$B$56/12*1*(1+Inputs!$B$63)*(1+Inputs!$B$64)^(Q$7-1)</f>
        <v>-6921.6</v>
      </c>
      <c r="R126" s="69" t="n">
        <f aca="false">-R121*Inputs!$B$56/12*1*(1+Inputs!$B$63)*(1+Inputs!$B$64)^(R$7-1)</f>
        <v>-6921.6</v>
      </c>
      <c r="S126" s="69" t="n">
        <f aca="false">-S121*Inputs!$B$56/12*1*(1+Inputs!$B$63)*(1+Inputs!$B$64)^(S$7-1)</f>
        <v>-6921.6</v>
      </c>
      <c r="T126" s="69" t="n">
        <f aca="false">-T121*Inputs!$B$56/12*1*(1+Inputs!$B$63)*(1+Inputs!$B$64)^(T$7-1)</f>
        <v>-6921.6</v>
      </c>
      <c r="U126" s="69" t="n">
        <f aca="false">-U121*Inputs!$B$56/12*1*(1+Inputs!$B$63)*(1+Inputs!$B$64)^(U$7-1)</f>
        <v>-6921.6</v>
      </c>
      <c r="V126" s="69" t="n">
        <f aca="false">-V121*Inputs!$B$56/12*1*(1+Inputs!$B$63)*(1+Inputs!$B$64)^(V$7-1)</f>
        <v>-6921.6</v>
      </c>
      <c r="W126" s="69" t="n">
        <f aca="false">-W121*Inputs!$B$56/12*1*(1+Inputs!$B$63)*(1+Inputs!$B$64)^(W$7-1)</f>
        <v>-6921.6</v>
      </c>
      <c r="X126" s="69" t="n">
        <f aca="false">-X121*Inputs!$B$56/12*1*(1+Inputs!$B$63)*(1+Inputs!$B$64)^(X$7-1)</f>
        <v>-6921.6</v>
      </c>
      <c r="Y126" s="69" t="n">
        <f aca="false">-Y121*Inputs!$B$56/12*1*(1+Inputs!$B$63)*(1+Inputs!$B$64)^(Y$7-1)</f>
        <v>-6921.6</v>
      </c>
      <c r="Z126" s="69" t="n">
        <f aca="false">-Z121*Inputs!$B$56/12*1*(1+Inputs!$B$63)*(1+Inputs!$B$64)^(Z$7-1)</f>
        <v>-6921.6</v>
      </c>
      <c r="AA126" s="69" t="n">
        <f aca="false">-AA121*Inputs!$B$56/12*1*(1+Inputs!$B$63)*(1+Inputs!$B$64)^(AA$7-1)</f>
        <v>-7129.248</v>
      </c>
      <c r="AB126" s="69" t="n">
        <f aca="false">-AB121*Inputs!$B$56/12*1*(1+Inputs!$B$63)*(1+Inputs!$B$64)^(AB$7-1)</f>
        <v>-7129.248</v>
      </c>
      <c r="AC126" s="69" t="n">
        <f aca="false">-AC121*Inputs!$B$56/12*1*(1+Inputs!$B$63)*(1+Inputs!$B$64)^(AC$7-1)</f>
        <v>-7129.248</v>
      </c>
      <c r="AD126" s="69" t="n">
        <f aca="false">-AD121*Inputs!$B$56/12*1*(1+Inputs!$B$63)*(1+Inputs!$B$64)^(AD$7-1)</f>
        <v>-7129.248</v>
      </c>
      <c r="AE126" s="69" t="n">
        <f aca="false">-AE121*Inputs!$B$56/12*1*(1+Inputs!$B$63)*(1+Inputs!$B$64)^(AE$7-1)</f>
        <v>-7129.248</v>
      </c>
      <c r="AF126" s="69" t="n">
        <f aca="false">-AF121*Inputs!$B$56/12*1*(1+Inputs!$B$63)*(1+Inputs!$B$64)^(AF$7-1)</f>
        <v>-7129.248</v>
      </c>
      <c r="AG126" s="69" t="n">
        <f aca="false">-AG121*Inputs!$B$56/12*1*(1+Inputs!$B$63)*(1+Inputs!$B$64)^(AG$7-1)</f>
        <v>-7129.248</v>
      </c>
      <c r="AH126" s="69" t="n">
        <f aca="false">-AH121*Inputs!$B$56/12*1*(1+Inputs!$B$63)*(1+Inputs!$B$64)^(AH$7-1)</f>
        <v>-7129.248</v>
      </c>
      <c r="AI126" s="69" t="n">
        <f aca="false">-AI121*Inputs!$B$56/12*1*(1+Inputs!$B$63)*(1+Inputs!$B$64)^(AI$7-1)</f>
        <v>-7129.248</v>
      </c>
      <c r="AJ126" s="69" t="n">
        <f aca="false">-AJ121*Inputs!$B$56/12*1*(1+Inputs!$B$63)*(1+Inputs!$B$64)^(AJ$7-1)</f>
        <v>-7129.248</v>
      </c>
      <c r="AK126" s="69" t="n">
        <f aca="false">-AK121*Inputs!$B$56/12*1*(1+Inputs!$B$63)*(1+Inputs!$B$64)^(AK$7-1)</f>
        <v>-7129.248</v>
      </c>
      <c r="AL126" s="69" t="n">
        <f aca="false">-AL121*Inputs!$B$56/12*1*(1+Inputs!$B$63)*(1+Inputs!$B$64)^(AL$7-1)</f>
        <v>-7129.248</v>
      </c>
    </row>
    <row r="127" customFormat="false" ht="15" hidden="false" customHeight="false" outlineLevel="0" collapsed="false">
      <c r="A127" s="6" t="s">
        <v>449</v>
      </c>
      <c r="C127" s="69" t="n">
        <f aca="false">-C122*Inputs!$B$60/12*1*(1+Inputs!$B$63)*(1+Inputs!$B$64)^(C$7-1)</f>
        <v>-29866.6666666667</v>
      </c>
      <c r="D127" s="69" t="n">
        <f aca="false">-D122*Inputs!$B$60/12*1*(1+Inputs!$B$63)*(1+Inputs!$B$64)^(D$7-1)</f>
        <v>-29866.6666666667</v>
      </c>
      <c r="E127" s="69" t="n">
        <f aca="false">-E122*Inputs!$B$60/12*1*(1+Inputs!$B$63)*(1+Inputs!$B$64)^(E$7-1)</f>
        <v>-29866.6666666667</v>
      </c>
      <c r="F127" s="69" t="n">
        <f aca="false">-F122*Inputs!$B$60/12*1*(1+Inputs!$B$63)*(1+Inputs!$B$64)^(F$7-1)</f>
        <v>-29866.6666666667</v>
      </c>
      <c r="G127" s="69" t="n">
        <f aca="false">-G122*Inputs!$B$60/12*1*(1+Inputs!$B$63)*(1+Inputs!$B$64)^(G$7-1)</f>
        <v>-29866.6666666667</v>
      </c>
      <c r="H127" s="69" t="n">
        <f aca="false">-H122*Inputs!$B$60/12*1*(1+Inputs!$B$63)*(1+Inputs!$B$64)^(H$7-1)</f>
        <v>-29866.6666666667</v>
      </c>
      <c r="I127" s="69" t="n">
        <f aca="false">-I122*Inputs!$B$60/12*1*(1+Inputs!$B$63)*(1+Inputs!$B$64)^(I$7-1)</f>
        <v>-29866.6666666667</v>
      </c>
      <c r="J127" s="69" t="n">
        <f aca="false">-J122*Inputs!$B$60/12*1*(1+Inputs!$B$63)*(1+Inputs!$B$64)^(J$7-1)</f>
        <v>-29866.6666666667</v>
      </c>
      <c r="K127" s="69" t="n">
        <f aca="false">-K122*Inputs!$B$60/12*1*(1+Inputs!$B$63)*(1+Inputs!$B$64)^(K$7-1)</f>
        <v>-29866.6666666667</v>
      </c>
      <c r="L127" s="69" t="n">
        <f aca="false">-L122*Inputs!$B$60/12*1*(1+Inputs!$B$63)*(1+Inputs!$B$64)^(L$7-1)</f>
        <v>-29866.6666666667</v>
      </c>
      <c r="M127" s="69" t="n">
        <f aca="false">-M122*Inputs!$B$60/12*1*(1+Inputs!$B$63)*(1+Inputs!$B$64)^(M$7-1)</f>
        <v>-29866.6666666667</v>
      </c>
      <c r="N127" s="69" t="n">
        <f aca="false">-N122*Inputs!$B$60/12*1*(1+Inputs!$B$63)*(1+Inputs!$B$64)^(N$7-1)</f>
        <v>-29866.6666666667</v>
      </c>
      <c r="O127" s="69" t="n">
        <f aca="false">-O122*Inputs!$B$60/12*1*(1+Inputs!$B$63)*(1+Inputs!$B$64)^(O$7-1)</f>
        <v>-30762.6666666667</v>
      </c>
      <c r="P127" s="69" t="n">
        <f aca="false">-P122*Inputs!$B$60/12*1*(1+Inputs!$B$63)*(1+Inputs!$B$64)^(P$7-1)</f>
        <v>-30762.6666666667</v>
      </c>
      <c r="Q127" s="69" t="n">
        <f aca="false">-Q122*Inputs!$B$60/12*1*(1+Inputs!$B$63)*(1+Inputs!$B$64)^(Q$7-1)</f>
        <v>-30762.6666666667</v>
      </c>
      <c r="R127" s="69" t="n">
        <f aca="false">-R122*Inputs!$B$60/12*1*(1+Inputs!$B$63)*(1+Inputs!$B$64)^(R$7-1)</f>
        <v>-30762.6666666667</v>
      </c>
      <c r="S127" s="69" t="n">
        <f aca="false">-S122*Inputs!$B$60/12*1*(1+Inputs!$B$63)*(1+Inputs!$B$64)^(S$7-1)</f>
        <v>-30762.6666666667</v>
      </c>
      <c r="T127" s="69" t="n">
        <f aca="false">-T122*Inputs!$B$60/12*1*(1+Inputs!$B$63)*(1+Inputs!$B$64)^(T$7-1)</f>
        <v>-30762.6666666667</v>
      </c>
      <c r="U127" s="69" t="n">
        <f aca="false">-U122*Inputs!$B$60/12*1*(1+Inputs!$B$63)*(1+Inputs!$B$64)^(U$7-1)</f>
        <v>-30762.6666666667</v>
      </c>
      <c r="V127" s="69" t="n">
        <f aca="false">-V122*Inputs!$B$60/12*1*(1+Inputs!$B$63)*(1+Inputs!$B$64)^(V$7-1)</f>
        <v>-30762.6666666667</v>
      </c>
      <c r="W127" s="69" t="n">
        <f aca="false">-W122*Inputs!$B$60/12*1*(1+Inputs!$B$63)*(1+Inputs!$B$64)^(W$7-1)</f>
        <v>-30762.6666666667</v>
      </c>
      <c r="X127" s="69" t="n">
        <f aca="false">-X122*Inputs!$B$60/12*1*(1+Inputs!$B$63)*(1+Inputs!$B$64)^(X$7-1)</f>
        <v>-30762.6666666667</v>
      </c>
      <c r="Y127" s="69" t="n">
        <f aca="false">-Y122*Inputs!$B$60/12*1*(1+Inputs!$B$63)*(1+Inputs!$B$64)^(Y$7-1)</f>
        <v>-30762.6666666667</v>
      </c>
      <c r="Z127" s="69" t="n">
        <f aca="false">-Z122*Inputs!$B$60/12*1*(1+Inputs!$B$63)*(1+Inputs!$B$64)^(Z$7-1)</f>
        <v>-30762.6666666667</v>
      </c>
      <c r="AA127" s="69" t="n">
        <f aca="false">-AA122*Inputs!$B$60/12*1*(1+Inputs!$B$63)*(1+Inputs!$B$64)^(AA$7-1)</f>
        <v>-31685.5466666667</v>
      </c>
      <c r="AB127" s="69" t="n">
        <f aca="false">-AB122*Inputs!$B$60/12*1*(1+Inputs!$B$63)*(1+Inputs!$B$64)^(AB$7-1)</f>
        <v>-31685.5466666667</v>
      </c>
      <c r="AC127" s="69" t="n">
        <f aca="false">-AC122*Inputs!$B$60/12*1*(1+Inputs!$B$63)*(1+Inputs!$B$64)^(AC$7-1)</f>
        <v>-31685.5466666667</v>
      </c>
      <c r="AD127" s="69" t="n">
        <f aca="false">-AD122*Inputs!$B$60/12*1*(1+Inputs!$B$63)*(1+Inputs!$B$64)^(AD$7-1)</f>
        <v>-31685.5466666667</v>
      </c>
      <c r="AE127" s="69" t="n">
        <f aca="false">-AE122*Inputs!$B$60/12*1*(1+Inputs!$B$63)*(1+Inputs!$B$64)^(AE$7-1)</f>
        <v>-31685.5466666667</v>
      </c>
      <c r="AF127" s="69" t="n">
        <f aca="false">-AF122*Inputs!$B$60/12*1*(1+Inputs!$B$63)*(1+Inputs!$B$64)^(AF$7-1)</f>
        <v>-31685.5466666667</v>
      </c>
      <c r="AG127" s="69" t="n">
        <f aca="false">-AG122*Inputs!$B$60/12*1*(1+Inputs!$B$63)*(1+Inputs!$B$64)^(AG$7-1)</f>
        <v>-31685.5466666667</v>
      </c>
      <c r="AH127" s="69" t="n">
        <f aca="false">-AH122*Inputs!$B$60/12*1*(1+Inputs!$B$63)*(1+Inputs!$B$64)^(AH$7-1)</f>
        <v>-31685.5466666667</v>
      </c>
      <c r="AI127" s="69" t="n">
        <f aca="false">-AI122*Inputs!$B$60/12*1*(1+Inputs!$B$63)*(1+Inputs!$B$64)^(AI$7-1)</f>
        <v>-31685.5466666667</v>
      </c>
      <c r="AJ127" s="69" t="n">
        <f aca="false">-AJ122*Inputs!$B$60/12*1*(1+Inputs!$B$63)*(1+Inputs!$B$64)^(AJ$7-1)</f>
        <v>-31685.5466666667</v>
      </c>
      <c r="AK127" s="69" t="n">
        <f aca="false">-AK122*Inputs!$B$60/12*1*(1+Inputs!$B$63)*(1+Inputs!$B$64)^(AK$7-1)</f>
        <v>-31685.5466666667</v>
      </c>
      <c r="AL127" s="69" t="n">
        <f aca="false">-AL122*Inputs!$B$60/12*1*(1+Inputs!$B$63)*(1+Inputs!$B$64)^(AL$7-1)</f>
        <v>-31685.5466666667</v>
      </c>
    </row>
    <row r="128" customFormat="false" ht="15" hidden="false" customHeight="false" outlineLevel="0" collapsed="false">
      <c r="A128" s="113" t="s">
        <v>450</v>
      </c>
      <c r="C128" s="70" t="n">
        <f aca="false">C126+C127</f>
        <v>-36586.6666666667</v>
      </c>
      <c r="D128" s="70" t="n">
        <f aca="false">D126+D127</f>
        <v>-36586.6666666667</v>
      </c>
      <c r="E128" s="70" t="n">
        <f aca="false">E126+E127</f>
        <v>-36586.6666666667</v>
      </c>
      <c r="F128" s="70" t="n">
        <f aca="false">F126+F127</f>
        <v>-36586.6666666667</v>
      </c>
      <c r="G128" s="70" t="n">
        <f aca="false">G126+G127</f>
        <v>-36586.6666666667</v>
      </c>
      <c r="H128" s="70" t="n">
        <f aca="false">H126+H127</f>
        <v>-36586.6666666667</v>
      </c>
      <c r="I128" s="70" t="n">
        <f aca="false">I126+I127</f>
        <v>-36586.6666666667</v>
      </c>
      <c r="J128" s="70" t="n">
        <f aca="false">J126+J127</f>
        <v>-36586.6666666667</v>
      </c>
      <c r="K128" s="70" t="n">
        <f aca="false">K126+K127</f>
        <v>-36586.6666666667</v>
      </c>
      <c r="L128" s="70" t="n">
        <f aca="false">L126+L127</f>
        <v>-36586.6666666667</v>
      </c>
      <c r="M128" s="70" t="n">
        <f aca="false">M126+M127</f>
        <v>-36586.6666666667</v>
      </c>
      <c r="N128" s="70" t="n">
        <f aca="false">N126+N127</f>
        <v>-36586.6666666667</v>
      </c>
      <c r="O128" s="70" t="n">
        <f aca="false">O126+O127</f>
        <v>-37684.2666666667</v>
      </c>
      <c r="P128" s="70" t="n">
        <f aca="false">P126+P127</f>
        <v>-37684.2666666667</v>
      </c>
      <c r="Q128" s="70" t="n">
        <f aca="false">Q126+Q127</f>
        <v>-37684.2666666667</v>
      </c>
      <c r="R128" s="70" t="n">
        <f aca="false">R126+R127</f>
        <v>-37684.2666666667</v>
      </c>
      <c r="S128" s="70" t="n">
        <f aca="false">S126+S127</f>
        <v>-37684.2666666667</v>
      </c>
      <c r="T128" s="70" t="n">
        <f aca="false">T126+T127</f>
        <v>-37684.2666666667</v>
      </c>
      <c r="U128" s="70" t="n">
        <f aca="false">U126+U127</f>
        <v>-37684.2666666667</v>
      </c>
      <c r="V128" s="70" t="n">
        <f aca="false">V126+V127</f>
        <v>-37684.2666666667</v>
      </c>
      <c r="W128" s="70" t="n">
        <f aca="false">W126+W127</f>
        <v>-37684.2666666667</v>
      </c>
      <c r="X128" s="70" t="n">
        <f aca="false">X126+X127</f>
        <v>-37684.2666666667</v>
      </c>
      <c r="Y128" s="70" t="n">
        <f aca="false">Y126+Y127</f>
        <v>-37684.2666666667</v>
      </c>
      <c r="Z128" s="70" t="n">
        <f aca="false">Z126+Z127</f>
        <v>-37684.2666666667</v>
      </c>
      <c r="AA128" s="70" t="n">
        <f aca="false">AA126+AA127</f>
        <v>-38814.7946666667</v>
      </c>
      <c r="AB128" s="70" t="n">
        <f aca="false">AB126+AB127</f>
        <v>-38814.7946666667</v>
      </c>
      <c r="AC128" s="70" t="n">
        <f aca="false">AC126+AC127</f>
        <v>-38814.7946666667</v>
      </c>
      <c r="AD128" s="70" t="n">
        <f aca="false">AD126+AD127</f>
        <v>-38814.7946666667</v>
      </c>
      <c r="AE128" s="70" t="n">
        <f aca="false">AE126+AE127</f>
        <v>-38814.7946666667</v>
      </c>
      <c r="AF128" s="70" t="n">
        <f aca="false">AF126+AF127</f>
        <v>-38814.7946666667</v>
      </c>
      <c r="AG128" s="70" t="n">
        <f aca="false">AG126+AG127</f>
        <v>-38814.7946666667</v>
      </c>
      <c r="AH128" s="70" t="n">
        <f aca="false">AH126+AH127</f>
        <v>-38814.7946666667</v>
      </c>
      <c r="AI128" s="70" t="n">
        <f aca="false">AI126+AI127</f>
        <v>-38814.7946666667</v>
      </c>
      <c r="AJ128" s="70" t="n">
        <f aca="false">AJ126+AJ127</f>
        <v>-38814.7946666667</v>
      </c>
      <c r="AK128" s="70" t="n">
        <f aca="false">AK126+AK127</f>
        <v>-38814.7946666667</v>
      </c>
      <c r="AL128" s="70" t="n">
        <f aca="false">AL126+AL127</f>
        <v>-38814.7946666667</v>
      </c>
    </row>
    <row r="131" customFormat="false" ht="15.75" hidden="false" customHeight="true" outlineLevel="0" collapsed="false">
      <c r="A131" s="7" t="s">
        <v>454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33" t="s">
        <v>351</v>
      </c>
      <c r="C132" s="35" t="s">
        <v>352</v>
      </c>
      <c r="D132" s="35" t="s">
        <v>353</v>
      </c>
      <c r="E132" s="35" t="s">
        <v>354</v>
      </c>
      <c r="F132" s="35" t="s">
        <v>355</v>
      </c>
      <c r="G132" s="35" t="s">
        <v>356</v>
      </c>
      <c r="H132" s="35" t="s">
        <v>357</v>
      </c>
      <c r="I132" s="35" t="s">
        <v>358</v>
      </c>
      <c r="J132" s="35" t="s">
        <v>359</v>
      </c>
      <c r="K132" s="35" t="s">
        <v>360</v>
      </c>
      <c r="L132" s="35" t="s">
        <v>361</v>
      </c>
      <c r="M132" s="35" t="s">
        <v>362</v>
      </c>
      <c r="N132" s="35" t="s">
        <v>363</v>
      </c>
      <c r="O132" s="35" t="s">
        <v>364</v>
      </c>
      <c r="P132" s="35" t="s">
        <v>365</v>
      </c>
      <c r="Q132" s="35" t="s">
        <v>366</v>
      </c>
      <c r="R132" s="35" t="s">
        <v>367</v>
      </c>
      <c r="S132" s="35" t="s">
        <v>368</v>
      </c>
      <c r="T132" s="35" t="s">
        <v>369</v>
      </c>
      <c r="U132" s="35" t="s">
        <v>370</v>
      </c>
      <c r="V132" s="35" t="s">
        <v>371</v>
      </c>
      <c r="W132" s="35" t="s">
        <v>372</v>
      </c>
      <c r="X132" s="35" t="s">
        <v>373</v>
      </c>
      <c r="Y132" s="35" t="s">
        <v>374</v>
      </c>
      <c r="Z132" s="35" t="s">
        <v>375</v>
      </c>
      <c r="AA132" s="35" t="s">
        <v>376</v>
      </c>
      <c r="AB132" s="35" t="s">
        <v>377</v>
      </c>
      <c r="AC132" s="35" t="s">
        <v>378</v>
      </c>
      <c r="AD132" s="35" t="s">
        <v>379</v>
      </c>
      <c r="AE132" s="35" t="s">
        <v>380</v>
      </c>
      <c r="AF132" s="35" t="s">
        <v>381</v>
      </c>
      <c r="AG132" s="35" t="s">
        <v>382</v>
      </c>
      <c r="AH132" s="35" t="s">
        <v>383</v>
      </c>
      <c r="AI132" s="35" t="s">
        <v>384</v>
      </c>
      <c r="AJ132" s="35" t="s">
        <v>385</v>
      </c>
      <c r="AK132" s="35" t="s">
        <v>386</v>
      </c>
      <c r="AL132" s="35" t="s">
        <v>387</v>
      </c>
    </row>
    <row r="133" customFormat="false" ht="15" hidden="false" customHeight="false" outlineLevel="0" collapsed="false">
      <c r="A133" s="74" t="s">
        <v>388</v>
      </c>
      <c r="C133" s="74" t="n">
        <v>1</v>
      </c>
      <c r="D133" s="74" t="n">
        <v>2</v>
      </c>
      <c r="E133" s="74" t="n">
        <v>3</v>
      </c>
      <c r="F133" s="74" t="n">
        <v>4</v>
      </c>
      <c r="G133" s="74" t="n">
        <v>5</v>
      </c>
      <c r="H133" s="74" t="n">
        <v>6</v>
      </c>
      <c r="I133" s="74" t="n">
        <v>7</v>
      </c>
      <c r="J133" s="74" t="n">
        <v>8</v>
      </c>
      <c r="K133" s="74" t="n">
        <v>9</v>
      </c>
      <c r="L133" s="74" t="n">
        <v>10</v>
      </c>
      <c r="M133" s="74" t="n">
        <v>11</v>
      </c>
      <c r="N133" s="74" t="n">
        <v>12</v>
      </c>
      <c r="O133" s="74" t="n">
        <v>13</v>
      </c>
      <c r="P133" s="74" t="n">
        <v>14</v>
      </c>
      <c r="Q133" s="74" t="n">
        <v>15</v>
      </c>
      <c r="R133" s="74" t="n">
        <v>16</v>
      </c>
      <c r="S133" s="74" t="n">
        <v>17</v>
      </c>
      <c r="T133" s="74" t="n">
        <v>18</v>
      </c>
      <c r="U133" s="74" t="n">
        <v>19</v>
      </c>
      <c r="V133" s="74" t="n">
        <v>20</v>
      </c>
      <c r="W133" s="74" t="n">
        <v>21</v>
      </c>
      <c r="X133" s="74" t="n">
        <v>22</v>
      </c>
      <c r="Y133" s="74" t="n">
        <v>23</v>
      </c>
      <c r="Z133" s="74" t="n">
        <v>24</v>
      </c>
      <c r="AA133" s="74" t="n">
        <v>25</v>
      </c>
      <c r="AB133" s="74" t="n">
        <v>26</v>
      </c>
      <c r="AC133" s="74" t="n">
        <v>27</v>
      </c>
      <c r="AD133" s="74" t="n">
        <v>28</v>
      </c>
      <c r="AE133" s="74" t="n">
        <v>29</v>
      </c>
      <c r="AF133" s="74" t="n">
        <v>30</v>
      </c>
      <c r="AG133" s="74" t="n">
        <v>31</v>
      </c>
      <c r="AH133" s="74" t="n">
        <v>32</v>
      </c>
      <c r="AI133" s="74" t="n">
        <v>33</v>
      </c>
      <c r="AJ133" s="74" t="n">
        <v>34</v>
      </c>
      <c r="AK133" s="74" t="n">
        <v>35</v>
      </c>
      <c r="AL133" s="74" t="n">
        <v>36</v>
      </c>
    </row>
    <row r="134" customFormat="false" ht="15" hidden="false" customHeight="false" outlineLevel="0" collapsed="false">
      <c r="A134" s="74" t="s">
        <v>155</v>
      </c>
      <c r="C134" s="74" t="n">
        <f aca="false">ROUNDUP(C133*1/12,0)</f>
        <v>1</v>
      </c>
      <c r="D134" s="74" t="n">
        <f aca="false">ROUNDUP(D133*1/12,0)</f>
        <v>1</v>
      </c>
      <c r="E134" s="74" t="n">
        <f aca="false">ROUNDUP(E133*1/12,0)</f>
        <v>1</v>
      </c>
      <c r="F134" s="74" t="n">
        <f aca="false">ROUNDUP(F133*1/12,0)</f>
        <v>1</v>
      </c>
      <c r="G134" s="74" t="n">
        <f aca="false">ROUNDUP(G133*1/12,0)</f>
        <v>1</v>
      </c>
      <c r="H134" s="74" t="n">
        <f aca="false">ROUNDUP(H133*1/12,0)</f>
        <v>1</v>
      </c>
      <c r="I134" s="74" t="n">
        <f aca="false">ROUNDUP(I133*1/12,0)</f>
        <v>1</v>
      </c>
      <c r="J134" s="74" t="n">
        <f aca="false">ROUNDUP(J133*1/12,0)</f>
        <v>1</v>
      </c>
      <c r="K134" s="74" t="n">
        <f aca="false">ROUNDUP(K133*1/12,0)</f>
        <v>1</v>
      </c>
      <c r="L134" s="74" t="n">
        <f aca="false">ROUNDUP(L133*1/12,0)</f>
        <v>1</v>
      </c>
      <c r="M134" s="74" t="n">
        <f aca="false">ROUNDUP(M133*1/12,0)</f>
        <v>1</v>
      </c>
      <c r="N134" s="74" t="n">
        <f aca="false">ROUNDUP(N133*1/12,0)</f>
        <v>1</v>
      </c>
      <c r="O134" s="74" t="n">
        <f aca="false">ROUNDUP(O133*1/12,0)</f>
        <v>2</v>
      </c>
      <c r="P134" s="74" t="n">
        <f aca="false">ROUNDUP(P133*1/12,0)</f>
        <v>2</v>
      </c>
      <c r="Q134" s="74" t="n">
        <f aca="false">ROUNDUP(Q133*1/12,0)</f>
        <v>2</v>
      </c>
      <c r="R134" s="74" t="n">
        <f aca="false">ROUNDUP(R133*1/12,0)</f>
        <v>2</v>
      </c>
      <c r="S134" s="74" t="n">
        <f aca="false">ROUNDUP(S133*1/12,0)</f>
        <v>2</v>
      </c>
      <c r="T134" s="74" t="n">
        <f aca="false">ROUNDUP(T133*1/12,0)</f>
        <v>2</v>
      </c>
      <c r="U134" s="74" t="n">
        <f aca="false">ROUNDUP(U133*1/12,0)</f>
        <v>2</v>
      </c>
      <c r="V134" s="74" t="n">
        <f aca="false">ROUNDUP(V133*1/12,0)</f>
        <v>2</v>
      </c>
      <c r="W134" s="74" t="n">
        <f aca="false">ROUNDUP(W133*1/12,0)</f>
        <v>2</v>
      </c>
      <c r="X134" s="74" t="n">
        <f aca="false">ROUNDUP(X133*1/12,0)</f>
        <v>2</v>
      </c>
      <c r="Y134" s="74" t="n">
        <f aca="false">ROUNDUP(Y133*1/12,0)</f>
        <v>2</v>
      </c>
      <c r="Z134" s="74" t="n">
        <f aca="false">ROUNDUP(Z133*1/12,0)</f>
        <v>2</v>
      </c>
      <c r="AA134" s="74" t="n">
        <f aca="false">ROUNDUP(AA133*1/12,0)</f>
        <v>3</v>
      </c>
      <c r="AB134" s="74" t="n">
        <f aca="false">ROUNDUP(AB133*1/12,0)</f>
        <v>3</v>
      </c>
      <c r="AC134" s="74" t="n">
        <f aca="false">ROUNDUP(AC133*1/12,0)</f>
        <v>3</v>
      </c>
      <c r="AD134" s="74" t="n">
        <f aca="false">ROUNDUP(AD133*1/12,0)</f>
        <v>3</v>
      </c>
      <c r="AE134" s="74" t="n">
        <f aca="false">ROUNDUP(AE133*1/12,0)</f>
        <v>3</v>
      </c>
      <c r="AF134" s="74" t="n">
        <f aca="false">ROUNDUP(AF133*1/12,0)</f>
        <v>3</v>
      </c>
      <c r="AG134" s="74" t="n">
        <f aca="false">ROUNDUP(AG133*1/12,0)</f>
        <v>3</v>
      </c>
      <c r="AH134" s="74" t="n">
        <f aca="false">ROUNDUP(AH133*1/12,0)</f>
        <v>3</v>
      </c>
      <c r="AI134" s="74" t="n">
        <f aca="false">ROUNDUP(AI133*1/12,0)</f>
        <v>3</v>
      </c>
      <c r="AJ134" s="74" t="n">
        <f aca="false">ROUNDUP(AJ133*1/12,0)</f>
        <v>3</v>
      </c>
      <c r="AK134" s="74" t="n">
        <f aca="false">ROUNDUP(AK133*1/12,0)</f>
        <v>3</v>
      </c>
      <c r="AL134" s="74" t="n">
        <f aca="false">ROUNDUP(AL133*1/12,0)</f>
        <v>3</v>
      </c>
    </row>
    <row r="136" customFormat="false" ht="15.75" hidden="false" customHeight="true" outlineLevel="0" collapsed="false">
      <c r="A136" s="7" t="s">
        <v>389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customFormat="false" ht="15" hidden="false" customHeight="false" outlineLevel="0" collapsed="false">
      <c r="A137" s="116" t="s">
        <v>390</v>
      </c>
      <c r="C137" s="117" t="n">
        <f aca="false">MAX(0,MIN(1,Inputs!$C$9-(C$133-1)*1))</f>
        <v>1</v>
      </c>
      <c r="D137" s="117" t="n">
        <f aca="false">MAX(0,MIN(1,Inputs!$C$9-(D$133-1)*1))</f>
        <v>1</v>
      </c>
      <c r="E137" s="117" t="n">
        <f aca="false">MAX(0,MIN(1,Inputs!$C$9-(E$133-1)*1))</f>
        <v>1</v>
      </c>
      <c r="F137" s="117" t="n">
        <f aca="false">MAX(0,MIN(1,Inputs!$C$9-(F$133-1)*1))</f>
        <v>1</v>
      </c>
      <c r="G137" s="117" t="n">
        <f aca="false">MAX(0,MIN(1,Inputs!$C$9-(G$133-1)*1))</f>
        <v>1</v>
      </c>
      <c r="H137" s="117" t="n">
        <f aca="false">MAX(0,MIN(1,Inputs!$C$9-(H$133-1)*1))</f>
        <v>1</v>
      </c>
      <c r="I137" s="117" t="n">
        <f aca="false">MAX(0,MIN(1,Inputs!$C$9-(I$133-1)*1))</f>
        <v>1</v>
      </c>
      <c r="J137" s="117" t="n">
        <f aca="false">MAX(0,MIN(1,Inputs!$C$9-(J$133-1)*1))</f>
        <v>1</v>
      </c>
      <c r="K137" s="117" t="n">
        <f aca="false">MAX(0,MIN(1,Inputs!$C$9-(K$133-1)*1))</f>
        <v>1</v>
      </c>
      <c r="L137" s="117" t="n">
        <f aca="false">MAX(0,MIN(1,Inputs!$C$9-(L$133-1)*1))</f>
        <v>0</v>
      </c>
      <c r="M137" s="117" t="n">
        <f aca="false">MAX(0,MIN(1,Inputs!$C$9-(M$133-1)*1))</f>
        <v>0</v>
      </c>
      <c r="N137" s="117" t="n">
        <f aca="false">MAX(0,MIN(1,Inputs!$C$9-(N$133-1)*1))</f>
        <v>0</v>
      </c>
      <c r="O137" s="117" t="n">
        <f aca="false">MAX(0,MIN(1,Inputs!$C$9-(O$133-1)*1))</f>
        <v>0</v>
      </c>
      <c r="P137" s="117" t="n">
        <f aca="false">MAX(0,MIN(1,Inputs!$C$9-(P$133-1)*1))</f>
        <v>0</v>
      </c>
      <c r="Q137" s="117" t="n">
        <f aca="false">MAX(0,MIN(1,Inputs!$C$9-(Q$133-1)*1))</f>
        <v>0</v>
      </c>
      <c r="R137" s="117" t="n">
        <f aca="false">MAX(0,MIN(1,Inputs!$C$9-(R$133-1)*1))</f>
        <v>0</v>
      </c>
      <c r="S137" s="117" t="n">
        <f aca="false">MAX(0,MIN(1,Inputs!$C$9-(S$133-1)*1))</f>
        <v>0</v>
      </c>
      <c r="T137" s="117" t="n">
        <f aca="false">MAX(0,MIN(1,Inputs!$C$9-(T$133-1)*1))</f>
        <v>0</v>
      </c>
      <c r="U137" s="117" t="n">
        <f aca="false">MAX(0,MIN(1,Inputs!$C$9-(U$133-1)*1))</f>
        <v>0</v>
      </c>
      <c r="V137" s="117" t="n">
        <f aca="false">MAX(0,MIN(1,Inputs!$C$9-(V$133-1)*1))</f>
        <v>0</v>
      </c>
      <c r="W137" s="117" t="n">
        <f aca="false">MAX(0,MIN(1,Inputs!$C$9-(W$133-1)*1))</f>
        <v>0</v>
      </c>
      <c r="X137" s="117" t="n">
        <f aca="false">MAX(0,MIN(1,Inputs!$C$9-(X$133-1)*1))</f>
        <v>0</v>
      </c>
      <c r="Y137" s="117" t="n">
        <f aca="false">MAX(0,MIN(1,Inputs!$C$9-(Y$133-1)*1))</f>
        <v>0</v>
      </c>
      <c r="Z137" s="117" t="n">
        <f aca="false">MAX(0,MIN(1,Inputs!$C$9-(Z$133-1)*1))</f>
        <v>0</v>
      </c>
      <c r="AA137" s="117" t="n">
        <f aca="false">MAX(0,MIN(1,Inputs!$C$9-(AA$133-1)*1))</f>
        <v>0</v>
      </c>
      <c r="AB137" s="117" t="n">
        <f aca="false">MAX(0,MIN(1,Inputs!$C$9-(AB$133-1)*1))</f>
        <v>0</v>
      </c>
      <c r="AC137" s="117" t="n">
        <f aca="false">MAX(0,MIN(1,Inputs!$C$9-(AC$133-1)*1))</f>
        <v>0</v>
      </c>
      <c r="AD137" s="117" t="n">
        <f aca="false">MAX(0,MIN(1,Inputs!$C$9-(AD$133-1)*1))</f>
        <v>0</v>
      </c>
      <c r="AE137" s="117" t="n">
        <f aca="false">MAX(0,MIN(1,Inputs!$C$9-(AE$133-1)*1))</f>
        <v>0</v>
      </c>
      <c r="AF137" s="117" t="n">
        <f aca="false">MAX(0,MIN(1,Inputs!$C$9-(AF$133-1)*1))</f>
        <v>0</v>
      </c>
      <c r="AG137" s="117" t="n">
        <f aca="false">MAX(0,MIN(1,Inputs!$C$9-(AG$133-1)*1))</f>
        <v>0</v>
      </c>
      <c r="AH137" s="117" t="n">
        <f aca="false">MAX(0,MIN(1,Inputs!$C$9-(AH$133-1)*1))</f>
        <v>0</v>
      </c>
      <c r="AI137" s="117" t="n">
        <f aca="false">MAX(0,MIN(1,Inputs!$C$9-(AI$133-1)*1))</f>
        <v>0</v>
      </c>
      <c r="AJ137" s="117" t="n">
        <f aca="false">MAX(0,MIN(1,Inputs!$C$9-(AJ$133-1)*1))</f>
        <v>0</v>
      </c>
      <c r="AK137" s="117" t="n">
        <f aca="false">MAX(0,MIN(1,Inputs!$C$9-(AK$133-1)*1))</f>
        <v>0</v>
      </c>
      <c r="AL137" s="117" t="n">
        <f aca="false">MAX(0,MIN(1,Inputs!$C$9-(AL$133-1)*1))</f>
        <v>0</v>
      </c>
    </row>
    <row r="138" customFormat="false" ht="15" hidden="false" customHeight="false" outlineLevel="0" collapsed="false">
      <c r="A138" s="39" t="s">
        <v>391</v>
      </c>
      <c r="C138" s="76" t="n">
        <f aca="false">IF(Inputs!$C$9&lt;=0,1,(C137*Inputs!$C$10+(1-Inputs!$C$10)/MAX(1,Inputs!$C$9)*(C137*(C$133-1)*1+C137*(C137-1)/2)+1-C137)/1)</f>
        <v>0.45</v>
      </c>
      <c r="D138" s="76" t="n">
        <f aca="false">IF(Inputs!$C$9&lt;=0,1,(D137*Inputs!$C$10+(1-Inputs!$C$10)/MAX(1,Inputs!$C$9)*(D137*(D$133-1)*1+D137*(D137-1)/2)+1-D137)/1)</f>
        <v>0.511111111111111</v>
      </c>
      <c r="E138" s="76" t="n">
        <f aca="false">IF(Inputs!$C$9&lt;=0,1,(E137*Inputs!$C$10+(1-Inputs!$C$10)/MAX(1,Inputs!$C$9)*(E137*(E$133-1)*1+E137*(E137-1)/2)+1-E137)/1)</f>
        <v>0.572222222222222</v>
      </c>
      <c r="F138" s="76" t="n">
        <f aca="false">IF(Inputs!$C$9&lt;=0,1,(F137*Inputs!$C$10+(1-Inputs!$C$10)/MAX(1,Inputs!$C$9)*(F137*(F$133-1)*1+F137*(F137-1)/2)+1-F137)/1)</f>
        <v>0.633333333333333</v>
      </c>
      <c r="G138" s="76" t="n">
        <f aca="false">IF(Inputs!$C$9&lt;=0,1,(G137*Inputs!$C$10+(1-Inputs!$C$10)/MAX(1,Inputs!$C$9)*(G137*(G$133-1)*1+G137*(G137-1)/2)+1-G137)/1)</f>
        <v>0.694444444444444</v>
      </c>
      <c r="H138" s="76" t="n">
        <f aca="false">IF(Inputs!$C$9&lt;=0,1,(H137*Inputs!$C$10+(1-Inputs!$C$10)/MAX(1,Inputs!$C$9)*(H137*(H$133-1)*1+H137*(H137-1)/2)+1-H137)/1)</f>
        <v>0.755555555555556</v>
      </c>
      <c r="I138" s="76" t="n">
        <f aca="false">IF(Inputs!$C$9&lt;=0,1,(I137*Inputs!$C$10+(1-Inputs!$C$10)/MAX(1,Inputs!$C$9)*(I137*(I$133-1)*1+I137*(I137-1)/2)+1-I137)/1)</f>
        <v>0.816666666666667</v>
      </c>
      <c r="J138" s="76" t="n">
        <f aca="false">IF(Inputs!$C$9&lt;=0,1,(J137*Inputs!$C$10+(1-Inputs!$C$10)/MAX(1,Inputs!$C$9)*(J137*(J$133-1)*1+J137*(J137-1)/2)+1-J137)/1)</f>
        <v>0.877777777777778</v>
      </c>
      <c r="K138" s="76" t="n">
        <f aca="false">IF(Inputs!$C$9&lt;=0,1,(K137*Inputs!$C$10+(1-Inputs!$C$10)/MAX(1,Inputs!$C$9)*(K137*(K$133-1)*1+K137*(K137-1)/2)+1-K137)/1)</f>
        <v>0.938888888888889</v>
      </c>
      <c r="L138" s="76" t="n">
        <f aca="false">IF(Inputs!$C$9&lt;=0,1,(L137*Inputs!$C$10+(1-Inputs!$C$10)/MAX(1,Inputs!$C$9)*(L137*(L$133-1)*1+L137*(L137-1)/2)+1-L137)/1)</f>
        <v>1</v>
      </c>
      <c r="M138" s="76" t="n">
        <f aca="false">IF(Inputs!$C$9&lt;=0,1,(M137*Inputs!$C$10+(1-Inputs!$C$10)/MAX(1,Inputs!$C$9)*(M137*(M$133-1)*1+M137*(M137-1)/2)+1-M137)/1)</f>
        <v>1</v>
      </c>
      <c r="N138" s="76" t="n">
        <f aca="false">IF(Inputs!$C$9&lt;=0,1,(N137*Inputs!$C$10+(1-Inputs!$C$10)/MAX(1,Inputs!$C$9)*(N137*(N$133-1)*1+N137*(N137-1)/2)+1-N137)/1)</f>
        <v>1</v>
      </c>
      <c r="O138" s="76" t="n">
        <f aca="false">IF(Inputs!$C$9&lt;=0,1,(O137*Inputs!$C$10+(1-Inputs!$C$10)/MAX(1,Inputs!$C$9)*(O137*(O$133-1)*1+O137*(O137-1)/2)+1-O137)/1)</f>
        <v>1</v>
      </c>
      <c r="P138" s="76" t="n">
        <f aca="false">IF(Inputs!$C$9&lt;=0,1,(P137*Inputs!$C$10+(1-Inputs!$C$10)/MAX(1,Inputs!$C$9)*(P137*(P$133-1)*1+P137*(P137-1)/2)+1-P137)/1)</f>
        <v>1</v>
      </c>
      <c r="Q138" s="76" t="n">
        <f aca="false">IF(Inputs!$C$9&lt;=0,1,(Q137*Inputs!$C$10+(1-Inputs!$C$10)/MAX(1,Inputs!$C$9)*(Q137*(Q$133-1)*1+Q137*(Q137-1)/2)+1-Q137)/1)</f>
        <v>1</v>
      </c>
      <c r="R138" s="76" t="n">
        <f aca="false">IF(Inputs!$C$9&lt;=0,1,(R137*Inputs!$C$10+(1-Inputs!$C$10)/MAX(1,Inputs!$C$9)*(R137*(R$133-1)*1+R137*(R137-1)/2)+1-R137)/1)</f>
        <v>1</v>
      </c>
      <c r="S138" s="76" t="n">
        <f aca="false">IF(Inputs!$C$9&lt;=0,1,(S137*Inputs!$C$10+(1-Inputs!$C$10)/MAX(1,Inputs!$C$9)*(S137*(S$133-1)*1+S137*(S137-1)/2)+1-S137)/1)</f>
        <v>1</v>
      </c>
      <c r="T138" s="76" t="n">
        <f aca="false">IF(Inputs!$C$9&lt;=0,1,(T137*Inputs!$C$10+(1-Inputs!$C$10)/MAX(1,Inputs!$C$9)*(T137*(T$133-1)*1+T137*(T137-1)/2)+1-T137)/1)</f>
        <v>1</v>
      </c>
      <c r="U138" s="76" t="n">
        <f aca="false">IF(Inputs!$C$9&lt;=0,1,(U137*Inputs!$C$10+(1-Inputs!$C$10)/MAX(1,Inputs!$C$9)*(U137*(U$133-1)*1+U137*(U137-1)/2)+1-U137)/1)</f>
        <v>1</v>
      </c>
      <c r="V138" s="76" t="n">
        <f aca="false">IF(Inputs!$C$9&lt;=0,1,(V137*Inputs!$C$10+(1-Inputs!$C$10)/MAX(1,Inputs!$C$9)*(V137*(V$133-1)*1+V137*(V137-1)/2)+1-V137)/1)</f>
        <v>1</v>
      </c>
      <c r="W138" s="76" t="n">
        <f aca="false">IF(Inputs!$C$9&lt;=0,1,(W137*Inputs!$C$10+(1-Inputs!$C$10)/MAX(1,Inputs!$C$9)*(W137*(W$133-1)*1+W137*(W137-1)/2)+1-W137)/1)</f>
        <v>1</v>
      </c>
      <c r="X138" s="76" t="n">
        <f aca="false">IF(Inputs!$C$9&lt;=0,1,(X137*Inputs!$C$10+(1-Inputs!$C$10)/MAX(1,Inputs!$C$9)*(X137*(X$133-1)*1+X137*(X137-1)/2)+1-X137)/1)</f>
        <v>1</v>
      </c>
      <c r="Y138" s="76" t="n">
        <f aca="false">IF(Inputs!$C$9&lt;=0,1,(Y137*Inputs!$C$10+(1-Inputs!$C$10)/MAX(1,Inputs!$C$9)*(Y137*(Y$133-1)*1+Y137*(Y137-1)/2)+1-Y137)/1)</f>
        <v>1</v>
      </c>
      <c r="Z138" s="76" t="n">
        <f aca="false">IF(Inputs!$C$9&lt;=0,1,(Z137*Inputs!$C$10+(1-Inputs!$C$10)/MAX(1,Inputs!$C$9)*(Z137*(Z$133-1)*1+Z137*(Z137-1)/2)+1-Z137)/1)</f>
        <v>1</v>
      </c>
      <c r="AA138" s="76" t="n">
        <f aca="false">IF(Inputs!$C$9&lt;=0,1,(AA137*Inputs!$C$10+(1-Inputs!$C$10)/MAX(1,Inputs!$C$9)*(AA137*(AA$133-1)*1+AA137*(AA137-1)/2)+1-AA137)/1)</f>
        <v>1</v>
      </c>
      <c r="AB138" s="76" t="n">
        <f aca="false">IF(Inputs!$C$9&lt;=0,1,(AB137*Inputs!$C$10+(1-Inputs!$C$10)/MAX(1,Inputs!$C$9)*(AB137*(AB$133-1)*1+AB137*(AB137-1)/2)+1-AB137)/1)</f>
        <v>1</v>
      </c>
      <c r="AC138" s="76" t="n">
        <f aca="false">IF(Inputs!$C$9&lt;=0,1,(AC137*Inputs!$C$10+(1-Inputs!$C$10)/MAX(1,Inputs!$C$9)*(AC137*(AC$133-1)*1+AC137*(AC137-1)/2)+1-AC137)/1)</f>
        <v>1</v>
      </c>
      <c r="AD138" s="76" t="n">
        <f aca="false">IF(Inputs!$C$9&lt;=0,1,(AD137*Inputs!$C$10+(1-Inputs!$C$10)/MAX(1,Inputs!$C$9)*(AD137*(AD$133-1)*1+AD137*(AD137-1)/2)+1-AD137)/1)</f>
        <v>1</v>
      </c>
      <c r="AE138" s="76" t="n">
        <f aca="false">IF(Inputs!$C$9&lt;=0,1,(AE137*Inputs!$C$10+(1-Inputs!$C$10)/MAX(1,Inputs!$C$9)*(AE137*(AE$133-1)*1+AE137*(AE137-1)/2)+1-AE137)/1)</f>
        <v>1</v>
      </c>
      <c r="AF138" s="76" t="n">
        <f aca="false">IF(Inputs!$C$9&lt;=0,1,(AF137*Inputs!$C$10+(1-Inputs!$C$10)/MAX(1,Inputs!$C$9)*(AF137*(AF$133-1)*1+AF137*(AF137-1)/2)+1-AF137)/1)</f>
        <v>1</v>
      </c>
      <c r="AG138" s="76" t="n">
        <f aca="false">IF(Inputs!$C$9&lt;=0,1,(AG137*Inputs!$C$10+(1-Inputs!$C$10)/MAX(1,Inputs!$C$9)*(AG137*(AG$133-1)*1+AG137*(AG137-1)/2)+1-AG137)/1)</f>
        <v>1</v>
      </c>
      <c r="AH138" s="76" t="n">
        <f aca="false">IF(Inputs!$C$9&lt;=0,1,(AH137*Inputs!$C$10+(1-Inputs!$C$10)/MAX(1,Inputs!$C$9)*(AH137*(AH$133-1)*1+AH137*(AH137-1)/2)+1-AH137)/1)</f>
        <v>1</v>
      </c>
      <c r="AI138" s="76" t="n">
        <f aca="false">IF(Inputs!$C$9&lt;=0,1,(AI137*Inputs!$C$10+(1-Inputs!$C$10)/MAX(1,Inputs!$C$9)*(AI137*(AI$133-1)*1+AI137*(AI137-1)/2)+1-AI137)/1)</f>
        <v>1</v>
      </c>
      <c r="AJ138" s="76" t="n">
        <f aca="false">IF(Inputs!$C$9&lt;=0,1,(AJ137*Inputs!$C$10+(1-Inputs!$C$10)/MAX(1,Inputs!$C$9)*(AJ137*(AJ$133-1)*1+AJ137*(AJ137-1)/2)+1-AJ137)/1)</f>
        <v>1</v>
      </c>
      <c r="AK138" s="76" t="n">
        <f aca="false">IF(Inputs!$C$9&lt;=0,1,(AK137*Inputs!$C$10+(1-Inputs!$C$10)/MAX(1,Inputs!$C$9)*(AK137*(AK$133-1)*1+AK137*(AK137-1)/2)+1-AK137)/1)</f>
        <v>1</v>
      </c>
      <c r="AL138" s="76" t="n">
        <f aca="false">IF(Inputs!$C$9&lt;=0,1,(AL137*Inputs!$C$10+(1-Inputs!$C$10)/MAX(1,Inputs!$C$9)*(AL137*(AL$133-1)*1+AL137*(AL137-1)/2)+1-AL137)/1)</f>
        <v>1</v>
      </c>
    </row>
    <row r="139" customFormat="false" ht="15" hidden="false" customHeight="false" outlineLevel="0" collapsed="false">
      <c r="A139" s="6" t="s">
        <v>392</v>
      </c>
      <c r="C139" s="79" t="n">
        <f aca="false">IF(OR(MOD(C$133-1,12)&gt;=11,MOD(C$133-1,12)&lt;=1),1-Inputs!$C$11,1+Inputs!$C$11/3)</f>
        <v>0.85</v>
      </c>
      <c r="D139" s="79" t="n">
        <f aca="false">IF(OR(MOD(D$133-1,12)&gt;=11,MOD(D$133-1,12)&lt;=1),1-Inputs!$C$11,1+Inputs!$C$11/3)</f>
        <v>0.85</v>
      </c>
      <c r="E139" s="79" t="n">
        <f aca="false">IF(OR(MOD(E$133-1,12)&gt;=11,MOD(E$133-1,12)&lt;=1),1-Inputs!$C$11,1+Inputs!$C$11/3)</f>
        <v>1.05</v>
      </c>
      <c r="F139" s="79" t="n">
        <f aca="false">IF(OR(MOD(F$133-1,12)&gt;=11,MOD(F$133-1,12)&lt;=1),1-Inputs!$C$11,1+Inputs!$C$11/3)</f>
        <v>1.05</v>
      </c>
      <c r="G139" s="79" t="n">
        <f aca="false">IF(OR(MOD(G$133-1,12)&gt;=11,MOD(G$133-1,12)&lt;=1),1-Inputs!$C$11,1+Inputs!$C$11/3)</f>
        <v>1.05</v>
      </c>
      <c r="H139" s="79" t="n">
        <f aca="false">IF(OR(MOD(H$133-1,12)&gt;=11,MOD(H$133-1,12)&lt;=1),1-Inputs!$C$11,1+Inputs!$C$11/3)</f>
        <v>1.05</v>
      </c>
      <c r="I139" s="79" t="n">
        <f aca="false">IF(OR(MOD(I$133-1,12)&gt;=11,MOD(I$133-1,12)&lt;=1),1-Inputs!$C$11,1+Inputs!$C$11/3)</f>
        <v>1.05</v>
      </c>
      <c r="J139" s="79" t="n">
        <f aca="false">IF(OR(MOD(J$133-1,12)&gt;=11,MOD(J$133-1,12)&lt;=1),1-Inputs!$C$11,1+Inputs!$C$11/3)</f>
        <v>1.05</v>
      </c>
      <c r="K139" s="79" t="n">
        <f aca="false">IF(OR(MOD(K$133-1,12)&gt;=11,MOD(K$133-1,12)&lt;=1),1-Inputs!$C$11,1+Inputs!$C$11/3)</f>
        <v>1.05</v>
      </c>
      <c r="L139" s="79" t="n">
        <f aca="false">IF(OR(MOD(L$133-1,12)&gt;=11,MOD(L$133-1,12)&lt;=1),1-Inputs!$C$11,1+Inputs!$C$11/3)</f>
        <v>1.05</v>
      </c>
      <c r="M139" s="79" t="n">
        <f aca="false">IF(OR(MOD(M$133-1,12)&gt;=11,MOD(M$133-1,12)&lt;=1),1-Inputs!$C$11,1+Inputs!$C$11/3)</f>
        <v>1.05</v>
      </c>
      <c r="N139" s="79" t="n">
        <f aca="false">IF(OR(MOD(N$133-1,12)&gt;=11,MOD(N$133-1,12)&lt;=1),1-Inputs!$C$11,1+Inputs!$C$11/3)</f>
        <v>0.85</v>
      </c>
      <c r="O139" s="79" t="n">
        <f aca="false">IF(OR(MOD(O$133-1,12)&gt;=11,MOD(O$133-1,12)&lt;=1),1-Inputs!$C$11,1+Inputs!$C$11/3)</f>
        <v>0.85</v>
      </c>
      <c r="P139" s="79" t="n">
        <f aca="false">IF(OR(MOD(P$133-1,12)&gt;=11,MOD(P$133-1,12)&lt;=1),1-Inputs!$C$11,1+Inputs!$C$11/3)</f>
        <v>0.85</v>
      </c>
      <c r="Q139" s="79" t="n">
        <f aca="false">IF(OR(MOD(Q$133-1,12)&gt;=11,MOD(Q$133-1,12)&lt;=1),1-Inputs!$C$11,1+Inputs!$C$11/3)</f>
        <v>1.05</v>
      </c>
      <c r="R139" s="79" t="n">
        <f aca="false">IF(OR(MOD(R$133-1,12)&gt;=11,MOD(R$133-1,12)&lt;=1),1-Inputs!$C$11,1+Inputs!$C$11/3)</f>
        <v>1.05</v>
      </c>
      <c r="S139" s="79" t="n">
        <f aca="false">IF(OR(MOD(S$133-1,12)&gt;=11,MOD(S$133-1,12)&lt;=1),1-Inputs!$C$11,1+Inputs!$C$11/3)</f>
        <v>1.05</v>
      </c>
      <c r="T139" s="79" t="n">
        <f aca="false">IF(OR(MOD(T$133-1,12)&gt;=11,MOD(T$133-1,12)&lt;=1),1-Inputs!$C$11,1+Inputs!$C$11/3)</f>
        <v>1.05</v>
      </c>
      <c r="U139" s="79" t="n">
        <f aca="false">IF(OR(MOD(U$133-1,12)&gt;=11,MOD(U$133-1,12)&lt;=1),1-Inputs!$C$11,1+Inputs!$C$11/3)</f>
        <v>1.05</v>
      </c>
      <c r="V139" s="79" t="n">
        <f aca="false">IF(OR(MOD(V$133-1,12)&gt;=11,MOD(V$133-1,12)&lt;=1),1-Inputs!$C$11,1+Inputs!$C$11/3)</f>
        <v>1.05</v>
      </c>
      <c r="W139" s="79" t="n">
        <f aca="false">IF(OR(MOD(W$133-1,12)&gt;=11,MOD(W$133-1,12)&lt;=1),1-Inputs!$C$11,1+Inputs!$C$11/3)</f>
        <v>1.05</v>
      </c>
      <c r="X139" s="79" t="n">
        <f aca="false">IF(OR(MOD(X$133-1,12)&gt;=11,MOD(X$133-1,12)&lt;=1),1-Inputs!$C$11,1+Inputs!$C$11/3)</f>
        <v>1.05</v>
      </c>
      <c r="Y139" s="79" t="n">
        <f aca="false">IF(OR(MOD(Y$133-1,12)&gt;=11,MOD(Y$133-1,12)&lt;=1),1-Inputs!$C$11,1+Inputs!$C$11/3)</f>
        <v>1.05</v>
      </c>
      <c r="Z139" s="79" t="n">
        <f aca="false">IF(OR(MOD(Z$133-1,12)&gt;=11,MOD(Z$133-1,12)&lt;=1),1-Inputs!$C$11,1+Inputs!$C$11/3)</f>
        <v>0.85</v>
      </c>
      <c r="AA139" s="79" t="n">
        <f aca="false">IF(OR(MOD(AA$133-1,12)&gt;=11,MOD(AA$133-1,12)&lt;=1),1-Inputs!$C$11,1+Inputs!$C$11/3)</f>
        <v>0.85</v>
      </c>
      <c r="AB139" s="79" t="n">
        <f aca="false">IF(OR(MOD(AB$133-1,12)&gt;=11,MOD(AB$133-1,12)&lt;=1),1-Inputs!$C$11,1+Inputs!$C$11/3)</f>
        <v>0.85</v>
      </c>
      <c r="AC139" s="79" t="n">
        <f aca="false">IF(OR(MOD(AC$133-1,12)&gt;=11,MOD(AC$133-1,12)&lt;=1),1-Inputs!$C$11,1+Inputs!$C$11/3)</f>
        <v>1.05</v>
      </c>
      <c r="AD139" s="79" t="n">
        <f aca="false">IF(OR(MOD(AD$133-1,12)&gt;=11,MOD(AD$133-1,12)&lt;=1),1-Inputs!$C$11,1+Inputs!$C$11/3)</f>
        <v>1.05</v>
      </c>
      <c r="AE139" s="79" t="n">
        <f aca="false">IF(OR(MOD(AE$133-1,12)&gt;=11,MOD(AE$133-1,12)&lt;=1),1-Inputs!$C$11,1+Inputs!$C$11/3)</f>
        <v>1.05</v>
      </c>
      <c r="AF139" s="79" t="n">
        <f aca="false">IF(OR(MOD(AF$133-1,12)&gt;=11,MOD(AF$133-1,12)&lt;=1),1-Inputs!$C$11,1+Inputs!$C$11/3)</f>
        <v>1.05</v>
      </c>
      <c r="AG139" s="79" t="n">
        <f aca="false">IF(OR(MOD(AG$133-1,12)&gt;=11,MOD(AG$133-1,12)&lt;=1),1-Inputs!$C$11,1+Inputs!$C$11/3)</f>
        <v>1.05</v>
      </c>
      <c r="AH139" s="79" t="n">
        <f aca="false">IF(OR(MOD(AH$133-1,12)&gt;=11,MOD(AH$133-1,12)&lt;=1),1-Inputs!$C$11,1+Inputs!$C$11/3)</f>
        <v>1.05</v>
      </c>
      <c r="AI139" s="79" t="n">
        <f aca="false">IF(OR(MOD(AI$133-1,12)&gt;=11,MOD(AI$133-1,12)&lt;=1),1-Inputs!$C$11,1+Inputs!$C$11/3)</f>
        <v>1.05</v>
      </c>
      <c r="AJ139" s="79" t="n">
        <f aca="false">IF(OR(MOD(AJ$133-1,12)&gt;=11,MOD(AJ$133-1,12)&lt;=1),1-Inputs!$C$11,1+Inputs!$C$11/3)</f>
        <v>1.05</v>
      </c>
      <c r="AK139" s="79" t="n">
        <f aca="false">IF(OR(MOD(AK$133-1,12)&gt;=11,MOD(AK$133-1,12)&lt;=1),1-Inputs!$C$11,1+Inputs!$C$11/3)</f>
        <v>1.05</v>
      </c>
      <c r="AL139" s="79" t="n">
        <f aca="false">IF(OR(MOD(AL$133-1,12)&gt;=11,MOD(AL$133-1,12)&lt;=1),1-Inputs!$C$11,1+Inputs!$C$11/3)</f>
        <v>0.85</v>
      </c>
    </row>
    <row r="140" customFormat="false" ht="15" hidden="false" customHeight="false" outlineLevel="0" collapsed="false">
      <c r="A140" s="6" t="s">
        <v>393</v>
      </c>
      <c r="C140" s="118" t="n">
        <f aca="false">Inputs!$C$7*Inputs!$C$8*1*C138*C139</f>
        <v>2662.2</v>
      </c>
      <c r="D140" s="118" t="n">
        <f aca="false">Inputs!$C$7*Inputs!$C$8*1*D138*D139</f>
        <v>3023.73333333333</v>
      </c>
      <c r="E140" s="118" t="n">
        <f aca="false">Inputs!$C$7*Inputs!$C$8*1*E138*E139</f>
        <v>4181.8</v>
      </c>
      <c r="F140" s="118" t="n">
        <f aca="false">Inputs!$C$7*Inputs!$C$8*1*F138*F139</f>
        <v>4628.4</v>
      </c>
      <c r="G140" s="118" t="n">
        <f aca="false">Inputs!$C$7*Inputs!$C$8*1*G138*G139</f>
        <v>5075</v>
      </c>
      <c r="H140" s="118" t="n">
        <f aca="false">Inputs!$C$7*Inputs!$C$8*1*H138*H139</f>
        <v>5521.6</v>
      </c>
      <c r="I140" s="118" t="n">
        <f aca="false">Inputs!$C$7*Inputs!$C$8*1*I138*I139</f>
        <v>5968.2</v>
      </c>
      <c r="J140" s="118" t="n">
        <f aca="false">Inputs!$C$7*Inputs!$C$8*1*J138*J139</f>
        <v>6414.8</v>
      </c>
      <c r="K140" s="118" t="n">
        <f aca="false">Inputs!$C$7*Inputs!$C$8*1*K138*K139</f>
        <v>6861.4</v>
      </c>
      <c r="L140" s="118" t="n">
        <f aca="false">Inputs!$C$7*Inputs!$C$8*1*L138*L139</f>
        <v>7308</v>
      </c>
      <c r="M140" s="118" t="n">
        <f aca="false">Inputs!$C$7*Inputs!$C$8*1*M138*M139</f>
        <v>7308</v>
      </c>
      <c r="N140" s="118" t="n">
        <f aca="false">Inputs!$C$7*Inputs!$C$8*1*N138*N139</f>
        <v>5916</v>
      </c>
      <c r="O140" s="118" t="n">
        <f aca="false">Inputs!$C$7*Inputs!$C$8*1*O138*O139</f>
        <v>5916</v>
      </c>
      <c r="P140" s="118" t="n">
        <f aca="false">Inputs!$C$7*Inputs!$C$8*1*P138*P139</f>
        <v>5916</v>
      </c>
      <c r="Q140" s="118" t="n">
        <f aca="false">Inputs!$C$7*Inputs!$C$8*1*Q138*Q139</f>
        <v>7308</v>
      </c>
      <c r="R140" s="118" t="n">
        <f aca="false">Inputs!$C$7*Inputs!$C$8*1*R138*R139</f>
        <v>7308</v>
      </c>
      <c r="S140" s="118" t="n">
        <f aca="false">Inputs!$C$7*Inputs!$C$8*1*S138*S139</f>
        <v>7308</v>
      </c>
      <c r="T140" s="118" t="n">
        <f aca="false">Inputs!$C$7*Inputs!$C$8*1*T138*T139</f>
        <v>7308</v>
      </c>
      <c r="U140" s="118" t="n">
        <f aca="false">Inputs!$C$7*Inputs!$C$8*1*U138*U139</f>
        <v>7308</v>
      </c>
      <c r="V140" s="118" t="n">
        <f aca="false">Inputs!$C$7*Inputs!$C$8*1*V138*V139</f>
        <v>7308</v>
      </c>
      <c r="W140" s="118" t="n">
        <f aca="false">Inputs!$C$7*Inputs!$C$8*1*W138*W139</f>
        <v>7308</v>
      </c>
      <c r="X140" s="118" t="n">
        <f aca="false">Inputs!$C$7*Inputs!$C$8*1*X138*X139</f>
        <v>7308</v>
      </c>
      <c r="Y140" s="118" t="n">
        <f aca="false">Inputs!$C$7*Inputs!$C$8*1*Y138*Y139</f>
        <v>7308</v>
      </c>
      <c r="Z140" s="118" t="n">
        <f aca="false">Inputs!$C$7*Inputs!$C$8*1*Z138*Z139</f>
        <v>5916</v>
      </c>
      <c r="AA140" s="118" t="n">
        <f aca="false">Inputs!$C$7*Inputs!$C$8*1*AA138*AA139</f>
        <v>5916</v>
      </c>
      <c r="AB140" s="118" t="n">
        <f aca="false">Inputs!$C$7*Inputs!$C$8*1*AB138*AB139</f>
        <v>5916</v>
      </c>
      <c r="AC140" s="118" t="n">
        <f aca="false">Inputs!$C$7*Inputs!$C$8*1*AC138*AC139</f>
        <v>7308</v>
      </c>
      <c r="AD140" s="118" t="n">
        <f aca="false">Inputs!$C$7*Inputs!$C$8*1*AD138*AD139</f>
        <v>7308</v>
      </c>
      <c r="AE140" s="118" t="n">
        <f aca="false">Inputs!$C$7*Inputs!$C$8*1*AE138*AE139</f>
        <v>7308</v>
      </c>
      <c r="AF140" s="118" t="n">
        <f aca="false">Inputs!$C$7*Inputs!$C$8*1*AF138*AF139</f>
        <v>7308</v>
      </c>
      <c r="AG140" s="118" t="n">
        <f aca="false">Inputs!$C$7*Inputs!$C$8*1*AG138*AG139</f>
        <v>7308</v>
      </c>
      <c r="AH140" s="118" t="n">
        <f aca="false">Inputs!$C$7*Inputs!$C$8*1*AH138*AH139</f>
        <v>7308</v>
      </c>
      <c r="AI140" s="118" t="n">
        <f aca="false">Inputs!$C$7*Inputs!$C$8*1*AI138*AI139</f>
        <v>7308</v>
      </c>
      <c r="AJ140" s="118" t="n">
        <f aca="false">Inputs!$C$7*Inputs!$C$8*1*AJ138*AJ139</f>
        <v>7308</v>
      </c>
      <c r="AK140" s="118" t="n">
        <f aca="false">Inputs!$C$7*Inputs!$C$8*1*AK138*AK139</f>
        <v>7308</v>
      </c>
      <c r="AL140" s="118" t="n">
        <f aca="false">Inputs!$C$7*Inputs!$C$8*1*AL138*AL139</f>
        <v>5916</v>
      </c>
    </row>
    <row r="142" customFormat="false" ht="15.75" hidden="false" customHeight="true" outlineLevel="0" collapsed="false">
      <c r="A142" s="7" t="s">
        <v>394</v>
      </c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</row>
    <row r="143" customFormat="false" ht="15" hidden="false" customHeight="false" outlineLevel="0" collapsed="false">
      <c r="A143" s="6" t="s">
        <v>395</v>
      </c>
      <c r="C143" s="117" t="n">
        <f aca="false">C140*Inputs!$C$22</f>
        <v>21.2976</v>
      </c>
      <c r="D143" s="117" t="n">
        <f aca="false">D140*Inputs!$C$22</f>
        <v>24.1898666666667</v>
      </c>
      <c r="E143" s="117" t="n">
        <f aca="false">E140*Inputs!$C$22</f>
        <v>33.4544</v>
      </c>
      <c r="F143" s="117" t="n">
        <f aca="false">F140*Inputs!$C$22</f>
        <v>37.0272</v>
      </c>
      <c r="G143" s="117" t="n">
        <f aca="false">G140*Inputs!$C$22</f>
        <v>40.6</v>
      </c>
      <c r="H143" s="117" t="n">
        <f aca="false">H140*Inputs!$C$22</f>
        <v>44.1728</v>
      </c>
      <c r="I143" s="117" t="n">
        <f aca="false">I140*Inputs!$C$22</f>
        <v>47.7456</v>
      </c>
      <c r="J143" s="117" t="n">
        <f aca="false">J140*Inputs!$C$22</f>
        <v>51.3184</v>
      </c>
      <c r="K143" s="117" t="n">
        <f aca="false">K140*Inputs!$C$22</f>
        <v>54.8912</v>
      </c>
      <c r="L143" s="117" t="n">
        <f aca="false">L140*Inputs!$C$22</f>
        <v>58.464</v>
      </c>
      <c r="M143" s="117" t="n">
        <f aca="false">M140*Inputs!$C$22</f>
        <v>58.464</v>
      </c>
      <c r="N143" s="117" t="n">
        <f aca="false">N140*Inputs!$C$22</f>
        <v>47.328</v>
      </c>
      <c r="O143" s="117" t="n">
        <f aca="false">O140*Inputs!$C$22</f>
        <v>47.328</v>
      </c>
      <c r="P143" s="117" t="n">
        <f aca="false">P140*Inputs!$C$22</f>
        <v>47.328</v>
      </c>
      <c r="Q143" s="117" t="n">
        <f aca="false">Q140*Inputs!$C$22</f>
        <v>58.464</v>
      </c>
      <c r="R143" s="117" t="n">
        <f aca="false">R140*Inputs!$C$22</f>
        <v>58.464</v>
      </c>
      <c r="S143" s="117" t="n">
        <f aca="false">S140*Inputs!$C$22</f>
        <v>58.464</v>
      </c>
      <c r="T143" s="117" t="n">
        <f aca="false">T140*Inputs!$C$22</f>
        <v>58.464</v>
      </c>
      <c r="U143" s="117" t="n">
        <f aca="false">U140*Inputs!$C$22</f>
        <v>58.464</v>
      </c>
      <c r="V143" s="117" t="n">
        <f aca="false">V140*Inputs!$C$22</f>
        <v>58.464</v>
      </c>
      <c r="W143" s="117" t="n">
        <f aca="false">W140*Inputs!$C$22</f>
        <v>58.464</v>
      </c>
      <c r="X143" s="117" t="n">
        <f aca="false">X140*Inputs!$C$22</f>
        <v>58.464</v>
      </c>
      <c r="Y143" s="117" t="n">
        <f aca="false">Y140*Inputs!$C$22</f>
        <v>58.464</v>
      </c>
      <c r="Z143" s="117" t="n">
        <f aca="false">Z140*Inputs!$C$22</f>
        <v>47.328</v>
      </c>
      <c r="AA143" s="117" t="n">
        <f aca="false">AA140*Inputs!$C$22</f>
        <v>47.328</v>
      </c>
      <c r="AB143" s="117" t="n">
        <f aca="false">AB140*Inputs!$C$22</f>
        <v>47.328</v>
      </c>
      <c r="AC143" s="117" t="n">
        <f aca="false">AC140*Inputs!$C$22</f>
        <v>58.464</v>
      </c>
      <c r="AD143" s="117" t="n">
        <f aca="false">AD140*Inputs!$C$22</f>
        <v>58.464</v>
      </c>
      <c r="AE143" s="117" t="n">
        <f aca="false">AE140*Inputs!$C$22</f>
        <v>58.464</v>
      </c>
      <c r="AF143" s="117" t="n">
        <f aca="false">AF140*Inputs!$C$22</f>
        <v>58.464</v>
      </c>
      <c r="AG143" s="117" t="n">
        <f aca="false">AG140*Inputs!$C$22</f>
        <v>58.464</v>
      </c>
      <c r="AH143" s="117" t="n">
        <f aca="false">AH140*Inputs!$C$22</f>
        <v>58.464</v>
      </c>
      <c r="AI143" s="117" t="n">
        <f aca="false">AI140*Inputs!$C$22</f>
        <v>58.464</v>
      </c>
      <c r="AJ143" s="117" t="n">
        <f aca="false">AJ140*Inputs!$C$22</f>
        <v>58.464</v>
      </c>
      <c r="AK143" s="117" t="n">
        <f aca="false">AK140*Inputs!$C$22</f>
        <v>58.464</v>
      </c>
      <c r="AL143" s="117" t="n">
        <f aca="false">AL140*Inputs!$C$22</f>
        <v>47.328</v>
      </c>
    </row>
    <row r="144" customFormat="false" ht="15" hidden="false" customHeight="false" outlineLevel="0" collapsed="false">
      <c r="A144" s="6" t="s">
        <v>396</v>
      </c>
      <c r="C144" s="117" t="n">
        <f aca="false">Inputs!$C$20*(1+Inputs!$C$21)^(C$134-1)*1*C138</f>
        <v>22.5</v>
      </c>
      <c r="D144" s="117" t="n">
        <f aca="false">Inputs!$C$20*(1+Inputs!$C$21)^(D$134-1)*1*D138</f>
        <v>25.5555555555556</v>
      </c>
      <c r="E144" s="117" t="n">
        <f aca="false">Inputs!$C$20*(1+Inputs!$C$21)^(E$134-1)*1*E138</f>
        <v>28.6111111111111</v>
      </c>
      <c r="F144" s="117" t="n">
        <f aca="false">Inputs!$C$20*(1+Inputs!$C$21)^(F$134-1)*1*F138</f>
        <v>31.6666666666667</v>
      </c>
      <c r="G144" s="117" t="n">
        <f aca="false">Inputs!$C$20*(1+Inputs!$C$21)^(G$134-1)*1*G138</f>
        <v>34.7222222222222</v>
      </c>
      <c r="H144" s="117" t="n">
        <f aca="false">Inputs!$C$20*(1+Inputs!$C$21)^(H$134-1)*1*H138</f>
        <v>37.7777777777778</v>
      </c>
      <c r="I144" s="117" t="n">
        <f aca="false">Inputs!$C$20*(1+Inputs!$C$21)^(I$134-1)*1*I138</f>
        <v>40.8333333333333</v>
      </c>
      <c r="J144" s="117" t="n">
        <f aca="false">Inputs!$C$20*(1+Inputs!$C$21)^(J$134-1)*1*J138</f>
        <v>43.8888888888889</v>
      </c>
      <c r="K144" s="117" t="n">
        <f aca="false">Inputs!$C$20*(1+Inputs!$C$21)^(K$134-1)*1*K138</f>
        <v>46.9444444444444</v>
      </c>
      <c r="L144" s="117" t="n">
        <f aca="false">Inputs!$C$20*(1+Inputs!$C$21)^(L$134-1)*1*L138</f>
        <v>50</v>
      </c>
      <c r="M144" s="117" t="n">
        <f aca="false">Inputs!$C$20*(1+Inputs!$C$21)^(M$134-1)*1*M138</f>
        <v>50</v>
      </c>
      <c r="N144" s="117" t="n">
        <f aca="false">Inputs!$C$20*(1+Inputs!$C$21)^(N$134-1)*1*N138</f>
        <v>50</v>
      </c>
      <c r="O144" s="117" t="n">
        <f aca="false">Inputs!$C$20*(1+Inputs!$C$21)^(O$134-1)*1*O138</f>
        <v>52.5</v>
      </c>
      <c r="P144" s="117" t="n">
        <f aca="false">Inputs!$C$20*(1+Inputs!$C$21)^(P$134-1)*1*P138</f>
        <v>52.5</v>
      </c>
      <c r="Q144" s="117" t="n">
        <f aca="false">Inputs!$C$20*(1+Inputs!$C$21)^(Q$134-1)*1*Q138</f>
        <v>52.5</v>
      </c>
      <c r="R144" s="117" t="n">
        <f aca="false">Inputs!$C$20*(1+Inputs!$C$21)^(R$134-1)*1*R138</f>
        <v>52.5</v>
      </c>
      <c r="S144" s="117" t="n">
        <f aca="false">Inputs!$C$20*(1+Inputs!$C$21)^(S$134-1)*1*S138</f>
        <v>52.5</v>
      </c>
      <c r="T144" s="117" t="n">
        <f aca="false">Inputs!$C$20*(1+Inputs!$C$21)^(T$134-1)*1*T138</f>
        <v>52.5</v>
      </c>
      <c r="U144" s="117" t="n">
        <f aca="false">Inputs!$C$20*(1+Inputs!$C$21)^(U$134-1)*1*U138</f>
        <v>52.5</v>
      </c>
      <c r="V144" s="117" t="n">
        <f aca="false">Inputs!$C$20*(1+Inputs!$C$21)^(V$134-1)*1*V138</f>
        <v>52.5</v>
      </c>
      <c r="W144" s="117" t="n">
        <f aca="false">Inputs!$C$20*(1+Inputs!$C$21)^(W$134-1)*1*W138</f>
        <v>52.5</v>
      </c>
      <c r="X144" s="117" t="n">
        <f aca="false">Inputs!$C$20*(1+Inputs!$C$21)^(X$134-1)*1*X138</f>
        <v>52.5</v>
      </c>
      <c r="Y144" s="117" t="n">
        <f aca="false">Inputs!$C$20*(1+Inputs!$C$21)^(Y$134-1)*1*Y138</f>
        <v>52.5</v>
      </c>
      <c r="Z144" s="117" t="n">
        <f aca="false">Inputs!$C$20*(1+Inputs!$C$21)^(Z$134-1)*1*Z138</f>
        <v>52.5</v>
      </c>
      <c r="AA144" s="117" t="n">
        <f aca="false">Inputs!$C$20*(1+Inputs!$C$21)^(AA$134-1)*1*AA138</f>
        <v>55.125</v>
      </c>
      <c r="AB144" s="117" t="n">
        <f aca="false">Inputs!$C$20*(1+Inputs!$C$21)^(AB$134-1)*1*AB138</f>
        <v>55.125</v>
      </c>
      <c r="AC144" s="117" t="n">
        <f aca="false">Inputs!$C$20*(1+Inputs!$C$21)^(AC$134-1)*1*AC138</f>
        <v>55.125</v>
      </c>
      <c r="AD144" s="117" t="n">
        <f aca="false">Inputs!$C$20*(1+Inputs!$C$21)^(AD$134-1)*1*AD138</f>
        <v>55.125</v>
      </c>
      <c r="AE144" s="117" t="n">
        <f aca="false">Inputs!$C$20*(1+Inputs!$C$21)^(AE$134-1)*1*AE138</f>
        <v>55.125</v>
      </c>
      <c r="AF144" s="117" t="n">
        <f aca="false">Inputs!$C$20*(1+Inputs!$C$21)^(AF$134-1)*1*AF138</f>
        <v>55.125</v>
      </c>
      <c r="AG144" s="117" t="n">
        <f aca="false">Inputs!$C$20*(1+Inputs!$C$21)^(AG$134-1)*1*AG138</f>
        <v>55.125</v>
      </c>
      <c r="AH144" s="117" t="n">
        <f aca="false">Inputs!$C$20*(1+Inputs!$C$21)^(AH$134-1)*1*AH138</f>
        <v>55.125</v>
      </c>
      <c r="AI144" s="117" t="n">
        <f aca="false">Inputs!$C$20*(1+Inputs!$C$21)^(AI$134-1)*1*AI138</f>
        <v>55.125</v>
      </c>
      <c r="AJ144" s="117" t="n">
        <f aca="false">Inputs!$C$20*(1+Inputs!$C$21)^(AJ$134-1)*1*AJ138</f>
        <v>55.125</v>
      </c>
      <c r="AK144" s="117" t="n">
        <f aca="false">Inputs!$C$20*(1+Inputs!$C$21)^(AK$134-1)*1*AK138</f>
        <v>55.125</v>
      </c>
      <c r="AL144" s="117" t="n">
        <f aca="false">Inputs!$C$20*(1+Inputs!$C$21)^(AL$134-1)*1*AL138</f>
        <v>55.125</v>
      </c>
    </row>
    <row r="145" customFormat="false" ht="15" hidden="false" customHeight="false" outlineLevel="0" collapsed="false">
      <c r="A145" s="4" t="s">
        <v>397</v>
      </c>
      <c r="C145" s="119" t="n">
        <f aca="false">C143+C144</f>
        <v>43.7976</v>
      </c>
      <c r="D145" s="119" t="n">
        <f aca="false">D143+D144</f>
        <v>49.7454222222222</v>
      </c>
      <c r="E145" s="119" t="n">
        <f aca="false">E143+E144</f>
        <v>62.0655111111111</v>
      </c>
      <c r="F145" s="119" t="n">
        <f aca="false">F143+F144</f>
        <v>68.6938666666667</v>
      </c>
      <c r="G145" s="119" t="n">
        <f aca="false">G143+G144</f>
        <v>75.3222222222222</v>
      </c>
      <c r="H145" s="119" t="n">
        <f aca="false">H143+H144</f>
        <v>81.9505777777778</v>
      </c>
      <c r="I145" s="119" t="n">
        <f aca="false">I143+I144</f>
        <v>88.5789333333333</v>
      </c>
      <c r="J145" s="119" t="n">
        <f aca="false">J143+J144</f>
        <v>95.2072888888889</v>
      </c>
      <c r="K145" s="119" t="n">
        <f aca="false">K143+K144</f>
        <v>101.835644444444</v>
      </c>
      <c r="L145" s="119" t="n">
        <f aca="false">L143+L144</f>
        <v>108.464</v>
      </c>
      <c r="M145" s="119" t="n">
        <f aca="false">M143+M144</f>
        <v>108.464</v>
      </c>
      <c r="N145" s="119" t="n">
        <f aca="false">N143+N144</f>
        <v>97.328</v>
      </c>
      <c r="O145" s="119" t="n">
        <f aca="false">O143+O144</f>
        <v>99.828</v>
      </c>
      <c r="P145" s="119" t="n">
        <f aca="false">P143+P144</f>
        <v>99.828</v>
      </c>
      <c r="Q145" s="119" t="n">
        <f aca="false">Q143+Q144</f>
        <v>110.964</v>
      </c>
      <c r="R145" s="119" t="n">
        <f aca="false">R143+R144</f>
        <v>110.964</v>
      </c>
      <c r="S145" s="119" t="n">
        <f aca="false">S143+S144</f>
        <v>110.964</v>
      </c>
      <c r="T145" s="119" t="n">
        <f aca="false">T143+T144</f>
        <v>110.964</v>
      </c>
      <c r="U145" s="119" t="n">
        <f aca="false">U143+U144</f>
        <v>110.964</v>
      </c>
      <c r="V145" s="119" t="n">
        <f aca="false">V143+V144</f>
        <v>110.964</v>
      </c>
      <c r="W145" s="119" t="n">
        <f aca="false">W143+W144</f>
        <v>110.964</v>
      </c>
      <c r="X145" s="119" t="n">
        <f aca="false">X143+X144</f>
        <v>110.964</v>
      </c>
      <c r="Y145" s="119" t="n">
        <f aca="false">Y143+Y144</f>
        <v>110.964</v>
      </c>
      <c r="Z145" s="119" t="n">
        <f aca="false">Z143+Z144</f>
        <v>99.828</v>
      </c>
      <c r="AA145" s="119" t="n">
        <f aca="false">AA143+AA144</f>
        <v>102.453</v>
      </c>
      <c r="AB145" s="119" t="n">
        <f aca="false">AB143+AB144</f>
        <v>102.453</v>
      </c>
      <c r="AC145" s="119" t="n">
        <f aca="false">AC143+AC144</f>
        <v>113.589</v>
      </c>
      <c r="AD145" s="119" t="n">
        <f aca="false">AD143+AD144</f>
        <v>113.589</v>
      </c>
      <c r="AE145" s="119" t="n">
        <f aca="false">AE143+AE144</f>
        <v>113.589</v>
      </c>
      <c r="AF145" s="119" t="n">
        <f aca="false">AF143+AF144</f>
        <v>113.589</v>
      </c>
      <c r="AG145" s="119" t="n">
        <f aca="false">AG143+AG144</f>
        <v>113.589</v>
      </c>
      <c r="AH145" s="119" t="n">
        <f aca="false">AH143+AH144</f>
        <v>113.589</v>
      </c>
      <c r="AI145" s="119" t="n">
        <f aca="false">AI143+AI144</f>
        <v>113.589</v>
      </c>
      <c r="AJ145" s="119" t="n">
        <f aca="false">AJ143+AJ144</f>
        <v>113.589</v>
      </c>
      <c r="AK145" s="119" t="n">
        <f aca="false">AK143+AK144</f>
        <v>113.589</v>
      </c>
      <c r="AL145" s="119" t="n">
        <f aca="false">AL143+AL144</f>
        <v>102.453</v>
      </c>
    </row>
    <row r="146" customFormat="false" ht="15" hidden="false" customHeight="false" outlineLevel="0" collapsed="false">
      <c r="A146" s="6" t="s">
        <v>398</v>
      </c>
      <c r="C146" s="120" t="n">
        <f aca="false">Inputs!$C$19</f>
        <v>250</v>
      </c>
      <c r="D146" s="117" t="n">
        <f aca="false">C148</f>
        <v>283.7976</v>
      </c>
      <c r="E146" s="117" t="n">
        <f aca="false">D148</f>
        <v>322.191118222222</v>
      </c>
      <c r="F146" s="117" t="n">
        <f aca="false">E148</f>
        <v>371.368984604444</v>
      </c>
      <c r="G146" s="117" t="n">
        <f aca="false">F148</f>
        <v>425.208091886933</v>
      </c>
      <c r="H146" s="117" t="n">
        <f aca="false">G148</f>
        <v>483.521990433678</v>
      </c>
      <c r="I146" s="117" t="n">
        <f aca="false">H148</f>
        <v>546.131688594109</v>
      </c>
      <c r="J146" s="117" t="n">
        <f aca="false">I148</f>
        <v>612.865354383678</v>
      </c>
      <c r="K146" s="117" t="n">
        <f aca="false">J148</f>
        <v>683.55802909722</v>
      </c>
      <c r="L146" s="117" t="n">
        <f aca="false">K148</f>
        <v>758.051352377775</v>
      </c>
      <c r="M146" s="117" t="n">
        <f aca="false">L148</f>
        <v>836.193298282664</v>
      </c>
      <c r="N146" s="117" t="n">
        <f aca="false">M148</f>
        <v>911.209566351358</v>
      </c>
      <c r="O146" s="117" t="n">
        <f aca="false">N148</f>
        <v>972.089183697303</v>
      </c>
      <c r="P146" s="117" t="n">
        <f aca="false">O148</f>
        <v>1033.03361634941</v>
      </c>
      <c r="Q146" s="117" t="n">
        <f aca="false">P148</f>
        <v>1091.54027169543</v>
      </c>
      <c r="R146" s="117" t="n">
        <f aca="false">Q148</f>
        <v>1158.84266082762</v>
      </c>
      <c r="S146" s="117" t="n">
        <f aca="false">R148</f>
        <v>1223.45295439451</v>
      </c>
      <c r="T146" s="117" t="n">
        <f aca="false">S148</f>
        <v>1285.47883621873</v>
      </c>
      <c r="U146" s="117" t="n">
        <f aca="false">T148</f>
        <v>1345.02368276998</v>
      </c>
      <c r="V146" s="117" t="n">
        <f aca="false">U148</f>
        <v>1402.18673545918</v>
      </c>
      <c r="W146" s="117" t="n">
        <f aca="false">V148</f>
        <v>1457.06326604082</v>
      </c>
      <c r="X146" s="117" t="n">
        <f aca="false">W148</f>
        <v>1509.74473539918</v>
      </c>
      <c r="Y146" s="117" t="n">
        <f aca="false">X148</f>
        <v>1560.31894598322</v>
      </c>
      <c r="Z146" s="117" t="n">
        <f aca="false">Y148</f>
        <v>1608.87018814389</v>
      </c>
      <c r="AA146" s="117" t="n">
        <f aca="false">Z148</f>
        <v>1644.34338061813</v>
      </c>
      <c r="AB146" s="117" t="n">
        <f aca="false">AA148</f>
        <v>1681.02264539341</v>
      </c>
      <c r="AC146" s="117" t="n">
        <f aca="false">AB148</f>
        <v>1716.23473957767</v>
      </c>
      <c r="AD146" s="117" t="n">
        <f aca="false">AC148</f>
        <v>1761.17434999456</v>
      </c>
      <c r="AE146" s="117" t="n">
        <f aca="false">AD148</f>
        <v>1804.31637599478</v>
      </c>
      <c r="AF146" s="117" t="n">
        <f aca="false">AE148</f>
        <v>1845.73272095499</v>
      </c>
      <c r="AG146" s="117" t="n">
        <f aca="false">AF148</f>
        <v>1885.49241211679</v>
      </c>
      <c r="AH146" s="117" t="n">
        <f aca="false">AG148</f>
        <v>1923.66171563212</v>
      </c>
      <c r="AI146" s="117" t="n">
        <f aca="false">AH148</f>
        <v>1960.30424700683</v>
      </c>
      <c r="AJ146" s="117" t="n">
        <f aca="false">AI148</f>
        <v>1995.48107712656</v>
      </c>
      <c r="AK146" s="117" t="n">
        <f aca="false">AJ148</f>
        <v>2029.2508340415</v>
      </c>
      <c r="AL146" s="117" t="n">
        <f aca="false">AK148</f>
        <v>2061.66980067984</v>
      </c>
    </row>
    <row r="147" customFormat="false" ht="15" hidden="false" customHeight="false" outlineLevel="0" collapsed="false">
      <c r="A147" s="6" t="s">
        <v>399</v>
      </c>
      <c r="C147" s="117" t="n">
        <f aca="false">C148-C146-C145</f>
        <v>-10</v>
      </c>
      <c r="D147" s="117" t="n">
        <f aca="false">D148-D146-D145</f>
        <v>-11.351904</v>
      </c>
      <c r="E147" s="117" t="n">
        <f aca="false">E148-E146-E145</f>
        <v>-12.8876447288889</v>
      </c>
      <c r="F147" s="117" t="n">
        <f aca="false">F148-F146-F145</f>
        <v>-14.8547593841778</v>
      </c>
      <c r="G147" s="117" t="n">
        <f aca="false">G148-G146-G145</f>
        <v>-17.0083236754773</v>
      </c>
      <c r="H147" s="117" t="n">
        <f aca="false">H148-H146-H145</f>
        <v>-19.3408796173471</v>
      </c>
      <c r="I147" s="117" t="n">
        <f aca="false">I148-I146-I145</f>
        <v>-21.8452675437644</v>
      </c>
      <c r="J147" s="117" t="n">
        <f aca="false">J148-J146-J145</f>
        <v>-24.5146141753471</v>
      </c>
      <c r="K147" s="117" t="n">
        <f aca="false">K148-K146-K145</f>
        <v>-27.3423211638887</v>
      </c>
      <c r="L147" s="117" t="n">
        <f aca="false">L148-L146-L145</f>
        <v>-30.322054095111</v>
      </c>
      <c r="M147" s="117" t="n">
        <f aca="false">M148-M146-M145</f>
        <v>-33.4477319313067</v>
      </c>
      <c r="N147" s="117" t="n">
        <f aca="false">N148-N146-N145</f>
        <v>-36.4483826540543</v>
      </c>
      <c r="O147" s="117" t="n">
        <f aca="false">O148-O146-O145</f>
        <v>-38.8835673478921</v>
      </c>
      <c r="P147" s="117" t="n">
        <f aca="false">P148-P146-P145</f>
        <v>-41.3213446539765</v>
      </c>
      <c r="Q147" s="117" t="n">
        <f aca="false">Q148-Q146-Q145</f>
        <v>-43.6616108678175</v>
      </c>
      <c r="R147" s="117" t="n">
        <f aca="false">R148-R146-R145</f>
        <v>-46.3537064331047</v>
      </c>
      <c r="S147" s="117" t="n">
        <f aca="false">S148-S146-S145</f>
        <v>-48.9381181757806</v>
      </c>
      <c r="T147" s="117" t="n">
        <f aca="false">T148-T146-T145</f>
        <v>-51.4191534487493</v>
      </c>
      <c r="U147" s="117" t="n">
        <f aca="false">U148-U146-U145</f>
        <v>-53.8009473107994</v>
      </c>
      <c r="V147" s="117" t="n">
        <f aca="false">V148-V146-V145</f>
        <v>-56.0874694183675</v>
      </c>
      <c r="W147" s="117" t="n">
        <f aca="false">W148-W146-W145</f>
        <v>-58.2825306416328</v>
      </c>
      <c r="X147" s="117" t="n">
        <f aca="false">X148-X146-X145</f>
        <v>-60.3897894159675</v>
      </c>
      <c r="Y147" s="117" t="n">
        <f aca="false">Y148-Y146-Y145</f>
        <v>-62.4127578393287</v>
      </c>
      <c r="Z147" s="117" t="n">
        <f aca="false">Z148-Z146-Z145</f>
        <v>-64.3548075257557</v>
      </c>
      <c r="AA147" s="117" t="n">
        <f aca="false">AA148-AA146-AA145</f>
        <v>-65.7737352247252</v>
      </c>
      <c r="AB147" s="117" t="n">
        <f aca="false">AB148-AB146-AB145</f>
        <v>-67.2409058157364</v>
      </c>
      <c r="AC147" s="117" t="n">
        <f aca="false">AC148-AC146-AC145</f>
        <v>-68.6493895831068</v>
      </c>
      <c r="AD147" s="117" t="n">
        <f aca="false">AD148-AD146-AD145</f>
        <v>-70.4469739997826</v>
      </c>
      <c r="AE147" s="117" t="n">
        <f aca="false">AE148-AE146-AE145</f>
        <v>-72.1726550397912</v>
      </c>
      <c r="AF147" s="117" t="n">
        <f aca="false">AF148-AF146-AF145</f>
        <v>-73.8293088381998</v>
      </c>
      <c r="AG147" s="117" t="n">
        <f aca="false">AG148-AG146-AG145</f>
        <v>-75.4196964846718</v>
      </c>
      <c r="AH147" s="117" t="n">
        <f aca="false">AH148-AH146-AH145</f>
        <v>-76.9464686252848</v>
      </c>
      <c r="AI147" s="117" t="n">
        <f aca="false">AI148-AI146-AI145</f>
        <v>-78.4121698802733</v>
      </c>
      <c r="AJ147" s="117" t="n">
        <f aca="false">AJ148-AJ146-AJ145</f>
        <v>-79.8192430850625</v>
      </c>
      <c r="AK147" s="117" t="n">
        <f aca="false">AK148-AK146-AK145</f>
        <v>-81.1700333616601</v>
      </c>
      <c r="AL147" s="117" t="n">
        <f aca="false">AL148-AL146-AL145</f>
        <v>-82.4667920271936</v>
      </c>
    </row>
    <row r="148" customFormat="false" ht="15" hidden="false" customHeight="false" outlineLevel="0" collapsed="false">
      <c r="A148" s="4" t="s">
        <v>400</v>
      </c>
      <c r="C148" s="119" t="n">
        <f aca="false">C146*(1-Inputs!$C$23)+C145</f>
        <v>283.7976</v>
      </c>
      <c r="D148" s="119" t="n">
        <f aca="false">D146*(1-Inputs!$C$23)+D145</f>
        <v>322.191118222222</v>
      </c>
      <c r="E148" s="119" t="n">
        <f aca="false">E146*(1-Inputs!$C$23)+E145</f>
        <v>371.368984604444</v>
      </c>
      <c r="F148" s="119" t="n">
        <f aca="false">F146*(1-Inputs!$C$23)+F145</f>
        <v>425.208091886933</v>
      </c>
      <c r="G148" s="119" t="n">
        <f aca="false">G146*(1-Inputs!$C$23)+G145</f>
        <v>483.521990433678</v>
      </c>
      <c r="H148" s="119" t="n">
        <f aca="false">H146*(1-Inputs!$C$23)+H145</f>
        <v>546.131688594109</v>
      </c>
      <c r="I148" s="119" t="n">
        <f aca="false">I146*(1-Inputs!$C$23)+I145</f>
        <v>612.865354383678</v>
      </c>
      <c r="J148" s="119" t="n">
        <f aca="false">J146*(1-Inputs!$C$23)+J145</f>
        <v>683.55802909722</v>
      </c>
      <c r="K148" s="119" t="n">
        <f aca="false">K146*(1-Inputs!$C$23)+K145</f>
        <v>758.051352377775</v>
      </c>
      <c r="L148" s="119" t="n">
        <f aca="false">L146*(1-Inputs!$C$23)+L145</f>
        <v>836.193298282664</v>
      </c>
      <c r="M148" s="119" t="n">
        <f aca="false">M146*(1-Inputs!$C$23)+M145</f>
        <v>911.209566351358</v>
      </c>
      <c r="N148" s="119" t="n">
        <f aca="false">N146*(1-Inputs!$C$23)+N145</f>
        <v>972.089183697303</v>
      </c>
      <c r="O148" s="119" t="n">
        <f aca="false">O146*(1-Inputs!$C$23)+O145</f>
        <v>1033.03361634941</v>
      </c>
      <c r="P148" s="119" t="n">
        <f aca="false">P146*(1-Inputs!$C$23)+P145</f>
        <v>1091.54027169543</v>
      </c>
      <c r="Q148" s="119" t="n">
        <f aca="false">Q146*(1-Inputs!$C$23)+Q145</f>
        <v>1158.84266082762</v>
      </c>
      <c r="R148" s="119" t="n">
        <f aca="false">R146*(1-Inputs!$C$23)+R145</f>
        <v>1223.45295439451</v>
      </c>
      <c r="S148" s="119" t="n">
        <f aca="false">S146*(1-Inputs!$C$23)+S145</f>
        <v>1285.47883621873</v>
      </c>
      <c r="T148" s="119" t="n">
        <f aca="false">T146*(1-Inputs!$C$23)+T145</f>
        <v>1345.02368276998</v>
      </c>
      <c r="U148" s="119" t="n">
        <f aca="false">U146*(1-Inputs!$C$23)+U145</f>
        <v>1402.18673545918</v>
      </c>
      <c r="V148" s="119" t="n">
        <f aca="false">V146*(1-Inputs!$C$23)+V145</f>
        <v>1457.06326604082</v>
      </c>
      <c r="W148" s="119" t="n">
        <f aca="false">W146*(1-Inputs!$C$23)+W145</f>
        <v>1509.74473539918</v>
      </c>
      <c r="X148" s="119" t="n">
        <f aca="false">X146*(1-Inputs!$C$23)+X145</f>
        <v>1560.31894598322</v>
      </c>
      <c r="Y148" s="119" t="n">
        <f aca="false">Y146*(1-Inputs!$C$23)+Y145</f>
        <v>1608.87018814389</v>
      </c>
      <c r="Z148" s="119" t="n">
        <f aca="false">Z146*(1-Inputs!$C$23)+Z145</f>
        <v>1644.34338061813</v>
      </c>
      <c r="AA148" s="119" t="n">
        <f aca="false">AA146*(1-Inputs!$C$23)+AA145</f>
        <v>1681.02264539341</v>
      </c>
      <c r="AB148" s="119" t="n">
        <f aca="false">AB146*(1-Inputs!$C$23)+AB145</f>
        <v>1716.23473957767</v>
      </c>
      <c r="AC148" s="119" t="n">
        <f aca="false">AC146*(1-Inputs!$C$23)+AC145</f>
        <v>1761.17434999456</v>
      </c>
      <c r="AD148" s="119" t="n">
        <f aca="false">AD146*(1-Inputs!$C$23)+AD145</f>
        <v>1804.31637599478</v>
      </c>
      <c r="AE148" s="119" t="n">
        <f aca="false">AE146*(1-Inputs!$C$23)+AE145</f>
        <v>1845.73272095499</v>
      </c>
      <c r="AF148" s="119" t="n">
        <f aca="false">AF146*(1-Inputs!$C$23)+AF145</f>
        <v>1885.49241211679</v>
      </c>
      <c r="AG148" s="119" t="n">
        <f aca="false">AG146*(1-Inputs!$C$23)+AG145</f>
        <v>1923.66171563212</v>
      </c>
      <c r="AH148" s="119" t="n">
        <f aca="false">AH146*(1-Inputs!$C$23)+AH145</f>
        <v>1960.30424700683</v>
      </c>
      <c r="AI148" s="119" t="n">
        <f aca="false">AI146*(1-Inputs!$C$23)+AI145</f>
        <v>1995.48107712656</v>
      </c>
      <c r="AJ148" s="119" t="n">
        <f aca="false">AJ146*(1-Inputs!$C$23)+AJ145</f>
        <v>2029.2508340415</v>
      </c>
      <c r="AK148" s="119" t="n">
        <f aca="false">AK146*(1-Inputs!$C$23)+AK145</f>
        <v>2061.66980067984</v>
      </c>
      <c r="AL148" s="119" t="n">
        <f aca="false">AL146*(1-Inputs!$C$23)+AL145</f>
        <v>2081.65600865264</v>
      </c>
    </row>
    <row r="149" customFormat="false" ht="15" hidden="false" customHeight="false" outlineLevel="0" collapsed="false">
      <c r="A149" s="6" t="s">
        <v>401</v>
      </c>
      <c r="C149" s="117" t="n">
        <f aca="false">(C146+C148)/2</f>
        <v>266.8988</v>
      </c>
      <c r="D149" s="117" t="n">
        <f aca="false">(D146+D148)/2</f>
        <v>302.994359111111</v>
      </c>
      <c r="E149" s="117" t="n">
        <f aca="false">(E146+E148)/2</f>
        <v>346.780051413333</v>
      </c>
      <c r="F149" s="117" t="n">
        <f aca="false">(F146+F148)/2</f>
        <v>398.288538245689</v>
      </c>
      <c r="G149" s="117" t="n">
        <f aca="false">(G146+G148)/2</f>
        <v>454.365041160306</v>
      </c>
      <c r="H149" s="117" t="n">
        <f aca="false">(H146+H148)/2</f>
        <v>514.826839513893</v>
      </c>
      <c r="I149" s="117" t="n">
        <f aca="false">(I146+I148)/2</f>
        <v>579.498521488893</v>
      </c>
      <c r="J149" s="117" t="n">
        <f aca="false">(J146+J148)/2</f>
        <v>648.211691740449</v>
      </c>
      <c r="K149" s="117" t="n">
        <f aca="false">(K146+K148)/2</f>
        <v>720.804690737497</v>
      </c>
      <c r="L149" s="117" t="n">
        <f aca="false">(L146+L148)/2</f>
        <v>797.12232533022</v>
      </c>
      <c r="M149" s="117" t="n">
        <f aca="false">(M146+M148)/2</f>
        <v>873.701432317011</v>
      </c>
      <c r="N149" s="117" t="n">
        <f aca="false">(N146+N148)/2</f>
        <v>941.64937502433</v>
      </c>
      <c r="O149" s="117" t="n">
        <f aca="false">(O146+O148)/2</f>
        <v>1002.56140002336</v>
      </c>
      <c r="P149" s="117" t="n">
        <f aca="false">(P146+P148)/2</f>
        <v>1062.28694402242</v>
      </c>
      <c r="Q149" s="117" t="n">
        <f aca="false">(Q146+Q148)/2</f>
        <v>1125.19146626153</v>
      </c>
      <c r="R149" s="117" t="n">
        <f aca="false">(R146+R148)/2</f>
        <v>1191.14780761106</v>
      </c>
      <c r="S149" s="117" t="n">
        <f aca="false">(S146+S148)/2</f>
        <v>1254.46589530662</v>
      </c>
      <c r="T149" s="117" t="n">
        <f aca="false">(T146+T148)/2</f>
        <v>1315.25125949436</v>
      </c>
      <c r="U149" s="117" t="n">
        <f aca="false">(U146+U148)/2</f>
        <v>1373.60520911458</v>
      </c>
      <c r="V149" s="117" t="n">
        <f aca="false">(V146+V148)/2</f>
        <v>1429.62500075</v>
      </c>
      <c r="W149" s="117" t="n">
        <f aca="false">(W146+W148)/2</f>
        <v>1483.40400072</v>
      </c>
      <c r="X149" s="117" t="n">
        <f aca="false">(X146+X148)/2</f>
        <v>1535.0318406912</v>
      </c>
      <c r="Y149" s="117" t="n">
        <f aca="false">(Y146+Y148)/2</f>
        <v>1584.59456706355</v>
      </c>
      <c r="Z149" s="117" t="n">
        <f aca="false">(Z146+Z148)/2</f>
        <v>1626.60678438101</v>
      </c>
      <c r="AA149" s="117" t="n">
        <f aca="false">(AA146+AA148)/2</f>
        <v>1662.68301300577</v>
      </c>
      <c r="AB149" s="117" t="n">
        <f aca="false">(AB146+AB148)/2</f>
        <v>1698.62869248554</v>
      </c>
      <c r="AC149" s="117" t="n">
        <f aca="false">(AC146+AC148)/2</f>
        <v>1738.70454478612</v>
      </c>
      <c r="AD149" s="117" t="n">
        <f aca="false">(AD146+AD148)/2</f>
        <v>1782.74536299467</v>
      </c>
      <c r="AE149" s="117" t="n">
        <f aca="false">(AE146+AE148)/2</f>
        <v>1825.02454847488</v>
      </c>
      <c r="AF149" s="117" t="n">
        <f aca="false">(AF146+AF148)/2</f>
        <v>1865.61256653589</v>
      </c>
      <c r="AG149" s="117" t="n">
        <f aca="false">(AG146+AG148)/2</f>
        <v>1904.57706387445</v>
      </c>
      <c r="AH149" s="117" t="n">
        <f aca="false">(AH146+AH148)/2</f>
        <v>1941.98298131947</v>
      </c>
      <c r="AI149" s="117" t="n">
        <f aca="false">(AI146+AI148)/2</f>
        <v>1977.8926620667</v>
      </c>
      <c r="AJ149" s="117" t="n">
        <f aca="false">(AJ146+AJ148)/2</f>
        <v>2012.36595558403</v>
      </c>
      <c r="AK149" s="117" t="n">
        <f aca="false">(AK146+AK148)/2</f>
        <v>2045.46031736067</v>
      </c>
      <c r="AL149" s="117" t="n">
        <f aca="false">(AL146+AL148)/2</f>
        <v>2071.66290466624</v>
      </c>
    </row>
    <row r="151" customFormat="false" ht="15.75" hidden="false" customHeight="true" outlineLevel="0" collapsed="false">
      <c r="A151" s="7" t="s">
        <v>402</v>
      </c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</row>
    <row r="152" customFormat="false" ht="15" hidden="false" customHeight="false" outlineLevel="0" collapsed="false">
      <c r="A152" s="6" t="s">
        <v>403</v>
      </c>
      <c r="C152" s="118" t="n">
        <f aca="false">C149*Inputs!$C$24*C139*1</f>
        <v>794.02393</v>
      </c>
      <c r="D152" s="118" t="n">
        <f aca="false">D149*Inputs!$C$24*D139*1</f>
        <v>901.408218355555</v>
      </c>
      <c r="E152" s="118" t="n">
        <f aca="false">E149*Inputs!$C$24*E139*1</f>
        <v>1274.416688944</v>
      </c>
      <c r="F152" s="118" t="n">
        <f aca="false">F149*Inputs!$C$24*F139*1</f>
        <v>1463.71037805291</v>
      </c>
      <c r="G152" s="118" t="n">
        <f aca="false">G149*Inputs!$C$24*G139*1</f>
        <v>1669.79152626412</v>
      </c>
      <c r="H152" s="118" t="n">
        <f aca="false">H149*Inputs!$C$24*H139*1</f>
        <v>1891.98863521356</v>
      </c>
      <c r="I152" s="118" t="n">
        <f aca="false">I149*Inputs!$C$24*I139*1</f>
        <v>2129.65706647168</v>
      </c>
      <c r="J152" s="118" t="n">
        <f aca="false">J149*Inputs!$C$24*J139*1</f>
        <v>2382.17796714615</v>
      </c>
      <c r="K152" s="118" t="n">
        <f aca="false">K149*Inputs!$C$24*K139*1</f>
        <v>2648.9572384603</v>
      </c>
      <c r="L152" s="118" t="n">
        <f aca="false">L149*Inputs!$C$24*L139*1</f>
        <v>2929.42454558856</v>
      </c>
      <c r="M152" s="118" t="n">
        <f aca="false">M149*Inputs!$C$24*M139*1</f>
        <v>3210.85276376502</v>
      </c>
      <c r="N152" s="118" t="n">
        <f aca="false">N149*Inputs!$C$24*N139*1</f>
        <v>2801.40689069738</v>
      </c>
      <c r="O152" s="118" t="n">
        <f aca="false">O149*Inputs!$C$24*O139*1</f>
        <v>2982.62016506949</v>
      </c>
      <c r="P152" s="118" t="n">
        <f aca="false">P149*Inputs!$C$24*P139*1</f>
        <v>3160.30365846671</v>
      </c>
      <c r="Q152" s="118" t="n">
        <f aca="false">Q149*Inputs!$C$24*Q139*1</f>
        <v>4135.07863851111</v>
      </c>
      <c r="R152" s="118" t="n">
        <f aca="false">R149*Inputs!$C$24*R139*1</f>
        <v>4377.46819297066</v>
      </c>
      <c r="S152" s="118" t="n">
        <f aca="false">S149*Inputs!$C$24*S139*1</f>
        <v>4610.16216525184</v>
      </c>
      <c r="T152" s="118" t="n">
        <f aca="false">T149*Inputs!$C$24*T139*1</f>
        <v>4833.54837864176</v>
      </c>
      <c r="U152" s="118" t="n">
        <f aca="false">U149*Inputs!$C$24*U139*1</f>
        <v>5047.99914349609</v>
      </c>
      <c r="V152" s="118" t="n">
        <f aca="false">V149*Inputs!$C$24*V139*1</f>
        <v>5253.87187775625</v>
      </c>
      <c r="W152" s="118" t="n">
        <f aca="false">W149*Inputs!$C$24*W139*1</f>
        <v>5451.509702646</v>
      </c>
      <c r="X152" s="118" t="n">
        <f aca="false">X149*Inputs!$C$24*X139*1</f>
        <v>5641.24201454016</v>
      </c>
      <c r="Y152" s="118" t="n">
        <f aca="false">Y149*Inputs!$C$24*Y139*1</f>
        <v>5823.38503395855</v>
      </c>
      <c r="Z152" s="118" t="n">
        <f aca="false">Z149*Inputs!$C$24*Z139*1</f>
        <v>4839.1551835335</v>
      </c>
      <c r="AA152" s="118" t="n">
        <f aca="false">AA149*Inputs!$C$24*AA139*1</f>
        <v>4946.48196369216</v>
      </c>
      <c r="AB152" s="118" t="n">
        <f aca="false">AB149*Inputs!$C$24*AB139*1</f>
        <v>5053.42036014447</v>
      </c>
      <c r="AC152" s="118" t="n">
        <f aca="false">AC149*Inputs!$C$24*AC139*1</f>
        <v>6389.73920208898</v>
      </c>
      <c r="AD152" s="118" t="n">
        <f aca="false">AD149*Inputs!$C$24*AD139*1</f>
        <v>6551.58920900542</v>
      </c>
      <c r="AE152" s="118" t="n">
        <f aca="false">AE149*Inputs!$C$24*AE139*1</f>
        <v>6706.9652156452</v>
      </c>
      <c r="AF152" s="118" t="n">
        <f aca="false">AF149*Inputs!$C$24*AF139*1</f>
        <v>6856.12618201939</v>
      </c>
      <c r="AG152" s="118" t="n">
        <f aca="false">AG149*Inputs!$C$24*AG139*1</f>
        <v>6999.32070973862</v>
      </c>
      <c r="AH152" s="118" t="n">
        <f aca="false">AH149*Inputs!$C$24*AH139*1</f>
        <v>7136.78745634907</v>
      </c>
      <c r="AI152" s="118" t="n">
        <f aca="false">AI149*Inputs!$C$24*AI139*1</f>
        <v>7268.75553309511</v>
      </c>
      <c r="AJ152" s="118" t="n">
        <f aca="false">AJ149*Inputs!$C$24*AJ139*1</f>
        <v>7395.4448867713</v>
      </c>
      <c r="AK152" s="118" t="n">
        <f aca="false">AK149*Inputs!$C$24*AK139*1</f>
        <v>7517.06666630045</v>
      </c>
      <c r="AL152" s="118" t="n">
        <f aca="false">AL149*Inputs!$C$24*AL139*1</f>
        <v>6163.19714138206</v>
      </c>
    </row>
    <row r="153" customFormat="false" ht="15" hidden="false" customHeight="false" outlineLevel="0" collapsed="false">
      <c r="A153" s="6" t="s">
        <v>404</v>
      </c>
      <c r="C153" s="118" t="n">
        <f aca="false">Inputs!$C$14*Inputs!$C$15*Inputs!$C$16*Inputs!$C$8*1</f>
        <v>24563</v>
      </c>
      <c r="D153" s="118" t="n">
        <f aca="false">Inputs!$C$14*Inputs!$C$15*Inputs!$C$16*Inputs!$C$8*1</f>
        <v>24563</v>
      </c>
      <c r="E153" s="118" t="n">
        <f aca="false">Inputs!$C$14*Inputs!$C$15*Inputs!$C$16*Inputs!$C$8*1</f>
        <v>24563</v>
      </c>
      <c r="F153" s="118" t="n">
        <f aca="false">Inputs!$C$14*Inputs!$C$15*Inputs!$C$16*Inputs!$C$8*1</f>
        <v>24563</v>
      </c>
      <c r="G153" s="118" t="n">
        <f aca="false">Inputs!$C$14*Inputs!$C$15*Inputs!$C$16*Inputs!$C$8*1</f>
        <v>24563</v>
      </c>
      <c r="H153" s="118" t="n">
        <f aca="false">Inputs!$C$14*Inputs!$C$15*Inputs!$C$16*Inputs!$C$8*1</f>
        <v>24563</v>
      </c>
      <c r="I153" s="118" t="n">
        <f aca="false">Inputs!$C$14*Inputs!$C$15*Inputs!$C$16*Inputs!$C$8*1</f>
        <v>24563</v>
      </c>
      <c r="J153" s="118" t="n">
        <f aca="false">Inputs!$C$14*Inputs!$C$15*Inputs!$C$16*Inputs!$C$8*1</f>
        <v>24563</v>
      </c>
      <c r="K153" s="118" t="n">
        <f aca="false">Inputs!$C$14*Inputs!$C$15*Inputs!$C$16*Inputs!$C$8*1</f>
        <v>24563</v>
      </c>
      <c r="L153" s="118" t="n">
        <f aca="false">Inputs!$C$14*Inputs!$C$15*Inputs!$C$16*Inputs!$C$8*1</f>
        <v>24563</v>
      </c>
      <c r="M153" s="118" t="n">
        <f aca="false">Inputs!$C$14*Inputs!$C$15*Inputs!$C$16*Inputs!$C$8*1</f>
        <v>24563</v>
      </c>
      <c r="N153" s="118" t="n">
        <f aca="false">Inputs!$C$14*Inputs!$C$15*Inputs!$C$16*Inputs!$C$8*1</f>
        <v>24563</v>
      </c>
      <c r="O153" s="118" t="n">
        <f aca="false">Inputs!$C$14*Inputs!$C$15*Inputs!$C$16*Inputs!$C$8*1</f>
        <v>24563</v>
      </c>
      <c r="P153" s="118" t="n">
        <f aca="false">Inputs!$C$14*Inputs!$C$15*Inputs!$C$16*Inputs!$C$8*1</f>
        <v>24563</v>
      </c>
      <c r="Q153" s="118" t="n">
        <f aca="false">Inputs!$C$14*Inputs!$C$15*Inputs!$C$16*Inputs!$C$8*1</f>
        <v>24563</v>
      </c>
      <c r="R153" s="118" t="n">
        <f aca="false">Inputs!$C$14*Inputs!$C$15*Inputs!$C$16*Inputs!$C$8*1</f>
        <v>24563</v>
      </c>
      <c r="S153" s="118" t="n">
        <f aca="false">Inputs!$C$14*Inputs!$C$15*Inputs!$C$16*Inputs!$C$8*1</f>
        <v>24563</v>
      </c>
      <c r="T153" s="118" t="n">
        <f aca="false">Inputs!$C$14*Inputs!$C$15*Inputs!$C$16*Inputs!$C$8*1</f>
        <v>24563</v>
      </c>
      <c r="U153" s="118" t="n">
        <f aca="false">Inputs!$C$14*Inputs!$C$15*Inputs!$C$16*Inputs!$C$8*1</f>
        <v>24563</v>
      </c>
      <c r="V153" s="118" t="n">
        <f aca="false">Inputs!$C$14*Inputs!$C$15*Inputs!$C$16*Inputs!$C$8*1</f>
        <v>24563</v>
      </c>
      <c r="W153" s="118" t="n">
        <f aca="false">Inputs!$C$14*Inputs!$C$15*Inputs!$C$16*Inputs!$C$8*1</f>
        <v>24563</v>
      </c>
      <c r="X153" s="118" t="n">
        <f aca="false">Inputs!$C$14*Inputs!$C$15*Inputs!$C$16*Inputs!$C$8*1</f>
        <v>24563</v>
      </c>
      <c r="Y153" s="118" t="n">
        <f aca="false">Inputs!$C$14*Inputs!$C$15*Inputs!$C$16*Inputs!$C$8*1</f>
        <v>24563</v>
      </c>
      <c r="Z153" s="118" t="n">
        <f aca="false">Inputs!$C$14*Inputs!$C$15*Inputs!$C$16*Inputs!$C$8*1</f>
        <v>24563</v>
      </c>
      <c r="AA153" s="118" t="n">
        <f aca="false">Inputs!$C$14*Inputs!$C$15*Inputs!$C$16*Inputs!$C$8*1</f>
        <v>24563</v>
      </c>
      <c r="AB153" s="118" t="n">
        <f aca="false">Inputs!$C$14*Inputs!$C$15*Inputs!$C$16*Inputs!$C$8*1</f>
        <v>24563</v>
      </c>
      <c r="AC153" s="118" t="n">
        <f aca="false">Inputs!$C$14*Inputs!$C$15*Inputs!$C$16*Inputs!$C$8*1</f>
        <v>24563</v>
      </c>
      <c r="AD153" s="118" t="n">
        <f aca="false">Inputs!$C$14*Inputs!$C$15*Inputs!$C$16*Inputs!$C$8*1</f>
        <v>24563</v>
      </c>
      <c r="AE153" s="118" t="n">
        <f aca="false">Inputs!$C$14*Inputs!$C$15*Inputs!$C$16*Inputs!$C$8*1</f>
        <v>24563</v>
      </c>
      <c r="AF153" s="118" t="n">
        <f aca="false">Inputs!$C$14*Inputs!$C$15*Inputs!$C$16*Inputs!$C$8*1</f>
        <v>24563</v>
      </c>
      <c r="AG153" s="118" t="n">
        <f aca="false">Inputs!$C$14*Inputs!$C$15*Inputs!$C$16*Inputs!$C$8*1</f>
        <v>24563</v>
      </c>
      <c r="AH153" s="118" t="n">
        <f aca="false">Inputs!$C$14*Inputs!$C$15*Inputs!$C$16*Inputs!$C$8*1</f>
        <v>24563</v>
      </c>
      <c r="AI153" s="118" t="n">
        <f aca="false">Inputs!$C$14*Inputs!$C$15*Inputs!$C$16*Inputs!$C$8*1</f>
        <v>24563</v>
      </c>
      <c r="AJ153" s="118" t="n">
        <f aca="false">Inputs!$C$14*Inputs!$C$15*Inputs!$C$16*Inputs!$C$8*1</f>
        <v>24563</v>
      </c>
      <c r="AK153" s="118" t="n">
        <f aca="false">Inputs!$C$14*Inputs!$C$15*Inputs!$C$16*Inputs!$C$8*1</f>
        <v>24563</v>
      </c>
      <c r="AL153" s="118" t="n">
        <f aca="false">Inputs!$C$14*Inputs!$C$15*Inputs!$C$16*Inputs!$C$8*1</f>
        <v>24563</v>
      </c>
    </row>
    <row r="154" customFormat="false" ht="15" hidden="false" customHeight="false" outlineLevel="0" collapsed="false">
      <c r="A154" s="39" t="s">
        <v>405</v>
      </c>
      <c r="C154" s="76" t="n">
        <f aca="false">MIN(1,C153/MAX(1,C140+C152))</f>
        <v>1</v>
      </c>
      <c r="D154" s="76" t="n">
        <f aca="false">MIN(1,D153/MAX(1,D140+D152))</f>
        <v>1</v>
      </c>
      <c r="E154" s="76" t="n">
        <f aca="false">MIN(1,E153/MAX(1,E140+E152))</f>
        <v>1</v>
      </c>
      <c r="F154" s="76" t="n">
        <f aca="false">MIN(1,F153/MAX(1,F140+F152))</f>
        <v>1</v>
      </c>
      <c r="G154" s="76" t="n">
        <f aca="false">MIN(1,G153/MAX(1,G140+G152))</f>
        <v>1</v>
      </c>
      <c r="H154" s="76" t="n">
        <f aca="false">MIN(1,H153/MAX(1,H140+H152))</f>
        <v>1</v>
      </c>
      <c r="I154" s="76" t="n">
        <f aca="false">MIN(1,I153/MAX(1,I140+I152))</f>
        <v>1</v>
      </c>
      <c r="J154" s="76" t="n">
        <f aca="false">MIN(1,J153/MAX(1,J140+J152))</f>
        <v>1</v>
      </c>
      <c r="K154" s="76" t="n">
        <f aca="false">MIN(1,K153/MAX(1,K140+K152))</f>
        <v>1</v>
      </c>
      <c r="L154" s="76" t="n">
        <f aca="false">MIN(1,L153/MAX(1,L140+L152))</f>
        <v>1</v>
      </c>
      <c r="M154" s="76" t="n">
        <f aca="false">MIN(1,M153/MAX(1,M140+M152))</f>
        <v>1</v>
      </c>
      <c r="N154" s="76" t="n">
        <f aca="false">MIN(1,N153/MAX(1,N140+N152))</f>
        <v>1</v>
      </c>
      <c r="O154" s="76" t="n">
        <f aca="false">MIN(1,O153/MAX(1,O140+O152))</f>
        <v>1</v>
      </c>
      <c r="P154" s="76" t="n">
        <f aca="false">MIN(1,P153/MAX(1,P140+P152))</f>
        <v>1</v>
      </c>
      <c r="Q154" s="76" t="n">
        <f aca="false">MIN(1,Q153/MAX(1,Q140+Q152))</f>
        <v>1</v>
      </c>
      <c r="R154" s="76" t="n">
        <f aca="false">MIN(1,R153/MAX(1,R140+R152))</f>
        <v>1</v>
      </c>
      <c r="S154" s="76" t="n">
        <f aca="false">MIN(1,S153/MAX(1,S140+S152))</f>
        <v>1</v>
      </c>
      <c r="T154" s="76" t="n">
        <f aca="false">MIN(1,T153/MAX(1,T140+T152))</f>
        <v>1</v>
      </c>
      <c r="U154" s="76" t="n">
        <f aca="false">MIN(1,U153/MAX(1,U140+U152))</f>
        <v>1</v>
      </c>
      <c r="V154" s="76" t="n">
        <f aca="false">MIN(1,V153/MAX(1,V140+V152))</f>
        <v>1</v>
      </c>
      <c r="W154" s="76" t="n">
        <f aca="false">MIN(1,W153/MAX(1,W140+W152))</f>
        <v>1</v>
      </c>
      <c r="X154" s="76" t="n">
        <f aca="false">MIN(1,X153/MAX(1,X140+X152))</f>
        <v>1</v>
      </c>
      <c r="Y154" s="76" t="n">
        <f aca="false">MIN(1,Y153/MAX(1,Y140+Y152))</f>
        <v>1</v>
      </c>
      <c r="Z154" s="76" t="n">
        <f aca="false">MIN(1,Z153/MAX(1,Z140+Z152))</f>
        <v>1</v>
      </c>
      <c r="AA154" s="76" t="n">
        <f aca="false">MIN(1,AA153/MAX(1,AA140+AA152))</f>
        <v>1</v>
      </c>
      <c r="AB154" s="76" t="n">
        <f aca="false">MIN(1,AB153/MAX(1,AB140+AB152))</f>
        <v>1</v>
      </c>
      <c r="AC154" s="76" t="n">
        <f aca="false">MIN(1,AC153/MAX(1,AC140+AC152))</f>
        <v>1</v>
      </c>
      <c r="AD154" s="76" t="n">
        <f aca="false">MIN(1,AD153/MAX(1,AD140+AD152))</f>
        <v>1</v>
      </c>
      <c r="AE154" s="76" t="n">
        <f aca="false">MIN(1,AE153/MAX(1,AE140+AE152))</f>
        <v>1</v>
      </c>
      <c r="AF154" s="76" t="n">
        <f aca="false">MIN(1,AF153/MAX(1,AF140+AF152))</f>
        <v>1</v>
      </c>
      <c r="AG154" s="76" t="n">
        <f aca="false">MIN(1,AG153/MAX(1,AG140+AG152))</f>
        <v>1</v>
      </c>
      <c r="AH154" s="76" t="n">
        <f aca="false">MIN(1,AH153/MAX(1,AH140+AH152))</f>
        <v>1</v>
      </c>
      <c r="AI154" s="76" t="n">
        <f aca="false">MIN(1,AI153/MAX(1,AI140+AI152))</f>
        <v>1</v>
      </c>
      <c r="AJ154" s="76" t="n">
        <f aca="false">MIN(1,AJ153/MAX(1,AJ140+AJ152))</f>
        <v>1</v>
      </c>
      <c r="AK154" s="76" t="n">
        <f aca="false">MIN(1,AK153/MAX(1,AK140+AK152))</f>
        <v>1</v>
      </c>
      <c r="AL154" s="76" t="n">
        <f aca="false">MIN(1,AL153/MAX(1,AL140+AL152))</f>
        <v>1</v>
      </c>
    </row>
    <row r="155" customFormat="false" ht="15" hidden="false" customHeight="false" outlineLevel="0" collapsed="false">
      <c r="A155" s="6" t="s">
        <v>236</v>
      </c>
      <c r="C155" s="118" t="n">
        <f aca="false">C140*C154</f>
        <v>2662.2</v>
      </c>
      <c r="D155" s="118" t="n">
        <f aca="false">D140*D154</f>
        <v>3023.73333333333</v>
      </c>
      <c r="E155" s="118" t="n">
        <f aca="false">E140*E154</f>
        <v>4181.8</v>
      </c>
      <c r="F155" s="118" t="n">
        <f aca="false">F140*F154</f>
        <v>4628.4</v>
      </c>
      <c r="G155" s="118" t="n">
        <f aca="false">G140*G154</f>
        <v>5075</v>
      </c>
      <c r="H155" s="118" t="n">
        <f aca="false">H140*H154</f>
        <v>5521.6</v>
      </c>
      <c r="I155" s="118" t="n">
        <f aca="false">I140*I154</f>
        <v>5968.2</v>
      </c>
      <c r="J155" s="118" t="n">
        <f aca="false">J140*J154</f>
        <v>6414.8</v>
      </c>
      <c r="K155" s="118" t="n">
        <f aca="false">K140*K154</f>
        <v>6861.4</v>
      </c>
      <c r="L155" s="118" t="n">
        <f aca="false">L140*L154</f>
        <v>7308</v>
      </c>
      <c r="M155" s="118" t="n">
        <f aca="false">M140*M154</f>
        <v>7308</v>
      </c>
      <c r="N155" s="118" t="n">
        <f aca="false">N140*N154</f>
        <v>5916</v>
      </c>
      <c r="O155" s="118" t="n">
        <f aca="false">O140*O154</f>
        <v>5916</v>
      </c>
      <c r="P155" s="118" t="n">
        <f aca="false">P140*P154</f>
        <v>5916</v>
      </c>
      <c r="Q155" s="118" t="n">
        <f aca="false">Q140*Q154</f>
        <v>7308</v>
      </c>
      <c r="R155" s="118" t="n">
        <f aca="false">R140*R154</f>
        <v>7308</v>
      </c>
      <c r="S155" s="118" t="n">
        <f aca="false">S140*S154</f>
        <v>7308</v>
      </c>
      <c r="T155" s="118" t="n">
        <f aca="false">T140*T154</f>
        <v>7308</v>
      </c>
      <c r="U155" s="118" t="n">
        <f aca="false">U140*U154</f>
        <v>7308</v>
      </c>
      <c r="V155" s="118" t="n">
        <f aca="false">V140*V154</f>
        <v>7308</v>
      </c>
      <c r="W155" s="118" t="n">
        <f aca="false">W140*W154</f>
        <v>7308</v>
      </c>
      <c r="X155" s="118" t="n">
        <f aca="false">X140*X154</f>
        <v>7308</v>
      </c>
      <c r="Y155" s="118" t="n">
        <f aca="false">Y140*Y154</f>
        <v>7308</v>
      </c>
      <c r="Z155" s="118" t="n">
        <f aca="false">Z140*Z154</f>
        <v>5916</v>
      </c>
      <c r="AA155" s="118" t="n">
        <f aca="false">AA140*AA154</f>
        <v>5916</v>
      </c>
      <c r="AB155" s="118" t="n">
        <f aca="false">AB140*AB154</f>
        <v>5916</v>
      </c>
      <c r="AC155" s="118" t="n">
        <f aca="false">AC140*AC154</f>
        <v>7308</v>
      </c>
      <c r="AD155" s="118" t="n">
        <f aca="false">AD140*AD154</f>
        <v>7308</v>
      </c>
      <c r="AE155" s="118" t="n">
        <f aca="false">AE140*AE154</f>
        <v>7308</v>
      </c>
      <c r="AF155" s="118" t="n">
        <f aca="false">AF140*AF154</f>
        <v>7308</v>
      </c>
      <c r="AG155" s="118" t="n">
        <f aca="false">AG140*AG154</f>
        <v>7308</v>
      </c>
      <c r="AH155" s="118" t="n">
        <f aca="false">AH140*AH154</f>
        <v>7308</v>
      </c>
      <c r="AI155" s="118" t="n">
        <f aca="false">AI140*AI154</f>
        <v>7308</v>
      </c>
      <c r="AJ155" s="118" t="n">
        <f aca="false">AJ140*AJ154</f>
        <v>7308</v>
      </c>
      <c r="AK155" s="118" t="n">
        <f aca="false">AK140*AK154</f>
        <v>7308</v>
      </c>
      <c r="AL155" s="118" t="n">
        <f aca="false">AL140*AL154</f>
        <v>5916</v>
      </c>
    </row>
    <row r="156" customFormat="false" ht="15" hidden="false" customHeight="false" outlineLevel="0" collapsed="false">
      <c r="A156" s="6" t="s">
        <v>237</v>
      </c>
      <c r="C156" s="118" t="n">
        <f aca="false">C152*C154</f>
        <v>794.02393</v>
      </c>
      <c r="D156" s="118" t="n">
        <f aca="false">D152*D154</f>
        <v>901.408218355555</v>
      </c>
      <c r="E156" s="118" t="n">
        <f aca="false">E152*E154</f>
        <v>1274.416688944</v>
      </c>
      <c r="F156" s="118" t="n">
        <f aca="false">F152*F154</f>
        <v>1463.71037805291</v>
      </c>
      <c r="G156" s="118" t="n">
        <f aca="false">G152*G154</f>
        <v>1669.79152626412</v>
      </c>
      <c r="H156" s="118" t="n">
        <f aca="false">H152*H154</f>
        <v>1891.98863521356</v>
      </c>
      <c r="I156" s="118" t="n">
        <f aca="false">I152*I154</f>
        <v>2129.65706647168</v>
      </c>
      <c r="J156" s="118" t="n">
        <f aca="false">J152*J154</f>
        <v>2382.17796714615</v>
      </c>
      <c r="K156" s="118" t="n">
        <f aca="false">K152*K154</f>
        <v>2648.9572384603</v>
      </c>
      <c r="L156" s="118" t="n">
        <f aca="false">L152*L154</f>
        <v>2929.42454558856</v>
      </c>
      <c r="M156" s="118" t="n">
        <f aca="false">M152*M154</f>
        <v>3210.85276376502</v>
      </c>
      <c r="N156" s="118" t="n">
        <f aca="false">N152*N154</f>
        <v>2801.40689069738</v>
      </c>
      <c r="O156" s="118" t="n">
        <f aca="false">O152*O154</f>
        <v>2982.62016506949</v>
      </c>
      <c r="P156" s="118" t="n">
        <f aca="false">P152*P154</f>
        <v>3160.30365846671</v>
      </c>
      <c r="Q156" s="118" t="n">
        <f aca="false">Q152*Q154</f>
        <v>4135.07863851111</v>
      </c>
      <c r="R156" s="118" t="n">
        <f aca="false">R152*R154</f>
        <v>4377.46819297066</v>
      </c>
      <c r="S156" s="118" t="n">
        <f aca="false">S152*S154</f>
        <v>4610.16216525184</v>
      </c>
      <c r="T156" s="118" t="n">
        <f aca="false">T152*T154</f>
        <v>4833.54837864176</v>
      </c>
      <c r="U156" s="118" t="n">
        <f aca="false">U152*U154</f>
        <v>5047.99914349609</v>
      </c>
      <c r="V156" s="118" t="n">
        <f aca="false">V152*V154</f>
        <v>5253.87187775625</v>
      </c>
      <c r="W156" s="118" t="n">
        <f aca="false">W152*W154</f>
        <v>5451.509702646</v>
      </c>
      <c r="X156" s="118" t="n">
        <f aca="false">X152*X154</f>
        <v>5641.24201454016</v>
      </c>
      <c r="Y156" s="118" t="n">
        <f aca="false">Y152*Y154</f>
        <v>5823.38503395855</v>
      </c>
      <c r="Z156" s="118" t="n">
        <f aca="false">Z152*Z154</f>
        <v>4839.1551835335</v>
      </c>
      <c r="AA156" s="118" t="n">
        <f aca="false">AA152*AA154</f>
        <v>4946.48196369216</v>
      </c>
      <c r="AB156" s="118" t="n">
        <f aca="false">AB152*AB154</f>
        <v>5053.42036014447</v>
      </c>
      <c r="AC156" s="118" t="n">
        <f aca="false">AC152*AC154</f>
        <v>6389.73920208898</v>
      </c>
      <c r="AD156" s="118" t="n">
        <f aca="false">AD152*AD154</f>
        <v>6551.58920900542</v>
      </c>
      <c r="AE156" s="118" t="n">
        <f aca="false">AE152*AE154</f>
        <v>6706.9652156452</v>
      </c>
      <c r="AF156" s="118" t="n">
        <f aca="false">AF152*AF154</f>
        <v>6856.12618201939</v>
      </c>
      <c r="AG156" s="118" t="n">
        <f aca="false">AG152*AG154</f>
        <v>6999.32070973862</v>
      </c>
      <c r="AH156" s="118" t="n">
        <f aca="false">AH152*AH154</f>
        <v>7136.78745634907</v>
      </c>
      <c r="AI156" s="118" t="n">
        <f aca="false">AI152*AI154</f>
        <v>7268.75553309511</v>
      </c>
      <c r="AJ156" s="118" t="n">
        <f aca="false">AJ152*AJ154</f>
        <v>7395.4448867713</v>
      </c>
      <c r="AK156" s="118" t="n">
        <f aca="false">AK152*AK154</f>
        <v>7517.06666630045</v>
      </c>
      <c r="AL156" s="118" t="n">
        <f aca="false">AL152*AL154</f>
        <v>6163.19714138206</v>
      </c>
    </row>
    <row r="157" customFormat="false" ht="15" hidden="false" customHeight="false" outlineLevel="0" collapsed="false">
      <c r="A157" s="4" t="s">
        <v>406</v>
      </c>
      <c r="C157" s="121" t="n">
        <f aca="false">C155+C156</f>
        <v>3456.22393</v>
      </c>
      <c r="D157" s="121" t="n">
        <f aca="false">D155+D156</f>
        <v>3925.14155168889</v>
      </c>
      <c r="E157" s="121" t="n">
        <f aca="false">E155+E156</f>
        <v>5456.216688944</v>
      </c>
      <c r="F157" s="121" t="n">
        <f aca="false">F155+F156</f>
        <v>6092.11037805291</v>
      </c>
      <c r="G157" s="121" t="n">
        <f aca="false">G155+G156</f>
        <v>6744.79152626412</v>
      </c>
      <c r="H157" s="121" t="n">
        <f aca="false">H155+H156</f>
        <v>7413.58863521356</v>
      </c>
      <c r="I157" s="121" t="n">
        <f aca="false">I155+I156</f>
        <v>8097.85706647168</v>
      </c>
      <c r="J157" s="121" t="n">
        <f aca="false">J155+J156</f>
        <v>8796.97796714615</v>
      </c>
      <c r="K157" s="121" t="n">
        <f aca="false">K155+K156</f>
        <v>9510.3572384603</v>
      </c>
      <c r="L157" s="121" t="n">
        <f aca="false">L155+L156</f>
        <v>10237.4245455886</v>
      </c>
      <c r="M157" s="121" t="n">
        <f aca="false">M155+M156</f>
        <v>10518.852763765</v>
      </c>
      <c r="N157" s="121" t="n">
        <f aca="false">N155+N156</f>
        <v>8717.40689069738</v>
      </c>
      <c r="O157" s="121" t="n">
        <f aca="false">O155+O156</f>
        <v>8898.62016506949</v>
      </c>
      <c r="P157" s="121" t="n">
        <f aca="false">P155+P156</f>
        <v>9076.30365846671</v>
      </c>
      <c r="Q157" s="121" t="n">
        <f aca="false">Q155+Q156</f>
        <v>11443.0786385111</v>
      </c>
      <c r="R157" s="121" t="n">
        <f aca="false">R155+R156</f>
        <v>11685.4681929707</v>
      </c>
      <c r="S157" s="121" t="n">
        <f aca="false">S155+S156</f>
        <v>11918.1621652518</v>
      </c>
      <c r="T157" s="121" t="n">
        <f aca="false">T155+T156</f>
        <v>12141.5483786418</v>
      </c>
      <c r="U157" s="121" t="n">
        <f aca="false">U155+U156</f>
        <v>12355.9991434961</v>
      </c>
      <c r="V157" s="121" t="n">
        <f aca="false">V155+V156</f>
        <v>12561.8718777562</v>
      </c>
      <c r="W157" s="121" t="n">
        <f aca="false">W155+W156</f>
        <v>12759.509702646</v>
      </c>
      <c r="X157" s="121" t="n">
        <f aca="false">X155+X156</f>
        <v>12949.2420145402</v>
      </c>
      <c r="Y157" s="121" t="n">
        <f aca="false">Y155+Y156</f>
        <v>13131.3850339586</v>
      </c>
      <c r="Z157" s="121" t="n">
        <f aca="false">Z155+Z156</f>
        <v>10755.1551835335</v>
      </c>
      <c r="AA157" s="121" t="n">
        <f aca="false">AA155+AA156</f>
        <v>10862.4819636922</v>
      </c>
      <c r="AB157" s="121" t="n">
        <f aca="false">AB155+AB156</f>
        <v>10969.4203601445</v>
      </c>
      <c r="AC157" s="121" t="n">
        <f aca="false">AC155+AC156</f>
        <v>13697.739202089</v>
      </c>
      <c r="AD157" s="121" t="n">
        <f aca="false">AD155+AD156</f>
        <v>13859.5892090054</v>
      </c>
      <c r="AE157" s="121" t="n">
        <f aca="false">AE155+AE156</f>
        <v>14014.9652156452</v>
      </c>
      <c r="AF157" s="121" t="n">
        <f aca="false">AF155+AF156</f>
        <v>14164.1261820194</v>
      </c>
      <c r="AG157" s="121" t="n">
        <f aca="false">AG155+AG156</f>
        <v>14307.3207097386</v>
      </c>
      <c r="AH157" s="121" t="n">
        <f aca="false">AH155+AH156</f>
        <v>14444.7874563491</v>
      </c>
      <c r="AI157" s="121" t="n">
        <f aca="false">AI155+AI156</f>
        <v>14576.7555330951</v>
      </c>
      <c r="AJ157" s="121" t="n">
        <f aca="false">AJ155+AJ156</f>
        <v>14703.4448867713</v>
      </c>
      <c r="AK157" s="121" t="n">
        <f aca="false">AK155+AK156</f>
        <v>14825.0666663004</v>
      </c>
      <c r="AL157" s="121" t="n">
        <f aca="false">AL155+AL156</f>
        <v>12079.1971413821</v>
      </c>
    </row>
    <row r="158" customFormat="false" ht="15" hidden="false" customHeight="false" outlineLevel="0" collapsed="false">
      <c r="A158" s="6" t="s">
        <v>240</v>
      </c>
      <c r="C158" s="118" t="n">
        <f aca="false">C140+C152-C157</f>
        <v>0</v>
      </c>
      <c r="D158" s="118" t="n">
        <f aca="false">D140+D152-D157</f>
        <v>0</v>
      </c>
      <c r="E158" s="118" t="n">
        <f aca="false">E140+E152-E157</f>
        <v>0</v>
      </c>
      <c r="F158" s="118" t="n">
        <f aca="false">F140+F152-F157</f>
        <v>0</v>
      </c>
      <c r="G158" s="118" t="n">
        <f aca="false">G140+G152-G157</f>
        <v>0</v>
      </c>
      <c r="H158" s="118" t="n">
        <f aca="false">H140+H152-H157</f>
        <v>0</v>
      </c>
      <c r="I158" s="118" t="n">
        <f aca="false">I140+I152-I157</f>
        <v>0</v>
      </c>
      <c r="J158" s="118" t="n">
        <f aca="false">J140+J152-J157</f>
        <v>0</v>
      </c>
      <c r="K158" s="118" t="n">
        <f aca="false">K140+K152-K157</f>
        <v>0</v>
      </c>
      <c r="L158" s="118" t="n">
        <f aca="false">L140+L152-L157</f>
        <v>0</v>
      </c>
      <c r="M158" s="118" t="n">
        <f aca="false">M140+M152-M157</f>
        <v>0</v>
      </c>
      <c r="N158" s="118" t="n">
        <f aca="false">N140+N152-N157</f>
        <v>0</v>
      </c>
      <c r="O158" s="118" t="n">
        <f aca="false">O140+O152-O157</f>
        <v>0</v>
      </c>
      <c r="P158" s="118" t="n">
        <f aca="false">P140+P152-P157</f>
        <v>0</v>
      </c>
      <c r="Q158" s="118" t="n">
        <f aca="false">Q140+Q152-Q157</f>
        <v>0</v>
      </c>
      <c r="R158" s="118" t="n">
        <f aca="false">R140+R152-R157</f>
        <v>0</v>
      </c>
      <c r="S158" s="118" t="n">
        <f aca="false">S140+S152-S157</f>
        <v>0</v>
      </c>
      <c r="T158" s="118" t="n">
        <f aca="false">T140+T152-T157</f>
        <v>0</v>
      </c>
      <c r="U158" s="118" t="n">
        <f aca="false">U140+U152-U157</f>
        <v>0</v>
      </c>
      <c r="V158" s="118" t="n">
        <f aca="false">V140+V152-V157</f>
        <v>0</v>
      </c>
      <c r="W158" s="118" t="n">
        <f aca="false">W140+W152-W157</f>
        <v>0</v>
      </c>
      <c r="X158" s="118" t="n">
        <f aca="false">X140+X152-X157</f>
        <v>0</v>
      </c>
      <c r="Y158" s="118" t="n">
        <f aca="false">Y140+Y152-Y157</f>
        <v>0</v>
      </c>
      <c r="Z158" s="118" t="n">
        <f aca="false">Z140+Z152-Z157</f>
        <v>0</v>
      </c>
      <c r="AA158" s="118" t="n">
        <f aca="false">AA140+AA152-AA157</f>
        <v>0</v>
      </c>
      <c r="AB158" s="118" t="n">
        <f aca="false">AB140+AB152-AB157</f>
        <v>0</v>
      </c>
      <c r="AC158" s="118" t="n">
        <f aca="false">AC140+AC152-AC157</f>
        <v>0</v>
      </c>
      <c r="AD158" s="118" t="n">
        <f aca="false">AD140+AD152-AD157</f>
        <v>0</v>
      </c>
      <c r="AE158" s="118" t="n">
        <f aca="false">AE140+AE152-AE157</f>
        <v>0</v>
      </c>
      <c r="AF158" s="118" t="n">
        <f aca="false">AF140+AF152-AF157</f>
        <v>0</v>
      </c>
      <c r="AG158" s="118" t="n">
        <f aca="false">AG140+AG152-AG157</f>
        <v>0</v>
      </c>
      <c r="AH158" s="118" t="n">
        <f aca="false">AH140+AH152-AH157</f>
        <v>0</v>
      </c>
      <c r="AI158" s="118" t="n">
        <f aca="false">AI140+AI152-AI157</f>
        <v>0</v>
      </c>
      <c r="AJ158" s="118" t="n">
        <f aca="false">AJ140+AJ152-AJ157</f>
        <v>0</v>
      </c>
      <c r="AK158" s="118" t="n">
        <f aca="false">AK140+AK152-AK157</f>
        <v>0</v>
      </c>
      <c r="AL158" s="118" t="n">
        <f aca="false">AL140+AL152-AL157</f>
        <v>0</v>
      </c>
    </row>
    <row r="160" customFormat="false" ht="15.75" hidden="false" customHeight="true" outlineLevel="0" collapsed="false">
      <c r="A160" s="7" t="s">
        <v>44</v>
      </c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</row>
    <row r="161" customFormat="false" ht="15" hidden="false" customHeight="false" outlineLevel="0" collapsed="false">
      <c r="A161" s="6" t="s">
        <v>407</v>
      </c>
      <c r="C161" s="122" t="n">
        <f aca="false">Inputs!$C$27*(1+Inputs!$C$30)^(C$134-1)</f>
        <v>13</v>
      </c>
      <c r="D161" s="122" t="n">
        <f aca="false">Inputs!$C$27*(1+Inputs!$C$30)^(D$134-1)</f>
        <v>13</v>
      </c>
      <c r="E161" s="122" t="n">
        <f aca="false">Inputs!$C$27*(1+Inputs!$C$30)^(E$134-1)</f>
        <v>13</v>
      </c>
      <c r="F161" s="122" t="n">
        <f aca="false">Inputs!$C$27*(1+Inputs!$C$30)^(F$134-1)</f>
        <v>13</v>
      </c>
      <c r="G161" s="122" t="n">
        <f aca="false">Inputs!$C$27*(1+Inputs!$C$30)^(G$134-1)</f>
        <v>13</v>
      </c>
      <c r="H161" s="122" t="n">
        <f aca="false">Inputs!$C$27*(1+Inputs!$C$30)^(H$134-1)</f>
        <v>13</v>
      </c>
      <c r="I161" s="122" t="n">
        <f aca="false">Inputs!$C$27*(1+Inputs!$C$30)^(I$134-1)</f>
        <v>13</v>
      </c>
      <c r="J161" s="122" t="n">
        <f aca="false">Inputs!$C$27*(1+Inputs!$C$30)^(J$134-1)</f>
        <v>13</v>
      </c>
      <c r="K161" s="122" t="n">
        <f aca="false">Inputs!$C$27*(1+Inputs!$C$30)^(K$134-1)</f>
        <v>13</v>
      </c>
      <c r="L161" s="122" t="n">
        <f aca="false">Inputs!$C$27*(1+Inputs!$C$30)^(L$134-1)</f>
        <v>13</v>
      </c>
      <c r="M161" s="122" t="n">
        <f aca="false">Inputs!$C$27*(1+Inputs!$C$30)^(M$134-1)</f>
        <v>13</v>
      </c>
      <c r="N161" s="122" t="n">
        <f aca="false">Inputs!$C$27*(1+Inputs!$C$30)^(N$134-1)</f>
        <v>13</v>
      </c>
      <c r="O161" s="122" t="n">
        <f aca="false">Inputs!$C$27*(1+Inputs!$C$30)^(O$134-1)</f>
        <v>13.26</v>
      </c>
      <c r="P161" s="122" t="n">
        <f aca="false">Inputs!$C$27*(1+Inputs!$C$30)^(P$134-1)</f>
        <v>13.26</v>
      </c>
      <c r="Q161" s="122" t="n">
        <f aca="false">Inputs!$C$27*(1+Inputs!$C$30)^(Q$134-1)</f>
        <v>13.26</v>
      </c>
      <c r="R161" s="122" t="n">
        <f aca="false">Inputs!$C$27*(1+Inputs!$C$30)^(R$134-1)</f>
        <v>13.26</v>
      </c>
      <c r="S161" s="122" t="n">
        <f aca="false">Inputs!$C$27*(1+Inputs!$C$30)^(S$134-1)</f>
        <v>13.26</v>
      </c>
      <c r="T161" s="122" t="n">
        <f aca="false">Inputs!$C$27*(1+Inputs!$C$30)^(T$134-1)</f>
        <v>13.26</v>
      </c>
      <c r="U161" s="122" t="n">
        <f aca="false">Inputs!$C$27*(1+Inputs!$C$30)^(U$134-1)</f>
        <v>13.26</v>
      </c>
      <c r="V161" s="122" t="n">
        <f aca="false">Inputs!$C$27*(1+Inputs!$C$30)^(V$134-1)</f>
        <v>13.26</v>
      </c>
      <c r="W161" s="122" t="n">
        <f aca="false">Inputs!$C$27*(1+Inputs!$C$30)^(W$134-1)</f>
        <v>13.26</v>
      </c>
      <c r="X161" s="122" t="n">
        <f aca="false">Inputs!$C$27*(1+Inputs!$C$30)^(X$134-1)</f>
        <v>13.26</v>
      </c>
      <c r="Y161" s="122" t="n">
        <f aca="false">Inputs!$C$27*(1+Inputs!$C$30)^(Y$134-1)</f>
        <v>13.26</v>
      </c>
      <c r="Z161" s="122" t="n">
        <f aca="false">Inputs!$C$27*(1+Inputs!$C$30)^(Z$134-1)</f>
        <v>13.26</v>
      </c>
      <c r="AA161" s="122" t="n">
        <f aca="false">Inputs!$C$27*(1+Inputs!$C$30)^(AA$134-1)</f>
        <v>13.5252</v>
      </c>
      <c r="AB161" s="122" t="n">
        <f aca="false">Inputs!$C$27*(1+Inputs!$C$30)^(AB$134-1)</f>
        <v>13.5252</v>
      </c>
      <c r="AC161" s="122" t="n">
        <f aca="false">Inputs!$C$27*(1+Inputs!$C$30)^(AC$134-1)</f>
        <v>13.5252</v>
      </c>
      <c r="AD161" s="122" t="n">
        <f aca="false">Inputs!$C$27*(1+Inputs!$C$30)^(AD$134-1)</f>
        <v>13.5252</v>
      </c>
      <c r="AE161" s="122" t="n">
        <f aca="false">Inputs!$C$27*(1+Inputs!$C$30)^(AE$134-1)</f>
        <v>13.5252</v>
      </c>
      <c r="AF161" s="122" t="n">
        <f aca="false">Inputs!$C$27*(1+Inputs!$C$30)^(AF$134-1)</f>
        <v>13.5252</v>
      </c>
      <c r="AG161" s="122" t="n">
        <f aca="false">Inputs!$C$27*(1+Inputs!$C$30)^(AG$134-1)</f>
        <v>13.5252</v>
      </c>
      <c r="AH161" s="122" t="n">
        <f aca="false">Inputs!$C$27*(1+Inputs!$C$30)^(AH$134-1)</f>
        <v>13.5252</v>
      </c>
      <c r="AI161" s="122" t="n">
        <f aca="false">Inputs!$C$27*(1+Inputs!$C$30)^(AI$134-1)</f>
        <v>13.5252</v>
      </c>
      <c r="AJ161" s="122" t="n">
        <f aca="false">Inputs!$C$27*(1+Inputs!$C$30)^(AJ$134-1)</f>
        <v>13.5252</v>
      </c>
      <c r="AK161" s="122" t="n">
        <f aca="false">Inputs!$C$27*(1+Inputs!$C$30)^(AK$134-1)</f>
        <v>13.5252</v>
      </c>
      <c r="AL161" s="122" t="n">
        <f aca="false">Inputs!$C$27*(1+Inputs!$C$30)^(AL$134-1)</f>
        <v>13.5252</v>
      </c>
    </row>
    <row r="162" customFormat="false" ht="15" hidden="false" customHeight="false" outlineLevel="0" collapsed="false">
      <c r="A162" s="6" t="s">
        <v>408</v>
      </c>
      <c r="C162" s="122" t="n">
        <f aca="false">Inputs!$C$29*(1+Inputs!$C$30)^(C$134-1)</f>
        <v>35</v>
      </c>
      <c r="D162" s="122" t="n">
        <f aca="false">Inputs!$C$29*(1+Inputs!$C$30)^(D$134-1)</f>
        <v>35</v>
      </c>
      <c r="E162" s="122" t="n">
        <f aca="false">Inputs!$C$29*(1+Inputs!$C$30)^(E$134-1)</f>
        <v>35</v>
      </c>
      <c r="F162" s="122" t="n">
        <f aca="false">Inputs!$C$29*(1+Inputs!$C$30)^(F$134-1)</f>
        <v>35</v>
      </c>
      <c r="G162" s="122" t="n">
        <f aca="false">Inputs!$C$29*(1+Inputs!$C$30)^(G$134-1)</f>
        <v>35</v>
      </c>
      <c r="H162" s="122" t="n">
        <f aca="false">Inputs!$C$29*(1+Inputs!$C$30)^(H$134-1)</f>
        <v>35</v>
      </c>
      <c r="I162" s="122" t="n">
        <f aca="false">Inputs!$C$29*(1+Inputs!$C$30)^(I$134-1)</f>
        <v>35</v>
      </c>
      <c r="J162" s="122" t="n">
        <f aca="false">Inputs!$C$29*(1+Inputs!$C$30)^(J$134-1)</f>
        <v>35</v>
      </c>
      <c r="K162" s="122" t="n">
        <f aca="false">Inputs!$C$29*(1+Inputs!$C$30)^(K$134-1)</f>
        <v>35</v>
      </c>
      <c r="L162" s="122" t="n">
        <f aca="false">Inputs!$C$29*(1+Inputs!$C$30)^(L$134-1)</f>
        <v>35</v>
      </c>
      <c r="M162" s="122" t="n">
        <f aca="false">Inputs!$C$29*(1+Inputs!$C$30)^(M$134-1)</f>
        <v>35</v>
      </c>
      <c r="N162" s="122" t="n">
        <f aca="false">Inputs!$C$29*(1+Inputs!$C$30)^(N$134-1)</f>
        <v>35</v>
      </c>
      <c r="O162" s="122" t="n">
        <f aca="false">Inputs!$C$29*(1+Inputs!$C$30)^(O$134-1)</f>
        <v>35.7</v>
      </c>
      <c r="P162" s="122" t="n">
        <f aca="false">Inputs!$C$29*(1+Inputs!$C$30)^(P$134-1)</f>
        <v>35.7</v>
      </c>
      <c r="Q162" s="122" t="n">
        <f aca="false">Inputs!$C$29*(1+Inputs!$C$30)^(Q$134-1)</f>
        <v>35.7</v>
      </c>
      <c r="R162" s="122" t="n">
        <f aca="false">Inputs!$C$29*(1+Inputs!$C$30)^(R$134-1)</f>
        <v>35.7</v>
      </c>
      <c r="S162" s="122" t="n">
        <f aca="false">Inputs!$C$29*(1+Inputs!$C$30)^(S$134-1)</f>
        <v>35.7</v>
      </c>
      <c r="T162" s="122" t="n">
        <f aca="false">Inputs!$C$29*(1+Inputs!$C$30)^(T$134-1)</f>
        <v>35.7</v>
      </c>
      <c r="U162" s="122" t="n">
        <f aca="false">Inputs!$C$29*(1+Inputs!$C$30)^(U$134-1)</f>
        <v>35.7</v>
      </c>
      <c r="V162" s="122" t="n">
        <f aca="false">Inputs!$C$29*(1+Inputs!$C$30)^(V$134-1)</f>
        <v>35.7</v>
      </c>
      <c r="W162" s="122" t="n">
        <f aca="false">Inputs!$C$29*(1+Inputs!$C$30)^(W$134-1)</f>
        <v>35.7</v>
      </c>
      <c r="X162" s="122" t="n">
        <f aca="false">Inputs!$C$29*(1+Inputs!$C$30)^(X$134-1)</f>
        <v>35.7</v>
      </c>
      <c r="Y162" s="122" t="n">
        <f aca="false">Inputs!$C$29*(1+Inputs!$C$30)^(Y$134-1)</f>
        <v>35.7</v>
      </c>
      <c r="Z162" s="122" t="n">
        <f aca="false">Inputs!$C$29*(1+Inputs!$C$30)^(Z$134-1)</f>
        <v>35.7</v>
      </c>
      <c r="AA162" s="122" t="n">
        <f aca="false">Inputs!$C$29*(1+Inputs!$C$30)^(AA$134-1)</f>
        <v>36.414</v>
      </c>
      <c r="AB162" s="122" t="n">
        <f aca="false">Inputs!$C$29*(1+Inputs!$C$30)^(AB$134-1)</f>
        <v>36.414</v>
      </c>
      <c r="AC162" s="122" t="n">
        <f aca="false">Inputs!$C$29*(1+Inputs!$C$30)^(AC$134-1)</f>
        <v>36.414</v>
      </c>
      <c r="AD162" s="122" t="n">
        <f aca="false">Inputs!$C$29*(1+Inputs!$C$30)^(AD$134-1)</f>
        <v>36.414</v>
      </c>
      <c r="AE162" s="122" t="n">
        <f aca="false">Inputs!$C$29*(1+Inputs!$C$30)^(AE$134-1)</f>
        <v>36.414</v>
      </c>
      <c r="AF162" s="122" t="n">
        <f aca="false">Inputs!$C$29*(1+Inputs!$C$30)^(AF$134-1)</f>
        <v>36.414</v>
      </c>
      <c r="AG162" s="122" t="n">
        <f aca="false">Inputs!$C$29*(1+Inputs!$C$30)^(AG$134-1)</f>
        <v>36.414</v>
      </c>
      <c r="AH162" s="122" t="n">
        <f aca="false">Inputs!$C$29*(1+Inputs!$C$30)^(AH$134-1)</f>
        <v>36.414</v>
      </c>
      <c r="AI162" s="122" t="n">
        <f aca="false">Inputs!$C$29*(1+Inputs!$C$30)^(AI$134-1)</f>
        <v>36.414</v>
      </c>
      <c r="AJ162" s="122" t="n">
        <f aca="false">Inputs!$C$29*(1+Inputs!$C$30)^(AJ$134-1)</f>
        <v>36.414</v>
      </c>
      <c r="AK162" s="122" t="n">
        <f aca="false">Inputs!$C$29*(1+Inputs!$C$30)^(AK$134-1)</f>
        <v>36.414</v>
      </c>
      <c r="AL162" s="122" t="n">
        <f aca="false">Inputs!$C$29*(1+Inputs!$C$30)^(AL$134-1)</f>
        <v>36.414</v>
      </c>
    </row>
    <row r="163" customFormat="false" ht="15" hidden="false" customHeight="false" outlineLevel="0" collapsed="false">
      <c r="A163" s="6" t="s">
        <v>409</v>
      </c>
      <c r="C163" s="69" t="n">
        <f aca="false">C155*C161</f>
        <v>34608.6</v>
      </c>
      <c r="D163" s="69" t="n">
        <f aca="false">D155*D161</f>
        <v>39308.5333333333</v>
      </c>
      <c r="E163" s="69" t="n">
        <f aca="false">E155*E161</f>
        <v>54363.4</v>
      </c>
      <c r="F163" s="69" t="n">
        <f aca="false">F155*F161</f>
        <v>60169.2</v>
      </c>
      <c r="G163" s="69" t="n">
        <f aca="false">G155*G161</f>
        <v>65975</v>
      </c>
      <c r="H163" s="69" t="n">
        <f aca="false">H155*H161</f>
        <v>71780.8</v>
      </c>
      <c r="I163" s="69" t="n">
        <f aca="false">I155*I161</f>
        <v>77586.6</v>
      </c>
      <c r="J163" s="69" t="n">
        <f aca="false">J155*J161</f>
        <v>83392.4</v>
      </c>
      <c r="K163" s="69" t="n">
        <f aca="false">K155*K161</f>
        <v>89198.2</v>
      </c>
      <c r="L163" s="69" t="n">
        <f aca="false">L155*L161</f>
        <v>95004</v>
      </c>
      <c r="M163" s="69" t="n">
        <f aca="false">M155*M161</f>
        <v>95004</v>
      </c>
      <c r="N163" s="69" t="n">
        <f aca="false">N155*N161</f>
        <v>76908</v>
      </c>
      <c r="O163" s="69" t="n">
        <f aca="false">O155*O161</f>
        <v>78446.16</v>
      </c>
      <c r="P163" s="69" t="n">
        <f aca="false">P155*P161</f>
        <v>78446.16</v>
      </c>
      <c r="Q163" s="69" t="n">
        <f aca="false">Q155*Q161</f>
        <v>96904.08</v>
      </c>
      <c r="R163" s="69" t="n">
        <f aca="false">R155*R161</f>
        <v>96904.08</v>
      </c>
      <c r="S163" s="69" t="n">
        <f aca="false">S155*S161</f>
        <v>96904.08</v>
      </c>
      <c r="T163" s="69" t="n">
        <f aca="false">T155*T161</f>
        <v>96904.08</v>
      </c>
      <c r="U163" s="69" t="n">
        <f aca="false">U155*U161</f>
        <v>96904.08</v>
      </c>
      <c r="V163" s="69" t="n">
        <f aca="false">V155*V161</f>
        <v>96904.08</v>
      </c>
      <c r="W163" s="69" t="n">
        <f aca="false">W155*W161</f>
        <v>96904.08</v>
      </c>
      <c r="X163" s="69" t="n">
        <f aca="false">X155*X161</f>
        <v>96904.08</v>
      </c>
      <c r="Y163" s="69" t="n">
        <f aca="false">Y155*Y161</f>
        <v>96904.08</v>
      </c>
      <c r="Z163" s="69" t="n">
        <f aca="false">Z155*Z161</f>
        <v>78446.16</v>
      </c>
      <c r="AA163" s="69" t="n">
        <f aca="false">AA155*AA161</f>
        <v>80015.0832</v>
      </c>
      <c r="AB163" s="69" t="n">
        <f aca="false">AB155*AB161</f>
        <v>80015.0832</v>
      </c>
      <c r="AC163" s="69" t="n">
        <f aca="false">AC155*AC161</f>
        <v>98842.1616</v>
      </c>
      <c r="AD163" s="69" t="n">
        <f aca="false">AD155*AD161</f>
        <v>98842.1616</v>
      </c>
      <c r="AE163" s="69" t="n">
        <f aca="false">AE155*AE161</f>
        <v>98842.1616</v>
      </c>
      <c r="AF163" s="69" t="n">
        <f aca="false">AF155*AF161</f>
        <v>98842.1616</v>
      </c>
      <c r="AG163" s="69" t="n">
        <f aca="false">AG155*AG161</f>
        <v>98842.1616</v>
      </c>
      <c r="AH163" s="69" t="n">
        <f aca="false">AH155*AH161</f>
        <v>98842.1616</v>
      </c>
      <c r="AI163" s="69" t="n">
        <f aca="false">AI155*AI161</f>
        <v>98842.1616</v>
      </c>
      <c r="AJ163" s="69" t="n">
        <f aca="false">AJ155*AJ161</f>
        <v>98842.1616</v>
      </c>
      <c r="AK163" s="69" t="n">
        <f aca="false">AK155*AK161</f>
        <v>98842.1616</v>
      </c>
      <c r="AL163" s="69" t="n">
        <f aca="false">AL155*AL161</f>
        <v>80015.0832</v>
      </c>
    </row>
    <row r="164" customFormat="false" ht="15" hidden="false" customHeight="false" outlineLevel="0" collapsed="false">
      <c r="A164" s="6" t="s">
        <v>410</v>
      </c>
      <c r="C164" s="69" t="n">
        <f aca="false">C155*Inputs!$C$28*(1+Inputs!$C$30)^(C$134-1)</f>
        <v>3993.3</v>
      </c>
      <c r="D164" s="69" t="n">
        <f aca="false">D155*Inputs!$C$28*(1+Inputs!$C$30)^(D$134-1)</f>
        <v>4535.6</v>
      </c>
      <c r="E164" s="69" t="n">
        <f aca="false">E155*Inputs!$C$28*(1+Inputs!$C$30)^(E$134-1)</f>
        <v>6272.7</v>
      </c>
      <c r="F164" s="69" t="n">
        <f aca="false">F155*Inputs!$C$28*(1+Inputs!$C$30)^(F$134-1)</f>
        <v>6942.6</v>
      </c>
      <c r="G164" s="69" t="n">
        <f aca="false">G155*Inputs!$C$28*(1+Inputs!$C$30)^(G$134-1)</f>
        <v>7612.5</v>
      </c>
      <c r="H164" s="69" t="n">
        <f aca="false">H155*Inputs!$C$28*(1+Inputs!$C$30)^(H$134-1)</f>
        <v>8282.4</v>
      </c>
      <c r="I164" s="69" t="n">
        <f aca="false">I155*Inputs!$C$28*(1+Inputs!$C$30)^(I$134-1)</f>
        <v>8952.3</v>
      </c>
      <c r="J164" s="69" t="n">
        <f aca="false">J155*Inputs!$C$28*(1+Inputs!$C$30)^(J$134-1)</f>
        <v>9622.2</v>
      </c>
      <c r="K164" s="69" t="n">
        <f aca="false">K155*Inputs!$C$28*(1+Inputs!$C$30)^(K$134-1)</f>
        <v>10292.1</v>
      </c>
      <c r="L164" s="69" t="n">
        <f aca="false">L155*Inputs!$C$28*(1+Inputs!$C$30)^(L$134-1)</f>
        <v>10962</v>
      </c>
      <c r="M164" s="69" t="n">
        <f aca="false">M155*Inputs!$C$28*(1+Inputs!$C$30)^(M$134-1)</f>
        <v>10962</v>
      </c>
      <c r="N164" s="69" t="n">
        <f aca="false">N155*Inputs!$C$28*(1+Inputs!$C$30)^(N$134-1)</f>
        <v>8874</v>
      </c>
      <c r="O164" s="69" t="n">
        <f aca="false">O155*Inputs!$C$28*(1+Inputs!$C$30)^(O$134-1)</f>
        <v>9051.48</v>
      </c>
      <c r="P164" s="69" t="n">
        <f aca="false">P155*Inputs!$C$28*(1+Inputs!$C$30)^(P$134-1)</f>
        <v>9051.48</v>
      </c>
      <c r="Q164" s="69" t="n">
        <f aca="false">Q155*Inputs!$C$28*(1+Inputs!$C$30)^(Q$134-1)</f>
        <v>11181.24</v>
      </c>
      <c r="R164" s="69" t="n">
        <f aca="false">R155*Inputs!$C$28*(1+Inputs!$C$30)^(R$134-1)</f>
        <v>11181.24</v>
      </c>
      <c r="S164" s="69" t="n">
        <f aca="false">S155*Inputs!$C$28*(1+Inputs!$C$30)^(S$134-1)</f>
        <v>11181.24</v>
      </c>
      <c r="T164" s="69" t="n">
        <f aca="false">T155*Inputs!$C$28*(1+Inputs!$C$30)^(T$134-1)</f>
        <v>11181.24</v>
      </c>
      <c r="U164" s="69" t="n">
        <f aca="false">U155*Inputs!$C$28*(1+Inputs!$C$30)^(U$134-1)</f>
        <v>11181.24</v>
      </c>
      <c r="V164" s="69" t="n">
        <f aca="false">V155*Inputs!$C$28*(1+Inputs!$C$30)^(V$134-1)</f>
        <v>11181.24</v>
      </c>
      <c r="W164" s="69" t="n">
        <f aca="false">W155*Inputs!$C$28*(1+Inputs!$C$30)^(W$134-1)</f>
        <v>11181.24</v>
      </c>
      <c r="X164" s="69" t="n">
        <f aca="false">X155*Inputs!$C$28*(1+Inputs!$C$30)^(X$134-1)</f>
        <v>11181.24</v>
      </c>
      <c r="Y164" s="69" t="n">
        <f aca="false">Y155*Inputs!$C$28*(1+Inputs!$C$30)^(Y$134-1)</f>
        <v>11181.24</v>
      </c>
      <c r="Z164" s="69" t="n">
        <f aca="false">Z155*Inputs!$C$28*(1+Inputs!$C$30)^(Z$134-1)</f>
        <v>9051.48</v>
      </c>
      <c r="AA164" s="69" t="n">
        <f aca="false">AA155*Inputs!$C$28*(1+Inputs!$C$30)^(AA$134-1)</f>
        <v>9232.5096</v>
      </c>
      <c r="AB164" s="69" t="n">
        <f aca="false">AB155*Inputs!$C$28*(1+Inputs!$C$30)^(AB$134-1)</f>
        <v>9232.5096</v>
      </c>
      <c r="AC164" s="69" t="n">
        <f aca="false">AC155*Inputs!$C$28*(1+Inputs!$C$30)^(AC$134-1)</f>
        <v>11404.8648</v>
      </c>
      <c r="AD164" s="69" t="n">
        <f aca="false">AD155*Inputs!$C$28*(1+Inputs!$C$30)^(AD$134-1)</f>
        <v>11404.8648</v>
      </c>
      <c r="AE164" s="69" t="n">
        <f aca="false">AE155*Inputs!$C$28*(1+Inputs!$C$30)^(AE$134-1)</f>
        <v>11404.8648</v>
      </c>
      <c r="AF164" s="69" t="n">
        <f aca="false">AF155*Inputs!$C$28*(1+Inputs!$C$30)^(AF$134-1)</f>
        <v>11404.8648</v>
      </c>
      <c r="AG164" s="69" t="n">
        <f aca="false">AG155*Inputs!$C$28*(1+Inputs!$C$30)^(AG$134-1)</f>
        <v>11404.8648</v>
      </c>
      <c r="AH164" s="69" t="n">
        <f aca="false">AH155*Inputs!$C$28*(1+Inputs!$C$30)^(AH$134-1)</f>
        <v>11404.8648</v>
      </c>
      <c r="AI164" s="69" t="n">
        <f aca="false">AI155*Inputs!$C$28*(1+Inputs!$C$30)^(AI$134-1)</f>
        <v>11404.8648</v>
      </c>
      <c r="AJ164" s="69" t="n">
        <f aca="false">AJ155*Inputs!$C$28*(1+Inputs!$C$30)^(AJ$134-1)</f>
        <v>11404.8648</v>
      </c>
      <c r="AK164" s="69" t="n">
        <f aca="false">AK155*Inputs!$C$28*(1+Inputs!$C$30)^(AK$134-1)</f>
        <v>11404.8648</v>
      </c>
      <c r="AL164" s="69" t="n">
        <f aca="false">AL155*Inputs!$C$28*(1+Inputs!$C$30)^(AL$134-1)</f>
        <v>9232.5096</v>
      </c>
    </row>
    <row r="165" customFormat="false" ht="15" hidden="false" customHeight="false" outlineLevel="0" collapsed="false">
      <c r="A165" s="6" t="s">
        <v>241</v>
      </c>
      <c r="C165" s="69" t="n">
        <f aca="false">C149*C162*1</f>
        <v>9341.458</v>
      </c>
      <c r="D165" s="69" t="n">
        <f aca="false">D149*D162*1</f>
        <v>10604.8025688889</v>
      </c>
      <c r="E165" s="69" t="n">
        <f aca="false">E149*E162*1</f>
        <v>12137.3017994667</v>
      </c>
      <c r="F165" s="69" t="n">
        <f aca="false">F149*F162*1</f>
        <v>13940.0988385991</v>
      </c>
      <c r="G165" s="69" t="n">
        <f aca="false">G149*G162*1</f>
        <v>15902.7764406107</v>
      </c>
      <c r="H165" s="69" t="n">
        <f aca="false">H149*H162*1</f>
        <v>18018.9393829863</v>
      </c>
      <c r="I165" s="69" t="n">
        <f aca="false">I149*I162*1</f>
        <v>20282.4482521113</v>
      </c>
      <c r="J165" s="69" t="n">
        <f aca="false">J149*J162*1</f>
        <v>22687.4092109157</v>
      </c>
      <c r="K165" s="69" t="n">
        <f aca="false">K149*K162*1</f>
        <v>25228.1641758124</v>
      </c>
      <c r="L165" s="69" t="n">
        <f aca="false">L149*L162*1</f>
        <v>27899.2813865577</v>
      </c>
      <c r="M165" s="69" t="n">
        <f aca="false">M149*M162*1</f>
        <v>30579.5501310954</v>
      </c>
      <c r="N165" s="69" t="n">
        <f aca="false">N149*N162*1</f>
        <v>32957.7281258516</v>
      </c>
      <c r="O165" s="69" t="n">
        <f aca="false">O149*O162*1</f>
        <v>35791.4419808339</v>
      </c>
      <c r="P165" s="69" t="n">
        <f aca="false">P149*P162*1</f>
        <v>37923.6439016005</v>
      </c>
      <c r="Q165" s="69" t="n">
        <f aca="false">Q149*Q162*1</f>
        <v>40169.3353455365</v>
      </c>
      <c r="R165" s="69" t="n">
        <f aca="false">R149*R162*1</f>
        <v>42523.976731715</v>
      </c>
      <c r="S165" s="69" t="n">
        <f aca="false">S149*S162*1</f>
        <v>44784.4324624464</v>
      </c>
      <c r="T165" s="69" t="n">
        <f aca="false">T149*T162*1</f>
        <v>46954.4699639486</v>
      </c>
      <c r="U165" s="69" t="n">
        <f aca="false">U149*U162*1</f>
        <v>49037.7059653906</v>
      </c>
      <c r="V165" s="69" t="n">
        <f aca="false">V149*V162*1</f>
        <v>51037.612526775</v>
      </c>
      <c r="W165" s="69" t="n">
        <f aca="false">W149*W162*1</f>
        <v>52957.522825704</v>
      </c>
      <c r="X165" s="69" t="n">
        <f aca="false">X149*X162*1</f>
        <v>54800.6367126758</v>
      </c>
      <c r="Y165" s="69" t="n">
        <f aca="false">Y149*Y162*1</f>
        <v>56570.0260441688</v>
      </c>
      <c r="Z165" s="69" t="n">
        <f aca="false">Z149*Z162*1</f>
        <v>58069.862202402</v>
      </c>
      <c r="AA165" s="69" t="n">
        <f aca="false">AA149*AA162*1</f>
        <v>60544.9392355921</v>
      </c>
      <c r="AB165" s="69" t="n">
        <f aca="false">AB149*AB162*1</f>
        <v>61853.8652081684</v>
      </c>
      <c r="AC165" s="69" t="n">
        <f aca="false">AC149*AC162*1</f>
        <v>63313.1872938416</v>
      </c>
      <c r="AD165" s="69" t="n">
        <f aca="false">AD149*AD162*1</f>
        <v>64916.889648088</v>
      </c>
      <c r="AE165" s="69" t="n">
        <f aca="false">AE149*AE162*1</f>
        <v>66456.4439081644</v>
      </c>
      <c r="AF165" s="69" t="n">
        <f aca="false">AF149*AF162*1</f>
        <v>67934.4159978379</v>
      </c>
      <c r="AG165" s="69" t="n">
        <f aca="false">AG149*AG162*1</f>
        <v>69353.2692039243</v>
      </c>
      <c r="AH165" s="69" t="n">
        <f aca="false">AH149*AH162*1</f>
        <v>70715.3682817674</v>
      </c>
      <c r="AI165" s="69" t="n">
        <f aca="false">AI149*AI162*1</f>
        <v>72022.9833964967</v>
      </c>
      <c r="AJ165" s="69" t="n">
        <f aca="false">AJ149*AJ162*1</f>
        <v>73278.2939066368</v>
      </c>
      <c r="AK165" s="69" t="n">
        <f aca="false">AK149*AK162*1</f>
        <v>74483.3919963713</v>
      </c>
      <c r="AL165" s="69" t="n">
        <f aca="false">AL149*AL162*1</f>
        <v>75437.5330105165</v>
      </c>
    </row>
    <row r="166" customFormat="false" ht="15" hidden="false" customHeight="false" outlineLevel="0" collapsed="false">
      <c r="A166" s="113" t="s">
        <v>44</v>
      </c>
      <c r="C166" s="70" t="n">
        <f aca="false">C163+C164+C165</f>
        <v>47943.358</v>
      </c>
      <c r="D166" s="70" t="n">
        <f aca="false">D163+D164+D165</f>
        <v>54448.9359022222</v>
      </c>
      <c r="E166" s="70" t="n">
        <f aca="false">E163+E164+E165</f>
        <v>72773.4017994667</v>
      </c>
      <c r="F166" s="70" t="n">
        <f aca="false">F163+F164+F165</f>
        <v>81051.8988385991</v>
      </c>
      <c r="G166" s="70" t="n">
        <f aca="false">G163+G164+G165</f>
        <v>89490.2764406107</v>
      </c>
      <c r="H166" s="70" t="n">
        <f aca="false">H163+H164+H165</f>
        <v>98082.1393829863</v>
      </c>
      <c r="I166" s="70" t="n">
        <f aca="false">I163+I164+I165</f>
        <v>106821.348252111</v>
      </c>
      <c r="J166" s="70" t="n">
        <f aca="false">J163+J164+J165</f>
        <v>115702.009210916</v>
      </c>
      <c r="K166" s="70" t="n">
        <f aca="false">K163+K164+K165</f>
        <v>124718.464175812</v>
      </c>
      <c r="L166" s="70" t="n">
        <f aca="false">L163+L164+L165</f>
        <v>133865.281386558</v>
      </c>
      <c r="M166" s="70" t="n">
        <f aca="false">M163+M164+M165</f>
        <v>136545.550131095</v>
      </c>
      <c r="N166" s="70" t="n">
        <f aca="false">N163+N164+N165</f>
        <v>118739.728125852</v>
      </c>
      <c r="O166" s="70" t="n">
        <f aca="false">O163+O164+O165</f>
        <v>123289.081980834</v>
      </c>
      <c r="P166" s="70" t="n">
        <f aca="false">P163+P164+P165</f>
        <v>125421.283901601</v>
      </c>
      <c r="Q166" s="70" t="n">
        <f aca="false">Q163+Q164+Q165</f>
        <v>148254.655345536</v>
      </c>
      <c r="R166" s="70" t="n">
        <f aca="false">R163+R164+R165</f>
        <v>150609.296731715</v>
      </c>
      <c r="S166" s="70" t="n">
        <f aca="false">S163+S164+S165</f>
        <v>152869.752462446</v>
      </c>
      <c r="T166" s="70" t="n">
        <f aca="false">T163+T164+T165</f>
        <v>155039.789963949</v>
      </c>
      <c r="U166" s="70" t="n">
        <f aca="false">U163+U164+U165</f>
        <v>157123.025965391</v>
      </c>
      <c r="V166" s="70" t="n">
        <f aca="false">V163+V164+V165</f>
        <v>159122.932526775</v>
      </c>
      <c r="W166" s="70" t="n">
        <f aca="false">W163+W164+W165</f>
        <v>161042.842825704</v>
      </c>
      <c r="X166" s="70" t="n">
        <f aca="false">X163+X164+X165</f>
        <v>162885.956712676</v>
      </c>
      <c r="Y166" s="70" t="n">
        <f aca="false">Y163+Y164+Y165</f>
        <v>164655.346044169</v>
      </c>
      <c r="Z166" s="70" t="n">
        <f aca="false">Z163+Z164+Z165</f>
        <v>145567.502202402</v>
      </c>
      <c r="AA166" s="70" t="n">
        <f aca="false">AA163+AA164+AA165</f>
        <v>149792.532035592</v>
      </c>
      <c r="AB166" s="70" t="n">
        <f aca="false">AB163+AB164+AB165</f>
        <v>151101.458008168</v>
      </c>
      <c r="AC166" s="70" t="n">
        <f aca="false">AC163+AC164+AC165</f>
        <v>173560.213693842</v>
      </c>
      <c r="AD166" s="70" t="n">
        <f aca="false">AD163+AD164+AD165</f>
        <v>175163.916048088</v>
      </c>
      <c r="AE166" s="70" t="n">
        <f aca="false">AE163+AE164+AE165</f>
        <v>176703.470308164</v>
      </c>
      <c r="AF166" s="70" t="n">
        <f aca="false">AF163+AF164+AF165</f>
        <v>178181.442397838</v>
      </c>
      <c r="AG166" s="70" t="n">
        <f aca="false">AG163+AG164+AG165</f>
        <v>179600.295603924</v>
      </c>
      <c r="AH166" s="70" t="n">
        <f aca="false">AH163+AH164+AH165</f>
        <v>180962.394681767</v>
      </c>
      <c r="AI166" s="70" t="n">
        <f aca="false">AI163+AI164+AI165</f>
        <v>182270.009796497</v>
      </c>
      <c r="AJ166" s="70" t="n">
        <f aca="false">AJ163+AJ164+AJ165</f>
        <v>183525.320306637</v>
      </c>
      <c r="AK166" s="70" t="n">
        <f aca="false">AK163+AK164+AK165</f>
        <v>184730.418396371</v>
      </c>
      <c r="AL166" s="70" t="n">
        <f aca="false">AL163+AL164+AL165</f>
        <v>164685.125810516</v>
      </c>
    </row>
    <row r="168" customFormat="false" ht="15.75" hidden="false" customHeight="true" outlineLevel="0" collapsed="false">
      <c r="A168" s="7" t="s">
        <v>76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customFormat="false" ht="15" hidden="false" customHeight="false" outlineLevel="0" collapsed="false">
      <c r="A169" s="6" t="s">
        <v>411</v>
      </c>
      <c r="C169" s="69" t="n">
        <f aca="false">-C157*Inputs!$C$33*(1+Inputs!$C$38)^(C$134-1)</f>
        <v>-2937.7903405</v>
      </c>
      <c r="D169" s="69" t="n">
        <f aca="false">-D157*Inputs!$C$33*(1+Inputs!$C$38)^(D$134-1)</f>
        <v>-3336.37031893556</v>
      </c>
      <c r="E169" s="69" t="n">
        <f aca="false">-E157*Inputs!$C$33*(1+Inputs!$C$38)^(E$134-1)</f>
        <v>-4637.7841856024</v>
      </c>
      <c r="F169" s="69" t="n">
        <f aca="false">-F157*Inputs!$C$33*(1+Inputs!$C$38)^(F$134-1)</f>
        <v>-5178.29382134497</v>
      </c>
      <c r="G169" s="69" t="n">
        <f aca="false">-G157*Inputs!$C$33*(1+Inputs!$C$38)^(G$134-1)</f>
        <v>-5733.07279732451</v>
      </c>
      <c r="H169" s="69" t="n">
        <f aca="false">-H157*Inputs!$C$33*(1+Inputs!$C$38)^(H$134-1)</f>
        <v>-6301.55033993153</v>
      </c>
      <c r="I169" s="69" t="n">
        <f aca="false">-I157*Inputs!$C$33*(1+Inputs!$C$38)^(I$134-1)</f>
        <v>-6883.17850650093</v>
      </c>
      <c r="J169" s="69" t="n">
        <f aca="false">-J157*Inputs!$C$33*(1+Inputs!$C$38)^(J$134-1)</f>
        <v>-7477.43127207423</v>
      </c>
      <c r="K169" s="69" t="n">
        <f aca="false">-K157*Inputs!$C$33*(1+Inputs!$C$38)^(K$134-1)</f>
        <v>-8083.80365269126</v>
      </c>
      <c r="L169" s="69" t="n">
        <f aca="false">-L157*Inputs!$C$33*(1+Inputs!$C$38)^(L$134-1)</f>
        <v>-8701.81086375027</v>
      </c>
      <c r="M169" s="69" t="n">
        <f aca="false">-M157*Inputs!$C$33*(1+Inputs!$C$38)^(M$134-1)</f>
        <v>-8941.02484920026</v>
      </c>
      <c r="N169" s="69" t="n">
        <f aca="false">-N157*Inputs!$C$33*(1+Inputs!$C$38)^(N$134-1)</f>
        <v>-7409.79585709278</v>
      </c>
      <c r="O169" s="69" t="n">
        <f aca="false">-O157*Inputs!$C$33*(1+Inputs!$C$38)^(O$134-1)</f>
        <v>-7790.74195451834</v>
      </c>
      <c r="P169" s="69" t="n">
        <f aca="false">-P157*Inputs!$C$33*(1+Inputs!$C$38)^(P$134-1)</f>
        <v>-7946.3038529876</v>
      </c>
      <c r="Q169" s="69" t="n">
        <f aca="false">-Q157*Inputs!$C$33*(1+Inputs!$C$38)^(Q$134-1)</f>
        <v>-10018.4153480165</v>
      </c>
      <c r="R169" s="69" t="n">
        <f aca="false">-R157*Inputs!$C$33*(1+Inputs!$C$38)^(R$134-1)</f>
        <v>-10230.6274029458</v>
      </c>
      <c r="S169" s="69" t="n">
        <f aca="false">-S157*Inputs!$C$33*(1+Inputs!$C$38)^(S$134-1)</f>
        <v>-10434.350975678</v>
      </c>
      <c r="T169" s="69" t="n">
        <f aca="false">-T157*Inputs!$C$33*(1+Inputs!$C$38)^(T$134-1)</f>
        <v>-10629.9256055009</v>
      </c>
      <c r="U169" s="69" t="n">
        <f aca="false">-U157*Inputs!$C$33*(1+Inputs!$C$38)^(U$134-1)</f>
        <v>-10817.6772501308</v>
      </c>
      <c r="V169" s="69" t="n">
        <f aca="false">-V157*Inputs!$C$33*(1+Inputs!$C$38)^(V$134-1)</f>
        <v>-10997.9188289756</v>
      </c>
      <c r="W169" s="69" t="n">
        <f aca="false">-W157*Inputs!$C$33*(1+Inputs!$C$38)^(W$134-1)</f>
        <v>-11170.9507446666</v>
      </c>
      <c r="X169" s="69" t="n">
        <f aca="false">-X157*Inputs!$C$33*(1+Inputs!$C$38)^(X$134-1)</f>
        <v>-11337.0613837299</v>
      </c>
      <c r="Y169" s="69" t="n">
        <f aca="false">-Y157*Inputs!$C$33*(1+Inputs!$C$38)^(Y$134-1)</f>
        <v>-11496.5275972307</v>
      </c>
      <c r="Z169" s="69" t="n">
        <f aca="false">-Z157*Inputs!$C$33*(1+Inputs!$C$38)^(Z$134-1)</f>
        <v>-9416.13836318358</v>
      </c>
      <c r="AA169" s="69" t="n">
        <f aca="false">-AA157*Inputs!$C$33*(1+Inputs!$C$38)^(AA$134-1)</f>
        <v>-9795.40604798886</v>
      </c>
      <c r="AB169" s="69" t="n">
        <f aca="false">-AB157*Inputs!$C$33*(1+Inputs!$C$38)^(AB$134-1)</f>
        <v>-9891.83935106568</v>
      </c>
      <c r="AC169" s="69" t="n">
        <f aca="false">-AC157*Inputs!$C$33*(1+Inputs!$C$38)^(AC$134-1)</f>
        <v>-12352.1417915718</v>
      </c>
      <c r="AD169" s="69" t="n">
        <f aca="false">-AD157*Inputs!$C$33*(1+Inputs!$C$38)^(AD$134-1)</f>
        <v>-12498.0924630588</v>
      </c>
      <c r="AE169" s="69" t="n">
        <f aca="false">-AE157*Inputs!$C$33*(1+Inputs!$C$38)^(AE$134-1)</f>
        <v>-12638.2051076863</v>
      </c>
      <c r="AF169" s="69" t="n">
        <f aca="false">-AF157*Inputs!$C$33*(1+Inputs!$C$38)^(AF$134-1)</f>
        <v>-12772.7132465287</v>
      </c>
      <c r="AG169" s="69" t="n">
        <f aca="false">-AG157*Inputs!$C$33*(1+Inputs!$C$38)^(AG$134-1)</f>
        <v>-12901.8410598174</v>
      </c>
      <c r="AH169" s="69" t="n">
        <f aca="false">-AH157*Inputs!$C$33*(1+Inputs!$C$38)^(AH$134-1)</f>
        <v>-13025.8037605746</v>
      </c>
      <c r="AI169" s="69" t="n">
        <f aca="false">-AI157*Inputs!$C$33*(1+Inputs!$C$38)^(AI$134-1)</f>
        <v>-13144.8079533015</v>
      </c>
      <c r="AJ169" s="69" t="n">
        <f aca="false">-AJ157*Inputs!$C$33*(1+Inputs!$C$38)^(AJ$134-1)</f>
        <v>-13259.0519783193</v>
      </c>
      <c r="AK169" s="69" t="n">
        <f aca="false">-AK157*Inputs!$C$33*(1+Inputs!$C$38)^(AK$134-1)</f>
        <v>-13368.7262423364</v>
      </c>
      <c r="AL169" s="69" t="n">
        <f aca="false">-AL157*Inputs!$C$33*(1+Inputs!$C$38)^(AL$134-1)</f>
        <v>-10892.5972101984</v>
      </c>
    </row>
    <row r="170" customFormat="false" ht="15" hidden="false" customHeight="false" outlineLevel="0" collapsed="false">
      <c r="A170" s="6" t="s">
        <v>412</v>
      </c>
      <c r="C170" s="69" t="n">
        <f aca="false">-C157*Inputs!$C$34/1000*Inputs!$C$35*(1+Inputs!$C$38)^(C$134-1)</f>
        <v>-1244.2406148</v>
      </c>
      <c r="D170" s="69" t="n">
        <f aca="false">-D157*Inputs!$C$34/1000*Inputs!$C$35*(1+Inputs!$C$38)^(D$134-1)</f>
        <v>-1413.050958608</v>
      </c>
      <c r="E170" s="69" t="n">
        <f aca="false">-E157*Inputs!$C$34/1000*Inputs!$C$35*(1+Inputs!$C$38)^(E$134-1)</f>
        <v>-1964.23800801984</v>
      </c>
      <c r="F170" s="69" t="n">
        <f aca="false">-F157*Inputs!$C$34/1000*Inputs!$C$35*(1+Inputs!$C$38)^(F$134-1)</f>
        <v>-2193.15973609905</v>
      </c>
      <c r="G170" s="69" t="n">
        <f aca="false">-G157*Inputs!$C$34/1000*Inputs!$C$35*(1+Inputs!$C$38)^(G$134-1)</f>
        <v>-2428.12494945509</v>
      </c>
      <c r="H170" s="69" t="n">
        <f aca="false">-H157*Inputs!$C$34/1000*Inputs!$C$35*(1+Inputs!$C$38)^(H$134-1)</f>
        <v>-2668.89190867688</v>
      </c>
      <c r="I170" s="69" t="n">
        <f aca="false">-I157*Inputs!$C$34/1000*Inputs!$C$35*(1+Inputs!$C$38)^(I$134-1)</f>
        <v>-2915.22854392981</v>
      </c>
      <c r="J170" s="69" t="n">
        <f aca="false">-J157*Inputs!$C$34/1000*Inputs!$C$35*(1+Inputs!$C$38)^(J$134-1)</f>
        <v>-3166.91206817261</v>
      </c>
      <c r="K170" s="69" t="n">
        <f aca="false">-K157*Inputs!$C$34/1000*Inputs!$C$35*(1+Inputs!$C$38)^(K$134-1)</f>
        <v>-3423.72860584571</v>
      </c>
      <c r="L170" s="69" t="n">
        <f aca="false">-L157*Inputs!$C$34/1000*Inputs!$C$35*(1+Inputs!$C$38)^(L$134-1)</f>
        <v>-3685.47283641188</v>
      </c>
      <c r="M170" s="69" t="n">
        <f aca="false">-M157*Inputs!$C$34/1000*Inputs!$C$35*(1+Inputs!$C$38)^(M$134-1)</f>
        <v>-3786.78699495541</v>
      </c>
      <c r="N170" s="69" t="n">
        <f aca="false">-N157*Inputs!$C$34/1000*Inputs!$C$35*(1+Inputs!$C$38)^(N$134-1)</f>
        <v>-3138.26648065106</v>
      </c>
      <c r="O170" s="69" t="n">
        <f aca="false">-O157*Inputs!$C$34/1000*Inputs!$C$35*(1+Inputs!$C$38)^(O$134-1)</f>
        <v>-3299.60835720777</v>
      </c>
      <c r="P170" s="69" t="n">
        <f aca="false">-P157*Inputs!$C$34/1000*Inputs!$C$35*(1+Inputs!$C$38)^(P$134-1)</f>
        <v>-3365.49339655946</v>
      </c>
      <c r="Q170" s="69" t="n">
        <f aca="false">-Q157*Inputs!$C$34/1000*Inputs!$C$35*(1+Inputs!$C$38)^(Q$134-1)</f>
        <v>-4243.09355915992</v>
      </c>
      <c r="R170" s="69" t="n">
        <f aca="false">-R157*Inputs!$C$34/1000*Inputs!$C$35*(1+Inputs!$C$38)^(R$134-1)</f>
        <v>-4332.97160595352</v>
      </c>
      <c r="S170" s="69" t="n">
        <f aca="false">-S157*Inputs!$C$34/1000*Inputs!$C$35*(1+Inputs!$C$38)^(S$134-1)</f>
        <v>-4419.25453087538</v>
      </c>
      <c r="T170" s="69" t="n">
        <f aca="false">-T157*Inputs!$C$34/1000*Inputs!$C$35*(1+Inputs!$C$38)^(T$134-1)</f>
        <v>-4502.08613880037</v>
      </c>
      <c r="U170" s="69" t="n">
        <f aca="false">-U157*Inputs!$C$34/1000*Inputs!$C$35*(1+Inputs!$C$38)^(U$134-1)</f>
        <v>-4581.60448240835</v>
      </c>
      <c r="V170" s="69" t="n">
        <f aca="false">-V157*Inputs!$C$34/1000*Inputs!$C$35*(1+Inputs!$C$38)^(V$134-1)</f>
        <v>-4657.94209227202</v>
      </c>
      <c r="W170" s="69" t="n">
        <f aca="false">-W157*Inputs!$C$34/1000*Inputs!$C$35*(1+Inputs!$C$38)^(W$134-1)</f>
        <v>-4731.22619774114</v>
      </c>
      <c r="X170" s="69" t="n">
        <f aca="false">-X157*Inputs!$C$34/1000*Inputs!$C$35*(1+Inputs!$C$38)^(X$134-1)</f>
        <v>-4801.57893899149</v>
      </c>
      <c r="Y170" s="69" t="n">
        <f aca="false">-Y157*Inputs!$C$34/1000*Inputs!$C$35*(1+Inputs!$C$38)^(Y$134-1)</f>
        <v>-4869.11757059183</v>
      </c>
      <c r="Z170" s="69" t="n">
        <f aca="false">-Z157*Inputs!$C$34/1000*Inputs!$C$35*(1+Inputs!$C$38)^(Z$134-1)</f>
        <v>-3988.01154205422</v>
      </c>
      <c r="AA170" s="69" t="n">
        <f aca="false">-AA157*Inputs!$C$34/1000*Inputs!$C$35*(1+Inputs!$C$38)^(AA$134-1)</f>
        <v>-4148.64256150117</v>
      </c>
      <c r="AB170" s="69" t="n">
        <f aca="false">-AB157*Inputs!$C$34/1000*Inputs!$C$35*(1+Inputs!$C$38)^(AB$134-1)</f>
        <v>-4189.48490162782</v>
      </c>
      <c r="AC170" s="69" t="n">
        <f aca="false">-AC157*Inputs!$C$34/1000*Inputs!$C$35*(1+Inputs!$C$38)^(AC$134-1)</f>
        <v>-5231.49534701863</v>
      </c>
      <c r="AD170" s="69" t="n">
        <f aca="false">-AD157*Inputs!$C$34/1000*Inputs!$C$35*(1+Inputs!$C$38)^(AD$134-1)</f>
        <v>-5293.30974906019</v>
      </c>
      <c r="AE170" s="69" t="n">
        <f aca="false">-AE157*Inputs!$C$34/1000*Inputs!$C$35*(1+Inputs!$C$38)^(AE$134-1)</f>
        <v>-5352.65157502008</v>
      </c>
      <c r="AF170" s="69" t="n">
        <f aca="false">-AF157*Inputs!$C$34/1000*Inputs!$C$35*(1+Inputs!$C$38)^(AF$134-1)</f>
        <v>-5409.61972794158</v>
      </c>
      <c r="AG170" s="69" t="n">
        <f aca="false">-AG157*Inputs!$C$34/1000*Inputs!$C$35*(1+Inputs!$C$38)^(AG$134-1)</f>
        <v>-5464.30915474621</v>
      </c>
      <c r="AH170" s="69" t="n">
        <f aca="false">-AH157*Inputs!$C$34/1000*Inputs!$C$35*(1+Inputs!$C$38)^(AH$134-1)</f>
        <v>-5516.81100447866</v>
      </c>
      <c r="AI170" s="69" t="n">
        <f aca="false">-AI157*Inputs!$C$34/1000*Inputs!$C$35*(1+Inputs!$C$38)^(AI$134-1)</f>
        <v>-5567.21278022182</v>
      </c>
      <c r="AJ170" s="69" t="n">
        <f aca="false">-AJ157*Inputs!$C$34/1000*Inputs!$C$35*(1+Inputs!$C$38)^(AJ$134-1)</f>
        <v>-5615.59848493524</v>
      </c>
      <c r="AK170" s="69" t="n">
        <f aca="false">-AK157*Inputs!$C$34/1000*Inputs!$C$35*(1+Inputs!$C$38)^(AK$134-1)</f>
        <v>-5662.04876146013</v>
      </c>
      <c r="AL170" s="69" t="n">
        <f aca="false">-AL157*Inputs!$C$34/1000*Inputs!$C$35*(1+Inputs!$C$38)^(AL$134-1)</f>
        <v>-4613.3352890252</v>
      </c>
    </row>
    <row r="171" customFormat="false" ht="15" hidden="false" customHeight="false" outlineLevel="0" collapsed="false">
      <c r="A171" s="6" t="s">
        <v>413</v>
      </c>
      <c r="C171" s="69" t="n">
        <f aca="false">-C157*Inputs!$C$36*(1+Inputs!$C$38)^(C$134-1)</f>
        <v>-1451.6140506</v>
      </c>
      <c r="D171" s="69" t="n">
        <f aca="false">-D157*Inputs!$C$36*(1+Inputs!$C$38)^(D$134-1)</f>
        <v>-1648.55945170933</v>
      </c>
      <c r="E171" s="69" t="n">
        <f aca="false">-E157*Inputs!$C$36*(1+Inputs!$C$38)^(E$134-1)</f>
        <v>-2291.61100935648</v>
      </c>
      <c r="F171" s="69" t="n">
        <f aca="false">-F157*Inputs!$C$36*(1+Inputs!$C$38)^(F$134-1)</f>
        <v>-2558.68635878222</v>
      </c>
      <c r="G171" s="69" t="n">
        <f aca="false">-G157*Inputs!$C$36*(1+Inputs!$C$38)^(G$134-1)</f>
        <v>-2832.81244103093</v>
      </c>
      <c r="H171" s="69" t="n">
        <f aca="false">-H157*Inputs!$C$36*(1+Inputs!$C$38)^(H$134-1)</f>
        <v>-3113.70722678969</v>
      </c>
      <c r="I171" s="69" t="n">
        <f aca="false">-I157*Inputs!$C$36*(1+Inputs!$C$38)^(I$134-1)</f>
        <v>-3401.09996791811</v>
      </c>
      <c r="J171" s="69" t="n">
        <f aca="false">-J157*Inputs!$C$36*(1+Inputs!$C$38)^(J$134-1)</f>
        <v>-3694.73074620138</v>
      </c>
      <c r="K171" s="69" t="n">
        <f aca="false">-K157*Inputs!$C$36*(1+Inputs!$C$38)^(K$134-1)</f>
        <v>-3994.35004015333</v>
      </c>
      <c r="L171" s="69" t="n">
        <f aca="false">-L157*Inputs!$C$36*(1+Inputs!$C$38)^(L$134-1)</f>
        <v>-4299.71830914719</v>
      </c>
      <c r="M171" s="69" t="n">
        <f aca="false">-M157*Inputs!$C$36*(1+Inputs!$C$38)^(M$134-1)</f>
        <v>-4417.91816078131</v>
      </c>
      <c r="N171" s="69" t="n">
        <f aca="false">-N157*Inputs!$C$36*(1+Inputs!$C$38)^(N$134-1)</f>
        <v>-3661.3108940929</v>
      </c>
      <c r="O171" s="69" t="n">
        <f aca="false">-O157*Inputs!$C$36*(1+Inputs!$C$38)^(O$134-1)</f>
        <v>-3849.54308340906</v>
      </c>
      <c r="P171" s="69" t="n">
        <f aca="false">-P157*Inputs!$C$36*(1+Inputs!$C$38)^(P$134-1)</f>
        <v>-3926.4089626527</v>
      </c>
      <c r="Q171" s="69" t="n">
        <f aca="false">-Q157*Inputs!$C$36*(1+Inputs!$C$38)^(Q$134-1)</f>
        <v>-4950.27581901991</v>
      </c>
      <c r="R171" s="69" t="n">
        <f aca="false">-R157*Inputs!$C$36*(1+Inputs!$C$38)^(R$134-1)</f>
        <v>-5055.13354027911</v>
      </c>
      <c r="S171" s="69" t="n">
        <f aca="false">-S157*Inputs!$C$36*(1+Inputs!$C$38)^(S$134-1)</f>
        <v>-5155.79695268794</v>
      </c>
      <c r="T171" s="69" t="n">
        <f aca="false">-T157*Inputs!$C$36*(1+Inputs!$C$38)^(T$134-1)</f>
        <v>-5252.43382860043</v>
      </c>
      <c r="U171" s="69" t="n">
        <f aca="false">-U157*Inputs!$C$36*(1+Inputs!$C$38)^(U$134-1)</f>
        <v>-5345.20522947641</v>
      </c>
      <c r="V171" s="69" t="n">
        <f aca="false">-V157*Inputs!$C$36*(1+Inputs!$C$38)^(V$134-1)</f>
        <v>-5434.26577431735</v>
      </c>
      <c r="W171" s="69" t="n">
        <f aca="false">-W157*Inputs!$C$36*(1+Inputs!$C$38)^(W$134-1)</f>
        <v>-5519.76389736466</v>
      </c>
      <c r="X171" s="69" t="n">
        <f aca="false">-X157*Inputs!$C$36*(1+Inputs!$C$38)^(X$134-1)</f>
        <v>-5601.84209549007</v>
      </c>
      <c r="Y171" s="69" t="n">
        <f aca="false">-Y157*Inputs!$C$36*(1+Inputs!$C$38)^(Y$134-1)</f>
        <v>-5680.63716569047</v>
      </c>
      <c r="Z171" s="69" t="n">
        <f aca="false">-Z157*Inputs!$C$36*(1+Inputs!$C$38)^(Z$134-1)</f>
        <v>-4652.68013239659</v>
      </c>
      <c r="AA171" s="69" t="n">
        <f aca="false">-AA157*Inputs!$C$36*(1+Inputs!$C$38)^(AA$134-1)</f>
        <v>-4840.08298841803</v>
      </c>
      <c r="AB171" s="69" t="n">
        <f aca="false">-AB157*Inputs!$C$36*(1+Inputs!$C$38)^(AB$134-1)</f>
        <v>-4887.73238523245</v>
      </c>
      <c r="AC171" s="69" t="n">
        <f aca="false">-AC157*Inputs!$C$36*(1+Inputs!$C$38)^(AC$134-1)</f>
        <v>-6103.4112381884</v>
      </c>
      <c r="AD171" s="69" t="n">
        <f aca="false">-AD157*Inputs!$C$36*(1+Inputs!$C$38)^(AD$134-1)</f>
        <v>-6175.52804057022</v>
      </c>
      <c r="AE171" s="69" t="n">
        <f aca="false">-AE157*Inputs!$C$36*(1+Inputs!$C$38)^(AE$134-1)</f>
        <v>-6244.76017085676</v>
      </c>
      <c r="AF171" s="69" t="n">
        <f aca="false">-AF157*Inputs!$C$36*(1+Inputs!$C$38)^(AF$134-1)</f>
        <v>-6311.22301593184</v>
      </c>
      <c r="AG171" s="69" t="n">
        <f aca="false">-AG157*Inputs!$C$36*(1+Inputs!$C$38)^(AG$134-1)</f>
        <v>-6375.02734720391</v>
      </c>
      <c r="AH171" s="69" t="n">
        <f aca="false">-AH157*Inputs!$C$36*(1+Inputs!$C$38)^(AH$134-1)</f>
        <v>-6436.27950522511</v>
      </c>
      <c r="AI171" s="69" t="n">
        <f aca="false">-AI157*Inputs!$C$36*(1+Inputs!$C$38)^(AI$134-1)</f>
        <v>-6495.08157692545</v>
      </c>
      <c r="AJ171" s="69" t="n">
        <f aca="false">-AJ157*Inputs!$C$36*(1+Inputs!$C$38)^(AJ$134-1)</f>
        <v>-6551.53156575778</v>
      </c>
      <c r="AK171" s="69" t="n">
        <f aca="false">-AK157*Inputs!$C$36*(1+Inputs!$C$38)^(AK$134-1)</f>
        <v>-6605.72355503682</v>
      </c>
      <c r="AL171" s="69" t="n">
        <f aca="false">-AL157*Inputs!$C$36*(1+Inputs!$C$38)^(AL$134-1)</f>
        <v>-5382.22450386274</v>
      </c>
    </row>
    <row r="172" customFormat="false" ht="15" hidden="false" customHeight="false" outlineLevel="0" collapsed="false">
      <c r="A172" s="6" t="s">
        <v>246</v>
      </c>
      <c r="C172" s="69" t="n">
        <f aca="false">C169+C170+C171</f>
        <v>-5633.6450059</v>
      </c>
      <c r="D172" s="69" t="n">
        <f aca="false">D169+D170+D171</f>
        <v>-6397.98072925289</v>
      </c>
      <c r="E172" s="69" t="n">
        <f aca="false">E169+E170+E171</f>
        <v>-8893.63320297872</v>
      </c>
      <c r="F172" s="69" t="n">
        <f aca="false">F169+F170+F171</f>
        <v>-9930.13991622624</v>
      </c>
      <c r="G172" s="69" t="n">
        <f aca="false">G169+G170+G171</f>
        <v>-10994.0101878105</v>
      </c>
      <c r="H172" s="69" t="n">
        <f aca="false">H169+H170+H171</f>
        <v>-12084.1494753981</v>
      </c>
      <c r="I172" s="69" t="n">
        <f aca="false">I169+I170+I171</f>
        <v>-13199.5070183488</v>
      </c>
      <c r="J172" s="69" t="n">
        <f aca="false">J169+J170+J171</f>
        <v>-14339.0740864482</v>
      </c>
      <c r="K172" s="69" t="n">
        <f aca="false">K169+K170+K171</f>
        <v>-15501.8822986903</v>
      </c>
      <c r="L172" s="69" t="n">
        <f aca="false">L169+L170+L171</f>
        <v>-16687.0020093093</v>
      </c>
      <c r="M172" s="69" t="n">
        <f aca="false">M169+M170+M171</f>
        <v>-17145.730004937</v>
      </c>
      <c r="N172" s="69" t="n">
        <f aca="false">N169+N170+N171</f>
        <v>-14209.3732318367</v>
      </c>
      <c r="O172" s="69" t="n">
        <f aca="false">O169+O170+O171</f>
        <v>-14939.8933951352</v>
      </c>
      <c r="P172" s="69" t="n">
        <f aca="false">P169+P170+P171</f>
        <v>-15238.2062121998</v>
      </c>
      <c r="Q172" s="69" t="n">
        <f aca="false">Q169+Q170+Q171</f>
        <v>-19211.7847261963</v>
      </c>
      <c r="R172" s="69" t="n">
        <f aca="false">R169+R170+R171</f>
        <v>-19618.7325491784</v>
      </c>
      <c r="S172" s="69" t="n">
        <f aca="false">S169+S170+S171</f>
        <v>-20009.4024592413</v>
      </c>
      <c r="T172" s="69" t="n">
        <f aca="false">T169+T170+T171</f>
        <v>-20384.4455729017</v>
      </c>
      <c r="U172" s="69" t="n">
        <f aca="false">U169+U170+U171</f>
        <v>-20744.4869620156</v>
      </c>
      <c r="V172" s="69" t="n">
        <f aca="false">V169+V170+V171</f>
        <v>-21090.126695565</v>
      </c>
      <c r="W172" s="69" t="n">
        <f aca="false">W169+W170+W171</f>
        <v>-21421.9408397724</v>
      </c>
      <c r="X172" s="69" t="n">
        <f aca="false">X169+X170+X171</f>
        <v>-21740.4824182115</v>
      </c>
      <c r="Y172" s="69" t="n">
        <f aca="false">Y169+Y170+Y171</f>
        <v>-22046.282333513</v>
      </c>
      <c r="Z172" s="69" t="n">
        <f aca="false">Z169+Z170+Z171</f>
        <v>-18056.8300376344</v>
      </c>
      <c r="AA172" s="69" t="n">
        <f aca="false">AA169+AA170+AA171</f>
        <v>-18784.1315979081</v>
      </c>
      <c r="AB172" s="69" t="n">
        <f aca="false">AB169+AB170+AB171</f>
        <v>-18969.056637926</v>
      </c>
      <c r="AC172" s="69" t="n">
        <f aca="false">AC169+AC170+AC171</f>
        <v>-23687.0483767788</v>
      </c>
      <c r="AD172" s="69" t="n">
        <f aca="false">AD169+AD170+AD171</f>
        <v>-23966.9302526892</v>
      </c>
      <c r="AE172" s="69" t="n">
        <f aca="false">AE169+AE170+AE171</f>
        <v>-24235.6168535631</v>
      </c>
      <c r="AF172" s="69" t="n">
        <f aca="false">AF169+AF170+AF171</f>
        <v>-24493.5559904021</v>
      </c>
      <c r="AG172" s="69" t="n">
        <f aca="false">AG169+AG170+AG171</f>
        <v>-24741.1775617676</v>
      </c>
      <c r="AH172" s="69" t="n">
        <f aca="false">AH169+AH170+AH171</f>
        <v>-24978.8942702784</v>
      </c>
      <c r="AI172" s="69" t="n">
        <f aca="false">AI169+AI170+AI171</f>
        <v>-25207.1023104488</v>
      </c>
      <c r="AJ172" s="69" t="n">
        <f aca="false">AJ169+AJ170+AJ171</f>
        <v>-25426.1820290123</v>
      </c>
      <c r="AK172" s="69" t="n">
        <f aca="false">AK169+AK170+AK171</f>
        <v>-25636.4985588334</v>
      </c>
      <c r="AL172" s="69" t="n">
        <f aca="false">AL169+AL170+AL171</f>
        <v>-20888.1570030863</v>
      </c>
    </row>
    <row r="173" customFormat="false" ht="15" hidden="false" customHeight="false" outlineLevel="0" collapsed="false">
      <c r="A173" s="6" t="s">
        <v>414</v>
      </c>
      <c r="C173" s="69" t="n">
        <f aca="false">-C166*Inputs!$C$37</f>
        <v>-1438.30074</v>
      </c>
      <c r="D173" s="69" t="n">
        <f aca="false">-D166*Inputs!$C$37</f>
        <v>-1633.46807706667</v>
      </c>
      <c r="E173" s="69" t="n">
        <f aca="false">-E166*Inputs!$C$37</f>
        <v>-2183.202053984</v>
      </c>
      <c r="F173" s="69" t="n">
        <f aca="false">-F166*Inputs!$C$37</f>
        <v>-2431.55696515797</v>
      </c>
      <c r="G173" s="69" t="n">
        <f aca="false">-G166*Inputs!$C$37</f>
        <v>-2684.70829321832</v>
      </c>
      <c r="H173" s="69" t="n">
        <f aca="false">-H166*Inputs!$C$37</f>
        <v>-2942.46418148959</v>
      </c>
      <c r="I173" s="69" t="n">
        <f aca="false">-I166*Inputs!$C$37</f>
        <v>-3204.64044756334</v>
      </c>
      <c r="J173" s="69" t="n">
        <f aca="false">-J166*Inputs!$C$37</f>
        <v>-3471.06027632747</v>
      </c>
      <c r="K173" s="69" t="n">
        <f aca="false">-K166*Inputs!$C$37</f>
        <v>-3741.55392527437</v>
      </c>
      <c r="L173" s="69" t="n">
        <f aca="false">-L166*Inputs!$C$37</f>
        <v>-4015.95844159673</v>
      </c>
      <c r="M173" s="69" t="n">
        <f aca="false">-M166*Inputs!$C$37</f>
        <v>-4096.36650393286</v>
      </c>
      <c r="N173" s="69" t="n">
        <f aca="false">-N166*Inputs!$C$37</f>
        <v>-3562.19184377555</v>
      </c>
      <c r="O173" s="69" t="n">
        <f aca="false">-O166*Inputs!$C$37</f>
        <v>-3698.67245942502</v>
      </c>
      <c r="P173" s="69" t="n">
        <f aca="false">-P166*Inputs!$C$37</f>
        <v>-3762.63851704802</v>
      </c>
      <c r="Q173" s="69" t="n">
        <f aca="false">-Q166*Inputs!$C$37</f>
        <v>-4447.63966036609</v>
      </c>
      <c r="R173" s="69" t="n">
        <f aca="false">-R166*Inputs!$C$37</f>
        <v>-4518.27890195145</v>
      </c>
      <c r="S173" s="69" t="n">
        <f aca="false">-S166*Inputs!$C$37</f>
        <v>-4586.09257387339</v>
      </c>
      <c r="T173" s="69" t="n">
        <f aca="false">-T166*Inputs!$C$37</f>
        <v>-4651.19369891846</v>
      </c>
      <c r="U173" s="69" t="n">
        <f aca="false">-U166*Inputs!$C$37</f>
        <v>-4713.69077896172</v>
      </c>
      <c r="V173" s="69" t="n">
        <f aca="false">-V166*Inputs!$C$37</f>
        <v>-4773.68797580325</v>
      </c>
      <c r="W173" s="69" t="n">
        <f aca="false">-W166*Inputs!$C$37</f>
        <v>-4831.28528477112</v>
      </c>
      <c r="X173" s="69" t="n">
        <f aca="false">-X166*Inputs!$C$37</f>
        <v>-4886.57870138028</v>
      </c>
      <c r="Y173" s="69" t="n">
        <f aca="false">-Y166*Inputs!$C$37</f>
        <v>-4939.66038132506</v>
      </c>
      <c r="Z173" s="69" t="n">
        <f aca="false">-Z166*Inputs!$C$37</f>
        <v>-4367.02506607206</v>
      </c>
      <c r="AA173" s="69" t="n">
        <f aca="false">-AA166*Inputs!$C$37</f>
        <v>-4493.77596106776</v>
      </c>
      <c r="AB173" s="69" t="n">
        <f aca="false">-AB166*Inputs!$C$37</f>
        <v>-4533.04374024505</v>
      </c>
      <c r="AC173" s="69" t="n">
        <f aca="false">-AC166*Inputs!$C$37</f>
        <v>-5206.80641081525</v>
      </c>
      <c r="AD173" s="69" t="n">
        <f aca="false">-AD166*Inputs!$C$37</f>
        <v>-5254.91748144264</v>
      </c>
      <c r="AE173" s="69" t="n">
        <f aca="false">-AE166*Inputs!$C$37</f>
        <v>-5301.10410924493</v>
      </c>
      <c r="AF173" s="69" t="n">
        <f aca="false">-AF166*Inputs!$C$37</f>
        <v>-5345.44327193514</v>
      </c>
      <c r="AG173" s="69" t="n">
        <f aca="false">-AG166*Inputs!$C$37</f>
        <v>-5388.00886811773</v>
      </c>
      <c r="AH173" s="69" t="n">
        <f aca="false">-AH166*Inputs!$C$37</f>
        <v>-5428.87184045302</v>
      </c>
      <c r="AI173" s="69" t="n">
        <f aca="false">-AI166*Inputs!$C$37</f>
        <v>-5468.1002938949</v>
      </c>
      <c r="AJ173" s="69" t="n">
        <f aca="false">-AJ166*Inputs!$C$37</f>
        <v>-5505.7596091991</v>
      </c>
      <c r="AK173" s="69" t="n">
        <f aca="false">-AK166*Inputs!$C$37</f>
        <v>-5541.91255189114</v>
      </c>
      <c r="AL173" s="69" t="n">
        <f aca="false">-AL166*Inputs!$C$37</f>
        <v>-4940.55377431549</v>
      </c>
    </row>
    <row r="174" customFormat="false" ht="15" hidden="false" customHeight="false" outlineLevel="0" collapsed="false">
      <c r="A174" s="4" t="s">
        <v>76</v>
      </c>
      <c r="C174" s="75" t="n">
        <f aca="false">C172+C173</f>
        <v>-7071.9457459</v>
      </c>
      <c r="D174" s="75" t="n">
        <f aca="false">D172+D173</f>
        <v>-8031.44880631956</v>
      </c>
      <c r="E174" s="75" t="n">
        <f aca="false">E172+E173</f>
        <v>-11076.8352569627</v>
      </c>
      <c r="F174" s="75" t="n">
        <f aca="false">F172+F173</f>
        <v>-12361.6968813842</v>
      </c>
      <c r="G174" s="75" t="n">
        <f aca="false">G172+G173</f>
        <v>-13678.7184810288</v>
      </c>
      <c r="H174" s="75" t="n">
        <f aca="false">H172+H173</f>
        <v>-15026.6136568877</v>
      </c>
      <c r="I174" s="75" t="n">
        <f aca="false">I172+I173</f>
        <v>-16404.1474659122</v>
      </c>
      <c r="J174" s="75" t="n">
        <f aca="false">J172+J173</f>
        <v>-17810.1343627757</v>
      </c>
      <c r="K174" s="75" t="n">
        <f aca="false">K172+K173</f>
        <v>-19243.4362239647</v>
      </c>
      <c r="L174" s="75" t="n">
        <f aca="false">L172+L173</f>
        <v>-20702.9604509061</v>
      </c>
      <c r="M174" s="75" t="n">
        <f aca="false">M172+M173</f>
        <v>-21242.0965088698</v>
      </c>
      <c r="N174" s="75" t="n">
        <f aca="false">N172+N173</f>
        <v>-17771.5650756123</v>
      </c>
      <c r="O174" s="75" t="n">
        <f aca="false">O172+O173</f>
        <v>-18638.5658545602</v>
      </c>
      <c r="P174" s="75" t="n">
        <f aca="false">P172+P173</f>
        <v>-19000.8447292478</v>
      </c>
      <c r="Q174" s="75" t="n">
        <f aca="false">Q172+Q173</f>
        <v>-23659.4243865624</v>
      </c>
      <c r="R174" s="75" t="n">
        <f aca="false">R172+R173</f>
        <v>-24137.0114511299</v>
      </c>
      <c r="S174" s="75" t="n">
        <f aca="false">S172+S173</f>
        <v>-24595.4950331147</v>
      </c>
      <c r="T174" s="75" t="n">
        <f aca="false">T172+T173</f>
        <v>-25035.6392718201</v>
      </c>
      <c r="U174" s="75" t="n">
        <f aca="false">U172+U173</f>
        <v>-25458.1777409773</v>
      </c>
      <c r="V174" s="75" t="n">
        <f aca="false">V172+V173</f>
        <v>-25863.8146713682</v>
      </c>
      <c r="W174" s="75" t="n">
        <f aca="false">W172+W173</f>
        <v>-26253.2261245435</v>
      </c>
      <c r="X174" s="75" t="n">
        <f aca="false">X172+X173</f>
        <v>-26627.0611195917</v>
      </c>
      <c r="Y174" s="75" t="n">
        <f aca="false">Y172+Y173</f>
        <v>-26985.9427148381</v>
      </c>
      <c r="Z174" s="75" t="n">
        <f aca="false">Z172+Z173</f>
        <v>-22423.8551037065</v>
      </c>
      <c r="AA174" s="75" t="n">
        <f aca="false">AA172+AA173</f>
        <v>-23277.9075589758</v>
      </c>
      <c r="AB174" s="75" t="n">
        <f aca="false">AB172+AB173</f>
        <v>-23502.100378171</v>
      </c>
      <c r="AC174" s="75" t="n">
        <f aca="false">AC172+AC173</f>
        <v>-28893.854787594</v>
      </c>
      <c r="AD174" s="75" t="n">
        <f aca="false">AD172+AD173</f>
        <v>-29221.8477341318</v>
      </c>
      <c r="AE174" s="75" t="n">
        <f aca="false">AE172+AE173</f>
        <v>-29536.7209628081</v>
      </c>
      <c r="AF174" s="75" t="n">
        <f aca="false">AF172+AF173</f>
        <v>-29838.9992623373</v>
      </c>
      <c r="AG174" s="75" t="n">
        <f aca="false">AG172+AG173</f>
        <v>-30129.1864298853</v>
      </c>
      <c r="AH174" s="75" t="n">
        <f aca="false">AH172+AH173</f>
        <v>-30407.7661107314</v>
      </c>
      <c r="AI174" s="75" t="n">
        <f aca="false">AI172+AI173</f>
        <v>-30675.2026043437</v>
      </c>
      <c r="AJ174" s="75" t="n">
        <f aca="false">AJ172+AJ173</f>
        <v>-30931.9416382114</v>
      </c>
      <c r="AK174" s="75" t="n">
        <f aca="false">AK172+AK173</f>
        <v>-31178.4111107245</v>
      </c>
      <c r="AL174" s="75" t="n">
        <f aca="false">AL172+AL173</f>
        <v>-25828.7107774018</v>
      </c>
    </row>
    <row r="175" customFormat="false" ht="15" hidden="false" customHeight="false" outlineLevel="0" collapsed="false">
      <c r="A175" s="113" t="s">
        <v>45</v>
      </c>
      <c r="C175" s="70" t="n">
        <f aca="false">C166+C174</f>
        <v>40871.4122541</v>
      </c>
      <c r="D175" s="70" t="n">
        <f aca="false">D166+D174</f>
        <v>46417.4870959027</v>
      </c>
      <c r="E175" s="70" t="n">
        <f aca="false">E166+E174</f>
        <v>61696.566542504</v>
      </c>
      <c r="F175" s="70" t="n">
        <f aca="false">F166+F174</f>
        <v>68690.2019572149</v>
      </c>
      <c r="G175" s="70" t="n">
        <f aca="false">G166+G174</f>
        <v>75811.5579595819</v>
      </c>
      <c r="H175" s="70" t="n">
        <f aca="false">H166+H174</f>
        <v>83055.5257260986</v>
      </c>
      <c r="I175" s="70" t="n">
        <f aca="false">I166+I174</f>
        <v>90417.2007861991</v>
      </c>
      <c r="J175" s="70" t="n">
        <f aca="false">J166+J174</f>
        <v>97891.87484814</v>
      </c>
      <c r="K175" s="70" t="n">
        <f aca="false">K166+K174</f>
        <v>105475.027951848</v>
      </c>
      <c r="L175" s="70" t="n">
        <f aca="false">L166+L174</f>
        <v>113162.320935652</v>
      </c>
      <c r="M175" s="70" t="n">
        <f aca="false">M166+M174</f>
        <v>115303.453622226</v>
      </c>
      <c r="N175" s="70" t="n">
        <f aca="false">N166+N174</f>
        <v>100968.163050239</v>
      </c>
      <c r="O175" s="70" t="n">
        <f aca="false">O166+O174</f>
        <v>104650.516126274</v>
      </c>
      <c r="P175" s="70" t="n">
        <f aca="false">P166+P174</f>
        <v>106420.439172353</v>
      </c>
      <c r="Q175" s="70" t="n">
        <f aca="false">Q166+Q174</f>
        <v>124595.230958974</v>
      </c>
      <c r="R175" s="70" t="n">
        <f aca="false">R166+R174</f>
        <v>126472.285280585</v>
      </c>
      <c r="S175" s="70" t="n">
        <f aca="false">S166+S174</f>
        <v>128274.257429332</v>
      </c>
      <c r="T175" s="70" t="n">
        <f aca="false">T166+T174</f>
        <v>130004.150692128</v>
      </c>
      <c r="U175" s="70" t="n">
        <f aca="false">U166+U174</f>
        <v>131664.848224413</v>
      </c>
      <c r="V175" s="70" t="n">
        <f aca="false">V166+V174</f>
        <v>133259.117855407</v>
      </c>
      <c r="W175" s="70" t="n">
        <f aca="false">W166+W174</f>
        <v>134789.616701161</v>
      </c>
      <c r="X175" s="70" t="n">
        <f aca="false">X166+X174</f>
        <v>136258.895593084</v>
      </c>
      <c r="Y175" s="70" t="n">
        <f aca="false">Y166+Y174</f>
        <v>137669.403329331</v>
      </c>
      <c r="Z175" s="70" t="n">
        <f aca="false">Z166+Z174</f>
        <v>123143.647098696</v>
      </c>
      <c r="AA175" s="70" t="n">
        <f aca="false">AA166+AA174</f>
        <v>126514.624476616</v>
      </c>
      <c r="AB175" s="70" t="n">
        <f aca="false">AB166+AB174</f>
        <v>127599.357629997</v>
      </c>
      <c r="AC175" s="70" t="n">
        <f aca="false">AC166+AC174</f>
        <v>144666.358906248</v>
      </c>
      <c r="AD175" s="70" t="n">
        <f aca="false">AD166+AD174</f>
        <v>145942.068313956</v>
      </c>
      <c r="AE175" s="70" t="n">
        <f aca="false">AE166+AE174</f>
        <v>147166.749345356</v>
      </c>
      <c r="AF175" s="70" t="n">
        <f aca="false">AF166+AF174</f>
        <v>148342.443135501</v>
      </c>
      <c r="AG175" s="70" t="n">
        <f aca="false">AG166+AG174</f>
        <v>149471.109174039</v>
      </c>
      <c r="AH175" s="70" t="n">
        <f aca="false">AH166+AH174</f>
        <v>150554.628571036</v>
      </c>
      <c r="AI175" s="70" t="n">
        <f aca="false">AI166+AI174</f>
        <v>151594.807192153</v>
      </c>
      <c r="AJ175" s="70" t="n">
        <f aca="false">AJ166+AJ174</f>
        <v>152593.378668425</v>
      </c>
      <c r="AK175" s="70" t="n">
        <f aca="false">AK166+AK174</f>
        <v>153552.007285647</v>
      </c>
      <c r="AL175" s="70" t="n">
        <f aca="false">AL166+AL174</f>
        <v>138856.415033115</v>
      </c>
    </row>
    <row r="177" customFormat="false" ht="15.75" hidden="false" customHeight="true" outlineLevel="0" collapsed="false">
      <c r="A177" s="7" t="s">
        <v>47</v>
      </c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</row>
    <row r="178" customFormat="false" ht="15" hidden="false" customHeight="false" outlineLevel="0" collapsed="false">
      <c r="A178" s="6" t="s">
        <v>338</v>
      </c>
      <c r="C178" s="69" t="n">
        <f aca="false">C255</f>
        <v>-36586.6666666667</v>
      </c>
      <c r="D178" s="69" t="n">
        <f aca="false">D255</f>
        <v>-36586.6666666667</v>
      </c>
      <c r="E178" s="69" t="n">
        <f aca="false">E255</f>
        <v>-36586.6666666667</v>
      </c>
      <c r="F178" s="69" t="n">
        <f aca="false">F255</f>
        <v>-36586.6666666667</v>
      </c>
      <c r="G178" s="69" t="n">
        <f aca="false">G255</f>
        <v>-36586.6666666667</v>
      </c>
      <c r="H178" s="69" t="n">
        <f aca="false">H255</f>
        <v>-36586.6666666667</v>
      </c>
      <c r="I178" s="69" t="n">
        <f aca="false">I255</f>
        <v>-36586.6666666667</v>
      </c>
      <c r="J178" s="69" t="n">
        <f aca="false">J255</f>
        <v>-36586.6666666667</v>
      </c>
      <c r="K178" s="69" t="n">
        <f aca="false">K255</f>
        <v>-36586.6666666667</v>
      </c>
      <c r="L178" s="69" t="n">
        <f aca="false">L255</f>
        <v>-36586.6666666667</v>
      </c>
      <c r="M178" s="69" t="n">
        <f aca="false">M255</f>
        <v>-36586.6666666667</v>
      </c>
      <c r="N178" s="69" t="n">
        <f aca="false">N255</f>
        <v>-36586.6666666667</v>
      </c>
      <c r="O178" s="69" t="n">
        <f aca="false">O255</f>
        <v>-37684.2666666667</v>
      </c>
      <c r="P178" s="69" t="n">
        <f aca="false">P255</f>
        <v>-37684.2666666667</v>
      </c>
      <c r="Q178" s="69" t="n">
        <f aca="false">Q255</f>
        <v>-37684.2666666667</v>
      </c>
      <c r="R178" s="69" t="n">
        <f aca="false">R255</f>
        <v>-37684.2666666667</v>
      </c>
      <c r="S178" s="69" t="n">
        <f aca="false">S255</f>
        <v>-37684.2666666667</v>
      </c>
      <c r="T178" s="69" t="n">
        <f aca="false">T255</f>
        <v>-37684.2666666667</v>
      </c>
      <c r="U178" s="69" t="n">
        <f aca="false">U255</f>
        <v>-37684.2666666667</v>
      </c>
      <c r="V178" s="69" t="n">
        <f aca="false">V255</f>
        <v>-37684.2666666667</v>
      </c>
      <c r="W178" s="69" t="n">
        <f aca="false">W255</f>
        <v>-37684.2666666667</v>
      </c>
      <c r="X178" s="69" t="n">
        <f aca="false">X255</f>
        <v>-37684.2666666667</v>
      </c>
      <c r="Y178" s="69" t="n">
        <f aca="false">Y255</f>
        <v>-37684.2666666667</v>
      </c>
      <c r="Z178" s="69" t="n">
        <f aca="false">Z255</f>
        <v>-37684.2666666667</v>
      </c>
      <c r="AA178" s="69" t="n">
        <f aca="false">AA255</f>
        <v>-38814.7946666667</v>
      </c>
      <c r="AB178" s="69" t="n">
        <f aca="false">AB255</f>
        <v>-38814.7946666667</v>
      </c>
      <c r="AC178" s="69" t="n">
        <f aca="false">AC255</f>
        <v>-38814.7946666667</v>
      </c>
      <c r="AD178" s="69" t="n">
        <f aca="false">AD255</f>
        <v>-38814.7946666667</v>
      </c>
      <c r="AE178" s="69" t="n">
        <f aca="false">AE255</f>
        <v>-38814.7946666667</v>
      </c>
      <c r="AF178" s="69" t="n">
        <f aca="false">AF255</f>
        <v>-38814.7946666667</v>
      </c>
      <c r="AG178" s="69" t="n">
        <f aca="false">AG255</f>
        <v>-38814.7946666667</v>
      </c>
      <c r="AH178" s="69" t="n">
        <f aca="false">AH255</f>
        <v>-38814.7946666667</v>
      </c>
      <c r="AI178" s="69" t="n">
        <f aca="false">AI255</f>
        <v>-38814.7946666667</v>
      </c>
      <c r="AJ178" s="69" t="n">
        <f aca="false">AJ255</f>
        <v>-38814.7946666667</v>
      </c>
      <c r="AK178" s="69" t="n">
        <f aca="false">AK255</f>
        <v>-38814.7946666667</v>
      </c>
      <c r="AL178" s="69" t="n">
        <f aca="false">AL255</f>
        <v>-38814.7946666667</v>
      </c>
    </row>
    <row r="179" customFormat="false" ht="15" hidden="false" customHeight="false" outlineLevel="0" collapsed="false">
      <c r="A179" s="6" t="s">
        <v>339</v>
      </c>
      <c r="C179" s="69" t="n">
        <f aca="false">-Inputs!$C$41*(1+Inputs!$C$42)^(C$134-1)*1</f>
        <v>-30000</v>
      </c>
      <c r="D179" s="69" t="n">
        <f aca="false">-Inputs!$C$41*(1+Inputs!$C$42)^(D$134-1)*1</f>
        <v>-30000</v>
      </c>
      <c r="E179" s="69" t="n">
        <f aca="false">-Inputs!$C$41*(1+Inputs!$C$42)^(E$134-1)*1</f>
        <v>-30000</v>
      </c>
      <c r="F179" s="69" t="n">
        <f aca="false">-Inputs!$C$41*(1+Inputs!$C$42)^(F$134-1)*1</f>
        <v>-30000</v>
      </c>
      <c r="G179" s="69" t="n">
        <f aca="false">-Inputs!$C$41*(1+Inputs!$C$42)^(G$134-1)*1</f>
        <v>-30000</v>
      </c>
      <c r="H179" s="69" t="n">
        <f aca="false">-Inputs!$C$41*(1+Inputs!$C$42)^(H$134-1)*1</f>
        <v>-30000</v>
      </c>
      <c r="I179" s="69" t="n">
        <f aca="false">-Inputs!$C$41*(1+Inputs!$C$42)^(I$134-1)*1</f>
        <v>-30000</v>
      </c>
      <c r="J179" s="69" t="n">
        <f aca="false">-Inputs!$C$41*(1+Inputs!$C$42)^(J$134-1)*1</f>
        <v>-30000</v>
      </c>
      <c r="K179" s="69" t="n">
        <f aca="false">-Inputs!$C$41*(1+Inputs!$C$42)^(K$134-1)*1</f>
        <v>-30000</v>
      </c>
      <c r="L179" s="69" t="n">
        <f aca="false">-Inputs!$C$41*(1+Inputs!$C$42)^(L$134-1)*1</f>
        <v>-30000</v>
      </c>
      <c r="M179" s="69" t="n">
        <f aca="false">-Inputs!$C$41*(1+Inputs!$C$42)^(M$134-1)*1</f>
        <v>-30000</v>
      </c>
      <c r="N179" s="69" t="n">
        <f aca="false">-Inputs!$C$41*(1+Inputs!$C$42)^(N$134-1)*1</f>
        <v>-30000</v>
      </c>
      <c r="O179" s="69" t="n">
        <f aca="false">-Inputs!$C$41*(1+Inputs!$C$42)^(O$134-1)*1</f>
        <v>-30900</v>
      </c>
      <c r="P179" s="69" t="n">
        <f aca="false">-Inputs!$C$41*(1+Inputs!$C$42)^(P$134-1)*1</f>
        <v>-30900</v>
      </c>
      <c r="Q179" s="69" t="n">
        <f aca="false">-Inputs!$C$41*(1+Inputs!$C$42)^(Q$134-1)*1</f>
        <v>-30900</v>
      </c>
      <c r="R179" s="69" t="n">
        <f aca="false">-Inputs!$C$41*(1+Inputs!$C$42)^(R$134-1)*1</f>
        <v>-30900</v>
      </c>
      <c r="S179" s="69" t="n">
        <f aca="false">-Inputs!$C$41*(1+Inputs!$C$42)^(S$134-1)*1</f>
        <v>-30900</v>
      </c>
      <c r="T179" s="69" t="n">
        <f aca="false">-Inputs!$C$41*(1+Inputs!$C$42)^(T$134-1)*1</f>
        <v>-30900</v>
      </c>
      <c r="U179" s="69" t="n">
        <f aca="false">-Inputs!$C$41*(1+Inputs!$C$42)^(U$134-1)*1</f>
        <v>-30900</v>
      </c>
      <c r="V179" s="69" t="n">
        <f aca="false">-Inputs!$C$41*(1+Inputs!$C$42)^(V$134-1)*1</f>
        <v>-30900</v>
      </c>
      <c r="W179" s="69" t="n">
        <f aca="false">-Inputs!$C$41*(1+Inputs!$C$42)^(W$134-1)*1</f>
        <v>-30900</v>
      </c>
      <c r="X179" s="69" t="n">
        <f aca="false">-Inputs!$C$41*(1+Inputs!$C$42)^(X$134-1)*1</f>
        <v>-30900</v>
      </c>
      <c r="Y179" s="69" t="n">
        <f aca="false">-Inputs!$C$41*(1+Inputs!$C$42)^(Y$134-1)*1</f>
        <v>-30900</v>
      </c>
      <c r="Z179" s="69" t="n">
        <f aca="false">-Inputs!$C$41*(1+Inputs!$C$42)^(Z$134-1)*1</f>
        <v>-30900</v>
      </c>
      <c r="AA179" s="69" t="n">
        <f aca="false">-Inputs!$C$41*(1+Inputs!$C$42)^(AA$134-1)*1</f>
        <v>-31827</v>
      </c>
      <c r="AB179" s="69" t="n">
        <f aca="false">-Inputs!$C$41*(1+Inputs!$C$42)^(AB$134-1)*1</f>
        <v>-31827</v>
      </c>
      <c r="AC179" s="69" t="n">
        <f aca="false">-Inputs!$C$41*(1+Inputs!$C$42)^(AC$134-1)*1</f>
        <v>-31827</v>
      </c>
      <c r="AD179" s="69" t="n">
        <f aca="false">-Inputs!$C$41*(1+Inputs!$C$42)^(AD$134-1)*1</f>
        <v>-31827</v>
      </c>
      <c r="AE179" s="69" t="n">
        <f aca="false">-Inputs!$C$41*(1+Inputs!$C$42)^(AE$134-1)*1</f>
        <v>-31827</v>
      </c>
      <c r="AF179" s="69" t="n">
        <f aca="false">-Inputs!$C$41*(1+Inputs!$C$42)^(AF$134-1)*1</f>
        <v>-31827</v>
      </c>
      <c r="AG179" s="69" t="n">
        <f aca="false">-Inputs!$C$41*(1+Inputs!$C$42)^(AG$134-1)*1</f>
        <v>-31827</v>
      </c>
      <c r="AH179" s="69" t="n">
        <f aca="false">-Inputs!$C$41*(1+Inputs!$C$42)^(AH$134-1)*1</f>
        <v>-31827</v>
      </c>
      <c r="AI179" s="69" t="n">
        <f aca="false">-Inputs!$C$41*(1+Inputs!$C$42)^(AI$134-1)*1</f>
        <v>-31827</v>
      </c>
      <c r="AJ179" s="69" t="n">
        <f aca="false">-Inputs!$C$41*(1+Inputs!$C$42)^(AJ$134-1)*1</f>
        <v>-31827</v>
      </c>
      <c r="AK179" s="69" t="n">
        <f aca="false">-Inputs!$C$41*(1+Inputs!$C$42)^(AK$134-1)*1</f>
        <v>-31827</v>
      </c>
      <c r="AL179" s="69" t="n">
        <f aca="false">-Inputs!$C$41*(1+Inputs!$C$42)^(AL$134-1)*1</f>
        <v>-31827</v>
      </c>
    </row>
    <row r="180" customFormat="false" ht="15" hidden="false" customHeight="false" outlineLevel="0" collapsed="false">
      <c r="A180" s="6" t="s">
        <v>340</v>
      </c>
      <c r="C180" s="69" t="n">
        <f aca="false">-Inputs!$C$43*(1+Inputs!$C$38)^(C$134-1)*1</f>
        <v>-5500</v>
      </c>
      <c r="D180" s="69" t="n">
        <f aca="false">-Inputs!$C$43*(1+Inputs!$C$38)^(D$134-1)*1</f>
        <v>-5500</v>
      </c>
      <c r="E180" s="69" t="n">
        <f aca="false">-Inputs!$C$43*(1+Inputs!$C$38)^(E$134-1)*1</f>
        <v>-5500</v>
      </c>
      <c r="F180" s="69" t="n">
        <f aca="false">-Inputs!$C$43*(1+Inputs!$C$38)^(F$134-1)*1</f>
        <v>-5500</v>
      </c>
      <c r="G180" s="69" t="n">
        <f aca="false">-Inputs!$C$43*(1+Inputs!$C$38)^(G$134-1)*1</f>
        <v>-5500</v>
      </c>
      <c r="H180" s="69" t="n">
        <f aca="false">-Inputs!$C$43*(1+Inputs!$C$38)^(H$134-1)*1</f>
        <v>-5500</v>
      </c>
      <c r="I180" s="69" t="n">
        <f aca="false">-Inputs!$C$43*(1+Inputs!$C$38)^(I$134-1)*1</f>
        <v>-5500</v>
      </c>
      <c r="J180" s="69" t="n">
        <f aca="false">-Inputs!$C$43*(1+Inputs!$C$38)^(J$134-1)*1</f>
        <v>-5500</v>
      </c>
      <c r="K180" s="69" t="n">
        <f aca="false">-Inputs!$C$43*(1+Inputs!$C$38)^(K$134-1)*1</f>
        <v>-5500</v>
      </c>
      <c r="L180" s="69" t="n">
        <f aca="false">-Inputs!$C$43*(1+Inputs!$C$38)^(L$134-1)*1</f>
        <v>-5500</v>
      </c>
      <c r="M180" s="69" t="n">
        <f aca="false">-Inputs!$C$43*(1+Inputs!$C$38)^(M$134-1)*1</f>
        <v>-5500</v>
      </c>
      <c r="N180" s="69" t="n">
        <f aca="false">-Inputs!$C$43*(1+Inputs!$C$38)^(N$134-1)*1</f>
        <v>-5500</v>
      </c>
      <c r="O180" s="69" t="n">
        <f aca="false">-Inputs!$C$43*(1+Inputs!$C$38)^(O$134-1)*1</f>
        <v>-5665</v>
      </c>
      <c r="P180" s="69" t="n">
        <f aca="false">-Inputs!$C$43*(1+Inputs!$C$38)^(P$134-1)*1</f>
        <v>-5665</v>
      </c>
      <c r="Q180" s="69" t="n">
        <f aca="false">-Inputs!$C$43*(1+Inputs!$C$38)^(Q$134-1)*1</f>
        <v>-5665</v>
      </c>
      <c r="R180" s="69" t="n">
        <f aca="false">-Inputs!$C$43*(1+Inputs!$C$38)^(R$134-1)*1</f>
        <v>-5665</v>
      </c>
      <c r="S180" s="69" t="n">
        <f aca="false">-Inputs!$C$43*(1+Inputs!$C$38)^(S$134-1)*1</f>
        <v>-5665</v>
      </c>
      <c r="T180" s="69" t="n">
        <f aca="false">-Inputs!$C$43*(1+Inputs!$C$38)^(T$134-1)*1</f>
        <v>-5665</v>
      </c>
      <c r="U180" s="69" t="n">
        <f aca="false">-Inputs!$C$43*(1+Inputs!$C$38)^(U$134-1)*1</f>
        <v>-5665</v>
      </c>
      <c r="V180" s="69" t="n">
        <f aca="false">-Inputs!$C$43*(1+Inputs!$C$38)^(V$134-1)*1</f>
        <v>-5665</v>
      </c>
      <c r="W180" s="69" t="n">
        <f aca="false">-Inputs!$C$43*(1+Inputs!$C$38)^(W$134-1)*1</f>
        <v>-5665</v>
      </c>
      <c r="X180" s="69" t="n">
        <f aca="false">-Inputs!$C$43*(1+Inputs!$C$38)^(X$134-1)*1</f>
        <v>-5665</v>
      </c>
      <c r="Y180" s="69" t="n">
        <f aca="false">-Inputs!$C$43*(1+Inputs!$C$38)^(Y$134-1)*1</f>
        <v>-5665</v>
      </c>
      <c r="Z180" s="69" t="n">
        <f aca="false">-Inputs!$C$43*(1+Inputs!$C$38)^(Z$134-1)*1</f>
        <v>-5665</v>
      </c>
      <c r="AA180" s="69" t="n">
        <f aca="false">-Inputs!$C$43*(1+Inputs!$C$38)^(AA$134-1)*1</f>
        <v>-5834.95</v>
      </c>
      <c r="AB180" s="69" t="n">
        <f aca="false">-Inputs!$C$43*(1+Inputs!$C$38)^(AB$134-1)*1</f>
        <v>-5834.95</v>
      </c>
      <c r="AC180" s="69" t="n">
        <f aca="false">-Inputs!$C$43*(1+Inputs!$C$38)^(AC$134-1)*1</f>
        <v>-5834.95</v>
      </c>
      <c r="AD180" s="69" t="n">
        <f aca="false">-Inputs!$C$43*(1+Inputs!$C$38)^(AD$134-1)*1</f>
        <v>-5834.95</v>
      </c>
      <c r="AE180" s="69" t="n">
        <f aca="false">-Inputs!$C$43*(1+Inputs!$C$38)^(AE$134-1)*1</f>
        <v>-5834.95</v>
      </c>
      <c r="AF180" s="69" t="n">
        <f aca="false">-Inputs!$C$43*(1+Inputs!$C$38)^(AF$134-1)*1</f>
        <v>-5834.95</v>
      </c>
      <c r="AG180" s="69" t="n">
        <f aca="false">-Inputs!$C$43*(1+Inputs!$C$38)^(AG$134-1)*1</f>
        <v>-5834.95</v>
      </c>
      <c r="AH180" s="69" t="n">
        <f aca="false">-Inputs!$C$43*(1+Inputs!$C$38)^(AH$134-1)*1</f>
        <v>-5834.95</v>
      </c>
      <c r="AI180" s="69" t="n">
        <f aca="false">-Inputs!$C$43*(1+Inputs!$C$38)^(AI$134-1)*1</f>
        <v>-5834.95</v>
      </c>
      <c r="AJ180" s="69" t="n">
        <f aca="false">-Inputs!$C$43*(1+Inputs!$C$38)^(AJ$134-1)*1</f>
        <v>-5834.95</v>
      </c>
      <c r="AK180" s="69" t="n">
        <f aca="false">-Inputs!$C$43*(1+Inputs!$C$38)^(AK$134-1)*1</f>
        <v>-5834.95</v>
      </c>
      <c r="AL180" s="69" t="n">
        <f aca="false">-Inputs!$C$43*(1+Inputs!$C$38)^(AL$134-1)*1</f>
        <v>-5834.95</v>
      </c>
    </row>
    <row r="181" customFormat="false" ht="15" hidden="false" customHeight="false" outlineLevel="0" collapsed="false">
      <c r="A181" s="6" t="s">
        <v>341</v>
      </c>
      <c r="C181" s="69" t="n">
        <f aca="false">-Inputs!$C$44*(1+Inputs!$C$38)^(C$134-1)*1</f>
        <v>-9500</v>
      </c>
      <c r="D181" s="69" t="n">
        <f aca="false">-Inputs!$C$44*(1+Inputs!$C$38)^(D$134-1)*1</f>
        <v>-9500</v>
      </c>
      <c r="E181" s="69" t="n">
        <f aca="false">-Inputs!$C$44*(1+Inputs!$C$38)^(E$134-1)*1</f>
        <v>-9500</v>
      </c>
      <c r="F181" s="69" t="n">
        <f aca="false">-Inputs!$C$44*(1+Inputs!$C$38)^(F$134-1)*1</f>
        <v>-9500</v>
      </c>
      <c r="G181" s="69" t="n">
        <f aca="false">-Inputs!$C$44*(1+Inputs!$C$38)^(G$134-1)*1</f>
        <v>-9500</v>
      </c>
      <c r="H181" s="69" t="n">
        <f aca="false">-Inputs!$C$44*(1+Inputs!$C$38)^(H$134-1)*1</f>
        <v>-9500</v>
      </c>
      <c r="I181" s="69" t="n">
        <f aca="false">-Inputs!$C$44*(1+Inputs!$C$38)^(I$134-1)*1</f>
        <v>-9500</v>
      </c>
      <c r="J181" s="69" t="n">
        <f aca="false">-Inputs!$C$44*(1+Inputs!$C$38)^(J$134-1)*1</f>
        <v>-9500</v>
      </c>
      <c r="K181" s="69" t="n">
        <f aca="false">-Inputs!$C$44*(1+Inputs!$C$38)^(K$134-1)*1</f>
        <v>-9500</v>
      </c>
      <c r="L181" s="69" t="n">
        <f aca="false">-Inputs!$C$44*(1+Inputs!$C$38)^(L$134-1)*1</f>
        <v>-9500</v>
      </c>
      <c r="M181" s="69" t="n">
        <f aca="false">-Inputs!$C$44*(1+Inputs!$C$38)^(M$134-1)*1</f>
        <v>-9500</v>
      </c>
      <c r="N181" s="69" t="n">
        <f aca="false">-Inputs!$C$44*(1+Inputs!$C$38)^(N$134-1)*1</f>
        <v>-9500</v>
      </c>
      <c r="O181" s="69" t="n">
        <f aca="false">-Inputs!$C$44*(1+Inputs!$C$38)^(O$134-1)*1</f>
        <v>-9785</v>
      </c>
      <c r="P181" s="69" t="n">
        <f aca="false">-Inputs!$C$44*(1+Inputs!$C$38)^(P$134-1)*1</f>
        <v>-9785</v>
      </c>
      <c r="Q181" s="69" t="n">
        <f aca="false">-Inputs!$C$44*(1+Inputs!$C$38)^(Q$134-1)*1</f>
        <v>-9785</v>
      </c>
      <c r="R181" s="69" t="n">
        <f aca="false">-Inputs!$C$44*(1+Inputs!$C$38)^(R$134-1)*1</f>
        <v>-9785</v>
      </c>
      <c r="S181" s="69" t="n">
        <f aca="false">-Inputs!$C$44*(1+Inputs!$C$38)^(S$134-1)*1</f>
        <v>-9785</v>
      </c>
      <c r="T181" s="69" t="n">
        <f aca="false">-Inputs!$C$44*(1+Inputs!$C$38)^(T$134-1)*1</f>
        <v>-9785</v>
      </c>
      <c r="U181" s="69" t="n">
        <f aca="false">-Inputs!$C$44*(1+Inputs!$C$38)^(U$134-1)*1</f>
        <v>-9785</v>
      </c>
      <c r="V181" s="69" t="n">
        <f aca="false">-Inputs!$C$44*(1+Inputs!$C$38)^(V$134-1)*1</f>
        <v>-9785</v>
      </c>
      <c r="W181" s="69" t="n">
        <f aca="false">-Inputs!$C$44*(1+Inputs!$C$38)^(W$134-1)*1</f>
        <v>-9785</v>
      </c>
      <c r="X181" s="69" t="n">
        <f aca="false">-Inputs!$C$44*(1+Inputs!$C$38)^(X$134-1)*1</f>
        <v>-9785</v>
      </c>
      <c r="Y181" s="69" t="n">
        <f aca="false">-Inputs!$C$44*(1+Inputs!$C$38)^(Y$134-1)*1</f>
        <v>-9785</v>
      </c>
      <c r="Z181" s="69" t="n">
        <f aca="false">-Inputs!$C$44*(1+Inputs!$C$38)^(Z$134-1)*1</f>
        <v>-9785</v>
      </c>
      <c r="AA181" s="69" t="n">
        <f aca="false">-Inputs!$C$44*(1+Inputs!$C$38)^(AA$134-1)*1</f>
        <v>-10078.55</v>
      </c>
      <c r="AB181" s="69" t="n">
        <f aca="false">-Inputs!$C$44*(1+Inputs!$C$38)^(AB$134-1)*1</f>
        <v>-10078.55</v>
      </c>
      <c r="AC181" s="69" t="n">
        <f aca="false">-Inputs!$C$44*(1+Inputs!$C$38)^(AC$134-1)*1</f>
        <v>-10078.55</v>
      </c>
      <c r="AD181" s="69" t="n">
        <f aca="false">-Inputs!$C$44*(1+Inputs!$C$38)^(AD$134-1)*1</f>
        <v>-10078.55</v>
      </c>
      <c r="AE181" s="69" t="n">
        <f aca="false">-Inputs!$C$44*(1+Inputs!$C$38)^(AE$134-1)*1</f>
        <v>-10078.55</v>
      </c>
      <c r="AF181" s="69" t="n">
        <f aca="false">-Inputs!$C$44*(1+Inputs!$C$38)^(AF$134-1)*1</f>
        <v>-10078.55</v>
      </c>
      <c r="AG181" s="69" t="n">
        <f aca="false">-Inputs!$C$44*(1+Inputs!$C$38)^(AG$134-1)*1</f>
        <v>-10078.55</v>
      </c>
      <c r="AH181" s="69" t="n">
        <f aca="false">-Inputs!$C$44*(1+Inputs!$C$38)^(AH$134-1)*1</f>
        <v>-10078.55</v>
      </c>
      <c r="AI181" s="69" t="n">
        <f aca="false">-Inputs!$C$44*(1+Inputs!$C$38)^(AI$134-1)*1</f>
        <v>-10078.55</v>
      </c>
      <c r="AJ181" s="69" t="n">
        <f aca="false">-Inputs!$C$44*(1+Inputs!$C$38)^(AJ$134-1)*1</f>
        <v>-10078.55</v>
      </c>
      <c r="AK181" s="69" t="n">
        <f aca="false">-Inputs!$C$44*(1+Inputs!$C$38)^(AK$134-1)*1</f>
        <v>-10078.55</v>
      </c>
      <c r="AL181" s="69" t="n">
        <f aca="false">-Inputs!$C$44*(1+Inputs!$C$38)^(AL$134-1)*1</f>
        <v>-10078.55</v>
      </c>
    </row>
    <row r="182" customFormat="false" ht="15" hidden="false" customHeight="false" outlineLevel="0" collapsed="false">
      <c r="A182" s="6" t="s">
        <v>342</v>
      </c>
      <c r="C182" s="69" t="n">
        <f aca="false">-Inputs!$C$45*(1+Inputs!$C$46)^(C$134-1)*1</f>
        <v>-12000</v>
      </c>
      <c r="D182" s="69" t="n">
        <f aca="false">-Inputs!$C$45*(1+Inputs!$C$46)^(D$134-1)*1</f>
        <v>-12000</v>
      </c>
      <c r="E182" s="69" t="n">
        <f aca="false">-Inputs!$C$45*(1+Inputs!$C$46)^(E$134-1)*1</f>
        <v>-12000</v>
      </c>
      <c r="F182" s="69" t="n">
        <f aca="false">-Inputs!$C$45*(1+Inputs!$C$46)^(F$134-1)*1</f>
        <v>-12000</v>
      </c>
      <c r="G182" s="69" t="n">
        <f aca="false">-Inputs!$C$45*(1+Inputs!$C$46)^(G$134-1)*1</f>
        <v>-12000</v>
      </c>
      <c r="H182" s="69" t="n">
        <f aca="false">-Inputs!$C$45*(1+Inputs!$C$46)^(H$134-1)*1</f>
        <v>-12000</v>
      </c>
      <c r="I182" s="69" t="n">
        <f aca="false">-Inputs!$C$45*(1+Inputs!$C$46)^(I$134-1)*1</f>
        <v>-12000</v>
      </c>
      <c r="J182" s="69" t="n">
        <f aca="false">-Inputs!$C$45*(1+Inputs!$C$46)^(J$134-1)*1</f>
        <v>-12000</v>
      </c>
      <c r="K182" s="69" t="n">
        <f aca="false">-Inputs!$C$45*(1+Inputs!$C$46)^(K$134-1)*1</f>
        <v>-12000</v>
      </c>
      <c r="L182" s="69" t="n">
        <f aca="false">-Inputs!$C$45*(1+Inputs!$C$46)^(L$134-1)*1</f>
        <v>-12000</v>
      </c>
      <c r="M182" s="69" t="n">
        <f aca="false">-Inputs!$C$45*(1+Inputs!$C$46)^(M$134-1)*1</f>
        <v>-12000</v>
      </c>
      <c r="N182" s="69" t="n">
        <f aca="false">-Inputs!$C$45*(1+Inputs!$C$46)^(N$134-1)*1</f>
        <v>-12000</v>
      </c>
      <c r="O182" s="69" t="n">
        <f aca="false">-Inputs!$C$45*(1+Inputs!$C$46)^(O$134-1)*1</f>
        <v>-9600</v>
      </c>
      <c r="P182" s="69" t="n">
        <f aca="false">-Inputs!$C$45*(1+Inputs!$C$46)^(P$134-1)*1</f>
        <v>-9600</v>
      </c>
      <c r="Q182" s="69" t="n">
        <f aca="false">-Inputs!$C$45*(1+Inputs!$C$46)^(Q$134-1)*1</f>
        <v>-9600</v>
      </c>
      <c r="R182" s="69" t="n">
        <f aca="false">-Inputs!$C$45*(1+Inputs!$C$46)^(R$134-1)*1</f>
        <v>-9600</v>
      </c>
      <c r="S182" s="69" t="n">
        <f aca="false">-Inputs!$C$45*(1+Inputs!$C$46)^(S$134-1)*1</f>
        <v>-9600</v>
      </c>
      <c r="T182" s="69" t="n">
        <f aca="false">-Inputs!$C$45*(1+Inputs!$C$46)^(T$134-1)*1</f>
        <v>-9600</v>
      </c>
      <c r="U182" s="69" t="n">
        <f aca="false">-Inputs!$C$45*(1+Inputs!$C$46)^(U$134-1)*1</f>
        <v>-9600</v>
      </c>
      <c r="V182" s="69" t="n">
        <f aca="false">-Inputs!$C$45*(1+Inputs!$C$46)^(V$134-1)*1</f>
        <v>-9600</v>
      </c>
      <c r="W182" s="69" t="n">
        <f aca="false">-Inputs!$C$45*(1+Inputs!$C$46)^(W$134-1)*1</f>
        <v>-9600</v>
      </c>
      <c r="X182" s="69" t="n">
        <f aca="false">-Inputs!$C$45*(1+Inputs!$C$46)^(X$134-1)*1</f>
        <v>-9600</v>
      </c>
      <c r="Y182" s="69" t="n">
        <f aca="false">-Inputs!$C$45*(1+Inputs!$C$46)^(Y$134-1)*1</f>
        <v>-9600</v>
      </c>
      <c r="Z182" s="69" t="n">
        <f aca="false">-Inputs!$C$45*(1+Inputs!$C$46)^(Z$134-1)*1</f>
        <v>-9600</v>
      </c>
      <c r="AA182" s="69" t="n">
        <f aca="false">-Inputs!$C$45*(1+Inputs!$C$46)^(AA$134-1)*1</f>
        <v>-7680</v>
      </c>
      <c r="AB182" s="69" t="n">
        <f aca="false">-Inputs!$C$45*(1+Inputs!$C$46)^(AB$134-1)*1</f>
        <v>-7680</v>
      </c>
      <c r="AC182" s="69" t="n">
        <f aca="false">-Inputs!$C$45*(1+Inputs!$C$46)^(AC$134-1)*1</f>
        <v>-7680</v>
      </c>
      <c r="AD182" s="69" t="n">
        <f aca="false">-Inputs!$C$45*(1+Inputs!$C$46)^(AD$134-1)*1</f>
        <v>-7680</v>
      </c>
      <c r="AE182" s="69" t="n">
        <f aca="false">-Inputs!$C$45*(1+Inputs!$C$46)^(AE$134-1)*1</f>
        <v>-7680</v>
      </c>
      <c r="AF182" s="69" t="n">
        <f aca="false">-Inputs!$C$45*(1+Inputs!$C$46)^(AF$134-1)*1</f>
        <v>-7680</v>
      </c>
      <c r="AG182" s="69" t="n">
        <f aca="false">-Inputs!$C$45*(1+Inputs!$C$46)^(AG$134-1)*1</f>
        <v>-7680</v>
      </c>
      <c r="AH182" s="69" t="n">
        <f aca="false">-Inputs!$C$45*(1+Inputs!$C$46)^(AH$134-1)*1</f>
        <v>-7680</v>
      </c>
      <c r="AI182" s="69" t="n">
        <f aca="false">-Inputs!$C$45*(1+Inputs!$C$46)^(AI$134-1)*1</f>
        <v>-7680</v>
      </c>
      <c r="AJ182" s="69" t="n">
        <f aca="false">-Inputs!$C$45*(1+Inputs!$C$46)^(AJ$134-1)*1</f>
        <v>-7680</v>
      </c>
      <c r="AK182" s="69" t="n">
        <f aca="false">-Inputs!$C$45*(1+Inputs!$C$46)^(AK$134-1)*1</f>
        <v>-7680</v>
      </c>
      <c r="AL182" s="69" t="n">
        <f aca="false">-Inputs!$C$45*(1+Inputs!$C$46)^(AL$134-1)*1</f>
        <v>-7680</v>
      </c>
    </row>
    <row r="183" customFormat="false" ht="15" hidden="false" customHeight="false" outlineLevel="0" collapsed="false">
      <c r="A183" s="113" t="s">
        <v>77</v>
      </c>
      <c r="C183" s="70" t="n">
        <f aca="false">C178+C179+C180+C181+C182</f>
        <v>-93586.6666666667</v>
      </c>
      <c r="D183" s="70" t="n">
        <f aca="false">D178+D179+D180+D181+D182</f>
        <v>-93586.6666666667</v>
      </c>
      <c r="E183" s="70" t="n">
        <f aca="false">E178+E179+E180+E181+E182</f>
        <v>-93586.6666666667</v>
      </c>
      <c r="F183" s="70" t="n">
        <f aca="false">F178+F179+F180+F181+F182</f>
        <v>-93586.6666666667</v>
      </c>
      <c r="G183" s="70" t="n">
        <f aca="false">G178+G179+G180+G181+G182</f>
        <v>-93586.6666666667</v>
      </c>
      <c r="H183" s="70" t="n">
        <f aca="false">H178+H179+H180+H181+H182</f>
        <v>-93586.6666666667</v>
      </c>
      <c r="I183" s="70" t="n">
        <f aca="false">I178+I179+I180+I181+I182</f>
        <v>-93586.6666666667</v>
      </c>
      <c r="J183" s="70" t="n">
        <f aca="false">J178+J179+J180+J181+J182</f>
        <v>-93586.6666666667</v>
      </c>
      <c r="K183" s="70" t="n">
        <f aca="false">K178+K179+K180+K181+K182</f>
        <v>-93586.6666666667</v>
      </c>
      <c r="L183" s="70" t="n">
        <f aca="false">L178+L179+L180+L181+L182</f>
        <v>-93586.6666666667</v>
      </c>
      <c r="M183" s="70" t="n">
        <f aca="false">M178+M179+M180+M181+M182</f>
        <v>-93586.6666666667</v>
      </c>
      <c r="N183" s="70" t="n">
        <f aca="false">N178+N179+N180+N181+N182</f>
        <v>-93586.6666666667</v>
      </c>
      <c r="O183" s="70" t="n">
        <f aca="false">O178+O179+O180+O181+O182</f>
        <v>-93634.2666666667</v>
      </c>
      <c r="P183" s="70" t="n">
        <f aca="false">P178+P179+P180+P181+P182</f>
        <v>-93634.2666666667</v>
      </c>
      <c r="Q183" s="70" t="n">
        <f aca="false">Q178+Q179+Q180+Q181+Q182</f>
        <v>-93634.2666666667</v>
      </c>
      <c r="R183" s="70" t="n">
        <f aca="false">R178+R179+R180+R181+R182</f>
        <v>-93634.2666666667</v>
      </c>
      <c r="S183" s="70" t="n">
        <f aca="false">S178+S179+S180+S181+S182</f>
        <v>-93634.2666666667</v>
      </c>
      <c r="T183" s="70" t="n">
        <f aca="false">T178+T179+T180+T181+T182</f>
        <v>-93634.2666666667</v>
      </c>
      <c r="U183" s="70" t="n">
        <f aca="false">U178+U179+U180+U181+U182</f>
        <v>-93634.2666666667</v>
      </c>
      <c r="V183" s="70" t="n">
        <f aca="false">V178+V179+V180+V181+V182</f>
        <v>-93634.2666666667</v>
      </c>
      <c r="W183" s="70" t="n">
        <f aca="false">W178+W179+W180+W181+W182</f>
        <v>-93634.2666666667</v>
      </c>
      <c r="X183" s="70" t="n">
        <f aca="false">X178+X179+X180+X181+X182</f>
        <v>-93634.2666666667</v>
      </c>
      <c r="Y183" s="70" t="n">
        <f aca="false">Y178+Y179+Y180+Y181+Y182</f>
        <v>-93634.2666666667</v>
      </c>
      <c r="Z183" s="70" t="n">
        <f aca="false">Z178+Z179+Z180+Z181+Z182</f>
        <v>-93634.2666666667</v>
      </c>
      <c r="AA183" s="70" t="n">
        <f aca="false">AA178+AA179+AA180+AA181+AA182</f>
        <v>-94235.2946666667</v>
      </c>
      <c r="AB183" s="70" t="n">
        <f aca="false">AB178+AB179+AB180+AB181+AB182</f>
        <v>-94235.2946666667</v>
      </c>
      <c r="AC183" s="70" t="n">
        <f aca="false">AC178+AC179+AC180+AC181+AC182</f>
        <v>-94235.2946666667</v>
      </c>
      <c r="AD183" s="70" t="n">
        <f aca="false">AD178+AD179+AD180+AD181+AD182</f>
        <v>-94235.2946666667</v>
      </c>
      <c r="AE183" s="70" t="n">
        <f aca="false">AE178+AE179+AE180+AE181+AE182</f>
        <v>-94235.2946666667</v>
      </c>
      <c r="AF183" s="70" t="n">
        <f aca="false">AF178+AF179+AF180+AF181+AF182</f>
        <v>-94235.2946666667</v>
      </c>
      <c r="AG183" s="70" t="n">
        <f aca="false">AG178+AG179+AG180+AG181+AG182</f>
        <v>-94235.2946666667</v>
      </c>
      <c r="AH183" s="70" t="n">
        <f aca="false">AH178+AH179+AH180+AH181+AH182</f>
        <v>-94235.2946666667</v>
      </c>
      <c r="AI183" s="70" t="n">
        <f aca="false">AI178+AI179+AI180+AI181+AI182</f>
        <v>-94235.2946666667</v>
      </c>
      <c r="AJ183" s="70" t="n">
        <f aca="false">AJ178+AJ179+AJ180+AJ181+AJ182</f>
        <v>-94235.2946666667</v>
      </c>
      <c r="AK183" s="70" t="n">
        <f aca="false">AK178+AK179+AK180+AK181+AK182</f>
        <v>-94235.2946666667</v>
      </c>
      <c r="AL183" s="70" t="n">
        <f aca="false">AL178+AL179+AL180+AL181+AL182</f>
        <v>-94235.2946666667</v>
      </c>
    </row>
    <row r="184" customFormat="false" ht="15" hidden="false" customHeight="false" outlineLevel="0" collapsed="false">
      <c r="A184" s="113" t="s">
        <v>48</v>
      </c>
      <c r="C184" s="70" t="n">
        <f aca="false">C175+C183</f>
        <v>-52715.2544125667</v>
      </c>
      <c r="D184" s="70" t="n">
        <f aca="false">D175+D183</f>
        <v>-47169.179570764</v>
      </c>
      <c r="E184" s="70" t="n">
        <f aca="false">E175+E183</f>
        <v>-31890.1001241627</v>
      </c>
      <c r="F184" s="70" t="n">
        <f aca="false">F175+F183</f>
        <v>-24896.4647094518</v>
      </c>
      <c r="G184" s="70" t="n">
        <f aca="false">G175+G183</f>
        <v>-17775.1087070848</v>
      </c>
      <c r="H184" s="70" t="n">
        <f aca="false">H175+H183</f>
        <v>-10531.1409405681</v>
      </c>
      <c r="I184" s="70" t="n">
        <f aca="false">I175+I183</f>
        <v>-3169.46588046759</v>
      </c>
      <c r="J184" s="70" t="n">
        <f aca="false">J175+J183</f>
        <v>4305.20818147335</v>
      </c>
      <c r="K184" s="70" t="n">
        <f aca="false">K175+K183</f>
        <v>11888.3612851811</v>
      </c>
      <c r="L184" s="70" t="n">
        <f aca="false">L175+L183</f>
        <v>19575.654268985</v>
      </c>
      <c r="M184" s="70" t="n">
        <f aca="false">M175+M183</f>
        <v>21716.7869555589</v>
      </c>
      <c r="N184" s="70" t="n">
        <f aca="false">N175+N183</f>
        <v>7381.49638357262</v>
      </c>
      <c r="O184" s="70" t="n">
        <f aca="false">O175+O183</f>
        <v>11016.249459607</v>
      </c>
      <c r="P184" s="70" t="n">
        <f aca="false">P175+P183</f>
        <v>12786.1725056861</v>
      </c>
      <c r="Q184" s="70" t="n">
        <f aca="false">Q175+Q183</f>
        <v>30960.9642923074</v>
      </c>
      <c r="R184" s="70" t="n">
        <f aca="false">R175+R183</f>
        <v>32838.0186139185</v>
      </c>
      <c r="S184" s="70" t="n">
        <f aca="false">S175+S183</f>
        <v>34639.9907626651</v>
      </c>
      <c r="T184" s="70" t="n">
        <f aca="false">T175+T183</f>
        <v>36369.8840254618</v>
      </c>
      <c r="U184" s="70" t="n">
        <f aca="false">U175+U183</f>
        <v>38030.5815577466</v>
      </c>
      <c r="V184" s="70" t="n">
        <f aca="false">V175+V183</f>
        <v>39624.8511887401</v>
      </c>
      <c r="W184" s="70" t="n">
        <f aca="false">W175+W183</f>
        <v>41155.3500344938</v>
      </c>
      <c r="X184" s="70" t="n">
        <f aca="false">X175+X183</f>
        <v>42624.6289264174</v>
      </c>
      <c r="Y184" s="70" t="n">
        <f aca="false">Y175+Y183</f>
        <v>44035.136662664</v>
      </c>
      <c r="Z184" s="70" t="n">
        <f aca="false">Z175+Z183</f>
        <v>29509.3804320289</v>
      </c>
      <c r="AA184" s="70" t="n">
        <f aca="false">AA175+AA183</f>
        <v>32279.3298099496</v>
      </c>
      <c r="AB184" s="70" t="n">
        <f aca="false">AB175+AB183</f>
        <v>33364.0629633307</v>
      </c>
      <c r="AC184" s="70" t="n">
        <f aca="false">AC175+AC183</f>
        <v>50431.0642395809</v>
      </c>
      <c r="AD184" s="70" t="n">
        <f aca="false">AD175+AD183</f>
        <v>51706.7736472895</v>
      </c>
      <c r="AE184" s="70" t="n">
        <f aca="false">AE175+AE183</f>
        <v>52931.4546786897</v>
      </c>
      <c r="AF184" s="70" t="n">
        <f aca="false">AF175+AF183</f>
        <v>54107.1484688339</v>
      </c>
      <c r="AG184" s="70" t="n">
        <f aca="false">AG175+AG183</f>
        <v>55235.8145073723</v>
      </c>
      <c r="AH184" s="70" t="n">
        <f aca="false">AH175+AH183</f>
        <v>56319.3339043693</v>
      </c>
      <c r="AI184" s="70" t="n">
        <f aca="false">AI175+AI183</f>
        <v>57359.5125254863</v>
      </c>
      <c r="AJ184" s="70" t="n">
        <f aca="false">AJ175+AJ183</f>
        <v>58358.0840017586</v>
      </c>
      <c r="AK184" s="70" t="n">
        <f aca="false">AK175+AK183</f>
        <v>59316.7126189801</v>
      </c>
      <c r="AL184" s="70" t="n">
        <f aca="false">AL175+AL183</f>
        <v>44621.120366448</v>
      </c>
    </row>
    <row r="186" customFormat="false" ht="15.75" hidden="false" customHeight="true" outlineLevel="0" collapsed="false">
      <c r="A186" s="7" t="s">
        <v>415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79</v>
      </c>
      <c r="C187" s="75" t="n">
        <f aca="false">C184+C202</f>
        <v>-81187.4766347889</v>
      </c>
      <c r="D187" s="75" t="n">
        <f aca="false">D184+D202</f>
        <v>-75641.4017929862</v>
      </c>
      <c r="E187" s="75" t="n">
        <f aca="false">E184+E202</f>
        <v>-60362.3223463849</v>
      </c>
      <c r="F187" s="75" t="n">
        <f aca="false">F184+F202</f>
        <v>-53368.686931674</v>
      </c>
      <c r="G187" s="75" t="n">
        <f aca="false">G184+G202</f>
        <v>-46247.330929307</v>
      </c>
      <c r="H187" s="75" t="n">
        <f aca="false">H184+H202</f>
        <v>-39003.3631627903</v>
      </c>
      <c r="I187" s="75" t="n">
        <f aca="false">I184+I202</f>
        <v>-31641.6881026898</v>
      </c>
      <c r="J187" s="75" t="n">
        <f aca="false">J184+J202</f>
        <v>-24167.0140407489</v>
      </c>
      <c r="K187" s="75" t="n">
        <f aca="false">K184+K202</f>
        <v>-16583.8609370411</v>
      </c>
      <c r="L187" s="75" t="n">
        <f aca="false">L184+L202</f>
        <v>-8896.56795323726</v>
      </c>
      <c r="M187" s="75" t="n">
        <f aca="false">M184+M202</f>
        <v>-6755.43526666334</v>
      </c>
      <c r="N187" s="75" t="n">
        <f aca="false">N184+N202</f>
        <v>-21090.7258386496</v>
      </c>
      <c r="O187" s="75" t="n">
        <f aca="false">O184+O202</f>
        <v>-17733.750540393</v>
      </c>
      <c r="P187" s="75" t="n">
        <f aca="false">P184+P202</f>
        <v>-15963.8274943139</v>
      </c>
      <c r="Q187" s="75" t="n">
        <f aca="false">Q184+Q202</f>
        <v>2210.96429230741</v>
      </c>
      <c r="R187" s="75" t="n">
        <f aca="false">R184+R202</f>
        <v>4088.01861391848</v>
      </c>
      <c r="S187" s="75" t="n">
        <f aca="false">S184+S202</f>
        <v>5889.99076266505</v>
      </c>
      <c r="T187" s="75" t="n">
        <f aca="false">T184+T202</f>
        <v>7619.8840254618</v>
      </c>
      <c r="U187" s="75" t="n">
        <f aca="false">U184+U202</f>
        <v>9280.58155774663</v>
      </c>
      <c r="V187" s="75" t="n">
        <f aca="false">V184+V202</f>
        <v>10874.8511887401</v>
      </c>
      <c r="W187" s="75" t="n">
        <f aca="false">W184+W202</f>
        <v>12405.3500344938</v>
      </c>
      <c r="X187" s="75" t="n">
        <f aca="false">X184+X202</f>
        <v>13874.6289264174</v>
      </c>
      <c r="Y187" s="75" t="n">
        <f aca="false">Y184+Y202</f>
        <v>15285.136662664</v>
      </c>
      <c r="Z187" s="75" t="n">
        <f aca="false">Z184+Z202</f>
        <v>759.380432028891</v>
      </c>
      <c r="AA187" s="75" t="n">
        <f aca="false">AA184+AA202</f>
        <v>3251.55203217178</v>
      </c>
      <c r="AB187" s="75" t="n">
        <f aca="false">AB184+AB202</f>
        <v>4336.28518555293</v>
      </c>
      <c r="AC187" s="75" t="n">
        <f aca="false">AC184+AC202</f>
        <v>21403.2864618032</v>
      </c>
      <c r="AD187" s="75" t="n">
        <f aca="false">AD184+AD202</f>
        <v>22678.9958695117</v>
      </c>
      <c r="AE187" s="75" t="n">
        <f aca="false">AE184+AE202</f>
        <v>23903.6769009119</v>
      </c>
      <c r="AF187" s="75" t="n">
        <f aca="false">AF184+AF202</f>
        <v>25079.3706910562</v>
      </c>
      <c r="AG187" s="75" t="n">
        <f aca="false">AG184+AG202</f>
        <v>26208.0367295946</v>
      </c>
      <c r="AH187" s="75" t="n">
        <f aca="false">AH184+AH202</f>
        <v>27291.5561265915</v>
      </c>
      <c r="AI187" s="75" t="n">
        <f aca="false">AI184+AI202</f>
        <v>28331.7347477085</v>
      </c>
      <c r="AJ187" s="75" t="n">
        <f aca="false">AJ184+AJ202</f>
        <v>29330.3062239809</v>
      </c>
      <c r="AK187" s="75" t="n">
        <f aca="false">AK184+AK202</f>
        <v>30288.9348412023</v>
      </c>
      <c r="AL187" s="75" t="n">
        <f aca="false">AL184+AL202</f>
        <v>15593.3425886702</v>
      </c>
    </row>
    <row r="188" customFormat="false" ht="15" hidden="false" customHeight="false" outlineLevel="0" collapsed="false">
      <c r="A188" s="6" t="s">
        <v>416</v>
      </c>
      <c r="C188" s="69" t="n">
        <f aca="false">-(C207+C208+C210)/2*Inputs!$C$69/12</f>
        <v>-21250</v>
      </c>
      <c r="D188" s="69" t="n">
        <f aca="false">-(D207+D208+D210)/2*Inputs!$C$69/12</f>
        <v>-21161.4583333333</v>
      </c>
      <c r="E188" s="69" t="n">
        <f aca="false">-(E207+E208+E210)/2*Inputs!$C$69/12</f>
        <v>-20984.375</v>
      </c>
      <c r="F188" s="69" t="n">
        <f aca="false">-(F207+F208+F210)/2*Inputs!$C$69/12</f>
        <v>-20807.2916666667</v>
      </c>
      <c r="G188" s="69" t="n">
        <f aca="false">-(G207+G208+G210)/2*Inputs!$C$69/12</f>
        <v>-20630.2083333333</v>
      </c>
      <c r="H188" s="69" t="n">
        <f aca="false">-(H207+H208+H210)/2*Inputs!$C$69/12</f>
        <v>-20453.125</v>
      </c>
      <c r="I188" s="69" t="n">
        <f aca="false">-(I207+I208+I210)/2*Inputs!$C$69/12</f>
        <v>-20276.0416666667</v>
      </c>
      <c r="J188" s="69" t="n">
        <f aca="false">-(J207+J208+J210)/2*Inputs!$C$69/12</f>
        <v>-20098.9583333333</v>
      </c>
      <c r="K188" s="69" t="n">
        <f aca="false">-(K207+K208+K210)/2*Inputs!$C$69/12</f>
        <v>-19921.875</v>
      </c>
      <c r="L188" s="69" t="n">
        <f aca="false">-(L207+L208+L210)/2*Inputs!$C$69/12</f>
        <v>-19744.7916666667</v>
      </c>
      <c r="M188" s="69" t="n">
        <f aca="false">-(M207+M208+M210)/2*Inputs!$C$69/12</f>
        <v>-19567.7083333333</v>
      </c>
      <c r="N188" s="69" t="n">
        <f aca="false">-(N207+N208+N210)/2*Inputs!$C$69/12</f>
        <v>-19390.625</v>
      </c>
      <c r="O188" s="69" t="n">
        <f aca="false">-(O207+O208+O210)/2*Inputs!$C$69/12</f>
        <v>-19213.5416666667</v>
      </c>
      <c r="P188" s="69" t="n">
        <f aca="false">-(P207+P208+P210)/2*Inputs!$C$69/12</f>
        <v>-19036.4583333333</v>
      </c>
      <c r="Q188" s="69" t="n">
        <f aca="false">-(Q207+Q208+Q210)/2*Inputs!$C$69/12</f>
        <v>-18859.375</v>
      </c>
      <c r="R188" s="69" t="n">
        <f aca="false">-(R207+R208+R210)/2*Inputs!$C$69/12</f>
        <v>-18682.2916666667</v>
      </c>
      <c r="S188" s="69" t="n">
        <f aca="false">-(S207+S208+S210)/2*Inputs!$C$69/12</f>
        <v>-18505.2083333333</v>
      </c>
      <c r="T188" s="69" t="n">
        <f aca="false">-(T207+T208+T210)/2*Inputs!$C$69/12</f>
        <v>-18328.125</v>
      </c>
      <c r="U188" s="69" t="n">
        <f aca="false">-(U207+U208+U210)/2*Inputs!$C$69/12</f>
        <v>-18151.0416666667</v>
      </c>
      <c r="V188" s="69" t="n">
        <f aca="false">-(V207+V208+V210)/2*Inputs!$C$69/12</f>
        <v>-17973.9583333333</v>
      </c>
      <c r="W188" s="69" t="n">
        <f aca="false">-(W207+W208+W210)/2*Inputs!$C$69/12</f>
        <v>-17796.875</v>
      </c>
      <c r="X188" s="69" t="n">
        <f aca="false">-(X207+X208+X210)/2*Inputs!$C$69/12</f>
        <v>-17619.7916666667</v>
      </c>
      <c r="Y188" s="69" t="n">
        <f aca="false">-(Y207+Y208+Y210)/2*Inputs!$C$69/12</f>
        <v>-17442.7083333333</v>
      </c>
      <c r="Z188" s="69" t="n">
        <f aca="false">-(Z207+Z208+Z210)/2*Inputs!$C$69/12</f>
        <v>-17265.625</v>
      </c>
      <c r="AA188" s="69" t="n">
        <f aca="false">-(AA207+AA208+AA210)/2*Inputs!$C$69/12</f>
        <v>-17088.5416666667</v>
      </c>
      <c r="AB188" s="69" t="n">
        <f aca="false">-(AB207+AB208+AB210)/2*Inputs!$C$69/12</f>
        <v>-16911.4583333333</v>
      </c>
      <c r="AC188" s="69" t="n">
        <f aca="false">-(AC207+AC208+AC210)/2*Inputs!$C$69/12</f>
        <v>-16734.375</v>
      </c>
      <c r="AD188" s="69" t="n">
        <f aca="false">-(AD207+AD208+AD210)/2*Inputs!$C$69/12</f>
        <v>-16557.2916666667</v>
      </c>
      <c r="AE188" s="69" t="n">
        <f aca="false">-(AE207+AE208+AE210)/2*Inputs!$C$69/12</f>
        <v>-16380.2083333333</v>
      </c>
      <c r="AF188" s="69" t="n">
        <f aca="false">-(AF207+AF208+AF210)/2*Inputs!$C$69/12</f>
        <v>-16203.125</v>
      </c>
      <c r="AG188" s="69" t="n">
        <f aca="false">-(AG207+AG208+AG210)/2*Inputs!$C$69/12</f>
        <v>-16026.0416666667</v>
      </c>
      <c r="AH188" s="69" t="n">
        <f aca="false">-(AH207+AH208+AH210)/2*Inputs!$C$69/12</f>
        <v>-15848.9583333333</v>
      </c>
      <c r="AI188" s="69" t="n">
        <f aca="false">-(AI207+AI208+AI210)/2*Inputs!$C$69/12</f>
        <v>-15671.875</v>
      </c>
      <c r="AJ188" s="69" t="n">
        <f aca="false">-(AJ207+AJ208+AJ210)/2*Inputs!$C$69/12</f>
        <v>-15494.7916666667</v>
      </c>
      <c r="AK188" s="69" t="n">
        <f aca="false">-(AK207+AK208+AK210)/2*Inputs!$C$69/12</f>
        <v>-15317.7083333333</v>
      </c>
      <c r="AL188" s="69" t="n">
        <f aca="false">-(AL207+AL208+AL210)/2*Inputs!$C$69/12</f>
        <v>-15140.625</v>
      </c>
    </row>
    <row r="189" customFormat="false" ht="15" hidden="false" customHeight="false" outlineLevel="0" collapsed="false">
      <c r="A189" s="113" t="s">
        <v>81</v>
      </c>
      <c r="C189" s="70" t="n">
        <f aca="false">C187+C188</f>
        <v>-102437.476634789</v>
      </c>
      <c r="D189" s="70" t="n">
        <f aca="false">D187+D188</f>
        <v>-96802.8601263196</v>
      </c>
      <c r="E189" s="70" t="n">
        <f aca="false">E187+E188</f>
        <v>-81346.6973463849</v>
      </c>
      <c r="F189" s="70" t="n">
        <f aca="false">F187+F188</f>
        <v>-74175.9785983407</v>
      </c>
      <c r="G189" s="70" t="n">
        <f aca="false">G187+G188</f>
        <v>-66877.5392626404</v>
      </c>
      <c r="H189" s="70" t="n">
        <f aca="false">H187+H188</f>
        <v>-59456.4881627903</v>
      </c>
      <c r="I189" s="70" t="n">
        <f aca="false">I187+I188</f>
        <v>-51917.7297693565</v>
      </c>
      <c r="J189" s="70" t="n">
        <f aca="false">J187+J188</f>
        <v>-44265.9723740822</v>
      </c>
      <c r="K189" s="70" t="n">
        <f aca="false">K187+K188</f>
        <v>-36505.7359370411</v>
      </c>
      <c r="L189" s="70" t="n">
        <f aca="false">L187+L188</f>
        <v>-28641.3596199039</v>
      </c>
      <c r="M189" s="70" t="n">
        <f aca="false">M187+M188</f>
        <v>-26323.1435999967</v>
      </c>
      <c r="N189" s="70" t="n">
        <f aca="false">N187+N188</f>
        <v>-40481.3508386496</v>
      </c>
      <c r="O189" s="70" t="n">
        <f aca="false">O187+O188</f>
        <v>-36947.2922070597</v>
      </c>
      <c r="P189" s="70" t="n">
        <f aca="false">P187+P188</f>
        <v>-35000.2858276473</v>
      </c>
      <c r="Q189" s="70" t="n">
        <f aca="false">Q187+Q188</f>
        <v>-16648.4107076926</v>
      </c>
      <c r="R189" s="70" t="n">
        <f aca="false">R187+R188</f>
        <v>-14594.2730527482</v>
      </c>
      <c r="S189" s="70" t="n">
        <f aca="false">S187+S188</f>
        <v>-12615.2175706683</v>
      </c>
      <c r="T189" s="70" t="n">
        <f aca="false">T187+T188</f>
        <v>-10708.2409745382</v>
      </c>
      <c r="U189" s="70" t="n">
        <f aca="false">U187+U188</f>
        <v>-8870.46010892004</v>
      </c>
      <c r="V189" s="70" t="n">
        <f aca="false">V187+V188</f>
        <v>-7099.10714459323</v>
      </c>
      <c r="W189" s="70" t="n">
        <f aca="false">W187+W188</f>
        <v>-5391.52496550617</v>
      </c>
      <c r="X189" s="70" t="n">
        <f aca="false">X187+X188</f>
        <v>-3745.16274024923</v>
      </c>
      <c r="Y189" s="70" t="n">
        <f aca="false">Y187+Y188</f>
        <v>-2157.5716706693</v>
      </c>
      <c r="Z189" s="70" t="n">
        <f aca="false">Z187+Z188</f>
        <v>-16506.2445679711</v>
      </c>
      <c r="AA189" s="70" t="n">
        <f aca="false">AA187+AA188</f>
        <v>-13836.9896344949</v>
      </c>
      <c r="AB189" s="70" t="n">
        <f aca="false">AB187+AB188</f>
        <v>-12575.1731477804</v>
      </c>
      <c r="AC189" s="70" t="n">
        <f aca="false">AC187+AC188</f>
        <v>4668.91146180315</v>
      </c>
      <c r="AD189" s="70" t="n">
        <f aca="false">AD187+AD188</f>
        <v>6121.70420284503</v>
      </c>
      <c r="AE189" s="70" t="n">
        <f aca="false">AE187+AE188</f>
        <v>7523.46856757859</v>
      </c>
      <c r="AF189" s="70" t="n">
        <f aca="false">AF187+AF188</f>
        <v>8876.24569105615</v>
      </c>
      <c r="AG189" s="70" t="n">
        <f aca="false">AG187+AG188</f>
        <v>10181.9950629279</v>
      </c>
      <c r="AH189" s="70" t="n">
        <f aca="false">AH187+AH188</f>
        <v>11442.5977932581</v>
      </c>
      <c r="AI189" s="70" t="n">
        <f aca="false">AI187+AI188</f>
        <v>12659.8597477085</v>
      </c>
      <c r="AJ189" s="70" t="n">
        <f aca="false">AJ187+AJ188</f>
        <v>13835.5145573142</v>
      </c>
      <c r="AK189" s="70" t="n">
        <f aca="false">AK187+AK188</f>
        <v>14971.226507869</v>
      </c>
      <c r="AL189" s="70" t="n">
        <f aca="false">AL187+AL188</f>
        <v>452.717588670192</v>
      </c>
    </row>
    <row r="190" customFormat="false" ht="15" hidden="false" customHeight="false" outlineLevel="0" collapsed="false">
      <c r="A190" s="116" t="s">
        <v>417</v>
      </c>
      <c r="C190" s="69" t="n">
        <f aca="false">C189</f>
        <v>-102437.476634789</v>
      </c>
      <c r="D190" s="69" t="n">
        <f aca="false">C190+D189</f>
        <v>-199240.336761108</v>
      </c>
      <c r="E190" s="69" t="n">
        <f aca="false">D190+E189</f>
        <v>-280587.034107493</v>
      </c>
      <c r="F190" s="69" t="n">
        <f aca="false">E190+F189</f>
        <v>-354763.012705834</v>
      </c>
      <c r="G190" s="69" t="n">
        <f aca="false">F190+G189</f>
        <v>-421640.551968474</v>
      </c>
      <c r="H190" s="69" t="n">
        <f aca="false">G190+H189</f>
        <v>-481097.040131265</v>
      </c>
      <c r="I190" s="69" t="n">
        <f aca="false">H190+I189</f>
        <v>-533014.769900621</v>
      </c>
      <c r="J190" s="69" t="n">
        <f aca="false">I190+J189</f>
        <v>-577280.742274703</v>
      </c>
      <c r="K190" s="69" t="n">
        <f aca="false">J190+K189</f>
        <v>-613786.478211745</v>
      </c>
      <c r="L190" s="69" t="n">
        <f aca="false">K190+L189</f>
        <v>-642427.837831648</v>
      </c>
      <c r="M190" s="69" t="n">
        <f aca="false">L190+M189</f>
        <v>-668750.981431645</v>
      </c>
      <c r="N190" s="69" t="n">
        <f aca="false">M190+N189</f>
        <v>-709232.332270295</v>
      </c>
      <c r="O190" s="69" t="n">
        <f aca="false">N190+O189</f>
        <v>-746179.624477354</v>
      </c>
      <c r="P190" s="69" t="n">
        <f aca="false">O190+P189</f>
        <v>-781179.910305002</v>
      </c>
      <c r="Q190" s="69" t="n">
        <f aca="false">P190+Q189</f>
        <v>-797828.321012694</v>
      </c>
      <c r="R190" s="69" t="n">
        <f aca="false">Q190+R189</f>
        <v>-812422.594065442</v>
      </c>
      <c r="S190" s="69" t="n">
        <f aca="false">R190+S189</f>
        <v>-825037.811636111</v>
      </c>
      <c r="T190" s="69" t="n">
        <f aca="false">S190+T189</f>
        <v>-835746.052610649</v>
      </c>
      <c r="U190" s="69" t="n">
        <f aca="false">T190+U189</f>
        <v>-844616.512719569</v>
      </c>
      <c r="V190" s="69" t="n">
        <f aca="false">U190+V189</f>
        <v>-851715.619864162</v>
      </c>
      <c r="W190" s="69" t="n">
        <f aca="false">V190+W189</f>
        <v>-857107.144829668</v>
      </c>
      <c r="X190" s="69" t="n">
        <f aca="false">W190+X189</f>
        <v>-860852.307569918</v>
      </c>
      <c r="Y190" s="69" t="n">
        <f aca="false">X190+Y189</f>
        <v>-863009.879240587</v>
      </c>
      <c r="Z190" s="69" t="n">
        <f aca="false">Y190+Z189</f>
        <v>-879516.123808558</v>
      </c>
      <c r="AA190" s="69" t="n">
        <f aca="false">Z190+AA189</f>
        <v>-893353.113443053</v>
      </c>
      <c r="AB190" s="69" t="n">
        <f aca="false">AA190+AB189</f>
        <v>-905928.286590833</v>
      </c>
      <c r="AC190" s="69" t="n">
        <f aca="false">AB190+AC189</f>
        <v>-901259.37512903</v>
      </c>
      <c r="AD190" s="69" t="n">
        <f aca="false">AC190+AD189</f>
        <v>-895137.670926185</v>
      </c>
      <c r="AE190" s="69" t="n">
        <f aca="false">AD190+AE189</f>
        <v>-887614.202358606</v>
      </c>
      <c r="AF190" s="69" t="n">
        <f aca="false">AE190+AF189</f>
        <v>-878737.95666755</v>
      </c>
      <c r="AG190" s="69" t="n">
        <f aca="false">AF190+AG189</f>
        <v>-868555.961604622</v>
      </c>
      <c r="AH190" s="69" t="n">
        <f aca="false">AG190+AH189</f>
        <v>-857113.363811364</v>
      </c>
      <c r="AI190" s="69" t="n">
        <f aca="false">AH190+AI189</f>
        <v>-844453.504063656</v>
      </c>
      <c r="AJ190" s="69" t="n">
        <f aca="false">AI190+AJ189</f>
        <v>-830617.989506341</v>
      </c>
      <c r="AK190" s="69" t="n">
        <f aca="false">AJ190+AK189</f>
        <v>-815646.762998472</v>
      </c>
      <c r="AL190" s="69" t="n">
        <f aca="false">AK190+AL189</f>
        <v>-815194.045409802</v>
      </c>
    </row>
    <row r="191" customFormat="false" ht="15" hidden="false" customHeight="false" outlineLevel="0" collapsed="false">
      <c r="A191" s="116" t="s">
        <v>418</v>
      </c>
      <c r="C191" s="69" t="n">
        <f aca="false">MAX(0,C190)</f>
        <v>0</v>
      </c>
      <c r="D191" s="69" t="n">
        <f aca="false">MAX(C191,D190)</f>
        <v>0</v>
      </c>
      <c r="E191" s="69" t="n">
        <f aca="false">MAX(D191,E190)</f>
        <v>0</v>
      </c>
      <c r="F191" s="69" t="n">
        <f aca="false">MAX(E191,F190)</f>
        <v>0</v>
      </c>
      <c r="G191" s="69" t="n">
        <f aca="false">MAX(F191,G190)</f>
        <v>0</v>
      </c>
      <c r="H191" s="69" t="n">
        <f aca="false">MAX(G191,H190)</f>
        <v>0</v>
      </c>
      <c r="I191" s="69" t="n">
        <f aca="false">MAX(H191,I190)</f>
        <v>0</v>
      </c>
      <c r="J191" s="69" t="n">
        <f aca="false">MAX(I191,J190)</f>
        <v>0</v>
      </c>
      <c r="K191" s="69" t="n">
        <f aca="false">MAX(J191,K190)</f>
        <v>0</v>
      </c>
      <c r="L191" s="69" t="n">
        <f aca="false">MAX(K191,L190)</f>
        <v>0</v>
      </c>
      <c r="M191" s="69" t="n">
        <f aca="false">MAX(L191,M190)</f>
        <v>0</v>
      </c>
      <c r="N191" s="69" t="n">
        <f aca="false">MAX(M191,N190)</f>
        <v>0</v>
      </c>
      <c r="O191" s="69" t="n">
        <f aca="false">MAX(N191,O190)</f>
        <v>0</v>
      </c>
      <c r="P191" s="69" t="n">
        <f aca="false">MAX(O191,P190)</f>
        <v>0</v>
      </c>
      <c r="Q191" s="69" t="n">
        <f aca="false">MAX(P191,Q190)</f>
        <v>0</v>
      </c>
      <c r="R191" s="69" t="n">
        <f aca="false">MAX(Q191,R190)</f>
        <v>0</v>
      </c>
      <c r="S191" s="69" t="n">
        <f aca="false">MAX(R191,S190)</f>
        <v>0</v>
      </c>
      <c r="T191" s="69" t="n">
        <f aca="false">MAX(S191,T190)</f>
        <v>0</v>
      </c>
      <c r="U191" s="69" t="n">
        <f aca="false">MAX(T191,U190)</f>
        <v>0</v>
      </c>
      <c r="V191" s="69" t="n">
        <f aca="false">MAX(U191,V190)</f>
        <v>0</v>
      </c>
      <c r="W191" s="69" t="n">
        <f aca="false">MAX(V191,W190)</f>
        <v>0</v>
      </c>
      <c r="X191" s="69" t="n">
        <f aca="false">MAX(W191,X190)</f>
        <v>0</v>
      </c>
      <c r="Y191" s="69" t="n">
        <f aca="false">MAX(X191,Y190)</f>
        <v>0</v>
      </c>
      <c r="Z191" s="69" t="n">
        <f aca="false">MAX(Y191,Z190)</f>
        <v>0</v>
      </c>
      <c r="AA191" s="69" t="n">
        <f aca="false">MAX(Z191,AA190)</f>
        <v>0</v>
      </c>
      <c r="AB191" s="69" t="n">
        <f aca="false">MAX(AA191,AB190)</f>
        <v>0</v>
      </c>
      <c r="AC191" s="69" t="n">
        <f aca="false">MAX(AB191,AC190)</f>
        <v>0</v>
      </c>
      <c r="AD191" s="69" t="n">
        <f aca="false">MAX(AC191,AD190)</f>
        <v>0</v>
      </c>
      <c r="AE191" s="69" t="n">
        <f aca="false">MAX(AD191,AE190)</f>
        <v>0</v>
      </c>
      <c r="AF191" s="69" t="n">
        <f aca="false">MAX(AE191,AF190)</f>
        <v>0</v>
      </c>
      <c r="AG191" s="69" t="n">
        <f aca="false">MAX(AF191,AG190)</f>
        <v>0</v>
      </c>
      <c r="AH191" s="69" t="n">
        <f aca="false">MAX(AG191,AH190)</f>
        <v>0</v>
      </c>
      <c r="AI191" s="69" t="n">
        <f aca="false">MAX(AH191,AI190)</f>
        <v>0</v>
      </c>
      <c r="AJ191" s="69" t="n">
        <f aca="false">MAX(AI191,AJ190)</f>
        <v>0</v>
      </c>
      <c r="AK191" s="69" t="n">
        <f aca="false">MAX(AJ191,AK190)</f>
        <v>0</v>
      </c>
      <c r="AL191" s="69" t="n">
        <f aca="false">MAX(AK191,AL190)</f>
        <v>0</v>
      </c>
    </row>
    <row r="192" customFormat="false" ht="15" hidden="false" customHeight="false" outlineLevel="0" collapsed="false">
      <c r="A192" s="6" t="s">
        <v>82</v>
      </c>
      <c r="C192" s="69" t="n">
        <f aca="false">-C191*Inputs!$C$79</f>
        <v>-0</v>
      </c>
      <c r="D192" s="69" t="n">
        <f aca="false">-(D191-C191)*Inputs!$C$79</f>
        <v>-0</v>
      </c>
      <c r="E192" s="69" t="n">
        <f aca="false">-(E191-D191)*Inputs!$C$79</f>
        <v>-0</v>
      </c>
      <c r="F192" s="69" t="n">
        <f aca="false">-(F191-E191)*Inputs!$C$79</f>
        <v>-0</v>
      </c>
      <c r="G192" s="69" t="n">
        <f aca="false">-(G191-F191)*Inputs!$C$79</f>
        <v>-0</v>
      </c>
      <c r="H192" s="69" t="n">
        <f aca="false">-(H191-G191)*Inputs!$C$79</f>
        <v>-0</v>
      </c>
      <c r="I192" s="69" t="n">
        <f aca="false">-(I191-H191)*Inputs!$C$79</f>
        <v>-0</v>
      </c>
      <c r="J192" s="69" t="n">
        <f aca="false">-(J191-I191)*Inputs!$C$79</f>
        <v>-0</v>
      </c>
      <c r="K192" s="69" t="n">
        <f aca="false">-(K191-J191)*Inputs!$C$79</f>
        <v>-0</v>
      </c>
      <c r="L192" s="69" t="n">
        <f aca="false">-(L191-K191)*Inputs!$C$79</f>
        <v>-0</v>
      </c>
      <c r="M192" s="69" t="n">
        <f aca="false">-(M191-L191)*Inputs!$C$79</f>
        <v>-0</v>
      </c>
      <c r="N192" s="69" t="n">
        <f aca="false">-(N191-M191)*Inputs!$C$79</f>
        <v>-0</v>
      </c>
      <c r="O192" s="69" t="n">
        <f aca="false">-(O191-N191)*Inputs!$C$79</f>
        <v>-0</v>
      </c>
      <c r="P192" s="69" t="n">
        <f aca="false">-(P191-O191)*Inputs!$C$79</f>
        <v>-0</v>
      </c>
      <c r="Q192" s="69" t="n">
        <f aca="false">-(Q191-P191)*Inputs!$C$79</f>
        <v>-0</v>
      </c>
      <c r="R192" s="69" t="n">
        <f aca="false">-(R191-Q191)*Inputs!$C$79</f>
        <v>-0</v>
      </c>
      <c r="S192" s="69" t="n">
        <f aca="false">-(S191-R191)*Inputs!$C$79</f>
        <v>-0</v>
      </c>
      <c r="T192" s="69" t="n">
        <f aca="false">-(T191-S191)*Inputs!$C$79</f>
        <v>-0</v>
      </c>
      <c r="U192" s="69" t="n">
        <f aca="false">-(U191-T191)*Inputs!$C$79</f>
        <v>-0</v>
      </c>
      <c r="V192" s="69" t="n">
        <f aca="false">-(V191-U191)*Inputs!$C$79</f>
        <v>-0</v>
      </c>
      <c r="W192" s="69" t="n">
        <f aca="false">-(W191-V191)*Inputs!$C$79</f>
        <v>-0</v>
      </c>
      <c r="X192" s="69" t="n">
        <f aca="false">-(X191-W191)*Inputs!$C$79</f>
        <v>-0</v>
      </c>
      <c r="Y192" s="69" t="n">
        <f aca="false">-(Y191-X191)*Inputs!$C$79</f>
        <v>-0</v>
      </c>
      <c r="Z192" s="69" t="n">
        <f aca="false">-(Z191-Y191)*Inputs!$C$79</f>
        <v>-0</v>
      </c>
      <c r="AA192" s="69" t="n">
        <f aca="false">-(AA191-Z191)*Inputs!$C$79</f>
        <v>-0</v>
      </c>
      <c r="AB192" s="69" t="n">
        <f aca="false">-(AB191-AA191)*Inputs!$C$79</f>
        <v>-0</v>
      </c>
      <c r="AC192" s="69" t="n">
        <f aca="false">-(AC191-AB191)*Inputs!$C$79</f>
        <v>-0</v>
      </c>
      <c r="AD192" s="69" t="n">
        <f aca="false">-(AD191-AC191)*Inputs!$C$79</f>
        <v>-0</v>
      </c>
      <c r="AE192" s="69" t="n">
        <f aca="false">-(AE191-AD191)*Inputs!$C$79</f>
        <v>-0</v>
      </c>
      <c r="AF192" s="69" t="n">
        <f aca="false">-(AF191-AE191)*Inputs!$C$79</f>
        <v>-0</v>
      </c>
      <c r="AG192" s="69" t="n">
        <f aca="false">-(AG191-AF191)*Inputs!$C$79</f>
        <v>-0</v>
      </c>
      <c r="AH192" s="69" t="n">
        <f aca="false">-(AH191-AG191)*Inputs!$C$79</f>
        <v>-0</v>
      </c>
      <c r="AI192" s="69" t="n">
        <f aca="false">-(AI191-AH191)*Inputs!$C$79</f>
        <v>-0</v>
      </c>
      <c r="AJ192" s="69" t="n">
        <f aca="false">-(AJ191-AI191)*Inputs!$C$79</f>
        <v>-0</v>
      </c>
      <c r="AK192" s="69" t="n">
        <f aca="false">-(AK191-AJ191)*Inputs!$C$79</f>
        <v>-0</v>
      </c>
      <c r="AL192" s="69" t="n">
        <f aca="false">-(AL191-AK191)*Inputs!$C$79</f>
        <v>-0</v>
      </c>
    </row>
    <row r="193" customFormat="false" ht="15" hidden="false" customHeight="false" outlineLevel="0" collapsed="false">
      <c r="A193" s="113" t="s">
        <v>50</v>
      </c>
      <c r="C193" s="70" t="n">
        <f aca="false">C189+C192</f>
        <v>-102437.476634789</v>
      </c>
      <c r="D193" s="70" t="n">
        <f aca="false">D189+D192</f>
        <v>-96802.8601263196</v>
      </c>
      <c r="E193" s="70" t="n">
        <f aca="false">E189+E192</f>
        <v>-81346.6973463849</v>
      </c>
      <c r="F193" s="70" t="n">
        <f aca="false">F189+F192</f>
        <v>-74175.9785983407</v>
      </c>
      <c r="G193" s="70" t="n">
        <f aca="false">G189+G192</f>
        <v>-66877.5392626404</v>
      </c>
      <c r="H193" s="70" t="n">
        <f aca="false">H189+H192</f>
        <v>-59456.4881627903</v>
      </c>
      <c r="I193" s="70" t="n">
        <f aca="false">I189+I192</f>
        <v>-51917.7297693565</v>
      </c>
      <c r="J193" s="70" t="n">
        <f aca="false">J189+J192</f>
        <v>-44265.9723740822</v>
      </c>
      <c r="K193" s="70" t="n">
        <f aca="false">K189+K192</f>
        <v>-36505.7359370411</v>
      </c>
      <c r="L193" s="70" t="n">
        <f aca="false">L189+L192</f>
        <v>-28641.3596199039</v>
      </c>
      <c r="M193" s="70" t="n">
        <f aca="false">M189+M192</f>
        <v>-26323.1435999967</v>
      </c>
      <c r="N193" s="70" t="n">
        <f aca="false">N189+N192</f>
        <v>-40481.3508386496</v>
      </c>
      <c r="O193" s="70" t="n">
        <f aca="false">O189+O192</f>
        <v>-36947.2922070597</v>
      </c>
      <c r="P193" s="70" t="n">
        <f aca="false">P189+P192</f>
        <v>-35000.2858276473</v>
      </c>
      <c r="Q193" s="70" t="n">
        <f aca="false">Q189+Q192</f>
        <v>-16648.4107076926</v>
      </c>
      <c r="R193" s="70" t="n">
        <f aca="false">R189+R192</f>
        <v>-14594.2730527482</v>
      </c>
      <c r="S193" s="70" t="n">
        <f aca="false">S189+S192</f>
        <v>-12615.2175706683</v>
      </c>
      <c r="T193" s="70" t="n">
        <f aca="false">T189+T192</f>
        <v>-10708.2409745382</v>
      </c>
      <c r="U193" s="70" t="n">
        <f aca="false">U189+U192</f>
        <v>-8870.46010892004</v>
      </c>
      <c r="V193" s="70" t="n">
        <f aca="false">V189+V192</f>
        <v>-7099.10714459323</v>
      </c>
      <c r="W193" s="70" t="n">
        <f aca="false">W189+W192</f>
        <v>-5391.52496550617</v>
      </c>
      <c r="X193" s="70" t="n">
        <f aca="false">X189+X192</f>
        <v>-3745.16274024923</v>
      </c>
      <c r="Y193" s="70" t="n">
        <f aca="false">Y189+Y192</f>
        <v>-2157.5716706693</v>
      </c>
      <c r="Z193" s="70" t="n">
        <f aca="false">Z189+Z192</f>
        <v>-16506.2445679711</v>
      </c>
      <c r="AA193" s="70" t="n">
        <f aca="false">AA189+AA192</f>
        <v>-13836.9896344949</v>
      </c>
      <c r="AB193" s="70" t="n">
        <f aca="false">AB189+AB192</f>
        <v>-12575.1731477804</v>
      </c>
      <c r="AC193" s="70" t="n">
        <f aca="false">AC189+AC192</f>
        <v>4668.91146180315</v>
      </c>
      <c r="AD193" s="70" t="n">
        <f aca="false">AD189+AD192</f>
        <v>6121.70420284503</v>
      </c>
      <c r="AE193" s="70" t="n">
        <f aca="false">AE189+AE192</f>
        <v>7523.46856757859</v>
      </c>
      <c r="AF193" s="70" t="n">
        <f aca="false">AF189+AF192</f>
        <v>8876.24569105615</v>
      </c>
      <c r="AG193" s="70" t="n">
        <f aca="false">AG189+AG192</f>
        <v>10181.9950629279</v>
      </c>
      <c r="AH193" s="70" t="n">
        <f aca="false">AH189+AH192</f>
        <v>11442.5977932581</v>
      </c>
      <c r="AI193" s="70" t="n">
        <f aca="false">AI189+AI192</f>
        <v>12659.8597477085</v>
      </c>
      <c r="AJ193" s="70" t="n">
        <f aca="false">AJ189+AJ192</f>
        <v>13835.5145573142</v>
      </c>
      <c r="AK193" s="70" t="n">
        <f aca="false">AK189+AK192</f>
        <v>14971.226507869</v>
      </c>
      <c r="AL193" s="70" t="n">
        <f aca="false">AL189+AL192</f>
        <v>452.717588670192</v>
      </c>
    </row>
    <row r="195" customFormat="false" ht="15.75" hidden="false" customHeight="true" outlineLevel="0" collapsed="false">
      <c r="A195" s="7" t="s">
        <v>419</v>
      </c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</row>
    <row r="196" customFormat="false" ht="15" hidden="false" customHeight="false" outlineLevel="0" collapsed="false">
      <c r="A196" s="6" t="s">
        <v>420</v>
      </c>
      <c r="C196" s="69" t="n">
        <f aca="false">IF(C$133=1,Inputs!$C$49,0)</f>
        <v>1650000</v>
      </c>
      <c r="D196" s="69" t="n">
        <f aca="false">IF(D$133=1,Inputs!$C$49,0)</f>
        <v>0</v>
      </c>
      <c r="E196" s="69" t="n">
        <f aca="false">IF(E$133=1,Inputs!$C$49,0)</f>
        <v>0</v>
      </c>
      <c r="F196" s="69" t="n">
        <f aca="false">IF(F$133=1,Inputs!$C$49,0)</f>
        <v>0</v>
      </c>
      <c r="G196" s="69" t="n">
        <f aca="false">IF(G$133=1,Inputs!$C$49,0)</f>
        <v>0</v>
      </c>
      <c r="H196" s="69" t="n">
        <f aca="false">IF(H$133=1,Inputs!$C$49,0)</f>
        <v>0</v>
      </c>
      <c r="I196" s="69" t="n">
        <f aca="false">IF(I$133=1,Inputs!$C$49,0)</f>
        <v>0</v>
      </c>
      <c r="J196" s="69" t="n">
        <f aca="false">IF(J$133=1,Inputs!$C$49,0)</f>
        <v>0</v>
      </c>
      <c r="K196" s="69" t="n">
        <f aca="false">IF(K$133=1,Inputs!$C$49,0)</f>
        <v>0</v>
      </c>
      <c r="L196" s="69" t="n">
        <f aca="false">IF(L$133=1,Inputs!$C$49,0)</f>
        <v>0</v>
      </c>
      <c r="M196" s="69" t="n">
        <f aca="false">IF(M$133=1,Inputs!$C$49,0)</f>
        <v>0</v>
      </c>
      <c r="N196" s="69" t="n">
        <f aca="false">IF(N$133=1,Inputs!$C$49,0)</f>
        <v>0</v>
      </c>
      <c r="O196" s="69" t="n">
        <f aca="false">IF(O$133=1,Inputs!$C$49,0)</f>
        <v>0</v>
      </c>
      <c r="P196" s="69" t="n">
        <f aca="false">IF(P$133=1,Inputs!$C$49,0)</f>
        <v>0</v>
      </c>
      <c r="Q196" s="69" t="n">
        <f aca="false">IF(Q$133=1,Inputs!$C$49,0)</f>
        <v>0</v>
      </c>
      <c r="R196" s="69" t="n">
        <f aca="false">IF(R$133=1,Inputs!$C$49,0)</f>
        <v>0</v>
      </c>
      <c r="S196" s="69" t="n">
        <f aca="false">IF(S$133=1,Inputs!$C$49,0)</f>
        <v>0</v>
      </c>
      <c r="T196" s="69" t="n">
        <f aca="false">IF(T$133=1,Inputs!$C$49,0)</f>
        <v>0</v>
      </c>
      <c r="U196" s="69" t="n">
        <f aca="false">IF(U$133=1,Inputs!$C$49,0)</f>
        <v>0</v>
      </c>
      <c r="V196" s="69" t="n">
        <f aca="false">IF(V$133=1,Inputs!$C$49,0)</f>
        <v>0</v>
      </c>
      <c r="W196" s="69" t="n">
        <f aca="false">IF(W$133=1,Inputs!$C$49,0)</f>
        <v>0</v>
      </c>
      <c r="X196" s="69" t="n">
        <f aca="false">IF(X$133=1,Inputs!$C$49,0)</f>
        <v>0</v>
      </c>
      <c r="Y196" s="69" t="n">
        <f aca="false">IF(Y$133=1,Inputs!$C$49,0)</f>
        <v>0</v>
      </c>
      <c r="Z196" s="69" t="n">
        <f aca="false">IF(Z$133=1,Inputs!$C$49,0)</f>
        <v>0</v>
      </c>
      <c r="AA196" s="69" t="n">
        <f aca="false">IF(AA$133=1,Inputs!$C$49,0)</f>
        <v>0</v>
      </c>
      <c r="AB196" s="69" t="n">
        <f aca="false">IF(AB$133=1,Inputs!$C$49,0)</f>
        <v>0</v>
      </c>
      <c r="AC196" s="69" t="n">
        <f aca="false">IF(AC$133=1,Inputs!$C$49,0)</f>
        <v>0</v>
      </c>
      <c r="AD196" s="69" t="n">
        <f aca="false">IF(AD$133=1,Inputs!$C$49,0)</f>
        <v>0</v>
      </c>
      <c r="AE196" s="69" t="n">
        <f aca="false">IF(AE$133=1,Inputs!$C$49,0)</f>
        <v>0</v>
      </c>
      <c r="AF196" s="69" t="n">
        <f aca="false">IF(AF$133=1,Inputs!$C$49,0)</f>
        <v>0</v>
      </c>
      <c r="AG196" s="69" t="n">
        <f aca="false">IF(AG$133=1,Inputs!$C$49,0)</f>
        <v>0</v>
      </c>
      <c r="AH196" s="69" t="n">
        <f aca="false">IF(AH$133=1,Inputs!$C$49,0)</f>
        <v>0</v>
      </c>
      <c r="AI196" s="69" t="n">
        <f aca="false">IF(AI$133=1,Inputs!$C$49,0)</f>
        <v>0</v>
      </c>
      <c r="AJ196" s="69" t="n">
        <f aca="false">IF(AJ$133=1,Inputs!$C$49,0)</f>
        <v>0</v>
      </c>
      <c r="AK196" s="69" t="n">
        <f aca="false">IF(AK$133=1,Inputs!$C$49,0)</f>
        <v>0</v>
      </c>
      <c r="AL196" s="69" t="n">
        <f aca="false">IF(AL$133=1,Inputs!$C$49,0)</f>
        <v>0</v>
      </c>
    </row>
    <row r="197" customFormat="false" ht="15" hidden="false" customHeight="false" outlineLevel="0" collapsed="false">
      <c r="A197" s="6" t="s">
        <v>421</v>
      </c>
      <c r="C197" s="69" t="n">
        <f aca="false">IF(C$133=1,Inputs!$C$50,0)</f>
        <v>2300000</v>
      </c>
      <c r="D197" s="69" t="n">
        <f aca="false">IF(D$133=1,Inputs!$C$50,0)</f>
        <v>0</v>
      </c>
      <c r="E197" s="69" t="n">
        <f aca="false">IF(E$133=1,Inputs!$C$50,0)</f>
        <v>0</v>
      </c>
      <c r="F197" s="69" t="n">
        <f aca="false">IF(F$133=1,Inputs!$C$50,0)</f>
        <v>0</v>
      </c>
      <c r="G197" s="69" t="n">
        <f aca="false">IF(G$133=1,Inputs!$C$50,0)</f>
        <v>0</v>
      </c>
      <c r="H197" s="69" t="n">
        <f aca="false">IF(H$133=1,Inputs!$C$50,0)</f>
        <v>0</v>
      </c>
      <c r="I197" s="69" t="n">
        <f aca="false">IF(I$133=1,Inputs!$C$50,0)</f>
        <v>0</v>
      </c>
      <c r="J197" s="69" t="n">
        <f aca="false">IF(J$133=1,Inputs!$C$50,0)</f>
        <v>0</v>
      </c>
      <c r="K197" s="69" t="n">
        <f aca="false">IF(K$133=1,Inputs!$C$50,0)</f>
        <v>0</v>
      </c>
      <c r="L197" s="69" t="n">
        <f aca="false">IF(L$133=1,Inputs!$C$50,0)</f>
        <v>0</v>
      </c>
      <c r="M197" s="69" t="n">
        <f aca="false">IF(M$133=1,Inputs!$C$50,0)</f>
        <v>0</v>
      </c>
      <c r="N197" s="69" t="n">
        <f aca="false">IF(N$133=1,Inputs!$C$50,0)</f>
        <v>0</v>
      </c>
      <c r="O197" s="69" t="n">
        <f aca="false">IF(O$133=1,Inputs!$C$50,0)</f>
        <v>0</v>
      </c>
      <c r="P197" s="69" t="n">
        <f aca="false">IF(P$133=1,Inputs!$C$50,0)</f>
        <v>0</v>
      </c>
      <c r="Q197" s="69" t="n">
        <f aca="false">IF(Q$133=1,Inputs!$C$50,0)</f>
        <v>0</v>
      </c>
      <c r="R197" s="69" t="n">
        <f aca="false">IF(R$133=1,Inputs!$C$50,0)</f>
        <v>0</v>
      </c>
      <c r="S197" s="69" t="n">
        <f aca="false">IF(S$133=1,Inputs!$C$50,0)</f>
        <v>0</v>
      </c>
      <c r="T197" s="69" t="n">
        <f aca="false">IF(T$133=1,Inputs!$C$50,0)</f>
        <v>0</v>
      </c>
      <c r="U197" s="69" t="n">
        <f aca="false">IF(U$133=1,Inputs!$C$50,0)</f>
        <v>0</v>
      </c>
      <c r="V197" s="69" t="n">
        <f aca="false">IF(V$133=1,Inputs!$C$50,0)</f>
        <v>0</v>
      </c>
      <c r="W197" s="69" t="n">
        <f aca="false">IF(W$133=1,Inputs!$C$50,0)</f>
        <v>0</v>
      </c>
      <c r="X197" s="69" t="n">
        <f aca="false">IF(X$133=1,Inputs!$C$50,0)</f>
        <v>0</v>
      </c>
      <c r="Y197" s="69" t="n">
        <f aca="false">IF(Y$133=1,Inputs!$C$50,0)</f>
        <v>0</v>
      </c>
      <c r="Z197" s="69" t="n">
        <f aca="false">IF(Z$133=1,Inputs!$C$50,0)</f>
        <v>0</v>
      </c>
      <c r="AA197" s="69" t="n">
        <f aca="false">IF(AA$133=1,Inputs!$C$50,0)</f>
        <v>0</v>
      </c>
      <c r="AB197" s="69" t="n">
        <f aca="false">IF(AB$133=1,Inputs!$C$50,0)</f>
        <v>0</v>
      </c>
      <c r="AC197" s="69" t="n">
        <f aca="false">IF(AC$133=1,Inputs!$C$50,0)</f>
        <v>0</v>
      </c>
      <c r="AD197" s="69" t="n">
        <f aca="false">IF(AD$133=1,Inputs!$C$50,0)</f>
        <v>0</v>
      </c>
      <c r="AE197" s="69" t="n">
        <f aca="false">IF(AE$133=1,Inputs!$C$50,0)</f>
        <v>0</v>
      </c>
      <c r="AF197" s="69" t="n">
        <f aca="false">IF(AF$133=1,Inputs!$C$50,0)</f>
        <v>0</v>
      </c>
      <c r="AG197" s="69" t="n">
        <f aca="false">IF(AG$133=1,Inputs!$C$50,0)</f>
        <v>0</v>
      </c>
      <c r="AH197" s="69" t="n">
        <f aca="false">IF(AH$133=1,Inputs!$C$50,0)</f>
        <v>0</v>
      </c>
      <c r="AI197" s="69" t="n">
        <f aca="false">IF(AI$133=1,Inputs!$C$50,0)</f>
        <v>0</v>
      </c>
      <c r="AJ197" s="69" t="n">
        <f aca="false">IF(AJ$133=1,Inputs!$C$50,0)</f>
        <v>0</v>
      </c>
      <c r="AK197" s="69" t="n">
        <f aca="false">IF(AK$133=1,Inputs!$C$50,0)</f>
        <v>0</v>
      </c>
      <c r="AL197" s="69" t="n">
        <f aca="false">IF(AL$133=1,Inputs!$C$50,0)</f>
        <v>0</v>
      </c>
    </row>
    <row r="198" customFormat="false" ht="15" hidden="false" customHeight="false" outlineLevel="0" collapsed="false">
      <c r="A198" s="6" t="s">
        <v>422</v>
      </c>
      <c r="C198" s="69" t="n">
        <f aca="false">IF(C$133=1,Inputs!$C$51,0)</f>
        <v>150000</v>
      </c>
      <c r="D198" s="69" t="n">
        <f aca="false">IF(D$133=1,Inputs!$C$51,0)</f>
        <v>0</v>
      </c>
      <c r="E198" s="69" t="n">
        <f aca="false">IF(E$133=1,Inputs!$C$51,0)</f>
        <v>0</v>
      </c>
      <c r="F198" s="69" t="n">
        <f aca="false">IF(F$133=1,Inputs!$C$51,0)</f>
        <v>0</v>
      </c>
      <c r="G198" s="69" t="n">
        <f aca="false">IF(G$133=1,Inputs!$C$51,0)</f>
        <v>0</v>
      </c>
      <c r="H198" s="69" t="n">
        <f aca="false">IF(H$133=1,Inputs!$C$51,0)</f>
        <v>0</v>
      </c>
      <c r="I198" s="69" t="n">
        <f aca="false">IF(I$133=1,Inputs!$C$51,0)</f>
        <v>0</v>
      </c>
      <c r="J198" s="69" t="n">
        <f aca="false">IF(J$133=1,Inputs!$C$51,0)</f>
        <v>0</v>
      </c>
      <c r="K198" s="69" t="n">
        <f aca="false">IF(K$133=1,Inputs!$C$51,0)</f>
        <v>0</v>
      </c>
      <c r="L198" s="69" t="n">
        <f aca="false">IF(L$133=1,Inputs!$C$51,0)</f>
        <v>0</v>
      </c>
      <c r="M198" s="69" t="n">
        <f aca="false">IF(M$133=1,Inputs!$C$51,0)</f>
        <v>0</v>
      </c>
      <c r="N198" s="69" t="n">
        <f aca="false">IF(N$133=1,Inputs!$C$51,0)</f>
        <v>0</v>
      </c>
      <c r="O198" s="69" t="n">
        <f aca="false">IF(O$133=1,Inputs!$C$51,0)</f>
        <v>0</v>
      </c>
      <c r="P198" s="69" t="n">
        <f aca="false">IF(P$133=1,Inputs!$C$51,0)</f>
        <v>0</v>
      </c>
      <c r="Q198" s="69" t="n">
        <f aca="false">IF(Q$133=1,Inputs!$C$51,0)</f>
        <v>0</v>
      </c>
      <c r="R198" s="69" t="n">
        <f aca="false">IF(R$133=1,Inputs!$C$51,0)</f>
        <v>0</v>
      </c>
      <c r="S198" s="69" t="n">
        <f aca="false">IF(S$133=1,Inputs!$C$51,0)</f>
        <v>0</v>
      </c>
      <c r="T198" s="69" t="n">
        <f aca="false">IF(T$133=1,Inputs!$C$51,0)</f>
        <v>0</v>
      </c>
      <c r="U198" s="69" t="n">
        <f aca="false">IF(U$133=1,Inputs!$C$51,0)</f>
        <v>0</v>
      </c>
      <c r="V198" s="69" t="n">
        <f aca="false">IF(V$133=1,Inputs!$C$51,0)</f>
        <v>0</v>
      </c>
      <c r="W198" s="69" t="n">
        <f aca="false">IF(W$133=1,Inputs!$C$51,0)</f>
        <v>0</v>
      </c>
      <c r="X198" s="69" t="n">
        <f aca="false">IF(X$133=1,Inputs!$C$51,0)</f>
        <v>0</v>
      </c>
      <c r="Y198" s="69" t="n">
        <f aca="false">IF(Y$133=1,Inputs!$C$51,0)</f>
        <v>0</v>
      </c>
      <c r="Z198" s="69" t="n">
        <f aca="false">IF(Z$133=1,Inputs!$C$51,0)</f>
        <v>0</v>
      </c>
      <c r="AA198" s="69" t="n">
        <f aca="false">IF(AA$133=1,Inputs!$C$51,0)</f>
        <v>0</v>
      </c>
      <c r="AB198" s="69" t="n">
        <f aca="false">IF(AB$133=1,Inputs!$C$51,0)</f>
        <v>0</v>
      </c>
      <c r="AC198" s="69" t="n">
        <f aca="false">IF(AC$133=1,Inputs!$C$51,0)</f>
        <v>0</v>
      </c>
      <c r="AD198" s="69" t="n">
        <f aca="false">IF(AD$133=1,Inputs!$C$51,0)</f>
        <v>0</v>
      </c>
      <c r="AE198" s="69" t="n">
        <f aca="false">IF(AE$133=1,Inputs!$C$51,0)</f>
        <v>0</v>
      </c>
      <c r="AF198" s="69" t="n">
        <f aca="false">IF(AF$133=1,Inputs!$C$51,0)</f>
        <v>0</v>
      </c>
      <c r="AG198" s="69" t="n">
        <f aca="false">IF(AG$133=1,Inputs!$C$51,0)</f>
        <v>0</v>
      </c>
      <c r="AH198" s="69" t="n">
        <f aca="false">IF(AH$133=1,Inputs!$C$51,0)</f>
        <v>0</v>
      </c>
      <c r="AI198" s="69" t="n">
        <f aca="false">IF(AI$133=1,Inputs!$C$51,0)</f>
        <v>0</v>
      </c>
      <c r="AJ198" s="69" t="n">
        <f aca="false">IF(AJ$133=1,Inputs!$C$51,0)</f>
        <v>0</v>
      </c>
      <c r="AK198" s="69" t="n">
        <f aca="false">IF(AK$133=1,Inputs!$C$51,0)</f>
        <v>0</v>
      </c>
      <c r="AL198" s="69" t="n">
        <f aca="false">IF(AL$133=1,Inputs!$C$51,0)</f>
        <v>0</v>
      </c>
    </row>
    <row r="199" customFormat="false" ht="15" hidden="false" customHeight="false" outlineLevel="0" collapsed="false">
      <c r="A199" s="6" t="s">
        <v>423</v>
      </c>
      <c r="C199" s="69" t="n">
        <f aca="false">IF(AND(C$134&gt;1,MOD(C$133-1,12)=0),Inputs!$C$52,0)</f>
        <v>0</v>
      </c>
      <c r="D199" s="69" t="n">
        <f aca="false">IF(AND(D$134&gt;1,MOD(D$133-1,12)=0),Inputs!$C$52,0)</f>
        <v>0</v>
      </c>
      <c r="E199" s="69" t="n">
        <f aca="false">IF(AND(E$134&gt;1,MOD(E$133-1,12)=0),Inputs!$C$52,0)</f>
        <v>0</v>
      </c>
      <c r="F199" s="69" t="n">
        <f aca="false">IF(AND(F$134&gt;1,MOD(F$133-1,12)=0),Inputs!$C$52,0)</f>
        <v>0</v>
      </c>
      <c r="G199" s="69" t="n">
        <f aca="false">IF(AND(G$134&gt;1,MOD(G$133-1,12)=0),Inputs!$C$52,0)</f>
        <v>0</v>
      </c>
      <c r="H199" s="69" t="n">
        <f aca="false">IF(AND(H$134&gt;1,MOD(H$133-1,12)=0),Inputs!$C$52,0)</f>
        <v>0</v>
      </c>
      <c r="I199" s="69" t="n">
        <f aca="false">IF(AND(I$134&gt;1,MOD(I$133-1,12)=0),Inputs!$C$52,0)</f>
        <v>0</v>
      </c>
      <c r="J199" s="69" t="n">
        <f aca="false">IF(AND(J$134&gt;1,MOD(J$133-1,12)=0),Inputs!$C$52,0)</f>
        <v>0</v>
      </c>
      <c r="K199" s="69" t="n">
        <f aca="false">IF(AND(K$134&gt;1,MOD(K$133-1,12)=0),Inputs!$C$52,0)</f>
        <v>0</v>
      </c>
      <c r="L199" s="69" t="n">
        <f aca="false">IF(AND(L$134&gt;1,MOD(L$133-1,12)=0),Inputs!$C$52,0)</f>
        <v>0</v>
      </c>
      <c r="M199" s="69" t="n">
        <f aca="false">IF(AND(M$134&gt;1,MOD(M$133-1,12)=0),Inputs!$C$52,0)</f>
        <v>0</v>
      </c>
      <c r="N199" s="69" t="n">
        <f aca="false">IF(AND(N$134&gt;1,MOD(N$133-1,12)=0),Inputs!$C$52,0)</f>
        <v>0</v>
      </c>
      <c r="O199" s="69" t="n">
        <f aca="false">IF(AND(O$134&gt;1,MOD(O$133-1,12)=0),Inputs!$C$52,0)</f>
        <v>40000</v>
      </c>
      <c r="P199" s="69" t="n">
        <f aca="false">IF(AND(P$134&gt;1,MOD(P$133-1,12)=0),Inputs!$C$52,0)</f>
        <v>0</v>
      </c>
      <c r="Q199" s="69" t="n">
        <f aca="false">IF(AND(Q$134&gt;1,MOD(Q$133-1,12)=0),Inputs!$C$52,0)</f>
        <v>0</v>
      </c>
      <c r="R199" s="69" t="n">
        <f aca="false">IF(AND(R$134&gt;1,MOD(R$133-1,12)=0),Inputs!$C$52,0)</f>
        <v>0</v>
      </c>
      <c r="S199" s="69" t="n">
        <f aca="false">IF(AND(S$134&gt;1,MOD(S$133-1,12)=0),Inputs!$C$52,0)</f>
        <v>0</v>
      </c>
      <c r="T199" s="69" t="n">
        <f aca="false">IF(AND(T$134&gt;1,MOD(T$133-1,12)=0),Inputs!$C$52,0)</f>
        <v>0</v>
      </c>
      <c r="U199" s="69" t="n">
        <f aca="false">IF(AND(U$134&gt;1,MOD(U$133-1,12)=0),Inputs!$C$52,0)</f>
        <v>0</v>
      </c>
      <c r="V199" s="69" t="n">
        <f aca="false">IF(AND(V$134&gt;1,MOD(V$133-1,12)=0),Inputs!$C$52,0)</f>
        <v>0</v>
      </c>
      <c r="W199" s="69" t="n">
        <f aca="false">IF(AND(W$134&gt;1,MOD(W$133-1,12)=0),Inputs!$C$52,0)</f>
        <v>0</v>
      </c>
      <c r="X199" s="69" t="n">
        <f aca="false">IF(AND(X$134&gt;1,MOD(X$133-1,12)=0),Inputs!$C$52,0)</f>
        <v>0</v>
      </c>
      <c r="Y199" s="69" t="n">
        <f aca="false">IF(AND(Y$134&gt;1,MOD(Y$133-1,12)=0),Inputs!$C$52,0)</f>
        <v>0</v>
      </c>
      <c r="Z199" s="69" t="n">
        <f aca="false">IF(AND(Z$134&gt;1,MOD(Z$133-1,12)=0),Inputs!$C$52,0)</f>
        <v>0</v>
      </c>
      <c r="AA199" s="69" t="n">
        <f aca="false">IF(AND(AA$134&gt;1,MOD(AA$133-1,12)=0),Inputs!$C$52,0)</f>
        <v>40000</v>
      </c>
      <c r="AB199" s="69" t="n">
        <f aca="false">IF(AND(AB$134&gt;1,MOD(AB$133-1,12)=0),Inputs!$C$52,0)</f>
        <v>0</v>
      </c>
      <c r="AC199" s="69" t="n">
        <f aca="false">IF(AND(AC$134&gt;1,MOD(AC$133-1,12)=0),Inputs!$C$52,0)</f>
        <v>0</v>
      </c>
      <c r="AD199" s="69" t="n">
        <f aca="false">IF(AND(AD$134&gt;1,MOD(AD$133-1,12)=0),Inputs!$C$52,0)</f>
        <v>0</v>
      </c>
      <c r="AE199" s="69" t="n">
        <f aca="false">IF(AND(AE$134&gt;1,MOD(AE$133-1,12)=0),Inputs!$C$52,0)</f>
        <v>0</v>
      </c>
      <c r="AF199" s="69" t="n">
        <f aca="false">IF(AND(AF$134&gt;1,MOD(AF$133-1,12)=0),Inputs!$C$52,0)</f>
        <v>0</v>
      </c>
      <c r="AG199" s="69" t="n">
        <f aca="false">IF(AND(AG$134&gt;1,MOD(AG$133-1,12)=0),Inputs!$C$52,0)</f>
        <v>0</v>
      </c>
      <c r="AH199" s="69" t="n">
        <f aca="false">IF(AND(AH$134&gt;1,MOD(AH$133-1,12)=0),Inputs!$C$52,0)</f>
        <v>0</v>
      </c>
      <c r="AI199" s="69" t="n">
        <f aca="false">IF(AND(AI$134&gt;1,MOD(AI$133-1,12)=0),Inputs!$C$52,0)</f>
        <v>0</v>
      </c>
      <c r="AJ199" s="69" t="n">
        <f aca="false">IF(AND(AJ$134&gt;1,MOD(AJ$133-1,12)=0),Inputs!$C$52,0)</f>
        <v>0</v>
      </c>
      <c r="AK199" s="69" t="n">
        <f aca="false">IF(AND(AK$134&gt;1,MOD(AK$133-1,12)=0),Inputs!$C$52,0)</f>
        <v>0</v>
      </c>
      <c r="AL199" s="69" t="n">
        <f aca="false">IF(AND(AL$134&gt;1,MOD(AL$133-1,12)=0),Inputs!$C$52,0)</f>
        <v>0</v>
      </c>
    </row>
    <row r="200" customFormat="false" ht="15" hidden="false" customHeight="false" outlineLevel="0" collapsed="false">
      <c r="A200" s="4" t="s">
        <v>84</v>
      </c>
      <c r="C200" s="75" t="n">
        <f aca="false">C196+C197+C198+C199</f>
        <v>4100000</v>
      </c>
      <c r="D200" s="75" t="n">
        <f aca="false">D196+D197+D198+D199</f>
        <v>0</v>
      </c>
      <c r="E200" s="75" t="n">
        <f aca="false">E196+E197+E198+E199</f>
        <v>0</v>
      </c>
      <c r="F200" s="75" t="n">
        <f aca="false">F196+F197+F198+F199</f>
        <v>0</v>
      </c>
      <c r="G200" s="75" t="n">
        <f aca="false">G196+G197+G198+G199</f>
        <v>0</v>
      </c>
      <c r="H200" s="75" t="n">
        <f aca="false">H196+H197+H198+H199</f>
        <v>0</v>
      </c>
      <c r="I200" s="75" t="n">
        <f aca="false">I196+I197+I198+I199</f>
        <v>0</v>
      </c>
      <c r="J200" s="75" t="n">
        <f aca="false">J196+J197+J198+J199</f>
        <v>0</v>
      </c>
      <c r="K200" s="75" t="n">
        <f aca="false">K196+K197+K198+K199</f>
        <v>0</v>
      </c>
      <c r="L200" s="75" t="n">
        <f aca="false">L196+L197+L198+L199</f>
        <v>0</v>
      </c>
      <c r="M200" s="75" t="n">
        <f aca="false">M196+M197+M198+M199</f>
        <v>0</v>
      </c>
      <c r="N200" s="75" t="n">
        <f aca="false">N196+N197+N198+N199</f>
        <v>0</v>
      </c>
      <c r="O200" s="75" t="n">
        <f aca="false">O196+O197+O198+O199</f>
        <v>40000</v>
      </c>
      <c r="P200" s="75" t="n">
        <f aca="false">P196+P197+P198+P199</f>
        <v>0</v>
      </c>
      <c r="Q200" s="75" t="n">
        <f aca="false">Q196+Q197+Q198+Q199</f>
        <v>0</v>
      </c>
      <c r="R200" s="75" t="n">
        <f aca="false">R196+R197+R198+R199</f>
        <v>0</v>
      </c>
      <c r="S200" s="75" t="n">
        <f aca="false">S196+S197+S198+S199</f>
        <v>0</v>
      </c>
      <c r="T200" s="75" t="n">
        <f aca="false">T196+T197+T198+T199</f>
        <v>0</v>
      </c>
      <c r="U200" s="75" t="n">
        <f aca="false">U196+U197+U198+U199</f>
        <v>0</v>
      </c>
      <c r="V200" s="75" t="n">
        <f aca="false">V196+V197+V198+V199</f>
        <v>0</v>
      </c>
      <c r="W200" s="75" t="n">
        <f aca="false">W196+W197+W198+W199</f>
        <v>0</v>
      </c>
      <c r="X200" s="75" t="n">
        <f aca="false">X196+X197+X198+X199</f>
        <v>0</v>
      </c>
      <c r="Y200" s="75" t="n">
        <f aca="false">Y196+Y197+Y198+Y199</f>
        <v>0</v>
      </c>
      <c r="Z200" s="75" t="n">
        <f aca="false">Z196+Z197+Z198+Z199</f>
        <v>0</v>
      </c>
      <c r="AA200" s="75" t="n">
        <f aca="false">AA196+AA197+AA198+AA199</f>
        <v>40000</v>
      </c>
      <c r="AB200" s="75" t="n">
        <f aca="false">AB196+AB197+AB198+AB199</f>
        <v>0</v>
      </c>
      <c r="AC200" s="75" t="n">
        <f aca="false">AC196+AC197+AC198+AC199</f>
        <v>0</v>
      </c>
      <c r="AD200" s="75" t="n">
        <f aca="false">AD196+AD197+AD198+AD199</f>
        <v>0</v>
      </c>
      <c r="AE200" s="75" t="n">
        <f aca="false">AE196+AE197+AE198+AE199</f>
        <v>0</v>
      </c>
      <c r="AF200" s="75" t="n">
        <f aca="false">AF196+AF197+AF198+AF199</f>
        <v>0</v>
      </c>
      <c r="AG200" s="75" t="n">
        <f aca="false">AG196+AG197+AG198+AG199</f>
        <v>0</v>
      </c>
      <c r="AH200" s="75" t="n">
        <f aca="false">AH196+AH197+AH198+AH199</f>
        <v>0</v>
      </c>
      <c r="AI200" s="75" t="n">
        <f aca="false">AI196+AI197+AI198+AI199</f>
        <v>0</v>
      </c>
      <c r="AJ200" s="75" t="n">
        <f aca="false">AJ196+AJ197+AJ198+AJ199</f>
        <v>0</v>
      </c>
      <c r="AK200" s="75" t="n">
        <f aca="false">AK196+AK197+AK198+AK199</f>
        <v>0</v>
      </c>
      <c r="AL200" s="75" t="n">
        <f aca="false">AL196+AL197+AL198+AL199</f>
        <v>0</v>
      </c>
    </row>
    <row r="201" customFormat="false" ht="15" hidden="false" customHeight="false" outlineLevel="0" collapsed="false">
      <c r="A201" s="6" t="s">
        <v>424</v>
      </c>
      <c r="C201" s="69" t="n">
        <f aca="false">C200</f>
        <v>4100000</v>
      </c>
      <c r="D201" s="69" t="n">
        <f aca="false">C201+D200</f>
        <v>4100000</v>
      </c>
      <c r="E201" s="69" t="n">
        <f aca="false">D201+E200</f>
        <v>4100000</v>
      </c>
      <c r="F201" s="69" t="n">
        <f aca="false">E201+F200</f>
        <v>4100000</v>
      </c>
      <c r="G201" s="69" t="n">
        <f aca="false">F201+G200</f>
        <v>4100000</v>
      </c>
      <c r="H201" s="69" t="n">
        <f aca="false">G201+H200</f>
        <v>4100000</v>
      </c>
      <c r="I201" s="69" t="n">
        <f aca="false">H201+I200</f>
        <v>4100000</v>
      </c>
      <c r="J201" s="69" t="n">
        <f aca="false">I201+J200</f>
        <v>4100000</v>
      </c>
      <c r="K201" s="69" t="n">
        <f aca="false">J201+K200</f>
        <v>4100000</v>
      </c>
      <c r="L201" s="69" t="n">
        <f aca="false">K201+L200</f>
        <v>4100000</v>
      </c>
      <c r="M201" s="69" t="n">
        <f aca="false">L201+M200</f>
        <v>4100000</v>
      </c>
      <c r="N201" s="69" t="n">
        <f aca="false">M201+N200</f>
        <v>4100000</v>
      </c>
      <c r="O201" s="69" t="n">
        <f aca="false">N201+O200</f>
        <v>4140000</v>
      </c>
      <c r="P201" s="69" t="n">
        <f aca="false">O201+P200</f>
        <v>4140000</v>
      </c>
      <c r="Q201" s="69" t="n">
        <f aca="false">P201+Q200</f>
        <v>4140000</v>
      </c>
      <c r="R201" s="69" t="n">
        <f aca="false">Q201+R200</f>
        <v>4140000</v>
      </c>
      <c r="S201" s="69" t="n">
        <f aca="false">R201+S200</f>
        <v>4140000</v>
      </c>
      <c r="T201" s="69" t="n">
        <f aca="false">S201+T200</f>
        <v>4140000</v>
      </c>
      <c r="U201" s="69" t="n">
        <f aca="false">T201+U200</f>
        <v>4140000</v>
      </c>
      <c r="V201" s="69" t="n">
        <f aca="false">U201+V200</f>
        <v>4140000</v>
      </c>
      <c r="W201" s="69" t="n">
        <f aca="false">V201+W200</f>
        <v>4140000</v>
      </c>
      <c r="X201" s="69" t="n">
        <f aca="false">W201+X200</f>
        <v>4140000</v>
      </c>
      <c r="Y201" s="69" t="n">
        <f aca="false">X201+Y200</f>
        <v>4140000</v>
      </c>
      <c r="Z201" s="69" t="n">
        <f aca="false">Y201+Z200</f>
        <v>4140000</v>
      </c>
      <c r="AA201" s="69" t="n">
        <f aca="false">Z201+AA200</f>
        <v>4180000</v>
      </c>
      <c r="AB201" s="69" t="n">
        <f aca="false">AA201+AB200</f>
        <v>4180000</v>
      </c>
      <c r="AC201" s="69" t="n">
        <f aca="false">AB201+AC200</f>
        <v>4180000</v>
      </c>
      <c r="AD201" s="69" t="n">
        <f aca="false">AC201+AD200</f>
        <v>4180000</v>
      </c>
      <c r="AE201" s="69" t="n">
        <f aca="false">AD201+AE200</f>
        <v>4180000</v>
      </c>
      <c r="AF201" s="69" t="n">
        <f aca="false">AE201+AF200</f>
        <v>4180000</v>
      </c>
      <c r="AG201" s="69" t="n">
        <f aca="false">AF201+AG200</f>
        <v>4180000</v>
      </c>
      <c r="AH201" s="69" t="n">
        <f aca="false">AG201+AH200</f>
        <v>4180000</v>
      </c>
      <c r="AI201" s="69" t="n">
        <f aca="false">AH201+AI200</f>
        <v>4180000</v>
      </c>
      <c r="AJ201" s="69" t="n">
        <f aca="false">AI201+AJ200</f>
        <v>4180000</v>
      </c>
      <c r="AK201" s="69" t="n">
        <f aca="false">AJ201+AK200</f>
        <v>4180000</v>
      </c>
      <c r="AL201" s="69" t="n">
        <f aca="false">AK201+AL200</f>
        <v>4180000</v>
      </c>
    </row>
    <row r="202" customFormat="false" ht="15" hidden="false" customHeight="false" outlineLevel="0" collapsed="false">
      <c r="A202" s="6" t="s">
        <v>78</v>
      </c>
      <c r="C202" s="69" t="n">
        <f aca="false">-MIN(C201/MAX(1,Inputs!$C$78*12),C200)</f>
        <v>-28472.2222222222</v>
      </c>
      <c r="D202" s="69" t="n">
        <f aca="false">-MIN(D201/MAX(1,Inputs!$C$78*12),C204+D200)</f>
        <v>-28472.2222222222</v>
      </c>
      <c r="E202" s="69" t="n">
        <f aca="false">-MIN(E201/MAX(1,Inputs!$C$78*12),D204+E200)</f>
        <v>-28472.2222222222</v>
      </c>
      <c r="F202" s="69" t="n">
        <f aca="false">-MIN(F201/MAX(1,Inputs!$C$78*12),E204+F200)</f>
        <v>-28472.2222222222</v>
      </c>
      <c r="G202" s="69" t="n">
        <f aca="false">-MIN(G201/MAX(1,Inputs!$C$78*12),F204+G200)</f>
        <v>-28472.2222222222</v>
      </c>
      <c r="H202" s="69" t="n">
        <f aca="false">-MIN(H201/MAX(1,Inputs!$C$78*12),G204+H200)</f>
        <v>-28472.2222222222</v>
      </c>
      <c r="I202" s="69" t="n">
        <f aca="false">-MIN(I201/MAX(1,Inputs!$C$78*12),H204+I200)</f>
        <v>-28472.2222222222</v>
      </c>
      <c r="J202" s="69" t="n">
        <f aca="false">-MIN(J201/MAX(1,Inputs!$C$78*12),I204+J200)</f>
        <v>-28472.2222222222</v>
      </c>
      <c r="K202" s="69" t="n">
        <f aca="false">-MIN(K201/MAX(1,Inputs!$C$78*12),J204+K200)</f>
        <v>-28472.2222222222</v>
      </c>
      <c r="L202" s="69" t="n">
        <f aca="false">-MIN(L201/MAX(1,Inputs!$C$78*12),K204+L200)</f>
        <v>-28472.2222222222</v>
      </c>
      <c r="M202" s="69" t="n">
        <f aca="false">-MIN(M201/MAX(1,Inputs!$C$78*12),L204+M200)</f>
        <v>-28472.2222222222</v>
      </c>
      <c r="N202" s="69" t="n">
        <f aca="false">-MIN(N201/MAX(1,Inputs!$C$78*12),M204+N200)</f>
        <v>-28472.2222222222</v>
      </c>
      <c r="O202" s="69" t="n">
        <f aca="false">-MIN(O201/MAX(1,Inputs!$C$78*12),N204+O200)</f>
        <v>-28750</v>
      </c>
      <c r="P202" s="69" t="n">
        <f aca="false">-MIN(P201/MAX(1,Inputs!$C$78*12),O204+P200)</f>
        <v>-28750</v>
      </c>
      <c r="Q202" s="69" t="n">
        <f aca="false">-MIN(Q201/MAX(1,Inputs!$C$78*12),P204+Q200)</f>
        <v>-28750</v>
      </c>
      <c r="R202" s="69" t="n">
        <f aca="false">-MIN(R201/MAX(1,Inputs!$C$78*12),Q204+R200)</f>
        <v>-28750</v>
      </c>
      <c r="S202" s="69" t="n">
        <f aca="false">-MIN(S201/MAX(1,Inputs!$C$78*12),R204+S200)</f>
        <v>-28750</v>
      </c>
      <c r="T202" s="69" t="n">
        <f aca="false">-MIN(T201/MAX(1,Inputs!$C$78*12),S204+T200)</f>
        <v>-28750</v>
      </c>
      <c r="U202" s="69" t="n">
        <f aca="false">-MIN(U201/MAX(1,Inputs!$C$78*12),T204+U200)</f>
        <v>-28750</v>
      </c>
      <c r="V202" s="69" t="n">
        <f aca="false">-MIN(V201/MAX(1,Inputs!$C$78*12),U204+V200)</f>
        <v>-28750</v>
      </c>
      <c r="W202" s="69" t="n">
        <f aca="false">-MIN(W201/MAX(1,Inputs!$C$78*12),V204+W200)</f>
        <v>-28750</v>
      </c>
      <c r="X202" s="69" t="n">
        <f aca="false">-MIN(X201/MAX(1,Inputs!$C$78*12),W204+X200)</f>
        <v>-28750</v>
      </c>
      <c r="Y202" s="69" t="n">
        <f aca="false">-MIN(Y201/MAX(1,Inputs!$C$78*12),X204+Y200)</f>
        <v>-28750</v>
      </c>
      <c r="Z202" s="69" t="n">
        <f aca="false">-MIN(Z201/MAX(1,Inputs!$C$78*12),Y204+Z200)</f>
        <v>-28750</v>
      </c>
      <c r="AA202" s="69" t="n">
        <f aca="false">-MIN(AA201/MAX(1,Inputs!$C$78*12),Z204+AA200)</f>
        <v>-29027.7777777778</v>
      </c>
      <c r="AB202" s="69" t="n">
        <f aca="false">-MIN(AB201/MAX(1,Inputs!$C$78*12),AA204+AB200)</f>
        <v>-29027.7777777778</v>
      </c>
      <c r="AC202" s="69" t="n">
        <f aca="false">-MIN(AC201/MAX(1,Inputs!$C$78*12),AB204+AC200)</f>
        <v>-29027.7777777778</v>
      </c>
      <c r="AD202" s="69" t="n">
        <f aca="false">-MIN(AD201/MAX(1,Inputs!$C$78*12),AC204+AD200)</f>
        <v>-29027.7777777778</v>
      </c>
      <c r="AE202" s="69" t="n">
        <f aca="false">-MIN(AE201/MAX(1,Inputs!$C$78*12),AD204+AE200)</f>
        <v>-29027.7777777778</v>
      </c>
      <c r="AF202" s="69" t="n">
        <f aca="false">-MIN(AF201/MAX(1,Inputs!$C$78*12),AE204+AF200)</f>
        <v>-29027.7777777778</v>
      </c>
      <c r="AG202" s="69" t="n">
        <f aca="false">-MIN(AG201/MAX(1,Inputs!$C$78*12),AF204+AG200)</f>
        <v>-29027.7777777778</v>
      </c>
      <c r="AH202" s="69" t="n">
        <f aca="false">-MIN(AH201/MAX(1,Inputs!$C$78*12),AG204+AH200)</f>
        <v>-29027.7777777778</v>
      </c>
      <c r="AI202" s="69" t="n">
        <f aca="false">-MIN(AI201/MAX(1,Inputs!$C$78*12),AH204+AI200)</f>
        <v>-29027.7777777778</v>
      </c>
      <c r="AJ202" s="69" t="n">
        <f aca="false">-MIN(AJ201/MAX(1,Inputs!$C$78*12),AI204+AJ200)</f>
        <v>-29027.7777777778</v>
      </c>
      <c r="AK202" s="69" t="n">
        <f aca="false">-MIN(AK201/MAX(1,Inputs!$C$78*12),AJ204+AK200)</f>
        <v>-29027.7777777778</v>
      </c>
      <c r="AL202" s="69" t="n">
        <f aca="false">-MIN(AL201/MAX(1,Inputs!$C$78*12),AK204+AL200)</f>
        <v>-29027.7777777778</v>
      </c>
    </row>
    <row r="203" customFormat="false" ht="15" hidden="false" customHeight="false" outlineLevel="0" collapsed="false">
      <c r="A203" s="6" t="s">
        <v>425</v>
      </c>
      <c r="C203" s="69" t="n">
        <f aca="false">C202</f>
        <v>-28472.2222222222</v>
      </c>
      <c r="D203" s="69" t="n">
        <f aca="false">C203+D202</f>
        <v>-56944.4444444444</v>
      </c>
      <c r="E203" s="69" t="n">
        <f aca="false">D203+E202</f>
        <v>-85416.6666666667</v>
      </c>
      <c r="F203" s="69" t="n">
        <f aca="false">E203+F202</f>
        <v>-113888.888888889</v>
      </c>
      <c r="G203" s="69" t="n">
        <f aca="false">F203+G202</f>
        <v>-142361.111111111</v>
      </c>
      <c r="H203" s="69" t="n">
        <f aca="false">G203+H202</f>
        <v>-170833.333333333</v>
      </c>
      <c r="I203" s="69" t="n">
        <f aca="false">H203+I202</f>
        <v>-199305.555555556</v>
      </c>
      <c r="J203" s="69" t="n">
        <f aca="false">I203+J202</f>
        <v>-227777.777777778</v>
      </c>
      <c r="K203" s="69" t="n">
        <f aca="false">J203+K202</f>
        <v>-256250</v>
      </c>
      <c r="L203" s="69" t="n">
        <f aca="false">K203+L202</f>
        <v>-284722.222222222</v>
      </c>
      <c r="M203" s="69" t="n">
        <f aca="false">L203+M202</f>
        <v>-313194.444444445</v>
      </c>
      <c r="N203" s="69" t="n">
        <f aca="false">M203+N202</f>
        <v>-341666.666666667</v>
      </c>
      <c r="O203" s="69" t="n">
        <f aca="false">N203+O202</f>
        <v>-370416.666666667</v>
      </c>
      <c r="P203" s="69" t="n">
        <f aca="false">O203+P202</f>
        <v>-399166.666666667</v>
      </c>
      <c r="Q203" s="69" t="n">
        <f aca="false">P203+Q202</f>
        <v>-427916.666666667</v>
      </c>
      <c r="R203" s="69" t="n">
        <f aca="false">Q203+R202</f>
        <v>-456666.666666667</v>
      </c>
      <c r="S203" s="69" t="n">
        <f aca="false">R203+S202</f>
        <v>-485416.666666667</v>
      </c>
      <c r="T203" s="69" t="n">
        <f aca="false">S203+T202</f>
        <v>-514166.666666667</v>
      </c>
      <c r="U203" s="69" t="n">
        <f aca="false">T203+U202</f>
        <v>-542916.666666667</v>
      </c>
      <c r="V203" s="69" t="n">
        <f aca="false">U203+V202</f>
        <v>-571666.666666667</v>
      </c>
      <c r="W203" s="69" t="n">
        <f aca="false">V203+W202</f>
        <v>-600416.666666667</v>
      </c>
      <c r="X203" s="69" t="n">
        <f aca="false">W203+X202</f>
        <v>-629166.666666667</v>
      </c>
      <c r="Y203" s="69" t="n">
        <f aca="false">X203+Y202</f>
        <v>-657916.666666667</v>
      </c>
      <c r="Z203" s="69" t="n">
        <f aca="false">Y203+Z202</f>
        <v>-686666.666666667</v>
      </c>
      <c r="AA203" s="69" t="n">
        <f aca="false">Z203+AA202</f>
        <v>-715694.444444445</v>
      </c>
      <c r="AB203" s="69" t="n">
        <f aca="false">AA203+AB202</f>
        <v>-744722.222222222</v>
      </c>
      <c r="AC203" s="69" t="n">
        <f aca="false">AB203+AC202</f>
        <v>-773750</v>
      </c>
      <c r="AD203" s="69" t="n">
        <f aca="false">AC203+AD202</f>
        <v>-802777.777777778</v>
      </c>
      <c r="AE203" s="69" t="n">
        <f aca="false">AD203+AE202</f>
        <v>-831805.555555556</v>
      </c>
      <c r="AF203" s="69" t="n">
        <f aca="false">AE203+AF202</f>
        <v>-860833.333333333</v>
      </c>
      <c r="AG203" s="69" t="n">
        <f aca="false">AF203+AG202</f>
        <v>-889861.111111111</v>
      </c>
      <c r="AH203" s="69" t="n">
        <f aca="false">AG203+AH202</f>
        <v>-918888.888888889</v>
      </c>
      <c r="AI203" s="69" t="n">
        <f aca="false">AH203+AI202</f>
        <v>-947916.666666667</v>
      </c>
      <c r="AJ203" s="69" t="n">
        <f aca="false">AI203+AJ202</f>
        <v>-976944.444444444</v>
      </c>
      <c r="AK203" s="69" t="n">
        <f aca="false">AJ203+AK202</f>
        <v>-1005972.22222222</v>
      </c>
      <c r="AL203" s="69" t="n">
        <f aca="false">AK203+AL202</f>
        <v>-1035000</v>
      </c>
    </row>
    <row r="204" customFormat="false" ht="15" hidden="false" customHeight="false" outlineLevel="0" collapsed="false">
      <c r="A204" s="4" t="s">
        <v>92</v>
      </c>
      <c r="C204" s="75" t="n">
        <f aca="false">C201+C203</f>
        <v>4071527.77777778</v>
      </c>
      <c r="D204" s="75" t="n">
        <f aca="false">D201+D203</f>
        <v>4043055.55555556</v>
      </c>
      <c r="E204" s="75" t="n">
        <f aca="false">E201+E203</f>
        <v>4014583.33333333</v>
      </c>
      <c r="F204" s="75" t="n">
        <f aca="false">F201+F203</f>
        <v>3986111.11111111</v>
      </c>
      <c r="G204" s="75" t="n">
        <f aca="false">G201+G203</f>
        <v>3957638.88888889</v>
      </c>
      <c r="H204" s="75" t="n">
        <f aca="false">H201+H203</f>
        <v>3929166.66666667</v>
      </c>
      <c r="I204" s="75" t="n">
        <f aca="false">I201+I203</f>
        <v>3900694.44444444</v>
      </c>
      <c r="J204" s="75" t="n">
        <f aca="false">J201+J203</f>
        <v>3872222.22222222</v>
      </c>
      <c r="K204" s="75" t="n">
        <f aca="false">K201+K203</f>
        <v>3843750</v>
      </c>
      <c r="L204" s="75" t="n">
        <f aca="false">L201+L203</f>
        <v>3815277.77777778</v>
      </c>
      <c r="M204" s="75" t="n">
        <f aca="false">M201+M203</f>
        <v>3786805.55555556</v>
      </c>
      <c r="N204" s="75" t="n">
        <f aca="false">N201+N203</f>
        <v>3758333.33333333</v>
      </c>
      <c r="O204" s="75" t="n">
        <f aca="false">O201+O203</f>
        <v>3769583.33333333</v>
      </c>
      <c r="P204" s="75" t="n">
        <f aca="false">P201+P203</f>
        <v>3740833.33333333</v>
      </c>
      <c r="Q204" s="75" t="n">
        <f aca="false">Q201+Q203</f>
        <v>3712083.33333333</v>
      </c>
      <c r="R204" s="75" t="n">
        <f aca="false">R201+R203</f>
        <v>3683333.33333333</v>
      </c>
      <c r="S204" s="75" t="n">
        <f aca="false">S201+S203</f>
        <v>3654583.33333333</v>
      </c>
      <c r="T204" s="75" t="n">
        <f aca="false">T201+T203</f>
        <v>3625833.33333333</v>
      </c>
      <c r="U204" s="75" t="n">
        <f aca="false">U201+U203</f>
        <v>3597083.33333333</v>
      </c>
      <c r="V204" s="75" t="n">
        <f aca="false">V201+V203</f>
        <v>3568333.33333333</v>
      </c>
      <c r="W204" s="75" t="n">
        <f aca="false">W201+W203</f>
        <v>3539583.33333333</v>
      </c>
      <c r="X204" s="75" t="n">
        <f aca="false">X201+X203</f>
        <v>3510833.33333333</v>
      </c>
      <c r="Y204" s="75" t="n">
        <f aca="false">Y201+Y203</f>
        <v>3482083.33333333</v>
      </c>
      <c r="Z204" s="75" t="n">
        <f aca="false">Z201+Z203</f>
        <v>3453333.33333333</v>
      </c>
      <c r="AA204" s="75" t="n">
        <f aca="false">AA201+AA203</f>
        <v>3464305.55555556</v>
      </c>
      <c r="AB204" s="75" t="n">
        <f aca="false">AB201+AB203</f>
        <v>3435277.77777778</v>
      </c>
      <c r="AC204" s="75" t="n">
        <f aca="false">AC201+AC203</f>
        <v>3406250</v>
      </c>
      <c r="AD204" s="75" t="n">
        <f aca="false">AD201+AD203</f>
        <v>3377222.22222222</v>
      </c>
      <c r="AE204" s="75" t="n">
        <f aca="false">AE201+AE203</f>
        <v>3348194.44444444</v>
      </c>
      <c r="AF204" s="75" t="n">
        <f aca="false">AF201+AF203</f>
        <v>3319166.66666667</v>
      </c>
      <c r="AG204" s="75" t="n">
        <f aca="false">AG201+AG203</f>
        <v>3290138.88888889</v>
      </c>
      <c r="AH204" s="75" t="n">
        <f aca="false">AH201+AH203</f>
        <v>3261111.11111111</v>
      </c>
      <c r="AI204" s="75" t="n">
        <f aca="false">AI201+AI203</f>
        <v>3232083.33333333</v>
      </c>
      <c r="AJ204" s="75" t="n">
        <f aca="false">AJ201+AJ203</f>
        <v>3203055.55555556</v>
      </c>
      <c r="AK204" s="75" t="n">
        <f aca="false">AK201+AK203</f>
        <v>3174027.77777778</v>
      </c>
      <c r="AL204" s="75" t="n">
        <f aca="false">AL201+AL203</f>
        <v>3145000</v>
      </c>
    </row>
    <row r="206" customFormat="false" ht="15.75" hidden="false" customHeight="true" outlineLevel="0" collapsed="false">
      <c r="A206" s="7" t="s">
        <v>426</v>
      </c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customFormat="false" ht="15" hidden="false" customHeight="false" outlineLevel="0" collapsed="false">
      <c r="A207" s="6" t="s">
        <v>427</v>
      </c>
      <c r="C207" s="69" t="n">
        <f aca="false">0</f>
        <v>0</v>
      </c>
      <c r="D207" s="69" t="n">
        <f aca="false">C210</f>
        <v>3000000</v>
      </c>
      <c r="E207" s="69" t="n">
        <f aca="false">D210</f>
        <v>2975000</v>
      </c>
      <c r="F207" s="69" t="n">
        <f aca="false">E210</f>
        <v>2950000</v>
      </c>
      <c r="G207" s="69" t="n">
        <f aca="false">F210</f>
        <v>2925000</v>
      </c>
      <c r="H207" s="69" t="n">
        <f aca="false">G210</f>
        <v>2900000</v>
      </c>
      <c r="I207" s="69" t="n">
        <f aca="false">H210</f>
        <v>2875000</v>
      </c>
      <c r="J207" s="69" t="n">
        <f aca="false">I210</f>
        <v>2850000</v>
      </c>
      <c r="K207" s="69" t="n">
        <f aca="false">J210</f>
        <v>2825000</v>
      </c>
      <c r="L207" s="69" t="n">
        <f aca="false">K210</f>
        <v>2800000</v>
      </c>
      <c r="M207" s="69" t="n">
        <f aca="false">L210</f>
        <v>2775000</v>
      </c>
      <c r="N207" s="69" t="n">
        <f aca="false">M210</f>
        <v>2750000</v>
      </c>
      <c r="O207" s="69" t="n">
        <f aca="false">N210</f>
        <v>2725000</v>
      </c>
      <c r="P207" s="69" t="n">
        <f aca="false">O210</f>
        <v>2700000</v>
      </c>
      <c r="Q207" s="69" t="n">
        <f aca="false">P210</f>
        <v>2675000</v>
      </c>
      <c r="R207" s="69" t="n">
        <f aca="false">Q210</f>
        <v>2650000</v>
      </c>
      <c r="S207" s="69" t="n">
        <f aca="false">R210</f>
        <v>2625000</v>
      </c>
      <c r="T207" s="69" t="n">
        <f aca="false">S210</f>
        <v>2600000</v>
      </c>
      <c r="U207" s="69" t="n">
        <f aca="false">T210</f>
        <v>2575000</v>
      </c>
      <c r="V207" s="69" t="n">
        <f aca="false">U210</f>
        <v>2550000</v>
      </c>
      <c r="W207" s="69" t="n">
        <f aca="false">V210</f>
        <v>2525000</v>
      </c>
      <c r="X207" s="69" t="n">
        <f aca="false">W210</f>
        <v>2500000</v>
      </c>
      <c r="Y207" s="69" t="n">
        <f aca="false">X210</f>
        <v>2475000</v>
      </c>
      <c r="Z207" s="69" t="n">
        <f aca="false">Y210</f>
        <v>2450000</v>
      </c>
      <c r="AA207" s="69" t="n">
        <f aca="false">Z210</f>
        <v>2425000</v>
      </c>
      <c r="AB207" s="69" t="n">
        <f aca="false">AA210</f>
        <v>2400000</v>
      </c>
      <c r="AC207" s="69" t="n">
        <f aca="false">AB210</f>
        <v>2375000</v>
      </c>
      <c r="AD207" s="69" t="n">
        <f aca="false">AC210</f>
        <v>2350000</v>
      </c>
      <c r="AE207" s="69" t="n">
        <f aca="false">AD210</f>
        <v>2325000</v>
      </c>
      <c r="AF207" s="69" t="n">
        <f aca="false">AE210</f>
        <v>2300000</v>
      </c>
      <c r="AG207" s="69" t="n">
        <f aca="false">AF210</f>
        <v>2275000</v>
      </c>
      <c r="AH207" s="69" t="n">
        <f aca="false">AG210</f>
        <v>2250000</v>
      </c>
      <c r="AI207" s="69" t="n">
        <f aca="false">AH210</f>
        <v>2225000</v>
      </c>
      <c r="AJ207" s="69" t="n">
        <f aca="false">AI210</f>
        <v>2200000</v>
      </c>
      <c r="AK207" s="69" t="n">
        <f aca="false">AJ210</f>
        <v>2175000</v>
      </c>
      <c r="AL207" s="69" t="n">
        <f aca="false">AK210</f>
        <v>2150000</v>
      </c>
    </row>
    <row r="208" customFormat="false" ht="15" hidden="false" customHeight="false" outlineLevel="0" collapsed="false">
      <c r="A208" s="6" t="s">
        <v>85</v>
      </c>
      <c r="C208" s="69" t="n">
        <f aca="false">IF(C$133=1,Inputs!$C$68,0)</f>
        <v>3000000</v>
      </c>
      <c r="D208" s="69" t="n">
        <f aca="false">IF(D$133=1,Inputs!$C$68,0)</f>
        <v>0</v>
      </c>
      <c r="E208" s="69" t="n">
        <f aca="false">IF(E$133=1,Inputs!$C$68,0)</f>
        <v>0</v>
      </c>
      <c r="F208" s="69" t="n">
        <f aca="false">IF(F$133=1,Inputs!$C$68,0)</f>
        <v>0</v>
      </c>
      <c r="G208" s="69" t="n">
        <f aca="false">IF(G$133=1,Inputs!$C$68,0)</f>
        <v>0</v>
      </c>
      <c r="H208" s="69" t="n">
        <f aca="false">IF(H$133=1,Inputs!$C$68,0)</f>
        <v>0</v>
      </c>
      <c r="I208" s="69" t="n">
        <f aca="false">IF(I$133=1,Inputs!$C$68,0)</f>
        <v>0</v>
      </c>
      <c r="J208" s="69" t="n">
        <f aca="false">IF(J$133=1,Inputs!$C$68,0)</f>
        <v>0</v>
      </c>
      <c r="K208" s="69" t="n">
        <f aca="false">IF(K$133=1,Inputs!$C$68,0)</f>
        <v>0</v>
      </c>
      <c r="L208" s="69" t="n">
        <f aca="false">IF(L$133=1,Inputs!$C$68,0)</f>
        <v>0</v>
      </c>
      <c r="M208" s="69" t="n">
        <f aca="false">IF(M$133=1,Inputs!$C$68,0)</f>
        <v>0</v>
      </c>
      <c r="N208" s="69" t="n">
        <f aca="false">IF(N$133=1,Inputs!$C$68,0)</f>
        <v>0</v>
      </c>
      <c r="O208" s="69" t="n">
        <f aca="false">IF(O$133=1,Inputs!$C$68,0)</f>
        <v>0</v>
      </c>
      <c r="P208" s="69" t="n">
        <f aca="false">IF(P$133=1,Inputs!$C$68,0)</f>
        <v>0</v>
      </c>
      <c r="Q208" s="69" t="n">
        <f aca="false">IF(Q$133=1,Inputs!$C$68,0)</f>
        <v>0</v>
      </c>
      <c r="R208" s="69" t="n">
        <f aca="false">IF(R$133=1,Inputs!$C$68,0)</f>
        <v>0</v>
      </c>
      <c r="S208" s="69" t="n">
        <f aca="false">IF(S$133=1,Inputs!$C$68,0)</f>
        <v>0</v>
      </c>
      <c r="T208" s="69" t="n">
        <f aca="false">IF(T$133=1,Inputs!$C$68,0)</f>
        <v>0</v>
      </c>
      <c r="U208" s="69" t="n">
        <f aca="false">IF(U$133=1,Inputs!$C$68,0)</f>
        <v>0</v>
      </c>
      <c r="V208" s="69" t="n">
        <f aca="false">IF(V$133=1,Inputs!$C$68,0)</f>
        <v>0</v>
      </c>
      <c r="W208" s="69" t="n">
        <f aca="false">IF(W$133=1,Inputs!$C$68,0)</f>
        <v>0</v>
      </c>
      <c r="X208" s="69" t="n">
        <f aca="false">IF(X$133=1,Inputs!$C$68,0)</f>
        <v>0</v>
      </c>
      <c r="Y208" s="69" t="n">
        <f aca="false">IF(Y$133=1,Inputs!$C$68,0)</f>
        <v>0</v>
      </c>
      <c r="Z208" s="69" t="n">
        <f aca="false">IF(Z$133=1,Inputs!$C$68,0)</f>
        <v>0</v>
      </c>
      <c r="AA208" s="69" t="n">
        <f aca="false">IF(AA$133=1,Inputs!$C$68,0)</f>
        <v>0</v>
      </c>
      <c r="AB208" s="69" t="n">
        <f aca="false">IF(AB$133=1,Inputs!$C$68,0)</f>
        <v>0</v>
      </c>
      <c r="AC208" s="69" t="n">
        <f aca="false">IF(AC$133=1,Inputs!$C$68,0)</f>
        <v>0</v>
      </c>
      <c r="AD208" s="69" t="n">
        <f aca="false">IF(AD$133=1,Inputs!$C$68,0)</f>
        <v>0</v>
      </c>
      <c r="AE208" s="69" t="n">
        <f aca="false">IF(AE$133=1,Inputs!$C$68,0)</f>
        <v>0</v>
      </c>
      <c r="AF208" s="69" t="n">
        <f aca="false">IF(AF$133=1,Inputs!$C$68,0)</f>
        <v>0</v>
      </c>
      <c r="AG208" s="69" t="n">
        <f aca="false">IF(AG$133=1,Inputs!$C$68,0)</f>
        <v>0</v>
      </c>
      <c r="AH208" s="69" t="n">
        <f aca="false">IF(AH$133=1,Inputs!$C$68,0)</f>
        <v>0</v>
      </c>
      <c r="AI208" s="69" t="n">
        <f aca="false">IF(AI$133=1,Inputs!$C$68,0)</f>
        <v>0</v>
      </c>
      <c r="AJ208" s="69" t="n">
        <f aca="false">IF(AJ$133=1,Inputs!$C$68,0)</f>
        <v>0</v>
      </c>
      <c r="AK208" s="69" t="n">
        <f aca="false">IF(AK$133=1,Inputs!$C$68,0)</f>
        <v>0</v>
      </c>
      <c r="AL208" s="69" t="n">
        <f aca="false">IF(AL$133=1,Inputs!$C$68,0)</f>
        <v>0</v>
      </c>
    </row>
    <row r="209" customFormat="false" ht="15" hidden="false" customHeight="false" outlineLevel="0" collapsed="false">
      <c r="A209" s="6" t="s">
        <v>86</v>
      </c>
      <c r="C209" s="69" t="n">
        <f aca="false">-MIN(C207,Inputs!$C$68/MAX(1,Inputs!$C$70*12))</f>
        <v>-0</v>
      </c>
      <c r="D209" s="69" t="n">
        <f aca="false">-MIN(D207,Inputs!$C$68/MAX(1,Inputs!$C$70*12))</f>
        <v>-25000</v>
      </c>
      <c r="E209" s="69" t="n">
        <f aca="false">-MIN(E207,Inputs!$C$68/MAX(1,Inputs!$C$70*12))</f>
        <v>-25000</v>
      </c>
      <c r="F209" s="69" t="n">
        <f aca="false">-MIN(F207,Inputs!$C$68/MAX(1,Inputs!$C$70*12))</f>
        <v>-25000</v>
      </c>
      <c r="G209" s="69" t="n">
        <f aca="false">-MIN(G207,Inputs!$C$68/MAX(1,Inputs!$C$70*12))</f>
        <v>-25000</v>
      </c>
      <c r="H209" s="69" t="n">
        <f aca="false">-MIN(H207,Inputs!$C$68/MAX(1,Inputs!$C$70*12))</f>
        <v>-25000</v>
      </c>
      <c r="I209" s="69" t="n">
        <f aca="false">-MIN(I207,Inputs!$C$68/MAX(1,Inputs!$C$70*12))</f>
        <v>-25000</v>
      </c>
      <c r="J209" s="69" t="n">
        <f aca="false">-MIN(J207,Inputs!$C$68/MAX(1,Inputs!$C$70*12))</f>
        <v>-25000</v>
      </c>
      <c r="K209" s="69" t="n">
        <f aca="false">-MIN(K207,Inputs!$C$68/MAX(1,Inputs!$C$70*12))</f>
        <v>-25000</v>
      </c>
      <c r="L209" s="69" t="n">
        <f aca="false">-MIN(L207,Inputs!$C$68/MAX(1,Inputs!$C$70*12))</f>
        <v>-25000</v>
      </c>
      <c r="M209" s="69" t="n">
        <f aca="false">-MIN(M207,Inputs!$C$68/MAX(1,Inputs!$C$70*12))</f>
        <v>-25000</v>
      </c>
      <c r="N209" s="69" t="n">
        <f aca="false">-MIN(N207,Inputs!$C$68/MAX(1,Inputs!$C$70*12))</f>
        <v>-25000</v>
      </c>
      <c r="O209" s="69" t="n">
        <f aca="false">-MIN(O207,Inputs!$C$68/MAX(1,Inputs!$C$70*12))</f>
        <v>-25000</v>
      </c>
      <c r="P209" s="69" t="n">
        <f aca="false">-MIN(P207,Inputs!$C$68/MAX(1,Inputs!$C$70*12))</f>
        <v>-25000</v>
      </c>
      <c r="Q209" s="69" t="n">
        <f aca="false">-MIN(Q207,Inputs!$C$68/MAX(1,Inputs!$C$70*12))</f>
        <v>-25000</v>
      </c>
      <c r="R209" s="69" t="n">
        <f aca="false">-MIN(R207,Inputs!$C$68/MAX(1,Inputs!$C$70*12))</f>
        <v>-25000</v>
      </c>
      <c r="S209" s="69" t="n">
        <f aca="false">-MIN(S207,Inputs!$C$68/MAX(1,Inputs!$C$70*12))</f>
        <v>-25000</v>
      </c>
      <c r="T209" s="69" t="n">
        <f aca="false">-MIN(T207,Inputs!$C$68/MAX(1,Inputs!$C$70*12))</f>
        <v>-25000</v>
      </c>
      <c r="U209" s="69" t="n">
        <f aca="false">-MIN(U207,Inputs!$C$68/MAX(1,Inputs!$C$70*12))</f>
        <v>-25000</v>
      </c>
      <c r="V209" s="69" t="n">
        <f aca="false">-MIN(V207,Inputs!$C$68/MAX(1,Inputs!$C$70*12))</f>
        <v>-25000</v>
      </c>
      <c r="W209" s="69" t="n">
        <f aca="false">-MIN(W207,Inputs!$C$68/MAX(1,Inputs!$C$70*12))</f>
        <v>-25000</v>
      </c>
      <c r="X209" s="69" t="n">
        <f aca="false">-MIN(X207,Inputs!$C$68/MAX(1,Inputs!$C$70*12))</f>
        <v>-25000</v>
      </c>
      <c r="Y209" s="69" t="n">
        <f aca="false">-MIN(Y207,Inputs!$C$68/MAX(1,Inputs!$C$70*12))</f>
        <v>-25000</v>
      </c>
      <c r="Z209" s="69" t="n">
        <f aca="false">-MIN(Z207,Inputs!$C$68/MAX(1,Inputs!$C$70*12))</f>
        <v>-25000</v>
      </c>
      <c r="AA209" s="69" t="n">
        <f aca="false">-MIN(AA207,Inputs!$C$68/MAX(1,Inputs!$C$70*12))</f>
        <v>-25000</v>
      </c>
      <c r="AB209" s="69" t="n">
        <f aca="false">-MIN(AB207,Inputs!$C$68/MAX(1,Inputs!$C$70*12))</f>
        <v>-25000</v>
      </c>
      <c r="AC209" s="69" t="n">
        <f aca="false">-MIN(AC207,Inputs!$C$68/MAX(1,Inputs!$C$70*12))</f>
        <v>-25000</v>
      </c>
      <c r="AD209" s="69" t="n">
        <f aca="false">-MIN(AD207,Inputs!$C$68/MAX(1,Inputs!$C$70*12))</f>
        <v>-25000</v>
      </c>
      <c r="AE209" s="69" t="n">
        <f aca="false">-MIN(AE207,Inputs!$C$68/MAX(1,Inputs!$C$70*12))</f>
        <v>-25000</v>
      </c>
      <c r="AF209" s="69" t="n">
        <f aca="false">-MIN(AF207,Inputs!$C$68/MAX(1,Inputs!$C$70*12))</f>
        <v>-25000</v>
      </c>
      <c r="AG209" s="69" t="n">
        <f aca="false">-MIN(AG207,Inputs!$C$68/MAX(1,Inputs!$C$70*12))</f>
        <v>-25000</v>
      </c>
      <c r="AH209" s="69" t="n">
        <f aca="false">-MIN(AH207,Inputs!$C$68/MAX(1,Inputs!$C$70*12))</f>
        <v>-25000</v>
      </c>
      <c r="AI209" s="69" t="n">
        <f aca="false">-MIN(AI207,Inputs!$C$68/MAX(1,Inputs!$C$70*12))</f>
        <v>-25000</v>
      </c>
      <c r="AJ209" s="69" t="n">
        <f aca="false">-MIN(AJ207,Inputs!$C$68/MAX(1,Inputs!$C$70*12))</f>
        <v>-25000</v>
      </c>
      <c r="AK209" s="69" t="n">
        <f aca="false">-MIN(AK207,Inputs!$C$68/MAX(1,Inputs!$C$70*12))</f>
        <v>-25000</v>
      </c>
      <c r="AL209" s="69" t="n">
        <f aca="false">-MIN(AL207,Inputs!$C$68/MAX(1,Inputs!$C$70*12))</f>
        <v>-25000</v>
      </c>
    </row>
    <row r="210" customFormat="false" ht="15" hidden="false" customHeight="false" outlineLevel="0" collapsed="false">
      <c r="A210" s="4" t="s">
        <v>428</v>
      </c>
      <c r="C210" s="75" t="n">
        <f aca="false">C207+C208+C209</f>
        <v>3000000</v>
      </c>
      <c r="D210" s="75" t="n">
        <f aca="false">D207+D208+D209</f>
        <v>2975000</v>
      </c>
      <c r="E210" s="75" t="n">
        <f aca="false">E207+E208+E209</f>
        <v>2950000</v>
      </c>
      <c r="F210" s="75" t="n">
        <f aca="false">F207+F208+F209</f>
        <v>2925000</v>
      </c>
      <c r="G210" s="75" t="n">
        <f aca="false">G207+G208+G209</f>
        <v>2900000</v>
      </c>
      <c r="H210" s="75" t="n">
        <f aca="false">H207+H208+H209</f>
        <v>2875000</v>
      </c>
      <c r="I210" s="75" t="n">
        <f aca="false">I207+I208+I209</f>
        <v>2850000</v>
      </c>
      <c r="J210" s="75" t="n">
        <f aca="false">J207+J208+J209</f>
        <v>2825000</v>
      </c>
      <c r="K210" s="75" t="n">
        <f aca="false">K207+K208+K209</f>
        <v>2800000</v>
      </c>
      <c r="L210" s="75" t="n">
        <f aca="false">L207+L208+L209</f>
        <v>2775000</v>
      </c>
      <c r="M210" s="75" t="n">
        <f aca="false">M207+M208+M209</f>
        <v>2750000</v>
      </c>
      <c r="N210" s="75" t="n">
        <f aca="false">N207+N208+N209</f>
        <v>2725000</v>
      </c>
      <c r="O210" s="75" t="n">
        <f aca="false">O207+O208+O209</f>
        <v>2700000</v>
      </c>
      <c r="P210" s="75" t="n">
        <f aca="false">P207+P208+P209</f>
        <v>2675000</v>
      </c>
      <c r="Q210" s="75" t="n">
        <f aca="false">Q207+Q208+Q209</f>
        <v>2650000</v>
      </c>
      <c r="R210" s="75" t="n">
        <f aca="false">R207+R208+R209</f>
        <v>2625000</v>
      </c>
      <c r="S210" s="75" t="n">
        <f aca="false">S207+S208+S209</f>
        <v>2600000</v>
      </c>
      <c r="T210" s="75" t="n">
        <f aca="false">T207+T208+T209</f>
        <v>2575000</v>
      </c>
      <c r="U210" s="75" t="n">
        <f aca="false">U207+U208+U209</f>
        <v>2550000</v>
      </c>
      <c r="V210" s="75" t="n">
        <f aca="false">V207+V208+V209</f>
        <v>2525000</v>
      </c>
      <c r="W210" s="75" t="n">
        <f aca="false">W207+W208+W209</f>
        <v>2500000</v>
      </c>
      <c r="X210" s="75" t="n">
        <f aca="false">X207+X208+X209</f>
        <v>2475000</v>
      </c>
      <c r="Y210" s="75" t="n">
        <f aca="false">Y207+Y208+Y209</f>
        <v>2450000</v>
      </c>
      <c r="Z210" s="75" t="n">
        <f aca="false">Z207+Z208+Z209</f>
        <v>2425000</v>
      </c>
      <c r="AA210" s="75" t="n">
        <f aca="false">AA207+AA208+AA209</f>
        <v>2400000</v>
      </c>
      <c r="AB210" s="75" t="n">
        <f aca="false">AB207+AB208+AB209</f>
        <v>2375000</v>
      </c>
      <c r="AC210" s="75" t="n">
        <f aca="false">AC207+AC208+AC209</f>
        <v>2350000</v>
      </c>
      <c r="AD210" s="75" t="n">
        <f aca="false">AD207+AD208+AD209</f>
        <v>2325000</v>
      </c>
      <c r="AE210" s="75" t="n">
        <f aca="false">AE207+AE208+AE209</f>
        <v>2300000</v>
      </c>
      <c r="AF210" s="75" t="n">
        <f aca="false">AF207+AF208+AF209</f>
        <v>2275000</v>
      </c>
      <c r="AG210" s="75" t="n">
        <f aca="false">AG207+AG208+AG209</f>
        <v>2250000</v>
      </c>
      <c r="AH210" s="75" t="n">
        <f aca="false">AH207+AH208+AH209</f>
        <v>2225000</v>
      </c>
      <c r="AI210" s="75" t="n">
        <f aca="false">AI207+AI208+AI209</f>
        <v>2200000</v>
      </c>
      <c r="AJ210" s="75" t="n">
        <f aca="false">AJ207+AJ208+AJ209</f>
        <v>2175000</v>
      </c>
      <c r="AK210" s="75" t="n">
        <f aca="false">AK207+AK208+AK209</f>
        <v>2150000</v>
      </c>
      <c r="AL210" s="75" t="n">
        <f aca="false">AL207+AL208+AL209</f>
        <v>2125000</v>
      </c>
    </row>
    <row r="212" customFormat="false" ht="15.75" hidden="false" customHeight="true" outlineLevel="0" collapsed="false">
      <c r="A212" s="7" t="s">
        <v>322</v>
      </c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</row>
    <row r="213" customFormat="false" ht="15" hidden="false" customHeight="false" outlineLevel="0" collapsed="false">
      <c r="A213" s="6" t="s">
        <v>90</v>
      </c>
      <c r="C213" s="69" t="n">
        <f aca="false">C166*Inputs!$C$73/30</f>
        <v>3196.22386666667</v>
      </c>
      <c r="D213" s="69" t="n">
        <f aca="false">D166*Inputs!$C$73/30</f>
        <v>3629.92906014815</v>
      </c>
      <c r="E213" s="69" t="n">
        <f aca="false">E166*Inputs!$C$73/30</f>
        <v>4851.56011996444</v>
      </c>
      <c r="F213" s="69" t="n">
        <f aca="false">F166*Inputs!$C$73/30</f>
        <v>5403.45992257327</v>
      </c>
      <c r="G213" s="69" t="n">
        <f aca="false">G166*Inputs!$C$73/30</f>
        <v>5966.01842937405</v>
      </c>
      <c r="H213" s="69" t="n">
        <f aca="false">H166*Inputs!$C$73/30</f>
        <v>6538.80929219909</v>
      </c>
      <c r="I213" s="69" t="n">
        <f aca="false">I166*Inputs!$C$73/30</f>
        <v>7121.42321680742</v>
      </c>
      <c r="J213" s="69" t="n">
        <f aca="false">J166*Inputs!$C$73/30</f>
        <v>7713.46728072771</v>
      </c>
      <c r="K213" s="69" t="n">
        <f aca="false">K166*Inputs!$C$73/30</f>
        <v>8314.5642783875</v>
      </c>
      <c r="L213" s="69" t="n">
        <f aca="false">L166*Inputs!$C$73/30</f>
        <v>8924.35209243718</v>
      </c>
      <c r="M213" s="69" t="n">
        <f aca="false">M166*Inputs!$C$73/30</f>
        <v>9103.03667540636</v>
      </c>
      <c r="N213" s="69" t="n">
        <f aca="false">N166*Inputs!$C$73/30</f>
        <v>7915.98187505677</v>
      </c>
      <c r="O213" s="69" t="n">
        <f aca="false">O166*Inputs!$C$73/30</f>
        <v>8219.27213205559</v>
      </c>
      <c r="P213" s="69" t="n">
        <f aca="false">P166*Inputs!$C$73/30</f>
        <v>8361.41892677337</v>
      </c>
      <c r="Q213" s="69" t="n">
        <f aca="false">Q166*Inputs!$C$73/30</f>
        <v>9883.64368970243</v>
      </c>
      <c r="R213" s="69" t="n">
        <f aca="false">R166*Inputs!$C$73/30</f>
        <v>10040.6197821143</v>
      </c>
      <c r="S213" s="69" t="n">
        <f aca="false">S166*Inputs!$C$73/30</f>
        <v>10191.3168308298</v>
      </c>
      <c r="T213" s="69" t="n">
        <f aca="false">T166*Inputs!$C$73/30</f>
        <v>10335.9859975966</v>
      </c>
      <c r="U213" s="69" t="n">
        <f aca="false">U166*Inputs!$C$73/30</f>
        <v>10474.8683976927</v>
      </c>
      <c r="V213" s="69" t="n">
        <f aca="false">V166*Inputs!$C$73/30</f>
        <v>10608.195501785</v>
      </c>
      <c r="W213" s="69" t="n">
        <f aca="false">W166*Inputs!$C$73/30</f>
        <v>10736.1895217136</v>
      </c>
      <c r="X213" s="69" t="n">
        <f aca="false">X166*Inputs!$C$73/30</f>
        <v>10859.0637808451</v>
      </c>
      <c r="Y213" s="69" t="n">
        <f aca="false">Y166*Inputs!$C$73/30</f>
        <v>10977.0230696113</v>
      </c>
      <c r="Z213" s="69" t="n">
        <f aca="false">Z166*Inputs!$C$73/30</f>
        <v>9704.5001468268</v>
      </c>
      <c r="AA213" s="69" t="n">
        <f aca="false">AA166*Inputs!$C$73/30</f>
        <v>9986.1688023728</v>
      </c>
      <c r="AB213" s="69" t="n">
        <f aca="false">AB166*Inputs!$C$73/30</f>
        <v>10073.4305338779</v>
      </c>
      <c r="AC213" s="69" t="n">
        <f aca="false">AC166*Inputs!$C$73/30</f>
        <v>11570.6809129228</v>
      </c>
      <c r="AD213" s="69" t="n">
        <f aca="false">AD166*Inputs!$C$73/30</f>
        <v>11677.5944032059</v>
      </c>
      <c r="AE213" s="69" t="n">
        <f aca="false">AE166*Inputs!$C$73/30</f>
        <v>11780.2313538776</v>
      </c>
      <c r="AF213" s="69" t="n">
        <f aca="false">AF166*Inputs!$C$73/30</f>
        <v>11878.7628265225</v>
      </c>
      <c r="AG213" s="69" t="n">
        <f aca="false">AG166*Inputs!$C$73/30</f>
        <v>11973.3530402616</v>
      </c>
      <c r="AH213" s="69" t="n">
        <f aca="false">AH166*Inputs!$C$73/30</f>
        <v>12064.1596454512</v>
      </c>
      <c r="AI213" s="69" t="n">
        <f aca="false">AI166*Inputs!$C$73/30</f>
        <v>12151.3339864331</v>
      </c>
      <c r="AJ213" s="69" t="n">
        <f aca="false">AJ166*Inputs!$C$73/30</f>
        <v>12235.0213537758</v>
      </c>
      <c r="AK213" s="69" t="n">
        <f aca="false">AK166*Inputs!$C$73/30</f>
        <v>12315.3612264248</v>
      </c>
      <c r="AL213" s="69" t="n">
        <f aca="false">AL166*Inputs!$C$73/30</f>
        <v>10979.0083873678</v>
      </c>
    </row>
    <row r="214" customFormat="false" ht="15" hidden="false" customHeight="false" outlineLevel="0" collapsed="false">
      <c r="A214" s="6" t="s">
        <v>91</v>
      </c>
      <c r="C214" s="69" t="n">
        <f aca="false">-C174*Inputs!$C$74/30</f>
        <v>3535.97287295</v>
      </c>
      <c r="D214" s="69" t="n">
        <f aca="false">-D174*Inputs!$C$74/30</f>
        <v>4015.72440315978</v>
      </c>
      <c r="E214" s="69" t="n">
        <f aca="false">-E174*Inputs!$C$74/30</f>
        <v>5538.41762848136</v>
      </c>
      <c r="F214" s="69" t="n">
        <f aca="false">-F174*Inputs!$C$74/30</f>
        <v>6180.84844069211</v>
      </c>
      <c r="G214" s="69" t="n">
        <f aca="false">-G174*Inputs!$C$74/30</f>
        <v>6839.35924051442</v>
      </c>
      <c r="H214" s="69" t="n">
        <f aca="false">-H174*Inputs!$C$74/30</f>
        <v>7513.30682844384</v>
      </c>
      <c r="I214" s="69" t="n">
        <f aca="false">-I174*Inputs!$C$74/30</f>
        <v>8202.07373295609</v>
      </c>
      <c r="J214" s="69" t="n">
        <f aca="false">-J174*Inputs!$C$74/30</f>
        <v>8905.06718138785</v>
      </c>
      <c r="K214" s="69" t="n">
        <f aca="false">-K174*Inputs!$C$74/30</f>
        <v>9621.71811198233</v>
      </c>
      <c r="L214" s="69" t="n">
        <f aca="false">-L174*Inputs!$C$74/30</f>
        <v>10351.480225453</v>
      </c>
      <c r="M214" s="69" t="n">
        <f aca="false">-M174*Inputs!$C$74/30</f>
        <v>10621.0482544349</v>
      </c>
      <c r="N214" s="69" t="n">
        <f aca="false">-N174*Inputs!$C$74/30</f>
        <v>8885.78253780614</v>
      </c>
      <c r="O214" s="69" t="n">
        <f aca="false">-O174*Inputs!$C$74/30</f>
        <v>9319.28292728009</v>
      </c>
      <c r="P214" s="69" t="n">
        <f aca="false">-P174*Inputs!$C$74/30</f>
        <v>9500.42236462389</v>
      </c>
      <c r="Q214" s="69" t="n">
        <f aca="false">-Q174*Inputs!$C$74/30</f>
        <v>11829.7121932812</v>
      </c>
      <c r="R214" s="69" t="n">
        <f aca="false">-R174*Inputs!$C$74/30</f>
        <v>12068.5057255649</v>
      </c>
      <c r="S214" s="69" t="n">
        <f aca="false">-S174*Inputs!$C$74/30</f>
        <v>12297.7475165574</v>
      </c>
      <c r="T214" s="69" t="n">
        <f aca="false">-T174*Inputs!$C$74/30</f>
        <v>12517.8196359101</v>
      </c>
      <c r="U214" s="69" t="n">
        <f aca="false">-U174*Inputs!$C$74/30</f>
        <v>12729.0888704887</v>
      </c>
      <c r="V214" s="69" t="n">
        <f aca="false">-V174*Inputs!$C$74/30</f>
        <v>12931.9073356841</v>
      </c>
      <c r="W214" s="69" t="n">
        <f aca="false">-W174*Inputs!$C$74/30</f>
        <v>13126.6130622717</v>
      </c>
      <c r="X214" s="69" t="n">
        <f aca="false">-X174*Inputs!$C$74/30</f>
        <v>13313.5305597959</v>
      </c>
      <c r="Y214" s="69" t="n">
        <f aca="false">-Y174*Inputs!$C$74/30</f>
        <v>13492.971357419</v>
      </c>
      <c r="Z214" s="69" t="n">
        <f aca="false">-Z174*Inputs!$C$74/30</f>
        <v>11211.9275518532</v>
      </c>
      <c r="AA214" s="69" t="n">
        <f aca="false">-AA174*Inputs!$C$74/30</f>
        <v>11638.9537794879</v>
      </c>
      <c r="AB214" s="69" t="n">
        <f aca="false">-AB174*Inputs!$C$74/30</f>
        <v>11751.0501890855</v>
      </c>
      <c r="AC214" s="69" t="n">
        <f aca="false">-AC174*Inputs!$C$74/30</f>
        <v>14446.927393797</v>
      </c>
      <c r="AD214" s="69" t="n">
        <f aca="false">-AD174*Inputs!$C$74/30</f>
        <v>14610.9238670659</v>
      </c>
      <c r="AE214" s="69" t="n">
        <f aca="false">-AE174*Inputs!$C$74/30</f>
        <v>14768.360481404</v>
      </c>
      <c r="AF214" s="69" t="n">
        <f aca="false">-AF174*Inputs!$C$74/30</f>
        <v>14919.4996311686</v>
      </c>
      <c r="AG214" s="69" t="n">
        <f aca="false">-AG174*Inputs!$C$74/30</f>
        <v>15064.5932149426</v>
      </c>
      <c r="AH214" s="69" t="n">
        <f aca="false">-AH174*Inputs!$C$74/30</f>
        <v>15203.8830553657</v>
      </c>
      <c r="AI214" s="69" t="n">
        <f aca="false">-AI174*Inputs!$C$74/30</f>
        <v>15337.6013021718</v>
      </c>
      <c r="AJ214" s="69" t="n">
        <f aca="false">-AJ174*Inputs!$C$74/30</f>
        <v>15465.9708191057</v>
      </c>
      <c r="AK214" s="69" t="n">
        <f aca="false">-AK174*Inputs!$C$74/30</f>
        <v>15589.2055553623</v>
      </c>
      <c r="AL214" s="69" t="n">
        <f aca="false">-AL174*Inputs!$C$74/30</f>
        <v>12914.3553887009</v>
      </c>
    </row>
    <row r="215" customFormat="false" ht="15" hidden="false" customHeight="false" outlineLevel="0" collapsed="false">
      <c r="A215" s="6" t="s">
        <v>94</v>
      </c>
      <c r="C215" s="69" t="n">
        <f aca="false">-C174*Inputs!$C$75/30</f>
        <v>5893.28812158333</v>
      </c>
      <c r="D215" s="69" t="n">
        <f aca="false">-D174*Inputs!$C$75/30</f>
        <v>6692.8740052663</v>
      </c>
      <c r="E215" s="69" t="n">
        <f aca="false">-E174*Inputs!$C$75/30</f>
        <v>9230.69604746893</v>
      </c>
      <c r="F215" s="69" t="n">
        <f aca="false">-F174*Inputs!$C$75/30</f>
        <v>10301.4140678202</v>
      </c>
      <c r="G215" s="69" t="n">
        <f aca="false">-G174*Inputs!$C$75/30</f>
        <v>11398.932067524</v>
      </c>
      <c r="H215" s="69" t="n">
        <f aca="false">-H174*Inputs!$C$75/30</f>
        <v>12522.1780474064</v>
      </c>
      <c r="I215" s="69" t="n">
        <f aca="false">-I174*Inputs!$C$75/30</f>
        <v>13670.1228882601</v>
      </c>
      <c r="J215" s="69" t="n">
        <f aca="false">-J174*Inputs!$C$75/30</f>
        <v>14841.7786356464</v>
      </c>
      <c r="K215" s="69" t="n">
        <f aca="false">-K174*Inputs!$C$75/30</f>
        <v>16036.1968533039</v>
      </c>
      <c r="L215" s="69" t="n">
        <f aca="false">-L174*Inputs!$C$75/30</f>
        <v>17252.4670424217</v>
      </c>
      <c r="M215" s="69" t="n">
        <f aca="false">-M174*Inputs!$C$75/30</f>
        <v>17701.7470907249</v>
      </c>
      <c r="N215" s="69" t="n">
        <f aca="false">-N174*Inputs!$C$75/30</f>
        <v>14809.6375630102</v>
      </c>
      <c r="O215" s="69" t="n">
        <f aca="false">-O174*Inputs!$C$75/30</f>
        <v>15532.1382121335</v>
      </c>
      <c r="P215" s="69" t="n">
        <f aca="false">-P174*Inputs!$C$75/30</f>
        <v>15834.0372743731</v>
      </c>
      <c r="Q215" s="69" t="n">
        <f aca="false">-Q174*Inputs!$C$75/30</f>
        <v>19716.186988802</v>
      </c>
      <c r="R215" s="69" t="n">
        <f aca="false">-R174*Inputs!$C$75/30</f>
        <v>20114.1762092749</v>
      </c>
      <c r="S215" s="69" t="n">
        <f aca="false">-S174*Inputs!$C$75/30</f>
        <v>20496.2458609289</v>
      </c>
      <c r="T215" s="69" t="n">
        <f aca="false">-T174*Inputs!$C$75/30</f>
        <v>20863.0327265168</v>
      </c>
      <c r="U215" s="69" t="n">
        <f aca="false">-U174*Inputs!$C$75/30</f>
        <v>21215.1481174811</v>
      </c>
      <c r="V215" s="69" t="n">
        <f aca="false">-V174*Inputs!$C$75/30</f>
        <v>21553.1788928068</v>
      </c>
      <c r="W215" s="69" t="n">
        <f aca="false">-W174*Inputs!$C$75/30</f>
        <v>21877.6884371196</v>
      </c>
      <c r="X215" s="69" t="n">
        <f aca="false">-X174*Inputs!$C$75/30</f>
        <v>22189.2175996598</v>
      </c>
      <c r="Y215" s="69" t="n">
        <f aca="false">-Y174*Inputs!$C$75/30</f>
        <v>22488.2855956984</v>
      </c>
      <c r="Z215" s="69" t="n">
        <f aca="false">-Z174*Inputs!$C$75/30</f>
        <v>18686.5459197554</v>
      </c>
      <c r="AA215" s="69" t="n">
        <f aca="false">-AA174*Inputs!$C$75/30</f>
        <v>19398.2562991465</v>
      </c>
      <c r="AB215" s="69" t="n">
        <f aca="false">-AB174*Inputs!$C$75/30</f>
        <v>19585.0836484758</v>
      </c>
      <c r="AC215" s="69" t="n">
        <f aca="false">-AC174*Inputs!$C$75/30</f>
        <v>24078.212322995</v>
      </c>
      <c r="AD215" s="69" t="n">
        <f aca="false">-AD174*Inputs!$C$75/30</f>
        <v>24351.5397784432</v>
      </c>
      <c r="AE215" s="69" t="n">
        <f aca="false">-AE174*Inputs!$C$75/30</f>
        <v>24613.9341356734</v>
      </c>
      <c r="AF215" s="69" t="n">
        <f aca="false">-AF174*Inputs!$C$75/30</f>
        <v>24865.8327186144</v>
      </c>
      <c r="AG215" s="69" t="n">
        <f aca="false">-AG174*Inputs!$C$75/30</f>
        <v>25107.6553582377</v>
      </c>
      <c r="AH215" s="69" t="n">
        <f aca="false">-AH174*Inputs!$C$75/30</f>
        <v>25339.8050922762</v>
      </c>
      <c r="AI215" s="69" t="n">
        <f aca="false">-AI174*Inputs!$C$75/30</f>
        <v>25562.6688369531</v>
      </c>
      <c r="AJ215" s="69" t="n">
        <f aca="false">-AJ174*Inputs!$C$75/30</f>
        <v>25776.6180318429</v>
      </c>
      <c r="AK215" s="69" t="n">
        <f aca="false">-AK174*Inputs!$C$75/30</f>
        <v>25982.0092589371</v>
      </c>
      <c r="AL215" s="69" t="n">
        <f aca="false">-AL174*Inputs!$C$75/30</f>
        <v>21523.9256478349</v>
      </c>
    </row>
    <row r="216" customFormat="false" ht="15" hidden="false" customHeight="false" outlineLevel="0" collapsed="false">
      <c r="A216" s="6" t="s">
        <v>344</v>
      </c>
      <c r="C216" s="69" t="n">
        <f aca="false">-C213</f>
        <v>-3196.22386666667</v>
      </c>
      <c r="D216" s="69" t="n">
        <f aca="false">C213-D213</f>
        <v>-433.705193481482</v>
      </c>
      <c r="E216" s="69" t="n">
        <f aca="false">D213-E213</f>
        <v>-1221.6310598163</v>
      </c>
      <c r="F216" s="69" t="n">
        <f aca="false">E213-F213</f>
        <v>-551.899802608829</v>
      </c>
      <c r="G216" s="69" t="n">
        <f aca="false">F213-G213</f>
        <v>-562.558506800773</v>
      </c>
      <c r="H216" s="69" t="n">
        <f aca="false">G213-H213</f>
        <v>-572.790862825039</v>
      </c>
      <c r="I216" s="69" t="n">
        <f aca="false">H213-I213</f>
        <v>-582.613924608332</v>
      </c>
      <c r="J216" s="69" t="n">
        <f aca="false">I213-J213</f>
        <v>-592.044063920296</v>
      </c>
      <c r="K216" s="69" t="n">
        <f aca="false">J213-K213</f>
        <v>-601.096997659782</v>
      </c>
      <c r="L216" s="69" t="n">
        <f aca="false">K213-L213</f>
        <v>-609.787814049685</v>
      </c>
      <c r="M216" s="69" t="n">
        <f aca="false">L213-M213</f>
        <v>-178.684582969179</v>
      </c>
      <c r="N216" s="69" t="n">
        <f aca="false">M213-N213</f>
        <v>1187.05480034959</v>
      </c>
      <c r="O216" s="69" t="n">
        <f aca="false">N213-O213</f>
        <v>-303.290256998819</v>
      </c>
      <c r="P216" s="69" t="n">
        <f aca="false">O213-P213</f>
        <v>-142.146794717777</v>
      </c>
      <c r="Q216" s="69" t="n">
        <f aca="false">P213-Q213</f>
        <v>-1522.22476292907</v>
      </c>
      <c r="R216" s="69" t="n">
        <f aca="false">Q213-R213</f>
        <v>-156.976092411904</v>
      </c>
      <c r="S216" s="69" t="n">
        <f aca="false">R213-S213</f>
        <v>-150.697048715427</v>
      </c>
      <c r="T216" s="69" t="n">
        <f aca="false">S213-T213</f>
        <v>-144.669166766809</v>
      </c>
      <c r="U216" s="69" t="n">
        <f aca="false">T213-U213</f>
        <v>-138.882400096136</v>
      </c>
      <c r="V216" s="69" t="n">
        <f aca="false">U213-V213</f>
        <v>-133.327104092292</v>
      </c>
      <c r="W216" s="69" t="n">
        <f aca="false">V213-W213</f>
        <v>-127.994019928599</v>
      </c>
      <c r="X216" s="69" t="n">
        <f aca="false">W213-X213</f>
        <v>-122.874259131457</v>
      </c>
      <c r="Y216" s="69" t="n">
        <f aca="false">X213-Y213</f>
        <v>-117.959288766197</v>
      </c>
      <c r="Z216" s="69" t="n">
        <f aca="false">Y213-Z213</f>
        <v>1272.52292278445</v>
      </c>
      <c r="AA216" s="69" t="n">
        <f aca="false">Z213-AA213</f>
        <v>-281.668655546002</v>
      </c>
      <c r="AB216" s="69" t="n">
        <f aca="false">AA213-AB213</f>
        <v>-87.2617315050902</v>
      </c>
      <c r="AC216" s="69" t="n">
        <f aca="false">AB213-AC213</f>
        <v>-1497.25037904488</v>
      </c>
      <c r="AD216" s="69" t="n">
        <f aca="false">AC213-AD213</f>
        <v>-106.913490283088</v>
      </c>
      <c r="AE216" s="69" t="n">
        <f aca="false">AD213-AE213</f>
        <v>-102.636950671766</v>
      </c>
      <c r="AF216" s="69" t="n">
        <f aca="false">AE213-AF213</f>
        <v>-98.5314726448942</v>
      </c>
      <c r="AG216" s="69" t="n">
        <f aca="false">AF213-AG213</f>
        <v>-94.5902137390985</v>
      </c>
      <c r="AH216" s="69" t="n">
        <f aca="false">AG213-AH213</f>
        <v>-90.806605189533</v>
      </c>
      <c r="AI216" s="69" t="n">
        <f aca="false">AH213-AI213</f>
        <v>-87.1743409819555</v>
      </c>
      <c r="AJ216" s="69" t="n">
        <f aca="false">AI213-AJ213</f>
        <v>-83.6873673426744</v>
      </c>
      <c r="AK216" s="69" t="n">
        <f aca="false">AJ213-AK213</f>
        <v>-80.3398726489686</v>
      </c>
      <c r="AL216" s="69" t="n">
        <f aca="false">AK213-AL213</f>
        <v>1336.35283905699</v>
      </c>
    </row>
    <row r="217" customFormat="false" ht="15" hidden="false" customHeight="false" outlineLevel="0" collapsed="false">
      <c r="A217" s="6" t="s">
        <v>345</v>
      </c>
      <c r="C217" s="69" t="n">
        <f aca="false">-C214</f>
        <v>-3535.97287295</v>
      </c>
      <c r="D217" s="69" t="n">
        <f aca="false">C214-D214</f>
        <v>-479.751530209779</v>
      </c>
      <c r="E217" s="69" t="n">
        <f aca="false">D214-E214</f>
        <v>-1522.69322532158</v>
      </c>
      <c r="F217" s="69" t="n">
        <f aca="false">E214-F214</f>
        <v>-642.430812210746</v>
      </c>
      <c r="G217" s="69" t="n">
        <f aca="false">F214-G214</f>
        <v>-658.510799822315</v>
      </c>
      <c r="H217" s="69" t="n">
        <f aca="false">G214-H214</f>
        <v>-673.947587929423</v>
      </c>
      <c r="I217" s="69" t="n">
        <f aca="false">H214-I214</f>
        <v>-688.766904512245</v>
      </c>
      <c r="J217" s="69" t="n">
        <f aca="false">I214-J214</f>
        <v>-702.993448431758</v>
      </c>
      <c r="K217" s="69" t="n">
        <f aca="false">J214-K214</f>
        <v>-716.650930594486</v>
      </c>
      <c r="L217" s="69" t="n">
        <f aca="false">K214-L214</f>
        <v>-729.762113470708</v>
      </c>
      <c r="M217" s="69" t="n">
        <f aca="false">L214-M214</f>
        <v>-269.568028981877</v>
      </c>
      <c r="N217" s="69" t="n">
        <f aca="false">M214-N214</f>
        <v>1735.26571662878</v>
      </c>
      <c r="O217" s="69" t="n">
        <f aca="false">N214-O214</f>
        <v>-433.500389473948</v>
      </c>
      <c r="P217" s="69" t="n">
        <f aca="false">O214-P214</f>
        <v>-181.139437343798</v>
      </c>
      <c r="Q217" s="69" t="n">
        <f aca="false">P214-Q214</f>
        <v>-2329.28982865731</v>
      </c>
      <c r="R217" s="69" t="n">
        <f aca="false">Q214-R214</f>
        <v>-238.793532283751</v>
      </c>
      <c r="S217" s="69" t="n">
        <f aca="false">R214-S214</f>
        <v>-229.241790992404</v>
      </c>
      <c r="T217" s="69" t="n">
        <f aca="false">S214-T214</f>
        <v>-220.072119352706</v>
      </c>
      <c r="U217" s="69" t="n">
        <f aca="false">T214-U214</f>
        <v>-211.269234578596</v>
      </c>
      <c r="V217" s="69" t="n">
        <f aca="false">U214-V214</f>
        <v>-202.818465195453</v>
      </c>
      <c r="W217" s="69" t="n">
        <f aca="false">V214-W214</f>
        <v>-194.705726587636</v>
      </c>
      <c r="X217" s="69" t="n">
        <f aca="false">W214-X214</f>
        <v>-186.917497524129</v>
      </c>
      <c r="Y217" s="69" t="n">
        <f aca="false">X214-Y214</f>
        <v>-179.440797623163</v>
      </c>
      <c r="Z217" s="69" t="n">
        <f aca="false">Y214-Z214</f>
        <v>2281.04380556581</v>
      </c>
      <c r="AA217" s="69" t="n">
        <f aca="false">Z214-AA214</f>
        <v>-427.026227634677</v>
      </c>
      <c r="AB217" s="69" t="n">
        <f aca="false">AA214-AB214</f>
        <v>-112.096409597598</v>
      </c>
      <c r="AC217" s="69" t="n">
        <f aca="false">AB214-AC214</f>
        <v>-2695.87720471152</v>
      </c>
      <c r="AD217" s="69" t="n">
        <f aca="false">AC214-AD214</f>
        <v>-163.996473268882</v>
      </c>
      <c r="AE217" s="69" t="n">
        <f aca="false">AD214-AE214</f>
        <v>-157.436614338127</v>
      </c>
      <c r="AF217" s="69" t="n">
        <f aca="false">AE214-AF214</f>
        <v>-151.139149764602</v>
      </c>
      <c r="AG217" s="69" t="n">
        <f aca="false">AF214-AG214</f>
        <v>-145.093583774014</v>
      </c>
      <c r="AH217" s="69" t="n">
        <f aca="false">AG214-AH214</f>
        <v>-139.289840423056</v>
      </c>
      <c r="AI217" s="69" t="n">
        <f aca="false">AH214-AI214</f>
        <v>-133.718246806135</v>
      </c>
      <c r="AJ217" s="69" t="n">
        <f aca="false">AI214-AJ214</f>
        <v>-128.369516933886</v>
      </c>
      <c r="AK217" s="69" t="n">
        <f aca="false">AJ214-AK214</f>
        <v>-123.234736256534</v>
      </c>
      <c r="AL217" s="69" t="n">
        <f aca="false">AK214-AL214</f>
        <v>2674.85016666134</v>
      </c>
    </row>
    <row r="218" customFormat="false" ht="15" hidden="false" customHeight="false" outlineLevel="0" collapsed="false">
      <c r="A218" s="6" t="s">
        <v>346</v>
      </c>
      <c r="C218" s="69" t="n">
        <f aca="false">C215</f>
        <v>5893.28812158333</v>
      </c>
      <c r="D218" s="69" t="n">
        <f aca="false">D215-C215</f>
        <v>799.585883682964</v>
      </c>
      <c r="E218" s="69" t="n">
        <f aca="false">E215-D215</f>
        <v>2537.82204220264</v>
      </c>
      <c r="F218" s="69" t="n">
        <f aca="false">F215-E215</f>
        <v>1070.71802035124</v>
      </c>
      <c r="G218" s="69" t="n">
        <f aca="false">G215-F215</f>
        <v>1097.51799970386</v>
      </c>
      <c r="H218" s="69" t="n">
        <f aca="false">H215-G215</f>
        <v>1123.24597988237</v>
      </c>
      <c r="I218" s="69" t="n">
        <f aca="false">I215-H215</f>
        <v>1147.94484085374</v>
      </c>
      <c r="J218" s="69" t="n">
        <f aca="false">J215-I215</f>
        <v>1171.65574738627</v>
      </c>
      <c r="K218" s="69" t="n">
        <f aca="false">K215-J215</f>
        <v>1194.41821765747</v>
      </c>
      <c r="L218" s="69" t="n">
        <f aca="false">L215-K215</f>
        <v>1216.27018911785</v>
      </c>
      <c r="M218" s="69" t="n">
        <f aca="false">M215-L215</f>
        <v>449.280048303132</v>
      </c>
      <c r="N218" s="69" t="n">
        <f aca="false">N215-M215</f>
        <v>-2892.10952771463</v>
      </c>
      <c r="O218" s="69" t="n">
        <f aca="false">O215-N215</f>
        <v>722.500649123245</v>
      </c>
      <c r="P218" s="69" t="n">
        <f aca="false">P215-O215</f>
        <v>301.899062239663</v>
      </c>
      <c r="Q218" s="69" t="n">
        <f aca="false">Q215-P215</f>
        <v>3882.14971442885</v>
      </c>
      <c r="R218" s="69" t="n">
        <f aca="false">R215-Q215</f>
        <v>397.989220472919</v>
      </c>
      <c r="S218" s="69" t="n">
        <f aca="false">S215-R215</f>
        <v>382.069651654008</v>
      </c>
      <c r="T218" s="69" t="n">
        <f aca="false">T215-S215</f>
        <v>366.786865587845</v>
      </c>
      <c r="U218" s="69" t="n">
        <f aca="false">U215-T215</f>
        <v>352.115390964325</v>
      </c>
      <c r="V218" s="69" t="n">
        <f aca="false">V215-U215</f>
        <v>338.030775325755</v>
      </c>
      <c r="W218" s="69" t="n">
        <f aca="false">W215-V215</f>
        <v>324.509544312728</v>
      </c>
      <c r="X218" s="69" t="n">
        <f aca="false">X215-W215</f>
        <v>311.529162540213</v>
      </c>
      <c r="Y218" s="69" t="n">
        <f aca="false">Y215-X215</f>
        <v>299.067996038604</v>
      </c>
      <c r="Z218" s="69" t="n">
        <f aca="false">Z215-Y215</f>
        <v>-3801.73967594301</v>
      </c>
      <c r="AA218" s="69" t="n">
        <f aca="false">AA215-Z215</f>
        <v>711.71037939113</v>
      </c>
      <c r="AB218" s="69" t="n">
        <f aca="false">AB215-AA215</f>
        <v>186.827349329327</v>
      </c>
      <c r="AC218" s="69" t="n">
        <f aca="false">AC215-AB215</f>
        <v>4493.1286745192</v>
      </c>
      <c r="AD218" s="69" t="n">
        <f aca="false">AD215-AC215</f>
        <v>273.32745544814</v>
      </c>
      <c r="AE218" s="69" t="n">
        <f aca="false">AE215-AD215</f>
        <v>262.394357230209</v>
      </c>
      <c r="AF218" s="69" t="n">
        <f aca="false">AF215-AE215</f>
        <v>251.898582941005</v>
      </c>
      <c r="AG218" s="69" t="n">
        <f aca="false">AG215-AF215</f>
        <v>241.822639623355</v>
      </c>
      <c r="AH218" s="69" t="n">
        <f aca="false">AH215-AG215</f>
        <v>232.14973403843</v>
      </c>
      <c r="AI218" s="69" t="n">
        <f aca="false">AI215-AH215</f>
        <v>222.863744676888</v>
      </c>
      <c r="AJ218" s="69" t="n">
        <f aca="false">AJ215-AI215</f>
        <v>213.94919488981</v>
      </c>
      <c r="AK218" s="69" t="n">
        <f aca="false">AK215-AJ215</f>
        <v>205.391227094224</v>
      </c>
      <c r="AL218" s="69" t="n">
        <f aca="false">AL215-AK215</f>
        <v>-4458.08361110224</v>
      </c>
    </row>
    <row r="220" customFormat="false" ht="15.75" hidden="false" customHeight="true" outlineLevel="0" collapsed="false">
      <c r="A220" s="7" t="s">
        <v>429</v>
      </c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</row>
    <row r="221" customFormat="false" ht="15" hidden="false" customHeight="false" outlineLevel="0" collapsed="false">
      <c r="A221" s="4" t="s">
        <v>52</v>
      </c>
      <c r="C221" s="75" t="n">
        <f aca="false">C193-C202+C216+C217+C218</f>
        <v>-74804.1630306</v>
      </c>
      <c r="D221" s="75" t="n">
        <f aca="false">D193-D202+D216+D217+D218</f>
        <v>-68444.5087441057</v>
      </c>
      <c r="E221" s="75" t="n">
        <f aca="false">E193-E202+E216+E217+E218</f>
        <v>-53080.977367098</v>
      </c>
      <c r="F221" s="75" t="n">
        <f aca="false">F193-F202+F216+F217+F218</f>
        <v>-45827.3689705868</v>
      </c>
      <c r="G221" s="75" t="n">
        <f aca="false">G193-G202+G216+G217+G218</f>
        <v>-38528.8683473374</v>
      </c>
      <c r="H221" s="75" t="n">
        <f aca="false">H193-H202+H216+H217+H218</f>
        <v>-31107.7584114402</v>
      </c>
      <c r="I221" s="75" t="n">
        <f aca="false">I193-I202+I216+I217+I218</f>
        <v>-23568.9435354011</v>
      </c>
      <c r="J221" s="75" t="n">
        <f aca="false">J193-J202+J216+J217+J218</f>
        <v>-15917.1319168258</v>
      </c>
      <c r="K221" s="75" t="n">
        <f aca="false">K193-K202+K216+K217+K218</f>
        <v>-8156.84342541571</v>
      </c>
      <c r="L221" s="75" t="n">
        <f aca="false">L193-L202+L216+L217+L218</f>
        <v>-292.417136084256</v>
      </c>
      <c r="M221" s="75" t="n">
        <f aca="false">M193-M202+M216+M217+M218</f>
        <v>2150.10605857762</v>
      </c>
      <c r="N221" s="75" t="n">
        <f aca="false">N193-N202+N216+N217+N218</f>
        <v>-11978.9176271636</v>
      </c>
      <c r="O221" s="75" t="n">
        <f aca="false">O193-O202+O216+O217+O218</f>
        <v>-8211.58220440918</v>
      </c>
      <c r="P221" s="75" t="n">
        <f aca="false">P193-P202+P216+P217+P218</f>
        <v>-6271.67299746916</v>
      </c>
      <c r="Q221" s="75" t="n">
        <f aca="false">Q193-Q202+Q216+Q217+Q218</f>
        <v>12132.2244151499</v>
      </c>
      <c r="R221" s="75" t="n">
        <f aca="false">R193-R202+R216+R217+R218</f>
        <v>14157.9465430291</v>
      </c>
      <c r="S221" s="75" t="n">
        <f aca="false">S193-S202+S216+S217+S218</f>
        <v>16136.9132412779</v>
      </c>
      <c r="T221" s="75" t="n">
        <f aca="false">T193-T202+T216+T217+T218</f>
        <v>18043.8046049301</v>
      </c>
      <c r="U221" s="75" t="n">
        <f aca="false">U193-U202+U216+U217+U218</f>
        <v>19881.5036473696</v>
      </c>
      <c r="V221" s="75" t="n">
        <f aca="false">V193-V202+V216+V217+V218</f>
        <v>21652.7780614448</v>
      </c>
      <c r="W221" s="75" t="n">
        <f aca="false">W193-W202+W216+W217+W218</f>
        <v>23360.2848322903</v>
      </c>
      <c r="X221" s="75" t="n">
        <f aca="false">X193-X202+X216+X217+X218</f>
        <v>25006.5746656354</v>
      </c>
      <c r="Y221" s="75" t="n">
        <f aca="false">Y193-Y202+Y216+Y217+Y218</f>
        <v>26594.0962389799</v>
      </c>
      <c r="Z221" s="75" t="n">
        <f aca="false">Z193-Z202+Z216+Z217+Z218</f>
        <v>11995.5824844361</v>
      </c>
      <c r="AA221" s="75" t="n">
        <f aca="false">AA193-AA202+AA216+AA217+AA218</f>
        <v>15193.8036394933</v>
      </c>
      <c r="AB221" s="75" t="n">
        <f aca="false">AB193-AB202+AB216+AB217+AB218</f>
        <v>16440.073838224</v>
      </c>
      <c r="AC221" s="75" t="n">
        <f aca="false">AC193-AC202+AC216+AC217+AC218</f>
        <v>33996.6903303437</v>
      </c>
      <c r="AD221" s="75" t="n">
        <f aca="false">AD193-AD202+AD216+AD217+AD218</f>
        <v>35151.899472519</v>
      </c>
      <c r="AE221" s="75" t="n">
        <f aca="false">AE193-AE202+AE216+AE217+AE218</f>
        <v>36553.5671375767</v>
      </c>
      <c r="AF221" s="75" t="n">
        <f aca="false">AF193-AF202+AF216+AF217+AF218</f>
        <v>37906.2514293654</v>
      </c>
      <c r="AG221" s="75" t="n">
        <f aca="false">AG193-AG202+AG216+AG217+AG218</f>
        <v>39211.9116828159</v>
      </c>
      <c r="AH221" s="75" t="n">
        <f aca="false">AH193-AH202+AH216+AH217+AH218</f>
        <v>40472.4288594618</v>
      </c>
      <c r="AI221" s="75" t="n">
        <f aca="false">AI193-AI202+AI216+AI217+AI218</f>
        <v>41689.6086823751</v>
      </c>
      <c r="AJ221" s="75" t="n">
        <f aca="false">AJ193-AJ202+AJ216+AJ217+AJ218</f>
        <v>42865.1846457052</v>
      </c>
      <c r="AK221" s="75" t="n">
        <f aca="false">AK193-AK202+AK216+AK217+AK218</f>
        <v>44000.8209038355</v>
      </c>
      <c r="AL221" s="75" t="n">
        <f aca="false">AL193-AL202+AL216+AL217+AL218</f>
        <v>29033.6147610641</v>
      </c>
    </row>
    <row r="222" customFormat="false" ht="15" hidden="false" customHeight="false" outlineLevel="0" collapsed="false">
      <c r="A222" s="6" t="s">
        <v>430</v>
      </c>
      <c r="C222" s="69" t="n">
        <f aca="false">-C200</f>
        <v>-4100000</v>
      </c>
      <c r="D222" s="69" t="n">
        <f aca="false">-D200</f>
        <v>-0</v>
      </c>
      <c r="E222" s="69" t="n">
        <f aca="false">-E200</f>
        <v>-0</v>
      </c>
      <c r="F222" s="69" t="n">
        <f aca="false">-F200</f>
        <v>-0</v>
      </c>
      <c r="G222" s="69" t="n">
        <f aca="false">-G200</f>
        <v>-0</v>
      </c>
      <c r="H222" s="69" t="n">
        <f aca="false">-H200</f>
        <v>-0</v>
      </c>
      <c r="I222" s="69" t="n">
        <f aca="false">-I200</f>
        <v>-0</v>
      </c>
      <c r="J222" s="69" t="n">
        <f aca="false">-J200</f>
        <v>-0</v>
      </c>
      <c r="K222" s="69" t="n">
        <f aca="false">-K200</f>
        <v>-0</v>
      </c>
      <c r="L222" s="69" t="n">
        <f aca="false">-L200</f>
        <v>-0</v>
      </c>
      <c r="M222" s="69" t="n">
        <f aca="false">-M200</f>
        <v>-0</v>
      </c>
      <c r="N222" s="69" t="n">
        <f aca="false">-N200</f>
        <v>-0</v>
      </c>
      <c r="O222" s="69" t="n">
        <f aca="false">-O200</f>
        <v>-40000</v>
      </c>
      <c r="P222" s="69" t="n">
        <f aca="false">-P200</f>
        <v>-0</v>
      </c>
      <c r="Q222" s="69" t="n">
        <f aca="false">-Q200</f>
        <v>-0</v>
      </c>
      <c r="R222" s="69" t="n">
        <f aca="false">-R200</f>
        <v>-0</v>
      </c>
      <c r="S222" s="69" t="n">
        <f aca="false">-S200</f>
        <v>-0</v>
      </c>
      <c r="T222" s="69" t="n">
        <f aca="false">-T200</f>
        <v>-0</v>
      </c>
      <c r="U222" s="69" t="n">
        <f aca="false">-U200</f>
        <v>-0</v>
      </c>
      <c r="V222" s="69" t="n">
        <f aca="false">-V200</f>
        <v>-0</v>
      </c>
      <c r="W222" s="69" t="n">
        <f aca="false">-W200</f>
        <v>-0</v>
      </c>
      <c r="X222" s="69" t="n">
        <f aca="false">-X200</f>
        <v>-0</v>
      </c>
      <c r="Y222" s="69" t="n">
        <f aca="false">-Y200</f>
        <v>-0</v>
      </c>
      <c r="Z222" s="69" t="n">
        <f aca="false">-Z200</f>
        <v>-0</v>
      </c>
      <c r="AA222" s="69" t="n">
        <f aca="false">-AA200</f>
        <v>-40000</v>
      </c>
      <c r="AB222" s="69" t="n">
        <f aca="false">-AB200</f>
        <v>-0</v>
      </c>
      <c r="AC222" s="69" t="n">
        <f aca="false">-AC200</f>
        <v>-0</v>
      </c>
      <c r="AD222" s="69" t="n">
        <f aca="false">-AD200</f>
        <v>-0</v>
      </c>
      <c r="AE222" s="69" t="n">
        <f aca="false">-AE200</f>
        <v>-0</v>
      </c>
      <c r="AF222" s="69" t="n">
        <f aca="false">-AF200</f>
        <v>-0</v>
      </c>
      <c r="AG222" s="69" t="n">
        <f aca="false">-AG200</f>
        <v>-0</v>
      </c>
      <c r="AH222" s="69" t="n">
        <f aca="false">-AH200</f>
        <v>-0</v>
      </c>
      <c r="AI222" s="69" t="n">
        <f aca="false">-AI200</f>
        <v>-0</v>
      </c>
      <c r="AJ222" s="69" t="n">
        <f aca="false">-AJ200</f>
        <v>-0</v>
      </c>
      <c r="AK222" s="69" t="n">
        <f aca="false">-AK200</f>
        <v>-0</v>
      </c>
      <c r="AL222" s="69" t="n">
        <f aca="false">-AL200</f>
        <v>-0</v>
      </c>
    </row>
    <row r="223" customFormat="false" ht="15" hidden="false" customHeight="false" outlineLevel="0" collapsed="false">
      <c r="A223" s="6" t="s">
        <v>64</v>
      </c>
      <c r="C223" s="69" t="n">
        <f aca="false">IF(C$133=1,Inputs!$C$67,0)</f>
        <v>2100000</v>
      </c>
      <c r="D223" s="69" t="n">
        <f aca="false">IF(D$133=1,Inputs!$C$67,0)</f>
        <v>0</v>
      </c>
      <c r="E223" s="69" t="n">
        <f aca="false">IF(E$133=1,Inputs!$C$67,0)</f>
        <v>0</v>
      </c>
      <c r="F223" s="69" t="n">
        <f aca="false">IF(F$133=1,Inputs!$C$67,0)</f>
        <v>0</v>
      </c>
      <c r="G223" s="69" t="n">
        <f aca="false">IF(G$133=1,Inputs!$C$67,0)</f>
        <v>0</v>
      </c>
      <c r="H223" s="69" t="n">
        <f aca="false">IF(H$133=1,Inputs!$C$67,0)</f>
        <v>0</v>
      </c>
      <c r="I223" s="69" t="n">
        <f aca="false">IF(I$133=1,Inputs!$C$67,0)</f>
        <v>0</v>
      </c>
      <c r="J223" s="69" t="n">
        <f aca="false">IF(J$133=1,Inputs!$C$67,0)</f>
        <v>0</v>
      </c>
      <c r="K223" s="69" t="n">
        <f aca="false">IF(K$133=1,Inputs!$C$67,0)</f>
        <v>0</v>
      </c>
      <c r="L223" s="69" t="n">
        <f aca="false">IF(L$133=1,Inputs!$C$67,0)</f>
        <v>0</v>
      </c>
      <c r="M223" s="69" t="n">
        <f aca="false">IF(M$133=1,Inputs!$C$67,0)</f>
        <v>0</v>
      </c>
      <c r="N223" s="69" t="n">
        <f aca="false">IF(N$133=1,Inputs!$C$67,0)</f>
        <v>0</v>
      </c>
      <c r="O223" s="69" t="n">
        <f aca="false">IF(O$133=1,Inputs!$C$67,0)</f>
        <v>0</v>
      </c>
      <c r="P223" s="69" t="n">
        <f aca="false">IF(P$133=1,Inputs!$C$67,0)</f>
        <v>0</v>
      </c>
      <c r="Q223" s="69" t="n">
        <f aca="false">IF(Q$133=1,Inputs!$C$67,0)</f>
        <v>0</v>
      </c>
      <c r="R223" s="69" t="n">
        <f aca="false">IF(R$133=1,Inputs!$C$67,0)</f>
        <v>0</v>
      </c>
      <c r="S223" s="69" t="n">
        <f aca="false">IF(S$133=1,Inputs!$C$67,0)</f>
        <v>0</v>
      </c>
      <c r="T223" s="69" t="n">
        <f aca="false">IF(T$133=1,Inputs!$C$67,0)</f>
        <v>0</v>
      </c>
      <c r="U223" s="69" t="n">
        <f aca="false">IF(U$133=1,Inputs!$C$67,0)</f>
        <v>0</v>
      </c>
      <c r="V223" s="69" t="n">
        <f aca="false">IF(V$133=1,Inputs!$C$67,0)</f>
        <v>0</v>
      </c>
      <c r="W223" s="69" t="n">
        <f aca="false">IF(W$133=1,Inputs!$C$67,0)</f>
        <v>0</v>
      </c>
      <c r="X223" s="69" t="n">
        <f aca="false">IF(X$133=1,Inputs!$C$67,0)</f>
        <v>0</v>
      </c>
      <c r="Y223" s="69" t="n">
        <f aca="false">IF(Y$133=1,Inputs!$C$67,0)</f>
        <v>0</v>
      </c>
      <c r="Z223" s="69" t="n">
        <f aca="false">IF(Z$133=1,Inputs!$C$67,0)</f>
        <v>0</v>
      </c>
      <c r="AA223" s="69" t="n">
        <f aca="false">IF(AA$133=1,Inputs!$C$67,0)</f>
        <v>0</v>
      </c>
      <c r="AB223" s="69" t="n">
        <f aca="false">IF(AB$133=1,Inputs!$C$67,0)</f>
        <v>0</v>
      </c>
      <c r="AC223" s="69" t="n">
        <f aca="false">IF(AC$133=1,Inputs!$C$67,0)</f>
        <v>0</v>
      </c>
      <c r="AD223" s="69" t="n">
        <f aca="false">IF(AD$133=1,Inputs!$C$67,0)</f>
        <v>0</v>
      </c>
      <c r="AE223" s="69" t="n">
        <f aca="false">IF(AE$133=1,Inputs!$C$67,0)</f>
        <v>0</v>
      </c>
      <c r="AF223" s="69" t="n">
        <f aca="false">IF(AF$133=1,Inputs!$C$67,0)</f>
        <v>0</v>
      </c>
      <c r="AG223" s="69" t="n">
        <f aca="false">IF(AG$133=1,Inputs!$C$67,0)</f>
        <v>0</v>
      </c>
      <c r="AH223" s="69" t="n">
        <f aca="false">IF(AH$133=1,Inputs!$C$67,0)</f>
        <v>0</v>
      </c>
      <c r="AI223" s="69" t="n">
        <f aca="false">IF(AI$133=1,Inputs!$C$67,0)</f>
        <v>0</v>
      </c>
      <c r="AJ223" s="69" t="n">
        <f aca="false">IF(AJ$133=1,Inputs!$C$67,0)</f>
        <v>0</v>
      </c>
      <c r="AK223" s="69" t="n">
        <f aca="false">IF(AK$133=1,Inputs!$C$67,0)</f>
        <v>0</v>
      </c>
      <c r="AL223" s="69" t="n">
        <f aca="false">IF(AL$133=1,Inputs!$C$67,0)</f>
        <v>0</v>
      </c>
    </row>
    <row r="224" customFormat="false" ht="15" hidden="false" customHeight="false" outlineLevel="0" collapsed="false">
      <c r="A224" s="6" t="s">
        <v>54</v>
      </c>
      <c r="C224" s="69" t="n">
        <f aca="false">C223+C208+C209</f>
        <v>5100000</v>
      </c>
      <c r="D224" s="69" t="n">
        <f aca="false">D223+D208+D209</f>
        <v>-25000</v>
      </c>
      <c r="E224" s="69" t="n">
        <f aca="false">E223+E208+E209</f>
        <v>-25000</v>
      </c>
      <c r="F224" s="69" t="n">
        <f aca="false">F223+F208+F209</f>
        <v>-25000</v>
      </c>
      <c r="G224" s="69" t="n">
        <f aca="false">G223+G208+G209</f>
        <v>-25000</v>
      </c>
      <c r="H224" s="69" t="n">
        <f aca="false">H223+H208+H209</f>
        <v>-25000</v>
      </c>
      <c r="I224" s="69" t="n">
        <f aca="false">I223+I208+I209</f>
        <v>-25000</v>
      </c>
      <c r="J224" s="69" t="n">
        <f aca="false">J223+J208+J209</f>
        <v>-25000</v>
      </c>
      <c r="K224" s="69" t="n">
        <f aca="false">K223+K208+K209</f>
        <v>-25000</v>
      </c>
      <c r="L224" s="69" t="n">
        <f aca="false">L223+L208+L209</f>
        <v>-25000</v>
      </c>
      <c r="M224" s="69" t="n">
        <f aca="false">M223+M208+M209</f>
        <v>-25000</v>
      </c>
      <c r="N224" s="69" t="n">
        <f aca="false">N223+N208+N209</f>
        <v>-25000</v>
      </c>
      <c r="O224" s="69" t="n">
        <f aca="false">O223+O208+O209</f>
        <v>-25000</v>
      </c>
      <c r="P224" s="69" t="n">
        <f aca="false">P223+P208+P209</f>
        <v>-25000</v>
      </c>
      <c r="Q224" s="69" t="n">
        <f aca="false">Q223+Q208+Q209</f>
        <v>-25000</v>
      </c>
      <c r="R224" s="69" t="n">
        <f aca="false">R223+R208+R209</f>
        <v>-25000</v>
      </c>
      <c r="S224" s="69" t="n">
        <f aca="false">S223+S208+S209</f>
        <v>-25000</v>
      </c>
      <c r="T224" s="69" t="n">
        <f aca="false">T223+T208+T209</f>
        <v>-25000</v>
      </c>
      <c r="U224" s="69" t="n">
        <f aca="false">U223+U208+U209</f>
        <v>-25000</v>
      </c>
      <c r="V224" s="69" t="n">
        <f aca="false">V223+V208+V209</f>
        <v>-25000</v>
      </c>
      <c r="W224" s="69" t="n">
        <f aca="false">W223+W208+W209</f>
        <v>-25000</v>
      </c>
      <c r="X224" s="69" t="n">
        <f aca="false">X223+X208+X209</f>
        <v>-25000</v>
      </c>
      <c r="Y224" s="69" t="n">
        <f aca="false">Y223+Y208+Y209</f>
        <v>-25000</v>
      </c>
      <c r="Z224" s="69" t="n">
        <f aca="false">Z223+Z208+Z209</f>
        <v>-25000</v>
      </c>
      <c r="AA224" s="69" t="n">
        <f aca="false">AA223+AA208+AA209</f>
        <v>-25000</v>
      </c>
      <c r="AB224" s="69" t="n">
        <f aca="false">AB223+AB208+AB209</f>
        <v>-25000</v>
      </c>
      <c r="AC224" s="69" t="n">
        <f aca="false">AC223+AC208+AC209</f>
        <v>-25000</v>
      </c>
      <c r="AD224" s="69" t="n">
        <f aca="false">AD223+AD208+AD209</f>
        <v>-25000</v>
      </c>
      <c r="AE224" s="69" t="n">
        <f aca="false">AE223+AE208+AE209</f>
        <v>-25000</v>
      </c>
      <c r="AF224" s="69" t="n">
        <f aca="false">AF223+AF208+AF209</f>
        <v>-25000</v>
      </c>
      <c r="AG224" s="69" t="n">
        <f aca="false">AG223+AG208+AG209</f>
        <v>-25000</v>
      </c>
      <c r="AH224" s="69" t="n">
        <f aca="false">AH223+AH208+AH209</f>
        <v>-25000</v>
      </c>
      <c r="AI224" s="69" t="n">
        <f aca="false">AI223+AI208+AI209</f>
        <v>-25000</v>
      </c>
      <c r="AJ224" s="69" t="n">
        <f aca="false">AJ223+AJ208+AJ209</f>
        <v>-25000</v>
      </c>
      <c r="AK224" s="69" t="n">
        <f aca="false">AK223+AK208+AK209</f>
        <v>-25000</v>
      </c>
      <c r="AL224" s="69" t="n">
        <f aca="false">AL223+AL208+AL209</f>
        <v>-25000</v>
      </c>
    </row>
    <row r="225" customFormat="false" ht="15" hidden="false" customHeight="false" outlineLevel="0" collapsed="false">
      <c r="A225" s="113" t="s">
        <v>431</v>
      </c>
      <c r="C225" s="70" t="n">
        <f aca="false">C221+C222+C224</f>
        <v>925195.8369694</v>
      </c>
      <c r="D225" s="70" t="n">
        <f aca="false">D221+D222+D224</f>
        <v>-93444.5087441057</v>
      </c>
      <c r="E225" s="70" t="n">
        <f aca="false">E221+E222+E224</f>
        <v>-78080.977367098</v>
      </c>
      <c r="F225" s="70" t="n">
        <f aca="false">F221+F222+F224</f>
        <v>-70827.3689705868</v>
      </c>
      <c r="G225" s="70" t="n">
        <f aca="false">G221+G222+G224</f>
        <v>-63528.8683473374</v>
      </c>
      <c r="H225" s="70" t="n">
        <f aca="false">H221+H222+H224</f>
        <v>-56107.7584114402</v>
      </c>
      <c r="I225" s="70" t="n">
        <f aca="false">I221+I222+I224</f>
        <v>-48568.9435354011</v>
      </c>
      <c r="J225" s="70" t="n">
        <f aca="false">J221+J222+J224</f>
        <v>-40917.1319168258</v>
      </c>
      <c r="K225" s="70" t="n">
        <f aca="false">K221+K222+K224</f>
        <v>-33156.8434254157</v>
      </c>
      <c r="L225" s="70" t="n">
        <f aca="false">L221+L222+L224</f>
        <v>-25292.4171360843</v>
      </c>
      <c r="M225" s="70" t="n">
        <f aca="false">M221+M222+M224</f>
        <v>-22849.8939414224</v>
      </c>
      <c r="N225" s="70" t="n">
        <f aca="false">N221+N222+N224</f>
        <v>-36978.9176271636</v>
      </c>
      <c r="O225" s="70" t="n">
        <f aca="false">O221+O222+O224</f>
        <v>-73211.5822044092</v>
      </c>
      <c r="P225" s="70" t="n">
        <f aca="false">P221+P222+P224</f>
        <v>-31271.6729974692</v>
      </c>
      <c r="Q225" s="70" t="n">
        <f aca="false">Q221+Q222+Q224</f>
        <v>-12867.7755848501</v>
      </c>
      <c r="R225" s="70" t="n">
        <f aca="false">R221+R222+R224</f>
        <v>-10842.0534569709</v>
      </c>
      <c r="S225" s="70" t="n">
        <f aca="false">S221+S222+S224</f>
        <v>-8863.08675872211</v>
      </c>
      <c r="T225" s="70" t="n">
        <f aca="false">T221+T222+T224</f>
        <v>-6956.19539506988</v>
      </c>
      <c r="U225" s="70" t="n">
        <f aca="false">U221+U222+U224</f>
        <v>-5118.49635263045</v>
      </c>
      <c r="V225" s="70" t="n">
        <f aca="false">V221+V222+V224</f>
        <v>-3347.22193855521</v>
      </c>
      <c r="W225" s="70" t="n">
        <f aca="false">W221+W222+W224</f>
        <v>-1639.71516770967</v>
      </c>
      <c r="X225" s="70" t="n">
        <f aca="false">X221+X222+X224</f>
        <v>6.5746656354022</v>
      </c>
      <c r="Y225" s="70" t="n">
        <f aca="false">Y221+Y222+Y224</f>
        <v>1594.09623897995</v>
      </c>
      <c r="Z225" s="70" t="n">
        <f aca="false">Z221+Z222+Z224</f>
        <v>-13004.4175155639</v>
      </c>
      <c r="AA225" s="70" t="n">
        <f aca="false">AA221+AA222+AA224</f>
        <v>-49806.1963605067</v>
      </c>
      <c r="AB225" s="70" t="n">
        <f aca="false">AB221+AB222+AB224</f>
        <v>-8559.92616177598</v>
      </c>
      <c r="AC225" s="70" t="n">
        <f aca="false">AC221+AC222+AC224</f>
        <v>8996.69033034372</v>
      </c>
      <c r="AD225" s="70" t="n">
        <f aca="false">AD221+AD222+AD224</f>
        <v>10151.899472519</v>
      </c>
      <c r="AE225" s="70" t="n">
        <f aca="false">AE221+AE222+AE224</f>
        <v>11553.5671375767</v>
      </c>
      <c r="AF225" s="70" t="n">
        <f aca="false">AF221+AF222+AF224</f>
        <v>12906.2514293654</v>
      </c>
      <c r="AG225" s="70" t="n">
        <f aca="false">AG221+AG222+AG224</f>
        <v>14211.9116828159</v>
      </c>
      <c r="AH225" s="70" t="n">
        <f aca="false">AH221+AH222+AH224</f>
        <v>15472.4288594618</v>
      </c>
      <c r="AI225" s="70" t="n">
        <f aca="false">AI221+AI222+AI224</f>
        <v>16689.6086823751</v>
      </c>
      <c r="AJ225" s="70" t="n">
        <f aca="false">AJ221+AJ222+AJ224</f>
        <v>17865.1846457052</v>
      </c>
      <c r="AK225" s="70" t="n">
        <f aca="false">AK221+AK222+AK224</f>
        <v>19000.8209038355</v>
      </c>
      <c r="AL225" s="70" t="n">
        <f aca="false">AL221+AL222+AL224</f>
        <v>4033.61476106406</v>
      </c>
    </row>
    <row r="226" customFormat="false" ht="15" hidden="false" customHeight="false" outlineLevel="0" collapsed="false">
      <c r="A226" s="6" t="s">
        <v>347</v>
      </c>
      <c r="C226" s="69" t="n">
        <f aca="false">0</f>
        <v>0</v>
      </c>
      <c r="D226" s="69" t="n">
        <f aca="false">C227</f>
        <v>925195.8369694</v>
      </c>
      <c r="E226" s="69" t="n">
        <f aca="false">D227</f>
        <v>831751.328225294</v>
      </c>
      <c r="F226" s="69" t="n">
        <f aca="false">E227</f>
        <v>753670.350858196</v>
      </c>
      <c r="G226" s="69" t="n">
        <f aca="false">F227</f>
        <v>682842.981887609</v>
      </c>
      <c r="H226" s="69" t="n">
        <f aca="false">G227</f>
        <v>619314.113540272</v>
      </c>
      <c r="I226" s="69" t="n">
        <f aca="false">H227</f>
        <v>563206.355128832</v>
      </c>
      <c r="J226" s="69" t="n">
        <f aca="false">I227</f>
        <v>514637.411593431</v>
      </c>
      <c r="K226" s="69" t="n">
        <f aca="false">J227</f>
        <v>473720.279676605</v>
      </c>
      <c r="L226" s="69" t="n">
        <f aca="false">K227</f>
        <v>440563.436251189</v>
      </c>
      <c r="M226" s="69" t="n">
        <f aca="false">L227</f>
        <v>415271.019115105</v>
      </c>
      <c r="N226" s="69" t="n">
        <f aca="false">M227</f>
        <v>392421.125173683</v>
      </c>
      <c r="O226" s="69" t="n">
        <f aca="false">N227</f>
        <v>355442.207546519</v>
      </c>
      <c r="P226" s="69" t="n">
        <f aca="false">O227</f>
        <v>282230.62534211</v>
      </c>
      <c r="Q226" s="69" t="n">
        <f aca="false">P227</f>
        <v>250958.952344641</v>
      </c>
      <c r="R226" s="69" t="n">
        <f aca="false">Q227</f>
        <v>238091.176759791</v>
      </c>
      <c r="S226" s="69" t="n">
        <f aca="false">R227</f>
        <v>227249.12330282</v>
      </c>
      <c r="T226" s="69" t="n">
        <f aca="false">S227</f>
        <v>218386.036544098</v>
      </c>
      <c r="U226" s="69" t="n">
        <f aca="false">T227</f>
        <v>211429.841149028</v>
      </c>
      <c r="V226" s="69" t="n">
        <f aca="false">U227</f>
        <v>206311.344796397</v>
      </c>
      <c r="W226" s="69" t="n">
        <f aca="false">V227</f>
        <v>202964.122857842</v>
      </c>
      <c r="X226" s="69" t="n">
        <f aca="false">W227</f>
        <v>201324.407690132</v>
      </c>
      <c r="Y226" s="69" t="n">
        <f aca="false">X227</f>
        <v>201330.982355768</v>
      </c>
      <c r="Z226" s="69" t="n">
        <f aca="false">Y227</f>
        <v>202925.078594748</v>
      </c>
      <c r="AA226" s="69" t="n">
        <f aca="false">Z227</f>
        <v>189920.661079184</v>
      </c>
      <c r="AB226" s="69" t="n">
        <f aca="false">AA227</f>
        <v>140114.464718677</v>
      </c>
      <c r="AC226" s="69" t="n">
        <f aca="false">AB227</f>
        <v>131554.538556901</v>
      </c>
      <c r="AD226" s="69" t="n">
        <f aca="false">AC227</f>
        <v>140551.228887245</v>
      </c>
      <c r="AE226" s="69" t="n">
        <f aca="false">AD227</f>
        <v>150703.128359764</v>
      </c>
      <c r="AF226" s="69" t="n">
        <f aca="false">AE227</f>
        <v>162256.695497341</v>
      </c>
      <c r="AG226" s="69" t="n">
        <f aca="false">AF227</f>
        <v>175162.946926706</v>
      </c>
      <c r="AH226" s="69" t="n">
        <f aca="false">AG227</f>
        <v>189374.858609522</v>
      </c>
      <c r="AI226" s="69" t="n">
        <f aca="false">AH227</f>
        <v>204847.287468984</v>
      </c>
      <c r="AJ226" s="69" t="n">
        <f aca="false">AI227</f>
        <v>221536.896151359</v>
      </c>
      <c r="AK226" s="69" t="n">
        <f aca="false">AJ227</f>
        <v>239402.080797064</v>
      </c>
      <c r="AL226" s="69" t="n">
        <f aca="false">AK227</f>
        <v>258402.901700899</v>
      </c>
    </row>
    <row r="227" customFormat="false" ht="15" hidden="false" customHeight="false" outlineLevel="0" collapsed="false">
      <c r="A227" s="113" t="s">
        <v>87</v>
      </c>
      <c r="C227" s="70" t="n">
        <f aca="false">C226+C225</f>
        <v>925195.8369694</v>
      </c>
      <c r="D227" s="70" t="n">
        <f aca="false">D226+D225</f>
        <v>831751.328225294</v>
      </c>
      <c r="E227" s="70" t="n">
        <f aca="false">E226+E225</f>
        <v>753670.350858196</v>
      </c>
      <c r="F227" s="70" t="n">
        <f aca="false">F226+F225</f>
        <v>682842.981887609</v>
      </c>
      <c r="G227" s="70" t="n">
        <f aca="false">G226+G225</f>
        <v>619314.113540272</v>
      </c>
      <c r="H227" s="70" t="n">
        <f aca="false">H226+H225</f>
        <v>563206.355128832</v>
      </c>
      <c r="I227" s="70" t="n">
        <f aca="false">I226+I225</f>
        <v>514637.411593431</v>
      </c>
      <c r="J227" s="70" t="n">
        <f aca="false">J226+J225</f>
        <v>473720.279676605</v>
      </c>
      <c r="K227" s="70" t="n">
        <f aca="false">K226+K225</f>
        <v>440563.436251189</v>
      </c>
      <c r="L227" s="70" t="n">
        <f aca="false">L226+L225</f>
        <v>415271.019115105</v>
      </c>
      <c r="M227" s="70" t="n">
        <f aca="false">M226+M225</f>
        <v>392421.125173683</v>
      </c>
      <c r="N227" s="70" t="n">
        <f aca="false">N226+N225</f>
        <v>355442.207546519</v>
      </c>
      <c r="O227" s="70" t="n">
        <f aca="false">O226+O225</f>
        <v>282230.62534211</v>
      </c>
      <c r="P227" s="70" t="n">
        <f aca="false">P226+P225</f>
        <v>250958.952344641</v>
      </c>
      <c r="Q227" s="70" t="n">
        <f aca="false">Q226+Q225</f>
        <v>238091.176759791</v>
      </c>
      <c r="R227" s="70" t="n">
        <f aca="false">R226+R225</f>
        <v>227249.12330282</v>
      </c>
      <c r="S227" s="70" t="n">
        <f aca="false">S226+S225</f>
        <v>218386.036544098</v>
      </c>
      <c r="T227" s="70" t="n">
        <f aca="false">T226+T225</f>
        <v>211429.841149028</v>
      </c>
      <c r="U227" s="70" t="n">
        <f aca="false">U226+U225</f>
        <v>206311.344796397</v>
      </c>
      <c r="V227" s="70" t="n">
        <f aca="false">V226+V225</f>
        <v>202964.122857842</v>
      </c>
      <c r="W227" s="70" t="n">
        <f aca="false">W226+W225</f>
        <v>201324.407690132</v>
      </c>
      <c r="X227" s="70" t="n">
        <f aca="false">X226+X225</f>
        <v>201330.982355768</v>
      </c>
      <c r="Y227" s="70" t="n">
        <f aca="false">Y226+Y225</f>
        <v>202925.078594748</v>
      </c>
      <c r="Z227" s="70" t="n">
        <f aca="false">Z226+Z225</f>
        <v>189920.661079184</v>
      </c>
      <c r="AA227" s="70" t="n">
        <f aca="false">AA226+AA225</f>
        <v>140114.464718677</v>
      </c>
      <c r="AB227" s="70" t="n">
        <f aca="false">AB226+AB225</f>
        <v>131554.538556901</v>
      </c>
      <c r="AC227" s="70" t="n">
        <f aca="false">AC226+AC225</f>
        <v>140551.228887245</v>
      </c>
      <c r="AD227" s="70" t="n">
        <f aca="false">AD226+AD225</f>
        <v>150703.128359764</v>
      </c>
      <c r="AE227" s="70" t="n">
        <f aca="false">AE226+AE225</f>
        <v>162256.695497341</v>
      </c>
      <c r="AF227" s="70" t="n">
        <f aca="false">AF226+AF225</f>
        <v>175162.946926706</v>
      </c>
      <c r="AG227" s="70" t="n">
        <f aca="false">AG226+AG225</f>
        <v>189374.858609522</v>
      </c>
      <c r="AH227" s="70" t="n">
        <f aca="false">AH226+AH225</f>
        <v>204847.287468984</v>
      </c>
      <c r="AI227" s="70" t="n">
        <f aca="false">AI226+AI225</f>
        <v>221536.896151359</v>
      </c>
      <c r="AJ227" s="70" t="n">
        <f aca="false">AJ226+AJ225</f>
        <v>239402.080797064</v>
      </c>
      <c r="AK227" s="70" t="n">
        <f aca="false">AK226+AK225</f>
        <v>258402.901700899</v>
      </c>
      <c r="AL227" s="70" t="n">
        <f aca="false">AL226+AL225</f>
        <v>262436.516461964</v>
      </c>
    </row>
    <row r="228" customFormat="false" ht="15" hidden="false" customHeight="false" outlineLevel="0" collapsed="false">
      <c r="A228" s="116" t="s">
        <v>432</v>
      </c>
      <c r="C228" s="118" t="n">
        <f aca="false">IF(C184&gt;0,1,0)</f>
        <v>0</v>
      </c>
      <c r="D228" s="118" t="n">
        <f aca="false">IF(D184&gt;0,1,0)</f>
        <v>0</v>
      </c>
      <c r="E228" s="118" t="n">
        <f aca="false">IF(E184&gt;0,1,0)</f>
        <v>0</v>
      </c>
      <c r="F228" s="118" t="n">
        <f aca="false">IF(F184&gt;0,1,0)</f>
        <v>0</v>
      </c>
      <c r="G228" s="118" t="n">
        <f aca="false">IF(G184&gt;0,1,0)</f>
        <v>0</v>
      </c>
      <c r="H228" s="118" t="n">
        <f aca="false">IF(H184&gt;0,1,0)</f>
        <v>0</v>
      </c>
      <c r="I228" s="118" t="n">
        <f aca="false">IF(I184&gt;0,1,0)</f>
        <v>0</v>
      </c>
      <c r="J228" s="118" t="n">
        <f aca="false">IF(J184&gt;0,1,0)</f>
        <v>1</v>
      </c>
      <c r="K228" s="118" t="n">
        <f aca="false">IF(K184&gt;0,1,0)</f>
        <v>1</v>
      </c>
      <c r="L228" s="118" t="n">
        <f aca="false">IF(L184&gt;0,1,0)</f>
        <v>1</v>
      </c>
      <c r="M228" s="118" t="n">
        <f aca="false">IF(M184&gt;0,1,0)</f>
        <v>1</v>
      </c>
      <c r="N228" s="118" t="n">
        <f aca="false">IF(N184&gt;0,1,0)</f>
        <v>1</v>
      </c>
      <c r="O228" s="118" t="n">
        <f aca="false">IF(O184&gt;0,1,0)</f>
        <v>1</v>
      </c>
      <c r="P228" s="118" t="n">
        <f aca="false">IF(P184&gt;0,1,0)</f>
        <v>1</v>
      </c>
      <c r="Q228" s="118" t="n">
        <f aca="false">IF(Q184&gt;0,1,0)</f>
        <v>1</v>
      </c>
      <c r="R228" s="118" t="n">
        <f aca="false">IF(R184&gt;0,1,0)</f>
        <v>1</v>
      </c>
      <c r="S228" s="118" t="n">
        <f aca="false">IF(S184&gt;0,1,0)</f>
        <v>1</v>
      </c>
      <c r="T228" s="118" t="n">
        <f aca="false">IF(T184&gt;0,1,0)</f>
        <v>1</v>
      </c>
      <c r="U228" s="118" t="n">
        <f aca="false">IF(U184&gt;0,1,0)</f>
        <v>1</v>
      </c>
      <c r="V228" s="118" t="n">
        <f aca="false">IF(V184&gt;0,1,0)</f>
        <v>1</v>
      </c>
      <c r="W228" s="118" t="n">
        <f aca="false">IF(W184&gt;0,1,0)</f>
        <v>1</v>
      </c>
      <c r="X228" s="118" t="n">
        <f aca="false">IF(X184&gt;0,1,0)</f>
        <v>1</v>
      </c>
      <c r="Y228" s="118" t="n">
        <f aca="false">IF(Y184&gt;0,1,0)</f>
        <v>1</v>
      </c>
      <c r="Z228" s="118" t="n">
        <f aca="false">IF(Z184&gt;0,1,0)</f>
        <v>1</v>
      </c>
      <c r="AA228" s="118" t="n">
        <f aca="false">IF(AA184&gt;0,1,0)</f>
        <v>1</v>
      </c>
      <c r="AB228" s="118" t="n">
        <f aca="false">IF(AB184&gt;0,1,0)</f>
        <v>1</v>
      </c>
      <c r="AC228" s="118" t="n">
        <f aca="false">IF(AC184&gt;0,1,0)</f>
        <v>1</v>
      </c>
      <c r="AD228" s="118" t="n">
        <f aca="false">IF(AD184&gt;0,1,0)</f>
        <v>1</v>
      </c>
      <c r="AE228" s="118" t="n">
        <f aca="false">IF(AE184&gt;0,1,0)</f>
        <v>1</v>
      </c>
      <c r="AF228" s="118" t="n">
        <f aca="false">IF(AF184&gt;0,1,0)</f>
        <v>1</v>
      </c>
      <c r="AG228" s="118" t="n">
        <f aca="false">IF(AG184&gt;0,1,0)</f>
        <v>1</v>
      </c>
      <c r="AH228" s="118" t="n">
        <f aca="false">IF(AH184&gt;0,1,0)</f>
        <v>1</v>
      </c>
      <c r="AI228" s="118" t="n">
        <f aca="false">IF(AI184&gt;0,1,0)</f>
        <v>1</v>
      </c>
      <c r="AJ228" s="118" t="n">
        <f aca="false">IF(AJ184&gt;0,1,0)</f>
        <v>1</v>
      </c>
      <c r="AK228" s="118" t="n">
        <f aca="false">IF(AK184&gt;0,1,0)</f>
        <v>1</v>
      </c>
      <c r="AL228" s="118" t="n">
        <f aca="false">IF(AL184&gt;0,1,0)</f>
        <v>1</v>
      </c>
    </row>
    <row r="230" customFormat="false" ht="15.75" hidden="false" customHeight="true" outlineLevel="0" collapsed="false">
      <c r="A230" s="7" t="s">
        <v>433</v>
      </c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customFormat="false" ht="15" hidden="false" customHeight="false" outlineLevel="0" collapsed="false">
      <c r="A231" s="116" t="s">
        <v>434</v>
      </c>
      <c r="C231" s="118" t="n">
        <f aca="false">IF(C193&gt;0,1,0)</f>
        <v>0</v>
      </c>
      <c r="D231" s="118" t="n">
        <f aca="false">IF(D193&gt;0,1,0)</f>
        <v>0</v>
      </c>
      <c r="E231" s="118" t="n">
        <f aca="false">IF(E193&gt;0,1,0)</f>
        <v>0</v>
      </c>
      <c r="F231" s="118" t="n">
        <f aca="false">IF(F193&gt;0,1,0)</f>
        <v>0</v>
      </c>
      <c r="G231" s="118" t="n">
        <f aca="false">IF(G193&gt;0,1,0)</f>
        <v>0</v>
      </c>
      <c r="H231" s="118" t="n">
        <f aca="false">IF(H193&gt;0,1,0)</f>
        <v>0</v>
      </c>
      <c r="I231" s="118" t="n">
        <f aca="false">IF(I193&gt;0,1,0)</f>
        <v>0</v>
      </c>
      <c r="J231" s="118" t="n">
        <f aca="false">IF(J193&gt;0,1,0)</f>
        <v>0</v>
      </c>
      <c r="K231" s="118" t="n">
        <f aca="false">IF(K193&gt;0,1,0)</f>
        <v>0</v>
      </c>
      <c r="L231" s="118" t="n">
        <f aca="false">IF(L193&gt;0,1,0)</f>
        <v>0</v>
      </c>
      <c r="M231" s="118" t="n">
        <f aca="false">IF(M193&gt;0,1,0)</f>
        <v>0</v>
      </c>
      <c r="N231" s="118" t="n">
        <f aca="false">IF(N193&gt;0,1,0)</f>
        <v>0</v>
      </c>
      <c r="O231" s="118" t="n">
        <f aca="false">IF(O193&gt;0,1,0)</f>
        <v>0</v>
      </c>
      <c r="P231" s="118" t="n">
        <f aca="false">IF(P193&gt;0,1,0)</f>
        <v>0</v>
      </c>
      <c r="Q231" s="118" t="n">
        <f aca="false">IF(Q193&gt;0,1,0)</f>
        <v>0</v>
      </c>
      <c r="R231" s="118" t="n">
        <f aca="false">IF(R193&gt;0,1,0)</f>
        <v>0</v>
      </c>
      <c r="S231" s="118" t="n">
        <f aca="false">IF(S193&gt;0,1,0)</f>
        <v>0</v>
      </c>
      <c r="T231" s="118" t="n">
        <f aca="false">IF(T193&gt;0,1,0)</f>
        <v>0</v>
      </c>
      <c r="U231" s="118" t="n">
        <f aca="false">IF(U193&gt;0,1,0)</f>
        <v>0</v>
      </c>
      <c r="V231" s="118" t="n">
        <f aca="false">IF(V193&gt;0,1,0)</f>
        <v>0</v>
      </c>
      <c r="W231" s="118" t="n">
        <f aca="false">IF(W193&gt;0,1,0)</f>
        <v>0</v>
      </c>
      <c r="X231" s="118" t="n">
        <f aca="false">IF(X193&gt;0,1,0)</f>
        <v>0</v>
      </c>
      <c r="Y231" s="118" t="n">
        <f aca="false">IF(Y193&gt;0,1,0)</f>
        <v>0</v>
      </c>
      <c r="Z231" s="118" t="n">
        <f aca="false">IF(Z193&gt;0,1,0)</f>
        <v>0</v>
      </c>
      <c r="AA231" s="118" t="n">
        <f aca="false">IF(AA193&gt;0,1,0)</f>
        <v>0</v>
      </c>
      <c r="AB231" s="118" t="n">
        <f aca="false">IF(AB193&gt;0,1,0)</f>
        <v>0</v>
      </c>
      <c r="AC231" s="118" t="n">
        <f aca="false">IF(AC193&gt;0,1,0)</f>
        <v>1</v>
      </c>
      <c r="AD231" s="118" t="n">
        <f aca="false">IF(AD193&gt;0,1,0)</f>
        <v>1</v>
      </c>
      <c r="AE231" s="118" t="n">
        <f aca="false">IF(AE193&gt;0,1,0)</f>
        <v>1</v>
      </c>
      <c r="AF231" s="118" t="n">
        <f aca="false">IF(AF193&gt;0,1,0)</f>
        <v>1</v>
      </c>
      <c r="AG231" s="118" t="n">
        <f aca="false">IF(AG193&gt;0,1,0)</f>
        <v>1</v>
      </c>
      <c r="AH231" s="118" t="n">
        <f aca="false">IF(AH193&gt;0,1,0)</f>
        <v>1</v>
      </c>
      <c r="AI231" s="118" t="n">
        <f aca="false">IF(AI193&gt;0,1,0)</f>
        <v>1</v>
      </c>
      <c r="AJ231" s="118" t="n">
        <f aca="false">IF(AJ193&gt;0,1,0)</f>
        <v>1</v>
      </c>
      <c r="AK231" s="118" t="n">
        <f aca="false">IF(AK193&gt;0,1,0)</f>
        <v>1</v>
      </c>
      <c r="AL231" s="118" t="n">
        <f aca="false">IF(AL193&gt;0,1,0)</f>
        <v>1</v>
      </c>
    </row>
    <row r="232" customFormat="false" ht="15" hidden="false" customHeight="false" outlineLevel="0" collapsed="false">
      <c r="A232" s="6" t="s">
        <v>435</v>
      </c>
      <c r="C232" s="69" t="n">
        <f aca="false">C221+C222</f>
        <v>-4174804.1630306</v>
      </c>
      <c r="D232" s="69" t="n">
        <f aca="false">D221+D222</f>
        <v>-68444.5087441057</v>
      </c>
      <c r="E232" s="69" t="n">
        <f aca="false">E221+E222</f>
        <v>-53080.977367098</v>
      </c>
      <c r="F232" s="69" t="n">
        <f aca="false">F221+F222</f>
        <v>-45827.3689705868</v>
      </c>
      <c r="G232" s="69" t="n">
        <f aca="false">G221+G222</f>
        <v>-38528.8683473374</v>
      </c>
      <c r="H232" s="69" t="n">
        <f aca="false">H221+H222</f>
        <v>-31107.7584114402</v>
      </c>
      <c r="I232" s="69" t="n">
        <f aca="false">I221+I222</f>
        <v>-23568.9435354011</v>
      </c>
      <c r="J232" s="69" t="n">
        <f aca="false">J221+J222</f>
        <v>-15917.1319168258</v>
      </c>
      <c r="K232" s="69" t="n">
        <f aca="false">K221+K222</f>
        <v>-8156.84342541571</v>
      </c>
      <c r="L232" s="69" t="n">
        <f aca="false">L221+L222</f>
        <v>-292.417136084256</v>
      </c>
      <c r="M232" s="69" t="n">
        <f aca="false">M221+M222</f>
        <v>2150.10605857762</v>
      </c>
      <c r="N232" s="69" t="n">
        <f aca="false">N221+N222</f>
        <v>-11978.9176271636</v>
      </c>
      <c r="O232" s="69" t="n">
        <f aca="false">O221+O222</f>
        <v>-48211.5822044092</v>
      </c>
      <c r="P232" s="69" t="n">
        <f aca="false">P221+P222</f>
        <v>-6271.67299746916</v>
      </c>
      <c r="Q232" s="69" t="n">
        <f aca="false">Q221+Q222</f>
        <v>12132.2244151499</v>
      </c>
      <c r="R232" s="69" t="n">
        <f aca="false">R221+R222</f>
        <v>14157.9465430291</v>
      </c>
      <c r="S232" s="69" t="n">
        <f aca="false">S221+S222</f>
        <v>16136.9132412779</v>
      </c>
      <c r="T232" s="69" t="n">
        <f aca="false">T221+T222</f>
        <v>18043.8046049301</v>
      </c>
      <c r="U232" s="69" t="n">
        <f aca="false">U221+U222</f>
        <v>19881.5036473696</v>
      </c>
      <c r="V232" s="69" t="n">
        <f aca="false">V221+V222</f>
        <v>21652.7780614448</v>
      </c>
      <c r="W232" s="69" t="n">
        <f aca="false">W221+W222</f>
        <v>23360.2848322903</v>
      </c>
      <c r="X232" s="69" t="n">
        <f aca="false">X221+X222</f>
        <v>25006.5746656354</v>
      </c>
      <c r="Y232" s="69" t="n">
        <f aca="false">Y221+Y222</f>
        <v>26594.0962389799</v>
      </c>
      <c r="Z232" s="69" t="n">
        <f aca="false">Z221+Z222</f>
        <v>11995.5824844361</v>
      </c>
      <c r="AA232" s="69" t="n">
        <f aca="false">AA221+AA222</f>
        <v>-24806.1963605067</v>
      </c>
      <c r="AB232" s="69" t="n">
        <f aca="false">AB221+AB222</f>
        <v>16440.073838224</v>
      </c>
      <c r="AC232" s="69" t="n">
        <f aca="false">AC221+AC222</f>
        <v>33996.6903303437</v>
      </c>
      <c r="AD232" s="69" t="n">
        <f aca="false">AD221+AD222</f>
        <v>35151.899472519</v>
      </c>
      <c r="AE232" s="69" t="n">
        <f aca="false">AE221+AE222</f>
        <v>36553.5671375767</v>
      </c>
      <c r="AF232" s="69" t="n">
        <f aca="false">AF221+AF222</f>
        <v>37906.2514293654</v>
      </c>
      <c r="AG232" s="69" t="n">
        <f aca="false">AG221+AG222</f>
        <v>39211.9116828159</v>
      </c>
      <c r="AH232" s="69" t="n">
        <f aca="false">AH221+AH222</f>
        <v>40472.4288594618</v>
      </c>
      <c r="AI232" s="69" t="n">
        <f aca="false">AI221+AI222</f>
        <v>41689.6086823751</v>
      </c>
      <c r="AJ232" s="69" t="n">
        <f aca="false">AJ221+AJ222</f>
        <v>42865.1846457052</v>
      </c>
      <c r="AK232" s="69" t="n">
        <f aca="false">AK221+AK222</f>
        <v>44000.8209038355</v>
      </c>
      <c r="AL232" s="69" t="n">
        <f aca="false">AL221+AL222</f>
        <v>29033.6147610641</v>
      </c>
    </row>
    <row r="233" customFormat="false" ht="15" hidden="false" customHeight="false" outlineLevel="0" collapsed="false">
      <c r="A233" s="6" t="s">
        <v>436</v>
      </c>
      <c r="C233" s="69" t="n">
        <f aca="false">C232</f>
        <v>-4174804.1630306</v>
      </c>
      <c r="D233" s="69" t="n">
        <f aca="false">C233+D232</f>
        <v>-4243248.67177471</v>
      </c>
      <c r="E233" s="69" t="n">
        <f aca="false">D233+E232</f>
        <v>-4296329.6491418</v>
      </c>
      <c r="F233" s="69" t="n">
        <f aca="false">E233+F232</f>
        <v>-4342157.01811239</v>
      </c>
      <c r="G233" s="69" t="n">
        <f aca="false">F233+G232</f>
        <v>-4380685.88645973</v>
      </c>
      <c r="H233" s="69" t="n">
        <f aca="false">G233+H232</f>
        <v>-4411793.64487117</v>
      </c>
      <c r="I233" s="69" t="n">
        <f aca="false">H233+I232</f>
        <v>-4435362.58840657</v>
      </c>
      <c r="J233" s="69" t="n">
        <f aca="false">I233+J232</f>
        <v>-4451279.7203234</v>
      </c>
      <c r="K233" s="69" t="n">
        <f aca="false">J233+K232</f>
        <v>-4459436.56374881</v>
      </c>
      <c r="L233" s="69" t="n">
        <f aca="false">K233+L232</f>
        <v>-4459728.9808849</v>
      </c>
      <c r="M233" s="69" t="n">
        <f aca="false">L233+M232</f>
        <v>-4457578.87482632</v>
      </c>
      <c r="N233" s="69" t="n">
        <f aca="false">M233+N232</f>
        <v>-4469557.79245348</v>
      </c>
      <c r="O233" s="69" t="n">
        <f aca="false">N233+O232</f>
        <v>-4517769.37465789</v>
      </c>
      <c r="P233" s="69" t="n">
        <f aca="false">O233+P232</f>
        <v>-4524041.04765536</v>
      </c>
      <c r="Q233" s="69" t="n">
        <f aca="false">P233+Q232</f>
        <v>-4511908.82324021</v>
      </c>
      <c r="R233" s="69" t="n">
        <f aca="false">Q233+R232</f>
        <v>-4497750.87669718</v>
      </c>
      <c r="S233" s="69" t="n">
        <f aca="false">R233+S232</f>
        <v>-4481613.9634559</v>
      </c>
      <c r="T233" s="69" t="n">
        <f aca="false">S233+T232</f>
        <v>-4463570.15885097</v>
      </c>
      <c r="U233" s="69" t="n">
        <f aca="false">T233+U232</f>
        <v>-4443688.6552036</v>
      </c>
      <c r="V233" s="69" t="n">
        <f aca="false">U233+V232</f>
        <v>-4422035.87714216</v>
      </c>
      <c r="W233" s="69" t="n">
        <f aca="false">V233+W232</f>
        <v>-4398675.59230987</v>
      </c>
      <c r="X233" s="69" t="n">
        <f aca="false">W233+X232</f>
        <v>-4373669.01764423</v>
      </c>
      <c r="Y233" s="69" t="n">
        <f aca="false">X233+Y232</f>
        <v>-4347074.92140525</v>
      </c>
      <c r="Z233" s="69" t="n">
        <f aca="false">Y233+Z232</f>
        <v>-4335079.33892082</v>
      </c>
      <c r="AA233" s="69" t="n">
        <f aca="false">Z233+AA232</f>
        <v>-4359885.53528132</v>
      </c>
      <c r="AB233" s="69" t="n">
        <f aca="false">AA233+AB232</f>
        <v>-4343445.4614431</v>
      </c>
      <c r="AC233" s="69" t="n">
        <f aca="false">AB233+AC232</f>
        <v>-4309448.77111276</v>
      </c>
      <c r="AD233" s="69" t="n">
        <f aca="false">AC233+AD232</f>
        <v>-4274296.87164024</v>
      </c>
      <c r="AE233" s="69" t="n">
        <f aca="false">AD233+AE232</f>
        <v>-4237743.30450266</v>
      </c>
      <c r="AF233" s="69" t="n">
        <f aca="false">AE233+AF232</f>
        <v>-4199837.05307329</v>
      </c>
      <c r="AG233" s="69" t="n">
        <f aca="false">AF233+AG232</f>
        <v>-4160625.14139048</v>
      </c>
      <c r="AH233" s="69" t="n">
        <f aca="false">AG233+AH232</f>
        <v>-4120152.71253102</v>
      </c>
      <c r="AI233" s="69" t="n">
        <f aca="false">AH233+AI232</f>
        <v>-4078463.10384864</v>
      </c>
      <c r="AJ233" s="69" t="n">
        <f aca="false">AI233+AJ232</f>
        <v>-4035597.91920294</v>
      </c>
      <c r="AK233" s="69" t="n">
        <f aca="false">AJ233+AK232</f>
        <v>-3991597.0982991</v>
      </c>
      <c r="AL233" s="69" t="n">
        <f aca="false">AK233+AL232</f>
        <v>-3962563.48353804</v>
      </c>
    </row>
    <row r="234" customFormat="false" ht="15" hidden="false" customHeight="false" outlineLevel="0" collapsed="false">
      <c r="A234" s="116" t="s">
        <v>437</v>
      </c>
      <c r="C234" s="69" t="n">
        <f aca="false">C233</f>
        <v>-4174804.1630306</v>
      </c>
      <c r="D234" s="69" t="n">
        <f aca="false">MIN(C234,D233)</f>
        <v>-4243248.67177471</v>
      </c>
      <c r="E234" s="69" t="n">
        <f aca="false">MIN(D234,E233)</f>
        <v>-4296329.6491418</v>
      </c>
      <c r="F234" s="69" t="n">
        <f aca="false">MIN(E234,F233)</f>
        <v>-4342157.01811239</v>
      </c>
      <c r="G234" s="69" t="n">
        <f aca="false">MIN(F234,G233)</f>
        <v>-4380685.88645973</v>
      </c>
      <c r="H234" s="69" t="n">
        <f aca="false">MIN(G234,H233)</f>
        <v>-4411793.64487117</v>
      </c>
      <c r="I234" s="69" t="n">
        <f aca="false">MIN(H234,I233)</f>
        <v>-4435362.58840657</v>
      </c>
      <c r="J234" s="69" t="n">
        <f aca="false">MIN(I234,J233)</f>
        <v>-4451279.7203234</v>
      </c>
      <c r="K234" s="69" t="n">
        <f aca="false">MIN(J234,K233)</f>
        <v>-4459436.56374881</v>
      </c>
      <c r="L234" s="69" t="n">
        <f aca="false">MIN(K234,L233)</f>
        <v>-4459728.9808849</v>
      </c>
      <c r="M234" s="69" t="n">
        <f aca="false">MIN(L234,M233)</f>
        <v>-4459728.9808849</v>
      </c>
      <c r="N234" s="69" t="n">
        <f aca="false">MIN(M234,N233)</f>
        <v>-4469557.79245348</v>
      </c>
      <c r="O234" s="69" t="n">
        <f aca="false">MIN(N234,O233)</f>
        <v>-4517769.37465789</v>
      </c>
      <c r="P234" s="69" t="n">
        <f aca="false">MIN(O234,P233)</f>
        <v>-4524041.04765536</v>
      </c>
      <c r="Q234" s="69" t="n">
        <f aca="false">MIN(P234,Q233)</f>
        <v>-4524041.04765536</v>
      </c>
      <c r="R234" s="69" t="n">
        <f aca="false">MIN(Q234,R233)</f>
        <v>-4524041.04765536</v>
      </c>
      <c r="S234" s="69" t="n">
        <f aca="false">MIN(R234,S233)</f>
        <v>-4524041.04765536</v>
      </c>
      <c r="T234" s="69" t="n">
        <f aca="false">MIN(S234,T233)</f>
        <v>-4524041.04765536</v>
      </c>
      <c r="U234" s="69" t="n">
        <f aca="false">MIN(T234,U233)</f>
        <v>-4524041.04765536</v>
      </c>
      <c r="V234" s="69" t="n">
        <f aca="false">MIN(U234,V233)</f>
        <v>-4524041.04765536</v>
      </c>
      <c r="W234" s="69" t="n">
        <f aca="false">MIN(V234,W233)</f>
        <v>-4524041.04765536</v>
      </c>
      <c r="X234" s="69" t="n">
        <f aca="false">MIN(W234,X233)</f>
        <v>-4524041.04765536</v>
      </c>
      <c r="Y234" s="69" t="n">
        <f aca="false">MIN(X234,Y233)</f>
        <v>-4524041.04765536</v>
      </c>
      <c r="Z234" s="69" t="n">
        <f aca="false">MIN(Y234,Z233)</f>
        <v>-4524041.04765536</v>
      </c>
      <c r="AA234" s="69" t="n">
        <f aca="false">MIN(Z234,AA233)</f>
        <v>-4524041.04765536</v>
      </c>
      <c r="AB234" s="69" t="n">
        <f aca="false">MIN(AA234,AB233)</f>
        <v>-4524041.04765536</v>
      </c>
      <c r="AC234" s="69" t="n">
        <f aca="false">MIN(AB234,AC233)</f>
        <v>-4524041.04765536</v>
      </c>
      <c r="AD234" s="69" t="n">
        <f aca="false">MIN(AC234,AD233)</f>
        <v>-4524041.04765536</v>
      </c>
      <c r="AE234" s="69" t="n">
        <f aca="false">MIN(AD234,AE233)</f>
        <v>-4524041.04765536</v>
      </c>
      <c r="AF234" s="69" t="n">
        <f aca="false">MIN(AE234,AF233)</f>
        <v>-4524041.04765536</v>
      </c>
      <c r="AG234" s="69" t="n">
        <f aca="false">MIN(AF234,AG233)</f>
        <v>-4524041.04765536</v>
      </c>
      <c r="AH234" s="69" t="n">
        <f aca="false">MIN(AG234,AH233)</f>
        <v>-4524041.04765536</v>
      </c>
      <c r="AI234" s="69" t="n">
        <f aca="false">MIN(AH234,AI233)</f>
        <v>-4524041.04765536</v>
      </c>
      <c r="AJ234" s="69" t="n">
        <f aca="false">MIN(AI234,AJ233)</f>
        <v>-4524041.04765536</v>
      </c>
      <c r="AK234" s="69" t="n">
        <f aca="false">MIN(AJ234,AK233)</f>
        <v>-4524041.04765536</v>
      </c>
      <c r="AL234" s="69" t="n">
        <f aca="false">MIN(AK234,AL233)</f>
        <v>-4524041.04765536</v>
      </c>
    </row>
    <row r="235" customFormat="false" ht="15" hidden="false" customHeight="false" outlineLevel="0" collapsed="false">
      <c r="A235" s="116" t="s">
        <v>438</v>
      </c>
      <c r="C235" s="118" t="n">
        <f aca="false">IF(AND(C233&gt;=0,C234&lt;0),1,0)</f>
        <v>0</v>
      </c>
      <c r="D235" s="118" t="n">
        <f aca="false">IF(AND(D233&gt;=0,D234&lt;0),1,0)</f>
        <v>0</v>
      </c>
      <c r="E235" s="118" t="n">
        <f aca="false">IF(AND(E233&gt;=0,E234&lt;0),1,0)</f>
        <v>0</v>
      </c>
      <c r="F235" s="118" t="n">
        <f aca="false">IF(AND(F233&gt;=0,F234&lt;0),1,0)</f>
        <v>0</v>
      </c>
      <c r="G235" s="118" t="n">
        <f aca="false">IF(AND(G233&gt;=0,G234&lt;0),1,0)</f>
        <v>0</v>
      </c>
      <c r="H235" s="118" t="n">
        <f aca="false">IF(AND(H233&gt;=0,H234&lt;0),1,0)</f>
        <v>0</v>
      </c>
      <c r="I235" s="118" t="n">
        <f aca="false">IF(AND(I233&gt;=0,I234&lt;0),1,0)</f>
        <v>0</v>
      </c>
      <c r="J235" s="118" t="n">
        <f aca="false">IF(AND(J233&gt;=0,J234&lt;0),1,0)</f>
        <v>0</v>
      </c>
      <c r="K235" s="118" t="n">
        <f aca="false">IF(AND(K233&gt;=0,K234&lt;0),1,0)</f>
        <v>0</v>
      </c>
      <c r="L235" s="118" t="n">
        <f aca="false">IF(AND(L233&gt;=0,L234&lt;0),1,0)</f>
        <v>0</v>
      </c>
      <c r="M235" s="118" t="n">
        <f aca="false">IF(AND(M233&gt;=0,M234&lt;0),1,0)</f>
        <v>0</v>
      </c>
      <c r="N235" s="118" t="n">
        <f aca="false">IF(AND(N233&gt;=0,N234&lt;0),1,0)</f>
        <v>0</v>
      </c>
      <c r="O235" s="118" t="n">
        <f aca="false">IF(AND(O233&gt;=0,O234&lt;0),1,0)</f>
        <v>0</v>
      </c>
      <c r="P235" s="118" t="n">
        <f aca="false">IF(AND(P233&gt;=0,P234&lt;0),1,0)</f>
        <v>0</v>
      </c>
      <c r="Q235" s="118" t="n">
        <f aca="false">IF(AND(Q233&gt;=0,Q234&lt;0),1,0)</f>
        <v>0</v>
      </c>
      <c r="R235" s="118" t="n">
        <f aca="false">IF(AND(R233&gt;=0,R234&lt;0),1,0)</f>
        <v>0</v>
      </c>
      <c r="S235" s="118" t="n">
        <f aca="false">IF(AND(S233&gt;=0,S234&lt;0),1,0)</f>
        <v>0</v>
      </c>
      <c r="T235" s="118" t="n">
        <f aca="false">IF(AND(T233&gt;=0,T234&lt;0),1,0)</f>
        <v>0</v>
      </c>
      <c r="U235" s="118" t="n">
        <f aca="false">IF(AND(U233&gt;=0,U234&lt;0),1,0)</f>
        <v>0</v>
      </c>
      <c r="V235" s="118" t="n">
        <f aca="false">IF(AND(V233&gt;=0,V234&lt;0),1,0)</f>
        <v>0</v>
      </c>
      <c r="W235" s="118" t="n">
        <f aca="false">IF(AND(W233&gt;=0,W234&lt;0),1,0)</f>
        <v>0</v>
      </c>
      <c r="X235" s="118" t="n">
        <f aca="false">IF(AND(X233&gt;=0,X234&lt;0),1,0)</f>
        <v>0</v>
      </c>
      <c r="Y235" s="118" t="n">
        <f aca="false">IF(AND(Y233&gt;=0,Y234&lt;0),1,0)</f>
        <v>0</v>
      </c>
      <c r="Z235" s="118" t="n">
        <f aca="false">IF(AND(Z233&gt;=0,Z234&lt;0),1,0)</f>
        <v>0</v>
      </c>
      <c r="AA235" s="118" t="n">
        <f aca="false">IF(AND(AA233&gt;=0,AA234&lt;0),1,0)</f>
        <v>0</v>
      </c>
      <c r="AB235" s="118" t="n">
        <f aca="false">IF(AND(AB233&gt;=0,AB234&lt;0),1,0)</f>
        <v>0</v>
      </c>
      <c r="AC235" s="118" t="n">
        <f aca="false">IF(AND(AC233&gt;=0,AC234&lt;0),1,0)</f>
        <v>0</v>
      </c>
      <c r="AD235" s="118" t="n">
        <f aca="false">IF(AND(AD233&gt;=0,AD234&lt;0),1,0)</f>
        <v>0</v>
      </c>
      <c r="AE235" s="118" t="n">
        <f aca="false">IF(AND(AE233&gt;=0,AE234&lt;0),1,0)</f>
        <v>0</v>
      </c>
      <c r="AF235" s="118" t="n">
        <f aca="false">IF(AND(AF233&gt;=0,AF234&lt;0),1,0)</f>
        <v>0</v>
      </c>
      <c r="AG235" s="118" t="n">
        <f aca="false">IF(AND(AG233&gt;=0,AG234&lt;0),1,0)</f>
        <v>0</v>
      </c>
      <c r="AH235" s="118" t="n">
        <f aca="false">IF(AND(AH233&gt;=0,AH234&lt;0),1,0)</f>
        <v>0</v>
      </c>
      <c r="AI235" s="118" t="n">
        <f aca="false">IF(AND(AI233&gt;=0,AI234&lt;0),1,0)</f>
        <v>0</v>
      </c>
      <c r="AJ235" s="118" t="n">
        <f aca="false">IF(AND(AJ233&gt;=0,AJ234&lt;0),1,0)</f>
        <v>0</v>
      </c>
      <c r="AK235" s="118" t="n">
        <f aca="false">IF(AND(AK233&gt;=0,AK234&lt;0),1,0)</f>
        <v>0</v>
      </c>
      <c r="AL235" s="118" t="n">
        <f aca="false">IF(AND(AL233&gt;=0,AL234&lt;0),1,0)</f>
        <v>0</v>
      </c>
    </row>
    <row r="236" customFormat="false" ht="15" hidden="false" customHeight="false" outlineLevel="0" collapsed="false">
      <c r="A236" s="6" t="s">
        <v>439</v>
      </c>
      <c r="C236" s="69" t="n">
        <f aca="false">C221-C188*(1-Inputs!$C$79)+C222</f>
        <v>-4158016.6630306</v>
      </c>
      <c r="D236" s="69" t="n">
        <f aca="false">D221-D188*(1-Inputs!$C$79)+D222</f>
        <v>-51726.9566607723</v>
      </c>
      <c r="E236" s="69" t="n">
        <f aca="false">E221-E188*(1-Inputs!$C$79)+E222</f>
        <v>-36503.321117098</v>
      </c>
      <c r="F236" s="69" t="n">
        <f aca="false">F221-F188*(1-Inputs!$C$79)+F222</f>
        <v>-29389.6085539201</v>
      </c>
      <c r="G236" s="69" t="n">
        <f aca="false">G221-G188*(1-Inputs!$C$79)+G222</f>
        <v>-22231.0037640041</v>
      </c>
      <c r="H236" s="69" t="n">
        <f aca="false">H221-H188*(1-Inputs!$C$79)+H222</f>
        <v>-14949.7896614402</v>
      </c>
      <c r="I236" s="69" t="n">
        <f aca="false">I221-I188*(1-Inputs!$C$79)+I222</f>
        <v>-7550.87061873443</v>
      </c>
      <c r="J236" s="69" t="n">
        <f aca="false">J221-J188*(1-Inputs!$C$79)+J222</f>
        <v>-38.9548334924384</v>
      </c>
      <c r="K236" s="69" t="n">
        <f aca="false">K221-K188*(1-Inputs!$C$79)+K222</f>
        <v>7581.4378245843</v>
      </c>
      <c r="L236" s="69" t="n">
        <f aca="false">L221-L188*(1-Inputs!$C$79)+L222</f>
        <v>15305.9682805824</v>
      </c>
      <c r="M236" s="69" t="n">
        <f aca="false">M221-M188*(1-Inputs!$C$79)+M222</f>
        <v>17608.595641911</v>
      </c>
      <c r="N236" s="69" t="n">
        <f aca="false">N221-N188*(1-Inputs!$C$79)+N222</f>
        <v>3339.67612283636</v>
      </c>
      <c r="O236" s="69" t="n">
        <f aca="false">O221-O188*(1-Inputs!$C$79)+O222</f>
        <v>-33032.8842877425</v>
      </c>
      <c r="P236" s="69" t="n">
        <f aca="false">P221-P188*(1-Inputs!$C$79)+P222</f>
        <v>8767.12908586418</v>
      </c>
      <c r="Q236" s="69" t="n">
        <f aca="false">Q221-Q188*(1-Inputs!$C$79)+Q222</f>
        <v>27031.1306651499</v>
      </c>
      <c r="R236" s="69" t="n">
        <f aca="false">R221-R188*(1-Inputs!$C$79)+R222</f>
        <v>28916.9569596957</v>
      </c>
      <c r="S236" s="69" t="n">
        <f aca="false">S221-S188*(1-Inputs!$C$79)+S222</f>
        <v>30756.0278246112</v>
      </c>
      <c r="T236" s="69" t="n">
        <f aca="false">T221-T188*(1-Inputs!$C$79)+T222</f>
        <v>32523.0233549301</v>
      </c>
      <c r="U236" s="69" t="n">
        <f aca="false">U221-U188*(1-Inputs!$C$79)+U222</f>
        <v>34220.8265640362</v>
      </c>
      <c r="V236" s="69" t="n">
        <f aca="false">V221-V188*(1-Inputs!$C$79)+V222</f>
        <v>35852.2051447781</v>
      </c>
      <c r="W236" s="69" t="n">
        <f aca="false">W221-W188*(1-Inputs!$C$79)+W222</f>
        <v>37419.8160822903</v>
      </c>
      <c r="X236" s="69" t="n">
        <f aca="false">X221-X188*(1-Inputs!$C$79)+X222</f>
        <v>38926.2100823021</v>
      </c>
      <c r="Y236" s="69" t="n">
        <f aca="false">Y221-Y188*(1-Inputs!$C$79)+Y222</f>
        <v>40373.8358223133</v>
      </c>
      <c r="Z236" s="69" t="n">
        <f aca="false">Z221-Z188*(1-Inputs!$C$79)+Z222</f>
        <v>25635.4262344361</v>
      </c>
      <c r="AA236" s="69" t="n">
        <f aca="false">AA221-AA188*(1-Inputs!$C$79)+AA222</f>
        <v>-11306.24844384</v>
      </c>
      <c r="AB236" s="69" t="n">
        <f aca="false">AB221-AB188*(1-Inputs!$C$79)+AB222</f>
        <v>29800.1259215574</v>
      </c>
      <c r="AC236" s="69" t="n">
        <f aca="false">AC221-AC188*(1-Inputs!$C$79)+AC222</f>
        <v>47216.8465803437</v>
      </c>
      <c r="AD236" s="69" t="n">
        <f aca="false">AD221-AD188*(1-Inputs!$C$79)+AD222</f>
        <v>48232.1598891856</v>
      </c>
      <c r="AE236" s="69" t="n">
        <f aca="false">AE221-AE188*(1-Inputs!$C$79)+AE222</f>
        <v>49493.93172091</v>
      </c>
      <c r="AF236" s="69" t="n">
        <f aca="false">AF221-AF188*(1-Inputs!$C$79)+AF222</f>
        <v>50706.7201793654</v>
      </c>
      <c r="AG236" s="69" t="n">
        <f aca="false">AG221-AG188*(1-Inputs!$C$79)+AG222</f>
        <v>51872.4845994826</v>
      </c>
      <c r="AH236" s="69" t="n">
        <f aca="false">AH221-AH188*(1-Inputs!$C$79)+AH222</f>
        <v>52993.1059427951</v>
      </c>
      <c r="AI236" s="69" t="n">
        <f aca="false">AI221-AI188*(1-Inputs!$C$79)+AI222</f>
        <v>54070.3899323751</v>
      </c>
      <c r="AJ236" s="69" t="n">
        <f aca="false">AJ221-AJ188*(1-Inputs!$C$79)+AJ222</f>
        <v>55106.0700623719</v>
      </c>
      <c r="AK236" s="69" t="n">
        <f aca="false">AK221-AK188*(1-Inputs!$C$79)+AK222</f>
        <v>56101.8104871688</v>
      </c>
      <c r="AL236" s="69" t="n">
        <f aca="false">AL221-AL188*(1-Inputs!$C$79)+AL222</f>
        <v>40994.7085110641</v>
      </c>
    </row>
    <row r="238" customFormat="false" ht="15.75" hidden="false" customHeight="true" outlineLevel="0" collapsed="false">
      <c r="A238" s="7" t="s">
        <v>440</v>
      </c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</row>
    <row r="239" customFormat="false" ht="15" hidden="false" customHeight="false" outlineLevel="0" collapsed="false">
      <c r="A239" s="6" t="s">
        <v>97</v>
      </c>
      <c r="C239" s="69" t="n">
        <f aca="false">C223</f>
        <v>2100000</v>
      </c>
      <c r="D239" s="69" t="n">
        <f aca="false">C239+D223</f>
        <v>2100000</v>
      </c>
      <c r="E239" s="69" t="n">
        <f aca="false">D239+E223</f>
        <v>2100000</v>
      </c>
      <c r="F239" s="69" t="n">
        <f aca="false">E239+F223</f>
        <v>2100000</v>
      </c>
      <c r="G239" s="69" t="n">
        <f aca="false">F239+G223</f>
        <v>2100000</v>
      </c>
      <c r="H239" s="69" t="n">
        <f aca="false">G239+H223</f>
        <v>2100000</v>
      </c>
      <c r="I239" s="69" t="n">
        <f aca="false">H239+I223</f>
        <v>2100000</v>
      </c>
      <c r="J239" s="69" t="n">
        <f aca="false">I239+J223</f>
        <v>2100000</v>
      </c>
      <c r="K239" s="69" t="n">
        <f aca="false">J239+K223</f>
        <v>2100000</v>
      </c>
      <c r="L239" s="69" t="n">
        <f aca="false">K239+L223</f>
        <v>2100000</v>
      </c>
      <c r="M239" s="69" t="n">
        <f aca="false">L239+M223</f>
        <v>2100000</v>
      </c>
      <c r="N239" s="69" t="n">
        <f aca="false">M239+N223</f>
        <v>2100000</v>
      </c>
      <c r="O239" s="69" t="n">
        <f aca="false">N239+O223</f>
        <v>2100000</v>
      </c>
      <c r="P239" s="69" t="n">
        <f aca="false">O239+P223</f>
        <v>2100000</v>
      </c>
      <c r="Q239" s="69" t="n">
        <f aca="false">P239+Q223</f>
        <v>2100000</v>
      </c>
      <c r="R239" s="69" t="n">
        <f aca="false">Q239+R223</f>
        <v>2100000</v>
      </c>
      <c r="S239" s="69" t="n">
        <f aca="false">R239+S223</f>
        <v>2100000</v>
      </c>
      <c r="T239" s="69" t="n">
        <f aca="false">S239+T223</f>
        <v>2100000</v>
      </c>
      <c r="U239" s="69" t="n">
        <f aca="false">T239+U223</f>
        <v>2100000</v>
      </c>
      <c r="V239" s="69" t="n">
        <f aca="false">U239+V223</f>
        <v>2100000</v>
      </c>
      <c r="W239" s="69" t="n">
        <f aca="false">V239+W223</f>
        <v>2100000</v>
      </c>
      <c r="X239" s="69" t="n">
        <f aca="false">W239+X223</f>
        <v>2100000</v>
      </c>
      <c r="Y239" s="69" t="n">
        <f aca="false">X239+Y223</f>
        <v>2100000</v>
      </c>
      <c r="Z239" s="69" t="n">
        <f aca="false">Y239+Z223</f>
        <v>2100000</v>
      </c>
      <c r="AA239" s="69" t="n">
        <f aca="false">Z239+AA223</f>
        <v>2100000</v>
      </c>
      <c r="AB239" s="69" t="n">
        <f aca="false">AA239+AB223</f>
        <v>2100000</v>
      </c>
      <c r="AC239" s="69" t="n">
        <f aca="false">AB239+AC223</f>
        <v>2100000</v>
      </c>
      <c r="AD239" s="69" t="n">
        <f aca="false">AC239+AD223</f>
        <v>2100000</v>
      </c>
      <c r="AE239" s="69" t="n">
        <f aca="false">AD239+AE223</f>
        <v>2100000</v>
      </c>
      <c r="AF239" s="69" t="n">
        <f aca="false">AE239+AF223</f>
        <v>2100000</v>
      </c>
      <c r="AG239" s="69" t="n">
        <f aca="false">AF239+AG223</f>
        <v>2100000</v>
      </c>
      <c r="AH239" s="69" t="n">
        <f aca="false">AG239+AH223</f>
        <v>2100000</v>
      </c>
      <c r="AI239" s="69" t="n">
        <f aca="false">AH239+AI223</f>
        <v>2100000</v>
      </c>
      <c r="AJ239" s="69" t="n">
        <f aca="false">AI239+AJ223</f>
        <v>2100000</v>
      </c>
      <c r="AK239" s="69" t="n">
        <f aca="false">AJ239+AK223</f>
        <v>2100000</v>
      </c>
      <c r="AL239" s="69" t="n">
        <f aca="false">AK239+AL223</f>
        <v>2100000</v>
      </c>
    </row>
    <row r="240" customFormat="false" ht="15" hidden="false" customHeight="false" outlineLevel="0" collapsed="false">
      <c r="A240" s="6" t="s">
        <v>98</v>
      </c>
      <c r="C240" s="69" t="n">
        <f aca="false">C193</f>
        <v>-102437.476634789</v>
      </c>
      <c r="D240" s="69" t="n">
        <f aca="false">C240+D193</f>
        <v>-199240.336761108</v>
      </c>
      <c r="E240" s="69" t="n">
        <f aca="false">D240+E193</f>
        <v>-280587.034107493</v>
      </c>
      <c r="F240" s="69" t="n">
        <f aca="false">E240+F193</f>
        <v>-354763.012705834</v>
      </c>
      <c r="G240" s="69" t="n">
        <f aca="false">F240+G193</f>
        <v>-421640.551968474</v>
      </c>
      <c r="H240" s="69" t="n">
        <f aca="false">G240+H193</f>
        <v>-481097.040131265</v>
      </c>
      <c r="I240" s="69" t="n">
        <f aca="false">H240+I193</f>
        <v>-533014.769900621</v>
      </c>
      <c r="J240" s="69" t="n">
        <f aca="false">I240+J193</f>
        <v>-577280.742274703</v>
      </c>
      <c r="K240" s="69" t="n">
        <f aca="false">J240+K193</f>
        <v>-613786.478211745</v>
      </c>
      <c r="L240" s="69" t="n">
        <f aca="false">K240+L193</f>
        <v>-642427.837831648</v>
      </c>
      <c r="M240" s="69" t="n">
        <f aca="false">L240+M193</f>
        <v>-668750.981431645</v>
      </c>
      <c r="N240" s="69" t="n">
        <f aca="false">M240+N193</f>
        <v>-709232.332270295</v>
      </c>
      <c r="O240" s="69" t="n">
        <f aca="false">N240+O193</f>
        <v>-746179.624477354</v>
      </c>
      <c r="P240" s="69" t="n">
        <f aca="false">O240+P193</f>
        <v>-781179.910305002</v>
      </c>
      <c r="Q240" s="69" t="n">
        <f aca="false">P240+Q193</f>
        <v>-797828.321012694</v>
      </c>
      <c r="R240" s="69" t="n">
        <f aca="false">Q240+R193</f>
        <v>-812422.594065442</v>
      </c>
      <c r="S240" s="69" t="n">
        <f aca="false">R240+S193</f>
        <v>-825037.811636111</v>
      </c>
      <c r="T240" s="69" t="n">
        <f aca="false">S240+T193</f>
        <v>-835746.052610649</v>
      </c>
      <c r="U240" s="69" t="n">
        <f aca="false">T240+U193</f>
        <v>-844616.512719569</v>
      </c>
      <c r="V240" s="69" t="n">
        <f aca="false">U240+V193</f>
        <v>-851715.619864162</v>
      </c>
      <c r="W240" s="69" t="n">
        <f aca="false">V240+W193</f>
        <v>-857107.144829668</v>
      </c>
      <c r="X240" s="69" t="n">
        <f aca="false">W240+X193</f>
        <v>-860852.307569918</v>
      </c>
      <c r="Y240" s="69" t="n">
        <f aca="false">X240+Y193</f>
        <v>-863009.879240587</v>
      </c>
      <c r="Z240" s="69" t="n">
        <f aca="false">Y240+Z193</f>
        <v>-879516.123808558</v>
      </c>
      <c r="AA240" s="69" t="n">
        <f aca="false">Z240+AA193</f>
        <v>-893353.113443053</v>
      </c>
      <c r="AB240" s="69" t="n">
        <f aca="false">AA240+AB193</f>
        <v>-905928.286590833</v>
      </c>
      <c r="AC240" s="69" t="n">
        <f aca="false">AB240+AC193</f>
        <v>-901259.37512903</v>
      </c>
      <c r="AD240" s="69" t="n">
        <f aca="false">AC240+AD193</f>
        <v>-895137.670926185</v>
      </c>
      <c r="AE240" s="69" t="n">
        <f aca="false">AD240+AE193</f>
        <v>-887614.202358606</v>
      </c>
      <c r="AF240" s="69" t="n">
        <f aca="false">AE240+AF193</f>
        <v>-878737.95666755</v>
      </c>
      <c r="AG240" s="69" t="n">
        <f aca="false">AF240+AG193</f>
        <v>-868555.961604622</v>
      </c>
      <c r="AH240" s="69" t="n">
        <f aca="false">AG240+AH193</f>
        <v>-857113.363811364</v>
      </c>
      <c r="AI240" s="69" t="n">
        <f aca="false">AH240+AI193</f>
        <v>-844453.504063656</v>
      </c>
      <c r="AJ240" s="69" t="n">
        <f aca="false">AI240+AJ193</f>
        <v>-830617.989506341</v>
      </c>
      <c r="AK240" s="69" t="n">
        <f aca="false">AJ240+AK193</f>
        <v>-815646.762998472</v>
      </c>
      <c r="AL240" s="69" t="n">
        <f aca="false">AK240+AL193</f>
        <v>-815194.045409802</v>
      </c>
    </row>
    <row r="241" customFormat="false" ht="15" hidden="false" customHeight="false" outlineLevel="0" collapsed="false">
      <c r="A241" s="4" t="s">
        <v>93</v>
      </c>
      <c r="C241" s="75" t="n">
        <f aca="false">C227+C213+C214+C204</f>
        <v>5003455.8114868</v>
      </c>
      <c r="D241" s="75" t="n">
        <f aca="false">D227+D213+D214+D204</f>
        <v>4882452.53724416</v>
      </c>
      <c r="E241" s="75" t="n">
        <f aca="false">E227+E213+E214+E204</f>
        <v>4778643.66193998</v>
      </c>
      <c r="F241" s="75" t="n">
        <f aca="false">F227+F213+F214+F204</f>
        <v>4680538.40136199</v>
      </c>
      <c r="G241" s="75" t="n">
        <f aca="false">G227+G213+G214+G204</f>
        <v>4589758.38009905</v>
      </c>
      <c r="H241" s="75" t="n">
        <f aca="false">H227+H213+H214+H204</f>
        <v>4506425.13791614</v>
      </c>
      <c r="I241" s="75" t="n">
        <f aca="false">I227+I213+I214+I204</f>
        <v>4430655.35298764</v>
      </c>
      <c r="J241" s="75" t="n">
        <f aca="false">J227+J213+J214+J204</f>
        <v>4362561.03636094</v>
      </c>
      <c r="K241" s="75" t="n">
        <f aca="false">K227+K213+K214+K204</f>
        <v>4302249.71864156</v>
      </c>
      <c r="L241" s="75" t="n">
        <f aca="false">L227+L213+L214+L204</f>
        <v>4249824.62921077</v>
      </c>
      <c r="M241" s="75" t="n">
        <f aca="false">M227+M213+M214+M204</f>
        <v>4198950.76565908</v>
      </c>
      <c r="N241" s="75" t="n">
        <f aca="false">N227+N213+N214+N204</f>
        <v>4130577.30529272</v>
      </c>
      <c r="O241" s="75" t="n">
        <f aca="false">O227+O213+O214+O204</f>
        <v>4069352.51373478</v>
      </c>
      <c r="P241" s="75" t="n">
        <f aca="false">P227+P213+P214+P204</f>
        <v>4009654.12696937</v>
      </c>
      <c r="Q241" s="75" t="n">
        <f aca="false">Q227+Q213+Q214+Q204</f>
        <v>3971887.86597611</v>
      </c>
      <c r="R241" s="75" t="n">
        <f aca="false">R227+R213+R214+R204</f>
        <v>3932691.58214383</v>
      </c>
      <c r="S241" s="75" t="n">
        <f aca="false">S227+S213+S214+S204</f>
        <v>3895458.43422482</v>
      </c>
      <c r="T241" s="75" t="n">
        <f aca="false">T227+T213+T214+T204</f>
        <v>3860116.98011587</v>
      </c>
      <c r="U241" s="75" t="n">
        <f aca="false">U227+U213+U214+U204</f>
        <v>3826598.63539791</v>
      </c>
      <c r="V241" s="75" t="n">
        <f aca="false">V227+V213+V214+V204</f>
        <v>3794837.55902864</v>
      </c>
      <c r="W241" s="75" t="n">
        <f aca="false">W227+W213+W214+W204</f>
        <v>3764770.54360745</v>
      </c>
      <c r="X241" s="75" t="n">
        <f aca="false">X227+X213+X214+X204</f>
        <v>3736336.91002974</v>
      </c>
      <c r="Y241" s="75" t="n">
        <f aca="false">Y227+Y213+Y214+Y204</f>
        <v>3709478.40635511</v>
      </c>
      <c r="Z241" s="75" t="n">
        <f aca="false">Z227+Z213+Z214+Z204</f>
        <v>3664170.4221112</v>
      </c>
      <c r="AA241" s="75" t="n">
        <f aca="false">AA227+AA213+AA214+AA204</f>
        <v>3626045.14285609</v>
      </c>
      <c r="AB241" s="75" t="n">
        <f aca="false">AB227+AB213+AB214+AB204</f>
        <v>3588656.79705764</v>
      </c>
      <c r="AC241" s="75" t="n">
        <f aca="false">AC227+AC213+AC214+AC204</f>
        <v>3572818.83719396</v>
      </c>
      <c r="AD241" s="75" t="n">
        <f aca="false">AD227+AD213+AD214+AD204</f>
        <v>3554213.86885226</v>
      </c>
      <c r="AE241" s="75" t="n">
        <f aca="false">AE227+AE213+AE214+AE204</f>
        <v>3536999.73177707</v>
      </c>
      <c r="AF241" s="75" t="n">
        <f aca="false">AF227+AF213+AF214+AF204</f>
        <v>3521127.87605106</v>
      </c>
      <c r="AG241" s="75" t="n">
        <f aca="false">AG227+AG213+AG214+AG204</f>
        <v>3506551.69375362</v>
      </c>
      <c r="AH241" s="75" t="n">
        <f aca="false">AH227+AH213+AH214+AH204</f>
        <v>3493226.44128091</v>
      </c>
      <c r="AI241" s="75" t="n">
        <f aca="false">AI227+AI213+AI214+AI204</f>
        <v>3481109.1647733</v>
      </c>
      <c r="AJ241" s="75" t="n">
        <f aca="false">AJ227+AJ213+AJ214+AJ204</f>
        <v>3470158.6285255</v>
      </c>
      <c r="AK241" s="75" t="n">
        <f aca="false">AK227+AK213+AK214+AK204</f>
        <v>3460335.24626046</v>
      </c>
      <c r="AL241" s="75" t="n">
        <f aca="false">AL227+AL213+AL214+AL204</f>
        <v>3431329.88023803</v>
      </c>
    </row>
    <row r="242" customFormat="false" ht="15" hidden="false" customHeight="false" outlineLevel="0" collapsed="false">
      <c r="A242" s="6" t="s">
        <v>96</v>
      </c>
      <c r="C242" s="69" t="n">
        <f aca="false">C215+C210</f>
        <v>3005893.28812158</v>
      </c>
      <c r="D242" s="69" t="n">
        <f aca="false">D215+D210</f>
        <v>2981692.87400527</v>
      </c>
      <c r="E242" s="69" t="n">
        <f aca="false">E215+E210</f>
        <v>2959230.69604747</v>
      </c>
      <c r="F242" s="69" t="n">
        <f aca="false">F215+F210</f>
        <v>2935301.41406782</v>
      </c>
      <c r="G242" s="69" t="n">
        <f aca="false">G215+G210</f>
        <v>2911398.93206752</v>
      </c>
      <c r="H242" s="69" t="n">
        <f aca="false">H215+H210</f>
        <v>2887522.17804741</v>
      </c>
      <c r="I242" s="69" t="n">
        <f aca="false">I215+I210</f>
        <v>2863670.12288826</v>
      </c>
      <c r="J242" s="69" t="n">
        <f aca="false">J215+J210</f>
        <v>2839841.77863565</v>
      </c>
      <c r="K242" s="69" t="n">
        <f aca="false">K215+K210</f>
        <v>2816036.1968533</v>
      </c>
      <c r="L242" s="69" t="n">
        <f aca="false">L215+L210</f>
        <v>2792252.46704242</v>
      </c>
      <c r="M242" s="69" t="n">
        <f aca="false">M215+M210</f>
        <v>2767701.74709072</v>
      </c>
      <c r="N242" s="69" t="n">
        <f aca="false">N215+N210</f>
        <v>2739809.63756301</v>
      </c>
      <c r="O242" s="69" t="n">
        <f aca="false">O215+O210</f>
        <v>2715532.13821213</v>
      </c>
      <c r="P242" s="69" t="n">
        <f aca="false">P215+P210</f>
        <v>2690834.03727437</v>
      </c>
      <c r="Q242" s="69" t="n">
        <f aca="false">Q215+Q210</f>
        <v>2669716.1869888</v>
      </c>
      <c r="R242" s="69" t="n">
        <f aca="false">R215+R210</f>
        <v>2645114.17620927</v>
      </c>
      <c r="S242" s="69" t="n">
        <f aca="false">S215+S210</f>
        <v>2620496.24586093</v>
      </c>
      <c r="T242" s="69" t="n">
        <f aca="false">T215+T210</f>
        <v>2595863.03272652</v>
      </c>
      <c r="U242" s="69" t="n">
        <f aca="false">U215+U210</f>
        <v>2571215.14811748</v>
      </c>
      <c r="V242" s="69" t="n">
        <f aca="false">V215+V210</f>
        <v>2546553.17889281</v>
      </c>
      <c r="W242" s="69" t="n">
        <f aca="false">W215+W210</f>
        <v>2521877.68843712</v>
      </c>
      <c r="X242" s="69" t="n">
        <f aca="false">X215+X210</f>
        <v>2497189.21759966</v>
      </c>
      <c r="Y242" s="69" t="n">
        <f aca="false">Y215+Y210</f>
        <v>2472488.2855957</v>
      </c>
      <c r="Z242" s="69" t="n">
        <f aca="false">Z215+Z210</f>
        <v>2443686.54591976</v>
      </c>
      <c r="AA242" s="69" t="n">
        <f aca="false">AA215+AA210</f>
        <v>2419398.25629915</v>
      </c>
      <c r="AB242" s="69" t="n">
        <f aca="false">AB215+AB210</f>
        <v>2394585.08364848</v>
      </c>
      <c r="AC242" s="69" t="n">
        <f aca="false">AC215+AC210</f>
        <v>2374078.212323</v>
      </c>
      <c r="AD242" s="69" t="n">
        <f aca="false">AD215+AD210</f>
        <v>2349351.53977844</v>
      </c>
      <c r="AE242" s="69" t="n">
        <f aca="false">AE215+AE210</f>
        <v>2324613.93413567</v>
      </c>
      <c r="AF242" s="69" t="n">
        <f aca="false">AF215+AF210</f>
        <v>2299865.83271861</v>
      </c>
      <c r="AG242" s="69" t="n">
        <f aca="false">AG215+AG210</f>
        <v>2275107.65535824</v>
      </c>
      <c r="AH242" s="69" t="n">
        <f aca="false">AH215+AH210</f>
        <v>2250339.80509228</v>
      </c>
      <c r="AI242" s="69" t="n">
        <f aca="false">AI215+AI210</f>
        <v>2225562.66883695</v>
      </c>
      <c r="AJ242" s="69" t="n">
        <f aca="false">AJ215+AJ210</f>
        <v>2200776.61803184</v>
      </c>
      <c r="AK242" s="69" t="n">
        <f aca="false">AK215+AK210</f>
        <v>2175982.00925894</v>
      </c>
      <c r="AL242" s="69" t="n">
        <f aca="false">AL215+AL210</f>
        <v>2146523.92564784</v>
      </c>
    </row>
    <row r="243" customFormat="false" ht="15" hidden="false" customHeight="false" outlineLevel="0" collapsed="false">
      <c r="A243" s="6" t="s">
        <v>99</v>
      </c>
      <c r="C243" s="69" t="n">
        <f aca="false">C239+C240</f>
        <v>1997562.52336521</v>
      </c>
      <c r="D243" s="69" t="n">
        <f aca="false">D239+D240</f>
        <v>1900759.66323889</v>
      </c>
      <c r="E243" s="69" t="n">
        <f aca="false">E239+E240</f>
        <v>1819412.96589251</v>
      </c>
      <c r="F243" s="69" t="n">
        <f aca="false">F239+F240</f>
        <v>1745236.98729417</v>
      </c>
      <c r="G243" s="69" t="n">
        <f aca="false">G239+G240</f>
        <v>1678359.44803153</v>
      </c>
      <c r="H243" s="69" t="n">
        <f aca="false">H239+H240</f>
        <v>1618902.95986874</v>
      </c>
      <c r="I243" s="69" t="n">
        <f aca="false">I239+I240</f>
        <v>1566985.23009938</v>
      </c>
      <c r="J243" s="69" t="n">
        <f aca="false">J239+J240</f>
        <v>1522719.2577253</v>
      </c>
      <c r="K243" s="69" t="n">
        <f aca="false">K239+K240</f>
        <v>1486213.52178826</v>
      </c>
      <c r="L243" s="69" t="n">
        <f aca="false">L239+L240</f>
        <v>1457572.16216835</v>
      </c>
      <c r="M243" s="69" t="n">
        <f aca="false">M239+M240</f>
        <v>1431249.01856836</v>
      </c>
      <c r="N243" s="69" t="n">
        <f aca="false">N239+N240</f>
        <v>1390767.66772971</v>
      </c>
      <c r="O243" s="69" t="n">
        <f aca="false">O239+O240</f>
        <v>1353820.37552265</v>
      </c>
      <c r="P243" s="69" t="n">
        <f aca="false">P239+P240</f>
        <v>1318820.089695</v>
      </c>
      <c r="Q243" s="69" t="n">
        <f aca="false">Q239+Q240</f>
        <v>1302171.67898731</v>
      </c>
      <c r="R243" s="69" t="n">
        <f aca="false">R239+R240</f>
        <v>1287577.40593456</v>
      </c>
      <c r="S243" s="69" t="n">
        <f aca="false">S239+S240</f>
        <v>1274962.18836389</v>
      </c>
      <c r="T243" s="69" t="n">
        <f aca="false">T239+T240</f>
        <v>1264253.94738935</v>
      </c>
      <c r="U243" s="69" t="n">
        <f aca="false">U239+U240</f>
        <v>1255383.48728043</v>
      </c>
      <c r="V243" s="69" t="n">
        <f aca="false">V239+V240</f>
        <v>1248284.38013584</v>
      </c>
      <c r="W243" s="69" t="n">
        <f aca="false">W239+W240</f>
        <v>1242892.85517033</v>
      </c>
      <c r="X243" s="69" t="n">
        <f aca="false">X239+X240</f>
        <v>1239147.69243008</v>
      </c>
      <c r="Y243" s="69" t="n">
        <f aca="false">Y239+Y240</f>
        <v>1236990.12075941</v>
      </c>
      <c r="Z243" s="69" t="n">
        <f aca="false">Z239+Z240</f>
        <v>1220483.87619144</v>
      </c>
      <c r="AA243" s="69" t="n">
        <f aca="false">AA239+AA240</f>
        <v>1206646.88655695</v>
      </c>
      <c r="AB243" s="69" t="n">
        <f aca="false">AB239+AB240</f>
        <v>1194071.71340917</v>
      </c>
      <c r="AC243" s="69" t="n">
        <f aca="false">AC239+AC240</f>
        <v>1198740.62487097</v>
      </c>
      <c r="AD243" s="69" t="n">
        <f aca="false">AD239+AD240</f>
        <v>1204862.32907382</v>
      </c>
      <c r="AE243" s="69" t="n">
        <f aca="false">AE239+AE240</f>
        <v>1212385.79764139</v>
      </c>
      <c r="AF243" s="69" t="n">
        <f aca="false">AF239+AF240</f>
        <v>1221262.04333245</v>
      </c>
      <c r="AG243" s="69" t="n">
        <f aca="false">AG239+AG240</f>
        <v>1231444.03839538</v>
      </c>
      <c r="AH243" s="69" t="n">
        <f aca="false">AH239+AH240</f>
        <v>1242886.63618864</v>
      </c>
      <c r="AI243" s="69" t="n">
        <f aca="false">AI239+AI240</f>
        <v>1255546.49593634</v>
      </c>
      <c r="AJ243" s="69" t="n">
        <f aca="false">AJ239+AJ240</f>
        <v>1269382.01049366</v>
      </c>
      <c r="AK243" s="69" t="n">
        <f aca="false">AK239+AK240</f>
        <v>1284353.23700153</v>
      </c>
      <c r="AL243" s="69" t="n">
        <f aca="false">AL239+AL240</f>
        <v>1284805.9545902</v>
      </c>
    </row>
    <row r="244" customFormat="false" ht="15" hidden="false" customHeight="false" outlineLevel="0" collapsed="false">
      <c r="A244" s="4" t="s">
        <v>100</v>
      </c>
      <c r="C244" s="75" t="n">
        <f aca="false">C242+C243</f>
        <v>5003455.8114868</v>
      </c>
      <c r="D244" s="75" t="n">
        <f aca="false">D242+D243</f>
        <v>4882452.53724416</v>
      </c>
      <c r="E244" s="75" t="n">
        <f aca="false">E242+E243</f>
        <v>4778643.66193998</v>
      </c>
      <c r="F244" s="75" t="n">
        <f aca="false">F242+F243</f>
        <v>4680538.40136199</v>
      </c>
      <c r="G244" s="75" t="n">
        <f aca="false">G242+G243</f>
        <v>4589758.38009905</v>
      </c>
      <c r="H244" s="75" t="n">
        <f aca="false">H242+H243</f>
        <v>4506425.13791614</v>
      </c>
      <c r="I244" s="75" t="n">
        <f aca="false">I242+I243</f>
        <v>4430655.35298764</v>
      </c>
      <c r="J244" s="75" t="n">
        <f aca="false">J242+J243</f>
        <v>4362561.03636094</v>
      </c>
      <c r="K244" s="75" t="n">
        <f aca="false">K242+K243</f>
        <v>4302249.71864156</v>
      </c>
      <c r="L244" s="75" t="n">
        <f aca="false">L242+L243</f>
        <v>4249824.62921077</v>
      </c>
      <c r="M244" s="75" t="n">
        <f aca="false">M242+M243</f>
        <v>4198950.76565908</v>
      </c>
      <c r="N244" s="75" t="n">
        <f aca="false">N242+N243</f>
        <v>4130577.30529272</v>
      </c>
      <c r="O244" s="75" t="n">
        <f aca="false">O242+O243</f>
        <v>4069352.51373478</v>
      </c>
      <c r="P244" s="75" t="n">
        <f aca="false">P242+P243</f>
        <v>4009654.12696937</v>
      </c>
      <c r="Q244" s="75" t="n">
        <f aca="false">Q242+Q243</f>
        <v>3971887.86597611</v>
      </c>
      <c r="R244" s="75" t="n">
        <f aca="false">R242+R243</f>
        <v>3932691.58214383</v>
      </c>
      <c r="S244" s="75" t="n">
        <f aca="false">S242+S243</f>
        <v>3895458.43422482</v>
      </c>
      <c r="T244" s="75" t="n">
        <f aca="false">T242+T243</f>
        <v>3860116.98011587</v>
      </c>
      <c r="U244" s="75" t="n">
        <f aca="false">U242+U243</f>
        <v>3826598.63539791</v>
      </c>
      <c r="V244" s="75" t="n">
        <f aca="false">V242+V243</f>
        <v>3794837.55902864</v>
      </c>
      <c r="W244" s="75" t="n">
        <f aca="false">W242+W243</f>
        <v>3764770.54360745</v>
      </c>
      <c r="X244" s="75" t="n">
        <f aca="false">X242+X243</f>
        <v>3736336.91002974</v>
      </c>
      <c r="Y244" s="75" t="n">
        <f aca="false">Y242+Y243</f>
        <v>3709478.40635511</v>
      </c>
      <c r="Z244" s="75" t="n">
        <f aca="false">Z242+Z243</f>
        <v>3664170.4221112</v>
      </c>
      <c r="AA244" s="75" t="n">
        <f aca="false">AA242+AA243</f>
        <v>3626045.14285609</v>
      </c>
      <c r="AB244" s="75" t="n">
        <f aca="false">AB242+AB243</f>
        <v>3588656.79705764</v>
      </c>
      <c r="AC244" s="75" t="n">
        <f aca="false">AC242+AC243</f>
        <v>3572818.83719397</v>
      </c>
      <c r="AD244" s="75" t="n">
        <f aca="false">AD242+AD243</f>
        <v>3554213.86885226</v>
      </c>
      <c r="AE244" s="75" t="n">
        <f aca="false">AE242+AE243</f>
        <v>3536999.73177707</v>
      </c>
      <c r="AF244" s="75" t="n">
        <f aca="false">AF242+AF243</f>
        <v>3521127.87605106</v>
      </c>
      <c r="AG244" s="75" t="n">
        <f aca="false">AG242+AG243</f>
        <v>3506551.69375362</v>
      </c>
      <c r="AH244" s="75" t="n">
        <f aca="false">AH242+AH243</f>
        <v>3493226.44128091</v>
      </c>
      <c r="AI244" s="75" t="n">
        <f aca="false">AI242+AI243</f>
        <v>3481109.1647733</v>
      </c>
      <c r="AJ244" s="75" t="n">
        <f aca="false">AJ242+AJ243</f>
        <v>3470158.6285255</v>
      </c>
      <c r="AK244" s="75" t="n">
        <f aca="false">AK242+AK243</f>
        <v>3460335.24626046</v>
      </c>
      <c r="AL244" s="75" t="n">
        <f aca="false">AL242+AL243</f>
        <v>3431329.88023803</v>
      </c>
    </row>
    <row r="245" customFormat="false" ht="15" hidden="false" customHeight="false" outlineLevel="0" collapsed="false">
      <c r="A245" s="6" t="s">
        <v>441</v>
      </c>
      <c r="C245" s="69" t="n">
        <f aca="false">C241-C244</f>
        <v>0</v>
      </c>
      <c r="D245" s="69" t="n">
        <f aca="false">D241-D244</f>
        <v>0</v>
      </c>
      <c r="E245" s="69" t="n">
        <f aca="false">E241-E244</f>
        <v>0</v>
      </c>
      <c r="F245" s="69" t="n">
        <f aca="false">F241-F244</f>
        <v>0</v>
      </c>
      <c r="G245" s="69" t="n">
        <f aca="false">G241-G244</f>
        <v>0</v>
      </c>
      <c r="H245" s="69" t="n">
        <f aca="false">H241-H244</f>
        <v>0</v>
      </c>
      <c r="I245" s="69" t="n">
        <f aca="false">I241-I244</f>
        <v>0</v>
      </c>
      <c r="J245" s="69" t="n">
        <f aca="false">J241-J244</f>
        <v>0</v>
      </c>
      <c r="K245" s="69" t="n">
        <f aca="false">K241-K244</f>
        <v>0</v>
      </c>
      <c r="L245" s="69" t="n">
        <f aca="false">L241-L244</f>
        <v>0</v>
      </c>
      <c r="M245" s="69" t="n">
        <f aca="false">M241-M244</f>
        <v>0</v>
      </c>
      <c r="N245" s="69" t="n">
        <f aca="false">N241-N244</f>
        <v>0</v>
      </c>
      <c r="O245" s="69" t="n">
        <f aca="false">O241-O244</f>
        <v>0</v>
      </c>
      <c r="P245" s="69" t="n">
        <f aca="false">P241-P244</f>
        <v>0</v>
      </c>
      <c r="Q245" s="69" t="n">
        <f aca="false">Q241-Q244</f>
        <v>0</v>
      </c>
      <c r="R245" s="69" t="n">
        <f aca="false">R241-R244</f>
        <v>0</v>
      </c>
      <c r="S245" s="69" t="n">
        <f aca="false">S241-S244</f>
        <v>0</v>
      </c>
      <c r="T245" s="69" t="n">
        <f aca="false">T241-T244</f>
        <v>0</v>
      </c>
      <c r="U245" s="69" t="n">
        <f aca="false">U241-U244</f>
        <v>0</v>
      </c>
      <c r="V245" s="69" t="n">
        <f aca="false">V241-V244</f>
        <v>0</v>
      </c>
      <c r="W245" s="69" t="n">
        <f aca="false">W241-W244</f>
        <v>0</v>
      </c>
      <c r="X245" s="69" t="n">
        <f aca="false">X241-X244</f>
        <v>0</v>
      </c>
      <c r="Y245" s="69" t="n">
        <f aca="false">Y241-Y244</f>
        <v>0</v>
      </c>
      <c r="Z245" s="69" t="n">
        <f aca="false">Z241-Z244</f>
        <v>0</v>
      </c>
      <c r="AA245" s="69" t="n">
        <f aca="false">AA241-AA244</f>
        <v>0</v>
      </c>
      <c r="AB245" s="69" t="n">
        <f aca="false">AB241-AB244</f>
        <v>0</v>
      </c>
      <c r="AC245" s="69" t="n">
        <f aca="false">AC241-AC244</f>
        <v>0</v>
      </c>
      <c r="AD245" s="69" t="n">
        <f aca="false">AD241-AD244</f>
        <v>0</v>
      </c>
      <c r="AE245" s="69" t="n">
        <f aca="false">AE241-AE244</f>
        <v>0</v>
      </c>
      <c r="AF245" s="69" t="n">
        <f aca="false">AF241-AF244</f>
        <v>0</v>
      </c>
      <c r="AG245" s="69" t="n">
        <f aca="false">AG241-AG244</f>
        <v>0</v>
      </c>
      <c r="AH245" s="69" t="n">
        <f aca="false">AH241-AH244</f>
        <v>0</v>
      </c>
      <c r="AI245" s="69" t="n">
        <f aca="false">AI241-AI244</f>
        <v>0</v>
      </c>
      <c r="AJ245" s="69" t="n">
        <f aca="false">AJ241-AJ244</f>
        <v>0</v>
      </c>
      <c r="AK245" s="69" t="n">
        <f aca="false">AK241-AK244</f>
        <v>0</v>
      </c>
      <c r="AL245" s="69" t="n">
        <f aca="false">AL241-AL244</f>
        <v>0</v>
      </c>
    </row>
    <row r="247" customFormat="false" ht="15.75" hidden="false" customHeight="true" outlineLevel="0" collapsed="false">
      <c r="A247" s="7" t="s">
        <v>443</v>
      </c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customFormat="false" ht="15" hidden="false" customHeight="false" outlineLevel="0" collapsed="false">
      <c r="A248" s="6" t="s">
        <v>444</v>
      </c>
      <c r="C248" s="117" t="n">
        <f aca="false">Inputs!$C$55*(1+Inputs!$C$57)^(C$134-1)*MAX(0,MIN(1,C$133*1-Inputs!$C$58+1))/1</f>
        <v>1</v>
      </c>
      <c r="D248" s="117" t="n">
        <f aca="false">Inputs!$C$55*(1+Inputs!$C$57)^(D$134-1)*MAX(0,MIN(1,D$133*1-Inputs!$C$58+1))/1</f>
        <v>1</v>
      </c>
      <c r="E248" s="117" t="n">
        <f aca="false">Inputs!$C$55*(1+Inputs!$C$57)^(E$134-1)*MAX(0,MIN(1,E$133*1-Inputs!$C$58+1))/1</f>
        <v>1</v>
      </c>
      <c r="F248" s="117" t="n">
        <f aca="false">Inputs!$C$55*(1+Inputs!$C$57)^(F$134-1)*MAX(0,MIN(1,F$133*1-Inputs!$C$58+1))/1</f>
        <v>1</v>
      </c>
      <c r="G248" s="117" t="n">
        <f aca="false">Inputs!$C$55*(1+Inputs!$C$57)^(G$134-1)*MAX(0,MIN(1,G$133*1-Inputs!$C$58+1))/1</f>
        <v>1</v>
      </c>
      <c r="H248" s="117" t="n">
        <f aca="false">Inputs!$C$55*(1+Inputs!$C$57)^(H$134-1)*MAX(0,MIN(1,H$133*1-Inputs!$C$58+1))/1</f>
        <v>1</v>
      </c>
      <c r="I248" s="117" t="n">
        <f aca="false">Inputs!$C$55*(1+Inputs!$C$57)^(I$134-1)*MAX(0,MIN(1,I$133*1-Inputs!$C$58+1))/1</f>
        <v>1</v>
      </c>
      <c r="J248" s="117" t="n">
        <f aca="false">Inputs!$C$55*(1+Inputs!$C$57)^(J$134-1)*MAX(0,MIN(1,J$133*1-Inputs!$C$58+1))/1</f>
        <v>1</v>
      </c>
      <c r="K248" s="117" t="n">
        <f aca="false">Inputs!$C$55*(1+Inputs!$C$57)^(K$134-1)*MAX(0,MIN(1,K$133*1-Inputs!$C$58+1))/1</f>
        <v>1</v>
      </c>
      <c r="L248" s="117" t="n">
        <f aca="false">Inputs!$C$55*(1+Inputs!$C$57)^(L$134-1)*MAX(0,MIN(1,L$133*1-Inputs!$C$58+1))/1</f>
        <v>1</v>
      </c>
      <c r="M248" s="117" t="n">
        <f aca="false">Inputs!$C$55*(1+Inputs!$C$57)^(M$134-1)*MAX(0,MIN(1,M$133*1-Inputs!$C$58+1))/1</f>
        <v>1</v>
      </c>
      <c r="N248" s="117" t="n">
        <f aca="false">Inputs!$C$55*(1+Inputs!$C$57)^(N$134-1)*MAX(0,MIN(1,N$133*1-Inputs!$C$58+1))/1</f>
        <v>1</v>
      </c>
      <c r="O248" s="117" t="n">
        <f aca="false">Inputs!$C$55*(1+Inputs!$C$57)^(O$134-1)*MAX(0,MIN(1,O$133*1-Inputs!$C$58+1))/1</f>
        <v>1</v>
      </c>
      <c r="P248" s="117" t="n">
        <f aca="false">Inputs!$C$55*(1+Inputs!$C$57)^(P$134-1)*MAX(0,MIN(1,P$133*1-Inputs!$C$58+1))/1</f>
        <v>1</v>
      </c>
      <c r="Q248" s="117" t="n">
        <f aca="false">Inputs!$C$55*(1+Inputs!$C$57)^(Q$134-1)*MAX(0,MIN(1,Q$133*1-Inputs!$C$58+1))/1</f>
        <v>1</v>
      </c>
      <c r="R248" s="117" t="n">
        <f aca="false">Inputs!$C$55*(1+Inputs!$C$57)^(R$134-1)*MAX(0,MIN(1,R$133*1-Inputs!$C$58+1))/1</f>
        <v>1</v>
      </c>
      <c r="S248" s="117" t="n">
        <f aca="false">Inputs!$C$55*(1+Inputs!$C$57)^(S$134-1)*MAX(0,MIN(1,S$133*1-Inputs!$C$58+1))/1</f>
        <v>1</v>
      </c>
      <c r="T248" s="117" t="n">
        <f aca="false">Inputs!$C$55*(1+Inputs!$C$57)^(T$134-1)*MAX(0,MIN(1,T$133*1-Inputs!$C$58+1))/1</f>
        <v>1</v>
      </c>
      <c r="U248" s="117" t="n">
        <f aca="false">Inputs!$C$55*(1+Inputs!$C$57)^(U$134-1)*MAX(0,MIN(1,U$133*1-Inputs!$C$58+1))/1</f>
        <v>1</v>
      </c>
      <c r="V248" s="117" t="n">
        <f aca="false">Inputs!$C$55*(1+Inputs!$C$57)^(V$134-1)*MAX(0,MIN(1,V$133*1-Inputs!$C$58+1))/1</f>
        <v>1</v>
      </c>
      <c r="W248" s="117" t="n">
        <f aca="false">Inputs!$C$55*(1+Inputs!$C$57)^(W$134-1)*MAX(0,MIN(1,W$133*1-Inputs!$C$58+1))/1</f>
        <v>1</v>
      </c>
      <c r="X248" s="117" t="n">
        <f aca="false">Inputs!$C$55*(1+Inputs!$C$57)^(X$134-1)*MAX(0,MIN(1,X$133*1-Inputs!$C$58+1))/1</f>
        <v>1</v>
      </c>
      <c r="Y248" s="117" t="n">
        <f aca="false">Inputs!$C$55*(1+Inputs!$C$57)^(Y$134-1)*MAX(0,MIN(1,Y$133*1-Inputs!$C$58+1))/1</f>
        <v>1</v>
      </c>
      <c r="Z248" s="117" t="n">
        <f aca="false">Inputs!$C$55*(1+Inputs!$C$57)^(Z$134-1)*MAX(0,MIN(1,Z$133*1-Inputs!$C$58+1))/1</f>
        <v>1</v>
      </c>
      <c r="AA248" s="117" t="n">
        <f aca="false">Inputs!$C$55*(1+Inputs!$C$57)^(AA$134-1)*MAX(0,MIN(1,AA$133*1-Inputs!$C$58+1))/1</f>
        <v>1</v>
      </c>
      <c r="AB248" s="117" t="n">
        <f aca="false">Inputs!$C$55*(1+Inputs!$C$57)^(AB$134-1)*MAX(0,MIN(1,AB$133*1-Inputs!$C$58+1))/1</f>
        <v>1</v>
      </c>
      <c r="AC248" s="117" t="n">
        <f aca="false">Inputs!$C$55*(1+Inputs!$C$57)^(AC$134-1)*MAX(0,MIN(1,AC$133*1-Inputs!$C$58+1))/1</f>
        <v>1</v>
      </c>
      <c r="AD248" s="117" t="n">
        <f aca="false">Inputs!$C$55*(1+Inputs!$C$57)^(AD$134-1)*MAX(0,MIN(1,AD$133*1-Inputs!$C$58+1))/1</f>
        <v>1</v>
      </c>
      <c r="AE248" s="117" t="n">
        <f aca="false">Inputs!$C$55*(1+Inputs!$C$57)^(AE$134-1)*MAX(0,MIN(1,AE$133*1-Inputs!$C$58+1))/1</f>
        <v>1</v>
      </c>
      <c r="AF248" s="117" t="n">
        <f aca="false">Inputs!$C$55*(1+Inputs!$C$57)^(AF$134-1)*MAX(0,MIN(1,AF$133*1-Inputs!$C$58+1))/1</f>
        <v>1</v>
      </c>
      <c r="AG248" s="117" t="n">
        <f aca="false">Inputs!$C$55*(1+Inputs!$C$57)^(AG$134-1)*MAX(0,MIN(1,AG$133*1-Inputs!$C$58+1))/1</f>
        <v>1</v>
      </c>
      <c r="AH248" s="117" t="n">
        <f aca="false">Inputs!$C$55*(1+Inputs!$C$57)^(AH$134-1)*MAX(0,MIN(1,AH$133*1-Inputs!$C$58+1))/1</f>
        <v>1</v>
      </c>
      <c r="AI248" s="117" t="n">
        <f aca="false">Inputs!$C$55*(1+Inputs!$C$57)^(AI$134-1)*MAX(0,MIN(1,AI$133*1-Inputs!$C$58+1))/1</f>
        <v>1</v>
      </c>
      <c r="AJ248" s="117" t="n">
        <f aca="false">Inputs!$C$55*(1+Inputs!$C$57)^(AJ$134-1)*MAX(0,MIN(1,AJ$133*1-Inputs!$C$58+1))/1</f>
        <v>1</v>
      </c>
      <c r="AK248" s="117" t="n">
        <f aca="false">Inputs!$C$55*(1+Inputs!$C$57)^(AK$134-1)*MAX(0,MIN(1,AK$133*1-Inputs!$C$58+1))/1</f>
        <v>1</v>
      </c>
      <c r="AL248" s="117" t="n">
        <f aca="false">Inputs!$C$55*(1+Inputs!$C$57)^(AL$134-1)*MAX(0,MIN(1,AL$133*1-Inputs!$C$58+1))/1</f>
        <v>1</v>
      </c>
    </row>
    <row r="249" customFormat="false" ht="15" hidden="false" customHeight="false" outlineLevel="0" collapsed="false">
      <c r="A249" s="6" t="s">
        <v>445</v>
      </c>
      <c r="C249" s="117" t="n">
        <f aca="false">Inputs!$C$59*(1+Inputs!$C$61)^(C$134-1)*MAX(0,MIN(1,C$133*1-Inputs!$C$62+1))/1</f>
        <v>10</v>
      </c>
      <c r="D249" s="117" t="n">
        <f aca="false">Inputs!$C$59*(1+Inputs!$C$61)^(D$134-1)*MAX(0,MIN(1,D$133*1-Inputs!$C$62+1))/1</f>
        <v>10</v>
      </c>
      <c r="E249" s="117" t="n">
        <f aca="false">Inputs!$C$59*(1+Inputs!$C$61)^(E$134-1)*MAX(0,MIN(1,E$133*1-Inputs!$C$62+1))/1</f>
        <v>10</v>
      </c>
      <c r="F249" s="117" t="n">
        <f aca="false">Inputs!$C$59*(1+Inputs!$C$61)^(F$134-1)*MAX(0,MIN(1,F$133*1-Inputs!$C$62+1))/1</f>
        <v>10</v>
      </c>
      <c r="G249" s="117" t="n">
        <f aca="false">Inputs!$C$59*(1+Inputs!$C$61)^(G$134-1)*MAX(0,MIN(1,G$133*1-Inputs!$C$62+1))/1</f>
        <v>10</v>
      </c>
      <c r="H249" s="117" t="n">
        <f aca="false">Inputs!$C$59*(1+Inputs!$C$61)^(H$134-1)*MAX(0,MIN(1,H$133*1-Inputs!$C$62+1))/1</f>
        <v>10</v>
      </c>
      <c r="I249" s="117" t="n">
        <f aca="false">Inputs!$C$59*(1+Inputs!$C$61)^(I$134-1)*MAX(0,MIN(1,I$133*1-Inputs!$C$62+1))/1</f>
        <v>10</v>
      </c>
      <c r="J249" s="117" t="n">
        <f aca="false">Inputs!$C$59*(1+Inputs!$C$61)^(J$134-1)*MAX(0,MIN(1,J$133*1-Inputs!$C$62+1))/1</f>
        <v>10</v>
      </c>
      <c r="K249" s="117" t="n">
        <f aca="false">Inputs!$C$59*(1+Inputs!$C$61)^(K$134-1)*MAX(0,MIN(1,K$133*1-Inputs!$C$62+1))/1</f>
        <v>10</v>
      </c>
      <c r="L249" s="117" t="n">
        <f aca="false">Inputs!$C$59*(1+Inputs!$C$61)^(L$134-1)*MAX(0,MIN(1,L$133*1-Inputs!$C$62+1))/1</f>
        <v>10</v>
      </c>
      <c r="M249" s="117" t="n">
        <f aca="false">Inputs!$C$59*(1+Inputs!$C$61)^(M$134-1)*MAX(0,MIN(1,M$133*1-Inputs!$C$62+1))/1</f>
        <v>10</v>
      </c>
      <c r="N249" s="117" t="n">
        <f aca="false">Inputs!$C$59*(1+Inputs!$C$61)^(N$134-1)*MAX(0,MIN(1,N$133*1-Inputs!$C$62+1))/1</f>
        <v>10</v>
      </c>
      <c r="O249" s="117" t="n">
        <f aca="false">Inputs!$C$59*(1+Inputs!$C$61)^(O$134-1)*MAX(0,MIN(1,O$133*1-Inputs!$C$62+1))/1</f>
        <v>10</v>
      </c>
      <c r="P249" s="117" t="n">
        <f aca="false">Inputs!$C$59*(1+Inputs!$C$61)^(P$134-1)*MAX(0,MIN(1,P$133*1-Inputs!$C$62+1))/1</f>
        <v>10</v>
      </c>
      <c r="Q249" s="117" t="n">
        <f aca="false">Inputs!$C$59*(1+Inputs!$C$61)^(Q$134-1)*MAX(0,MIN(1,Q$133*1-Inputs!$C$62+1))/1</f>
        <v>10</v>
      </c>
      <c r="R249" s="117" t="n">
        <f aca="false">Inputs!$C$59*(1+Inputs!$C$61)^(R$134-1)*MAX(0,MIN(1,R$133*1-Inputs!$C$62+1))/1</f>
        <v>10</v>
      </c>
      <c r="S249" s="117" t="n">
        <f aca="false">Inputs!$C$59*(1+Inputs!$C$61)^(S$134-1)*MAX(0,MIN(1,S$133*1-Inputs!$C$62+1))/1</f>
        <v>10</v>
      </c>
      <c r="T249" s="117" t="n">
        <f aca="false">Inputs!$C$59*(1+Inputs!$C$61)^(T$134-1)*MAX(0,MIN(1,T$133*1-Inputs!$C$62+1))/1</f>
        <v>10</v>
      </c>
      <c r="U249" s="117" t="n">
        <f aca="false">Inputs!$C$59*(1+Inputs!$C$61)^(U$134-1)*MAX(0,MIN(1,U$133*1-Inputs!$C$62+1))/1</f>
        <v>10</v>
      </c>
      <c r="V249" s="117" t="n">
        <f aca="false">Inputs!$C$59*(1+Inputs!$C$61)^(V$134-1)*MAX(0,MIN(1,V$133*1-Inputs!$C$62+1))/1</f>
        <v>10</v>
      </c>
      <c r="W249" s="117" t="n">
        <f aca="false">Inputs!$C$59*(1+Inputs!$C$61)^(W$134-1)*MAX(0,MIN(1,W$133*1-Inputs!$C$62+1))/1</f>
        <v>10</v>
      </c>
      <c r="X249" s="117" t="n">
        <f aca="false">Inputs!$C$59*(1+Inputs!$C$61)^(X$134-1)*MAX(0,MIN(1,X$133*1-Inputs!$C$62+1))/1</f>
        <v>10</v>
      </c>
      <c r="Y249" s="117" t="n">
        <f aca="false">Inputs!$C$59*(1+Inputs!$C$61)^(Y$134-1)*MAX(0,MIN(1,Y$133*1-Inputs!$C$62+1))/1</f>
        <v>10</v>
      </c>
      <c r="Z249" s="117" t="n">
        <f aca="false">Inputs!$C$59*(1+Inputs!$C$61)^(Z$134-1)*MAX(0,MIN(1,Z$133*1-Inputs!$C$62+1))/1</f>
        <v>10</v>
      </c>
      <c r="AA249" s="117" t="n">
        <f aca="false">Inputs!$C$59*(1+Inputs!$C$61)^(AA$134-1)*MAX(0,MIN(1,AA$133*1-Inputs!$C$62+1))/1</f>
        <v>10</v>
      </c>
      <c r="AB249" s="117" t="n">
        <f aca="false">Inputs!$C$59*(1+Inputs!$C$61)^(AB$134-1)*MAX(0,MIN(1,AB$133*1-Inputs!$C$62+1))/1</f>
        <v>10</v>
      </c>
      <c r="AC249" s="117" t="n">
        <f aca="false">Inputs!$C$59*(1+Inputs!$C$61)^(AC$134-1)*MAX(0,MIN(1,AC$133*1-Inputs!$C$62+1))/1</f>
        <v>10</v>
      </c>
      <c r="AD249" s="117" t="n">
        <f aca="false">Inputs!$C$59*(1+Inputs!$C$61)^(AD$134-1)*MAX(0,MIN(1,AD$133*1-Inputs!$C$62+1))/1</f>
        <v>10</v>
      </c>
      <c r="AE249" s="117" t="n">
        <f aca="false">Inputs!$C$59*(1+Inputs!$C$61)^(AE$134-1)*MAX(0,MIN(1,AE$133*1-Inputs!$C$62+1))/1</f>
        <v>10</v>
      </c>
      <c r="AF249" s="117" t="n">
        <f aca="false">Inputs!$C$59*(1+Inputs!$C$61)^(AF$134-1)*MAX(0,MIN(1,AF$133*1-Inputs!$C$62+1))/1</f>
        <v>10</v>
      </c>
      <c r="AG249" s="117" t="n">
        <f aca="false">Inputs!$C$59*(1+Inputs!$C$61)^(AG$134-1)*MAX(0,MIN(1,AG$133*1-Inputs!$C$62+1))/1</f>
        <v>10</v>
      </c>
      <c r="AH249" s="117" t="n">
        <f aca="false">Inputs!$C$59*(1+Inputs!$C$61)^(AH$134-1)*MAX(0,MIN(1,AH$133*1-Inputs!$C$62+1))/1</f>
        <v>10</v>
      </c>
      <c r="AI249" s="117" t="n">
        <f aca="false">Inputs!$C$59*(1+Inputs!$C$61)^(AI$134-1)*MAX(0,MIN(1,AI$133*1-Inputs!$C$62+1))/1</f>
        <v>10</v>
      </c>
      <c r="AJ249" s="117" t="n">
        <f aca="false">Inputs!$C$59*(1+Inputs!$C$61)^(AJ$134-1)*MAX(0,MIN(1,AJ$133*1-Inputs!$C$62+1))/1</f>
        <v>10</v>
      </c>
      <c r="AK249" s="117" t="n">
        <f aca="false">Inputs!$C$59*(1+Inputs!$C$61)^(AK$134-1)*MAX(0,MIN(1,AK$133*1-Inputs!$C$62+1))/1</f>
        <v>10</v>
      </c>
      <c r="AL249" s="117" t="n">
        <f aca="false">Inputs!$C$59*(1+Inputs!$C$61)^(AL$134-1)*MAX(0,MIN(1,AL$133*1-Inputs!$C$62+1))/1</f>
        <v>10</v>
      </c>
    </row>
    <row r="250" customFormat="false" ht="15" hidden="false" customHeight="false" outlineLevel="0" collapsed="false">
      <c r="A250" s="113" t="s">
        <v>446</v>
      </c>
      <c r="C250" s="123" t="n">
        <f aca="false">C248+C249</f>
        <v>11</v>
      </c>
      <c r="D250" s="123" t="n">
        <f aca="false">D248+D249</f>
        <v>11</v>
      </c>
      <c r="E250" s="123" t="n">
        <f aca="false">E248+E249</f>
        <v>11</v>
      </c>
      <c r="F250" s="123" t="n">
        <f aca="false">F248+F249</f>
        <v>11</v>
      </c>
      <c r="G250" s="123" t="n">
        <f aca="false">G248+G249</f>
        <v>11</v>
      </c>
      <c r="H250" s="123" t="n">
        <f aca="false">H248+H249</f>
        <v>11</v>
      </c>
      <c r="I250" s="123" t="n">
        <f aca="false">I248+I249</f>
        <v>11</v>
      </c>
      <c r="J250" s="123" t="n">
        <f aca="false">J248+J249</f>
        <v>11</v>
      </c>
      <c r="K250" s="123" t="n">
        <f aca="false">K248+K249</f>
        <v>11</v>
      </c>
      <c r="L250" s="123" t="n">
        <f aca="false">L248+L249</f>
        <v>11</v>
      </c>
      <c r="M250" s="123" t="n">
        <f aca="false">M248+M249</f>
        <v>11</v>
      </c>
      <c r="N250" s="123" t="n">
        <f aca="false">N248+N249</f>
        <v>11</v>
      </c>
      <c r="O250" s="123" t="n">
        <f aca="false">O248+O249</f>
        <v>11</v>
      </c>
      <c r="P250" s="123" t="n">
        <f aca="false">P248+P249</f>
        <v>11</v>
      </c>
      <c r="Q250" s="123" t="n">
        <f aca="false">Q248+Q249</f>
        <v>11</v>
      </c>
      <c r="R250" s="123" t="n">
        <f aca="false">R248+R249</f>
        <v>11</v>
      </c>
      <c r="S250" s="123" t="n">
        <f aca="false">S248+S249</f>
        <v>11</v>
      </c>
      <c r="T250" s="123" t="n">
        <f aca="false">T248+T249</f>
        <v>11</v>
      </c>
      <c r="U250" s="123" t="n">
        <f aca="false">U248+U249</f>
        <v>11</v>
      </c>
      <c r="V250" s="123" t="n">
        <f aca="false">V248+V249</f>
        <v>11</v>
      </c>
      <c r="W250" s="123" t="n">
        <f aca="false">W248+W249</f>
        <v>11</v>
      </c>
      <c r="X250" s="123" t="n">
        <f aca="false">X248+X249</f>
        <v>11</v>
      </c>
      <c r="Y250" s="123" t="n">
        <f aca="false">Y248+Y249</f>
        <v>11</v>
      </c>
      <c r="Z250" s="123" t="n">
        <f aca="false">Z248+Z249</f>
        <v>11</v>
      </c>
      <c r="AA250" s="123" t="n">
        <f aca="false">AA248+AA249</f>
        <v>11</v>
      </c>
      <c r="AB250" s="123" t="n">
        <f aca="false">AB248+AB249</f>
        <v>11</v>
      </c>
      <c r="AC250" s="123" t="n">
        <f aca="false">AC248+AC249</f>
        <v>11</v>
      </c>
      <c r="AD250" s="123" t="n">
        <f aca="false">AD248+AD249</f>
        <v>11</v>
      </c>
      <c r="AE250" s="123" t="n">
        <f aca="false">AE248+AE249</f>
        <v>11</v>
      </c>
      <c r="AF250" s="123" t="n">
        <f aca="false">AF248+AF249</f>
        <v>11</v>
      </c>
      <c r="AG250" s="123" t="n">
        <f aca="false">AG248+AG249</f>
        <v>11</v>
      </c>
      <c r="AH250" s="123" t="n">
        <f aca="false">AH248+AH249</f>
        <v>11</v>
      </c>
      <c r="AI250" s="123" t="n">
        <f aca="false">AI248+AI249</f>
        <v>11</v>
      </c>
      <c r="AJ250" s="123" t="n">
        <f aca="false">AJ248+AJ249</f>
        <v>11</v>
      </c>
      <c r="AK250" s="123" t="n">
        <f aca="false">AK248+AK249</f>
        <v>11</v>
      </c>
      <c r="AL250" s="123" t="n">
        <f aca="false">AL248+AL249</f>
        <v>11</v>
      </c>
    </row>
    <row r="252" customFormat="false" ht="15.75" hidden="false" customHeight="true" outlineLevel="0" collapsed="false">
      <c r="A252" s="7" t="s">
        <v>447</v>
      </c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</row>
    <row r="253" customFormat="false" ht="15" hidden="false" customHeight="false" outlineLevel="0" collapsed="false">
      <c r="A253" s="6" t="s">
        <v>448</v>
      </c>
      <c r="C253" s="69" t="n">
        <f aca="false">-C248*Inputs!$C$56/12*1*(1+Inputs!$C$63)*(1+Inputs!$C$64)^(C$134-1)</f>
        <v>-6720</v>
      </c>
      <c r="D253" s="69" t="n">
        <f aca="false">-D248*Inputs!$C$56/12*1*(1+Inputs!$C$63)*(1+Inputs!$C$64)^(D$134-1)</f>
        <v>-6720</v>
      </c>
      <c r="E253" s="69" t="n">
        <f aca="false">-E248*Inputs!$C$56/12*1*(1+Inputs!$C$63)*(1+Inputs!$C$64)^(E$134-1)</f>
        <v>-6720</v>
      </c>
      <c r="F253" s="69" t="n">
        <f aca="false">-F248*Inputs!$C$56/12*1*(1+Inputs!$C$63)*(1+Inputs!$C$64)^(F$134-1)</f>
        <v>-6720</v>
      </c>
      <c r="G253" s="69" t="n">
        <f aca="false">-G248*Inputs!$C$56/12*1*(1+Inputs!$C$63)*(1+Inputs!$C$64)^(G$134-1)</f>
        <v>-6720</v>
      </c>
      <c r="H253" s="69" t="n">
        <f aca="false">-H248*Inputs!$C$56/12*1*(1+Inputs!$C$63)*(1+Inputs!$C$64)^(H$134-1)</f>
        <v>-6720</v>
      </c>
      <c r="I253" s="69" t="n">
        <f aca="false">-I248*Inputs!$C$56/12*1*(1+Inputs!$C$63)*(1+Inputs!$C$64)^(I$134-1)</f>
        <v>-6720</v>
      </c>
      <c r="J253" s="69" t="n">
        <f aca="false">-J248*Inputs!$C$56/12*1*(1+Inputs!$C$63)*(1+Inputs!$C$64)^(J$134-1)</f>
        <v>-6720</v>
      </c>
      <c r="K253" s="69" t="n">
        <f aca="false">-K248*Inputs!$C$56/12*1*(1+Inputs!$C$63)*(1+Inputs!$C$64)^(K$134-1)</f>
        <v>-6720</v>
      </c>
      <c r="L253" s="69" t="n">
        <f aca="false">-L248*Inputs!$C$56/12*1*(1+Inputs!$C$63)*(1+Inputs!$C$64)^(L$134-1)</f>
        <v>-6720</v>
      </c>
      <c r="M253" s="69" t="n">
        <f aca="false">-M248*Inputs!$C$56/12*1*(1+Inputs!$C$63)*(1+Inputs!$C$64)^(M$134-1)</f>
        <v>-6720</v>
      </c>
      <c r="N253" s="69" t="n">
        <f aca="false">-N248*Inputs!$C$56/12*1*(1+Inputs!$C$63)*(1+Inputs!$C$64)^(N$134-1)</f>
        <v>-6720</v>
      </c>
      <c r="O253" s="69" t="n">
        <f aca="false">-O248*Inputs!$C$56/12*1*(1+Inputs!$C$63)*(1+Inputs!$C$64)^(O$134-1)</f>
        <v>-6921.6</v>
      </c>
      <c r="P253" s="69" t="n">
        <f aca="false">-P248*Inputs!$C$56/12*1*(1+Inputs!$C$63)*(1+Inputs!$C$64)^(P$134-1)</f>
        <v>-6921.6</v>
      </c>
      <c r="Q253" s="69" t="n">
        <f aca="false">-Q248*Inputs!$C$56/12*1*(1+Inputs!$C$63)*(1+Inputs!$C$64)^(Q$134-1)</f>
        <v>-6921.6</v>
      </c>
      <c r="R253" s="69" t="n">
        <f aca="false">-R248*Inputs!$C$56/12*1*(1+Inputs!$C$63)*(1+Inputs!$C$64)^(R$134-1)</f>
        <v>-6921.6</v>
      </c>
      <c r="S253" s="69" t="n">
        <f aca="false">-S248*Inputs!$C$56/12*1*(1+Inputs!$C$63)*(1+Inputs!$C$64)^(S$134-1)</f>
        <v>-6921.6</v>
      </c>
      <c r="T253" s="69" t="n">
        <f aca="false">-T248*Inputs!$C$56/12*1*(1+Inputs!$C$63)*(1+Inputs!$C$64)^(T$134-1)</f>
        <v>-6921.6</v>
      </c>
      <c r="U253" s="69" t="n">
        <f aca="false">-U248*Inputs!$C$56/12*1*(1+Inputs!$C$63)*(1+Inputs!$C$64)^(U$134-1)</f>
        <v>-6921.6</v>
      </c>
      <c r="V253" s="69" t="n">
        <f aca="false">-V248*Inputs!$C$56/12*1*(1+Inputs!$C$63)*(1+Inputs!$C$64)^(V$134-1)</f>
        <v>-6921.6</v>
      </c>
      <c r="W253" s="69" t="n">
        <f aca="false">-W248*Inputs!$C$56/12*1*(1+Inputs!$C$63)*(1+Inputs!$C$64)^(W$134-1)</f>
        <v>-6921.6</v>
      </c>
      <c r="X253" s="69" t="n">
        <f aca="false">-X248*Inputs!$C$56/12*1*(1+Inputs!$C$63)*(1+Inputs!$C$64)^(X$134-1)</f>
        <v>-6921.6</v>
      </c>
      <c r="Y253" s="69" t="n">
        <f aca="false">-Y248*Inputs!$C$56/12*1*(1+Inputs!$C$63)*(1+Inputs!$C$64)^(Y$134-1)</f>
        <v>-6921.6</v>
      </c>
      <c r="Z253" s="69" t="n">
        <f aca="false">-Z248*Inputs!$C$56/12*1*(1+Inputs!$C$63)*(1+Inputs!$C$64)^(Z$134-1)</f>
        <v>-6921.6</v>
      </c>
      <c r="AA253" s="69" t="n">
        <f aca="false">-AA248*Inputs!$C$56/12*1*(1+Inputs!$C$63)*(1+Inputs!$C$64)^(AA$134-1)</f>
        <v>-7129.248</v>
      </c>
      <c r="AB253" s="69" t="n">
        <f aca="false">-AB248*Inputs!$C$56/12*1*(1+Inputs!$C$63)*(1+Inputs!$C$64)^(AB$134-1)</f>
        <v>-7129.248</v>
      </c>
      <c r="AC253" s="69" t="n">
        <f aca="false">-AC248*Inputs!$C$56/12*1*(1+Inputs!$C$63)*(1+Inputs!$C$64)^(AC$134-1)</f>
        <v>-7129.248</v>
      </c>
      <c r="AD253" s="69" t="n">
        <f aca="false">-AD248*Inputs!$C$56/12*1*(1+Inputs!$C$63)*(1+Inputs!$C$64)^(AD$134-1)</f>
        <v>-7129.248</v>
      </c>
      <c r="AE253" s="69" t="n">
        <f aca="false">-AE248*Inputs!$C$56/12*1*(1+Inputs!$C$63)*(1+Inputs!$C$64)^(AE$134-1)</f>
        <v>-7129.248</v>
      </c>
      <c r="AF253" s="69" t="n">
        <f aca="false">-AF248*Inputs!$C$56/12*1*(1+Inputs!$C$63)*(1+Inputs!$C$64)^(AF$134-1)</f>
        <v>-7129.248</v>
      </c>
      <c r="AG253" s="69" t="n">
        <f aca="false">-AG248*Inputs!$C$56/12*1*(1+Inputs!$C$63)*(1+Inputs!$C$64)^(AG$134-1)</f>
        <v>-7129.248</v>
      </c>
      <c r="AH253" s="69" t="n">
        <f aca="false">-AH248*Inputs!$C$56/12*1*(1+Inputs!$C$63)*(1+Inputs!$C$64)^(AH$134-1)</f>
        <v>-7129.248</v>
      </c>
      <c r="AI253" s="69" t="n">
        <f aca="false">-AI248*Inputs!$C$56/12*1*(1+Inputs!$C$63)*(1+Inputs!$C$64)^(AI$134-1)</f>
        <v>-7129.248</v>
      </c>
      <c r="AJ253" s="69" t="n">
        <f aca="false">-AJ248*Inputs!$C$56/12*1*(1+Inputs!$C$63)*(1+Inputs!$C$64)^(AJ$134-1)</f>
        <v>-7129.248</v>
      </c>
      <c r="AK253" s="69" t="n">
        <f aca="false">-AK248*Inputs!$C$56/12*1*(1+Inputs!$C$63)*(1+Inputs!$C$64)^(AK$134-1)</f>
        <v>-7129.248</v>
      </c>
      <c r="AL253" s="69" t="n">
        <f aca="false">-AL248*Inputs!$C$56/12*1*(1+Inputs!$C$63)*(1+Inputs!$C$64)^(AL$134-1)</f>
        <v>-7129.248</v>
      </c>
    </row>
    <row r="254" customFormat="false" ht="15" hidden="false" customHeight="false" outlineLevel="0" collapsed="false">
      <c r="A254" s="6" t="s">
        <v>449</v>
      </c>
      <c r="C254" s="69" t="n">
        <f aca="false">-C249*Inputs!$C$60/12*1*(1+Inputs!$C$63)*(1+Inputs!$C$64)^(C$134-1)</f>
        <v>-29866.6666666667</v>
      </c>
      <c r="D254" s="69" t="n">
        <f aca="false">-D249*Inputs!$C$60/12*1*(1+Inputs!$C$63)*(1+Inputs!$C$64)^(D$134-1)</f>
        <v>-29866.6666666667</v>
      </c>
      <c r="E254" s="69" t="n">
        <f aca="false">-E249*Inputs!$C$60/12*1*(1+Inputs!$C$63)*(1+Inputs!$C$64)^(E$134-1)</f>
        <v>-29866.6666666667</v>
      </c>
      <c r="F254" s="69" t="n">
        <f aca="false">-F249*Inputs!$C$60/12*1*(1+Inputs!$C$63)*(1+Inputs!$C$64)^(F$134-1)</f>
        <v>-29866.6666666667</v>
      </c>
      <c r="G254" s="69" t="n">
        <f aca="false">-G249*Inputs!$C$60/12*1*(1+Inputs!$C$63)*(1+Inputs!$C$64)^(G$134-1)</f>
        <v>-29866.6666666667</v>
      </c>
      <c r="H254" s="69" t="n">
        <f aca="false">-H249*Inputs!$C$60/12*1*(1+Inputs!$C$63)*(1+Inputs!$C$64)^(H$134-1)</f>
        <v>-29866.6666666667</v>
      </c>
      <c r="I254" s="69" t="n">
        <f aca="false">-I249*Inputs!$C$60/12*1*(1+Inputs!$C$63)*(1+Inputs!$C$64)^(I$134-1)</f>
        <v>-29866.6666666667</v>
      </c>
      <c r="J254" s="69" t="n">
        <f aca="false">-J249*Inputs!$C$60/12*1*(1+Inputs!$C$63)*(1+Inputs!$C$64)^(J$134-1)</f>
        <v>-29866.6666666667</v>
      </c>
      <c r="K254" s="69" t="n">
        <f aca="false">-K249*Inputs!$C$60/12*1*(1+Inputs!$C$63)*(1+Inputs!$C$64)^(K$134-1)</f>
        <v>-29866.6666666667</v>
      </c>
      <c r="L254" s="69" t="n">
        <f aca="false">-L249*Inputs!$C$60/12*1*(1+Inputs!$C$63)*(1+Inputs!$C$64)^(L$134-1)</f>
        <v>-29866.6666666667</v>
      </c>
      <c r="M254" s="69" t="n">
        <f aca="false">-M249*Inputs!$C$60/12*1*(1+Inputs!$C$63)*(1+Inputs!$C$64)^(M$134-1)</f>
        <v>-29866.6666666667</v>
      </c>
      <c r="N254" s="69" t="n">
        <f aca="false">-N249*Inputs!$C$60/12*1*(1+Inputs!$C$63)*(1+Inputs!$C$64)^(N$134-1)</f>
        <v>-29866.6666666667</v>
      </c>
      <c r="O254" s="69" t="n">
        <f aca="false">-O249*Inputs!$C$60/12*1*(1+Inputs!$C$63)*(1+Inputs!$C$64)^(O$134-1)</f>
        <v>-30762.6666666667</v>
      </c>
      <c r="P254" s="69" t="n">
        <f aca="false">-P249*Inputs!$C$60/12*1*(1+Inputs!$C$63)*(1+Inputs!$C$64)^(P$134-1)</f>
        <v>-30762.6666666667</v>
      </c>
      <c r="Q254" s="69" t="n">
        <f aca="false">-Q249*Inputs!$C$60/12*1*(1+Inputs!$C$63)*(1+Inputs!$C$64)^(Q$134-1)</f>
        <v>-30762.6666666667</v>
      </c>
      <c r="R254" s="69" t="n">
        <f aca="false">-R249*Inputs!$C$60/12*1*(1+Inputs!$C$63)*(1+Inputs!$C$64)^(R$134-1)</f>
        <v>-30762.6666666667</v>
      </c>
      <c r="S254" s="69" t="n">
        <f aca="false">-S249*Inputs!$C$60/12*1*(1+Inputs!$C$63)*(1+Inputs!$C$64)^(S$134-1)</f>
        <v>-30762.6666666667</v>
      </c>
      <c r="T254" s="69" t="n">
        <f aca="false">-T249*Inputs!$C$60/12*1*(1+Inputs!$C$63)*(1+Inputs!$C$64)^(T$134-1)</f>
        <v>-30762.6666666667</v>
      </c>
      <c r="U254" s="69" t="n">
        <f aca="false">-U249*Inputs!$C$60/12*1*(1+Inputs!$C$63)*(1+Inputs!$C$64)^(U$134-1)</f>
        <v>-30762.6666666667</v>
      </c>
      <c r="V254" s="69" t="n">
        <f aca="false">-V249*Inputs!$C$60/12*1*(1+Inputs!$C$63)*(1+Inputs!$C$64)^(V$134-1)</f>
        <v>-30762.6666666667</v>
      </c>
      <c r="W254" s="69" t="n">
        <f aca="false">-W249*Inputs!$C$60/12*1*(1+Inputs!$C$63)*(1+Inputs!$C$64)^(W$134-1)</f>
        <v>-30762.6666666667</v>
      </c>
      <c r="X254" s="69" t="n">
        <f aca="false">-X249*Inputs!$C$60/12*1*(1+Inputs!$C$63)*(1+Inputs!$C$64)^(X$134-1)</f>
        <v>-30762.6666666667</v>
      </c>
      <c r="Y254" s="69" t="n">
        <f aca="false">-Y249*Inputs!$C$60/12*1*(1+Inputs!$C$63)*(1+Inputs!$C$64)^(Y$134-1)</f>
        <v>-30762.6666666667</v>
      </c>
      <c r="Z254" s="69" t="n">
        <f aca="false">-Z249*Inputs!$C$60/12*1*(1+Inputs!$C$63)*(1+Inputs!$C$64)^(Z$134-1)</f>
        <v>-30762.6666666667</v>
      </c>
      <c r="AA254" s="69" t="n">
        <f aca="false">-AA249*Inputs!$C$60/12*1*(1+Inputs!$C$63)*(1+Inputs!$C$64)^(AA$134-1)</f>
        <v>-31685.5466666667</v>
      </c>
      <c r="AB254" s="69" t="n">
        <f aca="false">-AB249*Inputs!$C$60/12*1*(1+Inputs!$C$63)*(1+Inputs!$C$64)^(AB$134-1)</f>
        <v>-31685.5466666667</v>
      </c>
      <c r="AC254" s="69" t="n">
        <f aca="false">-AC249*Inputs!$C$60/12*1*(1+Inputs!$C$63)*(1+Inputs!$C$64)^(AC$134-1)</f>
        <v>-31685.5466666667</v>
      </c>
      <c r="AD254" s="69" t="n">
        <f aca="false">-AD249*Inputs!$C$60/12*1*(1+Inputs!$C$63)*(1+Inputs!$C$64)^(AD$134-1)</f>
        <v>-31685.5466666667</v>
      </c>
      <c r="AE254" s="69" t="n">
        <f aca="false">-AE249*Inputs!$C$60/12*1*(1+Inputs!$C$63)*(1+Inputs!$C$64)^(AE$134-1)</f>
        <v>-31685.5466666667</v>
      </c>
      <c r="AF254" s="69" t="n">
        <f aca="false">-AF249*Inputs!$C$60/12*1*(1+Inputs!$C$63)*(1+Inputs!$C$64)^(AF$134-1)</f>
        <v>-31685.5466666667</v>
      </c>
      <c r="AG254" s="69" t="n">
        <f aca="false">-AG249*Inputs!$C$60/12*1*(1+Inputs!$C$63)*(1+Inputs!$C$64)^(AG$134-1)</f>
        <v>-31685.5466666667</v>
      </c>
      <c r="AH254" s="69" t="n">
        <f aca="false">-AH249*Inputs!$C$60/12*1*(1+Inputs!$C$63)*(1+Inputs!$C$64)^(AH$134-1)</f>
        <v>-31685.5466666667</v>
      </c>
      <c r="AI254" s="69" t="n">
        <f aca="false">-AI249*Inputs!$C$60/12*1*(1+Inputs!$C$63)*(1+Inputs!$C$64)^(AI$134-1)</f>
        <v>-31685.5466666667</v>
      </c>
      <c r="AJ254" s="69" t="n">
        <f aca="false">-AJ249*Inputs!$C$60/12*1*(1+Inputs!$C$63)*(1+Inputs!$C$64)^(AJ$134-1)</f>
        <v>-31685.5466666667</v>
      </c>
      <c r="AK254" s="69" t="n">
        <f aca="false">-AK249*Inputs!$C$60/12*1*(1+Inputs!$C$63)*(1+Inputs!$C$64)^(AK$134-1)</f>
        <v>-31685.5466666667</v>
      </c>
      <c r="AL254" s="69" t="n">
        <f aca="false">-AL249*Inputs!$C$60/12*1*(1+Inputs!$C$63)*(1+Inputs!$C$64)^(AL$134-1)</f>
        <v>-31685.5466666667</v>
      </c>
    </row>
    <row r="255" customFormat="false" ht="15" hidden="false" customHeight="false" outlineLevel="0" collapsed="false">
      <c r="A255" s="113" t="s">
        <v>450</v>
      </c>
      <c r="C255" s="70" t="n">
        <f aca="false">C253+C254</f>
        <v>-36586.6666666667</v>
      </c>
      <c r="D255" s="70" t="n">
        <f aca="false">D253+D254</f>
        <v>-36586.6666666667</v>
      </c>
      <c r="E255" s="70" t="n">
        <f aca="false">E253+E254</f>
        <v>-36586.6666666667</v>
      </c>
      <c r="F255" s="70" t="n">
        <f aca="false">F253+F254</f>
        <v>-36586.6666666667</v>
      </c>
      <c r="G255" s="70" t="n">
        <f aca="false">G253+G254</f>
        <v>-36586.6666666667</v>
      </c>
      <c r="H255" s="70" t="n">
        <f aca="false">H253+H254</f>
        <v>-36586.6666666667</v>
      </c>
      <c r="I255" s="70" t="n">
        <f aca="false">I253+I254</f>
        <v>-36586.6666666667</v>
      </c>
      <c r="J255" s="70" t="n">
        <f aca="false">J253+J254</f>
        <v>-36586.6666666667</v>
      </c>
      <c r="K255" s="70" t="n">
        <f aca="false">K253+K254</f>
        <v>-36586.6666666667</v>
      </c>
      <c r="L255" s="70" t="n">
        <f aca="false">L253+L254</f>
        <v>-36586.6666666667</v>
      </c>
      <c r="M255" s="70" t="n">
        <f aca="false">M253+M254</f>
        <v>-36586.6666666667</v>
      </c>
      <c r="N255" s="70" t="n">
        <f aca="false">N253+N254</f>
        <v>-36586.6666666667</v>
      </c>
      <c r="O255" s="70" t="n">
        <f aca="false">O253+O254</f>
        <v>-37684.2666666667</v>
      </c>
      <c r="P255" s="70" t="n">
        <f aca="false">P253+P254</f>
        <v>-37684.2666666667</v>
      </c>
      <c r="Q255" s="70" t="n">
        <f aca="false">Q253+Q254</f>
        <v>-37684.2666666667</v>
      </c>
      <c r="R255" s="70" t="n">
        <f aca="false">R253+R254</f>
        <v>-37684.2666666667</v>
      </c>
      <c r="S255" s="70" t="n">
        <f aca="false">S253+S254</f>
        <v>-37684.2666666667</v>
      </c>
      <c r="T255" s="70" t="n">
        <f aca="false">T253+T254</f>
        <v>-37684.2666666667</v>
      </c>
      <c r="U255" s="70" t="n">
        <f aca="false">U253+U254</f>
        <v>-37684.2666666667</v>
      </c>
      <c r="V255" s="70" t="n">
        <f aca="false">V253+V254</f>
        <v>-37684.2666666667</v>
      </c>
      <c r="W255" s="70" t="n">
        <f aca="false">W253+W254</f>
        <v>-37684.2666666667</v>
      </c>
      <c r="X255" s="70" t="n">
        <f aca="false">X253+X254</f>
        <v>-37684.2666666667</v>
      </c>
      <c r="Y255" s="70" t="n">
        <f aca="false">Y253+Y254</f>
        <v>-37684.2666666667</v>
      </c>
      <c r="Z255" s="70" t="n">
        <f aca="false">Z253+Z254</f>
        <v>-37684.2666666667</v>
      </c>
      <c r="AA255" s="70" t="n">
        <f aca="false">AA253+AA254</f>
        <v>-38814.7946666667</v>
      </c>
      <c r="AB255" s="70" t="n">
        <f aca="false">AB253+AB254</f>
        <v>-38814.7946666667</v>
      </c>
      <c r="AC255" s="70" t="n">
        <f aca="false">AC253+AC254</f>
        <v>-38814.7946666667</v>
      </c>
      <c r="AD255" s="70" t="n">
        <f aca="false">AD253+AD254</f>
        <v>-38814.7946666667</v>
      </c>
      <c r="AE255" s="70" t="n">
        <f aca="false">AE253+AE254</f>
        <v>-38814.7946666667</v>
      </c>
      <c r="AF255" s="70" t="n">
        <f aca="false">AF253+AF254</f>
        <v>-38814.7946666667</v>
      </c>
      <c r="AG255" s="70" t="n">
        <f aca="false">AG253+AG254</f>
        <v>-38814.7946666667</v>
      </c>
      <c r="AH255" s="70" t="n">
        <f aca="false">AH253+AH254</f>
        <v>-38814.7946666667</v>
      </c>
      <c r="AI255" s="70" t="n">
        <f aca="false">AI253+AI254</f>
        <v>-38814.7946666667</v>
      </c>
      <c r="AJ255" s="70" t="n">
        <f aca="false">AJ253+AJ254</f>
        <v>-38814.7946666667</v>
      </c>
      <c r="AK255" s="70" t="n">
        <f aca="false">AK253+AK254</f>
        <v>-38814.7946666667</v>
      </c>
      <c r="AL255" s="70" t="n">
        <f aca="false">AL253+AL254</f>
        <v>-38814.7946666667</v>
      </c>
    </row>
    <row r="258" customFormat="false" ht="15.75" hidden="false" customHeight="true" outlineLevel="0" collapsed="false">
      <c r="A258" s="7" t="s">
        <v>455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customFormat="false" ht="15" hidden="false" customHeight="false" outlineLevel="0" collapsed="false">
      <c r="A259" s="33" t="s">
        <v>351</v>
      </c>
      <c r="C259" s="35" t="s">
        <v>352</v>
      </c>
      <c r="D259" s="35" t="s">
        <v>353</v>
      </c>
      <c r="E259" s="35" t="s">
        <v>354</v>
      </c>
      <c r="F259" s="35" t="s">
        <v>355</v>
      </c>
      <c r="G259" s="35" t="s">
        <v>356</v>
      </c>
      <c r="H259" s="35" t="s">
        <v>357</v>
      </c>
      <c r="I259" s="35" t="s">
        <v>358</v>
      </c>
      <c r="J259" s="35" t="s">
        <v>359</v>
      </c>
      <c r="K259" s="35" t="s">
        <v>360</v>
      </c>
      <c r="L259" s="35" t="s">
        <v>361</v>
      </c>
      <c r="M259" s="35" t="s">
        <v>362</v>
      </c>
      <c r="N259" s="35" t="s">
        <v>363</v>
      </c>
      <c r="O259" s="35" t="s">
        <v>364</v>
      </c>
      <c r="P259" s="35" t="s">
        <v>365</v>
      </c>
      <c r="Q259" s="35" t="s">
        <v>366</v>
      </c>
      <c r="R259" s="35" t="s">
        <v>367</v>
      </c>
      <c r="S259" s="35" t="s">
        <v>368</v>
      </c>
      <c r="T259" s="35" t="s">
        <v>369</v>
      </c>
      <c r="U259" s="35" t="s">
        <v>370</v>
      </c>
      <c r="V259" s="35" t="s">
        <v>371</v>
      </c>
      <c r="W259" s="35" t="s">
        <v>372</v>
      </c>
      <c r="X259" s="35" t="s">
        <v>373</v>
      </c>
      <c r="Y259" s="35" t="s">
        <v>374</v>
      </c>
      <c r="Z259" s="35" t="s">
        <v>375</v>
      </c>
      <c r="AA259" s="35" t="s">
        <v>376</v>
      </c>
      <c r="AB259" s="35" t="s">
        <v>377</v>
      </c>
      <c r="AC259" s="35" t="s">
        <v>378</v>
      </c>
      <c r="AD259" s="35" t="s">
        <v>379</v>
      </c>
      <c r="AE259" s="35" t="s">
        <v>380</v>
      </c>
      <c r="AF259" s="35" t="s">
        <v>381</v>
      </c>
      <c r="AG259" s="35" t="s">
        <v>382</v>
      </c>
      <c r="AH259" s="35" t="s">
        <v>383</v>
      </c>
      <c r="AI259" s="35" t="s">
        <v>384</v>
      </c>
      <c r="AJ259" s="35" t="s">
        <v>385</v>
      </c>
      <c r="AK259" s="35" t="s">
        <v>386</v>
      </c>
      <c r="AL259" s="35" t="s">
        <v>387</v>
      </c>
    </row>
    <row r="260" customFormat="false" ht="15" hidden="false" customHeight="false" outlineLevel="0" collapsed="false">
      <c r="A260" s="74" t="s">
        <v>388</v>
      </c>
      <c r="C260" s="74" t="n">
        <v>1</v>
      </c>
      <c r="D260" s="74" t="n">
        <v>2</v>
      </c>
      <c r="E260" s="74" t="n">
        <v>3</v>
      </c>
      <c r="F260" s="74" t="n">
        <v>4</v>
      </c>
      <c r="G260" s="74" t="n">
        <v>5</v>
      </c>
      <c r="H260" s="74" t="n">
        <v>6</v>
      </c>
      <c r="I260" s="74" t="n">
        <v>7</v>
      </c>
      <c r="J260" s="74" t="n">
        <v>8</v>
      </c>
      <c r="K260" s="74" t="n">
        <v>9</v>
      </c>
      <c r="L260" s="74" t="n">
        <v>10</v>
      </c>
      <c r="M260" s="74" t="n">
        <v>11</v>
      </c>
      <c r="N260" s="74" t="n">
        <v>12</v>
      </c>
      <c r="O260" s="74" t="n">
        <v>13</v>
      </c>
      <c r="P260" s="74" t="n">
        <v>14</v>
      </c>
      <c r="Q260" s="74" t="n">
        <v>15</v>
      </c>
      <c r="R260" s="74" t="n">
        <v>16</v>
      </c>
      <c r="S260" s="74" t="n">
        <v>17</v>
      </c>
      <c r="T260" s="74" t="n">
        <v>18</v>
      </c>
      <c r="U260" s="74" t="n">
        <v>19</v>
      </c>
      <c r="V260" s="74" t="n">
        <v>20</v>
      </c>
      <c r="W260" s="74" t="n">
        <v>21</v>
      </c>
      <c r="X260" s="74" t="n">
        <v>22</v>
      </c>
      <c r="Y260" s="74" t="n">
        <v>23</v>
      </c>
      <c r="Z260" s="74" t="n">
        <v>24</v>
      </c>
      <c r="AA260" s="74" t="n">
        <v>25</v>
      </c>
      <c r="AB260" s="74" t="n">
        <v>26</v>
      </c>
      <c r="AC260" s="74" t="n">
        <v>27</v>
      </c>
      <c r="AD260" s="74" t="n">
        <v>28</v>
      </c>
      <c r="AE260" s="74" t="n">
        <v>29</v>
      </c>
      <c r="AF260" s="74" t="n">
        <v>30</v>
      </c>
      <c r="AG260" s="74" t="n">
        <v>31</v>
      </c>
      <c r="AH260" s="74" t="n">
        <v>32</v>
      </c>
      <c r="AI260" s="74" t="n">
        <v>33</v>
      </c>
      <c r="AJ260" s="74" t="n">
        <v>34</v>
      </c>
      <c r="AK260" s="74" t="n">
        <v>35</v>
      </c>
      <c r="AL260" s="74" t="n">
        <v>36</v>
      </c>
    </row>
    <row r="261" customFormat="false" ht="15" hidden="false" customHeight="false" outlineLevel="0" collapsed="false">
      <c r="A261" s="74" t="s">
        <v>155</v>
      </c>
      <c r="C261" s="74" t="n">
        <f aca="false">ROUNDUP(C260*1/12,0)</f>
        <v>1</v>
      </c>
      <c r="D261" s="74" t="n">
        <f aca="false">ROUNDUP(D260*1/12,0)</f>
        <v>1</v>
      </c>
      <c r="E261" s="74" t="n">
        <f aca="false">ROUNDUP(E260*1/12,0)</f>
        <v>1</v>
      </c>
      <c r="F261" s="74" t="n">
        <f aca="false">ROUNDUP(F260*1/12,0)</f>
        <v>1</v>
      </c>
      <c r="G261" s="74" t="n">
        <f aca="false">ROUNDUP(G260*1/12,0)</f>
        <v>1</v>
      </c>
      <c r="H261" s="74" t="n">
        <f aca="false">ROUNDUP(H260*1/12,0)</f>
        <v>1</v>
      </c>
      <c r="I261" s="74" t="n">
        <f aca="false">ROUNDUP(I260*1/12,0)</f>
        <v>1</v>
      </c>
      <c r="J261" s="74" t="n">
        <f aca="false">ROUNDUP(J260*1/12,0)</f>
        <v>1</v>
      </c>
      <c r="K261" s="74" t="n">
        <f aca="false">ROUNDUP(K260*1/12,0)</f>
        <v>1</v>
      </c>
      <c r="L261" s="74" t="n">
        <f aca="false">ROUNDUP(L260*1/12,0)</f>
        <v>1</v>
      </c>
      <c r="M261" s="74" t="n">
        <f aca="false">ROUNDUP(M260*1/12,0)</f>
        <v>1</v>
      </c>
      <c r="N261" s="74" t="n">
        <f aca="false">ROUNDUP(N260*1/12,0)</f>
        <v>1</v>
      </c>
      <c r="O261" s="74" t="n">
        <f aca="false">ROUNDUP(O260*1/12,0)</f>
        <v>2</v>
      </c>
      <c r="P261" s="74" t="n">
        <f aca="false">ROUNDUP(P260*1/12,0)</f>
        <v>2</v>
      </c>
      <c r="Q261" s="74" t="n">
        <f aca="false">ROUNDUP(Q260*1/12,0)</f>
        <v>2</v>
      </c>
      <c r="R261" s="74" t="n">
        <f aca="false">ROUNDUP(R260*1/12,0)</f>
        <v>2</v>
      </c>
      <c r="S261" s="74" t="n">
        <f aca="false">ROUNDUP(S260*1/12,0)</f>
        <v>2</v>
      </c>
      <c r="T261" s="74" t="n">
        <f aca="false">ROUNDUP(T260*1/12,0)</f>
        <v>2</v>
      </c>
      <c r="U261" s="74" t="n">
        <f aca="false">ROUNDUP(U260*1/12,0)</f>
        <v>2</v>
      </c>
      <c r="V261" s="74" t="n">
        <f aca="false">ROUNDUP(V260*1/12,0)</f>
        <v>2</v>
      </c>
      <c r="W261" s="74" t="n">
        <f aca="false">ROUNDUP(W260*1/12,0)</f>
        <v>2</v>
      </c>
      <c r="X261" s="74" t="n">
        <f aca="false">ROUNDUP(X260*1/12,0)</f>
        <v>2</v>
      </c>
      <c r="Y261" s="74" t="n">
        <f aca="false">ROUNDUP(Y260*1/12,0)</f>
        <v>2</v>
      </c>
      <c r="Z261" s="74" t="n">
        <f aca="false">ROUNDUP(Z260*1/12,0)</f>
        <v>2</v>
      </c>
      <c r="AA261" s="74" t="n">
        <f aca="false">ROUNDUP(AA260*1/12,0)</f>
        <v>3</v>
      </c>
      <c r="AB261" s="74" t="n">
        <f aca="false">ROUNDUP(AB260*1/12,0)</f>
        <v>3</v>
      </c>
      <c r="AC261" s="74" t="n">
        <f aca="false">ROUNDUP(AC260*1/12,0)</f>
        <v>3</v>
      </c>
      <c r="AD261" s="74" t="n">
        <f aca="false">ROUNDUP(AD260*1/12,0)</f>
        <v>3</v>
      </c>
      <c r="AE261" s="74" t="n">
        <f aca="false">ROUNDUP(AE260*1/12,0)</f>
        <v>3</v>
      </c>
      <c r="AF261" s="74" t="n">
        <f aca="false">ROUNDUP(AF260*1/12,0)</f>
        <v>3</v>
      </c>
      <c r="AG261" s="74" t="n">
        <f aca="false">ROUNDUP(AG260*1/12,0)</f>
        <v>3</v>
      </c>
      <c r="AH261" s="74" t="n">
        <f aca="false">ROUNDUP(AH260*1/12,0)</f>
        <v>3</v>
      </c>
      <c r="AI261" s="74" t="n">
        <f aca="false">ROUNDUP(AI260*1/12,0)</f>
        <v>3</v>
      </c>
      <c r="AJ261" s="74" t="n">
        <f aca="false">ROUNDUP(AJ260*1/12,0)</f>
        <v>3</v>
      </c>
      <c r="AK261" s="74" t="n">
        <f aca="false">ROUNDUP(AK260*1/12,0)</f>
        <v>3</v>
      </c>
      <c r="AL261" s="74" t="n">
        <f aca="false">ROUNDUP(AL260*1/12,0)</f>
        <v>3</v>
      </c>
    </row>
    <row r="263" customFormat="false" ht="15.75" hidden="false" customHeight="true" outlineLevel="0" collapsed="false">
      <c r="A263" s="7" t="s">
        <v>389</v>
      </c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customFormat="false" ht="15" hidden="false" customHeight="false" outlineLevel="0" collapsed="false">
      <c r="A264" s="116" t="s">
        <v>390</v>
      </c>
      <c r="C264" s="117" t="n">
        <f aca="false">MAX(0,MIN(1,Inputs!$D$9-(C$260-1)*1))</f>
        <v>1</v>
      </c>
      <c r="D264" s="117" t="n">
        <f aca="false">MAX(0,MIN(1,Inputs!$D$9-(D$260-1)*1))</f>
        <v>1</v>
      </c>
      <c r="E264" s="117" t="n">
        <f aca="false">MAX(0,MIN(1,Inputs!$D$9-(E$260-1)*1))</f>
        <v>1</v>
      </c>
      <c r="F264" s="117" t="n">
        <f aca="false">MAX(0,MIN(1,Inputs!$D$9-(F$260-1)*1))</f>
        <v>1</v>
      </c>
      <c r="G264" s="117" t="n">
        <f aca="false">MAX(0,MIN(1,Inputs!$D$9-(G$260-1)*1))</f>
        <v>1</v>
      </c>
      <c r="H264" s="117" t="n">
        <f aca="false">MAX(0,MIN(1,Inputs!$D$9-(H$260-1)*1))</f>
        <v>1</v>
      </c>
      <c r="I264" s="117" t="n">
        <f aca="false">MAX(0,MIN(1,Inputs!$D$9-(I$260-1)*1))</f>
        <v>1</v>
      </c>
      <c r="J264" s="117" t="n">
        <f aca="false">MAX(0,MIN(1,Inputs!$D$9-(J$260-1)*1))</f>
        <v>0</v>
      </c>
      <c r="K264" s="117" t="n">
        <f aca="false">MAX(0,MIN(1,Inputs!$D$9-(K$260-1)*1))</f>
        <v>0</v>
      </c>
      <c r="L264" s="117" t="n">
        <f aca="false">MAX(0,MIN(1,Inputs!$D$9-(L$260-1)*1))</f>
        <v>0</v>
      </c>
      <c r="M264" s="117" t="n">
        <f aca="false">MAX(0,MIN(1,Inputs!$D$9-(M$260-1)*1))</f>
        <v>0</v>
      </c>
      <c r="N264" s="117" t="n">
        <f aca="false">MAX(0,MIN(1,Inputs!$D$9-(N$260-1)*1))</f>
        <v>0</v>
      </c>
      <c r="O264" s="117" t="n">
        <f aca="false">MAX(0,MIN(1,Inputs!$D$9-(O$260-1)*1))</f>
        <v>0</v>
      </c>
      <c r="P264" s="117" t="n">
        <f aca="false">MAX(0,MIN(1,Inputs!$D$9-(P$260-1)*1))</f>
        <v>0</v>
      </c>
      <c r="Q264" s="117" t="n">
        <f aca="false">MAX(0,MIN(1,Inputs!$D$9-(Q$260-1)*1))</f>
        <v>0</v>
      </c>
      <c r="R264" s="117" t="n">
        <f aca="false">MAX(0,MIN(1,Inputs!$D$9-(R$260-1)*1))</f>
        <v>0</v>
      </c>
      <c r="S264" s="117" t="n">
        <f aca="false">MAX(0,MIN(1,Inputs!$D$9-(S$260-1)*1))</f>
        <v>0</v>
      </c>
      <c r="T264" s="117" t="n">
        <f aca="false">MAX(0,MIN(1,Inputs!$D$9-(T$260-1)*1))</f>
        <v>0</v>
      </c>
      <c r="U264" s="117" t="n">
        <f aca="false">MAX(0,MIN(1,Inputs!$D$9-(U$260-1)*1))</f>
        <v>0</v>
      </c>
      <c r="V264" s="117" t="n">
        <f aca="false">MAX(0,MIN(1,Inputs!$D$9-(V$260-1)*1))</f>
        <v>0</v>
      </c>
      <c r="W264" s="117" t="n">
        <f aca="false">MAX(0,MIN(1,Inputs!$D$9-(W$260-1)*1))</f>
        <v>0</v>
      </c>
      <c r="X264" s="117" t="n">
        <f aca="false">MAX(0,MIN(1,Inputs!$D$9-(X$260-1)*1))</f>
        <v>0</v>
      </c>
      <c r="Y264" s="117" t="n">
        <f aca="false">MAX(0,MIN(1,Inputs!$D$9-(Y$260-1)*1))</f>
        <v>0</v>
      </c>
      <c r="Z264" s="117" t="n">
        <f aca="false">MAX(0,MIN(1,Inputs!$D$9-(Z$260-1)*1))</f>
        <v>0</v>
      </c>
      <c r="AA264" s="117" t="n">
        <f aca="false">MAX(0,MIN(1,Inputs!$D$9-(AA$260-1)*1))</f>
        <v>0</v>
      </c>
      <c r="AB264" s="117" t="n">
        <f aca="false">MAX(0,MIN(1,Inputs!$D$9-(AB$260-1)*1))</f>
        <v>0</v>
      </c>
      <c r="AC264" s="117" t="n">
        <f aca="false">MAX(0,MIN(1,Inputs!$D$9-(AC$260-1)*1))</f>
        <v>0</v>
      </c>
      <c r="AD264" s="117" t="n">
        <f aca="false">MAX(0,MIN(1,Inputs!$D$9-(AD$260-1)*1))</f>
        <v>0</v>
      </c>
      <c r="AE264" s="117" t="n">
        <f aca="false">MAX(0,MIN(1,Inputs!$D$9-(AE$260-1)*1))</f>
        <v>0</v>
      </c>
      <c r="AF264" s="117" t="n">
        <f aca="false">MAX(0,MIN(1,Inputs!$D$9-(AF$260-1)*1))</f>
        <v>0</v>
      </c>
      <c r="AG264" s="117" t="n">
        <f aca="false">MAX(0,MIN(1,Inputs!$D$9-(AG$260-1)*1))</f>
        <v>0</v>
      </c>
      <c r="AH264" s="117" t="n">
        <f aca="false">MAX(0,MIN(1,Inputs!$D$9-(AH$260-1)*1))</f>
        <v>0</v>
      </c>
      <c r="AI264" s="117" t="n">
        <f aca="false">MAX(0,MIN(1,Inputs!$D$9-(AI$260-1)*1))</f>
        <v>0</v>
      </c>
      <c r="AJ264" s="117" t="n">
        <f aca="false">MAX(0,MIN(1,Inputs!$D$9-(AJ$260-1)*1))</f>
        <v>0</v>
      </c>
      <c r="AK264" s="117" t="n">
        <f aca="false">MAX(0,MIN(1,Inputs!$D$9-(AK$260-1)*1))</f>
        <v>0</v>
      </c>
      <c r="AL264" s="117" t="n">
        <f aca="false">MAX(0,MIN(1,Inputs!$D$9-(AL$260-1)*1))</f>
        <v>0</v>
      </c>
    </row>
    <row r="265" customFormat="false" ht="15" hidden="false" customHeight="false" outlineLevel="0" collapsed="false">
      <c r="A265" s="39" t="s">
        <v>391</v>
      </c>
      <c r="C265" s="76" t="n">
        <f aca="false">IF(Inputs!$D$9&lt;=0,1,(C264*Inputs!$D$10+(1-Inputs!$D$10)/MAX(1,Inputs!$D$9)*(C264*(C$260-1)*1+C264*(C264-1)/2)+1-C264)/1)</f>
        <v>0.55</v>
      </c>
      <c r="D265" s="76" t="n">
        <f aca="false">IF(Inputs!$D$9&lt;=0,1,(D264*Inputs!$D$10+(1-Inputs!$D$10)/MAX(1,Inputs!$D$9)*(D264*(D$260-1)*1+D264*(D264-1)/2)+1-D264)/1)</f>
        <v>0.614285714285714</v>
      </c>
      <c r="E265" s="76" t="n">
        <f aca="false">IF(Inputs!$D$9&lt;=0,1,(E264*Inputs!$D$10+(1-Inputs!$D$10)/MAX(1,Inputs!$D$9)*(E264*(E$260-1)*1+E264*(E264-1)/2)+1-E264)/1)</f>
        <v>0.678571428571429</v>
      </c>
      <c r="F265" s="76" t="n">
        <f aca="false">IF(Inputs!$D$9&lt;=0,1,(F264*Inputs!$D$10+(1-Inputs!$D$10)/MAX(1,Inputs!$D$9)*(F264*(F$260-1)*1+F264*(F264-1)/2)+1-F264)/1)</f>
        <v>0.742857142857143</v>
      </c>
      <c r="G265" s="76" t="n">
        <f aca="false">IF(Inputs!$D$9&lt;=0,1,(G264*Inputs!$D$10+(1-Inputs!$D$10)/MAX(1,Inputs!$D$9)*(G264*(G$260-1)*1+G264*(G264-1)/2)+1-G264)/1)</f>
        <v>0.807142857142857</v>
      </c>
      <c r="H265" s="76" t="n">
        <f aca="false">IF(Inputs!$D$9&lt;=0,1,(H264*Inputs!$D$10+(1-Inputs!$D$10)/MAX(1,Inputs!$D$9)*(H264*(H$260-1)*1+H264*(H264-1)/2)+1-H264)/1)</f>
        <v>0.871428571428571</v>
      </c>
      <c r="I265" s="76" t="n">
        <f aca="false">IF(Inputs!$D$9&lt;=0,1,(I264*Inputs!$D$10+(1-Inputs!$D$10)/MAX(1,Inputs!$D$9)*(I264*(I$260-1)*1+I264*(I264-1)/2)+1-I264)/1)</f>
        <v>0.935714285714286</v>
      </c>
      <c r="J265" s="76" t="n">
        <f aca="false">IF(Inputs!$D$9&lt;=0,1,(J264*Inputs!$D$10+(1-Inputs!$D$10)/MAX(1,Inputs!$D$9)*(J264*(J$260-1)*1+J264*(J264-1)/2)+1-J264)/1)</f>
        <v>1</v>
      </c>
      <c r="K265" s="76" t="n">
        <f aca="false">IF(Inputs!$D$9&lt;=0,1,(K264*Inputs!$D$10+(1-Inputs!$D$10)/MAX(1,Inputs!$D$9)*(K264*(K$260-1)*1+K264*(K264-1)/2)+1-K264)/1)</f>
        <v>1</v>
      </c>
      <c r="L265" s="76" t="n">
        <f aca="false">IF(Inputs!$D$9&lt;=0,1,(L264*Inputs!$D$10+(1-Inputs!$D$10)/MAX(1,Inputs!$D$9)*(L264*(L$260-1)*1+L264*(L264-1)/2)+1-L264)/1)</f>
        <v>1</v>
      </c>
      <c r="M265" s="76" t="n">
        <f aca="false">IF(Inputs!$D$9&lt;=0,1,(M264*Inputs!$D$10+(1-Inputs!$D$10)/MAX(1,Inputs!$D$9)*(M264*(M$260-1)*1+M264*(M264-1)/2)+1-M264)/1)</f>
        <v>1</v>
      </c>
      <c r="N265" s="76" t="n">
        <f aca="false">IF(Inputs!$D$9&lt;=0,1,(N264*Inputs!$D$10+(1-Inputs!$D$10)/MAX(1,Inputs!$D$9)*(N264*(N$260-1)*1+N264*(N264-1)/2)+1-N264)/1)</f>
        <v>1</v>
      </c>
      <c r="O265" s="76" t="n">
        <f aca="false">IF(Inputs!$D$9&lt;=0,1,(O264*Inputs!$D$10+(1-Inputs!$D$10)/MAX(1,Inputs!$D$9)*(O264*(O$260-1)*1+O264*(O264-1)/2)+1-O264)/1)</f>
        <v>1</v>
      </c>
      <c r="P265" s="76" t="n">
        <f aca="false">IF(Inputs!$D$9&lt;=0,1,(P264*Inputs!$D$10+(1-Inputs!$D$10)/MAX(1,Inputs!$D$9)*(P264*(P$260-1)*1+P264*(P264-1)/2)+1-P264)/1)</f>
        <v>1</v>
      </c>
      <c r="Q265" s="76" t="n">
        <f aca="false">IF(Inputs!$D$9&lt;=0,1,(Q264*Inputs!$D$10+(1-Inputs!$D$10)/MAX(1,Inputs!$D$9)*(Q264*(Q$260-1)*1+Q264*(Q264-1)/2)+1-Q264)/1)</f>
        <v>1</v>
      </c>
      <c r="R265" s="76" t="n">
        <f aca="false">IF(Inputs!$D$9&lt;=0,1,(R264*Inputs!$D$10+(1-Inputs!$D$10)/MAX(1,Inputs!$D$9)*(R264*(R$260-1)*1+R264*(R264-1)/2)+1-R264)/1)</f>
        <v>1</v>
      </c>
      <c r="S265" s="76" t="n">
        <f aca="false">IF(Inputs!$D$9&lt;=0,1,(S264*Inputs!$D$10+(1-Inputs!$D$10)/MAX(1,Inputs!$D$9)*(S264*(S$260-1)*1+S264*(S264-1)/2)+1-S264)/1)</f>
        <v>1</v>
      </c>
      <c r="T265" s="76" t="n">
        <f aca="false">IF(Inputs!$D$9&lt;=0,1,(T264*Inputs!$D$10+(1-Inputs!$D$10)/MAX(1,Inputs!$D$9)*(T264*(T$260-1)*1+T264*(T264-1)/2)+1-T264)/1)</f>
        <v>1</v>
      </c>
      <c r="U265" s="76" t="n">
        <f aca="false">IF(Inputs!$D$9&lt;=0,1,(U264*Inputs!$D$10+(1-Inputs!$D$10)/MAX(1,Inputs!$D$9)*(U264*(U$260-1)*1+U264*(U264-1)/2)+1-U264)/1)</f>
        <v>1</v>
      </c>
      <c r="V265" s="76" t="n">
        <f aca="false">IF(Inputs!$D$9&lt;=0,1,(V264*Inputs!$D$10+(1-Inputs!$D$10)/MAX(1,Inputs!$D$9)*(V264*(V$260-1)*1+V264*(V264-1)/2)+1-V264)/1)</f>
        <v>1</v>
      </c>
      <c r="W265" s="76" t="n">
        <f aca="false">IF(Inputs!$D$9&lt;=0,1,(W264*Inputs!$D$10+(1-Inputs!$D$10)/MAX(1,Inputs!$D$9)*(W264*(W$260-1)*1+W264*(W264-1)/2)+1-W264)/1)</f>
        <v>1</v>
      </c>
      <c r="X265" s="76" t="n">
        <f aca="false">IF(Inputs!$D$9&lt;=0,1,(X264*Inputs!$D$10+(1-Inputs!$D$10)/MAX(1,Inputs!$D$9)*(X264*(X$260-1)*1+X264*(X264-1)/2)+1-X264)/1)</f>
        <v>1</v>
      </c>
      <c r="Y265" s="76" t="n">
        <f aca="false">IF(Inputs!$D$9&lt;=0,1,(Y264*Inputs!$D$10+(1-Inputs!$D$10)/MAX(1,Inputs!$D$9)*(Y264*(Y$260-1)*1+Y264*(Y264-1)/2)+1-Y264)/1)</f>
        <v>1</v>
      </c>
      <c r="Z265" s="76" t="n">
        <f aca="false">IF(Inputs!$D$9&lt;=0,1,(Z264*Inputs!$D$10+(1-Inputs!$D$10)/MAX(1,Inputs!$D$9)*(Z264*(Z$260-1)*1+Z264*(Z264-1)/2)+1-Z264)/1)</f>
        <v>1</v>
      </c>
      <c r="AA265" s="76" t="n">
        <f aca="false">IF(Inputs!$D$9&lt;=0,1,(AA264*Inputs!$D$10+(1-Inputs!$D$10)/MAX(1,Inputs!$D$9)*(AA264*(AA$260-1)*1+AA264*(AA264-1)/2)+1-AA264)/1)</f>
        <v>1</v>
      </c>
      <c r="AB265" s="76" t="n">
        <f aca="false">IF(Inputs!$D$9&lt;=0,1,(AB264*Inputs!$D$10+(1-Inputs!$D$10)/MAX(1,Inputs!$D$9)*(AB264*(AB$260-1)*1+AB264*(AB264-1)/2)+1-AB264)/1)</f>
        <v>1</v>
      </c>
      <c r="AC265" s="76" t="n">
        <f aca="false">IF(Inputs!$D$9&lt;=0,1,(AC264*Inputs!$D$10+(1-Inputs!$D$10)/MAX(1,Inputs!$D$9)*(AC264*(AC$260-1)*1+AC264*(AC264-1)/2)+1-AC264)/1)</f>
        <v>1</v>
      </c>
      <c r="AD265" s="76" t="n">
        <f aca="false">IF(Inputs!$D$9&lt;=0,1,(AD264*Inputs!$D$10+(1-Inputs!$D$10)/MAX(1,Inputs!$D$9)*(AD264*(AD$260-1)*1+AD264*(AD264-1)/2)+1-AD264)/1)</f>
        <v>1</v>
      </c>
      <c r="AE265" s="76" t="n">
        <f aca="false">IF(Inputs!$D$9&lt;=0,1,(AE264*Inputs!$D$10+(1-Inputs!$D$10)/MAX(1,Inputs!$D$9)*(AE264*(AE$260-1)*1+AE264*(AE264-1)/2)+1-AE264)/1)</f>
        <v>1</v>
      </c>
      <c r="AF265" s="76" t="n">
        <f aca="false">IF(Inputs!$D$9&lt;=0,1,(AF264*Inputs!$D$10+(1-Inputs!$D$10)/MAX(1,Inputs!$D$9)*(AF264*(AF$260-1)*1+AF264*(AF264-1)/2)+1-AF264)/1)</f>
        <v>1</v>
      </c>
      <c r="AG265" s="76" t="n">
        <f aca="false">IF(Inputs!$D$9&lt;=0,1,(AG264*Inputs!$D$10+(1-Inputs!$D$10)/MAX(1,Inputs!$D$9)*(AG264*(AG$260-1)*1+AG264*(AG264-1)/2)+1-AG264)/1)</f>
        <v>1</v>
      </c>
      <c r="AH265" s="76" t="n">
        <f aca="false">IF(Inputs!$D$9&lt;=0,1,(AH264*Inputs!$D$10+(1-Inputs!$D$10)/MAX(1,Inputs!$D$9)*(AH264*(AH$260-1)*1+AH264*(AH264-1)/2)+1-AH264)/1)</f>
        <v>1</v>
      </c>
      <c r="AI265" s="76" t="n">
        <f aca="false">IF(Inputs!$D$9&lt;=0,1,(AI264*Inputs!$D$10+(1-Inputs!$D$10)/MAX(1,Inputs!$D$9)*(AI264*(AI$260-1)*1+AI264*(AI264-1)/2)+1-AI264)/1)</f>
        <v>1</v>
      </c>
      <c r="AJ265" s="76" t="n">
        <f aca="false">IF(Inputs!$D$9&lt;=0,1,(AJ264*Inputs!$D$10+(1-Inputs!$D$10)/MAX(1,Inputs!$D$9)*(AJ264*(AJ$260-1)*1+AJ264*(AJ264-1)/2)+1-AJ264)/1)</f>
        <v>1</v>
      </c>
      <c r="AK265" s="76" t="n">
        <f aca="false">IF(Inputs!$D$9&lt;=0,1,(AK264*Inputs!$D$10+(1-Inputs!$D$10)/MAX(1,Inputs!$D$9)*(AK264*(AK$260-1)*1+AK264*(AK264-1)/2)+1-AK264)/1)</f>
        <v>1</v>
      </c>
      <c r="AL265" s="76" t="n">
        <f aca="false">IF(Inputs!$D$9&lt;=0,1,(AL264*Inputs!$D$10+(1-Inputs!$D$10)/MAX(1,Inputs!$D$9)*(AL264*(AL$260-1)*1+AL264*(AL264-1)/2)+1-AL264)/1)</f>
        <v>1</v>
      </c>
    </row>
    <row r="266" customFormat="false" ht="15" hidden="false" customHeight="false" outlineLevel="0" collapsed="false">
      <c r="A266" s="6" t="s">
        <v>392</v>
      </c>
      <c r="C266" s="79" t="n">
        <f aca="false">IF(OR(MOD(C$260-1,12)&gt;=11,MOD(C$260-1,12)&lt;=1),1-Inputs!$D$11,1+Inputs!$D$11/3)</f>
        <v>0.9</v>
      </c>
      <c r="D266" s="79" t="n">
        <f aca="false">IF(OR(MOD(D$260-1,12)&gt;=11,MOD(D$260-1,12)&lt;=1),1-Inputs!$D$11,1+Inputs!$D$11/3)</f>
        <v>0.9</v>
      </c>
      <c r="E266" s="79" t="n">
        <f aca="false">IF(OR(MOD(E$260-1,12)&gt;=11,MOD(E$260-1,12)&lt;=1),1-Inputs!$D$11,1+Inputs!$D$11/3)</f>
        <v>1.03333333333333</v>
      </c>
      <c r="F266" s="79" t="n">
        <f aca="false">IF(OR(MOD(F$260-1,12)&gt;=11,MOD(F$260-1,12)&lt;=1),1-Inputs!$D$11,1+Inputs!$D$11/3)</f>
        <v>1.03333333333333</v>
      </c>
      <c r="G266" s="79" t="n">
        <f aca="false">IF(OR(MOD(G$260-1,12)&gt;=11,MOD(G$260-1,12)&lt;=1),1-Inputs!$D$11,1+Inputs!$D$11/3)</f>
        <v>1.03333333333333</v>
      </c>
      <c r="H266" s="79" t="n">
        <f aca="false">IF(OR(MOD(H$260-1,12)&gt;=11,MOD(H$260-1,12)&lt;=1),1-Inputs!$D$11,1+Inputs!$D$11/3)</f>
        <v>1.03333333333333</v>
      </c>
      <c r="I266" s="79" t="n">
        <f aca="false">IF(OR(MOD(I$260-1,12)&gt;=11,MOD(I$260-1,12)&lt;=1),1-Inputs!$D$11,1+Inputs!$D$11/3)</f>
        <v>1.03333333333333</v>
      </c>
      <c r="J266" s="79" t="n">
        <f aca="false">IF(OR(MOD(J$260-1,12)&gt;=11,MOD(J$260-1,12)&lt;=1),1-Inputs!$D$11,1+Inputs!$D$11/3)</f>
        <v>1.03333333333333</v>
      </c>
      <c r="K266" s="79" t="n">
        <f aca="false">IF(OR(MOD(K$260-1,12)&gt;=11,MOD(K$260-1,12)&lt;=1),1-Inputs!$D$11,1+Inputs!$D$11/3)</f>
        <v>1.03333333333333</v>
      </c>
      <c r="L266" s="79" t="n">
        <f aca="false">IF(OR(MOD(L$260-1,12)&gt;=11,MOD(L$260-1,12)&lt;=1),1-Inputs!$D$11,1+Inputs!$D$11/3)</f>
        <v>1.03333333333333</v>
      </c>
      <c r="M266" s="79" t="n">
        <f aca="false">IF(OR(MOD(M$260-1,12)&gt;=11,MOD(M$260-1,12)&lt;=1),1-Inputs!$D$11,1+Inputs!$D$11/3)</f>
        <v>1.03333333333333</v>
      </c>
      <c r="N266" s="79" t="n">
        <f aca="false">IF(OR(MOD(N$260-1,12)&gt;=11,MOD(N$260-1,12)&lt;=1),1-Inputs!$D$11,1+Inputs!$D$11/3)</f>
        <v>0.9</v>
      </c>
      <c r="O266" s="79" t="n">
        <f aca="false">IF(OR(MOD(O$260-1,12)&gt;=11,MOD(O$260-1,12)&lt;=1),1-Inputs!$D$11,1+Inputs!$D$11/3)</f>
        <v>0.9</v>
      </c>
      <c r="P266" s="79" t="n">
        <f aca="false">IF(OR(MOD(P$260-1,12)&gt;=11,MOD(P$260-1,12)&lt;=1),1-Inputs!$D$11,1+Inputs!$D$11/3)</f>
        <v>0.9</v>
      </c>
      <c r="Q266" s="79" t="n">
        <f aca="false">IF(OR(MOD(Q$260-1,12)&gt;=11,MOD(Q$260-1,12)&lt;=1),1-Inputs!$D$11,1+Inputs!$D$11/3)</f>
        <v>1.03333333333333</v>
      </c>
      <c r="R266" s="79" t="n">
        <f aca="false">IF(OR(MOD(R$260-1,12)&gt;=11,MOD(R$260-1,12)&lt;=1),1-Inputs!$D$11,1+Inputs!$D$11/3)</f>
        <v>1.03333333333333</v>
      </c>
      <c r="S266" s="79" t="n">
        <f aca="false">IF(OR(MOD(S$260-1,12)&gt;=11,MOD(S$260-1,12)&lt;=1),1-Inputs!$D$11,1+Inputs!$D$11/3)</f>
        <v>1.03333333333333</v>
      </c>
      <c r="T266" s="79" t="n">
        <f aca="false">IF(OR(MOD(T$260-1,12)&gt;=11,MOD(T$260-1,12)&lt;=1),1-Inputs!$D$11,1+Inputs!$D$11/3)</f>
        <v>1.03333333333333</v>
      </c>
      <c r="U266" s="79" t="n">
        <f aca="false">IF(OR(MOD(U$260-1,12)&gt;=11,MOD(U$260-1,12)&lt;=1),1-Inputs!$D$11,1+Inputs!$D$11/3)</f>
        <v>1.03333333333333</v>
      </c>
      <c r="V266" s="79" t="n">
        <f aca="false">IF(OR(MOD(V$260-1,12)&gt;=11,MOD(V$260-1,12)&lt;=1),1-Inputs!$D$11,1+Inputs!$D$11/3)</f>
        <v>1.03333333333333</v>
      </c>
      <c r="W266" s="79" t="n">
        <f aca="false">IF(OR(MOD(W$260-1,12)&gt;=11,MOD(W$260-1,12)&lt;=1),1-Inputs!$D$11,1+Inputs!$D$11/3)</f>
        <v>1.03333333333333</v>
      </c>
      <c r="X266" s="79" t="n">
        <f aca="false">IF(OR(MOD(X$260-1,12)&gt;=11,MOD(X$260-1,12)&lt;=1),1-Inputs!$D$11,1+Inputs!$D$11/3)</f>
        <v>1.03333333333333</v>
      </c>
      <c r="Y266" s="79" t="n">
        <f aca="false">IF(OR(MOD(Y$260-1,12)&gt;=11,MOD(Y$260-1,12)&lt;=1),1-Inputs!$D$11,1+Inputs!$D$11/3)</f>
        <v>1.03333333333333</v>
      </c>
      <c r="Z266" s="79" t="n">
        <f aca="false">IF(OR(MOD(Z$260-1,12)&gt;=11,MOD(Z$260-1,12)&lt;=1),1-Inputs!$D$11,1+Inputs!$D$11/3)</f>
        <v>0.9</v>
      </c>
      <c r="AA266" s="79" t="n">
        <f aca="false">IF(OR(MOD(AA$260-1,12)&gt;=11,MOD(AA$260-1,12)&lt;=1),1-Inputs!$D$11,1+Inputs!$D$11/3)</f>
        <v>0.9</v>
      </c>
      <c r="AB266" s="79" t="n">
        <f aca="false">IF(OR(MOD(AB$260-1,12)&gt;=11,MOD(AB$260-1,12)&lt;=1),1-Inputs!$D$11,1+Inputs!$D$11/3)</f>
        <v>0.9</v>
      </c>
      <c r="AC266" s="79" t="n">
        <f aca="false">IF(OR(MOD(AC$260-1,12)&gt;=11,MOD(AC$260-1,12)&lt;=1),1-Inputs!$D$11,1+Inputs!$D$11/3)</f>
        <v>1.03333333333333</v>
      </c>
      <c r="AD266" s="79" t="n">
        <f aca="false">IF(OR(MOD(AD$260-1,12)&gt;=11,MOD(AD$260-1,12)&lt;=1),1-Inputs!$D$11,1+Inputs!$D$11/3)</f>
        <v>1.03333333333333</v>
      </c>
      <c r="AE266" s="79" t="n">
        <f aca="false">IF(OR(MOD(AE$260-1,12)&gt;=11,MOD(AE$260-1,12)&lt;=1),1-Inputs!$D$11,1+Inputs!$D$11/3)</f>
        <v>1.03333333333333</v>
      </c>
      <c r="AF266" s="79" t="n">
        <f aca="false">IF(OR(MOD(AF$260-1,12)&gt;=11,MOD(AF$260-1,12)&lt;=1),1-Inputs!$D$11,1+Inputs!$D$11/3)</f>
        <v>1.03333333333333</v>
      </c>
      <c r="AG266" s="79" t="n">
        <f aca="false">IF(OR(MOD(AG$260-1,12)&gt;=11,MOD(AG$260-1,12)&lt;=1),1-Inputs!$D$11,1+Inputs!$D$11/3)</f>
        <v>1.03333333333333</v>
      </c>
      <c r="AH266" s="79" t="n">
        <f aca="false">IF(OR(MOD(AH$260-1,12)&gt;=11,MOD(AH$260-1,12)&lt;=1),1-Inputs!$D$11,1+Inputs!$D$11/3)</f>
        <v>1.03333333333333</v>
      </c>
      <c r="AI266" s="79" t="n">
        <f aca="false">IF(OR(MOD(AI$260-1,12)&gt;=11,MOD(AI$260-1,12)&lt;=1),1-Inputs!$D$11,1+Inputs!$D$11/3)</f>
        <v>1.03333333333333</v>
      </c>
      <c r="AJ266" s="79" t="n">
        <f aca="false">IF(OR(MOD(AJ$260-1,12)&gt;=11,MOD(AJ$260-1,12)&lt;=1),1-Inputs!$D$11,1+Inputs!$D$11/3)</f>
        <v>1.03333333333333</v>
      </c>
      <c r="AK266" s="79" t="n">
        <f aca="false">IF(OR(MOD(AK$260-1,12)&gt;=11,MOD(AK$260-1,12)&lt;=1),1-Inputs!$D$11,1+Inputs!$D$11/3)</f>
        <v>1.03333333333333</v>
      </c>
      <c r="AL266" s="79" t="n">
        <f aca="false">IF(OR(MOD(AL$260-1,12)&gt;=11,MOD(AL$260-1,12)&lt;=1),1-Inputs!$D$11,1+Inputs!$D$11/3)</f>
        <v>0.9</v>
      </c>
    </row>
    <row r="267" customFormat="false" ht="15" hidden="false" customHeight="false" outlineLevel="0" collapsed="false">
      <c r="A267" s="6" t="s">
        <v>393</v>
      </c>
      <c r="C267" s="118" t="n">
        <f aca="false">Inputs!$D$7*Inputs!$D$8*1*C265*C266</f>
        <v>4019.4</v>
      </c>
      <c r="D267" s="118" t="n">
        <f aca="false">Inputs!$D$7*Inputs!$D$8*1*D265*D266</f>
        <v>4489.2</v>
      </c>
      <c r="E267" s="118" t="n">
        <f aca="false">Inputs!$D$7*Inputs!$D$8*1*E265*E266</f>
        <v>5693.66666666667</v>
      </c>
      <c r="F267" s="118" t="n">
        <f aca="false">Inputs!$D$7*Inputs!$D$8*1*F265*F266</f>
        <v>6233.06666666667</v>
      </c>
      <c r="G267" s="118" t="n">
        <f aca="false">Inputs!$D$7*Inputs!$D$8*1*G265*G266</f>
        <v>6772.46666666667</v>
      </c>
      <c r="H267" s="118" t="n">
        <f aca="false">Inputs!$D$7*Inputs!$D$8*1*H265*H266</f>
        <v>7311.86666666667</v>
      </c>
      <c r="I267" s="118" t="n">
        <f aca="false">Inputs!$D$7*Inputs!$D$8*1*I265*I266</f>
        <v>7851.26666666667</v>
      </c>
      <c r="J267" s="118" t="n">
        <f aca="false">Inputs!$D$7*Inputs!$D$8*1*J265*J266</f>
        <v>8390.66666666667</v>
      </c>
      <c r="K267" s="118" t="n">
        <f aca="false">Inputs!$D$7*Inputs!$D$8*1*K265*K266</f>
        <v>8390.66666666667</v>
      </c>
      <c r="L267" s="118" t="n">
        <f aca="false">Inputs!$D$7*Inputs!$D$8*1*L265*L266</f>
        <v>8390.66666666667</v>
      </c>
      <c r="M267" s="118" t="n">
        <f aca="false">Inputs!$D$7*Inputs!$D$8*1*M265*M266</f>
        <v>8390.66666666667</v>
      </c>
      <c r="N267" s="118" t="n">
        <f aca="false">Inputs!$D$7*Inputs!$D$8*1*N265*N266</f>
        <v>7308</v>
      </c>
      <c r="O267" s="118" t="n">
        <f aca="false">Inputs!$D$7*Inputs!$D$8*1*O265*O266</f>
        <v>7308</v>
      </c>
      <c r="P267" s="118" t="n">
        <f aca="false">Inputs!$D$7*Inputs!$D$8*1*P265*P266</f>
        <v>7308</v>
      </c>
      <c r="Q267" s="118" t="n">
        <f aca="false">Inputs!$D$7*Inputs!$D$8*1*Q265*Q266</f>
        <v>8390.66666666667</v>
      </c>
      <c r="R267" s="118" t="n">
        <f aca="false">Inputs!$D$7*Inputs!$D$8*1*R265*R266</f>
        <v>8390.66666666667</v>
      </c>
      <c r="S267" s="118" t="n">
        <f aca="false">Inputs!$D$7*Inputs!$D$8*1*S265*S266</f>
        <v>8390.66666666667</v>
      </c>
      <c r="T267" s="118" t="n">
        <f aca="false">Inputs!$D$7*Inputs!$D$8*1*T265*T266</f>
        <v>8390.66666666667</v>
      </c>
      <c r="U267" s="118" t="n">
        <f aca="false">Inputs!$D$7*Inputs!$D$8*1*U265*U266</f>
        <v>8390.66666666667</v>
      </c>
      <c r="V267" s="118" t="n">
        <f aca="false">Inputs!$D$7*Inputs!$D$8*1*V265*V266</f>
        <v>8390.66666666667</v>
      </c>
      <c r="W267" s="118" t="n">
        <f aca="false">Inputs!$D$7*Inputs!$D$8*1*W265*W266</f>
        <v>8390.66666666667</v>
      </c>
      <c r="X267" s="118" t="n">
        <f aca="false">Inputs!$D$7*Inputs!$D$8*1*X265*X266</f>
        <v>8390.66666666667</v>
      </c>
      <c r="Y267" s="118" t="n">
        <f aca="false">Inputs!$D$7*Inputs!$D$8*1*Y265*Y266</f>
        <v>8390.66666666667</v>
      </c>
      <c r="Z267" s="118" t="n">
        <f aca="false">Inputs!$D$7*Inputs!$D$8*1*Z265*Z266</f>
        <v>7308</v>
      </c>
      <c r="AA267" s="118" t="n">
        <f aca="false">Inputs!$D$7*Inputs!$D$8*1*AA265*AA266</f>
        <v>7308</v>
      </c>
      <c r="AB267" s="118" t="n">
        <f aca="false">Inputs!$D$7*Inputs!$D$8*1*AB265*AB266</f>
        <v>7308</v>
      </c>
      <c r="AC267" s="118" t="n">
        <f aca="false">Inputs!$D$7*Inputs!$D$8*1*AC265*AC266</f>
        <v>8390.66666666667</v>
      </c>
      <c r="AD267" s="118" t="n">
        <f aca="false">Inputs!$D$7*Inputs!$D$8*1*AD265*AD266</f>
        <v>8390.66666666667</v>
      </c>
      <c r="AE267" s="118" t="n">
        <f aca="false">Inputs!$D$7*Inputs!$D$8*1*AE265*AE266</f>
        <v>8390.66666666667</v>
      </c>
      <c r="AF267" s="118" t="n">
        <f aca="false">Inputs!$D$7*Inputs!$D$8*1*AF265*AF266</f>
        <v>8390.66666666667</v>
      </c>
      <c r="AG267" s="118" t="n">
        <f aca="false">Inputs!$D$7*Inputs!$D$8*1*AG265*AG266</f>
        <v>8390.66666666667</v>
      </c>
      <c r="AH267" s="118" t="n">
        <f aca="false">Inputs!$D$7*Inputs!$D$8*1*AH265*AH266</f>
        <v>8390.66666666667</v>
      </c>
      <c r="AI267" s="118" t="n">
        <f aca="false">Inputs!$D$7*Inputs!$D$8*1*AI265*AI266</f>
        <v>8390.66666666667</v>
      </c>
      <c r="AJ267" s="118" t="n">
        <f aca="false">Inputs!$D$7*Inputs!$D$8*1*AJ265*AJ266</f>
        <v>8390.66666666667</v>
      </c>
      <c r="AK267" s="118" t="n">
        <f aca="false">Inputs!$D$7*Inputs!$D$8*1*AK265*AK266</f>
        <v>8390.66666666667</v>
      </c>
      <c r="AL267" s="118" t="n">
        <f aca="false">Inputs!$D$7*Inputs!$D$8*1*AL265*AL266</f>
        <v>7308</v>
      </c>
    </row>
    <row r="269" customFormat="false" ht="15.75" hidden="false" customHeight="true" outlineLevel="0" collapsed="false">
      <c r="A269" s="7" t="s">
        <v>394</v>
      </c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customFormat="false" ht="15" hidden="false" customHeight="false" outlineLevel="0" collapsed="false">
      <c r="A270" s="6" t="s">
        <v>395</v>
      </c>
      <c r="C270" s="117" t="n">
        <f aca="false">C267*Inputs!$D$22</f>
        <v>40.194</v>
      </c>
      <c r="D270" s="117" t="n">
        <f aca="false">D267*Inputs!$D$22</f>
        <v>44.892</v>
      </c>
      <c r="E270" s="117" t="n">
        <f aca="false">E267*Inputs!$D$22</f>
        <v>56.9366666666667</v>
      </c>
      <c r="F270" s="117" t="n">
        <f aca="false">F267*Inputs!$D$22</f>
        <v>62.3306666666667</v>
      </c>
      <c r="G270" s="117" t="n">
        <f aca="false">G267*Inputs!$D$22</f>
        <v>67.7246666666667</v>
      </c>
      <c r="H270" s="117" t="n">
        <f aca="false">H267*Inputs!$D$22</f>
        <v>73.1186666666667</v>
      </c>
      <c r="I270" s="117" t="n">
        <f aca="false">I267*Inputs!$D$22</f>
        <v>78.5126666666667</v>
      </c>
      <c r="J270" s="117" t="n">
        <f aca="false">J267*Inputs!$D$22</f>
        <v>83.9066666666667</v>
      </c>
      <c r="K270" s="117" t="n">
        <f aca="false">K267*Inputs!$D$22</f>
        <v>83.9066666666667</v>
      </c>
      <c r="L270" s="117" t="n">
        <f aca="false">L267*Inputs!$D$22</f>
        <v>83.9066666666667</v>
      </c>
      <c r="M270" s="117" t="n">
        <f aca="false">M267*Inputs!$D$22</f>
        <v>83.9066666666667</v>
      </c>
      <c r="N270" s="117" t="n">
        <f aca="false">N267*Inputs!$D$22</f>
        <v>73.08</v>
      </c>
      <c r="O270" s="117" t="n">
        <f aca="false">O267*Inputs!$D$22</f>
        <v>73.08</v>
      </c>
      <c r="P270" s="117" t="n">
        <f aca="false">P267*Inputs!$D$22</f>
        <v>73.08</v>
      </c>
      <c r="Q270" s="117" t="n">
        <f aca="false">Q267*Inputs!$D$22</f>
        <v>83.9066666666667</v>
      </c>
      <c r="R270" s="117" t="n">
        <f aca="false">R267*Inputs!$D$22</f>
        <v>83.9066666666667</v>
      </c>
      <c r="S270" s="117" t="n">
        <f aca="false">S267*Inputs!$D$22</f>
        <v>83.9066666666667</v>
      </c>
      <c r="T270" s="117" t="n">
        <f aca="false">T267*Inputs!$D$22</f>
        <v>83.9066666666667</v>
      </c>
      <c r="U270" s="117" t="n">
        <f aca="false">U267*Inputs!$D$22</f>
        <v>83.9066666666667</v>
      </c>
      <c r="V270" s="117" t="n">
        <f aca="false">V267*Inputs!$D$22</f>
        <v>83.9066666666667</v>
      </c>
      <c r="W270" s="117" t="n">
        <f aca="false">W267*Inputs!$D$22</f>
        <v>83.9066666666667</v>
      </c>
      <c r="X270" s="117" t="n">
        <f aca="false">X267*Inputs!$D$22</f>
        <v>83.9066666666667</v>
      </c>
      <c r="Y270" s="117" t="n">
        <f aca="false">Y267*Inputs!$D$22</f>
        <v>83.9066666666667</v>
      </c>
      <c r="Z270" s="117" t="n">
        <f aca="false">Z267*Inputs!$D$22</f>
        <v>73.08</v>
      </c>
      <c r="AA270" s="117" t="n">
        <f aca="false">AA267*Inputs!$D$22</f>
        <v>73.08</v>
      </c>
      <c r="AB270" s="117" t="n">
        <f aca="false">AB267*Inputs!$D$22</f>
        <v>73.08</v>
      </c>
      <c r="AC270" s="117" t="n">
        <f aca="false">AC267*Inputs!$D$22</f>
        <v>83.9066666666667</v>
      </c>
      <c r="AD270" s="117" t="n">
        <f aca="false">AD267*Inputs!$D$22</f>
        <v>83.9066666666667</v>
      </c>
      <c r="AE270" s="117" t="n">
        <f aca="false">AE267*Inputs!$D$22</f>
        <v>83.9066666666667</v>
      </c>
      <c r="AF270" s="117" t="n">
        <f aca="false">AF267*Inputs!$D$22</f>
        <v>83.9066666666667</v>
      </c>
      <c r="AG270" s="117" t="n">
        <f aca="false">AG267*Inputs!$D$22</f>
        <v>83.9066666666667</v>
      </c>
      <c r="AH270" s="117" t="n">
        <f aca="false">AH267*Inputs!$D$22</f>
        <v>83.9066666666667</v>
      </c>
      <c r="AI270" s="117" t="n">
        <f aca="false">AI267*Inputs!$D$22</f>
        <v>83.9066666666667</v>
      </c>
      <c r="AJ270" s="117" t="n">
        <f aca="false">AJ267*Inputs!$D$22</f>
        <v>83.9066666666667</v>
      </c>
      <c r="AK270" s="117" t="n">
        <f aca="false">AK267*Inputs!$D$22</f>
        <v>83.9066666666667</v>
      </c>
      <c r="AL270" s="117" t="n">
        <f aca="false">AL267*Inputs!$D$22</f>
        <v>73.08</v>
      </c>
    </row>
    <row r="271" customFormat="false" ht="15" hidden="false" customHeight="false" outlineLevel="0" collapsed="false">
      <c r="A271" s="6" t="s">
        <v>396</v>
      </c>
      <c r="C271" s="117" t="n">
        <f aca="false">Inputs!$D$20*(1+Inputs!$D$21)^(C$261-1)*1*C265</f>
        <v>33</v>
      </c>
      <c r="D271" s="117" t="n">
        <f aca="false">Inputs!$D$20*(1+Inputs!$D$21)^(D$261-1)*1*D265</f>
        <v>36.8571428571429</v>
      </c>
      <c r="E271" s="117" t="n">
        <f aca="false">Inputs!$D$20*(1+Inputs!$D$21)^(E$261-1)*1*E265</f>
        <v>40.7142857142857</v>
      </c>
      <c r="F271" s="117" t="n">
        <f aca="false">Inputs!$D$20*(1+Inputs!$D$21)^(F$261-1)*1*F265</f>
        <v>44.5714285714286</v>
      </c>
      <c r="G271" s="117" t="n">
        <f aca="false">Inputs!$D$20*(1+Inputs!$D$21)^(G$261-1)*1*G265</f>
        <v>48.4285714285714</v>
      </c>
      <c r="H271" s="117" t="n">
        <f aca="false">Inputs!$D$20*(1+Inputs!$D$21)^(H$261-1)*1*H265</f>
        <v>52.2857142857143</v>
      </c>
      <c r="I271" s="117" t="n">
        <f aca="false">Inputs!$D$20*(1+Inputs!$D$21)^(I$261-1)*1*I265</f>
        <v>56.1428571428571</v>
      </c>
      <c r="J271" s="117" t="n">
        <f aca="false">Inputs!$D$20*(1+Inputs!$D$21)^(J$261-1)*1*J265</f>
        <v>60</v>
      </c>
      <c r="K271" s="117" t="n">
        <f aca="false">Inputs!$D$20*(1+Inputs!$D$21)^(K$261-1)*1*K265</f>
        <v>60</v>
      </c>
      <c r="L271" s="117" t="n">
        <f aca="false">Inputs!$D$20*(1+Inputs!$D$21)^(L$261-1)*1*L265</f>
        <v>60</v>
      </c>
      <c r="M271" s="117" t="n">
        <f aca="false">Inputs!$D$20*(1+Inputs!$D$21)^(M$261-1)*1*M265</f>
        <v>60</v>
      </c>
      <c r="N271" s="117" t="n">
        <f aca="false">Inputs!$D$20*(1+Inputs!$D$21)^(N$261-1)*1*N265</f>
        <v>60</v>
      </c>
      <c r="O271" s="117" t="n">
        <f aca="false">Inputs!$D$20*(1+Inputs!$D$21)^(O$261-1)*1*O265</f>
        <v>66</v>
      </c>
      <c r="P271" s="117" t="n">
        <f aca="false">Inputs!$D$20*(1+Inputs!$D$21)^(P$261-1)*1*P265</f>
        <v>66</v>
      </c>
      <c r="Q271" s="117" t="n">
        <f aca="false">Inputs!$D$20*(1+Inputs!$D$21)^(Q$261-1)*1*Q265</f>
        <v>66</v>
      </c>
      <c r="R271" s="117" t="n">
        <f aca="false">Inputs!$D$20*(1+Inputs!$D$21)^(R$261-1)*1*R265</f>
        <v>66</v>
      </c>
      <c r="S271" s="117" t="n">
        <f aca="false">Inputs!$D$20*(1+Inputs!$D$21)^(S$261-1)*1*S265</f>
        <v>66</v>
      </c>
      <c r="T271" s="117" t="n">
        <f aca="false">Inputs!$D$20*(1+Inputs!$D$21)^(T$261-1)*1*T265</f>
        <v>66</v>
      </c>
      <c r="U271" s="117" t="n">
        <f aca="false">Inputs!$D$20*(1+Inputs!$D$21)^(U$261-1)*1*U265</f>
        <v>66</v>
      </c>
      <c r="V271" s="117" t="n">
        <f aca="false">Inputs!$D$20*(1+Inputs!$D$21)^(V$261-1)*1*V265</f>
        <v>66</v>
      </c>
      <c r="W271" s="117" t="n">
        <f aca="false">Inputs!$D$20*(1+Inputs!$D$21)^(W$261-1)*1*W265</f>
        <v>66</v>
      </c>
      <c r="X271" s="117" t="n">
        <f aca="false">Inputs!$D$20*(1+Inputs!$D$21)^(X$261-1)*1*X265</f>
        <v>66</v>
      </c>
      <c r="Y271" s="117" t="n">
        <f aca="false">Inputs!$D$20*(1+Inputs!$D$21)^(Y$261-1)*1*Y265</f>
        <v>66</v>
      </c>
      <c r="Z271" s="117" t="n">
        <f aca="false">Inputs!$D$20*(1+Inputs!$D$21)^(Z$261-1)*1*Z265</f>
        <v>66</v>
      </c>
      <c r="AA271" s="117" t="n">
        <f aca="false">Inputs!$D$20*(1+Inputs!$D$21)^(AA$261-1)*1*AA265</f>
        <v>72.6</v>
      </c>
      <c r="AB271" s="117" t="n">
        <f aca="false">Inputs!$D$20*(1+Inputs!$D$21)^(AB$261-1)*1*AB265</f>
        <v>72.6</v>
      </c>
      <c r="AC271" s="117" t="n">
        <f aca="false">Inputs!$D$20*(1+Inputs!$D$21)^(AC$261-1)*1*AC265</f>
        <v>72.6</v>
      </c>
      <c r="AD271" s="117" t="n">
        <f aca="false">Inputs!$D$20*(1+Inputs!$D$21)^(AD$261-1)*1*AD265</f>
        <v>72.6</v>
      </c>
      <c r="AE271" s="117" t="n">
        <f aca="false">Inputs!$D$20*(1+Inputs!$D$21)^(AE$261-1)*1*AE265</f>
        <v>72.6</v>
      </c>
      <c r="AF271" s="117" t="n">
        <f aca="false">Inputs!$D$20*(1+Inputs!$D$21)^(AF$261-1)*1*AF265</f>
        <v>72.6</v>
      </c>
      <c r="AG271" s="117" t="n">
        <f aca="false">Inputs!$D$20*(1+Inputs!$D$21)^(AG$261-1)*1*AG265</f>
        <v>72.6</v>
      </c>
      <c r="AH271" s="117" t="n">
        <f aca="false">Inputs!$D$20*(1+Inputs!$D$21)^(AH$261-1)*1*AH265</f>
        <v>72.6</v>
      </c>
      <c r="AI271" s="117" t="n">
        <f aca="false">Inputs!$D$20*(1+Inputs!$D$21)^(AI$261-1)*1*AI265</f>
        <v>72.6</v>
      </c>
      <c r="AJ271" s="117" t="n">
        <f aca="false">Inputs!$D$20*(1+Inputs!$D$21)^(AJ$261-1)*1*AJ265</f>
        <v>72.6</v>
      </c>
      <c r="AK271" s="117" t="n">
        <f aca="false">Inputs!$D$20*(1+Inputs!$D$21)^(AK$261-1)*1*AK265</f>
        <v>72.6</v>
      </c>
      <c r="AL271" s="117" t="n">
        <f aca="false">Inputs!$D$20*(1+Inputs!$D$21)^(AL$261-1)*1*AL265</f>
        <v>72.6</v>
      </c>
    </row>
    <row r="272" customFormat="false" ht="15" hidden="false" customHeight="false" outlineLevel="0" collapsed="false">
      <c r="A272" s="4" t="s">
        <v>397</v>
      </c>
      <c r="C272" s="119" t="n">
        <f aca="false">C270+C271</f>
        <v>73.194</v>
      </c>
      <c r="D272" s="119" t="n">
        <f aca="false">D270+D271</f>
        <v>81.7491428571429</v>
      </c>
      <c r="E272" s="119" t="n">
        <f aca="false">E270+E271</f>
        <v>97.6509523809524</v>
      </c>
      <c r="F272" s="119" t="n">
        <f aca="false">F270+F271</f>
        <v>106.902095238095</v>
      </c>
      <c r="G272" s="119" t="n">
        <f aca="false">G270+G271</f>
        <v>116.153238095238</v>
      </c>
      <c r="H272" s="119" t="n">
        <f aca="false">H270+H271</f>
        <v>125.404380952381</v>
      </c>
      <c r="I272" s="119" t="n">
        <f aca="false">I270+I271</f>
        <v>134.655523809524</v>
      </c>
      <c r="J272" s="119" t="n">
        <f aca="false">J270+J271</f>
        <v>143.906666666667</v>
      </c>
      <c r="K272" s="119" t="n">
        <f aca="false">K270+K271</f>
        <v>143.906666666667</v>
      </c>
      <c r="L272" s="119" t="n">
        <f aca="false">L270+L271</f>
        <v>143.906666666667</v>
      </c>
      <c r="M272" s="119" t="n">
        <f aca="false">M270+M271</f>
        <v>143.906666666667</v>
      </c>
      <c r="N272" s="119" t="n">
        <f aca="false">N270+N271</f>
        <v>133.08</v>
      </c>
      <c r="O272" s="119" t="n">
        <f aca="false">O270+O271</f>
        <v>139.08</v>
      </c>
      <c r="P272" s="119" t="n">
        <f aca="false">P270+P271</f>
        <v>139.08</v>
      </c>
      <c r="Q272" s="119" t="n">
        <f aca="false">Q270+Q271</f>
        <v>149.906666666667</v>
      </c>
      <c r="R272" s="119" t="n">
        <f aca="false">R270+R271</f>
        <v>149.906666666667</v>
      </c>
      <c r="S272" s="119" t="n">
        <f aca="false">S270+S271</f>
        <v>149.906666666667</v>
      </c>
      <c r="T272" s="119" t="n">
        <f aca="false">T270+T271</f>
        <v>149.906666666667</v>
      </c>
      <c r="U272" s="119" t="n">
        <f aca="false">U270+U271</f>
        <v>149.906666666667</v>
      </c>
      <c r="V272" s="119" t="n">
        <f aca="false">V270+V271</f>
        <v>149.906666666667</v>
      </c>
      <c r="W272" s="119" t="n">
        <f aca="false">W270+W271</f>
        <v>149.906666666667</v>
      </c>
      <c r="X272" s="119" t="n">
        <f aca="false">X270+X271</f>
        <v>149.906666666667</v>
      </c>
      <c r="Y272" s="119" t="n">
        <f aca="false">Y270+Y271</f>
        <v>149.906666666667</v>
      </c>
      <c r="Z272" s="119" t="n">
        <f aca="false">Z270+Z271</f>
        <v>139.08</v>
      </c>
      <c r="AA272" s="119" t="n">
        <f aca="false">AA270+AA271</f>
        <v>145.68</v>
      </c>
      <c r="AB272" s="119" t="n">
        <f aca="false">AB270+AB271</f>
        <v>145.68</v>
      </c>
      <c r="AC272" s="119" t="n">
        <f aca="false">AC270+AC271</f>
        <v>156.506666666667</v>
      </c>
      <c r="AD272" s="119" t="n">
        <f aca="false">AD270+AD271</f>
        <v>156.506666666667</v>
      </c>
      <c r="AE272" s="119" t="n">
        <f aca="false">AE270+AE271</f>
        <v>156.506666666667</v>
      </c>
      <c r="AF272" s="119" t="n">
        <f aca="false">AF270+AF271</f>
        <v>156.506666666667</v>
      </c>
      <c r="AG272" s="119" t="n">
        <f aca="false">AG270+AG271</f>
        <v>156.506666666667</v>
      </c>
      <c r="AH272" s="119" t="n">
        <f aca="false">AH270+AH271</f>
        <v>156.506666666667</v>
      </c>
      <c r="AI272" s="119" t="n">
        <f aca="false">AI270+AI271</f>
        <v>156.506666666667</v>
      </c>
      <c r="AJ272" s="119" t="n">
        <f aca="false">AJ270+AJ271</f>
        <v>156.506666666667</v>
      </c>
      <c r="AK272" s="119" t="n">
        <f aca="false">AK270+AK271</f>
        <v>156.506666666667</v>
      </c>
      <c r="AL272" s="119" t="n">
        <f aca="false">AL270+AL271</f>
        <v>145.68</v>
      </c>
    </row>
    <row r="273" customFormat="false" ht="15" hidden="false" customHeight="false" outlineLevel="0" collapsed="false">
      <c r="A273" s="6" t="s">
        <v>398</v>
      </c>
      <c r="C273" s="120" t="n">
        <f aca="false">Inputs!$D$19</f>
        <v>350</v>
      </c>
      <c r="D273" s="117" t="n">
        <f aca="false">C275</f>
        <v>411.994</v>
      </c>
      <c r="E273" s="117" t="n">
        <f aca="false">D275</f>
        <v>480.559334857143</v>
      </c>
      <c r="F273" s="117" t="n">
        <f aca="false">E275</f>
        <v>562.832388522667</v>
      </c>
      <c r="G273" s="117" t="n">
        <f aca="false">F275</f>
        <v>651.723847328037</v>
      </c>
      <c r="H273" s="117" t="n">
        <f aca="false">G275</f>
        <v>747.021922308777</v>
      </c>
      <c r="I273" s="117" t="n">
        <f aca="false">H275</f>
        <v>848.521601747278</v>
      </c>
      <c r="J273" s="117" t="n">
        <f aca="false">I275</f>
        <v>956.024434300888</v>
      </c>
      <c r="K273" s="117" t="n">
        <f aca="false">J275</f>
        <v>1069.33831906993</v>
      </c>
      <c r="L273" s="117" t="n">
        <f aca="false">K275</f>
        <v>1179.02615952636</v>
      </c>
      <c r="M273" s="117" t="n">
        <f aca="false">L275</f>
        <v>1285.20398908818</v>
      </c>
      <c r="N273" s="117" t="n">
        <f aca="false">M275</f>
        <v>1387.98412810402</v>
      </c>
      <c r="O273" s="117" t="n">
        <f aca="false">N275</f>
        <v>1476.6486360047</v>
      </c>
      <c r="P273" s="117" t="n">
        <f aca="false">O275</f>
        <v>1568.47587965254</v>
      </c>
      <c r="Q273" s="117" t="n">
        <f aca="false">P275</f>
        <v>1657.36465150366</v>
      </c>
      <c r="R273" s="117" t="n">
        <f aca="false">Q275</f>
        <v>1754.23564932221</v>
      </c>
      <c r="S273" s="117" t="n">
        <f aca="false">R275</f>
        <v>1848.00677521057</v>
      </c>
      <c r="T273" s="117" t="n">
        <f aca="false">S275</f>
        <v>1938.7772250705</v>
      </c>
      <c r="U273" s="117" t="n">
        <f aca="false">T275</f>
        <v>2026.64302053491</v>
      </c>
      <c r="V273" s="117" t="n">
        <f aca="false">U275</f>
        <v>2111.69711054446</v>
      </c>
      <c r="W273" s="117" t="n">
        <f aca="false">V275</f>
        <v>2194.0294696737</v>
      </c>
      <c r="X273" s="117" t="n">
        <f aca="false">W275</f>
        <v>2273.72719331081</v>
      </c>
      <c r="Y273" s="117" t="n">
        <f aca="false">X275</f>
        <v>2350.87458979153</v>
      </c>
      <c r="Z273" s="117" t="n">
        <f aca="false">Y275</f>
        <v>2425.55326958487</v>
      </c>
      <c r="AA273" s="117" t="n">
        <f aca="false">Z275</f>
        <v>2487.01556495815</v>
      </c>
      <c r="AB273" s="117" t="n">
        <f aca="false">AA275</f>
        <v>2553.11106687949</v>
      </c>
      <c r="AC273" s="117" t="n">
        <f aca="false">AB275</f>
        <v>2617.09151273935</v>
      </c>
      <c r="AD273" s="117" t="n">
        <f aca="false">AC275</f>
        <v>2689.85125099835</v>
      </c>
      <c r="AE273" s="117" t="n">
        <f aca="false">AD275</f>
        <v>2760.28267763307</v>
      </c>
      <c r="AF273" s="117" t="n">
        <f aca="false">AE275</f>
        <v>2828.46029861548</v>
      </c>
      <c r="AG273" s="117" t="n">
        <f aca="false">AF275</f>
        <v>2894.45623572645</v>
      </c>
      <c r="AH273" s="117" t="n">
        <f aca="false">AG275</f>
        <v>2958.34030284987</v>
      </c>
      <c r="AI273" s="117" t="n">
        <f aca="false">AH275</f>
        <v>3020.18007982534</v>
      </c>
      <c r="AJ273" s="117" t="n">
        <f aca="false">AI275</f>
        <v>3080.0409839376</v>
      </c>
      <c r="AK273" s="117" t="n">
        <f aca="false">AJ275</f>
        <v>3137.98633911826</v>
      </c>
      <c r="AL273" s="117" t="n">
        <f aca="false">AK275</f>
        <v>3194.07744293315</v>
      </c>
    </row>
    <row r="274" customFormat="false" ht="15" hidden="false" customHeight="false" outlineLevel="0" collapsed="false">
      <c r="A274" s="6" t="s">
        <v>399</v>
      </c>
      <c r="C274" s="117" t="n">
        <f aca="false">C275-C273-C272</f>
        <v>-11.2</v>
      </c>
      <c r="D274" s="117" t="n">
        <f aca="false">D275-D273-D272</f>
        <v>-13.183808</v>
      </c>
      <c r="E274" s="117" t="n">
        <f aca="false">E275-E273-E272</f>
        <v>-15.3778987154286</v>
      </c>
      <c r="F274" s="117" t="n">
        <f aca="false">F275-F273-F272</f>
        <v>-18.0106364327254</v>
      </c>
      <c r="G274" s="117" t="n">
        <f aca="false">G275-G273-G272</f>
        <v>-20.8551631144972</v>
      </c>
      <c r="H274" s="117" t="n">
        <f aca="false">H275-H273-H272</f>
        <v>-23.9047015138809</v>
      </c>
      <c r="I274" s="117" t="n">
        <f aca="false">I275-I273-I272</f>
        <v>-27.1526912559129</v>
      </c>
      <c r="J274" s="117" t="n">
        <f aca="false">J275-J273-J272</f>
        <v>-30.5927818976284</v>
      </c>
      <c r="K274" s="117" t="n">
        <f aca="false">K275-K273-K272</f>
        <v>-34.2188262102376</v>
      </c>
      <c r="L274" s="117" t="n">
        <f aca="false">L275-L273-L272</f>
        <v>-37.7288371048434</v>
      </c>
      <c r="M274" s="117" t="n">
        <f aca="false">M275-M273-M272</f>
        <v>-41.1265276508217</v>
      </c>
      <c r="N274" s="117" t="n">
        <f aca="false">N275-N273-N272</f>
        <v>-44.4154920993288</v>
      </c>
      <c r="O274" s="117" t="n">
        <f aca="false">O275-O273-O272</f>
        <v>-47.2527563521504</v>
      </c>
      <c r="P274" s="117" t="n">
        <f aca="false">P275-P273-P272</f>
        <v>-50.1912281488815</v>
      </c>
      <c r="Q274" s="117" t="n">
        <f aca="false">Q275-Q273-Q272</f>
        <v>-53.0356688481172</v>
      </c>
      <c r="R274" s="117" t="n">
        <f aca="false">R275-R273-R272</f>
        <v>-56.1355407783107</v>
      </c>
      <c r="S274" s="117" t="n">
        <f aca="false">S275-S273-S272</f>
        <v>-59.1362168067382</v>
      </c>
      <c r="T274" s="117" t="n">
        <f aca="false">T275-T273-T272</f>
        <v>-62.0408712022558</v>
      </c>
      <c r="U274" s="117" t="n">
        <f aca="false">U275-U273-U272</f>
        <v>-64.8525766571171</v>
      </c>
      <c r="V274" s="117" t="n">
        <f aca="false">V275-V273-V272</f>
        <v>-67.574307537423</v>
      </c>
      <c r="W274" s="117" t="n">
        <f aca="false">W275-W273-W272</f>
        <v>-70.2089430295586</v>
      </c>
      <c r="X274" s="117" t="n">
        <f aca="false">X275-X273-X272</f>
        <v>-72.7592701859457</v>
      </c>
      <c r="Y274" s="117" t="n">
        <f aca="false">Y275-Y273-Y272</f>
        <v>-75.2279868733289</v>
      </c>
      <c r="Z274" s="117" t="n">
        <f aca="false">Z275-Z273-Z272</f>
        <v>-77.6177046267158</v>
      </c>
      <c r="AA274" s="117" t="n">
        <f aca="false">AA275-AA273-AA272</f>
        <v>-79.5844980786612</v>
      </c>
      <c r="AB274" s="117" t="n">
        <f aca="false">AB275-AB273-AB272</f>
        <v>-81.699554140144</v>
      </c>
      <c r="AC274" s="117" t="n">
        <f aca="false">AC275-AC273-AC272</f>
        <v>-83.7469284076592</v>
      </c>
      <c r="AD274" s="117" t="n">
        <f aca="false">AD275-AD273-AD272</f>
        <v>-86.0752400319475</v>
      </c>
      <c r="AE274" s="117" t="n">
        <f aca="false">AE275-AE273-AE272</f>
        <v>-88.3290456842583</v>
      </c>
      <c r="AF274" s="117" t="n">
        <f aca="false">AF275-AF273-AF272</f>
        <v>-90.5107295556955</v>
      </c>
      <c r="AG274" s="117" t="n">
        <f aca="false">AG275-AG273-AG272</f>
        <v>-92.6225995432465</v>
      </c>
      <c r="AH274" s="117" t="n">
        <f aca="false">AH275-AH273-AH272</f>
        <v>-94.6668896911961</v>
      </c>
      <c r="AI274" s="117" t="n">
        <f aca="false">AI275-AI273-AI272</f>
        <v>-96.6457625544113</v>
      </c>
      <c r="AJ274" s="117" t="n">
        <f aca="false">AJ275-AJ273-AJ272</f>
        <v>-98.5613114860035</v>
      </c>
      <c r="AK274" s="117" t="n">
        <f aca="false">AK275-AK273-AK272</f>
        <v>-100.415562851785</v>
      </c>
      <c r="AL274" s="117" t="n">
        <f aca="false">AL275-AL273-AL272</f>
        <v>-102.210478173861</v>
      </c>
    </row>
    <row r="275" customFormat="false" ht="15" hidden="false" customHeight="false" outlineLevel="0" collapsed="false">
      <c r="A275" s="4" t="s">
        <v>400</v>
      </c>
      <c r="C275" s="119" t="n">
        <f aca="false">C273*(1-Inputs!$D$23)+C272</f>
        <v>411.994</v>
      </c>
      <c r="D275" s="119" t="n">
        <f aca="false">D273*(1-Inputs!$D$23)+D272</f>
        <v>480.559334857143</v>
      </c>
      <c r="E275" s="119" t="n">
        <f aca="false">E273*(1-Inputs!$D$23)+E272</f>
        <v>562.832388522667</v>
      </c>
      <c r="F275" s="119" t="n">
        <f aca="false">F273*(1-Inputs!$D$23)+F272</f>
        <v>651.723847328037</v>
      </c>
      <c r="G275" s="119" t="n">
        <f aca="false">G273*(1-Inputs!$D$23)+G272</f>
        <v>747.021922308777</v>
      </c>
      <c r="H275" s="119" t="n">
        <f aca="false">H273*(1-Inputs!$D$23)+H272</f>
        <v>848.521601747278</v>
      </c>
      <c r="I275" s="119" t="n">
        <f aca="false">I273*(1-Inputs!$D$23)+I272</f>
        <v>956.024434300888</v>
      </c>
      <c r="J275" s="119" t="n">
        <f aca="false">J273*(1-Inputs!$D$23)+J272</f>
        <v>1069.33831906993</v>
      </c>
      <c r="K275" s="119" t="n">
        <f aca="false">K273*(1-Inputs!$D$23)+K272</f>
        <v>1179.02615952636</v>
      </c>
      <c r="L275" s="119" t="n">
        <f aca="false">L273*(1-Inputs!$D$23)+L272</f>
        <v>1285.20398908818</v>
      </c>
      <c r="M275" s="119" t="n">
        <f aca="false">M273*(1-Inputs!$D$23)+M272</f>
        <v>1387.98412810402</v>
      </c>
      <c r="N275" s="119" t="n">
        <f aca="false">N273*(1-Inputs!$D$23)+N272</f>
        <v>1476.6486360047</v>
      </c>
      <c r="O275" s="119" t="n">
        <f aca="false">O273*(1-Inputs!$D$23)+O272</f>
        <v>1568.47587965254</v>
      </c>
      <c r="P275" s="119" t="n">
        <f aca="false">P273*(1-Inputs!$D$23)+P272</f>
        <v>1657.36465150366</v>
      </c>
      <c r="Q275" s="119" t="n">
        <f aca="false">Q273*(1-Inputs!$D$23)+Q272</f>
        <v>1754.23564932221</v>
      </c>
      <c r="R275" s="119" t="n">
        <f aca="false">R273*(1-Inputs!$D$23)+R272</f>
        <v>1848.00677521057</v>
      </c>
      <c r="S275" s="119" t="n">
        <f aca="false">S273*(1-Inputs!$D$23)+S272</f>
        <v>1938.7772250705</v>
      </c>
      <c r="T275" s="119" t="n">
        <f aca="false">T273*(1-Inputs!$D$23)+T272</f>
        <v>2026.64302053491</v>
      </c>
      <c r="U275" s="119" t="n">
        <f aca="false">U273*(1-Inputs!$D$23)+U272</f>
        <v>2111.69711054446</v>
      </c>
      <c r="V275" s="119" t="n">
        <f aca="false">V273*(1-Inputs!$D$23)+V272</f>
        <v>2194.0294696737</v>
      </c>
      <c r="W275" s="119" t="n">
        <f aca="false">W273*(1-Inputs!$D$23)+W272</f>
        <v>2273.72719331081</v>
      </c>
      <c r="X275" s="119" t="n">
        <f aca="false">X273*(1-Inputs!$D$23)+X272</f>
        <v>2350.87458979153</v>
      </c>
      <c r="Y275" s="119" t="n">
        <f aca="false">Y273*(1-Inputs!$D$23)+Y272</f>
        <v>2425.55326958487</v>
      </c>
      <c r="Z275" s="119" t="n">
        <f aca="false">Z273*(1-Inputs!$D$23)+Z272</f>
        <v>2487.01556495815</v>
      </c>
      <c r="AA275" s="119" t="n">
        <f aca="false">AA273*(1-Inputs!$D$23)+AA272</f>
        <v>2553.11106687949</v>
      </c>
      <c r="AB275" s="119" t="n">
        <f aca="false">AB273*(1-Inputs!$D$23)+AB272</f>
        <v>2617.09151273935</v>
      </c>
      <c r="AC275" s="119" t="n">
        <f aca="false">AC273*(1-Inputs!$D$23)+AC272</f>
        <v>2689.85125099835</v>
      </c>
      <c r="AD275" s="119" t="n">
        <f aca="false">AD273*(1-Inputs!$D$23)+AD272</f>
        <v>2760.28267763307</v>
      </c>
      <c r="AE275" s="119" t="n">
        <f aca="false">AE273*(1-Inputs!$D$23)+AE272</f>
        <v>2828.46029861548</v>
      </c>
      <c r="AF275" s="119" t="n">
        <f aca="false">AF273*(1-Inputs!$D$23)+AF272</f>
        <v>2894.45623572645</v>
      </c>
      <c r="AG275" s="119" t="n">
        <f aca="false">AG273*(1-Inputs!$D$23)+AG272</f>
        <v>2958.34030284987</v>
      </c>
      <c r="AH275" s="119" t="n">
        <f aca="false">AH273*(1-Inputs!$D$23)+AH272</f>
        <v>3020.18007982534</v>
      </c>
      <c r="AI275" s="119" t="n">
        <f aca="false">AI273*(1-Inputs!$D$23)+AI272</f>
        <v>3080.0409839376</v>
      </c>
      <c r="AJ275" s="119" t="n">
        <f aca="false">AJ273*(1-Inputs!$D$23)+AJ272</f>
        <v>3137.98633911826</v>
      </c>
      <c r="AK275" s="119" t="n">
        <f aca="false">AK273*(1-Inputs!$D$23)+AK272</f>
        <v>3194.07744293315</v>
      </c>
      <c r="AL275" s="119" t="n">
        <f aca="false">AL273*(1-Inputs!$D$23)+AL272</f>
        <v>3237.54696475928</v>
      </c>
    </row>
    <row r="276" customFormat="false" ht="15" hidden="false" customHeight="false" outlineLevel="0" collapsed="false">
      <c r="A276" s="6" t="s">
        <v>401</v>
      </c>
      <c r="C276" s="117" t="n">
        <f aca="false">(C273+C275)/2</f>
        <v>380.997</v>
      </c>
      <c r="D276" s="117" t="n">
        <f aca="false">(D273+D275)/2</f>
        <v>446.276667428571</v>
      </c>
      <c r="E276" s="117" t="n">
        <f aca="false">(E273+E275)/2</f>
        <v>521.695861689905</v>
      </c>
      <c r="F276" s="117" t="n">
        <f aca="false">(F273+F275)/2</f>
        <v>607.278117925352</v>
      </c>
      <c r="G276" s="117" t="n">
        <f aca="false">(G273+G275)/2</f>
        <v>699.372884818407</v>
      </c>
      <c r="H276" s="117" t="n">
        <f aca="false">(H273+H275)/2</f>
        <v>797.771762028028</v>
      </c>
      <c r="I276" s="117" t="n">
        <f aca="false">(I273+I275)/2</f>
        <v>902.273018024083</v>
      </c>
      <c r="J276" s="117" t="n">
        <f aca="false">(J273+J275)/2</f>
        <v>1012.68137668541</v>
      </c>
      <c r="K276" s="117" t="n">
        <f aca="false">(K273+K275)/2</f>
        <v>1124.18223929814</v>
      </c>
      <c r="L276" s="117" t="n">
        <f aca="false">(L273+L275)/2</f>
        <v>1232.11507430727</v>
      </c>
      <c r="M276" s="117" t="n">
        <f aca="false">(M273+M275)/2</f>
        <v>1336.5940585961</v>
      </c>
      <c r="N276" s="117" t="n">
        <f aca="false">(N273+N275)/2</f>
        <v>1432.31638205436</v>
      </c>
      <c r="O276" s="117" t="n">
        <f aca="false">(O273+O275)/2</f>
        <v>1522.56225782862</v>
      </c>
      <c r="P276" s="117" t="n">
        <f aca="false">(P273+P275)/2</f>
        <v>1612.9202655781</v>
      </c>
      <c r="Q276" s="117" t="n">
        <f aca="false">(Q273+Q275)/2</f>
        <v>1705.80015041294</v>
      </c>
      <c r="R276" s="117" t="n">
        <f aca="false">(R273+R275)/2</f>
        <v>1801.12121226639</v>
      </c>
      <c r="S276" s="117" t="n">
        <f aca="false">(S273+S275)/2</f>
        <v>1893.39200014053</v>
      </c>
      <c r="T276" s="117" t="n">
        <f aca="false">(T273+T275)/2</f>
        <v>1982.7101228027</v>
      </c>
      <c r="U276" s="117" t="n">
        <f aca="false">(U273+U275)/2</f>
        <v>2069.17006553968</v>
      </c>
      <c r="V276" s="117" t="n">
        <f aca="false">(V273+V275)/2</f>
        <v>2152.86329010908</v>
      </c>
      <c r="W276" s="117" t="n">
        <f aca="false">(W273+W275)/2</f>
        <v>2233.87833149226</v>
      </c>
      <c r="X276" s="117" t="n">
        <f aca="false">(X273+X275)/2</f>
        <v>2312.30089155117</v>
      </c>
      <c r="Y276" s="117" t="n">
        <f aca="false">(Y273+Y275)/2</f>
        <v>2388.2139296882</v>
      </c>
      <c r="Z276" s="117" t="n">
        <f aca="false">(Z273+Z275)/2</f>
        <v>2456.28441727151</v>
      </c>
      <c r="AA276" s="117" t="n">
        <f aca="false">(AA273+AA275)/2</f>
        <v>2520.06331591882</v>
      </c>
      <c r="AB276" s="117" t="n">
        <f aca="false">(AB273+AB275)/2</f>
        <v>2585.10128980942</v>
      </c>
      <c r="AC276" s="117" t="n">
        <f aca="false">(AC273+AC275)/2</f>
        <v>2653.47138186885</v>
      </c>
      <c r="AD276" s="117" t="n">
        <f aca="false">(AD273+AD275)/2</f>
        <v>2725.06696431571</v>
      </c>
      <c r="AE276" s="117" t="n">
        <f aca="false">(AE273+AE275)/2</f>
        <v>2794.37148812428</v>
      </c>
      <c r="AF276" s="117" t="n">
        <f aca="false">(AF273+AF275)/2</f>
        <v>2861.45826717097</v>
      </c>
      <c r="AG276" s="117" t="n">
        <f aca="false">(AG273+AG275)/2</f>
        <v>2926.39826928816</v>
      </c>
      <c r="AH276" s="117" t="n">
        <f aca="false">(AH273+AH275)/2</f>
        <v>2989.26019133761</v>
      </c>
      <c r="AI276" s="117" t="n">
        <f aca="false">(AI273+AI275)/2</f>
        <v>3050.11053188147</v>
      </c>
      <c r="AJ276" s="117" t="n">
        <f aca="false">(AJ273+AJ275)/2</f>
        <v>3109.01366152793</v>
      </c>
      <c r="AK276" s="117" t="n">
        <f aca="false">(AK273+AK275)/2</f>
        <v>3166.0318910257</v>
      </c>
      <c r="AL276" s="117" t="n">
        <f aca="false">(AL273+AL275)/2</f>
        <v>3215.81220384621</v>
      </c>
    </row>
    <row r="278" customFormat="false" ht="15.75" hidden="false" customHeight="true" outlineLevel="0" collapsed="false">
      <c r="A278" s="7" t="s">
        <v>402</v>
      </c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</row>
    <row r="279" customFormat="false" ht="15" hidden="false" customHeight="false" outlineLevel="0" collapsed="false">
      <c r="A279" s="6" t="s">
        <v>403</v>
      </c>
      <c r="C279" s="118" t="n">
        <f aca="false">C276*Inputs!$D$24*C266*1</f>
        <v>1097.27136</v>
      </c>
      <c r="D279" s="118" t="n">
        <f aca="false">D276*Inputs!$D$24*D266*1</f>
        <v>1285.27680219429</v>
      </c>
      <c r="E279" s="118" t="n">
        <f aca="false">E276*Inputs!$D$24*E266*1</f>
        <v>1725.07431598795</v>
      </c>
      <c r="F279" s="118" t="n">
        <f aca="false">F276*Inputs!$D$24*F266*1</f>
        <v>2008.06630993983</v>
      </c>
      <c r="G279" s="118" t="n">
        <f aca="false">G276*Inputs!$D$24*G266*1</f>
        <v>2312.59300579953</v>
      </c>
      <c r="H279" s="118" t="n">
        <f aca="false">H276*Inputs!$D$24*H266*1</f>
        <v>2637.96529310601</v>
      </c>
      <c r="I279" s="118" t="n">
        <f aca="false">I276*Inputs!$D$24*I266*1</f>
        <v>2983.51611293297</v>
      </c>
      <c r="J279" s="118" t="n">
        <f aca="false">J276*Inputs!$D$24*J266*1</f>
        <v>3348.59975223975</v>
      </c>
      <c r="K279" s="118" t="n">
        <f aca="false">K276*Inputs!$D$24*K266*1</f>
        <v>3717.29593794585</v>
      </c>
      <c r="L279" s="118" t="n">
        <f aca="false">L276*Inputs!$D$24*L266*1</f>
        <v>4074.19384570936</v>
      </c>
      <c r="M279" s="118" t="n">
        <f aca="false">M276*Inputs!$D$24*M266*1</f>
        <v>4419.67102042444</v>
      </c>
      <c r="N279" s="118" t="n">
        <f aca="false">N276*Inputs!$D$24*N266*1</f>
        <v>4125.07118031656</v>
      </c>
      <c r="O279" s="118" t="n">
        <f aca="false">O276*Inputs!$D$24*O266*1</f>
        <v>4384.97930254643</v>
      </c>
      <c r="P279" s="118" t="n">
        <f aca="false">P276*Inputs!$D$24*P266*1</f>
        <v>4645.21036486494</v>
      </c>
      <c r="Q279" s="118" t="n">
        <f aca="false">Q276*Inputs!$D$24*Q266*1</f>
        <v>5640.51249736545</v>
      </c>
      <c r="R279" s="118" t="n">
        <f aca="false">R276*Inputs!$D$24*R266*1</f>
        <v>5955.70747522753</v>
      </c>
      <c r="S279" s="118" t="n">
        <f aca="false">S276*Inputs!$D$24*S266*1</f>
        <v>6260.81621379803</v>
      </c>
      <c r="T279" s="118" t="n">
        <f aca="false">T276*Inputs!$D$24*T266*1</f>
        <v>6556.16147273427</v>
      </c>
      <c r="U279" s="118" t="n">
        <f aca="false">U276*Inputs!$D$24*U266*1</f>
        <v>6842.05568338455</v>
      </c>
      <c r="V279" s="118" t="n">
        <f aca="false">V276*Inputs!$D$24*V266*1</f>
        <v>7118.80127929402</v>
      </c>
      <c r="W279" s="118" t="n">
        <f aca="false">W276*Inputs!$D$24*W266*1</f>
        <v>7386.69101613439</v>
      </c>
      <c r="X279" s="118" t="n">
        <f aca="false">X276*Inputs!$D$24*X266*1</f>
        <v>7646.00828139587</v>
      </c>
      <c r="Y279" s="118" t="n">
        <f aca="false">Y276*Inputs!$D$24*Y266*1</f>
        <v>7897.02739416898</v>
      </c>
      <c r="Z279" s="118" t="n">
        <f aca="false">Z276*Inputs!$D$24*Z266*1</f>
        <v>7074.09912174195</v>
      </c>
      <c r="AA279" s="118" t="n">
        <f aca="false">AA276*Inputs!$D$24*AA266*1</f>
        <v>7257.78234984621</v>
      </c>
      <c r="AB279" s="118" t="n">
        <f aca="false">AB276*Inputs!$D$24*AB266*1</f>
        <v>7445.09171465113</v>
      </c>
      <c r="AC279" s="118" t="n">
        <f aca="false">AC276*Inputs!$D$24*AC266*1</f>
        <v>8774.14536937967</v>
      </c>
      <c r="AD279" s="118" t="n">
        <f aca="false">AD276*Inputs!$D$24*AD266*1</f>
        <v>9010.8880953373</v>
      </c>
      <c r="AE279" s="118" t="n">
        <f aca="false">AE276*Inputs!$D$24*AE266*1</f>
        <v>9240.05505406428</v>
      </c>
      <c r="AF279" s="118" t="n">
        <f aca="false">AF276*Inputs!$D$24*AF266*1</f>
        <v>9461.888670112</v>
      </c>
      <c r="AG279" s="118" t="n">
        <f aca="false">AG276*Inputs!$D$24*AG266*1</f>
        <v>9676.6236104462</v>
      </c>
      <c r="AH279" s="118" t="n">
        <f aca="false">AH276*Inputs!$D$24*AH266*1</f>
        <v>9884.4870326897</v>
      </c>
      <c r="AI279" s="118" t="n">
        <f aca="false">AI276*Inputs!$D$24*AI266*1</f>
        <v>10085.6988254214</v>
      </c>
      <c r="AJ279" s="118" t="n">
        <f aca="false">AJ276*Inputs!$D$24*AJ266*1</f>
        <v>10280.4718407857</v>
      </c>
      <c r="AK279" s="118" t="n">
        <f aca="false">AK276*Inputs!$D$24*AK266*1</f>
        <v>10469.0121196583</v>
      </c>
      <c r="AL279" s="118" t="n">
        <f aca="false">AL276*Inputs!$D$24*AL266*1</f>
        <v>9261.5391470771</v>
      </c>
    </row>
    <row r="280" customFormat="false" ht="15" hidden="false" customHeight="false" outlineLevel="0" collapsed="false">
      <c r="A280" s="6" t="s">
        <v>404</v>
      </c>
      <c r="C280" s="118" t="n">
        <f aca="false">Inputs!$D$14*Inputs!$D$15*Inputs!$D$16*Inputs!$D$8*1</f>
        <v>24563</v>
      </c>
      <c r="D280" s="118" t="n">
        <f aca="false">Inputs!$D$14*Inputs!$D$15*Inputs!$D$16*Inputs!$D$8*1</f>
        <v>24563</v>
      </c>
      <c r="E280" s="118" t="n">
        <f aca="false">Inputs!$D$14*Inputs!$D$15*Inputs!$D$16*Inputs!$D$8*1</f>
        <v>24563</v>
      </c>
      <c r="F280" s="118" t="n">
        <f aca="false">Inputs!$D$14*Inputs!$D$15*Inputs!$D$16*Inputs!$D$8*1</f>
        <v>24563</v>
      </c>
      <c r="G280" s="118" t="n">
        <f aca="false">Inputs!$D$14*Inputs!$D$15*Inputs!$D$16*Inputs!$D$8*1</f>
        <v>24563</v>
      </c>
      <c r="H280" s="118" t="n">
        <f aca="false">Inputs!$D$14*Inputs!$D$15*Inputs!$D$16*Inputs!$D$8*1</f>
        <v>24563</v>
      </c>
      <c r="I280" s="118" t="n">
        <f aca="false">Inputs!$D$14*Inputs!$D$15*Inputs!$D$16*Inputs!$D$8*1</f>
        <v>24563</v>
      </c>
      <c r="J280" s="118" t="n">
        <f aca="false">Inputs!$D$14*Inputs!$D$15*Inputs!$D$16*Inputs!$D$8*1</f>
        <v>24563</v>
      </c>
      <c r="K280" s="118" t="n">
        <f aca="false">Inputs!$D$14*Inputs!$D$15*Inputs!$D$16*Inputs!$D$8*1</f>
        <v>24563</v>
      </c>
      <c r="L280" s="118" t="n">
        <f aca="false">Inputs!$D$14*Inputs!$D$15*Inputs!$D$16*Inputs!$D$8*1</f>
        <v>24563</v>
      </c>
      <c r="M280" s="118" t="n">
        <f aca="false">Inputs!$D$14*Inputs!$D$15*Inputs!$D$16*Inputs!$D$8*1</f>
        <v>24563</v>
      </c>
      <c r="N280" s="118" t="n">
        <f aca="false">Inputs!$D$14*Inputs!$D$15*Inputs!$D$16*Inputs!$D$8*1</f>
        <v>24563</v>
      </c>
      <c r="O280" s="118" t="n">
        <f aca="false">Inputs!$D$14*Inputs!$D$15*Inputs!$D$16*Inputs!$D$8*1</f>
        <v>24563</v>
      </c>
      <c r="P280" s="118" t="n">
        <f aca="false">Inputs!$D$14*Inputs!$D$15*Inputs!$D$16*Inputs!$D$8*1</f>
        <v>24563</v>
      </c>
      <c r="Q280" s="118" t="n">
        <f aca="false">Inputs!$D$14*Inputs!$D$15*Inputs!$D$16*Inputs!$D$8*1</f>
        <v>24563</v>
      </c>
      <c r="R280" s="118" t="n">
        <f aca="false">Inputs!$D$14*Inputs!$D$15*Inputs!$D$16*Inputs!$D$8*1</f>
        <v>24563</v>
      </c>
      <c r="S280" s="118" t="n">
        <f aca="false">Inputs!$D$14*Inputs!$D$15*Inputs!$D$16*Inputs!$D$8*1</f>
        <v>24563</v>
      </c>
      <c r="T280" s="118" t="n">
        <f aca="false">Inputs!$D$14*Inputs!$D$15*Inputs!$D$16*Inputs!$D$8*1</f>
        <v>24563</v>
      </c>
      <c r="U280" s="118" t="n">
        <f aca="false">Inputs!$D$14*Inputs!$D$15*Inputs!$D$16*Inputs!$D$8*1</f>
        <v>24563</v>
      </c>
      <c r="V280" s="118" t="n">
        <f aca="false">Inputs!$D$14*Inputs!$D$15*Inputs!$D$16*Inputs!$D$8*1</f>
        <v>24563</v>
      </c>
      <c r="W280" s="118" t="n">
        <f aca="false">Inputs!$D$14*Inputs!$D$15*Inputs!$D$16*Inputs!$D$8*1</f>
        <v>24563</v>
      </c>
      <c r="X280" s="118" t="n">
        <f aca="false">Inputs!$D$14*Inputs!$D$15*Inputs!$D$16*Inputs!$D$8*1</f>
        <v>24563</v>
      </c>
      <c r="Y280" s="118" t="n">
        <f aca="false">Inputs!$D$14*Inputs!$D$15*Inputs!$D$16*Inputs!$D$8*1</f>
        <v>24563</v>
      </c>
      <c r="Z280" s="118" t="n">
        <f aca="false">Inputs!$D$14*Inputs!$D$15*Inputs!$D$16*Inputs!$D$8*1</f>
        <v>24563</v>
      </c>
      <c r="AA280" s="118" t="n">
        <f aca="false">Inputs!$D$14*Inputs!$D$15*Inputs!$D$16*Inputs!$D$8*1</f>
        <v>24563</v>
      </c>
      <c r="AB280" s="118" t="n">
        <f aca="false">Inputs!$D$14*Inputs!$D$15*Inputs!$D$16*Inputs!$D$8*1</f>
        <v>24563</v>
      </c>
      <c r="AC280" s="118" t="n">
        <f aca="false">Inputs!$D$14*Inputs!$D$15*Inputs!$D$16*Inputs!$D$8*1</f>
        <v>24563</v>
      </c>
      <c r="AD280" s="118" t="n">
        <f aca="false">Inputs!$D$14*Inputs!$D$15*Inputs!$D$16*Inputs!$D$8*1</f>
        <v>24563</v>
      </c>
      <c r="AE280" s="118" t="n">
        <f aca="false">Inputs!$D$14*Inputs!$D$15*Inputs!$D$16*Inputs!$D$8*1</f>
        <v>24563</v>
      </c>
      <c r="AF280" s="118" t="n">
        <f aca="false">Inputs!$D$14*Inputs!$D$15*Inputs!$D$16*Inputs!$D$8*1</f>
        <v>24563</v>
      </c>
      <c r="AG280" s="118" t="n">
        <f aca="false">Inputs!$D$14*Inputs!$D$15*Inputs!$D$16*Inputs!$D$8*1</f>
        <v>24563</v>
      </c>
      <c r="AH280" s="118" t="n">
        <f aca="false">Inputs!$D$14*Inputs!$D$15*Inputs!$D$16*Inputs!$D$8*1</f>
        <v>24563</v>
      </c>
      <c r="AI280" s="118" t="n">
        <f aca="false">Inputs!$D$14*Inputs!$D$15*Inputs!$D$16*Inputs!$D$8*1</f>
        <v>24563</v>
      </c>
      <c r="AJ280" s="118" t="n">
        <f aca="false">Inputs!$D$14*Inputs!$D$15*Inputs!$D$16*Inputs!$D$8*1</f>
        <v>24563</v>
      </c>
      <c r="AK280" s="118" t="n">
        <f aca="false">Inputs!$D$14*Inputs!$D$15*Inputs!$D$16*Inputs!$D$8*1</f>
        <v>24563</v>
      </c>
      <c r="AL280" s="118" t="n">
        <f aca="false">Inputs!$D$14*Inputs!$D$15*Inputs!$D$16*Inputs!$D$8*1</f>
        <v>24563</v>
      </c>
    </row>
    <row r="281" customFormat="false" ht="15" hidden="false" customHeight="false" outlineLevel="0" collapsed="false">
      <c r="A281" s="39" t="s">
        <v>405</v>
      </c>
      <c r="C281" s="76" t="n">
        <f aca="false">MIN(1,C280/MAX(1,C267+C279))</f>
        <v>1</v>
      </c>
      <c r="D281" s="76" t="n">
        <f aca="false">MIN(1,D280/MAX(1,D267+D279))</f>
        <v>1</v>
      </c>
      <c r="E281" s="76" t="n">
        <f aca="false">MIN(1,E280/MAX(1,E267+E279))</f>
        <v>1</v>
      </c>
      <c r="F281" s="76" t="n">
        <f aca="false">MIN(1,F280/MAX(1,F267+F279))</f>
        <v>1</v>
      </c>
      <c r="G281" s="76" t="n">
        <f aca="false">MIN(1,G280/MAX(1,G267+G279))</f>
        <v>1</v>
      </c>
      <c r="H281" s="76" t="n">
        <f aca="false">MIN(1,H280/MAX(1,H267+H279))</f>
        <v>1</v>
      </c>
      <c r="I281" s="76" t="n">
        <f aca="false">MIN(1,I280/MAX(1,I267+I279))</f>
        <v>1</v>
      </c>
      <c r="J281" s="76" t="n">
        <f aca="false">MIN(1,J280/MAX(1,J267+J279))</f>
        <v>1</v>
      </c>
      <c r="K281" s="76" t="n">
        <f aca="false">MIN(1,K280/MAX(1,K267+K279))</f>
        <v>1</v>
      </c>
      <c r="L281" s="76" t="n">
        <f aca="false">MIN(1,L280/MAX(1,L267+L279))</f>
        <v>1</v>
      </c>
      <c r="M281" s="76" t="n">
        <f aca="false">MIN(1,M280/MAX(1,M267+M279))</f>
        <v>1</v>
      </c>
      <c r="N281" s="76" t="n">
        <f aca="false">MIN(1,N280/MAX(1,N267+N279))</f>
        <v>1</v>
      </c>
      <c r="O281" s="76" t="n">
        <f aca="false">MIN(1,O280/MAX(1,O267+O279))</f>
        <v>1</v>
      </c>
      <c r="P281" s="76" t="n">
        <f aca="false">MIN(1,P280/MAX(1,P267+P279))</f>
        <v>1</v>
      </c>
      <c r="Q281" s="76" t="n">
        <f aca="false">MIN(1,Q280/MAX(1,Q267+Q279))</f>
        <v>1</v>
      </c>
      <c r="R281" s="76" t="n">
        <f aca="false">MIN(1,R280/MAX(1,R267+R279))</f>
        <v>1</v>
      </c>
      <c r="S281" s="76" t="n">
        <f aca="false">MIN(1,S280/MAX(1,S267+S279))</f>
        <v>1</v>
      </c>
      <c r="T281" s="76" t="n">
        <f aca="false">MIN(1,T280/MAX(1,T267+T279))</f>
        <v>1</v>
      </c>
      <c r="U281" s="76" t="n">
        <f aca="false">MIN(1,U280/MAX(1,U267+U279))</f>
        <v>1</v>
      </c>
      <c r="V281" s="76" t="n">
        <f aca="false">MIN(1,V280/MAX(1,V267+V279))</f>
        <v>1</v>
      </c>
      <c r="W281" s="76" t="n">
        <f aca="false">MIN(1,W280/MAX(1,W267+W279))</f>
        <v>1</v>
      </c>
      <c r="X281" s="76" t="n">
        <f aca="false">MIN(1,X280/MAX(1,X267+X279))</f>
        <v>1</v>
      </c>
      <c r="Y281" s="76" t="n">
        <f aca="false">MIN(1,Y280/MAX(1,Y267+Y279))</f>
        <v>1</v>
      </c>
      <c r="Z281" s="76" t="n">
        <f aca="false">MIN(1,Z280/MAX(1,Z267+Z279))</f>
        <v>1</v>
      </c>
      <c r="AA281" s="76" t="n">
        <f aca="false">MIN(1,AA280/MAX(1,AA267+AA279))</f>
        <v>1</v>
      </c>
      <c r="AB281" s="76" t="n">
        <f aca="false">MIN(1,AB280/MAX(1,AB267+AB279))</f>
        <v>1</v>
      </c>
      <c r="AC281" s="76" t="n">
        <f aca="false">MIN(1,AC280/MAX(1,AC267+AC279))</f>
        <v>1</v>
      </c>
      <c r="AD281" s="76" t="n">
        <f aca="false">MIN(1,AD280/MAX(1,AD267+AD279))</f>
        <v>1</v>
      </c>
      <c r="AE281" s="76" t="n">
        <f aca="false">MIN(1,AE280/MAX(1,AE267+AE279))</f>
        <v>1</v>
      </c>
      <c r="AF281" s="76" t="n">
        <f aca="false">MIN(1,AF280/MAX(1,AF267+AF279))</f>
        <v>1</v>
      </c>
      <c r="AG281" s="76" t="n">
        <f aca="false">MIN(1,AG280/MAX(1,AG267+AG279))</f>
        <v>1</v>
      </c>
      <c r="AH281" s="76" t="n">
        <f aca="false">MIN(1,AH280/MAX(1,AH267+AH279))</f>
        <v>1</v>
      </c>
      <c r="AI281" s="76" t="n">
        <f aca="false">MIN(1,AI280/MAX(1,AI267+AI279))</f>
        <v>1</v>
      </c>
      <c r="AJ281" s="76" t="n">
        <f aca="false">MIN(1,AJ280/MAX(1,AJ267+AJ279))</f>
        <v>1</v>
      </c>
      <c r="AK281" s="76" t="n">
        <f aca="false">MIN(1,AK280/MAX(1,AK267+AK279))</f>
        <v>1</v>
      </c>
      <c r="AL281" s="76" t="n">
        <f aca="false">MIN(1,AL280/MAX(1,AL267+AL279))</f>
        <v>1</v>
      </c>
    </row>
    <row r="282" customFormat="false" ht="15" hidden="false" customHeight="false" outlineLevel="0" collapsed="false">
      <c r="A282" s="6" t="s">
        <v>236</v>
      </c>
      <c r="C282" s="118" t="n">
        <f aca="false">C267*C281</f>
        <v>4019.4</v>
      </c>
      <c r="D282" s="118" t="n">
        <f aca="false">D267*D281</f>
        <v>4489.2</v>
      </c>
      <c r="E282" s="118" t="n">
        <f aca="false">E267*E281</f>
        <v>5693.66666666667</v>
      </c>
      <c r="F282" s="118" t="n">
        <f aca="false">F267*F281</f>
        <v>6233.06666666667</v>
      </c>
      <c r="G282" s="118" t="n">
        <f aca="false">G267*G281</f>
        <v>6772.46666666667</v>
      </c>
      <c r="H282" s="118" t="n">
        <f aca="false">H267*H281</f>
        <v>7311.86666666667</v>
      </c>
      <c r="I282" s="118" t="n">
        <f aca="false">I267*I281</f>
        <v>7851.26666666667</v>
      </c>
      <c r="J282" s="118" t="n">
        <f aca="false">J267*J281</f>
        <v>8390.66666666667</v>
      </c>
      <c r="K282" s="118" t="n">
        <f aca="false">K267*K281</f>
        <v>8390.66666666667</v>
      </c>
      <c r="L282" s="118" t="n">
        <f aca="false">L267*L281</f>
        <v>8390.66666666667</v>
      </c>
      <c r="M282" s="118" t="n">
        <f aca="false">M267*M281</f>
        <v>8390.66666666667</v>
      </c>
      <c r="N282" s="118" t="n">
        <f aca="false">N267*N281</f>
        <v>7308</v>
      </c>
      <c r="O282" s="118" t="n">
        <f aca="false">O267*O281</f>
        <v>7308</v>
      </c>
      <c r="P282" s="118" t="n">
        <f aca="false">P267*P281</f>
        <v>7308</v>
      </c>
      <c r="Q282" s="118" t="n">
        <f aca="false">Q267*Q281</f>
        <v>8390.66666666667</v>
      </c>
      <c r="R282" s="118" t="n">
        <f aca="false">R267*R281</f>
        <v>8390.66666666667</v>
      </c>
      <c r="S282" s="118" t="n">
        <f aca="false">S267*S281</f>
        <v>8390.66666666667</v>
      </c>
      <c r="T282" s="118" t="n">
        <f aca="false">T267*T281</f>
        <v>8390.66666666667</v>
      </c>
      <c r="U282" s="118" t="n">
        <f aca="false">U267*U281</f>
        <v>8390.66666666667</v>
      </c>
      <c r="V282" s="118" t="n">
        <f aca="false">V267*V281</f>
        <v>8390.66666666667</v>
      </c>
      <c r="W282" s="118" t="n">
        <f aca="false">W267*W281</f>
        <v>8390.66666666667</v>
      </c>
      <c r="X282" s="118" t="n">
        <f aca="false">X267*X281</f>
        <v>8390.66666666667</v>
      </c>
      <c r="Y282" s="118" t="n">
        <f aca="false">Y267*Y281</f>
        <v>8390.66666666667</v>
      </c>
      <c r="Z282" s="118" t="n">
        <f aca="false">Z267*Z281</f>
        <v>7308</v>
      </c>
      <c r="AA282" s="118" t="n">
        <f aca="false">AA267*AA281</f>
        <v>7308</v>
      </c>
      <c r="AB282" s="118" t="n">
        <f aca="false">AB267*AB281</f>
        <v>7308</v>
      </c>
      <c r="AC282" s="118" t="n">
        <f aca="false">AC267*AC281</f>
        <v>8390.66666666667</v>
      </c>
      <c r="AD282" s="118" t="n">
        <f aca="false">AD267*AD281</f>
        <v>8390.66666666667</v>
      </c>
      <c r="AE282" s="118" t="n">
        <f aca="false">AE267*AE281</f>
        <v>8390.66666666667</v>
      </c>
      <c r="AF282" s="118" t="n">
        <f aca="false">AF267*AF281</f>
        <v>8390.66666666667</v>
      </c>
      <c r="AG282" s="118" t="n">
        <f aca="false">AG267*AG281</f>
        <v>8390.66666666667</v>
      </c>
      <c r="AH282" s="118" t="n">
        <f aca="false">AH267*AH281</f>
        <v>8390.66666666667</v>
      </c>
      <c r="AI282" s="118" t="n">
        <f aca="false">AI267*AI281</f>
        <v>8390.66666666667</v>
      </c>
      <c r="AJ282" s="118" t="n">
        <f aca="false">AJ267*AJ281</f>
        <v>8390.66666666667</v>
      </c>
      <c r="AK282" s="118" t="n">
        <f aca="false">AK267*AK281</f>
        <v>8390.66666666667</v>
      </c>
      <c r="AL282" s="118" t="n">
        <f aca="false">AL267*AL281</f>
        <v>7308</v>
      </c>
    </row>
    <row r="283" customFormat="false" ht="15" hidden="false" customHeight="false" outlineLevel="0" collapsed="false">
      <c r="A283" s="6" t="s">
        <v>237</v>
      </c>
      <c r="C283" s="118" t="n">
        <f aca="false">C279*C281</f>
        <v>1097.27136</v>
      </c>
      <c r="D283" s="118" t="n">
        <f aca="false">D279*D281</f>
        <v>1285.27680219429</v>
      </c>
      <c r="E283" s="118" t="n">
        <f aca="false">E279*E281</f>
        <v>1725.07431598795</v>
      </c>
      <c r="F283" s="118" t="n">
        <f aca="false">F279*F281</f>
        <v>2008.06630993983</v>
      </c>
      <c r="G283" s="118" t="n">
        <f aca="false">G279*G281</f>
        <v>2312.59300579953</v>
      </c>
      <c r="H283" s="118" t="n">
        <f aca="false">H279*H281</f>
        <v>2637.96529310601</v>
      </c>
      <c r="I283" s="118" t="n">
        <f aca="false">I279*I281</f>
        <v>2983.51611293297</v>
      </c>
      <c r="J283" s="118" t="n">
        <f aca="false">J279*J281</f>
        <v>3348.59975223975</v>
      </c>
      <c r="K283" s="118" t="n">
        <f aca="false">K279*K281</f>
        <v>3717.29593794585</v>
      </c>
      <c r="L283" s="118" t="n">
        <f aca="false">L279*L281</f>
        <v>4074.19384570936</v>
      </c>
      <c r="M283" s="118" t="n">
        <f aca="false">M279*M281</f>
        <v>4419.67102042444</v>
      </c>
      <c r="N283" s="118" t="n">
        <f aca="false">N279*N281</f>
        <v>4125.07118031656</v>
      </c>
      <c r="O283" s="118" t="n">
        <f aca="false">O279*O281</f>
        <v>4384.97930254643</v>
      </c>
      <c r="P283" s="118" t="n">
        <f aca="false">P279*P281</f>
        <v>4645.21036486494</v>
      </c>
      <c r="Q283" s="118" t="n">
        <f aca="false">Q279*Q281</f>
        <v>5640.51249736545</v>
      </c>
      <c r="R283" s="118" t="n">
        <f aca="false">R279*R281</f>
        <v>5955.70747522753</v>
      </c>
      <c r="S283" s="118" t="n">
        <f aca="false">S279*S281</f>
        <v>6260.81621379803</v>
      </c>
      <c r="T283" s="118" t="n">
        <f aca="false">T279*T281</f>
        <v>6556.16147273427</v>
      </c>
      <c r="U283" s="118" t="n">
        <f aca="false">U279*U281</f>
        <v>6842.05568338455</v>
      </c>
      <c r="V283" s="118" t="n">
        <f aca="false">V279*V281</f>
        <v>7118.80127929402</v>
      </c>
      <c r="W283" s="118" t="n">
        <f aca="false">W279*W281</f>
        <v>7386.69101613439</v>
      </c>
      <c r="X283" s="118" t="n">
        <f aca="false">X279*X281</f>
        <v>7646.00828139587</v>
      </c>
      <c r="Y283" s="118" t="n">
        <f aca="false">Y279*Y281</f>
        <v>7897.02739416898</v>
      </c>
      <c r="Z283" s="118" t="n">
        <f aca="false">Z279*Z281</f>
        <v>7074.09912174195</v>
      </c>
      <c r="AA283" s="118" t="n">
        <f aca="false">AA279*AA281</f>
        <v>7257.78234984621</v>
      </c>
      <c r="AB283" s="118" t="n">
        <f aca="false">AB279*AB281</f>
        <v>7445.09171465113</v>
      </c>
      <c r="AC283" s="118" t="n">
        <f aca="false">AC279*AC281</f>
        <v>8774.14536937967</v>
      </c>
      <c r="AD283" s="118" t="n">
        <f aca="false">AD279*AD281</f>
        <v>9010.8880953373</v>
      </c>
      <c r="AE283" s="118" t="n">
        <f aca="false">AE279*AE281</f>
        <v>9240.05505406428</v>
      </c>
      <c r="AF283" s="118" t="n">
        <f aca="false">AF279*AF281</f>
        <v>9461.888670112</v>
      </c>
      <c r="AG283" s="118" t="n">
        <f aca="false">AG279*AG281</f>
        <v>9676.6236104462</v>
      </c>
      <c r="AH283" s="118" t="n">
        <f aca="false">AH279*AH281</f>
        <v>9884.4870326897</v>
      </c>
      <c r="AI283" s="118" t="n">
        <f aca="false">AI279*AI281</f>
        <v>10085.6988254214</v>
      </c>
      <c r="AJ283" s="118" t="n">
        <f aca="false">AJ279*AJ281</f>
        <v>10280.4718407857</v>
      </c>
      <c r="AK283" s="118" t="n">
        <f aca="false">AK279*AK281</f>
        <v>10469.0121196583</v>
      </c>
      <c r="AL283" s="118" t="n">
        <f aca="false">AL279*AL281</f>
        <v>9261.5391470771</v>
      </c>
    </row>
    <row r="284" customFormat="false" ht="15" hidden="false" customHeight="false" outlineLevel="0" collapsed="false">
      <c r="A284" s="4" t="s">
        <v>406</v>
      </c>
      <c r="C284" s="121" t="n">
        <f aca="false">C282+C283</f>
        <v>5116.67136</v>
      </c>
      <c r="D284" s="121" t="n">
        <f aca="false">D282+D283</f>
        <v>5774.47680219429</v>
      </c>
      <c r="E284" s="121" t="n">
        <f aca="false">E282+E283</f>
        <v>7418.74098265462</v>
      </c>
      <c r="F284" s="121" t="n">
        <f aca="false">F282+F283</f>
        <v>8241.1329766065</v>
      </c>
      <c r="G284" s="121" t="n">
        <f aca="false">G282+G283</f>
        <v>9085.0596724662</v>
      </c>
      <c r="H284" s="121" t="n">
        <f aca="false">H282+H283</f>
        <v>9949.83195977268</v>
      </c>
      <c r="I284" s="121" t="n">
        <f aca="false">I282+I283</f>
        <v>10834.7827795996</v>
      </c>
      <c r="J284" s="121" t="n">
        <f aca="false">J282+J283</f>
        <v>11739.2664189064</v>
      </c>
      <c r="K284" s="121" t="n">
        <f aca="false">K282+K283</f>
        <v>12107.9626046125</v>
      </c>
      <c r="L284" s="121" t="n">
        <f aca="false">L282+L283</f>
        <v>12464.860512376</v>
      </c>
      <c r="M284" s="121" t="n">
        <f aca="false">M282+M283</f>
        <v>12810.3376870911</v>
      </c>
      <c r="N284" s="121" t="n">
        <f aca="false">N282+N283</f>
        <v>11433.0711803166</v>
      </c>
      <c r="O284" s="121" t="n">
        <f aca="false">O282+O283</f>
        <v>11692.9793025464</v>
      </c>
      <c r="P284" s="121" t="n">
        <f aca="false">P282+P283</f>
        <v>11953.2103648649</v>
      </c>
      <c r="Q284" s="121" t="n">
        <f aca="false">Q282+Q283</f>
        <v>14031.1791640321</v>
      </c>
      <c r="R284" s="121" t="n">
        <f aca="false">R282+R283</f>
        <v>14346.3741418942</v>
      </c>
      <c r="S284" s="121" t="n">
        <f aca="false">S282+S283</f>
        <v>14651.4828804647</v>
      </c>
      <c r="T284" s="121" t="n">
        <f aca="false">T282+T283</f>
        <v>14946.8281394009</v>
      </c>
      <c r="U284" s="121" t="n">
        <f aca="false">U282+U283</f>
        <v>15232.7223500512</v>
      </c>
      <c r="V284" s="121" t="n">
        <f aca="false">V282+V283</f>
        <v>15509.4679459607</v>
      </c>
      <c r="W284" s="121" t="n">
        <f aca="false">W282+W283</f>
        <v>15777.3576828011</v>
      </c>
      <c r="X284" s="121" t="n">
        <f aca="false">X282+X283</f>
        <v>16036.6749480625</v>
      </c>
      <c r="Y284" s="121" t="n">
        <f aca="false">Y282+Y283</f>
        <v>16287.6940608356</v>
      </c>
      <c r="Z284" s="121" t="n">
        <f aca="false">Z282+Z283</f>
        <v>14382.099121742</v>
      </c>
      <c r="AA284" s="121" t="n">
        <f aca="false">AA282+AA283</f>
        <v>14565.7823498462</v>
      </c>
      <c r="AB284" s="121" t="n">
        <f aca="false">AB282+AB283</f>
        <v>14753.0917146511</v>
      </c>
      <c r="AC284" s="121" t="n">
        <f aca="false">AC282+AC283</f>
        <v>17164.8120360463</v>
      </c>
      <c r="AD284" s="121" t="n">
        <f aca="false">AD282+AD283</f>
        <v>17401.554762004</v>
      </c>
      <c r="AE284" s="121" t="n">
        <f aca="false">AE282+AE283</f>
        <v>17630.721720731</v>
      </c>
      <c r="AF284" s="121" t="n">
        <f aca="false">AF282+AF283</f>
        <v>17852.5553367787</v>
      </c>
      <c r="AG284" s="121" t="n">
        <f aca="false">AG282+AG283</f>
        <v>18067.2902771129</v>
      </c>
      <c r="AH284" s="121" t="n">
        <f aca="false">AH282+AH283</f>
        <v>18275.1536993564</v>
      </c>
      <c r="AI284" s="121" t="n">
        <f aca="false">AI282+AI283</f>
        <v>18476.3654920881</v>
      </c>
      <c r="AJ284" s="121" t="n">
        <f aca="false">AJ282+AJ283</f>
        <v>18671.1385074524</v>
      </c>
      <c r="AK284" s="121" t="n">
        <f aca="false">AK282+AK283</f>
        <v>18859.678786325</v>
      </c>
      <c r="AL284" s="121" t="n">
        <f aca="false">AL282+AL283</f>
        <v>16569.5391470771</v>
      </c>
    </row>
    <row r="285" customFormat="false" ht="15" hidden="false" customHeight="false" outlineLevel="0" collapsed="false">
      <c r="A285" s="6" t="s">
        <v>240</v>
      </c>
      <c r="C285" s="118" t="n">
        <f aca="false">C267+C279-C284</f>
        <v>0</v>
      </c>
      <c r="D285" s="118" t="n">
        <f aca="false">D267+D279-D284</f>
        <v>0</v>
      </c>
      <c r="E285" s="118" t="n">
        <f aca="false">E267+E279-E284</f>
        <v>0</v>
      </c>
      <c r="F285" s="118" t="n">
        <f aca="false">F267+F279-F284</f>
        <v>0</v>
      </c>
      <c r="G285" s="118" t="n">
        <f aca="false">G267+G279-G284</f>
        <v>0</v>
      </c>
      <c r="H285" s="118" t="n">
        <f aca="false">H267+H279-H284</f>
        <v>0</v>
      </c>
      <c r="I285" s="118" t="n">
        <f aca="false">I267+I279-I284</f>
        <v>0</v>
      </c>
      <c r="J285" s="118" t="n">
        <f aca="false">J267+J279-J284</f>
        <v>0</v>
      </c>
      <c r="K285" s="118" t="n">
        <f aca="false">K267+K279-K284</f>
        <v>0</v>
      </c>
      <c r="L285" s="118" t="n">
        <f aca="false">L267+L279-L284</f>
        <v>0</v>
      </c>
      <c r="M285" s="118" t="n">
        <f aca="false">M267+M279-M284</f>
        <v>0</v>
      </c>
      <c r="N285" s="118" t="n">
        <f aca="false">N267+N279-N284</f>
        <v>0</v>
      </c>
      <c r="O285" s="118" t="n">
        <f aca="false">O267+O279-O284</f>
        <v>0</v>
      </c>
      <c r="P285" s="118" t="n">
        <f aca="false">P267+P279-P284</f>
        <v>0</v>
      </c>
      <c r="Q285" s="118" t="n">
        <f aca="false">Q267+Q279-Q284</f>
        <v>0</v>
      </c>
      <c r="R285" s="118" t="n">
        <f aca="false">R267+R279-R284</f>
        <v>0</v>
      </c>
      <c r="S285" s="118" t="n">
        <f aca="false">S267+S279-S284</f>
        <v>0</v>
      </c>
      <c r="T285" s="118" t="n">
        <f aca="false">T267+T279-T284</f>
        <v>0</v>
      </c>
      <c r="U285" s="118" t="n">
        <f aca="false">U267+U279-U284</f>
        <v>0</v>
      </c>
      <c r="V285" s="118" t="n">
        <f aca="false">V267+V279-V284</f>
        <v>0</v>
      </c>
      <c r="W285" s="118" t="n">
        <f aca="false">W267+W279-W284</f>
        <v>0</v>
      </c>
      <c r="X285" s="118" t="n">
        <f aca="false">X267+X279-X284</f>
        <v>0</v>
      </c>
      <c r="Y285" s="118" t="n">
        <f aca="false">Y267+Y279-Y284</f>
        <v>0</v>
      </c>
      <c r="Z285" s="118" t="n">
        <f aca="false">Z267+Z279-Z284</f>
        <v>0</v>
      </c>
      <c r="AA285" s="118" t="n">
        <f aca="false">AA267+AA279-AA284</f>
        <v>0</v>
      </c>
      <c r="AB285" s="118" t="n">
        <f aca="false">AB267+AB279-AB284</f>
        <v>0</v>
      </c>
      <c r="AC285" s="118" t="n">
        <f aca="false">AC267+AC279-AC284</f>
        <v>0</v>
      </c>
      <c r="AD285" s="118" t="n">
        <f aca="false">AD267+AD279-AD284</f>
        <v>0</v>
      </c>
      <c r="AE285" s="118" t="n">
        <f aca="false">AE267+AE279-AE284</f>
        <v>0</v>
      </c>
      <c r="AF285" s="118" t="n">
        <f aca="false">AF267+AF279-AF284</f>
        <v>0</v>
      </c>
      <c r="AG285" s="118" t="n">
        <f aca="false">AG267+AG279-AG284</f>
        <v>0</v>
      </c>
      <c r="AH285" s="118" t="n">
        <f aca="false">AH267+AH279-AH284</f>
        <v>0</v>
      </c>
      <c r="AI285" s="118" t="n">
        <f aca="false">AI267+AI279-AI284</f>
        <v>0</v>
      </c>
      <c r="AJ285" s="118" t="n">
        <f aca="false">AJ267+AJ279-AJ284</f>
        <v>0</v>
      </c>
      <c r="AK285" s="118" t="n">
        <f aca="false">AK267+AK279-AK284</f>
        <v>0</v>
      </c>
      <c r="AL285" s="118" t="n">
        <f aca="false">AL267+AL279-AL284</f>
        <v>0</v>
      </c>
    </row>
    <row r="287" customFormat="false" ht="15.75" hidden="false" customHeight="true" outlineLevel="0" collapsed="false">
      <c r="A287" s="7" t="s">
        <v>44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customFormat="false" ht="15" hidden="false" customHeight="false" outlineLevel="0" collapsed="false">
      <c r="A288" s="6" t="s">
        <v>407</v>
      </c>
      <c r="C288" s="122" t="n">
        <f aca="false">Inputs!$D$27*(1+Inputs!$D$30)^(C$261-1)</f>
        <v>14</v>
      </c>
      <c r="D288" s="122" t="n">
        <f aca="false">Inputs!$D$27*(1+Inputs!$D$30)^(D$261-1)</f>
        <v>14</v>
      </c>
      <c r="E288" s="122" t="n">
        <f aca="false">Inputs!$D$27*(1+Inputs!$D$30)^(E$261-1)</f>
        <v>14</v>
      </c>
      <c r="F288" s="122" t="n">
        <f aca="false">Inputs!$D$27*(1+Inputs!$D$30)^(F$261-1)</f>
        <v>14</v>
      </c>
      <c r="G288" s="122" t="n">
        <f aca="false">Inputs!$D$27*(1+Inputs!$D$30)^(G$261-1)</f>
        <v>14</v>
      </c>
      <c r="H288" s="122" t="n">
        <f aca="false">Inputs!$D$27*(1+Inputs!$D$30)^(H$261-1)</f>
        <v>14</v>
      </c>
      <c r="I288" s="122" t="n">
        <f aca="false">Inputs!$D$27*(1+Inputs!$D$30)^(I$261-1)</f>
        <v>14</v>
      </c>
      <c r="J288" s="122" t="n">
        <f aca="false">Inputs!$D$27*(1+Inputs!$D$30)^(J$261-1)</f>
        <v>14</v>
      </c>
      <c r="K288" s="122" t="n">
        <f aca="false">Inputs!$D$27*(1+Inputs!$D$30)^(K$261-1)</f>
        <v>14</v>
      </c>
      <c r="L288" s="122" t="n">
        <f aca="false">Inputs!$D$27*(1+Inputs!$D$30)^(L$261-1)</f>
        <v>14</v>
      </c>
      <c r="M288" s="122" t="n">
        <f aca="false">Inputs!$D$27*(1+Inputs!$D$30)^(M$261-1)</f>
        <v>14</v>
      </c>
      <c r="N288" s="122" t="n">
        <f aca="false">Inputs!$D$27*(1+Inputs!$D$30)^(N$261-1)</f>
        <v>14</v>
      </c>
      <c r="O288" s="122" t="n">
        <f aca="false">Inputs!$D$27*(1+Inputs!$D$30)^(O$261-1)</f>
        <v>14.42</v>
      </c>
      <c r="P288" s="122" t="n">
        <f aca="false">Inputs!$D$27*(1+Inputs!$D$30)^(P$261-1)</f>
        <v>14.42</v>
      </c>
      <c r="Q288" s="122" t="n">
        <f aca="false">Inputs!$D$27*(1+Inputs!$D$30)^(Q$261-1)</f>
        <v>14.42</v>
      </c>
      <c r="R288" s="122" t="n">
        <f aca="false">Inputs!$D$27*(1+Inputs!$D$30)^(R$261-1)</f>
        <v>14.42</v>
      </c>
      <c r="S288" s="122" t="n">
        <f aca="false">Inputs!$D$27*(1+Inputs!$D$30)^(S$261-1)</f>
        <v>14.42</v>
      </c>
      <c r="T288" s="122" t="n">
        <f aca="false">Inputs!$D$27*(1+Inputs!$D$30)^(T$261-1)</f>
        <v>14.42</v>
      </c>
      <c r="U288" s="122" t="n">
        <f aca="false">Inputs!$D$27*(1+Inputs!$D$30)^(U$261-1)</f>
        <v>14.42</v>
      </c>
      <c r="V288" s="122" t="n">
        <f aca="false">Inputs!$D$27*(1+Inputs!$D$30)^(V$261-1)</f>
        <v>14.42</v>
      </c>
      <c r="W288" s="122" t="n">
        <f aca="false">Inputs!$D$27*(1+Inputs!$D$30)^(W$261-1)</f>
        <v>14.42</v>
      </c>
      <c r="X288" s="122" t="n">
        <f aca="false">Inputs!$D$27*(1+Inputs!$D$30)^(X$261-1)</f>
        <v>14.42</v>
      </c>
      <c r="Y288" s="122" t="n">
        <f aca="false">Inputs!$D$27*(1+Inputs!$D$30)^(Y$261-1)</f>
        <v>14.42</v>
      </c>
      <c r="Z288" s="122" t="n">
        <f aca="false">Inputs!$D$27*(1+Inputs!$D$30)^(Z$261-1)</f>
        <v>14.42</v>
      </c>
      <c r="AA288" s="122" t="n">
        <f aca="false">Inputs!$D$27*(1+Inputs!$D$30)^(AA$261-1)</f>
        <v>14.8526</v>
      </c>
      <c r="AB288" s="122" t="n">
        <f aca="false">Inputs!$D$27*(1+Inputs!$D$30)^(AB$261-1)</f>
        <v>14.8526</v>
      </c>
      <c r="AC288" s="122" t="n">
        <f aca="false">Inputs!$D$27*(1+Inputs!$D$30)^(AC$261-1)</f>
        <v>14.8526</v>
      </c>
      <c r="AD288" s="122" t="n">
        <f aca="false">Inputs!$D$27*(1+Inputs!$D$30)^(AD$261-1)</f>
        <v>14.8526</v>
      </c>
      <c r="AE288" s="122" t="n">
        <f aca="false">Inputs!$D$27*(1+Inputs!$D$30)^(AE$261-1)</f>
        <v>14.8526</v>
      </c>
      <c r="AF288" s="122" t="n">
        <f aca="false">Inputs!$D$27*(1+Inputs!$D$30)^(AF$261-1)</f>
        <v>14.8526</v>
      </c>
      <c r="AG288" s="122" t="n">
        <f aca="false">Inputs!$D$27*(1+Inputs!$D$30)^(AG$261-1)</f>
        <v>14.8526</v>
      </c>
      <c r="AH288" s="122" t="n">
        <f aca="false">Inputs!$D$27*(1+Inputs!$D$30)^(AH$261-1)</f>
        <v>14.8526</v>
      </c>
      <c r="AI288" s="122" t="n">
        <f aca="false">Inputs!$D$27*(1+Inputs!$D$30)^(AI$261-1)</f>
        <v>14.8526</v>
      </c>
      <c r="AJ288" s="122" t="n">
        <f aca="false">Inputs!$D$27*(1+Inputs!$D$30)^(AJ$261-1)</f>
        <v>14.8526</v>
      </c>
      <c r="AK288" s="122" t="n">
        <f aca="false">Inputs!$D$27*(1+Inputs!$D$30)^(AK$261-1)</f>
        <v>14.8526</v>
      </c>
      <c r="AL288" s="122" t="n">
        <f aca="false">Inputs!$D$27*(1+Inputs!$D$30)^(AL$261-1)</f>
        <v>14.8526</v>
      </c>
    </row>
    <row r="289" customFormat="false" ht="15" hidden="false" customHeight="false" outlineLevel="0" collapsed="false">
      <c r="A289" s="6" t="s">
        <v>408</v>
      </c>
      <c r="C289" s="122" t="n">
        <f aca="false">Inputs!$D$29*(1+Inputs!$D$30)^(C$261-1)</f>
        <v>38</v>
      </c>
      <c r="D289" s="122" t="n">
        <f aca="false">Inputs!$D$29*(1+Inputs!$D$30)^(D$261-1)</f>
        <v>38</v>
      </c>
      <c r="E289" s="122" t="n">
        <f aca="false">Inputs!$D$29*(1+Inputs!$D$30)^(E$261-1)</f>
        <v>38</v>
      </c>
      <c r="F289" s="122" t="n">
        <f aca="false">Inputs!$D$29*(1+Inputs!$D$30)^(F$261-1)</f>
        <v>38</v>
      </c>
      <c r="G289" s="122" t="n">
        <f aca="false">Inputs!$D$29*(1+Inputs!$D$30)^(G$261-1)</f>
        <v>38</v>
      </c>
      <c r="H289" s="122" t="n">
        <f aca="false">Inputs!$D$29*(1+Inputs!$D$30)^(H$261-1)</f>
        <v>38</v>
      </c>
      <c r="I289" s="122" t="n">
        <f aca="false">Inputs!$D$29*(1+Inputs!$D$30)^(I$261-1)</f>
        <v>38</v>
      </c>
      <c r="J289" s="122" t="n">
        <f aca="false">Inputs!$D$29*(1+Inputs!$D$30)^(J$261-1)</f>
        <v>38</v>
      </c>
      <c r="K289" s="122" t="n">
        <f aca="false">Inputs!$D$29*(1+Inputs!$D$30)^(K$261-1)</f>
        <v>38</v>
      </c>
      <c r="L289" s="122" t="n">
        <f aca="false">Inputs!$D$29*(1+Inputs!$D$30)^(L$261-1)</f>
        <v>38</v>
      </c>
      <c r="M289" s="122" t="n">
        <f aca="false">Inputs!$D$29*(1+Inputs!$D$30)^(M$261-1)</f>
        <v>38</v>
      </c>
      <c r="N289" s="122" t="n">
        <f aca="false">Inputs!$D$29*(1+Inputs!$D$30)^(N$261-1)</f>
        <v>38</v>
      </c>
      <c r="O289" s="122" t="n">
        <f aca="false">Inputs!$D$29*(1+Inputs!$D$30)^(O$261-1)</f>
        <v>39.14</v>
      </c>
      <c r="P289" s="122" t="n">
        <f aca="false">Inputs!$D$29*(1+Inputs!$D$30)^(P$261-1)</f>
        <v>39.14</v>
      </c>
      <c r="Q289" s="122" t="n">
        <f aca="false">Inputs!$D$29*(1+Inputs!$D$30)^(Q$261-1)</f>
        <v>39.14</v>
      </c>
      <c r="R289" s="122" t="n">
        <f aca="false">Inputs!$D$29*(1+Inputs!$D$30)^(R$261-1)</f>
        <v>39.14</v>
      </c>
      <c r="S289" s="122" t="n">
        <f aca="false">Inputs!$D$29*(1+Inputs!$D$30)^(S$261-1)</f>
        <v>39.14</v>
      </c>
      <c r="T289" s="122" t="n">
        <f aca="false">Inputs!$D$29*(1+Inputs!$D$30)^(T$261-1)</f>
        <v>39.14</v>
      </c>
      <c r="U289" s="122" t="n">
        <f aca="false">Inputs!$D$29*(1+Inputs!$D$30)^(U$261-1)</f>
        <v>39.14</v>
      </c>
      <c r="V289" s="122" t="n">
        <f aca="false">Inputs!$D$29*(1+Inputs!$D$30)^(V$261-1)</f>
        <v>39.14</v>
      </c>
      <c r="W289" s="122" t="n">
        <f aca="false">Inputs!$D$29*(1+Inputs!$D$30)^(W$261-1)</f>
        <v>39.14</v>
      </c>
      <c r="X289" s="122" t="n">
        <f aca="false">Inputs!$D$29*(1+Inputs!$D$30)^(X$261-1)</f>
        <v>39.14</v>
      </c>
      <c r="Y289" s="122" t="n">
        <f aca="false">Inputs!$D$29*(1+Inputs!$D$30)^(Y$261-1)</f>
        <v>39.14</v>
      </c>
      <c r="Z289" s="122" t="n">
        <f aca="false">Inputs!$D$29*(1+Inputs!$D$30)^(Z$261-1)</f>
        <v>39.14</v>
      </c>
      <c r="AA289" s="122" t="n">
        <f aca="false">Inputs!$D$29*(1+Inputs!$D$30)^(AA$261-1)</f>
        <v>40.3142</v>
      </c>
      <c r="AB289" s="122" t="n">
        <f aca="false">Inputs!$D$29*(1+Inputs!$D$30)^(AB$261-1)</f>
        <v>40.3142</v>
      </c>
      <c r="AC289" s="122" t="n">
        <f aca="false">Inputs!$D$29*(1+Inputs!$D$30)^(AC$261-1)</f>
        <v>40.3142</v>
      </c>
      <c r="AD289" s="122" t="n">
        <f aca="false">Inputs!$D$29*(1+Inputs!$D$30)^(AD$261-1)</f>
        <v>40.3142</v>
      </c>
      <c r="AE289" s="122" t="n">
        <f aca="false">Inputs!$D$29*(1+Inputs!$D$30)^(AE$261-1)</f>
        <v>40.3142</v>
      </c>
      <c r="AF289" s="122" t="n">
        <f aca="false">Inputs!$D$29*(1+Inputs!$D$30)^(AF$261-1)</f>
        <v>40.3142</v>
      </c>
      <c r="AG289" s="122" t="n">
        <f aca="false">Inputs!$D$29*(1+Inputs!$D$30)^(AG$261-1)</f>
        <v>40.3142</v>
      </c>
      <c r="AH289" s="122" t="n">
        <f aca="false">Inputs!$D$29*(1+Inputs!$D$30)^(AH$261-1)</f>
        <v>40.3142</v>
      </c>
      <c r="AI289" s="122" t="n">
        <f aca="false">Inputs!$D$29*(1+Inputs!$D$30)^(AI$261-1)</f>
        <v>40.3142</v>
      </c>
      <c r="AJ289" s="122" t="n">
        <f aca="false">Inputs!$D$29*(1+Inputs!$D$30)^(AJ$261-1)</f>
        <v>40.3142</v>
      </c>
      <c r="AK289" s="122" t="n">
        <f aca="false">Inputs!$D$29*(1+Inputs!$D$30)^(AK$261-1)</f>
        <v>40.3142</v>
      </c>
      <c r="AL289" s="122" t="n">
        <f aca="false">Inputs!$D$29*(1+Inputs!$D$30)^(AL$261-1)</f>
        <v>40.3142</v>
      </c>
    </row>
    <row r="290" customFormat="false" ht="15" hidden="false" customHeight="false" outlineLevel="0" collapsed="false">
      <c r="A290" s="6" t="s">
        <v>409</v>
      </c>
      <c r="C290" s="69" t="n">
        <f aca="false">C282*C288</f>
        <v>56271.6</v>
      </c>
      <c r="D290" s="69" t="n">
        <f aca="false">D282*D288</f>
        <v>62848.8</v>
      </c>
      <c r="E290" s="69" t="n">
        <f aca="false">E282*E288</f>
        <v>79711.3333333333</v>
      </c>
      <c r="F290" s="69" t="n">
        <f aca="false">F282*F288</f>
        <v>87262.9333333334</v>
      </c>
      <c r="G290" s="69" t="n">
        <f aca="false">G282*G288</f>
        <v>94814.5333333333</v>
      </c>
      <c r="H290" s="69" t="n">
        <f aca="false">H282*H288</f>
        <v>102366.133333333</v>
      </c>
      <c r="I290" s="69" t="n">
        <f aca="false">I282*I288</f>
        <v>109917.733333333</v>
      </c>
      <c r="J290" s="69" t="n">
        <f aca="false">J282*J288</f>
        <v>117469.333333333</v>
      </c>
      <c r="K290" s="69" t="n">
        <f aca="false">K282*K288</f>
        <v>117469.333333333</v>
      </c>
      <c r="L290" s="69" t="n">
        <f aca="false">L282*L288</f>
        <v>117469.333333333</v>
      </c>
      <c r="M290" s="69" t="n">
        <f aca="false">M282*M288</f>
        <v>117469.333333333</v>
      </c>
      <c r="N290" s="69" t="n">
        <f aca="false">N282*N288</f>
        <v>102312</v>
      </c>
      <c r="O290" s="69" t="n">
        <f aca="false">O282*O288</f>
        <v>105381.36</v>
      </c>
      <c r="P290" s="69" t="n">
        <f aca="false">P282*P288</f>
        <v>105381.36</v>
      </c>
      <c r="Q290" s="69" t="n">
        <f aca="false">Q282*Q288</f>
        <v>120993.413333333</v>
      </c>
      <c r="R290" s="69" t="n">
        <f aca="false">R282*R288</f>
        <v>120993.413333333</v>
      </c>
      <c r="S290" s="69" t="n">
        <f aca="false">S282*S288</f>
        <v>120993.413333333</v>
      </c>
      <c r="T290" s="69" t="n">
        <f aca="false">T282*T288</f>
        <v>120993.413333333</v>
      </c>
      <c r="U290" s="69" t="n">
        <f aca="false">U282*U288</f>
        <v>120993.413333333</v>
      </c>
      <c r="V290" s="69" t="n">
        <f aca="false">V282*V288</f>
        <v>120993.413333333</v>
      </c>
      <c r="W290" s="69" t="n">
        <f aca="false">W282*W288</f>
        <v>120993.413333333</v>
      </c>
      <c r="X290" s="69" t="n">
        <f aca="false">X282*X288</f>
        <v>120993.413333333</v>
      </c>
      <c r="Y290" s="69" t="n">
        <f aca="false">Y282*Y288</f>
        <v>120993.413333333</v>
      </c>
      <c r="Z290" s="69" t="n">
        <f aca="false">Z282*Z288</f>
        <v>105381.36</v>
      </c>
      <c r="AA290" s="69" t="n">
        <f aca="false">AA282*AA288</f>
        <v>108542.8008</v>
      </c>
      <c r="AB290" s="69" t="n">
        <f aca="false">AB282*AB288</f>
        <v>108542.8008</v>
      </c>
      <c r="AC290" s="69" t="n">
        <f aca="false">AC282*AC288</f>
        <v>124623.215733333</v>
      </c>
      <c r="AD290" s="69" t="n">
        <f aca="false">AD282*AD288</f>
        <v>124623.215733333</v>
      </c>
      <c r="AE290" s="69" t="n">
        <f aca="false">AE282*AE288</f>
        <v>124623.215733333</v>
      </c>
      <c r="AF290" s="69" t="n">
        <f aca="false">AF282*AF288</f>
        <v>124623.215733333</v>
      </c>
      <c r="AG290" s="69" t="n">
        <f aca="false">AG282*AG288</f>
        <v>124623.215733333</v>
      </c>
      <c r="AH290" s="69" t="n">
        <f aca="false">AH282*AH288</f>
        <v>124623.215733333</v>
      </c>
      <c r="AI290" s="69" t="n">
        <f aca="false">AI282*AI288</f>
        <v>124623.215733333</v>
      </c>
      <c r="AJ290" s="69" t="n">
        <f aca="false">AJ282*AJ288</f>
        <v>124623.215733333</v>
      </c>
      <c r="AK290" s="69" t="n">
        <f aca="false">AK282*AK288</f>
        <v>124623.215733333</v>
      </c>
      <c r="AL290" s="69" t="n">
        <f aca="false">AL282*AL288</f>
        <v>108542.8008</v>
      </c>
    </row>
    <row r="291" customFormat="false" ht="15" hidden="false" customHeight="false" outlineLevel="0" collapsed="false">
      <c r="A291" s="6" t="s">
        <v>410</v>
      </c>
      <c r="C291" s="69" t="n">
        <f aca="false">C282*Inputs!$D$28*(1+Inputs!$D$30)^(C$261-1)</f>
        <v>7234.92</v>
      </c>
      <c r="D291" s="69" t="n">
        <f aca="false">D282*Inputs!$D$28*(1+Inputs!$D$30)^(D$261-1)</f>
        <v>8080.56</v>
      </c>
      <c r="E291" s="69" t="n">
        <f aca="false">E282*Inputs!$D$28*(1+Inputs!$D$30)^(E$261-1)</f>
        <v>10248.6</v>
      </c>
      <c r="F291" s="69" t="n">
        <f aca="false">F282*Inputs!$D$28*(1+Inputs!$D$30)^(F$261-1)</f>
        <v>11219.52</v>
      </c>
      <c r="G291" s="69" t="n">
        <f aca="false">G282*Inputs!$D$28*(1+Inputs!$D$30)^(G$261-1)</f>
        <v>12190.44</v>
      </c>
      <c r="H291" s="69" t="n">
        <f aca="false">H282*Inputs!$D$28*(1+Inputs!$D$30)^(H$261-1)</f>
        <v>13161.36</v>
      </c>
      <c r="I291" s="69" t="n">
        <f aca="false">I282*Inputs!$D$28*(1+Inputs!$D$30)^(I$261-1)</f>
        <v>14132.28</v>
      </c>
      <c r="J291" s="69" t="n">
        <f aca="false">J282*Inputs!$D$28*(1+Inputs!$D$30)^(J$261-1)</f>
        <v>15103.2</v>
      </c>
      <c r="K291" s="69" t="n">
        <f aca="false">K282*Inputs!$D$28*(1+Inputs!$D$30)^(K$261-1)</f>
        <v>15103.2</v>
      </c>
      <c r="L291" s="69" t="n">
        <f aca="false">L282*Inputs!$D$28*(1+Inputs!$D$30)^(L$261-1)</f>
        <v>15103.2</v>
      </c>
      <c r="M291" s="69" t="n">
        <f aca="false">M282*Inputs!$D$28*(1+Inputs!$D$30)^(M$261-1)</f>
        <v>15103.2</v>
      </c>
      <c r="N291" s="69" t="n">
        <f aca="false">N282*Inputs!$D$28*(1+Inputs!$D$30)^(N$261-1)</f>
        <v>13154.4</v>
      </c>
      <c r="O291" s="69" t="n">
        <f aca="false">O282*Inputs!$D$28*(1+Inputs!$D$30)^(O$261-1)</f>
        <v>13549.032</v>
      </c>
      <c r="P291" s="69" t="n">
        <f aca="false">P282*Inputs!$D$28*(1+Inputs!$D$30)^(P$261-1)</f>
        <v>13549.032</v>
      </c>
      <c r="Q291" s="69" t="n">
        <f aca="false">Q282*Inputs!$D$28*(1+Inputs!$D$30)^(Q$261-1)</f>
        <v>15556.296</v>
      </c>
      <c r="R291" s="69" t="n">
        <f aca="false">R282*Inputs!$D$28*(1+Inputs!$D$30)^(R$261-1)</f>
        <v>15556.296</v>
      </c>
      <c r="S291" s="69" t="n">
        <f aca="false">S282*Inputs!$D$28*(1+Inputs!$D$30)^(S$261-1)</f>
        <v>15556.296</v>
      </c>
      <c r="T291" s="69" t="n">
        <f aca="false">T282*Inputs!$D$28*(1+Inputs!$D$30)^(T$261-1)</f>
        <v>15556.296</v>
      </c>
      <c r="U291" s="69" t="n">
        <f aca="false">U282*Inputs!$D$28*(1+Inputs!$D$30)^(U$261-1)</f>
        <v>15556.296</v>
      </c>
      <c r="V291" s="69" t="n">
        <f aca="false">V282*Inputs!$D$28*(1+Inputs!$D$30)^(V$261-1)</f>
        <v>15556.296</v>
      </c>
      <c r="W291" s="69" t="n">
        <f aca="false">W282*Inputs!$D$28*(1+Inputs!$D$30)^(W$261-1)</f>
        <v>15556.296</v>
      </c>
      <c r="X291" s="69" t="n">
        <f aca="false">X282*Inputs!$D$28*(1+Inputs!$D$30)^(X$261-1)</f>
        <v>15556.296</v>
      </c>
      <c r="Y291" s="69" t="n">
        <f aca="false">Y282*Inputs!$D$28*(1+Inputs!$D$30)^(Y$261-1)</f>
        <v>15556.296</v>
      </c>
      <c r="Z291" s="69" t="n">
        <f aca="false">Z282*Inputs!$D$28*(1+Inputs!$D$30)^(Z$261-1)</f>
        <v>13549.032</v>
      </c>
      <c r="AA291" s="69" t="n">
        <f aca="false">AA282*Inputs!$D$28*(1+Inputs!$D$30)^(AA$261-1)</f>
        <v>13955.50296</v>
      </c>
      <c r="AB291" s="69" t="n">
        <f aca="false">AB282*Inputs!$D$28*(1+Inputs!$D$30)^(AB$261-1)</f>
        <v>13955.50296</v>
      </c>
      <c r="AC291" s="69" t="n">
        <f aca="false">AC282*Inputs!$D$28*(1+Inputs!$D$30)^(AC$261-1)</f>
        <v>16022.98488</v>
      </c>
      <c r="AD291" s="69" t="n">
        <f aca="false">AD282*Inputs!$D$28*(1+Inputs!$D$30)^(AD$261-1)</f>
        <v>16022.98488</v>
      </c>
      <c r="AE291" s="69" t="n">
        <f aca="false">AE282*Inputs!$D$28*(1+Inputs!$D$30)^(AE$261-1)</f>
        <v>16022.98488</v>
      </c>
      <c r="AF291" s="69" t="n">
        <f aca="false">AF282*Inputs!$D$28*(1+Inputs!$D$30)^(AF$261-1)</f>
        <v>16022.98488</v>
      </c>
      <c r="AG291" s="69" t="n">
        <f aca="false">AG282*Inputs!$D$28*(1+Inputs!$D$30)^(AG$261-1)</f>
        <v>16022.98488</v>
      </c>
      <c r="AH291" s="69" t="n">
        <f aca="false">AH282*Inputs!$D$28*(1+Inputs!$D$30)^(AH$261-1)</f>
        <v>16022.98488</v>
      </c>
      <c r="AI291" s="69" t="n">
        <f aca="false">AI282*Inputs!$D$28*(1+Inputs!$D$30)^(AI$261-1)</f>
        <v>16022.98488</v>
      </c>
      <c r="AJ291" s="69" t="n">
        <f aca="false">AJ282*Inputs!$D$28*(1+Inputs!$D$30)^(AJ$261-1)</f>
        <v>16022.98488</v>
      </c>
      <c r="AK291" s="69" t="n">
        <f aca="false">AK282*Inputs!$D$28*(1+Inputs!$D$30)^(AK$261-1)</f>
        <v>16022.98488</v>
      </c>
      <c r="AL291" s="69" t="n">
        <f aca="false">AL282*Inputs!$D$28*(1+Inputs!$D$30)^(AL$261-1)</f>
        <v>13955.50296</v>
      </c>
    </row>
    <row r="292" customFormat="false" ht="15" hidden="false" customHeight="false" outlineLevel="0" collapsed="false">
      <c r="A292" s="6" t="s">
        <v>241</v>
      </c>
      <c r="C292" s="69" t="n">
        <f aca="false">C276*C289*1</f>
        <v>14477.886</v>
      </c>
      <c r="D292" s="69" t="n">
        <f aca="false">D276*D289*1</f>
        <v>16958.5133622857</v>
      </c>
      <c r="E292" s="69" t="n">
        <f aca="false">E276*E289*1</f>
        <v>19824.4427442164</v>
      </c>
      <c r="F292" s="69" t="n">
        <f aca="false">F276*F289*1</f>
        <v>23076.5684811634</v>
      </c>
      <c r="G292" s="69" t="n">
        <f aca="false">G276*G289*1</f>
        <v>26576.1696230995</v>
      </c>
      <c r="H292" s="69" t="n">
        <f aca="false">H276*H289*1</f>
        <v>30315.326957065</v>
      </c>
      <c r="I292" s="69" t="n">
        <f aca="false">I276*I289*1</f>
        <v>34286.3746849152</v>
      </c>
      <c r="J292" s="69" t="n">
        <f aca="false">J276*J289*1</f>
        <v>38481.8923140455</v>
      </c>
      <c r="K292" s="69" t="n">
        <f aca="false">K276*K289*1</f>
        <v>42718.9250933294</v>
      </c>
      <c r="L292" s="69" t="n">
        <f aca="false">L276*L289*1</f>
        <v>46820.3728236762</v>
      </c>
      <c r="M292" s="69" t="n">
        <f aca="false">M276*M289*1</f>
        <v>50790.5742266519</v>
      </c>
      <c r="N292" s="69" t="n">
        <f aca="false">N276*N289*1</f>
        <v>54428.0225180657</v>
      </c>
      <c r="O292" s="69" t="n">
        <f aca="false">O276*O289*1</f>
        <v>59593.0867714122</v>
      </c>
      <c r="P292" s="69" t="n">
        <f aca="false">P276*P289*1</f>
        <v>63129.699194727</v>
      </c>
      <c r="Q292" s="69" t="n">
        <f aca="false">Q276*Q289*1</f>
        <v>66765.0178871624</v>
      </c>
      <c r="R292" s="69" t="n">
        <f aca="false">R276*R289*1</f>
        <v>70495.8842481065</v>
      </c>
      <c r="S292" s="69" t="n">
        <f aca="false">S276*S289*1</f>
        <v>74107.3628855005</v>
      </c>
      <c r="T292" s="69" t="n">
        <f aca="false">T276*T289*1</f>
        <v>77603.2742064978</v>
      </c>
      <c r="U292" s="69" t="n">
        <f aca="false">U276*U289*1</f>
        <v>80987.3163652232</v>
      </c>
      <c r="V292" s="69" t="n">
        <f aca="false">V276*V289*1</f>
        <v>84263.0691748694</v>
      </c>
      <c r="W292" s="69" t="n">
        <f aca="false">W276*W289*1</f>
        <v>87433.9978946069</v>
      </c>
      <c r="X292" s="69" t="n">
        <f aca="false">X276*X289*1</f>
        <v>90503.4568953128</v>
      </c>
      <c r="Y292" s="69" t="n">
        <f aca="false">Y276*Y289*1</f>
        <v>93474.6932079961</v>
      </c>
      <c r="Z292" s="69" t="n">
        <f aca="false">Z276*Z289*1</f>
        <v>96138.9720920069</v>
      </c>
      <c r="AA292" s="69" t="n">
        <f aca="false">AA276*AA289*1</f>
        <v>101594.336530615</v>
      </c>
      <c r="AB292" s="69" t="n">
        <f aca="false">AB276*AB289*1</f>
        <v>104216.290417635</v>
      </c>
      <c r="AC292" s="69" t="n">
        <f aca="false">AC276*AC289*1</f>
        <v>106972.575982937</v>
      </c>
      <c r="AD292" s="69" t="n">
        <f aca="false">AD276*AD289*1</f>
        <v>109858.894612817</v>
      </c>
      <c r="AE292" s="69" t="n">
        <f aca="false">AE276*AE289*1</f>
        <v>112652.85104654</v>
      </c>
      <c r="AF292" s="69" t="n">
        <f aca="false">AF276*AF289*1</f>
        <v>115357.400874384</v>
      </c>
      <c r="AG292" s="69" t="n">
        <f aca="false">AG276*AG289*1</f>
        <v>117975.405107737</v>
      </c>
      <c r="AH292" s="69" t="n">
        <f aca="false">AH276*AH289*1</f>
        <v>120509.633205623</v>
      </c>
      <c r="AI292" s="69" t="n">
        <f aca="false">AI276*AI289*1</f>
        <v>122962.766004376</v>
      </c>
      <c r="AJ292" s="69" t="n">
        <f aca="false">AJ276*AJ289*1</f>
        <v>125337.398553569</v>
      </c>
      <c r="AK292" s="69" t="n">
        <f aca="false">AK276*AK289*1</f>
        <v>127636.042861188</v>
      </c>
      <c r="AL292" s="69" t="n">
        <f aca="false">AL276*AL289*1</f>
        <v>129642.896348297</v>
      </c>
    </row>
    <row r="293" customFormat="false" ht="15" hidden="false" customHeight="false" outlineLevel="0" collapsed="false">
      <c r="A293" s="113" t="s">
        <v>44</v>
      </c>
      <c r="C293" s="70" t="n">
        <f aca="false">C290+C291+C292</f>
        <v>77984.406</v>
      </c>
      <c r="D293" s="70" t="n">
        <f aca="false">D290+D291+D292</f>
        <v>87887.8733622857</v>
      </c>
      <c r="E293" s="70" t="n">
        <f aca="false">E290+E291+E292</f>
        <v>109784.37607755</v>
      </c>
      <c r="F293" s="70" t="n">
        <f aca="false">F290+F291+F292</f>
        <v>121559.021814497</v>
      </c>
      <c r="G293" s="70" t="n">
        <f aca="false">G290+G291+G292</f>
        <v>133581.142956433</v>
      </c>
      <c r="H293" s="70" t="n">
        <f aca="false">H290+H291+H292</f>
        <v>145842.820290398</v>
      </c>
      <c r="I293" s="70" t="n">
        <f aca="false">I290+I291+I292</f>
        <v>158336.388018249</v>
      </c>
      <c r="J293" s="70" t="n">
        <f aca="false">J290+J291+J292</f>
        <v>171054.425647379</v>
      </c>
      <c r="K293" s="70" t="n">
        <f aca="false">K290+K291+K292</f>
        <v>175291.458426663</v>
      </c>
      <c r="L293" s="70" t="n">
        <f aca="false">L290+L291+L292</f>
        <v>179392.90615701</v>
      </c>
      <c r="M293" s="70" t="n">
        <f aca="false">M290+M291+M292</f>
        <v>183363.107559985</v>
      </c>
      <c r="N293" s="70" t="n">
        <f aca="false">N290+N291+N292</f>
        <v>169894.422518066</v>
      </c>
      <c r="O293" s="70" t="n">
        <f aca="false">O290+O291+O292</f>
        <v>178523.478771412</v>
      </c>
      <c r="P293" s="70" t="n">
        <f aca="false">P290+P291+P292</f>
        <v>182060.091194727</v>
      </c>
      <c r="Q293" s="70" t="n">
        <f aca="false">Q290+Q291+Q292</f>
        <v>203314.727220496</v>
      </c>
      <c r="R293" s="70" t="n">
        <f aca="false">R290+R291+R292</f>
        <v>207045.59358144</v>
      </c>
      <c r="S293" s="70" t="n">
        <f aca="false">S290+S291+S292</f>
        <v>210657.072218834</v>
      </c>
      <c r="T293" s="70" t="n">
        <f aca="false">T290+T291+T292</f>
        <v>214152.983539831</v>
      </c>
      <c r="U293" s="70" t="n">
        <f aca="false">U290+U291+U292</f>
        <v>217537.025698557</v>
      </c>
      <c r="V293" s="70" t="n">
        <f aca="false">V290+V291+V292</f>
        <v>220812.778508203</v>
      </c>
      <c r="W293" s="70" t="n">
        <f aca="false">W290+W291+W292</f>
        <v>223983.70722794</v>
      </c>
      <c r="X293" s="70" t="n">
        <f aca="false">X290+X291+X292</f>
        <v>227053.166228646</v>
      </c>
      <c r="Y293" s="70" t="n">
        <f aca="false">Y290+Y291+Y292</f>
        <v>230024.40254133</v>
      </c>
      <c r="Z293" s="70" t="n">
        <f aca="false">Z290+Z291+Z292</f>
        <v>215069.364092007</v>
      </c>
      <c r="AA293" s="70" t="n">
        <f aca="false">AA290+AA291+AA292</f>
        <v>224092.640290615</v>
      </c>
      <c r="AB293" s="70" t="n">
        <f aca="false">AB290+AB291+AB292</f>
        <v>226714.594177635</v>
      </c>
      <c r="AC293" s="70" t="n">
        <f aca="false">AC290+AC291+AC292</f>
        <v>247618.776596271</v>
      </c>
      <c r="AD293" s="70" t="n">
        <f aca="false">AD290+AD291+AD292</f>
        <v>250505.09522615</v>
      </c>
      <c r="AE293" s="70" t="n">
        <f aca="false">AE290+AE291+AE292</f>
        <v>253299.051659873</v>
      </c>
      <c r="AF293" s="70" t="n">
        <f aca="false">AF290+AF291+AF292</f>
        <v>256003.601487717</v>
      </c>
      <c r="AG293" s="70" t="n">
        <f aca="false">AG290+AG291+AG292</f>
        <v>258621.60572107</v>
      </c>
      <c r="AH293" s="70" t="n">
        <f aca="false">AH290+AH291+AH292</f>
        <v>261155.833818956</v>
      </c>
      <c r="AI293" s="70" t="n">
        <f aca="false">AI290+AI291+AI292</f>
        <v>263608.966617709</v>
      </c>
      <c r="AJ293" s="70" t="n">
        <f aca="false">AJ290+AJ291+AJ292</f>
        <v>265983.599166903</v>
      </c>
      <c r="AK293" s="70" t="n">
        <f aca="false">AK290+AK291+AK292</f>
        <v>268282.243474522</v>
      </c>
      <c r="AL293" s="70" t="n">
        <f aca="false">AL290+AL291+AL292</f>
        <v>252141.200108297</v>
      </c>
    </row>
    <row r="295" customFormat="false" ht="15.75" hidden="false" customHeight="true" outlineLevel="0" collapsed="false">
      <c r="A295" s="7" t="s">
        <v>76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411</v>
      </c>
      <c r="C296" s="69" t="n">
        <f aca="false">-C284*Inputs!$D$33*(1+Inputs!$D$38)^(C$261-1)</f>
        <v>-3837.50352</v>
      </c>
      <c r="D296" s="69" t="n">
        <f aca="false">-D284*Inputs!$D$33*(1+Inputs!$D$38)^(D$261-1)</f>
        <v>-4330.85760164571</v>
      </c>
      <c r="E296" s="69" t="n">
        <f aca="false">-E284*Inputs!$D$33*(1+Inputs!$D$38)^(E$261-1)</f>
        <v>-5564.05573699096</v>
      </c>
      <c r="F296" s="69" t="n">
        <f aca="false">-F284*Inputs!$D$33*(1+Inputs!$D$38)^(F$261-1)</f>
        <v>-6180.84973245487</v>
      </c>
      <c r="G296" s="69" t="n">
        <f aca="false">-G284*Inputs!$D$33*(1+Inputs!$D$38)^(G$261-1)</f>
        <v>-6813.79475434965</v>
      </c>
      <c r="H296" s="69" t="n">
        <f aca="false">-H284*Inputs!$D$33*(1+Inputs!$D$38)^(H$261-1)</f>
        <v>-7462.37396982951</v>
      </c>
      <c r="I296" s="69" t="n">
        <f aca="false">-I284*Inputs!$D$33*(1+Inputs!$D$38)^(I$261-1)</f>
        <v>-8126.08708469973</v>
      </c>
      <c r="J296" s="69" t="n">
        <f aca="false">-J284*Inputs!$D$33*(1+Inputs!$D$38)^(J$261-1)</f>
        <v>-8804.44981417981</v>
      </c>
      <c r="K296" s="69" t="n">
        <f aca="false">-K284*Inputs!$D$33*(1+Inputs!$D$38)^(K$261-1)</f>
        <v>-9080.97195345939</v>
      </c>
      <c r="L296" s="69" t="n">
        <f aca="false">-L284*Inputs!$D$33*(1+Inputs!$D$38)^(L$261-1)</f>
        <v>-9348.64538428202</v>
      </c>
      <c r="M296" s="69" t="n">
        <f aca="false">-M284*Inputs!$D$33*(1+Inputs!$D$38)^(M$261-1)</f>
        <v>-9607.75326531833</v>
      </c>
      <c r="N296" s="69" t="n">
        <f aca="false">-N284*Inputs!$D$33*(1+Inputs!$D$38)^(N$261-1)</f>
        <v>-8574.80338523742</v>
      </c>
      <c r="O296" s="69" t="n">
        <f aca="false">-O284*Inputs!$D$33*(1+Inputs!$D$38)^(O$261-1)</f>
        <v>-8988.97783883257</v>
      </c>
      <c r="P296" s="69" t="n">
        <f aca="false">-P284*Inputs!$D$33*(1+Inputs!$D$38)^(P$261-1)</f>
        <v>-9189.03046798992</v>
      </c>
      <c r="Q296" s="69" t="n">
        <f aca="false">-Q284*Inputs!$D$33*(1+Inputs!$D$38)^(Q$261-1)</f>
        <v>-10786.4689823497</v>
      </c>
      <c r="R296" s="69" t="n">
        <f aca="false">-R284*Inputs!$D$33*(1+Inputs!$D$38)^(R$261-1)</f>
        <v>-11028.7751215812</v>
      </c>
      <c r="S296" s="69" t="n">
        <f aca="false">-S284*Inputs!$D$33*(1+Inputs!$D$38)^(S$261-1)</f>
        <v>-11263.3274643572</v>
      </c>
      <c r="T296" s="69" t="n">
        <f aca="false">-T284*Inputs!$D$33*(1+Inputs!$D$38)^(T$261-1)</f>
        <v>-11490.3741321645</v>
      </c>
      <c r="U296" s="69" t="n">
        <f aca="false">-U284*Inputs!$D$33*(1+Inputs!$D$38)^(U$261-1)</f>
        <v>-11710.1553066019</v>
      </c>
      <c r="V296" s="69" t="n">
        <f aca="false">-V284*Inputs!$D$33*(1+Inputs!$D$38)^(V$261-1)</f>
        <v>-11922.9034834573</v>
      </c>
      <c r="W296" s="69" t="n">
        <f aca="false">-W284*Inputs!$D$33*(1+Inputs!$D$38)^(W$261-1)</f>
        <v>-12128.8437186533</v>
      </c>
      <c r="X296" s="69" t="n">
        <f aca="false">-X284*Inputs!$D$33*(1+Inputs!$D$38)^(X$261-1)</f>
        <v>-12328.1938663231</v>
      </c>
      <c r="Y296" s="69" t="n">
        <f aca="false">-Y284*Inputs!$D$33*(1+Inputs!$D$38)^(Y$261-1)</f>
        <v>-12521.1648092674</v>
      </c>
      <c r="Z296" s="69" t="n">
        <f aca="false">-Z284*Inputs!$D$33*(1+Inputs!$D$38)^(Z$261-1)</f>
        <v>-11056.2386998391</v>
      </c>
      <c r="AA296" s="69" t="n">
        <f aca="false">-AA284*Inputs!$D$33*(1+Inputs!$D$38)^(AA$261-1)</f>
        <v>-11477.3813109804</v>
      </c>
      <c r="AB296" s="69" t="n">
        <f aca="false">-AB284*Inputs!$D$33*(1+Inputs!$D$38)^(AB$261-1)</f>
        <v>-11624.975237029</v>
      </c>
      <c r="AC296" s="69" t="n">
        <f aca="false">-AC284*Inputs!$D$33*(1+Inputs!$D$38)^(AC$261-1)</f>
        <v>-13525.3354840284</v>
      </c>
      <c r="AD296" s="69" t="n">
        <f aca="false">-AD284*Inputs!$D$33*(1+Inputs!$D$38)^(AD$261-1)</f>
        <v>-13711.8813538728</v>
      </c>
      <c r="AE296" s="69" t="n">
        <f aca="false">-AE284*Inputs!$D$33*(1+Inputs!$D$38)^(AE$261-1)</f>
        <v>-13892.4577558822</v>
      </c>
      <c r="AF296" s="69" t="n">
        <f aca="false">-AF284*Inputs!$D$33*(1+Inputs!$D$38)^(AF$261-1)</f>
        <v>-14067.2557130273</v>
      </c>
      <c r="AG296" s="69" t="n">
        <f aca="false">-AG284*Inputs!$D$33*(1+Inputs!$D$38)^(AG$261-1)</f>
        <v>-14236.4601355438</v>
      </c>
      <c r="AH296" s="69" t="n">
        <f aca="false">-AH284*Inputs!$D$33*(1+Inputs!$D$38)^(AH$261-1)</f>
        <v>-14400.2500165397</v>
      </c>
      <c r="AI296" s="69" t="n">
        <f aca="false">-AI284*Inputs!$D$33*(1+Inputs!$D$38)^(AI$261-1)</f>
        <v>-14558.7986213438</v>
      </c>
      <c r="AJ296" s="69" t="n">
        <f aca="false">-AJ284*Inputs!$D$33*(1+Inputs!$D$38)^(AJ$261-1)</f>
        <v>-14712.2736707941</v>
      </c>
      <c r="AK296" s="69" t="n">
        <f aca="false">-AK284*Inputs!$D$33*(1+Inputs!$D$38)^(AK$261-1)</f>
        <v>-14860.837518662</v>
      </c>
      <c r="AL296" s="69" t="n">
        <f aca="false">-AL284*Inputs!$D$33*(1+Inputs!$D$38)^(AL$261-1)</f>
        <v>-13056.2790497984</v>
      </c>
    </row>
    <row r="297" customFormat="false" ht="15" hidden="false" customHeight="false" outlineLevel="0" collapsed="false">
      <c r="A297" s="6" t="s">
        <v>412</v>
      </c>
      <c r="C297" s="69" t="n">
        <f aca="false">-C284*Inputs!$D$34/1000*Inputs!$D$35*(1+Inputs!$D$38)^(C$261-1)</f>
        <v>-1473.60135168</v>
      </c>
      <c r="D297" s="69" t="n">
        <f aca="false">-D284*Inputs!$D$34/1000*Inputs!$D$35*(1+Inputs!$D$38)^(D$261-1)</f>
        <v>-1663.04931903195</v>
      </c>
      <c r="E297" s="69" t="n">
        <f aca="false">-E284*Inputs!$D$34/1000*Inputs!$D$35*(1+Inputs!$D$38)^(E$261-1)</f>
        <v>-2136.59740300453</v>
      </c>
      <c r="F297" s="69" t="n">
        <f aca="false">-F284*Inputs!$D$34/1000*Inputs!$D$35*(1+Inputs!$D$38)^(F$261-1)</f>
        <v>-2373.44629726267</v>
      </c>
      <c r="G297" s="69" t="n">
        <f aca="false">-G284*Inputs!$D$34/1000*Inputs!$D$35*(1+Inputs!$D$38)^(G$261-1)</f>
        <v>-2616.49718567027</v>
      </c>
      <c r="H297" s="69" t="n">
        <f aca="false">-H284*Inputs!$D$34/1000*Inputs!$D$35*(1+Inputs!$D$38)^(H$261-1)</f>
        <v>-2865.55160441453</v>
      </c>
      <c r="I297" s="69" t="n">
        <f aca="false">-I284*Inputs!$D$34/1000*Inputs!$D$35*(1+Inputs!$D$38)^(I$261-1)</f>
        <v>-3120.41744052469</v>
      </c>
      <c r="J297" s="69" t="n">
        <f aca="false">-J284*Inputs!$D$34/1000*Inputs!$D$35*(1+Inputs!$D$38)^(J$261-1)</f>
        <v>-3380.90872864505</v>
      </c>
      <c r="K297" s="69" t="n">
        <f aca="false">-K284*Inputs!$D$34/1000*Inputs!$D$35*(1+Inputs!$D$38)^(K$261-1)</f>
        <v>-3487.09323012841</v>
      </c>
      <c r="L297" s="69" t="n">
        <f aca="false">-L284*Inputs!$D$34/1000*Inputs!$D$35*(1+Inputs!$D$38)^(L$261-1)</f>
        <v>-3589.8798275643</v>
      </c>
      <c r="M297" s="69" t="n">
        <f aca="false">-M284*Inputs!$D$34/1000*Inputs!$D$35*(1+Inputs!$D$38)^(M$261-1)</f>
        <v>-3689.37725388224</v>
      </c>
      <c r="N297" s="69" t="n">
        <f aca="false">-N284*Inputs!$D$34/1000*Inputs!$D$35*(1+Inputs!$D$38)^(N$261-1)</f>
        <v>-3292.72449993117</v>
      </c>
      <c r="O297" s="69" t="n">
        <f aca="false">-O284*Inputs!$D$34/1000*Inputs!$D$35*(1+Inputs!$D$38)^(O$261-1)</f>
        <v>-3451.76749011171</v>
      </c>
      <c r="P297" s="69" t="n">
        <f aca="false">-P284*Inputs!$D$34/1000*Inputs!$D$35*(1+Inputs!$D$38)^(P$261-1)</f>
        <v>-3528.58769970813</v>
      </c>
      <c r="Q297" s="69" t="n">
        <f aca="false">-Q284*Inputs!$D$34/1000*Inputs!$D$35*(1+Inputs!$D$38)^(Q$261-1)</f>
        <v>-4142.00408922228</v>
      </c>
      <c r="R297" s="69" t="n">
        <f aca="false">-R284*Inputs!$D$34/1000*Inputs!$D$35*(1+Inputs!$D$38)^(R$261-1)</f>
        <v>-4235.04964668717</v>
      </c>
      <c r="S297" s="69" t="n">
        <f aca="false">-S284*Inputs!$D$34/1000*Inputs!$D$35*(1+Inputs!$D$38)^(S$261-1)</f>
        <v>-4325.11774631318</v>
      </c>
      <c r="T297" s="69" t="n">
        <f aca="false">-T284*Inputs!$D$34/1000*Inputs!$D$35*(1+Inputs!$D$38)^(T$261-1)</f>
        <v>-4412.30366675116</v>
      </c>
      <c r="U297" s="69" t="n">
        <f aca="false">-U284*Inputs!$D$34/1000*Inputs!$D$35*(1+Inputs!$D$38)^(U$261-1)</f>
        <v>-4496.69963773512</v>
      </c>
      <c r="V297" s="69" t="n">
        <f aca="false">-V284*Inputs!$D$34/1000*Inputs!$D$35*(1+Inputs!$D$38)^(V$261-1)</f>
        <v>-4578.3949376476</v>
      </c>
      <c r="W297" s="69" t="n">
        <f aca="false">-W284*Inputs!$D$34/1000*Inputs!$D$35*(1+Inputs!$D$38)^(W$261-1)</f>
        <v>-4657.47598796287</v>
      </c>
      <c r="X297" s="69" t="n">
        <f aca="false">-X284*Inputs!$D$34/1000*Inputs!$D$35*(1+Inputs!$D$38)^(X$261-1)</f>
        <v>-4734.02644466806</v>
      </c>
      <c r="Y297" s="69" t="n">
        <f aca="false">-Y284*Inputs!$D$34/1000*Inputs!$D$35*(1+Inputs!$D$38)^(Y$261-1)</f>
        <v>-4808.12728675868</v>
      </c>
      <c r="Z297" s="69" t="n">
        <f aca="false">-Z284*Inputs!$D$34/1000*Inputs!$D$35*(1+Inputs!$D$38)^(Z$261-1)</f>
        <v>-4245.59566073822</v>
      </c>
      <c r="AA297" s="69" t="n">
        <f aca="false">-AA284*Inputs!$D$34/1000*Inputs!$D$35*(1+Inputs!$D$38)^(AA$261-1)</f>
        <v>-4407.31442341647</v>
      </c>
      <c r="AB297" s="69" t="n">
        <f aca="false">-AB284*Inputs!$D$34/1000*Inputs!$D$35*(1+Inputs!$D$38)^(AB$261-1)</f>
        <v>-4463.99049101914</v>
      </c>
      <c r="AC297" s="69" t="n">
        <f aca="false">-AC284*Inputs!$D$34/1000*Inputs!$D$35*(1+Inputs!$D$38)^(AC$261-1)</f>
        <v>-5193.7288258669</v>
      </c>
      <c r="AD297" s="69" t="n">
        <f aca="false">-AD284*Inputs!$D$34/1000*Inputs!$D$35*(1+Inputs!$D$38)^(AD$261-1)</f>
        <v>-5265.36243988716</v>
      </c>
      <c r="AE297" s="69" t="n">
        <f aca="false">-AE284*Inputs!$D$34/1000*Inputs!$D$35*(1+Inputs!$D$38)^(AE$261-1)</f>
        <v>-5334.70377825877</v>
      </c>
      <c r="AF297" s="69" t="n">
        <f aca="false">-AF284*Inputs!$D$34/1000*Inputs!$D$35*(1+Inputs!$D$38)^(AF$261-1)</f>
        <v>-5401.82619380249</v>
      </c>
      <c r="AG297" s="69" t="n">
        <f aca="false">-AG284*Inputs!$D$34/1000*Inputs!$D$35*(1+Inputs!$D$38)^(AG$261-1)</f>
        <v>-5466.80069204881</v>
      </c>
      <c r="AH297" s="69" t="n">
        <f aca="false">-AH284*Inputs!$D$34/1000*Inputs!$D$35*(1+Inputs!$D$38)^(AH$261-1)</f>
        <v>-5529.69600635125</v>
      </c>
      <c r="AI297" s="69" t="n">
        <f aca="false">-AI284*Inputs!$D$34/1000*Inputs!$D$35*(1+Inputs!$D$38)^(AI$261-1)</f>
        <v>-5590.57867059601</v>
      </c>
      <c r="AJ297" s="69" t="n">
        <f aca="false">-AJ284*Inputs!$D$34/1000*Inputs!$D$35*(1+Inputs!$D$38)^(AJ$261-1)</f>
        <v>-5649.51308958494</v>
      </c>
      <c r="AK297" s="69" t="n">
        <f aca="false">-AK284*Inputs!$D$34/1000*Inputs!$D$35*(1+Inputs!$D$38)^(AK$261-1)</f>
        <v>-5706.56160716622</v>
      </c>
      <c r="AL297" s="69" t="n">
        <f aca="false">-AL284*Inputs!$D$34/1000*Inputs!$D$35*(1+Inputs!$D$38)^(AL$261-1)</f>
        <v>-5013.61115512259</v>
      </c>
    </row>
    <row r="298" customFormat="false" ht="15" hidden="false" customHeight="false" outlineLevel="0" collapsed="false">
      <c r="A298" s="6" t="s">
        <v>413</v>
      </c>
      <c r="C298" s="69" t="n">
        <f aca="false">-C284*Inputs!$D$36*(1+Inputs!$D$38)^(C$261-1)</f>
        <v>-2046.668544</v>
      </c>
      <c r="D298" s="69" t="n">
        <f aca="false">-D284*Inputs!$D$36*(1+Inputs!$D$38)^(D$261-1)</f>
        <v>-2309.79072087771</v>
      </c>
      <c r="E298" s="69" t="n">
        <f aca="false">-E284*Inputs!$D$36*(1+Inputs!$D$38)^(E$261-1)</f>
        <v>-2967.49639306185</v>
      </c>
      <c r="F298" s="69" t="n">
        <f aca="false">-F284*Inputs!$D$36*(1+Inputs!$D$38)^(F$261-1)</f>
        <v>-3296.4531906426</v>
      </c>
      <c r="G298" s="69" t="n">
        <f aca="false">-G284*Inputs!$D$36*(1+Inputs!$D$38)^(G$261-1)</f>
        <v>-3634.02386898648</v>
      </c>
      <c r="H298" s="69" t="n">
        <f aca="false">-H284*Inputs!$D$36*(1+Inputs!$D$38)^(H$261-1)</f>
        <v>-3979.93278390907</v>
      </c>
      <c r="I298" s="69" t="n">
        <f aca="false">-I284*Inputs!$D$36*(1+Inputs!$D$38)^(I$261-1)</f>
        <v>-4333.91311183985</v>
      </c>
      <c r="J298" s="69" t="n">
        <f aca="false">-J284*Inputs!$D$36*(1+Inputs!$D$38)^(J$261-1)</f>
        <v>-4695.70656756257</v>
      </c>
      <c r="K298" s="69" t="n">
        <f aca="false">-K284*Inputs!$D$36*(1+Inputs!$D$38)^(K$261-1)</f>
        <v>-4843.18504184501</v>
      </c>
      <c r="L298" s="69" t="n">
        <f aca="false">-L284*Inputs!$D$36*(1+Inputs!$D$38)^(L$261-1)</f>
        <v>-4985.94420495041</v>
      </c>
      <c r="M298" s="69" t="n">
        <f aca="false">-M284*Inputs!$D$36*(1+Inputs!$D$38)^(M$261-1)</f>
        <v>-5124.13507483645</v>
      </c>
      <c r="N298" s="69" t="n">
        <f aca="false">-N284*Inputs!$D$36*(1+Inputs!$D$38)^(N$261-1)</f>
        <v>-4573.22847212662</v>
      </c>
      <c r="O298" s="69" t="n">
        <f aca="false">-O284*Inputs!$D$36*(1+Inputs!$D$38)^(O$261-1)</f>
        <v>-4794.12151404403</v>
      </c>
      <c r="P298" s="69" t="n">
        <f aca="false">-P284*Inputs!$D$36*(1+Inputs!$D$38)^(P$261-1)</f>
        <v>-4900.81624959463</v>
      </c>
      <c r="Q298" s="69" t="n">
        <f aca="false">-Q284*Inputs!$D$36*(1+Inputs!$D$38)^(Q$261-1)</f>
        <v>-5752.78345725317</v>
      </c>
      <c r="R298" s="69" t="n">
        <f aca="false">-R284*Inputs!$D$36*(1+Inputs!$D$38)^(R$261-1)</f>
        <v>-5882.01339817662</v>
      </c>
      <c r="S298" s="69" t="n">
        <f aca="false">-S284*Inputs!$D$36*(1+Inputs!$D$38)^(S$261-1)</f>
        <v>-6007.10798099053</v>
      </c>
      <c r="T298" s="69" t="n">
        <f aca="false">-T284*Inputs!$D$36*(1+Inputs!$D$38)^(T$261-1)</f>
        <v>-6128.19953715439</v>
      </c>
      <c r="U298" s="69" t="n">
        <f aca="false">-U284*Inputs!$D$36*(1+Inputs!$D$38)^(U$261-1)</f>
        <v>-6245.416163521</v>
      </c>
      <c r="V298" s="69" t="n">
        <f aca="false">-V284*Inputs!$D$36*(1+Inputs!$D$38)^(V$261-1)</f>
        <v>-6358.88185784388</v>
      </c>
      <c r="W298" s="69" t="n">
        <f aca="false">-W284*Inputs!$D$36*(1+Inputs!$D$38)^(W$261-1)</f>
        <v>-6468.71664994844</v>
      </c>
      <c r="X298" s="69" t="n">
        <f aca="false">-X284*Inputs!$D$36*(1+Inputs!$D$38)^(X$261-1)</f>
        <v>-6575.03672870564</v>
      </c>
      <c r="Y298" s="69" t="n">
        <f aca="false">-Y284*Inputs!$D$36*(1+Inputs!$D$38)^(Y$261-1)</f>
        <v>-6677.95456494262</v>
      </c>
      <c r="Z298" s="69" t="n">
        <f aca="false">-Z284*Inputs!$D$36*(1+Inputs!$D$38)^(Z$261-1)</f>
        <v>-5896.6606399142</v>
      </c>
      <c r="AA298" s="69" t="n">
        <f aca="false">-AA284*Inputs!$D$36*(1+Inputs!$D$38)^(AA$261-1)</f>
        <v>-6121.27003252287</v>
      </c>
      <c r="AB298" s="69" t="n">
        <f aca="false">-AB284*Inputs!$D$36*(1+Inputs!$D$38)^(AB$261-1)</f>
        <v>-6199.98679308214</v>
      </c>
      <c r="AC298" s="69" t="n">
        <f aca="false">-AC284*Inputs!$D$36*(1+Inputs!$D$38)^(AC$261-1)</f>
        <v>-7213.51225814847</v>
      </c>
      <c r="AD298" s="69" t="n">
        <f aca="false">-AD284*Inputs!$D$36*(1+Inputs!$D$38)^(AD$261-1)</f>
        <v>-7313.00338873217</v>
      </c>
      <c r="AE298" s="69" t="n">
        <f aca="false">-AE284*Inputs!$D$36*(1+Inputs!$D$38)^(AE$261-1)</f>
        <v>-7409.31080313718</v>
      </c>
      <c r="AF298" s="69" t="n">
        <f aca="false">-AF284*Inputs!$D$36*(1+Inputs!$D$38)^(AF$261-1)</f>
        <v>-7502.53638028124</v>
      </c>
      <c r="AG298" s="69" t="n">
        <f aca="false">-AG284*Inputs!$D$36*(1+Inputs!$D$38)^(AG$261-1)</f>
        <v>-7592.77873895668</v>
      </c>
      <c r="AH298" s="69" t="n">
        <f aca="false">-AH284*Inputs!$D$36*(1+Inputs!$D$38)^(AH$261-1)</f>
        <v>-7680.13334215451</v>
      </c>
      <c r="AI298" s="69" t="n">
        <f aca="false">-AI284*Inputs!$D$36*(1+Inputs!$D$38)^(AI$261-1)</f>
        <v>-7764.69259805001</v>
      </c>
      <c r="AJ298" s="69" t="n">
        <f aca="false">-AJ284*Inputs!$D$36*(1+Inputs!$D$38)^(AJ$261-1)</f>
        <v>-7846.54595775686</v>
      </c>
      <c r="AK298" s="69" t="n">
        <f aca="false">-AK284*Inputs!$D$36*(1+Inputs!$D$38)^(AK$261-1)</f>
        <v>-7925.78000995308</v>
      </c>
      <c r="AL298" s="69" t="n">
        <f aca="false">-AL284*Inputs!$D$36*(1+Inputs!$D$38)^(AL$261-1)</f>
        <v>-6963.34882655915</v>
      </c>
    </row>
    <row r="299" customFormat="false" ht="15" hidden="false" customHeight="false" outlineLevel="0" collapsed="false">
      <c r="A299" s="6" t="s">
        <v>246</v>
      </c>
      <c r="C299" s="69" t="n">
        <f aca="false">C296+C297+C298</f>
        <v>-7357.77341568</v>
      </c>
      <c r="D299" s="69" t="n">
        <f aca="false">D296+D297+D298</f>
        <v>-8303.69764155538</v>
      </c>
      <c r="E299" s="69" t="n">
        <f aca="false">E296+E297+E298</f>
        <v>-10668.1495330573</v>
      </c>
      <c r="F299" s="69" t="n">
        <f aca="false">F296+F297+F298</f>
        <v>-11850.7492203601</v>
      </c>
      <c r="G299" s="69" t="n">
        <f aca="false">G296+G297+G298</f>
        <v>-13064.3158090064</v>
      </c>
      <c r="H299" s="69" t="n">
        <f aca="false">H296+H297+H298</f>
        <v>-14307.8583581531</v>
      </c>
      <c r="I299" s="69" t="n">
        <f aca="false">I296+I297+I298</f>
        <v>-15580.4176370643</v>
      </c>
      <c r="J299" s="69" t="n">
        <f aca="false">J296+J297+J298</f>
        <v>-16881.0651103874</v>
      </c>
      <c r="K299" s="69" t="n">
        <f aca="false">K296+K297+K298</f>
        <v>-17411.2502254328</v>
      </c>
      <c r="L299" s="69" t="n">
        <f aca="false">L296+L297+L298</f>
        <v>-17924.4694167967</v>
      </c>
      <c r="M299" s="69" t="n">
        <f aca="false">M296+M297+M298</f>
        <v>-18421.265594037</v>
      </c>
      <c r="N299" s="69" t="n">
        <f aca="false">N296+N297+N298</f>
        <v>-16440.7563572952</v>
      </c>
      <c r="O299" s="69" t="n">
        <f aca="false">O296+O297+O298</f>
        <v>-17234.8668429883</v>
      </c>
      <c r="P299" s="69" t="n">
        <f aca="false">P296+P297+P298</f>
        <v>-17618.4344172927</v>
      </c>
      <c r="Q299" s="69" t="n">
        <f aca="false">Q296+Q297+Q298</f>
        <v>-20681.2565288251</v>
      </c>
      <c r="R299" s="69" t="n">
        <f aca="false">R296+R297+R298</f>
        <v>-21145.838166445</v>
      </c>
      <c r="S299" s="69" t="n">
        <f aca="false">S296+S297+S298</f>
        <v>-21595.5531916609</v>
      </c>
      <c r="T299" s="69" t="n">
        <f aca="false">T296+T297+T298</f>
        <v>-22030.87733607</v>
      </c>
      <c r="U299" s="69" t="n">
        <f aca="false">U296+U297+U298</f>
        <v>-22452.271107858</v>
      </c>
      <c r="V299" s="69" t="n">
        <f aca="false">V296+V297+V298</f>
        <v>-22860.1802789488</v>
      </c>
      <c r="W299" s="69" t="n">
        <f aca="false">W296+W297+W298</f>
        <v>-23255.0363565646</v>
      </c>
      <c r="X299" s="69" t="n">
        <f aca="false">X296+X297+X298</f>
        <v>-23637.2570396968</v>
      </c>
      <c r="Y299" s="69" t="n">
        <f aca="false">Y296+Y297+Y298</f>
        <v>-24007.2466609687</v>
      </c>
      <c r="Z299" s="69" t="n">
        <f aca="false">Z296+Z297+Z298</f>
        <v>-21198.4950004915</v>
      </c>
      <c r="AA299" s="69" t="n">
        <f aca="false">AA296+AA297+AA298</f>
        <v>-22005.9657669197</v>
      </c>
      <c r="AB299" s="69" t="n">
        <f aca="false">AB296+AB297+AB298</f>
        <v>-22288.9525211303</v>
      </c>
      <c r="AC299" s="69" t="n">
        <f aca="false">AC296+AC297+AC298</f>
        <v>-25932.5765680438</v>
      </c>
      <c r="AD299" s="69" t="n">
        <f aca="false">AD296+AD297+AD298</f>
        <v>-26290.2471824921</v>
      </c>
      <c r="AE299" s="69" t="n">
        <f aca="false">AE296+AE297+AE298</f>
        <v>-26636.4723372782</v>
      </c>
      <c r="AF299" s="69" t="n">
        <f aca="false">AF296+AF297+AF298</f>
        <v>-26971.618287111</v>
      </c>
      <c r="AG299" s="69" t="n">
        <f aca="false">AG296+AG297+AG298</f>
        <v>-27296.0395665493</v>
      </c>
      <c r="AH299" s="69" t="n">
        <f aca="false">AH296+AH297+AH298</f>
        <v>-27610.0793650455</v>
      </c>
      <c r="AI299" s="69" t="n">
        <f aca="false">AI296+AI297+AI298</f>
        <v>-27914.0698899898</v>
      </c>
      <c r="AJ299" s="69" t="n">
        <f aca="false">AJ296+AJ297+AJ298</f>
        <v>-28208.3327181359</v>
      </c>
      <c r="AK299" s="69" t="n">
        <f aca="false">AK296+AK297+AK298</f>
        <v>-28493.1791357813</v>
      </c>
      <c r="AL299" s="69" t="n">
        <f aca="false">AL296+AL297+AL298</f>
        <v>-25033.2390314802</v>
      </c>
    </row>
    <row r="300" customFormat="false" ht="15" hidden="false" customHeight="false" outlineLevel="0" collapsed="false">
      <c r="A300" s="6" t="s">
        <v>414</v>
      </c>
      <c r="C300" s="69" t="n">
        <f aca="false">-C293*Inputs!$D$37</f>
        <v>-2183.563368</v>
      </c>
      <c r="D300" s="69" t="n">
        <f aca="false">-D293*Inputs!$D$37</f>
        <v>-2460.860454144</v>
      </c>
      <c r="E300" s="69" t="n">
        <f aca="false">-E293*Inputs!$D$37</f>
        <v>-3073.96253017139</v>
      </c>
      <c r="F300" s="69" t="n">
        <f aca="false">-F293*Inputs!$D$37</f>
        <v>-3403.65261080591</v>
      </c>
      <c r="G300" s="69" t="n">
        <f aca="false">-G293*Inputs!$D$37</f>
        <v>-3740.27200278012</v>
      </c>
      <c r="H300" s="69" t="n">
        <f aca="false">-H293*Inputs!$D$37</f>
        <v>-4083.59896813116</v>
      </c>
      <c r="I300" s="69" t="n">
        <f aca="false">-I293*Inputs!$D$37</f>
        <v>-4433.41886451096</v>
      </c>
      <c r="J300" s="69" t="n">
        <f aca="false">-J293*Inputs!$D$37</f>
        <v>-4789.52391812661</v>
      </c>
      <c r="K300" s="69" t="n">
        <f aca="false">-K293*Inputs!$D$37</f>
        <v>-4908.16083594656</v>
      </c>
      <c r="L300" s="69" t="n">
        <f aca="false">-L293*Inputs!$D$37</f>
        <v>-5023.00137239627</v>
      </c>
      <c r="M300" s="69" t="n">
        <f aca="false">-M293*Inputs!$D$37</f>
        <v>-5134.16701167959</v>
      </c>
      <c r="N300" s="69" t="n">
        <f aca="false">-N293*Inputs!$D$37</f>
        <v>-4757.04383050584</v>
      </c>
      <c r="O300" s="69" t="n">
        <f aca="false">-O293*Inputs!$D$37</f>
        <v>-4998.65740559954</v>
      </c>
      <c r="P300" s="69" t="n">
        <f aca="false">-P293*Inputs!$D$37</f>
        <v>-5097.68255345236</v>
      </c>
      <c r="Q300" s="69" t="n">
        <f aca="false">-Q293*Inputs!$D$37</f>
        <v>-5692.81236217388</v>
      </c>
      <c r="R300" s="69" t="n">
        <f aca="false">-R293*Inputs!$D$37</f>
        <v>-5797.27662028032</v>
      </c>
      <c r="S300" s="69" t="n">
        <f aca="false">-S293*Inputs!$D$37</f>
        <v>-5898.39802212735</v>
      </c>
      <c r="T300" s="69" t="n">
        <f aca="false">-T293*Inputs!$D$37</f>
        <v>-5996.28353911527</v>
      </c>
      <c r="U300" s="69" t="n">
        <f aca="false">-U293*Inputs!$D$37</f>
        <v>-6091.03671955958</v>
      </c>
      <c r="V300" s="69" t="n">
        <f aca="false">-V293*Inputs!$D$37</f>
        <v>-6182.75779822968</v>
      </c>
      <c r="W300" s="69" t="n">
        <f aca="false">-W293*Inputs!$D$37</f>
        <v>-6271.54380238233</v>
      </c>
      <c r="X300" s="69" t="n">
        <f aca="false">-X293*Inputs!$D$37</f>
        <v>-6357.48865440209</v>
      </c>
      <c r="Y300" s="69" t="n">
        <f aca="false">-Y293*Inputs!$D$37</f>
        <v>-6440.68327115723</v>
      </c>
      <c r="Z300" s="69" t="n">
        <f aca="false">-Z293*Inputs!$D$37</f>
        <v>-6021.94219457619</v>
      </c>
      <c r="AA300" s="69" t="n">
        <f aca="false">-AA293*Inputs!$D$37</f>
        <v>-6274.59392813721</v>
      </c>
      <c r="AB300" s="69" t="n">
        <f aca="false">-AB293*Inputs!$D$37</f>
        <v>-6348.00863697378</v>
      </c>
      <c r="AC300" s="69" t="n">
        <f aca="false">-AC293*Inputs!$D$37</f>
        <v>-6933.32574469558</v>
      </c>
      <c r="AD300" s="69" t="n">
        <f aca="false">-AD293*Inputs!$D$37</f>
        <v>-7014.1426663322</v>
      </c>
      <c r="AE300" s="69" t="n">
        <f aca="false">-AE293*Inputs!$D$37</f>
        <v>-7092.37344647645</v>
      </c>
      <c r="AF300" s="69" t="n">
        <f aca="false">-AF293*Inputs!$D$37</f>
        <v>-7168.10084165608</v>
      </c>
      <c r="AG300" s="69" t="n">
        <f aca="false">-AG293*Inputs!$D$37</f>
        <v>-7241.40496018997</v>
      </c>
      <c r="AH300" s="69" t="n">
        <f aca="false">-AH293*Inputs!$D$37</f>
        <v>-7312.36334693077</v>
      </c>
      <c r="AI300" s="69" t="n">
        <f aca="false">-AI293*Inputs!$D$37</f>
        <v>-7381.05106529586</v>
      </c>
      <c r="AJ300" s="69" t="n">
        <f aca="false">-AJ293*Inputs!$D$37</f>
        <v>-7447.54077667328</v>
      </c>
      <c r="AK300" s="69" t="n">
        <f aca="false">-AK293*Inputs!$D$37</f>
        <v>-7511.90281728661</v>
      </c>
      <c r="AL300" s="69" t="n">
        <f aca="false">-AL293*Inputs!$D$37</f>
        <v>-7059.95360303232</v>
      </c>
    </row>
    <row r="301" customFormat="false" ht="15" hidden="false" customHeight="false" outlineLevel="0" collapsed="false">
      <c r="A301" s="4" t="s">
        <v>76</v>
      </c>
      <c r="C301" s="75" t="n">
        <f aca="false">C299+C300</f>
        <v>-9541.33678368</v>
      </c>
      <c r="D301" s="75" t="n">
        <f aca="false">D299+D300</f>
        <v>-10764.5580956994</v>
      </c>
      <c r="E301" s="75" t="n">
        <f aca="false">E299+E300</f>
        <v>-13742.1120632287</v>
      </c>
      <c r="F301" s="75" t="n">
        <f aca="false">F299+F300</f>
        <v>-15254.4018311661</v>
      </c>
      <c r="G301" s="75" t="n">
        <f aca="false">G299+G300</f>
        <v>-16804.5878117865</v>
      </c>
      <c r="H301" s="75" t="n">
        <f aca="false">H299+H300</f>
        <v>-18391.4573262843</v>
      </c>
      <c r="I301" s="75" t="n">
        <f aca="false">I299+I300</f>
        <v>-20013.8365015752</v>
      </c>
      <c r="J301" s="75" t="n">
        <f aca="false">J299+J300</f>
        <v>-21670.589028514</v>
      </c>
      <c r="K301" s="75" t="n">
        <f aca="false">K299+K300</f>
        <v>-22319.4110613794</v>
      </c>
      <c r="L301" s="75" t="n">
        <f aca="false">L299+L300</f>
        <v>-22947.470789193</v>
      </c>
      <c r="M301" s="75" t="n">
        <f aca="false">M299+M300</f>
        <v>-23555.4326057166</v>
      </c>
      <c r="N301" s="75" t="n">
        <f aca="false">N299+N300</f>
        <v>-21197.800187801</v>
      </c>
      <c r="O301" s="75" t="n">
        <f aca="false">O299+O300</f>
        <v>-22233.5242485878</v>
      </c>
      <c r="P301" s="75" t="n">
        <f aca="false">P299+P300</f>
        <v>-22716.116970745</v>
      </c>
      <c r="Q301" s="75" t="n">
        <f aca="false">Q299+Q300</f>
        <v>-26374.068890999</v>
      </c>
      <c r="R301" s="75" t="n">
        <f aca="false">R299+R300</f>
        <v>-26943.1147867253</v>
      </c>
      <c r="S301" s="75" t="n">
        <f aca="false">S299+S300</f>
        <v>-27493.9512137883</v>
      </c>
      <c r="T301" s="75" t="n">
        <f aca="false">T299+T300</f>
        <v>-28027.1608751853</v>
      </c>
      <c r="U301" s="75" t="n">
        <f aca="false">U299+U300</f>
        <v>-28543.3078274176</v>
      </c>
      <c r="V301" s="75" t="n">
        <f aca="false">V299+V300</f>
        <v>-29042.9380771784</v>
      </c>
      <c r="W301" s="75" t="n">
        <f aca="false">W299+W300</f>
        <v>-29526.580158947</v>
      </c>
      <c r="X301" s="75" t="n">
        <f aca="false">X299+X300</f>
        <v>-29994.7456940989</v>
      </c>
      <c r="Y301" s="75" t="n">
        <f aca="false">Y299+Y300</f>
        <v>-30447.9299321259</v>
      </c>
      <c r="Z301" s="75" t="n">
        <f aca="false">Z299+Z300</f>
        <v>-27220.4371950677</v>
      </c>
      <c r="AA301" s="75" t="n">
        <f aca="false">AA299+AA300</f>
        <v>-28280.5596950569</v>
      </c>
      <c r="AB301" s="75" t="n">
        <f aca="false">AB299+AB300</f>
        <v>-28636.9611581041</v>
      </c>
      <c r="AC301" s="75" t="n">
        <f aca="false">AC299+AC300</f>
        <v>-32865.9023127393</v>
      </c>
      <c r="AD301" s="75" t="n">
        <f aca="false">AD299+AD300</f>
        <v>-33304.3898488243</v>
      </c>
      <c r="AE301" s="75" t="n">
        <f aca="false">AE299+AE300</f>
        <v>-33728.8457837546</v>
      </c>
      <c r="AF301" s="75" t="n">
        <f aca="false">AF299+AF300</f>
        <v>-34139.7191287671</v>
      </c>
      <c r="AG301" s="75" t="n">
        <f aca="false">AG299+AG300</f>
        <v>-34537.4445267392</v>
      </c>
      <c r="AH301" s="75" t="n">
        <f aca="false">AH299+AH300</f>
        <v>-34922.4427119762</v>
      </c>
      <c r="AI301" s="75" t="n">
        <f aca="false">AI299+AI300</f>
        <v>-35295.1209552857</v>
      </c>
      <c r="AJ301" s="75" t="n">
        <f aca="false">AJ299+AJ300</f>
        <v>-35655.8734948092</v>
      </c>
      <c r="AK301" s="75" t="n">
        <f aca="false">AK299+AK300</f>
        <v>-36005.0819530679</v>
      </c>
      <c r="AL301" s="75" t="n">
        <f aca="false">AL299+AL300</f>
        <v>-32093.1926345125</v>
      </c>
    </row>
    <row r="302" customFormat="false" ht="15" hidden="false" customHeight="false" outlineLevel="0" collapsed="false">
      <c r="A302" s="113" t="s">
        <v>45</v>
      </c>
      <c r="C302" s="70" t="n">
        <f aca="false">C293+C301</f>
        <v>68443.06921632</v>
      </c>
      <c r="D302" s="70" t="n">
        <f aca="false">D293+D301</f>
        <v>77123.3152665863</v>
      </c>
      <c r="E302" s="70" t="n">
        <f aca="false">E293+E301</f>
        <v>96042.264014321</v>
      </c>
      <c r="F302" s="70" t="n">
        <f aca="false">F293+F301</f>
        <v>106304.619983331</v>
      </c>
      <c r="G302" s="70" t="n">
        <f aca="false">G293+G301</f>
        <v>116776.555144646</v>
      </c>
      <c r="H302" s="70" t="n">
        <f aca="false">H293+H301</f>
        <v>127451.362964114</v>
      </c>
      <c r="I302" s="70" t="n">
        <f aca="false">I293+I301</f>
        <v>138322.551516673</v>
      </c>
      <c r="J302" s="70" t="n">
        <f aca="false">J293+J301</f>
        <v>149383.836618865</v>
      </c>
      <c r="K302" s="70" t="n">
        <f aca="false">K293+K301</f>
        <v>152972.047365283</v>
      </c>
      <c r="L302" s="70" t="n">
        <f aca="false">L293+L301</f>
        <v>156445.435367817</v>
      </c>
      <c r="M302" s="70" t="n">
        <f aca="false">M293+M301</f>
        <v>159807.674954269</v>
      </c>
      <c r="N302" s="70" t="n">
        <f aca="false">N293+N301</f>
        <v>148696.622330265</v>
      </c>
      <c r="O302" s="70" t="n">
        <f aca="false">O293+O301</f>
        <v>156289.954522824</v>
      </c>
      <c r="P302" s="70" t="n">
        <f aca="false">P293+P301</f>
        <v>159343.974223982</v>
      </c>
      <c r="Q302" s="70" t="n">
        <f aca="false">Q293+Q301</f>
        <v>176940.658329497</v>
      </c>
      <c r="R302" s="70" t="n">
        <f aca="false">R293+R301</f>
        <v>180102.478794715</v>
      </c>
      <c r="S302" s="70" t="n">
        <f aca="false">S293+S301</f>
        <v>183163.121005046</v>
      </c>
      <c r="T302" s="70" t="n">
        <f aca="false">T293+T301</f>
        <v>186125.822664646</v>
      </c>
      <c r="U302" s="70" t="n">
        <f aca="false">U293+U301</f>
        <v>188993.717871139</v>
      </c>
      <c r="V302" s="70" t="n">
        <f aca="false">V293+V301</f>
        <v>191769.840431024</v>
      </c>
      <c r="W302" s="70" t="n">
        <f aca="false">W293+W301</f>
        <v>194457.127068993</v>
      </c>
      <c r="X302" s="70" t="n">
        <f aca="false">X293+X301</f>
        <v>197058.420534547</v>
      </c>
      <c r="Y302" s="70" t="n">
        <f aca="false">Y293+Y301</f>
        <v>199576.472609204</v>
      </c>
      <c r="Z302" s="70" t="n">
        <f aca="false">Z293+Z301</f>
        <v>187848.926896939</v>
      </c>
      <c r="AA302" s="70" t="n">
        <f aca="false">AA293+AA301</f>
        <v>195812.080595558</v>
      </c>
      <c r="AB302" s="70" t="n">
        <f aca="false">AB293+AB301</f>
        <v>198077.633019531</v>
      </c>
      <c r="AC302" s="70" t="n">
        <f aca="false">AC293+AC301</f>
        <v>214752.874283531</v>
      </c>
      <c r="AD302" s="70" t="n">
        <f aca="false">AD293+AD301</f>
        <v>217200.705377326</v>
      </c>
      <c r="AE302" s="70" t="n">
        <f aca="false">AE293+AE301</f>
        <v>219570.205876119</v>
      </c>
      <c r="AF302" s="70" t="n">
        <f aca="false">AF293+AF301</f>
        <v>221863.88235895</v>
      </c>
      <c r="AG302" s="70" t="n">
        <f aca="false">AG293+AG301</f>
        <v>224084.161194331</v>
      </c>
      <c r="AH302" s="70" t="n">
        <f aca="false">AH293+AH301</f>
        <v>226233.39110698</v>
      </c>
      <c r="AI302" s="70" t="n">
        <f aca="false">AI293+AI301</f>
        <v>228313.845662424</v>
      </c>
      <c r="AJ302" s="70" t="n">
        <f aca="false">AJ293+AJ301</f>
        <v>230327.725672094</v>
      </c>
      <c r="AK302" s="70" t="n">
        <f aca="false">AK293+AK301</f>
        <v>232277.161521454</v>
      </c>
      <c r="AL302" s="70" t="n">
        <f aca="false">AL293+AL301</f>
        <v>220048.007473785</v>
      </c>
    </row>
    <row r="304" customFormat="false" ht="15.75" hidden="false" customHeight="true" outlineLevel="0" collapsed="false">
      <c r="A304" s="7" t="s">
        <v>47</v>
      </c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</row>
    <row r="305" customFormat="false" ht="15" hidden="false" customHeight="false" outlineLevel="0" collapsed="false">
      <c r="A305" s="6" t="s">
        <v>338</v>
      </c>
      <c r="C305" s="69" t="n">
        <f aca="false">C382</f>
        <v>-36586.6666666667</v>
      </c>
      <c r="D305" s="69" t="n">
        <f aca="false">D382</f>
        <v>-36586.6666666667</v>
      </c>
      <c r="E305" s="69" t="n">
        <f aca="false">E382</f>
        <v>-36586.6666666667</v>
      </c>
      <c r="F305" s="69" t="n">
        <f aca="false">F382</f>
        <v>-36586.6666666667</v>
      </c>
      <c r="G305" s="69" t="n">
        <f aca="false">G382</f>
        <v>-36586.6666666667</v>
      </c>
      <c r="H305" s="69" t="n">
        <f aca="false">H382</f>
        <v>-36586.6666666667</v>
      </c>
      <c r="I305" s="69" t="n">
        <f aca="false">I382</f>
        <v>-36586.6666666667</v>
      </c>
      <c r="J305" s="69" t="n">
        <f aca="false">J382</f>
        <v>-36586.6666666667</v>
      </c>
      <c r="K305" s="69" t="n">
        <f aca="false">K382</f>
        <v>-36586.6666666667</v>
      </c>
      <c r="L305" s="69" t="n">
        <f aca="false">L382</f>
        <v>-36586.6666666667</v>
      </c>
      <c r="M305" s="69" t="n">
        <f aca="false">M382</f>
        <v>-36586.6666666667</v>
      </c>
      <c r="N305" s="69" t="n">
        <f aca="false">N382</f>
        <v>-36586.6666666667</v>
      </c>
      <c r="O305" s="69" t="n">
        <f aca="false">O382</f>
        <v>-37684.2666666667</v>
      </c>
      <c r="P305" s="69" t="n">
        <f aca="false">P382</f>
        <v>-37684.2666666667</v>
      </c>
      <c r="Q305" s="69" t="n">
        <f aca="false">Q382</f>
        <v>-37684.2666666667</v>
      </c>
      <c r="R305" s="69" t="n">
        <f aca="false">R382</f>
        <v>-37684.2666666667</v>
      </c>
      <c r="S305" s="69" t="n">
        <f aca="false">S382</f>
        <v>-37684.2666666667</v>
      </c>
      <c r="T305" s="69" t="n">
        <f aca="false">T382</f>
        <v>-37684.2666666667</v>
      </c>
      <c r="U305" s="69" t="n">
        <f aca="false">U382</f>
        <v>-37684.2666666667</v>
      </c>
      <c r="V305" s="69" t="n">
        <f aca="false">V382</f>
        <v>-37684.2666666667</v>
      </c>
      <c r="W305" s="69" t="n">
        <f aca="false">W382</f>
        <v>-37684.2666666667</v>
      </c>
      <c r="X305" s="69" t="n">
        <f aca="false">X382</f>
        <v>-37684.2666666667</v>
      </c>
      <c r="Y305" s="69" t="n">
        <f aca="false">Y382</f>
        <v>-37684.2666666667</v>
      </c>
      <c r="Z305" s="69" t="n">
        <f aca="false">Z382</f>
        <v>-37684.2666666667</v>
      </c>
      <c r="AA305" s="69" t="n">
        <f aca="false">AA382</f>
        <v>-38814.7946666667</v>
      </c>
      <c r="AB305" s="69" t="n">
        <f aca="false">AB382</f>
        <v>-38814.7946666667</v>
      </c>
      <c r="AC305" s="69" t="n">
        <f aca="false">AC382</f>
        <v>-38814.7946666667</v>
      </c>
      <c r="AD305" s="69" t="n">
        <f aca="false">AD382</f>
        <v>-38814.7946666667</v>
      </c>
      <c r="AE305" s="69" t="n">
        <f aca="false">AE382</f>
        <v>-38814.7946666667</v>
      </c>
      <c r="AF305" s="69" t="n">
        <f aca="false">AF382</f>
        <v>-38814.7946666667</v>
      </c>
      <c r="AG305" s="69" t="n">
        <f aca="false">AG382</f>
        <v>-38814.7946666667</v>
      </c>
      <c r="AH305" s="69" t="n">
        <f aca="false">AH382</f>
        <v>-38814.7946666667</v>
      </c>
      <c r="AI305" s="69" t="n">
        <f aca="false">AI382</f>
        <v>-38814.7946666667</v>
      </c>
      <c r="AJ305" s="69" t="n">
        <f aca="false">AJ382</f>
        <v>-38814.7946666667</v>
      </c>
      <c r="AK305" s="69" t="n">
        <f aca="false">AK382</f>
        <v>-38814.7946666667</v>
      </c>
      <c r="AL305" s="69" t="n">
        <f aca="false">AL382</f>
        <v>-38814.7946666667</v>
      </c>
    </row>
    <row r="306" customFormat="false" ht="15" hidden="false" customHeight="false" outlineLevel="0" collapsed="false">
      <c r="A306" s="6" t="s">
        <v>339</v>
      </c>
      <c r="C306" s="69" t="n">
        <f aca="false">-Inputs!$D$41*(1+Inputs!$D$42)^(C$261-1)*1</f>
        <v>-30000</v>
      </c>
      <c r="D306" s="69" t="n">
        <f aca="false">-Inputs!$D$41*(1+Inputs!$D$42)^(D$261-1)*1</f>
        <v>-30000</v>
      </c>
      <c r="E306" s="69" t="n">
        <f aca="false">-Inputs!$D$41*(1+Inputs!$D$42)^(E$261-1)*1</f>
        <v>-30000</v>
      </c>
      <c r="F306" s="69" t="n">
        <f aca="false">-Inputs!$D$41*(1+Inputs!$D$42)^(F$261-1)*1</f>
        <v>-30000</v>
      </c>
      <c r="G306" s="69" t="n">
        <f aca="false">-Inputs!$D$41*(1+Inputs!$D$42)^(G$261-1)*1</f>
        <v>-30000</v>
      </c>
      <c r="H306" s="69" t="n">
        <f aca="false">-Inputs!$D$41*(1+Inputs!$D$42)^(H$261-1)*1</f>
        <v>-30000</v>
      </c>
      <c r="I306" s="69" t="n">
        <f aca="false">-Inputs!$D$41*(1+Inputs!$D$42)^(I$261-1)*1</f>
        <v>-30000</v>
      </c>
      <c r="J306" s="69" t="n">
        <f aca="false">-Inputs!$D$41*(1+Inputs!$D$42)^(J$261-1)*1</f>
        <v>-30000</v>
      </c>
      <c r="K306" s="69" t="n">
        <f aca="false">-Inputs!$D$41*(1+Inputs!$D$42)^(K$261-1)*1</f>
        <v>-30000</v>
      </c>
      <c r="L306" s="69" t="n">
        <f aca="false">-Inputs!$D$41*(1+Inputs!$D$42)^(L$261-1)*1</f>
        <v>-30000</v>
      </c>
      <c r="M306" s="69" t="n">
        <f aca="false">-Inputs!$D$41*(1+Inputs!$D$42)^(M$261-1)*1</f>
        <v>-30000</v>
      </c>
      <c r="N306" s="69" t="n">
        <f aca="false">-Inputs!$D$41*(1+Inputs!$D$42)^(N$261-1)*1</f>
        <v>-30000</v>
      </c>
      <c r="O306" s="69" t="n">
        <f aca="false">-Inputs!$D$41*(1+Inputs!$D$42)^(O$261-1)*1</f>
        <v>-30900</v>
      </c>
      <c r="P306" s="69" t="n">
        <f aca="false">-Inputs!$D$41*(1+Inputs!$D$42)^(P$261-1)*1</f>
        <v>-30900</v>
      </c>
      <c r="Q306" s="69" t="n">
        <f aca="false">-Inputs!$D$41*(1+Inputs!$D$42)^(Q$261-1)*1</f>
        <v>-30900</v>
      </c>
      <c r="R306" s="69" t="n">
        <f aca="false">-Inputs!$D$41*(1+Inputs!$D$42)^(R$261-1)*1</f>
        <v>-30900</v>
      </c>
      <c r="S306" s="69" t="n">
        <f aca="false">-Inputs!$D$41*(1+Inputs!$D$42)^(S$261-1)*1</f>
        <v>-30900</v>
      </c>
      <c r="T306" s="69" t="n">
        <f aca="false">-Inputs!$D$41*(1+Inputs!$D$42)^(T$261-1)*1</f>
        <v>-30900</v>
      </c>
      <c r="U306" s="69" t="n">
        <f aca="false">-Inputs!$D$41*(1+Inputs!$D$42)^(U$261-1)*1</f>
        <v>-30900</v>
      </c>
      <c r="V306" s="69" t="n">
        <f aca="false">-Inputs!$D$41*(1+Inputs!$D$42)^(V$261-1)*1</f>
        <v>-30900</v>
      </c>
      <c r="W306" s="69" t="n">
        <f aca="false">-Inputs!$D$41*(1+Inputs!$D$42)^(W$261-1)*1</f>
        <v>-30900</v>
      </c>
      <c r="X306" s="69" t="n">
        <f aca="false">-Inputs!$D$41*(1+Inputs!$D$42)^(X$261-1)*1</f>
        <v>-30900</v>
      </c>
      <c r="Y306" s="69" t="n">
        <f aca="false">-Inputs!$D$41*(1+Inputs!$D$42)^(Y$261-1)*1</f>
        <v>-30900</v>
      </c>
      <c r="Z306" s="69" t="n">
        <f aca="false">-Inputs!$D$41*(1+Inputs!$D$42)^(Z$261-1)*1</f>
        <v>-30900</v>
      </c>
      <c r="AA306" s="69" t="n">
        <f aca="false">-Inputs!$D$41*(1+Inputs!$D$42)^(AA$261-1)*1</f>
        <v>-31827</v>
      </c>
      <c r="AB306" s="69" t="n">
        <f aca="false">-Inputs!$D$41*(1+Inputs!$D$42)^(AB$261-1)*1</f>
        <v>-31827</v>
      </c>
      <c r="AC306" s="69" t="n">
        <f aca="false">-Inputs!$D$41*(1+Inputs!$D$42)^(AC$261-1)*1</f>
        <v>-31827</v>
      </c>
      <c r="AD306" s="69" t="n">
        <f aca="false">-Inputs!$D$41*(1+Inputs!$D$42)^(AD$261-1)*1</f>
        <v>-31827</v>
      </c>
      <c r="AE306" s="69" t="n">
        <f aca="false">-Inputs!$D$41*(1+Inputs!$D$42)^(AE$261-1)*1</f>
        <v>-31827</v>
      </c>
      <c r="AF306" s="69" t="n">
        <f aca="false">-Inputs!$D$41*(1+Inputs!$D$42)^(AF$261-1)*1</f>
        <v>-31827</v>
      </c>
      <c r="AG306" s="69" t="n">
        <f aca="false">-Inputs!$D$41*(1+Inputs!$D$42)^(AG$261-1)*1</f>
        <v>-31827</v>
      </c>
      <c r="AH306" s="69" t="n">
        <f aca="false">-Inputs!$D$41*(1+Inputs!$D$42)^(AH$261-1)*1</f>
        <v>-31827</v>
      </c>
      <c r="AI306" s="69" t="n">
        <f aca="false">-Inputs!$D$41*(1+Inputs!$D$42)^(AI$261-1)*1</f>
        <v>-31827</v>
      </c>
      <c r="AJ306" s="69" t="n">
        <f aca="false">-Inputs!$D$41*(1+Inputs!$D$42)^(AJ$261-1)*1</f>
        <v>-31827</v>
      </c>
      <c r="AK306" s="69" t="n">
        <f aca="false">-Inputs!$D$41*(1+Inputs!$D$42)^(AK$261-1)*1</f>
        <v>-31827</v>
      </c>
      <c r="AL306" s="69" t="n">
        <f aca="false">-Inputs!$D$41*(1+Inputs!$D$42)^(AL$261-1)*1</f>
        <v>-31827</v>
      </c>
    </row>
    <row r="307" customFormat="false" ht="15" hidden="false" customHeight="false" outlineLevel="0" collapsed="false">
      <c r="A307" s="6" t="s">
        <v>340</v>
      </c>
      <c r="C307" s="69" t="n">
        <f aca="false">-Inputs!$D$43*(1+Inputs!$D$38)^(C$261-1)*1</f>
        <v>-5500</v>
      </c>
      <c r="D307" s="69" t="n">
        <f aca="false">-Inputs!$D$43*(1+Inputs!$D$38)^(D$261-1)*1</f>
        <v>-5500</v>
      </c>
      <c r="E307" s="69" t="n">
        <f aca="false">-Inputs!$D$43*(1+Inputs!$D$38)^(E$261-1)*1</f>
        <v>-5500</v>
      </c>
      <c r="F307" s="69" t="n">
        <f aca="false">-Inputs!$D$43*(1+Inputs!$D$38)^(F$261-1)*1</f>
        <v>-5500</v>
      </c>
      <c r="G307" s="69" t="n">
        <f aca="false">-Inputs!$D$43*(1+Inputs!$D$38)^(G$261-1)*1</f>
        <v>-5500</v>
      </c>
      <c r="H307" s="69" t="n">
        <f aca="false">-Inputs!$D$43*(1+Inputs!$D$38)^(H$261-1)*1</f>
        <v>-5500</v>
      </c>
      <c r="I307" s="69" t="n">
        <f aca="false">-Inputs!$D$43*(1+Inputs!$D$38)^(I$261-1)*1</f>
        <v>-5500</v>
      </c>
      <c r="J307" s="69" t="n">
        <f aca="false">-Inputs!$D$43*(1+Inputs!$D$38)^(J$261-1)*1</f>
        <v>-5500</v>
      </c>
      <c r="K307" s="69" t="n">
        <f aca="false">-Inputs!$D$43*(1+Inputs!$D$38)^(K$261-1)*1</f>
        <v>-5500</v>
      </c>
      <c r="L307" s="69" t="n">
        <f aca="false">-Inputs!$D$43*(1+Inputs!$D$38)^(L$261-1)*1</f>
        <v>-5500</v>
      </c>
      <c r="M307" s="69" t="n">
        <f aca="false">-Inputs!$D$43*(1+Inputs!$D$38)^(M$261-1)*1</f>
        <v>-5500</v>
      </c>
      <c r="N307" s="69" t="n">
        <f aca="false">-Inputs!$D$43*(1+Inputs!$D$38)^(N$261-1)*1</f>
        <v>-5500</v>
      </c>
      <c r="O307" s="69" t="n">
        <f aca="false">-Inputs!$D$43*(1+Inputs!$D$38)^(O$261-1)*1</f>
        <v>-5637.5</v>
      </c>
      <c r="P307" s="69" t="n">
        <f aca="false">-Inputs!$D$43*(1+Inputs!$D$38)^(P$261-1)*1</f>
        <v>-5637.5</v>
      </c>
      <c r="Q307" s="69" t="n">
        <f aca="false">-Inputs!$D$43*(1+Inputs!$D$38)^(Q$261-1)*1</f>
        <v>-5637.5</v>
      </c>
      <c r="R307" s="69" t="n">
        <f aca="false">-Inputs!$D$43*(1+Inputs!$D$38)^(R$261-1)*1</f>
        <v>-5637.5</v>
      </c>
      <c r="S307" s="69" t="n">
        <f aca="false">-Inputs!$D$43*(1+Inputs!$D$38)^(S$261-1)*1</f>
        <v>-5637.5</v>
      </c>
      <c r="T307" s="69" t="n">
        <f aca="false">-Inputs!$D$43*(1+Inputs!$D$38)^(T$261-1)*1</f>
        <v>-5637.5</v>
      </c>
      <c r="U307" s="69" t="n">
        <f aca="false">-Inputs!$D$43*(1+Inputs!$D$38)^(U$261-1)*1</f>
        <v>-5637.5</v>
      </c>
      <c r="V307" s="69" t="n">
        <f aca="false">-Inputs!$D$43*(1+Inputs!$D$38)^(V$261-1)*1</f>
        <v>-5637.5</v>
      </c>
      <c r="W307" s="69" t="n">
        <f aca="false">-Inputs!$D$43*(1+Inputs!$D$38)^(W$261-1)*1</f>
        <v>-5637.5</v>
      </c>
      <c r="X307" s="69" t="n">
        <f aca="false">-Inputs!$D$43*(1+Inputs!$D$38)^(X$261-1)*1</f>
        <v>-5637.5</v>
      </c>
      <c r="Y307" s="69" t="n">
        <f aca="false">-Inputs!$D$43*(1+Inputs!$D$38)^(Y$261-1)*1</f>
        <v>-5637.5</v>
      </c>
      <c r="Z307" s="69" t="n">
        <f aca="false">-Inputs!$D$43*(1+Inputs!$D$38)^(Z$261-1)*1</f>
        <v>-5637.5</v>
      </c>
      <c r="AA307" s="69" t="n">
        <f aca="false">-Inputs!$D$43*(1+Inputs!$D$38)^(AA$261-1)*1</f>
        <v>-5778.4375</v>
      </c>
      <c r="AB307" s="69" t="n">
        <f aca="false">-Inputs!$D$43*(1+Inputs!$D$38)^(AB$261-1)*1</f>
        <v>-5778.4375</v>
      </c>
      <c r="AC307" s="69" t="n">
        <f aca="false">-Inputs!$D$43*(1+Inputs!$D$38)^(AC$261-1)*1</f>
        <v>-5778.4375</v>
      </c>
      <c r="AD307" s="69" t="n">
        <f aca="false">-Inputs!$D$43*(1+Inputs!$D$38)^(AD$261-1)*1</f>
        <v>-5778.4375</v>
      </c>
      <c r="AE307" s="69" t="n">
        <f aca="false">-Inputs!$D$43*(1+Inputs!$D$38)^(AE$261-1)*1</f>
        <v>-5778.4375</v>
      </c>
      <c r="AF307" s="69" t="n">
        <f aca="false">-Inputs!$D$43*(1+Inputs!$D$38)^(AF$261-1)*1</f>
        <v>-5778.4375</v>
      </c>
      <c r="AG307" s="69" t="n">
        <f aca="false">-Inputs!$D$43*(1+Inputs!$D$38)^(AG$261-1)*1</f>
        <v>-5778.4375</v>
      </c>
      <c r="AH307" s="69" t="n">
        <f aca="false">-Inputs!$D$43*(1+Inputs!$D$38)^(AH$261-1)*1</f>
        <v>-5778.4375</v>
      </c>
      <c r="AI307" s="69" t="n">
        <f aca="false">-Inputs!$D$43*(1+Inputs!$D$38)^(AI$261-1)*1</f>
        <v>-5778.4375</v>
      </c>
      <c r="AJ307" s="69" t="n">
        <f aca="false">-Inputs!$D$43*(1+Inputs!$D$38)^(AJ$261-1)*1</f>
        <v>-5778.4375</v>
      </c>
      <c r="AK307" s="69" t="n">
        <f aca="false">-Inputs!$D$43*(1+Inputs!$D$38)^(AK$261-1)*1</f>
        <v>-5778.4375</v>
      </c>
      <c r="AL307" s="69" t="n">
        <f aca="false">-Inputs!$D$43*(1+Inputs!$D$38)^(AL$261-1)*1</f>
        <v>-5778.4375</v>
      </c>
    </row>
    <row r="308" customFormat="false" ht="15" hidden="false" customHeight="false" outlineLevel="0" collapsed="false">
      <c r="A308" s="6" t="s">
        <v>341</v>
      </c>
      <c r="C308" s="69" t="n">
        <f aca="false">-Inputs!$D$44*(1+Inputs!$D$38)^(C$261-1)*1</f>
        <v>-9500</v>
      </c>
      <c r="D308" s="69" t="n">
        <f aca="false">-Inputs!$D$44*(1+Inputs!$D$38)^(D$261-1)*1</f>
        <v>-9500</v>
      </c>
      <c r="E308" s="69" t="n">
        <f aca="false">-Inputs!$D$44*(1+Inputs!$D$38)^(E$261-1)*1</f>
        <v>-9500</v>
      </c>
      <c r="F308" s="69" t="n">
        <f aca="false">-Inputs!$D$44*(1+Inputs!$D$38)^(F$261-1)*1</f>
        <v>-9500</v>
      </c>
      <c r="G308" s="69" t="n">
        <f aca="false">-Inputs!$D$44*(1+Inputs!$D$38)^(G$261-1)*1</f>
        <v>-9500</v>
      </c>
      <c r="H308" s="69" t="n">
        <f aca="false">-Inputs!$D$44*(1+Inputs!$D$38)^(H$261-1)*1</f>
        <v>-9500</v>
      </c>
      <c r="I308" s="69" t="n">
        <f aca="false">-Inputs!$D$44*(1+Inputs!$D$38)^(I$261-1)*1</f>
        <v>-9500</v>
      </c>
      <c r="J308" s="69" t="n">
        <f aca="false">-Inputs!$D$44*(1+Inputs!$D$38)^(J$261-1)*1</f>
        <v>-9500</v>
      </c>
      <c r="K308" s="69" t="n">
        <f aca="false">-Inputs!$D$44*(1+Inputs!$D$38)^(K$261-1)*1</f>
        <v>-9500</v>
      </c>
      <c r="L308" s="69" t="n">
        <f aca="false">-Inputs!$D$44*(1+Inputs!$D$38)^(L$261-1)*1</f>
        <v>-9500</v>
      </c>
      <c r="M308" s="69" t="n">
        <f aca="false">-Inputs!$D$44*(1+Inputs!$D$38)^(M$261-1)*1</f>
        <v>-9500</v>
      </c>
      <c r="N308" s="69" t="n">
        <f aca="false">-Inputs!$D$44*(1+Inputs!$D$38)^(N$261-1)*1</f>
        <v>-9500</v>
      </c>
      <c r="O308" s="69" t="n">
        <f aca="false">-Inputs!$D$44*(1+Inputs!$D$38)^(O$261-1)*1</f>
        <v>-9737.5</v>
      </c>
      <c r="P308" s="69" t="n">
        <f aca="false">-Inputs!$D$44*(1+Inputs!$D$38)^(P$261-1)*1</f>
        <v>-9737.5</v>
      </c>
      <c r="Q308" s="69" t="n">
        <f aca="false">-Inputs!$D$44*(1+Inputs!$D$38)^(Q$261-1)*1</f>
        <v>-9737.5</v>
      </c>
      <c r="R308" s="69" t="n">
        <f aca="false">-Inputs!$D$44*(1+Inputs!$D$38)^(R$261-1)*1</f>
        <v>-9737.5</v>
      </c>
      <c r="S308" s="69" t="n">
        <f aca="false">-Inputs!$D$44*(1+Inputs!$D$38)^(S$261-1)*1</f>
        <v>-9737.5</v>
      </c>
      <c r="T308" s="69" t="n">
        <f aca="false">-Inputs!$D$44*(1+Inputs!$D$38)^(T$261-1)*1</f>
        <v>-9737.5</v>
      </c>
      <c r="U308" s="69" t="n">
        <f aca="false">-Inputs!$D$44*(1+Inputs!$D$38)^(U$261-1)*1</f>
        <v>-9737.5</v>
      </c>
      <c r="V308" s="69" t="n">
        <f aca="false">-Inputs!$D$44*(1+Inputs!$D$38)^(V$261-1)*1</f>
        <v>-9737.5</v>
      </c>
      <c r="W308" s="69" t="n">
        <f aca="false">-Inputs!$D$44*(1+Inputs!$D$38)^(W$261-1)*1</f>
        <v>-9737.5</v>
      </c>
      <c r="X308" s="69" t="n">
        <f aca="false">-Inputs!$D$44*(1+Inputs!$D$38)^(X$261-1)*1</f>
        <v>-9737.5</v>
      </c>
      <c r="Y308" s="69" t="n">
        <f aca="false">-Inputs!$D$44*(1+Inputs!$D$38)^(Y$261-1)*1</f>
        <v>-9737.5</v>
      </c>
      <c r="Z308" s="69" t="n">
        <f aca="false">-Inputs!$D$44*(1+Inputs!$D$38)^(Z$261-1)*1</f>
        <v>-9737.5</v>
      </c>
      <c r="AA308" s="69" t="n">
        <f aca="false">-Inputs!$D$44*(1+Inputs!$D$38)^(AA$261-1)*1</f>
        <v>-9980.9375</v>
      </c>
      <c r="AB308" s="69" t="n">
        <f aca="false">-Inputs!$D$44*(1+Inputs!$D$38)^(AB$261-1)*1</f>
        <v>-9980.9375</v>
      </c>
      <c r="AC308" s="69" t="n">
        <f aca="false">-Inputs!$D$44*(1+Inputs!$D$38)^(AC$261-1)*1</f>
        <v>-9980.9375</v>
      </c>
      <c r="AD308" s="69" t="n">
        <f aca="false">-Inputs!$D$44*(1+Inputs!$D$38)^(AD$261-1)*1</f>
        <v>-9980.9375</v>
      </c>
      <c r="AE308" s="69" t="n">
        <f aca="false">-Inputs!$D$44*(1+Inputs!$D$38)^(AE$261-1)*1</f>
        <v>-9980.9375</v>
      </c>
      <c r="AF308" s="69" t="n">
        <f aca="false">-Inputs!$D$44*(1+Inputs!$D$38)^(AF$261-1)*1</f>
        <v>-9980.9375</v>
      </c>
      <c r="AG308" s="69" t="n">
        <f aca="false">-Inputs!$D$44*(1+Inputs!$D$38)^(AG$261-1)*1</f>
        <v>-9980.9375</v>
      </c>
      <c r="AH308" s="69" t="n">
        <f aca="false">-Inputs!$D$44*(1+Inputs!$D$38)^(AH$261-1)*1</f>
        <v>-9980.9375</v>
      </c>
      <c r="AI308" s="69" t="n">
        <f aca="false">-Inputs!$D$44*(1+Inputs!$D$38)^(AI$261-1)*1</f>
        <v>-9980.9375</v>
      </c>
      <c r="AJ308" s="69" t="n">
        <f aca="false">-Inputs!$D$44*(1+Inputs!$D$38)^(AJ$261-1)*1</f>
        <v>-9980.9375</v>
      </c>
      <c r="AK308" s="69" t="n">
        <f aca="false">-Inputs!$D$44*(1+Inputs!$D$38)^(AK$261-1)*1</f>
        <v>-9980.9375</v>
      </c>
      <c r="AL308" s="69" t="n">
        <f aca="false">-Inputs!$D$44*(1+Inputs!$D$38)^(AL$261-1)*1</f>
        <v>-9980.9375</v>
      </c>
    </row>
    <row r="309" customFormat="false" ht="15" hidden="false" customHeight="false" outlineLevel="0" collapsed="false">
      <c r="A309" s="6" t="s">
        <v>342</v>
      </c>
      <c r="C309" s="69" t="n">
        <f aca="false">-Inputs!$D$45*(1+Inputs!$D$46)^(C$261-1)*1</f>
        <v>-12000</v>
      </c>
      <c r="D309" s="69" t="n">
        <f aca="false">-Inputs!$D$45*(1+Inputs!$D$46)^(D$261-1)*1</f>
        <v>-12000</v>
      </c>
      <c r="E309" s="69" t="n">
        <f aca="false">-Inputs!$D$45*(1+Inputs!$D$46)^(E$261-1)*1</f>
        <v>-12000</v>
      </c>
      <c r="F309" s="69" t="n">
        <f aca="false">-Inputs!$D$45*(1+Inputs!$D$46)^(F$261-1)*1</f>
        <v>-12000</v>
      </c>
      <c r="G309" s="69" t="n">
        <f aca="false">-Inputs!$D$45*(1+Inputs!$D$46)^(G$261-1)*1</f>
        <v>-12000</v>
      </c>
      <c r="H309" s="69" t="n">
        <f aca="false">-Inputs!$D$45*(1+Inputs!$D$46)^(H$261-1)*1</f>
        <v>-12000</v>
      </c>
      <c r="I309" s="69" t="n">
        <f aca="false">-Inputs!$D$45*(1+Inputs!$D$46)^(I$261-1)*1</f>
        <v>-12000</v>
      </c>
      <c r="J309" s="69" t="n">
        <f aca="false">-Inputs!$D$45*(1+Inputs!$D$46)^(J$261-1)*1</f>
        <v>-12000</v>
      </c>
      <c r="K309" s="69" t="n">
        <f aca="false">-Inputs!$D$45*(1+Inputs!$D$46)^(K$261-1)*1</f>
        <v>-12000</v>
      </c>
      <c r="L309" s="69" t="n">
        <f aca="false">-Inputs!$D$45*(1+Inputs!$D$46)^(L$261-1)*1</f>
        <v>-12000</v>
      </c>
      <c r="M309" s="69" t="n">
        <f aca="false">-Inputs!$D$45*(1+Inputs!$D$46)^(M$261-1)*1</f>
        <v>-12000</v>
      </c>
      <c r="N309" s="69" t="n">
        <f aca="false">-Inputs!$D$45*(1+Inputs!$D$46)^(N$261-1)*1</f>
        <v>-12000</v>
      </c>
      <c r="O309" s="69" t="n">
        <f aca="false">-Inputs!$D$45*(1+Inputs!$D$46)^(O$261-1)*1</f>
        <v>-10800</v>
      </c>
      <c r="P309" s="69" t="n">
        <f aca="false">-Inputs!$D$45*(1+Inputs!$D$46)^(P$261-1)*1</f>
        <v>-10800</v>
      </c>
      <c r="Q309" s="69" t="n">
        <f aca="false">-Inputs!$D$45*(1+Inputs!$D$46)^(Q$261-1)*1</f>
        <v>-10800</v>
      </c>
      <c r="R309" s="69" t="n">
        <f aca="false">-Inputs!$D$45*(1+Inputs!$D$46)^(R$261-1)*1</f>
        <v>-10800</v>
      </c>
      <c r="S309" s="69" t="n">
        <f aca="false">-Inputs!$D$45*(1+Inputs!$D$46)^(S$261-1)*1</f>
        <v>-10800</v>
      </c>
      <c r="T309" s="69" t="n">
        <f aca="false">-Inputs!$D$45*(1+Inputs!$D$46)^(T$261-1)*1</f>
        <v>-10800</v>
      </c>
      <c r="U309" s="69" t="n">
        <f aca="false">-Inputs!$D$45*(1+Inputs!$D$46)^(U$261-1)*1</f>
        <v>-10800</v>
      </c>
      <c r="V309" s="69" t="n">
        <f aca="false">-Inputs!$D$45*(1+Inputs!$D$46)^(V$261-1)*1</f>
        <v>-10800</v>
      </c>
      <c r="W309" s="69" t="n">
        <f aca="false">-Inputs!$D$45*(1+Inputs!$D$46)^(W$261-1)*1</f>
        <v>-10800</v>
      </c>
      <c r="X309" s="69" t="n">
        <f aca="false">-Inputs!$D$45*(1+Inputs!$D$46)^(X$261-1)*1</f>
        <v>-10800</v>
      </c>
      <c r="Y309" s="69" t="n">
        <f aca="false">-Inputs!$D$45*(1+Inputs!$D$46)^(Y$261-1)*1</f>
        <v>-10800</v>
      </c>
      <c r="Z309" s="69" t="n">
        <f aca="false">-Inputs!$D$45*(1+Inputs!$D$46)^(Z$261-1)*1</f>
        <v>-10800</v>
      </c>
      <c r="AA309" s="69" t="n">
        <f aca="false">-Inputs!$D$45*(1+Inputs!$D$46)^(AA$261-1)*1</f>
        <v>-9720</v>
      </c>
      <c r="AB309" s="69" t="n">
        <f aca="false">-Inputs!$D$45*(1+Inputs!$D$46)^(AB$261-1)*1</f>
        <v>-9720</v>
      </c>
      <c r="AC309" s="69" t="n">
        <f aca="false">-Inputs!$D$45*(1+Inputs!$D$46)^(AC$261-1)*1</f>
        <v>-9720</v>
      </c>
      <c r="AD309" s="69" t="n">
        <f aca="false">-Inputs!$D$45*(1+Inputs!$D$46)^(AD$261-1)*1</f>
        <v>-9720</v>
      </c>
      <c r="AE309" s="69" t="n">
        <f aca="false">-Inputs!$D$45*(1+Inputs!$D$46)^(AE$261-1)*1</f>
        <v>-9720</v>
      </c>
      <c r="AF309" s="69" t="n">
        <f aca="false">-Inputs!$D$45*(1+Inputs!$D$46)^(AF$261-1)*1</f>
        <v>-9720</v>
      </c>
      <c r="AG309" s="69" t="n">
        <f aca="false">-Inputs!$D$45*(1+Inputs!$D$46)^(AG$261-1)*1</f>
        <v>-9720</v>
      </c>
      <c r="AH309" s="69" t="n">
        <f aca="false">-Inputs!$D$45*(1+Inputs!$D$46)^(AH$261-1)*1</f>
        <v>-9720</v>
      </c>
      <c r="AI309" s="69" t="n">
        <f aca="false">-Inputs!$D$45*(1+Inputs!$D$46)^(AI$261-1)*1</f>
        <v>-9720</v>
      </c>
      <c r="AJ309" s="69" t="n">
        <f aca="false">-Inputs!$D$45*(1+Inputs!$D$46)^(AJ$261-1)*1</f>
        <v>-9720</v>
      </c>
      <c r="AK309" s="69" t="n">
        <f aca="false">-Inputs!$D$45*(1+Inputs!$D$46)^(AK$261-1)*1</f>
        <v>-9720</v>
      </c>
      <c r="AL309" s="69" t="n">
        <f aca="false">-Inputs!$D$45*(1+Inputs!$D$46)^(AL$261-1)*1</f>
        <v>-9720</v>
      </c>
    </row>
    <row r="310" customFormat="false" ht="15" hidden="false" customHeight="false" outlineLevel="0" collapsed="false">
      <c r="A310" s="113" t="s">
        <v>77</v>
      </c>
      <c r="C310" s="70" t="n">
        <f aca="false">C305+C306+C307+C308+C309</f>
        <v>-93586.6666666667</v>
      </c>
      <c r="D310" s="70" t="n">
        <f aca="false">D305+D306+D307+D308+D309</f>
        <v>-93586.6666666667</v>
      </c>
      <c r="E310" s="70" t="n">
        <f aca="false">E305+E306+E307+E308+E309</f>
        <v>-93586.6666666667</v>
      </c>
      <c r="F310" s="70" t="n">
        <f aca="false">F305+F306+F307+F308+F309</f>
        <v>-93586.6666666667</v>
      </c>
      <c r="G310" s="70" t="n">
        <f aca="false">G305+G306+G307+G308+G309</f>
        <v>-93586.6666666667</v>
      </c>
      <c r="H310" s="70" t="n">
        <f aca="false">H305+H306+H307+H308+H309</f>
        <v>-93586.6666666667</v>
      </c>
      <c r="I310" s="70" t="n">
        <f aca="false">I305+I306+I307+I308+I309</f>
        <v>-93586.6666666667</v>
      </c>
      <c r="J310" s="70" t="n">
        <f aca="false">J305+J306+J307+J308+J309</f>
        <v>-93586.6666666667</v>
      </c>
      <c r="K310" s="70" t="n">
        <f aca="false">K305+K306+K307+K308+K309</f>
        <v>-93586.6666666667</v>
      </c>
      <c r="L310" s="70" t="n">
        <f aca="false">L305+L306+L307+L308+L309</f>
        <v>-93586.6666666667</v>
      </c>
      <c r="M310" s="70" t="n">
        <f aca="false">M305+M306+M307+M308+M309</f>
        <v>-93586.6666666667</v>
      </c>
      <c r="N310" s="70" t="n">
        <f aca="false">N305+N306+N307+N308+N309</f>
        <v>-93586.6666666667</v>
      </c>
      <c r="O310" s="70" t="n">
        <f aca="false">O305+O306+O307+O308+O309</f>
        <v>-94759.2666666667</v>
      </c>
      <c r="P310" s="70" t="n">
        <f aca="false">P305+P306+P307+P308+P309</f>
        <v>-94759.2666666667</v>
      </c>
      <c r="Q310" s="70" t="n">
        <f aca="false">Q305+Q306+Q307+Q308+Q309</f>
        <v>-94759.2666666667</v>
      </c>
      <c r="R310" s="70" t="n">
        <f aca="false">R305+R306+R307+R308+R309</f>
        <v>-94759.2666666667</v>
      </c>
      <c r="S310" s="70" t="n">
        <f aca="false">S305+S306+S307+S308+S309</f>
        <v>-94759.2666666667</v>
      </c>
      <c r="T310" s="70" t="n">
        <f aca="false">T305+T306+T307+T308+T309</f>
        <v>-94759.2666666667</v>
      </c>
      <c r="U310" s="70" t="n">
        <f aca="false">U305+U306+U307+U308+U309</f>
        <v>-94759.2666666667</v>
      </c>
      <c r="V310" s="70" t="n">
        <f aca="false">V305+V306+V307+V308+V309</f>
        <v>-94759.2666666667</v>
      </c>
      <c r="W310" s="70" t="n">
        <f aca="false">W305+W306+W307+W308+W309</f>
        <v>-94759.2666666667</v>
      </c>
      <c r="X310" s="70" t="n">
        <f aca="false">X305+X306+X307+X308+X309</f>
        <v>-94759.2666666667</v>
      </c>
      <c r="Y310" s="70" t="n">
        <f aca="false">Y305+Y306+Y307+Y308+Y309</f>
        <v>-94759.2666666667</v>
      </c>
      <c r="Z310" s="70" t="n">
        <f aca="false">Z305+Z306+Z307+Z308+Z309</f>
        <v>-94759.2666666667</v>
      </c>
      <c r="AA310" s="70" t="n">
        <f aca="false">AA305+AA306+AA307+AA308+AA309</f>
        <v>-96121.1696666667</v>
      </c>
      <c r="AB310" s="70" t="n">
        <f aca="false">AB305+AB306+AB307+AB308+AB309</f>
        <v>-96121.1696666667</v>
      </c>
      <c r="AC310" s="70" t="n">
        <f aca="false">AC305+AC306+AC307+AC308+AC309</f>
        <v>-96121.1696666667</v>
      </c>
      <c r="AD310" s="70" t="n">
        <f aca="false">AD305+AD306+AD307+AD308+AD309</f>
        <v>-96121.1696666667</v>
      </c>
      <c r="AE310" s="70" t="n">
        <f aca="false">AE305+AE306+AE307+AE308+AE309</f>
        <v>-96121.1696666667</v>
      </c>
      <c r="AF310" s="70" t="n">
        <f aca="false">AF305+AF306+AF307+AF308+AF309</f>
        <v>-96121.1696666667</v>
      </c>
      <c r="AG310" s="70" t="n">
        <f aca="false">AG305+AG306+AG307+AG308+AG309</f>
        <v>-96121.1696666667</v>
      </c>
      <c r="AH310" s="70" t="n">
        <f aca="false">AH305+AH306+AH307+AH308+AH309</f>
        <v>-96121.1696666667</v>
      </c>
      <c r="AI310" s="70" t="n">
        <f aca="false">AI305+AI306+AI307+AI308+AI309</f>
        <v>-96121.1696666667</v>
      </c>
      <c r="AJ310" s="70" t="n">
        <f aca="false">AJ305+AJ306+AJ307+AJ308+AJ309</f>
        <v>-96121.1696666667</v>
      </c>
      <c r="AK310" s="70" t="n">
        <f aca="false">AK305+AK306+AK307+AK308+AK309</f>
        <v>-96121.1696666667</v>
      </c>
      <c r="AL310" s="70" t="n">
        <f aca="false">AL305+AL306+AL307+AL308+AL309</f>
        <v>-96121.1696666667</v>
      </c>
    </row>
    <row r="311" customFormat="false" ht="15" hidden="false" customHeight="false" outlineLevel="0" collapsed="false">
      <c r="A311" s="113" t="s">
        <v>48</v>
      </c>
      <c r="C311" s="70" t="n">
        <f aca="false">C302+C310</f>
        <v>-25143.5974503467</v>
      </c>
      <c r="D311" s="70" t="n">
        <f aca="false">D302+D310</f>
        <v>-16463.3514000803</v>
      </c>
      <c r="E311" s="70" t="n">
        <f aca="false">E302+E310</f>
        <v>2455.59734765433</v>
      </c>
      <c r="F311" s="70" t="n">
        <f aca="false">F302+F310</f>
        <v>12717.953316664</v>
      </c>
      <c r="G311" s="70" t="n">
        <f aca="false">G302+G310</f>
        <v>23189.8884779796</v>
      </c>
      <c r="H311" s="70" t="n">
        <f aca="false">H302+H310</f>
        <v>33864.6962974474</v>
      </c>
      <c r="I311" s="70" t="n">
        <f aca="false">I302+I310</f>
        <v>44735.8848500066</v>
      </c>
      <c r="J311" s="70" t="n">
        <f aca="false">J302+J310</f>
        <v>55797.1699521981</v>
      </c>
      <c r="K311" s="70" t="n">
        <f aca="false">K302+K310</f>
        <v>59385.3806986167</v>
      </c>
      <c r="L311" s="70" t="n">
        <f aca="false">L302+L310</f>
        <v>62858.7687011498</v>
      </c>
      <c r="M311" s="70" t="n">
        <f aca="false">M302+M310</f>
        <v>66221.0082876019</v>
      </c>
      <c r="N311" s="70" t="n">
        <f aca="false">N302+N310</f>
        <v>55109.955663598</v>
      </c>
      <c r="O311" s="70" t="n">
        <f aca="false">O302+O310</f>
        <v>61530.6878561577</v>
      </c>
      <c r="P311" s="70" t="n">
        <f aca="false">P302+P310</f>
        <v>64584.7075573153</v>
      </c>
      <c r="Q311" s="70" t="n">
        <f aca="false">Q302+Q310</f>
        <v>82181.3916628301</v>
      </c>
      <c r="R311" s="70" t="n">
        <f aca="false">R302+R310</f>
        <v>85343.212128048</v>
      </c>
      <c r="S311" s="70" t="n">
        <f aca="false">S302+S310</f>
        <v>88403.8543383789</v>
      </c>
      <c r="T311" s="70" t="n">
        <f aca="false">T302+T310</f>
        <v>91366.5559979792</v>
      </c>
      <c r="U311" s="70" t="n">
        <f aca="false">U302+U310</f>
        <v>94234.4512044723</v>
      </c>
      <c r="V311" s="70" t="n">
        <f aca="false">V302+V310</f>
        <v>97010.5737643577</v>
      </c>
      <c r="W311" s="70" t="n">
        <f aca="false">W302+W310</f>
        <v>99697.8604023267</v>
      </c>
      <c r="X311" s="70" t="n">
        <f aca="false">X302+X310</f>
        <v>102299.153867881</v>
      </c>
      <c r="Y311" s="70" t="n">
        <f aca="false">Y302+Y310</f>
        <v>104817.205942537</v>
      </c>
      <c r="Z311" s="70" t="n">
        <f aca="false">Z302+Z310</f>
        <v>93089.6602302725</v>
      </c>
      <c r="AA311" s="70" t="n">
        <f aca="false">AA302+AA310</f>
        <v>99690.910928891</v>
      </c>
      <c r="AB311" s="70" t="n">
        <f aca="false">AB302+AB310</f>
        <v>101956.463352864</v>
      </c>
      <c r="AC311" s="70" t="n">
        <f aca="false">AC302+AC310</f>
        <v>118631.704616865</v>
      </c>
      <c r="AD311" s="70" t="n">
        <f aca="false">AD302+AD310</f>
        <v>121079.535710659</v>
      </c>
      <c r="AE311" s="70" t="n">
        <f aca="false">AE302+AE310</f>
        <v>123449.036209452</v>
      </c>
      <c r="AF311" s="70" t="n">
        <f aca="false">AF302+AF310</f>
        <v>125742.712692283</v>
      </c>
      <c r="AG311" s="70" t="n">
        <f aca="false">AG302+AG310</f>
        <v>127962.991527664</v>
      </c>
      <c r="AH311" s="70" t="n">
        <f aca="false">AH302+AH310</f>
        <v>130112.221440313</v>
      </c>
      <c r="AI311" s="70" t="n">
        <f aca="false">AI302+AI310</f>
        <v>132192.675995757</v>
      </c>
      <c r="AJ311" s="70" t="n">
        <f aca="false">AJ302+AJ310</f>
        <v>134206.556005427</v>
      </c>
      <c r="AK311" s="70" t="n">
        <f aca="false">AK302+AK310</f>
        <v>136155.991854787</v>
      </c>
      <c r="AL311" s="70" t="n">
        <f aca="false">AL302+AL310</f>
        <v>123926.837807118</v>
      </c>
    </row>
    <row r="313" customFormat="false" ht="15.75" hidden="false" customHeight="true" outlineLevel="0" collapsed="false">
      <c r="A313" s="7" t="s">
        <v>415</v>
      </c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</row>
    <row r="314" customFormat="false" ht="15" hidden="false" customHeight="false" outlineLevel="0" collapsed="false">
      <c r="A314" s="4" t="s">
        <v>79</v>
      </c>
      <c r="C314" s="75" t="n">
        <f aca="false">C311+C329</f>
        <v>-53615.8196725689</v>
      </c>
      <c r="D314" s="75" t="n">
        <f aca="false">D311+D329</f>
        <v>-44935.5736223026</v>
      </c>
      <c r="E314" s="75" t="n">
        <f aca="false">E311+E329</f>
        <v>-26016.6248745679</v>
      </c>
      <c r="F314" s="75" t="n">
        <f aca="false">F311+F329</f>
        <v>-15754.2689055582</v>
      </c>
      <c r="G314" s="75" t="n">
        <f aca="false">G311+G329</f>
        <v>-5282.3337442426</v>
      </c>
      <c r="H314" s="75" t="n">
        <f aca="false">H311+H329</f>
        <v>5392.47407522522</v>
      </c>
      <c r="I314" s="75" t="n">
        <f aca="false">I311+I329</f>
        <v>16263.6626277844</v>
      </c>
      <c r="J314" s="75" t="n">
        <f aca="false">J311+J329</f>
        <v>27324.9477299759</v>
      </c>
      <c r="K314" s="75" t="n">
        <f aca="false">K311+K329</f>
        <v>30913.1584763945</v>
      </c>
      <c r="L314" s="75" t="n">
        <f aca="false">L311+L329</f>
        <v>34386.5464789276</v>
      </c>
      <c r="M314" s="75" t="n">
        <f aca="false">M311+M329</f>
        <v>37748.7860653797</v>
      </c>
      <c r="N314" s="75" t="n">
        <f aca="false">N311+N329</f>
        <v>26637.7334413757</v>
      </c>
      <c r="O314" s="75" t="n">
        <f aca="false">O311+O329</f>
        <v>32780.6878561577</v>
      </c>
      <c r="P314" s="75" t="n">
        <f aca="false">P311+P329</f>
        <v>35834.7075573153</v>
      </c>
      <c r="Q314" s="75" t="n">
        <f aca="false">Q311+Q329</f>
        <v>53431.3916628301</v>
      </c>
      <c r="R314" s="75" t="n">
        <f aca="false">R311+R329</f>
        <v>56593.212128048</v>
      </c>
      <c r="S314" s="75" t="n">
        <f aca="false">S311+S329</f>
        <v>59653.8543383789</v>
      </c>
      <c r="T314" s="75" t="n">
        <f aca="false">T311+T329</f>
        <v>62616.5559979792</v>
      </c>
      <c r="U314" s="75" t="n">
        <f aca="false">U311+U329</f>
        <v>65484.4512044723</v>
      </c>
      <c r="V314" s="75" t="n">
        <f aca="false">V311+V329</f>
        <v>68260.5737643577</v>
      </c>
      <c r="W314" s="75" t="n">
        <f aca="false">W311+W329</f>
        <v>70947.8604023267</v>
      </c>
      <c r="X314" s="75" t="n">
        <f aca="false">X311+X329</f>
        <v>73549.1538678806</v>
      </c>
      <c r="Y314" s="75" t="n">
        <f aca="false">Y311+Y329</f>
        <v>76067.2059425369</v>
      </c>
      <c r="Z314" s="75" t="n">
        <f aca="false">Z311+Z329</f>
        <v>64339.6602302725</v>
      </c>
      <c r="AA314" s="75" t="n">
        <f aca="false">AA311+AA329</f>
        <v>70663.1331511132</v>
      </c>
      <c r="AB314" s="75" t="n">
        <f aca="false">AB311+AB329</f>
        <v>72928.6855750864</v>
      </c>
      <c r="AC314" s="75" t="n">
        <f aca="false">AC311+AC329</f>
        <v>89603.9268390868</v>
      </c>
      <c r="AD314" s="75" t="n">
        <f aca="false">AD311+AD329</f>
        <v>92051.7579328811</v>
      </c>
      <c r="AE314" s="75" t="n">
        <f aca="false">AE311+AE329</f>
        <v>94421.2584316741</v>
      </c>
      <c r="AF314" s="75" t="n">
        <f aca="false">AF311+AF329</f>
        <v>96714.9349145056</v>
      </c>
      <c r="AG314" s="75" t="n">
        <f aca="false">AG311+AG329</f>
        <v>98935.2137498865</v>
      </c>
      <c r="AH314" s="75" t="n">
        <f aca="false">AH311+AH329</f>
        <v>101084.443662535</v>
      </c>
      <c r="AI314" s="75" t="n">
        <f aca="false">AI311+AI329</f>
        <v>103164.898217979</v>
      </c>
      <c r="AJ314" s="75" t="n">
        <f aca="false">AJ311+AJ329</f>
        <v>105178.778227649</v>
      </c>
      <c r="AK314" s="75" t="n">
        <f aca="false">AK311+AK329</f>
        <v>107128.214077009</v>
      </c>
      <c r="AL314" s="75" t="n">
        <f aca="false">AL311+AL329</f>
        <v>94899.0600293401</v>
      </c>
    </row>
    <row r="315" customFormat="false" ht="15" hidden="false" customHeight="false" outlineLevel="0" collapsed="false">
      <c r="A315" s="6" t="s">
        <v>416</v>
      </c>
      <c r="C315" s="69" t="n">
        <f aca="false">-(C334+C335+C337)/2*Inputs!$D$69/12</f>
        <v>-21250</v>
      </c>
      <c r="D315" s="69" t="n">
        <f aca="false">-(D334+D335+D337)/2*Inputs!$D$69/12</f>
        <v>-21161.4583333333</v>
      </c>
      <c r="E315" s="69" t="n">
        <f aca="false">-(E334+E335+E337)/2*Inputs!$D$69/12</f>
        <v>-20984.375</v>
      </c>
      <c r="F315" s="69" t="n">
        <f aca="false">-(F334+F335+F337)/2*Inputs!$D$69/12</f>
        <v>-20807.2916666667</v>
      </c>
      <c r="G315" s="69" t="n">
        <f aca="false">-(G334+G335+G337)/2*Inputs!$D$69/12</f>
        <v>-20630.2083333333</v>
      </c>
      <c r="H315" s="69" t="n">
        <f aca="false">-(H334+H335+H337)/2*Inputs!$D$69/12</f>
        <v>-20453.125</v>
      </c>
      <c r="I315" s="69" t="n">
        <f aca="false">-(I334+I335+I337)/2*Inputs!$D$69/12</f>
        <v>-20276.0416666667</v>
      </c>
      <c r="J315" s="69" t="n">
        <f aca="false">-(J334+J335+J337)/2*Inputs!$D$69/12</f>
        <v>-20098.9583333333</v>
      </c>
      <c r="K315" s="69" t="n">
        <f aca="false">-(K334+K335+K337)/2*Inputs!$D$69/12</f>
        <v>-19921.875</v>
      </c>
      <c r="L315" s="69" t="n">
        <f aca="false">-(L334+L335+L337)/2*Inputs!$D$69/12</f>
        <v>-19744.7916666667</v>
      </c>
      <c r="M315" s="69" t="n">
        <f aca="false">-(M334+M335+M337)/2*Inputs!$D$69/12</f>
        <v>-19567.7083333333</v>
      </c>
      <c r="N315" s="69" t="n">
        <f aca="false">-(N334+N335+N337)/2*Inputs!$D$69/12</f>
        <v>-19390.625</v>
      </c>
      <c r="O315" s="69" t="n">
        <f aca="false">-(O334+O335+O337)/2*Inputs!$D$69/12</f>
        <v>-19213.5416666667</v>
      </c>
      <c r="P315" s="69" t="n">
        <f aca="false">-(P334+P335+P337)/2*Inputs!$D$69/12</f>
        <v>-19036.4583333333</v>
      </c>
      <c r="Q315" s="69" t="n">
        <f aca="false">-(Q334+Q335+Q337)/2*Inputs!$D$69/12</f>
        <v>-18859.375</v>
      </c>
      <c r="R315" s="69" t="n">
        <f aca="false">-(R334+R335+R337)/2*Inputs!$D$69/12</f>
        <v>-18682.2916666667</v>
      </c>
      <c r="S315" s="69" t="n">
        <f aca="false">-(S334+S335+S337)/2*Inputs!$D$69/12</f>
        <v>-18505.2083333333</v>
      </c>
      <c r="T315" s="69" t="n">
        <f aca="false">-(T334+T335+T337)/2*Inputs!$D$69/12</f>
        <v>-18328.125</v>
      </c>
      <c r="U315" s="69" t="n">
        <f aca="false">-(U334+U335+U337)/2*Inputs!$D$69/12</f>
        <v>-18151.0416666667</v>
      </c>
      <c r="V315" s="69" t="n">
        <f aca="false">-(V334+V335+V337)/2*Inputs!$D$69/12</f>
        <v>-17973.9583333333</v>
      </c>
      <c r="W315" s="69" t="n">
        <f aca="false">-(W334+W335+W337)/2*Inputs!$D$69/12</f>
        <v>-17796.875</v>
      </c>
      <c r="X315" s="69" t="n">
        <f aca="false">-(X334+X335+X337)/2*Inputs!$D$69/12</f>
        <v>-17619.7916666667</v>
      </c>
      <c r="Y315" s="69" t="n">
        <f aca="false">-(Y334+Y335+Y337)/2*Inputs!$D$69/12</f>
        <v>-17442.7083333333</v>
      </c>
      <c r="Z315" s="69" t="n">
        <f aca="false">-(Z334+Z335+Z337)/2*Inputs!$D$69/12</f>
        <v>-17265.625</v>
      </c>
      <c r="AA315" s="69" t="n">
        <f aca="false">-(AA334+AA335+AA337)/2*Inputs!$D$69/12</f>
        <v>-17088.5416666667</v>
      </c>
      <c r="AB315" s="69" t="n">
        <f aca="false">-(AB334+AB335+AB337)/2*Inputs!$D$69/12</f>
        <v>-16911.4583333333</v>
      </c>
      <c r="AC315" s="69" t="n">
        <f aca="false">-(AC334+AC335+AC337)/2*Inputs!$D$69/12</f>
        <v>-16734.375</v>
      </c>
      <c r="AD315" s="69" t="n">
        <f aca="false">-(AD334+AD335+AD337)/2*Inputs!$D$69/12</f>
        <v>-16557.2916666667</v>
      </c>
      <c r="AE315" s="69" t="n">
        <f aca="false">-(AE334+AE335+AE337)/2*Inputs!$D$69/12</f>
        <v>-16380.2083333333</v>
      </c>
      <c r="AF315" s="69" t="n">
        <f aca="false">-(AF334+AF335+AF337)/2*Inputs!$D$69/12</f>
        <v>-16203.125</v>
      </c>
      <c r="AG315" s="69" t="n">
        <f aca="false">-(AG334+AG335+AG337)/2*Inputs!$D$69/12</f>
        <v>-16026.0416666667</v>
      </c>
      <c r="AH315" s="69" t="n">
        <f aca="false">-(AH334+AH335+AH337)/2*Inputs!$D$69/12</f>
        <v>-15848.9583333333</v>
      </c>
      <c r="AI315" s="69" t="n">
        <f aca="false">-(AI334+AI335+AI337)/2*Inputs!$D$69/12</f>
        <v>-15671.875</v>
      </c>
      <c r="AJ315" s="69" t="n">
        <f aca="false">-(AJ334+AJ335+AJ337)/2*Inputs!$D$69/12</f>
        <v>-15494.7916666667</v>
      </c>
      <c r="AK315" s="69" t="n">
        <f aca="false">-(AK334+AK335+AK337)/2*Inputs!$D$69/12</f>
        <v>-15317.7083333333</v>
      </c>
      <c r="AL315" s="69" t="n">
        <f aca="false">-(AL334+AL335+AL337)/2*Inputs!$D$69/12</f>
        <v>-15140.625</v>
      </c>
    </row>
    <row r="316" customFormat="false" ht="15" hidden="false" customHeight="false" outlineLevel="0" collapsed="false">
      <c r="A316" s="113" t="s">
        <v>81</v>
      </c>
      <c r="C316" s="70" t="n">
        <f aca="false">C314+C315</f>
        <v>-74865.8196725689</v>
      </c>
      <c r="D316" s="70" t="n">
        <f aca="false">D314+D315</f>
        <v>-66097.0319556359</v>
      </c>
      <c r="E316" s="70" t="n">
        <f aca="false">E314+E315</f>
        <v>-47000.9998745679</v>
      </c>
      <c r="F316" s="70" t="n">
        <f aca="false">F314+F315</f>
        <v>-36561.5605722249</v>
      </c>
      <c r="G316" s="70" t="n">
        <f aca="false">G314+G315</f>
        <v>-25912.5420775759</v>
      </c>
      <c r="H316" s="70" t="n">
        <f aca="false">H314+H315</f>
        <v>-15060.6509247748</v>
      </c>
      <c r="I316" s="70" t="n">
        <f aca="false">I314+I315</f>
        <v>-4012.3790388823</v>
      </c>
      <c r="J316" s="70" t="n">
        <f aca="false">J314+J315</f>
        <v>7225.98939664256</v>
      </c>
      <c r="K316" s="70" t="n">
        <f aca="false">K314+K315</f>
        <v>10991.2834763945</v>
      </c>
      <c r="L316" s="70" t="n">
        <f aca="false">L314+L315</f>
        <v>14641.7548122609</v>
      </c>
      <c r="M316" s="70" t="n">
        <f aca="false">M314+M315</f>
        <v>18181.0777320464</v>
      </c>
      <c r="N316" s="70" t="n">
        <f aca="false">N314+N315</f>
        <v>7247.10844137573</v>
      </c>
      <c r="O316" s="70" t="n">
        <f aca="false">O314+O315</f>
        <v>13567.146189491</v>
      </c>
      <c r="P316" s="70" t="n">
        <f aca="false">P314+P315</f>
        <v>16798.249223982</v>
      </c>
      <c r="Q316" s="70" t="n">
        <f aca="false">Q314+Q315</f>
        <v>34572.0166628301</v>
      </c>
      <c r="R316" s="70" t="n">
        <f aca="false">R314+R315</f>
        <v>37910.9204613813</v>
      </c>
      <c r="S316" s="70" t="n">
        <f aca="false">S314+S315</f>
        <v>41148.6460050455</v>
      </c>
      <c r="T316" s="70" t="n">
        <f aca="false">T314+T315</f>
        <v>44288.4309979792</v>
      </c>
      <c r="U316" s="70" t="n">
        <f aca="false">U314+U315</f>
        <v>47333.4095378057</v>
      </c>
      <c r="V316" s="70" t="n">
        <f aca="false">V314+V315</f>
        <v>50286.6154310243</v>
      </c>
      <c r="W316" s="70" t="n">
        <f aca="false">W314+W315</f>
        <v>53150.9854023267</v>
      </c>
      <c r="X316" s="70" t="n">
        <f aca="false">X314+X315</f>
        <v>55929.3622012139</v>
      </c>
      <c r="Y316" s="70" t="n">
        <f aca="false">Y314+Y315</f>
        <v>58624.4976092036</v>
      </c>
      <c r="Z316" s="70" t="n">
        <f aca="false">Z314+Z315</f>
        <v>47074.0352302725</v>
      </c>
      <c r="AA316" s="70" t="n">
        <f aca="false">AA314+AA315</f>
        <v>53574.5914844465</v>
      </c>
      <c r="AB316" s="70" t="n">
        <f aca="false">AB314+AB315</f>
        <v>56017.227241753</v>
      </c>
      <c r="AC316" s="70" t="n">
        <f aca="false">AC314+AC315</f>
        <v>72869.5518390868</v>
      </c>
      <c r="AD316" s="70" t="n">
        <f aca="false">AD314+AD315</f>
        <v>75494.4662662145</v>
      </c>
      <c r="AE316" s="70" t="n">
        <f aca="false">AE314+AE315</f>
        <v>78041.0500983407</v>
      </c>
      <c r="AF316" s="70" t="n">
        <f aca="false">AF314+AF315</f>
        <v>80511.8099145056</v>
      </c>
      <c r="AG316" s="70" t="n">
        <f aca="false">AG314+AG315</f>
        <v>82909.1720832199</v>
      </c>
      <c r="AH316" s="70" t="n">
        <f aca="false">AH314+AH315</f>
        <v>85235.485329202</v>
      </c>
      <c r="AI316" s="70" t="n">
        <f aca="false">AI314+AI315</f>
        <v>87493.0232179793</v>
      </c>
      <c r="AJ316" s="70" t="n">
        <f aca="false">AJ314+AJ315</f>
        <v>89683.9865609824</v>
      </c>
      <c r="AK316" s="70" t="n">
        <f aca="false">AK314+AK315</f>
        <v>91810.5057436761</v>
      </c>
      <c r="AL316" s="70" t="n">
        <f aca="false">AL314+AL315</f>
        <v>79758.4350293401</v>
      </c>
    </row>
    <row r="317" customFormat="false" ht="15" hidden="false" customHeight="false" outlineLevel="0" collapsed="false">
      <c r="A317" s="116" t="s">
        <v>417</v>
      </c>
      <c r="C317" s="69" t="n">
        <f aca="false">C316</f>
        <v>-74865.8196725689</v>
      </c>
      <c r="D317" s="69" t="n">
        <f aca="false">C317+D316</f>
        <v>-140962.851628205</v>
      </c>
      <c r="E317" s="69" t="n">
        <f aca="false">D317+E316</f>
        <v>-187963.851502773</v>
      </c>
      <c r="F317" s="69" t="n">
        <f aca="false">E317+F316</f>
        <v>-224525.412074998</v>
      </c>
      <c r="G317" s="69" t="n">
        <f aca="false">F317+G316</f>
        <v>-250437.954152574</v>
      </c>
      <c r="H317" s="69" t="n">
        <f aca="false">G317+H316</f>
        <v>-265498.605077348</v>
      </c>
      <c r="I317" s="69" t="n">
        <f aca="false">H317+I316</f>
        <v>-269510.984116231</v>
      </c>
      <c r="J317" s="69" t="n">
        <f aca="false">I317+J316</f>
        <v>-262284.994719588</v>
      </c>
      <c r="K317" s="69" t="n">
        <f aca="false">J317+K316</f>
        <v>-251293.711243194</v>
      </c>
      <c r="L317" s="69" t="n">
        <f aca="false">K317+L316</f>
        <v>-236651.956430933</v>
      </c>
      <c r="M317" s="69" t="n">
        <f aca="false">L317+M316</f>
        <v>-218470.878698886</v>
      </c>
      <c r="N317" s="69" t="n">
        <f aca="false">M317+N316</f>
        <v>-211223.770257511</v>
      </c>
      <c r="O317" s="69" t="n">
        <f aca="false">N317+O316</f>
        <v>-197656.62406802</v>
      </c>
      <c r="P317" s="69" t="n">
        <f aca="false">O317+P316</f>
        <v>-180858.374844038</v>
      </c>
      <c r="Q317" s="69" t="n">
        <f aca="false">P317+Q316</f>
        <v>-146286.358181208</v>
      </c>
      <c r="R317" s="69" t="n">
        <f aca="false">Q317+R316</f>
        <v>-108375.437719826</v>
      </c>
      <c r="S317" s="69" t="n">
        <f aca="false">R317+S316</f>
        <v>-67226.7917147807</v>
      </c>
      <c r="T317" s="69" t="n">
        <f aca="false">S317+T316</f>
        <v>-22938.3607168015</v>
      </c>
      <c r="U317" s="69" t="n">
        <f aca="false">T317+U316</f>
        <v>24395.0488210042</v>
      </c>
      <c r="V317" s="69" t="n">
        <f aca="false">U317+V316</f>
        <v>74681.6642520285</v>
      </c>
      <c r="W317" s="69" t="n">
        <f aca="false">V317+W316</f>
        <v>127832.649654355</v>
      </c>
      <c r="X317" s="69" t="n">
        <f aca="false">W317+X316</f>
        <v>183762.011855569</v>
      </c>
      <c r="Y317" s="69" t="n">
        <f aca="false">X317+Y316</f>
        <v>242386.509464773</v>
      </c>
      <c r="Z317" s="69" t="n">
        <f aca="false">Y317+Z316</f>
        <v>289460.544695045</v>
      </c>
      <c r="AA317" s="69" t="n">
        <f aca="false">Z317+AA316</f>
        <v>343035.136179492</v>
      </c>
      <c r="AB317" s="69" t="n">
        <f aca="false">AA317+AB316</f>
        <v>399052.363421245</v>
      </c>
      <c r="AC317" s="69" t="n">
        <f aca="false">AB317+AC316</f>
        <v>471921.915260332</v>
      </c>
      <c r="AD317" s="69" t="n">
        <f aca="false">AC317+AD316</f>
        <v>547416.381526546</v>
      </c>
      <c r="AE317" s="69" t="n">
        <f aca="false">AD317+AE316</f>
        <v>625457.431624887</v>
      </c>
      <c r="AF317" s="69" t="n">
        <f aca="false">AE317+AF316</f>
        <v>705969.241539392</v>
      </c>
      <c r="AG317" s="69" t="n">
        <f aca="false">AF317+AG316</f>
        <v>788878.413622612</v>
      </c>
      <c r="AH317" s="69" t="n">
        <f aca="false">AG317+AH316</f>
        <v>874113.898951814</v>
      </c>
      <c r="AI317" s="69" t="n">
        <f aca="false">AH317+AI316</f>
        <v>961606.922169794</v>
      </c>
      <c r="AJ317" s="69" t="n">
        <f aca="false">AI317+AJ316</f>
        <v>1051290.90873078</v>
      </c>
      <c r="AK317" s="69" t="n">
        <f aca="false">AJ317+AK316</f>
        <v>1143101.41447445</v>
      </c>
      <c r="AL317" s="69" t="n">
        <f aca="false">AK317+AL316</f>
        <v>1222859.84950379</v>
      </c>
    </row>
    <row r="318" customFormat="false" ht="15" hidden="false" customHeight="false" outlineLevel="0" collapsed="false">
      <c r="A318" s="116" t="s">
        <v>418</v>
      </c>
      <c r="C318" s="69" t="n">
        <f aca="false">MAX(0,C317)</f>
        <v>0</v>
      </c>
      <c r="D318" s="69" t="n">
        <f aca="false">MAX(C318,D317)</f>
        <v>0</v>
      </c>
      <c r="E318" s="69" t="n">
        <f aca="false">MAX(D318,E317)</f>
        <v>0</v>
      </c>
      <c r="F318" s="69" t="n">
        <f aca="false">MAX(E318,F317)</f>
        <v>0</v>
      </c>
      <c r="G318" s="69" t="n">
        <f aca="false">MAX(F318,G317)</f>
        <v>0</v>
      </c>
      <c r="H318" s="69" t="n">
        <f aca="false">MAX(G318,H317)</f>
        <v>0</v>
      </c>
      <c r="I318" s="69" t="n">
        <f aca="false">MAX(H318,I317)</f>
        <v>0</v>
      </c>
      <c r="J318" s="69" t="n">
        <f aca="false">MAX(I318,J317)</f>
        <v>0</v>
      </c>
      <c r="K318" s="69" t="n">
        <f aca="false">MAX(J318,K317)</f>
        <v>0</v>
      </c>
      <c r="L318" s="69" t="n">
        <f aca="false">MAX(K318,L317)</f>
        <v>0</v>
      </c>
      <c r="M318" s="69" t="n">
        <f aca="false">MAX(L318,M317)</f>
        <v>0</v>
      </c>
      <c r="N318" s="69" t="n">
        <f aca="false">MAX(M318,N317)</f>
        <v>0</v>
      </c>
      <c r="O318" s="69" t="n">
        <f aca="false">MAX(N318,O317)</f>
        <v>0</v>
      </c>
      <c r="P318" s="69" t="n">
        <f aca="false">MAX(O318,P317)</f>
        <v>0</v>
      </c>
      <c r="Q318" s="69" t="n">
        <f aca="false">MAX(P318,Q317)</f>
        <v>0</v>
      </c>
      <c r="R318" s="69" t="n">
        <f aca="false">MAX(Q318,R317)</f>
        <v>0</v>
      </c>
      <c r="S318" s="69" t="n">
        <f aca="false">MAX(R318,S317)</f>
        <v>0</v>
      </c>
      <c r="T318" s="69" t="n">
        <f aca="false">MAX(S318,T317)</f>
        <v>0</v>
      </c>
      <c r="U318" s="69" t="n">
        <f aca="false">MAX(T318,U317)</f>
        <v>24395.0488210042</v>
      </c>
      <c r="V318" s="69" t="n">
        <f aca="false">MAX(U318,V317)</f>
        <v>74681.6642520285</v>
      </c>
      <c r="W318" s="69" t="n">
        <f aca="false">MAX(V318,W317)</f>
        <v>127832.649654355</v>
      </c>
      <c r="X318" s="69" t="n">
        <f aca="false">MAX(W318,X317)</f>
        <v>183762.011855569</v>
      </c>
      <c r="Y318" s="69" t="n">
        <f aca="false">MAX(X318,Y317)</f>
        <v>242386.509464773</v>
      </c>
      <c r="Z318" s="69" t="n">
        <f aca="false">MAX(Y318,Z317)</f>
        <v>289460.544695045</v>
      </c>
      <c r="AA318" s="69" t="n">
        <f aca="false">MAX(Z318,AA317)</f>
        <v>343035.136179492</v>
      </c>
      <c r="AB318" s="69" t="n">
        <f aca="false">MAX(AA318,AB317)</f>
        <v>399052.363421245</v>
      </c>
      <c r="AC318" s="69" t="n">
        <f aca="false">MAX(AB318,AC317)</f>
        <v>471921.915260332</v>
      </c>
      <c r="AD318" s="69" t="n">
        <f aca="false">MAX(AC318,AD317)</f>
        <v>547416.381526546</v>
      </c>
      <c r="AE318" s="69" t="n">
        <f aca="false">MAX(AD318,AE317)</f>
        <v>625457.431624887</v>
      </c>
      <c r="AF318" s="69" t="n">
        <f aca="false">MAX(AE318,AF317)</f>
        <v>705969.241539392</v>
      </c>
      <c r="AG318" s="69" t="n">
        <f aca="false">MAX(AF318,AG317)</f>
        <v>788878.413622612</v>
      </c>
      <c r="AH318" s="69" t="n">
        <f aca="false">MAX(AG318,AH317)</f>
        <v>874113.898951814</v>
      </c>
      <c r="AI318" s="69" t="n">
        <f aca="false">MAX(AH318,AI317)</f>
        <v>961606.922169794</v>
      </c>
      <c r="AJ318" s="69" t="n">
        <f aca="false">MAX(AI318,AJ317)</f>
        <v>1051290.90873078</v>
      </c>
      <c r="AK318" s="69" t="n">
        <f aca="false">MAX(AJ318,AK317)</f>
        <v>1143101.41447445</v>
      </c>
      <c r="AL318" s="69" t="n">
        <f aca="false">MAX(AK318,AL317)</f>
        <v>1222859.84950379</v>
      </c>
    </row>
    <row r="319" customFormat="false" ht="15" hidden="false" customHeight="false" outlineLevel="0" collapsed="false">
      <c r="A319" s="6" t="s">
        <v>82</v>
      </c>
      <c r="C319" s="69" t="n">
        <f aca="false">-C318*Inputs!$D$79</f>
        <v>-0</v>
      </c>
      <c r="D319" s="69" t="n">
        <f aca="false">-(D318-C318)*Inputs!$D$79</f>
        <v>-0</v>
      </c>
      <c r="E319" s="69" t="n">
        <f aca="false">-(E318-D318)*Inputs!$D$79</f>
        <v>-0</v>
      </c>
      <c r="F319" s="69" t="n">
        <f aca="false">-(F318-E318)*Inputs!$D$79</f>
        <v>-0</v>
      </c>
      <c r="G319" s="69" t="n">
        <f aca="false">-(G318-F318)*Inputs!$D$79</f>
        <v>-0</v>
      </c>
      <c r="H319" s="69" t="n">
        <f aca="false">-(H318-G318)*Inputs!$D$79</f>
        <v>-0</v>
      </c>
      <c r="I319" s="69" t="n">
        <f aca="false">-(I318-H318)*Inputs!$D$79</f>
        <v>-0</v>
      </c>
      <c r="J319" s="69" t="n">
        <f aca="false">-(J318-I318)*Inputs!$D$79</f>
        <v>-0</v>
      </c>
      <c r="K319" s="69" t="n">
        <f aca="false">-(K318-J318)*Inputs!$D$79</f>
        <v>-0</v>
      </c>
      <c r="L319" s="69" t="n">
        <f aca="false">-(L318-K318)*Inputs!$D$79</f>
        <v>-0</v>
      </c>
      <c r="M319" s="69" t="n">
        <f aca="false">-(M318-L318)*Inputs!$D$79</f>
        <v>-0</v>
      </c>
      <c r="N319" s="69" t="n">
        <f aca="false">-(N318-M318)*Inputs!$D$79</f>
        <v>-0</v>
      </c>
      <c r="O319" s="69" t="n">
        <f aca="false">-(O318-N318)*Inputs!$D$79</f>
        <v>-0</v>
      </c>
      <c r="P319" s="69" t="n">
        <f aca="false">-(P318-O318)*Inputs!$D$79</f>
        <v>-0</v>
      </c>
      <c r="Q319" s="69" t="n">
        <f aca="false">-(Q318-P318)*Inputs!$D$79</f>
        <v>-0</v>
      </c>
      <c r="R319" s="69" t="n">
        <f aca="false">-(R318-Q318)*Inputs!$D$79</f>
        <v>-0</v>
      </c>
      <c r="S319" s="69" t="n">
        <f aca="false">-(S318-R318)*Inputs!$D$79</f>
        <v>-0</v>
      </c>
      <c r="T319" s="69" t="n">
        <f aca="false">-(T318-S318)*Inputs!$D$79</f>
        <v>-0</v>
      </c>
      <c r="U319" s="69" t="n">
        <f aca="false">-(U318-T318)*Inputs!$D$79</f>
        <v>-5122.96025241087</v>
      </c>
      <c r="V319" s="69" t="n">
        <f aca="false">-(V318-U318)*Inputs!$D$79</f>
        <v>-10560.1892405151</v>
      </c>
      <c r="W319" s="69" t="n">
        <f aca="false">-(W318-V318)*Inputs!$D$79</f>
        <v>-11161.7069344886</v>
      </c>
      <c r="X319" s="69" t="n">
        <f aca="false">-(X318-W318)*Inputs!$D$79</f>
        <v>-11745.1660622549</v>
      </c>
      <c r="Y319" s="69" t="n">
        <f aca="false">-(Y318-X318)*Inputs!$D$79</f>
        <v>-12311.1444979327</v>
      </c>
      <c r="Z319" s="69" t="n">
        <f aca="false">-(Z318-Y318)*Inputs!$D$79</f>
        <v>-9885.54739835724</v>
      </c>
      <c r="AA319" s="69" t="n">
        <f aca="false">-(AA318-Z318)*Inputs!$D$79</f>
        <v>-11250.6642117338</v>
      </c>
      <c r="AB319" s="69" t="n">
        <f aca="false">-(AB318-AA318)*Inputs!$D$79</f>
        <v>-11763.6177207681</v>
      </c>
      <c r="AC319" s="69" t="n">
        <f aca="false">-(AC318-AB318)*Inputs!$D$79</f>
        <v>-15302.6058862082</v>
      </c>
      <c r="AD319" s="69" t="n">
        <f aca="false">-(AD318-AC318)*Inputs!$D$79</f>
        <v>-15853.837915905</v>
      </c>
      <c r="AE319" s="69" t="n">
        <f aca="false">-(AE318-AD318)*Inputs!$D$79</f>
        <v>-16388.6205206516</v>
      </c>
      <c r="AF319" s="69" t="n">
        <f aca="false">-(AF318-AE318)*Inputs!$D$79</f>
        <v>-16907.4800820462</v>
      </c>
      <c r="AG319" s="69" t="n">
        <f aca="false">-(AG318-AF318)*Inputs!$D$79</f>
        <v>-17410.9261374762</v>
      </c>
      <c r="AH319" s="69" t="n">
        <f aca="false">-(AH318-AG318)*Inputs!$D$79</f>
        <v>-17899.4519191324</v>
      </c>
      <c r="AI319" s="69" t="n">
        <f aca="false">-(AI318-AH318)*Inputs!$D$79</f>
        <v>-18373.5348757756</v>
      </c>
      <c r="AJ319" s="69" t="n">
        <f aca="false">-(AJ318-AI318)*Inputs!$D$79</f>
        <v>-18833.6371778063</v>
      </c>
      <c r="AK319" s="69" t="n">
        <f aca="false">-(AK318-AJ318)*Inputs!$D$79</f>
        <v>-19280.206206172</v>
      </c>
      <c r="AL319" s="69" t="n">
        <f aca="false">-(AL318-AK318)*Inputs!$D$79</f>
        <v>-16749.2713561614</v>
      </c>
    </row>
    <row r="320" customFormat="false" ht="15" hidden="false" customHeight="false" outlineLevel="0" collapsed="false">
      <c r="A320" s="113" t="s">
        <v>50</v>
      </c>
      <c r="C320" s="70" t="n">
        <f aca="false">C316+C319</f>
        <v>-74865.8196725689</v>
      </c>
      <c r="D320" s="70" t="n">
        <f aca="false">D316+D319</f>
        <v>-66097.0319556359</v>
      </c>
      <c r="E320" s="70" t="n">
        <f aca="false">E316+E319</f>
        <v>-47000.9998745679</v>
      </c>
      <c r="F320" s="70" t="n">
        <f aca="false">F316+F319</f>
        <v>-36561.5605722249</v>
      </c>
      <c r="G320" s="70" t="n">
        <f aca="false">G316+G319</f>
        <v>-25912.5420775759</v>
      </c>
      <c r="H320" s="70" t="n">
        <f aca="false">H316+H319</f>
        <v>-15060.6509247748</v>
      </c>
      <c r="I320" s="70" t="n">
        <f aca="false">I316+I319</f>
        <v>-4012.3790388823</v>
      </c>
      <c r="J320" s="70" t="n">
        <f aca="false">J316+J319</f>
        <v>7225.98939664256</v>
      </c>
      <c r="K320" s="70" t="n">
        <f aca="false">K316+K319</f>
        <v>10991.2834763945</v>
      </c>
      <c r="L320" s="70" t="n">
        <f aca="false">L316+L319</f>
        <v>14641.7548122609</v>
      </c>
      <c r="M320" s="70" t="n">
        <f aca="false">M316+M319</f>
        <v>18181.0777320464</v>
      </c>
      <c r="N320" s="70" t="n">
        <f aca="false">N316+N319</f>
        <v>7247.10844137573</v>
      </c>
      <c r="O320" s="70" t="n">
        <f aca="false">O316+O319</f>
        <v>13567.146189491</v>
      </c>
      <c r="P320" s="70" t="n">
        <f aca="false">P316+P319</f>
        <v>16798.249223982</v>
      </c>
      <c r="Q320" s="70" t="n">
        <f aca="false">Q316+Q319</f>
        <v>34572.0166628301</v>
      </c>
      <c r="R320" s="70" t="n">
        <f aca="false">R316+R319</f>
        <v>37910.9204613813</v>
      </c>
      <c r="S320" s="70" t="n">
        <f aca="false">S316+S319</f>
        <v>41148.6460050455</v>
      </c>
      <c r="T320" s="70" t="n">
        <f aca="false">T316+T319</f>
        <v>44288.4309979792</v>
      </c>
      <c r="U320" s="70" t="n">
        <f aca="false">U316+U319</f>
        <v>42210.4492853948</v>
      </c>
      <c r="V320" s="70" t="n">
        <f aca="false">V316+V319</f>
        <v>39726.4261905092</v>
      </c>
      <c r="W320" s="70" t="n">
        <f aca="false">W316+W319</f>
        <v>41989.2784678381</v>
      </c>
      <c r="X320" s="70" t="n">
        <f aca="false">X316+X319</f>
        <v>44184.196138959</v>
      </c>
      <c r="Y320" s="70" t="n">
        <f aca="false">Y316+Y319</f>
        <v>46313.3531112708</v>
      </c>
      <c r="Z320" s="70" t="n">
        <f aca="false">Z316+Z319</f>
        <v>37188.4878319153</v>
      </c>
      <c r="AA320" s="70" t="n">
        <f aca="false">AA316+AA319</f>
        <v>42323.9272727127</v>
      </c>
      <c r="AB320" s="70" t="n">
        <f aca="false">AB316+AB319</f>
        <v>44253.6095209849</v>
      </c>
      <c r="AC320" s="70" t="n">
        <f aca="false">AC316+AC319</f>
        <v>57566.9459528786</v>
      </c>
      <c r="AD320" s="70" t="n">
        <f aca="false">AD316+AD319</f>
        <v>59640.6283503094</v>
      </c>
      <c r="AE320" s="70" t="n">
        <f aca="false">AE316+AE319</f>
        <v>61652.4295776892</v>
      </c>
      <c r="AF320" s="70" t="n">
        <f aca="false">AF316+AF319</f>
        <v>63604.3298324595</v>
      </c>
      <c r="AG320" s="70" t="n">
        <f aca="false">AG316+AG319</f>
        <v>65498.2459457437</v>
      </c>
      <c r="AH320" s="70" t="n">
        <f aca="false">AH316+AH319</f>
        <v>67336.0334100696</v>
      </c>
      <c r="AI320" s="70" t="n">
        <f aca="false">AI316+AI319</f>
        <v>69119.4883422036</v>
      </c>
      <c r="AJ320" s="70" t="n">
        <f aca="false">AJ316+AJ319</f>
        <v>70850.3493831761</v>
      </c>
      <c r="AK320" s="70" t="n">
        <f aca="false">AK316+AK319</f>
        <v>72530.2995375041</v>
      </c>
      <c r="AL320" s="70" t="n">
        <f aca="false">AL316+AL319</f>
        <v>63009.1636731787</v>
      </c>
    </row>
    <row r="322" customFormat="false" ht="15.75" hidden="false" customHeight="true" outlineLevel="0" collapsed="false">
      <c r="A322" s="7" t="s">
        <v>419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customFormat="false" ht="15" hidden="false" customHeight="false" outlineLevel="0" collapsed="false">
      <c r="A323" s="6" t="s">
        <v>420</v>
      </c>
      <c r="C323" s="69" t="n">
        <f aca="false">IF(C$260=1,Inputs!$D$49,0)</f>
        <v>1650000</v>
      </c>
      <c r="D323" s="69" t="n">
        <f aca="false">IF(D$260=1,Inputs!$D$49,0)</f>
        <v>0</v>
      </c>
      <c r="E323" s="69" t="n">
        <f aca="false">IF(E$260=1,Inputs!$D$49,0)</f>
        <v>0</v>
      </c>
      <c r="F323" s="69" t="n">
        <f aca="false">IF(F$260=1,Inputs!$D$49,0)</f>
        <v>0</v>
      </c>
      <c r="G323" s="69" t="n">
        <f aca="false">IF(G$260=1,Inputs!$D$49,0)</f>
        <v>0</v>
      </c>
      <c r="H323" s="69" t="n">
        <f aca="false">IF(H$260=1,Inputs!$D$49,0)</f>
        <v>0</v>
      </c>
      <c r="I323" s="69" t="n">
        <f aca="false">IF(I$260=1,Inputs!$D$49,0)</f>
        <v>0</v>
      </c>
      <c r="J323" s="69" t="n">
        <f aca="false">IF(J$260=1,Inputs!$D$49,0)</f>
        <v>0</v>
      </c>
      <c r="K323" s="69" t="n">
        <f aca="false">IF(K$260=1,Inputs!$D$49,0)</f>
        <v>0</v>
      </c>
      <c r="L323" s="69" t="n">
        <f aca="false">IF(L$260=1,Inputs!$D$49,0)</f>
        <v>0</v>
      </c>
      <c r="M323" s="69" t="n">
        <f aca="false">IF(M$260=1,Inputs!$D$49,0)</f>
        <v>0</v>
      </c>
      <c r="N323" s="69" t="n">
        <f aca="false">IF(N$260=1,Inputs!$D$49,0)</f>
        <v>0</v>
      </c>
      <c r="O323" s="69" t="n">
        <f aca="false">IF(O$260=1,Inputs!$D$49,0)</f>
        <v>0</v>
      </c>
      <c r="P323" s="69" t="n">
        <f aca="false">IF(P$260=1,Inputs!$D$49,0)</f>
        <v>0</v>
      </c>
      <c r="Q323" s="69" t="n">
        <f aca="false">IF(Q$260=1,Inputs!$D$49,0)</f>
        <v>0</v>
      </c>
      <c r="R323" s="69" t="n">
        <f aca="false">IF(R$260=1,Inputs!$D$49,0)</f>
        <v>0</v>
      </c>
      <c r="S323" s="69" t="n">
        <f aca="false">IF(S$260=1,Inputs!$D$49,0)</f>
        <v>0</v>
      </c>
      <c r="T323" s="69" t="n">
        <f aca="false">IF(T$260=1,Inputs!$D$49,0)</f>
        <v>0</v>
      </c>
      <c r="U323" s="69" t="n">
        <f aca="false">IF(U$260=1,Inputs!$D$49,0)</f>
        <v>0</v>
      </c>
      <c r="V323" s="69" t="n">
        <f aca="false">IF(V$260=1,Inputs!$D$49,0)</f>
        <v>0</v>
      </c>
      <c r="W323" s="69" t="n">
        <f aca="false">IF(W$260=1,Inputs!$D$49,0)</f>
        <v>0</v>
      </c>
      <c r="X323" s="69" t="n">
        <f aca="false">IF(X$260=1,Inputs!$D$49,0)</f>
        <v>0</v>
      </c>
      <c r="Y323" s="69" t="n">
        <f aca="false">IF(Y$260=1,Inputs!$D$49,0)</f>
        <v>0</v>
      </c>
      <c r="Z323" s="69" t="n">
        <f aca="false">IF(Z$260=1,Inputs!$D$49,0)</f>
        <v>0</v>
      </c>
      <c r="AA323" s="69" t="n">
        <f aca="false">IF(AA$260=1,Inputs!$D$49,0)</f>
        <v>0</v>
      </c>
      <c r="AB323" s="69" t="n">
        <f aca="false">IF(AB$260=1,Inputs!$D$49,0)</f>
        <v>0</v>
      </c>
      <c r="AC323" s="69" t="n">
        <f aca="false">IF(AC$260=1,Inputs!$D$49,0)</f>
        <v>0</v>
      </c>
      <c r="AD323" s="69" t="n">
        <f aca="false">IF(AD$260=1,Inputs!$D$49,0)</f>
        <v>0</v>
      </c>
      <c r="AE323" s="69" t="n">
        <f aca="false">IF(AE$260=1,Inputs!$D$49,0)</f>
        <v>0</v>
      </c>
      <c r="AF323" s="69" t="n">
        <f aca="false">IF(AF$260=1,Inputs!$D$49,0)</f>
        <v>0</v>
      </c>
      <c r="AG323" s="69" t="n">
        <f aca="false">IF(AG$260=1,Inputs!$D$49,0)</f>
        <v>0</v>
      </c>
      <c r="AH323" s="69" t="n">
        <f aca="false">IF(AH$260=1,Inputs!$D$49,0)</f>
        <v>0</v>
      </c>
      <c r="AI323" s="69" t="n">
        <f aca="false">IF(AI$260=1,Inputs!$D$49,0)</f>
        <v>0</v>
      </c>
      <c r="AJ323" s="69" t="n">
        <f aca="false">IF(AJ$260=1,Inputs!$D$49,0)</f>
        <v>0</v>
      </c>
      <c r="AK323" s="69" t="n">
        <f aca="false">IF(AK$260=1,Inputs!$D$49,0)</f>
        <v>0</v>
      </c>
      <c r="AL323" s="69" t="n">
        <f aca="false">IF(AL$260=1,Inputs!$D$49,0)</f>
        <v>0</v>
      </c>
    </row>
    <row r="324" customFormat="false" ht="15" hidden="false" customHeight="false" outlineLevel="0" collapsed="false">
      <c r="A324" s="6" t="s">
        <v>421</v>
      </c>
      <c r="C324" s="69" t="n">
        <f aca="false">IF(C$260=1,Inputs!$D$50,0)</f>
        <v>2300000</v>
      </c>
      <c r="D324" s="69" t="n">
        <f aca="false">IF(D$260=1,Inputs!$D$50,0)</f>
        <v>0</v>
      </c>
      <c r="E324" s="69" t="n">
        <f aca="false">IF(E$260=1,Inputs!$D$50,0)</f>
        <v>0</v>
      </c>
      <c r="F324" s="69" t="n">
        <f aca="false">IF(F$260=1,Inputs!$D$50,0)</f>
        <v>0</v>
      </c>
      <c r="G324" s="69" t="n">
        <f aca="false">IF(G$260=1,Inputs!$D$50,0)</f>
        <v>0</v>
      </c>
      <c r="H324" s="69" t="n">
        <f aca="false">IF(H$260=1,Inputs!$D$50,0)</f>
        <v>0</v>
      </c>
      <c r="I324" s="69" t="n">
        <f aca="false">IF(I$260=1,Inputs!$D$50,0)</f>
        <v>0</v>
      </c>
      <c r="J324" s="69" t="n">
        <f aca="false">IF(J$260=1,Inputs!$D$50,0)</f>
        <v>0</v>
      </c>
      <c r="K324" s="69" t="n">
        <f aca="false">IF(K$260=1,Inputs!$D$50,0)</f>
        <v>0</v>
      </c>
      <c r="L324" s="69" t="n">
        <f aca="false">IF(L$260=1,Inputs!$D$50,0)</f>
        <v>0</v>
      </c>
      <c r="M324" s="69" t="n">
        <f aca="false">IF(M$260=1,Inputs!$D$50,0)</f>
        <v>0</v>
      </c>
      <c r="N324" s="69" t="n">
        <f aca="false">IF(N$260=1,Inputs!$D$50,0)</f>
        <v>0</v>
      </c>
      <c r="O324" s="69" t="n">
        <f aca="false">IF(O$260=1,Inputs!$D$50,0)</f>
        <v>0</v>
      </c>
      <c r="P324" s="69" t="n">
        <f aca="false">IF(P$260=1,Inputs!$D$50,0)</f>
        <v>0</v>
      </c>
      <c r="Q324" s="69" t="n">
        <f aca="false">IF(Q$260=1,Inputs!$D$50,0)</f>
        <v>0</v>
      </c>
      <c r="R324" s="69" t="n">
        <f aca="false">IF(R$260=1,Inputs!$D$50,0)</f>
        <v>0</v>
      </c>
      <c r="S324" s="69" t="n">
        <f aca="false">IF(S$260=1,Inputs!$D$50,0)</f>
        <v>0</v>
      </c>
      <c r="T324" s="69" t="n">
        <f aca="false">IF(T$260=1,Inputs!$D$50,0)</f>
        <v>0</v>
      </c>
      <c r="U324" s="69" t="n">
        <f aca="false">IF(U$260=1,Inputs!$D$50,0)</f>
        <v>0</v>
      </c>
      <c r="V324" s="69" t="n">
        <f aca="false">IF(V$260=1,Inputs!$D$50,0)</f>
        <v>0</v>
      </c>
      <c r="W324" s="69" t="n">
        <f aca="false">IF(W$260=1,Inputs!$D$50,0)</f>
        <v>0</v>
      </c>
      <c r="X324" s="69" t="n">
        <f aca="false">IF(X$260=1,Inputs!$D$50,0)</f>
        <v>0</v>
      </c>
      <c r="Y324" s="69" t="n">
        <f aca="false">IF(Y$260=1,Inputs!$D$50,0)</f>
        <v>0</v>
      </c>
      <c r="Z324" s="69" t="n">
        <f aca="false">IF(Z$260=1,Inputs!$D$50,0)</f>
        <v>0</v>
      </c>
      <c r="AA324" s="69" t="n">
        <f aca="false">IF(AA$260=1,Inputs!$D$50,0)</f>
        <v>0</v>
      </c>
      <c r="AB324" s="69" t="n">
        <f aca="false">IF(AB$260=1,Inputs!$D$50,0)</f>
        <v>0</v>
      </c>
      <c r="AC324" s="69" t="n">
        <f aca="false">IF(AC$260=1,Inputs!$D$50,0)</f>
        <v>0</v>
      </c>
      <c r="AD324" s="69" t="n">
        <f aca="false">IF(AD$260=1,Inputs!$D$50,0)</f>
        <v>0</v>
      </c>
      <c r="AE324" s="69" t="n">
        <f aca="false">IF(AE$260=1,Inputs!$D$50,0)</f>
        <v>0</v>
      </c>
      <c r="AF324" s="69" t="n">
        <f aca="false">IF(AF$260=1,Inputs!$D$50,0)</f>
        <v>0</v>
      </c>
      <c r="AG324" s="69" t="n">
        <f aca="false">IF(AG$260=1,Inputs!$D$50,0)</f>
        <v>0</v>
      </c>
      <c r="AH324" s="69" t="n">
        <f aca="false">IF(AH$260=1,Inputs!$D$50,0)</f>
        <v>0</v>
      </c>
      <c r="AI324" s="69" t="n">
        <f aca="false">IF(AI$260=1,Inputs!$D$50,0)</f>
        <v>0</v>
      </c>
      <c r="AJ324" s="69" t="n">
        <f aca="false">IF(AJ$260=1,Inputs!$D$50,0)</f>
        <v>0</v>
      </c>
      <c r="AK324" s="69" t="n">
        <f aca="false">IF(AK$260=1,Inputs!$D$50,0)</f>
        <v>0</v>
      </c>
      <c r="AL324" s="69" t="n">
        <f aca="false">IF(AL$260=1,Inputs!$D$50,0)</f>
        <v>0</v>
      </c>
    </row>
    <row r="325" customFormat="false" ht="15" hidden="false" customHeight="false" outlineLevel="0" collapsed="false">
      <c r="A325" s="6" t="s">
        <v>422</v>
      </c>
      <c r="C325" s="69" t="n">
        <f aca="false">IF(C$260=1,Inputs!$D$51,0)</f>
        <v>150000</v>
      </c>
      <c r="D325" s="69" t="n">
        <f aca="false">IF(D$260=1,Inputs!$D$51,0)</f>
        <v>0</v>
      </c>
      <c r="E325" s="69" t="n">
        <f aca="false">IF(E$260=1,Inputs!$D$51,0)</f>
        <v>0</v>
      </c>
      <c r="F325" s="69" t="n">
        <f aca="false">IF(F$260=1,Inputs!$D$51,0)</f>
        <v>0</v>
      </c>
      <c r="G325" s="69" t="n">
        <f aca="false">IF(G$260=1,Inputs!$D$51,0)</f>
        <v>0</v>
      </c>
      <c r="H325" s="69" t="n">
        <f aca="false">IF(H$260=1,Inputs!$D$51,0)</f>
        <v>0</v>
      </c>
      <c r="I325" s="69" t="n">
        <f aca="false">IF(I$260=1,Inputs!$D$51,0)</f>
        <v>0</v>
      </c>
      <c r="J325" s="69" t="n">
        <f aca="false">IF(J$260=1,Inputs!$D$51,0)</f>
        <v>0</v>
      </c>
      <c r="K325" s="69" t="n">
        <f aca="false">IF(K$260=1,Inputs!$D$51,0)</f>
        <v>0</v>
      </c>
      <c r="L325" s="69" t="n">
        <f aca="false">IF(L$260=1,Inputs!$D$51,0)</f>
        <v>0</v>
      </c>
      <c r="M325" s="69" t="n">
        <f aca="false">IF(M$260=1,Inputs!$D$51,0)</f>
        <v>0</v>
      </c>
      <c r="N325" s="69" t="n">
        <f aca="false">IF(N$260=1,Inputs!$D$51,0)</f>
        <v>0</v>
      </c>
      <c r="O325" s="69" t="n">
        <f aca="false">IF(O$260=1,Inputs!$D$51,0)</f>
        <v>0</v>
      </c>
      <c r="P325" s="69" t="n">
        <f aca="false">IF(P$260=1,Inputs!$D$51,0)</f>
        <v>0</v>
      </c>
      <c r="Q325" s="69" t="n">
        <f aca="false">IF(Q$260=1,Inputs!$D$51,0)</f>
        <v>0</v>
      </c>
      <c r="R325" s="69" t="n">
        <f aca="false">IF(R$260=1,Inputs!$D$51,0)</f>
        <v>0</v>
      </c>
      <c r="S325" s="69" t="n">
        <f aca="false">IF(S$260=1,Inputs!$D$51,0)</f>
        <v>0</v>
      </c>
      <c r="T325" s="69" t="n">
        <f aca="false">IF(T$260=1,Inputs!$D$51,0)</f>
        <v>0</v>
      </c>
      <c r="U325" s="69" t="n">
        <f aca="false">IF(U$260=1,Inputs!$D$51,0)</f>
        <v>0</v>
      </c>
      <c r="V325" s="69" t="n">
        <f aca="false">IF(V$260=1,Inputs!$D$51,0)</f>
        <v>0</v>
      </c>
      <c r="W325" s="69" t="n">
        <f aca="false">IF(W$260=1,Inputs!$D$51,0)</f>
        <v>0</v>
      </c>
      <c r="X325" s="69" t="n">
        <f aca="false">IF(X$260=1,Inputs!$D$51,0)</f>
        <v>0</v>
      </c>
      <c r="Y325" s="69" t="n">
        <f aca="false">IF(Y$260=1,Inputs!$D$51,0)</f>
        <v>0</v>
      </c>
      <c r="Z325" s="69" t="n">
        <f aca="false">IF(Z$260=1,Inputs!$D$51,0)</f>
        <v>0</v>
      </c>
      <c r="AA325" s="69" t="n">
        <f aca="false">IF(AA$260=1,Inputs!$D$51,0)</f>
        <v>0</v>
      </c>
      <c r="AB325" s="69" t="n">
        <f aca="false">IF(AB$260=1,Inputs!$D$51,0)</f>
        <v>0</v>
      </c>
      <c r="AC325" s="69" t="n">
        <f aca="false">IF(AC$260=1,Inputs!$D$51,0)</f>
        <v>0</v>
      </c>
      <c r="AD325" s="69" t="n">
        <f aca="false">IF(AD$260=1,Inputs!$D$51,0)</f>
        <v>0</v>
      </c>
      <c r="AE325" s="69" t="n">
        <f aca="false">IF(AE$260=1,Inputs!$D$51,0)</f>
        <v>0</v>
      </c>
      <c r="AF325" s="69" t="n">
        <f aca="false">IF(AF$260=1,Inputs!$D$51,0)</f>
        <v>0</v>
      </c>
      <c r="AG325" s="69" t="n">
        <f aca="false">IF(AG$260=1,Inputs!$D$51,0)</f>
        <v>0</v>
      </c>
      <c r="AH325" s="69" t="n">
        <f aca="false">IF(AH$260=1,Inputs!$D$51,0)</f>
        <v>0</v>
      </c>
      <c r="AI325" s="69" t="n">
        <f aca="false">IF(AI$260=1,Inputs!$D$51,0)</f>
        <v>0</v>
      </c>
      <c r="AJ325" s="69" t="n">
        <f aca="false">IF(AJ$260=1,Inputs!$D$51,0)</f>
        <v>0</v>
      </c>
      <c r="AK325" s="69" t="n">
        <f aca="false">IF(AK$260=1,Inputs!$D$51,0)</f>
        <v>0</v>
      </c>
      <c r="AL325" s="69" t="n">
        <f aca="false">IF(AL$260=1,Inputs!$D$51,0)</f>
        <v>0</v>
      </c>
    </row>
    <row r="326" customFormat="false" ht="15" hidden="false" customHeight="false" outlineLevel="0" collapsed="false">
      <c r="A326" s="6" t="s">
        <v>423</v>
      </c>
      <c r="C326" s="69" t="n">
        <f aca="false">IF(AND(C$261&gt;1,MOD(C$260-1,12)=0),Inputs!$D$52,0)</f>
        <v>0</v>
      </c>
      <c r="D326" s="69" t="n">
        <f aca="false">IF(AND(D$261&gt;1,MOD(D$260-1,12)=0),Inputs!$D$52,0)</f>
        <v>0</v>
      </c>
      <c r="E326" s="69" t="n">
        <f aca="false">IF(AND(E$261&gt;1,MOD(E$260-1,12)=0),Inputs!$D$52,0)</f>
        <v>0</v>
      </c>
      <c r="F326" s="69" t="n">
        <f aca="false">IF(AND(F$261&gt;1,MOD(F$260-1,12)=0),Inputs!$D$52,0)</f>
        <v>0</v>
      </c>
      <c r="G326" s="69" t="n">
        <f aca="false">IF(AND(G$261&gt;1,MOD(G$260-1,12)=0),Inputs!$D$52,0)</f>
        <v>0</v>
      </c>
      <c r="H326" s="69" t="n">
        <f aca="false">IF(AND(H$261&gt;1,MOD(H$260-1,12)=0),Inputs!$D$52,0)</f>
        <v>0</v>
      </c>
      <c r="I326" s="69" t="n">
        <f aca="false">IF(AND(I$261&gt;1,MOD(I$260-1,12)=0),Inputs!$D$52,0)</f>
        <v>0</v>
      </c>
      <c r="J326" s="69" t="n">
        <f aca="false">IF(AND(J$261&gt;1,MOD(J$260-1,12)=0),Inputs!$D$52,0)</f>
        <v>0</v>
      </c>
      <c r="K326" s="69" t="n">
        <f aca="false">IF(AND(K$261&gt;1,MOD(K$260-1,12)=0),Inputs!$D$52,0)</f>
        <v>0</v>
      </c>
      <c r="L326" s="69" t="n">
        <f aca="false">IF(AND(L$261&gt;1,MOD(L$260-1,12)=0),Inputs!$D$52,0)</f>
        <v>0</v>
      </c>
      <c r="M326" s="69" t="n">
        <f aca="false">IF(AND(M$261&gt;1,MOD(M$260-1,12)=0),Inputs!$D$52,0)</f>
        <v>0</v>
      </c>
      <c r="N326" s="69" t="n">
        <f aca="false">IF(AND(N$261&gt;1,MOD(N$260-1,12)=0),Inputs!$D$52,0)</f>
        <v>0</v>
      </c>
      <c r="O326" s="69" t="n">
        <f aca="false">IF(AND(O$261&gt;1,MOD(O$260-1,12)=0),Inputs!$D$52,0)</f>
        <v>40000</v>
      </c>
      <c r="P326" s="69" t="n">
        <f aca="false">IF(AND(P$261&gt;1,MOD(P$260-1,12)=0),Inputs!$D$52,0)</f>
        <v>0</v>
      </c>
      <c r="Q326" s="69" t="n">
        <f aca="false">IF(AND(Q$261&gt;1,MOD(Q$260-1,12)=0),Inputs!$D$52,0)</f>
        <v>0</v>
      </c>
      <c r="R326" s="69" t="n">
        <f aca="false">IF(AND(R$261&gt;1,MOD(R$260-1,12)=0),Inputs!$D$52,0)</f>
        <v>0</v>
      </c>
      <c r="S326" s="69" t="n">
        <f aca="false">IF(AND(S$261&gt;1,MOD(S$260-1,12)=0),Inputs!$D$52,0)</f>
        <v>0</v>
      </c>
      <c r="T326" s="69" t="n">
        <f aca="false">IF(AND(T$261&gt;1,MOD(T$260-1,12)=0),Inputs!$D$52,0)</f>
        <v>0</v>
      </c>
      <c r="U326" s="69" t="n">
        <f aca="false">IF(AND(U$261&gt;1,MOD(U$260-1,12)=0),Inputs!$D$52,0)</f>
        <v>0</v>
      </c>
      <c r="V326" s="69" t="n">
        <f aca="false">IF(AND(V$261&gt;1,MOD(V$260-1,12)=0),Inputs!$D$52,0)</f>
        <v>0</v>
      </c>
      <c r="W326" s="69" t="n">
        <f aca="false">IF(AND(W$261&gt;1,MOD(W$260-1,12)=0),Inputs!$D$52,0)</f>
        <v>0</v>
      </c>
      <c r="X326" s="69" t="n">
        <f aca="false">IF(AND(X$261&gt;1,MOD(X$260-1,12)=0),Inputs!$D$52,0)</f>
        <v>0</v>
      </c>
      <c r="Y326" s="69" t="n">
        <f aca="false">IF(AND(Y$261&gt;1,MOD(Y$260-1,12)=0),Inputs!$D$52,0)</f>
        <v>0</v>
      </c>
      <c r="Z326" s="69" t="n">
        <f aca="false">IF(AND(Z$261&gt;1,MOD(Z$260-1,12)=0),Inputs!$D$52,0)</f>
        <v>0</v>
      </c>
      <c r="AA326" s="69" t="n">
        <f aca="false">IF(AND(AA$261&gt;1,MOD(AA$260-1,12)=0),Inputs!$D$52,0)</f>
        <v>40000</v>
      </c>
      <c r="AB326" s="69" t="n">
        <f aca="false">IF(AND(AB$261&gt;1,MOD(AB$260-1,12)=0),Inputs!$D$52,0)</f>
        <v>0</v>
      </c>
      <c r="AC326" s="69" t="n">
        <f aca="false">IF(AND(AC$261&gt;1,MOD(AC$260-1,12)=0),Inputs!$D$52,0)</f>
        <v>0</v>
      </c>
      <c r="AD326" s="69" t="n">
        <f aca="false">IF(AND(AD$261&gt;1,MOD(AD$260-1,12)=0),Inputs!$D$52,0)</f>
        <v>0</v>
      </c>
      <c r="AE326" s="69" t="n">
        <f aca="false">IF(AND(AE$261&gt;1,MOD(AE$260-1,12)=0),Inputs!$D$52,0)</f>
        <v>0</v>
      </c>
      <c r="AF326" s="69" t="n">
        <f aca="false">IF(AND(AF$261&gt;1,MOD(AF$260-1,12)=0),Inputs!$D$52,0)</f>
        <v>0</v>
      </c>
      <c r="AG326" s="69" t="n">
        <f aca="false">IF(AND(AG$261&gt;1,MOD(AG$260-1,12)=0),Inputs!$D$52,0)</f>
        <v>0</v>
      </c>
      <c r="AH326" s="69" t="n">
        <f aca="false">IF(AND(AH$261&gt;1,MOD(AH$260-1,12)=0),Inputs!$D$52,0)</f>
        <v>0</v>
      </c>
      <c r="AI326" s="69" t="n">
        <f aca="false">IF(AND(AI$261&gt;1,MOD(AI$260-1,12)=0),Inputs!$D$52,0)</f>
        <v>0</v>
      </c>
      <c r="AJ326" s="69" t="n">
        <f aca="false">IF(AND(AJ$261&gt;1,MOD(AJ$260-1,12)=0),Inputs!$D$52,0)</f>
        <v>0</v>
      </c>
      <c r="AK326" s="69" t="n">
        <f aca="false">IF(AND(AK$261&gt;1,MOD(AK$260-1,12)=0),Inputs!$D$52,0)</f>
        <v>0</v>
      </c>
      <c r="AL326" s="69" t="n">
        <f aca="false">IF(AND(AL$261&gt;1,MOD(AL$260-1,12)=0),Inputs!$D$52,0)</f>
        <v>0</v>
      </c>
    </row>
    <row r="327" customFormat="false" ht="15" hidden="false" customHeight="false" outlineLevel="0" collapsed="false">
      <c r="A327" s="4" t="s">
        <v>84</v>
      </c>
      <c r="C327" s="75" t="n">
        <f aca="false">C323+C324+C325+C326</f>
        <v>4100000</v>
      </c>
      <c r="D327" s="75" t="n">
        <f aca="false">D323+D324+D325+D326</f>
        <v>0</v>
      </c>
      <c r="E327" s="75" t="n">
        <f aca="false">E323+E324+E325+E326</f>
        <v>0</v>
      </c>
      <c r="F327" s="75" t="n">
        <f aca="false">F323+F324+F325+F326</f>
        <v>0</v>
      </c>
      <c r="G327" s="75" t="n">
        <f aca="false">G323+G324+G325+G326</f>
        <v>0</v>
      </c>
      <c r="H327" s="75" t="n">
        <f aca="false">H323+H324+H325+H326</f>
        <v>0</v>
      </c>
      <c r="I327" s="75" t="n">
        <f aca="false">I323+I324+I325+I326</f>
        <v>0</v>
      </c>
      <c r="J327" s="75" t="n">
        <f aca="false">J323+J324+J325+J326</f>
        <v>0</v>
      </c>
      <c r="K327" s="75" t="n">
        <f aca="false">K323+K324+K325+K326</f>
        <v>0</v>
      </c>
      <c r="L327" s="75" t="n">
        <f aca="false">L323+L324+L325+L326</f>
        <v>0</v>
      </c>
      <c r="M327" s="75" t="n">
        <f aca="false">M323+M324+M325+M326</f>
        <v>0</v>
      </c>
      <c r="N327" s="75" t="n">
        <f aca="false">N323+N324+N325+N326</f>
        <v>0</v>
      </c>
      <c r="O327" s="75" t="n">
        <f aca="false">O323+O324+O325+O326</f>
        <v>40000</v>
      </c>
      <c r="P327" s="75" t="n">
        <f aca="false">P323+P324+P325+P326</f>
        <v>0</v>
      </c>
      <c r="Q327" s="75" t="n">
        <f aca="false">Q323+Q324+Q325+Q326</f>
        <v>0</v>
      </c>
      <c r="R327" s="75" t="n">
        <f aca="false">R323+R324+R325+R326</f>
        <v>0</v>
      </c>
      <c r="S327" s="75" t="n">
        <f aca="false">S323+S324+S325+S326</f>
        <v>0</v>
      </c>
      <c r="T327" s="75" t="n">
        <f aca="false">T323+T324+T325+T326</f>
        <v>0</v>
      </c>
      <c r="U327" s="75" t="n">
        <f aca="false">U323+U324+U325+U326</f>
        <v>0</v>
      </c>
      <c r="V327" s="75" t="n">
        <f aca="false">V323+V324+V325+V326</f>
        <v>0</v>
      </c>
      <c r="W327" s="75" t="n">
        <f aca="false">W323+W324+W325+W326</f>
        <v>0</v>
      </c>
      <c r="X327" s="75" t="n">
        <f aca="false">X323+X324+X325+X326</f>
        <v>0</v>
      </c>
      <c r="Y327" s="75" t="n">
        <f aca="false">Y323+Y324+Y325+Y326</f>
        <v>0</v>
      </c>
      <c r="Z327" s="75" t="n">
        <f aca="false">Z323+Z324+Z325+Z326</f>
        <v>0</v>
      </c>
      <c r="AA327" s="75" t="n">
        <f aca="false">AA323+AA324+AA325+AA326</f>
        <v>40000</v>
      </c>
      <c r="AB327" s="75" t="n">
        <f aca="false">AB323+AB324+AB325+AB326</f>
        <v>0</v>
      </c>
      <c r="AC327" s="75" t="n">
        <f aca="false">AC323+AC324+AC325+AC326</f>
        <v>0</v>
      </c>
      <c r="AD327" s="75" t="n">
        <f aca="false">AD323+AD324+AD325+AD326</f>
        <v>0</v>
      </c>
      <c r="AE327" s="75" t="n">
        <f aca="false">AE323+AE324+AE325+AE326</f>
        <v>0</v>
      </c>
      <c r="AF327" s="75" t="n">
        <f aca="false">AF323+AF324+AF325+AF326</f>
        <v>0</v>
      </c>
      <c r="AG327" s="75" t="n">
        <f aca="false">AG323+AG324+AG325+AG326</f>
        <v>0</v>
      </c>
      <c r="AH327" s="75" t="n">
        <f aca="false">AH323+AH324+AH325+AH326</f>
        <v>0</v>
      </c>
      <c r="AI327" s="75" t="n">
        <f aca="false">AI323+AI324+AI325+AI326</f>
        <v>0</v>
      </c>
      <c r="AJ327" s="75" t="n">
        <f aca="false">AJ323+AJ324+AJ325+AJ326</f>
        <v>0</v>
      </c>
      <c r="AK327" s="75" t="n">
        <f aca="false">AK323+AK324+AK325+AK326</f>
        <v>0</v>
      </c>
      <c r="AL327" s="75" t="n">
        <f aca="false">AL323+AL324+AL325+AL326</f>
        <v>0</v>
      </c>
    </row>
    <row r="328" customFormat="false" ht="15" hidden="false" customHeight="false" outlineLevel="0" collapsed="false">
      <c r="A328" s="6" t="s">
        <v>424</v>
      </c>
      <c r="C328" s="69" t="n">
        <f aca="false">C327</f>
        <v>4100000</v>
      </c>
      <c r="D328" s="69" t="n">
        <f aca="false">C328+D327</f>
        <v>4100000</v>
      </c>
      <c r="E328" s="69" t="n">
        <f aca="false">D328+E327</f>
        <v>4100000</v>
      </c>
      <c r="F328" s="69" t="n">
        <f aca="false">E328+F327</f>
        <v>4100000</v>
      </c>
      <c r="G328" s="69" t="n">
        <f aca="false">F328+G327</f>
        <v>4100000</v>
      </c>
      <c r="H328" s="69" t="n">
        <f aca="false">G328+H327</f>
        <v>4100000</v>
      </c>
      <c r="I328" s="69" t="n">
        <f aca="false">H328+I327</f>
        <v>4100000</v>
      </c>
      <c r="J328" s="69" t="n">
        <f aca="false">I328+J327</f>
        <v>4100000</v>
      </c>
      <c r="K328" s="69" t="n">
        <f aca="false">J328+K327</f>
        <v>4100000</v>
      </c>
      <c r="L328" s="69" t="n">
        <f aca="false">K328+L327</f>
        <v>4100000</v>
      </c>
      <c r="M328" s="69" t="n">
        <f aca="false">L328+M327</f>
        <v>4100000</v>
      </c>
      <c r="N328" s="69" t="n">
        <f aca="false">M328+N327</f>
        <v>4100000</v>
      </c>
      <c r="O328" s="69" t="n">
        <f aca="false">N328+O327</f>
        <v>4140000</v>
      </c>
      <c r="P328" s="69" t="n">
        <f aca="false">O328+P327</f>
        <v>4140000</v>
      </c>
      <c r="Q328" s="69" t="n">
        <f aca="false">P328+Q327</f>
        <v>4140000</v>
      </c>
      <c r="R328" s="69" t="n">
        <f aca="false">Q328+R327</f>
        <v>4140000</v>
      </c>
      <c r="S328" s="69" t="n">
        <f aca="false">R328+S327</f>
        <v>4140000</v>
      </c>
      <c r="T328" s="69" t="n">
        <f aca="false">S328+T327</f>
        <v>4140000</v>
      </c>
      <c r="U328" s="69" t="n">
        <f aca="false">T328+U327</f>
        <v>4140000</v>
      </c>
      <c r="V328" s="69" t="n">
        <f aca="false">U328+V327</f>
        <v>4140000</v>
      </c>
      <c r="W328" s="69" t="n">
        <f aca="false">V328+W327</f>
        <v>4140000</v>
      </c>
      <c r="X328" s="69" t="n">
        <f aca="false">W328+X327</f>
        <v>4140000</v>
      </c>
      <c r="Y328" s="69" t="n">
        <f aca="false">X328+Y327</f>
        <v>4140000</v>
      </c>
      <c r="Z328" s="69" t="n">
        <f aca="false">Y328+Z327</f>
        <v>4140000</v>
      </c>
      <c r="AA328" s="69" t="n">
        <f aca="false">Z328+AA327</f>
        <v>4180000</v>
      </c>
      <c r="AB328" s="69" t="n">
        <f aca="false">AA328+AB327</f>
        <v>4180000</v>
      </c>
      <c r="AC328" s="69" t="n">
        <f aca="false">AB328+AC327</f>
        <v>4180000</v>
      </c>
      <c r="AD328" s="69" t="n">
        <f aca="false">AC328+AD327</f>
        <v>4180000</v>
      </c>
      <c r="AE328" s="69" t="n">
        <f aca="false">AD328+AE327</f>
        <v>4180000</v>
      </c>
      <c r="AF328" s="69" t="n">
        <f aca="false">AE328+AF327</f>
        <v>4180000</v>
      </c>
      <c r="AG328" s="69" t="n">
        <f aca="false">AF328+AG327</f>
        <v>4180000</v>
      </c>
      <c r="AH328" s="69" t="n">
        <f aca="false">AG328+AH327</f>
        <v>4180000</v>
      </c>
      <c r="AI328" s="69" t="n">
        <f aca="false">AH328+AI327</f>
        <v>4180000</v>
      </c>
      <c r="AJ328" s="69" t="n">
        <f aca="false">AI328+AJ327</f>
        <v>4180000</v>
      </c>
      <c r="AK328" s="69" t="n">
        <f aca="false">AJ328+AK327</f>
        <v>4180000</v>
      </c>
      <c r="AL328" s="69" t="n">
        <f aca="false">AK328+AL327</f>
        <v>4180000</v>
      </c>
    </row>
    <row r="329" customFormat="false" ht="15" hidden="false" customHeight="false" outlineLevel="0" collapsed="false">
      <c r="A329" s="6" t="s">
        <v>78</v>
      </c>
      <c r="C329" s="69" t="n">
        <f aca="false">-MIN(C328/MAX(1,Inputs!$D$78*12),C327)</f>
        <v>-28472.2222222222</v>
      </c>
      <c r="D329" s="69" t="n">
        <f aca="false">-MIN(D328/MAX(1,Inputs!$D$78*12),C331+D327)</f>
        <v>-28472.2222222222</v>
      </c>
      <c r="E329" s="69" t="n">
        <f aca="false">-MIN(E328/MAX(1,Inputs!$D$78*12),D331+E327)</f>
        <v>-28472.2222222222</v>
      </c>
      <c r="F329" s="69" t="n">
        <f aca="false">-MIN(F328/MAX(1,Inputs!$D$78*12),E331+F327)</f>
        <v>-28472.2222222222</v>
      </c>
      <c r="G329" s="69" t="n">
        <f aca="false">-MIN(G328/MAX(1,Inputs!$D$78*12),F331+G327)</f>
        <v>-28472.2222222222</v>
      </c>
      <c r="H329" s="69" t="n">
        <f aca="false">-MIN(H328/MAX(1,Inputs!$D$78*12),G331+H327)</f>
        <v>-28472.2222222222</v>
      </c>
      <c r="I329" s="69" t="n">
        <f aca="false">-MIN(I328/MAX(1,Inputs!$D$78*12),H331+I327)</f>
        <v>-28472.2222222222</v>
      </c>
      <c r="J329" s="69" t="n">
        <f aca="false">-MIN(J328/MAX(1,Inputs!$D$78*12),I331+J327)</f>
        <v>-28472.2222222222</v>
      </c>
      <c r="K329" s="69" t="n">
        <f aca="false">-MIN(K328/MAX(1,Inputs!$D$78*12),J331+K327)</f>
        <v>-28472.2222222222</v>
      </c>
      <c r="L329" s="69" t="n">
        <f aca="false">-MIN(L328/MAX(1,Inputs!$D$78*12),K331+L327)</f>
        <v>-28472.2222222222</v>
      </c>
      <c r="M329" s="69" t="n">
        <f aca="false">-MIN(M328/MAX(1,Inputs!$D$78*12),L331+M327)</f>
        <v>-28472.2222222222</v>
      </c>
      <c r="N329" s="69" t="n">
        <f aca="false">-MIN(N328/MAX(1,Inputs!$D$78*12),M331+N327)</f>
        <v>-28472.2222222222</v>
      </c>
      <c r="O329" s="69" t="n">
        <f aca="false">-MIN(O328/MAX(1,Inputs!$D$78*12),N331+O327)</f>
        <v>-28750</v>
      </c>
      <c r="P329" s="69" t="n">
        <f aca="false">-MIN(P328/MAX(1,Inputs!$D$78*12),O331+P327)</f>
        <v>-28750</v>
      </c>
      <c r="Q329" s="69" t="n">
        <f aca="false">-MIN(Q328/MAX(1,Inputs!$D$78*12),P331+Q327)</f>
        <v>-28750</v>
      </c>
      <c r="R329" s="69" t="n">
        <f aca="false">-MIN(R328/MAX(1,Inputs!$D$78*12),Q331+R327)</f>
        <v>-28750</v>
      </c>
      <c r="S329" s="69" t="n">
        <f aca="false">-MIN(S328/MAX(1,Inputs!$D$78*12),R331+S327)</f>
        <v>-28750</v>
      </c>
      <c r="T329" s="69" t="n">
        <f aca="false">-MIN(T328/MAX(1,Inputs!$D$78*12),S331+T327)</f>
        <v>-28750</v>
      </c>
      <c r="U329" s="69" t="n">
        <f aca="false">-MIN(U328/MAX(1,Inputs!$D$78*12),T331+U327)</f>
        <v>-28750</v>
      </c>
      <c r="V329" s="69" t="n">
        <f aca="false">-MIN(V328/MAX(1,Inputs!$D$78*12),U331+V327)</f>
        <v>-28750</v>
      </c>
      <c r="W329" s="69" t="n">
        <f aca="false">-MIN(W328/MAX(1,Inputs!$D$78*12),V331+W327)</f>
        <v>-28750</v>
      </c>
      <c r="X329" s="69" t="n">
        <f aca="false">-MIN(X328/MAX(1,Inputs!$D$78*12),W331+X327)</f>
        <v>-28750</v>
      </c>
      <c r="Y329" s="69" t="n">
        <f aca="false">-MIN(Y328/MAX(1,Inputs!$D$78*12),X331+Y327)</f>
        <v>-28750</v>
      </c>
      <c r="Z329" s="69" t="n">
        <f aca="false">-MIN(Z328/MAX(1,Inputs!$D$78*12),Y331+Z327)</f>
        <v>-28750</v>
      </c>
      <c r="AA329" s="69" t="n">
        <f aca="false">-MIN(AA328/MAX(1,Inputs!$D$78*12),Z331+AA327)</f>
        <v>-29027.7777777778</v>
      </c>
      <c r="AB329" s="69" t="n">
        <f aca="false">-MIN(AB328/MAX(1,Inputs!$D$78*12),AA331+AB327)</f>
        <v>-29027.7777777778</v>
      </c>
      <c r="AC329" s="69" t="n">
        <f aca="false">-MIN(AC328/MAX(1,Inputs!$D$78*12),AB331+AC327)</f>
        <v>-29027.7777777778</v>
      </c>
      <c r="AD329" s="69" t="n">
        <f aca="false">-MIN(AD328/MAX(1,Inputs!$D$78*12),AC331+AD327)</f>
        <v>-29027.7777777778</v>
      </c>
      <c r="AE329" s="69" t="n">
        <f aca="false">-MIN(AE328/MAX(1,Inputs!$D$78*12),AD331+AE327)</f>
        <v>-29027.7777777778</v>
      </c>
      <c r="AF329" s="69" t="n">
        <f aca="false">-MIN(AF328/MAX(1,Inputs!$D$78*12),AE331+AF327)</f>
        <v>-29027.7777777778</v>
      </c>
      <c r="AG329" s="69" t="n">
        <f aca="false">-MIN(AG328/MAX(1,Inputs!$D$78*12),AF331+AG327)</f>
        <v>-29027.7777777778</v>
      </c>
      <c r="AH329" s="69" t="n">
        <f aca="false">-MIN(AH328/MAX(1,Inputs!$D$78*12),AG331+AH327)</f>
        <v>-29027.7777777778</v>
      </c>
      <c r="AI329" s="69" t="n">
        <f aca="false">-MIN(AI328/MAX(1,Inputs!$D$78*12),AH331+AI327)</f>
        <v>-29027.7777777778</v>
      </c>
      <c r="AJ329" s="69" t="n">
        <f aca="false">-MIN(AJ328/MAX(1,Inputs!$D$78*12),AI331+AJ327)</f>
        <v>-29027.7777777778</v>
      </c>
      <c r="AK329" s="69" t="n">
        <f aca="false">-MIN(AK328/MAX(1,Inputs!$D$78*12),AJ331+AK327)</f>
        <v>-29027.7777777778</v>
      </c>
      <c r="AL329" s="69" t="n">
        <f aca="false">-MIN(AL328/MAX(1,Inputs!$D$78*12),AK331+AL327)</f>
        <v>-29027.7777777778</v>
      </c>
    </row>
    <row r="330" customFormat="false" ht="15" hidden="false" customHeight="false" outlineLevel="0" collapsed="false">
      <c r="A330" s="6" t="s">
        <v>425</v>
      </c>
      <c r="C330" s="69" t="n">
        <f aca="false">C329</f>
        <v>-28472.2222222222</v>
      </c>
      <c r="D330" s="69" t="n">
        <f aca="false">C330+D329</f>
        <v>-56944.4444444444</v>
      </c>
      <c r="E330" s="69" t="n">
        <f aca="false">D330+E329</f>
        <v>-85416.6666666667</v>
      </c>
      <c r="F330" s="69" t="n">
        <f aca="false">E330+F329</f>
        <v>-113888.888888889</v>
      </c>
      <c r="G330" s="69" t="n">
        <f aca="false">F330+G329</f>
        <v>-142361.111111111</v>
      </c>
      <c r="H330" s="69" t="n">
        <f aca="false">G330+H329</f>
        <v>-170833.333333333</v>
      </c>
      <c r="I330" s="69" t="n">
        <f aca="false">H330+I329</f>
        <v>-199305.555555556</v>
      </c>
      <c r="J330" s="69" t="n">
        <f aca="false">I330+J329</f>
        <v>-227777.777777778</v>
      </c>
      <c r="K330" s="69" t="n">
        <f aca="false">J330+K329</f>
        <v>-256250</v>
      </c>
      <c r="L330" s="69" t="n">
        <f aca="false">K330+L329</f>
        <v>-284722.222222222</v>
      </c>
      <c r="M330" s="69" t="n">
        <f aca="false">L330+M329</f>
        <v>-313194.444444445</v>
      </c>
      <c r="N330" s="69" t="n">
        <f aca="false">M330+N329</f>
        <v>-341666.666666667</v>
      </c>
      <c r="O330" s="69" t="n">
        <f aca="false">N330+O329</f>
        <v>-370416.666666667</v>
      </c>
      <c r="P330" s="69" t="n">
        <f aca="false">O330+P329</f>
        <v>-399166.666666667</v>
      </c>
      <c r="Q330" s="69" t="n">
        <f aca="false">P330+Q329</f>
        <v>-427916.666666667</v>
      </c>
      <c r="R330" s="69" t="n">
        <f aca="false">Q330+R329</f>
        <v>-456666.666666667</v>
      </c>
      <c r="S330" s="69" t="n">
        <f aca="false">R330+S329</f>
        <v>-485416.666666667</v>
      </c>
      <c r="T330" s="69" t="n">
        <f aca="false">S330+T329</f>
        <v>-514166.666666667</v>
      </c>
      <c r="U330" s="69" t="n">
        <f aca="false">T330+U329</f>
        <v>-542916.666666667</v>
      </c>
      <c r="V330" s="69" t="n">
        <f aca="false">U330+V329</f>
        <v>-571666.666666667</v>
      </c>
      <c r="W330" s="69" t="n">
        <f aca="false">V330+W329</f>
        <v>-600416.666666667</v>
      </c>
      <c r="X330" s="69" t="n">
        <f aca="false">W330+X329</f>
        <v>-629166.666666667</v>
      </c>
      <c r="Y330" s="69" t="n">
        <f aca="false">X330+Y329</f>
        <v>-657916.666666667</v>
      </c>
      <c r="Z330" s="69" t="n">
        <f aca="false">Y330+Z329</f>
        <v>-686666.666666667</v>
      </c>
      <c r="AA330" s="69" t="n">
        <f aca="false">Z330+AA329</f>
        <v>-715694.444444445</v>
      </c>
      <c r="AB330" s="69" t="n">
        <f aca="false">AA330+AB329</f>
        <v>-744722.222222222</v>
      </c>
      <c r="AC330" s="69" t="n">
        <f aca="false">AB330+AC329</f>
        <v>-773750</v>
      </c>
      <c r="AD330" s="69" t="n">
        <f aca="false">AC330+AD329</f>
        <v>-802777.777777778</v>
      </c>
      <c r="AE330" s="69" t="n">
        <f aca="false">AD330+AE329</f>
        <v>-831805.555555556</v>
      </c>
      <c r="AF330" s="69" t="n">
        <f aca="false">AE330+AF329</f>
        <v>-860833.333333333</v>
      </c>
      <c r="AG330" s="69" t="n">
        <f aca="false">AF330+AG329</f>
        <v>-889861.111111111</v>
      </c>
      <c r="AH330" s="69" t="n">
        <f aca="false">AG330+AH329</f>
        <v>-918888.888888889</v>
      </c>
      <c r="AI330" s="69" t="n">
        <f aca="false">AH330+AI329</f>
        <v>-947916.666666667</v>
      </c>
      <c r="AJ330" s="69" t="n">
        <f aca="false">AI330+AJ329</f>
        <v>-976944.444444444</v>
      </c>
      <c r="AK330" s="69" t="n">
        <f aca="false">AJ330+AK329</f>
        <v>-1005972.22222222</v>
      </c>
      <c r="AL330" s="69" t="n">
        <f aca="false">AK330+AL329</f>
        <v>-1035000</v>
      </c>
    </row>
    <row r="331" customFormat="false" ht="15" hidden="false" customHeight="false" outlineLevel="0" collapsed="false">
      <c r="A331" s="4" t="s">
        <v>92</v>
      </c>
      <c r="C331" s="75" t="n">
        <f aca="false">C328+C330</f>
        <v>4071527.77777778</v>
      </c>
      <c r="D331" s="75" t="n">
        <f aca="false">D328+D330</f>
        <v>4043055.55555556</v>
      </c>
      <c r="E331" s="75" t="n">
        <f aca="false">E328+E330</f>
        <v>4014583.33333333</v>
      </c>
      <c r="F331" s="75" t="n">
        <f aca="false">F328+F330</f>
        <v>3986111.11111111</v>
      </c>
      <c r="G331" s="75" t="n">
        <f aca="false">G328+G330</f>
        <v>3957638.88888889</v>
      </c>
      <c r="H331" s="75" t="n">
        <f aca="false">H328+H330</f>
        <v>3929166.66666667</v>
      </c>
      <c r="I331" s="75" t="n">
        <f aca="false">I328+I330</f>
        <v>3900694.44444444</v>
      </c>
      <c r="J331" s="75" t="n">
        <f aca="false">J328+J330</f>
        <v>3872222.22222222</v>
      </c>
      <c r="K331" s="75" t="n">
        <f aca="false">K328+K330</f>
        <v>3843750</v>
      </c>
      <c r="L331" s="75" t="n">
        <f aca="false">L328+L330</f>
        <v>3815277.77777778</v>
      </c>
      <c r="M331" s="75" t="n">
        <f aca="false">M328+M330</f>
        <v>3786805.55555556</v>
      </c>
      <c r="N331" s="75" t="n">
        <f aca="false">N328+N330</f>
        <v>3758333.33333333</v>
      </c>
      <c r="O331" s="75" t="n">
        <f aca="false">O328+O330</f>
        <v>3769583.33333333</v>
      </c>
      <c r="P331" s="75" t="n">
        <f aca="false">P328+P330</f>
        <v>3740833.33333333</v>
      </c>
      <c r="Q331" s="75" t="n">
        <f aca="false">Q328+Q330</f>
        <v>3712083.33333333</v>
      </c>
      <c r="R331" s="75" t="n">
        <f aca="false">R328+R330</f>
        <v>3683333.33333333</v>
      </c>
      <c r="S331" s="75" t="n">
        <f aca="false">S328+S330</f>
        <v>3654583.33333333</v>
      </c>
      <c r="T331" s="75" t="n">
        <f aca="false">T328+T330</f>
        <v>3625833.33333333</v>
      </c>
      <c r="U331" s="75" t="n">
        <f aca="false">U328+U330</f>
        <v>3597083.33333333</v>
      </c>
      <c r="V331" s="75" t="n">
        <f aca="false">V328+V330</f>
        <v>3568333.33333333</v>
      </c>
      <c r="W331" s="75" t="n">
        <f aca="false">W328+W330</f>
        <v>3539583.33333333</v>
      </c>
      <c r="X331" s="75" t="n">
        <f aca="false">X328+X330</f>
        <v>3510833.33333333</v>
      </c>
      <c r="Y331" s="75" t="n">
        <f aca="false">Y328+Y330</f>
        <v>3482083.33333333</v>
      </c>
      <c r="Z331" s="75" t="n">
        <f aca="false">Z328+Z330</f>
        <v>3453333.33333333</v>
      </c>
      <c r="AA331" s="75" t="n">
        <f aca="false">AA328+AA330</f>
        <v>3464305.55555556</v>
      </c>
      <c r="AB331" s="75" t="n">
        <f aca="false">AB328+AB330</f>
        <v>3435277.77777778</v>
      </c>
      <c r="AC331" s="75" t="n">
        <f aca="false">AC328+AC330</f>
        <v>3406250</v>
      </c>
      <c r="AD331" s="75" t="n">
        <f aca="false">AD328+AD330</f>
        <v>3377222.22222222</v>
      </c>
      <c r="AE331" s="75" t="n">
        <f aca="false">AE328+AE330</f>
        <v>3348194.44444444</v>
      </c>
      <c r="AF331" s="75" t="n">
        <f aca="false">AF328+AF330</f>
        <v>3319166.66666667</v>
      </c>
      <c r="AG331" s="75" t="n">
        <f aca="false">AG328+AG330</f>
        <v>3290138.88888889</v>
      </c>
      <c r="AH331" s="75" t="n">
        <f aca="false">AH328+AH330</f>
        <v>3261111.11111111</v>
      </c>
      <c r="AI331" s="75" t="n">
        <f aca="false">AI328+AI330</f>
        <v>3232083.33333333</v>
      </c>
      <c r="AJ331" s="75" t="n">
        <f aca="false">AJ328+AJ330</f>
        <v>3203055.55555556</v>
      </c>
      <c r="AK331" s="75" t="n">
        <f aca="false">AK328+AK330</f>
        <v>3174027.77777778</v>
      </c>
      <c r="AL331" s="75" t="n">
        <f aca="false">AL328+AL330</f>
        <v>3145000</v>
      </c>
    </row>
    <row r="333" customFormat="false" ht="15.75" hidden="false" customHeight="true" outlineLevel="0" collapsed="false">
      <c r="A333" s="7" t="s">
        <v>426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</row>
    <row r="334" customFormat="false" ht="15" hidden="false" customHeight="false" outlineLevel="0" collapsed="false">
      <c r="A334" s="6" t="s">
        <v>427</v>
      </c>
      <c r="C334" s="69" t="n">
        <f aca="false">0</f>
        <v>0</v>
      </c>
      <c r="D334" s="69" t="n">
        <f aca="false">C337</f>
        <v>3000000</v>
      </c>
      <c r="E334" s="69" t="n">
        <f aca="false">D337</f>
        <v>2975000</v>
      </c>
      <c r="F334" s="69" t="n">
        <f aca="false">E337</f>
        <v>2950000</v>
      </c>
      <c r="G334" s="69" t="n">
        <f aca="false">F337</f>
        <v>2925000</v>
      </c>
      <c r="H334" s="69" t="n">
        <f aca="false">G337</f>
        <v>2900000</v>
      </c>
      <c r="I334" s="69" t="n">
        <f aca="false">H337</f>
        <v>2875000</v>
      </c>
      <c r="J334" s="69" t="n">
        <f aca="false">I337</f>
        <v>2850000</v>
      </c>
      <c r="K334" s="69" t="n">
        <f aca="false">J337</f>
        <v>2825000</v>
      </c>
      <c r="L334" s="69" t="n">
        <f aca="false">K337</f>
        <v>2800000</v>
      </c>
      <c r="M334" s="69" t="n">
        <f aca="false">L337</f>
        <v>2775000</v>
      </c>
      <c r="N334" s="69" t="n">
        <f aca="false">M337</f>
        <v>2750000</v>
      </c>
      <c r="O334" s="69" t="n">
        <f aca="false">N337</f>
        <v>2725000</v>
      </c>
      <c r="P334" s="69" t="n">
        <f aca="false">O337</f>
        <v>2700000</v>
      </c>
      <c r="Q334" s="69" t="n">
        <f aca="false">P337</f>
        <v>2675000</v>
      </c>
      <c r="R334" s="69" t="n">
        <f aca="false">Q337</f>
        <v>2650000</v>
      </c>
      <c r="S334" s="69" t="n">
        <f aca="false">R337</f>
        <v>2625000</v>
      </c>
      <c r="T334" s="69" t="n">
        <f aca="false">S337</f>
        <v>2600000</v>
      </c>
      <c r="U334" s="69" t="n">
        <f aca="false">T337</f>
        <v>2575000</v>
      </c>
      <c r="V334" s="69" t="n">
        <f aca="false">U337</f>
        <v>2550000</v>
      </c>
      <c r="W334" s="69" t="n">
        <f aca="false">V337</f>
        <v>2525000</v>
      </c>
      <c r="X334" s="69" t="n">
        <f aca="false">W337</f>
        <v>2500000</v>
      </c>
      <c r="Y334" s="69" t="n">
        <f aca="false">X337</f>
        <v>2475000</v>
      </c>
      <c r="Z334" s="69" t="n">
        <f aca="false">Y337</f>
        <v>2450000</v>
      </c>
      <c r="AA334" s="69" t="n">
        <f aca="false">Z337</f>
        <v>2425000</v>
      </c>
      <c r="AB334" s="69" t="n">
        <f aca="false">AA337</f>
        <v>2400000</v>
      </c>
      <c r="AC334" s="69" t="n">
        <f aca="false">AB337</f>
        <v>2375000</v>
      </c>
      <c r="AD334" s="69" t="n">
        <f aca="false">AC337</f>
        <v>2350000</v>
      </c>
      <c r="AE334" s="69" t="n">
        <f aca="false">AD337</f>
        <v>2325000</v>
      </c>
      <c r="AF334" s="69" t="n">
        <f aca="false">AE337</f>
        <v>2300000</v>
      </c>
      <c r="AG334" s="69" t="n">
        <f aca="false">AF337</f>
        <v>2275000</v>
      </c>
      <c r="AH334" s="69" t="n">
        <f aca="false">AG337</f>
        <v>2250000</v>
      </c>
      <c r="AI334" s="69" t="n">
        <f aca="false">AH337</f>
        <v>2225000</v>
      </c>
      <c r="AJ334" s="69" t="n">
        <f aca="false">AI337</f>
        <v>2200000</v>
      </c>
      <c r="AK334" s="69" t="n">
        <f aca="false">AJ337</f>
        <v>2175000</v>
      </c>
      <c r="AL334" s="69" t="n">
        <f aca="false">AK337</f>
        <v>2150000</v>
      </c>
    </row>
    <row r="335" customFormat="false" ht="15" hidden="false" customHeight="false" outlineLevel="0" collapsed="false">
      <c r="A335" s="6" t="s">
        <v>85</v>
      </c>
      <c r="C335" s="69" t="n">
        <f aca="false">IF(C$260=1,Inputs!$D$68,0)</f>
        <v>3000000</v>
      </c>
      <c r="D335" s="69" t="n">
        <f aca="false">IF(D$260=1,Inputs!$D$68,0)</f>
        <v>0</v>
      </c>
      <c r="E335" s="69" t="n">
        <f aca="false">IF(E$260=1,Inputs!$D$68,0)</f>
        <v>0</v>
      </c>
      <c r="F335" s="69" t="n">
        <f aca="false">IF(F$260=1,Inputs!$D$68,0)</f>
        <v>0</v>
      </c>
      <c r="G335" s="69" t="n">
        <f aca="false">IF(G$260=1,Inputs!$D$68,0)</f>
        <v>0</v>
      </c>
      <c r="H335" s="69" t="n">
        <f aca="false">IF(H$260=1,Inputs!$D$68,0)</f>
        <v>0</v>
      </c>
      <c r="I335" s="69" t="n">
        <f aca="false">IF(I$260=1,Inputs!$D$68,0)</f>
        <v>0</v>
      </c>
      <c r="J335" s="69" t="n">
        <f aca="false">IF(J$260=1,Inputs!$D$68,0)</f>
        <v>0</v>
      </c>
      <c r="K335" s="69" t="n">
        <f aca="false">IF(K$260=1,Inputs!$D$68,0)</f>
        <v>0</v>
      </c>
      <c r="L335" s="69" t="n">
        <f aca="false">IF(L$260=1,Inputs!$D$68,0)</f>
        <v>0</v>
      </c>
      <c r="M335" s="69" t="n">
        <f aca="false">IF(M$260=1,Inputs!$D$68,0)</f>
        <v>0</v>
      </c>
      <c r="N335" s="69" t="n">
        <f aca="false">IF(N$260=1,Inputs!$D$68,0)</f>
        <v>0</v>
      </c>
      <c r="O335" s="69" t="n">
        <f aca="false">IF(O$260=1,Inputs!$D$68,0)</f>
        <v>0</v>
      </c>
      <c r="P335" s="69" t="n">
        <f aca="false">IF(P$260=1,Inputs!$D$68,0)</f>
        <v>0</v>
      </c>
      <c r="Q335" s="69" t="n">
        <f aca="false">IF(Q$260=1,Inputs!$D$68,0)</f>
        <v>0</v>
      </c>
      <c r="R335" s="69" t="n">
        <f aca="false">IF(R$260=1,Inputs!$D$68,0)</f>
        <v>0</v>
      </c>
      <c r="S335" s="69" t="n">
        <f aca="false">IF(S$260=1,Inputs!$D$68,0)</f>
        <v>0</v>
      </c>
      <c r="T335" s="69" t="n">
        <f aca="false">IF(T$260=1,Inputs!$D$68,0)</f>
        <v>0</v>
      </c>
      <c r="U335" s="69" t="n">
        <f aca="false">IF(U$260=1,Inputs!$D$68,0)</f>
        <v>0</v>
      </c>
      <c r="V335" s="69" t="n">
        <f aca="false">IF(V$260=1,Inputs!$D$68,0)</f>
        <v>0</v>
      </c>
      <c r="W335" s="69" t="n">
        <f aca="false">IF(W$260=1,Inputs!$D$68,0)</f>
        <v>0</v>
      </c>
      <c r="X335" s="69" t="n">
        <f aca="false">IF(X$260=1,Inputs!$D$68,0)</f>
        <v>0</v>
      </c>
      <c r="Y335" s="69" t="n">
        <f aca="false">IF(Y$260=1,Inputs!$D$68,0)</f>
        <v>0</v>
      </c>
      <c r="Z335" s="69" t="n">
        <f aca="false">IF(Z$260=1,Inputs!$D$68,0)</f>
        <v>0</v>
      </c>
      <c r="AA335" s="69" t="n">
        <f aca="false">IF(AA$260=1,Inputs!$D$68,0)</f>
        <v>0</v>
      </c>
      <c r="AB335" s="69" t="n">
        <f aca="false">IF(AB$260=1,Inputs!$D$68,0)</f>
        <v>0</v>
      </c>
      <c r="AC335" s="69" t="n">
        <f aca="false">IF(AC$260=1,Inputs!$D$68,0)</f>
        <v>0</v>
      </c>
      <c r="AD335" s="69" t="n">
        <f aca="false">IF(AD$260=1,Inputs!$D$68,0)</f>
        <v>0</v>
      </c>
      <c r="AE335" s="69" t="n">
        <f aca="false">IF(AE$260=1,Inputs!$D$68,0)</f>
        <v>0</v>
      </c>
      <c r="AF335" s="69" t="n">
        <f aca="false">IF(AF$260=1,Inputs!$D$68,0)</f>
        <v>0</v>
      </c>
      <c r="AG335" s="69" t="n">
        <f aca="false">IF(AG$260=1,Inputs!$D$68,0)</f>
        <v>0</v>
      </c>
      <c r="AH335" s="69" t="n">
        <f aca="false">IF(AH$260=1,Inputs!$D$68,0)</f>
        <v>0</v>
      </c>
      <c r="AI335" s="69" t="n">
        <f aca="false">IF(AI$260=1,Inputs!$D$68,0)</f>
        <v>0</v>
      </c>
      <c r="AJ335" s="69" t="n">
        <f aca="false">IF(AJ$260=1,Inputs!$D$68,0)</f>
        <v>0</v>
      </c>
      <c r="AK335" s="69" t="n">
        <f aca="false">IF(AK$260=1,Inputs!$D$68,0)</f>
        <v>0</v>
      </c>
      <c r="AL335" s="69" t="n">
        <f aca="false">IF(AL$260=1,Inputs!$D$68,0)</f>
        <v>0</v>
      </c>
    </row>
    <row r="336" customFormat="false" ht="15" hidden="false" customHeight="false" outlineLevel="0" collapsed="false">
      <c r="A336" s="6" t="s">
        <v>86</v>
      </c>
      <c r="C336" s="69" t="n">
        <f aca="false">-MIN(C334,Inputs!$D$68/MAX(1,Inputs!$D$70*12))</f>
        <v>-0</v>
      </c>
      <c r="D336" s="69" t="n">
        <f aca="false">-MIN(D334,Inputs!$D$68/MAX(1,Inputs!$D$70*12))</f>
        <v>-25000</v>
      </c>
      <c r="E336" s="69" t="n">
        <f aca="false">-MIN(E334,Inputs!$D$68/MAX(1,Inputs!$D$70*12))</f>
        <v>-25000</v>
      </c>
      <c r="F336" s="69" t="n">
        <f aca="false">-MIN(F334,Inputs!$D$68/MAX(1,Inputs!$D$70*12))</f>
        <v>-25000</v>
      </c>
      <c r="G336" s="69" t="n">
        <f aca="false">-MIN(G334,Inputs!$D$68/MAX(1,Inputs!$D$70*12))</f>
        <v>-25000</v>
      </c>
      <c r="H336" s="69" t="n">
        <f aca="false">-MIN(H334,Inputs!$D$68/MAX(1,Inputs!$D$70*12))</f>
        <v>-25000</v>
      </c>
      <c r="I336" s="69" t="n">
        <f aca="false">-MIN(I334,Inputs!$D$68/MAX(1,Inputs!$D$70*12))</f>
        <v>-25000</v>
      </c>
      <c r="J336" s="69" t="n">
        <f aca="false">-MIN(J334,Inputs!$D$68/MAX(1,Inputs!$D$70*12))</f>
        <v>-25000</v>
      </c>
      <c r="K336" s="69" t="n">
        <f aca="false">-MIN(K334,Inputs!$D$68/MAX(1,Inputs!$D$70*12))</f>
        <v>-25000</v>
      </c>
      <c r="L336" s="69" t="n">
        <f aca="false">-MIN(L334,Inputs!$D$68/MAX(1,Inputs!$D$70*12))</f>
        <v>-25000</v>
      </c>
      <c r="M336" s="69" t="n">
        <f aca="false">-MIN(M334,Inputs!$D$68/MAX(1,Inputs!$D$70*12))</f>
        <v>-25000</v>
      </c>
      <c r="N336" s="69" t="n">
        <f aca="false">-MIN(N334,Inputs!$D$68/MAX(1,Inputs!$D$70*12))</f>
        <v>-25000</v>
      </c>
      <c r="O336" s="69" t="n">
        <f aca="false">-MIN(O334,Inputs!$D$68/MAX(1,Inputs!$D$70*12))</f>
        <v>-25000</v>
      </c>
      <c r="P336" s="69" t="n">
        <f aca="false">-MIN(P334,Inputs!$D$68/MAX(1,Inputs!$D$70*12))</f>
        <v>-25000</v>
      </c>
      <c r="Q336" s="69" t="n">
        <f aca="false">-MIN(Q334,Inputs!$D$68/MAX(1,Inputs!$D$70*12))</f>
        <v>-25000</v>
      </c>
      <c r="R336" s="69" t="n">
        <f aca="false">-MIN(R334,Inputs!$D$68/MAX(1,Inputs!$D$70*12))</f>
        <v>-25000</v>
      </c>
      <c r="S336" s="69" t="n">
        <f aca="false">-MIN(S334,Inputs!$D$68/MAX(1,Inputs!$D$70*12))</f>
        <v>-25000</v>
      </c>
      <c r="T336" s="69" t="n">
        <f aca="false">-MIN(T334,Inputs!$D$68/MAX(1,Inputs!$D$70*12))</f>
        <v>-25000</v>
      </c>
      <c r="U336" s="69" t="n">
        <f aca="false">-MIN(U334,Inputs!$D$68/MAX(1,Inputs!$D$70*12))</f>
        <v>-25000</v>
      </c>
      <c r="V336" s="69" t="n">
        <f aca="false">-MIN(V334,Inputs!$D$68/MAX(1,Inputs!$D$70*12))</f>
        <v>-25000</v>
      </c>
      <c r="W336" s="69" t="n">
        <f aca="false">-MIN(W334,Inputs!$D$68/MAX(1,Inputs!$D$70*12))</f>
        <v>-25000</v>
      </c>
      <c r="X336" s="69" t="n">
        <f aca="false">-MIN(X334,Inputs!$D$68/MAX(1,Inputs!$D$70*12))</f>
        <v>-25000</v>
      </c>
      <c r="Y336" s="69" t="n">
        <f aca="false">-MIN(Y334,Inputs!$D$68/MAX(1,Inputs!$D$70*12))</f>
        <v>-25000</v>
      </c>
      <c r="Z336" s="69" t="n">
        <f aca="false">-MIN(Z334,Inputs!$D$68/MAX(1,Inputs!$D$70*12))</f>
        <v>-25000</v>
      </c>
      <c r="AA336" s="69" t="n">
        <f aca="false">-MIN(AA334,Inputs!$D$68/MAX(1,Inputs!$D$70*12))</f>
        <v>-25000</v>
      </c>
      <c r="AB336" s="69" t="n">
        <f aca="false">-MIN(AB334,Inputs!$D$68/MAX(1,Inputs!$D$70*12))</f>
        <v>-25000</v>
      </c>
      <c r="AC336" s="69" t="n">
        <f aca="false">-MIN(AC334,Inputs!$D$68/MAX(1,Inputs!$D$70*12))</f>
        <v>-25000</v>
      </c>
      <c r="AD336" s="69" t="n">
        <f aca="false">-MIN(AD334,Inputs!$D$68/MAX(1,Inputs!$D$70*12))</f>
        <v>-25000</v>
      </c>
      <c r="AE336" s="69" t="n">
        <f aca="false">-MIN(AE334,Inputs!$D$68/MAX(1,Inputs!$D$70*12))</f>
        <v>-25000</v>
      </c>
      <c r="AF336" s="69" t="n">
        <f aca="false">-MIN(AF334,Inputs!$D$68/MAX(1,Inputs!$D$70*12))</f>
        <v>-25000</v>
      </c>
      <c r="AG336" s="69" t="n">
        <f aca="false">-MIN(AG334,Inputs!$D$68/MAX(1,Inputs!$D$70*12))</f>
        <v>-25000</v>
      </c>
      <c r="AH336" s="69" t="n">
        <f aca="false">-MIN(AH334,Inputs!$D$68/MAX(1,Inputs!$D$70*12))</f>
        <v>-25000</v>
      </c>
      <c r="AI336" s="69" t="n">
        <f aca="false">-MIN(AI334,Inputs!$D$68/MAX(1,Inputs!$D$70*12))</f>
        <v>-25000</v>
      </c>
      <c r="AJ336" s="69" t="n">
        <f aca="false">-MIN(AJ334,Inputs!$D$68/MAX(1,Inputs!$D$70*12))</f>
        <v>-25000</v>
      </c>
      <c r="AK336" s="69" t="n">
        <f aca="false">-MIN(AK334,Inputs!$D$68/MAX(1,Inputs!$D$70*12))</f>
        <v>-25000</v>
      </c>
      <c r="AL336" s="69" t="n">
        <f aca="false">-MIN(AL334,Inputs!$D$68/MAX(1,Inputs!$D$70*12))</f>
        <v>-25000</v>
      </c>
    </row>
    <row r="337" customFormat="false" ht="15" hidden="false" customHeight="false" outlineLevel="0" collapsed="false">
      <c r="A337" s="4" t="s">
        <v>428</v>
      </c>
      <c r="C337" s="75" t="n">
        <f aca="false">C334+C335+C336</f>
        <v>3000000</v>
      </c>
      <c r="D337" s="75" t="n">
        <f aca="false">D334+D335+D336</f>
        <v>2975000</v>
      </c>
      <c r="E337" s="75" t="n">
        <f aca="false">E334+E335+E336</f>
        <v>2950000</v>
      </c>
      <c r="F337" s="75" t="n">
        <f aca="false">F334+F335+F336</f>
        <v>2925000</v>
      </c>
      <c r="G337" s="75" t="n">
        <f aca="false">G334+G335+G336</f>
        <v>2900000</v>
      </c>
      <c r="H337" s="75" t="n">
        <f aca="false">H334+H335+H336</f>
        <v>2875000</v>
      </c>
      <c r="I337" s="75" t="n">
        <f aca="false">I334+I335+I336</f>
        <v>2850000</v>
      </c>
      <c r="J337" s="75" t="n">
        <f aca="false">J334+J335+J336</f>
        <v>2825000</v>
      </c>
      <c r="K337" s="75" t="n">
        <f aca="false">K334+K335+K336</f>
        <v>2800000</v>
      </c>
      <c r="L337" s="75" t="n">
        <f aca="false">L334+L335+L336</f>
        <v>2775000</v>
      </c>
      <c r="M337" s="75" t="n">
        <f aca="false">M334+M335+M336</f>
        <v>2750000</v>
      </c>
      <c r="N337" s="75" t="n">
        <f aca="false">N334+N335+N336</f>
        <v>2725000</v>
      </c>
      <c r="O337" s="75" t="n">
        <f aca="false">O334+O335+O336</f>
        <v>2700000</v>
      </c>
      <c r="P337" s="75" t="n">
        <f aca="false">P334+P335+P336</f>
        <v>2675000</v>
      </c>
      <c r="Q337" s="75" t="n">
        <f aca="false">Q334+Q335+Q336</f>
        <v>2650000</v>
      </c>
      <c r="R337" s="75" t="n">
        <f aca="false">R334+R335+R336</f>
        <v>2625000</v>
      </c>
      <c r="S337" s="75" t="n">
        <f aca="false">S334+S335+S336</f>
        <v>2600000</v>
      </c>
      <c r="T337" s="75" t="n">
        <f aca="false">T334+T335+T336</f>
        <v>2575000</v>
      </c>
      <c r="U337" s="75" t="n">
        <f aca="false">U334+U335+U336</f>
        <v>2550000</v>
      </c>
      <c r="V337" s="75" t="n">
        <f aca="false">V334+V335+V336</f>
        <v>2525000</v>
      </c>
      <c r="W337" s="75" t="n">
        <f aca="false">W334+W335+W336</f>
        <v>2500000</v>
      </c>
      <c r="X337" s="75" t="n">
        <f aca="false">X334+X335+X336</f>
        <v>2475000</v>
      </c>
      <c r="Y337" s="75" t="n">
        <f aca="false">Y334+Y335+Y336</f>
        <v>2450000</v>
      </c>
      <c r="Z337" s="75" t="n">
        <f aca="false">Z334+Z335+Z336</f>
        <v>2425000</v>
      </c>
      <c r="AA337" s="75" t="n">
        <f aca="false">AA334+AA335+AA336</f>
        <v>2400000</v>
      </c>
      <c r="AB337" s="75" t="n">
        <f aca="false">AB334+AB335+AB336</f>
        <v>2375000</v>
      </c>
      <c r="AC337" s="75" t="n">
        <f aca="false">AC334+AC335+AC336</f>
        <v>2350000</v>
      </c>
      <c r="AD337" s="75" t="n">
        <f aca="false">AD334+AD335+AD336</f>
        <v>2325000</v>
      </c>
      <c r="AE337" s="75" t="n">
        <f aca="false">AE334+AE335+AE336</f>
        <v>2300000</v>
      </c>
      <c r="AF337" s="75" t="n">
        <f aca="false">AF334+AF335+AF336</f>
        <v>2275000</v>
      </c>
      <c r="AG337" s="75" t="n">
        <f aca="false">AG334+AG335+AG336</f>
        <v>2250000</v>
      </c>
      <c r="AH337" s="75" t="n">
        <f aca="false">AH334+AH335+AH336</f>
        <v>2225000</v>
      </c>
      <c r="AI337" s="75" t="n">
        <f aca="false">AI334+AI335+AI336</f>
        <v>2200000</v>
      </c>
      <c r="AJ337" s="75" t="n">
        <f aca="false">AJ334+AJ335+AJ336</f>
        <v>2175000</v>
      </c>
      <c r="AK337" s="75" t="n">
        <f aca="false">AK334+AK335+AK336</f>
        <v>2150000</v>
      </c>
      <c r="AL337" s="75" t="n">
        <f aca="false">AL334+AL335+AL336</f>
        <v>2125000</v>
      </c>
    </row>
    <row r="339" customFormat="false" ht="15.75" hidden="false" customHeight="true" outlineLevel="0" collapsed="false">
      <c r="A339" s="7" t="s">
        <v>322</v>
      </c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customFormat="false" ht="15" hidden="false" customHeight="false" outlineLevel="0" collapsed="false">
      <c r="A340" s="6" t="s">
        <v>90</v>
      </c>
      <c r="C340" s="69" t="n">
        <f aca="false">C293*Inputs!$D$73/30</f>
        <v>5198.9604</v>
      </c>
      <c r="D340" s="69" t="n">
        <f aca="false">D293*Inputs!$D$73/30</f>
        <v>5859.19155748571</v>
      </c>
      <c r="E340" s="69" t="n">
        <f aca="false">E293*Inputs!$D$73/30</f>
        <v>7318.95840516998</v>
      </c>
      <c r="F340" s="69" t="n">
        <f aca="false">F293*Inputs!$D$73/30</f>
        <v>8103.93478763312</v>
      </c>
      <c r="G340" s="69" t="n">
        <f aca="false">G293*Inputs!$D$73/30</f>
        <v>8905.40953042885</v>
      </c>
      <c r="H340" s="69" t="n">
        <f aca="false">H293*Inputs!$D$73/30</f>
        <v>9722.85468602656</v>
      </c>
      <c r="I340" s="69" t="n">
        <f aca="false">I293*Inputs!$D$73/30</f>
        <v>10555.7592012166</v>
      </c>
      <c r="J340" s="69" t="n">
        <f aca="false">J293*Inputs!$D$73/30</f>
        <v>11403.6283764919</v>
      </c>
      <c r="K340" s="69" t="n">
        <f aca="false">K293*Inputs!$D$73/30</f>
        <v>11686.0972284442</v>
      </c>
      <c r="L340" s="69" t="n">
        <f aca="false">L293*Inputs!$D$73/30</f>
        <v>11959.527077134</v>
      </c>
      <c r="M340" s="69" t="n">
        <f aca="false">M293*Inputs!$D$73/30</f>
        <v>12224.2071706657</v>
      </c>
      <c r="N340" s="69" t="n">
        <f aca="false">N293*Inputs!$D$73/30</f>
        <v>11326.2948345377</v>
      </c>
      <c r="O340" s="69" t="n">
        <f aca="false">O293*Inputs!$D$73/30</f>
        <v>11901.5652514275</v>
      </c>
      <c r="P340" s="69" t="n">
        <f aca="false">P293*Inputs!$D$73/30</f>
        <v>12137.3394129818</v>
      </c>
      <c r="Q340" s="69" t="n">
        <f aca="false">Q293*Inputs!$D$73/30</f>
        <v>13554.3151480331</v>
      </c>
      <c r="R340" s="69" t="n">
        <f aca="false">R293*Inputs!$D$73/30</f>
        <v>13803.039572096</v>
      </c>
      <c r="S340" s="69" t="n">
        <f aca="false">S293*Inputs!$D$73/30</f>
        <v>14043.8048145889</v>
      </c>
      <c r="T340" s="69" t="n">
        <f aca="false">T293*Inputs!$D$73/30</f>
        <v>14276.8655693221</v>
      </c>
      <c r="U340" s="69" t="n">
        <f aca="false">U293*Inputs!$D$73/30</f>
        <v>14502.4683799038</v>
      </c>
      <c r="V340" s="69" t="n">
        <f aca="false">V293*Inputs!$D$73/30</f>
        <v>14720.8519005469</v>
      </c>
      <c r="W340" s="69" t="n">
        <f aca="false">W293*Inputs!$D$73/30</f>
        <v>14932.2471485294</v>
      </c>
      <c r="X340" s="69" t="n">
        <f aca="false">X293*Inputs!$D$73/30</f>
        <v>15136.8777485764</v>
      </c>
      <c r="Y340" s="69" t="n">
        <f aca="false">Y293*Inputs!$D$73/30</f>
        <v>15334.960169422</v>
      </c>
      <c r="Z340" s="69" t="n">
        <f aca="false">Z293*Inputs!$D$73/30</f>
        <v>14337.9576061338</v>
      </c>
      <c r="AA340" s="69" t="n">
        <f aca="false">AA293*Inputs!$D$73/30</f>
        <v>14939.5093527076</v>
      </c>
      <c r="AB340" s="69" t="n">
        <f aca="false">AB293*Inputs!$D$73/30</f>
        <v>15114.306278509</v>
      </c>
      <c r="AC340" s="69" t="n">
        <f aca="false">AC293*Inputs!$D$73/30</f>
        <v>16507.9184397514</v>
      </c>
      <c r="AD340" s="69" t="n">
        <f aca="false">AD293*Inputs!$D$73/30</f>
        <v>16700.3396817433</v>
      </c>
      <c r="AE340" s="69" t="n">
        <f aca="false">AE293*Inputs!$D$73/30</f>
        <v>16886.6034439915</v>
      </c>
      <c r="AF340" s="69" t="n">
        <f aca="false">AF293*Inputs!$D$73/30</f>
        <v>17066.9067658478</v>
      </c>
      <c r="AG340" s="69" t="n">
        <f aca="false">AG293*Inputs!$D$73/30</f>
        <v>17241.4403814047</v>
      </c>
      <c r="AH340" s="69" t="n">
        <f aca="false">AH293*Inputs!$D$73/30</f>
        <v>17410.3889212637</v>
      </c>
      <c r="AI340" s="69" t="n">
        <f aca="false">AI293*Inputs!$D$73/30</f>
        <v>17573.9311078473</v>
      </c>
      <c r="AJ340" s="69" t="n">
        <f aca="false">AJ293*Inputs!$D$73/30</f>
        <v>17732.2399444602</v>
      </c>
      <c r="AK340" s="69" t="n">
        <f aca="false">AK293*Inputs!$D$73/30</f>
        <v>17885.4828983015</v>
      </c>
      <c r="AL340" s="69" t="n">
        <f aca="false">AL293*Inputs!$D$73/30</f>
        <v>16809.4133405531</v>
      </c>
    </row>
    <row r="341" customFormat="false" ht="15" hidden="false" customHeight="false" outlineLevel="0" collapsed="false">
      <c r="A341" s="6" t="s">
        <v>91</v>
      </c>
      <c r="C341" s="69" t="n">
        <f aca="false">-C301*Inputs!$D$74/30</f>
        <v>4770.66839184</v>
      </c>
      <c r="D341" s="69" t="n">
        <f aca="false">-D301*Inputs!$D$74/30</f>
        <v>5382.27904784969</v>
      </c>
      <c r="E341" s="69" t="n">
        <f aca="false">-E301*Inputs!$D$74/30</f>
        <v>6871.05603161437</v>
      </c>
      <c r="F341" s="69" t="n">
        <f aca="false">-F301*Inputs!$D$74/30</f>
        <v>7627.20091558303</v>
      </c>
      <c r="G341" s="69" t="n">
        <f aca="false">-G301*Inputs!$D$74/30</f>
        <v>8402.29390589326</v>
      </c>
      <c r="H341" s="69" t="n">
        <f aca="false">-H301*Inputs!$D$74/30</f>
        <v>9195.72866314213</v>
      </c>
      <c r="I341" s="69" t="n">
        <f aca="false">-I301*Inputs!$D$74/30</f>
        <v>10006.9182507876</v>
      </c>
      <c r="J341" s="69" t="n">
        <f aca="false">-J301*Inputs!$D$74/30</f>
        <v>10835.294514257</v>
      </c>
      <c r="K341" s="69" t="n">
        <f aca="false">-K301*Inputs!$D$74/30</f>
        <v>11159.7055306897</v>
      </c>
      <c r="L341" s="69" t="n">
        <f aca="false">-L301*Inputs!$D$74/30</f>
        <v>11473.7353945965</v>
      </c>
      <c r="M341" s="69" t="n">
        <f aca="false">-M301*Inputs!$D$74/30</f>
        <v>11777.7163028583</v>
      </c>
      <c r="N341" s="69" t="n">
        <f aca="false">-N301*Inputs!$D$74/30</f>
        <v>10598.9000939005</v>
      </c>
      <c r="O341" s="69" t="n">
        <f aca="false">-O301*Inputs!$D$74/30</f>
        <v>11116.7621242939</v>
      </c>
      <c r="P341" s="69" t="n">
        <f aca="false">-P301*Inputs!$D$74/30</f>
        <v>11358.0584853725</v>
      </c>
      <c r="Q341" s="69" t="n">
        <f aca="false">-Q301*Inputs!$D$74/30</f>
        <v>13187.0344454995</v>
      </c>
      <c r="R341" s="69" t="n">
        <f aca="false">-R301*Inputs!$D$74/30</f>
        <v>13471.5573933626</v>
      </c>
      <c r="S341" s="69" t="n">
        <f aca="false">-S301*Inputs!$D$74/30</f>
        <v>13746.9756068941</v>
      </c>
      <c r="T341" s="69" t="n">
        <f aca="false">-T301*Inputs!$D$74/30</f>
        <v>14013.5804375926</v>
      </c>
      <c r="U341" s="69" t="n">
        <f aca="false">-U301*Inputs!$D$74/30</f>
        <v>14271.6539137088</v>
      </c>
      <c r="V341" s="69" t="n">
        <f aca="false">-V301*Inputs!$D$74/30</f>
        <v>14521.4690385892</v>
      </c>
      <c r="W341" s="69" t="n">
        <f aca="false">-W301*Inputs!$D$74/30</f>
        <v>14763.2900794735</v>
      </c>
      <c r="X341" s="69" t="n">
        <f aca="false">-X301*Inputs!$D$74/30</f>
        <v>14997.3728470494</v>
      </c>
      <c r="Y341" s="69" t="n">
        <f aca="false">-Y301*Inputs!$D$74/30</f>
        <v>15223.964966063</v>
      </c>
      <c r="Z341" s="69" t="n">
        <f aca="false">-Z301*Inputs!$D$74/30</f>
        <v>13610.2185975339</v>
      </c>
      <c r="AA341" s="69" t="n">
        <f aca="false">-AA301*Inputs!$D$74/30</f>
        <v>14140.2798475285</v>
      </c>
      <c r="AB341" s="69" t="n">
        <f aca="false">-AB301*Inputs!$D$74/30</f>
        <v>14318.480579052</v>
      </c>
      <c r="AC341" s="69" t="n">
        <f aca="false">-AC301*Inputs!$D$74/30</f>
        <v>16432.9511563697</v>
      </c>
      <c r="AD341" s="69" t="n">
        <f aca="false">-AD301*Inputs!$D$74/30</f>
        <v>16652.1949244122</v>
      </c>
      <c r="AE341" s="69" t="n">
        <f aca="false">-AE301*Inputs!$D$74/30</f>
        <v>16864.4228918773</v>
      </c>
      <c r="AF341" s="69" t="n">
        <f aca="false">-AF301*Inputs!$D$74/30</f>
        <v>17069.8595643836</v>
      </c>
      <c r="AG341" s="69" t="n">
        <f aca="false">-AG301*Inputs!$D$74/30</f>
        <v>17268.7222633696</v>
      </c>
      <c r="AH341" s="69" t="n">
        <f aca="false">-AH301*Inputs!$D$74/30</f>
        <v>17461.2213559881</v>
      </c>
      <c r="AI341" s="69" t="n">
        <f aca="false">-AI301*Inputs!$D$74/30</f>
        <v>17647.5604776428</v>
      </c>
      <c r="AJ341" s="69" t="n">
        <f aca="false">-AJ301*Inputs!$D$74/30</f>
        <v>17827.9367474046</v>
      </c>
      <c r="AK341" s="69" t="n">
        <f aca="false">-AK301*Inputs!$D$74/30</f>
        <v>18002.540976534</v>
      </c>
      <c r="AL341" s="69" t="n">
        <f aca="false">-AL301*Inputs!$D$74/30</f>
        <v>16046.5963172562</v>
      </c>
    </row>
    <row r="342" customFormat="false" ht="15" hidden="false" customHeight="false" outlineLevel="0" collapsed="false">
      <c r="A342" s="6" t="s">
        <v>94</v>
      </c>
      <c r="C342" s="69" t="n">
        <f aca="false">-C301*Inputs!$D$75/30</f>
        <v>7951.1139864</v>
      </c>
      <c r="D342" s="69" t="n">
        <f aca="false">-D301*Inputs!$D$75/30</f>
        <v>8970.46507974949</v>
      </c>
      <c r="E342" s="69" t="n">
        <f aca="false">-E301*Inputs!$D$75/30</f>
        <v>11451.7600526906</v>
      </c>
      <c r="F342" s="69" t="n">
        <f aca="false">-F301*Inputs!$D$75/30</f>
        <v>12712.0015259717</v>
      </c>
      <c r="G342" s="69" t="n">
        <f aca="false">-G301*Inputs!$D$75/30</f>
        <v>14003.8231764888</v>
      </c>
      <c r="H342" s="69" t="n">
        <f aca="false">-H301*Inputs!$D$75/30</f>
        <v>15326.2144385702</v>
      </c>
      <c r="I342" s="69" t="n">
        <f aca="false">-I301*Inputs!$D$75/30</f>
        <v>16678.197084646</v>
      </c>
      <c r="J342" s="69" t="n">
        <f aca="false">-J301*Inputs!$D$75/30</f>
        <v>18058.8241904284</v>
      </c>
      <c r="K342" s="69" t="n">
        <f aca="false">-K301*Inputs!$D$75/30</f>
        <v>18599.5092178161</v>
      </c>
      <c r="L342" s="69" t="n">
        <f aca="false">-L301*Inputs!$D$75/30</f>
        <v>19122.8923243275</v>
      </c>
      <c r="M342" s="69" t="n">
        <f aca="false">-M301*Inputs!$D$75/30</f>
        <v>19629.5271714305</v>
      </c>
      <c r="N342" s="69" t="n">
        <f aca="false">-N301*Inputs!$D$75/30</f>
        <v>17664.8334898342</v>
      </c>
      <c r="O342" s="69" t="n">
        <f aca="false">-O301*Inputs!$D$75/30</f>
        <v>18527.9368738232</v>
      </c>
      <c r="P342" s="69" t="n">
        <f aca="false">-P301*Inputs!$D$75/30</f>
        <v>18930.0974756209</v>
      </c>
      <c r="Q342" s="69" t="n">
        <f aca="false">-Q301*Inputs!$D$75/30</f>
        <v>21978.3907424992</v>
      </c>
      <c r="R342" s="69" t="n">
        <f aca="false">-R301*Inputs!$D$75/30</f>
        <v>22452.5956556044</v>
      </c>
      <c r="S342" s="69" t="n">
        <f aca="false">-S301*Inputs!$D$75/30</f>
        <v>22911.6260114902</v>
      </c>
      <c r="T342" s="69" t="n">
        <f aca="false">-T301*Inputs!$D$75/30</f>
        <v>23355.9673959877</v>
      </c>
      <c r="U342" s="69" t="n">
        <f aca="false">-U301*Inputs!$D$75/30</f>
        <v>23786.0898561813</v>
      </c>
      <c r="V342" s="69" t="n">
        <f aca="false">-V301*Inputs!$D$75/30</f>
        <v>24202.4483976487</v>
      </c>
      <c r="W342" s="69" t="n">
        <f aca="false">-W301*Inputs!$D$75/30</f>
        <v>24605.4834657891</v>
      </c>
      <c r="X342" s="69" t="n">
        <f aca="false">-X301*Inputs!$D$75/30</f>
        <v>24995.6214117491</v>
      </c>
      <c r="Y342" s="69" t="n">
        <f aca="false">-Y301*Inputs!$D$75/30</f>
        <v>25373.2749434383</v>
      </c>
      <c r="Z342" s="69" t="n">
        <f aca="false">-Z301*Inputs!$D$75/30</f>
        <v>22683.6976625564</v>
      </c>
      <c r="AA342" s="69" t="n">
        <f aca="false">-AA301*Inputs!$D$75/30</f>
        <v>23567.1330792141</v>
      </c>
      <c r="AB342" s="69" t="n">
        <f aca="false">-AB301*Inputs!$D$75/30</f>
        <v>23864.13429842</v>
      </c>
      <c r="AC342" s="69" t="n">
        <f aca="false">-AC301*Inputs!$D$75/30</f>
        <v>27388.2519272828</v>
      </c>
      <c r="AD342" s="69" t="n">
        <f aca="false">-AD301*Inputs!$D$75/30</f>
        <v>27753.6582073536</v>
      </c>
      <c r="AE342" s="69" t="n">
        <f aca="false">-AE301*Inputs!$D$75/30</f>
        <v>28107.3714864622</v>
      </c>
      <c r="AF342" s="69" t="n">
        <f aca="false">-AF301*Inputs!$D$75/30</f>
        <v>28449.7659406393</v>
      </c>
      <c r="AG342" s="69" t="n">
        <f aca="false">-AG301*Inputs!$D$75/30</f>
        <v>28781.2037722827</v>
      </c>
      <c r="AH342" s="69" t="n">
        <f aca="false">-AH301*Inputs!$D$75/30</f>
        <v>29102.0355933135</v>
      </c>
      <c r="AI342" s="69" t="n">
        <f aca="false">-AI301*Inputs!$D$75/30</f>
        <v>29412.6007960714</v>
      </c>
      <c r="AJ342" s="69" t="n">
        <f aca="false">-AJ301*Inputs!$D$75/30</f>
        <v>29713.227912341</v>
      </c>
      <c r="AK342" s="69" t="n">
        <f aca="false">-AK301*Inputs!$D$75/30</f>
        <v>30004.23496089</v>
      </c>
      <c r="AL342" s="69" t="n">
        <f aca="false">-AL301*Inputs!$D$75/30</f>
        <v>26744.3271954271</v>
      </c>
    </row>
    <row r="343" customFormat="false" ht="15" hidden="false" customHeight="false" outlineLevel="0" collapsed="false">
      <c r="A343" s="6" t="s">
        <v>344</v>
      </c>
      <c r="C343" s="69" t="n">
        <f aca="false">-C340</f>
        <v>-5198.9604</v>
      </c>
      <c r="D343" s="69" t="n">
        <f aca="false">C340-D340</f>
        <v>-660.231157485714</v>
      </c>
      <c r="E343" s="69" t="n">
        <f aca="false">D340-E340</f>
        <v>-1459.76684768427</v>
      </c>
      <c r="F343" s="69" t="n">
        <f aca="false">E340-F340</f>
        <v>-784.976382463133</v>
      </c>
      <c r="G343" s="69" t="n">
        <f aca="false">F340-G340</f>
        <v>-801.474742795738</v>
      </c>
      <c r="H343" s="69" t="n">
        <f aca="false">G340-H340</f>
        <v>-817.445155597705</v>
      </c>
      <c r="I343" s="69" t="n">
        <f aca="false">H340-I340</f>
        <v>-832.904515190008</v>
      </c>
      <c r="J343" s="69" t="n">
        <f aca="false">I340-J340</f>
        <v>-847.869175275357</v>
      </c>
      <c r="K343" s="69" t="n">
        <f aca="false">J340-K340</f>
        <v>-282.468851952259</v>
      </c>
      <c r="L343" s="69" t="n">
        <f aca="false">K340-L340</f>
        <v>-273.429848689786</v>
      </c>
      <c r="M343" s="69" t="n">
        <f aca="false">L340-M340</f>
        <v>-264.680093531713</v>
      </c>
      <c r="N343" s="69" t="n">
        <f aca="false">M340-N340</f>
        <v>897.912336127969</v>
      </c>
      <c r="O343" s="69" t="n">
        <f aca="false">N340-O340</f>
        <v>-575.270416889765</v>
      </c>
      <c r="P343" s="69" t="n">
        <f aca="false">O340-P340</f>
        <v>-235.774161554322</v>
      </c>
      <c r="Q343" s="69" t="n">
        <f aca="false">P340-Q340</f>
        <v>-1416.97573505125</v>
      </c>
      <c r="R343" s="69" t="n">
        <f aca="false">Q340-R340</f>
        <v>-248.724424062943</v>
      </c>
      <c r="S343" s="69" t="n">
        <f aca="false">R340-S340</f>
        <v>-240.765242492929</v>
      </c>
      <c r="T343" s="69" t="n">
        <f aca="false">S340-T340</f>
        <v>-233.060754733153</v>
      </c>
      <c r="U343" s="69" t="n">
        <f aca="false">T340-U340</f>
        <v>-225.602810581695</v>
      </c>
      <c r="V343" s="69" t="n">
        <f aca="false">U340-V340</f>
        <v>-218.383520643079</v>
      </c>
      <c r="W343" s="69" t="n">
        <f aca="false">V340-W340</f>
        <v>-211.395247982502</v>
      </c>
      <c r="X343" s="69" t="n">
        <f aca="false">W340-X340</f>
        <v>-204.630600047058</v>
      </c>
      <c r="Y343" s="69" t="n">
        <f aca="false">X340-Y340</f>
        <v>-198.082420845558</v>
      </c>
      <c r="Z343" s="69" t="n">
        <f aca="false">Y340-Z340</f>
        <v>997.002563288172</v>
      </c>
      <c r="AA343" s="69" t="n">
        <f aca="false">Z340-AA340</f>
        <v>-601.551746573841</v>
      </c>
      <c r="AB343" s="69" t="n">
        <f aca="false">AA340-AB340</f>
        <v>-174.796925801356</v>
      </c>
      <c r="AC343" s="69" t="n">
        <f aca="false">AB340-AC340</f>
        <v>-1393.61216124238</v>
      </c>
      <c r="AD343" s="69" t="n">
        <f aca="false">AC340-AD340</f>
        <v>-192.421241991957</v>
      </c>
      <c r="AE343" s="69" t="n">
        <f aca="false">AD340-AE340</f>
        <v>-186.263762248214</v>
      </c>
      <c r="AF343" s="69" t="n">
        <f aca="false">AE340-AF340</f>
        <v>-180.303321856271</v>
      </c>
      <c r="AG343" s="69" t="n">
        <f aca="false">AF340-AG340</f>
        <v>-174.533615556869</v>
      </c>
      <c r="AH343" s="69" t="n">
        <f aca="false">AG340-AH340</f>
        <v>-168.948539859051</v>
      </c>
      <c r="AI343" s="69" t="n">
        <f aca="false">AH340-AI340</f>
        <v>-163.54218658356</v>
      </c>
      <c r="AJ343" s="69" t="n">
        <f aca="false">AI340-AJ340</f>
        <v>-158.308836612887</v>
      </c>
      <c r="AK343" s="69" t="n">
        <f aca="false">AJ340-AK340</f>
        <v>-153.242953841273</v>
      </c>
      <c r="AL343" s="69" t="n">
        <f aca="false">AK340-AL340</f>
        <v>1076.06955774832</v>
      </c>
    </row>
    <row r="344" customFormat="false" ht="15" hidden="false" customHeight="false" outlineLevel="0" collapsed="false">
      <c r="A344" s="6" t="s">
        <v>345</v>
      </c>
      <c r="C344" s="69" t="n">
        <f aca="false">-C341</f>
        <v>-4770.66839184</v>
      </c>
      <c r="D344" s="69" t="n">
        <f aca="false">C341-D341</f>
        <v>-611.610656009691</v>
      </c>
      <c r="E344" s="69" t="n">
        <f aca="false">D341-E341</f>
        <v>-1488.77698376468</v>
      </c>
      <c r="F344" s="69" t="n">
        <f aca="false">E341-F341</f>
        <v>-756.144883968658</v>
      </c>
      <c r="G344" s="69" t="n">
        <f aca="false">F341-G341</f>
        <v>-775.092990310232</v>
      </c>
      <c r="H344" s="69" t="n">
        <f aca="false">G341-H341</f>
        <v>-793.434757248877</v>
      </c>
      <c r="I344" s="69" t="n">
        <f aca="false">H341-I341</f>
        <v>-811.189587645482</v>
      </c>
      <c r="J344" s="69" t="n">
        <f aca="false">I341-J341</f>
        <v>-828.376263469401</v>
      </c>
      <c r="K344" s="69" t="n">
        <f aca="false">J341-K341</f>
        <v>-324.411016432667</v>
      </c>
      <c r="L344" s="69" t="n">
        <f aca="false">K341-L341</f>
        <v>-314.029863906815</v>
      </c>
      <c r="M344" s="69" t="n">
        <f aca="false">L341-M341</f>
        <v>-303.980908261801</v>
      </c>
      <c r="N344" s="69" t="n">
        <f aca="false">M341-N341</f>
        <v>1178.81620895778</v>
      </c>
      <c r="O344" s="69" t="n">
        <f aca="false">N341-O341</f>
        <v>-517.8620303934</v>
      </c>
      <c r="P344" s="69" t="n">
        <f aca="false">O341-P341</f>
        <v>-241.296361078596</v>
      </c>
      <c r="Q344" s="69" t="n">
        <f aca="false">P341-Q341</f>
        <v>-1828.97596012699</v>
      </c>
      <c r="R344" s="69" t="n">
        <f aca="false">Q341-R341</f>
        <v>-284.522947863128</v>
      </c>
      <c r="S344" s="69" t="n">
        <f aca="false">R341-S341</f>
        <v>-275.41821353151</v>
      </c>
      <c r="T344" s="69" t="n">
        <f aca="false">S341-T341</f>
        <v>-266.604830698498</v>
      </c>
      <c r="U344" s="69" t="n">
        <f aca="false">T341-U341</f>
        <v>-258.073476116146</v>
      </c>
      <c r="V344" s="69" t="n">
        <f aca="false">U341-V341</f>
        <v>-249.815124880432</v>
      </c>
      <c r="W344" s="69" t="n">
        <f aca="false">V341-W341</f>
        <v>-241.821040884255</v>
      </c>
      <c r="X344" s="69" t="n">
        <f aca="false">W341-X341</f>
        <v>-234.082767575957</v>
      </c>
      <c r="Y344" s="69" t="n">
        <f aca="false">X341-Y341</f>
        <v>-226.59211901353</v>
      </c>
      <c r="Z344" s="69" t="n">
        <f aca="false">Y341-Z341</f>
        <v>1613.7463685291</v>
      </c>
      <c r="AA344" s="69" t="n">
        <f aca="false">Z341-AA341</f>
        <v>-530.061249994591</v>
      </c>
      <c r="AB344" s="69" t="n">
        <f aca="false">AA341-AB341</f>
        <v>-178.200731523568</v>
      </c>
      <c r="AC344" s="69" t="n">
        <f aca="false">AB341-AC341</f>
        <v>-2114.47057731764</v>
      </c>
      <c r="AD344" s="69" t="n">
        <f aca="false">AC341-AD341</f>
        <v>-219.243768042496</v>
      </c>
      <c r="AE344" s="69" t="n">
        <f aca="false">AD341-AE341</f>
        <v>-212.227967465144</v>
      </c>
      <c r="AF344" s="69" t="n">
        <f aca="false">AE341-AF341</f>
        <v>-205.436672506254</v>
      </c>
      <c r="AG344" s="69" t="n">
        <f aca="false">AF341-AG341</f>
        <v>-198.862698986057</v>
      </c>
      <c r="AH344" s="69" t="n">
        <f aca="false">AG341-AH341</f>
        <v>-192.499092618498</v>
      </c>
      <c r="AI344" s="69" t="n">
        <f aca="false">AH341-AI341</f>
        <v>-186.339121654713</v>
      </c>
      <c r="AJ344" s="69" t="n">
        <f aca="false">AI341-AJ341</f>
        <v>-180.376269761757</v>
      </c>
      <c r="AK344" s="69" t="n">
        <f aca="false">AJ341-AK341</f>
        <v>-174.604229129382</v>
      </c>
      <c r="AL344" s="69" t="n">
        <f aca="false">AK341-AL341</f>
        <v>1955.94465927773</v>
      </c>
    </row>
    <row r="345" customFormat="false" ht="15" hidden="false" customHeight="false" outlineLevel="0" collapsed="false">
      <c r="A345" s="6" t="s">
        <v>346</v>
      </c>
      <c r="C345" s="69" t="n">
        <f aca="false">C342</f>
        <v>7951.1139864</v>
      </c>
      <c r="D345" s="69" t="n">
        <f aca="false">D342-C342</f>
        <v>1019.35109334948</v>
      </c>
      <c r="E345" s="69" t="n">
        <f aca="false">E342-D342</f>
        <v>2481.29497294113</v>
      </c>
      <c r="F345" s="69" t="n">
        <f aca="false">F342-E342</f>
        <v>1260.2414732811</v>
      </c>
      <c r="G345" s="69" t="n">
        <f aca="false">G342-F342</f>
        <v>1291.82165051705</v>
      </c>
      <c r="H345" s="69" t="n">
        <f aca="false">H342-G342</f>
        <v>1322.39126208146</v>
      </c>
      <c r="I345" s="69" t="n">
        <f aca="false">I342-H342</f>
        <v>1351.9826460758</v>
      </c>
      <c r="J345" s="69" t="n">
        <f aca="false">J342-I342</f>
        <v>1380.62710578234</v>
      </c>
      <c r="K345" s="69" t="n">
        <f aca="false">K342-J342</f>
        <v>540.685027387779</v>
      </c>
      <c r="L345" s="69" t="n">
        <f aca="false">L342-K342</f>
        <v>523.383106511359</v>
      </c>
      <c r="M345" s="69" t="n">
        <f aca="false">M342-L342</f>
        <v>506.634847103007</v>
      </c>
      <c r="N345" s="69" t="n">
        <f aca="false">N342-M342</f>
        <v>-1964.6936815963</v>
      </c>
      <c r="O345" s="69" t="n">
        <f aca="false">O342-N342</f>
        <v>863.103383989001</v>
      </c>
      <c r="P345" s="69" t="n">
        <f aca="false">P342-O342</f>
        <v>402.160601797659</v>
      </c>
      <c r="Q345" s="69" t="n">
        <f aca="false">Q342-P342</f>
        <v>3048.29326687832</v>
      </c>
      <c r="R345" s="69" t="n">
        <f aca="false">R342-Q342</f>
        <v>474.204913105212</v>
      </c>
      <c r="S345" s="69" t="n">
        <f aca="false">S342-R342</f>
        <v>459.03035588585</v>
      </c>
      <c r="T345" s="69" t="n">
        <f aca="false">T342-S342</f>
        <v>444.341384497493</v>
      </c>
      <c r="U345" s="69" t="n">
        <f aca="false">U342-T342</f>
        <v>430.122460193579</v>
      </c>
      <c r="V345" s="69" t="n">
        <f aca="false">V342-U342</f>
        <v>416.358541467387</v>
      </c>
      <c r="W345" s="69" t="n">
        <f aca="false">W342-V342</f>
        <v>403.03506814042</v>
      </c>
      <c r="X345" s="69" t="n">
        <f aca="false">X342-W342</f>
        <v>390.137945959934</v>
      </c>
      <c r="Y345" s="69" t="n">
        <f aca="false">Y342-X342</f>
        <v>377.653531689222</v>
      </c>
      <c r="Z345" s="69" t="n">
        <f aca="false">Z342-Y342</f>
        <v>-2689.57728088183</v>
      </c>
      <c r="AA345" s="69" t="n">
        <f aca="false">AA342-Z342</f>
        <v>883.435416657652</v>
      </c>
      <c r="AB345" s="69" t="n">
        <f aca="false">AB342-AA342</f>
        <v>297.001219205948</v>
      </c>
      <c r="AC345" s="69" t="n">
        <f aca="false">AC342-AB342</f>
        <v>3524.11762886274</v>
      </c>
      <c r="AD345" s="69" t="n">
        <f aca="false">AD342-AC342</f>
        <v>365.406280070827</v>
      </c>
      <c r="AE345" s="69" t="n">
        <f aca="false">AE342-AD342</f>
        <v>353.713279108571</v>
      </c>
      <c r="AF345" s="69" t="n">
        <f aca="false">AF342-AE342</f>
        <v>342.394454177087</v>
      </c>
      <c r="AG345" s="69" t="n">
        <f aca="false">AG342-AF342</f>
        <v>331.43783164343</v>
      </c>
      <c r="AH345" s="69" t="n">
        <f aca="false">AH342-AG342</f>
        <v>320.831821030828</v>
      </c>
      <c r="AI345" s="69" t="n">
        <f aca="false">AI342-AH342</f>
        <v>310.565202757858</v>
      </c>
      <c r="AJ345" s="69" t="n">
        <f aca="false">AJ342-AI342</f>
        <v>300.627116269592</v>
      </c>
      <c r="AK345" s="69" t="n">
        <f aca="false">AK342-AJ342</f>
        <v>291.007048548974</v>
      </c>
      <c r="AL345" s="69" t="n">
        <f aca="false">AL342-AK342</f>
        <v>-3259.9077654629</v>
      </c>
    </row>
    <row r="347" customFormat="false" ht="15.75" hidden="false" customHeight="true" outlineLevel="0" collapsed="false">
      <c r="A347" s="7" t="s">
        <v>429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</row>
    <row r="348" customFormat="false" ht="15" hidden="false" customHeight="false" outlineLevel="0" collapsed="false">
      <c r="A348" s="4" t="s">
        <v>52</v>
      </c>
      <c r="C348" s="75" t="n">
        <f aca="false">C320-C329+C343+C344+C345</f>
        <v>-48412.1122557867</v>
      </c>
      <c r="D348" s="75" t="n">
        <f aca="false">D320-D329+D343+D344+D345</f>
        <v>-37877.3004535596</v>
      </c>
      <c r="E348" s="75" t="n">
        <f aca="false">E320-E329+E343+E344+E345</f>
        <v>-18996.0265108535</v>
      </c>
      <c r="F348" s="75" t="n">
        <f aca="false">F320-F329+F343+F344+F345</f>
        <v>-8370.21814315336</v>
      </c>
      <c r="G348" s="75" t="n">
        <f aca="false">G320-G329+G343+G344+G345</f>
        <v>2274.93406205737</v>
      </c>
      <c r="H348" s="75" t="n">
        <f aca="false">H320-H329+H343+H344+H345</f>
        <v>13123.0826466823</v>
      </c>
      <c r="I348" s="75" t="n">
        <f aca="false">I320-I329+I343+I344+I345</f>
        <v>24167.7317265802</v>
      </c>
      <c r="J348" s="75" t="n">
        <f aca="false">J320-J329+J343+J344+J345</f>
        <v>35402.5932859024</v>
      </c>
      <c r="K348" s="75" t="n">
        <f aca="false">K320-K329+K343+K344+K345</f>
        <v>39397.3108576195</v>
      </c>
      <c r="L348" s="75" t="n">
        <f aca="false">L320-L329+L343+L344+L345</f>
        <v>43049.9004283979</v>
      </c>
      <c r="M348" s="75" t="n">
        <f aca="false">M320-M329+M343+M344+M345</f>
        <v>46591.2737995781</v>
      </c>
      <c r="N348" s="75" t="n">
        <f aca="false">N320-N329+N343+N344+N345</f>
        <v>35831.3655270874</v>
      </c>
      <c r="O348" s="75" t="n">
        <f aca="false">O320-O329+O343+O344+O345</f>
        <v>42087.1171261968</v>
      </c>
      <c r="P348" s="75" t="n">
        <f aca="false">P320-P329+P343+P344+P345</f>
        <v>45473.3393031467</v>
      </c>
      <c r="Q348" s="75" t="n">
        <f aca="false">Q320-Q329+Q343+Q344+Q345</f>
        <v>63124.3582345302</v>
      </c>
      <c r="R348" s="75" t="n">
        <f aca="false">R320-R329+R343+R344+R345</f>
        <v>66601.8780025604</v>
      </c>
      <c r="S348" s="75" t="n">
        <f aca="false">S320-S329+S343+S344+S345</f>
        <v>69841.492904907</v>
      </c>
      <c r="T348" s="75" t="n">
        <f aca="false">T320-T329+T343+T344+T345</f>
        <v>72983.106797045</v>
      </c>
      <c r="U348" s="75" t="n">
        <f aca="false">U320-U329+U343+U344+U345</f>
        <v>70906.8954588906</v>
      </c>
      <c r="V348" s="75" t="n">
        <f aca="false">V320-V329+V343+V344+V345</f>
        <v>68424.5860864531</v>
      </c>
      <c r="W348" s="75" t="n">
        <f aca="false">W320-W329+W343+W344+W345</f>
        <v>70689.0972471117</v>
      </c>
      <c r="X348" s="75" t="n">
        <f aca="false">X320-X329+X343+X344+X345</f>
        <v>72885.6207172959</v>
      </c>
      <c r="Y348" s="75" t="n">
        <f aca="false">Y320-Y329+Y343+Y344+Y345</f>
        <v>75016.332103101</v>
      </c>
      <c r="Z348" s="75" t="n">
        <f aca="false">Z320-Z329+Z343+Z344+Z345</f>
        <v>65859.6594828507</v>
      </c>
      <c r="AA348" s="75" t="n">
        <f aca="false">AA320-AA329+AA343+AA344+AA345</f>
        <v>71103.5274705798</v>
      </c>
      <c r="AB348" s="75" t="n">
        <f aca="false">AB320-AB329+AB343+AB344+AB345</f>
        <v>73225.3908606437</v>
      </c>
      <c r="AC348" s="75" t="n">
        <f aca="false">AC320-AC329+AC343+AC344+AC345</f>
        <v>86610.7586209591</v>
      </c>
      <c r="AD348" s="75" t="n">
        <f aca="false">AD320-AD329+AD343+AD344+AD345</f>
        <v>88622.1473981236</v>
      </c>
      <c r="AE348" s="75" t="n">
        <f aca="false">AE320-AE329+AE343+AE344+AE345</f>
        <v>90635.4289048622</v>
      </c>
      <c r="AF348" s="75" t="n">
        <f aca="false">AF320-AF329+AF343+AF344+AF345</f>
        <v>92588.7620700518</v>
      </c>
      <c r="AG348" s="75" t="n">
        <f aca="false">AG320-AG329+AG343+AG344+AG345</f>
        <v>94484.065240622</v>
      </c>
      <c r="AH348" s="75" t="n">
        <f aca="false">AH320-AH329+AH343+AH344+AH345</f>
        <v>96323.1953764006</v>
      </c>
      <c r="AI348" s="75" t="n">
        <f aca="false">AI320-AI329+AI343+AI344+AI345</f>
        <v>98107.950014501</v>
      </c>
      <c r="AJ348" s="75" t="n">
        <f aca="false">AJ320-AJ329+AJ343+AJ344+AJ345</f>
        <v>99840.0691708489</v>
      </c>
      <c r="AK348" s="75" t="n">
        <f aca="false">AK320-AK329+AK343+AK344+AK345</f>
        <v>101521.23718086</v>
      </c>
      <c r="AL348" s="75" t="n">
        <f aca="false">AL320-AL329+AL343+AL344+AL345</f>
        <v>91809.0479025196</v>
      </c>
    </row>
    <row r="349" customFormat="false" ht="15" hidden="false" customHeight="false" outlineLevel="0" collapsed="false">
      <c r="A349" s="6" t="s">
        <v>430</v>
      </c>
      <c r="C349" s="69" t="n">
        <f aca="false">-C327</f>
        <v>-4100000</v>
      </c>
      <c r="D349" s="69" t="n">
        <f aca="false">-D327</f>
        <v>-0</v>
      </c>
      <c r="E349" s="69" t="n">
        <f aca="false">-E327</f>
        <v>-0</v>
      </c>
      <c r="F349" s="69" t="n">
        <f aca="false">-F327</f>
        <v>-0</v>
      </c>
      <c r="G349" s="69" t="n">
        <f aca="false">-G327</f>
        <v>-0</v>
      </c>
      <c r="H349" s="69" t="n">
        <f aca="false">-H327</f>
        <v>-0</v>
      </c>
      <c r="I349" s="69" t="n">
        <f aca="false">-I327</f>
        <v>-0</v>
      </c>
      <c r="J349" s="69" t="n">
        <f aca="false">-J327</f>
        <v>-0</v>
      </c>
      <c r="K349" s="69" t="n">
        <f aca="false">-K327</f>
        <v>-0</v>
      </c>
      <c r="L349" s="69" t="n">
        <f aca="false">-L327</f>
        <v>-0</v>
      </c>
      <c r="M349" s="69" t="n">
        <f aca="false">-M327</f>
        <v>-0</v>
      </c>
      <c r="N349" s="69" t="n">
        <f aca="false">-N327</f>
        <v>-0</v>
      </c>
      <c r="O349" s="69" t="n">
        <f aca="false">-O327</f>
        <v>-40000</v>
      </c>
      <c r="P349" s="69" t="n">
        <f aca="false">-P327</f>
        <v>-0</v>
      </c>
      <c r="Q349" s="69" t="n">
        <f aca="false">-Q327</f>
        <v>-0</v>
      </c>
      <c r="R349" s="69" t="n">
        <f aca="false">-R327</f>
        <v>-0</v>
      </c>
      <c r="S349" s="69" t="n">
        <f aca="false">-S327</f>
        <v>-0</v>
      </c>
      <c r="T349" s="69" t="n">
        <f aca="false">-T327</f>
        <v>-0</v>
      </c>
      <c r="U349" s="69" t="n">
        <f aca="false">-U327</f>
        <v>-0</v>
      </c>
      <c r="V349" s="69" t="n">
        <f aca="false">-V327</f>
        <v>-0</v>
      </c>
      <c r="W349" s="69" t="n">
        <f aca="false">-W327</f>
        <v>-0</v>
      </c>
      <c r="X349" s="69" t="n">
        <f aca="false">-X327</f>
        <v>-0</v>
      </c>
      <c r="Y349" s="69" t="n">
        <f aca="false">-Y327</f>
        <v>-0</v>
      </c>
      <c r="Z349" s="69" t="n">
        <f aca="false">-Z327</f>
        <v>-0</v>
      </c>
      <c r="AA349" s="69" t="n">
        <f aca="false">-AA327</f>
        <v>-40000</v>
      </c>
      <c r="AB349" s="69" t="n">
        <f aca="false">-AB327</f>
        <v>-0</v>
      </c>
      <c r="AC349" s="69" t="n">
        <f aca="false">-AC327</f>
        <v>-0</v>
      </c>
      <c r="AD349" s="69" t="n">
        <f aca="false">-AD327</f>
        <v>-0</v>
      </c>
      <c r="AE349" s="69" t="n">
        <f aca="false">-AE327</f>
        <v>-0</v>
      </c>
      <c r="AF349" s="69" t="n">
        <f aca="false">-AF327</f>
        <v>-0</v>
      </c>
      <c r="AG349" s="69" t="n">
        <f aca="false">-AG327</f>
        <v>-0</v>
      </c>
      <c r="AH349" s="69" t="n">
        <f aca="false">-AH327</f>
        <v>-0</v>
      </c>
      <c r="AI349" s="69" t="n">
        <f aca="false">-AI327</f>
        <v>-0</v>
      </c>
      <c r="AJ349" s="69" t="n">
        <f aca="false">-AJ327</f>
        <v>-0</v>
      </c>
      <c r="AK349" s="69" t="n">
        <f aca="false">-AK327</f>
        <v>-0</v>
      </c>
      <c r="AL349" s="69" t="n">
        <f aca="false">-AL327</f>
        <v>-0</v>
      </c>
    </row>
    <row r="350" customFormat="false" ht="15" hidden="false" customHeight="false" outlineLevel="0" collapsed="false">
      <c r="A350" s="6" t="s">
        <v>64</v>
      </c>
      <c r="C350" s="69" t="n">
        <f aca="false">IF(C$260=1,Inputs!$D$67,0)</f>
        <v>2100000</v>
      </c>
      <c r="D350" s="69" t="n">
        <f aca="false">IF(D$260=1,Inputs!$D$67,0)</f>
        <v>0</v>
      </c>
      <c r="E350" s="69" t="n">
        <f aca="false">IF(E$260=1,Inputs!$D$67,0)</f>
        <v>0</v>
      </c>
      <c r="F350" s="69" t="n">
        <f aca="false">IF(F$260=1,Inputs!$D$67,0)</f>
        <v>0</v>
      </c>
      <c r="G350" s="69" t="n">
        <f aca="false">IF(G$260=1,Inputs!$D$67,0)</f>
        <v>0</v>
      </c>
      <c r="H350" s="69" t="n">
        <f aca="false">IF(H$260=1,Inputs!$D$67,0)</f>
        <v>0</v>
      </c>
      <c r="I350" s="69" t="n">
        <f aca="false">IF(I$260=1,Inputs!$D$67,0)</f>
        <v>0</v>
      </c>
      <c r="J350" s="69" t="n">
        <f aca="false">IF(J$260=1,Inputs!$D$67,0)</f>
        <v>0</v>
      </c>
      <c r="K350" s="69" t="n">
        <f aca="false">IF(K$260=1,Inputs!$D$67,0)</f>
        <v>0</v>
      </c>
      <c r="L350" s="69" t="n">
        <f aca="false">IF(L$260=1,Inputs!$D$67,0)</f>
        <v>0</v>
      </c>
      <c r="M350" s="69" t="n">
        <f aca="false">IF(M$260=1,Inputs!$D$67,0)</f>
        <v>0</v>
      </c>
      <c r="N350" s="69" t="n">
        <f aca="false">IF(N$260=1,Inputs!$D$67,0)</f>
        <v>0</v>
      </c>
      <c r="O350" s="69" t="n">
        <f aca="false">IF(O$260=1,Inputs!$D$67,0)</f>
        <v>0</v>
      </c>
      <c r="P350" s="69" t="n">
        <f aca="false">IF(P$260=1,Inputs!$D$67,0)</f>
        <v>0</v>
      </c>
      <c r="Q350" s="69" t="n">
        <f aca="false">IF(Q$260=1,Inputs!$D$67,0)</f>
        <v>0</v>
      </c>
      <c r="R350" s="69" t="n">
        <f aca="false">IF(R$260=1,Inputs!$D$67,0)</f>
        <v>0</v>
      </c>
      <c r="S350" s="69" t="n">
        <f aca="false">IF(S$260=1,Inputs!$D$67,0)</f>
        <v>0</v>
      </c>
      <c r="T350" s="69" t="n">
        <f aca="false">IF(T$260=1,Inputs!$D$67,0)</f>
        <v>0</v>
      </c>
      <c r="U350" s="69" t="n">
        <f aca="false">IF(U$260=1,Inputs!$D$67,0)</f>
        <v>0</v>
      </c>
      <c r="V350" s="69" t="n">
        <f aca="false">IF(V$260=1,Inputs!$D$67,0)</f>
        <v>0</v>
      </c>
      <c r="W350" s="69" t="n">
        <f aca="false">IF(W$260=1,Inputs!$D$67,0)</f>
        <v>0</v>
      </c>
      <c r="X350" s="69" t="n">
        <f aca="false">IF(X$260=1,Inputs!$D$67,0)</f>
        <v>0</v>
      </c>
      <c r="Y350" s="69" t="n">
        <f aca="false">IF(Y$260=1,Inputs!$D$67,0)</f>
        <v>0</v>
      </c>
      <c r="Z350" s="69" t="n">
        <f aca="false">IF(Z$260=1,Inputs!$D$67,0)</f>
        <v>0</v>
      </c>
      <c r="AA350" s="69" t="n">
        <f aca="false">IF(AA$260=1,Inputs!$D$67,0)</f>
        <v>0</v>
      </c>
      <c r="AB350" s="69" t="n">
        <f aca="false">IF(AB$260=1,Inputs!$D$67,0)</f>
        <v>0</v>
      </c>
      <c r="AC350" s="69" t="n">
        <f aca="false">IF(AC$260=1,Inputs!$D$67,0)</f>
        <v>0</v>
      </c>
      <c r="AD350" s="69" t="n">
        <f aca="false">IF(AD$260=1,Inputs!$D$67,0)</f>
        <v>0</v>
      </c>
      <c r="AE350" s="69" t="n">
        <f aca="false">IF(AE$260=1,Inputs!$D$67,0)</f>
        <v>0</v>
      </c>
      <c r="AF350" s="69" t="n">
        <f aca="false">IF(AF$260=1,Inputs!$D$67,0)</f>
        <v>0</v>
      </c>
      <c r="AG350" s="69" t="n">
        <f aca="false">IF(AG$260=1,Inputs!$D$67,0)</f>
        <v>0</v>
      </c>
      <c r="AH350" s="69" t="n">
        <f aca="false">IF(AH$260=1,Inputs!$D$67,0)</f>
        <v>0</v>
      </c>
      <c r="AI350" s="69" t="n">
        <f aca="false">IF(AI$260=1,Inputs!$D$67,0)</f>
        <v>0</v>
      </c>
      <c r="AJ350" s="69" t="n">
        <f aca="false">IF(AJ$260=1,Inputs!$D$67,0)</f>
        <v>0</v>
      </c>
      <c r="AK350" s="69" t="n">
        <f aca="false">IF(AK$260=1,Inputs!$D$67,0)</f>
        <v>0</v>
      </c>
      <c r="AL350" s="69" t="n">
        <f aca="false">IF(AL$260=1,Inputs!$D$67,0)</f>
        <v>0</v>
      </c>
    </row>
    <row r="351" customFormat="false" ht="15" hidden="false" customHeight="false" outlineLevel="0" collapsed="false">
      <c r="A351" s="6" t="s">
        <v>54</v>
      </c>
      <c r="C351" s="69" t="n">
        <f aca="false">C350+C335+C336</f>
        <v>5100000</v>
      </c>
      <c r="D351" s="69" t="n">
        <f aca="false">D350+D335+D336</f>
        <v>-25000</v>
      </c>
      <c r="E351" s="69" t="n">
        <f aca="false">E350+E335+E336</f>
        <v>-25000</v>
      </c>
      <c r="F351" s="69" t="n">
        <f aca="false">F350+F335+F336</f>
        <v>-25000</v>
      </c>
      <c r="G351" s="69" t="n">
        <f aca="false">G350+G335+G336</f>
        <v>-25000</v>
      </c>
      <c r="H351" s="69" t="n">
        <f aca="false">H350+H335+H336</f>
        <v>-25000</v>
      </c>
      <c r="I351" s="69" t="n">
        <f aca="false">I350+I335+I336</f>
        <v>-25000</v>
      </c>
      <c r="J351" s="69" t="n">
        <f aca="false">J350+J335+J336</f>
        <v>-25000</v>
      </c>
      <c r="K351" s="69" t="n">
        <f aca="false">K350+K335+K336</f>
        <v>-25000</v>
      </c>
      <c r="L351" s="69" t="n">
        <f aca="false">L350+L335+L336</f>
        <v>-25000</v>
      </c>
      <c r="M351" s="69" t="n">
        <f aca="false">M350+M335+M336</f>
        <v>-25000</v>
      </c>
      <c r="N351" s="69" t="n">
        <f aca="false">N350+N335+N336</f>
        <v>-25000</v>
      </c>
      <c r="O351" s="69" t="n">
        <f aca="false">O350+O335+O336</f>
        <v>-25000</v>
      </c>
      <c r="P351" s="69" t="n">
        <f aca="false">P350+P335+P336</f>
        <v>-25000</v>
      </c>
      <c r="Q351" s="69" t="n">
        <f aca="false">Q350+Q335+Q336</f>
        <v>-25000</v>
      </c>
      <c r="R351" s="69" t="n">
        <f aca="false">R350+R335+R336</f>
        <v>-25000</v>
      </c>
      <c r="S351" s="69" t="n">
        <f aca="false">S350+S335+S336</f>
        <v>-25000</v>
      </c>
      <c r="T351" s="69" t="n">
        <f aca="false">T350+T335+T336</f>
        <v>-25000</v>
      </c>
      <c r="U351" s="69" t="n">
        <f aca="false">U350+U335+U336</f>
        <v>-25000</v>
      </c>
      <c r="V351" s="69" t="n">
        <f aca="false">V350+V335+V336</f>
        <v>-25000</v>
      </c>
      <c r="W351" s="69" t="n">
        <f aca="false">W350+W335+W336</f>
        <v>-25000</v>
      </c>
      <c r="X351" s="69" t="n">
        <f aca="false">X350+X335+X336</f>
        <v>-25000</v>
      </c>
      <c r="Y351" s="69" t="n">
        <f aca="false">Y350+Y335+Y336</f>
        <v>-25000</v>
      </c>
      <c r="Z351" s="69" t="n">
        <f aca="false">Z350+Z335+Z336</f>
        <v>-25000</v>
      </c>
      <c r="AA351" s="69" t="n">
        <f aca="false">AA350+AA335+AA336</f>
        <v>-25000</v>
      </c>
      <c r="AB351" s="69" t="n">
        <f aca="false">AB350+AB335+AB336</f>
        <v>-25000</v>
      </c>
      <c r="AC351" s="69" t="n">
        <f aca="false">AC350+AC335+AC336</f>
        <v>-25000</v>
      </c>
      <c r="AD351" s="69" t="n">
        <f aca="false">AD350+AD335+AD336</f>
        <v>-25000</v>
      </c>
      <c r="AE351" s="69" t="n">
        <f aca="false">AE350+AE335+AE336</f>
        <v>-25000</v>
      </c>
      <c r="AF351" s="69" t="n">
        <f aca="false">AF350+AF335+AF336</f>
        <v>-25000</v>
      </c>
      <c r="AG351" s="69" t="n">
        <f aca="false">AG350+AG335+AG336</f>
        <v>-25000</v>
      </c>
      <c r="AH351" s="69" t="n">
        <f aca="false">AH350+AH335+AH336</f>
        <v>-25000</v>
      </c>
      <c r="AI351" s="69" t="n">
        <f aca="false">AI350+AI335+AI336</f>
        <v>-25000</v>
      </c>
      <c r="AJ351" s="69" t="n">
        <f aca="false">AJ350+AJ335+AJ336</f>
        <v>-25000</v>
      </c>
      <c r="AK351" s="69" t="n">
        <f aca="false">AK350+AK335+AK336</f>
        <v>-25000</v>
      </c>
      <c r="AL351" s="69" t="n">
        <f aca="false">AL350+AL335+AL336</f>
        <v>-25000</v>
      </c>
    </row>
    <row r="352" customFormat="false" ht="15" hidden="false" customHeight="false" outlineLevel="0" collapsed="false">
      <c r="A352" s="113" t="s">
        <v>431</v>
      </c>
      <c r="C352" s="70" t="n">
        <f aca="false">C348+C349+C351</f>
        <v>951587.887744214</v>
      </c>
      <c r="D352" s="70" t="n">
        <f aca="false">D348+D349+D351</f>
        <v>-62877.3004535596</v>
      </c>
      <c r="E352" s="70" t="n">
        <f aca="false">E348+E349+E351</f>
        <v>-43996.0265108535</v>
      </c>
      <c r="F352" s="70" t="n">
        <f aca="false">F348+F349+F351</f>
        <v>-33370.2181431534</v>
      </c>
      <c r="G352" s="70" t="n">
        <f aca="false">G348+G349+G351</f>
        <v>-22725.0659379426</v>
      </c>
      <c r="H352" s="70" t="n">
        <f aca="false">H348+H349+H351</f>
        <v>-11876.9173533177</v>
      </c>
      <c r="I352" s="70" t="n">
        <f aca="false">I348+I349+I351</f>
        <v>-832.268273419762</v>
      </c>
      <c r="J352" s="70" t="n">
        <f aca="false">J348+J349+J351</f>
        <v>10402.5932859024</v>
      </c>
      <c r="K352" s="70" t="n">
        <f aca="false">K348+K349+K351</f>
        <v>14397.3108576195</v>
      </c>
      <c r="L352" s="70" t="n">
        <f aca="false">L348+L349+L351</f>
        <v>18049.9004283979</v>
      </c>
      <c r="M352" s="70" t="n">
        <f aca="false">M348+M349+M351</f>
        <v>21591.2737995781</v>
      </c>
      <c r="N352" s="70" t="n">
        <f aca="false">N348+N349+N351</f>
        <v>10831.3655270874</v>
      </c>
      <c r="O352" s="70" t="n">
        <f aca="false">O348+O349+O351</f>
        <v>-22912.8828738032</v>
      </c>
      <c r="P352" s="70" t="n">
        <f aca="false">P348+P349+P351</f>
        <v>20473.3393031467</v>
      </c>
      <c r="Q352" s="70" t="n">
        <f aca="false">Q348+Q349+Q351</f>
        <v>38124.3582345302</v>
      </c>
      <c r="R352" s="70" t="n">
        <f aca="false">R348+R349+R351</f>
        <v>41601.8780025604</v>
      </c>
      <c r="S352" s="70" t="n">
        <f aca="false">S348+S349+S351</f>
        <v>44841.492904907</v>
      </c>
      <c r="T352" s="70" t="n">
        <f aca="false">T348+T349+T351</f>
        <v>47983.106797045</v>
      </c>
      <c r="U352" s="70" t="n">
        <f aca="false">U348+U349+U351</f>
        <v>45906.8954588906</v>
      </c>
      <c r="V352" s="70" t="n">
        <f aca="false">V348+V349+V351</f>
        <v>43424.5860864531</v>
      </c>
      <c r="W352" s="70" t="n">
        <f aca="false">W348+W349+W351</f>
        <v>45689.0972471117</v>
      </c>
      <c r="X352" s="70" t="n">
        <f aca="false">X348+X349+X351</f>
        <v>47885.6207172959</v>
      </c>
      <c r="Y352" s="70" t="n">
        <f aca="false">Y348+Y349+Y351</f>
        <v>50016.332103101</v>
      </c>
      <c r="Z352" s="70" t="n">
        <f aca="false">Z348+Z349+Z351</f>
        <v>40859.6594828507</v>
      </c>
      <c r="AA352" s="70" t="n">
        <f aca="false">AA348+AA349+AA351</f>
        <v>6103.52747057975</v>
      </c>
      <c r="AB352" s="70" t="n">
        <f aca="false">AB348+AB349+AB351</f>
        <v>48225.3908606437</v>
      </c>
      <c r="AC352" s="70" t="n">
        <f aca="false">AC348+AC349+AC351</f>
        <v>61610.7586209591</v>
      </c>
      <c r="AD352" s="70" t="n">
        <f aca="false">AD348+AD349+AD351</f>
        <v>63622.1473981236</v>
      </c>
      <c r="AE352" s="70" t="n">
        <f aca="false">AE348+AE349+AE351</f>
        <v>65635.4289048622</v>
      </c>
      <c r="AF352" s="70" t="n">
        <f aca="false">AF348+AF349+AF351</f>
        <v>67588.7620700518</v>
      </c>
      <c r="AG352" s="70" t="n">
        <f aca="false">AG348+AG349+AG351</f>
        <v>69484.065240622</v>
      </c>
      <c r="AH352" s="70" t="n">
        <f aca="false">AH348+AH349+AH351</f>
        <v>71323.1953764006</v>
      </c>
      <c r="AI352" s="70" t="n">
        <f aca="false">AI348+AI349+AI351</f>
        <v>73107.950014501</v>
      </c>
      <c r="AJ352" s="70" t="n">
        <f aca="false">AJ348+AJ349+AJ351</f>
        <v>74840.0691708489</v>
      </c>
      <c r="AK352" s="70" t="n">
        <f aca="false">AK348+AK349+AK351</f>
        <v>76521.2371808602</v>
      </c>
      <c r="AL352" s="70" t="n">
        <f aca="false">AL348+AL349+AL351</f>
        <v>66809.0479025196</v>
      </c>
    </row>
    <row r="353" customFormat="false" ht="15" hidden="false" customHeight="false" outlineLevel="0" collapsed="false">
      <c r="A353" s="6" t="s">
        <v>347</v>
      </c>
      <c r="C353" s="69" t="n">
        <f aca="false">0</f>
        <v>0</v>
      </c>
      <c r="D353" s="69" t="n">
        <f aca="false">C354</f>
        <v>951587.887744214</v>
      </c>
      <c r="E353" s="69" t="n">
        <f aca="false">D354</f>
        <v>888710.587290654</v>
      </c>
      <c r="F353" s="69" t="n">
        <f aca="false">E354</f>
        <v>844714.5607798</v>
      </c>
      <c r="G353" s="69" t="n">
        <f aca="false">F354</f>
        <v>811344.342636647</v>
      </c>
      <c r="H353" s="69" t="n">
        <f aca="false">G354</f>
        <v>788619.276698705</v>
      </c>
      <c r="I353" s="69" t="n">
        <f aca="false">H354</f>
        <v>776742.359345387</v>
      </c>
      <c r="J353" s="69" t="n">
        <f aca="false">I354</f>
        <v>775910.091071967</v>
      </c>
      <c r="K353" s="69" t="n">
        <f aca="false">J354</f>
        <v>786312.684357869</v>
      </c>
      <c r="L353" s="69" t="n">
        <f aca="false">K354</f>
        <v>800709.995215489</v>
      </c>
      <c r="M353" s="69" t="n">
        <f aca="false">L354</f>
        <v>818759.895643887</v>
      </c>
      <c r="N353" s="69" t="n">
        <f aca="false">M354</f>
        <v>840351.169443465</v>
      </c>
      <c r="O353" s="69" t="n">
        <f aca="false">N354</f>
        <v>851182.534970552</v>
      </c>
      <c r="P353" s="69" t="n">
        <f aca="false">O354</f>
        <v>828269.652096749</v>
      </c>
      <c r="Q353" s="69" t="n">
        <f aca="false">P354</f>
        <v>848742.991399896</v>
      </c>
      <c r="R353" s="69" t="n">
        <f aca="false">Q354</f>
        <v>886867.349634426</v>
      </c>
      <c r="S353" s="69" t="n">
        <f aca="false">R354</f>
        <v>928469.227636986</v>
      </c>
      <c r="T353" s="69" t="n">
        <f aca="false">S354</f>
        <v>973310.720541893</v>
      </c>
      <c r="U353" s="69" t="n">
        <f aca="false">T354</f>
        <v>1021293.82733894</v>
      </c>
      <c r="V353" s="69" t="n">
        <f aca="false">U354</f>
        <v>1067200.72279783</v>
      </c>
      <c r="W353" s="69" t="n">
        <f aca="false">V354</f>
        <v>1110625.30888428</v>
      </c>
      <c r="X353" s="69" t="n">
        <f aca="false">W354</f>
        <v>1156314.40613139</v>
      </c>
      <c r="Y353" s="69" t="n">
        <f aca="false">X354</f>
        <v>1204200.02684869</v>
      </c>
      <c r="Z353" s="69" t="n">
        <f aca="false">Y354</f>
        <v>1254216.35895179</v>
      </c>
      <c r="AA353" s="69" t="n">
        <f aca="false">Z354</f>
        <v>1295076.01843464</v>
      </c>
      <c r="AB353" s="69" t="n">
        <f aca="false">AA354</f>
        <v>1301179.54590522</v>
      </c>
      <c r="AC353" s="69" t="n">
        <f aca="false">AB354</f>
        <v>1349404.93676587</v>
      </c>
      <c r="AD353" s="69" t="n">
        <f aca="false">AC354</f>
        <v>1411015.69538682</v>
      </c>
      <c r="AE353" s="69" t="n">
        <f aca="false">AD354</f>
        <v>1474637.84278495</v>
      </c>
      <c r="AF353" s="69" t="n">
        <f aca="false">AE354</f>
        <v>1540273.27168981</v>
      </c>
      <c r="AG353" s="69" t="n">
        <f aca="false">AF354</f>
        <v>1607862.03375986</v>
      </c>
      <c r="AH353" s="69" t="n">
        <f aca="false">AG354</f>
        <v>1677346.09900048</v>
      </c>
      <c r="AI353" s="69" t="n">
        <f aca="false">AH354</f>
        <v>1748669.29437688</v>
      </c>
      <c r="AJ353" s="69" t="n">
        <f aca="false">AI354</f>
        <v>1821777.24439139</v>
      </c>
      <c r="AK353" s="69" t="n">
        <f aca="false">AJ354</f>
        <v>1896617.31356223</v>
      </c>
      <c r="AL353" s="69" t="n">
        <f aca="false">AK354</f>
        <v>1973138.55074309</v>
      </c>
    </row>
    <row r="354" customFormat="false" ht="15" hidden="false" customHeight="false" outlineLevel="0" collapsed="false">
      <c r="A354" s="113" t="s">
        <v>87</v>
      </c>
      <c r="C354" s="70" t="n">
        <f aca="false">C353+C352</f>
        <v>951587.887744214</v>
      </c>
      <c r="D354" s="70" t="n">
        <f aca="false">D353+D352</f>
        <v>888710.587290654</v>
      </c>
      <c r="E354" s="70" t="n">
        <f aca="false">E353+E352</f>
        <v>844714.5607798</v>
      </c>
      <c r="F354" s="70" t="n">
        <f aca="false">F353+F352</f>
        <v>811344.342636647</v>
      </c>
      <c r="G354" s="70" t="n">
        <f aca="false">G353+G352</f>
        <v>788619.276698705</v>
      </c>
      <c r="H354" s="70" t="n">
        <f aca="false">H353+H352</f>
        <v>776742.359345387</v>
      </c>
      <c r="I354" s="70" t="n">
        <f aca="false">I353+I352</f>
        <v>775910.091071967</v>
      </c>
      <c r="J354" s="70" t="n">
        <f aca="false">J353+J352</f>
        <v>786312.684357869</v>
      </c>
      <c r="K354" s="70" t="n">
        <f aca="false">K353+K352</f>
        <v>800709.995215489</v>
      </c>
      <c r="L354" s="70" t="n">
        <f aca="false">L353+L352</f>
        <v>818759.895643887</v>
      </c>
      <c r="M354" s="70" t="n">
        <f aca="false">M353+M352</f>
        <v>840351.169443465</v>
      </c>
      <c r="N354" s="70" t="n">
        <f aca="false">N353+N352</f>
        <v>851182.534970552</v>
      </c>
      <c r="O354" s="70" t="n">
        <f aca="false">O353+O352</f>
        <v>828269.652096749</v>
      </c>
      <c r="P354" s="70" t="n">
        <f aca="false">P353+P352</f>
        <v>848742.991399896</v>
      </c>
      <c r="Q354" s="70" t="n">
        <f aca="false">Q353+Q352</f>
        <v>886867.349634426</v>
      </c>
      <c r="R354" s="70" t="n">
        <f aca="false">R353+R352</f>
        <v>928469.227636986</v>
      </c>
      <c r="S354" s="70" t="n">
        <f aca="false">S353+S352</f>
        <v>973310.720541893</v>
      </c>
      <c r="T354" s="70" t="n">
        <f aca="false">T353+T352</f>
        <v>1021293.82733894</v>
      </c>
      <c r="U354" s="70" t="n">
        <f aca="false">U353+U352</f>
        <v>1067200.72279783</v>
      </c>
      <c r="V354" s="70" t="n">
        <f aca="false">V353+V352</f>
        <v>1110625.30888428</v>
      </c>
      <c r="W354" s="70" t="n">
        <f aca="false">W353+W352</f>
        <v>1156314.40613139</v>
      </c>
      <c r="X354" s="70" t="n">
        <f aca="false">X353+X352</f>
        <v>1204200.02684869</v>
      </c>
      <c r="Y354" s="70" t="n">
        <f aca="false">Y353+Y352</f>
        <v>1254216.35895179</v>
      </c>
      <c r="Z354" s="70" t="n">
        <f aca="false">Z353+Z352</f>
        <v>1295076.01843464</v>
      </c>
      <c r="AA354" s="70" t="n">
        <f aca="false">AA353+AA352</f>
        <v>1301179.54590522</v>
      </c>
      <c r="AB354" s="70" t="n">
        <f aca="false">AB353+AB352</f>
        <v>1349404.93676587</v>
      </c>
      <c r="AC354" s="70" t="n">
        <f aca="false">AC353+AC352</f>
        <v>1411015.69538682</v>
      </c>
      <c r="AD354" s="70" t="n">
        <f aca="false">AD353+AD352</f>
        <v>1474637.84278495</v>
      </c>
      <c r="AE354" s="70" t="n">
        <f aca="false">AE353+AE352</f>
        <v>1540273.27168981</v>
      </c>
      <c r="AF354" s="70" t="n">
        <f aca="false">AF353+AF352</f>
        <v>1607862.03375986</v>
      </c>
      <c r="AG354" s="70" t="n">
        <f aca="false">AG353+AG352</f>
        <v>1677346.09900048</v>
      </c>
      <c r="AH354" s="70" t="n">
        <f aca="false">AH353+AH352</f>
        <v>1748669.29437688</v>
      </c>
      <c r="AI354" s="70" t="n">
        <f aca="false">AI353+AI352</f>
        <v>1821777.24439139</v>
      </c>
      <c r="AJ354" s="70" t="n">
        <f aca="false">AJ353+AJ352</f>
        <v>1896617.31356223</v>
      </c>
      <c r="AK354" s="70" t="n">
        <f aca="false">AK353+AK352</f>
        <v>1973138.55074309</v>
      </c>
      <c r="AL354" s="70" t="n">
        <f aca="false">AL353+AL352</f>
        <v>2039947.59864561</v>
      </c>
    </row>
    <row r="355" customFormat="false" ht="15" hidden="false" customHeight="false" outlineLevel="0" collapsed="false">
      <c r="A355" s="116" t="s">
        <v>432</v>
      </c>
      <c r="C355" s="118" t="n">
        <f aca="false">IF(C311&gt;0,1,0)</f>
        <v>0</v>
      </c>
      <c r="D355" s="118" t="n">
        <f aca="false">IF(D311&gt;0,1,0)</f>
        <v>0</v>
      </c>
      <c r="E355" s="118" t="n">
        <f aca="false">IF(E311&gt;0,1,0)</f>
        <v>1</v>
      </c>
      <c r="F355" s="118" t="n">
        <f aca="false">IF(F311&gt;0,1,0)</f>
        <v>1</v>
      </c>
      <c r="G355" s="118" t="n">
        <f aca="false">IF(G311&gt;0,1,0)</f>
        <v>1</v>
      </c>
      <c r="H355" s="118" t="n">
        <f aca="false">IF(H311&gt;0,1,0)</f>
        <v>1</v>
      </c>
      <c r="I355" s="118" t="n">
        <f aca="false">IF(I311&gt;0,1,0)</f>
        <v>1</v>
      </c>
      <c r="J355" s="118" t="n">
        <f aca="false">IF(J311&gt;0,1,0)</f>
        <v>1</v>
      </c>
      <c r="K355" s="118" t="n">
        <f aca="false">IF(K311&gt;0,1,0)</f>
        <v>1</v>
      </c>
      <c r="L355" s="118" t="n">
        <f aca="false">IF(L311&gt;0,1,0)</f>
        <v>1</v>
      </c>
      <c r="M355" s="118" t="n">
        <f aca="false">IF(M311&gt;0,1,0)</f>
        <v>1</v>
      </c>
      <c r="N355" s="118" t="n">
        <f aca="false">IF(N311&gt;0,1,0)</f>
        <v>1</v>
      </c>
      <c r="O355" s="118" t="n">
        <f aca="false">IF(O311&gt;0,1,0)</f>
        <v>1</v>
      </c>
      <c r="P355" s="118" t="n">
        <f aca="false">IF(P311&gt;0,1,0)</f>
        <v>1</v>
      </c>
      <c r="Q355" s="118" t="n">
        <f aca="false">IF(Q311&gt;0,1,0)</f>
        <v>1</v>
      </c>
      <c r="R355" s="118" t="n">
        <f aca="false">IF(R311&gt;0,1,0)</f>
        <v>1</v>
      </c>
      <c r="S355" s="118" t="n">
        <f aca="false">IF(S311&gt;0,1,0)</f>
        <v>1</v>
      </c>
      <c r="T355" s="118" t="n">
        <f aca="false">IF(T311&gt;0,1,0)</f>
        <v>1</v>
      </c>
      <c r="U355" s="118" t="n">
        <f aca="false">IF(U311&gt;0,1,0)</f>
        <v>1</v>
      </c>
      <c r="V355" s="118" t="n">
        <f aca="false">IF(V311&gt;0,1,0)</f>
        <v>1</v>
      </c>
      <c r="W355" s="118" t="n">
        <f aca="false">IF(W311&gt;0,1,0)</f>
        <v>1</v>
      </c>
      <c r="X355" s="118" t="n">
        <f aca="false">IF(X311&gt;0,1,0)</f>
        <v>1</v>
      </c>
      <c r="Y355" s="118" t="n">
        <f aca="false">IF(Y311&gt;0,1,0)</f>
        <v>1</v>
      </c>
      <c r="Z355" s="118" t="n">
        <f aca="false">IF(Z311&gt;0,1,0)</f>
        <v>1</v>
      </c>
      <c r="AA355" s="118" t="n">
        <f aca="false">IF(AA311&gt;0,1,0)</f>
        <v>1</v>
      </c>
      <c r="AB355" s="118" t="n">
        <f aca="false">IF(AB311&gt;0,1,0)</f>
        <v>1</v>
      </c>
      <c r="AC355" s="118" t="n">
        <f aca="false">IF(AC311&gt;0,1,0)</f>
        <v>1</v>
      </c>
      <c r="AD355" s="118" t="n">
        <f aca="false">IF(AD311&gt;0,1,0)</f>
        <v>1</v>
      </c>
      <c r="AE355" s="118" t="n">
        <f aca="false">IF(AE311&gt;0,1,0)</f>
        <v>1</v>
      </c>
      <c r="AF355" s="118" t="n">
        <f aca="false">IF(AF311&gt;0,1,0)</f>
        <v>1</v>
      </c>
      <c r="AG355" s="118" t="n">
        <f aca="false">IF(AG311&gt;0,1,0)</f>
        <v>1</v>
      </c>
      <c r="AH355" s="118" t="n">
        <f aca="false">IF(AH311&gt;0,1,0)</f>
        <v>1</v>
      </c>
      <c r="AI355" s="118" t="n">
        <f aca="false">IF(AI311&gt;0,1,0)</f>
        <v>1</v>
      </c>
      <c r="AJ355" s="118" t="n">
        <f aca="false">IF(AJ311&gt;0,1,0)</f>
        <v>1</v>
      </c>
      <c r="AK355" s="118" t="n">
        <f aca="false">IF(AK311&gt;0,1,0)</f>
        <v>1</v>
      </c>
      <c r="AL355" s="118" t="n">
        <f aca="false">IF(AL311&gt;0,1,0)</f>
        <v>1</v>
      </c>
    </row>
    <row r="357" customFormat="false" ht="15.75" hidden="false" customHeight="true" outlineLevel="0" collapsed="false">
      <c r="A357" s="7" t="s">
        <v>433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116" t="s">
        <v>434</v>
      </c>
      <c r="C358" s="118" t="n">
        <f aca="false">IF(C320&gt;0,1,0)</f>
        <v>0</v>
      </c>
      <c r="D358" s="118" t="n">
        <f aca="false">IF(D320&gt;0,1,0)</f>
        <v>0</v>
      </c>
      <c r="E358" s="118" t="n">
        <f aca="false">IF(E320&gt;0,1,0)</f>
        <v>0</v>
      </c>
      <c r="F358" s="118" t="n">
        <f aca="false">IF(F320&gt;0,1,0)</f>
        <v>0</v>
      </c>
      <c r="G358" s="118" t="n">
        <f aca="false">IF(G320&gt;0,1,0)</f>
        <v>0</v>
      </c>
      <c r="H358" s="118" t="n">
        <f aca="false">IF(H320&gt;0,1,0)</f>
        <v>0</v>
      </c>
      <c r="I358" s="118" t="n">
        <f aca="false">IF(I320&gt;0,1,0)</f>
        <v>0</v>
      </c>
      <c r="J358" s="118" t="n">
        <f aca="false">IF(J320&gt;0,1,0)</f>
        <v>1</v>
      </c>
      <c r="K358" s="118" t="n">
        <f aca="false">IF(K320&gt;0,1,0)</f>
        <v>1</v>
      </c>
      <c r="L358" s="118" t="n">
        <f aca="false">IF(L320&gt;0,1,0)</f>
        <v>1</v>
      </c>
      <c r="M358" s="118" t="n">
        <f aca="false">IF(M320&gt;0,1,0)</f>
        <v>1</v>
      </c>
      <c r="N358" s="118" t="n">
        <f aca="false">IF(N320&gt;0,1,0)</f>
        <v>1</v>
      </c>
      <c r="O358" s="118" t="n">
        <f aca="false">IF(O320&gt;0,1,0)</f>
        <v>1</v>
      </c>
      <c r="P358" s="118" t="n">
        <f aca="false">IF(P320&gt;0,1,0)</f>
        <v>1</v>
      </c>
      <c r="Q358" s="118" t="n">
        <f aca="false">IF(Q320&gt;0,1,0)</f>
        <v>1</v>
      </c>
      <c r="R358" s="118" t="n">
        <f aca="false">IF(R320&gt;0,1,0)</f>
        <v>1</v>
      </c>
      <c r="S358" s="118" t="n">
        <f aca="false">IF(S320&gt;0,1,0)</f>
        <v>1</v>
      </c>
      <c r="T358" s="118" t="n">
        <f aca="false">IF(T320&gt;0,1,0)</f>
        <v>1</v>
      </c>
      <c r="U358" s="118" t="n">
        <f aca="false">IF(U320&gt;0,1,0)</f>
        <v>1</v>
      </c>
      <c r="V358" s="118" t="n">
        <f aca="false">IF(V320&gt;0,1,0)</f>
        <v>1</v>
      </c>
      <c r="W358" s="118" t="n">
        <f aca="false">IF(W320&gt;0,1,0)</f>
        <v>1</v>
      </c>
      <c r="X358" s="118" t="n">
        <f aca="false">IF(X320&gt;0,1,0)</f>
        <v>1</v>
      </c>
      <c r="Y358" s="118" t="n">
        <f aca="false">IF(Y320&gt;0,1,0)</f>
        <v>1</v>
      </c>
      <c r="Z358" s="118" t="n">
        <f aca="false">IF(Z320&gt;0,1,0)</f>
        <v>1</v>
      </c>
      <c r="AA358" s="118" t="n">
        <f aca="false">IF(AA320&gt;0,1,0)</f>
        <v>1</v>
      </c>
      <c r="AB358" s="118" t="n">
        <f aca="false">IF(AB320&gt;0,1,0)</f>
        <v>1</v>
      </c>
      <c r="AC358" s="118" t="n">
        <f aca="false">IF(AC320&gt;0,1,0)</f>
        <v>1</v>
      </c>
      <c r="AD358" s="118" t="n">
        <f aca="false">IF(AD320&gt;0,1,0)</f>
        <v>1</v>
      </c>
      <c r="AE358" s="118" t="n">
        <f aca="false">IF(AE320&gt;0,1,0)</f>
        <v>1</v>
      </c>
      <c r="AF358" s="118" t="n">
        <f aca="false">IF(AF320&gt;0,1,0)</f>
        <v>1</v>
      </c>
      <c r="AG358" s="118" t="n">
        <f aca="false">IF(AG320&gt;0,1,0)</f>
        <v>1</v>
      </c>
      <c r="AH358" s="118" t="n">
        <f aca="false">IF(AH320&gt;0,1,0)</f>
        <v>1</v>
      </c>
      <c r="AI358" s="118" t="n">
        <f aca="false">IF(AI320&gt;0,1,0)</f>
        <v>1</v>
      </c>
      <c r="AJ358" s="118" t="n">
        <f aca="false">IF(AJ320&gt;0,1,0)</f>
        <v>1</v>
      </c>
      <c r="AK358" s="118" t="n">
        <f aca="false">IF(AK320&gt;0,1,0)</f>
        <v>1</v>
      </c>
      <c r="AL358" s="118" t="n">
        <f aca="false">IF(AL320&gt;0,1,0)</f>
        <v>1</v>
      </c>
    </row>
    <row r="359" customFormat="false" ht="15" hidden="false" customHeight="false" outlineLevel="0" collapsed="false">
      <c r="A359" s="6" t="s">
        <v>435</v>
      </c>
      <c r="C359" s="69" t="n">
        <f aca="false">C348+C349</f>
        <v>-4148412.11225579</v>
      </c>
      <c r="D359" s="69" t="n">
        <f aca="false">D348+D349</f>
        <v>-37877.3004535596</v>
      </c>
      <c r="E359" s="69" t="n">
        <f aca="false">E348+E349</f>
        <v>-18996.0265108535</v>
      </c>
      <c r="F359" s="69" t="n">
        <f aca="false">F348+F349</f>
        <v>-8370.21814315336</v>
      </c>
      <c r="G359" s="69" t="n">
        <f aca="false">G348+G349</f>
        <v>2274.93406205737</v>
      </c>
      <c r="H359" s="69" t="n">
        <f aca="false">H348+H349</f>
        <v>13123.0826466823</v>
      </c>
      <c r="I359" s="69" t="n">
        <f aca="false">I348+I349</f>
        <v>24167.7317265802</v>
      </c>
      <c r="J359" s="69" t="n">
        <f aca="false">J348+J349</f>
        <v>35402.5932859024</v>
      </c>
      <c r="K359" s="69" t="n">
        <f aca="false">K348+K349</f>
        <v>39397.3108576195</v>
      </c>
      <c r="L359" s="69" t="n">
        <f aca="false">L348+L349</f>
        <v>43049.9004283979</v>
      </c>
      <c r="M359" s="69" t="n">
        <f aca="false">M348+M349</f>
        <v>46591.2737995781</v>
      </c>
      <c r="N359" s="69" t="n">
        <f aca="false">N348+N349</f>
        <v>35831.3655270874</v>
      </c>
      <c r="O359" s="69" t="n">
        <f aca="false">O348+O349</f>
        <v>2087.11712619683</v>
      </c>
      <c r="P359" s="69" t="n">
        <f aca="false">P348+P349</f>
        <v>45473.3393031467</v>
      </c>
      <c r="Q359" s="69" t="n">
        <f aca="false">Q348+Q349</f>
        <v>63124.3582345302</v>
      </c>
      <c r="R359" s="69" t="n">
        <f aca="false">R348+R349</f>
        <v>66601.8780025604</v>
      </c>
      <c r="S359" s="69" t="n">
        <f aca="false">S348+S349</f>
        <v>69841.492904907</v>
      </c>
      <c r="T359" s="69" t="n">
        <f aca="false">T348+T349</f>
        <v>72983.106797045</v>
      </c>
      <c r="U359" s="69" t="n">
        <f aca="false">U348+U349</f>
        <v>70906.8954588906</v>
      </c>
      <c r="V359" s="69" t="n">
        <f aca="false">V348+V349</f>
        <v>68424.5860864531</v>
      </c>
      <c r="W359" s="69" t="n">
        <f aca="false">W348+W349</f>
        <v>70689.0972471117</v>
      </c>
      <c r="X359" s="69" t="n">
        <f aca="false">X348+X349</f>
        <v>72885.6207172959</v>
      </c>
      <c r="Y359" s="69" t="n">
        <f aca="false">Y348+Y349</f>
        <v>75016.332103101</v>
      </c>
      <c r="Z359" s="69" t="n">
        <f aca="false">Z348+Z349</f>
        <v>65859.6594828507</v>
      </c>
      <c r="AA359" s="69" t="n">
        <f aca="false">AA348+AA349</f>
        <v>31103.5274705798</v>
      </c>
      <c r="AB359" s="69" t="n">
        <f aca="false">AB348+AB349</f>
        <v>73225.3908606437</v>
      </c>
      <c r="AC359" s="69" t="n">
        <f aca="false">AC348+AC349</f>
        <v>86610.7586209591</v>
      </c>
      <c r="AD359" s="69" t="n">
        <f aca="false">AD348+AD349</f>
        <v>88622.1473981236</v>
      </c>
      <c r="AE359" s="69" t="n">
        <f aca="false">AE348+AE349</f>
        <v>90635.4289048622</v>
      </c>
      <c r="AF359" s="69" t="n">
        <f aca="false">AF348+AF349</f>
        <v>92588.7620700518</v>
      </c>
      <c r="AG359" s="69" t="n">
        <f aca="false">AG348+AG349</f>
        <v>94484.065240622</v>
      </c>
      <c r="AH359" s="69" t="n">
        <f aca="false">AH348+AH349</f>
        <v>96323.1953764006</v>
      </c>
      <c r="AI359" s="69" t="n">
        <f aca="false">AI348+AI349</f>
        <v>98107.950014501</v>
      </c>
      <c r="AJ359" s="69" t="n">
        <f aca="false">AJ348+AJ349</f>
        <v>99840.0691708489</v>
      </c>
      <c r="AK359" s="69" t="n">
        <f aca="false">AK348+AK349</f>
        <v>101521.23718086</v>
      </c>
      <c r="AL359" s="69" t="n">
        <f aca="false">AL348+AL349</f>
        <v>91809.0479025196</v>
      </c>
    </row>
    <row r="360" customFormat="false" ht="15" hidden="false" customHeight="false" outlineLevel="0" collapsed="false">
      <c r="A360" s="6" t="s">
        <v>436</v>
      </c>
      <c r="C360" s="69" t="n">
        <f aca="false">C359</f>
        <v>-4148412.11225579</v>
      </c>
      <c r="D360" s="69" t="n">
        <f aca="false">C360+D359</f>
        <v>-4186289.41270935</v>
      </c>
      <c r="E360" s="69" t="n">
        <f aca="false">D360+E359</f>
        <v>-4205285.4392202</v>
      </c>
      <c r="F360" s="69" t="n">
        <f aca="false">E360+F359</f>
        <v>-4213655.65736335</v>
      </c>
      <c r="G360" s="69" t="n">
        <f aca="false">F360+G359</f>
        <v>-4211380.7233013</v>
      </c>
      <c r="H360" s="69" t="n">
        <f aca="false">G360+H359</f>
        <v>-4198257.64065461</v>
      </c>
      <c r="I360" s="69" t="n">
        <f aca="false">H360+I359</f>
        <v>-4174089.90892803</v>
      </c>
      <c r="J360" s="69" t="n">
        <f aca="false">I360+J359</f>
        <v>-4138687.31564213</v>
      </c>
      <c r="K360" s="69" t="n">
        <f aca="false">J360+K359</f>
        <v>-4099290.00478451</v>
      </c>
      <c r="L360" s="69" t="n">
        <f aca="false">K360+L359</f>
        <v>-4056240.10435611</v>
      </c>
      <c r="M360" s="69" t="n">
        <f aca="false">L360+M359</f>
        <v>-4009648.83055653</v>
      </c>
      <c r="N360" s="69" t="n">
        <f aca="false">M360+N359</f>
        <v>-3973817.46502945</v>
      </c>
      <c r="O360" s="69" t="n">
        <f aca="false">N360+O359</f>
        <v>-3971730.34790325</v>
      </c>
      <c r="P360" s="69" t="n">
        <f aca="false">O360+P359</f>
        <v>-3926257.0086001</v>
      </c>
      <c r="Q360" s="69" t="n">
        <f aca="false">P360+Q359</f>
        <v>-3863132.65036557</v>
      </c>
      <c r="R360" s="69" t="n">
        <f aca="false">Q360+R359</f>
        <v>-3796530.77236301</v>
      </c>
      <c r="S360" s="69" t="n">
        <f aca="false">R360+S359</f>
        <v>-3726689.27945811</v>
      </c>
      <c r="T360" s="69" t="n">
        <f aca="false">S360+T359</f>
        <v>-3653706.17266106</v>
      </c>
      <c r="U360" s="69" t="n">
        <f aca="false">T360+U359</f>
        <v>-3582799.27720217</v>
      </c>
      <c r="V360" s="69" t="n">
        <f aca="false">U360+V359</f>
        <v>-3514374.69111572</v>
      </c>
      <c r="W360" s="69" t="n">
        <f aca="false">V360+W359</f>
        <v>-3443685.59386861</v>
      </c>
      <c r="X360" s="69" t="n">
        <f aca="false">W360+X359</f>
        <v>-3370799.97315131</v>
      </c>
      <c r="Y360" s="69" t="n">
        <f aca="false">X360+Y359</f>
        <v>-3295783.64104821</v>
      </c>
      <c r="Z360" s="69" t="n">
        <f aca="false">Y360+Z359</f>
        <v>-3229923.98156536</v>
      </c>
      <c r="AA360" s="69" t="n">
        <f aca="false">Z360+AA359</f>
        <v>-3198820.45409478</v>
      </c>
      <c r="AB360" s="69" t="n">
        <f aca="false">AA360+AB359</f>
        <v>-3125595.06323414</v>
      </c>
      <c r="AC360" s="69" t="n">
        <f aca="false">AB360+AC359</f>
        <v>-3038984.30461318</v>
      </c>
      <c r="AD360" s="69" t="n">
        <f aca="false">AC360+AD359</f>
        <v>-2950362.15721505</v>
      </c>
      <c r="AE360" s="69" t="n">
        <f aca="false">AD360+AE359</f>
        <v>-2859726.72831019</v>
      </c>
      <c r="AF360" s="69" t="n">
        <f aca="false">AE360+AF359</f>
        <v>-2767137.96624014</v>
      </c>
      <c r="AG360" s="69" t="n">
        <f aca="false">AF360+AG359</f>
        <v>-2672653.90099952</v>
      </c>
      <c r="AH360" s="69" t="n">
        <f aca="false">AG360+AH359</f>
        <v>-2576330.70562312</v>
      </c>
      <c r="AI360" s="69" t="n">
        <f aca="false">AH360+AI359</f>
        <v>-2478222.75560861</v>
      </c>
      <c r="AJ360" s="69" t="n">
        <f aca="false">AI360+AJ359</f>
        <v>-2378382.68643777</v>
      </c>
      <c r="AK360" s="69" t="n">
        <f aca="false">AJ360+AK359</f>
        <v>-2276861.44925691</v>
      </c>
      <c r="AL360" s="69" t="n">
        <f aca="false">AK360+AL359</f>
        <v>-2185052.40135439</v>
      </c>
    </row>
    <row r="361" customFormat="false" ht="15" hidden="false" customHeight="false" outlineLevel="0" collapsed="false">
      <c r="A361" s="116" t="s">
        <v>437</v>
      </c>
      <c r="C361" s="69" t="n">
        <f aca="false">C360</f>
        <v>-4148412.11225579</v>
      </c>
      <c r="D361" s="69" t="n">
        <f aca="false">MIN(C361,D360)</f>
        <v>-4186289.41270935</v>
      </c>
      <c r="E361" s="69" t="n">
        <f aca="false">MIN(D361,E360)</f>
        <v>-4205285.4392202</v>
      </c>
      <c r="F361" s="69" t="n">
        <f aca="false">MIN(E361,F360)</f>
        <v>-4213655.65736335</v>
      </c>
      <c r="G361" s="69" t="n">
        <f aca="false">MIN(F361,G360)</f>
        <v>-4213655.65736335</v>
      </c>
      <c r="H361" s="69" t="n">
        <f aca="false">MIN(G361,H360)</f>
        <v>-4213655.65736335</v>
      </c>
      <c r="I361" s="69" t="n">
        <f aca="false">MIN(H361,I360)</f>
        <v>-4213655.65736335</v>
      </c>
      <c r="J361" s="69" t="n">
        <f aca="false">MIN(I361,J360)</f>
        <v>-4213655.65736335</v>
      </c>
      <c r="K361" s="69" t="n">
        <f aca="false">MIN(J361,K360)</f>
        <v>-4213655.65736335</v>
      </c>
      <c r="L361" s="69" t="n">
        <f aca="false">MIN(K361,L360)</f>
        <v>-4213655.65736335</v>
      </c>
      <c r="M361" s="69" t="n">
        <f aca="false">MIN(L361,M360)</f>
        <v>-4213655.65736335</v>
      </c>
      <c r="N361" s="69" t="n">
        <f aca="false">MIN(M361,N360)</f>
        <v>-4213655.65736335</v>
      </c>
      <c r="O361" s="69" t="n">
        <f aca="false">MIN(N361,O360)</f>
        <v>-4213655.65736335</v>
      </c>
      <c r="P361" s="69" t="n">
        <f aca="false">MIN(O361,P360)</f>
        <v>-4213655.65736335</v>
      </c>
      <c r="Q361" s="69" t="n">
        <f aca="false">MIN(P361,Q360)</f>
        <v>-4213655.65736335</v>
      </c>
      <c r="R361" s="69" t="n">
        <f aca="false">MIN(Q361,R360)</f>
        <v>-4213655.65736335</v>
      </c>
      <c r="S361" s="69" t="n">
        <f aca="false">MIN(R361,S360)</f>
        <v>-4213655.65736335</v>
      </c>
      <c r="T361" s="69" t="n">
        <f aca="false">MIN(S361,T360)</f>
        <v>-4213655.65736335</v>
      </c>
      <c r="U361" s="69" t="n">
        <f aca="false">MIN(T361,U360)</f>
        <v>-4213655.65736335</v>
      </c>
      <c r="V361" s="69" t="n">
        <f aca="false">MIN(U361,V360)</f>
        <v>-4213655.65736335</v>
      </c>
      <c r="W361" s="69" t="n">
        <f aca="false">MIN(V361,W360)</f>
        <v>-4213655.65736335</v>
      </c>
      <c r="X361" s="69" t="n">
        <f aca="false">MIN(W361,X360)</f>
        <v>-4213655.65736335</v>
      </c>
      <c r="Y361" s="69" t="n">
        <f aca="false">MIN(X361,Y360)</f>
        <v>-4213655.65736335</v>
      </c>
      <c r="Z361" s="69" t="n">
        <f aca="false">MIN(Y361,Z360)</f>
        <v>-4213655.65736335</v>
      </c>
      <c r="AA361" s="69" t="n">
        <f aca="false">MIN(Z361,AA360)</f>
        <v>-4213655.65736335</v>
      </c>
      <c r="AB361" s="69" t="n">
        <f aca="false">MIN(AA361,AB360)</f>
        <v>-4213655.65736335</v>
      </c>
      <c r="AC361" s="69" t="n">
        <f aca="false">MIN(AB361,AC360)</f>
        <v>-4213655.65736335</v>
      </c>
      <c r="AD361" s="69" t="n">
        <f aca="false">MIN(AC361,AD360)</f>
        <v>-4213655.65736335</v>
      </c>
      <c r="AE361" s="69" t="n">
        <f aca="false">MIN(AD361,AE360)</f>
        <v>-4213655.65736335</v>
      </c>
      <c r="AF361" s="69" t="n">
        <f aca="false">MIN(AE361,AF360)</f>
        <v>-4213655.65736335</v>
      </c>
      <c r="AG361" s="69" t="n">
        <f aca="false">MIN(AF361,AG360)</f>
        <v>-4213655.65736335</v>
      </c>
      <c r="AH361" s="69" t="n">
        <f aca="false">MIN(AG361,AH360)</f>
        <v>-4213655.65736335</v>
      </c>
      <c r="AI361" s="69" t="n">
        <f aca="false">MIN(AH361,AI360)</f>
        <v>-4213655.65736335</v>
      </c>
      <c r="AJ361" s="69" t="n">
        <f aca="false">MIN(AI361,AJ360)</f>
        <v>-4213655.65736335</v>
      </c>
      <c r="AK361" s="69" t="n">
        <f aca="false">MIN(AJ361,AK360)</f>
        <v>-4213655.65736335</v>
      </c>
      <c r="AL361" s="69" t="n">
        <f aca="false">MIN(AK361,AL360)</f>
        <v>-4213655.65736335</v>
      </c>
    </row>
    <row r="362" customFormat="false" ht="15" hidden="false" customHeight="false" outlineLevel="0" collapsed="false">
      <c r="A362" s="116" t="s">
        <v>438</v>
      </c>
      <c r="C362" s="118" t="n">
        <f aca="false">IF(AND(C360&gt;=0,C361&lt;0),1,0)</f>
        <v>0</v>
      </c>
      <c r="D362" s="118" t="n">
        <f aca="false">IF(AND(D360&gt;=0,D361&lt;0),1,0)</f>
        <v>0</v>
      </c>
      <c r="E362" s="118" t="n">
        <f aca="false">IF(AND(E360&gt;=0,E361&lt;0),1,0)</f>
        <v>0</v>
      </c>
      <c r="F362" s="118" t="n">
        <f aca="false">IF(AND(F360&gt;=0,F361&lt;0),1,0)</f>
        <v>0</v>
      </c>
      <c r="G362" s="118" t="n">
        <f aca="false">IF(AND(G360&gt;=0,G361&lt;0),1,0)</f>
        <v>0</v>
      </c>
      <c r="H362" s="118" t="n">
        <f aca="false">IF(AND(H360&gt;=0,H361&lt;0),1,0)</f>
        <v>0</v>
      </c>
      <c r="I362" s="118" t="n">
        <f aca="false">IF(AND(I360&gt;=0,I361&lt;0),1,0)</f>
        <v>0</v>
      </c>
      <c r="J362" s="118" t="n">
        <f aca="false">IF(AND(J360&gt;=0,J361&lt;0),1,0)</f>
        <v>0</v>
      </c>
      <c r="K362" s="118" t="n">
        <f aca="false">IF(AND(K360&gt;=0,K361&lt;0),1,0)</f>
        <v>0</v>
      </c>
      <c r="L362" s="118" t="n">
        <f aca="false">IF(AND(L360&gt;=0,L361&lt;0),1,0)</f>
        <v>0</v>
      </c>
      <c r="M362" s="118" t="n">
        <f aca="false">IF(AND(M360&gt;=0,M361&lt;0),1,0)</f>
        <v>0</v>
      </c>
      <c r="N362" s="118" t="n">
        <f aca="false">IF(AND(N360&gt;=0,N361&lt;0),1,0)</f>
        <v>0</v>
      </c>
      <c r="O362" s="118" t="n">
        <f aca="false">IF(AND(O360&gt;=0,O361&lt;0),1,0)</f>
        <v>0</v>
      </c>
      <c r="P362" s="118" t="n">
        <f aca="false">IF(AND(P360&gt;=0,P361&lt;0),1,0)</f>
        <v>0</v>
      </c>
      <c r="Q362" s="118" t="n">
        <f aca="false">IF(AND(Q360&gt;=0,Q361&lt;0),1,0)</f>
        <v>0</v>
      </c>
      <c r="R362" s="118" t="n">
        <f aca="false">IF(AND(R360&gt;=0,R361&lt;0),1,0)</f>
        <v>0</v>
      </c>
      <c r="S362" s="118" t="n">
        <f aca="false">IF(AND(S360&gt;=0,S361&lt;0),1,0)</f>
        <v>0</v>
      </c>
      <c r="T362" s="118" t="n">
        <f aca="false">IF(AND(T360&gt;=0,T361&lt;0),1,0)</f>
        <v>0</v>
      </c>
      <c r="U362" s="118" t="n">
        <f aca="false">IF(AND(U360&gt;=0,U361&lt;0),1,0)</f>
        <v>0</v>
      </c>
      <c r="V362" s="118" t="n">
        <f aca="false">IF(AND(V360&gt;=0,V361&lt;0),1,0)</f>
        <v>0</v>
      </c>
      <c r="W362" s="118" t="n">
        <f aca="false">IF(AND(W360&gt;=0,W361&lt;0),1,0)</f>
        <v>0</v>
      </c>
      <c r="X362" s="118" t="n">
        <f aca="false">IF(AND(X360&gt;=0,X361&lt;0),1,0)</f>
        <v>0</v>
      </c>
      <c r="Y362" s="118" t="n">
        <f aca="false">IF(AND(Y360&gt;=0,Y361&lt;0),1,0)</f>
        <v>0</v>
      </c>
      <c r="Z362" s="118" t="n">
        <f aca="false">IF(AND(Z360&gt;=0,Z361&lt;0),1,0)</f>
        <v>0</v>
      </c>
      <c r="AA362" s="118" t="n">
        <f aca="false">IF(AND(AA360&gt;=0,AA361&lt;0),1,0)</f>
        <v>0</v>
      </c>
      <c r="AB362" s="118" t="n">
        <f aca="false">IF(AND(AB360&gt;=0,AB361&lt;0),1,0)</f>
        <v>0</v>
      </c>
      <c r="AC362" s="118" t="n">
        <f aca="false">IF(AND(AC360&gt;=0,AC361&lt;0),1,0)</f>
        <v>0</v>
      </c>
      <c r="AD362" s="118" t="n">
        <f aca="false">IF(AND(AD360&gt;=0,AD361&lt;0),1,0)</f>
        <v>0</v>
      </c>
      <c r="AE362" s="118" t="n">
        <f aca="false">IF(AND(AE360&gt;=0,AE361&lt;0),1,0)</f>
        <v>0</v>
      </c>
      <c r="AF362" s="118" t="n">
        <f aca="false">IF(AND(AF360&gt;=0,AF361&lt;0),1,0)</f>
        <v>0</v>
      </c>
      <c r="AG362" s="118" t="n">
        <f aca="false">IF(AND(AG360&gt;=0,AG361&lt;0),1,0)</f>
        <v>0</v>
      </c>
      <c r="AH362" s="118" t="n">
        <f aca="false">IF(AND(AH360&gt;=0,AH361&lt;0),1,0)</f>
        <v>0</v>
      </c>
      <c r="AI362" s="118" t="n">
        <f aca="false">IF(AND(AI360&gt;=0,AI361&lt;0),1,0)</f>
        <v>0</v>
      </c>
      <c r="AJ362" s="118" t="n">
        <f aca="false">IF(AND(AJ360&gt;=0,AJ361&lt;0),1,0)</f>
        <v>0</v>
      </c>
      <c r="AK362" s="118" t="n">
        <f aca="false">IF(AND(AK360&gt;=0,AK361&lt;0),1,0)</f>
        <v>0</v>
      </c>
      <c r="AL362" s="118" t="n">
        <f aca="false">IF(AND(AL360&gt;=0,AL361&lt;0),1,0)</f>
        <v>0</v>
      </c>
    </row>
    <row r="363" customFormat="false" ht="15" hidden="false" customHeight="false" outlineLevel="0" collapsed="false">
      <c r="A363" s="6" t="s">
        <v>439</v>
      </c>
      <c r="C363" s="69" t="n">
        <f aca="false">C348-C315*(1-Inputs!$D$79)+C349</f>
        <v>-4131624.61225579</v>
      </c>
      <c r="D363" s="69" t="n">
        <f aca="false">D348-D315*(1-Inputs!$D$79)+D349</f>
        <v>-21159.7483702263</v>
      </c>
      <c r="E363" s="69" t="n">
        <f aca="false">E348-E315*(1-Inputs!$D$79)+E349</f>
        <v>-2418.37026085349</v>
      </c>
      <c r="F363" s="69" t="n">
        <f aca="false">F348-F315*(1-Inputs!$D$79)+F349</f>
        <v>8067.54227351331</v>
      </c>
      <c r="G363" s="69" t="n">
        <f aca="false">G348-G315*(1-Inputs!$D$79)+G349</f>
        <v>18572.7986453907</v>
      </c>
      <c r="H363" s="69" t="n">
        <f aca="false">H348-H315*(1-Inputs!$D$79)+H349</f>
        <v>29281.0513966823</v>
      </c>
      <c r="I363" s="69" t="n">
        <f aca="false">I348-I315*(1-Inputs!$D$79)+I349</f>
        <v>40185.8046432469</v>
      </c>
      <c r="J363" s="69" t="n">
        <f aca="false">J348-J315*(1-Inputs!$D$79)+J349</f>
        <v>51280.7703692357</v>
      </c>
      <c r="K363" s="69" t="n">
        <f aca="false">K348-K315*(1-Inputs!$D$79)+K349</f>
        <v>55135.5921076195</v>
      </c>
      <c r="L363" s="69" t="n">
        <f aca="false">L348-L315*(1-Inputs!$D$79)+L349</f>
        <v>58648.2858450646</v>
      </c>
      <c r="M363" s="69" t="n">
        <f aca="false">M348-M315*(1-Inputs!$D$79)+M349</f>
        <v>62049.7633829114</v>
      </c>
      <c r="N363" s="69" t="n">
        <f aca="false">N348-N315*(1-Inputs!$D$79)+N349</f>
        <v>51149.9592770874</v>
      </c>
      <c r="O363" s="69" t="n">
        <f aca="false">O348-O315*(1-Inputs!$D$79)+O349</f>
        <v>17265.8150428635</v>
      </c>
      <c r="P363" s="69" t="n">
        <f aca="false">P348-P315*(1-Inputs!$D$79)+P349</f>
        <v>60512.14138648</v>
      </c>
      <c r="Q363" s="69" t="n">
        <f aca="false">Q348-Q315*(1-Inputs!$D$79)+Q349</f>
        <v>78023.2644845302</v>
      </c>
      <c r="R363" s="69" t="n">
        <f aca="false">R348-R315*(1-Inputs!$D$79)+R349</f>
        <v>81360.8884192271</v>
      </c>
      <c r="S363" s="69" t="n">
        <f aca="false">S348-S315*(1-Inputs!$D$79)+S349</f>
        <v>84460.6074882403</v>
      </c>
      <c r="T363" s="69" t="n">
        <f aca="false">T348-T315*(1-Inputs!$D$79)+T349</f>
        <v>87462.325547045</v>
      </c>
      <c r="U363" s="69" t="n">
        <f aca="false">U348-U315*(1-Inputs!$D$79)+U349</f>
        <v>85246.2183755572</v>
      </c>
      <c r="V363" s="69" t="n">
        <f aca="false">V348-V315*(1-Inputs!$D$79)+V349</f>
        <v>82624.0131697864</v>
      </c>
      <c r="W363" s="69" t="n">
        <f aca="false">W348-W315*(1-Inputs!$D$79)+W349</f>
        <v>84748.6284971117</v>
      </c>
      <c r="X363" s="69" t="n">
        <f aca="false">X348-X315*(1-Inputs!$D$79)+X349</f>
        <v>86805.2561339626</v>
      </c>
      <c r="Y363" s="69" t="n">
        <f aca="false">Y348-Y315*(1-Inputs!$D$79)+Y349</f>
        <v>88796.0716864343</v>
      </c>
      <c r="Z363" s="69" t="n">
        <f aca="false">Z348-Z315*(1-Inputs!$D$79)+Z349</f>
        <v>79499.5032328507</v>
      </c>
      <c r="AA363" s="69" t="n">
        <f aca="false">AA348-AA315*(1-Inputs!$D$79)+AA349</f>
        <v>44603.4753872464</v>
      </c>
      <c r="AB363" s="69" t="n">
        <f aca="false">AB348-AB315*(1-Inputs!$D$79)+AB349</f>
        <v>86585.4429439771</v>
      </c>
      <c r="AC363" s="69" t="n">
        <f aca="false">AC348-AC315*(1-Inputs!$D$79)+AC349</f>
        <v>99830.9148709591</v>
      </c>
      <c r="AD363" s="69" t="n">
        <f aca="false">AD348-AD315*(1-Inputs!$D$79)+AD349</f>
        <v>101702.40781479</v>
      </c>
      <c r="AE363" s="69" t="n">
        <f aca="false">AE348-AE315*(1-Inputs!$D$79)+AE349</f>
        <v>103575.793488196</v>
      </c>
      <c r="AF363" s="69" t="n">
        <f aca="false">AF348-AF315*(1-Inputs!$D$79)+AF349</f>
        <v>105389.230820052</v>
      </c>
      <c r="AG363" s="69" t="n">
        <f aca="false">AG348-AG315*(1-Inputs!$D$79)+AG349</f>
        <v>107144.638157289</v>
      </c>
      <c r="AH363" s="69" t="n">
        <f aca="false">AH348-AH315*(1-Inputs!$D$79)+AH349</f>
        <v>108843.872459734</v>
      </c>
      <c r="AI363" s="69" t="n">
        <f aca="false">AI348-AI315*(1-Inputs!$D$79)+AI349</f>
        <v>110488.731264501</v>
      </c>
      <c r="AJ363" s="69" t="n">
        <f aca="false">AJ348-AJ315*(1-Inputs!$D$79)+AJ349</f>
        <v>112080.954587516</v>
      </c>
      <c r="AK363" s="69" t="n">
        <f aca="false">AK348-AK315*(1-Inputs!$D$79)+AK349</f>
        <v>113622.226764194</v>
      </c>
      <c r="AL363" s="69" t="n">
        <f aca="false">AL348-AL315*(1-Inputs!$D$79)+AL349</f>
        <v>103770.14165252</v>
      </c>
    </row>
    <row r="365" customFormat="false" ht="15.75" hidden="false" customHeight="true" outlineLevel="0" collapsed="false">
      <c r="A365" s="7" t="s">
        <v>440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</row>
    <row r="366" customFormat="false" ht="15" hidden="false" customHeight="false" outlineLevel="0" collapsed="false">
      <c r="A366" s="6" t="s">
        <v>97</v>
      </c>
      <c r="C366" s="69" t="n">
        <f aca="false">C350</f>
        <v>2100000</v>
      </c>
      <c r="D366" s="69" t="n">
        <f aca="false">C366+D350</f>
        <v>2100000</v>
      </c>
      <c r="E366" s="69" t="n">
        <f aca="false">D366+E350</f>
        <v>2100000</v>
      </c>
      <c r="F366" s="69" t="n">
        <f aca="false">E366+F350</f>
        <v>2100000</v>
      </c>
      <c r="G366" s="69" t="n">
        <f aca="false">F366+G350</f>
        <v>2100000</v>
      </c>
      <c r="H366" s="69" t="n">
        <f aca="false">G366+H350</f>
        <v>2100000</v>
      </c>
      <c r="I366" s="69" t="n">
        <f aca="false">H366+I350</f>
        <v>2100000</v>
      </c>
      <c r="J366" s="69" t="n">
        <f aca="false">I366+J350</f>
        <v>2100000</v>
      </c>
      <c r="K366" s="69" t="n">
        <f aca="false">J366+K350</f>
        <v>2100000</v>
      </c>
      <c r="L366" s="69" t="n">
        <f aca="false">K366+L350</f>
        <v>2100000</v>
      </c>
      <c r="M366" s="69" t="n">
        <f aca="false">L366+M350</f>
        <v>2100000</v>
      </c>
      <c r="N366" s="69" t="n">
        <f aca="false">M366+N350</f>
        <v>2100000</v>
      </c>
      <c r="O366" s="69" t="n">
        <f aca="false">N366+O350</f>
        <v>2100000</v>
      </c>
      <c r="P366" s="69" t="n">
        <f aca="false">O366+P350</f>
        <v>2100000</v>
      </c>
      <c r="Q366" s="69" t="n">
        <f aca="false">P366+Q350</f>
        <v>2100000</v>
      </c>
      <c r="R366" s="69" t="n">
        <f aca="false">Q366+R350</f>
        <v>2100000</v>
      </c>
      <c r="S366" s="69" t="n">
        <f aca="false">R366+S350</f>
        <v>2100000</v>
      </c>
      <c r="T366" s="69" t="n">
        <f aca="false">S366+T350</f>
        <v>2100000</v>
      </c>
      <c r="U366" s="69" t="n">
        <f aca="false">T366+U350</f>
        <v>2100000</v>
      </c>
      <c r="V366" s="69" t="n">
        <f aca="false">U366+V350</f>
        <v>2100000</v>
      </c>
      <c r="W366" s="69" t="n">
        <f aca="false">V366+W350</f>
        <v>2100000</v>
      </c>
      <c r="X366" s="69" t="n">
        <f aca="false">W366+X350</f>
        <v>2100000</v>
      </c>
      <c r="Y366" s="69" t="n">
        <f aca="false">X366+Y350</f>
        <v>2100000</v>
      </c>
      <c r="Z366" s="69" t="n">
        <f aca="false">Y366+Z350</f>
        <v>2100000</v>
      </c>
      <c r="AA366" s="69" t="n">
        <f aca="false">Z366+AA350</f>
        <v>2100000</v>
      </c>
      <c r="AB366" s="69" t="n">
        <f aca="false">AA366+AB350</f>
        <v>2100000</v>
      </c>
      <c r="AC366" s="69" t="n">
        <f aca="false">AB366+AC350</f>
        <v>2100000</v>
      </c>
      <c r="AD366" s="69" t="n">
        <f aca="false">AC366+AD350</f>
        <v>2100000</v>
      </c>
      <c r="AE366" s="69" t="n">
        <f aca="false">AD366+AE350</f>
        <v>2100000</v>
      </c>
      <c r="AF366" s="69" t="n">
        <f aca="false">AE366+AF350</f>
        <v>2100000</v>
      </c>
      <c r="AG366" s="69" t="n">
        <f aca="false">AF366+AG350</f>
        <v>2100000</v>
      </c>
      <c r="AH366" s="69" t="n">
        <f aca="false">AG366+AH350</f>
        <v>2100000</v>
      </c>
      <c r="AI366" s="69" t="n">
        <f aca="false">AH366+AI350</f>
        <v>2100000</v>
      </c>
      <c r="AJ366" s="69" t="n">
        <f aca="false">AI366+AJ350</f>
        <v>2100000</v>
      </c>
      <c r="AK366" s="69" t="n">
        <f aca="false">AJ366+AK350</f>
        <v>2100000</v>
      </c>
      <c r="AL366" s="69" t="n">
        <f aca="false">AK366+AL350</f>
        <v>2100000</v>
      </c>
    </row>
    <row r="367" customFormat="false" ht="15" hidden="false" customHeight="false" outlineLevel="0" collapsed="false">
      <c r="A367" s="6" t="s">
        <v>98</v>
      </c>
      <c r="C367" s="69" t="n">
        <f aca="false">C320</f>
        <v>-74865.8196725689</v>
      </c>
      <c r="D367" s="69" t="n">
        <f aca="false">C367+D320</f>
        <v>-140962.851628205</v>
      </c>
      <c r="E367" s="69" t="n">
        <f aca="false">D367+E320</f>
        <v>-187963.851502773</v>
      </c>
      <c r="F367" s="69" t="n">
        <f aca="false">E367+F320</f>
        <v>-224525.412074998</v>
      </c>
      <c r="G367" s="69" t="n">
        <f aca="false">F367+G320</f>
        <v>-250437.954152574</v>
      </c>
      <c r="H367" s="69" t="n">
        <f aca="false">G367+H320</f>
        <v>-265498.605077348</v>
      </c>
      <c r="I367" s="69" t="n">
        <f aca="false">H367+I320</f>
        <v>-269510.984116231</v>
      </c>
      <c r="J367" s="69" t="n">
        <f aca="false">I367+J320</f>
        <v>-262284.994719588</v>
      </c>
      <c r="K367" s="69" t="n">
        <f aca="false">J367+K320</f>
        <v>-251293.711243194</v>
      </c>
      <c r="L367" s="69" t="n">
        <f aca="false">K367+L320</f>
        <v>-236651.956430933</v>
      </c>
      <c r="M367" s="69" t="n">
        <f aca="false">L367+M320</f>
        <v>-218470.878698886</v>
      </c>
      <c r="N367" s="69" t="n">
        <f aca="false">M367+N320</f>
        <v>-211223.770257511</v>
      </c>
      <c r="O367" s="69" t="n">
        <f aca="false">N367+O320</f>
        <v>-197656.62406802</v>
      </c>
      <c r="P367" s="69" t="n">
        <f aca="false">O367+P320</f>
        <v>-180858.374844038</v>
      </c>
      <c r="Q367" s="69" t="n">
        <f aca="false">P367+Q320</f>
        <v>-146286.358181208</v>
      </c>
      <c r="R367" s="69" t="n">
        <f aca="false">Q367+R320</f>
        <v>-108375.437719826</v>
      </c>
      <c r="S367" s="69" t="n">
        <f aca="false">R367+S320</f>
        <v>-67226.7917147807</v>
      </c>
      <c r="T367" s="69" t="n">
        <f aca="false">S367+T320</f>
        <v>-22938.3607168015</v>
      </c>
      <c r="U367" s="69" t="n">
        <f aca="false">T367+U320</f>
        <v>19272.0885685933</v>
      </c>
      <c r="V367" s="69" t="n">
        <f aca="false">U367+V320</f>
        <v>58998.5147591025</v>
      </c>
      <c r="W367" s="69" t="n">
        <f aca="false">V367+W320</f>
        <v>100987.793226941</v>
      </c>
      <c r="X367" s="69" t="n">
        <f aca="false">W367+X320</f>
        <v>145171.9893659</v>
      </c>
      <c r="Y367" s="69" t="n">
        <f aca="false">X367+Y320</f>
        <v>191485.34247717</v>
      </c>
      <c r="Z367" s="69" t="n">
        <f aca="false">Y367+Z320</f>
        <v>228673.830309086</v>
      </c>
      <c r="AA367" s="69" t="n">
        <f aca="false">Z367+AA320</f>
        <v>270997.757581798</v>
      </c>
      <c r="AB367" s="69" t="n">
        <f aca="false">AA367+AB320</f>
        <v>315251.367102783</v>
      </c>
      <c r="AC367" s="69" t="n">
        <f aca="false">AB367+AC320</f>
        <v>372818.313055662</v>
      </c>
      <c r="AD367" s="69" t="n">
        <f aca="false">AC367+AD320</f>
        <v>432458.941405971</v>
      </c>
      <c r="AE367" s="69" t="n">
        <f aca="false">AD367+AE320</f>
        <v>494111.370983661</v>
      </c>
      <c r="AF367" s="69" t="n">
        <f aca="false">AE367+AF320</f>
        <v>557715.70081612</v>
      </c>
      <c r="AG367" s="69" t="n">
        <f aca="false">AF367+AG320</f>
        <v>623213.946761864</v>
      </c>
      <c r="AH367" s="69" t="n">
        <f aca="false">AG367+AH320</f>
        <v>690549.980171933</v>
      </c>
      <c r="AI367" s="69" t="n">
        <f aca="false">AH367+AI320</f>
        <v>759669.468514137</v>
      </c>
      <c r="AJ367" s="69" t="n">
        <f aca="false">AI367+AJ320</f>
        <v>830519.817897313</v>
      </c>
      <c r="AK367" s="69" t="n">
        <f aca="false">AJ367+AK320</f>
        <v>903050.117434817</v>
      </c>
      <c r="AL367" s="69" t="n">
        <f aca="false">AK367+AL320</f>
        <v>966059.281107996</v>
      </c>
    </row>
    <row r="368" customFormat="false" ht="15" hidden="false" customHeight="false" outlineLevel="0" collapsed="false">
      <c r="A368" s="4" t="s">
        <v>93</v>
      </c>
      <c r="C368" s="75" t="n">
        <f aca="false">C354+C340+C341+C331</f>
        <v>5033085.29431383</v>
      </c>
      <c r="D368" s="75" t="n">
        <f aca="false">D354+D340+D341+D331</f>
        <v>4943007.61345155</v>
      </c>
      <c r="E368" s="75" t="n">
        <f aca="false">E354+E340+E341+E331</f>
        <v>4873487.90854992</v>
      </c>
      <c r="F368" s="75" t="n">
        <f aca="false">F354+F340+F341+F331</f>
        <v>4813186.58945097</v>
      </c>
      <c r="G368" s="75" t="n">
        <f aca="false">G354+G340+G341+G331</f>
        <v>4763565.86902392</v>
      </c>
      <c r="H368" s="75" t="n">
        <f aca="false">H354+H340+H341+H331</f>
        <v>4724827.60936122</v>
      </c>
      <c r="I368" s="75" t="n">
        <f aca="false">I354+I340+I341+I331</f>
        <v>4697167.21296842</v>
      </c>
      <c r="J368" s="75" t="n">
        <f aca="false">J354+J340+J341+J331</f>
        <v>4680773.82947084</v>
      </c>
      <c r="K368" s="75" t="n">
        <f aca="false">K354+K340+K341+K331</f>
        <v>4667305.79797462</v>
      </c>
      <c r="L368" s="75" t="n">
        <f aca="false">L354+L340+L341+L331</f>
        <v>4657470.9358934</v>
      </c>
      <c r="M368" s="75" t="n">
        <f aca="false">M354+M340+M341+M331</f>
        <v>4651158.64847255</v>
      </c>
      <c r="N368" s="75" t="n">
        <f aca="false">N354+N340+N341+N331</f>
        <v>4631441.06323232</v>
      </c>
      <c r="O368" s="75" t="n">
        <f aca="false">O354+O340+O341+O331</f>
        <v>4620871.3128058</v>
      </c>
      <c r="P368" s="75" t="n">
        <f aca="false">P354+P340+P341+P331</f>
        <v>4613071.72263158</v>
      </c>
      <c r="Q368" s="75" t="n">
        <f aca="false">Q354+Q340+Q341+Q331</f>
        <v>4625692.03256129</v>
      </c>
      <c r="R368" s="75" t="n">
        <f aca="false">R354+R340+R341+R331</f>
        <v>4639077.15793578</v>
      </c>
      <c r="S368" s="75" t="n">
        <f aca="false">S354+S340+S341+S331</f>
        <v>4655684.83429671</v>
      </c>
      <c r="T368" s="75" t="n">
        <f aca="false">T354+T340+T341+T331</f>
        <v>4675417.60667919</v>
      </c>
      <c r="U368" s="75" t="n">
        <f aca="false">U354+U340+U341+U331</f>
        <v>4693058.17842478</v>
      </c>
      <c r="V368" s="75" t="n">
        <f aca="false">V354+V340+V341+V331</f>
        <v>4708200.96315675</v>
      </c>
      <c r="W368" s="75" t="n">
        <f aca="false">W354+W340+W341+W331</f>
        <v>4725593.27669273</v>
      </c>
      <c r="X368" s="75" t="n">
        <f aca="false">X354+X340+X341+X331</f>
        <v>4745167.61077765</v>
      </c>
      <c r="Y368" s="75" t="n">
        <f aca="false">Y354+Y340+Y341+Y331</f>
        <v>4766858.61742061</v>
      </c>
      <c r="Z368" s="75" t="n">
        <f aca="false">Z354+Z340+Z341+Z331</f>
        <v>4776357.52797164</v>
      </c>
      <c r="AA368" s="75" t="n">
        <f aca="false">AA354+AA340+AA341+AA331</f>
        <v>4794564.89066101</v>
      </c>
      <c r="AB368" s="75" t="n">
        <f aca="false">AB354+AB340+AB341+AB331</f>
        <v>4814115.50140121</v>
      </c>
      <c r="AC368" s="75" t="n">
        <f aca="false">AC354+AC340+AC341+AC331</f>
        <v>4850206.56498295</v>
      </c>
      <c r="AD368" s="75" t="n">
        <f aca="false">AD354+AD340+AD341+AD331</f>
        <v>4885212.59961333</v>
      </c>
      <c r="AE368" s="75" t="n">
        <f aca="false">AE354+AE340+AE341+AE331</f>
        <v>4922218.74247012</v>
      </c>
      <c r="AF368" s="75" t="n">
        <f aca="false">AF354+AF340+AF341+AF331</f>
        <v>4961165.46675676</v>
      </c>
      <c r="AG368" s="75" t="n">
        <f aca="false">AG354+AG340+AG341+AG331</f>
        <v>5001995.15053415</v>
      </c>
      <c r="AH368" s="75" t="n">
        <f aca="false">AH354+AH340+AH341+AH331</f>
        <v>5044652.01576525</v>
      </c>
      <c r="AI368" s="75" t="n">
        <f aca="false">AI354+AI340+AI341+AI331</f>
        <v>5089082.06931021</v>
      </c>
      <c r="AJ368" s="75" t="n">
        <f aca="false">AJ354+AJ340+AJ341+AJ331</f>
        <v>5135233.04580965</v>
      </c>
      <c r="AK368" s="75" t="n">
        <f aca="false">AK354+AK340+AK341+AK331</f>
        <v>5183054.35239571</v>
      </c>
      <c r="AL368" s="75" t="n">
        <f aca="false">AL354+AL340+AL341+AL331</f>
        <v>5217803.60830342</v>
      </c>
    </row>
    <row r="369" customFormat="false" ht="15" hidden="false" customHeight="false" outlineLevel="0" collapsed="false">
      <c r="A369" s="6" t="s">
        <v>96</v>
      </c>
      <c r="C369" s="69" t="n">
        <f aca="false">C342+C337</f>
        <v>3007951.1139864</v>
      </c>
      <c r="D369" s="69" t="n">
        <f aca="false">D342+D337</f>
        <v>2983970.46507975</v>
      </c>
      <c r="E369" s="69" t="n">
        <f aca="false">E342+E337</f>
        <v>2961451.76005269</v>
      </c>
      <c r="F369" s="69" t="n">
        <f aca="false">F342+F337</f>
        <v>2937712.00152597</v>
      </c>
      <c r="G369" s="69" t="n">
        <f aca="false">G342+G337</f>
        <v>2914003.82317649</v>
      </c>
      <c r="H369" s="69" t="n">
        <f aca="false">H342+H337</f>
        <v>2890326.21443857</v>
      </c>
      <c r="I369" s="69" t="n">
        <f aca="false">I342+I337</f>
        <v>2866678.19708465</v>
      </c>
      <c r="J369" s="69" t="n">
        <f aca="false">J342+J337</f>
        <v>2843058.82419043</v>
      </c>
      <c r="K369" s="69" t="n">
        <f aca="false">K342+K337</f>
        <v>2818599.50921782</v>
      </c>
      <c r="L369" s="69" t="n">
        <f aca="false">L342+L337</f>
        <v>2794122.89232433</v>
      </c>
      <c r="M369" s="69" t="n">
        <f aca="false">M342+M337</f>
        <v>2769629.52717143</v>
      </c>
      <c r="N369" s="69" t="n">
        <f aca="false">N342+N337</f>
        <v>2742664.83348983</v>
      </c>
      <c r="O369" s="69" t="n">
        <f aca="false">O342+O337</f>
        <v>2718527.93687382</v>
      </c>
      <c r="P369" s="69" t="n">
        <f aca="false">P342+P337</f>
        <v>2693930.09747562</v>
      </c>
      <c r="Q369" s="69" t="n">
        <f aca="false">Q342+Q337</f>
        <v>2671978.3907425</v>
      </c>
      <c r="R369" s="69" t="n">
        <f aca="false">R342+R337</f>
        <v>2647452.5956556</v>
      </c>
      <c r="S369" s="69" t="n">
        <f aca="false">S342+S337</f>
        <v>2622911.62601149</v>
      </c>
      <c r="T369" s="69" t="n">
        <f aca="false">T342+T337</f>
        <v>2598355.96739599</v>
      </c>
      <c r="U369" s="69" t="n">
        <f aca="false">U342+U337</f>
        <v>2573786.08985618</v>
      </c>
      <c r="V369" s="69" t="n">
        <f aca="false">V342+V337</f>
        <v>2549202.44839765</v>
      </c>
      <c r="W369" s="69" t="n">
        <f aca="false">W342+W337</f>
        <v>2524605.48346579</v>
      </c>
      <c r="X369" s="69" t="n">
        <f aca="false">X342+X337</f>
        <v>2499995.62141175</v>
      </c>
      <c r="Y369" s="69" t="n">
        <f aca="false">Y342+Y337</f>
        <v>2475373.27494344</v>
      </c>
      <c r="Z369" s="69" t="n">
        <f aca="false">Z342+Z337</f>
        <v>2447683.69766256</v>
      </c>
      <c r="AA369" s="69" t="n">
        <f aca="false">AA342+AA337</f>
        <v>2423567.13307921</v>
      </c>
      <c r="AB369" s="69" t="n">
        <f aca="false">AB342+AB337</f>
        <v>2398864.13429842</v>
      </c>
      <c r="AC369" s="69" t="n">
        <f aca="false">AC342+AC337</f>
        <v>2377388.25192728</v>
      </c>
      <c r="AD369" s="69" t="n">
        <f aca="false">AD342+AD337</f>
        <v>2352753.65820735</v>
      </c>
      <c r="AE369" s="69" t="n">
        <f aca="false">AE342+AE337</f>
        <v>2328107.37148646</v>
      </c>
      <c r="AF369" s="69" t="n">
        <f aca="false">AF342+AF337</f>
        <v>2303449.76594064</v>
      </c>
      <c r="AG369" s="69" t="n">
        <f aca="false">AG342+AG337</f>
        <v>2278781.20377228</v>
      </c>
      <c r="AH369" s="69" t="n">
        <f aca="false">AH342+AH337</f>
        <v>2254102.03559331</v>
      </c>
      <c r="AI369" s="69" t="n">
        <f aca="false">AI342+AI337</f>
        <v>2229412.60079607</v>
      </c>
      <c r="AJ369" s="69" t="n">
        <f aca="false">AJ342+AJ337</f>
        <v>2204713.22791234</v>
      </c>
      <c r="AK369" s="69" t="n">
        <f aca="false">AK342+AK337</f>
        <v>2180004.23496089</v>
      </c>
      <c r="AL369" s="69" t="n">
        <f aca="false">AL342+AL337</f>
        <v>2151744.32719543</v>
      </c>
    </row>
    <row r="370" customFormat="false" ht="15" hidden="false" customHeight="false" outlineLevel="0" collapsed="false">
      <c r="A370" s="6" t="s">
        <v>99</v>
      </c>
      <c r="C370" s="69" t="n">
        <f aca="false">C366+C367</f>
        <v>2025134.18032743</v>
      </c>
      <c r="D370" s="69" t="n">
        <f aca="false">D366+D367</f>
        <v>1959037.1483718</v>
      </c>
      <c r="E370" s="69" t="n">
        <f aca="false">E366+E367</f>
        <v>1912036.14849723</v>
      </c>
      <c r="F370" s="69" t="n">
        <f aca="false">F366+F367</f>
        <v>1875474.587925</v>
      </c>
      <c r="G370" s="69" t="n">
        <f aca="false">G366+G367</f>
        <v>1849562.04584743</v>
      </c>
      <c r="H370" s="69" t="n">
        <f aca="false">H366+H367</f>
        <v>1834501.39492265</v>
      </c>
      <c r="I370" s="69" t="n">
        <f aca="false">I366+I367</f>
        <v>1830489.01588377</v>
      </c>
      <c r="J370" s="69" t="n">
        <f aca="false">J366+J367</f>
        <v>1837715.00528041</v>
      </c>
      <c r="K370" s="69" t="n">
        <f aca="false">K366+K367</f>
        <v>1848706.28875681</v>
      </c>
      <c r="L370" s="69" t="n">
        <f aca="false">L366+L367</f>
        <v>1863348.04356907</v>
      </c>
      <c r="M370" s="69" t="n">
        <f aca="false">M366+M367</f>
        <v>1881529.12130111</v>
      </c>
      <c r="N370" s="69" t="n">
        <f aca="false">N366+N367</f>
        <v>1888776.22974249</v>
      </c>
      <c r="O370" s="69" t="n">
        <f aca="false">O366+O367</f>
        <v>1902343.37593198</v>
      </c>
      <c r="P370" s="69" t="n">
        <f aca="false">P366+P367</f>
        <v>1919141.62515596</v>
      </c>
      <c r="Q370" s="69" t="n">
        <f aca="false">Q366+Q367</f>
        <v>1953713.64181879</v>
      </c>
      <c r="R370" s="69" t="n">
        <f aca="false">R366+R367</f>
        <v>1991624.56228017</v>
      </c>
      <c r="S370" s="69" t="n">
        <f aca="false">S366+S367</f>
        <v>2032773.20828522</v>
      </c>
      <c r="T370" s="69" t="n">
        <f aca="false">T366+T367</f>
        <v>2077061.6392832</v>
      </c>
      <c r="U370" s="69" t="n">
        <f aca="false">U366+U367</f>
        <v>2119272.08856859</v>
      </c>
      <c r="V370" s="69" t="n">
        <f aca="false">V366+V367</f>
        <v>2158998.5147591</v>
      </c>
      <c r="W370" s="69" t="n">
        <f aca="false">W366+W367</f>
        <v>2200987.79322694</v>
      </c>
      <c r="X370" s="69" t="n">
        <f aca="false">X366+X367</f>
        <v>2245171.9893659</v>
      </c>
      <c r="Y370" s="69" t="n">
        <f aca="false">Y366+Y367</f>
        <v>2291485.34247717</v>
      </c>
      <c r="Z370" s="69" t="n">
        <f aca="false">Z366+Z367</f>
        <v>2328673.83030909</v>
      </c>
      <c r="AA370" s="69" t="n">
        <f aca="false">AA366+AA367</f>
        <v>2370997.7575818</v>
      </c>
      <c r="AB370" s="69" t="n">
        <f aca="false">AB366+AB367</f>
        <v>2415251.36710278</v>
      </c>
      <c r="AC370" s="69" t="n">
        <f aca="false">AC366+AC367</f>
        <v>2472818.31305566</v>
      </c>
      <c r="AD370" s="69" t="n">
        <f aca="false">AD366+AD367</f>
        <v>2532458.94140597</v>
      </c>
      <c r="AE370" s="69" t="n">
        <f aca="false">AE366+AE367</f>
        <v>2594111.37098366</v>
      </c>
      <c r="AF370" s="69" t="n">
        <f aca="false">AF366+AF367</f>
        <v>2657715.70081612</v>
      </c>
      <c r="AG370" s="69" t="n">
        <f aca="false">AG366+AG367</f>
        <v>2723213.94676186</v>
      </c>
      <c r="AH370" s="69" t="n">
        <f aca="false">AH366+AH367</f>
        <v>2790549.98017193</v>
      </c>
      <c r="AI370" s="69" t="n">
        <f aca="false">AI366+AI367</f>
        <v>2859669.46851414</v>
      </c>
      <c r="AJ370" s="69" t="n">
        <f aca="false">AJ366+AJ367</f>
        <v>2930519.81789731</v>
      </c>
      <c r="AK370" s="69" t="n">
        <f aca="false">AK366+AK367</f>
        <v>3003050.11743482</v>
      </c>
      <c r="AL370" s="69" t="n">
        <f aca="false">AL366+AL367</f>
        <v>3066059.281108</v>
      </c>
    </row>
    <row r="371" customFormat="false" ht="15" hidden="false" customHeight="false" outlineLevel="0" collapsed="false">
      <c r="A371" s="4" t="s">
        <v>100</v>
      </c>
      <c r="C371" s="75" t="n">
        <f aca="false">C369+C370</f>
        <v>5033085.29431383</v>
      </c>
      <c r="D371" s="75" t="n">
        <f aca="false">D369+D370</f>
        <v>4943007.61345154</v>
      </c>
      <c r="E371" s="75" t="n">
        <f aca="false">E369+E370</f>
        <v>4873487.90854992</v>
      </c>
      <c r="F371" s="75" t="n">
        <f aca="false">F369+F370</f>
        <v>4813186.58945097</v>
      </c>
      <c r="G371" s="75" t="n">
        <f aca="false">G369+G370</f>
        <v>4763565.86902392</v>
      </c>
      <c r="H371" s="75" t="n">
        <f aca="false">H369+H370</f>
        <v>4724827.60936122</v>
      </c>
      <c r="I371" s="75" t="n">
        <f aca="false">I369+I370</f>
        <v>4697167.21296842</v>
      </c>
      <c r="J371" s="75" t="n">
        <f aca="false">J369+J370</f>
        <v>4680773.82947084</v>
      </c>
      <c r="K371" s="75" t="n">
        <f aca="false">K369+K370</f>
        <v>4667305.79797462</v>
      </c>
      <c r="L371" s="75" t="n">
        <f aca="false">L369+L370</f>
        <v>4657470.9358934</v>
      </c>
      <c r="M371" s="75" t="n">
        <f aca="false">M369+M370</f>
        <v>4651158.64847254</v>
      </c>
      <c r="N371" s="75" t="n">
        <f aca="false">N369+N370</f>
        <v>4631441.06323232</v>
      </c>
      <c r="O371" s="75" t="n">
        <f aca="false">O369+O370</f>
        <v>4620871.3128058</v>
      </c>
      <c r="P371" s="75" t="n">
        <f aca="false">P369+P370</f>
        <v>4613071.72263158</v>
      </c>
      <c r="Q371" s="75" t="n">
        <f aca="false">Q369+Q370</f>
        <v>4625692.03256129</v>
      </c>
      <c r="R371" s="75" t="n">
        <f aca="false">R369+R370</f>
        <v>4639077.15793578</v>
      </c>
      <c r="S371" s="75" t="n">
        <f aca="false">S369+S370</f>
        <v>4655684.83429671</v>
      </c>
      <c r="T371" s="75" t="n">
        <f aca="false">T369+T370</f>
        <v>4675417.60667919</v>
      </c>
      <c r="U371" s="75" t="n">
        <f aca="false">U369+U370</f>
        <v>4693058.17842478</v>
      </c>
      <c r="V371" s="75" t="n">
        <f aca="false">V369+V370</f>
        <v>4708200.96315675</v>
      </c>
      <c r="W371" s="75" t="n">
        <f aca="false">W369+W370</f>
        <v>4725593.27669273</v>
      </c>
      <c r="X371" s="75" t="n">
        <f aca="false">X369+X370</f>
        <v>4745167.61077765</v>
      </c>
      <c r="Y371" s="75" t="n">
        <f aca="false">Y369+Y370</f>
        <v>4766858.61742061</v>
      </c>
      <c r="Z371" s="75" t="n">
        <f aca="false">Z369+Z370</f>
        <v>4776357.52797164</v>
      </c>
      <c r="AA371" s="75" t="n">
        <f aca="false">AA369+AA370</f>
        <v>4794564.89066101</v>
      </c>
      <c r="AB371" s="75" t="n">
        <f aca="false">AB369+AB370</f>
        <v>4814115.5014012</v>
      </c>
      <c r="AC371" s="75" t="n">
        <f aca="false">AC369+AC370</f>
        <v>4850206.56498295</v>
      </c>
      <c r="AD371" s="75" t="n">
        <f aca="false">AD369+AD370</f>
        <v>4885212.59961333</v>
      </c>
      <c r="AE371" s="75" t="n">
        <f aca="false">AE369+AE370</f>
        <v>4922218.74247012</v>
      </c>
      <c r="AF371" s="75" t="n">
        <f aca="false">AF369+AF370</f>
        <v>4961165.46675676</v>
      </c>
      <c r="AG371" s="75" t="n">
        <f aca="false">AG369+AG370</f>
        <v>5001995.15053415</v>
      </c>
      <c r="AH371" s="75" t="n">
        <f aca="false">AH369+AH370</f>
        <v>5044652.01576525</v>
      </c>
      <c r="AI371" s="75" t="n">
        <f aca="false">AI369+AI370</f>
        <v>5089082.06931021</v>
      </c>
      <c r="AJ371" s="75" t="n">
        <f aca="false">AJ369+AJ370</f>
        <v>5135233.04580965</v>
      </c>
      <c r="AK371" s="75" t="n">
        <f aca="false">AK369+AK370</f>
        <v>5183054.35239571</v>
      </c>
      <c r="AL371" s="75" t="n">
        <f aca="false">AL369+AL370</f>
        <v>5217803.60830342</v>
      </c>
    </row>
    <row r="372" customFormat="false" ht="15" hidden="false" customHeight="false" outlineLevel="0" collapsed="false">
      <c r="A372" s="6" t="s">
        <v>441</v>
      </c>
      <c r="C372" s="69" t="n">
        <f aca="false">C368-C371</f>
        <v>0</v>
      </c>
      <c r="D372" s="69" t="n">
        <f aca="false">D368-D371</f>
        <v>0</v>
      </c>
      <c r="E372" s="69" t="n">
        <f aca="false">E368-E371</f>
        <v>0</v>
      </c>
      <c r="F372" s="69" t="n">
        <f aca="false">F368-F371</f>
        <v>0</v>
      </c>
      <c r="G372" s="69" t="n">
        <f aca="false">G368-G371</f>
        <v>0</v>
      </c>
      <c r="H372" s="69" t="n">
        <f aca="false">H368-H371</f>
        <v>0</v>
      </c>
      <c r="I372" s="69" t="n">
        <f aca="false">I368-I371</f>
        <v>0</v>
      </c>
      <c r="J372" s="69" t="n">
        <f aca="false">J368-J371</f>
        <v>0</v>
      </c>
      <c r="K372" s="69" t="n">
        <f aca="false">K368-K371</f>
        <v>0</v>
      </c>
      <c r="L372" s="69" t="n">
        <f aca="false">L368-L371</f>
        <v>0</v>
      </c>
      <c r="M372" s="69" t="n">
        <f aca="false">M368-M371</f>
        <v>0</v>
      </c>
      <c r="N372" s="69" t="n">
        <f aca="false">N368-N371</f>
        <v>0</v>
      </c>
      <c r="O372" s="69" t="n">
        <f aca="false">O368-O371</f>
        <v>0</v>
      </c>
      <c r="P372" s="69" t="n">
        <f aca="false">P368-P371</f>
        <v>0</v>
      </c>
      <c r="Q372" s="69" t="n">
        <f aca="false">Q368-Q371</f>
        <v>0</v>
      </c>
      <c r="R372" s="69" t="n">
        <f aca="false">R368-R371</f>
        <v>0</v>
      </c>
      <c r="S372" s="69" t="n">
        <f aca="false">S368-S371</f>
        <v>0</v>
      </c>
      <c r="T372" s="69" t="n">
        <f aca="false">T368-T371</f>
        <v>0</v>
      </c>
      <c r="U372" s="69" t="n">
        <f aca="false">U368-U371</f>
        <v>0</v>
      </c>
      <c r="V372" s="69" t="n">
        <f aca="false">V368-V371</f>
        <v>0</v>
      </c>
      <c r="W372" s="69" t="n">
        <f aca="false">W368-W371</f>
        <v>0</v>
      </c>
      <c r="X372" s="69" t="n">
        <f aca="false">X368-X371</f>
        <v>0</v>
      </c>
      <c r="Y372" s="69" t="n">
        <f aca="false">Y368-Y371</f>
        <v>0</v>
      </c>
      <c r="Z372" s="69" t="n">
        <f aca="false">Z368-Z371</f>
        <v>0</v>
      </c>
      <c r="AA372" s="69" t="n">
        <f aca="false">AA368-AA371</f>
        <v>0</v>
      </c>
      <c r="AB372" s="69" t="n">
        <f aca="false">AB368-AB371</f>
        <v>0</v>
      </c>
      <c r="AC372" s="69" t="n">
        <f aca="false">AC368-AC371</f>
        <v>0</v>
      </c>
      <c r="AD372" s="69" t="n">
        <f aca="false">AD368-AD371</f>
        <v>0</v>
      </c>
      <c r="AE372" s="69" t="n">
        <f aca="false">AE368-AE371</f>
        <v>0</v>
      </c>
      <c r="AF372" s="69" t="n">
        <f aca="false">AF368-AF371</f>
        <v>0</v>
      </c>
      <c r="AG372" s="69" t="n">
        <f aca="false">AG368-AG371</f>
        <v>0</v>
      </c>
      <c r="AH372" s="69" t="n">
        <f aca="false">AH368-AH371</f>
        <v>0</v>
      </c>
      <c r="AI372" s="69" t="n">
        <f aca="false">AI368-AI371</f>
        <v>0</v>
      </c>
      <c r="AJ372" s="69" t="n">
        <f aca="false">AJ368-AJ371</f>
        <v>0</v>
      </c>
      <c r="AK372" s="69" t="n">
        <f aca="false">AK368-AK371</f>
        <v>0</v>
      </c>
      <c r="AL372" s="69" t="n">
        <f aca="false">AL368-AL371</f>
        <v>0</v>
      </c>
    </row>
    <row r="374" customFormat="false" ht="15.75" hidden="false" customHeight="true" outlineLevel="0" collapsed="false">
      <c r="A374" s="7" t="s">
        <v>443</v>
      </c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</row>
    <row r="375" customFormat="false" ht="15" hidden="false" customHeight="false" outlineLevel="0" collapsed="false">
      <c r="A375" s="6" t="s">
        <v>444</v>
      </c>
      <c r="C375" s="117" t="n">
        <f aca="false">Inputs!$D$55*(1+Inputs!$D$57)^(C$261-1)*MAX(0,MIN(1,C$260*1-Inputs!$D$58+1))/1</f>
        <v>1</v>
      </c>
      <c r="D375" s="117" t="n">
        <f aca="false">Inputs!$D$55*(1+Inputs!$D$57)^(D$261-1)*MAX(0,MIN(1,D$260*1-Inputs!$D$58+1))/1</f>
        <v>1</v>
      </c>
      <c r="E375" s="117" t="n">
        <f aca="false">Inputs!$D$55*(1+Inputs!$D$57)^(E$261-1)*MAX(0,MIN(1,E$260*1-Inputs!$D$58+1))/1</f>
        <v>1</v>
      </c>
      <c r="F375" s="117" t="n">
        <f aca="false">Inputs!$D$55*(1+Inputs!$D$57)^(F$261-1)*MAX(0,MIN(1,F$260*1-Inputs!$D$58+1))/1</f>
        <v>1</v>
      </c>
      <c r="G375" s="117" t="n">
        <f aca="false">Inputs!$D$55*(1+Inputs!$D$57)^(G$261-1)*MAX(0,MIN(1,G$260*1-Inputs!$D$58+1))/1</f>
        <v>1</v>
      </c>
      <c r="H375" s="117" t="n">
        <f aca="false">Inputs!$D$55*(1+Inputs!$D$57)^(H$261-1)*MAX(0,MIN(1,H$260*1-Inputs!$D$58+1))/1</f>
        <v>1</v>
      </c>
      <c r="I375" s="117" t="n">
        <f aca="false">Inputs!$D$55*(1+Inputs!$D$57)^(I$261-1)*MAX(0,MIN(1,I$260*1-Inputs!$D$58+1))/1</f>
        <v>1</v>
      </c>
      <c r="J375" s="117" t="n">
        <f aca="false">Inputs!$D$55*(1+Inputs!$D$57)^(J$261-1)*MAX(0,MIN(1,J$260*1-Inputs!$D$58+1))/1</f>
        <v>1</v>
      </c>
      <c r="K375" s="117" t="n">
        <f aca="false">Inputs!$D$55*(1+Inputs!$D$57)^(K$261-1)*MAX(0,MIN(1,K$260*1-Inputs!$D$58+1))/1</f>
        <v>1</v>
      </c>
      <c r="L375" s="117" t="n">
        <f aca="false">Inputs!$D$55*(1+Inputs!$D$57)^(L$261-1)*MAX(0,MIN(1,L$260*1-Inputs!$D$58+1))/1</f>
        <v>1</v>
      </c>
      <c r="M375" s="117" t="n">
        <f aca="false">Inputs!$D$55*(1+Inputs!$D$57)^(M$261-1)*MAX(0,MIN(1,M$260*1-Inputs!$D$58+1))/1</f>
        <v>1</v>
      </c>
      <c r="N375" s="117" t="n">
        <f aca="false">Inputs!$D$55*(1+Inputs!$D$57)^(N$261-1)*MAX(0,MIN(1,N$260*1-Inputs!$D$58+1))/1</f>
        <v>1</v>
      </c>
      <c r="O375" s="117" t="n">
        <f aca="false">Inputs!$D$55*(1+Inputs!$D$57)^(O$261-1)*MAX(0,MIN(1,O$260*1-Inputs!$D$58+1))/1</f>
        <v>1</v>
      </c>
      <c r="P375" s="117" t="n">
        <f aca="false">Inputs!$D$55*(1+Inputs!$D$57)^(P$261-1)*MAX(0,MIN(1,P$260*1-Inputs!$D$58+1))/1</f>
        <v>1</v>
      </c>
      <c r="Q375" s="117" t="n">
        <f aca="false">Inputs!$D$55*(1+Inputs!$D$57)^(Q$261-1)*MAX(0,MIN(1,Q$260*1-Inputs!$D$58+1))/1</f>
        <v>1</v>
      </c>
      <c r="R375" s="117" t="n">
        <f aca="false">Inputs!$D$55*(1+Inputs!$D$57)^(R$261-1)*MAX(0,MIN(1,R$260*1-Inputs!$D$58+1))/1</f>
        <v>1</v>
      </c>
      <c r="S375" s="117" t="n">
        <f aca="false">Inputs!$D$55*(1+Inputs!$D$57)^(S$261-1)*MAX(0,MIN(1,S$260*1-Inputs!$D$58+1))/1</f>
        <v>1</v>
      </c>
      <c r="T375" s="117" t="n">
        <f aca="false">Inputs!$D$55*(1+Inputs!$D$57)^(T$261-1)*MAX(0,MIN(1,T$260*1-Inputs!$D$58+1))/1</f>
        <v>1</v>
      </c>
      <c r="U375" s="117" t="n">
        <f aca="false">Inputs!$D$55*(1+Inputs!$D$57)^(U$261-1)*MAX(0,MIN(1,U$260*1-Inputs!$D$58+1))/1</f>
        <v>1</v>
      </c>
      <c r="V375" s="117" t="n">
        <f aca="false">Inputs!$D$55*(1+Inputs!$D$57)^(V$261-1)*MAX(0,MIN(1,V$260*1-Inputs!$D$58+1))/1</f>
        <v>1</v>
      </c>
      <c r="W375" s="117" t="n">
        <f aca="false">Inputs!$D$55*(1+Inputs!$D$57)^(W$261-1)*MAX(0,MIN(1,W$260*1-Inputs!$D$58+1))/1</f>
        <v>1</v>
      </c>
      <c r="X375" s="117" t="n">
        <f aca="false">Inputs!$D$55*(1+Inputs!$D$57)^(X$261-1)*MAX(0,MIN(1,X$260*1-Inputs!$D$58+1))/1</f>
        <v>1</v>
      </c>
      <c r="Y375" s="117" t="n">
        <f aca="false">Inputs!$D$55*(1+Inputs!$D$57)^(Y$261-1)*MAX(0,MIN(1,Y$260*1-Inputs!$D$58+1))/1</f>
        <v>1</v>
      </c>
      <c r="Z375" s="117" t="n">
        <f aca="false">Inputs!$D$55*(1+Inputs!$D$57)^(Z$261-1)*MAX(0,MIN(1,Z$260*1-Inputs!$D$58+1))/1</f>
        <v>1</v>
      </c>
      <c r="AA375" s="117" t="n">
        <f aca="false">Inputs!$D$55*(1+Inputs!$D$57)^(AA$261-1)*MAX(0,MIN(1,AA$260*1-Inputs!$D$58+1))/1</f>
        <v>1</v>
      </c>
      <c r="AB375" s="117" t="n">
        <f aca="false">Inputs!$D$55*(1+Inputs!$D$57)^(AB$261-1)*MAX(0,MIN(1,AB$260*1-Inputs!$D$58+1))/1</f>
        <v>1</v>
      </c>
      <c r="AC375" s="117" t="n">
        <f aca="false">Inputs!$D$55*(1+Inputs!$D$57)^(AC$261-1)*MAX(0,MIN(1,AC$260*1-Inputs!$D$58+1))/1</f>
        <v>1</v>
      </c>
      <c r="AD375" s="117" t="n">
        <f aca="false">Inputs!$D$55*(1+Inputs!$D$57)^(AD$261-1)*MAX(0,MIN(1,AD$260*1-Inputs!$D$58+1))/1</f>
        <v>1</v>
      </c>
      <c r="AE375" s="117" t="n">
        <f aca="false">Inputs!$D$55*(1+Inputs!$D$57)^(AE$261-1)*MAX(0,MIN(1,AE$260*1-Inputs!$D$58+1))/1</f>
        <v>1</v>
      </c>
      <c r="AF375" s="117" t="n">
        <f aca="false">Inputs!$D$55*(1+Inputs!$D$57)^(AF$261-1)*MAX(0,MIN(1,AF$260*1-Inputs!$D$58+1))/1</f>
        <v>1</v>
      </c>
      <c r="AG375" s="117" t="n">
        <f aca="false">Inputs!$D$55*(1+Inputs!$D$57)^(AG$261-1)*MAX(0,MIN(1,AG$260*1-Inputs!$D$58+1))/1</f>
        <v>1</v>
      </c>
      <c r="AH375" s="117" t="n">
        <f aca="false">Inputs!$D$55*(1+Inputs!$D$57)^(AH$261-1)*MAX(0,MIN(1,AH$260*1-Inputs!$D$58+1))/1</f>
        <v>1</v>
      </c>
      <c r="AI375" s="117" t="n">
        <f aca="false">Inputs!$D$55*(1+Inputs!$D$57)^(AI$261-1)*MAX(0,MIN(1,AI$260*1-Inputs!$D$58+1))/1</f>
        <v>1</v>
      </c>
      <c r="AJ375" s="117" t="n">
        <f aca="false">Inputs!$D$55*(1+Inputs!$D$57)^(AJ$261-1)*MAX(0,MIN(1,AJ$260*1-Inputs!$D$58+1))/1</f>
        <v>1</v>
      </c>
      <c r="AK375" s="117" t="n">
        <f aca="false">Inputs!$D$55*(1+Inputs!$D$57)^(AK$261-1)*MAX(0,MIN(1,AK$260*1-Inputs!$D$58+1))/1</f>
        <v>1</v>
      </c>
      <c r="AL375" s="117" t="n">
        <f aca="false">Inputs!$D$55*(1+Inputs!$D$57)^(AL$261-1)*MAX(0,MIN(1,AL$260*1-Inputs!$D$58+1))/1</f>
        <v>1</v>
      </c>
    </row>
    <row r="376" customFormat="false" ht="15" hidden="false" customHeight="false" outlineLevel="0" collapsed="false">
      <c r="A376" s="6" t="s">
        <v>445</v>
      </c>
      <c r="C376" s="117" t="n">
        <f aca="false">Inputs!$D$59*(1+Inputs!$D$61)^(C$261-1)*MAX(0,MIN(1,C$260*1-Inputs!$D$62+1))/1</f>
        <v>10</v>
      </c>
      <c r="D376" s="117" t="n">
        <f aca="false">Inputs!$D$59*(1+Inputs!$D$61)^(D$261-1)*MAX(0,MIN(1,D$260*1-Inputs!$D$62+1))/1</f>
        <v>10</v>
      </c>
      <c r="E376" s="117" t="n">
        <f aca="false">Inputs!$D$59*(1+Inputs!$D$61)^(E$261-1)*MAX(0,MIN(1,E$260*1-Inputs!$D$62+1))/1</f>
        <v>10</v>
      </c>
      <c r="F376" s="117" t="n">
        <f aca="false">Inputs!$D$59*(1+Inputs!$D$61)^(F$261-1)*MAX(0,MIN(1,F$260*1-Inputs!$D$62+1))/1</f>
        <v>10</v>
      </c>
      <c r="G376" s="117" t="n">
        <f aca="false">Inputs!$D$59*(1+Inputs!$D$61)^(G$261-1)*MAX(0,MIN(1,G$260*1-Inputs!$D$62+1))/1</f>
        <v>10</v>
      </c>
      <c r="H376" s="117" t="n">
        <f aca="false">Inputs!$D$59*(1+Inputs!$D$61)^(H$261-1)*MAX(0,MIN(1,H$260*1-Inputs!$D$62+1))/1</f>
        <v>10</v>
      </c>
      <c r="I376" s="117" t="n">
        <f aca="false">Inputs!$D$59*(1+Inputs!$D$61)^(I$261-1)*MAX(0,MIN(1,I$260*1-Inputs!$D$62+1))/1</f>
        <v>10</v>
      </c>
      <c r="J376" s="117" t="n">
        <f aca="false">Inputs!$D$59*(1+Inputs!$D$61)^(J$261-1)*MAX(0,MIN(1,J$260*1-Inputs!$D$62+1))/1</f>
        <v>10</v>
      </c>
      <c r="K376" s="117" t="n">
        <f aca="false">Inputs!$D$59*(1+Inputs!$D$61)^(K$261-1)*MAX(0,MIN(1,K$260*1-Inputs!$D$62+1))/1</f>
        <v>10</v>
      </c>
      <c r="L376" s="117" t="n">
        <f aca="false">Inputs!$D$59*(1+Inputs!$D$61)^(L$261-1)*MAX(0,MIN(1,L$260*1-Inputs!$D$62+1))/1</f>
        <v>10</v>
      </c>
      <c r="M376" s="117" t="n">
        <f aca="false">Inputs!$D$59*(1+Inputs!$D$61)^(M$261-1)*MAX(0,MIN(1,M$260*1-Inputs!$D$62+1))/1</f>
        <v>10</v>
      </c>
      <c r="N376" s="117" t="n">
        <f aca="false">Inputs!$D$59*(1+Inputs!$D$61)^(N$261-1)*MAX(0,MIN(1,N$260*1-Inputs!$D$62+1))/1</f>
        <v>10</v>
      </c>
      <c r="O376" s="117" t="n">
        <f aca="false">Inputs!$D$59*(1+Inputs!$D$61)^(O$261-1)*MAX(0,MIN(1,O$260*1-Inputs!$D$62+1))/1</f>
        <v>10</v>
      </c>
      <c r="P376" s="117" t="n">
        <f aca="false">Inputs!$D$59*(1+Inputs!$D$61)^(P$261-1)*MAX(0,MIN(1,P$260*1-Inputs!$D$62+1))/1</f>
        <v>10</v>
      </c>
      <c r="Q376" s="117" t="n">
        <f aca="false">Inputs!$D$59*(1+Inputs!$D$61)^(Q$261-1)*MAX(0,MIN(1,Q$260*1-Inputs!$D$62+1))/1</f>
        <v>10</v>
      </c>
      <c r="R376" s="117" t="n">
        <f aca="false">Inputs!$D$59*(1+Inputs!$D$61)^(R$261-1)*MAX(0,MIN(1,R$260*1-Inputs!$D$62+1))/1</f>
        <v>10</v>
      </c>
      <c r="S376" s="117" t="n">
        <f aca="false">Inputs!$D$59*(1+Inputs!$D$61)^(S$261-1)*MAX(0,MIN(1,S$260*1-Inputs!$D$62+1))/1</f>
        <v>10</v>
      </c>
      <c r="T376" s="117" t="n">
        <f aca="false">Inputs!$D$59*(1+Inputs!$D$61)^(T$261-1)*MAX(0,MIN(1,T$260*1-Inputs!$D$62+1))/1</f>
        <v>10</v>
      </c>
      <c r="U376" s="117" t="n">
        <f aca="false">Inputs!$D$59*(1+Inputs!$D$61)^(U$261-1)*MAX(0,MIN(1,U$260*1-Inputs!$D$62+1))/1</f>
        <v>10</v>
      </c>
      <c r="V376" s="117" t="n">
        <f aca="false">Inputs!$D$59*(1+Inputs!$D$61)^(V$261-1)*MAX(0,MIN(1,V$260*1-Inputs!$D$62+1))/1</f>
        <v>10</v>
      </c>
      <c r="W376" s="117" t="n">
        <f aca="false">Inputs!$D$59*(1+Inputs!$D$61)^(W$261-1)*MAX(0,MIN(1,W$260*1-Inputs!$D$62+1))/1</f>
        <v>10</v>
      </c>
      <c r="X376" s="117" t="n">
        <f aca="false">Inputs!$D$59*(1+Inputs!$D$61)^(X$261-1)*MAX(0,MIN(1,X$260*1-Inputs!$D$62+1))/1</f>
        <v>10</v>
      </c>
      <c r="Y376" s="117" t="n">
        <f aca="false">Inputs!$D$59*(1+Inputs!$D$61)^(Y$261-1)*MAX(0,MIN(1,Y$260*1-Inputs!$D$62+1))/1</f>
        <v>10</v>
      </c>
      <c r="Z376" s="117" t="n">
        <f aca="false">Inputs!$D$59*(1+Inputs!$D$61)^(Z$261-1)*MAX(0,MIN(1,Z$260*1-Inputs!$D$62+1))/1</f>
        <v>10</v>
      </c>
      <c r="AA376" s="117" t="n">
        <f aca="false">Inputs!$D$59*(1+Inputs!$D$61)^(AA$261-1)*MAX(0,MIN(1,AA$260*1-Inputs!$D$62+1))/1</f>
        <v>10</v>
      </c>
      <c r="AB376" s="117" t="n">
        <f aca="false">Inputs!$D$59*(1+Inputs!$D$61)^(AB$261-1)*MAX(0,MIN(1,AB$260*1-Inputs!$D$62+1))/1</f>
        <v>10</v>
      </c>
      <c r="AC376" s="117" t="n">
        <f aca="false">Inputs!$D$59*(1+Inputs!$D$61)^(AC$261-1)*MAX(0,MIN(1,AC$260*1-Inputs!$D$62+1))/1</f>
        <v>10</v>
      </c>
      <c r="AD376" s="117" t="n">
        <f aca="false">Inputs!$D$59*(1+Inputs!$D$61)^(AD$261-1)*MAX(0,MIN(1,AD$260*1-Inputs!$D$62+1))/1</f>
        <v>10</v>
      </c>
      <c r="AE376" s="117" t="n">
        <f aca="false">Inputs!$D$59*(1+Inputs!$D$61)^(AE$261-1)*MAX(0,MIN(1,AE$260*1-Inputs!$D$62+1))/1</f>
        <v>10</v>
      </c>
      <c r="AF376" s="117" t="n">
        <f aca="false">Inputs!$D$59*(1+Inputs!$D$61)^(AF$261-1)*MAX(0,MIN(1,AF$260*1-Inputs!$D$62+1))/1</f>
        <v>10</v>
      </c>
      <c r="AG376" s="117" t="n">
        <f aca="false">Inputs!$D$59*(1+Inputs!$D$61)^(AG$261-1)*MAX(0,MIN(1,AG$260*1-Inputs!$D$62+1))/1</f>
        <v>10</v>
      </c>
      <c r="AH376" s="117" t="n">
        <f aca="false">Inputs!$D$59*(1+Inputs!$D$61)^(AH$261-1)*MAX(0,MIN(1,AH$260*1-Inputs!$D$62+1))/1</f>
        <v>10</v>
      </c>
      <c r="AI376" s="117" t="n">
        <f aca="false">Inputs!$D$59*(1+Inputs!$D$61)^(AI$261-1)*MAX(0,MIN(1,AI$260*1-Inputs!$D$62+1))/1</f>
        <v>10</v>
      </c>
      <c r="AJ376" s="117" t="n">
        <f aca="false">Inputs!$D$59*(1+Inputs!$D$61)^(AJ$261-1)*MAX(0,MIN(1,AJ$260*1-Inputs!$D$62+1))/1</f>
        <v>10</v>
      </c>
      <c r="AK376" s="117" t="n">
        <f aca="false">Inputs!$D$59*(1+Inputs!$D$61)^(AK$261-1)*MAX(0,MIN(1,AK$260*1-Inputs!$D$62+1))/1</f>
        <v>10</v>
      </c>
      <c r="AL376" s="117" t="n">
        <f aca="false">Inputs!$D$59*(1+Inputs!$D$61)^(AL$261-1)*MAX(0,MIN(1,AL$260*1-Inputs!$D$62+1))/1</f>
        <v>10</v>
      </c>
    </row>
    <row r="377" customFormat="false" ht="15" hidden="false" customHeight="false" outlineLevel="0" collapsed="false">
      <c r="A377" s="113" t="s">
        <v>446</v>
      </c>
      <c r="C377" s="123" t="n">
        <f aca="false">C375+C376</f>
        <v>11</v>
      </c>
      <c r="D377" s="123" t="n">
        <f aca="false">D375+D376</f>
        <v>11</v>
      </c>
      <c r="E377" s="123" t="n">
        <f aca="false">E375+E376</f>
        <v>11</v>
      </c>
      <c r="F377" s="123" t="n">
        <f aca="false">F375+F376</f>
        <v>11</v>
      </c>
      <c r="G377" s="123" t="n">
        <f aca="false">G375+G376</f>
        <v>11</v>
      </c>
      <c r="H377" s="123" t="n">
        <f aca="false">H375+H376</f>
        <v>11</v>
      </c>
      <c r="I377" s="123" t="n">
        <f aca="false">I375+I376</f>
        <v>11</v>
      </c>
      <c r="J377" s="123" t="n">
        <f aca="false">J375+J376</f>
        <v>11</v>
      </c>
      <c r="K377" s="123" t="n">
        <f aca="false">K375+K376</f>
        <v>11</v>
      </c>
      <c r="L377" s="123" t="n">
        <f aca="false">L375+L376</f>
        <v>11</v>
      </c>
      <c r="M377" s="123" t="n">
        <f aca="false">M375+M376</f>
        <v>11</v>
      </c>
      <c r="N377" s="123" t="n">
        <f aca="false">N375+N376</f>
        <v>11</v>
      </c>
      <c r="O377" s="123" t="n">
        <f aca="false">O375+O376</f>
        <v>11</v>
      </c>
      <c r="P377" s="123" t="n">
        <f aca="false">P375+P376</f>
        <v>11</v>
      </c>
      <c r="Q377" s="123" t="n">
        <f aca="false">Q375+Q376</f>
        <v>11</v>
      </c>
      <c r="R377" s="123" t="n">
        <f aca="false">R375+R376</f>
        <v>11</v>
      </c>
      <c r="S377" s="123" t="n">
        <f aca="false">S375+S376</f>
        <v>11</v>
      </c>
      <c r="T377" s="123" t="n">
        <f aca="false">T375+T376</f>
        <v>11</v>
      </c>
      <c r="U377" s="123" t="n">
        <f aca="false">U375+U376</f>
        <v>11</v>
      </c>
      <c r="V377" s="123" t="n">
        <f aca="false">V375+V376</f>
        <v>11</v>
      </c>
      <c r="W377" s="123" t="n">
        <f aca="false">W375+W376</f>
        <v>11</v>
      </c>
      <c r="X377" s="123" t="n">
        <f aca="false">X375+X376</f>
        <v>11</v>
      </c>
      <c r="Y377" s="123" t="n">
        <f aca="false">Y375+Y376</f>
        <v>11</v>
      </c>
      <c r="Z377" s="123" t="n">
        <f aca="false">Z375+Z376</f>
        <v>11</v>
      </c>
      <c r="AA377" s="123" t="n">
        <f aca="false">AA375+AA376</f>
        <v>11</v>
      </c>
      <c r="AB377" s="123" t="n">
        <f aca="false">AB375+AB376</f>
        <v>11</v>
      </c>
      <c r="AC377" s="123" t="n">
        <f aca="false">AC375+AC376</f>
        <v>11</v>
      </c>
      <c r="AD377" s="123" t="n">
        <f aca="false">AD375+AD376</f>
        <v>11</v>
      </c>
      <c r="AE377" s="123" t="n">
        <f aca="false">AE375+AE376</f>
        <v>11</v>
      </c>
      <c r="AF377" s="123" t="n">
        <f aca="false">AF375+AF376</f>
        <v>11</v>
      </c>
      <c r="AG377" s="123" t="n">
        <f aca="false">AG375+AG376</f>
        <v>11</v>
      </c>
      <c r="AH377" s="123" t="n">
        <f aca="false">AH375+AH376</f>
        <v>11</v>
      </c>
      <c r="AI377" s="123" t="n">
        <f aca="false">AI375+AI376</f>
        <v>11</v>
      </c>
      <c r="AJ377" s="123" t="n">
        <f aca="false">AJ375+AJ376</f>
        <v>11</v>
      </c>
      <c r="AK377" s="123" t="n">
        <f aca="false">AK375+AK376</f>
        <v>11</v>
      </c>
      <c r="AL377" s="123" t="n">
        <f aca="false">AL375+AL376</f>
        <v>11</v>
      </c>
    </row>
    <row r="379" customFormat="false" ht="15.75" hidden="false" customHeight="true" outlineLevel="0" collapsed="false">
      <c r="A379" s="7" t="s">
        <v>447</v>
      </c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</row>
    <row r="380" customFormat="false" ht="15" hidden="false" customHeight="false" outlineLevel="0" collapsed="false">
      <c r="A380" s="6" t="s">
        <v>448</v>
      </c>
      <c r="C380" s="69" t="n">
        <f aca="false">-C375*Inputs!$D$56/12*1*(1+Inputs!$D$63)*(1+Inputs!$D$64)^(C$261-1)</f>
        <v>-6720</v>
      </c>
      <c r="D380" s="69" t="n">
        <f aca="false">-D375*Inputs!$D$56/12*1*(1+Inputs!$D$63)*(1+Inputs!$D$64)^(D$261-1)</f>
        <v>-6720</v>
      </c>
      <c r="E380" s="69" t="n">
        <f aca="false">-E375*Inputs!$D$56/12*1*(1+Inputs!$D$63)*(1+Inputs!$D$64)^(E$261-1)</f>
        <v>-6720</v>
      </c>
      <c r="F380" s="69" t="n">
        <f aca="false">-F375*Inputs!$D$56/12*1*(1+Inputs!$D$63)*(1+Inputs!$D$64)^(F$261-1)</f>
        <v>-6720</v>
      </c>
      <c r="G380" s="69" t="n">
        <f aca="false">-G375*Inputs!$D$56/12*1*(1+Inputs!$D$63)*(1+Inputs!$D$64)^(G$261-1)</f>
        <v>-6720</v>
      </c>
      <c r="H380" s="69" t="n">
        <f aca="false">-H375*Inputs!$D$56/12*1*(1+Inputs!$D$63)*(1+Inputs!$D$64)^(H$261-1)</f>
        <v>-6720</v>
      </c>
      <c r="I380" s="69" t="n">
        <f aca="false">-I375*Inputs!$D$56/12*1*(1+Inputs!$D$63)*(1+Inputs!$D$64)^(I$261-1)</f>
        <v>-6720</v>
      </c>
      <c r="J380" s="69" t="n">
        <f aca="false">-J375*Inputs!$D$56/12*1*(1+Inputs!$D$63)*(1+Inputs!$D$64)^(J$261-1)</f>
        <v>-6720</v>
      </c>
      <c r="K380" s="69" t="n">
        <f aca="false">-K375*Inputs!$D$56/12*1*(1+Inputs!$D$63)*(1+Inputs!$D$64)^(K$261-1)</f>
        <v>-6720</v>
      </c>
      <c r="L380" s="69" t="n">
        <f aca="false">-L375*Inputs!$D$56/12*1*(1+Inputs!$D$63)*(1+Inputs!$D$64)^(L$261-1)</f>
        <v>-6720</v>
      </c>
      <c r="M380" s="69" t="n">
        <f aca="false">-M375*Inputs!$D$56/12*1*(1+Inputs!$D$63)*(1+Inputs!$D$64)^(M$261-1)</f>
        <v>-6720</v>
      </c>
      <c r="N380" s="69" t="n">
        <f aca="false">-N375*Inputs!$D$56/12*1*(1+Inputs!$D$63)*(1+Inputs!$D$64)^(N$261-1)</f>
        <v>-6720</v>
      </c>
      <c r="O380" s="69" t="n">
        <f aca="false">-O375*Inputs!$D$56/12*1*(1+Inputs!$D$63)*(1+Inputs!$D$64)^(O$261-1)</f>
        <v>-6921.6</v>
      </c>
      <c r="P380" s="69" t="n">
        <f aca="false">-P375*Inputs!$D$56/12*1*(1+Inputs!$D$63)*(1+Inputs!$D$64)^(P$261-1)</f>
        <v>-6921.6</v>
      </c>
      <c r="Q380" s="69" t="n">
        <f aca="false">-Q375*Inputs!$D$56/12*1*(1+Inputs!$D$63)*(1+Inputs!$D$64)^(Q$261-1)</f>
        <v>-6921.6</v>
      </c>
      <c r="R380" s="69" t="n">
        <f aca="false">-R375*Inputs!$D$56/12*1*(1+Inputs!$D$63)*(1+Inputs!$D$64)^(R$261-1)</f>
        <v>-6921.6</v>
      </c>
      <c r="S380" s="69" t="n">
        <f aca="false">-S375*Inputs!$D$56/12*1*(1+Inputs!$D$63)*(1+Inputs!$D$64)^(S$261-1)</f>
        <v>-6921.6</v>
      </c>
      <c r="T380" s="69" t="n">
        <f aca="false">-T375*Inputs!$D$56/12*1*(1+Inputs!$D$63)*(1+Inputs!$D$64)^(T$261-1)</f>
        <v>-6921.6</v>
      </c>
      <c r="U380" s="69" t="n">
        <f aca="false">-U375*Inputs!$D$56/12*1*(1+Inputs!$D$63)*(1+Inputs!$D$64)^(U$261-1)</f>
        <v>-6921.6</v>
      </c>
      <c r="V380" s="69" t="n">
        <f aca="false">-V375*Inputs!$D$56/12*1*(1+Inputs!$D$63)*(1+Inputs!$D$64)^(V$261-1)</f>
        <v>-6921.6</v>
      </c>
      <c r="W380" s="69" t="n">
        <f aca="false">-W375*Inputs!$D$56/12*1*(1+Inputs!$D$63)*(1+Inputs!$D$64)^(W$261-1)</f>
        <v>-6921.6</v>
      </c>
      <c r="X380" s="69" t="n">
        <f aca="false">-X375*Inputs!$D$56/12*1*(1+Inputs!$D$63)*(1+Inputs!$D$64)^(X$261-1)</f>
        <v>-6921.6</v>
      </c>
      <c r="Y380" s="69" t="n">
        <f aca="false">-Y375*Inputs!$D$56/12*1*(1+Inputs!$D$63)*(1+Inputs!$D$64)^(Y$261-1)</f>
        <v>-6921.6</v>
      </c>
      <c r="Z380" s="69" t="n">
        <f aca="false">-Z375*Inputs!$D$56/12*1*(1+Inputs!$D$63)*(1+Inputs!$D$64)^(Z$261-1)</f>
        <v>-6921.6</v>
      </c>
      <c r="AA380" s="69" t="n">
        <f aca="false">-AA375*Inputs!$D$56/12*1*(1+Inputs!$D$63)*(1+Inputs!$D$64)^(AA$261-1)</f>
        <v>-7129.248</v>
      </c>
      <c r="AB380" s="69" t="n">
        <f aca="false">-AB375*Inputs!$D$56/12*1*(1+Inputs!$D$63)*(1+Inputs!$D$64)^(AB$261-1)</f>
        <v>-7129.248</v>
      </c>
      <c r="AC380" s="69" t="n">
        <f aca="false">-AC375*Inputs!$D$56/12*1*(1+Inputs!$D$63)*(1+Inputs!$D$64)^(AC$261-1)</f>
        <v>-7129.248</v>
      </c>
      <c r="AD380" s="69" t="n">
        <f aca="false">-AD375*Inputs!$D$56/12*1*(1+Inputs!$D$63)*(1+Inputs!$D$64)^(AD$261-1)</f>
        <v>-7129.248</v>
      </c>
      <c r="AE380" s="69" t="n">
        <f aca="false">-AE375*Inputs!$D$56/12*1*(1+Inputs!$D$63)*(1+Inputs!$D$64)^(AE$261-1)</f>
        <v>-7129.248</v>
      </c>
      <c r="AF380" s="69" t="n">
        <f aca="false">-AF375*Inputs!$D$56/12*1*(1+Inputs!$D$63)*(1+Inputs!$D$64)^(AF$261-1)</f>
        <v>-7129.248</v>
      </c>
      <c r="AG380" s="69" t="n">
        <f aca="false">-AG375*Inputs!$D$56/12*1*(1+Inputs!$D$63)*(1+Inputs!$D$64)^(AG$261-1)</f>
        <v>-7129.248</v>
      </c>
      <c r="AH380" s="69" t="n">
        <f aca="false">-AH375*Inputs!$D$56/12*1*(1+Inputs!$D$63)*(1+Inputs!$D$64)^(AH$261-1)</f>
        <v>-7129.248</v>
      </c>
      <c r="AI380" s="69" t="n">
        <f aca="false">-AI375*Inputs!$D$56/12*1*(1+Inputs!$D$63)*(1+Inputs!$D$64)^(AI$261-1)</f>
        <v>-7129.248</v>
      </c>
      <c r="AJ380" s="69" t="n">
        <f aca="false">-AJ375*Inputs!$D$56/12*1*(1+Inputs!$D$63)*(1+Inputs!$D$64)^(AJ$261-1)</f>
        <v>-7129.248</v>
      </c>
      <c r="AK380" s="69" t="n">
        <f aca="false">-AK375*Inputs!$D$56/12*1*(1+Inputs!$D$63)*(1+Inputs!$D$64)^(AK$261-1)</f>
        <v>-7129.248</v>
      </c>
      <c r="AL380" s="69" t="n">
        <f aca="false">-AL375*Inputs!$D$56/12*1*(1+Inputs!$D$63)*(1+Inputs!$D$64)^(AL$261-1)</f>
        <v>-7129.248</v>
      </c>
    </row>
    <row r="381" customFormat="false" ht="15" hidden="false" customHeight="false" outlineLevel="0" collapsed="false">
      <c r="A381" s="6" t="s">
        <v>449</v>
      </c>
      <c r="C381" s="69" t="n">
        <f aca="false">-C376*Inputs!$D$60/12*1*(1+Inputs!$D$63)*(1+Inputs!$D$64)^(C$261-1)</f>
        <v>-29866.6666666667</v>
      </c>
      <c r="D381" s="69" t="n">
        <f aca="false">-D376*Inputs!$D$60/12*1*(1+Inputs!$D$63)*(1+Inputs!$D$64)^(D$261-1)</f>
        <v>-29866.6666666667</v>
      </c>
      <c r="E381" s="69" t="n">
        <f aca="false">-E376*Inputs!$D$60/12*1*(1+Inputs!$D$63)*(1+Inputs!$D$64)^(E$261-1)</f>
        <v>-29866.6666666667</v>
      </c>
      <c r="F381" s="69" t="n">
        <f aca="false">-F376*Inputs!$D$60/12*1*(1+Inputs!$D$63)*(1+Inputs!$D$64)^(F$261-1)</f>
        <v>-29866.6666666667</v>
      </c>
      <c r="G381" s="69" t="n">
        <f aca="false">-G376*Inputs!$D$60/12*1*(1+Inputs!$D$63)*(1+Inputs!$D$64)^(G$261-1)</f>
        <v>-29866.6666666667</v>
      </c>
      <c r="H381" s="69" t="n">
        <f aca="false">-H376*Inputs!$D$60/12*1*(1+Inputs!$D$63)*(1+Inputs!$D$64)^(H$261-1)</f>
        <v>-29866.6666666667</v>
      </c>
      <c r="I381" s="69" t="n">
        <f aca="false">-I376*Inputs!$D$60/12*1*(1+Inputs!$D$63)*(1+Inputs!$D$64)^(I$261-1)</f>
        <v>-29866.6666666667</v>
      </c>
      <c r="J381" s="69" t="n">
        <f aca="false">-J376*Inputs!$D$60/12*1*(1+Inputs!$D$63)*(1+Inputs!$D$64)^(J$261-1)</f>
        <v>-29866.6666666667</v>
      </c>
      <c r="K381" s="69" t="n">
        <f aca="false">-K376*Inputs!$D$60/12*1*(1+Inputs!$D$63)*(1+Inputs!$D$64)^(K$261-1)</f>
        <v>-29866.6666666667</v>
      </c>
      <c r="L381" s="69" t="n">
        <f aca="false">-L376*Inputs!$D$60/12*1*(1+Inputs!$D$63)*(1+Inputs!$D$64)^(L$261-1)</f>
        <v>-29866.6666666667</v>
      </c>
      <c r="M381" s="69" t="n">
        <f aca="false">-M376*Inputs!$D$60/12*1*(1+Inputs!$D$63)*(1+Inputs!$D$64)^(M$261-1)</f>
        <v>-29866.6666666667</v>
      </c>
      <c r="N381" s="69" t="n">
        <f aca="false">-N376*Inputs!$D$60/12*1*(1+Inputs!$D$63)*(1+Inputs!$D$64)^(N$261-1)</f>
        <v>-29866.6666666667</v>
      </c>
      <c r="O381" s="69" t="n">
        <f aca="false">-O376*Inputs!$D$60/12*1*(1+Inputs!$D$63)*(1+Inputs!$D$64)^(O$261-1)</f>
        <v>-30762.6666666667</v>
      </c>
      <c r="P381" s="69" t="n">
        <f aca="false">-P376*Inputs!$D$60/12*1*(1+Inputs!$D$63)*(1+Inputs!$D$64)^(P$261-1)</f>
        <v>-30762.6666666667</v>
      </c>
      <c r="Q381" s="69" t="n">
        <f aca="false">-Q376*Inputs!$D$60/12*1*(1+Inputs!$D$63)*(1+Inputs!$D$64)^(Q$261-1)</f>
        <v>-30762.6666666667</v>
      </c>
      <c r="R381" s="69" t="n">
        <f aca="false">-R376*Inputs!$D$60/12*1*(1+Inputs!$D$63)*(1+Inputs!$D$64)^(R$261-1)</f>
        <v>-30762.6666666667</v>
      </c>
      <c r="S381" s="69" t="n">
        <f aca="false">-S376*Inputs!$D$60/12*1*(1+Inputs!$D$63)*(1+Inputs!$D$64)^(S$261-1)</f>
        <v>-30762.6666666667</v>
      </c>
      <c r="T381" s="69" t="n">
        <f aca="false">-T376*Inputs!$D$60/12*1*(1+Inputs!$D$63)*(1+Inputs!$D$64)^(T$261-1)</f>
        <v>-30762.6666666667</v>
      </c>
      <c r="U381" s="69" t="n">
        <f aca="false">-U376*Inputs!$D$60/12*1*(1+Inputs!$D$63)*(1+Inputs!$D$64)^(U$261-1)</f>
        <v>-30762.6666666667</v>
      </c>
      <c r="V381" s="69" t="n">
        <f aca="false">-V376*Inputs!$D$60/12*1*(1+Inputs!$D$63)*(1+Inputs!$D$64)^(V$261-1)</f>
        <v>-30762.6666666667</v>
      </c>
      <c r="W381" s="69" t="n">
        <f aca="false">-W376*Inputs!$D$60/12*1*(1+Inputs!$D$63)*(1+Inputs!$D$64)^(W$261-1)</f>
        <v>-30762.6666666667</v>
      </c>
      <c r="X381" s="69" t="n">
        <f aca="false">-X376*Inputs!$D$60/12*1*(1+Inputs!$D$63)*(1+Inputs!$D$64)^(X$261-1)</f>
        <v>-30762.6666666667</v>
      </c>
      <c r="Y381" s="69" t="n">
        <f aca="false">-Y376*Inputs!$D$60/12*1*(1+Inputs!$D$63)*(1+Inputs!$D$64)^(Y$261-1)</f>
        <v>-30762.6666666667</v>
      </c>
      <c r="Z381" s="69" t="n">
        <f aca="false">-Z376*Inputs!$D$60/12*1*(1+Inputs!$D$63)*(1+Inputs!$D$64)^(Z$261-1)</f>
        <v>-30762.6666666667</v>
      </c>
      <c r="AA381" s="69" t="n">
        <f aca="false">-AA376*Inputs!$D$60/12*1*(1+Inputs!$D$63)*(1+Inputs!$D$64)^(AA$261-1)</f>
        <v>-31685.5466666667</v>
      </c>
      <c r="AB381" s="69" t="n">
        <f aca="false">-AB376*Inputs!$D$60/12*1*(1+Inputs!$D$63)*(1+Inputs!$D$64)^(AB$261-1)</f>
        <v>-31685.5466666667</v>
      </c>
      <c r="AC381" s="69" t="n">
        <f aca="false">-AC376*Inputs!$D$60/12*1*(1+Inputs!$D$63)*(1+Inputs!$D$64)^(AC$261-1)</f>
        <v>-31685.5466666667</v>
      </c>
      <c r="AD381" s="69" t="n">
        <f aca="false">-AD376*Inputs!$D$60/12*1*(1+Inputs!$D$63)*(1+Inputs!$D$64)^(AD$261-1)</f>
        <v>-31685.5466666667</v>
      </c>
      <c r="AE381" s="69" t="n">
        <f aca="false">-AE376*Inputs!$D$60/12*1*(1+Inputs!$D$63)*(1+Inputs!$D$64)^(AE$261-1)</f>
        <v>-31685.5466666667</v>
      </c>
      <c r="AF381" s="69" t="n">
        <f aca="false">-AF376*Inputs!$D$60/12*1*(1+Inputs!$D$63)*(1+Inputs!$D$64)^(AF$261-1)</f>
        <v>-31685.5466666667</v>
      </c>
      <c r="AG381" s="69" t="n">
        <f aca="false">-AG376*Inputs!$D$60/12*1*(1+Inputs!$D$63)*(1+Inputs!$D$64)^(AG$261-1)</f>
        <v>-31685.5466666667</v>
      </c>
      <c r="AH381" s="69" t="n">
        <f aca="false">-AH376*Inputs!$D$60/12*1*(1+Inputs!$D$63)*(1+Inputs!$D$64)^(AH$261-1)</f>
        <v>-31685.5466666667</v>
      </c>
      <c r="AI381" s="69" t="n">
        <f aca="false">-AI376*Inputs!$D$60/12*1*(1+Inputs!$D$63)*(1+Inputs!$D$64)^(AI$261-1)</f>
        <v>-31685.5466666667</v>
      </c>
      <c r="AJ381" s="69" t="n">
        <f aca="false">-AJ376*Inputs!$D$60/12*1*(1+Inputs!$D$63)*(1+Inputs!$D$64)^(AJ$261-1)</f>
        <v>-31685.5466666667</v>
      </c>
      <c r="AK381" s="69" t="n">
        <f aca="false">-AK376*Inputs!$D$60/12*1*(1+Inputs!$D$63)*(1+Inputs!$D$64)^(AK$261-1)</f>
        <v>-31685.5466666667</v>
      </c>
      <c r="AL381" s="69" t="n">
        <f aca="false">-AL376*Inputs!$D$60/12*1*(1+Inputs!$D$63)*(1+Inputs!$D$64)^(AL$261-1)</f>
        <v>-31685.5466666667</v>
      </c>
    </row>
    <row r="382" customFormat="false" ht="15" hidden="false" customHeight="false" outlineLevel="0" collapsed="false">
      <c r="A382" s="113" t="s">
        <v>450</v>
      </c>
      <c r="C382" s="70" t="n">
        <f aca="false">C380+C381</f>
        <v>-36586.6666666667</v>
      </c>
      <c r="D382" s="70" t="n">
        <f aca="false">D380+D381</f>
        <v>-36586.6666666667</v>
      </c>
      <c r="E382" s="70" t="n">
        <f aca="false">E380+E381</f>
        <v>-36586.6666666667</v>
      </c>
      <c r="F382" s="70" t="n">
        <f aca="false">F380+F381</f>
        <v>-36586.6666666667</v>
      </c>
      <c r="G382" s="70" t="n">
        <f aca="false">G380+G381</f>
        <v>-36586.6666666667</v>
      </c>
      <c r="H382" s="70" t="n">
        <f aca="false">H380+H381</f>
        <v>-36586.6666666667</v>
      </c>
      <c r="I382" s="70" t="n">
        <f aca="false">I380+I381</f>
        <v>-36586.6666666667</v>
      </c>
      <c r="J382" s="70" t="n">
        <f aca="false">J380+J381</f>
        <v>-36586.6666666667</v>
      </c>
      <c r="K382" s="70" t="n">
        <f aca="false">K380+K381</f>
        <v>-36586.6666666667</v>
      </c>
      <c r="L382" s="70" t="n">
        <f aca="false">L380+L381</f>
        <v>-36586.6666666667</v>
      </c>
      <c r="M382" s="70" t="n">
        <f aca="false">M380+M381</f>
        <v>-36586.6666666667</v>
      </c>
      <c r="N382" s="70" t="n">
        <f aca="false">N380+N381</f>
        <v>-36586.6666666667</v>
      </c>
      <c r="O382" s="70" t="n">
        <f aca="false">O380+O381</f>
        <v>-37684.2666666667</v>
      </c>
      <c r="P382" s="70" t="n">
        <f aca="false">P380+P381</f>
        <v>-37684.2666666667</v>
      </c>
      <c r="Q382" s="70" t="n">
        <f aca="false">Q380+Q381</f>
        <v>-37684.2666666667</v>
      </c>
      <c r="R382" s="70" t="n">
        <f aca="false">R380+R381</f>
        <v>-37684.2666666667</v>
      </c>
      <c r="S382" s="70" t="n">
        <f aca="false">S380+S381</f>
        <v>-37684.2666666667</v>
      </c>
      <c r="T382" s="70" t="n">
        <f aca="false">T380+T381</f>
        <v>-37684.2666666667</v>
      </c>
      <c r="U382" s="70" t="n">
        <f aca="false">U380+U381</f>
        <v>-37684.2666666667</v>
      </c>
      <c r="V382" s="70" t="n">
        <f aca="false">V380+V381</f>
        <v>-37684.2666666667</v>
      </c>
      <c r="W382" s="70" t="n">
        <f aca="false">W380+W381</f>
        <v>-37684.2666666667</v>
      </c>
      <c r="X382" s="70" t="n">
        <f aca="false">X380+X381</f>
        <v>-37684.2666666667</v>
      </c>
      <c r="Y382" s="70" t="n">
        <f aca="false">Y380+Y381</f>
        <v>-37684.2666666667</v>
      </c>
      <c r="Z382" s="70" t="n">
        <f aca="false">Z380+Z381</f>
        <v>-37684.2666666667</v>
      </c>
      <c r="AA382" s="70" t="n">
        <f aca="false">AA380+AA381</f>
        <v>-38814.7946666667</v>
      </c>
      <c r="AB382" s="70" t="n">
        <f aca="false">AB380+AB381</f>
        <v>-38814.7946666667</v>
      </c>
      <c r="AC382" s="70" t="n">
        <f aca="false">AC380+AC381</f>
        <v>-38814.7946666667</v>
      </c>
      <c r="AD382" s="70" t="n">
        <f aca="false">AD380+AD381</f>
        <v>-38814.7946666667</v>
      </c>
      <c r="AE382" s="70" t="n">
        <f aca="false">AE380+AE381</f>
        <v>-38814.7946666667</v>
      </c>
      <c r="AF382" s="70" t="n">
        <f aca="false">AF380+AF381</f>
        <v>-38814.7946666667</v>
      </c>
      <c r="AG382" s="70" t="n">
        <f aca="false">AG380+AG381</f>
        <v>-38814.7946666667</v>
      </c>
      <c r="AH382" s="70" t="n">
        <f aca="false">AH380+AH381</f>
        <v>-38814.7946666667</v>
      </c>
      <c r="AI382" s="70" t="n">
        <f aca="false">AI380+AI381</f>
        <v>-38814.7946666667</v>
      </c>
      <c r="AJ382" s="70" t="n">
        <f aca="false">AJ380+AJ381</f>
        <v>-38814.7946666667</v>
      </c>
      <c r="AK382" s="70" t="n">
        <f aca="false">AK380+AK381</f>
        <v>-38814.7946666667</v>
      </c>
      <c r="AL382" s="70" t="n">
        <f aca="false">AL380+AL381</f>
        <v>-38814.7946666667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456</v>
      </c>
    </row>
    <row r="3" customFormat="false" ht="15" hidden="false" customHeight="false" outlineLevel="0" collapsed="false">
      <c r="A3" s="33" t="s">
        <v>457</v>
      </c>
      <c r="B3" s="33" t="s">
        <v>458</v>
      </c>
      <c r="C3" s="33" t="s">
        <v>459</v>
      </c>
    </row>
    <row r="4" customFormat="false" ht="15" hidden="false" customHeight="false" outlineLevel="0" collapsed="false">
      <c r="A4" s="6" t="s">
        <v>460</v>
      </c>
      <c r="B4" s="4" t="str">
        <f aca="false">IF(ABS(SUM('P&amp;L'!$B$5:$D$5)-SUM(Monthly!$C$37:$AL$37))&lt;0.5,"PASS","FAIL")</f>
        <v>PASS</v>
      </c>
      <c r="C4" s="18" t="s">
        <v>461</v>
      </c>
    </row>
    <row r="5" customFormat="false" ht="15" hidden="false" customHeight="false" outlineLevel="0" collapsed="false">
      <c r="A5" s="6" t="s">
        <v>462</v>
      </c>
      <c r="B5" s="4" t="str">
        <f aca="false">IF(ABS(SUM('P&amp;L'!$B$22:$D$22)-SUM(Monthly!$C$64:$AL$64))&lt;0.5,"PASS","FAIL")</f>
        <v>PASS</v>
      </c>
      <c r="C5" s="18" t="s">
        <v>463</v>
      </c>
    </row>
    <row r="6" customFormat="false" ht="15" hidden="false" customHeight="false" outlineLevel="0" collapsed="false">
      <c r="A6" s="6" t="s">
        <v>464</v>
      </c>
      <c r="B6" s="4" t="str">
        <f aca="false">IF(ABS(SUM(Monthly!$C$55:$AL$55)-SUM(Monthly!$C$46:$AL$46)-SUM(Monthly!$C$54:$AL$54))&lt;0.5,"PASS","FAIL")</f>
        <v>PASS</v>
      </c>
      <c r="C6" s="18" t="s">
        <v>465</v>
      </c>
    </row>
    <row r="7" customFormat="false" ht="15" hidden="false" customHeight="false" outlineLevel="0" collapsed="false">
      <c r="A7" s="6" t="s">
        <v>466</v>
      </c>
      <c r="B7" s="4" t="str">
        <f aca="false">IF(ABS(INDEX(Monthly!$C$98:$AL$98,36)-SUM(Monthly!$C$96:$AL$96))&lt;0.5,"PASS","FAIL")</f>
        <v>PASS</v>
      </c>
      <c r="C7" s="18" t="s">
        <v>467</v>
      </c>
    </row>
    <row r="8" customFormat="false" ht="15" hidden="false" customHeight="false" outlineLevel="0" collapsed="false">
      <c r="A8" s="6" t="s">
        <v>468</v>
      </c>
      <c r="B8" s="4" t="str">
        <f aca="false">IF(AND(ISNUMBER(Dashboard!B4),Dashboard!B4&gt;=1,Dashboard!B4&lt;=3,INT(Dashboard!B4)=Dashboard!B4),"PASS","FAIL")</f>
        <v>PASS</v>
      </c>
      <c r="C8" s="18" t="s">
        <v>469</v>
      </c>
    </row>
    <row r="9" customFormat="false" ht="15" hidden="false" customHeight="false" outlineLevel="0" collapsed="false">
      <c r="A9" s="6" t="s">
        <v>470</v>
      </c>
      <c r="B9" s="4" t="str">
        <f aca="false">IF(AND(Inputs!$B$7&lt;=Inputs!$C$7,Inputs!$C$7&lt;=Inputs!$D$7,Inputs!$B$9&gt;=Inputs!$C$9,Inputs!$C$9&gt;=Inputs!$D$9,Inputs!$B$10&lt;=Inputs!$C$10,Inputs!$C$10&lt;=Inputs!$D$10,Inputs!$B$11&gt;=Inputs!$C$11,Inputs!$C$11&gt;=Inputs!$D$11,Inputs!$B$19&lt;=Inputs!$C$19,Inputs!$C$19&lt;=Inputs!$D$19,Inputs!$B$20&lt;=Inputs!$C$20,Inputs!$C$20&lt;=Inputs!$D$20,Inputs!$B$21&lt;=Inputs!$C$21,Inputs!$C$21&lt;=Inputs!$D$21,Inputs!$B$22&lt;=Inputs!$C$22,Inputs!$C$22&lt;=Inputs!$D$22,Inputs!$B$23&gt;=Inputs!$C$23,Inputs!$C$23&gt;=Inputs!$D$23,Inputs!$B$24&gt;=Inputs!$C$24,Inputs!$C$24&gt;=Inputs!$D$24,Inputs!$B$27&lt;=Inputs!$C$27,Inputs!$C$27&lt;=Inputs!$D$27,Inputs!$B$28&lt;=Inputs!$C$28,Inputs!$C$28&lt;=Inputs!$D$28,Inputs!$B$29&lt;=Inputs!$C$29,Inputs!$C$29&lt;=Inputs!$D$29,Inputs!$B$30&lt;=Inputs!$C$30,Inputs!$C$30&lt;=Inputs!$D$30,Inputs!$B$33&gt;=Inputs!$C$33,Inputs!$C$33&gt;=Inputs!$D$33,Inputs!$B$34&gt;=Inputs!$C$34,Inputs!$C$34&gt;=Inputs!$D$34,Inputs!$B$35&gt;=Inputs!$C$35,Inputs!$C$35&gt;=Inputs!$D$35,Inputs!$B$36&gt;=Inputs!$C$36,Inputs!$C$36&gt;=Inputs!$D$36,Inputs!$B$37&gt;=Inputs!$C$37,Inputs!$C$37&gt;=Inputs!$D$37,Inputs!$B$38&gt;=Inputs!$C$38,Inputs!$C$38&gt;=Inputs!$D$38,Inputs!$B$46&lt;=Inputs!$C$46,Inputs!$C$46&lt;=Inputs!$D$46,Inputs!$B$55&lt;=Inputs!$C$55,Inputs!$C$55&lt;=Inputs!$D$55,Inputs!$B$57&lt;=Inputs!$C$57,Inputs!$C$57&lt;=Inputs!$D$57,Inputs!$B$59&lt;=Inputs!$C$59,Inputs!$C$59&lt;=Inputs!$D$59,Inputs!$B$61&lt;=Inputs!$C$61,Inputs!$C$61&lt;=Inputs!$D$61,Inputs!$B$85&gt;=Inputs!$C$85,Inputs!$C$85&gt;=Inputs!$D$85,Inputs!$B$86&lt;=Inputs!$C$86,Inputs!$C$86&lt;=Inputs!$D$86,Inputs!$B$87&lt;=Inputs!$C$87,Inputs!$C$87&lt;=Inputs!$D$87),"PASS","FAIL")</f>
        <v>PASS</v>
      </c>
      <c r="C9" s="18" t="s">
        <v>471</v>
      </c>
    </row>
    <row r="10" customFormat="false" ht="15" hidden="false" customHeight="false" outlineLevel="0" collapsed="false">
      <c r="A10" s="6" t="s">
        <v>472</v>
      </c>
      <c r="B10" s="4" t="str">
        <f aca="false">IF(AND(MIN('P&amp;L'!$B$8:$D$8)&gt;=0,MAX('P&amp;L'!$B$8:$D$8)&lt;=1),"PASS","FAIL")</f>
        <v>PASS</v>
      </c>
      <c r="C10" s="18" t="s">
        <v>473</v>
      </c>
    </row>
    <row r="11" customFormat="false" ht="15" hidden="false" customHeight="false" outlineLevel="0" collapsed="false">
      <c r="A11" s="6" t="s">
        <v>474</v>
      </c>
      <c r="B11" s="4" t="str">
        <f aca="false">IF(MIN(Monthly!$C$81:$AL$81)&gt;=-0.5,"PASS","FAIL")</f>
        <v>PASS</v>
      </c>
      <c r="C11" s="18" t="s">
        <v>475</v>
      </c>
    </row>
    <row r="12" customFormat="false" ht="15" hidden="false" customHeight="false" outlineLevel="0" collapsed="false">
      <c r="A12" s="6" t="s">
        <v>476</v>
      </c>
      <c r="B12" s="4" t="str">
        <f aca="false">IF(ABS('Break-even'!B18-('Break-even'!B16-'Break-even'!B10))&lt;0.5,"PASS","FAIL")</f>
        <v>PASS</v>
      </c>
      <c r="C12" s="18" t="s">
        <v>477</v>
      </c>
    </row>
    <row r="13" customFormat="false" ht="15" hidden="false" customHeight="false" outlineLevel="0" collapsed="false">
      <c r="A13" s="6" t="s">
        <v>478</v>
      </c>
      <c r="B13" s="4" t="str">
        <f aca="false">IF(ABS(Valuation!B23-NPV(Valuation!B6,Valuation!$B$17:$D$17))&lt;0.5,"PASS","FAIL")</f>
        <v>PASS</v>
      </c>
      <c r="C13" s="18" t="s">
        <v>479</v>
      </c>
    </row>
    <row r="14" customFormat="false" ht="15" hidden="false" customHeight="false" outlineLevel="0" collapsed="false">
      <c r="A14" s="6" t="s">
        <v>480</v>
      </c>
      <c r="B14" s="4" t="str">
        <f aca="false">IF(Valuation!B6&gt;Valuation!B7,"PASS","FAIL")</f>
        <v>PASS</v>
      </c>
      <c r="C14" s="18" t="s">
        <v>481</v>
      </c>
    </row>
    <row r="15" customFormat="false" ht="15" hidden="false" customHeight="false" outlineLevel="0" collapsed="false">
      <c r="A15" s="6" t="s">
        <v>482</v>
      </c>
      <c r="B15" s="4" t="str">
        <f aca="false">IF(ABS(Valuation!D36-Valuation!B27)&lt;0.5,"PASS","FAIL")</f>
        <v>PASS</v>
      </c>
      <c r="C15" s="18" t="s">
        <v>483</v>
      </c>
    </row>
    <row r="16" customFormat="false" ht="15" hidden="false" customHeight="false" outlineLevel="0" collapsed="false">
      <c r="A16" s="6" t="s">
        <v>484</v>
      </c>
      <c r="B16" s="4" t="str">
        <f aca="false">IF(Valuation!$D$17&gt;0,"PASS","WARN")</f>
        <v>PASS</v>
      </c>
      <c r="C16" s="18" t="s">
        <v>485</v>
      </c>
    </row>
    <row r="17" customFormat="false" ht="15" hidden="false" customHeight="false" outlineLevel="0" collapsed="false">
      <c r="A17" s="6" t="s">
        <v>486</v>
      </c>
      <c r="B17" s="4" t="str">
        <f aca="false">IF(ABS('Sources &amp; Uses'!B21-'Sources &amp; Uses'!B28)&lt;0.5,"PASS","FAIL")</f>
        <v>PASS</v>
      </c>
      <c r="C17" s="18" t="s">
        <v>487</v>
      </c>
    </row>
    <row r="18" customFormat="false" ht="15" hidden="false" customHeight="false" outlineLevel="0" collapsed="false">
      <c r="A18" s="6" t="s">
        <v>488</v>
      </c>
      <c r="B18" s="4" t="str">
        <f aca="false">IF(SUMPRODUCT(--ISERROR(Monthly!$C$4:$AL$116))+SUMPRODUCT(--ISERROR(Headcount!$C$4:$AL$15))+SUMPRODUCT(--ISERROR('P&amp;L'!$B$3:$D$23))+SUMPRODUCT(--ISERROR('Cash Flow'!$B$3:$D$18))+SUMPRODUCT(--ISERROR('Balance Sheet'!$B$3:$D$17))+SUMPRODUCT(--ISERROR(KPIs!$B$27:$D$52))+SUMPRODUCT(--ISERROR('Break-even'!$B$26:$D$33))+SUMPRODUCT(--ISERROR(Valuation!$B$14:$D$19))+SUMPRODUCT(--ISERROR('Break-even'!$B$3:$D$35))+SUMPRODUCT(--ISERROR(Valuation!$A$3:$F$40))+SUMPRODUCT(--ISERROR('Sources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Uses'!$B$3:$C$30))+SUMPRODUCT(--ISERROR(Dashboard!$A$6:$W$44))+SUMPRODUCT(--ISERROR(Summary!$A$5:$S$52))+SUMPRODUCT(--ISERROR(KPIs!$A$4:$E$52))+SUMPRODUCT(--ISERROR('Scenario calc'!$C$6:$AL$128))+SUMPRODUCT(--ISERROR('Scenario calc'!$C$133:$AL$255))+SUMPRODUCT(--ISERROR('Scenario calc'!$C$260:$AL$382))+SUMPRODUCT(--ISERROR(Scenarios!$B$5:$E$51))=0,"PASS","FAIL")</f>
        <v>PASS</v>
      </c>
      <c r="C18" s="18" t="s">
        <v>489</v>
      </c>
    </row>
    <row r="19" customFormat="false" ht="15" hidden="false" customHeight="false" outlineLevel="0" collapsed="false">
      <c r="A19" s="6" t="s">
        <v>490</v>
      </c>
      <c r="B19" s="4" t="str">
        <f aca="false">IF(IFERROR(AND(SUMPRODUCT(--(ABS(Summary!$B$7:$D$7-'P&amp;L'!$B$5:$D$5)&gt;0.5))=0,SUMPRODUCT(--(ABS(Summary!$B$19:$D$19-'P&amp;L'!$B$22:$D$22)&gt;0.5))=0,SUMPRODUCT(--(ABS(Summary!$B$31:$D$31-'Cash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491</v>
      </c>
    </row>
    <row r="20" customFormat="false" ht="15" hidden="false" customHeight="false" outlineLevel="0" collapsed="false">
      <c r="A20" s="6" t="s">
        <v>492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493</v>
      </c>
    </row>
    <row r="21" customFormat="false" ht="15" hidden="false" customHeight="false" outlineLevel="0" collapsed="false">
      <c r="A21" s="6" t="s">
        <v>494</v>
      </c>
      <c r="B21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1" s="18" t="s">
        <v>495</v>
      </c>
    </row>
    <row r="22" customFormat="false" ht="15" hidden="false" customHeight="false" outlineLevel="0" collapsed="false">
      <c r="A22" s="6" t="s">
        <v>496</v>
      </c>
      <c r="B22" s="4" t="str">
        <f aca="false">IF(SUMPRODUCT(--(ABS(Monthly!$C$116:$AL$116)&gt;0.5))=0,"PASS","FAIL")</f>
        <v>PASS</v>
      </c>
      <c r="C22" s="18" t="s">
        <v>497</v>
      </c>
    </row>
    <row r="23" customFormat="false" ht="15" hidden="false" customHeight="false" outlineLevel="0" collapsed="false">
      <c r="A23" s="6" t="s">
        <v>498</v>
      </c>
      <c r="B23" s="4" t="str">
        <f aca="false">IF(MIN(Monthly!$C$98:$AL$98)&gt;=0,"PASS","WARN")</f>
        <v>PASS</v>
      </c>
      <c r="C23" s="18" t="s">
        <v>499</v>
      </c>
    </row>
    <row r="25" customFormat="false" ht="15" hidden="false" customHeight="false" outlineLevel="0" collapsed="false">
      <c r="A25" s="72" t="s">
        <v>500</v>
      </c>
      <c r="B25" s="72" t="str">
        <f aca="false">IF(COUNTIF(B4:B23,"FAIL")&gt;0,"FAIL",IF(COUNTIF(B4:B23,"WARN")&gt;0,"PASS WITH WARNINGS","PASS"))</f>
        <v>PASS</v>
      </c>
      <c r="C25" s="124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2026-10-21T14:39:29Z</dcterms:created>
  <dc:creator/>
  <dc:description/>
  <dc:language>en-US</dc:language>
  <cp:lastModifiedBy/>
  <dcterms:modified xsi:type="dcterms:W3CDTF">2026-10-21T14:39:31Z</dcterms:modified>
  <cp:revision>0</cp:revision>
  <dc:subject/>
  <dc:title>Car wash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