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Break-even" sheetId="4" state="visible" r:id="rId6"/>
    <sheet name="Valuation" sheetId="5" state="visible" r:id="rId7"/>
    <sheet name="Sources &amp; Uses" sheetId="6" state="visible" r:id="rId8"/>
    <sheet name="KPIs" sheetId="7" state="visible" r:id="rId9"/>
    <sheet name="Inputs" sheetId="8" state="visible" r:id="rId10"/>
    <sheet name="P&amp;L" sheetId="9" state="visible" r:id="rId11"/>
    <sheet name="Cash Flow" sheetId="10" state="visible" r:id="rId12"/>
    <sheet name="Balance Sheet" sheetId="11" state="visible" r:id="rId13"/>
    <sheet name="Monthly" sheetId="12" state="visible" r:id="rId14"/>
    <sheet name="Headcount" sheetId="13" state="visible" r:id="rId15"/>
    <sheet name="Checks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<sst xmlns="http://schemas.openxmlformats.org/spreadsheetml/2006/main" count="733" uniqueCount="466">
  <si>
    <t xml:space="preserve">Car wash financial model (planning)</t>
  </si>
  <si>
    <t xml:space="preserve">3-year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</si>
  <si>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</si>
  <si>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</si>
  <si>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</si>
  <si>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</si>
  <si>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</si>
  <si>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</si>
  <si>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</si>
  <si>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</si>
  <si>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</si>
  <si>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</si>
  <si>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</si>
  <si>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</si>
  <si>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</si>
  <si>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</si>
  <si>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</si>
  <si>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</si>
  <si>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</si>
  <si>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</si>
  <si>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</si>
  <si>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</si>
  <si>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</si>
  <si>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</si>
  <si>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</si>
  <si>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</si>
  <si>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</si>
  <si>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</si>
  <si>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</si>
  <si>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</si>
  <si>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</si>
  <si>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</si>
  <si>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</si>
  <si>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</si>
  <si>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3</t>
  </si>
  <si>
    <t xml:space="preserve">EBITDA MARGIN · YEAR 3</t>
  </si>
  <si>
    <t xml:space="preserve">NET INCOME · YEAR 3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</si>
  <si>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</si>
  <si>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</si>
  <si>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</si>
  <si>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</si>
  <si>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</si>
  <si>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</si>
  <si>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</si>
  <si>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</si>
  <si>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</si>
  <si>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</si>
  <si>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</si>
  <si>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</si>
  <si>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</si>
  <si>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</si>
  <si>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</si>
  <si>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</si>
  <si>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</si>
  <si>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</si>
  <si>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Car wash metrics</t>
  </si>
  <si>
    <t xml:space="preserve">Unlimited members (year end)</t>
  </si>
  <si>
    <t xml:space="preserve">Washes per operating day</t>
  </si>
  <si>
    <t xml:space="preserve">Tunnel capacity used</t>
  </si>
  <si>
    <t xml:space="preserve">Revenue per wash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</si>
  <si>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</si>
  <si>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</si>
  <si>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</si>
  <si>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</si>
  <si>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</si>
  <si>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</si>
  <si>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</si>
  <si>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</si>
  <si>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</si>
  <si>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</si>
  <si>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</si>
  <si>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</si>
  <si>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</si>
  <si>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</si>
  <si>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</si>
  <si>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</si>
  <si>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</si>
  <si>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</si>
  <si>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</si>
  <si>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</si>
  <si>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</si>
  <si>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</si>
  <si>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</si>
  <si>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</si>
  <si>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</si>
  <si>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</si>
  <si>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</si>
  <si>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</si>
  <si>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</si>
  <si>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</si>
  <si>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</si>
  <si>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</si>
  <si>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</si>
  <si>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</si>
  <si>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</si>
  <si>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</si>
  <si>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</si>
  <si>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</si>
  <si>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</si>
  <si>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</si>
  <si>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</si>
  <si>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</si>
  <si>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</si>
  <si>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Lowest cash point (month #)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</si>
  <si>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</si>
  <si>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</si>
  <si>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</si>
  <si>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</si>
  <si>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</si>
  <si>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</si>
  <si>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</si>
  <si>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</si>
  <si>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</si>
  <si>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</si>
  <si>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</si>
  <si>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</si>
  <si>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</si>
  <si>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</si>
  <si>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</si>
  <si>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</si>
  <si>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</si>
  <si>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</si>
  <si>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</si>
  <si>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</si>
  <si>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</si>
  <si>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</si>
  <si>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</si>
  <si>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</si>
  <si>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</si>
  <si>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</si>
  <si>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</si>
  <si>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</si>
  <si>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</si>
  <si>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</si>
  <si>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</si>
  <si>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</si>
  <si>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</si>
  <si>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</si>
  <si>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</si>
  <si>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</si>
  <si>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</si>
  <si>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</si>
  <si>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</si>
  <si>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</si>
  <si>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</si>
  <si>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</si>
  <si>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</si>
  <si>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</si>
  <si>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</si>
  <si>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3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</si>
  <si>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</si>
  <si>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</si>
  <si>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</si>
  <si>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</si>
  <si>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</si>
  <si>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</si>
  <si>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</si>
  <si>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</si>
  <si>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</si>
  <si>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</si>
  <si>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</si>
  <si>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</si>
  <si>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</si>
  <si>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</si>
  <si>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</si>
  <si>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</si>
  <si>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</si>
  <si>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</si>
  <si>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</si>
  <si>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36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</si>
  <si>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</si>
  <si>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</si>
  <si>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</si>
  <si>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</si>
  <si>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</si>
  <si>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</si>
  <si>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</si>
  <si>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</si>
  <si>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</si>
  <si>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</si>
  <si>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</si>
  <si>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</si>
  <si>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Car wash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</si>
  <si>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</si>
  <si>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</si>
  <si>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</si>
  <si>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</si>
  <si>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</si>
  <si>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</si>
  <si>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</si>
  <si>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</si>
  <si>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</si>
  <si>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</si>
  <si>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</si>
  <si>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</si>
  <si>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</si>
  <si>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</si>
  <si>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</si>
  <si>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Car wash metrics ($'000; per-unit rows in $)</t>
  </si>
  <si>
    <t xml:space="preserve">New members in the year</t>
  </si>
  <si>
    <t xml:space="preserve">Members who cancelled in the year</t>
  </si>
  <si>
    <t xml:space="preserve">Members who cancel per month</t>
  </si>
  <si>
    <t xml:space="preserve">Washes in the year</t>
  </si>
  <si>
    <t xml:space="preserve">Retail cars washed</t>
  </si>
  <si>
    <t xml:space="preserve">Member washes</t>
  </si>
  <si>
    <t xml:space="preserve">Member share of washes</t>
  </si>
  <si>
    <t xml:space="preserve">Tunnel capacity (washes)</t>
  </si>
  <si>
    <t xml:space="preserve">Washes lost to the capacity limit</t>
  </si>
  <si>
    <t xml:space="preserve">Unlimited plan fees</t>
  </si>
  <si>
    <t xml:space="preserve">Retail wash &amp; add-on revenue</t>
  </si>
  <si>
    <t xml:space="preserve">Plan fees share of revenue</t>
  </si>
  <si>
    <t xml:space="preserve">Revenue per wash ($)</t>
  </si>
  <si>
    <t xml:space="preserve">Plan fee revenue per member wash ($)</t>
  </si>
  <si>
    <t xml:space="preserve">Chemicals, water &amp; electricity</t>
  </si>
  <si>
    <t xml:space="preserve">Chemicals, water &amp; electricity per wash ($)</t>
  </si>
  <si>
    <t xml:space="preserve">Inputs — Low / Base / High</t>
  </si>
  <si>
    <t xml:space="preserve">Illustrative assumptions - replace them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</si>
  <si>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</si>
  <si>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</si>
  <si>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</si>
  <si>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</si>
  <si>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</si>
  <si>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</si>
  <si>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Source / comment</t>
  </si>
  <si>
    <t xml:space="preserve">Retail volume</t>
  </si>
  <si>
    <t xml:space="preserve">Retail cars per operating day at maturity (year 1)</t>
  </si>
  <si>
    <t xml:space="preserve">cars</t>
  </si>
  <si>
    <t xml:space="preserve">Low ≤ Base ≤ High</t>
  </si>
  <si>
    <t xml:space="preserve">Operating days per month</t>
  </si>
  <si>
    <t xml:space="preserve">days</t>
  </si>
  <si>
    <t xml:space="preserve">Months to reach mature retail volume (0 = already mature)</t>
  </si>
  <si>
    <t xml:space="preserve">months</t>
  </si>
  <si>
    <t xml:space="preserve">Low ≥ Base ≥ High (lower is better)</t>
  </si>
  <si>
    <t xml:space="preserve">Retail volume in month 1, % of mature</t>
  </si>
  <si>
    <t xml:space="preserve">%</t>
  </si>
  <si>
    <t xml:space="preserve">Winter volume dip, December-February (monthly models)</t>
  </si>
  <si>
    <t xml:space="preserve">Tunnel capacity</t>
  </si>
  <si>
    <t xml:space="preserve">Rated tunnel speed</t>
  </si>
  <si>
    <t xml:space="preserve">cars/hour</t>
  </si>
  <si>
    <t xml:space="preserve">Hours open per day</t>
  </si>
  <si>
    <t xml:space="preserve">hours</t>
  </si>
  <si>
    <t xml:space="preserve">Practical throughput, % of rated speed over open hours</t>
  </si>
  <si>
    <t xml:space="preserve">Unlimited members</t>
  </si>
  <si>
    <t xml:space="preserve">Unlimited members at start (presale or current base)</t>
  </si>
  <si>
    <t xml:space="preserve">#</t>
  </si>
  <si>
    <t xml:space="preserve">Direct sign-ups per month at maturity (year 1)</t>
  </si>
  <si>
    <t xml:space="preserve">Direct sign-ups growth per year</t>
  </si>
  <si>
    <t xml:space="preserve">Retail cars that sign up for an unlimited plan</t>
  </si>
  <si>
    <t xml:space="preserve">Washes per member per month</t>
  </si>
  <si>
    <t xml:space="preserve">washes</t>
  </si>
  <si>
    <t xml:space="preserve">Prices</t>
  </si>
  <si>
    <t xml:space="preserve">Average price per retail wash (year 1)</t>
  </si>
  <si>
    <t xml:space="preserve">$</t>
  </si>
  <si>
    <t xml:space="preserve">Add-on revenue per retail car (wax, ceramic, tire shine)</t>
  </si>
  <si>
    <t xml:space="preserve">Unlimited plan fee per member per month (year 1)</t>
  </si>
  <si>
    <t xml:space="preserve">Price increase per year</t>
  </si>
  <si>
    <t xml:space="preserve">Variable cost per wash</t>
  </si>
  <si>
    <t xml:space="preserve">Chemicals per wash</t>
  </si>
  <si>
    <t xml:space="preserve">Fresh water per wash (after reclaim)</t>
  </si>
  <si>
    <t xml:space="preserve">gallons</t>
  </si>
  <si>
    <t xml:space="preserve">Water and sewer rate per 1,000 gallons</t>
  </si>
  <si>
    <t xml:space="preserve">Electricity per wash</t>
  </si>
  <si>
    <t xml:space="preserve">Card processing fees, % of revenue</t>
  </si>
  <si>
    <t xml:space="preserve">Cost increase per year (per-wash costs, maintenance, other)</t>
  </si>
  <si>
    <t xml:space="preserve">Site costs</t>
  </si>
  <si>
    <t xml:space="preserve">Site lease or land cost per month</t>
  </si>
  <si>
    <t xml:space="preserve">Lease increase per year</t>
  </si>
  <si>
    <t xml:space="preserve">Equipment maintenance &amp; repairs per month</t>
  </si>
  <si>
    <t xml:space="preserve">Insurance, property tax, software &amp; other G&amp;A per month</t>
  </si>
  <si>
    <t xml:space="preserve">Marketing budget per month (year 1)</t>
  </si>
  <si>
    <t xml:space="preserve">Marketing budget growth per year</t>
  </si>
  <si>
    <t xml:space="preserve">Tunnel equipment (month 1)</t>
  </si>
  <si>
    <t xml:space="preserve">Building &amp; site works (month 1)</t>
  </si>
  <si>
    <t xml:space="preserve">Pay stations, signage &amp; vacuums (month 1)</t>
  </si>
  <si>
    <t xml:space="preserve">Equipment refresh &amp; upgrades per year (from year 2)</t>
  </si>
  <si>
    <t xml:space="preserve">Headcount</t>
  </si>
  <si>
    <t xml:space="preserve">Site manager: headcount (FTE)</t>
  </si>
  <si>
    <t xml:space="preserve">FTE</t>
  </si>
  <si>
    <t xml:space="preserve">Site manager: salary per FTE per year</t>
  </si>
  <si>
    <t xml:space="preserve">Site manager: headcount growth per year</t>
  </si>
  <si>
    <t xml:space="preserve">Site manager: first month on payroll</t>
  </si>
  <si>
    <t xml:space="preserve">month #</t>
  </si>
  <si>
    <t xml:space="preserve">Wash attendants &amp; customer service: headcount (FTE)</t>
  </si>
  <si>
    <t xml:space="preserve">Wash attendants &amp; customer service: salary per FTE per year</t>
  </si>
  <si>
    <t xml:space="preserve">Wash attendants &amp; customer service: headcount growth per year</t>
  </si>
  <si>
    <t xml:space="preserve">Wash attendants &amp; customer service: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</si>
  <si>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</si>
  <si>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</si>
  <si>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</si>
  <si>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</si>
  <si>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</si>
  <si>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</si>
  <si>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</si>
  <si>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</si>
  <si>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</si>
  <si>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</si>
  <si>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</si>
  <si>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</si>
  <si>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</si>
  <si>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</si>
  <si>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</si>
  <si>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</si>
  <si>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</si>
  <si>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</si>
  <si>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</si>
  <si>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</si>
  <si>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</si>
  <si>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</si>
  <si>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</si>
  <si>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</si>
  <si>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Site payroll</t>
  </si>
  <si>
    <t xml:space="preserve">Site lease or land cost</t>
  </si>
  <si>
    <t xml:space="preserve">Equipment maintenance &amp; repairs</t>
  </si>
  <si>
    <t xml:space="preserve">Insurance, property tax, software &amp; other</t>
  </si>
  <si>
    <t xml:space="preserve">Marketing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</si>
  <si>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</si>
  <si>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</si>
  <si>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</si>
  <si>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</si>
  <si>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</si>
  <si>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</si>
  <si>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</si>
  <si>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</si>
  <si>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</si>
  <si>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</si>
  <si>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</si>
  <si>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</si>
  <si>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</si>
  <si>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</si>
  <si>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</si>
  <si>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</si>
  <si>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</si>
  <si>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</si>
  <si>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</si>
  <si>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</si>
  <si>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</si>
  <si>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</si>
  <si>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</si>
  <si>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</si>
  <si>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</si>
  <si>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</si>
  <si>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</si>
  <si>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</si>
  <si>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</si>
  <si>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</si>
  <si>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</si>
  <si>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</si>
  <si>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</si>
  <si>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</si>
  <si>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</si>
  <si>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</si>
  <si>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</si>
  <si>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</si>
  <si>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</si>
  <si>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</si>
  <si>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</si>
  <si>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</si>
  <si>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</si>
  <si>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</si>
  <si>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</si>
  <si>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Period #</t>
  </si>
  <si>
    <t xml:space="preserve">Volume</t>
  </si>
  <si>
    <t xml:space="preserve">Helper: months of the period still on the ramp-up</t>
  </si>
  <si>
    <t xml:space="preserve">Ramp-up factor (share of mature retail volume)</t>
  </si>
  <si>
    <t xml:space="preserve">Season factor (winter dip)</t>
  </si>
  <si>
    <t xml:space="preserve">Retail cars demanded</t>
  </si>
  <si>
    <t xml:space="preserve">Members</t>
  </si>
  <si>
    <t xml:space="preserve">New members from retail cars</t>
  </si>
  <si>
    <t xml:space="preserve">New members from direct sign-ups</t>
  </si>
  <si>
    <t xml:space="preserve">New members - total</t>
  </si>
  <si>
    <t xml:space="preserve">Members - opening</t>
  </si>
  <si>
    <t xml:space="preserve">Members who cancelled</t>
  </si>
  <si>
    <t xml:space="preserve">Members - closing</t>
  </si>
  <si>
    <t xml:space="preserve">Members - average</t>
  </si>
  <si>
    <t xml:space="preserve">Washes</t>
  </si>
  <si>
    <t xml:space="preserve">Member washes demanded</t>
  </si>
  <si>
    <t xml:space="preserve">Tunnel capacity (rated speed × hours × practical share × days)</t>
  </si>
  <si>
    <t xml:space="preserve">Share of demand the tunnel can wash</t>
  </si>
  <si>
    <t xml:space="preserve">Washes - total</t>
  </si>
  <si>
    <t xml:space="preserve">Average price per retail wash</t>
  </si>
  <si>
    <t xml:space="preserve">Unlimited plan fee per month</t>
  </si>
  <si>
    <t xml:space="preserve">Retail wash revenue</t>
  </si>
  <si>
    <t xml:space="preserve">Add-on revenue</t>
  </si>
  <si>
    <t xml:space="preserve">Chemicals</t>
  </si>
  <si>
    <t xml:space="preserve">Water &amp; sewer</t>
  </si>
  <si>
    <t xml:space="preserve">Electricity</t>
  </si>
  <si>
    <t xml:space="preserve">Card processing fees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</si>
  <si>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</si>
  <si>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</si>
  <si>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</si>
  <si>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</si>
  <si>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</si>
  <si>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Tunnel equipment</t>
  </si>
  <si>
    <t xml:space="preserve">Building &amp; site works</t>
  </si>
  <si>
    <t xml:space="preserve">Pay stations, signage &amp; vacuums</t>
  </si>
  <si>
    <t xml:space="preserve">Equipment refresh &amp; upgrades (first period of each year from year 2)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</si>
  <si>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</si>
  <si>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</si>
  <si>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</si>
  <si>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</si>
  <si>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</si>
  <si>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</si>
  <si>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</si>
  <si>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</si>
  <si>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</si>
  <si>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</si>
  <si>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</si>
  <si>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</si>
  <si>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</si>
  <si>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</si>
  <si>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</si>
  <si>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</si>
  <si>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</si>
  <si>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</si>
  <si>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</si>
  <si>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</si>
  <si>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Site manager — FTE</t>
  </si>
  <si>
    <t xml:space="preserve">Wash attendants &amp; customer service — FTE</t>
  </si>
  <si>
    <t xml:space="preserve">Total FTE</t>
  </si>
  <si>
    <t xml:space="preserve">Payroll cost (salary + taxes &amp; benefits)</t>
  </si>
  <si>
    <t xml:space="preserve">Site manager — payroll cost</t>
  </si>
  <si>
    <t xml:space="preserve">Wash attendants &amp; customer service — payroll cost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</si>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</sst>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\$#,##0.00;&quot;($&quot;#,##0.0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0"/>
    <numFmt numFmtId="184" formatCode="\$#,##0;&quot;($&quot;#,##0\);\-"/>
    <numFmt numFmtId="185" formatCode="0.0%;\(0.0%\);\-"/>
    <numFmt numFmtId="186" formatCode="0.0\x"/>
    <numFmt numFmtId="187" formatCode="0.000"/>
    <numFmt numFmtId="188" formatCode="0.0\x;\(0.0&quot;x)&quot;;\-"/>
    <numFmt numFmtId="189" formatCode="#,##0;\(#,##0\);\-"/>
    <numFmt numFmtId="190" formatCode="\$#,##0.00;&quot;($&quot;#,##0.00\);\-"/>
    <numFmt numFmtId="191" formatCode="[&gt;=1000000]\$#,##0.0,,\M;[&gt;=1000]\$#,##0,\k;\$#,##0"/>
    <numFmt numFmtId="192" formatCode="#,##0.0;\(#,##0.0\)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8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8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9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Dashboard!$B$12:$D$12</c:f>
              <c:numCache>
                <c:formatCode>\$#,##0,;"($"#,##0,\);\-</c:formatCode>
                <c:ptCount val="3"/>
                <c:pt idx="0">
                  <c:v>1180182.39164623</c:v>
                </c:pt>
                <c:pt idx="1">
                  <c:v>1805881.4666632</c:v>
                </c:pt>
                <c:pt idx="2">
                  <c:v>2080276.59708741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Dashboard!$B$16:$D$16</c:f>
              <c:numCache>
                <c:formatCode>\$#,##0,;"($"#,##0,\);\-</c:formatCode>
                <c:ptCount val="3"/>
                <c:pt idx="0">
                  <c:v>-123279.207270295</c:v>
                </c:pt>
                <c:pt idx="1">
                  <c:v>393591.208461737</c:v>
                </c:pt>
                <c:pt idx="2">
                  <c:v>606030.411732089</c:v>
                </c:pt>
              </c:numCache>
            </c:numRef>
          </c:val>
        </c:ser>
        <c:gapWidth val="60"/>
        <c:overlap val="0"/>
        <c:axId val="52105869"/>
        <c:axId val="6545790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Dashboard!$B$17:$D$17</c:f>
              <c:numCache>
                <c:formatCode>0.0%;\(0.0%\);\-</c:formatCode>
                <c:ptCount val="3"/>
                <c:pt idx="0">
                  <c:v>-0.104457758515049</c:v>
                </c:pt>
                <c:pt idx="1">
                  <c:v>0.217949636079378</c:v>
                </c:pt>
                <c:pt idx="2">
                  <c:v>0.291322035050816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9681821"/>
        <c:axId val="5477939"/>
      </c:lineChart>
      <c:catAx>
        <c:axId val="5210586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45790"/>
        <c:crosses val="autoZero"/>
        <c:auto val="1"/>
        <c:lblAlgn val="ctr"/>
        <c:lblOffset val="100"/>
        <c:noMultiLvlLbl val="0"/>
      </c:catAx>
      <c:valAx>
        <c:axId val="654579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105869"/>
        <c:crosses val="autoZero"/>
        <c:crossBetween val="between"/>
      </c:valAx>
      <c:catAx>
        <c:axId val="2968182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477939"/>
        <c:crosses val="autoZero"/>
        <c:auto val="1"/>
        <c:lblAlgn val="ctr"/>
        <c:lblOffset val="100"/>
        <c:noMultiLvlLbl val="0"/>
      </c:catAx>
      <c:valAx>
        <c:axId val="5477939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68182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Dashboard!$B$20:$D$20</c:f>
              <c:numCache>
                <c:formatCode>\$#,##0,;"($"#,##0,\);\-</c:formatCode>
                <c:ptCount val="3"/>
                <c:pt idx="0">
                  <c:v>-369557.792453481</c:v>
                </c:pt>
                <c:pt idx="1">
                  <c:v>174478.453532665</c:v>
                </c:pt>
                <c:pt idx="2">
                  <c:v>412515.85538278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Dashboard!$B$21:$D$21</c:f>
              <c:numCache>
                <c:formatCode>\$#,##0,;"($"#,##0,\);\-</c:formatCode>
                <c:ptCount val="3"/>
                <c:pt idx="0">
                  <c:v>-4100000</c:v>
                </c:pt>
                <c:pt idx="1">
                  <c:v>-40000</c:v>
                </c:pt>
                <c:pt idx="2">
                  <c:v>-40000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Dashboard!$B$22:$D$22</c:f>
              <c:numCache>
                <c:formatCode>\$#,##0,;"($"#,##0,\);\-</c:formatCode>
                <c:ptCount val="3"/>
                <c:pt idx="0">
                  <c:v>4825000</c:v>
                </c:pt>
                <c:pt idx="1">
                  <c:v>-300000</c:v>
                </c:pt>
                <c:pt idx="2">
                  <c:v>-300000</c:v>
                </c:pt>
              </c:numCache>
            </c:numRef>
          </c:val>
        </c:ser>
        <c:gapWidth val="60"/>
        <c:overlap val="0"/>
        <c:axId val="79473093"/>
        <c:axId val="23826483"/>
      </c:barChart>
      <c:catAx>
        <c:axId val="7947309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826483"/>
        <c:crosses val="autoZero"/>
        <c:auto val="1"/>
        <c:lblAlgn val="ctr"/>
        <c:lblOffset val="100"/>
        <c:noMultiLvlLbl val="0"/>
      </c:catAx>
      <c:valAx>
        <c:axId val="2382648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47309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Dashboard!$B$24:$D$24</c:f>
              <c:numCache>
                <c:formatCode>\$#,##0,;"($"#,##0,\);\-</c:formatCode>
                <c:ptCount val="3"/>
                <c:pt idx="0">
                  <c:v>355442.207546519</c:v>
                </c:pt>
                <c:pt idx="1">
                  <c:v>189920.661079184</c:v>
                </c:pt>
                <c:pt idx="2">
                  <c:v>262436.516461964</c:v>
                </c:pt>
              </c:numCache>
            </c:numRef>
          </c:val>
        </c:ser>
        <c:gapWidth val="60"/>
        <c:overlap val="0"/>
        <c:axId val="88554665"/>
        <c:axId val="77331210"/>
      </c:barChart>
      <c:catAx>
        <c:axId val="8855466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331210"/>
        <c:crosses val="autoZero"/>
        <c:auto val="1"/>
        <c:lblAlgn val="ctr"/>
        <c:lblOffset val="100"/>
        <c:noMultiLvlLbl val="0"/>
      </c:catAx>
      <c:valAx>
        <c:axId val="7733121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55466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Washes per day &amp; tunnel capacity used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Dashboard!$A$29</c:f>
              <c:strCache>
                <c:ptCount val="1"/>
                <c:pt idx="0">
                  <c:v>Washes per operating day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Dashboard!$B$29:$D$29</c:f>
              <c:numCache>
                <c:formatCode>#,##0;\(#,##0\);\-</c:formatCode>
                <c:ptCount val="3"/>
                <c:pt idx="0">
                  <c:v>255.65215282268</c:v>
                </c:pt>
                <c:pt idx="1">
                  <c:v>401.36880504265</c:v>
                </c:pt>
                <c:pt idx="2">
                  <c:v>466.968087719058</c:v>
                </c:pt>
              </c:numCache>
            </c:numRef>
          </c:val>
        </c:ser>
        <c:gapWidth val="60"/>
        <c:overlap val="0"/>
        <c:axId val="26870022"/>
        <c:axId val="95829974"/>
      </c:barChart>
      <c:lineChart>
        <c:grouping val="standard"/>
        <c:varyColors val="0"/>
        <c:ser>
          <c:idx val="1"/>
          <c:order val="1"/>
          <c:tx>
            <c:strRef>
              <c:f>Dashboard!$A$30</c:f>
              <c:strCache>
                <c:ptCount val="1"/>
                <c:pt idx="0">
                  <c:v>Tunnel capacity used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Dashboard!$B$30:$D$30</c:f>
              <c:numCache>
                <c:formatCode>0.0%;\(0.0%\);\-</c:formatCode>
                <c:ptCount val="3"/>
                <c:pt idx="0">
                  <c:v>0.301832529896906</c:v>
                </c:pt>
                <c:pt idx="1">
                  <c:v>0.473871080333707</c:v>
                </c:pt>
                <c:pt idx="2">
                  <c:v>0.551320056338912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8840547"/>
        <c:axId val="95646678"/>
      </c:lineChart>
      <c:catAx>
        <c:axId val="2687002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5829974"/>
        <c:crosses val="autoZero"/>
        <c:auto val="1"/>
        <c:lblAlgn val="ctr"/>
        <c:lblOffset val="100"/>
        <c:noMultiLvlLbl val="0"/>
      </c:catAx>
      <c:valAx>
        <c:axId val="9582997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6870022"/>
        <c:crosses val="autoZero"/>
        <c:crossBetween val="between"/>
      </c:valAx>
      <c:catAx>
        <c:axId val="48840547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5646678"/>
        <c:crosses val="autoZero"/>
        <c:auto val="1"/>
        <c:lblAlgn val="ctr"/>
        <c:lblOffset val="100"/>
        <c:noMultiLvlLbl val="0"/>
      </c:catAx>
      <c:valAx>
        <c:axId val="95646678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840547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47943.358</c:v>
                </c:pt>
                <c:pt idx="1">
                  <c:v>54448.9359022222</c:v>
                </c:pt>
                <c:pt idx="2">
                  <c:v>72773.4017994667</c:v>
                </c:pt>
                <c:pt idx="3">
                  <c:v>81051.8988385991</c:v>
                </c:pt>
                <c:pt idx="4">
                  <c:v>89490.2764406107</c:v>
                </c:pt>
                <c:pt idx="5">
                  <c:v>98082.1393829863</c:v>
                </c:pt>
                <c:pt idx="6">
                  <c:v>106821.348252111</c:v>
                </c:pt>
                <c:pt idx="7">
                  <c:v>115702.009210916</c:v>
                </c:pt>
                <c:pt idx="8">
                  <c:v>124718.464175812</c:v>
                </c:pt>
                <c:pt idx="9">
                  <c:v>133865.281386558</c:v>
                </c:pt>
                <c:pt idx="10">
                  <c:v>136545.550131095</c:v>
                </c:pt>
                <c:pt idx="11">
                  <c:v>118739.728125852</c:v>
                </c:pt>
              </c:numCache>
            </c:numRef>
          </c:val>
        </c:ser>
        <c:gapWidth val="60"/>
        <c:overlap val="0"/>
        <c:axId val="24277290"/>
        <c:axId val="39985897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-52715.2544125667</c:v>
                </c:pt>
                <c:pt idx="1">
                  <c:v>-47169.179570764</c:v>
                </c:pt>
                <c:pt idx="2">
                  <c:v>-31890.1001241627</c:v>
                </c:pt>
                <c:pt idx="3">
                  <c:v>-24896.4647094518</c:v>
                </c:pt>
                <c:pt idx="4">
                  <c:v>-17775.1087070848</c:v>
                </c:pt>
                <c:pt idx="5">
                  <c:v>-10531.1409405681</c:v>
                </c:pt>
                <c:pt idx="6">
                  <c:v>-3169.46588046759</c:v>
                </c:pt>
                <c:pt idx="7">
                  <c:v>4305.20818147335</c:v>
                </c:pt>
                <c:pt idx="8">
                  <c:v>11888.3612851811</c:v>
                </c:pt>
                <c:pt idx="9">
                  <c:v>19575.654268985</c:v>
                </c:pt>
                <c:pt idx="10">
                  <c:v>21716.7869555589</c:v>
                </c:pt>
                <c:pt idx="11">
                  <c:v>7381.49638357262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-102437.476634789</c:v>
                </c:pt>
                <c:pt idx="1">
                  <c:v>-96802.8601263196</c:v>
                </c:pt>
                <c:pt idx="2">
                  <c:v>-81346.6973463849</c:v>
                </c:pt>
                <c:pt idx="3">
                  <c:v>-74175.9785983407</c:v>
                </c:pt>
                <c:pt idx="4">
                  <c:v>-66877.5392626404</c:v>
                </c:pt>
                <c:pt idx="5">
                  <c:v>-59456.4881627903</c:v>
                </c:pt>
                <c:pt idx="6">
                  <c:v>-51917.7297693565</c:v>
                </c:pt>
                <c:pt idx="7">
                  <c:v>-44265.9723740822</c:v>
                </c:pt>
                <c:pt idx="8">
                  <c:v>-36505.7359370411</c:v>
                </c:pt>
                <c:pt idx="9">
                  <c:v>-28641.3596199039</c:v>
                </c:pt>
                <c:pt idx="10">
                  <c:v>-26323.1435999967</c:v>
                </c:pt>
                <c:pt idx="11">
                  <c:v>-40481.3508386496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4277290"/>
        <c:axId val="39985897"/>
      </c:lineChart>
      <c:catAx>
        <c:axId val="24277290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9985897"/>
        <c:crosses val="autoZero"/>
        <c:auto val="1"/>
        <c:lblAlgn val="ctr"/>
        <c:lblOffset val="100"/>
        <c:noMultiLvlLbl val="0"/>
      </c:catAx>
      <c:valAx>
        <c:axId val="3998589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427729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-74804.1630306</c:v>
                </c:pt>
                <c:pt idx="1">
                  <c:v>-68444.5087441057</c:v>
                </c:pt>
                <c:pt idx="2">
                  <c:v>-53080.977367098</c:v>
                </c:pt>
                <c:pt idx="3">
                  <c:v>-45827.3689705868</c:v>
                </c:pt>
                <c:pt idx="4">
                  <c:v>-38528.8683473374</c:v>
                </c:pt>
                <c:pt idx="5">
                  <c:v>-31107.7584114402</c:v>
                </c:pt>
                <c:pt idx="6">
                  <c:v>-23568.9435354011</c:v>
                </c:pt>
                <c:pt idx="7">
                  <c:v>-15917.1319168258</c:v>
                </c:pt>
                <c:pt idx="8">
                  <c:v>-8156.84342541571</c:v>
                </c:pt>
                <c:pt idx="9">
                  <c:v>-292.417136084256</c:v>
                </c:pt>
                <c:pt idx="10">
                  <c:v>2150.10605857762</c:v>
                </c:pt>
                <c:pt idx="11">
                  <c:v>-11978.9176271636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-4100000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5100000</c:v>
                </c:pt>
                <c:pt idx="1">
                  <c:v>-25000</c:v>
                </c:pt>
                <c:pt idx="2">
                  <c:v>-25000</c:v>
                </c:pt>
                <c:pt idx="3">
                  <c:v>-25000</c:v>
                </c:pt>
                <c:pt idx="4">
                  <c:v>-25000</c:v>
                </c:pt>
                <c:pt idx="5">
                  <c:v>-25000</c:v>
                </c:pt>
                <c:pt idx="6">
                  <c:v>-25000</c:v>
                </c:pt>
                <c:pt idx="7">
                  <c:v>-25000</c:v>
                </c:pt>
                <c:pt idx="8">
                  <c:v>-25000</c:v>
                </c:pt>
                <c:pt idx="9">
                  <c:v>-25000</c:v>
                </c:pt>
                <c:pt idx="10">
                  <c:v>-25000</c:v>
                </c:pt>
                <c:pt idx="11">
                  <c:v>-25000</c:v>
                </c:pt>
              </c:numCache>
            </c:numRef>
          </c:val>
        </c:ser>
        <c:gapWidth val="60"/>
        <c:overlap val="0"/>
        <c:axId val="41806499"/>
        <c:axId val="60284327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925195.8369694</c:v>
                </c:pt>
                <c:pt idx="1">
                  <c:v>831751.328225294</c:v>
                </c:pt>
                <c:pt idx="2">
                  <c:v>753670.350858196</c:v>
                </c:pt>
                <c:pt idx="3">
                  <c:v>682842.981887609</c:v>
                </c:pt>
                <c:pt idx="4">
                  <c:v>619314.113540272</c:v>
                </c:pt>
                <c:pt idx="5">
                  <c:v>563206.355128832</c:v>
                </c:pt>
                <c:pt idx="6">
                  <c:v>514637.411593431</c:v>
                </c:pt>
                <c:pt idx="7">
                  <c:v>473720.279676605</c:v>
                </c:pt>
                <c:pt idx="8">
                  <c:v>440563.436251189</c:v>
                </c:pt>
                <c:pt idx="9">
                  <c:v>415271.019115105</c:v>
                </c:pt>
                <c:pt idx="10">
                  <c:v>392421.125173683</c:v>
                </c:pt>
                <c:pt idx="11">
                  <c:v>355442.207546519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7550218"/>
        <c:axId val="89377248"/>
      </c:lineChart>
      <c:catAx>
        <c:axId val="41806499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284327"/>
        <c:crosses val="autoZero"/>
        <c:auto val="1"/>
        <c:lblAlgn val="ctr"/>
        <c:lblOffset val="100"/>
        <c:noMultiLvlLbl val="0"/>
      </c:catAx>
      <c:valAx>
        <c:axId val="6028432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806499"/>
        <c:crosses val="autoZero"/>
        <c:crossBetween val="between"/>
      </c:valAx>
      <c:catAx>
        <c:axId val="67550218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377248"/>
        <c:crosses val="autoZero"/>
        <c:auto val="1"/>
        <c:lblAlgn val="ctr"/>
        <c:lblOffset val="100"/>
        <c:noMultiLvlLbl val="0"/>
      </c:catAx>
      <c:valAx>
        <c:axId val="89377248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55021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925195.8369694</c:v>
                </c:pt>
                <c:pt idx="1">
                  <c:v>831751.328225294</c:v>
                </c:pt>
                <c:pt idx="2">
                  <c:v>753670.350858196</c:v>
                </c:pt>
                <c:pt idx="3">
                  <c:v>682842.981887609</c:v>
                </c:pt>
                <c:pt idx="4">
                  <c:v>619314.113540272</c:v>
                </c:pt>
                <c:pt idx="5">
                  <c:v>563206.355128832</c:v>
                </c:pt>
                <c:pt idx="6">
                  <c:v>514637.411593431</c:v>
                </c:pt>
                <c:pt idx="7">
                  <c:v>473720.279676605</c:v>
                </c:pt>
                <c:pt idx="8">
                  <c:v>440563.436251189</c:v>
                </c:pt>
                <c:pt idx="9">
                  <c:v>415271.019115105</c:v>
                </c:pt>
                <c:pt idx="10">
                  <c:v>392421.125173683</c:v>
                </c:pt>
                <c:pt idx="11">
                  <c:v>355442.207546519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3196.22386666667</c:v>
                </c:pt>
                <c:pt idx="1">
                  <c:v>3629.92906014815</c:v>
                </c:pt>
                <c:pt idx="2">
                  <c:v>4851.56011996444</c:v>
                </c:pt>
                <c:pt idx="3">
                  <c:v>5403.45992257327</c:v>
                </c:pt>
                <c:pt idx="4">
                  <c:v>5966.01842937405</c:v>
                </c:pt>
                <c:pt idx="5">
                  <c:v>6538.80929219909</c:v>
                </c:pt>
                <c:pt idx="6">
                  <c:v>7121.42321680742</c:v>
                </c:pt>
                <c:pt idx="7">
                  <c:v>7713.46728072771</c:v>
                </c:pt>
                <c:pt idx="8">
                  <c:v>8314.5642783875</c:v>
                </c:pt>
                <c:pt idx="9">
                  <c:v>8924.35209243718</c:v>
                </c:pt>
                <c:pt idx="10">
                  <c:v>9103.03667540636</c:v>
                </c:pt>
                <c:pt idx="11">
                  <c:v>7915.98187505677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4071527.77777778</c:v>
                </c:pt>
                <c:pt idx="1">
                  <c:v>4043055.55555556</c:v>
                </c:pt>
                <c:pt idx="2">
                  <c:v>4014583.33333333</c:v>
                </c:pt>
                <c:pt idx="3">
                  <c:v>3986111.11111111</c:v>
                </c:pt>
                <c:pt idx="4">
                  <c:v>3957638.88888889</c:v>
                </c:pt>
                <c:pt idx="5">
                  <c:v>3929166.66666667</c:v>
                </c:pt>
                <c:pt idx="6">
                  <c:v>3900694.44444444</c:v>
                </c:pt>
                <c:pt idx="7">
                  <c:v>3872222.22222222</c:v>
                </c:pt>
                <c:pt idx="8">
                  <c:v>3843750</c:v>
                </c:pt>
                <c:pt idx="9">
                  <c:v>3815277.77777778</c:v>
                </c:pt>
                <c:pt idx="10">
                  <c:v>3786805.55555556</c:v>
                </c:pt>
                <c:pt idx="11">
                  <c:v>3758333.33333333</c:v>
                </c:pt>
              </c:numCache>
            </c:numRef>
          </c:val>
        </c:ser>
        <c:gapWidth val="60"/>
        <c:overlap val="100"/>
        <c:axId val="92446893"/>
        <c:axId val="20619091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1997562.52336521</c:v>
                </c:pt>
                <c:pt idx="1">
                  <c:v>1900759.66323889</c:v>
                </c:pt>
                <c:pt idx="2">
                  <c:v>1819412.96589251</c:v>
                </c:pt>
                <c:pt idx="3">
                  <c:v>1745236.98729417</c:v>
                </c:pt>
                <c:pt idx="4">
                  <c:v>1678359.44803153</c:v>
                </c:pt>
                <c:pt idx="5">
                  <c:v>1618902.95986874</c:v>
                </c:pt>
                <c:pt idx="6">
                  <c:v>1566985.23009938</c:v>
                </c:pt>
                <c:pt idx="7">
                  <c:v>1522719.2577253</c:v>
                </c:pt>
                <c:pt idx="8">
                  <c:v>1486213.52178826</c:v>
                </c:pt>
                <c:pt idx="9">
                  <c:v>1457572.16216835</c:v>
                </c:pt>
                <c:pt idx="10">
                  <c:v>1431249.01856836</c:v>
                </c:pt>
                <c:pt idx="11">
                  <c:v>1390767.66772971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2446893"/>
        <c:axId val="20619091"/>
      </c:lineChart>
      <c:catAx>
        <c:axId val="92446893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619091"/>
        <c:crosses val="autoZero"/>
        <c:auto val="1"/>
        <c:lblAlgn val="ctr"/>
        <c:lblOffset val="100"/>
        <c:noMultiLvlLbl val="0"/>
      </c:catAx>
      <c:valAx>
        <c:axId val="2061909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44689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2100000</c:v>
                </c:pt>
                <c:pt idx="1">
                  <c:v>3000000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369557.792453481</c:v>
                </c:pt>
                <c:pt idx="1">
                  <c:v>4100000</c:v>
                </c:pt>
                <c:pt idx="2">
                  <c:v>275000</c:v>
                </c:pt>
                <c:pt idx="3">
                  <c:v>355442.207546519</c:v>
                </c:pt>
              </c:numCache>
            </c:numRef>
          </c:val>
        </c:ser>
        <c:gapWidth val="60"/>
        <c:overlap val="0"/>
        <c:axId val="82865669"/>
        <c:axId val="41631417"/>
      </c:barChart>
      <c:catAx>
        <c:axId val="8286566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631417"/>
        <c:crosses val="autoZero"/>
        <c:auto val="1"/>
        <c:lblAlgn val="ctr"/>
        <c:lblOffset val="100"/>
        <c:noMultiLvlLbl val="0"/>
      </c:catAx>
      <c:valAx>
        <c:axId val="4163141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865669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KPIs!$B$7:$D$7</c:f>
              <c:numCache>
                <c:formatCode>0.0%;\(0.0%\);\-</c:formatCode>
                <c:ptCount val="3"/>
                <c:pt idx="0">
                  <c:v>0.847123969825669</c:v>
                </c:pt>
                <c:pt idx="1">
                  <c:v>0.840145068471817</c:v>
                </c:pt>
                <c:pt idx="2">
                  <c:v>0.83491490995181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KPIs!$B$8:$D$8</c:f>
              <c:numCache>
                <c:formatCode>0.0%;\(0.0%\);\-</c:formatCode>
                <c:ptCount val="3"/>
                <c:pt idx="0">
                  <c:v>-0.104457758515049</c:v>
                </c:pt>
                <c:pt idx="1">
                  <c:v>0.217949636079378</c:v>
                </c:pt>
                <c:pt idx="2">
                  <c:v>0.291322035050816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KPIs!$B$9:$D$9</c:f>
              <c:numCache>
                <c:formatCode>0.0%;\(0.0%\);\-</c:formatCode>
                <c:ptCount val="3"/>
                <c:pt idx="0">
                  <c:v>-0.600951460800047</c:v>
                </c:pt>
                <c:pt idx="1">
                  <c:v>-0.0942940025033336</c:v>
                </c:pt>
                <c:pt idx="2">
                  <c:v>0.0309199644358894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1941324"/>
        <c:axId val="13164720"/>
      </c:lineChart>
      <c:catAx>
        <c:axId val="7194132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3164720"/>
        <c:crosses val="autoZero"/>
        <c:auto val="1"/>
        <c:lblAlgn val="ctr"/>
        <c:lblOffset val="100"/>
        <c:noMultiLvlLbl val="0"/>
      </c:catAx>
      <c:valAx>
        <c:axId val="1316472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94132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KPIs!$B$15:$D$15</c:f>
              <c:numCache>
                <c:formatCode>0.0%;\(0.0%\);\-</c:formatCode>
                <c:ptCount val="3"/>
                <c:pt idx="0">
                  <c:v>-0.171702955749435</c:v>
                </c:pt>
                <c:pt idx="1">
                  <c:v>-0.0464726723709948</c:v>
                </c:pt>
                <c:pt idx="2">
                  <c:v>0.0187455245178273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KPIs!$B$16:$D$16</c:f>
              <c:numCache>
                <c:formatCode>0.0%;\(0.0%\);\-</c:formatCode>
                <c:ptCount val="3"/>
                <c:pt idx="0">
                  <c:v>-0.50995744920361</c:v>
                </c:pt>
                <c:pt idx="1">
                  <c:v>-0.139521541300192</c:v>
                </c:pt>
                <c:pt idx="2">
                  <c:v>0.0500636521561513</c:v>
                </c:pt>
              </c:numCache>
            </c:numRef>
          </c:val>
        </c:ser>
        <c:gapWidth val="60"/>
        <c:overlap val="0"/>
        <c:axId val="93309157"/>
        <c:axId val="41593149"/>
      </c:barChart>
      <c:catAx>
        <c:axId val="9330915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593149"/>
        <c:crosses val="autoZero"/>
        <c:auto val="1"/>
        <c:lblAlgn val="ctr"/>
        <c:lblOffset val="100"/>
        <c:noMultiLvlLbl val="0"/>
      </c:catAx>
      <c:valAx>
        <c:axId val="4159314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30915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Retail and member washes, tunnel capacity used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KPIs!$A$34</c:f>
              <c:strCache>
                <c:ptCount val="1"/>
                <c:pt idx="0">
                  <c:v>Retail cars washed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KPIs!$B$34:$D$34</c:f>
              <c:numCache>
                <c:formatCode>#,##0;\(#,##0\);\-</c:formatCode>
                <c:ptCount val="3"/>
                <c:pt idx="0">
                  <c:v>64869.1333333333</c:v>
                </c:pt>
                <c:pt idx="1">
                  <c:v>83520</c:v>
                </c:pt>
                <c:pt idx="2">
                  <c:v>83520</c:v>
                </c:pt>
              </c:numCache>
            </c:numRef>
          </c:val>
        </c:ser>
        <c:ser>
          <c:idx val="1"/>
          <c:order val="1"/>
          <c:tx>
            <c:strRef>
              <c:f>KPIs!$A$35</c:f>
              <c:strCache>
                <c:ptCount val="1"/>
                <c:pt idx="0">
                  <c:v>Member washes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KPIs!$B$35:$D$35</c:f>
              <c:numCache>
                <c:formatCode>#,##0;\(#,##0\);\-</c:formatCode>
                <c:ptCount val="3"/>
                <c:pt idx="0">
                  <c:v>24097.8158489592</c:v>
                </c:pt>
                <c:pt idx="1">
                  <c:v>56156.3441548421</c:v>
                </c:pt>
                <c:pt idx="2">
                  <c:v>78984.8945262322</c:v>
                </c:pt>
              </c:numCache>
            </c:numRef>
          </c:val>
        </c:ser>
        <c:gapWidth val="60"/>
        <c:overlap val="100"/>
        <c:axId val="91202611"/>
        <c:axId val="35010880"/>
      </c:barChart>
      <c:lineChart>
        <c:grouping val="stacked"/>
        <c:varyColors val="0"/>
        <c:ser>
          <c:idx val="2"/>
          <c:order val="2"/>
          <c:tx>
            <c:strRef>
              <c:f>KPIs!$A$39</c:f>
              <c:strCache>
                <c:ptCount val="1"/>
                <c:pt idx="0">
                  <c:v>Tunnel capacity used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KPIs!$B$39:$D$39</c:f>
              <c:numCache>
                <c:formatCode>0.0%;\(0.0%\);\-</c:formatCode>
                <c:ptCount val="3"/>
                <c:pt idx="0">
                  <c:v>0.301832529896906</c:v>
                </c:pt>
                <c:pt idx="1">
                  <c:v>0.473871080333707</c:v>
                </c:pt>
                <c:pt idx="2">
                  <c:v>0.551320056338912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5720333"/>
        <c:axId val="79879961"/>
      </c:lineChart>
      <c:catAx>
        <c:axId val="9120261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010880"/>
        <c:crosses val="autoZero"/>
        <c:auto val="1"/>
        <c:lblAlgn val="ctr"/>
        <c:lblOffset val="100"/>
        <c:noMultiLvlLbl val="0"/>
      </c:catAx>
      <c:valAx>
        <c:axId val="3501088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202611"/>
        <c:crosses val="autoZero"/>
        <c:crossBetween val="between"/>
      </c:valAx>
      <c:catAx>
        <c:axId val="95720333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879961"/>
        <c:crosses val="autoZero"/>
        <c:auto val="1"/>
        <c:lblAlgn val="ctr"/>
        <c:lblOffset val="100"/>
        <c:noMultiLvlLbl val="0"/>
      </c:catAx>
      <c:valAx>
        <c:axId val="7987996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5720333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split and EBITDA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KPIs!$A$43</c:f>
              <c:strCache>
                <c:ptCount val="1"/>
                <c:pt idx="0">
                  <c:v>Retail wash &amp; add-on 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KPIs!$B$43:$D$43</c:f>
              <c:numCache>
                <c:formatCode>\$#,##0,;"($"#,##0,\);\-</c:formatCode>
                <c:ptCount val="3"/>
                <c:pt idx="0">
                  <c:v>940602.433333333</c:v>
                </c:pt>
                <c:pt idx="1">
                  <c:v>1235260.8</c:v>
                </c:pt>
                <c:pt idx="2">
                  <c:v>1259966.016</c:v>
                </c:pt>
              </c:numCache>
            </c:numRef>
          </c:val>
        </c:ser>
        <c:ser>
          <c:idx val="1"/>
          <c:order val="1"/>
          <c:tx>
            <c:strRef>
              <c:f>KPIs!$A$42</c:f>
              <c:strCache>
                <c:ptCount val="1"/>
                <c:pt idx="0">
                  <c:v>Unlimited plan fees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KPIs!$B$42:$D$42</c:f>
              <c:numCache>
                <c:formatCode>\$#,##0,;"($"#,##0,\);\-</c:formatCode>
                <c:ptCount val="3"/>
                <c:pt idx="0">
                  <c:v>239579.958312896</c:v>
                </c:pt>
                <c:pt idx="1">
                  <c:v>570620.666663197</c:v>
                </c:pt>
                <c:pt idx="2">
                  <c:v>820310.581087405</c:v>
                </c:pt>
              </c:numCache>
            </c:numRef>
          </c:val>
        </c:ser>
        <c:gapWidth val="60"/>
        <c:overlap val="100"/>
        <c:axId val="43549305"/>
        <c:axId val="78933302"/>
      </c:barChart>
      <c:lineChart>
        <c:grouping val="stacked"/>
        <c:varyColors val="0"/>
        <c:ser>
          <c:idx val="2"/>
          <c:order val="2"/>
          <c:tx>
            <c:strRef>
              <c:f>KPIs!$A$52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KPIs!$B$52:$D$52</c:f>
              <c:numCache>
                <c:formatCode>0.0%;\(0.0%\);\-</c:formatCode>
                <c:ptCount val="3"/>
                <c:pt idx="0">
                  <c:v>-0.104457758515049</c:v>
                </c:pt>
                <c:pt idx="1">
                  <c:v>0.217949636079378</c:v>
                </c:pt>
                <c:pt idx="2">
                  <c:v>0.291322035050816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1386918"/>
        <c:axId val="21717672"/>
      </c:lineChart>
      <c:catAx>
        <c:axId val="4354930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8933302"/>
        <c:crosses val="autoZero"/>
        <c:auto val="1"/>
        <c:lblAlgn val="ctr"/>
        <c:lblOffset val="100"/>
        <c:noMultiLvlLbl val="0"/>
      </c:catAx>
      <c:valAx>
        <c:axId val="7893330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549305"/>
        <c:crosses val="autoZero"/>
        <c:crossBetween val="between"/>
      </c:valAx>
      <c:catAx>
        <c:axId val="81386918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717672"/>
        <c:crosses val="autoZero"/>
        <c:auto val="1"/>
        <c:lblAlgn val="ctr"/>
        <c:lblOffset val="100"/>
        <c:noMultiLvlLbl val="0"/>
      </c:catAx>
      <c:valAx>
        <c:axId val="21717672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138691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Relationship Id="rId3" Type="http://schemas.openxmlformats.org/officeDocument/2006/relationships/chart" Target="../charts/chart12.xml"/><Relationship Id="rId4" Type="http://schemas.openxmlformats.org/officeDocument/2006/relationships/chart" Target="../charts/chart1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14</xdr:col>
      <xdr:colOff>36720</xdr:colOff>
      <xdr:row>18</xdr:row>
      <xdr:rowOff>111240</xdr:rowOff>
    </xdr:to>
    <xdr:graphicFrame>
      <xdr:nvGraphicFramePr>
        <xdr:cNvPr id="9" name="Chart 1"/>
        <xdr:cNvGraphicFramePr/>
      </xdr:nvGraphicFramePr>
      <xdr:xfrm>
        <a:off x="66268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3</xdr:row>
      <xdr:rowOff>0</xdr:rowOff>
    </xdr:from>
    <xdr:to>
      <xdr:col>22</xdr:col>
      <xdr:colOff>36720</xdr:colOff>
      <xdr:row>18</xdr:row>
      <xdr:rowOff>111240</xdr:rowOff>
    </xdr:to>
    <xdr:graphicFrame>
      <xdr:nvGraphicFramePr>
        <xdr:cNvPr id="10" name="Chart 2"/>
        <xdr:cNvGraphicFramePr/>
      </xdr:nvGraphicFramePr>
      <xdr:xfrm>
        <a:off x="117018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20</xdr:row>
      <xdr:rowOff>0</xdr:rowOff>
    </xdr:from>
    <xdr:to>
      <xdr:col>14</xdr:col>
      <xdr:colOff>36720</xdr:colOff>
      <xdr:row>35</xdr:row>
      <xdr:rowOff>120600</xdr:rowOff>
    </xdr:to>
    <xdr:graphicFrame>
      <xdr:nvGraphicFramePr>
        <xdr:cNvPr id="11" name="Chart 3"/>
        <xdr:cNvGraphicFramePr/>
      </xdr:nvGraphicFramePr>
      <xdr:xfrm>
        <a:off x="66268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0</xdr:colOff>
      <xdr:row>20</xdr:row>
      <xdr:rowOff>0</xdr:rowOff>
    </xdr:from>
    <xdr:to>
      <xdr:col>22</xdr:col>
      <xdr:colOff>36720</xdr:colOff>
      <xdr:row>35</xdr:row>
      <xdr:rowOff>120600</xdr:rowOff>
    </xdr:to>
    <xdr:graphicFrame>
      <xdr:nvGraphicFramePr>
        <xdr:cNvPr id="12" name="Chart 4"/>
        <xdr:cNvGraphicFramePr/>
      </xdr:nvGraphicFramePr>
      <xdr:xfrm>
        <a:off x="117018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Checks!B24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HYPERLINK("#'Break-even'!A1","Break-even")</f>
        <v>Break-even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HYPERLINK("#Valuation!A1","Valuation")</f>
        <v>Valuation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HYPERLINK("#'Sources &amp; Uses'!A1","Sources &amp; Uses")</f>
        <v>Sources &amp; Uses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HYPERLINK("#KPIs!A1","KPIs")</f>
        <v>KPIs</v>
      </c>
      <c r="D17" s="11" t="s">
        <v>15</v>
      </c>
    </row>
    <row r="18" customFormat="false" ht="15" hidden="false" customHeight="false" outlineLevel="0" collapsed="false">
      <c r="C18" s="8" t="s">
        <v>16</v>
      </c>
    </row>
    <row r="19" customFormat="false" ht="15" hidden="false" customHeight="false" outlineLevel="0" collapsed="false">
      <c r="B19" s="9" t="n">
        <v>7</v>
      </c>
      <c r="C19" s="10" t="str">
        <f aca="false">HYPERLINK("#Inputs!A1","Inputs")</f>
        <v>Inputs</v>
      </c>
      <c r="D19" s="11" t="s">
        <v>17</v>
      </c>
    </row>
    <row r="20" customFormat="false" ht="15" hidden="false" customHeight="false" outlineLevel="0" collapsed="false">
      <c r="C20" s="8" t="s">
        <v>18</v>
      </c>
    </row>
    <row r="21" customFormat="false" ht="15" hidden="false" customHeight="false" outlineLevel="0" collapsed="false">
      <c r="B21" s="9" t="n">
        <v>8</v>
      </c>
      <c r="C21" s="10" t="str">
        <f aca="false">HYPERLINK("#'P&amp;L'!A1","P&amp;L")</f>
        <v>P&amp;L</v>
      </c>
      <c r="D21" s="11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HYPERLINK("#'Cash Flow'!A1","Cash Flow")</f>
        <v>Cash Flow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HYPERLINK("#'Balance Sheet'!A1","Balance Sheet")</f>
        <v>Balance Sheet</v>
      </c>
      <c r="D23" s="11" t="s">
        <v>21</v>
      </c>
    </row>
    <row r="24" customFormat="false" ht="15" hidden="false" customHeight="false" outlineLevel="0" collapsed="false">
      <c r="C24" s="8" t="s">
        <v>22</v>
      </c>
    </row>
    <row r="25" customFormat="false" ht="15" hidden="false" customHeight="false" outlineLevel="0" collapsed="false">
      <c r="B25" s="9" t="n">
        <v>11</v>
      </c>
      <c r="C25" s="10" t="str">
        <f aca="false">HYPERLINK("#Monthly!A1","Monthly")</f>
        <v>Monthly</v>
      </c>
      <c r="D25" s="11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HYPERLINK("#Headcount!A1","Headcount")</f>
        <v>Headcount</v>
      </c>
      <c r="D26" s="11" t="s">
        <v>24</v>
      </c>
    </row>
    <row r="27" customFormat="false" ht="15" hidden="false" customHeight="false" outlineLevel="0" collapsed="false">
      <c r="C27" s="8" t="s">
        <v>25</v>
      </c>
    </row>
    <row r="28" customFormat="false" ht="15" hidden="false" customHeight="false" outlineLevel="0" collapsed="false">
      <c r="B28" s="9" t="n">
        <v>13</v>
      </c>
      <c r="C28" s="10" t="str">
        <f aca="false">HYPERLINK("#Checks!A1","Checks")</f>
        <v>Checks</v>
      </c>
      <c r="D28" s="11" t="s">
        <v>26</v>
      </c>
    </row>
    <row r="30" customFormat="false" ht="15" hidden="false" customHeight="false" outlineLevel="0" collapsed="false">
      <c r="B30" s="3" t="s">
        <v>27</v>
      </c>
    </row>
    <row r="31" customFormat="false" ht="15" hidden="false" customHeight="false" outlineLevel="0" collapsed="false">
      <c r="C31" s="12" t="n">
        <v>1000</v>
      </c>
      <c r="D31" s="6" t="s">
        <v>28</v>
      </c>
    </row>
    <row r="32" customFormat="false" ht="15" hidden="false" customHeight="false" outlineLevel="0" collapsed="false">
      <c r="C32" s="13" t="n">
        <v>1000</v>
      </c>
      <c r="D32" s="6" t="s">
        <v>29</v>
      </c>
    </row>
    <row r="33" customFormat="false" ht="15" hidden="false" customHeight="false" outlineLevel="0" collapsed="false">
      <c r="C33" s="14" t="n">
        <v>1000</v>
      </c>
      <c r="D33" s="6" t="s">
        <v>30</v>
      </c>
    </row>
    <row r="34" customFormat="false" ht="15" hidden="false" customHeight="false" outlineLevel="0" collapsed="false">
      <c r="C34" s="15" t="n">
        <v>1000</v>
      </c>
      <c r="D34" s="6" t="s">
        <v>31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32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33</v>
      </c>
      <c r="S4" s="22" t="s">
        <v>5</v>
      </c>
      <c r="T4" s="23" t="str">
        <f aca="false">Checks!B24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34</v>
      </c>
      <c r="B6" s="24"/>
      <c r="C6" s="24" t="s">
        <v>35</v>
      </c>
      <c r="D6" s="24"/>
      <c r="E6" s="24"/>
      <c r="F6" s="24"/>
      <c r="H6" s="24" t="s">
        <v>36</v>
      </c>
      <c r="I6" s="24"/>
      <c r="J6" s="24"/>
      <c r="K6" s="24"/>
      <c r="L6" s="24" t="s">
        <v>37</v>
      </c>
      <c r="M6" s="24"/>
      <c r="N6" s="24"/>
      <c r="O6" s="24"/>
      <c r="P6" s="24" t="s">
        <v>38</v>
      </c>
      <c r="Q6" s="24"/>
      <c r="R6" s="24"/>
      <c r="S6" s="24"/>
      <c r="T6" s="24" t="s">
        <v>39</v>
      </c>
      <c r="U6" s="24"/>
      <c r="V6" s="24"/>
      <c r="W6" s="24"/>
    </row>
    <row r="7" customFormat="false" ht="30" hidden="false" customHeight="true" outlineLevel="0" collapsed="false">
      <c r="A7" s="25" t="n">
        <f aca="false">D12</f>
        <v>2080276.59708741</v>
      </c>
      <c r="B7" s="25"/>
      <c r="C7" s="26" t="n">
        <f aca="false">D17</f>
        <v>0.291322035050816</v>
      </c>
      <c r="D7" s="26"/>
      <c r="E7" s="26"/>
      <c r="F7" s="26"/>
      <c r="H7" s="25" t="n">
        <f aca="false">D18</f>
        <v>64322.0783987556</v>
      </c>
      <c r="I7" s="25"/>
      <c r="J7" s="25"/>
      <c r="K7" s="25"/>
      <c r="L7" s="25" t="n">
        <f aca="false">F39</f>
        <v>131554.538556901</v>
      </c>
      <c r="M7" s="25"/>
      <c r="N7" s="25"/>
      <c r="O7" s="25"/>
      <c r="P7" s="25" t="n">
        <f aca="false">F37</f>
        <v>5249445.4614431</v>
      </c>
      <c r="Q7" s="25"/>
      <c r="R7" s="25"/>
      <c r="S7" s="25"/>
      <c r="T7" s="25" t="n">
        <f aca="false">F44</f>
        <v>-1738653.14438926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IF(AND(B12&gt;0,D12&gt;=0),(D12/B12)^(1/2)-1,"CAGR n/a")</f>
        <v>0.327657265129634</v>
      </c>
      <c r="B8" s="27"/>
      <c r="C8" s="28" t="n">
        <f aca="false">D16</f>
        <v>606030.411732089</v>
      </c>
      <c r="D8" s="28"/>
      <c r="E8" s="28"/>
      <c r="F8" s="28"/>
      <c r="H8" s="29" t="n">
        <f aca="false">D19</f>
        <v>0.0309199644358894</v>
      </c>
      <c r="I8" s="29"/>
      <c r="J8" s="29"/>
      <c r="K8" s="29"/>
      <c r="L8" s="30" t="n">
        <f aca="false">'Break-even'!B6</f>
        <v>26</v>
      </c>
      <c r="M8" s="30"/>
      <c r="N8" s="30"/>
      <c r="O8" s="30"/>
      <c r="P8" s="31" t="n">
        <f aca="false">IF(F38&gt;=0,"Covered by funding raised",-F38)</f>
        <v>149445.461443098</v>
      </c>
      <c r="Q8" s="31"/>
      <c r="R8" s="31"/>
      <c r="S8" s="31"/>
      <c r="T8" s="32" t="s">
        <v>40</v>
      </c>
      <c r="U8" s="32"/>
      <c r="V8" s="32"/>
      <c r="W8" s="32"/>
    </row>
    <row r="10" customFormat="false" ht="15.75" hidden="false" customHeight="true" outlineLevel="0" collapsed="false">
      <c r="A10" s="7" t="s">
        <v>41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5"/>
      <c r="F11" s="35"/>
    </row>
    <row r="12" customFormat="false" ht="15" hidden="false" customHeight="false" outlineLevel="0" collapsed="false">
      <c r="A12" s="6" t="s">
        <v>42</v>
      </c>
      <c r="B12" s="36" t="n">
        <f aca="false">SUMIF(Monthly!$C$5:$AL$5,B$11,Monthly!$C$37:$AL$37)</f>
        <v>1180182.39164623</v>
      </c>
      <c r="C12" s="36" t="n">
        <f aca="false">SUMIF(Monthly!$C$5:$AL$5,C$11,Monthly!$C$37:$AL$37)</f>
        <v>1805881.4666632</v>
      </c>
      <c r="D12" s="36" t="n">
        <f aca="false">SUMIF(Monthly!$C$5:$AL$5,D$11,Monthly!$C$37:$AL$37)</f>
        <v>2080276.59708741</v>
      </c>
    </row>
    <row r="13" customFormat="false" ht="15" hidden="false" customHeight="false" outlineLevel="0" collapsed="false">
      <c r="A13" s="37" t="s">
        <v>43</v>
      </c>
      <c r="B13" s="38" t="n">
        <f aca="false">SUMIF(Monthly!$C$5:$AL$5,B$11,Monthly!$C$46:$AL$46)</f>
        <v>999760.792729705</v>
      </c>
      <c r="C13" s="38" t="n">
        <f aca="false">SUMIF(Monthly!$C$5:$AL$5,C$11,Monthly!$C$46:$AL$46)</f>
        <v>1517202.40846174</v>
      </c>
      <c r="D13" s="38" t="n">
        <f aca="false">SUMIF(Monthly!$C$5:$AL$5,D$11,Monthly!$C$46:$AL$46)</f>
        <v>1736853.94773209</v>
      </c>
      <c r="E13" s="37"/>
      <c r="F13" s="37"/>
    </row>
    <row r="14" customFormat="false" ht="15" hidden="false" customHeight="false" outlineLevel="0" collapsed="false">
      <c r="A14" s="39" t="s">
        <v>44</v>
      </c>
      <c r="B14" s="40" t="n">
        <f aca="false">IF(B12=0,0,B13/B12)</f>
        <v>0.847123969825669</v>
      </c>
      <c r="C14" s="40" t="n">
        <f aca="false">IF(C12=0,0,C13/C12)</f>
        <v>0.840145068471817</v>
      </c>
      <c r="D14" s="40" t="n">
        <f aca="false">IF(D12=0,0,D13/D12)</f>
        <v>0.83491490995181</v>
      </c>
    </row>
    <row r="15" customFormat="false" ht="15" hidden="false" customHeight="false" outlineLevel="0" collapsed="false">
      <c r="A15" s="6" t="s">
        <v>45</v>
      </c>
      <c r="B15" s="36" t="n">
        <f aca="false">SUMIF(Monthly!$C$5:$AL$5,B$11,Monthly!$C$54:$AL$54)</f>
        <v>-1123040</v>
      </c>
      <c r="C15" s="36" t="n">
        <f aca="false">SUMIF(Monthly!$C$5:$AL$5,C$11,Monthly!$C$54:$AL$54)</f>
        <v>-1123611.2</v>
      </c>
      <c r="D15" s="36" t="n">
        <f aca="false">SUMIF(Monthly!$C$5:$AL$5,D$11,Monthly!$C$54:$AL$54)</f>
        <v>-1130823.536</v>
      </c>
    </row>
    <row r="16" customFormat="false" ht="15" hidden="false" customHeight="false" outlineLevel="0" collapsed="false">
      <c r="A16" s="37" t="s">
        <v>46</v>
      </c>
      <c r="B16" s="38" t="n">
        <f aca="false">SUMIF(Monthly!$C$5:$AL$5,B$11,Monthly!$C$55:$AL$55)</f>
        <v>-123279.207270295</v>
      </c>
      <c r="C16" s="38" t="n">
        <f aca="false">SUMIF(Monthly!$C$5:$AL$5,C$11,Monthly!$C$55:$AL$55)</f>
        <v>393591.208461737</v>
      </c>
      <c r="D16" s="38" t="n">
        <f aca="false">SUMIF(Monthly!$C$5:$AL$5,D$11,Monthly!$C$55:$AL$55)</f>
        <v>606030.411732089</v>
      </c>
      <c r="E16" s="37"/>
      <c r="F16" s="37"/>
    </row>
    <row r="17" customFormat="false" ht="15" hidden="false" customHeight="false" outlineLevel="0" collapsed="false">
      <c r="A17" s="39" t="s">
        <v>47</v>
      </c>
      <c r="B17" s="40" t="n">
        <f aca="false">IF(B12=0,0,B16/B12)</f>
        <v>-0.104457758515049</v>
      </c>
      <c r="C17" s="40" t="n">
        <f aca="false">IF(C12=0,0,C16/C12)</f>
        <v>0.217949636079378</v>
      </c>
      <c r="D17" s="40" t="n">
        <f aca="false">IF(D12=0,0,D16/D12)</f>
        <v>0.291322035050816</v>
      </c>
    </row>
    <row r="18" customFormat="false" ht="15" hidden="false" customHeight="false" outlineLevel="0" collapsed="false">
      <c r="A18" s="41" t="s">
        <v>48</v>
      </c>
      <c r="B18" s="42" t="n">
        <f aca="false">SUMIF(Monthly!$C$5:$AL$5,B$11,Monthly!$C$64:$AL$64)</f>
        <v>-709232.332270295</v>
      </c>
      <c r="C18" s="42" t="n">
        <f aca="false">SUMIF(Monthly!$C$5:$AL$5,C$11,Monthly!$C$64:$AL$64)</f>
        <v>-170283.791538263</v>
      </c>
      <c r="D18" s="42" t="n">
        <f aca="false">SUMIF(Monthly!$C$5:$AL$5,D$11,Monthly!$C$64:$AL$64)</f>
        <v>64322.0783987556</v>
      </c>
      <c r="E18" s="41"/>
      <c r="F18" s="41"/>
    </row>
    <row r="19" customFormat="false" ht="15" hidden="false" customHeight="false" outlineLevel="0" collapsed="false">
      <c r="A19" s="39" t="s">
        <v>49</v>
      </c>
      <c r="B19" s="40" t="n">
        <f aca="false">IF(B12=0,0,B18/B12)</f>
        <v>-0.600951460800047</v>
      </c>
      <c r="C19" s="40" t="n">
        <f aca="false">IF(C12=0,0,C18/C12)</f>
        <v>-0.0942940025033336</v>
      </c>
      <c r="D19" s="40" t="n">
        <f aca="false">IF(D12=0,0,D18/D12)</f>
        <v>0.0309199644358894</v>
      </c>
    </row>
    <row r="20" customFormat="false" ht="15" hidden="false" customHeight="false" outlineLevel="0" collapsed="false">
      <c r="A20" s="6" t="s">
        <v>50</v>
      </c>
      <c r="B20" s="36" t="n">
        <f aca="false">SUMIF(Monthly!$C$5:$AL$5,B$11,Monthly!$C$92:$AL$92)</f>
        <v>-369557.792453481</v>
      </c>
      <c r="C20" s="36" t="n">
        <f aca="false">SUMIF(Monthly!$C$5:$AL$5,C$11,Monthly!$C$92:$AL$92)</f>
        <v>174478.453532665</v>
      </c>
      <c r="D20" s="36" t="n">
        <f aca="false">SUMIF(Monthly!$C$5:$AL$5,D$11,Monthly!$C$92:$AL$92)</f>
        <v>412515.85538278</v>
      </c>
    </row>
    <row r="21" customFormat="false" ht="15" hidden="false" customHeight="false" outlineLevel="0" collapsed="false">
      <c r="A21" s="6" t="s">
        <v>51</v>
      </c>
      <c r="B21" s="36" t="n">
        <f aca="false">SUMIF(Monthly!$C$5:$AL$5,B$11,Monthly!$C$93:$AL$93)</f>
        <v>-4100000</v>
      </c>
      <c r="C21" s="36" t="n">
        <f aca="false">SUMIF(Monthly!$C$5:$AL$5,C$11,Monthly!$C$93:$AL$93)</f>
        <v>-40000</v>
      </c>
      <c r="D21" s="36" t="n">
        <f aca="false">SUMIF(Monthly!$C$5:$AL$5,D$11,Monthly!$C$93:$AL$93)</f>
        <v>-40000</v>
      </c>
    </row>
    <row r="22" customFormat="false" ht="15" hidden="false" customHeight="false" outlineLevel="0" collapsed="false">
      <c r="A22" s="6" t="s">
        <v>52</v>
      </c>
      <c r="B22" s="36" t="n">
        <f aca="false">SUMIF(Monthly!$C$5:$AL$5,B$11,Monthly!$C$95:$AL$95)</f>
        <v>4825000</v>
      </c>
      <c r="C22" s="36" t="n">
        <f aca="false">SUMIF(Monthly!$C$5:$AL$5,C$11,Monthly!$C$95:$AL$95)</f>
        <v>-300000</v>
      </c>
      <c r="D22" s="36" t="n">
        <f aca="false">SUMIF(Monthly!$C$5:$AL$5,D$11,Monthly!$C$95:$AL$95)</f>
        <v>-300000</v>
      </c>
    </row>
    <row r="23" customFormat="false" ht="15" hidden="false" customHeight="false" outlineLevel="0" collapsed="false">
      <c r="A23" s="37" t="s">
        <v>53</v>
      </c>
      <c r="B23" s="38" t="n">
        <f aca="false">SUMIF(Monthly!$C$5:$AL$5,B$11,Monthly!$C$96:$AL$96)</f>
        <v>355442.207546519</v>
      </c>
      <c r="C23" s="38" t="n">
        <f aca="false">SUMIF(Monthly!$C$5:$AL$5,C$11,Monthly!$C$96:$AL$96)</f>
        <v>-165521.546467335</v>
      </c>
      <c r="D23" s="38" t="n">
        <f aca="false">SUMIF(Monthly!$C$5:$AL$5,D$11,Monthly!$C$96:$AL$96)</f>
        <v>72515.8553827797</v>
      </c>
      <c r="E23" s="37"/>
      <c r="F23" s="37"/>
    </row>
    <row r="24" customFormat="false" ht="15" hidden="false" customHeight="false" outlineLevel="0" collapsed="false">
      <c r="A24" s="41" t="s">
        <v>54</v>
      </c>
      <c r="B24" s="42" t="n">
        <f aca="false">INDEX(Monthly!$C$98:$AL$98,B$11*12)</f>
        <v>355442.207546519</v>
      </c>
      <c r="C24" s="42" t="n">
        <f aca="false">INDEX(Monthly!$C$98:$AL$98,C$11*12)</f>
        <v>189920.661079184</v>
      </c>
      <c r="D24" s="42" t="n">
        <f aca="false">INDEX(Monthly!$C$98:$AL$98,D$11*12)</f>
        <v>262436.516461964</v>
      </c>
      <c r="E24" s="41"/>
      <c r="F24" s="41"/>
    </row>
    <row r="26" customFormat="false" ht="15.75" hidden="false" customHeight="true" outlineLevel="0" collapsed="false">
      <c r="A26" s="7" t="s">
        <v>55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5"/>
      <c r="F27" s="35"/>
    </row>
    <row r="28" customFormat="false" ht="15" hidden="false" customHeight="false" outlineLevel="0" collapsed="false">
      <c r="A28" s="6" t="s">
        <v>56</v>
      </c>
      <c r="B28" s="43" t="n">
        <f aca="false">KPIs!B29</f>
        <v>972.089183697303</v>
      </c>
      <c r="C28" s="43" t="n">
        <f aca="false">KPIs!C29</f>
        <v>1644.34338061813</v>
      </c>
      <c r="D28" s="43" t="n">
        <f aca="false">KPIs!D29</f>
        <v>2081.65600865264</v>
      </c>
    </row>
    <row r="29" customFormat="false" ht="15" hidden="false" customHeight="false" outlineLevel="0" collapsed="false">
      <c r="A29" s="6" t="s">
        <v>57</v>
      </c>
      <c r="B29" s="43" t="n">
        <f aca="false">KPIs!B37</f>
        <v>255.65215282268</v>
      </c>
      <c r="C29" s="43" t="n">
        <f aca="false">KPIs!C37</f>
        <v>401.36880504265</v>
      </c>
      <c r="D29" s="43" t="n">
        <f aca="false">KPIs!D37</f>
        <v>466.968087719058</v>
      </c>
    </row>
    <row r="30" customFormat="false" ht="15" hidden="false" customHeight="false" outlineLevel="0" collapsed="false">
      <c r="A30" s="6" t="s">
        <v>58</v>
      </c>
      <c r="B30" s="44" t="n">
        <f aca="false">KPIs!B39</f>
        <v>0.301832529896906</v>
      </c>
      <c r="C30" s="44" t="n">
        <f aca="false">KPIs!C39</f>
        <v>0.473871080333707</v>
      </c>
      <c r="D30" s="44" t="n">
        <f aca="false">KPIs!D39</f>
        <v>0.551320056338912</v>
      </c>
    </row>
    <row r="31" customFormat="false" ht="15" hidden="false" customHeight="false" outlineLevel="0" collapsed="false">
      <c r="A31" s="6" t="s">
        <v>59</v>
      </c>
      <c r="B31" s="45" t="n">
        <f aca="false">KPIs!B45</f>
        <v>13.2654025173781</v>
      </c>
      <c r="C31" s="45" t="n">
        <f aca="false">KPIs!C45</f>
        <v>12.9290430501334</v>
      </c>
      <c r="D31" s="45" t="n">
        <f aca="false">KPIs!D45</f>
        <v>12.8013165582013</v>
      </c>
    </row>
    <row r="32" customFormat="false" ht="15" hidden="false" customHeight="false" outlineLevel="0" collapsed="false">
      <c r="A32" s="6" t="s">
        <v>60</v>
      </c>
      <c r="B32" s="46" t="n">
        <f aca="false">INDEX(Headcount!$C$10:$AL$10,B$27*12)</f>
        <v>11</v>
      </c>
      <c r="C32" s="46" t="n">
        <f aca="false">INDEX(Headcount!$C$10:$AL$10,C$27*12)</f>
        <v>11</v>
      </c>
      <c r="D32" s="46" t="n">
        <f aca="false">INDEX(Headcount!$C$10:$AL$10,D$27*12)</f>
        <v>11</v>
      </c>
    </row>
    <row r="34" customFormat="false" ht="15.75" hidden="false" customHeight="true" outlineLevel="0" collapsed="false">
      <c r="A34" s="7" t="s">
        <v>61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62</v>
      </c>
      <c r="B35" s="47"/>
      <c r="C35" s="47"/>
      <c r="D35" s="47"/>
      <c r="E35" s="47"/>
      <c r="F35" s="48" t="n">
        <f aca="false">Inputs!$E$67</f>
        <v>2100000</v>
      </c>
    </row>
    <row r="36" customFormat="false" ht="15" hidden="false" customHeight="false" outlineLevel="0" collapsed="false">
      <c r="A36" s="6" t="s">
        <v>63</v>
      </c>
      <c r="B36" s="47"/>
      <c r="C36" s="47"/>
      <c r="D36" s="47"/>
      <c r="E36" s="47"/>
      <c r="F36" s="48" t="n">
        <f aca="false">Inputs!$E$68</f>
        <v>3000000</v>
      </c>
    </row>
    <row r="37" customFormat="false" ht="15" hidden="false" customHeight="false" outlineLevel="0" collapsed="false">
      <c r="A37" s="6" t="s">
        <v>64</v>
      </c>
      <c r="B37" s="47"/>
      <c r="C37" s="47"/>
      <c r="D37" s="47"/>
      <c r="E37" s="47"/>
      <c r="F37" s="48" t="n">
        <f aca="false">'Break-even'!B12</f>
        <v>5249445.4614431</v>
      </c>
    </row>
    <row r="38" customFormat="false" ht="15" hidden="false" customHeight="false" outlineLevel="0" collapsed="false">
      <c r="A38" s="37" t="s">
        <v>65</v>
      </c>
      <c r="B38" s="37"/>
      <c r="C38" s="37"/>
      <c r="D38" s="37"/>
      <c r="E38" s="37"/>
      <c r="F38" s="38" t="n">
        <f aca="false">'Break-even'!B17</f>
        <v>-149445.461443098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26)</v>
      </c>
      <c r="B39" s="47"/>
      <c r="C39" s="47"/>
      <c r="D39" s="47"/>
      <c r="E39" s="47"/>
      <c r="F39" s="48" t="n">
        <f aca="false">'Break-even'!B18</f>
        <v>131554.538556901</v>
      </c>
    </row>
    <row r="40" customFormat="false" ht="15" hidden="false" customHeight="false" outlineLevel="0" collapsed="false">
      <c r="A40" s="6" t="s">
        <v>66</v>
      </c>
      <c r="B40" s="47"/>
      <c r="C40" s="47"/>
      <c r="D40" s="47"/>
      <c r="E40" s="47"/>
      <c r="F40" s="49" t="n">
        <f aca="false">'Break-even'!B21</f>
        <v>8</v>
      </c>
    </row>
    <row r="41" customFormat="false" ht="15" hidden="false" customHeight="false" outlineLevel="0" collapsed="false">
      <c r="A41" s="6" t="s">
        <v>67</v>
      </c>
      <c r="B41" s="47"/>
      <c r="C41" s="47"/>
      <c r="D41" s="47"/>
      <c r="E41" s="47"/>
      <c r="F41" s="49" t="str">
        <f aca="false">'Break-even'!B23</f>
        <v>Not within horizon</v>
      </c>
    </row>
    <row r="42" customFormat="false" ht="15" hidden="false" customHeight="false" outlineLevel="0" collapsed="false">
      <c r="A42" s="6" t="s">
        <v>68</v>
      </c>
      <c r="B42" s="47"/>
      <c r="C42" s="47"/>
      <c r="D42" s="47"/>
      <c r="E42" s="47"/>
      <c r="F42" s="48" t="n">
        <f aca="false">Valuation!B27</f>
        <v>-1762873.22792661</v>
      </c>
    </row>
    <row r="43" customFormat="false" ht="15" hidden="false" customHeight="false" outlineLevel="0" collapsed="false">
      <c r="A43" s="6" t="s">
        <v>69</v>
      </c>
      <c r="B43" s="47"/>
      <c r="C43" s="47"/>
      <c r="D43" s="47"/>
      <c r="E43" s="47"/>
      <c r="F43" s="48" t="n">
        <f aca="false">Valuation!C27</f>
        <v>-1714433.06085191</v>
      </c>
    </row>
    <row r="44" customFormat="false" ht="15" hidden="false" customHeight="false" outlineLevel="0" collapsed="false">
      <c r="A44" s="41" t="s">
        <v>70</v>
      </c>
      <c r="B44" s="41"/>
      <c r="C44" s="41"/>
      <c r="D44" s="41"/>
      <c r="E44" s="41"/>
      <c r="F44" s="42" t="n">
        <f aca="false">Valuation!B30</f>
        <v>-1738653.14438926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71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72</v>
      </c>
      <c r="R2" s="50" t="n">
        <v>1</v>
      </c>
      <c r="S2" s="50"/>
    </row>
    <row r="5" customFormat="false" ht="15.75" hidden="false" customHeight="true" outlineLevel="0" collapsed="false">
      <c r="A5" s="7" t="s">
        <v>73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5"/>
      <c r="F6" s="35"/>
      <c r="H6" s="51" t="n">
        <f aca="false">INDEX(Monthly!$C$4:$AL$4,($R$2-1)*12+1)</f>
        <v>1</v>
      </c>
      <c r="I6" s="51" t="n">
        <f aca="false">INDEX(Monthly!$C$4:$AL$4,($R$2-1)*12+2)</f>
        <v>2</v>
      </c>
      <c r="J6" s="51" t="n">
        <f aca="false">INDEX(Monthly!$C$4:$AL$4,($R$2-1)*12+3)</f>
        <v>3</v>
      </c>
      <c r="K6" s="51" t="n">
        <f aca="false">INDEX(Monthly!$C$4:$AL$4,($R$2-1)*12+4)</f>
        <v>4</v>
      </c>
      <c r="L6" s="51" t="n">
        <f aca="false">INDEX(Monthly!$C$4:$AL$4,($R$2-1)*12+5)</f>
        <v>5</v>
      </c>
      <c r="M6" s="51" t="n">
        <f aca="false">INDEX(Monthly!$C$4:$AL$4,($R$2-1)*12+6)</f>
        <v>6</v>
      </c>
      <c r="N6" s="51" t="n">
        <f aca="false">INDEX(Monthly!$C$4:$AL$4,($R$2-1)*12+7)</f>
        <v>7</v>
      </c>
      <c r="O6" s="51" t="n">
        <f aca="false">INDEX(Monthly!$C$4:$AL$4,($R$2-1)*12+8)</f>
        <v>8</v>
      </c>
      <c r="P6" s="51" t="n">
        <f aca="false">INDEX(Monthly!$C$4:$AL$4,($R$2-1)*12+9)</f>
        <v>9</v>
      </c>
      <c r="Q6" s="51" t="n">
        <f aca="false">INDEX(Monthly!$C$4:$AL$4,($R$2-1)*12+10)</f>
        <v>10</v>
      </c>
      <c r="R6" s="51" t="n">
        <f aca="false">INDEX(Monthly!$C$4:$AL$4,($R$2-1)*12+11)</f>
        <v>11</v>
      </c>
      <c r="S6" s="51" t="n">
        <f aca="false">INDEX(Monthly!$C$4:$AL$4,($R$2-1)*12+12)</f>
        <v>12</v>
      </c>
    </row>
    <row r="7" customFormat="false" ht="15" hidden="false" customHeight="false" outlineLevel="0" collapsed="false">
      <c r="A7" s="52" t="s">
        <v>42</v>
      </c>
      <c r="B7" s="36" t="n">
        <f aca="false">'P&amp;L'!B5</f>
        <v>1180182.39164623</v>
      </c>
      <c r="C7" s="36" t="n">
        <f aca="false">'P&amp;L'!C5</f>
        <v>1805881.4666632</v>
      </c>
      <c r="D7" s="36" t="n">
        <f aca="false">'P&amp;L'!D5</f>
        <v>2080276.59708741</v>
      </c>
      <c r="H7" s="36" t="n">
        <f aca="false">INDEX(Monthly!$C$37:$AL$37,($R$2-1)*12+1)</f>
        <v>47943.358</v>
      </c>
      <c r="I7" s="36" t="n">
        <f aca="false">INDEX(Monthly!$C$37:$AL$37,($R$2-1)*12+2)</f>
        <v>54448.9359022222</v>
      </c>
      <c r="J7" s="36" t="n">
        <f aca="false">INDEX(Monthly!$C$37:$AL$37,($R$2-1)*12+3)</f>
        <v>72773.4017994667</v>
      </c>
      <c r="K7" s="36" t="n">
        <f aca="false">INDEX(Monthly!$C$37:$AL$37,($R$2-1)*12+4)</f>
        <v>81051.8988385991</v>
      </c>
      <c r="L7" s="36" t="n">
        <f aca="false">INDEX(Monthly!$C$37:$AL$37,($R$2-1)*12+5)</f>
        <v>89490.2764406107</v>
      </c>
      <c r="M7" s="36" t="n">
        <f aca="false">INDEX(Monthly!$C$37:$AL$37,($R$2-1)*12+6)</f>
        <v>98082.1393829863</v>
      </c>
      <c r="N7" s="36" t="n">
        <f aca="false">INDEX(Monthly!$C$37:$AL$37,($R$2-1)*12+7)</f>
        <v>106821.348252111</v>
      </c>
      <c r="O7" s="36" t="n">
        <f aca="false">INDEX(Monthly!$C$37:$AL$37,($R$2-1)*12+8)</f>
        <v>115702.009210916</v>
      </c>
      <c r="P7" s="36" t="n">
        <f aca="false">INDEX(Monthly!$C$37:$AL$37,($R$2-1)*12+9)</f>
        <v>124718.464175812</v>
      </c>
      <c r="Q7" s="36" t="n">
        <f aca="false">INDEX(Monthly!$C$37:$AL$37,($R$2-1)*12+10)</f>
        <v>133865.281386558</v>
      </c>
      <c r="R7" s="36" t="n">
        <f aca="false">INDEX(Monthly!$C$37:$AL$37,($R$2-1)*12+11)</f>
        <v>136545.550131095</v>
      </c>
      <c r="S7" s="36" t="n">
        <f aca="false">INDEX(Monthly!$C$37:$AL$37,($R$2-1)*12+12)</f>
        <v>118739.728125852</v>
      </c>
    </row>
    <row r="8" customFormat="false" ht="15" hidden="false" customHeight="false" outlineLevel="0" collapsed="false">
      <c r="A8" s="52" t="s">
        <v>74</v>
      </c>
      <c r="B8" s="36" t="n">
        <f aca="false">'P&amp;L'!B6</f>
        <v>-180421.598916524</v>
      </c>
      <c r="C8" s="36" t="n">
        <f aca="false">'P&amp;L'!C6</f>
        <v>-288679.05820146</v>
      </c>
      <c r="D8" s="36" t="n">
        <f aca="false">'P&amp;L'!D6</f>
        <v>-343422.649355316</v>
      </c>
      <c r="H8" s="36" t="n">
        <f aca="false">INDEX(Monthly!$C$45:$AL$45,($R$2-1)*12+1)</f>
        <v>-7071.9457459</v>
      </c>
      <c r="I8" s="36" t="n">
        <f aca="false">INDEX(Monthly!$C$45:$AL$45,($R$2-1)*12+2)</f>
        <v>-8031.44880631956</v>
      </c>
      <c r="J8" s="36" t="n">
        <f aca="false">INDEX(Monthly!$C$45:$AL$45,($R$2-1)*12+3)</f>
        <v>-11076.8352569627</v>
      </c>
      <c r="K8" s="36" t="n">
        <f aca="false">INDEX(Monthly!$C$45:$AL$45,($R$2-1)*12+4)</f>
        <v>-12361.6968813842</v>
      </c>
      <c r="L8" s="36" t="n">
        <f aca="false">INDEX(Monthly!$C$45:$AL$45,($R$2-1)*12+5)</f>
        <v>-13678.7184810288</v>
      </c>
      <c r="M8" s="36" t="n">
        <f aca="false">INDEX(Monthly!$C$45:$AL$45,($R$2-1)*12+6)</f>
        <v>-15026.6136568877</v>
      </c>
      <c r="N8" s="36" t="n">
        <f aca="false">INDEX(Monthly!$C$45:$AL$45,($R$2-1)*12+7)</f>
        <v>-16404.1474659122</v>
      </c>
      <c r="O8" s="36" t="n">
        <f aca="false">INDEX(Monthly!$C$45:$AL$45,($R$2-1)*12+8)</f>
        <v>-17810.1343627757</v>
      </c>
      <c r="P8" s="36" t="n">
        <f aca="false">INDEX(Monthly!$C$45:$AL$45,($R$2-1)*12+9)</f>
        <v>-19243.4362239647</v>
      </c>
      <c r="Q8" s="36" t="n">
        <f aca="false">INDEX(Monthly!$C$45:$AL$45,($R$2-1)*12+10)</f>
        <v>-20702.9604509061</v>
      </c>
      <c r="R8" s="36" t="n">
        <f aca="false">INDEX(Monthly!$C$45:$AL$45,($R$2-1)*12+11)</f>
        <v>-21242.0965088698</v>
      </c>
      <c r="S8" s="36" t="n">
        <f aca="false">INDEX(Monthly!$C$45:$AL$45,($R$2-1)*12+12)</f>
        <v>-17771.5650756123</v>
      </c>
    </row>
    <row r="9" customFormat="false" ht="15" hidden="false" customHeight="false" outlineLevel="0" collapsed="false">
      <c r="A9" s="37" t="s">
        <v>43</v>
      </c>
      <c r="B9" s="38" t="n">
        <f aca="false">'P&amp;L'!B7</f>
        <v>999760.792729705</v>
      </c>
      <c r="C9" s="38" t="n">
        <f aca="false">'P&amp;L'!C7</f>
        <v>1517202.40846174</v>
      </c>
      <c r="D9" s="38" t="n">
        <f aca="false">'P&amp;L'!D7</f>
        <v>1736853.94773209</v>
      </c>
      <c r="E9" s="37"/>
      <c r="F9" s="37"/>
      <c r="H9" s="38" t="n">
        <f aca="false">INDEX(Monthly!$C$46:$AL$46,($R$2-1)*12+1)</f>
        <v>40871.4122541</v>
      </c>
      <c r="I9" s="38" t="n">
        <f aca="false">INDEX(Monthly!$C$46:$AL$46,($R$2-1)*12+2)</f>
        <v>46417.4870959027</v>
      </c>
      <c r="J9" s="38" t="n">
        <f aca="false">INDEX(Monthly!$C$46:$AL$46,($R$2-1)*12+3)</f>
        <v>61696.566542504</v>
      </c>
      <c r="K9" s="38" t="n">
        <f aca="false">INDEX(Monthly!$C$46:$AL$46,($R$2-1)*12+4)</f>
        <v>68690.2019572149</v>
      </c>
      <c r="L9" s="38" t="n">
        <f aca="false">INDEX(Monthly!$C$46:$AL$46,($R$2-1)*12+5)</f>
        <v>75811.5579595819</v>
      </c>
      <c r="M9" s="38" t="n">
        <f aca="false">INDEX(Monthly!$C$46:$AL$46,($R$2-1)*12+6)</f>
        <v>83055.5257260986</v>
      </c>
      <c r="N9" s="38" t="n">
        <f aca="false">INDEX(Monthly!$C$46:$AL$46,($R$2-1)*12+7)</f>
        <v>90417.2007861991</v>
      </c>
      <c r="O9" s="38" t="n">
        <f aca="false">INDEX(Monthly!$C$46:$AL$46,($R$2-1)*12+8)</f>
        <v>97891.87484814</v>
      </c>
      <c r="P9" s="38" t="n">
        <f aca="false">INDEX(Monthly!$C$46:$AL$46,($R$2-1)*12+9)</f>
        <v>105475.027951848</v>
      </c>
      <c r="Q9" s="38" t="n">
        <f aca="false">INDEX(Monthly!$C$46:$AL$46,($R$2-1)*12+10)</f>
        <v>113162.320935652</v>
      </c>
      <c r="R9" s="38" t="n">
        <f aca="false">INDEX(Monthly!$C$46:$AL$46,($R$2-1)*12+11)</f>
        <v>115303.453622226</v>
      </c>
      <c r="S9" s="38" t="n">
        <f aca="false">INDEX(Monthly!$C$46:$AL$46,($R$2-1)*12+12)</f>
        <v>100968.163050239</v>
      </c>
    </row>
    <row r="10" customFormat="false" ht="15" hidden="false" customHeight="false" outlineLevel="0" collapsed="false">
      <c r="A10" s="39" t="s">
        <v>44</v>
      </c>
      <c r="B10" s="40" t="n">
        <f aca="false">'P&amp;L'!B8</f>
        <v>0.847123969825669</v>
      </c>
      <c r="C10" s="40" t="n">
        <f aca="false">'P&amp;L'!C8</f>
        <v>0.840145068471817</v>
      </c>
      <c r="D10" s="40" t="n">
        <f aca="false">'P&amp;L'!D8</f>
        <v>0.83491490995181</v>
      </c>
      <c r="H10" s="40" t="n">
        <f aca="false">IF(H7=0,0,H9/H7)</f>
        <v>0.852493733419758</v>
      </c>
      <c r="I10" s="40" t="n">
        <f aca="false">IF(I7=0,0,I9/I7)</f>
        <v>0.852495761887024</v>
      </c>
      <c r="J10" s="40" t="n">
        <f aca="false">IF(J7=0,0,J9/J7)</f>
        <v>0.847790058138468</v>
      </c>
      <c r="K10" s="40" t="n">
        <f aca="false">IF(K7=0,0,K9/K7)</f>
        <v>0.847484179167716</v>
      </c>
      <c r="L10" s="40" t="n">
        <f aca="false">IF(L7=0,0,L9/L7)</f>
        <v>0.847148550377911</v>
      </c>
      <c r="M10" s="40" t="n">
        <f aca="false">IF(M7=0,0,M9/M7)</f>
        <v>0.84679561690419</v>
      </c>
      <c r="N10" s="40" t="n">
        <f aca="false">IF(N7=0,0,N9/N7)</f>
        <v>0.846433809960941</v>
      </c>
      <c r="O10" s="40" t="n">
        <f aca="false">IF(O7=0,0,O9/O7)</f>
        <v>0.846068927547237</v>
      </c>
      <c r="P10" s="40" t="n">
        <f aca="false">IF(P7=0,0,P9/P7)</f>
        <v>0.845704993634</v>
      </c>
      <c r="Q10" s="40" t="n">
        <f aca="false">IF(Q7=0,0,Q9/Q7)</f>
        <v>0.845344810570241</v>
      </c>
      <c r="R10" s="40" t="n">
        <f aca="false">IF(R7=0,0,R9/R7)</f>
        <v>0.844432158437418</v>
      </c>
      <c r="S10" s="40" t="n">
        <f aca="false">IF(S7=0,0,S9/S7)</f>
        <v>0.850331768851818</v>
      </c>
    </row>
    <row r="11" customFormat="false" ht="15" hidden="false" customHeight="false" outlineLevel="0" collapsed="false">
      <c r="A11" s="52" t="s">
        <v>75</v>
      </c>
      <c r="B11" s="36" t="n">
        <f aca="false">'P&amp;L'!B14</f>
        <v>-1123040</v>
      </c>
      <c r="C11" s="36" t="n">
        <f aca="false">'P&amp;L'!C14</f>
        <v>-1123611.2</v>
      </c>
      <c r="D11" s="36" t="n">
        <f aca="false">'P&amp;L'!D14</f>
        <v>-1130823.536</v>
      </c>
      <c r="H11" s="36" t="n">
        <f aca="false">INDEX(Monthly!$C$54:$AL$54,($R$2-1)*12+1)</f>
        <v>-93586.6666666667</v>
      </c>
      <c r="I11" s="36" t="n">
        <f aca="false">INDEX(Monthly!$C$54:$AL$54,($R$2-1)*12+2)</f>
        <v>-93586.6666666667</v>
      </c>
      <c r="J11" s="36" t="n">
        <f aca="false">INDEX(Monthly!$C$54:$AL$54,($R$2-1)*12+3)</f>
        <v>-93586.6666666667</v>
      </c>
      <c r="K11" s="36" t="n">
        <f aca="false">INDEX(Monthly!$C$54:$AL$54,($R$2-1)*12+4)</f>
        <v>-93586.6666666667</v>
      </c>
      <c r="L11" s="36" t="n">
        <f aca="false">INDEX(Monthly!$C$54:$AL$54,($R$2-1)*12+5)</f>
        <v>-93586.6666666667</v>
      </c>
      <c r="M11" s="36" t="n">
        <f aca="false">INDEX(Monthly!$C$54:$AL$54,($R$2-1)*12+6)</f>
        <v>-93586.6666666667</v>
      </c>
      <c r="N11" s="36" t="n">
        <f aca="false">INDEX(Monthly!$C$54:$AL$54,($R$2-1)*12+7)</f>
        <v>-93586.6666666667</v>
      </c>
      <c r="O11" s="36" t="n">
        <f aca="false">INDEX(Monthly!$C$54:$AL$54,($R$2-1)*12+8)</f>
        <v>-93586.6666666667</v>
      </c>
      <c r="P11" s="36" t="n">
        <f aca="false">INDEX(Monthly!$C$54:$AL$54,($R$2-1)*12+9)</f>
        <v>-93586.6666666667</v>
      </c>
      <c r="Q11" s="36" t="n">
        <f aca="false">INDEX(Monthly!$C$54:$AL$54,($R$2-1)*12+10)</f>
        <v>-93586.6666666667</v>
      </c>
      <c r="R11" s="36" t="n">
        <f aca="false">INDEX(Monthly!$C$54:$AL$54,($R$2-1)*12+11)</f>
        <v>-93586.6666666667</v>
      </c>
      <c r="S11" s="36" t="n">
        <f aca="false">INDEX(Monthly!$C$54:$AL$54,($R$2-1)*12+12)</f>
        <v>-93586.6666666667</v>
      </c>
    </row>
    <row r="12" customFormat="false" ht="15" hidden="false" customHeight="false" outlineLevel="0" collapsed="false">
      <c r="A12" s="37" t="s">
        <v>46</v>
      </c>
      <c r="B12" s="38" t="n">
        <f aca="false">'P&amp;L'!B15</f>
        <v>-123279.207270295</v>
      </c>
      <c r="C12" s="38" t="n">
        <f aca="false">'P&amp;L'!C15</f>
        <v>393591.208461737</v>
      </c>
      <c r="D12" s="38" t="n">
        <f aca="false">'P&amp;L'!D15</f>
        <v>606030.411732089</v>
      </c>
      <c r="E12" s="37"/>
      <c r="F12" s="37"/>
      <c r="H12" s="38" t="n">
        <f aca="false">INDEX(Monthly!$C$55:$AL$55,($R$2-1)*12+1)</f>
        <v>-52715.2544125667</v>
      </c>
      <c r="I12" s="38" t="n">
        <f aca="false">INDEX(Monthly!$C$55:$AL$55,($R$2-1)*12+2)</f>
        <v>-47169.179570764</v>
      </c>
      <c r="J12" s="38" t="n">
        <f aca="false">INDEX(Monthly!$C$55:$AL$55,($R$2-1)*12+3)</f>
        <v>-31890.1001241627</v>
      </c>
      <c r="K12" s="38" t="n">
        <f aca="false">INDEX(Monthly!$C$55:$AL$55,($R$2-1)*12+4)</f>
        <v>-24896.4647094518</v>
      </c>
      <c r="L12" s="38" t="n">
        <f aca="false">INDEX(Monthly!$C$55:$AL$55,($R$2-1)*12+5)</f>
        <v>-17775.1087070848</v>
      </c>
      <c r="M12" s="38" t="n">
        <f aca="false">INDEX(Monthly!$C$55:$AL$55,($R$2-1)*12+6)</f>
        <v>-10531.1409405681</v>
      </c>
      <c r="N12" s="38" t="n">
        <f aca="false">INDEX(Monthly!$C$55:$AL$55,($R$2-1)*12+7)</f>
        <v>-3169.46588046759</v>
      </c>
      <c r="O12" s="38" t="n">
        <f aca="false">INDEX(Monthly!$C$55:$AL$55,($R$2-1)*12+8)</f>
        <v>4305.20818147335</v>
      </c>
      <c r="P12" s="38" t="n">
        <f aca="false">INDEX(Monthly!$C$55:$AL$55,($R$2-1)*12+9)</f>
        <v>11888.3612851811</v>
      </c>
      <c r="Q12" s="38" t="n">
        <f aca="false">INDEX(Monthly!$C$55:$AL$55,($R$2-1)*12+10)</f>
        <v>19575.654268985</v>
      </c>
      <c r="R12" s="38" t="n">
        <f aca="false">INDEX(Monthly!$C$55:$AL$55,($R$2-1)*12+11)</f>
        <v>21716.7869555589</v>
      </c>
      <c r="S12" s="38" t="n">
        <f aca="false">INDEX(Monthly!$C$55:$AL$55,($R$2-1)*12+12)</f>
        <v>7381.49638357262</v>
      </c>
    </row>
    <row r="13" customFormat="false" ht="15" hidden="false" customHeight="false" outlineLevel="0" collapsed="false">
      <c r="A13" s="39" t="s">
        <v>47</v>
      </c>
      <c r="B13" s="40" t="n">
        <f aca="false">'P&amp;L'!B16</f>
        <v>-0.104457758515049</v>
      </c>
      <c r="C13" s="40" t="n">
        <f aca="false">'P&amp;L'!C16</f>
        <v>0.217949636079378</v>
      </c>
      <c r="D13" s="40" t="n">
        <f aca="false">'P&amp;L'!D16</f>
        <v>0.291322035050816</v>
      </c>
      <c r="H13" s="40" t="n">
        <f aca="false">IF(H7=0,0,H12/H7)</f>
        <v>-1.09953196045564</v>
      </c>
      <c r="I13" s="40" t="n">
        <f aca="false">IF(I7=0,0,I12/I7)</f>
        <v>-0.866301219466787</v>
      </c>
      <c r="J13" s="40" t="n">
        <f aca="false">IF(J7=0,0,J12/J7)</f>
        <v>-0.438210930582009</v>
      </c>
      <c r="K13" s="40" t="n">
        <f aca="false">IF(K7=0,0,K12/K7)</f>
        <v>-0.307166951869059</v>
      </c>
      <c r="L13" s="40" t="n">
        <f aca="false">IF(L7=0,0,L12/L7)</f>
        <v>-0.198626145924145</v>
      </c>
      <c r="M13" s="40" t="n">
        <f aca="false">IF(M7=0,0,M12/M7)</f>
        <v>-0.107370628402044</v>
      </c>
      <c r="N13" s="40" t="n">
        <f aca="false">IF(N7=0,0,N12/N7)</f>
        <v>-0.0296707159414171</v>
      </c>
      <c r="O13" s="40" t="n">
        <f aca="false">IF(O7=0,0,O12/O7)</f>
        <v>0.0372094504739783</v>
      </c>
      <c r="P13" s="40" t="n">
        <f aca="false">IF(P7=0,0,P12/P7)</f>
        <v>0.0953215818022131</v>
      </c>
      <c r="Q13" s="40" t="n">
        <f aca="false">IF(Q7=0,0,Q12/Q7)</f>
        <v>0.146233990368698</v>
      </c>
      <c r="R13" s="40" t="n">
        <f aca="false">IF(R7=0,0,R12/R7)</f>
        <v>0.159044267167322</v>
      </c>
      <c r="S13" s="40" t="n">
        <f aca="false">IF(S7=0,0,S12/S7)</f>
        <v>0.0621653468479313</v>
      </c>
    </row>
    <row r="14" customFormat="false" ht="15" hidden="false" customHeight="false" outlineLevel="0" collapsed="false">
      <c r="A14" s="52" t="s">
        <v>76</v>
      </c>
      <c r="B14" s="36" t="n">
        <f aca="false">'P&amp;L'!B17</f>
        <v>-341666.666666667</v>
      </c>
      <c r="C14" s="36" t="n">
        <f aca="false">'P&amp;L'!C17</f>
        <v>-345000</v>
      </c>
      <c r="D14" s="36" t="n">
        <f aca="false">'P&amp;L'!D17</f>
        <v>-348333.333333333</v>
      </c>
      <c r="H14" s="36" t="n">
        <f aca="false">INDEX(Monthly!$C$73:$AL$73,($R$2-1)*12+1)</f>
        <v>-28472.2222222222</v>
      </c>
      <c r="I14" s="36" t="n">
        <f aca="false">INDEX(Monthly!$C$73:$AL$73,($R$2-1)*12+2)</f>
        <v>-28472.2222222222</v>
      </c>
      <c r="J14" s="36" t="n">
        <f aca="false">INDEX(Monthly!$C$73:$AL$73,($R$2-1)*12+3)</f>
        <v>-28472.2222222222</v>
      </c>
      <c r="K14" s="36" t="n">
        <f aca="false">INDEX(Monthly!$C$73:$AL$73,($R$2-1)*12+4)</f>
        <v>-28472.2222222222</v>
      </c>
      <c r="L14" s="36" t="n">
        <f aca="false">INDEX(Monthly!$C$73:$AL$73,($R$2-1)*12+5)</f>
        <v>-28472.2222222222</v>
      </c>
      <c r="M14" s="36" t="n">
        <f aca="false">INDEX(Monthly!$C$73:$AL$73,($R$2-1)*12+6)</f>
        <v>-28472.2222222222</v>
      </c>
      <c r="N14" s="36" t="n">
        <f aca="false">INDEX(Monthly!$C$73:$AL$73,($R$2-1)*12+7)</f>
        <v>-28472.2222222222</v>
      </c>
      <c r="O14" s="36" t="n">
        <f aca="false">INDEX(Monthly!$C$73:$AL$73,($R$2-1)*12+8)</f>
        <v>-28472.2222222222</v>
      </c>
      <c r="P14" s="36" t="n">
        <f aca="false">INDEX(Monthly!$C$73:$AL$73,($R$2-1)*12+9)</f>
        <v>-28472.2222222222</v>
      </c>
      <c r="Q14" s="36" t="n">
        <f aca="false">INDEX(Monthly!$C$73:$AL$73,($R$2-1)*12+10)</f>
        <v>-28472.2222222222</v>
      </c>
      <c r="R14" s="36" t="n">
        <f aca="false">INDEX(Monthly!$C$73:$AL$73,($R$2-1)*12+11)</f>
        <v>-28472.2222222222</v>
      </c>
      <c r="S14" s="36" t="n">
        <f aca="false">INDEX(Monthly!$C$73:$AL$73,($R$2-1)*12+12)</f>
        <v>-28472.2222222222</v>
      </c>
    </row>
    <row r="15" customFormat="false" ht="15" hidden="false" customHeight="false" outlineLevel="0" collapsed="false">
      <c r="A15" s="37" t="s">
        <v>77</v>
      </c>
      <c r="B15" s="38" t="n">
        <f aca="false">'P&amp;L'!B18</f>
        <v>-464945.873936961</v>
      </c>
      <c r="C15" s="38" t="n">
        <f aca="false">'P&amp;L'!C18</f>
        <v>48591.2084617368</v>
      </c>
      <c r="D15" s="38" t="n">
        <f aca="false">'P&amp;L'!D18</f>
        <v>257697.078398756</v>
      </c>
      <c r="E15" s="37"/>
      <c r="F15" s="37"/>
      <c r="H15" s="38" t="n">
        <f aca="false">INDEX(Monthly!$C$58:$AL$58,($R$2-1)*12+1)</f>
        <v>-81187.4766347889</v>
      </c>
      <c r="I15" s="38" t="n">
        <f aca="false">INDEX(Monthly!$C$58:$AL$58,($R$2-1)*12+2)</f>
        <v>-75641.4017929862</v>
      </c>
      <c r="J15" s="38" t="n">
        <f aca="false">INDEX(Monthly!$C$58:$AL$58,($R$2-1)*12+3)</f>
        <v>-60362.3223463849</v>
      </c>
      <c r="K15" s="38" t="n">
        <f aca="false">INDEX(Monthly!$C$58:$AL$58,($R$2-1)*12+4)</f>
        <v>-53368.686931674</v>
      </c>
      <c r="L15" s="38" t="n">
        <f aca="false">INDEX(Monthly!$C$58:$AL$58,($R$2-1)*12+5)</f>
        <v>-46247.330929307</v>
      </c>
      <c r="M15" s="38" t="n">
        <f aca="false">INDEX(Monthly!$C$58:$AL$58,($R$2-1)*12+6)</f>
        <v>-39003.3631627903</v>
      </c>
      <c r="N15" s="38" t="n">
        <f aca="false">INDEX(Monthly!$C$58:$AL$58,($R$2-1)*12+7)</f>
        <v>-31641.6881026898</v>
      </c>
      <c r="O15" s="38" t="n">
        <f aca="false">INDEX(Monthly!$C$58:$AL$58,($R$2-1)*12+8)</f>
        <v>-24167.0140407489</v>
      </c>
      <c r="P15" s="38" t="n">
        <f aca="false">INDEX(Monthly!$C$58:$AL$58,($R$2-1)*12+9)</f>
        <v>-16583.8609370411</v>
      </c>
      <c r="Q15" s="38" t="n">
        <f aca="false">INDEX(Monthly!$C$58:$AL$58,($R$2-1)*12+10)</f>
        <v>-8896.56795323726</v>
      </c>
      <c r="R15" s="38" t="n">
        <f aca="false">INDEX(Monthly!$C$58:$AL$58,($R$2-1)*12+11)</f>
        <v>-6755.43526666334</v>
      </c>
      <c r="S15" s="38" t="n">
        <f aca="false">INDEX(Monthly!$C$58:$AL$58,($R$2-1)*12+12)</f>
        <v>-21090.7258386496</v>
      </c>
    </row>
    <row r="16" customFormat="false" ht="15" hidden="false" customHeight="false" outlineLevel="0" collapsed="false">
      <c r="A16" s="52" t="s">
        <v>78</v>
      </c>
      <c r="B16" s="36" t="n">
        <f aca="false">'P&amp;L'!B19</f>
        <v>-244286.458333333</v>
      </c>
      <c r="C16" s="36" t="n">
        <f aca="false">'P&amp;L'!C19</f>
        <v>-218875</v>
      </c>
      <c r="D16" s="36" t="n">
        <f aca="false">'P&amp;L'!D19</f>
        <v>-193375</v>
      </c>
      <c r="H16" s="36" t="n">
        <f aca="false">INDEX(Monthly!$C$59:$AL$59,($R$2-1)*12+1)</f>
        <v>-21250</v>
      </c>
      <c r="I16" s="36" t="n">
        <f aca="false">INDEX(Monthly!$C$59:$AL$59,($R$2-1)*12+2)</f>
        <v>-21161.4583333333</v>
      </c>
      <c r="J16" s="36" t="n">
        <f aca="false">INDEX(Monthly!$C$59:$AL$59,($R$2-1)*12+3)</f>
        <v>-20984.375</v>
      </c>
      <c r="K16" s="36" t="n">
        <f aca="false">INDEX(Monthly!$C$59:$AL$59,($R$2-1)*12+4)</f>
        <v>-20807.2916666667</v>
      </c>
      <c r="L16" s="36" t="n">
        <f aca="false">INDEX(Monthly!$C$59:$AL$59,($R$2-1)*12+5)</f>
        <v>-20630.2083333333</v>
      </c>
      <c r="M16" s="36" t="n">
        <f aca="false">INDEX(Monthly!$C$59:$AL$59,($R$2-1)*12+6)</f>
        <v>-20453.125</v>
      </c>
      <c r="N16" s="36" t="n">
        <f aca="false">INDEX(Monthly!$C$59:$AL$59,($R$2-1)*12+7)</f>
        <v>-20276.0416666667</v>
      </c>
      <c r="O16" s="36" t="n">
        <f aca="false">INDEX(Monthly!$C$59:$AL$59,($R$2-1)*12+8)</f>
        <v>-20098.9583333333</v>
      </c>
      <c r="P16" s="36" t="n">
        <f aca="false">INDEX(Monthly!$C$59:$AL$59,($R$2-1)*12+9)</f>
        <v>-19921.875</v>
      </c>
      <c r="Q16" s="36" t="n">
        <f aca="false">INDEX(Monthly!$C$59:$AL$59,($R$2-1)*12+10)</f>
        <v>-19744.7916666667</v>
      </c>
      <c r="R16" s="36" t="n">
        <f aca="false">INDEX(Monthly!$C$59:$AL$59,($R$2-1)*12+11)</f>
        <v>-19567.7083333333</v>
      </c>
      <c r="S16" s="36" t="n">
        <f aca="false">INDEX(Monthly!$C$59:$AL$59,($R$2-1)*12+12)</f>
        <v>-19390.625</v>
      </c>
    </row>
    <row r="17" customFormat="false" ht="15" hidden="false" customHeight="false" outlineLevel="0" collapsed="false">
      <c r="A17" s="52" t="s">
        <v>79</v>
      </c>
      <c r="B17" s="36" t="n">
        <f aca="false">'P&amp;L'!B20</f>
        <v>-709232.332270295</v>
      </c>
      <c r="C17" s="36" t="n">
        <f aca="false">'P&amp;L'!C20</f>
        <v>-170283.791538263</v>
      </c>
      <c r="D17" s="36" t="n">
        <f aca="false">'P&amp;L'!D20</f>
        <v>64322.0783987556</v>
      </c>
      <c r="H17" s="36" t="n">
        <f aca="false">INDEX(Monthly!$C$60:$AL$60,($R$2-1)*12+1)</f>
        <v>-102437.476634789</v>
      </c>
      <c r="I17" s="36" t="n">
        <f aca="false">INDEX(Monthly!$C$60:$AL$60,($R$2-1)*12+2)</f>
        <v>-96802.8601263196</v>
      </c>
      <c r="J17" s="36" t="n">
        <f aca="false">INDEX(Monthly!$C$60:$AL$60,($R$2-1)*12+3)</f>
        <v>-81346.6973463849</v>
      </c>
      <c r="K17" s="36" t="n">
        <f aca="false">INDEX(Monthly!$C$60:$AL$60,($R$2-1)*12+4)</f>
        <v>-74175.9785983407</v>
      </c>
      <c r="L17" s="36" t="n">
        <f aca="false">INDEX(Monthly!$C$60:$AL$60,($R$2-1)*12+5)</f>
        <v>-66877.5392626404</v>
      </c>
      <c r="M17" s="36" t="n">
        <f aca="false">INDEX(Monthly!$C$60:$AL$60,($R$2-1)*12+6)</f>
        <v>-59456.4881627903</v>
      </c>
      <c r="N17" s="36" t="n">
        <f aca="false">INDEX(Monthly!$C$60:$AL$60,($R$2-1)*12+7)</f>
        <v>-51917.7297693565</v>
      </c>
      <c r="O17" s="36" t="n">
        <f aca="false">INDEX(Monthly!$C$60:$AL$60,($R$2-1)*12+8)</f>
        <v>-44265.9723740822</v>
      </c>
      <c r="P17" s="36" t="n">
        <f aca="false">INDEX(Monthly!$C$60:$AL$60,($R$2-1)*12+9)</f>
        <v>-36505.7359370411</v>
      </c>
      <c r="Q17" s="36" t="n">
        <f aca="false">INDEX(Monthly!$C$60:$AL$60,($R$2-1)*12+10)</f>
        <v>-28641.3596199039</v>
      </c>
      <c r="R17" s="36" t="n">
        <f aca="false">INDEX(Monthly!$C$60:$AL$60,($R$2-1)*12+11)</f>
        <v>-26323.1435999967</v>
      </c>
      <c r="S17" s="36" t="n">
        <f aca="false">INDEX(Monthly!$C$60:$AL$60,($R$2-1)*12+12)</f>
        <v>-40481.3508386496</v>
      </c>
    </row>
    <row r="18" customFormat="false" ht="15" hidden="false" customHeight="false" outlineLevel="0" collapsed="false">
      <c r="A18" s="52" t="s">
        <v>80</v>
      </c>
      <c r="B18" s="36" t="n">
        <f aca="false">'P&amp;L'!B21</f>
        <v>0</v>
      </c>
      <c r="C18" s="36" t="n">
        <f aca="false">'P&amp;L'!C21</f>
        <v>0</v>
      </c>
      <c r="D18" s="36" t="n">
        <f aca="false">'P&amp;L'!D21</f>
        <v>0</v>
      </c>
      <c r="H18" s="36" t="n">
        <f aca="false">INDEX(Monthly!$C$63:$AL$63,($R$2-1)*12+1)</f>
        <v>-0</v>
      </c>
      <c r="I18" s="36" t="n">
        <f aca="false">INDEX(Monthly!$C$63:$AL$63,($R$2-1)*12+2)</f>
        <v>-0</v>
      </c>
      <c r="J18" s="36" t="n">
        <f aca="false">INDEX(Monthly!$C$63:$AL$63,($R$2-1)*12+3)</f>
        <v>-0</v>
      </c>
      <c r="K18" s="36" t="n">
        <f aca="false">INDEX(Monthly!$C$63:$AL$63,($R$2-1)*12+4)</f>
        <v>-0</v>
      </c>
      <c r="L18" s="36" t="n">
        <f aca="false">INDEX(Monthly!$C$63:$AL$63,($R$2-1)*12+5)</f>
        <v>-0</v>
      </c>
      <c r="M18" s="36" t="n">
        <f aca="false">INDEX(Monthly!$C$63:$AL$63,($R$2-1)*12+6)</f>
        <v>-0</v>
      </c>
      <c r="N18" s="36" t="n">
        <f aca="false">INDEX(Monthly!$C$63:$AL$63,($R$2-1)*12+7)</f>
        <v>-0</v>
      </c>
      <c r="O18" s="36" t="n">
        <f aca="false">INDEX(Monthly!$C$63:$AL$63,($R$2-1)*12+8)</f>
        <v>-0</v>
      </c>
      <c r="P18" s="36" t="n">
        <f aca="false">INDEX(Monthly!$C$63:$AL$63,($R$2-1)*12+9)</f>
        <v>-0</v>
      </c>
      <c r="Q18" s="36" t="n">
        <f aca="false">INDEX(Monthly!$C$63:$AL$63,($R$2-1)*12+10)</f>
        <v>-0</v>
      </c>
      <c r="R18" s="36" t="n">
        <f aca="false">INDEX(Monthly!$C$63:$AL$63,($R$2-1)*12+11)</f>
        <v>-0</v>
      </c>
      <c r="S18" s="36" t="n">
        <f aca="false">INDEX(Monthly!$C$63:$AL$63,($R$2-1)*12+12)</f>
        <v>-0</v>
      </c>
    </row>
    <row r="19" customFormat="false" ht="15" hidden="false" customHeight="false" outlineLevel="0" collapsed="false">
      <c r="A19" s="41" t="s">
        <v>48</v>
      </c>
      <c r="B19" s="42" t="n">
        <f aca="false">'P&amp;L'!B22</f>
        <v>-709232.332270295</v>
      </c>
      <c r="C19" s="42" t="n">
        <f aca="false">'P&amp;L'!C22</f>
        <v>-170283.791538263</v>
      </c>
      <c r="D19" s="42" t="n">
        <f aca="false">'P&amp;L'!D22</f>
        <v>64322.0783987556</v>
      </c>
      <c r="E19" s="41"/>
      <c r="F19" s="41"/>
      <c r="H19" s="42" t="n">
        <f aca="false">INDEX(Monthly!$C$64:$AL$64,($R$2-1)*12+1)</f>
        <v>-102437.476634789</v>
      </c>
      <c r="I19" s="42" t="n">
        <f aca="false">INDEX(Monthly!$C$64:$AL$64,($R$2-1)*12+2)</f>
        <v>-96802.8601263196</v>
      </c>
      <c r="J19" s="42" t="n">
        <f aca="false">INDEX(Monthly!$C$64:$AL$64,($R$2-1)*12+3)</f>
        <v>-81346.6973463849</v>
      </c>
      <c r="K19" s="42" t="n">
        <f aca="false">INDEX(Monthly!$C$64:$AL$64,($R$2-1)*12+4)</f>
        <v>-74175.9785983407</v>
      </c>
      <c r="L19" s="42" t="n">
        <f aca="false">INDEX(Monthly!$C$64:$AL$64,($R$2-1)*12+5)</f>
        <v>-66877.5392626404</v>
      </c>
      <c r="M19" s="42" t="n">
        <f aca="false">INDEX(Monthly!$C$64:$AL$64,($R$2-1)*12+6)</f>
        <v>-59456.4881627903</v>
      </c>
      <c r="N19" s="42" t="n">
        <f aca="false">INDEX(Monthly!$C$64:$AL$64,($R$2-1)*12+7)</f>
        <v>-51917.7297693565</v>
      </c>
      <c r="O19" s="42" t="n">
        <f aca="false">INDEX(Monthly!$C$64:$AL$64,($R$2-1)*12+8)</f>
        <v>-44265.9723740822</v>
      </c>
      <c r="P19" s="42" t="n">
        <f aca="false">INDEX(Monthly!$C$64:$AL$64,($R$2-1)*12+9)</f>
        <v>-36505.7359370411</v>
      </c>
      <c r="Q19" s="42" t="n">
        <f aca="false">INDEX(Monthly!$C$64:$AL$64,($R$2-1)*12+10)</f>
        <v>-28641.3596199039</v>
      </c>
      <c r="R19" s="42" t="n">
        <f aca="false">INDEX(Monthly!$C$64:$AL$64,($R$2-1)*12+11)</f>
        <v>-26323.1435999967</v>
      </c>
      <c r="S19" s="42" t="n">
        <f aca="false">INDEX(Monthly!$C$64:$AL$64,($R$2-1)*12+12)</f>
        <v>-40481.3508386496</v>
      </c>
    </row>
    <row r="20" customFormat="false" ht="15" hidden="false" customHeight="false" outlineLevel="0" collapsed="false">
      <c r="A20" s="39" t="s">
        <v>49</v>
      </c>
      <c r="B20" s="40" t="n">
        <f aca="false">'P&amp;L'!B23</f>
        <v>-0.600951460800047</v>
      </c>
      <c r="C20" s="40" t="n">
        <f aca="false">'P&amp;L'!C23</f>
        <v>-0.0942940025033336</v>
      </c>
      <c r="D20" s="40" t="n">
        <f aca="false">'P&amp;L'!D23</f>
        <v>0.0309199644358894</v>
      </c>
      <c r="H20" s="40" t="n">
        <f aca="false">IF(H7=0,0,H19/H7)</f>
        <v>-2.13663541537472</v>
      </c>
      <c r="I20" s="40" t="n">
        <f aca="false">IF(I7=0,0,I19/I7)</f>
        <v>-1.77786504956048</v>
      </c>
      <c r="J20" s="40" t="n">
        <f aca="false">IF(J7=0,0,J19/J7)</f>
        <v>-1.11780809107348</v>
      </c>
      <c r="K20" s="40" t="n">
        <f aca="false">IF(K7=0,0,K19/K7)</f>
        <v>-0.915166450894005</v>
      </c>
      <c r="L20" s="40" t="n">
        <f aca="false">IF(L7=0,0,L19/L7)</f>
        <v>-0.747316266332275</v>
      </c>
      <c r="M20" s="40" t="n">
        <f aca="false">IF(M7=0,0,M19/M7)</f>
        <v>-0.606190775780569</v>
      </c>
      <c r="N20" s="40" t="n">
        <f aca="false">IF(N7=0,0,N19/N7)</f>
        <v>-0.486023913935484</v>
      </c>
      <c r="O20" s="40" t="n">
        <f aca="false">IF(O7=0,0,O19/O7)</f>
        <v>-0.382586030060972</v>
      </c>
      <c r="P20" s="40" t="n">
        <f aca="false">IF(P7=0,0,P19/P7)</f>
        <v>-0.292705143366582</v>
      </c>
      <c r="Q20" s="40" t="n">
        <f aca="false">IF(Q7=0,0,Q19/Q7)</f>
        <v>-0.213956593698088</v>
      </c>
      <c r="R20" s="40" t="n">
        <f aca="false">IF(R7=0,0,R19/R7)</f>
        <v>-0.192779212319436</v>
      </c>
      <c r="S20" s="40" t="n">
        <f aca="false">IF(S7=0,0,S19/S7)</f>
        <v>-0.340925076026312</v>
      </c>
    </row>
    <row r="22" customFormat="false" ht="15.75" hidden="false" customHeight="true" outlineLevel="0" collapsed="false">
      <c r="A22" s="7" t="s">
        <v>81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5"/>
      <c r="F23" s="35"/>
      <c r="H23" s="51" t="n">
        <f aca="false">INDEX(Monthly!$C$4:$AL$4,($R$2-1)*12+1)</f>
        <v>1</v>
      </c>
      <c r="I23" s="51" t="n">
        <f aca="false">INDEX(Monthly!$C$4:$AL$4,($R$2-1)*12+2)</f>
        <v>2</v>
      </c>
      <c r="J23" s="51" t="n">
        <f aca="false">INDEX(Monthly!$C$4:$AL$4,($R$2-1)*12+3)</f>
        <v>3</v>
      </c>
      <c r="K23" s="51" t="n">
        <f aca="false">INDEX(Monthly!$C$4:$AL$4,($R$2-1)*12+4)</f>
        <v>4</v>
      </c>
      <c r="L23" s="51" t="n">
        <f aca="false">INDEX(Monthly!$C$4:$AL$4,($R$2-1)*12+5)</f>
        <v>5</v>
      </c>
      <c r="M23" s="51" t="n">
        <f aca="false">INDEX(Monthly!$C$4:$AL$4,($R$2-1)*12+6)</f>
        <v>6</v>
      </c>
      <c r="N23" s="51" t="n">
        <f aca="false">INDEX(Monthly!$C$4:$AL$4,($R$2-1)*12+7)</f>
        <v>7</v>
      </c>
      <c r="O23" s="51" t="n">
        <f aca="false">INDEX(Monthly!$C$4:$AL$4,($R$2-1)*12+8)</f>
        <v>8</v>
      </c>
      <c r="P23" s="51" t="n">
        <f aca="false">INDEX(Monthly!$C$4:$AL$4,($R$2-1)*12+9)</f>
        <v>9</v>
      </c>
      <c r="Q23" s="51" t="n">
        <f aca="false">INDEX(Monthly!$C$4:$AL$4,($R$2-1)*12+10)</f>
        <v>10</v>
      </c>
      <c r="R23" s="51" t="n">
        <f aca="false">INDEX(Monthly!$C$4:$AL$4,($R$2-1)*12+11)</f>
        <v>11</v>
      </c>
      <c r="S23" s="51" t="n">
        <f aca="false">INDEX(Monthly!$C$4:$AL$4,($R$2-1)*12+12)</f>
        <v>12</v>
      </c>
    </row>
    <row r="24" customFormat="false" ht="15" hidden="false" customHeight="false" outlineLevel="0" collapsed="false">
      <c r="A24" s="37" t="s">
        <v>50</v>
      </c>
      <c r="B24" s="38" t="n">
        <f aca="false">'Cash Flow'!B10</f>
        <v>-369557.792453481</v>
      </c>
      <c r="C24" s="38" t="n">
        <f aca="false">'Cash Flow'!C10</f>
        <v>174478.453532665</v>
      </c>
      <c r="D24" s="38" t="n">
        <f aca="false">'Cash Flow'!D10</f>
        <v>412515.85538278</v>
      </c>
      <c r="E24" s="37"/>
      <c r="F24" s="37"/>
      <c r="H24" s="38" t="n">
        <f aca="false">INDEX(Monthly!$C$92:$AL$92,($R$2-1)*12+1)</f>
        <v>-74804.1630306</v>
      </c>
      <c r="I24" s="38" t="n">
        <f aca="false">INDEX(Monthly!$C$92:$AL$92,($R$2-1)*12+2)</f>
        <v>-68444.5087441057</v>
      </c>
      <c r="J24" s="38" t="n">
        <f aca="false">INDEX(Monthly!$C$92:$AL$92,($R$2-1)*12+3)</f>
        <v>-53080.977367098</v>
      </c>
      <c r="K24" s="38" t="n">
        <f aca="false">INDEX(Monthly!$C$92:$AL$92,($R$2-1)*12+4)</f>
        <v>-45827.3689705868</v>
      </c>
      <c r="L24" s="38" t="n">
        <f aca="false">INDEX(Monthly!$C$92:$AL$92,($R$2-1)*12+5)</f>
        <v>-38528.8683473374</v>
      </c>
      <c r="M24" s="38" t="n">
        <f aca="false">INDEX(Monthly!$C$92:$AL$92,($R$2-1)*12+6)</f>
        <v>-31107.7584114402</v>
      </c>
      <c r="N24" s="38" t="n">
        <f aca="false">INDEX(Monthly!$C$92:$AL$92,($R$2-1)*12+7)</f>
        <v>-23568.9435354011</v>
      </c>
      <c r="O24" s="38" t="n">
        <f aca="false">INDEX(Monthly!$C$92:$AL$92,($R$2-1)*12+8)</f>
        <v>-15917.1319168258</v>
      </c>
      <c r="P24" s="38" t="n">
        <f aca="false">INDEX(Monthly!$C$92:$AL$92,($R$2-1)*12+9)</f>
        <v>-8156.84342541571</v>
      </c>
      <c r="Q24" s="38" t="n">
        <f aca="false">INDEX(Monthly!$C$92:$AL$92,($R$2-1)*12+10)</f>
        <v>-292.417136084256</v>
      </c>
      <c r="R24" s="38" t="n">
        <f aca="false">INDEX(Monthly!$C$92:$AL$92,($R$2-1)*12+11)</f>
        <v>2150.10605857762</v>
      </c>
      <c r="S24" s="38" t="n">
        <f aca="false">INDEX(Monthly!$C$92:$AL$92,($R$2-1)*12+12)</f>
        <v>-11978.9176271636</v>
      </c>
    </row>
    <row r="25" customFormat="false" ht="15" hidden="false" customHeight="false" outlineLevel="0" collapsed="false">
      <c r="A25" s="52" t="s">
        <v>82</v>
      </c>
      <c r="B25" s="36" t="n">
        <f aca="false">'Cash Flow'!B11</f>
        <v>-4100000</v>
      </c>
      <c r="C25" s="36" t="n">
        <f aca="false">'Cash Flow'!C11</f>
        <v>-40000</v>
      </c>
      <c r="D25" s="36" t="n">
        <f aca="false">'Cash Flow'!D11</f>
        <v>-40000</v>
      </c>
      <c r="H25" s="36" t="n">
        <f aca="false">INDEX(Monthly!$C$93:$AL$93,($R$2-1)*12+1)</f>
        <v>-4100000</v>
      </c>
      <c r="I25" s="36" t="n">
        <f aca="false">INDEX(Monthly!$C$93:$AL$93,($R$2-1)*12+2)</f>
        <v>-0</v>
      </c>
      <c r="J25" s="36" t="n">
        <f aca="false">INDEX(Monthly!$C$93:$AL$93,($R$2-1)*12+3)</f>
        <v>-0</v>
      </c>
      <c r="K25" s="36" t="n">
        <f aca="false">INDEX(Monthly!$C$93:$AL$93,($R$2-1)*12+4)</f>
        <v>-0</v>
      </c>
      <c r="L25" s="36" t="n">
        <f aca="false">INDEX(Monthly!$C$93:$AL$93,($R$2-1)*12+5)</f>
        <v>-0</v>
      </c>
      <c r="M25" s="36" t="n">
        <f aca="false">INDEX(Monthly!$C$93:$AL$93,($R$2-1)*12+6)</f>
        <v>-0</v>
      </c>
      <c r="N25" s="36" t="n">
        <f aca="false">INDEX(Monthly!$C$93:$AL$93,($R$2-1)*12+7)</f>
        <v>-0</v>
      </c>
      <c r="O25" s="36" t="n">
        <f aca="false">INDEX(Monthly!$C$93:$AL$93,($R$2-1)*12+8)</f>
        <v>-0</v>
      </c>
      <c r="P25" s="36" t="n">
        <f aca="false">INDEX(Monthly!$C$93:$AL$93,($R$2-1)*12+9)</f>
        <v>-0</v>
      </c>
      <c r="Q25" s="36" t="n">
        <f aca="false">INDEX(Monthly!$C$93:$AL$93,($R$2-1)*12+10)</f>
        <v>-0</v>
      </c>
      <c r="R25" s="36" t="n">
        <f aca="false">INDEX(Monthly!$C$93:$AL$93,($R$2-1)*12+11)</f>
        <v>-0</v>
      </c>
      <c r="S25" s="36" t="n">
        <f aca="false">INDEX(Monthly!$C$93:$AL$93,($R$2-1)*12+12)</f>
        <v>-0</v>
      </c>
    </row>
    <row r="26" customFormat="false" ht="15" hidden="false" customHeight="false" outlineLevel="0" collapsed="false">
      <c r="A26" s="52" t="s">
        <v>62</v>
      </c>
      <c r="B26" s="36" t="n">
        <f aca="false">'Cash Flow'!B12</f>
        <v>2100000</v>
      </c>
      <c r="C26" s="36" t="n">
        <f aca="false">'Cash Flow'!C12</f>
        <v>0</v>
      </c>
      <c r="D26" s="36" t="n">
        <f aca="false">'Cash Flow'!D12</f>
        <v>0</v>
      </c>
      <c r="H26" s="36" t="n">
        <f aca="false">INDEX(Monthly!$C$94:$AL$94,($R$2-1)*12+1)</f>
        <v>2100000</v>
      </c>
      <c r="I26" s="36" t="n">
        <f aca="false">INDEX(Monthly!$C$94:$AL$94,($R$2-1)*12+2)</f>
        <v>0</v>
      </c>
      <c r="J26" s="36" t="n">
        <f aca="false">INDEX(Monthly!$C$94:$AL$94,($R$2-1)*12+3)</f>
        <v>0</v>
      </c>
      <c r="K26" s="36" t="n">
        <f aca="false">INDEX(Monthly!$C$94:$AL$94,($R$2-1)*12+4)</f>
        <v>0</v>
      </c>
      <c r="L26" s="36" t="n">
        <f aca="false">INDEX(Monthly!$C$94:$AL$94,($R$2-1)*12+5)</f>
        <v>0</v>
      </c>
      <c r="M26" s="36" t="n">
        <f aca="false">INDEX(Monthly!$C$94:$AL$94,($R$2-1)*12+6)</f>
        <v>0</v>
      </c>
      <c r="N26" s="36" t="n">
        <f aca="false">INDEX(Monthly!$C$94:$AL$94,($R$2-1)*12+7)</f>
        <v>0</v>
      </c>
      <c r="O26" s="36" t="n">
        <f aca="false">INDEX(Monthly!$C$94:$AL$94,($R$2-1)*12+8)</f>
        <v>0</v>
      </c>
      <c r="P26" s="36" t="n">
        <f aca="false">INDEX(Monthly!$C$94:$AL$94,($R$2-1)*12+9)</f>
        <v>0</v>
      </c>
      <c r="Q26" s="36" t="n">
        <f aca="false">INDEX(Monthly!$C$94:$AL$94,($R$2-1)*12+10)</f>
        <v>0</v>
      </c>
      <c r="R26" s="36" t="n">
        <f aca="false">INDEX(Monthly!$C$94:$AL$94,($R$2-1)*12+11)</f>
        <v>0</v>
      </c>
      <c r="S26" s="36" t="n">
        <f aca="false">INDEX(Monthly!$C$94:$AL$94,($R$2-1)*12+12)</f>
        <v>0</v>
      </c>
    </row>
    <row r="27" customFormat="false" ht="15" hidden="false" customHeight="false" outlineLevel="0" collapsed="false">
      <c r="A27" s="52" t="s">
        <v>83</v>
      </c>
      <c r="B27" s="36" t="n">
        <f aca="false">'Cash Flow'!B13</f>
        <v>3000000</v>
      </c>
      <c r="C27" s="36" t="n">
        <f aca="false">'Cash Flow'!C13</f>
        <v>0</v>
      </c>
      <c r="D27" s="36" t="n">
        <f aca="false">'Cash Flow'!D13</f>
        <v>0</v>
      </c>
      <c r="H27" s="36" t="n">
        <f aca="false">INDEX(Monthly!$C$79:$AL$79,($R$2-1)*12+1)</f>
        <v>3000000</v>
      </c>
      <c r="I27" s="36" t="n">
        <f aca="false">INDEX(Monthly!$C$79:$AL$79,($R$2-1)*12+2)</f>
        <v>0</v>
      </c>
      <c r="J27" s="36" t="n">
        <f aca="false">INDEX(Monthly!$C$79:$AL$79,($R$2-1)*12+3)</f>
        <v>0</v>
      </c>
      <c r="K27" s="36" t="n">
        <f aca="false">INDEX(Monthly!$C$79:$AL$79,($R$2-1)*12+4)</f>
        <v>0</v>
      </c>
      <c r="L27" s="36" t="n">
        <f aca="false">INDEX(Monthly!$C$79:$AL$79,($R$2-1)*12+5)</f>
        <v>0</v>
      </c>
      <c r="M27" s="36" t="n">
        <f aca="false">INDEX(Monthly!$C$79:$AL$79,($R$2-1)*12+6)</f>
        <v>0</v>
      </c>
      <c r="N27" s="36" t="n">
        <f aca="false">INDEX(Monthly!$C$79:$AL$79,($R$2-1)*12+7)</f>
        <v>0</v>
      </c>
      <c r="O27" s="36" t="n">
        <f aca="false">INDEX(Monthly!$C$79:$AL$79,($R$2-1)*12+8)</f>
        <v>0</v>
      </c>
      <c r="P27" s="36" t="n">
        <f aca="false">INDEX(Monthly!$C$79:$AL$79,($R$2-1)*12+9)</f>
        <v>0</v>
      </c>
      <c r="Q27" s="36" t="n">
        <f aca="false">INDEX(Monthly!$C$79:$AL$79,($R$2-1)*12+10)</f>
        <v>0</v>
      </c>
      <c r="R27" s="36" t="n">
        <f aca="false">INDEX(Monthly!$C$79:$AL$79,($R$2-1)*12+11)</f>
        <v>0</v>
      </c>
      <c r="S27" s="36" t="n">
        <f aca="false">INDEX(Monthly!$C$79:$AL$79,($R$2-1)*12+12)</f>
        <v>0</v>
      </c>
    </row>
    <row r="28" customFormat="false" ht="15" hidden="false" customHeight="false" outlineLevel="0" collapsed="false">
      <c r="A28" s="52" t="s">
        <v>84</v>
      </c>
      <c r="B28" s="36" t="n">
        <f aca="false">'Cash Flow'!B14</f>
        <v>-275000</v>
      </c>
      <c r="C28" s="36" t="n">
        <f aca="false">'Cash Flow'!C14</f>
        <v>-300000</v>
      </c>
      <c r="D28" s="36" t="n">
        <f aca="false">'Cash Flow'!D14</f>
        <v>-300000</v>
      </c>
      <c r="H28" s="36" t="n">
        <f aca="false">INDEX(Monthly!$C$80:$AL$80,($R$2-1)*12+1)</f>
        <v>-0</v>
      </c>
      <c r="I28" s="36" t="n">
        <f aca="false">INDEX(Monthly!$C$80:$AL$80,($R$2-1)*12+2)</f>
        <v>-25000</v>
      </c>
      <c r="J28" s="36" t="n">
        <f aca="false">INDEX(Monthly!$C$80:$AL$80,($R$2-1)*12+3)</f>
        <v>-25000</v>
      </c>
      <c r="K28" s="36" t="n">
        <f aca="false">INDEX(Monthly!$C$80:$AL$80,($R$2-1)*12+4)</f>
        <v>-25000</v>
      </c>
      <c r="L28" s="36" t="n">
        <f aca="false">INDEX(Monthly!$C$80:$AL$80,($R$2-1)*12+5)</f>
        <v>-25000</v>
      </c>
      <c r="M28" s="36" t="n">
        <f aca="false">INDEX(Monthly!$C$80:$AL$80,($R$2-1)*12+6)</f>
        <v>-25000</v>
      </c>
      <c r="N28" s="36" t="n">
        <f aca="false">INDEX(Monthly!$C$80:$AL$80,($R$2-1)*12+7)</f>
        <v>-25000</v>
      </c>
      <c r="O28" s="36" t="n">
        <f aca="false">INDEX(Monthly!$C$80:$AL$80,($R$2-1)*12+8)</f>
        <v>-25000</v>
      </c>
      <c r="P28" s="36" t="n">
        <f aca="false">INDEX(Monthly!$C$80:$AL$80,($R$2-1)*12+9)</f>
        <v>-25000</v>
      </c>
      <c r="Q28" s="36" t="n">
        <f aca="false">INDEX(Monthly!$C$80:$AL$80,($R$2-1)*12+10)</f>
        <v>-25000</v>
      </c>
      <c r="R28" s="36" t="n">
        <f aca="false">INDEX(Monthly!$C$80:$AL$80,($R$2-1)*12+11)</f>
        <v>-25000</v>
      </c>
      <c r="S28" s="36" t="n">
        <f aca="false">INDEX(Monthly!$C$80:$AL$80,($R$2-1)*12+12)</f>
        <v>-25000</v>
      </c>
    </row>
    <row r="29" customFormat="false" ht="15" hidden="false" customHeight="false" outlineLevel="0" collapsed="false">
      <c r="A29" s="37" t="s">
        <v>52</v>
      </c>
      <c r="B29" s="38" t="n">
        <f aca="false">'Cash Flow'!B15</f>
        <v>4825000</v>
      </c>
      <c r="C29" s="38" t="n">
        <f aca="false">'Cash Flow'!C15</f>
        <v>-300000</v>
      </c>
      <c r="D29" s="38" t="n">
        <f aca="false">'Cash Flow'!D15</f>
        <v>-300000</v>
      </c>
      <c r="E29" s="37"/>
      <c r="F29" s="37"/>
      <c r="H29" s="38" t="n">
        <f aca="false">INDEX(Monthly!$C$95:$AL$95,($R$2-1)*12+1)</f>
        <v>5100000</v>
      </c>
      <c r="I29" s="38" t="n">
        <f aca="false">INDEX(Monthly!$C$95:$AL$95,($R$2-1)*12+2)</f>
        <v>-25000</v>
      </c>
      <c r="J29" s="38" t="n">
        <f aca="false">INDEX(Monthly!$C$95:$AL$95,($R$2-1)*12+3)</f>
        <v>-25000</v>
      </c>
      <c r="K29" s="38" t="n">
        <f aca="false">INDEX(Monthly!$C$95:$AL$95,($R$2-1)*12+4)</f>
        <v>-25000</v>
      </c>
      <c r="L29" s="38" t="n">
        <f aca="false">INDEX(Monthly!$C$95:$AL$95,($R$2-1)*12+5)</f>
        <v>-25000</v>
      </c>
      <c r="M29" s="38" t="n">
        <f aca="false">INDEX(Monthly!$C$95:$AL$95,($R$2-1)*12+6)</f>
        <v>-25000</v>
      </c>
      <c r="N29" s="38" t="n">
        <f aca="false">INDEX(Monthly!$C$95:$AL$95,($R$2-1)*12+7)</f>
        <v>-25000</v>
      </c>
      <c r="O29" s="38" t="n">
        <f aca="false">INDEX(Monthly!$C$95:$AL$95,($R$2-1)*12+8)</f>
        <v>-25000</v>
      </c>
      <c r="P29" s="38" t="n">
        <f aca="false">INDEX(Monthly!$C$95:$AL$95,($R$2-1)*12+9)</f>
        <v>-25000</v>
      </c>
      <c r="Q29" s="38" t="n">
        <f aca="false">INDEX(Monthly!$C$95:$AL$95,($R$2-1)*12+10)</f>
        <v>-25000</v>
      </c>
      <c r="R29" s="38" t="n">
        <f aca="false">INDEX(Monthly!$C$95:$AL$95,($R$2-1)*12+11)</f>
        <v>-25000</v>
      </c>
      <c r="S29" s="38" t="n">
        <f aca="false">INDEX(Monthly!$C$95:$AL$95,($R$2-1)*12+12)</f>
        <v>-25000</v>
      </c>
    </row>
    <row r="30" customFormat="false" ht="15" hidden="false" customHeight="false" outlineLevel="0" collapsed="false">
      <c r="A30" s="37" t="s">
        <v>53</v>
      </c>
      <c r="B30" s="38" t="n">
        <f aca="false">'Cash Flow'!B16</f>
        <v>355442.207546519</v>
      </c>
      <c r="C30" s="38" t="n">
        <f aca="false">'Cash Flow'!C16</f>
        <v>-165521.546467335</v>
      </c>
      <c r="D30" s="38" t="n">
        <f aca="false">'Cash Flow'!D16</f>
        <v>72515.8553827797</v>
      </c>
      <c r="E30" s="37"/>
      <c r="F30" s="37"/>
      <c r="H30" s="38" t="n">
        <f aca="false">INDEX(Monthly!$C$96:$AL$96,($R$2-1)*12+1)</f>
        <v>925195.8369694</v>
      </c>
      <c r="I30" s="38" t="n">
        <f aca="false">INDEX(Monthly!$C$96:$AL$96,($R$2-1)*12+2)</f>
        <v>-93444.5087441057</v>
      </c>
      <c r="J30" s="38" t="n">
        <f aca="false">INDEX(Monthly!$C$96:$AL$96,($R$2-1)*12+3)</f>
        <v>-78080.977367098</v>
      </c>
      <c r="K30" s="38" t="n">
        <f aca="false">INDEX(Monthly!$C$96:$AL$96,($R$2-1)*12+4)</f>
        <v>-70827.3689705868</v>
      </c>
      <c r="L30" s="38" t="n">
        <f aca="false">INDEX(Monthly!$C$96:$AL$96,($R$2-1)*12+5)</f>
        <v>-63528.8683473374</v>
      </c>
      <c r="M30" s="38" t="n">
        <f aca="false">INDEX(Monthly!$C$96:$AL$96,($R$2-1)*12+6)</f>
        <v>-56107.7584114402</v>
      </c>
      <c r="N30" s="38" t="n">
        <f aca="false">INDEX(Monthly!$C$96:$AL$96,($R$2-1)*12+7)</f>
        <v>-48568.9435354011</v>
      </c>
      <c r="O30" s="38" t="n">
        <f aca="false">INDEX(Monthly!$C$96:$AL$96,($R$2-1)*12+8)</f>
        <v>-40917.1319168258</v>
      </c>
      <c r="P30" s="38" t="n">
        <f aca="false">INDEX(Monthly!$C$96:$AL$96,($R$2-1)*12+9)</f>
        <v>-33156.8434254157</v>
      </c>
      <c r="Q30" s="38" t="n">
        <f aca="false">INDEX(Monthly!$C$96:$AL$96,($R$2-1)*12+10)</f>
        <v>-25292.4171360843</v>
      </c>
      <c r="R30" s="38" t="n">
        <f aca="false">INDEX(Monthly!$C$96:$AL$96,($R$2-1)*12+11)</f>
        <v>-22849.8939414224</v>
      </c>
      <c r="S30" s="38" t="n">
        <f aca="false">INDEX(Monthly!$C$96:$AL$96,($R$2-1)*12+12)</f>
        <v>-36978.9176271636</v>
      </c>
    </row>
    <row r="31" customFormat="false" ht="15" hidden="false" customHeight="false" outlineLevel="0" collapsed="false">
      <c r="A31" s="41" t="s">
        <v>85</v>
      </c>
      <c r="B31" s="42" t="n">
        <f aca="false">'Cash Flow'!B18</f>
        <v>355442.207546519</v>
      </c>
      <c r="C31" s="42" t="n">
        <f aca="false">'Cash Flow'!C18</f>
        <v>189920.661079184</v>
      </c>
      <c r="D31" s="42" t="n">
        <f aca="false">'Cash Flow'!D18</f>
        <v>262436.516461964</v>
      </c>
      <c r="E31" s="41"/>
      <c r="F31" s="41"/>
      <c r="H31" s="42" t="n">
        <f aca="false">INDEX(Monthly!$C$98:$AL$98,($R$2-1)*12+1)</f>
        <v>925195.8369694</v>
      </c>
      <c r="I31" s="42" t="n">
        <f aca="false">INDEX(Monthly!$C$98:$AL$98,($R$2-1)*12+2)</f>
        <v>831751.328225294</v>
      </c>
      <c r="J31" s="42" t="n">
        <f aca="false">INDEX(Monthly!$C$98:$AL$98,($R$2-1)*12+3)</f>
        <v>753670.350858196</v>
      </c>
      <c r="K31" s="42" t="n">
        <f aca="false">INDEX(Monthly!$C$98:$AL$98,($R$2-1)*12+4)</f>
        <v>682842.981887609</v>
      </c>
      <c r="L31" s="42" t="n">
        <f aca="false">INDEX(Monthly!$C$98:$AL$98,($R$2-1)*12+5)</f>
        <v>619314.113540272</v>
      </c>
      <c r="M31" s="42" t="n">
        <f aca="false">INDEX(Monthly!$C$98:$AL$98,($R$2-1)*12+6)</f>
        <v>563206.355128832</v>
      </c>
      <c r="N31" s="42" t="n">
        <f aca="false">INDEX(Monthly!$C$98:$AL$98,($R$2-1)*12+7)</f>
        <v>514637.411593431</v>
      </c>
      <c r="O31" s="42" t="n">
        <f aca="false">INDEX(Monthly!$C$98:$AL$98,($R$2-1)*12+8)</f>
        <v>473720.279676605</v>
      </c>
      <c r="P31" s="42" t="n">
        <f aca="false">INDEX(Monthly!$C$98:$AL$98,($R$2-1)*12+9)</f>
        <v>440563.436251189</v>
      </c>
      <c r="Q31" s="42" t="n">
        <f aca="false">INDEX(Monthly!$C$98:$AL$98,($R$2-1)*12+10)</f>
        <v>415271.019115105</v>
      </c>
      <c r="R31" s="42" t="n">
        <f aca="false">INDEX(Monthly!$C$98:$AL$98,($R$2-1)*12+11)</f>
        <v>392421.125173683</v>
      </c>
      <c r="S31" s="42" t="n">
        <f aca="false">INDEX(Monthly!$C$98:$AL$98,($R$2-1)*12+12)</f>
        <v>355442.207546519</v>
      </c>
    </row>
    <row r="39" customFormat="false" ht="15.75" hidden="false" customHeight="true" outlineLevel="0" collapsed="false">
      <c r="A39" s="7" t="s">
        <v>86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5"/>
      <c r="F40" s="35"/>
      <c r="H40" s="51" t="n">
        <f aca="false">INDEX(Monthly!$C$4:$AL$4,($R$2-1)*12+1)</f>
        <v>1</v>
      </c>
      <c r="I40" s="51" t="n">
        <f aca="false">INDEX(Monthly!$C$4:$AL$4,($R$2-1)*12+2)</f>
        <v>2</v>
      </c>
      <c r="J40" s="51" t="n">
        <f aca="false">INDEX(Monthly!$C$4:$AL$4,($R$2-1)*12+3)</f>
        <v>3</v>
      </c>
      <c r="K40" s="51" t="n">
        <f aca="false">INDEX(Monthly!$C$4:$AL$4,($R$2-1)*12+4)</f>
        <v>4</v>
      </c>
      <c r="L40" s="51" t="n">
        <f aca="false">INDEX(Monthly!$C$4:$AL$4,($R$2-1)*12+5)</f>
        <v>5</v>
      </c>
      <c r="M40" s="51" t="n">
        <f aca="false">INDEX(Monthly!$C$4:$AL$4,($R$2-1)*12+6)</f>
        <v>6</v>
      </c>
      <c r="N40" s="51" t="n">
        <f aca="false">INDEX(Monthly!$C$4:$AL$4,($R$2-1)*12+7)</f>
        <v>7</v>
      </c>
      <c r="O40" s="51" t="n">
        <f aca="false">INDEX(Monthly!$C$4:$AL$4,($R$2-1)*12+8)</f>
        <v>8</v>
      </c>
      <c r="P40" s="51" t="n">
        <f aca="false">INDEX(Monthly!$C$4:$AL$4,($R$2-1)*12+9)</f>
        <v>9</v>
      </c>
      <c r="Q40" s="51" t="n">
        <f aca="false">INDEX(Monthly!$C$4:$AL$4,($R$2-1)*12+10)</f>
        <v>10</v>
      </c>
      <c r="R40" s="51" t="n">
        <f aca="false">INDEX(Monthly!$C$4:$AL$4,($R$2-1)*12+11)</f>
        <v>11</v>
      </c>
      <c r="S40" s="51" t="n">
        <f aca="false">INDEX(Monthly!$C$4:$AL$4,($R$2-1)*12+12)</f>
        <v>12</v>
      </c>
    </row>
    <row r="41" customFormat="false" ht="15" hidden="false" customHeight="false" outlineLevel="0" collapsed="false">
      <c r="A41" s="52" t="s">
        <v>87</v>
      </c>
      <c r="B41" s="36" t="n">
        <f aca="false">'Balance Sheet'!B5</f>
        <v>355442.207546519</v>
      </c>
      <c r="C41" s="36" t="n">
        <f aca="false">'Balance Sheet'!C5</f>
        <v>189920.661079184</v>
      </c>
      <c r="D41" s="36" t="n">
        <f aca="false">'Balance Sheet'!D5</f>
        <v>262436.516461964</v>
      </c>
      <c r="H41" s="36" t="n">
        <f aca="false">INDEX(Monthly!$C$98:$AL$98,($R$2-1)*12+1)</f>
        <v>925195.8369694</v>
      </c>
      <c r="I41" s="36" t="n">
        <f aca="false">INDEX(Monthly!$C$98:$AL$98,($R$2-1)*12+2)</f>
        <v>831751.328225294</v>
      </c>
      <c r="J41" s="36" t="n">
        <f aca="false">INDEX(Monthly!$C$98:$AL$98,($R$2-1)*12+3)</f>
        <v>753670.350858196</v>
      </c>
      <c r="K41" s="36" t="n">
        <f aca="false">INDEX(Monthly!$C$98:$AL$98,($R$2-1)*12+4)</f>
        <v>682842.981887609</v>
      </c>
      <c r="L41" s="36" t="n">
        <f aca="false">INDEX(Monthly!$C$98:$AL$98,($R$2-1)*12+5)</f>
        <v>619314.113540272</v>
      </c>
      <c r="M41" s="36" t="n">
        <f aca="false">INDEX(Monthly!$C$98:$AL$98,($R$2-1)*12+6)</f>
        <v>563206.355128832</v>
      </c>
      <c r="N41" s="36" t="n">
        <f aca="false">INDEX(Monthly!$C$98:$AL$98,($R$2-1)*12+7)</f>
        <v>514637.411593431</v>
      </c>
      <c r="O41" s="36" t="n">
        <f aca="false">INDEX(Monthly!$C$98:$AL$98,($R$2-1)*12+8)</f>
        <v>473720.279676605</v>
      </c>
      <c r="P41" s="36" t="n">
        <f aca="false">INDEX(Monthly!$C$98:$AL$98,($R$2-1)*12+9)</f>
        <v>440563.436251189</v>
      </c>
      <c r="Q41" s="36" t="n">
        <f aca="false">INDEX(Monthly!$C$98:$AL$98,($R$2-1)*12+10)</f>
        <v>415271.019115105</v>
      </c>
      <c r="R41" s="36" t="n">
        <f aca="false">INDEX(Monthly!$C$98:$AL$98,($R$2-1)*12+11)</f>
        <v>392421.125173683</v>
      </c>
      <c r="S41" s="36" t="n">
        <f aca="false">INDEX(Monthly!$C$98:$AL$98,($R$2-1)*12+12)</f>
        <v>355442.207546519</v>
      </c>
    </row>
    <row r="42" customFormat="false" ht="15" hidden="false" customHeight="false" outlineLevel="0" collapsed="false">
      <c r="A42" s="52" t="s">
        <v>88</v>
      </c>
      <c r="B42" s="36" t="n">
        <f aca="false">'Balance Sheet'!B6</f>
        <v>7915.98187505677</v>
      </c>
      <c r="C42" s="36" t="n">
        <f aca="false">'Balance Sheet'!C6</f>
        <v>9704.5001468268</v>
      </c>
      <c r="D42" s="36" t="n">
        <f aca="false">'Balance Sheet'!D6</f>
        <v>10979.0083873678</v>
      </c>
      <c r="H42" s="36" t="n">
        <f aca="false">INDEX(Monthly!$C$84:$AL$84,($R$2-1)*12+1)</f>
        <v>3196.22386666667</v>
      </c>
      <c r="I42" s="36" t="n">
        <f aca="false">INDEX(Monthly!$C$84:$AL$84,($R$2-1)*12+2)</f>
        <v>3629.92906014815</v>
      </c>
      <c r="J42" s="36" t="n">
        <f aca="false">INDEX(Monthly!$C$84:$AL$84,($R$2-1)*12+3)</f>
        <v>4851.56011996444</v>
      </c>
      <c r="K42" s="36" t="n">
        <f aca="false">INDEX(Monthly!$C$84:$AL$84,($R$2-1)*12+4)</f>
        <v>5403.45992257327</v>
      </c>
      <c r="L42" s="36" t="n">
        <f aca="false">INDEX(Monthly!$C$84:$AL$84,($R$2-1)*12+5)</f>
        <v>5966.01842937405</v>
      </c>
      <c r="M42" s="36" t="n">
        <f aca="false">INDEX(Monthly!$C$84:$AL$84,($R$2-1)*12+6)</f>
        <v>6538.80929219909</v>
      </c>
      <c r="N42" s="36" t="n">
        <f aca="false">INDEX(Monthly!$C$84:$AL$84,($R$2-1)*12+7)</f>
        <v>7121.42321680742</v>
      </c>
      <c r="O42" s="36" t="n">
        <f aca="false">INDEX(Monthly!$C$84:$AL$84,($R$2-1)*12+8)</f>
        <v>7713.46728072771</v>
      </c>
      <c r="P42" s="36" t="n">
        <f aca="false">INDEX(Monthly!$C$84:$AL$84,($R$2-1)*12+9)</f>
        <v>8314.5642783875</v>
      </c>
      <c r="Q42" s="36" t="n">
        <f aca="false">INDEX(Monthly!$C$84:$AL$84,($R$2-1)*12+10)</f>
        <v>8924.35209243718</v>
      </c>
      <c r="R42" s="36" t="n">
        <f aca="false">INDEX(Monthly!$C$84:$AL$84,($R$2-1)*12+11)</f>
        <v>9103.03667540636</v>
      </c>
      <c r="S42" s="36" t="n">
        <f aca="false">INDEX(Monthly!$C$84:$AL$84,($R$2-1)*12+12)</f>
        <v>7915.98187505677</v>
      </c>
    </row>
    <row r="43" customFormat="false" ht="15" hidden="false" customHeight="false" outlineLevel="0" collapsed="false">
      <c r="A43" s="52" t="s">
        <v>89</v>
      </c>
      <c r="B43" s="36" t="n">
        <f aca="false">'Balance Sheet'!B7</f>
        <v>8885.78253780614</v>
      </c>
      <c r="C43" s="36" t="n">
        <f aca="false">'Balance Sheet'!C7</f>
        <v>11211.9275518532</v>
      </c>
      <c r="D43" s="36" t="n">
        <f aca="false">'Balance Sheet'!D7</f>
        <v>12914.3553887009</v>
      </c>
      <c r="H43" s="36" t="n">
        <f aca="false">INDEX(Monthly!$C$85:$AL$85,($R$2-1)*12+1)</f>
        <v>3535.97287295</v>
      </c>
      <c r="I43" s="36" t="n">
        <f aca="false">INDEX(Monthly!$C$85:$AL$85,($R$2-1)*12+2)</f>
        <v>4015.72440315978</v>
      </c>
      <c r="J43" s="36" t="n">
        <f aca="false">INDEX(Monthly!$C$85:$AL$85,($R$2-1)*12+3)</f>
        <v>5538.41762848136</v>
      </c>
      <c r="K43" s="36" t="n">
        <f aca="false">INDEX(Monthly!$C$85:$AL$85,($R$2-1)*12+4)</f>
        <v>6180.84844069211</v>
      </c>
      <c r="L43" s="36" t="n">
        <f aca="false">INDEX(Monthly!$C$85:$AL$85,($R$2-1)*12+5)</f>
        <v>6839.35924051442</v>
      </c>
      <c r="M43" s="36" t="n">
        <f aca="false">INDEX(Monthly!$C$85:$AL$85,($R$2-1)*12+6)</f>
        <v>7513.30682844384</v>
      </c>
      <c r="N43" s="36" t="n">
        <f aca="false">INDEX(Monthly!$C$85:$AL$85,($R$2-1)*12+7)</f>
        <v>8202.07373295609</v>
      </c>
      <c r="O43" s="36" t="n">
        <f aca="false">INDEX(Monthly!$C$85:$AL$85,($R$2-1)*12+8)</f>
        <v>8905.06718138785</v>
      </c>
      <c r="P43" s="36" t="n">
        <f aca="false">INDEX(Monthly!$C$85:$AL$85,($R$2-1)*12+9)</f>
        <v>9621.71811198233</v>
      </c>
      <c r="Q43" s="36" t="n">
        <f aca="false">INDEX(Monthly!$C$85:$AL$85,($R$2-1)*12+10)</f>
        <v>10351.480225453</v>
      </c>
      <c r="R43" s="36" t="n">
        <f aca="false">INDEX(Monthly!$C$85:$AL$85,($R$2-1)*12+11)</f>
        <v>10621.0482544349</v>
      </c>
      <c r="S43" s="36" t="n">
        <f aca="false">INDEX(Monthly!$C$85:$AL$85,($R$2-1)*12+12)</f>
        <v>8885.78253780614</v>
      </c>
    </row>
    <row r="44" customFormat="false" ht="15" hidden="false" customHeight="false" outlineLevel="0" collapsed="false">
      <c r="A44" s="52" t="s">
        <v>90</v>
      </c>
      <c r="B44" s="36" t="n">
        <f aca="false">'Balance Sheet'!B8</f>
        <v>3758333.33333333</v>
      </c>
      <c r="C44" s="36" t="n">
        <f aca="false">'Balance Sheet'!C8</f>
        <v>3453333.33333333</v>
      </c>
      <c r="D44" s="36" t="n">
        <f aca="false">'Balance Sheet'!D8</f>
        <v>3145000</v>
      </c>
      <c r="H44" s="36" t="n">
        <f aca="false">INDEX(Monthly!$C$75:$AL$75,($R$2-1)*12+1)</f>
        <v>4071527.77777778</v>
      </c>
      <c r="I44" s="36" t="n">
        <f aca="false">INDEX(Monthly!$C$75:$AL$75,($R$2-1)*12+2)</f>
        <v>4043055.55555556</v>
      </c>
      <c r="J44" s="36" t="n">
        <f aca="false">INDEX(Monthly!$C$75:$AL$75,($R$2-1)*12+3)</f>
        <v>4014583.33333333</v>
      </c>
      <c r="K44" s="36" t="n">
        <f aca="false">INDEX(Monthly!$C$75:$AL$75,($R$2-1)*12+4)</f>
        <v>3986111.11111111</v>
      </c>
      <c r="L44" s="36" t="n">
        <f aca="false">INDEX(Monthly!$C$75:$AL$75,($R$2-1)*12+5)</f>
        <v>3957638.88888889</v>
      </c>
      <c r="M44" s="36" t="n">
        <f aca="false">INDEX(Monthly!$C$75:$AL$75,($R$2-1)*12+6)</f>
        <v>3929166.66666667</v>
      </c>
      <c r="N44" s="36" t="n">
        <f aca="false">INDEX(Monthly!$C$75:$AL$75,($R$2-1)*12+7)</f>
        <v>3900694.44444444</v>
      </c>
      <c r="O44" s="36" t="n">
        <f aca="false">INDEX(Monthly!$C$75:$AL$75,($R$2-1)*12+8)</f>
        <v>3872222.22222222</v>
      </c>
      <c r="P44" s="36" t="n">
        <f aca="false">INDEX(Monthly!$C$75:$AL$75,($R$2-1)*12+9)</f>
        <v>3843750</v>
      </c>
      <c r="Q44" s="36" t="n">
        <f aca="false">INDEX(Monthly!$C$75:$AL$75,($R$2-1)*12+10)</f>
        <v>3815277.77777778</v>
      </c>
      <c r="R44" s="36" t="n">
        <f aca="false">INDEX(Monthly!$C$75:$AL$75,($R$2-1)*12+11)</f>
        <v>3786805.55555556</v>
      </c>
      <c r="S44" s="36" t="n">
        <f aca="false">INDEX(Monthly!$C$75:$AL$75,($R$2-1)*12+12)</f>
        <v>3758333.33333333</v>
      </c>
    </row>
    <row r="45" customFormat="false" ht="15" hidden="false" customHeight="false" outlineLevel="0" collapsed="false">
      <c r="A45" s="37" t="s">
        <v>91</v>
      </c>
      <c r="B45" s="38" t="n">
        <f aca="false">'Balance Sheet'!B9</f>
        <v>4130577.30529272</v>
      </c>
      <c r="C45" s="38" t="n">
        <f aca="false">'Balance Sheet'!C9</f>
        <v>3664170.4221112</v>
      </c>
      <c r="D45" s="38" t="n">
        <f aca="false">'Balance Sheet'!D9</f>
        <v>3431329.88023803</v>
      </c>
      <c r="E45" s="37"/>
      <c r="F45" s="37"/>
      <c r="H45" s="38" t="n">
        <f aca="false">INDEX(Monthly!$C$112:$AL$112,($R$2-1)*12+1)</f>
        <v>5003455.8114868</v>
      </c>
      <c r="I45" s="38" t="n">
        <f aca="false">INDEX(Monthly!$C$112:$AL$112,($R$2-1)*12+2)</f>
        <v>4882452.53724416</v>
      </c>
      <c r="J45" s="38" t="n">
        <f aca="false">INDEX(Monthly!$C$112:$AL$112,($R$2-1)*12+3)</f>
        <v>4778643.66193998</v>
      </c>
      <c r="K45" s="38" t="n">
        <f aca="false">INDEX(Monthly!$C$112:$AL$112,($R$2-1)*12+4)</f>
        <v>4680538.40136199</v>
      </c>
      <c r="L45" s="38" t="n">
        <f aca="false">INDEX(Monthly!$C$112:$AL$112,($R$2-1)*12+5)</f>
        <v>4589758.38009905</v>
      </c>
      <c r="M45" s="38" t="n">
        <f aca="false">INDEX(Monthly!$C$112:$AL$112,($R$2-1)*12+6)</f>
        <v>4506425.13791614</v>
      </c>
      <c r="N45" s="38" t="n">
        <f aca="false">INDEX(Monthly!$C$112:$AL$112,($R$2-1)*12+7)</f>
        <v>4430655.35298764</v>
      </c>
      <c r="O45" s="38" t="n">
        <f aca="false">INDEX(Monthly!$C$112:$AL$112,($R$2-1)*12+8)</f>
        <v>4362561.03636094</v>
      </c>
      <c r="P45" s="38" t="n">
        <f aca="false">INDEX(Monthly!$C$112:$AL$112,($R$2-1)*12+9)</f>
        <v>4302249.71864156</v>
      </c>
      <c r="Q45" s="38" t="n">
        <f aca="false">INDEX(Monthly!$C$112:$AL$112,($R$2-1)*12+10)</f>
        <v>4249824.62921077</v>
      </c>
      <c r="R45" s="38" t="n">
        <f aca="false">INDEX(Monthly!$C$112:$AL$112,($R$2-1)*12+11)</f>
        <v>4198950.76565908</v>
      </c>
      <c r="S45" s="38" t="n">
        <f aca="false">INDEX(Monthly!$C$112:$AL$112,($R$2-1)*12+12)</f>
        <v>4130577.30529272</v>
      </c>
    </row>
    <row r="46" customFormat="false" ht="15" hidden="false" customHeight="false" outlineLevel="0" collapsed="false">
      <c r="A46" s="52" t="s">
        <v>92</v>
      </c>
      <c r="B46" s="36" t="n">
        <f aca="false">'Balance Sheet'!B10</f>
        <v>14809.6375630102</v>
      </c>
      <c r="C46" s="36" t="n">
        <f aca="false">'Balance Sheet'!C10</f>
        <v>18686.5459197554</v>
      </c>
      <c r="D46" s="36" t="n">
        <f aca="false">'Balance Sheet'!D10</f>
        <v>21523.9256478349</v>
      </c>
      <c r="H46" s="36" t="n">
        <f aca="false">INDEX(Monthly!$C$86:$AL$86,($R$2-1)*12+1)</f>
        <v>5893.28812158333</v>
      </c>
      <c r="I46" s="36" t="n">
        <f aca="false">INDEX(Monthly!$C$86:$AL$86,($R$2-1)*12+2)</f>
        <v>6692.8740052663</v>
      </c>
      <c r="J46" s="36" t="n">
        <f aca="false">INDEX(Monthly!$C$86:$AL$86,($R$2-1)*12+3)</f>
        <v>9230.69604746893</v>
      </c>
      <c r="K46" s="36" t="n">
        <f aca="false">INDEX(Monthly!$C$86:$AL$86,($R$2-1)*12+4)</f>
        <v>10301.4140678202</v>
      </c>
      <c r="L46" s="36" t="n">
        <f aca="false">INDEX(Monthly!$C$86:$AL$86,($R$2-1)*12+5)</f>
        <v>11398.932067524</v>
      </c>
      <c r="M46" s="36" t="n">
        <f aca="false">INDEX(Monthly!$C$86:$AL$86,($R$2-1)*12+6)</f>
        <v>12522.1780474064</v>
      </c>
      <c r="N46" s="36" t="n">
        <f aca="false">INDEX(Monthly!$C$86:$AL$86,($R$2-1)*12+7)</f>
        <v>13670.1228882601</v>
      </c>
      <c r="O46" s="36" t="n">
        <f aca="false">INDEX(Monthly!$C$86:$AL$86,($R$2-1)*12+8)</f>
        <v>14841.7786356464</v>
      </c>
      <c r="P46" s="36" t="n">
        <f aca="false">INDEX(Monthly!$C$86:$AL$86,($R$2-1)*12+9)</f>
        <v>16036.1968533039</v>
      </c>
      <c r="Q46" s="36" t="n">
        <f aca="false">INDEX(Monthly!$C$86:$AL$86,($R$2-1)*12+10)</f>
        <v>17252.4670424217</v>
      </c>
      <c r="R46" s="36" t="n">
        <f aca="false">INDEX(Monthly!$C$86:$AL$86,($R$2-1)*12+11)</f>
        <v>17701.7470907249</v>
      </c>
      <c r="S46" s="36" t="n">
        <f aca="false">INDEX(Monthly!$C$86:$AL$86,($R$2-1)*12+12)</f>
        <v>14809.6375630102</v>
      </c>
    </row>
    <row r="47" customFormat="false" ht="15" hidden="false" customHeight="false" outlineLevel="0" collapsed="false">
      <c r="A47" s="52" t="s">
        <v>93</v>
      </c>
      <c r="B47" s="36" t="n">
        <f aca="false">'Balance Sheet'!B11</f>
        <v>2725000</v>
      </c>
      <c r="C47" s="36" t="n">
        <f aca="false">'Balance Sheet'!C11</f>
        <v>2425000</v>
      </c>
      <c r="D47" s="36" t="n">
        <f aca="false">'Balance Sheet'!D11</f>
        <v>2125000</v>
      </c>
      <c r="H47" s="36" t="n">
        <f aca="false">INDEX(Monthly!$C$81:$AL$81,($R$2-1)*12+1)</f>
        <v>3000000</v>
      </c>
      <c r="I47" s="36" t="n">
        <f aca="false">INDEX(Monthly!$C$81:$AL$81,($R$2-1)*12+2)</f>
        <v>2975000</v>
      </c>
      <c r="J47" s="36" t="n">
        <f aca="false">INDEX(Monthly!$C$81:$AL$81,($R$2-1)*12+3)</f>
        <v>2950000</v>
      </c>
      <c r="K47" s="36" t="n">
        <f aca="false">INDEX(Monthly!$C$81:$AL$81,($R$2-1)*12+4)</f>
        <v>2925000</v>
      </c>
      <c r="L47" s="36" t="n">
        <f aca="false">INDEX(Monthly!$C$81:$AL$81,($R$2-1)*12+5)</f>
        <v>2900000</v>
      </c>
      <c r="M47" s="36" t="n">
        <f aca="false">INDEX(Monthly!$C$81:$AL$81,($R$2-1)*12+6)</f>
        <v>2875000</v>
      </c>
      <c r="N47" s="36" t="n">
        <f aca="false">INDEX(Monthly!$C$81:$AL$81,($R$2-1)*12+7)</f>
        <v>2850000</v>
      </c>
      <c r="O47" s="36" t="n">
        <f aca="false">INDEX(Monthly!$C$81:$AL$81,($R$2-1)*12+8)</f>
        <v>2825000</v>
      </c>
      <c r="P47" s="36" t="n">
        <f aca="false">INDEX(Monthly!$C$81:$AL$81,($R$2-1)*12+9)</f>
        <v>2800000</v>
      </c>
      <c r="Q47" s="36" t="n">
        <f aca="false">INDEX(Monthly!$C$81:$AL$81,($R$2-1)*12+10)</f>
        <v>2775000</v>
      </c>
      <c r="R47" s="36" t="n">
        <f aca="false">INDEX(Monthly!$C$81:$AL$81,($R$2-1)*12+11)</f>
        <v>2750000</v>
      </c>
      <c r="S47" s="36" t="n">
        <f aca="false">INDEX(Monthly!$C$81:$AL$81,($R$2-1)*12+12)</f>
        <v>2725000</v>
      </c>
    </row>
    <row r="48" customFormat="false" ht="15" hidden="false" customHeight="false" outlineLevel="0" collapsed="false">
      <c r="A48" s="37" t="s">
        <v>94</v>
      </c>
      <c r="B48" s="38" t="n">
        <f aca="false">'Balance Sheet'!B12</f>
        <v>2739809.63756301</v>
      </c>
      <c r="C48" s="38" t="n">
        <f aca="false">'Balance Sheet'!C12</f>
        <v>2443686.54591976</v>
      </c>
      <c r="D48" s="38" t="n">
        <f aca="false">'Balance Sheet'!D12</f>
        <v>2146523.92564784</v>
      </c>
      <c r="E48" s="37"/>
      <c r="F48" s="37"/>
      <c r="H48" s="38" t="n">
        <f aca="false">INDEX(Monthly!$C$113:$AL$113,($R$2-1)*12+1)</f>
        <v>3005893.28812158</v>
      </c>
      <c r="I48" s="38" t="n">
        <f aca="false">INDEX(Monthly!$C$113:$AL$113,($R$2-1)*12+2)</f>
        <v>2981692.87400527</v>
      </c>
      <c r="J48" s="38" t="n">
        <f aca="false">INDEX(Monthly!$C$113:$AL$113,($R$2-1)*12+3)</f>
        <v>2959230.69604747</v>
      </c>
      <c r="K48" s="38" t="n">
        <f aca="false">INDEX(Monthly!$C$113:$AL$113,($R$2-1)*12+4)</f>
        <v>2935301.41406782</v>
      </c>
      <c r="L48" s="38" t="n">
        <f aca="false">INDEX(Monthly!$C$113:$AL$113,($R$2-1)*12+5)</f>
        <v>2911398.93206752</v>
      </c>
      <c r="M48" s="38" t="n">
        <f aca="false">INDEX(Monthly!$C$113:$AL$113,($R$2-1)*12+6)</f>
        <v>2887522.17804741</v>
      </c>
      <c r="N48" s="38" t="n">
        <f aca="false">INDEX(Monthly!$C$113:$AL$113,($R$2-1)*12+7)</f>
        <v>2863670.12288826</v>
      </c>
      <c r="O48" s="38" t="n">
        <f aca="false">INDEX(Monthly!$C$113:$AL$113,($R$2-1)*12+8)</f>
        <v>2839841.77863565</v>
      </c>
      <c r="P48" s="38" t="n">
        <f aca="false">INDEX(Monthly!$C$113:$AL$113,($R$2-1)*12+9)</f>
        <v>2816036.1968533</v>
      </c>
      <c r="Q48" s="38" t="n">
        <f aca="false">INDEX(Monthly!$C$113:$AL$113,($R$2-1)*12+10)</f>
        <v>2792252.46704242</v>
      </c>
      <c r="R48" s="38" t="n">
        <f aca="false">INDEX(Monthly!$C$113:$AL$113,($R$2-1)*12+11)</f>
        <v>2767701.74709072</v>
      </c>
      <c r="S48" s="38" t="n">
        <f aca="false">INDEX(Monthly!$C$113:$AL$113,($R$2-1)*12+12)</f>
        <v>2739809.63756301</v>
      </c>
    </row>
    <row r="49" customFormat="false" ht="15" hidden="false" customHeight="false" outlineLevel="0" collapsed="false">
      <c r="A49" s="52" t="s">
        <v>95</v>
      </c>
      <c r="B49" s="36" t="n">
        <f aca="false">'Balance Sheet'!B13</f>
        <v>2100000</v>
      </c>
      <c r="C49" s="36" t="n">
        <f aca="false">'Balance Sheet'!C13</f>
        <v>2100000</v>
      </c>
      <c r="D49" s="36" t="n">
        <f aca="false">'Balance Sheet'!D13</f>
        <v>2100000</v>
      </c>
      <c r="H49" s="36" t="n">
        <f aca="false">INDEX(Monthly!$C$110:$AL$110,($R$2-1)*12+1)</f>
        <v>2100000</v>
      </c>
      <c r="I49" s="36" t="n">
        <f aca="false">INDEX(Monthly!$C$110:$AL$110,($R$2-1)*12+2)</f>
        <v>2100000</v>
      </c>
      <c r="J49" s="36" t="n">
        <f aca="false">INDEX(Monthly!$C$110:$AL$110,($R$2-1)*12+3)</f>
        <v>2100000</v>
      </c>
      <c r="K49" s="36" t="n">
        <f aca="false">INDEX(Monthly!$C$110:$AL$110,($R$2-1)*12+4)</f>
        <v>2100000</v>
      </c>
      <c r="L49" s="36" t="n">
        <f aca="false">INDEX(Monthly!$C$110:$AL$110,($R$2-1)*12+5)</f>
        <v>2100000</v>
      </c>
      <c r="M49" s="36" t="n">
        <f aca="false">INDEX(Monthly!$C$110:$AL$110,($R$2-1)*12+6)</f>
        <v>2100000</v>
      </c>
      <c r="N49" s="36" t="n">
        <f aca="false">INDEX(Monthly!$C$110:$AL$110,($R$2-1)*12+7)</f>
        <v>2100000</v>
      </c>
      <c r="O49" s="36" t="n">
        <f aca="false">INDEX(Monthly!$C$110:$AL$110,($R$2-1)*12+8)</f>
        <v>2100000</v>
      </c>
      <c r="P49" s="36" t="n">
        <f aca="false">INDEX(Monthly!$C$110:$AL$110,($R$2-1)*12+9)</f>
        <v>2100000</v>
      </c>
      <c r="Q49" s="36" t="n">
        <f aca="false">INDEX(Monthly!$C$110:$AL$110,($R$2-1)*12+10)</f>
        <v>2100000</v>
      </c>
      <c r="R49" s="36" t="n">
        <f aca="false">INDEX(Monthly!$C$110:$AL$110,($R$2-1)*12+11)</f>
        <v>2100000</v>
      </c>
      <c r="S49" s="36" t="n">
        <f aca="false">INDEX(Monthly!$C$110:$AL$110,($R$2-1)*12+12)</f>
        <v>2100000</v>
      </c>
    </row>
    <row r="50" customFormat="false" ht="15" hidden="false" customHeight="false" outlineLevel="0" collapsed="false">
      <c r="A50" s="52" t="s">
        <v>96</v>
      </c>
      <c r="B50" s="36" t="n">
        <f aca="false">'Balance Sheet'!B14</f>
        <v>-709232.332270295</v>
      </c>
      <c r="C50" s="36" t="n">
        <f aca="false">'Balance Sheet'!C14</f>
        <v>-879516.123808558</v>
      </c>
      <c r="D50" s="36" t="n">
        <f aca="false">'Balance Sheet'!D14</f>
        <v>-815194.045409802</v>
      </c>
      <c r="H50" s="36" t="n">
        <f aca="false">INDEX(Monthly!$C$111:$AL$111,($R$2-1)*12+1)</f>
        <v>-102437.476634789</v>
      </c>
      <c r="I50" s="36" t="n">
        <f aca="false">INDEX(Monthly!$C$111:$AL$111,($R$2-1)*12+2)</f>
        <v>-199240.336761108</v>
      </c>
      <c r="J50" s="36" t="n">
        <f aca="false">INDEX(Monthly!$C$111:$AL$111,($R$2-1)*12+3)</f>
        <v>-280587.034107493</v>
      </c>
      <c r="K50" s="36" t="n">
        <f aca="false">INDEX(Monthly!$C$111:$AL$111,($R$2-1)*12+4)</f>
        <v>-354763.012705834</v>
      </c>
      <c r="L50" s="36" t="n">
        <f aca="false">INDEX(Monthly!$C$111:$AL$111,($R$2-1)*12+5)</f>
        <v>-421640.551968474</v>
      </c>
      <c r="M50" s="36" t="n">
        <f aca="false">INDEX(Monthly!$C$111:$AL$111,($R$2-1)*12+6)</f>
        <v>-481097.040131265</v>
      </c>
      <c r="N50" s="36" t="n">
        <f aca="false">INDEX(Monthly!$C$111:$AL$111,($R$2-1)*12+7)</f>
        <v>-533014.769900621</v>
      </c>
      <c r="O50" s="36" t="n">
        <f aca="false">INDEX(Monthly!$C$111:$AL$111,($R$2-1)*12+8)</f>
        <v>-577280.742274703</v>
      </c>
      <c r="P50" s="36" t="n">
        <f aca="false">INDEX(Monthly!$C$111:$AL$111,($R$2-1)*12+9)</f>
        <v>-613786.478211745</v>
      </c>
      <c r="Q50" s="36" t="n">
        <f aca="false">INDEX(Monthly!$C$111:$AL$111,($R$2-1)*12+10)</f>
        <v>-642427.837831648</v>
      </c>
      <c r="R50" s="36" t="n">
        <f aca="false">INDEX(Monthly!$C$111:$AL$111,($R$2-1)*12+11)</f>
        <v>-668750.981431645</v>
      </c>
      <c r="S50" s="36" t="n">
        <f aca="false">INDEX(Monthly!$C$111:$AL$111,($R$2-1)*12+12)</f>
        <v>-709232.332270295</v>
      </c>
    </row>
    <row r="51" customFormat="false" ht="15" hidden="false" customHeight="false" outlineLevel="0" collapsed="false">
      <c r="A51" s="37" t="s">
        <v>97</v>
      </c>
      <c r="B51" s="38" t="n">
        <f aca="false">'Balance Sheet'!B15</f>
        <v>1390767.66772971</v>
      </c>
      <c r="C51" s="38" t="n">
        <f aca="false">'Balance Sheet'!C15</f>
        <v>1220483.87619144</v>
      </c>
      <c r="D51" s="38" t="n">
        <f aca="false">'Balance Sheet'!D15</f>
        <v>1284805.9545902</v>
      </c>
      <c r="E51" s="37"/>
      <c r="F51" s="37"/>
      <c r="H51" s="38" t="n">
        <f aca="false">INDEX(Monthly!$C$114:$AL$114,($R$2-1)*12+1)</f>
        <v>1997562.52336521</v>
      </c>
      <c r="I51" s="38" t="n">
        <f aca="false">INDEX(Monthly!$C$114:$AL$114,($R$2-1)*12+2)</f>
        <v>1900759.66323889</v>
      </c>
      <c r="J51" s="38" t="n">
        <f aca="false">INDEX(Monthly!$C$114:$AL$114,($R$2-1)*12+3)</f>
        <v>1819412.96589251</v>
      </c>
      <c r="K51" s="38" t="n">
        <f aca="false">INDEX(Monthly!$C$114:$AL$114,($R$2-1)*12+4)</f>
        <v>1745236.98729417</v>
      </c>
      <c r="L51" s="38" t="n">
        <f aca="false">INDEX(Monthly!$C$114:$AL$114,($R$2-1)*12+5)</f>
        <v>1678359.44803153</v>
      </c>
      <c r="M51" s="38" t="n">
        <f aca="false">INDEX(Monthly!$C$114:$AL$114,($R$2-1)*12+6)</f>
        <v>1618902.95986874</v>
      </c>
      <c r="N51" s="38" t="n">
        <f aca="false">INDEX(Monthly!$C$114:$AL$114,($R$2-1)*12+7)</f>
        <v>1566985.23009938</v>
      </c>
      <c r="O51" s="38" t="n">
        <f aca="false">INDEX(Monthly!$C$114:$AL$114,($R$2-1)*12+8)</f>
        <v>1522719.2577253</v>
      </c>
      <c r="P51" s="38" t="n">
        <f aca="false">INDEX(Monthly!$C$114:$AL$114,($R$2-1)*12+9)</f>
        <v>1486213.52178826</v>
      </c>
      <c r="Q51" s="38" t="n">
        <f aca="false">INDEX(Monthly!$C$114:$AL$114,($R$2-1)*12+10)</f>
        <v>1457572.16216835</v>
      </c>
      <c r="R51" s="38" t="n">
        <f aca="false">INDEX(Monthly!$C$114:$AL$114,($R$2-1)*12+11)</f>
        <v>1431249.01856836</v>
      </c>
      <c r="S51" s="38" t="n">
        <f aca="false">INDEX(Monthly!$C$114:$AL$114,($R$2-1)*12+12)</f>
        <v>1390767.66772971</v>
      </c>
    </row>
    <row r="52" customFormat="false" ht="15" hidden="false" customHeight="false" outlineLevel="0" collapsed="false">
      <c r="A52" s="41" t="s">
        <v>98</v>
      </c>
      <c r="B52" s="42" t="n">
        <f aca="false">'Balance Sheet'!B16</f>
        <v>4130577.30529272</v>
      </c>
      <c r="C52" s="42" t="n">
        <f aca="false">'Balance Sheet'!C16</f>
        <v>3664170.4221112</v>
      </c>
      <c r="D52" s="42" t="n">
        <f aca="false">'Balance Sheet'!D16</f>
        <v>3431329.88023803</v>
      </c>
      <c r="E52" s="41"/>
      <c r="F52" s="41"/>
      <c r="H52" s="42" t="n">
        <f aca="false">INDEX(Monthly!$C$115:$AL$115,($R$2-1)*12+1)</f>
        <v>5003455.8114868</v>
      </c>
      <c r="I52" s="42" t="n">
        <f aca="false">INDEX(Monthly!$C$115:$AL$115,($R$2-1)*12+2)</f>
        <v>4882452.53724416</v>
      </c>
      <c r="J52" s="42" t="n">
        <f aca="false">INDEX(Monthly!$C$115:$AL$115,($R$2-1)*12+3)</f>
        <v>4778643.66193998</v>
      </c>
      <c r="K52" s="42" t="n">
        <f aca="false">INDEX(Monthly!$C$115:$AL$115,($R$2-1)*12+4)</f>
        <v>4680538.40136199</v>
      </c>
      <c r="L52" s="42" t="n">
        <f aca="false">INDEX(Monthly!$C$115:$AL$115,($R$2-1)*12+5)</f>
        <v>4589758.38009905</v>
      </c>
      <c r="M52" s="42" t="n">
        <f aca="false">INDEX(Monthly!$C$115:$AL$115,($R$2-1)*12+6)</f>
        <v>4506425.13791614</v>
      </c>
      <c r="N52" s="42" t="n">
        <f aca="false">INDEX(Monthly!$C$115:$AL$115,($R$2-1)*12+7)</f>
        <v>4430655.35298764</v>
      </c>
      <c r="O52" s="42" t="n">
        <f aca="false">INDEX(Monthly!$C$115:$AL$115,($R$2-1)*12+8)</f>
        <v>4362561.03636094</v>
      </c>
      <c r="P52" s="42" t="n">
        <f aca="false">INDEX(Monthly!$C$115:$AL$115,($R$2-1)*12+9)</f>
        <v>4302249.71864156</v>
      </c>
      <c r="Q52" s="42" t="n">
        <f aca="false">INDEX(Monthly!$C$115:$AL$115,($R$2-1)*12+10)</f>
        <v>4249824.62921077</v>
      </c>
      <c r="R52" s="42" t="n">
        <f aca="false">INDEX(Monthly!$C$115:$AL$115,($R$2-1)*12+11)</f>
        <v>4198950.76565908</v>
      </c>
      <c r="S52" s="42" t="n">
        <f aca="false">INDEX(Monthly!$C$115:$AL$115,($R$2-1)*12+12)</f>
        <v>4130577.30529272</v>
      </c>
    </row>
  </sheetData>
  <mergeCells count="1">
    <mergeCell ref="R2:S2"/>
  </mergeCells>
  <dataValidations count="1">
    <dataValidation allowBlank="false" error="Enter a year from 1 to 3" errorStyle="stop" errorTitle="Detailed year" operator="between" prompt="Pick the year shown month by month on the right" promptTitle="Detailed year" showDropDown="false" showErrorMessage="true" showInputMessage="true" sqref="R2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21.75" hidden="false" customHeight="true" outlineLevel="0" collapsed="false">
      <c r="A1" s="16" t="s">
        <v>99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100</v>
      </c>
    </row>
    <row r="3" customFormat="false" ht="15" hidden="false" customHeight="false" outlineLevel="0" collapsed="false">
      <c r="A3" s="4" t="s">
        <v>101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102</v>
      </c>
      <c r="B5" s="7"/>
      <c r="C5" s="7"/>
      <c r="D5" s="7"/>
    </row>
    <row r="6" customFormat="false" ht="15" hidden="false" customHeight="false" outlineLevel="0" collapsed="false">
      <c r="A6" s="6" t="s">
        <v>103</v>
      </c>
      <c r="B6" s="53" t="n">
        <f aca="false">MATCH(MIN(Monthly!$C$98:$AL$98),Monthly!$C$98:$AL$98,0)</f>
        <v>26</v>
      </c>
    </row>
    <row r="7" customFormat="false" ht="15" hidden="false" customHeight="false" outlineLevel="0" collapsed="false">
      <c r="A7" s="6" t="s">
        <v>104</v>
      </c>
      <c r="B7" s="54" t="n">
        <f aca="false">SUMPRODUCT(--(Monthly!$C$4:$AL$4&lt;=$B$6),Monthly!$C$71:$AL$71)</f>
        <v>4180000</v>
      </c>
    </row>
    <row r="8" customFormat="false" ht="15" hidden="false" customHeight="false" outlineLevel="0" collapsed="false">
      <c r="A8" s="6" t="s">
        <v>105</v>
      </c>
      <c r="B8" s="54" t="n">
        <f aca="false">-SUMPRODUCT(--(Monthly!$C$4:$AL$4&lt;=$B$6),Monthly!$C$92:$AL$92)</f>
        <v>163445.461443099</v>
      </c>
      <c r="D8" s="18" t="s">
        <v>106</v>
      </c>
    </row>
    <row r="9" customFormat="false" ht="15" hidden="false" customHeight="false" outlineLevel="0" collapsed="false">
      <c r="A9" s="6" t="s">
        <v>107</v>
      </c>
      <c r="B9" s="54" t="n">
        <f aca="false">-SUMPRODUCT(--(Monthly!$C$4:$AL$4&lt;=$B$6),Monthly!$C$80:$AL$80)</f>
        <v>625000</v>
      </c>
    </row>
    <row r="10" customFormat="false" ht="15" hidden="false" customHeight="false" outlineLevel="0" collapsed="false">
      <c r="A10" s="4" t="s">
        <v>108</v>
      </c>
      <c r="B10" s="55" t="n">
        <f aca="false">B7+B8+B9</f>
        <v>4968445.4614431</v>
      </c>
    </row>
    <row r="11" customFormat="false" ht="15" hidden="false" customHeight="false" outlineLevel="0" collapsed="false">
      <c r="A11" s="6" t="s">
        <v>109</v>
      </c>
      <c r="B11" s="56" t="n">
        <f aca="false">Inputs!$E$82</f>
        <v>281000</v>
      </c>
      <c r="D11" s="18" t="s">
        <v>110</v>
      </c>
    </row>
    <row r="12" customFormat="false" ht="15" hidden="false" customHeight="false" outlineLevel="0" collapsed="false">
      <c r="A12" s="4" t="s">
        <v>111</v>
      </c>
      <c r="B12" s="55" t="n">
        <f aca="false">B10+B11</f>
        <v>5249445.4614431</v>
      </c>
    </row>
    <row r="14" customFormat="false" ht="15" hidden="false" customHeight="false" outlineLevel="0" collapsed="false">
      <c r="A14" s="6" t="s">
        <v>62</v>
      </c>
      <c r="B14" s="56" t="n">
        <f aca="false">Inputs!$E$67</f>
        <v>2100000</v>
      </c>
    </row>
    <row r="15" customFormat="false" ht="15" hidden="false" customHeight="false" outlineLevel="0" collapsed="false">
      <c r="A15" s="6" t="s">
        <v>63</v>
      </c>
      <c r="B15" s="56" t="n">
        <f aca="false">Inputs!$E$68</f>
        <v>3000000</v>
      </c>
    </row>
    <row r="16" customFormat="false" ht="15" hidden="false" customHeight="false" outlineLevel="0" collapsed="false">
      <c r="A16" s="4" t="s">
        <v>112</v>
      </c>
      <c r="B16" s="55" t="n">
        <f aca="false">B14+B15</f>
        <v>5100000</v>
      </c>
    </row>
    <row r="17" customFormat="false" ht="15" hidden="false" customHeight="false" outlineLevel="0" collapsed="false">
      <c r="A17" s="57" t="s">
        <v>65</v>
      </c>
      <c r="B17" s="58" t="n">
        <f aca="false">B16-B12</f>
        <v>-149445.461443098</v>
      </c>
      <c r="D17" s="18" t="s">
        <v>113</v>
      </c>
    </row>
    <row r="18" customFormat="false" ht="15" hidden="false" customHeight="false" outlineLevel="0" collapsed="false">
      <c r="A18" s="6" t="s">
        <v>114</v>
      </c>
      <c r="B18" s="54" t="n">
        <f aca="false">MIN(Monthly!$C$98:$AL$98)</f>
        <v>131554.538556901</v>
      </c>
      <c r="D18" s="18" t="s">
        <v>115</v>
      </c>
    </row>
    <row r="20" customFormat="false" ht="15.75" hidden="false" customHeight="true" outlineLevel="0" collapsed="false">
      <c r="A20" s="7" t="s">
        <v>116</v>
      </c>
      <c r="B20" s="7"/>
      <c r="C20" s="7"/>
      <c r="D20" s="7"/>
    </row>
    <row r="21" customFormat="false" ht="15" hidden="false" customHeight="false" outlineLevel="0" collapsed="false">
      <c r="A21" s="6" t="s">
        <v>117</v>
      </c>
      <c r="B21" s="53" t="n">
        <f aca="false">IFERROR(MATCH(1,Monthly!$C$99:$AL$99,0),"Not within horizon")</f>
        <v>8</v>
      </c>
    </row>
    <row r="22" customFormat="false" ht="15" hidden="false" customHeight="false" outlineLevel="0" collapsed="false">
      <c r="A22" s="6" t="s">
        <v>118</v>
      </c>
      <c r="B22" s="53" t="n">
        <f aca="false">IFERROR(MATCH(1,Monthly!$C$102:$AL$102,0),"Not within horizon")</f>
        <v>27</v>
      </c>
    </row>
    <row r="23" customFormat="false" ht="15" hidden="false" customHeight="false" outlineLevel="0" collapsed="false">
      <c r="A23" s="6" t="s">
        <v>119</v>
      </c>
      <c r="B23" s="53" t="str">
        <f aca="false">IF(MIN(Monthly!$C$104:$AL$104)&gt;=0,"No investment to pay back",IFERROR(MATCH(1,Monthly!$C$106:$AL$106,0),"Not within horizon"))</f>
        <v>Not within horizon</v>
      </c>
      <c r="D23" s="18" t="s">
        <v>120</v>
      </c>
    </row>
    <row r="25" customFormat="false" ht="15.75" hidden="false" customHeight="true" outlineLevel="0" collapsed="false">
      <c r="A25" s="7" t="s">
        <v>121</v>
      </c>
      <c r="B25" s="7"/>
      <c r="C25" s="7"/>
      <c r="D25" s="7"/>
    </row>
    <row r="26" customFormat="false" ht="15" hidden="false" customHeight="false" outlineLevel="0" collapsed="false">
      <c r="A26" s="59" t="s">
        <v>122</v>
      </c>
      <c r="B26" s="59" t="n">
        <v>1</v>
      </c>
      <c r="C26" s="59" t="n">
        <v>2</v>
      </c>
      <c r="D26" s="59" t="n">
        <v>3</v>
      </c>
    </row>
    <row r="27" customFormat="false" ht="15" hidden="false" customHeight="false" outlineLevel="0" collapsed="false">
      <c r="A27" s="33"/>
      <c r="B27" s="35" t="s">
        <v>123</v>
      </c>
      <c r="C27" s="35" t="s">
        <v>124</v>
      </c>
      <c r="D27" s="35" t="s">
        <v>125</v>
      </c>
    </row>
    <row r="28" customFormat="false" ht="15" hidden="false" customHeight="false" outlineLevel="0" collapsed="false">
      <c r="A28" s="4" t="s">
        <v>42</v>
      </c>
      <c r="B28" s="60" t="n">
        <f aca="false">SUMIF(Monthly!$C$5:$AL$5,B$26,Monthly!$C$37:$AL$37)</f>
        <v>1180182.39164623</v>
      </c>
      <c r="C28" s="60" t="n">
        <f aca="false">SUMIF(Monthly!$C$5:$AL$5,C$26,Monthly!$C$37:$AL$37)</f>
        <v>1805881.4666632</v>
      </c>
      <c r="D28" s="60" t="n">
        <f aca="false">SUMIF(Monthly!$C$5:$AL$5,D$26,Monthly!$C$37:$AL$37)</f>
        <v>2080276.59708741</v>
      </c>
    </row>
    <row r="29" customFormat="false" ht="15" hidden="false" customHeight="false" outlineLevel="0" collapsed="false">
      <c r="A29" s="6" t="s">
        <v>43</v>
      </c>
      <c r="B29" s="54" t="n">
        <f aca="false">SUMIF(Monthly!$C$5:$AL$5,B$26,Monthly!$C$46:$AL$46)</f>
        <v>999760.792729705</v>
      </c>
      <c r="C29" s="54" t="n">
        <f aca="false">SUMIF(Monthly!$C$5:$AL$5,C$26,Monthly!$C$46:$AL$46)</f>
        <v>1517202.40846174</v>
      </c>
      <c r="D29" s="54" t="n">
        <f aca="false">SUMIF(Monthly!$C$5:$AL$5,D$26,Monthly!$C$46:$AL$46)</f>
        <v>1736853.94773209</v>
      </c>
    </row>
    <row r="30" customFormat="false" ht="15" hidden="false" customHeight="false" outlineLevel="0" collapsed="false">
      <c r="A30" s="39" t="s">
        <v>126</v>
      </c>
      <c r="B30" s="61" t="n">
        <f aca="false">IF(B28=0,0,B29/B28)</f>
        <v>0.847123969825669</v>
      </c>
      <c r="C30" s="61" t="n">
        <f aca="false">IF(C28=0,0,C29/C28)</f>
        <v>0.840145068471817</v>
      </c>
      <c r="D30" s="61" t="n">
        <f aca="false">IF(D28=0,0,D29/D28)</f>
        <v>0.83491490995181</v>
      </c>
    </row>
    <row r="31" customFormat="false" ht="15" hidden="false" customHeight="false" outlineLevel="0" collapsed="false">
      <c r="A31" s="6" t="s">
        <v>127</v>
      </c>
      <c r="B31" s="54" t="n">
        <f aca="false">-SUMIF(Monthly!$C$5:$AL$5,B$26,Monthly!$C$54:$AL$54)</f>
        <v>1123040</v>
      </c>
      <c r="C31" s="54" t="n">
        <f aca="false">-SUMIF(Monthly!$C$5:$AL$5,C$26,Monthly!$C$54:$AL$54)</f>
        <v>1123611.2</v>
      </c>
      <c r="D31" s="54" t="n">
        <f aca="false">-SUMIF(Monthly!$C$5:$AL$5,D$26,Monthly!$C$54:$AL$54)</f>
        <v>1130823.536</v>
      </c>
    </row>
    <row r="32" customFormat="false" ht="15" hidden="false" customHeight="false" outlineLevel="0" collapsed="false">
      <c r="A32" s="4" t="s">
        <v>128</v>
      </c>
      <c r="B32" s="60" t="n">
        <f aca="false">IF(B30&gt;0,B31/B30,"n/a")</f>
        <v>1325709.15238193</v>
      </c>
      <c r="C32" s="60" t="n">
        <f aca="false">IF(C30&gt;0,C31/C30,"n/a")</f>
        <v>1337401.4109775</v>
      </c>
      <c r="D32" s="60" t="n">
        <f aca="false">IF(D30&gt;0,D31/D30,"n/a")</f>
        <v>1354417.70475182</v>
      </c>
    </row>
    <row r="33" customFormat="false" ht="15" hidden="false" customHeight="false" outlineLevel="0" collapsed="false">
      <c r="A33" s="39" t="s">
        <v>129</v>
      </c>
      <c r="B33" s="61" t="n">
        <f aca="false">IF(AND(ISNUMBER(B32),B28&gt;0),(B28-B32)/B28,"n/a")</f>
        <v>-0.123308703608688</v>
      </c>
      <c r="C33" s="61" t="n">
        <f aca="false">IF(AND(ISNUMBER(C32),C28&gt;0),(C28-C32)/C28,"n/a")</f>
        <v>0.259419050659689</v>
      </c>
      <c r="D33" s="61" t="n">
        <f aca="false">IF(AND(ISNUMBER(D32),D28&gt;0),(D28-D32)/D28,"n/a")</f>
        <v>0.34892422159239</v>
      </c>
    </row>
    <row r="35" customFormat="false" ht="15" hidden="false" customHeight="false" outlineLevel="0" collapsed="false">
      <c r="A35" s="39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132</v>
      </c>
    </row>
    <row r="3" customFormat="false" ht="15" hidden="false" customHeight="false" outlineLevel="0" collapsed="false">
      <c r="A3" s="4" t="s">
        <v>101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133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9" t="s">
        <v>134</v>
      </c>
      <c r="B6" s="62" t="n">
        <f aca="false">Inputs!$E$85</f>
        <v>0.25</v>
      </c>
    </row>
    <row r="7" customFormat="false" ht="15" hidden="false" customHeight="false" outlineLevel="0" collapsed="false">
      <c r="A7" s="39" t="s">
        <v>135</v>
      </c>
      <c r="B7" s="62" t="n">
        <f aca="false">Inputs!$E$86</f>
        <v>0.02</v>
      </c>
    </row>
    <row r="8" customFormat="false" ht="15" hidden="false" customHeight="false" outlineLevel="0" collapsed="false">
      <c r="A8" s="6" t="s">
        <v>136</v>
      </c>
      <c r="B8" s="63" t="n">
        <f aca="false">Inputs!$E$87</f>
        <v>4</v>
      </c>
    </row>
    <row r="9" customFormat="false" ht="15" hidden="false" customHeight="false" outlineLevel="0" collapsed="false">
      <c r="A9" s="39" t="s">
        <v>137</v>
      </c>
      <c r="B9" s="62" t="n">
        <f aca="false">Inputs!$E$79</f>
        <v>0.21</v>
      </c>
    </row>
    <row r="10" customFormat="false" ht="15" hidden="false" customHeight="false" outlineLevel="0" collapsed="false">
      <c r="A10" s="39" t="s">
        <v>138</v>
      </c>
      <c r="B10" s="62" t="n">
        <f aca="false">Inputs!$E$88</f>
        <v>0.01</v>
      </c>
    </row>
    <row r="11" customFormat="false" ht="15" hidden="false" customHeight="false" outlineLevel="0" collapsed="false">
      <c r="A11" s="39" t="s">
        <v>139</v>
      </c>
      <c r="B11" s="62" t="n">
        <f aca="false">Inputs!$E$89</f>
        <v>0.005</v>
      </c>
    </row>
    <row r="13" customFormat="false" ht="15.75" hidden="false" customHeight="true" outlineLevel="0" collapsed="false">
      <c r="A13" s="7" t="s">
        <v>140</v>
      </c>
      <c r="B13" s="7"/>
      <c r="C13" s="7"/>
      <c r="D13" s="7"/>
    </row>
    <row r="14" customFormat="false" ht="15" hidden="false" customHeight="false" outlineLevel="0" collapsed="false">
      <c r="A14" s="59" t="s">
        <v>122</v>
      </c>
      <c r="B14" s="59" t="n">
        <v>1</v>
      </c>
      <c r="C14" s="59" t="n">
        <v>2</v>
      </c>
      <c r="D14" s="59" t="n">
        <v>3</v>
      </c>
    </row>
    <row r="15" customFormat="false" ht="15" hidden="false" customHeight="false" outlineLevel="0" collapsed="false">
      <c r="A15" s="33"/>
      <c r="B15" s="35" t="s">
        <v>123</v>
      </c>
      <c r="C15" s="35" t="s">
        <v>124</v>
      </c>
      <c r="D15" s="35" t="s">
        <v>125</v>
      </c>
    </row>
    <row r="16" customFormat="false" ht="15" hidden="false" customHeight="false" outlineLevel="0" collapsed="false">
      <c r="A16" s="6" t="s">
        <v>46</v>
      </c>
      <c r="B16" s="54" t="n">
        <f aca="false">SUMIF(Monthly!$C$5:$AL$5,B$14,Monthly!$C$55:$AL$55)</f>
        <v>-123279.207270295</v>
      </c>
      <c r="C16" s="54" t="n">
        <f aca="false">SUMIF(Monthly!$C$5:$AL$5,C$14,Monthly!$C$55:$AL$55)</f>
        <v>393591.208461737</v>
      </c>
      <c r="D16" s="54" t="n">
        <f aca="false">SUMIF(Monthly!$C$5:$AL$5,D$14,Monthly!$C$55:$AL$55)</f>
        <v>606030.411732089</v>
      </c>
    </row>
    <row r="17" customFormat="false" ht="15" hidden="false" customHeight="false" outlineLevel="0" collapsed="false">
      <c r="A17" s="4" t="s">
        <v>141</v>
      </c>
      <c r="B17" s="60" t="n">
        <f aca="false">SUMIF(Monthly!$C$5:$AL$5,B$14,Monthly!$C$107:$AL$107)</f>
        <v>-4276571.49037015</v>
      </c>
      <c r="C17" s="60" t="n">
        <f aca="false">SUMIF(Monthly!$C$5:$AL$5,C$14,Monthly!$C$107:$AL$107)</f>
        <v>307389.703532665</v>
      </c>
      <c r="D17" s="60" t="n">
        <f aca="false">SUMIF(Monthly!$C$5:$AL$5,D$14,Monthly!$C$107:$AL$107)</f>
        <v>525282.10538278</v>
      </c>
    </row>
    <row r="18" customFormat="false" ht="15" hidden="false" customHeight="false" outlineLevel="0" collapsed="false">
      <c r="A18" s="6" t="s">
        <v>142</v>
      </c>
      <c r="B18" s="64" t="n">
        <f aca="false">1/(1+Inputs!$E$85)^B$14</f>
        <v>0.8</v>
      </c>
      <c r="C18" s="64" t="n">
        <f aca="false">1/(1+Inputs!$E$85)^C$14</f>
        <v>0.64</v>
      </c>
      <c r="D18" s="64" t="n">
        <f aca="false">1/(1+Inputs!$E$85)^D$14</f>
        <v>0.512</v>
      </c>
    </row>
    <row r="19" customFormat="false" ht="15" hidden="false" customHeight="false" outlineLevel="0" collapsed="false">
      <c r="A19" s="6" t="s">
        <v>143</v>
      </c>
      <c r="B19" s="54" t="n">
        <f aca="false">B17*B18</f>
        <v>-3421257.19229612</v>
      </c>
      <c r="C19" s="54" t="n">
        <f aca="false">C17*C18</f>
        <v>196729.410260905</v>
      </c>
      <c r="D19" s="54" t="n">
        <f aca="false">D17*D18</f>
        <v>268944.437955983</v>
      </c>
    </row>
    <row r="21" customFormat="false" ht="15.75" hidden="false" customHeight="true" outlineLevel="0" collapsed="false">
      <c r="A21" s="7" t="s">
        <v>144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35" t="s">
        <v>145</v>
      </c>
      <c r="C22" s="35" t="s">
        <v>146</v>
      </c>
    </row>
    <row r="23" customFormat="false" ht="15" hidden="false" customHeight="false" outlineLevel="0" collapsed="false">
      <c r="A23" s="6" t="s">
        <v>147</v>
      </c>
      <c r="B23" s="54" t="n">
        <f aca="false">SUM($B$19:$D$19)</f>
        <v>-2955583.34407923</v>
      </c>
      <c r="C23" s="54" t="n">
        <f aca="false">B23</f>
        <v>-2955583.34407923</v>
      </c>
    </row>
    <row r="24" customFormat="false" ht="15" hidden="false" customHeight="false" outlineLevel="0" collapsed="false">
      <c r="A24" s="6" t="s">
        <v>148</v>
      </c>
      <c r="B24" s="54" t="n">
        <f aca="false">$D$17</f>
        <v>525282.10538278</v>
      </c>
      <c r="C24" s="54" t="n">
        <f aca="false">$D$16</f>
        <v>606030.411732089</v>
      </c>
    </row>
    <row r="25" customFormat="false" ht="15" hidden="false" customHeight="false" outlineLevel="0" collapsed="false">
      <c r="A25" s="6" t="s">
        <v>149</v>
      </c>
      <c r="B25" s="54" t="n">
        <f aca="false">IF($B$6&gt;$B$7,B24*(1+$B$7)/($B$6-$B$7),0)</f>
        <v>2329511.94561059</v>
      </c>
      <c r="C25" s="54" t="n">
        <f aca="false">C24*$B$8</f>
        <v>2424121.64692836</v>
      </c>
    </row>
    <row r="26" customFormat="false" ht="15" hidden="false" customHeight="false" outlineLevel="0" collapsed="false">
      <c r="A26" s="6" t="s">
        <v>150</v>
      </c>
      <c r="B26" s="54" t="n">
        <f aca="false">B25/(1+$B$6)^$D$14</f>
        <v>1192710.11615262</v>
      </c>
      <c r="C26" s="54" t="n">
        <f aca="false">C25/(1+$B$6)^$D$14</f>
        <v>1241150.28322732</v>
      </c>
    </row>
    <row r="27" customFormat="false" ht="15" hidden="false" customHeight="false" outlineLevel="0" collapsed="false">
      <c r="A27" s="4" t="s">
        <v>144</v>
      </c>
      <c r="B27" s="55" t="n">
        <f aca="false">B23+B26</f>
        <v>-1762873.22792661</v>
      </c>
      <c r="C27" s="55" t="n">
        <f aca="false">C23+C26</f>
        <v>-1714433.06085191</v>
      </c>
    </row>
    <row r="28" customFormat="false" ht="15" hidden="false" customHeight="false" outlineLevel="0" collapsed="false">
      <c r="A28" s="39" t="s">
        <v>151</v>
      </c>
      <c r="B28" s="61" t="n">
        <f aca="false">IF(B27&lt;&gt;0,B26/B27,0)</f>
        <v>-0.676571688342797</v>
      </c>
      <c r="C28" s="61" t="n">
        <f aca="false">IF(C27&lt;&gt;0,C26/C27,0)</f>
        <v>-0.723942107492131</v>
      </c>
    </row>
    <row r="29" customFormat="false" ht="15" hidden="false" customHeight="false" outlineLevel="0" collapsed="false">
      <c r="A29" s="6" t="s">
        <v>152</v>
      </c>
      <c r="B29" s="65" t="n">
        <f aca="false">IF(C24&gt;0,B25/C24,"n/a")</f>
        <v>3.84388621513669</v>
      </c>
      <c r="C29" s="61" t="n">
        <f aca="false">IF(C25+B24&lt;&gt;0,(C25*$B$6-B24)/(C25+B24),"n/a")</f>
        <v>0.0273778407876627</v>
      </c>
    </row>
    <row r="30" customFormat="false" ht="15" hidden="false" customHeight="false" outlineLevel="0" collapsed="false">
      <c r="A30" s="57" t="s">
        <v>153</v>
      </c>
      <c r="B30" s="58" t="n">
        <f aca="false">AVERAGE(B27,C27)</f>
        <v>-1738653.14438926</v>
      </c>
    </row>
    <row r="32" customFormat="false" ht="15.75" hidden="false" customHeight="true" outlineLevel="0" collapsed="false">
      <c r="A32" s="7" t="s">
        <v>154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155</v>
      </c>
      <c r="B33" s="66" t="n">
        <f aca="false">$B$7+(-2)*$B$11</f>
        <v>0.01</v>
      </c>
      <c r="C33" s="66" t="n">
        <f aca="false">$B$7+(-1)*$B$11</f>
        <v>0.015</v>
      </c>
      <c r="D33" s="66" t="n">
        <f aca="false">$B$7+(0)*$B$11</f>
        <v>0.02</v>
      </c>
      <c r="E33" s="66" t="n">
        <f aca="false">$B$7+(1)*$B$11</f>
        <v>0.025</v>
      </c>
      <c r="F33" s="66" t="n">
        <f aca="false">$B$7+(2)*$B$11</f>
        <v>0.03</v>
      </c>
    </row>
    <row r="34" customFormat="false" ht="15" hidden="false" customHeight="false" outlineLevel="0" collapsed="false">
      <c r="A34" s="61" t="n">
        <f aca="false">$B$6+(-2)*$B$10</f>
        <v>0.23</v>
      </c>
      <c r="B34" s="54" t="n">
        <f aca="false">IF($A34&gt;B$33,SUMPRODUCT($B$17:$D$17/(1+$A34)^$B$14:$D$14)+$D$17*(1+B$33)/($A34-B$33)/(1+$A34)^$D$14,"n/a")</f>
        <v>-1695516.75329799</v>
      </c>
      <c r="C34" s="54" t="n">
        <f aca="false">IF($A34&gt;C$33,SUMPRODUCT($B$17:$D$17/(1+$A34)^$B$14:$D$14)+$D$17*(1+C$33)/($A34-C$33)/(1+$A34)^$D$14,"n/a")</f>
        <v>-1658814.62518798</v>
      </c>
      <c r="D34" s="54" t="n">
        <f aca="false">IF($A34&gt;D$33,SUMPRODUCT($B$17:$D$17/(1+$A34)^$B$14:$D$14)+$D$17*(1+D$33)/($A34-D$33)/(1+$A34)^$D$14,"n/a")</f>
        <v>-1620364.77669178</v>
      </c>
      <c r="E34" s="54" t="n">
        <f aca="false">IF($A34&gt;E$33,SUMPRODUCT($B$17:$D$17/(1+$A34)^$B$14:$D$14)+$D$17*(1+E$33)/($A34-E$33)/(1+$A34)^$D$14,"n/a")</f>
        <v>-1580039.32582992</v>
      </c>
      <c r="F34" s="54" t="n">
        <f aca="false">IF($A34&gt;F$33,SUMPRODUCT($B$17:$D$17/(1+$A34)^$B$14:$D$14)+$D$17*(1+F$33)/($A34-F$33)/(1+$A34)^$D$14,"n/a")</f>
        <v>-1537697.60242496</v>
      </c>
    </row>
    <row r="35" customFormat="false" ht="15" hidden="false" customHeight="false" outlineLevel="0" collapsed="false">
      <c r="A35" s="61" t="n">
        <f aca="false">$B$6+(-1)*$B$10</f>
        <v>0.24</v>
      </c>
      <c r="B35" s="54" t="n">
        <f aca="false">IF($A35&gt;B$33,SUMPRODUCT($B$17:$D$17/(1+$A35)^$B$14:$D$14)+$D$17*(1+B$33)/($A35-B$33)/(1+$A35)^$D$14,"n/a")</f>
        <v>-1763608.02792119</v>
      </c>
      <c r="C35" s="54" t="n">
        <f aca="false">IF($A35&gt;C$33,SUMPRODUCT($B$17:$D$17/(1+$A35)^$B$14:$D$14)+$D$17*(1+C$33)/($A35-C$33)/(1+$A35)^$D$14,"n/a")</f>
        <v>-1730600.8126247</v>
      </c>
      <c r="D35" s="54" t="n">
        <f aca="false">IF($A35&gt;D$33,SUMPRODUCT($B$17:$D$17/(1+$A35)^$B$14:$D$14)+$D$17*(1+D$33)/($A35-D$33)/(1+$A35)^$D$14,"n/a")</f>
        <v>-1696093.26936019</v>
      </c>
      <c r="E35" s="54" t="n">
        <f aca="false">IF($A35&gt;E$33,SUMPRODUCT($B$17:$D$17/(1+$A35)^$B$14:$D$14)+$D$17*(1+E$33)/($A35-E$33)/(1+$A35)^$D$14,"n/a")</f>
        <v>-1659980.72408338</v>
      </c>
      <c r="F35" s="54" t="n">
        <f aca="false">IF($A35&gt;F$33,SUMPRODUCT($B$17:$D$17/(1+$A35)^$B$14:$D$14)+$D$17*(1+F$33)/($A35-F$33)/(1+$A35)^$D$14,"n/a")</f>
        <v>-1622148.53379338</v>
      </c>
    </row>
    <row r="36" customFormat="false" ht="15" hidden="false" customHeight="false" outlineLevel="0" collapsed="false">
      <c r="A36" s="61" t="n">
        <f aca="false">$B$6+(0)*$B$10</f>
        <v>0.25</v>
      </c>
      <c r="B36" s="54" t="n">
        <f aca="false">IF($A36&gt;B$33,SUMPRODUCT($B$17:$D$17/(1+$A36)^$B$14:$D$14)+$D$17*(1+B$33)/($A36-B$33)/(1+$A36)^$D$14,"n/a")</f>
        <v>-1823775.50101447</v>
      </c>
      <c r="C36" s="54" t="n">
        <f aca="false">IF($A36&gt;C$33,SUMPRODUCT($B$17:$D$17/(1+$A36)^$B$14:$D$14)+$D$17*(1+C$33)/($A36-C$33)/(1+$A36)^$D$14,"n/a")</f>
        <v>-1793972.26099275</v>
      </c>
      <c r="D36" s="54" t="n">
        <f aca="false">IF($A36&gt;D$33,SUMPRODUCT($B$17:$D$17/(1+$A36)^$B$14:$D$14)+$D$17*(1+D$33)/($A36-D$33)/(1+$A36)^$D$14,"n/a")</f>
        <v>-1762873.22792661</v>
      </c>
      <c r="E36" s="54" t="n">
        <f aca="false">IF($A36&gt;E$33,SUMPRODUCT($B$17:$D$17/(1+$A36)^$B$14:$D$14)+$D$17*(1+E$33)/($A36-E$33)/(1+$A36)^$D$14,"n/a")</f>
        <v>-1730392.01561308</v>
      </c>
      <c r="F36" s="54" t="n">
        <f aca="false">IF($A36&gt;F$33,SUMPRODUCT($B$17:$D$17/(1+$A36)^$B$14:$D$14)+$D$17*(1+F$33)/($A36-F$33)/(1+$A36)^$D$14,"n/a")</f>
        <v>-1696434.38455804</v>
      </c>
    </row>
    <row r="37" customFormat="false" ht="15" hidden="false" customHeight="false" outlineLevel="0" collapsed="false">
      <c r="A37" s="61" t="n">
        <f aca="false">$B$6+(1)*$B$10</f>
        <v>0.26</v>
      </c>
      <c r="B37" s="54" t="n">
        <f aca="false">IF($A37&gt;B$33,SUMPRODUCT($B$17:$D$17/(1+$A37)^$B$14:$D$14)+$D$17*(1+B$33)/($A37-B$33)/(1+$A37)^$D$14,"n/a")</f>
        <v>-1877023.14991346</v>
      </c>
      <c r="C37" s="54" t="n">
        <f aca="false">IF($A37&gt;C$33,SUMPRODUCT($B$17:$D$17/(1+$A37)^$B$14:$D$14)+$D$17*(1+C$33)/($A37-C$33)/(1+$A37)^$D$14,"n/a")</f>
        <v>-1850013.71940956</v>
      </c>
      <c r="D37" s="54" t="n">
        <f aca="false">IF($A37&gt;D$33,SUMPRODUCT($B$17:$D$17/(1+$A37)^$B$14:$D$14)+$D$17*(1+D$33)/($A37-D$33)/(1+$A37)^$D$14,"n/a")</f>
        <v>-1821878.89596801</v>
      </c>
      <c r="E37" s="54" t="n">
        <f aca="false">IF($A37&gt;E$33,SUMPRODUCT($B$17:$D$17/(1+$A37)^$B$14:$D$14)+$D$17*(1+E$33)/($A37-E$33)/(1+$A37)^$D$14,"n/a")</f>
        <v>-1792546.84599702</v>
      </c>
      <c r="F37" s="54" t="n">
        <f aca="false">IF($A37&gt;F$33,SUMPRODUCT($B$17:$D$17/(1+$A37)^$B$14:$D$14)+$D$17*(1+F$33)/($A37-F$33)/(1+$A37)^$D$14,"n/a")</f>
        <v>-1761939.48950556</v>
      </c>
    </row>
    <row r="38" customFormat="false" ht="15" hidden="false" customHeight="false" outlineLevel="0" collapsed="false">
      <c r="A38" s="61" t="n">
        <f aca="false">$B$6+(2)*$B$10</f>
        <v>0.27</v>
      </c>
      <c r="B38" s="54" t="n">
        <f aca="false">IF($A38&gt;B$33,SUMPRODUCT($B$17:$D$17/(1+$A38)^$B$14:$D$14)+$D$17*(1+B$33)/($A38-B$33)/(1+$A38)^$D$14,"n/a")</f>
        <v>-1924198.83396593</v>
      </c>
      <c r="C38" s="54" t="n">
        <f aca="false">IF($A38&gt;C$33,SUMPRODUCT($B$17:$D$17/(1+$A38)^$B$14:$D$14)+$D$17*(1+C$33)/($A38-C$33)/(1+$A38)^$D$14,"n/a")</f>
        <v>-1899638.08308445</v>
      </c>
      <c r="D38" s="54" t="n">
        <f aca="false">IF($A38&gt;D$33,SUMPRODUCT($B$17:$D$17/(1+$A38)^$B$14:$D$14)+$D$17*(1+D$33)/($A38-D$33)/(1+$A38)^$D$14,"n/a")</f>
        <v>-1874094.90216771</v>
      </c>
      <c r="E38" s="54" t="n">
        <f aca="false">IF($A38&gt;E$33,SUMPRODUCT($B$17:$D$17/(1+$A38)^$B$14:$D$14)+$D$17*(1+E$33)/($A38-E$33)/(1+$A38)^$D$14,"n/a")</f>
        <v>-1847509.14243804</v>
      </c>
      <c r="F38" s="54" t="n">
        <f aca="false">IF($A38&gt;F$33,SUMPRODUCT($B$17:$D$17/(1+$A38)^$B$14:$D$14)+$D$17*(1+F$33)/($A38-F$33)/(1+$A38)^$D$14,"n/a")</f>
        <v>-1819815.64271964</v>
      </c>
    </row>
    <row r="40" customFormat="false" ht="15" hidden="false" customHeight="false" outlineLevel="0" collapsed="false">
      <c r="A40" s="39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157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158</v>
      </c>
    </row>
    <row r="3" customFormat="false" ht="15" hidden="false" customHeight="false" outlineLevel="0" collapsed="false">
      <c r="A3" s="4" t="s">
        <v>101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159</v>
      </c>
      <c r="B5" s="7"/>
      <c r="C5" s="7"/>
    </row>
    <row r="6" customFormat="false" ht="15" hidden="false" customHeight="false" outlineLevel="0" collapsed="false">
      <c r="B6" s="35" t="s">
        <v>160</v>
      </c>
      <c r="C6" s="35" t="s">
        <v>161</v>
      </c>
    </row>
    <row r="7" customFormat="false" ht="15" hidden="false" customHeight="false" outlineLevel="0" collapsed="false">
      <c r="A7" s="6" t="s">
        <v>162</v>
      </c>
      <c r="B7" s="67" t="n">
        <f aca="false">Inputs!$E$67</f>
        <v>2100000</v>
      </c>
      <c r="C7" s="61" t="n">
        <f aca="false">IF($B$9=0,0,B7/$B$9)</f>
        <v>0.411764705882353</v>
      </c>
    </row>
    <row r="8" customFormat="false" ht="15" hidden="false" customHeight="false" outlineLevel="0" collapsed="false">
      <c r="A8" s="6" t="s">
        <v>163</v>
      </c>
      <c r="B8" s="67" t="n">
        <f aca="false">Inputs!$E$68</f>
        <v>3000000</v>
      </c>
      <c r="C8" s="61" t="n">
        <f aca="false">IF($B$9=0,0,B8/$B$9)</f>
        <v>0.588235294117647</v>
      </c>
    </row>
    <row r="9" customFormat="false" ht="15" hidden="false" customHeight="false" outlineLevel="0" collapsed="false">
      <c r="A9" s="4" t="s">
        <v>164</v>
      </c>
      <c r="B9" s="68" t="n">
        <f aca="false">B7+B8</f>
        <v>5100000</v>
      </c>
      <c r="C9" s="69" t="n">
        <f aca="false">IF(B9=0,0,1)</f>
        <v>1</v>
      </c>
    </row>
    <row r="10" customFormat="false" ht="15" hidden="false" customHeight="false" outlineLevel="0" collapsed="false">
      <c r="A10" s="6" t="s">
        <v>165</v>
      </c>
      <c r="B10" s="65" t="n">
        <f aca="false">IF(B7&lt;=0,IF(B8&gt;0,"n/a",0),B8/B7)</f>
        <v>1.42857142857143</v>
      </c>
      <c r="D10" s="18" t="s">
        <v>166</v>
      </c>
    </row>
    <row r="11" customFormat="false" ht="15" hidden="false" customHeight="false" outlineLevel="0" collapsed="false">
      <c r="A11" s="6" t="s">
        <v>167</v>
      </c>
      <c r="B11" s="67" t="n">
        <f aca="false">'Break-even'!B12</f>
        <v>5249445.4614431</v>
      </c>
    </row>
    <row r="12" customFormat="false" ht="15" hidden="false" customHeight="false" outlineLevel="0" collapsed="false">
      <c r="A12" s="57" t="s">
        <v>65</v>
      </c>
      <c r="B12" s="70" t="n">
        <f aca="false">'Break-even'!B17</f>
        <v>-149445.461443098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168</v>
      </c>
      <c r="B15" s="71" t="n">
        <v>12</v>
      </c>
      <c r="D15" s="18" t="s">
        <v>169</v>
      </c>
    </row>
    <row r="16" customFormat="false" ht="15" hidden="false" customHeight="false" outlineLevel="0" collapsed="false">
      <c r="A16" s="6" t="s">
        <v>170</v>
      </c>
      <c r="B16" s="53" t="n">
        <f aca="false">MIN(36,MAX(1,ROUND(B15,0)))</f>
        <v>12</v>
      </c>
    </row>
    <row r="17" customFormat="false" ht="15" hidden="false" customHeight="false" outlineLevel="0" collapsed="false">
      <c r="A17" s="33" t="s">
        <v>171</v>
      </c>
      <c r="B17" s="35" t="s">
        <v>160</v>
      </c>
      <c r="C17" s="35" t="s">
        <v>161</v>
      </c>
    </row>
    <row r="18" customFormat="false" ht="15" hidden="false" customHeight="false" outlineLevel="0" collapsed="false">
      <c r="A18" s="6" t="s">
        <v>62</v>
      </c>
      <c r="B18" s="72" t="n">
        <f aca="false">SUMPRODUCT(--(Monthly!$C$4:$AL$4&lt;=$B$16),Monthly!$C$94:$AL$94)</f>
        <v>2100000</v>
      </c>
      <c r="C18" s="61" t="n">
        <f aca="false">IF($B$21=0,0,B18/$B$21)</f>
        <v>0.411764705882353</v>
      </c>
    </row>
    <row r="19" customFormat="false" ht="15" hidden="false" customHeight="false" outlineLevel="0" collapsed="false">
      <c r="A19" s="6" t="s">
        <v>172</v>
      </c>
      <c r="B19" s="72" t="n">
        <f aca="false">SUMPRODUCT(--(Monthly!$C$4:$AL$4&lt;=$B$16),Monthly!$C$79:$AL$79)</f>
        <v>3000000</v>
      </c>
      <c r="C19" s="61" t="n">
        <f aca="false">IF($B$21=0,0,B19/$B$21)</f>
        <v>0.588235294117647</v>
      </c>
    </row>
    <row r="20" customFormat="false" ht="15" hidden="false" customHeight="false" outlineLevel="0" collapsed="false">
      <c r="A20" s="6" t="s">
        <v>173</v>
      </c>
      <c r="B20" s="72" t="n">
        <f aca="false">MAX(0,SUMPRODUCT(--(Monthly!$C$4:$AL$4&lt;=$B$16),Monthly!$C$92:$AL$92))</f>
        <v>0</v>
      </c>
      <c r="C20" s="61" t="n">
        <f aca="false">IF($B$21=0,0,B20/$B$21)</f>
        <v>0</v>
      </c>
    </row>
    <row r="21" customFormat="false" ht="15" hidden="false" customHeight="false" outlineLevel="0" collapsed="false">
      <c r="A21" s="4" t="s">
        <v>174</v>
      </c>
      <c r="B21" s="68" t="n">
        <f aca="false">SUM(B18:B20)</f>
        <v>5100000</v>
      </c>
      <c r="C21" s="69" t="n">
        <f aca="false">IF(B21=0,0,1)</f>
        <v>1</v>
      </c>
    </row>
    <row r="23" customFormat="false" ht="15" hidden="false" customHeight="false" outlineLevel="0" collapsed="false">
      <c r="A23" s="33" t="s">
        <v>175</v>
      </c>
      <c r="B23" s="35" t="s">
        <v>160</v>
      </c>
      <c r="C23" s="35" t="s">
        <v>161</v>
      </c>
    </row>
    <row r="24" customFormat="false" ht="15" hidden="false" customHeight="false" outlineLevel="0" collapsed="false">
      <c r="A24" s="6" t="s">
        <v>176</v>
      </c>
      <c r="B24" s="72" t="n">
        <f aca="false">MAX(0,-SUMPRODUCT(--(Monthly!$C$4:$AL$4&lt;=$B$16),Monthly!$C$92:$AL$92))</f>
        <v>369557.792453481</v>
      </c>
      <c r="C24" s="61" t="n">
        <f aca="false">IF($B$28=0,0,B24/$B$28)</f>
        <v>0.0724623122457806</v>
      </c>
    </row>
    <row r="25" customFormat="false" ht="15" hidden="false" customHeight="false" outlineLevel="0" collapsed="false">
      <c r="A25" s="6" t="s">
        <v>82</v>
      </c>
      <c r="B25" s="72" t="n">
        <f aca="false">-SUMPRODUCT(--(Monthly!$C$4:$AL$4&lt;=$B$16),Monthly!$C$93:$AL$93)</f>
        <v>4100000</v>
      </c>
      <c r="C25" s="61" t="n">
        <f aca="false">IF($B$28=0,0,B25/$B$28)</f>
        <v>0.803921568627451</v>
      </c>
    </row>
    <row r="26" customFormat="false" ht="15" hidden="false" customHeight="false" outlineLevel="0" collapsed="false">
      <c r="A26" s="6" t="s">
        <v>177</v>
      </c>
      <c r="B26" s="72" t="n">
        <f aca="false">-SUMPRODUCT(--(Monthly!$C$4:$AL$4&lt;=$B$16),Monthly!$C$80:$AL$80)</f>
        <v>275000</v>
      </c>
      <c r="C26" s="61" t="n">
        <f aca="false">IF($B$28=0,0,B26/$B$28)</f>
        <v>0.053921568627451</v>
      </c>
    </row>
    <row r="27" customFormat="false" ht="15" hidden="false" customHeight="false" outlineLevel="0" collapsed="false">
      <c r="A27" s="6" t="s">
        <v>178</v>
      </c>
      <c r="B27" s="72" t="n">
        <f aca="false">INDEX(Monthly!$C$98:$AL$98,$B$16)</f>
        <v>355442.207546519</v>
      </c>
      <c r="C27" s="61" t="n">
        <f aca="false">IF($B$28=0,0,B27/$B$28)</f>
        <v>0.0696945504993175</v>
      </c>
    </row>
    <row r="28" customFormat="false" ht="15" hidden="false" customHeight="false" outlineLevel="0" collapsed="false">
      <c r="A28" s="4" t="s">
        <v>179</v>
      </c>
      <c r="B28" s="68" t="n">
        <f aca="false">SUM(B24:B27)</f>
        <v>5100000</v>
      </c>
      <c r="C28" s="69" t="n">
        <f aca="false">IF(B28=0,0,1)</f>
        <v>1</v>
      </c>
    </row>
    <row r="29" customFormat="false" ht="15" hidden="false" customHeight="false" outlineLevel="0" collapsed="false">
      <c r="A29" s="6" t="s">
        <v>180</v>
      </c>
      <c r="B29" s="72" t="n">
        <f aca="false">B21-B28</f>
        <v>0</v>
      </c>
    </row>
  </sheetData>
  <dataValidations count="1">
    <dataValidation allowBlank="false" errorStyle="stop" operator="between" prompt="A whole number from 1 to 36" promptTitle="Period" showDropDown="false" showErrorMessage="false" showInputMessage="true" sqref="B15" type="whole">
      <formula1>1</formula1>
      <formula2>36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G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1.5"/>
    <col collapsed="false" customWidth="true" hidden="false" outlineLevel="0" max="6" min="6" style="0" width="2"/>
    <col collapsed="false" customWidth="true" hidden="false" outlineLevel="0" max="22" min="7" style="0" width="9"/>
  </cols>
  <sheetData>
    <row r="1" customFormat="false" ht="21.75" hidden="false" customHeight="true" outlineLevel="0" collapsed="false">
      <c r="A1" s="16" t="s">
        <v>181</v>
      </c>
      <c r="G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182</v>
      </c>
    </row>
    <row r="4" customFormat="false" ht="15.75" hidden="false" customHeight="true" outlineLevel="0" collapsed="false">
      <c r="A4" s="7" t="s">
        <v>183</v>
      </c>
      <c r="B4" s="7"/>
      <c r="C4" s="7"/>
      <c r="D4" s="7"/>
      <c r="E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5" t="s">
        <v>184</v>
      </c>
    </row>
    <row r="6" customFormat="false" ht="15" hidden="false" customHeight="false" outlineLevel="0" collapsed="false">
      <c r="A6" s="39" t="s">
        <v>185</v>
      </c>
      <c r="B6" s="40" t="str">
        <f aca="false">IF(N('P&amp;L'!A5)&lt;=0,"n/a",'P&amp;L'!B5/'P&amp;L'!A5-1)</f>
        <v>n/a</v>
      </c>
      <c r="C6" s="40" t="n">
        <f aca="false">IF(N('P&amp;L'!B5)&lt;=0,"n/a",'P&amp;L'!C5/'P&amp;L'!B5-1)</f>
        <v>0.530171505223175</v>
      </c>
      <c r="D6" s="40" t="n">
        <f aca="false">IF(N('P&amp;L'!C5)&lt;=0,"n/a",'P&amp;L'!D5/'P&amp;L'!C5-1)</f>
        <v>0.151945260798993</v>
      </c>
      <c r="E6" s="73"/>
    </row>
    <row r="7" customFormat="false" ht="15" hidden="false" customHeight="false" outlineLevel="0" collapsed="false">
      <c r="A7" s="39" t="s">
        <v>44</v>
      </c>
      <c r="B7" s="40" t="n">
        <f aca="false">IF('P&amp;L'!B5&lt;=0,"n/a",'P&amp;L'!B7/'P&amp;L'!B5)</f>
        <v>0.847123969825669</v>
      </c>
      <c r="C7" s="40" t="n">
        <f aca="false">IF('P&amp;L'!C5&lt;=0,"n/a",'P&amp;L'!C7/'P&amp;L'!C5)</f>
        <v>0.840145068471817</v>
      </c>
      <c r="D7" s="40" t="n">
        <f aca="false">IF('P&amp;L'!D5&lt;=0,"n/a",'P&amp;L'!D7/'P&amp;L'!D5)</f>
        <v>0.83491490995181</v>
      </c>
      <c r="E7" s="73"/>
    </row>
    <row r="8" customFormat="false" ht="15" hidden="false" customHeight="false" outlineLevel="0" collapsed="false">
      <c r="A8" s="39" t="s">
        <v>47</v>
      </c>
      <c r="B8" s="40" t="n">
        <f aca="false">IF('P&amp;L'!B5&lt;=0,"n/a",'P&amp;L'!B15/'P&amp;L'!B5)</f>
        <v>-0.104457758515049</v>
      </c>
      <c r="C8" s="40" t="n">
        <f aca="false">IF('P&amp;L'!C5&lt;=0,"n/a",'P&amp;L'!C15/'P&amp;L'!C5)</f>
        <v>0.217949636079378</v>
      </c>
      <c r="D8" s="40" t="n">
        <f aca="false">IF('P&amp;L'!D5&lt;=0,"n/a",'P&amp;L'!D15/'P&amp;L'!D5)</f>
        <v>0.291322035050816</v>
      </c>
      <c r="E8" s="73"/>
    </row>
    <row r="9" customFormat="false" ht="15" hidden="false" customHeight="false" outlineLevel="0" collapsed="false">
      <c r="A9" s="39" t="s">
        <v>49</v>
      </c>
      <c r="B9" s="40" t="n">
        <f aca="false">IF('P&amp;L'!B5&lt;=0,"n/a",'P&amp;L'!B22/'P&amp;L'!B5)</f>
        <v>-0.600951460800047</v>
      </c>
      <c r="C9" s="40" t="n">
        <f aca="false">IF('P&amp;L'!C5&lt;=0,"n/a",'P&amp;L'!C22/'P&amp;L'!C5)</f>
        <v>-0.0942940025033336</v>
      </c>
      <c r="D9" s="40" t="n">
        <f aca="false">IF('P&amp;L'!D5&lt;=0,"n/a",'P&amp;L'!D22/'P&amp;L'!D5)</f>
        <v>0.0309199644358894</v>
      </c>
      <c r="E9" s="73"/>
    </row>
    <row r="10" customFormat="false" ht="15" hidden="false" customHeight="false" outlineLevel="0" collapsed="false">
      <c r="A10" s="39" t="s">
        <v>186</v>
      </c>
      <c r="B10" s="40" t="n">
        <f aca="false">IF('P&amp;L'!B5&lt;=0,"n/a",-SUMIF(Headcount!$C$5:$AL$5,B$5,Headcount!$C$15:$AL$15)/'P&amp;L'!B5)</f>
        <v>0.372010295279517</v>
      </c>
      <c r="C10" s="40" t="n">
        <f aca="false">IF('P&amp;L'!C5&lt;=0,"n/a",-SUMIF(Headcount!$C$5:$AL$5,C$5,Headcount!$C$15:$AL$15)/'P&amp;L'!C5)</f>
        <v>0.250410233643723</v>
      </c>
      <c r="D10" s="40" t="n">
        <f aca="false">IF('P&amp;L'!D5&lt;=0,"n/a",-SUMIF(Headcount!$C$5:$AL$5,D$5,Headcount!$C$15:$AL$15)/'P&amp;L'!D5)</f>
        <v>0.223901733381097</v>
      </c>
      <c r="E10" s="73"/>
    </row>
    <row r="11" customFormat="false" ht="15" hidden="false" customHeight="false" outlineLevel="0" collapsed="false">
      <c r="A11" s="39" t="s">
        <v>187</v>
      </c>
      <c r="B11" s="40" t="n">
        <f aca="false">IF('P&amp;L'!B5&lt;=0,"n/a",-'P&amp;L'!B13/'P&amp;L'!B5)</f>
        <v>0.1220150385392</v>
      </c>
      <c r="C11" s="40" t="n">
        <f aca="false">IF('P&amp;L'!C5&lt;=0,"n/a",-'P&amp;L'!C13/'P&amp;L'!C5)</f>
        <v>0.0637915622517905</v>
      </c>
      <c r="D11" s="40" t="n">
        <f aca="false">IF('P&amp;L'!D5&lt;=0,"n/a",-'P&amp;L'!D13/'P&amp;L'!D5)</f>
        <v>0.0443018010821413</v>
      </c>
      <c r="E11" s="73"/>
    </row>
    <row r="12" customFormat="false" ht="15" hidden="false" customHeight="false" outlineLevel="0" collapsed="false">
      <c r="A12" s="39" t="s">
        <v>188</v>
      </c>
      <c r="B12" s="40" t="n">
        <f aca="false">IF('P&amp;L'!B5&lt;=0,"n/a",-'P&amp;L'!B14/'P&amp;L'!B5)</f>
        <v>0.951581728340717</v>
      </c>
      <c r="C12" s="40" t="n">
        <f aca="false">IF('P&amp;L'!C5&lt;=0,"n/a",-'P&amp;L'!C14/'P&amp;L'!C5)</f>
        <v>0.622195432392439</v>
      </c>
      <c r="D12" s="40" t="n">
        <f aca="false">IF('P&amp;L'!D5&lt;=0,"n/a",-'P&amp;L'!D14/'P&amp;L'!D5)</f>
        <v>0.543592874900994</v>
      </c>
      <c r="E12" s="73"/>
    </row>
    <row r="13" customFormat="false" ht="15" hidden="false" customHeight="false" outlineLevel="0" collapsed="false">
      <c r="A13" s="6" t="s">
        <v>189</v>
      </c>
      <c r="B13" s="74" t="n">
        <f aca="false">IF(('Balance Sheet'!B12-'Balance Sheet'!B11)&lt;=0,"n/a",('Balance Sheet'!B5+'Balance Sheet'!B6+'Balance Sheet'!B7)/('Balance Sheet'!B12-'Balance Sheet'!B11))</f>
        <v>25.1352519854456</v>
      </c>
      <c r="C13" s="74" t="n">
        <f aca="false">IF(('Balance Sheet'!C12-'Balance Sheet'!C11)&lt;=0,"n/a",('Balance Sheet'!C5+'Balance Sheet'!C6+'Balance Sheet'!C7)/('Balance Sheet'!C12-'Balance Sheet'!C11))</f>
        <v>11.2828282810129</v>
      </c>
      <c r="D13" s="74" t="n">
        <f aca="false">IF(('Balance Sheet'!D12-'Balance Sheet'!D11)&lt;=0,"n/a",('Balance Sheet'!D5+'Balance Sheet'!D6+'Balance Sheet'!D7)/('Balance Sheet'!D12-'Balance Sheet'!D11))</f>
        <v>13.3028651428572</v>
      </c>
      <c r="E13" s="75"/>
    </row>
    <row r="14" customFormat="false" ht="15" hidden="false" customHeight="false" outlineLevel="0" collapsed="false">
      <c r="A14" s="6" t="s">
        <v>190</v>
      </c>
      <c r="B14" s="74" t="n">
        <f aca="false">IF('Balance Sheet'!B15&lt;=0,"n/a",'Balance Sheet'!B11/'Balance Sheet'!B15)</f>
        <v>1.95934954718088</v>
      </c>
      <c r="C14" s="74" t="n">
        <f aca="false">IF('Balance Sheet'!C15&lt;=0,"n/a",'Balance Sheet'!C11/'Balance Sheet'!C15)</f>
        <v>1.9869168674045</v>
      </c>
      <c r="D14" s="74" t="n">
        <f aca="false">IF('Balance Sheet'!D15&lt;=0,"n/a",'Balance Sheet'!D11/'Balance Sheet'!D15)</f>
        <v>1.65394625733797</v>
      </c>
      <c r="E14" s="75"/>
    </row>
    <row r="15" customFormat="false" ht="15" hidden="false" customHeight="false" outlineLevel="0" collapsed="false">
      <c r="A15" s="39" t="s">
        <v>191</v>
      </c>
      <c r="B15" s="40" t="n">
        <f aca="false">IF('Balance Sheet'!B9&lt;=0,"n/a",'P&amp;L'!B22/'Balance Sheet'!B9)</f>
        <v>-0.171702955749435</v>
      </c>
      <c r="C15" s="40" t="n">
        <f aca="false">IF('Balance Sheet'!C9&lt;=0,"n/a",'P&amp;L'!C22/'Balance Sheet'!C9)</f>
        <v>-0.0464726723709948</v>
      </c>
      <c r="D15" s="40" t="n">
        <f aca="false">IF('Balance Sheet'!D9&lt;=0,"n/a",'P&amp;L'!D22/'Balance Sheet'!D9)</f>
        <v>0.0187455245178273</v>
      </c>
      <c r="E15" s="73"/>
    </row>
    <row r="16" customFormat="false" ht="15" hidden="false" customHeight="false" outlineLevel="0" collapsed="false">
      <c r="A16" s="39" t="s">
        <v>192</v>
      </c>
      <c r="B16" s="40" t="n">
        <f aca="false">IF('Balance Sheet'!B15&lt;=0,"n/a",'P&amp;L'!B22/'Balance Sheet'!B15)</f>
        <v>-0.50995744920361</v>
      </c>
      <c r="C16" s="40" t="n">
        <f aca="false">IF('Balance Sheet'!C15&lt;=0,"n/a",'P&amp;L'!C22/'Balance Sheet'!C15)</f>
        <v>-0.139521541300192</v>
      </c>
      <c r="D16" s="40" t="n">
        <f aca="false">IF('Balance Sheet'!D15&lt;=0,"n/a",'P&amp;L'!D22/'Balance Sheet'!D15)</f>
        <v>0.0500636521561513</v>
      </c>
      <c r="E16" s="73"/>
    </row>
    <row r="18" customFormat="false" ht="15.75" hidden="false" customHeight="true" outlineLevel="0" collapsed="false">
      <c r="A18" s="7" t="s">
        <v>193</v>
      </c>
      <c r="B18" s="7"/>
      <c r="C18" s="7"/>
      <c r="D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</row>
    <row r="20" customFormat="false" ht="15" hidden="false" customHeight="false" outlineLevel="0" collapsed="false">
      <c r="A20" s="52" t="s">
        <v>49</v>
      </c>
      <c r="B20" s="40" t="n">
        <f aca="false">IF('P&amp;L'!B5&lt;=0,"n/a",'P&amp;L'!B22/'P&amp;L'!B5)</f>
        <v>-0.600951460800047</v>
      </c>
      <c r="C20" s="40" t="n">
        <f aca="false">IF('P&amp;L'!C5&lt;=0,"n/a",'P&amp;L'!C22/'P&amp;L'!C5)</f>
        <v>-0.0942940025033336</v>
      </c>
      <c r="D20" s="40" t="n">
        <f aca="false">IF('P&amp;L'!D5&lt;=0,"n/a",'P&amp;L'!D22/'P&amp;L'!D5)</f>
        <v>0.0309199644358894</v>
      </c>
    </row>
    <row r="21" customFormat="false" ht="15" hidden="false" customHeight="false" outlineLevel="0" collapsed="false">
      <c r="A21" s="52" t="s">
        <v>194</v>
      </c>
      <c r="B21" s="74" t="n">
        <f aca="false">IF('Balance Sheet'!B9&lt;=0,"n/a",'P&amp;L'!B5/'Balance Sheet'!B9)</f>
        <v>0.285718509646098</v>
      </c>
      <c r="C21" s="74" t="n">
        <f aca="false">IF('Balance Sheet'!C9&lt;=0,"n/a",'P&amp;L'!C5/'Balance Sheet'!C9)</f>
        <v>0.492848655664519</v>
      </c>
      <c r="D21" s="74" t="n">
        <f aca="false">IF('Balance Sheet'!D9&lt;=0,"n/a",'P&amp;L'!D5/'Balance Sheet'!D9)</f>
        <v>0.606259575643918</v>
      </c>
    </row>
    <row r="22" customFormat="false" ht="15" hidden="false" customHeight="false" outlineLevel="0" collapsed="false">
      <c r="A22" s="52" t="s">
        <v>195</v>
      </c>
      <c r="B22" s="74" t="n">
        <f aca="false">IF('Balance Sheet'!B15&lt;=0,"n/a",'Balance Sheet'!B9/'Balance Sheet'!B15)</f>
        <v>2.96999808173243</v>
      </c>
      <c r="C22" s="74" t="n">
        <f aca="false">IF('Balance Sheet'!C15&lt;=0,"n/a",'Balance Sheet'!C9/'Balance Sheet'!C15)</f>
        <v>3.002227635768</v>
      </c>
      <c r="D22" s="74" t="n">
        <f aca="false">IF('Balance Sheet'!D15&lt;=0,"n/a",'Balance Sheet'!D9/'Balance Sheet'!D15)</f>
        <v>2.67069892381725</v>
      </c>
    </row>
    <row r="23" customFormat="false" ht="15" hidden="false" customHeight="false" outlineLevel="0" collapsed="false">
      <c r="A23" s="41" t="s">
        <v>196</v>
      </c>
      <c r="B23" s="76" t="n">
        <f aca="false">IF(AND(ISNUMBER(B20),ISNUMBER(B21),ISNUMBER(B22)),B20*B21*B22,"n/a")</f>
        <v>-0.50995744920361</v>
      </c>
      <c r="C23" s="76" t="n">
        <f aca="false">IF(AND(ISNUMBER(C20),ISNUMBER(C21),ISNUMBER(C22)),C20*C21*C22,"n/a")</f>
        <v>-0.139521541300192</v>
      </c>
      <c r="D23" s="76" t="n">
        <f aca="false">IF(AND(ISNUMBER(D20),ISNUMBER(D21),ISNUMBER(D22)),D20*D21*D22,"n/a")</f>
        <v>0.0500636521561513</v>
      </c>
    </row>
    <row r="24" customFormat="false" ht="15" hidden="false" customHeight="false" outlineLevel="0" collapsed="false">
      <c r="A24" s="21" t="s">
        <v>197</v>
      </c>
      <c r="B24" s="40" t="n">
        <f aca="false">IF(AND(ISNUMBER(B23),ISNUMBER(B16)),B23-B16,IF(ISNUMBER(B23),1,IF(AND(ISNUMBER(B16),ISNUMBER(B20),ISNUMBER(B21)),1,0)))</f>
        <v>0</v>
      </c>
      <c r="C24" s="40" t="n">
        <f aca="false">IF(AND(ISNUMBER(C23),ISNUMBER(C16)),C23-C16,IF(ISNUMBER(C23),1,IF(AND(ISNUMBER(C16),ISNUMBER(C20),ISNUMBER(C21)),1,0)))</f>
        <v>0</v>
      </c>
      <c r="D24" s="40" t="n">
        <f aca="false">IF(AND(ISNUMBER(D23),ISNUMBER(D16)),D23-D16,IF(ISNUMBER(D23),1,IF(AND(ISNUMBER(D16),ISNUMBER(D20),ISNUMBER(D21)),1,0)))</f>
        <v>0</v>
      </c>
    </row>
    <row r="26" customFormat="false" ht="15.75" hidden="false" customHeight="true" outlineLevel="0" collapsed="false">
      <c r="A26" s="7" t="s">
        <v>198</v>
      </c>
      <c r="B26" s="7"/>
      <c r="C26" s="7"/>
      <c r="D26" s="7"/>
      <c r="E26" s="7"/>
    </row>
    <row r="27" customFormat="false" ht="15" hidden="false" customHeight="false" outlineLevel="0" collapsed="false">
      <c r="A27" s="59" t="s">
        <v>122</v>
      </c>
      <c r="B27" s="59" t="n">
        <v>1</v>
      </c>
      <c r="C27" s="59" t="n">
        <v>2</v>
      </c>
      <c r="D27" s="59" t="n">
        <v>3</v>
      </c>
    </row>
    <row r="28" customFormat="false" ht="15" hidden="false" customHeight="false" outlineLevel="0" collapsed="false">
      <c r="A28" s="33"/>
      <c r="B28" s="35" t="s">
        <v>123</v>
      </c>
      <c r="C28" s="35" t="s">
        <v>124</v>
      </c>
      <c r="D28" s="35" t="s">
        <v>125</v>
      </c>
      <c r="E28" s="35" t="s">
        <v>184</v>
      </c>
    </row>
    <row r="29" customFormat="false" ht="15" hidden="false" customHeight="false" outlineLevel="0" collapsed="false">
      <c r="A29" s="4" t="s">
        <v>56</v>
      </c>
      <c r="B29" s="77" t="n">
        <f aca="false">INDEX(Monthly!$C$19:$AL$19,B$27*12)</f>
        <v>972.089183697303</v>
      </c>
      <c r="C29" s="77" t="n">
        <f aca="false">INDEX(Monthly!$C$19:$AL$19,C$27*12)</f>
        <v>1644.34338061813</v>
      </c>
      <c r="D29" s="77" t="n">
        <f aca="false">INDEX(Monthly!$C$19:$AL$19,D$27*12)</f>
        <v>2081.65600865264</v>
      </c>
      <c r="E29" s="78"/>
    </row>
    <row r="30" customFormat="false" ht="15" hidden="false" customHeight="false" outlineLevel="0" collapsed="false">
      <c r="A30" s="6" t="s">
        <v>199</v>
      </c>
      <c r="B30" s="79" t="n">
        <f aca="false">SUMIF(Monthly!$C$5:$AL$5,B$27,Monthly!$C$16:$AL$16)</f>
        <v>981.453066666667</v>
      </c>
      <c r="C30" s="79" t="n">
        <f aca="false">SUMIF(Monthly!$C$5:$AL$5,C$27,Monthly!$C$16:$AL$16)</f>
        <v>1298.16</v>
      </c>
      <c r="D30" s="79" t="n">
        <f aca="false">SUMIF(Monthly!$C$5:$AL$5,D$27,Monthly!$C$16:$AL$16)</f>
        <v>1329.66</v>
      </c>
      <c r="E30" s="78"/>
    </row>
    <row r="31" customFormat="false" ht="15" hidden="false" customHeight="false" outlineLevel="0" collapsed="false">
      <c r="A31" s="6" t="s">
        <v>200</v>
      </c>
      <c r="B31" s="79" t="n">
        <f aca="false">SUMIF(Monthly!$C$5:$AL$5,B$27,Monthly!$C$18:$AL$18)</f>
        <v>-259.363882969363</v>
      </c>
      <c r="C31" s="79" t="n">
        <f aca="false">SUMIF(Monthly!$C$5:$AL$5,C$27,Monthly!$C$18:$AL$18)</f>
        <v>-625.905803079172</v>
      </c>
      <c r="D31" s="79" t="n">
        <f aca="false">SUMIF(Monthly!$C$5:$AL$5,D$27,Monthly!$C$18:$AL$18)</f>
        <v>-892.347371965488</v>
      </c>
      <c r="E31" s="78"/>
    </row>
    <row r="32" customFormat="false" ht="15" hidden="false" customHeight="false" outlineLevel="0" collapsed="false">
      <c r="A32" s="39" t="s">
        <v>201</v>
      </c>
      <c r="B32" s="80" t="n">
        <f aca="false">Inputs!$E$23</f>
        <v>0.04</v>
      </c>
      <c r="C32" s="80" t="n">
        <f aca="false">Inputs!$E$23</f>
        <v>0.04</v>
      </c>
      <c r="D32" s="80" t="n">
        <f aca="false">Inputs!$E$23</f>
        <v>0.04</v>
      </c>
      <c r="E32" s="81"/>
    </row>
    <row r="33" customFormat="false" ht="15" hidden="false" customHeight="false" outlineLevel="0" collapsed="false">
      <c r="A33" s="4" t="s">
        <v>202</v>
      </c>
      <c r="B33" s="77" t="n">
        <f aca="false">SUMIF(Monthly!$C$5:$AL$5,B$27,Monthly!$C$28:$AL$28)</f>
        <v>88966.9491822926</v>
      </c>
      <c r="C33" s="77" t="n">
        <f aca="false">SUMIF(Monthly!$C$5:$AL$5,C$27,Monthly!$C$28:$AL$28)</f>
        <v>139676.344154842</v>
      </c>
      <c r="D33" s="77" t="n">
        <f aca="false">SUMIF(Monthly!$C$5:$AL$5,D$27,Monthly!$C$28:$AL$28)</f>
        <v>162504.894526232</v>
      </c>
      <c r="E33" s="78"/>
    </row>
    <row r="34" customFormat="false" ht="15" hidden="false" customHeight="false" outlineLevel="0" collapsed="false">
      <c r="A34" s="6" t="s">
        <v>203</v>
      </c>
      <c r="B34" s="79" t="n">
        <f aca="false">SUMIF(Monthly!$C$5:$AL$5,B$27,Monthly!$C$26:$AL$26)</f>
        <v>64869.1333333333</v>
      </c>
      <c r="C34" s="79" t="n">
        <f aca="false">SUMIF(Monthly!$C$5:$AL$5,C$27,Monthly!$C$26:$AL$26)</f>
        <v>83520</v>
      </c>
      <c r="D34" s="79" t="n">
        <f aca="false">SUMIF(Monthly!$C$5:$AL$5,D$27,Monthly!$C$26:$AL$26)</f>
        <v>83520</v>
      </c>
      <c r="E34" s="78"/>
    </row>
    <row r="35" customFormat="false" ht="15" hidden="false" customHeight="false" outlineLevel="0" collapsed="false">
      <c r="A35" s="6" t="s">
        <v>204</v>
      </c>
      <c r="B35" s="79" t="n">
        <f aca="false">SUMIF(Monthly!$C$5:$AL$5,B$27,Monthly!$C$27:$AL$27)</f>
        <v>24097.8158489592</v>
      </c>
      <c r="C35" s="79" t="n">
        <f aca="false">SUMIF(Monthly!$C$5:$AL$5,C$27,Monthly!$C$27:$AL$27)</f>
        <v>56156.3441548421</v>
      </c>
      <c r="D35" s="79" t="n">
        <f aca="false">SUMIF(Monthly!$C$5:$AL$5,D$27,Monthly!$C$27:$AL$27)</f>
        <v>78984.8945262322</v>
      </c>
      <c r="E35" s="78"/>
    </row>
    <row r="36" customFormat="false" ht="15" hidden="false" customHeight="false" outlineLevel="0" collapsed="false">
      <c r="A36" s="39" t="s">
        <v>205</v>
      </c>
      <c r="B36" s="80" t="n">
        <f aca="false">IF(B33=0,0,B35/B33)</f>
        <v>0.270862562675753</v>
      </c>
      <c r="C36" s="80" t="n">
        <f aca="false">IF(C33=0,0,C35/C33)</f>
        <v>0.402046205423221</v>
      </c>
      <c r="D36" s="80" t="n">
        <f aca="false">IF(D33=0,0,D35/D33)</f>
        <v>0.486046249600698</v>
      </c>
      <c r="E36" s="81"/>
    </row>
    <row r="37" customFormat="false" ht="15" hidden="false" customHeight="false" outlineLevel="0" collapsed="false">
      <c r="A37" s="6" t="s">
        <v>57</v>
      </c>
      <c r="B37" s="79" t="n">
        <f aca="false">IF(Inputs!$E$8=0,0,B33/(Inputs!$E$8*12))</f>
        <v>255.65215282268</v>
      </c>
      <c r="C37" s="79" t="n">
        <f aca="false">IF(Inputs!$E$8=0,0,C33/(Inputs!$E$8*12))</f>
        <v>401.36880504265</v>
      </c>
      <c r="D37" s="79" t="n">
        <f aca="false">IF(Inputs!$E$8=0,0,D33/(Inputs!$E$8*12))</f>
        <v>466.968087719058</v>
      </c>
      <c r="E37" s="78"/>
    </row>
    <row r="38" customFormat="false" ht="15" hidden="false" customHeight="false" outlineLevel="0" collapsed="false">
      <c r="A38" s="6" t="s">
        <v>206</v>
      </c>
      <c r="B38" s="79" t="n">
        <f aca="false">SUMIF(Monthly!$C$5:$AL$5,B$27,Monthly!$C$24:$AL$24)</f>
        <v>294756</v>
      </c>
      <c r="C38" s="79" t="n">
        <f aca="false">SUMIF(Monthly!$C$5:$AL$5,C$27,Monthly!$C$24:$AL$24)</f>
        <v>294756</v>
      </c>
      <c r="D38" s="79" t="n">
        <f aca="false">SUMIF(Monthly!$C$5:$AL$5,D$27,Monthly!$C$24:$AL$24)</f>
        <v>294756</v>
      </c>
      <c r="E38" s="78"/>
    </row>
    <row r="39" customFormat="false" ht="15" hidden="false" customHeight="false" outlineLevel="0" collapsed="false">
      <c r="A39" s="39" t="s">
        <v>58</v>
      </c>
      <c r="B39" s="80" t="n">
        <f aca="false">IF(B38=0,0,B33/B38)</f>
        <v>0.301832529896906</v>
      </c>
      <c r="C39" s="80" t="n">
        <f aca="false">IF(C38=0,0,C33/C38)</f>
        <v>0.473871080333707</v>
      </c>
      <c r="D39" s="80" t="n">
        <f aca="false">IF(D38=0,0,D33/D38)</f>
        <v>0.551320056338912</v>
      </c>
      <c r="E39" s="81"/>
    </row>
    <row r="40" customFormat="false" ht="15" hidden="false" customHeight="false" outlineLevel="0" collapsed="false">
      <c r="A40" s="6" t="s">
        <v>207</v>
      </c>
      <c r="B40" s="79" t="n">
        <f aca="false">SUMIF(Monthly!$C$5:$AL$5,B$27,Monthly!$C$29:$AL$29)</f>
        <v>0</v>
      </c>
      <c r="C40" s="79" t="n">
        <f aca="false">SUMIF(Monthly!$C$5:$AL$5,C$27,Monthly!$C$29:$AL$29)</f>
        <v>0</v>
      </c>
      <c r="D40" s="79" t="n">
        <f aca="false">SUMIF(Monthly!$C$5:$AL$5,D$27,Monthly!$C$29:$AL$29)</f>
        <v>0</v>
      </c>
      <c r="E40" s="78"/>
    </row>
    <row r="41" customFormat="false" ht="15" hidden="false" customHeight="false" outlineLevel="0" collapsed="false">
      <c r="A41" s="4" t="s">
        <v>42</v>
      </c>
      <c r="B41" s="82" t="n">
        <f aca="false">SUMIF(Monthly!$C$5:$AL$5,B$27,Monthly!$C$37:$AL$37)</f>
        <v>1180182.39164623</v>
      </c>
      <c r="C41" s="82" t="n">
        <f aca="false">SUMIF(Monthly!$C$5:$AL$5,C$27,Monthly!$C$37:$AL$37)</f>
        <v>1805881.4666632</v>
      </c>
      <c r="D41" s="82" t="n">
        <f aca="false">SUMIF(Monthly!$C$5:$AL$5,D$27,Monthly!$C$37:$AL$37)</f>
        <v>2080276.59708741</v>
      </c>
      <c r="E41" s="83"/>
    </row>
    <row r="42" customFormat="false" ht="15" hidden="false" customHeight="false" outlineLevel="0" collapsed="false">
      <c r="A42" s="6" t="s">
        <v>208</v>
      </c>
      <c r="B42" s="36" t="n">
        <f aca="false">SUMIF(Monthly!$C$5:$AL$5,B$27,Monthly!$C$36:$AL$36)</f>
        <v>239579.958312896</v>
      </c>
      <c r="C42" s="36" t="n">
        <f aca="false">SUMIF(Monthly!$C$5:$AL$5,C$27,Monthly!$C$36:$AL$36)</f>
        <v>570620.666663197</v>
      </c>
      <c r="D42" s="36" t="n">
        <f aca="false">SUMIF(Monthly!$C$5:$AL$5,D$27,Monthly!$C$36:$AL$36)</f>
        <v>820310.581087405</v>
      </c>
      <c r="E42" s="83"/>
    </row>
    <row r="43" customFormat="false" ht="15" hidden="false" customHeight="false" outlineLevel="0" collapsed="false">
      <c r="A43" s="6" t="s">
        <v>209</v>
      </c>
      <c r="B43" s="36" t="n">
        <f aca="false">B41-B42</f>
        <v>940602.433333333</v>
      </c>
      <c r="C43" s="36" t="n">
        <f aca="false">C41-C42</f>
        <v>1235260.8</v>
      </c>
      <c r="D43" s="36" t="n">
        <f aca="false">D41-D42</f>
        <v>1259966.016</v>
      </c>
      <c r="E43" s="83"/>
    </row>
    <row r="44" customFormat="false" ht="15" hidden="false" customHeight="false" outlineLevel="0" collapsed="false">
      <c r="A44" s="39" t="s">
        <v>210</v>
      </c>
      <c r="B44" s="80" t="n">
        <f aca="false">IF(B41=0,0,B42/B41)</f>
        <v>0.203002485046999</v>
      </c>
      <c r="C44" s="80" t="n">
        <f aca="false">IF(C41=0,0,C42/C41)</f>
        <v>0.315979025864614</v>
      </c>
      <c r="D44" s="80" t="n">
        <f aca="false">IF(D41=0,0,D42/D41)</f>
        <v>0.394327649619249</v>
      </c>
      <c r="E44" s="81"/>
    </row>
    <row r="45" customFormat="false" ht="15" hidden="false" customHeight="false" outlineLevel="0" collapsed="false">
      <c r="A45" s="6" t="s">
        <v>211</v>
      </c>
      <c r="B45" s="84" t="n">
        <f aca="false">IF(B33=0,0,B41/B33)</f>
        <v>13.2654025173781</v>
      </c>
      <c r="C45" s="84" t="n">
        <f aca="false">IF(C33=0,0,C41/C33)</f>
        <v>12.9290430501334</v>
      </c>
      <c r="D45" s="84" t="n">
        <f aca="false">IF(D33=0,0,D41/D33)</f>
        <v>12.8013165582013</v>
      </c>
      <c r="E45" s="85"/>
    </row>
    <row r="46" customFormat="false" ht="15" hidden="false" customHeight="false" outlineLevel="0" collapsed="false">
      <c r="A46" s="6" t="s">
        <v>212</v>
      </c>
      <c r="B46" s="84" t="n">
        <f aca="false">IF(B35=0,0,B42/B35)</f>
        <v>9.94197813671329</v>
      </c>
      <c r="C46" s="84" t="n">
        <f aca="false">IF(C35=0,0,C42/C35)</f>
        <v>10.1612858751952</v>
      </c>
      <c r="D46" s="84" t="n">
        <f aca="false">IF(D35=0,0,D42/D35)</f>
        <v>10.385664069159</v>
      </c>
      <c r="E46" s="85"/>
    </row>
    <row r="47" customFormat="false" ht="15" hidden="false" customHeight="false" outlineLevel="0" collapsed="false">
      <c r="A47" s="6" t="s">
        <v>213</v>
      </c>
      <c r="B47" s="36" t="n">
        <f aca="false">SUMIF(Monthly!$C$5:$AL$5,B$27,Monthly!$C$43:$AL$43)</f>
        <v>-145016.127167137</v>
      </c>
      <c r="C47" s="36" t="n">
        <f aca="false">SUMIF(Monthly!$C$5:$AL$5,C$27,Monthly!$C$43:$AL$43)</f>
        <v>-234502.614201564</v>
      </c>
      <c r="D47" s="36" t="n">
        <f aca="false">SUMIF(Monthly!$C$5:$AL$5,D$27,Monthly!$C$43:$AL$43)</f>
        <v>-281014.351442694</v>
      </c>
      <c r="E47" s="83"/>
    </row>
    <row r="48" customFormat="false" ht="15" hidden="false" customHeight="false" outlineLevel="0" collapsed="false">
      <c r="A48" s="6" t="s">
        <v>214</v>
      </c>
      <c r="B48" s="84" t="n">
        <f aca="false">IF(B33=0,0,-B47/B33)</f>
        <v>1.63</v>
      </c>
      <c r="C48" s="84" t="n">
        <f aca="false">IF(C33=0,0,-C47/C33)</f>
        <v>1.6789</v>
      </c>
      <c r="D48" s="84" t="n">
        <f aca="false">IF(D33=0,0,-D47/D33)</f>
        <v>1.729267</v>
      </c>
      <c r="E48" s="85"/>
    </row>
    <row r="49" customFormat="false" ht="15" hidden="false" customHeight="false" outlineLevel="0" collapsed="false">
      <c r="A49" s="6" t="s">
        <v>43</v>
      </c>
      <c r="B49" s="36" t="n">
        <f aca="false">SUMIF(Monthly!$C$5:$AL$5,B$27,Monthly!$C$46:$AL$46)</f>
        <v>999760.792729705</v>
      </c>
      <c r="C49" s="36" t="n">
        <f aca="false">SUMIF(Monthly!$C$5:$AL$5,C$27,Monthly!$C$46:$AL$46)</f>
        <v>1517202.40846174</v>
      </c>
      <c r="D49" s="36" t="n">
        <f aca="false">SUMIF(Monthly!$C$5:$AL$5,D$27,Monthly!$C$46:$AL$46)</f>
        <v>1736853.94773209</v>
      </c>
      <c r="E49" s="83"/>
    </row>
    <row r="50" customFormat="false" ht="15" hidden="false" customHeight="false" outlineLevel="0" collapsed="false">
      <c r="A50" s="39" t="s">
        <v>44</v>
      </c>
      <c r="B50" s="80" t="n">
        <f aca="false">IF(B41=0,0,B49/B41)</f>
        <v>0.847123969825669</v>
      </c>
      <c r="C50" s="80" t="n">
        <f aca="false">IF(C41=0,0,C49/C41)</f>
        <v>0.840145068471817</v>
      </c>
      <c r="D50" s="80" t="n">
        <f aca="false">IF(D41=0,0,D49/D41)</f>
        <v>0.83491490995181</v>
      </c>
      <c r="E50" s="81"/>
    </row>
    <row r="51" customFormat="false" ht="15" hidden="false" customHeight="false" outlineLevel="0" collapsed="false">
      <c r="A51" s="6" t="s">
        <v>46</v>
      </c>
      <c r="B51" s="36" t="n">
        <f aca="false">SUMIF(Monthly!$C$5:$AL$5,B$27,Monthly!$C$55:$AL$55)</f>
        <v>-123279.207270295</v>
      </c>
      <c r="C51" s="36" t="n">
        <f aca="false">SUMIF(Monthly!$C$5:$AL$5,C$27,Monthly!$C$55:$AL$55)</f>
        <v>393591.208461737</v>
      </c>
      <c r="D51" s="36" t="n">
        <f aca="false">SUMIF(Monthly!$C$5:$AL$5,D$27,Monthly!$C$55:$AL$55)</f>
        <v>606030.411732089</v>
      </c>
      <c r="E51" s="83"/>
    </row>
    <row r="52" customFormat="false" ht="15" hidden="false" customHeight="false" outlineLevel="0" collapsed="false">
      <c r="A52" s="39" t="s">
        <v>47</v>
      </c>
      <c r="B52" s="80" t="n">
        <f aca="false">IF(B41=0,0,B51/B41)</f>
        <v>-0.104457758515049</v>
      </c>
      <c r="C52" s="80" t="n">
        <f aca="false">IF(C41=0,0,C51/C41)</f>
        <v>0.217949636079378</v>
      </c>
      <c r="D52" s="80" t="n">
        <f aca="false">IF(D41=0,0,D51/D41)</f>
        <v>0.291322035050816</v>
      </c>
      <c r="E52" s="81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215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216</v>
      </c>
    </row>
    <row r="5" customFormat="false" ht="15" hidden="false" customHeight="false" outlineLevel="0" collapsed="false">
      <c r="A5" s="33" t="s">
        <v>217</v>
      </c>
      <c r="B5" s="35" t="s">
        <v>218</v>
      </c>
      <c r="C5" s="35" t="s">
        <v>219</v>
      </c>
      <c r="D5" s="35" t="s">
        <v>220</v>
      </c>
      <c r="E5" s="35" t="s">
        <v>221</v>
      </c>
      <c r="F5" s="33" t="s">
        <v>222</v>
      </c>
      <c r="G5" s="33" t="s">
        <v>223</v>
      </c>
    </row>
    <row r="6" customFormat="false" ht="15.75" hidden="false" customHeight="true" outlineLevel="0" collapsed="false">
      <c r="A6" s="7" t="s">
        <v>224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225</v>
      </c>
      <c r="B7" s="86" t="n">
        <v>200</v>
      </c>
      <c r="C7" s="86" t="n">
        <v>240</v>
      </c>
      <c r="D7" s="86" t="n">
        <v>280</v>
      </c>
      <c r="E7" s="87" t="n">
        <f aca="false">CHOOSE(Dashboard!$B$4,B7,C7,D7)</f>
        <v>240</v>
      </c>
      <c r="F7" s="39" t="s">
        <v>226</v>
      </c>
      <c r="G7" s="88" t="s">
        <v>227</v>
      </c>
    </row>
    <row r="8" customFormat="false" ht="15" hidden="false" customHeight="false" outlineLevel="0" collapsed="false">
      <c r="A8" s="6" t="s">
        <v>228</v>
      </c>
      <c r="B8" s="86" t="n">
        <v>29</v>
      </c>
      <c r="C8" s="86" t="n">
        <v>29</v>
      </c>
      <c r="D8" s="86" t="n">
        <v>29</v>
      </c>
      <c r="E8" s="87" t="n">
        <f aca="false">CHOOSE(Dashboard!$B$4,B8,C8,D8)</f>
        <v>29</v>
      </c>
      <c r="F8" s="39" t="s">
        <v>229</v>
      </c>
      <c r="G8" s="88"/>
    </row>
    <row r="9" customFormat="false" ht="15" hidden="false" customHeight="false" outlineLevel="0" collapsed="false">
      <c r="A9" s="6" t="s">
        <v>230</v>
      </c>
      <c r="B9" s="89" t="n">
        <v>12</v>
      </c>
      <c r="C9" s="89" t="n">
        <v>9</v>
      </c>
      <c r="D9" s="89" t="n">
        <v>7</v>
      </c>
      <c r="E9" s="90" t="n">
        <f aca="false">CHOOSE(Dashboard!$B$4,B9,C9,D9)</f>
        <v>9</v>
      </c>
      <c r="F9" s="39" t="s">
        <v>231</v>
      </c>
      <c r="G9" s="88" t="s">
        <v>232</v>
      </c>
    </row>
    <row r="10" customFormat="false" ht="15" hidden="false" customHeight="false" outlineLevel="0" collapsed="false">
      <c r="A10" s="6" t="s">
        <v>233</v>
      </c>
      <c r="B10" s="91" t="n">
        <v>0.35</v>
      </c>
      <c r="C10" s="91" t="n">
        <v>0.45</v>
      </c>
      <c r="D10" s="91" t="n">
        <v>0.55</v>
      </c>
      <c r="E10" s="92" t="n">
        <f aca="false">CHOOSE(Dashboard!$B$4,B10,C10,D10)</f>
        <v>0.45</v>
      </c>
      <c r="F10" s="39" t="s">
        <v>234</v>
      </c>
      <c r="G10" s="88" t="s">
        <v>227</v>
      </c>
    </row>
    <row r="11" customFormat="false" ht="15" hidden="false" customHeight="false" outlineLevel="0" collapsed="false">
      <c r="A11" s="6" t="s">
        <v>235</v>
      </c>
      <c r="B11" s="91" t="n">
        <v>0.2</v>
      </c>
      <c r="C11" s="91" t="n">
        <v>0.15</v>
      </c>
      <c r="D11" s="91" t="n">
        <v>0.1</v>
      </c>
      <c r="E11" s="92" t="n">
        <f aca="false">CHOOSE(Dashboard!$B$4,B11,C11,D11)</f>
        <v>0.15</v>
      </c>
      <c r="F11" s="39" t="s">
        <v>234</v>
      </c>
      <c r="G11" s="88" t="s">
        <v>232</v>
      </c>
    </row>
    <row r="13" customFormat="false" ht="15.75" hidden="false" customHeight="true" outlineLevel="0" collapsed="false">
      <c r="A13" s="7" t="s">
        <v>236</v>
      </c>
      <c r="B13" s="7"/>
      <c r="C13" s="7"/>
      <c r="D13" s="7"/>
      <c r="E13" s="7"/>
      <c r="F13" s="7"/>
      <c r="G13" s="7"/>
    </row>
    <row r="14" customFormat="false" ht="15" hidden="false" customHeight="false" outlineLevel="0" collapsed="false">
      <c r="A14" s="6" t="s">
        <v>237</v>
      </c>
      <c r="B14" s="89" t="n">
        <v>140</v>
      </c>
      <c r="C14" s="89" t="n">
        <v>140</v>
      </c>
      <c r="D14" s="89" t="n">
        <v>140</v>
      </c>
      <c r="E14" s="90" t="n">
        <f aca="false">CHOOSE(Dashboard!$B$4,B14,C14,D14)</f>
        <v>140</v>
      </c>
      <c r="F14" s="39" t="s">
        <v>238</v>
      </c>
      <c r="G14" s="88"/>
    </row>
    <row r="15" customFormat="false" ht="15" hidden="false" customHeight="false" outlineLevel="0" collapsed="false">
      <c r="A15" s="6" t="s">
        <v>239</v>
      </c>
      <c r="B15" s="86" t="n">
        <v>11</v>
      </c>
      <c r="C15" s="86" t="n">
        <v>11</v>
      </c>
      <c r="D15" s="86" t="n">
        <v>11</v>
      </c>
      <c r="E15" s="87" t="n">
        <f aca="false">CHOOSE(Dashboard!$B$4,B15,C15,D15)</f>
        <v>11</v>
      </c>
      <c r="F15" s="39" t="s">
        <v>240</v>
      </c>
      <c r="G15" s="88"/>
    </row>
    <row r="16" customFormat="false" ht="15" hidden="false" customHeight="false" outlineLevel="0" collapsed="false">
      <c r="A16" s="6" t="s">
        <v>241</v>
      </c>
      <c r="B16" s="91" t="n">
        <v>0.55</v>
      </c>
      <c r="C16" s="91" t="n">
        <v>0.55</v>
      </c>
      <c r="D16" s="91" t="n">
        <v>0.55</v>
      </c>
      <c r="E16" s="92" t="n">
        <f aca="false">CHOOSE(Dashboard!$B$4,B16,C16,D16)</f>
        <v>0.55</v>
      </c>
      <c r="F16" s="39" t="s">
        <v>234</v>
      </c>
      <c r="G16" s="88"/>
    </row>
    <row r="18" customFormat="false" ht="15.75" hidden="false" customHeight="true" outlineLevel="0" collapsed="false">
      <c r="A18" s="7" t="s">
        <v>242</v>
      </c>
      <c r="B18" s="7"/>
      <c r="C18" s="7"/>
      <c r="D18" s="7"/>
      <c r="E18" s="7"/>
      <c r="F18" s="7"/>
      <c r="G18" s="7"/>
    </row>
    <row r="19" customFormat="false" ht="15" hidden="false" customHeight="false" outlineLevel="0" collapsed="false">
      <c r="A19" s="6" t="s">
        <v>243</v>
      </c>
      <c r="B19" s="89" t="n">
        <v>150</v>
      </c>
      <c r="C19" s="89" t="n">
        <v>250</v>
      </c>
      <c r="D19" s="89" t="n">
        <v>350</v>
      </c>
      <c r="E19" s="90" t="n">
        <f aca="false">CHOOSE(Dashboard!$B$4,B19,C19,D19)</f>
        <v>250</v>
      </c>
      <c r="F19" s="39" t="s">
        <v>244</v>
      </c>
      <c r="G19" s="88" t="s">
        <v>227</v>
      </c>
    </row>
    <row r="20" customFormat="false" ht="15" hidden="false" customHeight="false" outlineLevel="0" collapsed="false">
      <c r="A20" s="6" t="s">
        <v>245</v>
      </c>
      <c r="B20" s="86" t="n">
        <v>40</v>
      </c>
      <c r="C20" s="86" t="n">
        <v>50</v>
      </c>
      <c r="D20" s="86" t="n">
        <v>60</v>
      </c>
      <c r="E20" s="87" t="n">
        <f aca="false">CHOOSE(Dashboard!$B$4,B20,C20,D20)</f>
        <v>50</v>
      </c>
      <c r="F20" s="39" t="s">
        <v>244</v>
      </c>
      <c r="G20" s="88" t="s">
        <v>227</v>
      </c>
    </row>
    <row r="21" customFormat="false" ht="15" hidden="false" customHeight="false" outlineLevel="0" collapsed="false">
      <c r="A21" s="6" t="s">
        <v>246</v>
      </c>
      <c r="B21" s="91" t="n">
        <v>0</v>
      </c>
      <c r="C21" s="91" t="n">
        <v>0.05</v>
      </c>
      <c r="D21" s="91" t="n">
        <v>0.1</v>
      </c>
      <c r="E21" s="92" t="n">
        <f aca="false">CHOOSE(Dashboard!$B$4,B21,C21,D21)</f>
        <v>0.05</v>
      </c>
      <c r="F21" s="39" t="s">
        <v>234</v>
      </c>
      <c r="G21" s="88" t="s">
        <v>227</v>
      </c>
    </row>
    <row r="22" customFormat="false" ht="15" hidden="false" customHeight="false" outlineLevel="0" collapsed="false">
      <c r="A22" s="6" t="s">
        <v>247</v>
      </c>
      <c r="B22" s="91" t="n">
        <v>0.006</v>
      </c>
      <c r="C22" s="91" t="n">
        <v>0.008</v>
      </c>
      <c r="D22" s="91" t="n">
        <v>0.01</v>
      </c>
      <c r="E22" s="92" t="n">
        <f aca="false">CHOOSE(Dashboard!$B$4,B22,C22,D22)</f>
        <v>0.008</v>
      </c>
      <c r="F22" s="39" t="s">
        <v>234</v>
      </c>
      <c r="G22" s="88" t="s">
        <v>227</v>
      </c>
    </row>
    <row r="23" customFormat="false" ht="15" hidden="false" customHeight="false" outlineLevel="0" collapsed="false">
      <c r="A23" s="6" t="s">
        <v>201</v>
      </c>
      <c r="B23" s="91" t="n">
        <v>0.05</v>
      </c>
      <c r="C23" s="91" t="n">
        <v>0.04</v>
      </c>
      <c r="D23" s="91" t="n">
        <v>0.032</v>
      </c>
      <c r="E23" s="92" t="n">
        <f aca="false">CHOOSE(Dashboard!$B$4,B23,C23,D23)</f>
        <v>0.04</v>
      </c>
      <c r="F23" s="39" t="s">
        <v>234</v>
      </c>
      <c r="G23" s="88" t="s">
        <v>232</v>
      </c>
    </row>
    <row r="24" customFormat="false" ht="15" hidden="false" customHeight="false" outlineLevel="0" collapsed="false">
      <c r="A24" s="6" t="s">
        <v>248</v>
      </c>
      <c r="B24" s="86" t="n">
        <v>3.8</v>
      </c>
      <c r="C24" s="86" t="n">
        <v>3.5</v>
      </c>
      <c r="D24" s="86" t="n">
        <v>3.2</v>
      </c>
      <c r="E24" s="87" t="n">
        <f aca="false">CHOOSE(Dashboard!$B$4,B24,C24,D24)</f>
        <v>3.5</v>
      </c>
      <c r="F24" s="39" t="s">
        <v>249</v>
      </c>
      <c r="G24" s="88" t="s">
        <v>232</v>
      </c>
    </row>
    <row r="26" customFormat="false" ht="15.75" hidden="false" customHeight="true" outlineLevel="0" collapsed="false">
      <c r="A26" s="7" t="s">
        <v>250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6" t="s">
        <v>251</v>
      </c>
      <c r="B27" s="93" t="n">
        <v>12</v>
      </c>
      <c r="C27" s="93" t="n">
        <v>13</v>
      </c>
      <c r="D27" s="93" t="n">
        <v>14</v>
      </c>
      <c r="E27" s="94" t="n">
        <f aca="false">CHOOSE(Dashboard!$B$4,B27,C27,D27)</f>
        <v>13</v>
      </c>
      <c r="F27" s="39" t="s">
        <v>252</v>
      </c>
      <c r="G27" s="88" t="s">
        <v>227</v>
      </c>
    </row>
    <row r="28" customFormat="false" ht="15" hidden="false" customHeight="false" outlineLevel="0" collapsed="false">
      <c r="A28" s="6" t="s">
        <v>253</v>
      </c>
      <c r="B28" s="93" t="n">
        <v>1.2</v>
      </c>
      <c r="C28" s="93" t="n">
        <v>1.5</v>
      </c>
      <c r="D28" s="93" t="n">
        <v>1.8</v>
      </c>
      <c r="E28" s="94" t="n">
        <f aca="false">CHOOSE(Dashboard!$B$4,B28,C28,D28)</f>
        <v>1.5</v>
      </c>
      <c r="F28" s="39" t="s">
        <v>252</v>
      </c>
      <c r="G28" s="88" t="s">
        <v>227</v>
      </c>
    </row>
    <row r="29" customFormat="false" ht="15" hidden="false" customHeight="false" outlineLevel="0" collapsed="false">
      <c r="A29" s="6" t="s">
        <v>254</v>
      </c>
      <c r="B29" s="93" t="n">
        <v>32</v>
      </c>
      <c r="C29" s="93" t="n">
        <v>35</v>
      </c>
      <c r="D29" s="93" t="n">
        <v>38</v>
      </c>
      <c r="E29" s="94" t="n">
        <f aca="false">CHOOSE(Dashboard!$B$4,B29,C29,D29)</f>
        <v>35</v>
      </c>
      <c r="F29" s="39" t="s">
        <v>252</v>
      </c>
      <c r="G29" s="88" t="s">
        <v>227</v>
      </c>
    </row>
    <row r="30" customFormat="false" ht="15" hidden="false" customHeight="false" outlineLevel="0" collapsed="false">
      <c r="A30" s="6" t="s">
        <v>255</v>
      </c>
      <c r="B30" s="91" t="n">
        <v>0.01</v>
      </c>
      <c r="C30" s="91" t="n">
        <v>0.02</v>
      </c>
      <c r="D30" s="91" t="n">
        <v>0.03</v>
      </c>
      <c r="E30" s="92" t="n">
        <f aca="false">CHOOSE(Dashboard!$B$4,B30,C30,D30)</f>
        <v>0.02</v>
      </c>
      <c r="F30" s="39" t="s">
        <v>234</v>
      </c>
      <c r="G30" s="88" t="s">
        <v>227</v>
      </c>
    </row>
    <row r="32" customFormat="false" ht="15.75" hidden="false" customHeight="true" outlineLevel="0" collapsed="false">
      <c r="A32" s="7" t="s">
        <v>256</v>
      </c>
      <c r="B32" s="7"/>
      <c r="C32" s="7"/>
      <c r="D32" s="7"/>
      <c r="E32" s="7"/>
      <c r="F32" s="7"/>
      <c r="G32" s="7"/>
    </row>
    <row r="33" customFormat="false" ht="15" hidden="false" customHeight="false" outlineLevel="0" collapsed="false">
      <c r="A33" s="6" t="s">
        <v>257</v>
      </c>
      <c r="B33" s="93" t="n">
        <v>0.95</v>
      </c>
      <c r="C33" s="93" t="n">
        <v>0.85</v>
      </c>
      <c r="D33" s="93" t="n">
        <v>0.75</v>
      </c>
      <c r="E33" s="94" t="n">
        <f aca="false">CHOOSE(Dashboard!$B$4,B33,C33,D33)</f>
        <v>0.85</v>
      </c>
      <c r="F33" s="39" t="s">
        <v>252</v>
      </c>
      <c r="G33" s="88" t="s">
        <v>232</v>
      </c>
    </row>
    <row r="34" customFormat="false" ht="15" hidden="false" customHeight="false" outlineLevel="0" collapsed="false">
      <c r="A34" s="6" t="s">
        <v>258</v>
      </c>
      <c r="B34" s="86" t="n">
        <v>45</v>
      </c>
      <c r="C34" s="86" t="n">
        <v>40</v>
      </c>
      <c r="D34" s="86" t="n">
        <v>36</v>
      </c>
      <c r="E34" s="87" t="n">
        <f aca="false">CHOOSE(Dashboard!$B$4,B34,C34,D34)</f>
        <v>40</v>
      </c>
      <c r="F34" s="39" t="s">
        <v>259</v>
      </c>
      <c r="G34" s="88" t="s">
        <v>232</v>
      </c>
    </row>
    <row r="35" customFormat="false" ht="15" hidden="false" customHeight="false" outlineLevel="0" collapsed="false">
      <c r="A35" s="6" t="s">
        <v>260</v>
      </c>
      <c r="B35" s="93" t="n">
        <v>10</v>
      </c>
      <c r="C35" s="93" t="n">
        <v>9</v>
      </c>
      <c r="D35" s="93" t="n">
        <v>8</v>
      </c>
      <c r="E35" s="94" t="n">
        <f aca="false">CHOOSE(Dashboard!$B$4,B35,C35,D35)</f>
        <v>9</v>
      </c>
      <c r="F35" s="39" t="s">
        <v>252</v>
      </c>
      <c r="G35" s="88" t="s">
        <v>232</v>
      </c>
    </row>
    <row r="36" customFormat="false" ht="15" hidden="false" customHeight="false" outlineLevel="0" collapsed="false">
      <c r="A36" s="6" t="s">
        <v>261</v>
      </c>
      <c r="B36" s="93" t="n">
        <v>0.45</v>
      </c>
      <c r="C36" s="93" t="n">
        <v>0.42</v>
      </c>
      <c r="D36" s="93" t="n">
        <v>0.4</v>
      </c>
      <c r="E36" s="94" t="n">
        <f aca="false">CHOOSE(Dashboard!$B$4,B36,C36,D36)</f>
        <v>0.42</v>
      </c>
      <c r="F36" s="39" t="s">
        <v>252</v>
      </c>
      <c r="G36" s="88" t="s">
        <v>232</v>
      </c>
    </row>
    <row r="37" customFormat="false" ht="15" hidden="false" customHeight="false" outlineLevel="0" collapsed="false">
      <c r="A37" s="6" t="s">
        <v>262</v>
      </c>
      <c r="B37" s="91" t="n">
        <v>0.032</v>
      </c>
      <c r="C37" s="91" t="n">
        <v>0.03</v>
      </c>
      <c r="D37" s="91" t="n">
        <v>0.028</v>
      </c>
      <c r="E37" s="92" t="n">
        <f aca="false">CHOOSE(Dashboard!$B$4,B37,C37,D37)</f>
        <v>0.03</v>
      </c>
      <c r="F37" s="39" t="s">
        <v>234</v>
      </c>
      <c r="G37" s="88" t="s">
        <v>232</v>
      </c>
    </row>
    <row r="38" customFormat="false" ht="15" hidden="false" customHeight="false" outlineLevel="0" collapsed="false">
      <c r="A38" s="6" t="s">
        <v>263</v>
      </c>
      <c r="B38" s="91" t="n">
        <v>0.04</v>
      </c>
      <c r="C38" s="91" t="n">
        <v>0.03</v>
      </c>
      <c r="D38" s="91" t="n">
        <v>0.025</v>
      </c>
      <c r="E38" s="92" t="n">
        <f aca="false">CHOOSE(Dashboard!$B$4,B38,C38,D38)</f>
        <v>0.03</v>
      </c>
      <c r="F38" s="39" t="s">
        <v>234</v>
      </c>
      <c r="G38" s="88" t="s">
        <v>232</v>
      </c>
    </row>
    <row r="40" customFormat="false" ht="15.75" hidden="false" customHeight="true" outlineLevel="0" collapsed="false">
      <c r="A40" s="7" t="s">
        <v>264</v>
      </c>
      <c r="B40" s="7"/>
      <c r="C40" s="7"/>
      <c r="D40" s="7"/>
      <c r="E40" s="7"/>
      <c r="F40" s="7"/>
      <c r="G40" s="7"/>
    </row>
    <row r="41" customFormat="false" ht="15" hidden="false" customHeight="false" outlineLevel="0" collapsed="false">
      <c r="A41" s="6" t="s">
        <v>265</v>
      </c>
      <c r="B41" s="95" t="n">
        <v>30000</v>
      </c>
      <c r="C41" s="95" t="n">
        <v>30000</v>
      </c>
      <c r="D41" s="95" t="n">
        <v>30000</v>
      </c>
      <c r="E41" s="96" t="n">
        <f aca="false">CHOOSE(Dashboard!$B$4,B41,C41,D41)</f>
        <v>30000</v>
      </c>
      <c r="F41" s="39" t="s">
        <v>252</v>
      </c>
      <c r="G41" s="88"/>
    </row>
    <row r="42" customFormat="false" ht="15" hidden="false" customHeight="false" outlineLevel="0" collapsed="false">
      <c r="A42" s="6" t="s">
        <v>266</v>
      </c>
      <c r="B42" s="91" t="n">
        <v>0.03</v>
      </c>
      <c r="C42" s="91" t="n">
        <v>0.03</v>
      </c>
      <c r="D42" s="91" t="n">
        <v>0.03</v>
      </c>
      <c r="E42" s="92" t="n">
        <f aca="false">CHOOSE(Dashboard!$B$4,B42,C42,D42)</f>
        <v>0.03</v>
      </c>
      <c r="F42" s="39" t="s">
        <v>234</v>
      </c>
      <c r="G42" s="88"/>
    </row>
    <row r="43" customFormat="false" ht="15" hidden="false" customHeight="false" outlineLevel="0" collapsed="false">
      <c r="A43" s="6" t="s">
        <v>267</v>
      </c>
      <c r="B43" s="95" t="n">
        <v>5500</v>
      </c>
      <c r="C43" s="95" t="n">
        <v>5500</v>
      </c>
      <c r="D43" s="95" t="n">
        <v>5500</v>
      </c>
      <c r="E43" s="96" t="n">
        <f aca="false">CHOOSE(Dashboard!$B$4,B43,C43,D43)</f>
        <v>5500</v>
      </c>
      <c r="F43" s="39" t="s">
        <v>252</v>
      </c>
      <c r="G43" s="88"/>
    </row>
    <row r="44" customFormat="false" ht="15" hidden="false" customHeight="false" outlineLevel="0" collapsed="false">
      <c r="A44" s="6" t="s">
        <v>268</v>
      </c>
      <c r="B44" s="95" t="n">
        <v>9500</v>
      </c>
      <c r="C44" s="95" t="n">
        <v>9500</v>
      </c>
      <c r="D44" s="95" t="n">
        <v>9500</v>
      </c>
      <c r="E44" s="96" t="n">
        <f aca="false">CHOOSE(Dashboard!$B$4,B44,C44,D44)</f>
        <v>9500</v>
      </c>
      <c r="F44" s="39" t="s">
        <v>252</v>
      </c>
      <c r="G44" s="88"/>
    </row>
    <row r="45" customFormat="false" ht="15" hidden="false" customHeight="false" outlineLevel="0" collapsed="false">
      <c r="A45" s="6" t="s">
        <v>269</v>
      </c>
      <c r="B45" s="95" t="n">
        <v>12000</v>
      </c>
      <c r="C45" s="95" t="n">
        <v>12000</v>
      </c>
      <c r="D45" s="95" t="n">
        <v>12000</v>
      </c>
      <c r="E45" s="96" t="n">
        <f aca="false">CHOOSE(Dashboard!$B$4,B45,C45,D45)</f>
        <v>12000</v>
      </c>
      <c r="F45" s="39" t="s">
        <v>252</v>
      </c>
      <c r="G45" s="88"/>
    </row>
    <row r="46" customFormat="false" ht="15" hidden="false" customHeight="false" outlineLevel="0" collapsed="false">
      <c r="A46" s="6" t="s">
        <v>270</v>
      </c>
      <c r="B46" s="91" t="n">
        <v>-0.3</v>
      </c>
      <c r="C46" s="91" t="n">
        <v>-0.2</v>
      </c>
      <c r="D46" s="91" t="n">
        <v>-0.1</v>
      </c>
      <c r="E46" s="92" t="n">
        <f aca="false">CHOOSE(Dashboard!$B$4,B46,C46,D46)</f>
        <v>-0.2</v>
      </c>
      <c r="F46" s="39" t="s">
        <v>234</v>
      </c>
      <c r="G46" s="88" t="s">
        <v>227</v>
      </c>
    </row>
    <row r="48" customFormat="false" ht="15.75" hidden="false" customHeight="true" outlineLevel="0" collapsed="false">
      <c r="A48" s="7" t="s">
        <v>82</v>
      </c>
      <c r="B48" s="7"/>
      <c r="C48" s="7"/>
      <c r="D48" s="7"/>
      <c r="E48" s="7"/>
      <c r="F48" s="7"/>
      <c r="G48" s="7"/>
    </row>
    <row r="49" customFormat="false" ht="15" hidden="false" customHeight="false" outlineLevel="0" collapsed="false">
      <c r="A49" s="6" t="s">
        <v>271</v>
      </c>
      <c r="B49" s="95" t="n">
        <v>1650000</v>
      </c>
      <c r="C49" s="95" t="n">
        <v>1650000</v>
      </c>
      <c r="D49" s="95" t="n">
        <v>1650000</v>
      </c>
      <c r="E49" s="96" t="n">
        <f aca="false">CHOOSE(Dashboard!$B$4,B49,C49,D49)</f>
        <v>1650000</v>
      </c>
      <c r="F49" s="39" t="s">
        <v>252</v>
      </c>
      <c r="G49" s="88"/>
    </row>
    <row r="50" customFormat="false" ht="15" hidden="false" customHeight="false" outlineLevel="0" collapsed="false">
      <c r="A50" s="6" t="s">
        <v>272</v>
      </c>
      <c r="B50" s="95" t="n">
        <v>2300000</v>
      </c>
      <c r="C50" s="95" t="n">
        <v>2300000</v>
      </c>
      <c r="D50" s="95" t="n">
        <v>2300000</v>
      </c>
      <c r="E50" s="96" t="n">
        <f aca="false">CHOOSE(Dashboard!$B$4,B50,C50,D50)</f>
        <v>2300000</v>
      </c>
      <c r="F50" s="39" t="s">
        <v>252</v>
      </c>
      <c r="G50" s="88"/>
    </row>
    <row r="51" customFormat="false" ht="15" hidden="false" customHeight="false" outlineLevel="0" collapsed="false">
      <c r="A51" s="6" t="s">
        <v>273</v>
      </c>
      <c r="B51" s="95" t="n">
        <v>150000</v>
      </c>
      <c r="C51" s="95" t="n">
        <v>150000</v>
      </c>
      <c r="D51" s="95" t="n">
        <v>150000</v>
      </c>
      <c r="E51" s="96" t="n">
        <f aca="false">CHOOSE(Dashboard!$B$4,B51,C51,D51)</f>
        <v>150000</v>
      </c>
      <c r="F51" s="39" t="s">
        <v>252</v>
      </c>
      <c r="G51" s="88"/>
    </row>
    <row r="52" customFormat="false" ht="15" hidden="false" customHeight="false" outlineLevel="0" collapsed="false">
      <c r="A52" s="6" t="s">
        <v>274</v>
      </c>
      <c r="B52" s="95" t="n">
        <v>40000</v>
      </c>
      <c r="C52" s="95" t="n">
        <v>40000</v>
      </c>
      <c r="D52" s="95" t="n">
        <v>40000</v>
      </c>
      <c r="E52" s="96" t="n">
        <f aca="false">CHOOSE(Dashboard!$B$4,B52,C52,D52)</f>
        <v>40000</v>
      </c>
      <c r="F52" s="39" t="s">
        <v>252</v>
      </c>
      <c r="G52" s="88"/>
    </row>
    <row r="54" customFormat="false" ht="15.75" hidden="false" customHeight="true" outlineLevel="0" collapsed="false">
      <c r="A54" s="7" t="s">
        <v>275</v>
      </c>
      <c r="B54" s="7"/>
      <c r="C54" s="7"/>
      <c r="D54" s="7"/>
      <c r="E54" s="7"/>
      <c r="F54" s="7"/>
      <c r="G54" s="7"/>
    </row>
    <row r="55" customFormat="false" ht="15" hidden="false" customHeight="false" outlineLevel="0" collapsed="false">
      <c r="A55" s="6" t="s">
        <v>276</v>
      </c>
      <c r="B55" s="86" t="n">
        <v>1</v>
      </c>
      <c r="C55" s="86" t="n">
        <v>1</v>
      </c>
      <c r="D55" s="86" t="n">
        <v>1</v>
      </c>
      <c r="E55" s="87" t="n">
        <f aca="false">CHOOSE(Dashboard!$B$4,B55,C55,D55)</f>
        <v>1</v>
      </c>
      <c r="F55" s="39" t="s">
        <v>277</v>
      </c>
      <c r="G55" s="88" t="s">
        <v>227</v>
      </c>
    </row>
    <row r="56" customFormat="false" ht="15" hidden="false" customHeight="false" outlineLevel="0" collapsed="false">
      <c r="A56" s="6" t="s">
        <v>278</v>
      </c>
      <c r="B56" s="95" t="n">
        <v>72000</v>
      </c>
      <c r="C56" s="95" t="n">
        <v>72000</v>
      </c>
      <c r="D56" s="95" t="n">
        <v>72000</v>
      </c>
      <c r="E56" s="96" t="n">
        <f aca="false">CHOOSE(Dashboard!$B$4,B56,C56,D56)</f>
        <v>72000</v>
      </c>
      <c r="F56" s="39" t="s">
        <v>252</v>
      </c>
      <c r="G56" s="88"/>
    </row>
    <row r="57" customFormat="false" ht="15" hidden="false" customHeight="false" outlineLevel="0" collapsed="false">
      <c r="A57" s="6" t="s">
        <v>279</v>
      </c>
      <c r="B57" s="91" t="n">
        <v>0</v>
      </c>
      <c r="C57" s="91" t="n">
        <v>0</v>
      </c>
      <c r="D57" s="91" t="n">
        <v>0</v>
      </c>
      <c r="E57" s="92" t="n">
        <f aca="false">CHOOSE(Dashboard!$B$4,B57,C57,D57)</f>
        <v>0</v>
      </c>
      <c r="F57" s="39" t="s">
        <v>234</v>
      </c>
      <c r="G57" s="88" t="s">
        <v>227</v>
      </c>
    </row>
    <row r="58" customFormat="false" ht="15" hidden="false" customHeight="false" outlineLevel="0" collapsed="false">
      <c r="A58" s="6" t="s">
        <v>280</v>
      </c>
      <c r="B58" s="89" t="n">
        <v>1</v>
      </c>
      <c r="C58" s="89" t="n">
        <v>1</v>
      </c>
      <c r="D58" s="89" t="n">
        <v>1</v>
      </c>
      <c r="E58" s="90" t="n">
        <f aca="false">CHOOSE(Dashboard!$B$4,B58,C58,D58)</f>
        <v>1</v>
      </c>
      <c r="F58" s="39" t="s">
        <v>281</v>
      </c>
      <c r="G58" s="88"/>
    </row>
    <row r="59" customFormat="false" ht="15" hidden="false" customHeight="false" outlineLevel="0" collapsed="false">
      <c r="A59" s="6" t="s">
        <v>282</v>
      </c>
      <c r="B59" s="86" t="n">
        <v>10</v>
      </c>
      <c r="C59" s="86" t="n">
        <v>10</v>
      </c>
      <c r="D59" s="86" t="n">
        <v>10</v>
      </c>
      <c r="E59" s="87" t="n">
        <f aca="false">CHOOSE(Dashboard!$B$4,B59,C59,D59)</f>
        <v>10</v>
      </c>
      <c r="F59" s="39" t="s">
        <v>277</v>
      </c>
      <c r="G59" s="88" t="s">
        <v>227</v>
      </c>
    </row>
    <row r="60" customFormat="false" ht="15" hidden="false" customHeight="false" outlineLevel="0" collapsed="false">
      <c r="A60" s="6" t="s">
        <v>283</v>
      </c>
      <c r="B60" s="95" t="n">
        <v>32000</v>
      </c>
      <c r="C60" s="95" t="n">
        <v>32000</v>
      </c>
      <c r="D60" s="95" t="n">
        <v>32000</v>
      </c>
      <c r="E60" s="96" t="n">
        <f aca="false">CHOOSE(Dashboard!$B$4,B60,C60,D60)</f>
        <v>32000</v>
      </c>
      <c r="F60" s="39" t="s">
        <v>252</v>
      </c>
      <c r="G60" s="88"/>
    </row>
    <row r="61" customFormat="false" ht="15" hidden="false" customHeight="false" outlineLevel="0" collapsed="false">
      <c r="A61" s="6" t="s">
        <v>284</v>
      </c>
      <c r="B61" s="91" t="n">
        <v>0</v>
      </c>
      <c r="C61" s="91" t="n">
        <v>0</v>
      </c>
      <c r="D61" s="91" t="n">
        <v>0</v>
      </c>
      <c r="E61" s="92" t="n">
        <f aca="false">CHOOSE(Dashboard!$B$4,B61,C61,D61)</f>
        <v>0</v>
      </c>
      <c r="F61" s="39" t="s">
        <v>234</v>
      </c>
      <c r="G61" s="88" t="s">
        <v>227</v>
      </c>
    </row>
    <row r="62" customFormat="false" ht="15" hidden="false" customHeight="false" outlineLevel="0" collapsed="false">
      <c r="A62" s="6" t="s">
        <v>285</v>
      </c>
      <c r="B62" s="89" t="n">
        <v>1</v>
      </c>
      <c r="C62" s="89" t="n">
        <v>1</v>
      </c>
      <c r="D62" s="89" t="n">
        <v>1</v>
      </c>
      <c r="E62" s="90" t="n">
        <f aca="false">CHOOSE(Dashboard!$B$4,B62,C62,D62)</f>
        <v>1</v>
      </c>
      <c r="F62" s="39" t="s">
        <v>281</v>
      </c>
      <c r="G62" s="88"/>
    </row>
    <row r="63" customFormat="false" ht="15" hidden="false" customHeight="false" outlineLevel="0" collapsed="false">
      <c r="A63" s="6" t="s">
        <v>286</v>
      </c>
      <c r="B63" s="91" t="n">
        <v>0.12</v>
      </c>
      <c r="C63" s="91" t="n">
        <v>0.12</v>
      </c>
      <c r="D63" s="91" t="n">
        <v>0.12</v>
      </c>
      <c r="E63" s="92" t="n">
        <f aca="false">CHOOSE(Dashboard!$B$4,B63,C63,D63)</f>
        <v>0.12</v>
      </c>
      <c r="F63" s="39" t="s">
        <v>234</v>
      </c>
      <c r="G63" s="88"/>
    </row>
    <row r="64" customFormat="false" ht="15" hidden="false" customHeight="false" outlineLevel="0" collapsed="false">
      <c r="A64" s="6" t="s">
        <v>287</v>
      </c>
      <c r="B64" s="91" t="n">
        <v>0.03</v>
      </c>
      <c r="C64" s="91" t="n">
        <v>0.03</v>
      </c>
      <c r="D64" s="91" t="n">
        <v>0.03</v>
      </c>
      <c r="E64" s="92" t="n">
        <f aca="false">CHOOSE(Dashboard!$B$4,B64,C64,D64)</f>
        <v>0.03</v>
      </c>
      <c r="F64" s="39" t="s">
        <v>234</v>
      </c>
      <c r="G64" s="88"/>
    </row>
    <row r="66" customFormat="false" ht="15.75" hidden="false" customHeight="true" outlineLevel="0" collapsed="false">
      <c r="A66" s="7" t="s">
        <v>288</v>
      </c>
      <c r="B66" s="7"/>
      <c r="C66" s="7"/>
      <c r="D66" s="7"/>
      <c r="E66" s="7"/>
      <c r="F66" s="7"/>
      <c r="G66" s="7"/>
    </row>
    <row r="67" customFormat="false" ht="15" hidden="false" customHeight="false" outlineLevel="0" collapsed="false">
      <c r="A67" s="6" t="s">
        <v>289</v>
      </c>
      <c r="B67" s="95" t="n">
        <v>2100000</v>
      </c>
      <c r="C67" s="95" t="n">
        <v>2100000</v>
      </c>
      <c r="D67" s="95" t="n">
        <v>2100000</v>
      </c>
      <c r="E67" s="96" t="n">
        <f aca="false">CHOOSE(Dashboard!$B$4,B67,C67,D67)</f>
        <v>2100000</v>
      </c>
      <c r="F67" s="39" t="s">
        <v>252</v>
      </c>
      <c r="G67" s="88"/>
    </row>
    <row r="68" customFormat="false" ht="15" hidden="false" customHeight="false" outlineLevel="0" collapsed="false">
      <c r="A68" s="6" t="s">
        <v>290</v>
      </c>
      <c r="B68" s="95" t="n">
        <v>3000000</v>
      </c>
      <c r="C68" s="95" t="n">
        <v>3000000</v>
      </c>
      <c r="D68" s="95" t="n">
        <v>3000000</v>
      </c>
      <c r="E68" s="96" t="n">
        <f aca="false">CHOOSE(Dashboard!$B$4,B68,C68,D68)</f>
        <v>3000000</v>
      </c>
      <c r="F68" s="39" t="s">
        <v>252</v>
      </c>
      <c r="G68" s="88"/>
    </row>
    <row r="69" customFormat="false" ht="15" hidden="false" customHeight="false" outlineLevel="0" collapsed="false">
      <c r="A69" s="6" t="s">
        <v>291</v>
      </c>
      <c r="B69" s="91" t="n">
        <v>0.085</v>
      </c>
      <c r="C69" s="91" t="n">
        <v>0.085</v>
      </c>
      <c r="D69" s="91" t="n">
        <v>0.085</v>
      </c>
      <c r="E69" s="92" t="n">
        <f aca="false">CHOOSE(Dashboard!$B$4,B69,C69,D69)</f>
        <v>0.085</v>
      </c>
      <c r="F69" s="39" t="s">
        <v>234</v>
      </c>
      <c r="G69" s="88"/>
    </row>
    <row r="70" customFormat="false" ht="15" hidden="false" customHeight="false" outlineLevel="0" collapsed="false">
      <c r="A70" s="6" t="s">
        <v>292</v>
      </c>
      <c r="B70" s="89" t="n">
        <v>10</v>
      </c>
      <c r="C70" s="89" t="n">
        <v>10</v>
      </c>
      <c r="D70" s="89" t="n">
        <v>10</v>
      </c>
      <c r="E70" s="90" t="n">
        <f aca="false">CHOOSE(Dashboard!$B$4,B70,C70,D70)</f>
        <v>10</v>
      </c>
      <c r="F70" s="39" t="s">
        <v>293</v>
      </c>
      <c r="G70" s="88"/>
    </row>
    <row r="72" customFormat="false" ht="15.75" hidden="false" customHeight="true" outlineLevel="0" collapsed="false">
      <c r="A72" s="7" t="s">
        <v>294</v>
      </c>
      <c r="B72" s="7"/>
      <c r="C72" s="7"/>
      <c r="D72" s="7"/>
      <c r="E72" s="7"/>
      <c r="F72" s="7"/>
      <c r="G72" s="7"/>
    </row>
    <row r="73" customFormat="false" ht="15" hidden="false" customHeight="false" outlineLevel="0" collapsed="false">
      <c r="A73" s="6" t="s">
        <v>295</v>
      </c>
      <c r="B73" s="89" t="n">
        <v>2</v>
      </c>
      <c r="C73" s="89" t="n">
        <v>2</v>
      </c>
      <c r="D73" s="89" t="n">
        <v>2</v>
      </c>
      <c r="E73" s="90" t="n">
        <f aca="false">CHOOSE(Dashboard!$B$4,B73,C73,D73)</f>
        <v>2</v>
      </c>
      <c r="F73" s="39" t="s">
        <v>229</v>
      </c>
      <c r="G73" s="88"/>
    </row>
    <row r="74" customFormat="false" ht="15" hidden="false" customHeight="false" outlineLevel="0" collapsed="false">
      <c r="A74" s="6" t="s">
        <v>296</v>
      </c>
      <c r="B74" s="89" t="n">
        <v>15</v>
      </c>
      <c r="C74" s="89" t="n">
        <v>15</v>
      </c>
      <c r="D74" s="89" t="n">
        <v>15</v>
      </c>
      <c r="E74" s="90" t="n">
        <f aca="false">CHOOSE(Dashboard!$B$4,B74,C74,D74)</f>
        <v>15</v>
      </c>
      <c r="F74" s="39" t="s">
        <v>229</v>
      </c>
      <c r="G74" s="88"/>
    </row>
    <row r="75" customFormat="false" ht="15" hidden="false" customHeight="false" outlineLevel="0" collapsed="false">
      <c r="A75" s="6" t="s">
        <v>297</v>
      </c>
      <c r="B75" s="89" t="n">
        <v>25</v>
      </c>
      <c r="C75" s="89" t="n">
        <v>25</v>
      </c>
      <c r="D75" s="89" t="n">
        <v>25</v>
      </c>
      <c r="E75" s="90" t="n">
        <f aca="false">CHOOSE(Dashboard!$B$4,B75,C75,D75)</f>
        <v>25</v>
      </c>
      <c r="F75" s="39" t="s">
        <v>229</v>
      </c>
      <c r="G75" s="88"/>
    </row>
    <row r="77" customFormat="false" ht="15.75" hidden="false" customHeight="true" outlineLevel="0" collapsed="false">
      <c r="A77" s="7" t="s">
        <v>298</v>
      </c>
      <c r="B77" s="7"/>
      <c r="C77" s="7"/>
      <c r="D77" s="7"/>
      <c r="E77" s="7"/>
      <c r="F77" s="7"/>
      <c r="G77" s="7"/>
    </row>
    <row r="78" customFormat="false" ht="15" hidden="false" customHeight="false" outlineLevel="0" collapsed="false">
      <c r="A78" s="6" t="s">
        <v>299</v>
      </c>
      <c r="B78" s="89" t="n">
        <v>12</v>
      </c>
      <c r="C78" s="89" t="n">
        <v>12</v>
      </c>
      <c r="D78" s="89" t="n">
        <v>12</v>
      </c>
      <c r="E78" s="90" t="n">
        <f aca="false">CHOOSE(Dashboard!$B$4,B78,C78,D78)</f>
        <v>12</v>
      </c>
      <c r="F78" s="39" t="s">
        <v>293</v>
      </c>
      <c r="G78" s="88"/>
    </row>
    <row r="79" customFormat="false" ht="15" hidden="false" customHeight="false" outlineLevel="0" collapsed="false">
      <c r="A79" s="6" t="s">
        <v>300</v>
      </c>
      <c r="B79" s="91" t="n">
        <v>0.21</v>
      </c>
      <c r="C79" s="91" t="n">
        <v>0.21</v>
      </c>
      <c r="D79" s="91" t="n">
        <v>0.21</v>
      </c>
      <c r="E79" s="92" t="n">
        <f aca="false">CHOOSE(Dashboard!$B$4,B79,C79,D79)</f>
        <v>0.21</v>
      </c>
      <c r="F79" s="39" t="s">
        <v>234</v>
      </c>
      <c r="G79" s="88"/>
    </row>
    <row r="81" customFormat="false" ht="15.75" hidden="false" customHeight="true" outlineLevel="0" collapsed="false">
      <c r="A81" s="7" t="s">
        <v>301</v>
      </c>
      <c r="B81" s="7"/>
      <c r="C81" s="7"/>
      <c r="D81" s="7"/>
      <c r="E81" s="7"/>
      <c r="F81" s="7"/>
      <c r="G81" s="7"/>
    </row>
    <row r="82" customFormat="false" ht="15" hidden="false" customHeight="false" outlineLevel="0" collapsed="false">
      <c r="A82" s="6" t="s">
        <v>109</v>
      </c>
      <c r="B82" s="95" t="n">
        <v>281000</v>
      </c>
      <c r="C82" s="95" t="n">
        <v>281000</v>
      </c>
      <c r="D82" s="95" t="n">
        <v>281000</v>
      </c>
      <c r="E82" s="96" t="n">
        <f aca="false">CHOOSE(Dashboard!$B$4,B82,C82,D82)</f>
        <v>281000</v>
      </c>
      <c r="F82" s="39" t="s">
        <v>252</v>
      </c>
      <c r="G82" s="88" t="s">
        <v>302</v>
      </c>
    </row>
    <row r="84" customFormat="false" ht="15.75" hidden="false" customHeight="true" outlineLevel="0" collapsed="false">
      <c r="A84" s="7" t="s">
        <v>303</v>
      </c>
      <c r="B84" s="7"/>
      <c r="C84" s="7"/>
      <c r="D84" s="7"/>
      <c r="E84" s="7"/>
      <c r="F84" s="7"/>
      <c r="G84" s="7"/>
    </row>
    <row r="85" customFormat="false" ht="15" hidden="false" customHeight="false" outlineLevel="0" collapsed="false">
      <c r="A85" s="6" t="s">
        <v>134</v>
      </c>
      <c r="B85" s="91" t="n">
        <v>0.3</v>
      </c>
      <c r="C85" s="91" t="n">
        <v>0.25</v>
      </c>
      <c r="D85" s="91" t="n">
        <v>0.2</v>
      </c>
      <c r="E85" s="92" t="n">
        <f aca="false">CHOOSE(Dashboard!$B$4,B85,C85,D85)</f>
        <v>0.25</v>
      </c>
      <c r="F85" s="39" t="s">
        <v>234</v>
      </c>
      <c r="G85" s="88" t="s">
        <v>232</v>
      </c>
    </row>
    <row r="86" customFormat="false" ht="15" hidden="false" customHeight="false" outlineLevel="0" collapsed="false">
      <c r="A86" s="6" t="s">
        <v>304</v>
      </c>
      <c r="B86" s="91" t="n">
        <v>0.01</v>
      </c>
      <c r="C86" s="91" t="n">
        <v>0.02</v>
      </c>
      <c r="D86" s="91" t="n">
        <v>0.03</v>
      </c>
      <c r="E86" s="92" t="n">
        <f aca="false">CHOOSE(Dashboard!$B$4,B86,C86,D86)</f>
        <v>0.02</v>
      </c>
      <c r="F86" s="39" t="s">
        <v>234</v>
      </c>
      <c r="G86" s="88" t="s">
        <v>227</v>
      </c>
    </row>
    <row r="87" customFormat="false" ht="15" hidden="false" customHeight="false" outlineLevel="0" collapsed="false">
      <c r="A87" s="6" t="s">
        <v>136</v>
      </c>
      <c r="B87" s="97" t="n">
        <v>3</v>
      </c>
      <c r="C87" s="97" t="n">
        <v>4</v>
      </c>
      <c r="D87" s="97" t="n">
        <v>5</v>
      </c>
      <c r="E87" s="98" t="n">
        <f aca="false">CHOOSE(Dashboard!$B$4,B87,C87,D87)</f>
        <v>4</v>
      </c>
      <c r="F87" s="39" t="s">
        <v>305</v>
      </c>
      <c r="G87" s="88" t="s">
        <v>227</v>
      </c>
    </row>
    <row r="88" customFormat="false" ht="15" hidden="false" customHeight="false" outlineLevel="0" collapsed="false">
      <c r="A88" s="6" t="s">
        <v>306</v>
      </c>
      <c r="B88" s="91" t="n">
        <v>0.01</v>
      </c>
      <c r="C88" s="91" t="n">
        <v>0.01</v>
      </c>
      <c r="D88" s="91" t="n">
        <v>0.01</v>
      </c>
      <c r="E88" s="92" t="n">
        <f aca="false">CHOOSE(Dashboard!$B$4,B88,C88,D88)</f>
        <v>0.01</v>
      </c>
      <c r="F88" s="39" t="s">
        <v>234</v>
      </c>
      <c r="G88" s="88"/>
    </row>
    <row r="89" customFormat="false" ht="15" hidden="false" customHeight="false" outlineLevel="0" collapsed="false">
      <c r="A89" s="6" t="s">
        <v>307</v>
      </c>
      <c r="B89" s="91" t="n">
        <v>0.005</v>
      </c>
      <c r="C89" s="91" t="n">
        <v>0.005</v>
      </c>
      <c r="D89" s="91" t="n">
        <v>0.005</v>
      </c>
      <c r="E89" s="92" t="n">
        <f aca="false">CHOOSE(Dashboard!$B$4,B89,C89,D89)</f>
        <v>0.005</v>
      </c>
      <c r="F89" s="39" t="s">
        <v>234</v>
      </c>
      <c r="G89" s="88"/>
    </row>
    <row r="91" customFormat="false" ht="15" hidden="false" customHeight="false" outlineLevel="0" collapsed="false">
      <c r="A91" s="21" t="s">
        <v>308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19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309</v>
      </c>
    </row>
    <row r="3" customFormat="false" ht="15" hidden="false" customHeight="false" outlineLevel="0" collapsed="false">
      <c r="A3" s="59" t="s">
        <v>122</v>
      </c>
      <c r="B3" s="59" t="n">
        <v>1</v>
      </c>
      <c r="C3" s="59" t="n">
        <v>2</v>
      </c>
      <c r="D3" s="59" t="n">
        <v>3</v>
      </c>
    </row>
    <row r="4" customFormat="false" ht="15" hidden="false" customHeight="false" outlineLevel="0" collapsed="false">
      <c r="A4" s="33"/>
      <c r="B4" s="35" t="s">
        <v>123</v>
      </c>
      <c r="C4" s="35" t="s">
        <v>124</v>
      </c>
      <c r="D4" s="35" t="s">
        <v>125</v>
      </c>
    </row>
    <row r="5" customFormat="false" ht="15" hidden="false" customHeight="false" outlineLevel="0" collapsed="false">
      <c r="A5" s="4" t="s">
        <v>42</v>
      </c>
      <c r="B5" s="60" t="n">
        <f aca="false">SUMIF(Monthly!$C$5:$AL$5,B$3,Monthly!$C$37:$AL$37)</f>
        <v>1180182.39164623</v>
      </c>
      <c r="C5" s="60" t="n">
        <f aca="false">SUMIF(Monthly!$C$5:$AL$5,C$3,Monthly!$C$37:$AL$37)</f>
        <v>1805881.4666632</v>
      </c>
      <c r="D5" s="60" t="n">
        <f aca="false">SUMIF(Monthly!$C$5:$AL$5,D$3,Monthly!$C$37:$AL$37)</f>
        <v>2080276.59708741</v>
      </c>
    </row>
    <row r="6" customFormat="false" ht="15" hidden="false" customHeight="false" outlineLevel="0" collapsed="false">
      <c r="A6" s="6" t="s">
        <v>74</v>
      </c>
      <c r="B6" s="54" t="n">
        <f aca="false">SUMIF(Monthly!$C$5:$AL$5,B$3,Monthly!$C$45:$AL$45)</f>
        <v>-180421.598916524</v>
      </c>
      <c r="C6" s="54" t="n">
        <f aca="false">SUMIF(Monthly!$C$5:$AL$5,C$3,Monthly!$C$45:$AL$45)</f>
        <v>-288679.05820146</v>
      </c>
      <c r="D6" s="54" t="n">
        <f aca="false">SUMIF(Monthly!$C$5:$AL$5,D$3,Monthly!$C$45:$AL$45)</f>
        <v>-343422.649355316</v>
      </c>
    </row>
    <row r="7" customFormat="false" ht="15" hidden="false" customHeight="false" outlineLevel="0" collapsed="false">
      <c r="A7" s="99" t="s">
        <v>43</v>
      </c>
      <c r="B7" s="55" t="n">
        <f aca="false">SUMIF(Monthly!$C$5:$AL$5,B$3,Monthly!$C$46:$AL$46)</f>
        <v>999760.792729705</v>
      </c>
      <c r="C7" s="55" t="n">
        <f aca="false">SUMIF(Monthly!$C$5:$AL$5,C$3,Monthly!$C$46:$AL$46)</f>
        <v>1517202.40846174</v>
      </c>
      <c r="D7" s="55" t="n">
        <f aca="false">SUMIF(Monthly!$C$5:$AL$5,D$3,Monthly!$C$46:$AL$46)</f>
        <v>1736853.94773209</v>
      </c>
    </row>
    <row r="8" customFormat="false" ht="15" hidden="false" customHeight="false" outlineLevel="0" collapsed="false">
      <c r="A8" s="39" t="s">
        <v>44</v>
      </c>
      <c r="B8" s="61" t="n">
        <f aca="false">IF(B5=0,0,B7/B5)</f>
        <v>0.847123969825669</v>
      </c>
      <c r="C8" s="61" t="n">
        <f aca="false">IF(C5=0,0,C7/C5)</f>
        <v>0.840145068471817</v>
      </c>
      <c r="D8" s="61" t="n">
        <f aca="false">IF(D5=0,0,D7/D5)</f>
        <v>0.83491490995181</v>
      </c>
    </row>
    <row r="9" customFormat="false" ht="15" hidden="false" customHeight="false" outlineLevel="0" collapsed="false">
      <c r="A9" s="6" t="s">
        <v>310</v>
      </c>
      <c r="B9" s="54" t="n">
        <f aca="false">SUMIF(Monthly!$C$5:$AL$5,B$3,Monthly!$C$49:$AL$49)</f>
        <v>-439040</v>
      </c>
      <c r="C9" s="54" t="n">
        <f aca="false">SUMIF(Monthly!$C$5:$AL$5,C$3,Monthly!$C$49:$AL$49)</f>
        <v>-452211.2</v>
      </c>
      <c r="D9" s="54" t="n">
        <f aca="false">SUMIF(Monthly!$C$5:$AL$5,D$3,Monthly!$C$49:$AL$49)</f>
        <v>-465777.536</v>
      </c>
    </row>
    <row r="10" customFormat="false" ht="15" hidden="false" customHeight="false" outlineLevel="0" collapsed="false">
      <c r="A10" s="6" t="s">
        <v>311</v>
      </c>
      <c r="B10" s="54" t="n">
        <f aca="false">SUMIF(Monthly!$C$5:$AL$5,B$3,Monthly!$C$50:$AL$50)</f>
        <v>-360000</v>
      </c>
      <c r="C10" s="54" t="n">
        <f aca="false">SUMIF(Monthly!$C$5:$AL$5,C$3,Monthly!$C$50:$AL$50)</f>
        <v>-370800</v>
      </c>
      <c r="D10" s="54" t="n">
        <f aca="false">SUMIF(Monthly!$C$5:$AL$5,D$3,Monthly!$C$50:$AL$50)</f>
        <v>-381924</v>
      </c>
    </row>
    <row r="11" customFormat="false" ht="15" hidden="false" customHeight="false" outlineLevel="0" collapsed="false">
      <c r="A11" s="6" t="s">
        <v>312</v>
      </c>
      <c r="B11" s="54" t="n">
        <f aca="false">SUMIF(Monthly!$C$5:$AL$5,B$3,Monthly!$C$51:$AL$51)</f>
        <v>-66000</v>
      </c>
      <c r="C11" s="54" t="n">
        <f aca="false">SUMIF(Monthly!$C$5:$AL$5,C$3,Monthly!$C$51:$AL$51)</f>
        <v>-67980</v>
      </c>
      <c r="D11" s="54" t="n">
        <f aca="false">SUMIF(Monthly!$C$5:$AL$5,D$3,Monthly!$C$51:$AL$51)</f>
        <v>-70019.4</v>
      </c>
    </row>
    <row r="12" customFormat="false" ht="15" hidden="false" customHeight="false" outlineLevel="0" collapsed="false">
      <c r="A12" s="6" t="s">
        <v>313</v>
      </c>
      <c r="B12" s="54" t="n">
        <f aca="false">SUMIF(Monthly!$C$5:$AL$5,B$3,Monthly!$C$52:$AL$52)</f>
        <v>-114000</v>
      </c>
      <c r="C12" s="54" t="n">
        <f aca="false">SUMIF(Monthly!$C$5:$AL$5,C$3,Monthly!$C$52:$AL$52)</f>
        <v>-117420</v>
      </c>
      <c r="D12" s="54" t="n">
        <f aca="false">SUMIF(Monthly!$C$5:$AL$5,D$3,Monthly!$C$52:$AL$52)</f>
        <v>-120942.6</v>
      </c>
    </row>
    <row r="13" customFormat="false" ht="15" hidden="false" customHeight="false" outlineLevel="0" collapsed="false">
      <c r="A13" s="6" t="s">
        <v>314</v>
      </c>
      <c r="B13" s="54" t="n">
        <f aca="false">SUMIF(Monthly!$C$5:$AL$5,B$3,Monthly!$C$53:$AL$53)</f>
        <v>-144000</v>
      </c>
      <c r="C13" s="54" t="n">
        <f aca="false">SUMIF(Monthly!$C$5:$AL$5,C$3,Monthly!$C$53:$AL$53)</f>
        <v>-115200</v>
      </c>
      <c r="D13" s="54" t="n">
        <f aca="false">SUMIF(Monthly!$C$5:$AL$5,D$3,Monthly!$C$53:$AL$53)</f>
        <v>-92160</v>
      </c>
    </row>
    <row r="14" customFormat="false" ht="15" hidden="false" customHeight="false" outlineLevel="0" collapsed="false">
      <c r="A14" s="99" t="s">
        <v>75</v>
      </c>
      <c r="B14" s="55" t="n">
        <f aca="false">SUMIF(Monthly!$C$5:$AL$5,B$3,Monthly!$C$54:$AL$54)</f>
        <v>-1123040</v>
      </c>
      <c r="C14" s="55" t="n">
        <f aca="false">SUMIF(Monthly!$C$5:$AL$5,C$3,Monthly!$C$54:$AL$54)</f>
        <v>-1123611.2</v>
      </c>
      <c r="D14" s="55" t="n">
        <f aca="false">SUMIF(Monthly!$C$5:$AL$5,D$3,Monthly!$C$54:$AL$54)</f>
        <v>-1130823.536</v>
      </c>
    </row>
    <row r="15" customFormat="false" ht="15" hidden="false" customHeight="false" outlineLevel="0" collapsed="false">
      <c r="A15" s="99" t="s">
        <v>46</v>
      </c>
      <c r="B15" s="55" t="n">
        <f aca="false">SUMIF(Monthly!$C$5:$AL$5,B$3,Monthly!$C$55:$AL$55)</f>
        <v>-123279.207270295</v>
      </c>
      <c r="C15" s="55" t="n">
        <f aca="false">SUMIF(Monthly!$C$5:$AL$5,C$3,Monthly!$C$55:$AL$55)</f>
        <v>393591.208461737</v>
      </c>
      <c r="D15" s="55" t="n">
        <f aca="false">SUMIF(Monthly!$C$5:$AL$5,D$3,Monthly!$C$55:$AL$55)</f>
        <v>606030.411732089</v>
      </c>
    </row>
    <row r="16" customFormat="false" ht="15" hidden="false" customHeight="false" outlineLevel="0" collapsed="false">
      <c r="A16" s="39" t="s">
        <v>47</v>
      </c>
      <c r="B16" s="61" t="n">
        <f aca="false">IF(B5=0,0,B15/B5)</f>
        <v>-0.104457758515049</v>
      </c>
      <c r="C16" s="61" t="n">
        <f aca="false">IF(C5=0,0,C15/C5)</f>
        <v>0.217949636079378</v>
      </c>
      <c r="D16" s="61" t="n">
        <f aca="false">IF(D5=0,0,D15/D5)</f>
        <v>0.291322035050816</v>
      </c>
    </row>
    <row r="17" customFormat="false" ht="15" hidden="false" customHeight="false" outlineLevel="0" collapsed="false">
      <c r="A17" s="6" t="s">
        <v>76</v>
      </c>
      <c r="B17" s="54" t="n">
        <f aca="false">SUMIF(Monthly!$C$5:$AL$5,B$3,Monthly!$C$73:$AL$73)</f>
        <v>-341666.666666667</v>
      </c>
      <c r="C17" s="54" t="n">
        <f aca="false">SUMIF(Monthly!$C$5:$AL$5,C$3,Monthly!$C$73:$AL$73)</f>
        <v>-345000</v>
      </c>
      <c r="D17" s="54" t="n">
        <f aca="false">SUMIF(Monthly!$C$5:$AL$5,D$3,Monthly!$C$73:$AL$73)</f>
        <v>-348333.333333333</v>
      </c>
    </row>
    <row r="18" customFormat="false" ht="15" hidden="false" customHeight="false" outlineLevel="0" collapsed="false">
      <c r="A18" s="4" t="s">
        <v>77</v>
      </c>
      <c r="B18" s="60" t="n">
        <f aca="false">SUMIF(Monthly!$C$5:$AL$5,B$3,Monthly!$C$58:$AL$58)</f>
        <v>-464945.873936961</v>
      </c>
      <c r="C18" s="60" t="n">
        <f aca="false">SUMIF(Monthly!$C$5:$AL$5,C$3,Monthly!$C$58:$AL$58)</f>
        <v>48591.2084617368</v>
      </c>
      <c r="D18" s="60" t="n">
        <f aca="false">SUMIF(Monthly!$C$5:$AL$5,D$3,Monthly!$C$58:$AL$58)</f>
        <v>257697.078398756</v>
      </c>
    </row>
    <row r="19" customFormat="false" ht="15" hidden="false" customHeight="false" outlineLevel="0" collapsed="false">
      <c r="A19" s="6" t="s">
        <v>78</v>
      </c>
      <c r="B19" s="54" t="n">
        <f aca="false">SUMIF(Monthly!$C$5:$AL$5,B$3,Monthly!$C$59:$AL$59)</f>
        <v>-244286.458333333</v>
      </c>
      <c r="C19" s="54" t="n">
        <f aca="false">SUMIF(Monthly!$C$5:$AL$5,C$3,Monthly!$C$59:$AL$59)</f>
        <v>-218875</v>
      </c>
      <c r="D19" s="54" t="n">
        <f aca="false">SUMIF(Monthly!$C$5:$AL$5,D$3,Monthly!$C$59:$AL$59)</f>
        <v>-193375</v>
      </c>
    </row>
    <row r="20" customFormat="false" ht="15" hidden="false" customHeight="false" outlineLevel="0" collapsed="false">
      <c r="A20" s="100" t="s">
        <v>79</v>
      </c>
      <c r="B20" s="101" t="n">
        <f aca="false">SUMIF(Monthly!$C$5:$AL$5,B$3,Monthly!$C$60:$AL$60)</f>
        <v>-709232.332270295</v>
      </c>
      <c r="C20" s="101" t="n">
        <f aca="false">SUMIF(Monthly!$C$5:$AL$5,C$3,Monthly!$C$60:$AL$60)</f>
        <v>-170283.791538263</v>
      </c>
      <c r="D20" s="101" t="n">
        <f aca="false">SUMIF(Monthly!$C$5:$AL$5,D$3,Monthly!$C$60:$AL$60)</f>
        <v>64322.0783987556</v>
      </c>
    </row>
    <row r="21" customFormat="false" ht="15" hidden="false" customHeight="false" outlineLevel="0" collapsed="false">
      <c r="A21" s="6" t="s">
        <v>80</v>
      </c>
      <c r="B21" s="54" t="n">
        <f aca="false">SUMIF(Monthly!$C$5:$AL$5,B$3,Monthly!$C$63:$AL$63)</f>
        <v>0</v>
      </c>
      <c r="C21" s="54" t="n">
        <f aca="false">SUMIF(Monthly!$C$5:$AL$5,C$3,Monthly!$C$63:$AL$63)</f>
        <v>0</v>
      </c>
      <c r="D21" s="54" t="n">
        <f aca="false">SUMIF(Monthly!$C$5:$AL$5,D$3,Monthly!$C$63:$AL$63)</f>
        <v>0</v>
      </c>
    </row>
    <row r="22" customFormat="false" ht="15" hidden="false" customHeight="false" outlineLevel="0" collapsed="false">
      <c r="A22" s="57" t="s">
        <v>48</v>
      </c>
      <c r="B22" s="58" t="n">
        <f aca="false">SUMIF(Monthly!$C$5:$AL$5,B$3,Monthly!$C$64:$AL$64)</f>
        <v>-709232.332270295</v>
      </c>
      <c r="C22" s="58" t="n">
        <f aca="false">SUMIF(Monthly!$C$5:$AL$5,C$3,Monthly!$C$64:$AL$64)</f>
        <v>-170283.791538263</v>
      </c>
      <c r="D22" s="58" t="n">
        <f aca="false">SUMIF(Monthly!$C$5:$AL$5,D$3,Monthly!$C$64:$AL$64)</f>
        <v>64322.0783987556</v>
      </c>
    </row>
    <row r="23" customFormat="false" ht="15" hidden="false" customHeight="false" outlineLevel="0" collapsed="false">
      <c r="A23" s="39" t="s">
        <v>49</v>
      </c>
      <c r="B23" s="61" t="n">
        <f aca="false">IF(B5=0,0,B22/B5)</f>
        <v>-0.600951460800047</v>
      </c>
      <c r="C23" s="61" t="n">
        <f aca="false">IF(C5=0,0,C22/C5)</f>
        <v>-0.0942940025033336</v>
      </c>
      <c r="D23" s="61" t="n">
        <f aca="false">IF(D5=0,0,D22/D5)</f>
        <v>0.0309199644358894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20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309</v>
      </c>
    </row>
    <row r="3" customFormat="false" ht="15" hidden="false" customHeight="false" outlineLevel="0" collapsed="false">
      <c r="A3" s="59" t="s">
        <v>122</v>
      </c>
      <c r="B3" s="59" t="n">
        <v>1</v>
      </c>
      <c r="C3" s="59" t="n">
        <v>2</v>
      </c>
      <c r="D3" s="59" t="n">
        <v>3</v>
      </c>
    </row>
    <row r="4" customFormat="false" ht="15" hidden="false" customHeight="false" outlineLevel="0" collapsed="false">
      <c r="A4" s="33"/>
      <c r="B4" s="35" t="s">
        <v>123</v>
      </c>
      <c r="C4" s="35" t="s">
        <v>124</v>
      </c>
      <c r="D4" s="35" t="s">
        <v>125</v>
      </c>
    </row>
    <row r="5" customFormat="false" ht="15" hidden="false" customHeight="false" outlineLevel="0" collapsed="false">
      <c r="A5" s="6" t="s">
        <v>48</v>
      </c>
      <c r="B5" s="54" t="n">
        <f aca="false">SUMIF(Monthly!$C$5:$AL$5,B$3,Monthly!$C$64:$AL$64)</f>
        <v>-709232.332270295</v>
      </c>
      <c r="C5" s="54" t="n">
        <f aca="false">SUMIF(Monthly!$C$5:$AL$5,C$3,Monthly!$C$64:$AL$64)</f>
        <v>-170283.791538263</v>
      </c>
      <c r="D5" s="54" t="n">
        <f aca="false">SUMIF(Monthly!$C$5:$AL$5,D$3,Monthly!$C$64:$AL$64)</f>
        <v>64322.0783987556</v>
      </c>
    </row>
    <row r="6" customFormat="false" ht="15" hidden="false" customHeight="false" outlineLevel="0" collapsed="false">
      <c r="A6" s="6" t="s">
        <v>315</v>
      </c>
      <c r="B6" s="54" t="n">
        <f aca="false">-SUMIF(Monthly!$C$5:$AL$5,B$3,Monthly!$C$73:$AL$73)</f>
        <v>341666.666666667</v>
      </c>
      <c r="C6" s="54" t="n">
        <f aca="false">-SUMIF(Monthly!$C$5:$AL$5,C$3,Monthly!$C$73:$AL$73)</f>
        <v>345000</v>
      </c>
      <c r="D6" s="54" t="n">
        <f aca="false">-SUMIF(Monthly!$C$5:$AL$5,D$3,Monthly!$C$73:$AL$73)</f>
        <v>348333.333333333</v>
      </c>
    </row>
    <row r="7" customFormat="false" ht="15" hidden="false" customHeight="false" outlineLevel="0" collapsed="false">
      <c r="A7" s="6" t="s">
        <v>316</v>
      </c>
      <c r="B7" s="54" t="n">
        <f aca="false">SUMIF(Monthly!$C$5:$AL$5,B$3,Monthly!$C$87:$AL$87)</f>
        <v>-7915.98187505677</v>
      </c>
      <c r="C7" s="54" t="n">
        <f aca="false">SUMIF(Monthly!$C$5:$AL$5,C$3,Monthly!$C$87:$AL$87)</f>
        <v>-1788.51827177003</v>
      </c>
      <c r="D7" s="54" t="n">
        <f aca="false">SUMIF(Monthly!$C$5:$AL$5,D$3,Monthly!$C$87:$AL$87)</f>
        <v>-1274.50824054096</v>
      </c>
    </row>
    <row r="8" customFormat="false" ht="15" hidden="false" customHeight="false" outlineLevel="0" collapsed="false">
      <c r="A8" s="6" t="s">
        <v>317</v>
      </c>
      <c r="B8" s="54" t="n">
        <f aca="false">SUMIF(Monthly!$C$5:$AL$5,B$3,Monthly!$C$88:$AL$88)</f>
        <v>-8885.78253780614</v>
      </c>
      <c r="C8" s="54" t="n">
        <f aca="false">SUMIF(Monthly!$C$5:$AL$5,C$3,Monthly!$C$88:$AL$88)</f>
        <v>-2326.14501404709</v>
      </c>
      <c r="D8" s="54" t="n">
        <f aca="false">SUMIF(Monthly!$C$5:$AL$5,D$3,Monthly!$C$88:$AL$88)</f>
        <v>-1702.42783684768</v>
      </c>
    </row>
    <row r="9" customFormat="false" ht="15" hidden="false" customHeight="false" outlineLevel="0" collapsed="false">
      <c r="A9" s="6" t="s">
        <v>318</v>
      </c>
      <c r="B9" s="54" t="n">
        <f aca="false">SUMIF(Monthly!$C$5:$AL$5,B$3,Monthly!$C$89:$AL$89)</f>
        <v>14809.6375630102</v>
      </c>
      <c r="C9" s="54" t="n">
        <f aca="false">SUMIF(Monthly!$C$5:$AL$5,C$3,Monthly!$C$89:$AL$89)</f>
        <v>3876.90835674514</v>
      </c>
      <c r="D9" s="54" t="n">
        <f aca="false">SUMIF(Monthly!$C$5:$AL$5,D$3,Monthly!$C$89:$AL$89)</f>
        <v>2837.37972807948</v>
      </c>
    </row>
    <row r="10" customFormat="false" ht="15" hidden="false" customHeight="false" outlineLevel="0" collapsed="false">
      <c r="A10" s="99" t="s">
        <v>50</v>
      </c>
      <c r="B10" s="55" t="n">
        <f aca="false">SUMIF(Monthly!$C$5:$AL$5,B$3,Monthly!$C$92:$AL$92)</f>
        <v>-369557.792453481</v>
      </c>
      <c r="C10" s="55" t="n">
        <f aca="false">SUMIF(Monthly!$C$5:$AL$5,C$3,Monthly!$C$92:$AL$92)</f>
        <v>174478.453532665</v>
      </c>
      <c r="D10" s="55" t="n">
        <f aca="false">SUMIF(Monthly!$C$5:$AL$5,D$3,Monthly!$C$92:$AL$92)</f>
        <v>412515.85538278</v>
      </c>
    </row>
    <row r="11" customFormat="false" ht="15" hidden="false" customHeight="false" outlineLevel="0" collapsed="false">
      <c r="A11" s="6" t="s">
        <v>82</v>
      </c>
      <c r="B11" s="54" t="n">
        <f aca="false">SUMIF(Monthly!$C$5:$AL$5,B$3,Monthly!$C$93:$AL$93)</f>
        <v>-4100000</v>
      </c>
      <c r="C11" s="54" t="n">
        <f aca="false">SUMIF(Monthly!$C$5:$AL$5,C$3,Monthly!$C$93:$AL$93)</f>
        <v>-40000</v>
      </c>
      <c r="D11" s="54" t="n">
        <f aca="false">SUMIF(Monthly!$C$5:$AL$5,D$3,Monthly!$C$93:$AL$93)</f>
        <v>-40000</v>
      </c>
    </row>
    <row r="12" customFormat="false" ht="15" hidden="false" customHeight="false" outlineLevel="0" collapsed="false">
      <c r="A12" s="6" t="s">
        <v>62</v>
      </c>
      <c r="B12" s="54" t="n">
        <f aca="false">SUMIF(Monthly!$C$5:$AL$5,B$3,Monthly!$C$94:$AL$94)</f>
        <v>2100000</v>
      </c>
      <c r="C12" s="54" t="n">
        <f aca="false">SUMIF(Monthly!$C$5:$AL$5,C$3,Monthly!$C$94:$AL$94)</f>
        <v>0</v>
      </c>
      <c r="D12" s="54" t="n">
        <f aca="false">SUMIF(Monthly!$C$5:$AL$5,D$3,Monthly!$C$94:$AL$94)</f>
        <v>0</v>
      </c>
    </row>
    <row r="13" customFormat="false" ht="15" hidden="false" customHeight="false" outlineLevel="0" collapsed="false">
      <c r="A13" s="6" t="s">
        <v>83</v>
      </c>
      <c r="B13" s="54" t="n">
        <f aca="false">SUMIF(Monthly!$C$5:$AL$5,B$3,Monthly!$C$79:$AL$79)</f>
        <v>3000000</v>
      </c>
      <c r="C13" s="54" t="n">
        <f aca="false">SUMIF(Monthly!$C$5:$AL$5,C$3,Monthly!$C$79:$AL$79)</f>
        <v>0</v>
      </c>
      <c r="D13" s="54" t="n">
        <f aca="false">SUMIF(Monthly!$C$5:$AL$5,D$3,Monthly!$C$79:$AL$79)</f>
        <v>0</v>
      </c>
    </row>
    <row r="14" customFormat="false" ht="15" hidden="false" customHeight="false" outlineLevel="0" collapsed="false">
      <c r="A14" s="6" t="s">
        <v>84</v>
      </c>
      <c r="B14" s="54" t="n">
        <f aca="false">SUMIF(Monthly!$C$5:$AL$5,B$3,Monthly!$C$80:$AL$80)</f>
        <v>-275000</v>
      </c>
      <c r="C14" s="54" t="n">
        <f aca="false">SUMIF(Monthly!$C$5:$AL$5,C$3,Monthly!$C$80:$AL$80)</f>
        <v>-300000</v>
      </c>
      <c r="D14" s="54" t="n">
        <f aca="false">SUMIF(Monthly!$C$5:$AL$5,D$3,Monthly!$C$80:$AL$80)</f>
        <v>-300000</v>
      </c>
    </row>
    <row r="15" customFormat="false" ht="15" hidden="false" customHeight="false" outlineLevel="0" collapsed="false">
      <c r="A15" s="99" t="s">
        <v>52</v>
      </c>
      <c r="B15" s="55" t="n">
        <f aca="false">SUMIF(Monthly!$C$5:$AL$5,B$3,Monthly!$C$95:$AL$95)</f>
        <v>4825000</v>
      </c>
      <c r="C15" s="55" t="n">
        <f aca="false">SUMIF(Monthly!$C$5:$AL$5,C$3,Monthly!$C$95:$AL$95)</f>
        <v>-300000</v>
      </c>
      <c r="D15" s="55" t="n">
        <f aca="false">SUMIF(Monthly!$C$5:$AL$5,D$3,Monthly!$C$95:$AL$95)</f>
        <v>-300000</v>
      </c>
    </row>
    <row r="16" customFormat="false" ht="15" hidden="false" customHeight="false" outlineLevel="0" collapsed="false">
      <c r="A16" s="4" t="s">
        <v>53</v>
      </c>
      <c r="B16" s="60" t="n">
        <f aca="false">SUMIF(Monthly!$C$5:$AL$5,B$3,Monthly!$C$96:$AL$96)</f>
        <v>355442.207546519</v>
      </c>
      <c r="C16" s="60" t="n">
        <f aca="false">SUMIF(Monthly!$C$5:$AL$5,C$3,Monthly!$C$96:$AL$96)</f>
        <v>-165521.546467335</v>
      </c>
      <c r="D16" s="60" t="n">
        <f aca="false">SUMIF(Monthly!$C$5:$AL$5,D$3,Monthly!$C$96:$AL$96)</f>
        <v>72515.8553827797</v>
      </c>
    </row>
    <row r="17" customFormat="false" ht="15" hidden="false" customHeight="false" outlineLevel="0" collapsed="false">
      <c r="A17" s="6" t="s">
        <v>319</v>
      </c>
      <c r="B17" s="54" t="n">
        <f aca="false">INDEX(Monthly!$C$97:$AL$97,(B$3-1)*12+1)</f>
        <v>0</v>
      </c>
      <c r="C17" s="54" t="n">
        <f aca="false">INDEX(Monthly!$C$97:$AL$97,(C$3-1)*12+1)</f>
        <v>355442.207546519</v>
      </c>
      <c r="D17" s="54" t="n">
        <f aca="false">INDEX(Monthly!$C$97:$AL$97,(D$3-1)*12+1)</f>
        <v>189920.661079184</v>
      </c>
    </row>
    <row r="18" customFormat="false" ht="15" hidden="false" customHeight="false" outlineLevel="0" collapsed="false">
      <c r="A18" s="57" t="s">
        <v>85</v>
      </c>
      <c r="B18" s="58" t="n">
        <f aca="false">INDEX(Monthly!$C$98:$AL$98,B$3*12)</f>
        <v>355442.207546519</v>
      </c>
      <c r="C18" s="58" t="n">
        <f aca="false">INDEX(Monthly!$C$98:$AL$98,C$3*12)</f>
        <v>189920.661079184</v>
      </c>
      <c r="D18" s="58" t="n">
        <f aca="false">INDEX(Monthly!$C$98:$AL$98,D$3*12)</f>
        <v>262436.516461964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309</v>
      </c>
    </row>
    <row r="3" customFormat="false" ht="15" hidden="false" customHeight="false" outlineLevel="0" collapsed="false">
      <c r="A3" s="59" t="s">
        <v>122</v>
      </c>
      <c r="B3" s="59" t="n">
        <v>1</v>
      </c>
      <c r="C3" s="59" t="n">
        <v>2</v>
      </c>
      <c r="D3" s="59" t="n">
        <v>3</v>
      </c>
    </row>
    <row r="4" customFormat="false" ht="15" hidden="false" customHeight="false" outlineLevel="0" collapsed="false">
      <c r="A4" s="33"/>
      <c r="B4" s="35" t="s">
        <v>123</v>
      </c>
      <c r="C4" s="35" t="s">
        <v>124</v>
      </c>
      <c r="D4" s="35" t="s">
        <v>125</v>
      </c>
    </row>
    <row r="5" customFormat="false" ht="15" hidden="false" customHeight="false" outlineLevel="0" collapsed="false">
      <c r="A5" s="6" t="s">
        <v>87</v>
      </c>
      <c r="B5" s="54" t="n">
        <f aca="false">INDEX(Monthly!$C$98:$AL$98,B$3*12)</f>
        <v>355442.207546519</v>
      </c>
      <c r="C5" s="54" t="n">
        <f aca="false">INDEX(Monthly!$C$98:$AL$98,C$3*12)</f>
        <v>189920.661079184</v>
      </c>
      <c r="D5" s="54" t="n">
        <f aca="false">INDEX(Monthly!$C$98:$AL$98,D$3*12)</f>
        <v>262436.516461964</v>
      </c>
    </row>
    <row r="6" customFormat="false" ht="15" hidden="false" customHeight="false" outlineLevel="0" collapsed="false">
      <c r="A6" s="6" t="s">
        <v>88</v>
      </c>
      <c r="B6" s="54" t="n">
        <f aca="false">INDEX(Monthly!$C$84:$AL$84,B$3*12)</f>
        <v>7915.98187505677</v>
      </c>
      <c r="C6" s="54" t="n">
        <f aca="false">INDEX(Monthly!$C$84:$AL$84,C$3*12)</f>
        <v>9704.5001468268</v>
      </c>
      <c r="D6" s="54" t="n">
        <f aca="false">INDEX(Monthly!$C$84:$AL$84,D$3*12)</f>
        <v>10979.0083873678</v>
      </c>
    </row>
    <row r="7" customFormat="false" ht="15" hidden="false" customHeight="false" outlineLevel="0" collapsed="false">
      <c r="A7" s="6" t="s">
        <v>89</v>
      </c>
      <c r="B7" s="54" t="n">
        <f aca="false">INDEX(Monthly!$C$85:$AL$85,B$3*12)</f>
        <v>8885.78253780614</v>
      </c>
      <c r="C7" s="54" t="n">
        <f aca="false">INDEX(Monthly!$C$85:$AL$85,C$3*12)</f>
        <v>11211.9275518532</v>
      </c>
      <c r="D7" s="54" t="n">
        <f aca="false">INDEX(Monthly!$C$85:$AL$85,D$3*12)</f>
        <v>12914.3553887009</v>
      </c>
    </row>
    <row r="8" customFormat="false" ht="15" hidden="false" customHeight="false" outlineLevel="0" collapsed="false">
      <c r="A8" s="6" t="s">
        <v>90</v>
      </c>
      <c r="B8" s="54" t="n">
        <f aca="false">INDEX(Monthly!$C$75:$AL$75,B$3*12)</f>
        <v>3758333.33333333</v>
      </c>
      <c r="C8" s="54" t="n">
        <f aca="false">INDEX(Monthly!$C$75:$AL$75,C$3*12)</f>
        <v>3453333.33333333</v>
      </c>
      <c r="D8" s="54" t="n">
        <f aca="false">INDEX(Monthly!$C$75:$AL$75,D$3*12)</f>
        <v>3145000</v>
      </c>
    </row>
    <row r="9" customFormat="false" ht="15" hidden="false" customHeight="false" outlineLevel="0" collapsed="false">
      <c r="A9" s="99" t="s">
        <v>91</v>
      </c>
      <c r="B9" s="55" t="n">
        <f aca="false">INDEX(Monthly!$C$112:$AL$112,B$3*12)</f>
        <v>4130577.30529272</v>
      </c>
      <c r="C9" s="55" t="n">
        <f aca="false">INDEX(Monthly!$C$112:$AL$112,C$3*12)</f>
        <v>3664170.4221112</v>
      </c>
      <c r="D9" s="55" t="n">
        <f aca="false">INDEX(Monthly!$C$112:$AL$112,D$3*12)</f>
        <v>3431329.88023803</v>
      </c>
    </row>
    <row r="10" customFormat="false" ht="15" hidden="false" customHeight="false" outlineLevel="0" collapsed="false">
      <c r="A10" s="6" t="s">
        <v>92</v>
      </c>
      <c r="B10" s="54" t="n">
        <f aca="false">INDEX(Monthly!$C$86:$AL$86,B$3*12)</f>
        <v>14809.6375630102</v>
      </c>
      <c r="C10" s="54" t="n">
        <f aca="false">INDEX(Monthly!$C$86:$AL$86,C$3*12)</f>
        <v>18686.5459197554</v>
      </c>
      <c r="D10" s="54" t="n">
        <f aca="false">INDEX(Monthly!$C$86:$AL$86,D$3*12)</f>
        <v>21523.9256478349</v>
      </c>
    </row>
    <row r="11" customFormat="false" ht="15" hidden="false" customHeight="false" outlineLevel="0" collapsed="false">
      <c r="A11" s="6" t="s">
        <v>93</v>
      </c>
      <c r="B11" s="54" t="n">
        <f aca="false">INDEX(Monthly!$C$81:$AL$81,B$3*12)</f>
        <v>2725000</v>
      </c>
      <c r="C11" s="54" t="n">
        <f aca="false">INDEX(Monthly!$C$81:$AL$81,C$3*12)</f>
        <v>2425000</v>
      </c>
      <c r="D11" s="54" t="n">
        <f aca="false">INDEX(Monthly!$C$81:$AL$81,D$3*12)</f>
        <v>2125000</v>
      </c>
    </row>
    <row r="12" customFormat="false" ht="15" hidden="false" customHeight="false" outlineLevel="0" collapsed="false">
      <c r="A12" s="100" t="s">
        <v>94</v>
      </c>
      <c r="B12" s="101" t="n">
        <f aca="false">INDEX(Monthly!$C$113:$AL$113,B$3*12)</f>
        <v>2739809.63756301</v>
      </c>
      <c r="C12" s="101" t="n">
        <f aca="false">INDEX(Monthly!$C$113:$AL$113,C$3*12)</f>
        <v>2443686.54591976</v>
      </c>
      <c r="D12" s="101" t="n">
        <f aca="false">INDEX(Monthly!$C$113:$AL$113,D$3*12)</f>
        <v>2146523.92564784</v>
      </c>
    </row>
    <row r="13" customFormat="false" ht="15" hidden="false" customHeight="false" outlineLevel="0" collapsed="false">
      <c r="A13" s="6" t="s">
        <v>95</v>
      </c>
      <c r="B13" s="54" t="n">
        <f aca="false">INDEX(Monthly!$C$110:$AL$110,B$3*12)</f>
        <v>2100000</v>
      </c>
      <c r="C13" s="54" t="n">
        <f aca="false">INDEX(Monthly!$C$110:$AL$110,C$3*12)</f>
        <v>2100000</v>
      </c>
      <c r="D13" s="54" t="n">
        <f aca="false">INDEX(Monthly!$C$110:$AL$110,D$3*12)</f>
        <v>2100000</v>
      </c>
    </row>
    <row r="14" customFormat="false" ht="15" hidden="false" customHeight="false" outlineLevel="0" collapsed="false">
      <c r="A14" s="6" t="s">
        <v>96</v>
      </c>
      <c r="B14" s="54" t="n">
        <f aca="false">INDEX(Monthly!$C$111:$AL$111,B$3*12)</f>
        <v>-709232.332270295</v>
      </c>
      <c r="C14" s="54" t="n">
        <f aca="false">INDEX(Monthly!$C$111:$AL$111,C$3*12)</f>
        <v>-879516.123808558</v>
      </c>
      <c r="D14" s="54" t="n">
        <f aca="false">INDEX(Monthly!$C$111:$AL$111,D$3*12)</f>
        <v>-815194.045409802</v>
      </c>
    </row>
    <row r="15" customFormat="false" ht="15" hidden="false" customHeight="false" outlineLevel="0" collapsed="false">
      <c r="A15" s="100" t="s">
        <v>97</v>
      </c>
      <c r="B15" s="101" t="n">
        <f aca="false">INDEX(Monthly!$C$114:$AL$114,B$3*12)</f>
        <v>1390767.66772971</v>
      </c>
      <c r="C15" s="101" t="n">
        <f aca="false">INDEX(Monthly!$C$114:$AL$114,C$3*12)</f>
        <v>1220483.87619144</v>
      </c>
      <c r="D15" s="101" t="n">
        <f aca="false">INDEX(Monthly!$C$114:$AL$114,D$3*12)</f>
        <v>1284805.9545902</v>
      </c>
    </row>
    <row r="16" customFormat="false" ht="15" hidden="false" customHeight="false" outlineLevel="0" collapsed="false">
      <c r="A16" s="57" t="s">
        <v>98</v>
      </c>
      <c r="B16" s="58" t="n">
        <f aca="false">INDEX(Monthly!$C$115:$AL$115,B$3*12)</f>
        <v>4130577.30529272</v>
      </c>
      <c r="C16" s="58" t="n">
        <f aca="false">INDEX(Monthly!$C$115:$AL$115,C$3*12)</f>
        <v>3664170.4221112</v>
      </c>
      <c r="D16" s="58" t="n">
        <f aca="false">INDEX(Monthly!$C$115:$AL$115,D$3*12)</f>
        <v>3431329.88023803</v>
      </c>
    </row>
    <row r="17" customFormat="false" ht="15" hidden="false" customHeight="false" outlineLevel="0" collapsed="false">
      <c r="A17" s="6" t="s">
        <v>320</v>
      </c>
      <c r="B17" s="54" t="n">
        <f aca="false">INDEX(Monthly!$C$116:$AL$116,B$3*12)</f>
        <v>0</v>
      </c>
      <c r="C17" s="54" t="n">
        <f aca="false">INDEX(Monthly!$C$116:$AL$116,C$3*12)</f>
        <v>0</v>
      </c>
      <c r="D17" s="54" t="n">
        <f aca="false">INDEX(Monthly!$C$116:$AL$116,D$3*12)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1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321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322</v>
      </c>
    </row>
    <row r="3" customFormat="false" ht="15" hidden="false" customHeight="false" outlineLevel="0" collapsed="false">
      <c r="A3" s="33" t="s">
        <v>323</v>
      </c>
      <c r="C3" s="35" t="s">
        <v>324</v>
      </c>
      <c r="D3" s="35" t="s">
        <v>325</v>
      </c>
      <c r="E3" s="35" t="s">
        <v>326</v>
      </c>
      <c r="F3" s="35" t="s">
        <v>327</v>
      </c>
      <c r="G3" s="35" t="s">
        <v>328</v>
      </c>
      <c r="H3" s="35" t="s">
        <v>329</v>
      </c>
      <c r="I3" s="35" t="s">
        <v>330</v>
      </c>
      <c r="J3" s="35" t="s">
        <v>331</v>
      </c>
      <c r="K3" s="35" t="s">
        <v>332</v>
      </c>
      <c r="L3" s="35" t="s">
        <v>333</v>
      </c>
      <c r="M3" s="35" t="s">
        <v>334</v>
      </c>
      <c r="N3" s="35" t="s">
        <v>335</v>
      </c>
      <c r="O3" s="35" t="s">
        <v>336</v>
      </c>
      <c r="P3" s="35" t="s">
        <v>337</v>
      </c>
      <c r="Q3" s="35" t="s">
        <v>338</v>
      </c>
      <c r="R3" s="35" t="s">
        <v>339</v>
      </c>
      <c r="S3" s="35" t="s">
        <v>340</v>
      </c>
      <c r="T3" s="35" t="s">
        <v>341</v>
      </c>
      <c r="U3" s="35" t="s">
        <v>342</v>
      </c>
      <c r="V3" s="35" t="s">
        <v>343</v>
      </c>
      <c r="W3" s="35" t="s">
        <v>344</v>
      </c>
      <c r="X3" s="35" t="s">
        <v>345</v>
      </c>
      <c r="Y3" s="35" t="s">
        <v>346</v>
      </c>
      <c r="Z3" s="35" t="s">
        <v>347</v>
      </c>
      <c r="AA3" s="35" t="s">
        <v>348</v>
      </c>
      <c r="AB3" s="35" t="s">
        <v>349</v>
      </c>
      <c r="AC3" s="35" t="s">
        <v>350</v>
      </c>
      <c r="AD3" s="35" t="s">
        <v>351</v>
      </c>
      <c r="AE3" s="35" t="s">
        <v>352</v>
      </c>
      <c r="AF3" s="35" t="s">
        <v>353</v>
      </c>
      <c r="AG3" s="35" t="s">
        <v>354</v>
      </c>
      <c r="AH3" s="35" t="s">
        <v>355</v>
      </c>
      <c r="AI3" s="35" t="s">
        <v>356</v>
      </c>
      <c r="AJ3" s="35" t="s">
        <v>357</v>
      </c>
      <c r="AK3" s="35" t="s">
        <v>358</v>
      </c>
      <c r="AL3" s="35" t="s">
        <v>359</v>
      </c>
    </row>
    <row r="4" customFormat="false" ht="15" hidden="false" customHeight="false" outlineLevel="0" collapsed="false">
      <c r="A4" s="59" t="s">
        <v>360</v>
      </c>
      <c r="C4" s="59" t="n">
        <v>1</v>
      </c>
      <c r="D4" s="59" t="n">
        <v>2</v>
      </c>
      <c r="E4" s="59" t="n">
        <v>3</v>
      </c>
      <c r="F4" s="59" t="n">
        <v>4</v>
      </c>
      <c r="G4" s="59" t="n">
        <v>5</v>
      </c>
      <c r="H4" s="59" t="n">
        <v>6</v>
      </c>
      <c r="I4" s="59" t="n">
        <v>7</v>
      </c>
      <c r="J4" s="59" t="n">
        <v>8</v>
      </c>
      <c r="K4" s="59" t="n">
        <v>9</v>
      </c>
      <c r="L4" s="59" t="n">
        <v>10</v>
      </c>
      <c r="M4" s="59" t="n">
        <v>11</v>
      </c>
      <c r="N4" s="59" t="n">
        <v>12</v>
      </c>
      <c r="O4" s="59" t="n">
        <v>13</v>
      </c>
      <c r="P4" s="59" t="n">
        <v>14</v>
      </c>
      <c r="Q4" s="59" t="n">
        <v>15</v>
      </c>
      <c r="R4" s="59" t="n">
        <v>16</v>
      </c>
      <c r="S4" s="59" t="n">
        <v>17</v>
      </c>
      <c r="T4" s="59" t="n">
        <v>18</v>
      </c>
      <c r="U4" s="59" t="n">
        <v>19</v>
      </c>
      <c r="V4" s="59" t="n">
        <v>20</v>
      </c>
      <c r="W4" s="59" t="n">
        <v>21</v>
      </c>
      <c r="X4" s="59" t="n">
        <v>22</v>
      </c>
      <c r="Y4" s="59" t="n">
        <v>23</v>
      </c>
      <c r="Z4" s="59" t="n">
        <v>24</v>
      </c>
      <c r="AA4" s="59" t="n">
        <v>25</v>
      </c>
      <c r="AB4" s="59" t="n">
        <v>26</v>
      </c>
      <c r="AC4" s="59" t="n">
        <v>27</v>
      </c>
      <c r="AD4" s="59" t="n">
        <v>28</v>
      </c>
      <c r="AE4" s="59" t="n">
        <v>29</v>
      </c>
      <c r="AF4" s="59" t="n">
        <v>30</v>
      </c>
      <c r="AG4" s="59" t="n">
        <v>31</v>
      </c>
      <c r="AH4" s="59" t="n">
        <v>32</v>
      </c>
      <c r="AI4" s="59" t="n">
        <v>33</v>
      </c>
      <c r="AJ4" s="59" t="n">
        <v>34</v>
      </c>
      <c r="AK4" s="59" t="n">
        <v>35</v>
      </c>
      <c r="AL4" s="59" t="n">
        <v>36</v>
      </c>
    </row>
    <row r="5" customFormat="false" ht="15" hidden="false" customHeight="false" outlineLevel="0" collapsed="false">
      <c r="A5" s="59" t="s">
        <v>122</v>
      </c>
      <c r="C5" s="59" t="n">
        <f aca="false">ROUNDUP(C4*1/12,0)</f>
        <v>1</v>
      </c>
      <c r="D5" s="59" t="n">
        <f aca="false">ROUNDUP(D4*1/12,0)</f>
        <v>1</v>
      </c>
      <c r="E5" s="59" t="n">
        <f aca="false">ROUNDUP(E4*1/12,0)</f>
        <v>1</v>
      </c>
      <c r="F5" s="59" t="n">
        <f aca="false">ROUNDUP(F4*1/12,0)</f>
        <v>1</v>
      </c>
      <c r="G5" s="59" t="n">
        <f aca="false">ROUNDUP(G4*1/12,0)</f>
        <v>1</v>
      </c>
      <c r="H5" s="59" t="n">
        <f aca="false">ROUNDUP(H4*1/12,0)</f>
        <v>1</v>
      </c>
      <c r="I5" s="59" t="n">
        <f aca="false">ROUNDUP(I4*1/12,0)</f>
        <v>1</v>
      </c>
      <c r="J5" s="59" t="n">
        <f aca="false">ROUNDUP(J4*1/12,0)</f>
        <v>1</v>
      </c>
      <c r="K5" s="59" t="n">
        <f aca="false">ROUNDUP(K4*1/12,0)</f>
        <v>1</v>
      </c>
      <c r="L5" s="59" t="n">
        <f aca="false">ROUNDUP(L4*1/12,0)</f>
        <v>1</v>
      </c>
      <c r="M5" s="59" t="n">
        <f aca="false">ROUNDUP(M4*1/12,0)</f>
        <v>1</v>
      </c>
      <c r="N5" s="59" t="n">
        <f aca="false">ROUNDUP(N4*1/12,0)</f>
        <v>1</v>
      </c>
      <c r="O5" s="59" t="n">
        <f aca="false">ROUNDUP(O4*1/12,0)</f>
        <v>2</v>
      </c>
      <c r="P5" s="59" t="n">
        <f aca="false">ROUNDUP(P4*1/12,0)</f>
        <v>2</v>
      </c>
      <c r="Q5" s="59" t="n">
        <f aca="false">ROUNDUP(Q4*1/12,0)</f>
        <v>2</v>
      </c>
      <c r="R5" s="59" t="n">
        <f aca="false">ROUNDUP(R4*1/12,0)</f>
        <v>2</v>
      </c>
      <c r="S5" s="59" t="n">
        <f aca="false">ROUNDUP(S4*1/12,0)</f>
        <v>2</v>
      </c>
      <c r="T5" s="59" t="n">
        <f aca="false">ROUNDUP(T4*1/12,0)</f>
        <v>2</v>
      </c>
      <c r="U5" s="59" t="n">
        <f aca="false">ROUNDUP(U4*1/12,0)</f>
        <v>2</v>
      </c>
      <c r="V5" s="59" t="n">
        <f aca="false">ROUNDUP(V4*1/12,0)</f>
        <v>2</v>
      </c>
      <c r="W5" s="59" t="n">
        <f aca="false">ROUNDUP(W4*1/12,0)</f>
        <v>2</v>
      </c>
      <c r="X5" s="59" t="n">
        <f aca="false">ROUNDUP(X4*1/12,0)</f>
        <v>2</v>
      </c>
      <c r="Y5" s="59" t="n">
        <f aca="false">ROUNDUP(Y4*1/12,0)</f>
        <v>2</v>
      </c>
      <c r="Z5" s="59" t="n">
        <f aca="false">ROUNDUP(Z4*1/12,0)</f>
        <v>2</v>
      </c>
      <c r="AA5" s="59" t="n">
        <f aca="false">ROUNDUP(AA4*1/12,0)</f>
        <v>3</v>
      </c>
      <c r="AB5" s="59" t="n">
        <f aca="false">ROUNDUP(AB4*1/12,0)</f>
        <v>3</v>
      </c>
      <c r="AC5" s="59" t="n">
        <f aca="false">ROUNDUP(AC4*1/12,0)</f>
        <v>3</v>
      </c>
      <c r="AD5" s="59" t="n">
        <f aca="false">ROUNDUP(AD4*1/12,0)</f>
        <v>3</v>
      </c>
      <c r="AE5" s="59" t="n">
        <f aca="false">ROUNDUP(AE4*1/12,0)</f>
        <v>3</v>
      </c>
      <c r="AF5" s="59" t="n">
        <f aca="false">ROUNDUP(AF4*1/12,0)</f>
        <v>3</v>
      </c>
      <c r="AG5" s="59" t="n">
        <f aca="false">ROUNDUP(AG4*1/12,0)</f>
        <v>3</v>
      </c>
      <c r="AH5" s="59" t="n">
        <f aca="false">ROUNDUP(AH4*1/12,0)</f>
        <v>3</v>
      </c>
      <c r="AI5" s="59" t="n">
        <f aca="false">ROUNDUP(AI4*1/12,0)</f>
        <v>3</v>
      </c>
      <c r="AJ5" s="59" t="n">
        <f aca="false">ROUNDUP(AJ4*1/12,0)</f>
        <v>3</v>
      </c>
      <c r="AK5" s="59" t="n">
        <f aca="false">ROUNDUP(AK4*1/12,0)</f>
        <v>3</v>
      </c>
      <c r="AL5" s="59" t="n">
        <f aca="false">ROUNDUP(AL4*1/12,0)</f>
        <v>3</v>
      </c>
    </row>
    <row r="7" customFormat="false" ht="15.75" hidden="false" customHeight="true" outlineLevel="0" collapsed="false">
      <c r="A7" s="7" t="s">
        <v>361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102" t="s">
        <v>362</v>
      </c>
      <c r="C8" s="103" t="n">
        <f aca="false">MAX(0,MIN(1,Inputs!$E$9-(C$4-1)*1))</f>
        <v>1</v>
      </c>
      <c r="D8" s="103" t="n">
        <f aca="false">MAX(0,MIN(1,Inputs!$E$9-(D$4-1)*1))</f>
        <v>1</v>
      </c>
      <c r="E8" s="103" t="n">
        <f aca="false">MAX(0,MIN(1,Inputs!$E$9-(E$4-1)*1))</f>
        <v>1</v>
      </c>
      <c r="F8" s="103" t="n">
        <f aca="false">MAX(0,MIN(1,Inputs!$E$9-(F$4-1)*1))</f>
        <v>1</v>
      </c>
      <c r="G8" s="103" t="n">
        <f aca="false">MAX(0,MIN(1,Inputs!$E$9-(G$4-1)*1))</f>
        <v>1</v>
      </c>
      <c r="H8" s="103" t="n">
        <f aca="false">MAX(0,MIN(1,Inputs!$E$9-(H$4-1)*1))</f>
        <v>1</v>
      </c>
      <c r="I8" s="103" t="n">
        <f aca="false">MAX(0,MIN(1,Inputs!$E$9-(I$4-1)*1))</f>
        <v>1</v>
      </c>
      <c r="J8" s="103" t="n">
        <f aca="false">MAX(0,MIN(1,Inputs!$E$9-(J$4-1)*1))</f>
        <v>1</v>
      </c>
      <c r="K8" s="103" t="n">
        <f aca="false">MAX(0,MIN(1,Inputs!$E$9-(K$4-1)*1))</f>
        <v>1</v>
      </c>
      <c r="L8" s="103" t="n">
        <f aca="false">MAX(0,MIN(1,Inputs!$E$9-(L$4-1)*1))</f>
        <v>0</v>
      </c>
      <c r="M8" s="103" t="n">
        <f aca="false">MAX(0,MIN(1,Inputs!$E$9-(M$4-1)*1))</f>
        <v>0</v>
      </c>
      <c r="N8" s="103" t="n">
        <f aca="false">MAX(0,MIN(1,Inputs!$E$9-(N$4-1)*1))</f>
        <v>0</v>
      </c>
      <c r="O8" s="103" t="n">
        <f aca="false">MAX(0,MIN(1,Inputs!$E$9-(O$4-1)*1))</f>
        <v>0</v>
      </c>
      <c r="P8" s="103" t="n">
        <f aca="false">MAX(0,MIN(1,Inputs!$E$9-(P$4-1)*1))</f>
        <v>0</v>
      </c>
      <c r="Q8" s="103" t="n">
        <f aca="false">MAX(0,MIN(1,Inputs!$E$9-(Q$4-1)*1))</f>
        <v>0</v>
      </c>
      <c r="R8" s="103" t="n">
        <f aca="false">MAX(0,MIN(1,Inputs!$E$9-(R$4-1)*1))</f>
        <v>0</v>
      </c>
      <c r="S8" s="103" t="n">
        <f aca="false">MAX(0,MIN(1,Inputs!$E$9-(S$4-1)*1))</f>
        <v>0</v>
      </c>
      <c r="T8" s="103" t="n">
        <f aca="false">MAX(0,MIN(1,Inputs!$E$9-(T$4-1)*1))</f>
        <v>0</v>
      </c>
      <c r="U8" s="103" t="n">
        <f aca="false">MAX(0,MIN(1,Inputs!$E$9-(U$4-1)*1))</f>
        <v>0</v>
      </c>
      <c r="V8" s="103" t="n">
        <f aca="false">MAX(0,MIN(1,Inputs!$E$9-(V$4-1)*1))</f>
        <v>0</v>
      </c>
      <c r="W8" s="103" t="n">
        <f aca="false">MAX(0,MIN(1,Inputs!$E$9-(W$4-1)*1))</f>
        <v>0</v>
      </c>
      <c r="X8" s="103" t="n">
        <f aca="false">MAX(0,MIN(1,Inputs!$E$9-(X$4-1)*1))</f>
        <v>0</v>
      </c>
      <c r="Y8" s="103" t="n">
        <f aca="false">MAX(0,MIN(1,Inputs!$E$9-(Y$4-1)*1))</f>
        <v>0</v>
      </c>
      <c r="Z8" s="103" t="n">
        <f aca="false">MAX(0,MIN(1,Inputs!$E$9-(Z$4-1)*1))</f>
        <v>0</v>
      </c>
      <c r="AA8" s="103" t="n">
        <f aca="false">MAX(0,MIN(1,Inputs!$E$9-(AA$4-1)*1))</f>
        <v>0</v>
      </c>
      <c r="AB8" s="103" t="n">
        <f aca="false">MAX(0,MIN(1,Inputs!$E$9-(AB$4-1)*1))</f>
        <v>0</v>
      </c>
      <c r="AC8" s="103" t="n">
        <f aca="false">MAX(0,MIN(1,Inputs!$E$9-(AC$4-1)*1))</f>
        <v>0</v>
      </c>
      <c r="AD8" s="103" t="n">
        <f aca="false">MAX(0,MIN(1,Inputs!$E$9-(AD$4-1)*1))</f>
        <v>0</v>
      </c>
      <c r="AE8" s="103" t="n">
        <f aca="false">MAX(0,MIN(1,Inputs!$E$9-(AE$4-1)*1))</f>
        <v>0</v>
      </c>
      <c r="AF8" s="103" t="n">
        <f aca="false">MAX(0,MIN(1,Inputs!$E$9-(AF$4-1)*1))</f>
        <v>0</v>
      </c>
      <c r="AG8" s="103" t="n">
        <f aca="false">MAX(0,MIN(1,Inputs!$E$9-(AG$4-1)*1))</f>
        <v>0</v>
      </c>
      <c r="AH8" s="103" t="n">
        <f aca="false">MAX(0,MIN(1,Inputs!$E$9-(AH$4-1)*1))</f>
        <v>0</v>
      </c>
      <c r="AI8" s="103" t="n">
        <f aca="false">MAX(0,MIN(1,Inputs!$E$9-(AI$4-1)*1))</f>
        <v>0</v>
      </c>
      <c r="AJ8" s="103" t="n">
        <f aca="false">MAX(0,MIN(1,Inputs!$E$9-(AJ$4-1)*1))</f>
        <v>0</v>
      </c>
      <c r="AK8" s="103" t="n">
        <f aca="false">MAX(0,MIN(1,Inputs!$E$9-(AK$4-1)*1))</f>
        <v>0</v>
      </c>
      <c r="AL8" s="103" t="n">
        <f aca="false">MAX(0,MIN(1,Inputs!$E$9-(AL$4-1)*1))</f>
        <v>0</v>
      </c>
    </row>
    <row r="9" customFormat="false" ht="15" hidden="false" customHeight="false" outlineLevel="0" collapsed="false">
      <c r="A9" s="39" t="s">
        <v>363</v>
      </c>
      <c r="C9" s="61" t="n">
        <f aca="false">IF(Inputs!$E$9&lt;=0,1,(C8*Inputs!$E$10+(1-Inputs!$E$10)/Inputs!$E$9*(C8*(C$4-1)*1+C8*(C8-1)/2)+1-C8)/1)</f>
        <v>0.45</v>
      </c>
      <c r="D9" s="61" t="n">
        <f aca="false">IF(Inputs!$E$9&lt;=0,1,(D8*Inputs!$E$10+(1-Inputs!$E$10)/Inputs!$E$9*(D8*(D$4-1)*1+D8*(D8-1)/2)+1-D8)/1)</f>
        <v>0.511111111111111</v>
      </c>
      <c r="E9" s="61" t="n">
        <f aca="false">IF(Inputs!$E$9&lt;=0,1,(E8*Inputs!$E$10+(1-Inputs!$E$10)/Inputs!$E$9*(E8*(E$4-1)*1+E8*(E8-1)/2)+1-E8)/1)</f>
        <v>0.572222222222222</v>
      </c>
      <c r="F9" s="61" t="n">
        <f aca="false">IF(Inputs!$E$9&lt;=0,1,(F8*Inputs!$E$10+(1-Inputs!$E$10)/Inputs!$E$9*(F8*(F$4-1)*1+F8*(F8-1)/2)+1-F8)/1)</f>
        <v>0.633333333333333</v>
      </c>
      <c r="G9" s="61" t="n">
        <f aca="false">IF(Inputs!$E$9&lt;=0,1,(G8*Inputs!$E$10+(1-Inputs!$E$10)/Inputs!$E$9*(G8*(G$4-1)*1+G8*(G8-1)/2)+1-G8)/1)</f>
        <v>0.694444444444444</v>
      </c>
      <c r="H9" s="61" t="n">
        <f aca="false">IF(Inputs!$E$9&lt;=0,1,(H8*Inputs!$E$10+(1-Inputs!$E$10)/Inputs!$E$9*(H8*(H$4-1)*1+H8*(H8-1)/2)+1-H8)/1)</f>
        <v>0.755555555555556</v>
      </c>
      <c r="I9" s="61" t="n">
        <f aca="false">IF(Inputs!$E$9&lt;=0,1,(I8*Inputs!$E$10+(1-Inputs!$E$10)/Inputs!$E$9*(I8*(I$4-1)*1+I8*(I8-1)/2)+1-I8)/1)</f>
        <v>0.816666666666667</v>
      </c>
      <c r="J9" s="61" t="n">
        <f aca="false">IF(Inputs!$E$9&lt;=0,1,(J8*Inputs!$E$10+(1-Inputs!$E$10)/Inputs!$E$9*(J8*(J$4-1)*1+J8*(J8-1)/2)+1-J8)/1)</f>
        <v>0.877777777777778</v>
      </c>
      <c r="K9" s="61" t="n">
        <f aca="false">IF(Inputs!$E$9&lt;=0,1,(K8*Inputs!$E$10+(1-Inputs!$E$10)/Inputs!$E$9*(K8*(K$4-1)*1+K8*(K8-1)/2)+1-K8)/1)</f>
        <v>0.938888888888889</v>
      </c>
      <c r="L9" s="61" t="n">
        <f aca="false">IF(Inputs!$E$9&lt;=0,1,(L8*Inputs!$E$10+(1-Inputs!$E$10)/Inputs!$E$9*(L8*(L$4-1)*1+L8*(L8-1)/2)+1-L8)/1)</f>
        <v>1</v>
      </c>
      <c r="M9" s="61" t="n">
        <f aca="false">IF(Inputs!$E$9&lt;=0,1,(M8*Inputs!$E$10+(1-Inputs!$E$10)/Inputs!$E$9*(M8*(M$4-1)*1+M8*(M8-1)/2)+1-M8)/1)</f>
        <v>1</v>
      </c>
      <c r="N9" s="61" t="n">
        <f aca="false">IF(Inputs!$E$9&lt;=0,1,(N8*Inputs!$E$10+(1-Inputs!$E$10)/Inputs!$E$9*(N8*(N$4-1)*1+N8*(N8-1)/2)+1-N8)/1)</f>
        <v>1</v>
      </c>
      <c r="O9" s="61" t="n">
        <f aca="false">IF(Inputs!$E$9&lt;=0,1,(O8*Inputs!$E$10+(1-Inputs!$E$10)/Inputs!$E$9*(O8*(O$4-1)*1+O8*(O8-1)/2)+1-O8)/1)</f>
        <v>1</v>
      </c>
      <c r="P9" s="61" t="n">
        <f aca="false">IF(Inputs!$E$9&lt;=0,1,(P8*Inputs!$E$10+(1-Inputs!$E$10)/Inputs!$E$9*(P8*(P$4-1)*1+P8*(P8-1)/2)+1-P8)/1)</f>
        <v>1</v>
      </c>
      <c r="Q9" s="61" t="n">
        <f aca="false">IF(Inputs!$E$9&lt;=0,1,(Q8*Inputs!$E$10+(1-Inputs!$E$10)/Inputs!$E$9*(Q8*(Q$4-1)*1+Q8*(Q8-1)/2)+1-Q8)/1)</f>
        <v>1</v>
      </c>
      <c r="R9" s="61" t="n">
        <f aca="false">IF(Inputs!$E$9&lt;=0,1,(R8*Inputs!$E$10+(1-Inputs!$E$10)/Inputs!$E$9*(R8*(R$4-1)*1+R8*(R8-1)/2)+1-R8)/1)</f>
        <v>1</v>
      </c>
      <c r="S9" s="61" t="n">
        <f aca="false">IF(Inputs!$E$9&lt;=0,1,(S8*Inputs!$E$10+(1-Inputs!$E$10)/Inputs!$E$9*(S8*(S$4-1)*1+S8*(S8-1)/2)+1-S8)/1)</f>
        <v>1</v>
      </c>
      <c r="T9" s="61" t="n">
        <f aca="false">IF(Inputs!$E$9&lt;=0,1,(T8*Inputs!$E$10+(1-Inputs!$E$10)/Inputs!$E$9*(T8*(T$4-1)*1+T8*(T8-1)/2)+1-T8)/1)</f>
        <v>1</v>
      </c>
      <c r="U9" s="61" t="n">
        <f aca="false">IF(Inputs!$E$9&lt;=0,1,(U8*Inputs!$E$10+(1-Inputs!$E$10)/Inputs!$E$9*(U8*(U$4-1)*1+U8*(U8-1)/2)+1-U8)/1)</f>
        <v>1</v>
      </c>
      <c r="V9" s="61" t="n">
        <f aca="false">IF(Inputs!$E$9&lt;=0,1,(V8*Inputs!$E$10+(1-Inputs!$E$10)/Inputs!$E$9*(V8*(V$4-1)*1+V8*(V8-1)/2)+1-V8)/1)</f>
        <v>1</v>
      </c>
      <c r="W9" s="61" t="n">
        <f aca="false">IF(Inputs!$E$9&lt;=0,1,(W8*Inputs!$E$10+(1-Inputs!$E$10)/Inputs!$E$9*(W8*(W$4-1)*1+W8*(W8-1)/2)+1-W8)/1)</f>
        <v>1</v>
      </c>
      <c r="X9" s="61" t="n">
        <f aca="false">IF(Inputs!$E$9&lt;=0,1,(X8*Inputs!$E$10+(1-Inputs!$E$10)/Inputs!$E$9*(X8*(X$4-1)*1+X8*(X8-1)/2)+1-X8)/1)</f>
        <v>1</v>
      </c>
      <c r="Y9" s="61" t="n">
        <f aca="false">IF(Inputs!$E$9&lt;=0,1,(Y8*Inputs!$E$10+(1-Inputs!$E$10)/Inputs!$E$9*(Y8*(Y$4-1)*1+Y8*(Y8-1)/2)+1-Y8)/1)</f>
        <v>1</v>
      </c>
      <c r="Z9" s="61" t="n">
        <f aca="false">IF(Inputs!$E$9&lt;=0,1,(Z8*Inputs!$E$10+(1-Inputs!$E$10)/Inputs!$E$9*(Z8*(Z$4-1)*1+Z8*(Z8-1)/2)+1-Z8)/1)</f>
        <v>1</v>
      </c>
      <c r="AA9" s="61" t="n">
        <f aca="false">IF(Inputs!$E$9&lt;=0,1,(AA8*Inputs!$E$10+(1-Inputs!$E$10)/Inputs!$E$9*(AA8*(AA$4-1)*1+AA8*(AA8-1)/2)+1-AA8)/1)</f>
        <v>1</v>
      </c>
      <c r="AB9" s="61" t="n">
        <f aca="false">IF(Inputs!$E$9&lt;=0,1,(AB8*Inputs!$E$10+(1-Inputs!$E$10)/Inputs!$E$9*(AB8*(AB$4-1)*1+AB8*(AB8-1)/2)+1-AB8)/1)</f>
        <v>1</v>
      </c>
      <c r="AC9" s="61" t="n">
        <f aca="false">IF(Inputs!$E$9&lt;=0,1,(AC8*Inputs!$E$10+(1-Inputs!$E$10)/Inputs!$E$9*(AC8*(AC$4-1)*1+AC8*(AC8-1)/2)+1-AC8)/1)</f>
        <v>1</v>
      </c>
      <c r="AD9" s="61" t="n">
        <f aca="false">IF(Inputs!$E$9&lt;=0,1,(AD8*Inputs!$E$10+(1-Inputs!$E$10)/Inputs!$E$9*(AD8*(AD$4-1)*1+AD8*(AD8-1)/2)+1-AD8)/1)</f>
        <v>1</v>
      </c>
      <c r="AE9" s="61" t="n">
        <f aca="false">IF(Inputs!$E$9&lt;=0,1,(AE8*Inputs!$E$10+(1-Inputs!$E$10)/Inputs!$E$9*(AE8*(AE$4-1)*1+AE8*(AE8-1)/2)+1-AE8)/1)</f>
        <v>1</v>
      </c>
      <c r="AF9" s="61" t="n">
        <f aca="false">IF(Inputs!$E$9&lt;=0,1,(AF8*Inputs!$E$10+(1-Inputs!$E$10)/Inputs!$E$9*(AF8*(AF$4-1)*1+AF8*(AF8-1)/2)+1-AF8)/1)</f>
        <v>1</v>
      </c>
      <c r="AG9" s="61" t="n">
        <f aca="false">IF(Inputs!$E$9&lt;=0,1,(AG8*Inputs!$E$10+(1-Inputs!$E$10)/Inputs!$E$9*(AG8*(AG$4-1)*1+AG8*(AG8-1)/2)+1-AG8)/1)</f>
        <v>1</v>
      </c>
      <c r="AH9" s="61" t="n">
        <f aca="false">IF(Inputs!$E$9&lt;=0,1,(AH8*Inputs!$E$10+(1-Inputs!$E$10)/Inputs!$E$9*(AH8*(AH$4-1)*1+AH8*(AH8-1)/2)+1-AH8)/1)</f>
        <v>1</v>
      </c>
      <c r="AI9" s="61" t="n">
        <f aca="false">IF(Inputs!$E$9&lt;=0,1,(AI8*Inputs!$E$10+(1-Inputs!$E$10)/Inputs!$E$9*(AI8*(AI$4-1)*1+AI8*(AI8-1)/2)+1-AI8)/1)</f>
        <v>1</v>
      </c>
      <c r="AJ9" s="61" t="n">
        <f aca="false">IF(Inputs!$E$9&lt;=0,1,(AJ8*Inputs!$E$10+(1-Inputs!$E$10)/Inputs!$E$9*(AJ8*(AJ$4-1)*1+AJ8*(AJ8-1)/2)+1-AJ8)/1)</f>
        <v>1</v>
      </c>
      <c r="AK9" s="61" t="n">
        <f aca="false">IF(Inputs!$E$9&lt;=0,1,(AK8*Inputs!$E$10+(1-Inputs!$E$10)/Inputs!$E$9*(AK8*(AK$4-1)*1+AK8*(AK8-1)/2)+1-AK8)/1)</f>
        <v>1</v>
      </c>
      <c r="AL9" s="61" t="n">
        <f aca="false">IF(Inputs!$E$9&lt;=0,1,(AL8*Inputs!$E$10+(1-Inputs!$E$10)/Inputs!$E$9*(AL8*(AL$4-1)*1+AL8*(AL8-1)/2)+1-AL8)/1)</f>
        <v>1</v>
      </c>
    </row>
    <row r="10" customFormat="false" ht="15" hidden="false" customHeight="false" outlineLevel="0" collapsed="false">
      <c r="A10" s="6" t="s">
        <v>364</v>
      </c>
      <c r="C10" s="64" t="n">
        <f aca="false">IF(OR(MOD(C$4-1,12)&gt;=11,MOD(C$4-1,12)&lt;=1),1-Inputs!$E$11,1+Inputs!$E$11/3)</f>
        <v>0.85</v>
      </c>
      <c r="D10" s="64" t="n">
        <f aca="false">IF(OR(MOD(D$4-1,12)&gt;=11,MOD(D$4-1,12)&lt;=1),1-Inputs!$E$11,1+Inputs!$E$11/3)</f>
        <v>0.85</v>
      </c>
      <c r="E10" s="64" t="n">
        <f aca="false">IF(OR(MOD(E$4-1,12)&gt;=11,MOD(E$4-1,12)&lt;=1),1-Inputs!$E$11,1+Inputs!$E$11/3)</f>
        <v>1.05</v>
      </c>
      <c r="F10" s="64" t="n">
        <f aca="false">IF(OR(MOD(F$4-1,12)&gt;=11,MOD(F$4-1,12)&lt;=1),1-Inputs!$E$11,1+Inputs!$E$11/3)</f>
        <v>1.05</v>
      </c>
      <c r="G10" s="64" t="n">
        <f aca="false">IF(OR(MOD(G$4-1,12)&gt;=11,MOD(G$4-1,12)&lt;=1),1-Inputs!$E$11,1+Inputs!$E$11/3)</f>
        <v>1.05</v>
      </c>
      <c r="H10" s="64" t="n">
        <f aca="false">IF(OR(MOD(H$4-1,12)&gt;=11,MOD(H$4-1,12)&lt;=1),1-Inputs!$E$11,1+Inputs!$E$11/3)</f>
        <v>1.05</v>
      </c>
      <c r="I10" s="64" t="n">
        <f aca="false">IF(OR(MOD(I$4-1,12)&gt;=11,MOD(I$4-1,12)&lt;=1),1-Inputs!$E$11,1+Inputs!$E$11/3)</f>
        <v>1.05</v>
      </c>
      <c r="J10" s="64" t="n">
        <f aca="false">IF(OR(MOD(J$4-1,12)&gt;=11,MOD(J$4-1,12)&lt;=1),1-Inputs!$E$11,1+Inputs!$E$11/3)</f>
        <v>1.05</v>
      </c>
      <c r="K10" s="64" t="n">
        <f aca="false">IF(OR(MOD(K$4-1,12)&gt;=11,MOD(K$4-1,12)&lt;=1),1-Inputs!$E$11,1+Inputs!$E$11/3)</f>
        <v>1.05</v>
      </c>
      <c r="L10" s="64" t="n">
        <f aca="false">IF(OR(MOD(L$4-1,12)&gt;=11,MOD(L$4-1,12)&lt;=1),1-Inputs!$E$11,1+Inputs!$E$11/3)</f>
        <v>1.05</v>
      </c>
      <c r="M10" s="64" t="n">
        <f aca="false">IF(OR(MOD(M$4-1,12)&gt;=11,MOD(M$4-1,12)&lt;=1),1-Inputs!$E$11,1+Inputs!$E$11/3)</f>
        <v>1.05</v>
      </c>
      <c r="N10" s="64" t="n">
        <f aca="false">IF(OR(MOD(N$4-1,12)&gt;=11,MOD(N$4-1,12)&lt;=1),1-Inputs!$E$11,1+Inputs!$E$11/3)</f>
        <v>0.85</v>
      </c>
      <c r="O10" s="64" t="n">
        <f aca="false">IF(OR(MOD(O$4-1,12)&gt;=11,MOD(O$4-1,12)&lt;=1),1-Inputs!$E$11,1+Inputs!$E$11/3)</f>
        <v>0.85</v>
      </c>
      <c r="P10" s="64" t="n">
        <f aca="false">IF(OR(MOD(P$4-1,12)&gt;=11,MOD(P$4-1,12)&lt;=1),1-Inputs!$E$11,1+Inputs!$E$11/3)</f>
        <v>0.85</v>
      </c>
      <c r="Q10" s="64" t="n">
        <f aca="false">IF(OR(MOD(Q$4-1,12)&gt;=11,MOD(Q$4-1,12)&lt;=1),1-Inputs!$E$11,1+Inputs!$E$11/3)</f>
        <v>1.05</v>
      </c>
      <c r="R10" s="64" t="n">
        <f aca="false">IF(OR(MOD(R$4-1,12)&gt;=11,MOD(R$4-1,12)&lt;=1),1-Inputs!$E$11,1+Inputs!$E$11/3)</f>
        <v>1.05</v>
      </c>
      <c r="S10" s="64" t="n">
        <f aca="false">IF(OR(MOD(S$4-1,12)&gt;=11,MOD(S$4-1,12)&lt;=1),1-Inputs!$E$11,1+Inputs!$E$11/3)</f>
        <v>1.05</v>
      </c>
      <c r="T10" s="64" t="n">
        <f aca="false">IF(OR(MOD(T$4-1,12)&gt;=11,MOD(T$4-1,12)&lt;=1),1-Inputs!$E$11,1+Inputs!$E$11/3)</f>
        <v>1.05</v>
      </c>
      <c r="U10" s="64" t="n">
        <f aca="false">IF(OR(MOD(U$4-1,12)&gt;=11,MOD(U$4-1,12)&lt;=1),1-Inputs!$E$11,1+Inputs!$E$11/3)</f>
        <v>1.05</v>
      </c>
      <c r="V10" s="64" t="n">
        <f aca="false">IF(OR(MOD(V$4-1,12)&gt;=11,MOD(V$4-1,12)&lt;=1),1-Inputs!$E$11,1+Inputs!$E$11/3)</f>
        <v>1.05</v>
      </c>
      <c r="W10" s="64" t="n">
        <f aca="false">IF(OR(MOD(W$4-1,12)&gt;=11,MOD(W$4-1,12)&lt;=1),1-Inputs!$E$11,1+Inputs!$E$11/3)</f>
        <v>1.05</v>
      </c>
      <c r="X10" s="64" t="n">
        <f aca="false">IF(OR(MOD(X$4-1,12)&gt;=11,MOD(X$4-1,12)&lt;=1),1-Inputs!$E$11,1+Inputs!$E$11/3)</f>
        <v>1.05</v>
      </c>
      <c r="Y10" s="64" t="n">
        <f aca="false">IF(OR(MOD(Y$4-1,12)&gt;=11,MOD(Y$4-1,12)&lt;=1),1-Inputs!$E$11,1+Inputs!$E$11/3)</f>
        <v>1.05</v>
      </c>
      <c r="Z10" s="64" t="n">
        <f aca="false">IF(OR(MOD(Z$4-1,12)&gt;=11,MOD(Z$4-1,12)&lt;=1),1-Inputs!$E$11,1+Inputs!$E$11/3)</f>
        <v>0.85</v>
      </c>
      <c r="AA10" s="64" t="n">
        <f aca="false">IF(OR(MOD(AA$4-1,12)&gt;=11,MOD(AA$4-1,12)&lt;=1),1-Inputs!$E$11,1+Inputs!$E$11/3)</f>
        <v>0.85</v>
      </c>
      <c r="AB10" s="64" t="n">
        <f aca="false">IF(OR(MOD(AB$4-1,12)&gt;=11,MOD(AB$4-1,12)&lt;=1),1-Inputs!$E$11,1+Inputs!$E$11/3)</f>
        <v>0.85</v>
      </c>
      <c r="AC10" s="64" t="n">
        <f aca="false">IF(OR(MOD(AC$4-1,12)&gt;=11,MOD(AC$4-1,12)&lt;=1),1-Inputs!$E$11,1+Inputs!$E$11/3)</f>
        <v>1.05</v>
      </c>
      <c r="AD10" s="64" t="n">
        <f aca="false">IF(OR(MOD(AD$4-1,12)&gt;=11,MOD(AD$4-1,12)&lt;=1),1-Inputs!$E$11,1+Inputs!$E$11/3)</f>
        <v>1.05</v>
      </c>
      <c r="AE10" s="64" t="n">
        <f aca="false">IF(OR(MOD(AE$4-1,12)&gt;=11,MOD(AE$4-1,12)&lt;=1),1-Inputs!$E$11,1+Inputs!$E$11/3)</f>
        <v>1.05</v>
      </c>
      <c r="AF10" s="64" t="n">
        <f aca="false">IF(OR(MOD(AF$4-1,12)&gt;=11,MOD(AF$4-1,12)&lt;=1),1-Inputs!$E$11,1+Inputs!$E$11/3)</f>
        <v>1.05</v>
      </c>
      <c r="AG10" s="64" t="n">
        <f aca="false">IF(OR(MOD(AG$4-1,12)&gt;=11,MOD(AG$4-1,12)&lt;=1),1-Inputs!$E$11,1+Inputs!$E$11/3)</f>
        <v>1.05</v>
      </c>
      <c r="AH10" s="64" t="n">
        <f aca="false">IF(OR(MOD(AH$4-1,12)&gt;=11,MOD(AH$4-1,12)&lt;=1),1-Inputs!$E$11,1+Inputs!$E$11/3)</f>
        <v>1.05</v>
      </c>
      <c r="AI10" s="64" t="n">
        <f aca="false">IF(OR(MOD(AI$4-1,12)&gt;=11,MOD(AI$4-1,12)&lt;=1),1-Inputs!$E$11,1+Inputs!$E$11/3)</f>
        <v>1.05</v>
      </c>
      <c r="AJ10" s="64" t="n">
        <f aca="false">IF(OR(MOD(AJ$4-1,12)&gt;=11,MOD(AJ$4-1,12)&lt;=1),1-Inputs!$E$11,1+Inputs!$E$11/3)</f>
        <v>1.05</v>
      </c>
      <c r="AK10" s="64" t="n">
        <f aca="false">IF(OR(MOD(AK$4-1,12)&gt;=11,MOD(AK$4-1,12)&lt;=1),1-Inputs!$E$11,1+Inputs!$E$11/3)</f>
        <v>1.05</v>
      </c>
      <c r="AL10" s="64" t="n">
        <f aca="false">IF(OR(MOD(AL$4-1,12)&gt;=11,MOD(AL$4-1,12)&lt;=1),1-Inputs!$E$11,1+Inputs!$E$11/3)</f>
        <v>0.85</v>
      </c>
    </row>
    <row r="11" customFormat="false" ht="15" hidden="false" customHeight="false" outlineLevel="0" collapsed="false">
      <c r="A11" s="6" t="s">
        <v>365</v>
      </c>
      <c r="C11" s="104" t="n">
        <f aca="false">Inputs!$E$7*Inputs!$E$8*1*C9*C10</f>
        <v>2662.2</v>
      </c>
      <c r="D11" s="104" t="n">
        <f aca="false">Inputs!$E$7*Inputs!$E$8*1*D9*D10</f>
        <v>3023.73333333333</v>
      </c>
      <c r="E11" s="104" t="n">
        <f aca="false">Inputs!$E$7*Inputs!$E$8*1*E9*E10</f>
        <v>4181.8</v>
      </c>
      <c r="F11" s="104" t="n">
        <f aca="false">Inputs!$E$7*Inputs!$E$8*1*F9*F10</f>
        <v>4628.4</v>
      </c>
      <c r="G11" s="104" t="n">
        <f aca="false">Inputs!$E$7*Inputs!$E$8*1*G9*G10</f>
        <v>5075</v>
      </c>
      <c r="H11" s="104" t="n">
        <f aca="false">Inputs!$E$7*Inputs!$E$8*1*H9*H10</f>
        <v>5521.6</v>
      </c>
      <c r="I11" s="104" t="n">
        <f aca="false">Inputs!$E$7*Inputs!$E$8*1*I9*I10</f>
        <v>5968.2</v>
      </c>
      <c r="J11" s="104" t="n">
        <f aca="false">Inputs!$E$7*Inputs!$E$8*1*J9*J10</f>
        <v>6414.8</v>
      </c>
      <c r="K11" s="104" t="n">
        <f aca="false">Inputs!$E$7*Inputs!$E$8*1*K9*K10</f>
        <v>6861.4</v>
      </c>
      <c r="L11" s="104" t="n">
        <f aca="false">Inputs!$E$7*Inputs!$E$8*1*L9*L10</f>
        <v>7308</v>
      </c>
      <c r="M11" s="104" t="n">
        <f aca="false">Inputs!$E$7*Inputs!$E$8*1*M9*M10</f>
        <v>7308</v>
      </c>
      <c r="N11" s="104" t="n">
        <f aca="false">Inputs!$E$7*Inputs!$E$8*1*N9*N10</f>
        <v>5916</v>
      </c>
      <c r="O11" s="104" t="n">
        <f aca="false">Inputs!$E$7*Inputs!$E$8*1*O9*O10</f>
        <v>5916</v>
      </c>
      <c r="P11" s="104" t="n">
        <f aca="false">Inputs!$E$7*Inputs!$E$8*1*P9*P10</f>
        <v>5916</v>
      </c>
      <c r="Q11" s="104" t="n">
        <f aca="false">Inputs!$E$7*Inputs!$E$8*1*Q9*Q10</f>
        <v>7308</v>
      </c>
      <c r="R11" s="104" t="n">
        <f aca="false">Inputs!$E$7*Inputs!$E$8*1*R9*R10</f>
        <v>7308</v>
      </c>
      <c r="S11" s="104" t="n">
        <f aca="false">Inputs!$E$7*Inputs!$E$8*1*S9*S10</f>
        <v>7308</v>
      </c>
      <c r="T11" s="104" t="n">
        <f aca="false">Inputs!$E$7*Inputs!$E$8*1*T9*T10</f>
        <v>7308</v>
      </c>
      <c r="U11" s="104" t="n">
        <f aca="false">Inputs!$E$7*Inputs!$E$8*1*U9*U10</f>
        <v>7308</v>
      </c>
      <c r="V11" s="104" t="n">
        <f aca="false">Inputs!$E$7*Inputs!$E$8*1*V9*V10</f>
        <v>7308</v>
      </c>
      <c r="W11" s="104" t="n">
        <f aca="false">Inputs!$E$7*Inputs!$E$8*1*W9*W10</f>
        <v>7308</v>
      </c>
      <c r="X11" s="104" t="n">
        <f aca="false">Inputs!$E$7*Inputs!$E$8*1*X9*X10</f>
        <v>7308</v>
      </c>
      <c r="Y11" s="104" t="n">
        <f aca="false">Inputs!$E$7*Inputs!$E$8*1*Y9*Y10</f>
        <v>7308</v>
      </c>
      <c r="Z11" s="104" t="n">
        <f aca="false">Inputs!$E$7*Inputs!$E$8*1*Z9*Z10</f>
        <v>5916</v>
      </c>
      <c r="AA11" s="104" t="n">
        <f aca="false">Inputs!$E$7*Inputs!$E$8*1*AA9*AA10</f>
        <v>5916</v>
      </c>
      <c r="AB11" s="104" t="n">
        <f aca="false">Inputs!$E$7*Inputs!$E$8*1*AB9*AB10</f>
        <v>5916</v>
      </c>
      <c r="AC11" s="104" t="n">
        <f aca="false">Inputs!$E$7*Inputs!$E$8*1*AC9*AC10</f>
        <v>7308</v>
      </c>
      <c r="AD11" s="104" t="n">
        <f aca="false">Inputs!$E$7*Inputs!$E$8*1*AD9*AD10</f>
        <v>7308</v>
      </c>
      <c r="AE11" s="104" t="n">
        <f aca="false">Inputs!$E$7*Inputs!$E$8*1*AE9*AE10</f>
        <v>7308</v>
      </c>
      <c r="AF11" s="104" t="n">
        <f aca="false">Inputs!$E$7*Inputs!$E$8*1*AF9*AF10</f>
        <v>7308</v>
      </c>
      <c r="AG11" s="104" t="n">
        <f aca="false">Inputs!$E$7*Inputs!$E$8*1*AG9*AG10</f>
        <v>7308</v>
      </c>
      <c r="AH11" s="104" t="n">
        <f aca="false">Inputs!$E$7*Inputs!$E$8*1*AH9*AH10</f>
        <v>7308</v>
      </c>
      <c r="AI11" s="104" t="n">
        <f aca="false">Inputs!$E$7*Inputs!$E$8*1*AI9*AI10</f>
        <v>7308</v>
      </c>
      <c r="AJ11" s="104" t="n">
        <f aca="false">Inputs!$E$7*Inputs!$E$8*1*AJ9*AJ10</f>
        <v>7308</v>
      </c>
      <c r="AK11" s="104" t="n">
        <f aca="false">Inputs!$E$7*Inputs!$E$8*1*AK9*AK10</f>
        <v>7308</v>
      </c>
      <c r="AL11" s="104" t="n">
        <f aca="false">Inputs!$E$7*Inputs!$E$8*1*AL9*AL10</f>
        <v>5916</v>
      </c>
    </row>
    <row r="13" customFormat="false" ht="15.75" hidden="false" customHeight="true" outlineLevel="0" collapsed="false">
      <c r="A13" s="7" t="s">
        <v>366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367</v>
      </c>
      <c r="C14" s="103" t="n">
        <f aca="false">C11*Inputs!$E$22</f>
        <v>21.2976</v>
      </c>
      <c r="D14" s="103" t="n">
        <f aca="false">D11*Inputs!$E$22</f>
        <v>24.1898666666667</v>
      </c>
      <c r="E14" s="103" t="n">
        <f aca="false">E11*Inputs!$E$22</f>
        <v>33.4544</v>
      </c>
      <c r="F14" s="103" t="n">
        <f aca="false">F11*Inputs!$E$22</f>
        <v>37.0272</v>
      </c>
      <c r="G14" s="103" t="n">
        <f aca="false">G11*Inputs!$E$22</f>
        <v>40.6</v>
      </c>
      <c r="H14" s="103" t="n">
        <f aca="false">H11*Inputs!$E$22</f>
        <v>44.1728</v>
      </c>
      <c r="I14" s="103" t="n">
        <f aca="false">I11*Inputs!$E$22</f>
        <v>47.7456</v>
      </c>
      <c r="J14" s="103" t="n">
        <f aca="false">J11*Inputs!$E$22</f>
        <v>51.3184</v>
      </c>
      <c r="K14" s="103" t="n">
        <f aca="false">K11*Inputs!$E$22</f>
        <v>54.8912</v>
      </c>
      <c r="L14" s="103" t="n">
        <f aca="false">L11*Inputs!$E$22</f>
        <v>58.464</v>
      </c>
      <c r="M14" s="103" t="n">
        <f aca="false">M11*Inputs!$E$22</f>
        <v>58.464</v>
      </c>
      <c r="N14" s="103" t="n">
        <f aca="false">N11*Inputs!$E$22</f>
        <v>47.328</v>
      </c>
      <c r="O14" s="103" t="n">
        <f aca="false">O11*Inputs!$E$22</f>
        <v>47.328</v>
      </c>
      <c r="P14" s="103" t="n">
        <f aca="false">P11*Inputs!$E$22</f>
        <v>47.328</v>
      </c>
      <c r="Q14" s="103" t="n">
        <f aca="false">Q11*Inputs!$E$22</f>
        <v>58.464</v>
      </c>
      <c r="R14" s="103" t="n">
        <f aca="false">R11*Inputs!$E$22</f>
        <v>58.464</v>
      </c>
      <c r="S14" s="103" t="n">
        <f aca="false">S11*Inputs!$E$22</f>
        <v>58.464</v>
      </c>
      <c r="T14" s="103" t="n">
        <f aca="false">T11*Inputs!$E$22</f>
        <v>58.464</v>
      </c>
      <c r="U14" s="103" t="n">
        <f aca="false">U11*Inputs!$E$22</f>
        <v>58.464</v>
      </c>
      <c r="V14" s="103" t="n">
        <f aca="false">V11*Inputs!$E$22</f>
        <v>58.464</v>
      </c>
      <c r="W14" s="103" t="n">
        <f aca="false">W11*Inputs!$E$22</f>
        <v>58.464</v>
      </c>
      <c r="X14" s="103" t="n">
        <f aca="false">X11*Inputs!$E$22</f>
        <v>58.464</v>
      </c>
      <c r="Y14" s="103" t="n">
        <f aca="false">Y11*Inputs!$E$22</f>
        <v>58.464</v>
      </c>
      <c r="Z14" s="103" t="n">
        <f aca="false">Z11*Inputs!$E$22</f>
        <v>47.328</v>
      </c>
      <c r="AA14" s="103" t="n">
        <f aca="false">AA11*Inputs!$E$22</f>
        <v>47.328</v>
      </c>
      <c r="AB14" s="103" t="n">
        <f aca="false">AB11*Inputs!$E$22</f>
        <v>47.328</v>
      </c>
      <c r="AC14" s="103" t="n">
        <f aca="false">AC11*Inputs!$E$22</f>
        <v>58.464</v>
      </c>
      <c r="AD14" s="103" t="n">
        <f aca="false">AD11*Inputs!$E$22</f>
        <v>58.464</v>
      </c>
      <c r="AE14" s="103" t="n">
        <f aca="false">AE11*Inputs!$E$22</f>
        <v>58.464</v>
      </c>
      <c r="AF14" s="103" t="n">
        <f aca="false">AF11*Inputs!$E$22</f>
        <v>58.464</v>
      </c>
      <c r="AG14" s="103" t="n">
        <f aca="false">AG11*Inputs!$E$22</f>
        <v>58.464</v>
      </c>
      <c r="AH14" s="103" t="n">
        <f aca="false">AH11*Inputs!$E$22</f>
        <v>58.464</v>
      </c>
      <c r="AI14" s="103" t="n">
        <f aca="false">AI11*Inputs!$E$22</f>
        <v>58.464</v>
      </c>
      <c r="AJ14" s="103" t="n">
        <f aca="false">AJ11*Inputs!$E$22</f>
        <v>58.464</v>
      </c>
      <c r="AK14" s="103" t="n">
        <f aca="false">AK11*Inputs!$E$22</f>
        <v>58.464</v>
      </c>
      <c r="AL14" s="103" t="n">
        <f aca="false">AL11*Inputs!$E$22</f>
        <v>47.328</v>
      </c>
    </row>
    <row r="15" customFormat="false" ht="15" hidden="false" customHeight="false" outlineLevel="0" collapsed="false">
      <c r="A15" s="6" t="s">
        <v>368</v>
      </c>
      <c r="C15" s="103" t="n">
        <f aca="false">Inputs!$E$20*(1+Inputs!$E$21)^(C$5-1)*1*C9</f>
        <v>22.5</v>
      </c>
      <c r="D15" s="103" t="n">
        <f aca="false">Inputs!$E$20*(1+Inputs!$E$21)^(D$5-1)*1*D9</f>
        <v>25.5555555555556</v>
      </c>
      <c r="E15" s="103" t="n">
        <f aca="false">Inputs!$E$20*(1+Inputs!$E$21)^(E$5-1)*1*E9</f>
        <v>28.6111111111111</v>
      </c>
      <c r="F15" s="103" t="n">
        <f aca="false">Inputs!$E$20*(1+Inputs!$E$21)^(F$5-1)*1*F9</f>
        <v>31.6666666666667</v>
      </c>
      <c r="G15" s="103" t="n">
        <f aca="false">Inputs!$E$20*(1+Inputs!$E$21)^(G$5-1)*1*G9</f>
        <v>34.7222222222222</v>
      </c>
      <c r="H15" s="103" t="n">
        <f aca="false">Inputs!$E$20*(1+Inputs!$E$21)^(H$5-1)*1*H9</f>
        <v>37.7777777777778</v>
      </c>
      <c r="I15" s="103" t="n">
        <f aca="false">Inputs!$E$20*(1+Inputs!$E$21)^(I$5-1)*1*I9</f>
        <v>40.8333333333333</v>
      </c>
      <c r="J15" s="103" t="n">
        <f aca="false">Inputs!$E$20*(1+Inputs!$E$21)^(J$5-1)*1*J9</f>
        <v>43.8888888888889</v>
      </c>
      <c r="K15" s="103" t="n">
        <f aca="false">Inputs!$E$20*(1+Inputs!$E$21)^(K$5-1)*1*K9</f>
        <v>46.9444444444444</v>
      </c>
      <c r="L15" s="103" t="n">
        <f aca="false">Inputs!$E$20*(1+Inputs!$E$21)^(L$5-1)*1*L9</f>
        <v>50</v>
      </c>
      <c r="M15" s="103" t="n">
        <f aca="false">Inputs!$E$20*(1+Inputs!$E$21)^(M$5-1)*1*M9</f>
        <v>50</v>
      </c>
      <c r="N15" s="103" t="n">
        <f aca="false">Inputs!$E$20*(1+Inputs!$E$21)^(N$5-1)*1*N9</f>
        <v>50</v>
      </c>
      <c r="O15" s="103" t="n">
        <f aca="false">Inputs!$E$20*(1+Inputs!$E$21)^(O$5-1)*1*O9</f>
        <v>52.5</v>
      </c>
      <c r="P15" s="103" t="n">
        <f aca="false">Inputs!$E$20*(1+Inputs!$E$21)^(P$5-1)*1*P9</f>
        <v>52.5</v>
      </c>
      <c r="Q15" s="103" t="n">
        <f aca="false">Inputs!$E$20*(1+Inputs!$E$21)^(Q$5-1)*1*Q9</f>
        <v>52.5</v>
      </c>
      <c r="R15" s="103" t="n">
        <f aca="false">Inputs!$E$20*(1+Inputs!$E$21)^(R$5-1)*1*R9</f>
        <v>52.5</v>
      </c>
      <c r="S15" s="103" t="n">
        <f aca="false">Inputs!$E$20*(1+Inputs!$E$21)^(S$5-1)*1*S9</f>
        <v>52.5</v>
      </c>
      <c r="T15" s="103" t="n">
        <f aca="false">Inputs!$E$20*(1+Inputs!$E$21)^(T$5-1)*1*T9</f>
        <v>52.5</v>
      </c>
      <c r="U15" s="103" t="n">
        <f aca="false">Inputs!$E$20*(1+Inputs!$E$21)^(U$5-1)*1*U9</f>
        <v>52.5</v>
      </c>
      <c r="V15" s="103" t="n">
        <f aca="false">Inputs!$E$20*(1+Inputs!$E$21)^(V$5-1)*1*V9</f>
        <v>52.5</v>
      </c>
      <c r="W15" s="103" t="n">
        <f aca="false">Inputs!$E$20*(1+Inputs!$E$21)^(W$5-1)*1*W9</f>
        <v>52.5</v>
      </c>
      <c r="X15" s="103" t="n">
        <f aca="false">Inputs!$E$20*(1+Inputs!$E$21)^(X$5-1)*1*X9</f>
        <v>52.5</v>
      </c>
      <c r="Y15" s="103" t="n">
        <f aca="false">Inputs!$E$20*(1+Inputs!$E$21)^(Y$5-1)*1*Y9</f>
        <v>52.5</v>
      </c>
      <c r="Z15" s="103" t="n">
        <f aca="false">Inputs!$E$20*(1+Inputs!$E$21)^(Z$5-1)*1*Z9</f>
        <v>52.5</v>
      </c>
      <c r="AA15" s="103" t="n">
        <f aca="false">Inputs!$E$20*(1+Inputs!$E$21)^(AA$5-1)*1*AA9</f>
        <v>55.125</v>
      </c>
      <c r="AB15" s="103" t="n">
        <f aca="false">Inputs!$E$20*(1+Inputs!$E$21)^(AB$5-1)*1*AB9</f>
        <v>55.125</v>
      </c>
      <c r="AC15" s="103" t="n">
        <f aca="false">Inputs!$E$20*(1+Inputs!$E$21)^(AC$5-1)*1*AC9</f>
        <v>55.125</v>
      </c>
      <c r="AD15" s="103" t="n">
        <f aca="false">Inputs!$E$20*(1+Inputs!$E$21)^(AD$5-1)*1*AD9</f>
        <v>55.125</v>
      </c>
      <c r="AE15" s="103" t="n">
        <f aca="false">Inputs!$E$20*(1+Inputs!$E$21)^(AE$5-1)*1*AE9</f>
        <v>55.125</v>
      </c>
      <c r="AF15" s="103" t="n">
        <f aca="false">Inputs!$E$20*(1+Inputs!$E$21)^(AF$5-1)*1*AF9</f>
        <v>55.125</v>
      </c>
      <c r="AG15" s="103" t="n">
        <f aca="false">Inputs!$E$20*(1+Inputs!$E$21)^(AG$5-1)*1*AG9</f>
        <v>55.125</v>
      </c>
      <c r="AH15" s="103" t="n">
        <f aca="false">Inputs!$E$20*(1+Inputs!$E$21)^(AH$5-1)*1*AH9</f>
        <v>55.125</v>
      </c>
      <c r="AI15" s="103" t="n">
        <f aca="false">Inputs!$E$20*(1+Inputs!$E$21)^(AI$5-1)*1*AI9</f>
        <v>55.125</v>
      </c>
      <c r="AJ15" s="103" t="n">
        <f aca="false">Inputs!$E$20*(1+Inputs!$E$21)^(AJ$5-1)*1*AJ9</f>
        <v>55.125</v>
      </c>
      <c r="AK15" s="103" t="n">
        <f aca="false">Inputs!$E$20*(1+Inputs!$E$21)^(AK$5-1)*1*AK9</f>
        <v>55.125</v>
      </c>
      <c r="AL15" s="103" t="n">
        <f aca="false">Inputs!$E$20*(1+Inputs!$E$21)^(AL$5-1)*1*AL9</f>
        <v>55.125</v>
      </c>
    </row>
    <row r="16" customFormat="false" ht="15" hidden="false" customHeight="false" outlineLevel="0" collapsed="false">
      <c r="A16" s="4" t="s">
        <v>369</v>
      </c>
      <c r="C16" s="105" t="n">
        <f aca="false">C14+C15</f>
        <v>43.7976</v>
      </c>
      <c r="D16" s="105" t="n">
        <f aca="false">D14+D15</f>
        <v>49.7454222222222</v>
      </c>
      <c r="E16" s="105" t="n">
        <f aca="false">E14+E15</f>
        <v>62.0655111111111</v>
      </c>
      <c r="F16" s="105" t="n">
        <f aca="false">F14+F15</f>
        <v>68.6938666666667</v>
      </c>
      <c r="G16" s="105" t="n">
        <f aca="false">G14+G15</f>
        <v>75.3222222222222</v>
      </c>
      <c r="H16" s="105" t="n">
        <f aca="false">H14+H15</f>
        <v>81.9505777777778</v>
      </c>
      <c r="I16" s="105" t="n">
        <f aca="false">I14+I15</f>
        <v>88.5789333333333</v>
      </c>
      <c r="J16" s="105" t="n">
        <f aca="false">J14+J15</f>
        <v>95.2072888888889</v>
      </c>
      <c r="K16" s="105" t="n">
        <f aca="false">K14+K15</f>
        <v>101.835644444444</v>
      </c>
      <c r="L16" s="105" t="n">
        <f aca="false">L14+L15</f>
        <v>108.464</v>
      </c>
      <c r="M16" s="105" t="n">
        <f aca="false">M14+M15</f>
        <v>108.464</v>
      </c>
      <c r="N16" s="105" t="n">
        <f aca="false">N14+N15</f>
        <v>97.328</v>
      </c>
      <c r="O16" s="105" t="n">
        <f aca="false">O14+O15</f>
        <v>99.828</v>
      </c>
      <c r="P16" s="105" t="n">
        <f aca="false">P14+P15</f>
        <v>99.828</v>
      </c>
      <c r="Q16" s="105" t="n">
        <f aca="false">Q14+Q15</f>
        <v>110.964</v>
      </c>
      <c r="R16" s="105" t="n">
        <f aca="false">R14+R15</f>
        <v>110.964</v>
      </c>
      <c r="S16" s="105" t="n">
        <f aca="false">S14+S15</f>
        <v>110.964</v>
      </c>
      <c r="T16" s="105" t="n">
        <f aca="false">T14+T15</f>
        <v>110.964</v>
      </c>
      <c r="U16" s="105" t="n">
        <f aca="false">U14+U15</f>
        <v>110.964</v>
      </c>
      <c r="V16" s="105" t="n">
        <f aca="false">V14+V15</f>
        <v>110.964</v>
      </c>
      <c r="W16" s="105" t="n">
        <f aca="false">W14+W15</f>
        <v>110.964</v>
      </c>
      <c r="X16" s="105" t="n">
        <f aca="false">X14+X15</f>
        <v>110.964</v>
      </c>
      <c r="Y16" s="105" t="n">
        <f aca="false">Y14+Y15</f>
        <v>110.964</v>
      </c>
      <c r="Z16" s="105" t="n">
        <f aca="false">Z14+Z15</f>
        <v>99.828</v>
      </c>
      <c r="AA16" s="105" t="n">
        <f aca="false">AA14+AA15</f>
        <v>102.453</v>
      </c>
      <c r="AB16" s="105" t="n">
        <f aca="false">AB14+AB15</f>
        <v>102.453</v>
      </c>
      <c r="AC16" s="105" t="n">
        <f aca="false">AC14+AC15</f>
        <v>113.589</v>
      </c>
      <c r="AD16" s="105" t="n">
        <f aca="false">AD14+AD15</f>
        <v>113.589</v>
      </c>
      <c r="AE16" s="105" t="n">
        <f aca="false">AE14+AE15</f>
        <v>113.589</v>
      </c>
      <c r="AF16" s="105" t="n">
        <f aca="false">AF14+AF15</f>
        <v>113.589</v>
      </c>
      <c r="AG16" s="105" t="n">
        <f aca="false">AG14+AG15</f>
        <v>113.589</v>
      </c>
      <c r="AH16" s="105" t="n">
        <f aca="false">AH14+AH15</f>
        <v>113.589</v>
      </c>
      <c r="AI16" s="105" t="n">
        <f aca="false">AI14+AI15</f>
        <v>113.589</v>
      </c>
      <c r="AJ16" s="105" t="n">
        <f aca="false">AJ14+AJ15</f>
        <v>113.589</v>
      </c>
      <c r="AK16" s="105" t="n">
        <f aca="false">AK14+AK15</f>
        <v>113.589</v>
      </c>
      <c r="AL16" s="105" t="n">
        <f aca="false">AL14+AL15</f>
        <v>102.453</v>
      </c>
    </row>
    <row r="17" customFormat="false" ht="15" hidden="false" customHeight="false" outlineLevel="0" collapsed="false">
      <c r="A17" s="6" t="s">
        <v>370</v>
      </c>
      <c r="C17" s="106" t="n">
        <f aca="false">Inputs!$E$19</f>
        <v>250</v>
      </c>
      <c r="D17" s="103" t="n">
        <f aca="false">C19</f>
        <v>283.7976</v>
      </c>
      <c r="E17" s="103" t="n">
        <f aca="false">D19</f>
        <v>322.191118222222</v>
      </c>
      <c r="F17" s="103" t="n">
        <f aca="false">E19</f>
        <v>371.368984604444</v>
      </c>
      <c r="G17" s="103" t="n">
        <f aca="false">F19</f>
        <v>425.208091886933</v>
      </c>
      <c r="H17" s="103" t="n">
        <f aca="false">G19</f>
        <v>483.521990433678</v>
      </c>
      <c r="I17" s="103" t="n">
        <f aca="false">H19</f>
        <v>546.131688594109</v>
      </c>
      <c r="J17" s="103" t="n">
        <f aca="false">I19</f>
        <v>612.865354383678</v>
      </c>
      <c r="K17" s="103" t="n">
        <f aca="false">J19</f>
        <v>683.55802909722</v>
      </c>
      <c r="L17" s="103" t="n">
        <f aca="false">K19</f>
        <v>758.051352377775</v>
      </c>
      <c r="M17" s="103" t="n">
        <f aca="false">L19</f>
        <v>836.193298282664</v>
      </c>
      <c r="N17" s="103" t="n">
        <f aca="false">M19</f>
        <v>911.209566351358</v>
      </c>
      <c r="O17" s="103" t="n">
        <f aca="false">N19</f>
        <v>972.089183697303</v>
      </c>
      <c r="P17" s="103" t="n">
        <f aca="false">O19</f>
        <v>1033.03361634941</v>
      </c>
      <c r="Q17" s="103" t="n">
        <f aca="false">P19</f>
        <v>1091.54027169543</v>
      </c>
      <c r="R17" s="103" t="n">
        <f aca="false">Q19</f>
        <v>1158.84266082762</v>
      </c>
      <c r="S17" s="103" t="n">
        <f aca="false">R19</f>
        <v>1223.45295439451</v>
      </c>
      <c r="T17" s="103" t="n">
        <f aca="false">S19</f>
        <v>1285.47883621873</v>
      </c>
      <c r="U17" s="103" t="n">
        <f aca="false">T19</f>
        <v>1345.02368276998</v>
      </c>
      <c r="V17" s="103" t="n">
        <f aca="false">U19</f>
        <v>1402.18673545918</v>
      </c>
      <c r="W17" s="103" t="n">
        <f aca="false">V19</f>
        <v>1457.06326604082</v>
      </c>
      <c r="X17" s="103" t="n">
        <f aca="false">W19</f>
        <v>1509.74473539918</v>
      </c>
      <c r="Y17" s="103" t="n">
        <f aca="false">X19</f>
        <v>1560.31894598322</v>
      </c>
      <c r="Z17" s="103" t="n">
        <f aca="false">Y19</f>
        <v>1608.87018814389</v>
      </c>
      <c r="AA17" s="103" t="n">
        <f aca="false">Z19</f>
        <v>1644.34338061813</v>
      </c>
      <c r="AB17" s="103" t="n">
        <f aca="false">AA19</f>
        <v>1681.02264539341</v>
      </c>
      <c r="AC17" s="103" t="n">
        <f aca="false">AB19</f>
        <v>1716.23473957767</v>
      </c>
      <c r="AD17" s="103" t="n">
        <f aca="false">AC19</f>
        <v>1761.17434999456</v>
      </c>
      <c r="AE17" s="103" t="n">
        <f aca="false">AD19</f>
        <v>1804.31637599478</v>
      </c>
      <c r="AF17" s="103" t="n">
        <f aca="false">AE19</f>
        <v>1845.73272095499</v>
      </c>
      <c r="AG17" s="103" t="n">
        <f aca="false">AF19</f>
        <v>1885.49241211679</v>
      </c>
      <c r="AH17" s="103" t="n">
        <f aca="false">AG19</f>
        <v>1923.66171563212</v>
      </c>
      <c r="AI17" s="103" t="n">
        <f aca="false">AH19</f>
        <v>1960.30424700683</v>
      </c>
      <c r="AJ17" s="103" t="n">
        <f aca="false">AI19</f>
        <v>1995.48107712656</v>
      </c>
      <c r="AK17" s="103" t="n">
        <f aca="false">AJ19</f>
        <v>2029.2508340415</v>
      </c>
      <c r="AL17" s="103" t="n">
        <f aca="false">AK19</f>
        <v>2061.66980067984</v>
      </c>
    </row>
    <row r="18" customFormat="false" ht="15" hidden="false" customHeight="false" outlineLevel="0" collapsed="false">
      <c r="A18" s="6" t="s">
        <v>371</v>
      </c>
      <c r="C18" s="103" t="n">
        <f aca="false">C19-C17-C16</f>
        <v>-10</v>
      </c>
      <c r="D18" s="103" t="n">
        <f aca="false">D19-D17-D16</f>
        <v>-11.351904</v>
      </c>
      <c r="E18" s="103" t="n">
        <f aca="false">E19-E17-E16</f>
        <v>-12.8876447288889</v>
      </c>
      <c r="F18" s="103" t="n">
        <f aca="false">F19-F17-F16</f>
        <v>-14.8547593841778</v>
      </c>
      <c r="G18" s="103" t="n">
        <f aca="false">G19-G17-G16</f>
        <v>-17.0083236754773</v>
      </c>
      <c r="H18" s="103" t="n">
        <f aca="false">H19-H17-H16</f>
        <v>-19.3408796173471</v>
      </c>
      <c r="I18" s="103" t="n">
        <f aca="false">I19-I17-I16</f>
        <v>-21.8452675437644</v>
      </c>
      <c r="J18" s="103" t="n">
        <f aca="false">J19-J17-J16</f>
        <v>-24.5146141753471</v>
      </c>
      <c r="K18" s="103" t="n">
        <f aca="false">K19-K17-K16</f>
        <v>-27.3423211638887</v>
      </c>
      <c r="L18" s="103" t="n">
        <f aca="false">L19-L17-L16</f>
        <v>-30.322054095111</v>
      </c>
      <c r="M18" s="103" t="n">
        <f aca="false">M19-M17-M16</f>
        <v>-33.4477319313067</v>
      </c>
      <c r="N18" s="103" t="n">
        <f aca="false">N19-N17-N16</f>
        <v>-36.4483826540543</v>
      </c>
      <c r="O18" s="103" t="n">
        <f aca="false">O19-O17-O16</f>
        <v>-38.8835673478921</v>
      </c>
      <c r="P18" s="103" t="n">
        <f aca="false">P19-P17-P16</f>
        <v>-41.3213446539765</v>
      </c>
      <c r="Q18" s="103" t="n">
        <f aca="false">Q19-Q17-Q16</f>
        <v>-43.6616108678175</v>
      </c>
      <c r="R18" s="103" t="n">
        <f aca="false">R19-R17-R16</f>
        <v>-46.3537064331047</v>
      </c>
      <c r="S18" s="103" t="n">
        <f aca="false">S19-S17-S16</f>
        <v>-48.9381181757806</v>
      </c>
      <c r="T18" s="103" t="n">
        <f aca="false">T19-T17-T16</f>
        <v>-51.4191534487493</v>
      </c>
      <c r="U18" s="103" t="n">
        <f aca="false">U19-U17-U16</f>
        <v>-53.8009473107994</v>
      </c>
      <c r="V18" s="103" t="n">
        <f aca="false">V19-V17-V16</f>
        <v>-56.0874694183675</v>
      </c>
      <c r="W18" s="103" t="n">
        <f aca="false">W19-W17-W16</f>
        <v>-58.2825306416328</v>
      </c>
      <c r="X18" s="103" t="n">
        <f aca="false">X19-X17-X16</f>
        <v>-60.3897894159675</v>
      </c>
      <c r="Y18" s="103" t="n">
        <f aca="false">Y19-Y17-Y16</f>
        <v>-62.4127578393287</v>
      </c>
      <c r="Z18" s="103" t="n">
        <f aca="false">Z19-Z17-Z16</f>
        <v>-64.3548075257557</v>
      </c>
      <c r="AA18" s="103" t="n">
        <f aca="false">AA19-AA17-AA16</f>
        <v>-65.7737352247252</v>
      </c>
      <c r="AB18" s="103" t="n">
        <f aca="false">AB19-AB17-AB16</f>
        <v>-67.2409058157364</v>
      </c>
      <c r="AC18" s="103" t="n">
        <f aca="false">AC19-AC17-AC16</f>
        <v>-68.6493895831068</v>
      </c>
      <c r="AD18" s="103" t="n">
        <f aca="false">AD19-AD17-AD16</f>
        <v>-70.4469739997826</v>
      </c>
      <c r="AE18" s="103" t="n">
        <f aca="false">AE19-AE17-AE16</f>
        <v>-72.1726550397912</v>
      </c>
      <c r="AF18" s="103" t="n">
        <f aca="false">AF19-AF17-AF16</f>
        <v>-73.8293088381998</v>
      </c>
      <c r="AG18" s="103" t="n">
        <f aca="false">AG19-AG17-AG16</f>
        <v>-75.4196964846718</v>
      </c>
      <c r="AH18" s="103" t="n">
        <f aca="false">AH19-AH17-AH16</f>
        <v>-76.9464686252848</v>
      </c>
      <c r="AI18" s="103" t="n">
        <f aca="false">AI19-AI17-AI16</f>
        <v>-78.4121698802733</v>
      </c>
      <c r="AJ18" s="103" t="n">
        <f aca="false">AJ19-AJ17-AJ16</f>
        <v>-79.8192430850625</v>
      </c>
      <c r="AK18" s="103" t="n">
        <f aca="false">AK19-AK17-AK16</f>
        <v>-81.1700333616601</v>
      </c>
      <c r="AL18" s="103" t="n">
        <f aca="false">AL19-AL17-AL16</f>
        <v>-82.4667920271936</v>
      </c>
    </row>
    <row r="19" customFormat="false" ht="15" hidden="false" customHeight="false" outlineLevel="0" collapsed="false">
      <c r="A19" s="4" t="s">
        <v>372</v>
      </c>
      <c r="C19" s="105" t="n">
        <f aca="false">C17*(1-Inputs!$E$23)+C16</f>
        <v>283.7976</v>
      </c>
      <c r="D19" s="105" t="n">
        <f aca="false">D17*(1-Inputs!$E$23)+D16</f>
        <v>322.191118222222</v>
      </c>
      <c r="E19" s="105" t="n">
        <f aca="false">E17*(1-Inputs!$E$23)+E16</f>
        <v>371.368984604444</v>
      </c>
      <c r="F19" s="105" t="n">
        <f aca="false">F17*(1-Inputs!$E$23)+F16</f>
        <v>425.208091886933</v>
      </c>
      <c r="G19" s="105" t="n">
        <f aca="false">G17*(1-Inputs!$E$23)+G16</f>
        <v>483.521990433678</v>
      </c>
      <c r="H19" s="105" t="n">
        <f aca="false">H17*(1-Inputs!$E$23)+H16</f>
        <v>546.131688594109</v>
      </c>
      <c r="I19" s="105" t="n">
        <f aca="false">I17*(1-Inputs!$E$23)+I16</f>
        <v>612.865354383678</v>
      </c>
      <c r="J19" s="105" t="n">
        <f aca="false">J17*(1-Inputs!$E$23)+J16</f>
        <v>683.55802909722</v>
      </c>
      <c r="K19" s="105" t="n">
        <f aca="false">K17*(1-Inputs!$E$23)+K16</f>
        <v>758.051352377775</v>
      </c>
      <c r="L19" s="105" t="n">
        <f aca="false">L17*(1-Inputs!$E$23)+L16</f>
        <v>836.193298282664</v>
      </c>
      <c r="M19" s="105" t="n">
        <f aca="false">M17*(1-Inputs!$E$23)+M16</f>
        <v>911.209566351358</v>
      </c>
      <c r="N19" s="105" t="n">
        <f aca="false">N17*(1-Inputs!$E$23)+N16</f>
        <v>972.089183697303</v>
      </c>
      <c r="O19" s="105" t="n">
        <f aca="false">O17*(1-Inputs!$E$23)+O16</f>
        <v>1033.03361634941</v>
      </c>
      <c r="P19" s="105" t="n">
        <f aca="false">P17*(1-Inputs!$E$23)+P16</f>
        <v>1091.54027169543</v>
      </c>
      <c r="Q19" s="105" t="n">
        <f aca="false">Q17*(1-Inputs!$E$23)+Q16</f>
        <v>1158.84266082762</v>
      </c>
      <c r="R19" s="105" t="n">
        <f aca="false">R17*(1-Inputs!$E$23)+R16</f>
        <v>1223.45295439451</v>
      </c>
      <c r="S19" s="105" t="n">
        <f aca="false">S17*(1-Inputs!$E$23)+S16</f>
        <v>1285.47883621873</v>
      </c>
      <c r="T19" s="105" t="n">
        <f aca="false">T17*(1-Inputs!$E$23)+T16</f>
        <v>1345.02368276998</v>
      </c>
      <c r="U19" s="105" t="n">
        <f aca="false">U17*(1-Inputs!$E$23)+U16</f>
        <v>1402.18673545918</v>
      </c>
      <c r="V19" s="105" t="n">
        <f aca="false">V17*(1-Inputs!$E$23)+V16</f>
        <v>1457.06326604082</v>
      </c>
      <c r="W19" s="105" t="n">
        <f aca="false">W17*(1-Inputs!$E$23)+W16</f>
        <v>1509.74473539918</v>
      </c>
      <c r="X19" s="105" t="n">
        <f aca="false">X17*(1-Inputs!$E$23)+X16</f>
        <v>1560.31894598322</v>
      </c>
      <c r="Y19" s="105" t="n">
        <f aca="false">Y17*(1-Inputs!$E$23)+Y16</f>
        <v>1608.87018814389</v>
      </c>
      <c r="Z19" s="105" t="n">
        <f aca="false">Z17*(1-Inputs!$E$23)+Z16</f>
        <v>1644.34338061813</v>
      </c>
      <c r="AA19" s="105" t="n">
        <f aca="false">AA17*(1-Inputs!$E$23)+AA16</f>
        <v>1681.02264539341</v>
      </c>
      <c r="AB19" s="105" t="n">
        <f aca="false">AB17*(1-Inputs!$E$23)+AB16</f>
        <v>1716.23473957767</v>
      </c>
      <c r="AC19" s="105" t="n">
        <f aca="false">AC17*(1-Inputs!$E$23)+AC16</f>
        <v>1761.17434999456</v>
      </c>
      <c r="AD19" s="105" t="n">
        <f aca="false">AD17*(1-Inputs!$E$23)+AD16</f>
        <v>1804.31637599478</v>
      </c>
      <c r="AE19" s="105" t="n">
        <f aca="false">AE17*(1-Inputs!$E$23)+AE16</f>
        <v>1845.73272095499</v>
      </c>
      <c r="AF19" s="105" t="n">
        <f aca="false">AF17*(1-Inputs!$E$23)+AF16</f>
        <v>1885.49241211679</v>
      </c>
      <c r="AG19" s="105" t="n">
        <f aca="false">AG17*(1-Inputs!$E$23)+AG16</f>
        <v>1923.66171563212</v>
      </c>
      <c r="AH19" s="105" t="n">
        <f aca="false">AH17*(1-Inputs!$E$23)+AH16</f>
        <v>1960.30424700683</v>
      </c>
      <c r="AI19" s="105" t="n">
        <f aca="false">AI17*(1-Inputs!$E$23)+AI16</f>
        <v>1995.48107712656</v>
      </c>
      <c r="AJ19" s="105" t="n">
        <f aca="false">AJ17*(1-Inputs!$E$23)+AJ16</f>
        <v>2029.2508340415</v>
      </c>
      <c r="AK19" s="105" t="n">
        <f aca="false">AK17*(1-Inputs!$E$23)+AK16</f>
        <v>2061.66980067984</v>
      </c>
      <c r="AL19" s="105" t="n">
        <f aca="false">AL17*(1-Inputs!$E$23)+AL16</f>
        <v>2081.65600865264</v>
      </c>
    </row>
    <row r="20" customFormat="false" ht="15" hidden="false" customHeight="false" outlineLevel="0" collapsed="false">
      <c r="A20" s="6" t="s">
        <v>373</v>
      </c>
      <c r="C20" s="103" t="n">
        <f aca="false">(C17+C19)/2</f>
        <v>266.8988</v>
      </c>
      <c r="D20" s="103" t="n">
        <f aca="false">(D17+D19)/2</f>
        <v>302.994359111111</v>
      </c>
      <c r="E20" s="103" t="n">
        <f aca="false">(E17+E19)/2</f>
        <v>346.780051413333</v>
      </c>
      <c r="F20" s="103" t="n">
        <f aca="false">(F17+F19)/2</f>
        <v>398.288538245689</v>
      </c>
      <c r="G20" s="103" t="n">
        <f aca="false">(G17+G19)/2</f>
        <v>454.365041160306</v>
      </c>
      <c r="H20" s="103" t="n">
        <f aca="false">(H17+H19)/2</f>
        <v>514.826839513893</v>
      </c>
      <c r="I20" s="103" t="n">
        <f aca="false">(I17+I19)/2</f>
        <v>579.498521488893</v>
      </c>
      <c r="J20" s="103" t="n">
        <f aca="false">(J17+J19)/2</f>
        <v>648.211691740449</v>
      </c>
      <c r="K20" s="103" t="n">
        <f aca="false">(K17+K19)/2</f>
        <v>720.804690737497</v>
      </c>
      <c r="L20" s="103" t="n">
        <f aca="false">(L17+L19)/2</f>
        <v>797.12232533022</v>
      </c>
      <c r="M20" s="103" t="n">
        <f aca="false">(M17+M19)/2</f>
        <v>873.701432317011</v>
      </c>
      <c r="N20" s="103" t="n">
        <f aca="false">(N17+N19)/2</f>
        <v>941.64937502433</v>
      </c>
      <c r="O20" s="103" t="n">
        <f aca="false">(O17+O19)/2</f>
        <v>1002.56140002336</v>
      </c>
      <c r="P20" s="103" t="n">
        <f aca="false">(P17+P19)/2</f>
        <v>1062.28694402242</v>
      </c>
      <c r="Q20" s="103" t="n">
        <f aca="false">(Q17+Q19)/2</f>
        <v>1125.19146626153</v>
      </c>
      <c r="R20" s="103" t="n">
        <f aca="false">(R17+R19)/2</f>
        <v>1191.14780761106</v>
      </c>
      <c r="S20" s="103" t="n">
        <f aca="false">(S17+S19)/2</f>
        <v>1254.46589530662</v>
      </c>
      <c r="T20" s="103" t="n">
        <f aca="false">(T17+T19)/2</f>
        <v>1315.25125949436</v>
      </c>
      <c r="U20" s="103" t="n">
        <f aca="false">(U17+U19)/2</f>
        <v>1373.60520911458</v>
      </c>
      <c r="V20" s="103" t="n">
        <f aca="false">(V17+V19)/2</f>
        <v>1429.62500075</v>
      </c>
      <c r="W20" s="103" t="n">
        <f aca="false">(W17+W19)/2</f>
        <v>1483.40400072</v>
      </c>
      <c r="X20" s="103" t="n">
        <f aca="false">(X17+X19)/2</f>
        <v>1535.0318406912</v>
      </c>
      <c r="Y20" s="103" t="n">
        <f aca="false">(Y17+Y19)/2</f>
        <v>1584.59456706355</v>
      </c>
      <c r="Z20" s="103" t="n">
        <f aca="false">(Z17+Z19)/2</f>
        <v>1626.60678438101</v>
      </c>
      <c r="AA20" s="103" t="n">
        <f aca="false">(AA17+AA19)/2</f>
        <v>1662.68301300577</v>
      </c>
      <c r="AB20" s="103" t="n">
        <f aca="false">(AB17+AB19)/2</f>
        <v>1698.62869248554</v>
      </c>
      <c r="AC20" s="103" t="n">
        <f aca="false">(AC17+AC19)/2</f>
        <v>1738.70454478612</v>
      </c>
      <c r="AD20" s="103" t="n">
        <f aca="false">(AD17+AD19)/2</f>
        <v>1782.74536299467</v>
      </c>
      <c r="AE20" s="103" t="n">
        <f aca="false">(AE17+AE19)/2</f>
        <v>1825.02454847488</v>
      </c>
      <c r="AF20" s="103" t="n">
        <f aca="false">(AF17+AF19)/2</f>
        <v>1865.61256653589</v>
      </c>
      <c r="AG20" s="103" t="n">
        <f aca="false">(AG17+AG19)/2</f>
        <v>1904.57706387445</v>
      </c>
      <c r="AH20" s="103" t="n">
        <f aca="false">(AH17+AH19)/2</f>
        <v>1941.98298131947</v>
      </c>
      <c r="AI20" s="103" t="n">
        <f aca="false">(AI17+AI19)/2</f>
        <v>1977.8926620667</v>
      </c>
      <c r="AJ20" s="103" t="n">
        <f aca="false">(AJ17+AJ19)/2</f>
        <v>2012.36595558403</v>
      </c>
      <c r="AK20" s="103" t="n">
        <f aca="false">(AK17+AK19)/2</f>
        <v>2045.46031736067</v>
      </c>
      <c r="AL20" s="103" t="n">
        <f aca="false">(AL17+AL19)/2</f>
        <v>2071.66290466624</v>
      </c>
    </row>
    <row r="22" customFormat="false" ht="15.75" hidden="false" customHeight="true" outlineLevel="0" collapsed="false">
      <c r="A22" s="7" t="s">
        <v>374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customFormat="false" ht="15" hidden="false" customHeight="false" outlineLevel="0" collapsed="false">
      <c r="A23" s="6" t="s">
        <v>375</v>
      </c>
      <c r="C23" s="104" t="n">
        <f aca="false">C20*Inputs!$E$24*C10*1</f>
        <v>794.02393</v>
      </c>
      <c r="D23" s="104" t="n">
        <f aca="false">D20*Inputs!$E$24*D10*1</f>
        <v>901.408218355555</v>
      </c>
      <c r="E23" s="104" t="n">
        <f aca="false">E20*Inputs!$E$24*E10*1</f>
        <v>1274.416688944</v>
      </c>
      <c r="F23" s="104" t="n">
        <f aca="false">F20*Inputs!$E$24*F10*1</f>
        <v>1463.71037805291</v>
      </c>
      <c r="G23" s="104" t="n">
        <f aca="false">G20*Inputs!$E$24*G10*1</f>
        <v>1669.79152626412</v>
      </c>
      <c r="H23" s="104" t="n">
        <f aca="false">H20*Inputs!$E$24*H10*1</f>
        <v>1891.98863521356</v>
      </c>
      <c r="I23" s="104" t="n">
        <f aca="false">I20*Inputs!$E$24*I10*1</f>
        <v>2129.65706647168</v>
      </c>
      <c r="J23" s="104" t="n">
        <f aca="false">J20*Inputs!$E$24*J10*1</f>
        <v>2382.17796714615</v>
      </c>
      <c r="K23" s="104" t="n">
        <f aca="false">K20*Inputs!$E$24*K10*1</f>
        <v>2648.9572384603</v>
      </c>
      <c r="L23" s="104" t="n">
        <f aca="false">L20*Inputs!$E$24*L10*1</f>
        <v>2929.42454558856</v>
      </c>
      <c r="M23" s="104" t="n">
        <f aca="false">M20*Inputs!$E$24*M10*1</f>
        <v>3210.85276376502</v>
      </c>
      <c r="N23" s="104" t="n">
        <f aca="false">N20*Inputs!$E$24*N10*1</f>
        <v>2801.40689069738</v>
      </c>
      <c r="O23" s="104" t="n">
        <f aca="false">O20*Inputs!$E$24*O10*1</f>
        <v>2982.62016506949</v>
      </c>
      <c r="P23" s="104" t="n">
        <f aca="false">P20*Inputs!$E$24*P10*1</f>
        <v>3160.30365846671</v>
      </c>
      <c r="Q23" s="104" t="n">
        <f aca="false">Q20*Inputs!$E$24*Q10*1</f>
        <v>4135.07863851111</v>
      </c>
      <c r="R23" s="104" t="n">
        <f aca="false">R20*Inputs!$E$24*R10*1</f>
        <v>4377.46819297066</v>
      </c>
      <c r="S23" s="104" t="n">
        <f aca="false">S20*Inputs!$E$24*S10*1</f>
        <v>4610.16216525184</v>
      </c>
      <c r="T23" s="104" t="n">
        <f aca="false">T20*Inputs!$E$24*T10*1</f>
        <v>4833.54837864176</v>
      </c>
      <c r="U23" s="104" t="n">
        <f aca="false">U20*Inputs!$E$24*U10*1</f>
        <v>5047.99914349609</v>
      </c>
      <c r="V23" s="104" t="n">
        <f aca="false">V20*Inputs!$E$24*V10*1</f>
        <v>5253.87187775625</v>
      </c>
      <c r="W23" s="104" t="n">
        <f aca="false">W20*Inputs!$E$24*W10*1</f>
        <v>5451.509702646</v>
      </c>
      <c r="X23" s="104" t="n">
        <f aca="false">X20*Inputs!$E$24*X10*1</f>
        <v>5641.24201454016</v>
      </c>
      <c r="Y23" s="104" t="n">
        <f aca="false">Y20*Inputs!$E$24*Y10*1</f>
        <v>5823.38503395855</v>
      </c>
      <c r="Z23" s="104" t="n">
        <f aca="false">Z20*Inputs!$E$24*Z10*1</f>
        <v>4839.1551835335</v>
      </c>
      <c r="AA23" s="104" t="n">
        <f aca="false">AA20*Inputs!$E$24*AA10*1</f>
        <v>4946.48196369216</v>
      </c>
      <c r="AB23" s="104" t="n">
        <f aca="false">AB20*Inputs!$E$24*AB10*1</f>
        <v>5053.42036014447</v>
      </c>
      <c r="AC23" s="104" t="n">
        <f aca="false">AC20*Inputs!$E$24*AC10*1</f>
        <v>6389.73920208898</v>
      </c>
      <c r="AD23" s="104" t="n">
        <f aca="false">AD20*Inputs!$E$24*AD10*1</f>
        <v>6551.58920900542</v>
      </c>
      <c r="AE23" s="104" t="n">
        <f aca="false">AE20*Inputs!$E$24*AE10*1</f>
        <v>6706.9652156452</v>
      </c>
      <c r="AF23" s="104" t="n">
        <f aca="false">AF20*Inputs!$E$24*AF10*1</f>
        <v>6856.12618201939</v>
      </c>
      <c r="AG23" s="104" t="n">
        <f aca="false">AG20*Inputs!$E$24*AG10*1</f>
        <v>6999.32070973862</v>
      </c>
      <c r="AH23" s="104" t="n">
        <f aca="false">AH20*Inputs!$E$24*AH10*1</f>
        <v>7136.78745634907</v>
      </c>
      <c r="AI23" s="104" t="n">
        <f aca="false">AI20*Inputs!$E$24*AI10*1</f>
        <v>7268.75553309511</v>
      </c>
      <c r="AJ23" s="104" t="n">
        <f aca="false">AJ20*Inputs!$E$24*AJ10*1</f>
        <v>7395.4448867713</v>
      </c>
      <c r="AK23" s="104" t="n">
        <f aca="false">AK20*Inputs!$E$24*AK10*1</f>
        <v>7517.06666630045</v>
      </c>
      <c r="AL23" s="104" t="n">
        <f aca="false">AL20*Inputs!$E$24*AL10*1</f>
        <v>6163.19714138206</v>
      </c>
    </row>
    <row r="24" customFormat="false" ht="15" hidden="false" customHeight="false" outlineLevel="0" collapsed="false">
      <c r="A24" s="6" t="s">
        <v>376</v>
      </c>
      <c r="C24" s="104" t="n">
        <f aca="false">Inputs!$E$14*Inputs!$E$15*Inputs!$E$16*Inputs!$E$8*1</f>
        <v>24563</v>
      </c>
      <c r="D24" s="104" t="n">
        <f aca="false">Inputs!$E$14*Inputs!$E$15*Inputs!$E$16*Inputs!$E$8*1</f>
        <v>24563</v>
      </c>
      <c r="E24" s="104" t="n">
        <f aca="false">Inputs!$E$14*Inputs!$E$15*Inputs!$E$16*Inputs!$E$8*1</f>
        <v>24563</v>
      </c>
      <c r="F24" s="104" t="n">
        <f aca="false">Inputs!$E$14*Inputs!$E$15*Inputs!$E$16*Inputs!$E$8*1</f>
        <v>24563</v>
      </c>
      <c r="G24" s="104" t="n">
        <f aca="false">Inputs!$E$14*Inputs!$E$15*Inputs!$E$16*Inputs!$E$8*1</f>
        <v>24563</v>
      </c>
      <c r="H24" s="104" t="n">
        <f aca="false">Inputs!$E$14*Inputs!$E$15*Inputs!$E$16*Inputs!$E$8*1</f>
        <v>24563</v>
      </c>
      <c r="I24" s="104" t="n">
        <f aca="false">Inputs!$E$14*Inputs!$E$15*Inputs!$E$16*Inputs!$E$8*1</f>
        <v>24563</v>
      </c>
      <c r="J24" s="104" t="n">
        <f aca="false">Inputs!$E$14*Inputs!$E$15*Inputs!$E$16*Inputs!$E$8*1</f>
        <v>24563</v>
      </c>
      <c r="K24" s="104" t="n">
        <f aca="false">Inputs!$E$14*Inputs!$E$15*Inputs!$E$16*Inputs!$E$8*1</f>
        <v>24563</v>
      </c>
      <c r="L24" s="104" t="n">
        <f aca="false">Inputs!$E$14*Inputs!$E$15*Inputs!$E$16*Inputs!$E$8*1</f>
        <v>24563</v>
      </c>
      <c r="M24" s="104" t="n">
        <f aca="false">Inputs!$E$14*Inputs!$E$15*Inputs!$E$16*Inputs!$E$8*1</f>
        <v>24563</v>
      </c>
      <c r="N24" s="104" t="n">
        <f aca="false">Inputs!$E$14*Inputs!$E$15*Inputs!$E$16*Inputs!$E$8*1</f>
        <v>24563</v>
      </c>
      <c r="O24" s="104" t="n">
        <f aca="false">Inputs!$E$14*Inputs!$E$15*Inputs!$E$16*Inputs!$E$8*1</f>
        <v>24563</v>
      </c>
      <c r="P24" s="104" t="n">
        <f aca="false">Inputs!$E$14*Inputs!$E$15*Inputs!$E$16*Inputs!$E$8*1</f>
        <v>24563</v>
      </c>
      <c r="Q24" s="104" t="n">
        <f aca="false">Inputs!$E$14*Inputs!$E$15*Inputs!$E$16*Inputs!$E$8*1</f>
        <v>24563</v>
      </c>
      <c r="R24" s="104" t="n">
        <f aca="false">Inputs!$E$14*Inputs!$E$15*Inputs!$E$16*Inputs!$E$8*1</f>
        <v>24563</v>
      </c>
      <c r="S24" s="104" t="n">
        <f aca="false">Inputs!$E$14*Inputs!$E$15*Inputs!$E$16*Inputs!$E$8*1</f>
        <v>24563</v>
      </c>
      <c r="T24" s="104" t="n">
        <f aca="false">Inputs!$E$14*Inputs!$E$15*Inputs!$E$16*Inputs!$E$8*1</f>
        <v>24563</v>
      </c>
      <c r="U24" s="104" t="n">
        <f aca="false">Inputs!$E$14*Inputs!$E$15*Inputs!$E$16*Inputs!$E$8*1</f>
        <v>24563</v>
      </c>
      <c r="V24" s="104" t="n">
        <f aca="false">Inputs!$E$14*Inputs!$E$15*Inputs!$E$16*Inputs!$E$8*1</f>
        <v>24563</v>
      </c>
      <c r="W24" s="104" t="n">
        <f aca="false">Inputs!$E$14*Inputs!$E$15*Inputs!$E$16*Inputs!$E$8*1</f>
        <v>24563</v>
      </c>
      <c r="X24" s="104" t="n">
        <f aca="false">Inputs!$E$14*Inputs!$E$15*Inputs!$E$16*Inputs!$E$8*1</f>
        <v>24563</v>
      </c>
      <c r="Y24" s="104" t="n">
        <f aca="false">Inputs!$E$14*Inputs!$E$15*Inputs!$E$16*Inputs!$E$8*1</f>
        <v>24563</v>
      </c>
      <c r="Z24" s="104" t="n">
        <f aca="false">Inputs!$E$14*Inputs!$E$15*Inputs!$E$16*Inputs!$E$8*1</f>
        <v>24563</v>
      </c>
      <c r="AA24" s="104" t="n">
        <f aca="false">Inputs!$E$14*Inputs!$E$15*Inputs!$E$16*Inputs!$E$8*1</f>
        <v>24563</v>
      </c>
      <c r="AB24" s="104" t="n">
        <f aca="false">Inputs!$E$14*Inputs!$E$15*Inputs!$E$16*Inputs!$E$8*1</f>
        <v>24563</v>
      </c>
      <c r="AC24" s="104" t="n">
        <f aca="false">Inputs!$E$14*Inputs!$E$15*Inputs!$E$16*Inputs!$E$8*1</f>
        <v>24563</v>
      </c>
      <c r="AD24" s="104" t="n">
        <f aca="false">Inputs!$E$14*Inputs!$E$15*Inputs!$E$16*Inputs!$E$8*1</f>
        <v>24563</v>
      </c>
      <c r="AE24" s="104" t="n">
        <f aca="false">Inputs!$E$14*Inputs!$E$15*Inputs!$E$16*Inputs!$E$8*1</f>
        <v>24563</v>
      </c>
      <c r="AF24" s="104" t="n">
        <f aca="false">Inputs!$E$14*Inputs!$E$15*Inputs!$E$16*Inputs!$E$8*1</f>
        <v>24563</v>
      </c>
      <c r="AG24" s="104" t="n">
        <f aca="false">Inputs!$E$14*Inputs!$E$15*Inputs!$E$16*Inputs!$E$8*1</f>
        <v>24563</v>
      </c>
      <c r="AH24" s="104" t="n">
        <f aca="false">Inputs!$E$14*Inputs!$E$15*Inputs!$E$16*Inputs!$E$8*1</f>
        <v>24563</v>
      </c>
      <c r="AI24" s="104" t="n">
        <f aca="false">Inputs!$E$14*Inputs!$E$15*Inputs!$E$16*Inputs!$E$8*1</f>
        <v>24563</v>
      </c>
      <c r="AJ24" s="104" t="n">
        <f aca="false">Inputs!$E$14*Inputs!$E$15*Inputs!$E$16*Inputs!$E$8*1</f>
        <v>24563</v>
      </c>
      <c r="AK24" s="104" t="n">
        <f aca="false">Inputs!$E$14*Inputs!$E$15*Inputs!$E$16*Inputs!$E$8*1</f>
        <v>24563</v>
      </c>
      <c r="AL24" s="104" t="n">
        <f aca="false">Inputs!$E$14*Inputs!$E$15*Inputs!$E$16*Inputs!$E$8*1</f>
        <v>24563</v>
      </c>
    </row>
    <row r="25" customFormat="false" ht="15" hidden="false" customHeight="false" outlineLevel="0" collapsed="false">
      <c r="A25" s="39" t="s">
        <v>377</v>
      </c>
      <c r="C25" s="61" t="n">
        <f aca="false">IF(C11+C23&lt;=0,1,MIN(1,C24/(C11+C23)))</f>
        <v>1</v>
      </c>
      <c r="D25" s="61" t="n">
        <f aca="false">IF(D11+D23&lt;=0,1,MIN(1,D24/(D11+D23)))</f>
        <v>1</v>
      </c>
      <c r="E25" s="61" t="n">
        <f aca="false">IF(E11+E23&lt;=0,1,MIN(1,E24/(E11+E23)))</f>
        <v>1</v>
      </c>
      <c r="F25" s="61" t="n">
        <f aca="false">IF(F11+F23&lt;=0,1,MIN(1,F24/(F11+F23)))</f>
        <v>1</v>
      </c>
      <c r="G25" s="61" t="n">
        <f aca="false">IF(G11+G23&lt;=0,1,MIN(1,G24/(G11+G23)))</f>
        <v>1</v>
      </c>
      <c r="H25" s="61" t="n">
        <f aca="false">IF(H11+H23&lt;=0,1,MIN(1,H24/(H11+H23)))</f>
        <v>1</v>
      </c>
      <c r="I25" s="61" t="n">
        <f aca="false">IF(I11+I23&lt;=0,1,MIN(1,I24/(I11+I23)))</f>
        <v>1</v>
      </c>
      <c r="J25" s="61" t="n">
        <f aca="false">IF(J11+J23&lt;=0,1,MIN(1,J24/(J11+J23)))</f>
        <v>1</v>
      </c>
      <c r="K25" s="61" t="n">
        <f aca="false">IF(K11+K23&lt;=0,1,MIN(1,K24/(K11+K23)))</f>
        <v>1</v>
      </c>
      <c r="L25" s="61" t="n">
        <f aca="false">IF(L11+L23&lt;=0,1,MIN(1,L24/(L11+L23)))</f>
        <v>1</v>
      </c>
      <c r="M25" s="61" t="n">
        <f aca="false">IF(M11+M23&lt;=0,1,MIN(1,M24/(M11+M23)))</f>
        <v>1</v>
      </c>
      <c r="N25" s="61" t="n">
        <f aca="false">IF(N11+N23&lt;=0,1,MIN(1,N24/(N11+N23)))</f>
        <v>1</v>
      </c>
      <c r="O25" s="61" t="n">
        <f aca="false">IF(O11+O23&lt;=0,1,MIN(1,O24/(O11+O23)))</f>
        <v>1</v>
      </c>
      <c r="P25" s="61" t="n">
        <f aca="false">IF(P11+P23&lt;=0,1,MIN(1,P24/(P11+P23)))</f>
        <v>1</v>
      </c>
      <c r="Q25" s="61" t="n">
        <f aca="false">IF(Q11+Q23&lt;=0,1,MIN(1,Q24/(Q11+Q23)))</f>
        <v>1</v>
      </c>
      <c r="R25" s="61" t="n">
        <f aca="false">IF(R11+R23&lt;=0,1,MIN(1,R24/(R11+R23)))</f>
        <v>1</v>
      </c>
      <c r="S25" s="61" t="n">
        <f aca="false">IF(S11+S23&lt;=0,1,MIN(1,S24/(S11+S23)))</f>
        <v>1</v>
      </c>
      <c r="T25" s="61" t="n">
        <f aca="false">IF(T11+T23&lt;=0,1,MIN(1,T24/(T11+T23)))</f>
        <v>1</v>
      </c>
      <c r="U25" s="61" t="n">
        <f aca="false">IF(U11+U23&lt;=0,1,MIN(1,U24/(U11+U23)))</f>
        <v>1</v>
      </c>
      <c r="V25" s="61" t="n">
        <f aca="false">IF(V11+V23&lt;=0,1,MIN(1,V24/(V11+V23)))</f>
        <v>1</v>
      </c>
      <c r="W25" s="61" t="n">
        <f aca="false">IF(W11+W23&lt;=0,1,MIN(1,W24/(W11+W23)))</f>
        <v>1</v>
      </c>
      <c r="X25" s="61" t="n">
        <f aca="false">IF(X11+X23&lt;=0,1,MIN(1,X24/(X11+X23)))</f>
        <v>1</v>
      </c>
      <c r="Y25" s="61" t="n">
        <f aca="false">IF(Y11+Y23&lt;=0,1,MIN(1,Y24/(Y11+Y23)))</f>
        <v>1</v>
      </c>
      <c r="Z25" s="61" t="n">
        <f aca="false">IF(Z11+Z23&lt;=0,1,MIN(1,Z24/(Z11+Z23)))</f>
        <v>1</v>
      </c>
      <c r="AA25" s="61" t="n">
        <f aca="false">IF(AA11+AA23&lt;=0,1,MIN(1,AA24/(AA11+AA23)))</f>
        <v>1</v>
      </c>
      <c r="AB25" s="61" t="n">
        <f aca="false">IF(AB11+AB23&lt;=0,1,MIN(1,AB24/(AB11+AB23)))</f>
        <v>1</v>
      </c>
      <c r="AC25" s="61" t="n">
        <f aca="false">IF(AC11+AC23&lt;=0,1,MIN(1,AC24/(AC11+AC23)))</f>
        <v>1</v>
      </c>
      <c r="AD25" s="61" t="n">
        <f aca="false">IF(AD11+AD23&lt;=0,1,MIN(1,AD24/(AD11+AD23)))</f>
        <v>1</v>
      </c>
      <c r="AE25" s="61" t="n">
        <f aca="false">IF(AE11+AE23&lt;=0,1,MIN(1,AE24/(AE11+AE23)))</f>
        <v>1</v>
      </c>
      <c r="AF25" s="61" t="n">
        <f aca="false">IF(AF11+AF23&lt;=0,1,MIN(1,AF24/(AF11+AF23)))</f>
        <v>1</v>
      </c>
      <c r="AG25" s="61" t="n">
        <f aca="false">IF(AG11+AG23&lt;=0,1,MIN(1,AG24/(AG11+AG23)))</f>
        <v>1</v>
      </c>
      <c r="AH25" s="61" t="n">
        <f aca="false">IF(AH11+AH23&lt;=0,1,MIN(1,AH24/(AH11+AH23)))</f>
        <v>1</v>
      </c>
      <c r="AI25" s="61" t="n">
        <f aca="false">IF(AI11+AI23&lt;=0,1,MIN(1,AI24/(AI11+AI23)))</f>
        <v>1</v>
      </c>
      <c r="AJ25" s="61" t="n">
        <f aca="false">IF(AJ11+AJ23&lt;=0,1,MIN(1,AJ24/(AJ11+AJ23)))</f>
        <v>1</v>
      </c>
      <c r="AK25" s="61" t="n">
        <f aca="false">IF(AK11+AK23&lt;=0,1,MIN(1,AK24/(AK11+AK23)))</f>
        <v>1</v>
      </c>
      <c r="AL25" s="61" t="n">
        <f aca="false">IF(AL11+AL23&lt;=0,1,MIN(1,AL24/(AL11+AL23)))</f>
        <v>1</v>
      </c>
    </row>
    <row r="26" customFormat="false" ht="15" hidden="false" customHeight="false" outlineLevel="0" collapsed="false">
      <c r="A26" s="6" t="s">
        <v>203</v>
      </c>
      <c r="C26" s="104" t="n">
        <f aca="false">C11*C25</f>
        <v>2662.2</v>
      </c>
      <c r="D26" s="104" t="n">
        <f aca="false">D11*D25</f>
        <v>3023.73333333333</v>
      </c>
      <c r="E26" s="104" t="n">
        <f aca="false">E11*E25</f>
        <v>4181.8</v>
      </c>
      <c r="F26" s="104" t="n">
        <f aca="false">F11*F25</f>
        <v>4628.4</v>
      </c>
      <c r="G26" s="104" t="n">
        <f aca="false">G11*G25</f>
        <v>5075</v>
      </c>
      <c r="H26" s="104" t="n">
        <f aca="false">H11*H25</f>
        <v>5521.6</v>
      </c>
      <c r="I26" s="104" t="n">
        <f aca="false">I11*I25</f>
        <v>5968.2</v>
      </c>
      <c r="J26" s="104" t="n">
        <f aca="false">J11*J25</f>
        <v>6414.8</v>
      </c>
      <c r="K26" s="104" t="n">
        <f aca="false">K11*K25</f>
        <v>6861.4</v>
      </c>
      <c r="L26" s="104" t="n">
        <f aca="false">L11*L25</f>
        <v>7308</v>
      </c>
      <c r="M26" s="104" t="n">
        <f aca="false">M11*M25</f>
        <v>7308</v>
      </c>
      <c r="N26" s="104" t="n">
        <f aca="false">N11*N25</f>
        <v>5916</v>
      </c>
      <c r="O26" s="104" t="n">
        <f aca="false">O11*O25</f>
        <v>5916</v>
      </c>
      <c r="P26" s="104" t="n">
        <f aca="false">P11*P25</f>
        <v>5916</v>
      </c>
      <c r="Q26" s="104" t="n">
        <f aca="false">Q11*Q25</f>
        <v>7308</v>
      </c>
      <c r="R26" s="104" t="n">
        <f aca="false">R11*R25</f>
        <v>7308</v>
      </c>
      <c r="S26" s="104" t="n">
        <f aca="false">S11*S25</f>
        <v>7308</v>
      </c>
      <c r="T26" s="104" t="n">
        <f aca="false">T11*T25</f>
        <v>7308</v>
      </c>
      <c r="U26" s="104" t="n">
        <f aca="false">U11*U25</f>
        <v>7308</v>
      </c>
      <c r="V26" s="104" t="n">
        <f aca="false">V11*V25</f>
        <v>7308</v>
      </c>
      <c r="W26" s="104" t="n">
        <f aca="false">W11*W25</f>
        <v>7308</v>
      </c>
      <c r="X26" s="104" t="n">
        <f aca="false">X11*X25</f>
        <v>7308</v>
      </c>
      <c r="Y26" s="104" t="n">
        <f aca="false">Y11*Y25</f>
        <v>7308</v>
      </c>
      <c r="Z26" s="104" t="n">
        <f aca="false">Z11*Z25</f>
        <v>5916</v>
      </c>
      <c r="AA26" s="104" t="n">
        <f aca="false">AA11*AA25</f>
        <v>5916</v>
      </c>
      <c r="AB26" s="104" t="n">
        <f aca="false">AB11*AB25</f>
        <v>5916</v>
      </c>
      <c r="AC26" s="104" t="n">
        <f aca="false">AC11*AC25</f>
        <v>7308</v>
      </c>
      <c r="AD26" s="104" t="n">
        <f aca="false">AD11*AD25</f>
        <v>7308</v>
      </c>
      <c r="AE26" s="104" t="n">
        <f aca="false">AE11*AE25</f>
        <v>7308</v>
      </c>
      <c r="AF26" s="104" t="n">
        <f aca="false">AF11*AF25</f>
        <v>7308</v>
      </c>
      <c r="AG26" s="104" t="n">
        <f aca="false">AG11*AG25</f>
        <v>7308</v>
      </c>
      <c r="AH26" s="104" t="n">
        <f aca="false">AH11*AH25</f>
        <v>7308</v>
      </c>
      <c r="AI26" s="104" t="n">
        <f aca="false">AI11*AI25</f>
        <v>7308</v>
      </c>
      <c r="AJ26" s="104" t="n">
        <f aca="false">AJ11*AJ25</f>
        <v>7308</v>
      </c>
      <c r="AK26" s="104" t="n">
        <f aca="false">AK11*AK25</f>
        <v>7308</v>
      </c>
      <c r="AL26" s="104" t="n">
        <f aca="false">AL11*AL25</f>
        <v>5916</v>
      </c>
    </row>
    <row r="27" customFormat="false" ht="15" hidden="false" customHeight="false" outlineLevel="0" collapsed="false">
      <c r="A27" s="6" t="s">
        <v>204</v>
      </c>
      <c r="C27" s="104" t="n">
        <f aca="false">C23*C25</f>
        <v>794.02393</v>
      </c>
      <c r="D27" s="104" t="n">
        <f aca="false">D23*D25</f>
        <v>901.408218355555</v>
      </c>
      <c r="E27" s="104" t="n">
        <f aca="false">E23*E25</f>
        <v>1274.416688944</v>
      </c>
      <c r="F27" s="104" t="n">
        <f aca="false">F23*F25</f>
        <v>1463.71037805291</v>
      </c>
      <c r="G27" s="104" t="n">
        <f aca="false">G23*G25</f>
        <v>1669.79152626412</v>
      </c>
      <c r="H27" s="104" t="n">
        <f aca="false">H23*H25</f>
        <v>1891.98863521356</v>
      </c>
      <c r="I27" s="104" t="n">
        <f aca="false">I23*I25</f>
        <v>2129.65706647168</v>
      </c>
      <c r="J27" s="104" t="n">
        <f aca="false">J23*J25</f>
        <v>2382.17796714615</v>
      </c>
      <c r="K27" s="104" t="n">
        <f aca="false">K23*K25</f>
        <v>2648.9572384603</v>
      </c>
      <c r="L27" s="104" t="n">
        <f aca="false">L23*L25</f>
        <v>2929.42454558856</v>
      </c>
      <c r="M27" s="104" t="n">
        <f aca="false">M23*M25</f>
        <v>3210.85276376502</v>
      </c>
      <c r="N27" s="104" t="n">
        <f aca="false">N23*N25</f>
        <v>2801.40689069738</v>
      </c>
      <c r="O27" s="104" t="n">
        <f aca="false">O23*O25</f>
        <v>2982.62016506949</v>
      </c>
      <c r="P27" s="104" t="n">
        <f aca="false">P23*P25</f>
        <v>3160.30365846671</v>
      </c>
      <c r="Q27" s="104" t="n">
        <f aca="false">Q23*Q25</f>
        <v>4135.07863851111</v>
      </c>
      <c r="R27" s="104" t="n">
        <f aca="false">R23*R25</f>
        <v>4377.46819297066</v>
      </c>
      <c r="S27" s="104" t="n">
        <f aca="false">S23*S25</f>
        <v>4610.16216525184</v>
      </c>
      <c r="T27" s="104" t="n">
        <f aca="false">T23*T25</f>
        <v>4833.54837864176</v>
      </c>
      <c r="U27" s="104" t="n">
        <f aca="false">U23*U25</f>
        <v>5047.99914349609</v>
      </c>
      <c r="V27" s="104" t="n">
        <f aca="false">V23*V25</f>
        <v>5253.87187775625</v>
      </c>
      <c r="W27" s="104" t="n">
        <f aca="false">W23*W25</f>
        <v>5451.509702646</v>
      </c>
      <c r="X27" s="104" t="n">
        <f aca="false">X23*X25</f>
        <v>5641.24201454016</v>
      </c>
      <c r="Y27" s="104" t="n">
        <f aca="false">Y23*Y25</f>
        <v>5823.38503395855</v>
      </c>
      <c r="Z27" s="104" t="n">
        <f aca="false">Z23*Z25</f>
        <v>4839.1551835335</v>
      </c>
      <c r="AA27" s="104" t="n">
        <f aca="false">AA23*AA25</f>
        <v>4946.48196369216</v>
      </c>
      <c r="AB27" s="104" t="n">
        <f aca="false">AB23*AB25</f>
        <v>5053.42036014447</v>
      </c>
      <c r="AC27" s="104" t="n">
        <f aca="false">AC23*AC25</f>
        <v>6389.73920208898</v>
      </c>
      <c r="AD27" s="104" t="n">
        <f aca="false">AD23*AD25</f>
        <v>6551.58920900542</v>
      </c>
      <c r="AE27" s="104" t="n">
        <f aca="false">AE23*AE25</f>
        <v>6706.9652156452</v>
      </c>
      <c r="AF27" s="104" t="n">
        <f aca="false">AF23*AF25</f>
        <v>6856.12618201939</v>
      </c>
      <c r="AG27" s="104" t="n">
        <f aca="false">AG23*AG25</f>
        <v>6999.32070973862</v>
      </c>
      <c r="AH27" s="104" t="n">
        <f aca="false">AH23*AH25</f>
        <v>7136.78745634907</v>
      </c>
      <c r="AI27" s="104" t="n">
        <f aca="false">AI23*AI25</f>
        <v>7268.75553309511</v>
      </c>
      <c r="AJ27" s="104" t="n">
        <f aca="false">AJ23*AJ25</f>
        <v>7395.4448867713</v>
      </c>
      <c r="AK27" s="104" t="n">
        <f aca="false">AK23*AK25</f>
        <v>7517.06666630045</v>
      </c>
      <c r="AL27" s="104" t="n">
        <f aca="false">AL23*AL25</f>
        <v>6163.19714138206</v>
      </c>
    </row>
    <row r="28" customFormat="false" ht="15" hidden="false" customHeight="false" outlineLevel="0" collapsed="false">
      <c r="A28" s="4" t="s">
        <v>378</v>
      </c>
      <c r="C28" s="107" t="n">
        <f aca="false">C26+C27</f>
        <v>3456.22393</v>
      </c>
      <c r="D28" s="107" t="n">
        <f aca="false">D26+D27</f>
        <v>3925.14155168889</v>
      </c>
      <c r="E28" s="107" t="n">
        <f aca="false">E26+E27</f>
        <v>5456.216688944</v>
      </c>
      <c r="F28" s="107" t="n">
        <f aca="false">F26+F27</f>
        <v>6092.11037805291</v>
      </c>
      <c r="G28" s="107" t="n">
        <f aca="false">G26+G27</f>
        <v>6744.79152626412</v>
      </c>
      <c r="H28" s="107" t="n">
        <f aca="false">H26+H27</f>
        <v>7413.58863521356</v>
      </c>
      <c r="I28" s="107" t="n">
        <f aca="false">I26+I27</f>
        <v>8097.85706647168</v>
      </c>
      <c r="J28" s="107" t="n">
        <f aca="false">J26+J27</f>
        <v>8796.97796714615</v>
      </c>
      <c r="K28" s="107" t="n">
        <f aca="false">K26+K27</f>
        <v>9510.3572384603</v>
      </c>
      <c r="L28" s="107" t="n">
        <f aca="false">L26+L27</f>
        <v>10237.4245455886</v>
      </c>
      <c r="M28" s="107" t="n">
        <f aca="false">M26+M27</f>
        <v>10518.852763765</v>
      </c>
      <c r="N28" s="107" t="n">
        <f aca="false">N26+N27</f>
        <v>8717.40689069738</v>
      </c>
      <c r="O28" s="107" t="n">
        <f aca="false">O26+O27</f>
        <v>8898.62016506949</v>
      </c>
      <c r="P28" s="107" t="n">
        <f aca="false">P26+P27</f>
        <v>9076.30365846671</v>
      </c>
      <c r="Q28" s="107" t="n">
        <f aca="false">Q26+Q27</f>
        <v>11443.0786385111</v>
      </c>
      <c r="R28" s="107" t="n">
        <f aca="false">R26+R27</f>
        <v>11685.4681929707</v>
      </c>
      <c r="S28" s="107" t="n">
        <f aca="false">S26+S27</f>
        <v>11918.1621652518</v>
      </c>
      <c r="T28" s="107" t="n">
        <f aca="false">T26+T27</f>
        <v>12141.5483786418</v>
      </c>
      <c r="U28" s="107" t="n">
        <f aca="false">U26+U27</f>
        <v>12355.9991434961</v>
      </c>
      <c r="V28" s="107" t="n">
        <f aca="false">V26+V27</f>
        <v>12561.8718777562</v>
      </c>
      <c r="W28" s="107" t="n">
        <f aca="false">W26+W27</f>
        <v>12759.509702646</v>
      </c>
      <c r="X28" s="107" t="n">
        <f aca="false">X26+X27</f>
        <v>12949.2420145402</v>
      </c>
      <c r="Y28" s="107" t="n">
        <f aca="false">Y26+Y27</f>
        <v>13131.3850339586</v>
      </c>
      <c r="Z28" s="107" t="n">
        <f aca="false">Z26+Z27</f>
        <v>10755.1551835335</v>
      </c>
      <c r="AA28" s="107" t="n">
        <f aca="false">AA26+AA27</f>
        <v>10862.4819636922</v>
      </c>
      <c r="AB28" s="107" t="n">
        <f aca="false">AB26+AB27</f>
        <v>10969.4203601445</v>
      </c>
      <c r="AC28" s="107" t="n">
        <f aca="false">AC26+AC27</f>
        <v>13697.739202089</v>
      </c>
      <c r="AD28" s="107" t="n">
        <f aca="false">AD26+AD27</f>
        <v>13859.5892090054</v>
      </c>
      <c r="AE28" s="107" t="n">
        <f aca="false">AE26+AE27</f>
        <v>14014.9652156452</v>
      </c>
      <c r="AF28" s="107" t="n">
        <f aca="false">AF26+AF27</f>
        <v>14164.1261820194</v>
      </c>
      <c r="AG28" s="107" t="n">
        <f aca="false">AG26+AG27</f>
        <v>14307.3207097386</v>
      </c>
      <c r="AH28" s="107" t="n">
        <f aca="false">AH26+AH27</f>
        <v>14444.7874563491</v>
      </c>
      <c r="AI28" s="107" t="n">
        <f aca="false">AI26+AI27</f>
        <v>14576.7555330951</v>
      </c>
      <c r="AJ28" s="107" t="n">
        <f aca="false">AJ26+AJ27</f>
        <v>14703.4448867713</v>
      </c>
      <c r="AK28" s="107" t="n">
        <f aca="false">AK26+AK27</f>
        <v>14825.0666663004</v>
      </c>
      <c r="AL28" s="107" t="n">
        <f aca="false">AL26+AL27</f>
        <v>12079.1971413821</v>
      </c>
    </row>
    <row r="29" customFormat="false" ht="15" hidden="false" customHeight="false" outlineLevel="0" collapsed="false">
      <c r="A29" s="6" t="s">
        <v>207</v>
      </c>
      <c r="C29" s="104" t="n">
        <f aca="false">C11+C23-C28</f>
        <v>0</v>
      </c>
      <c r="D29" s="104" t="n">
        <f aca="false">D11+D23-D28</f>
        <v>0</v>
      </c>
      <c r="E29" s="104" t="n">
        <f aca="false">E11+E23-E28</f>
        <v>0</v>
      </c>
      <c r="F29" s="104" t="n">
        <f aca="false">F11+F23-F28</f>
        <v>0</v>
      </c>
      <c r="G29" s="104" t="n">
        <f aca="false">G11+G23-G28</f>
        <v>0</v>
      </c>
      <c r="H29" s="104" t="n">
        <f aca="false">H11+H23-H28</f>
        <v>0</v>
      </c>
      <c r="I29" s="104" t="n">
        <f aca="false">I11+I23-I28</f>
        <v>0</v>
      </c>
      <c r="J29" s="104" t="n">
        <f aca="false">J11+J23-J28</f>
        <v>0</v>
      </c>
      <c r="K29" s="104" t="n">
        <f aca="false">K11+K23-K28</f>
        <v>0</v>
      </c>
      <c r="L29" s="104" t="n">
        <f aca="false">L11+L23-L28</f>
        <v>0</v>
      </c>
      <c r="M29" s="104" t="n">
        <f aca="false">M11+M23-M28</f>
        <v>0</v>
      </c>
      <c r="N29" s="104" t="n">
        <f aca="false">N11+N23-N28</f>
        <v>0</v>
      </c>
      <c r="O29" s="104" t="n">
        <f aca="false">O11+O23-O28</f>
        <v>0</v>
      </c>
      <c r="P29" s="104" t="n">
        <f aca="false">P11+P23-P28</f>
        <v>0</v>
      </c>
      <c r="Q29" s="104" t="n">
        <f aca="false">Q11+Q23-Q28</f>
        <v>0</v>
      </c>
      <c r="R29" s="104" t="n">
        <f aca="false">R11+R23-R28</f>
        <v>0</v>
      </c>
      <c r="S29" s="104" t="n">
        <f aca="false">S11+S23-S28</f>
        <v>0</v>
      </c>
      <c r="T29" s="104" t="n">
        <f aca="false">T11+T23-T28</f>
        <v>0</v>
      </c>
      <c r="U29" s="104" t="n">
        <f aca="false">U11+U23-U28</f>
        <v>0</v>
      </c>
      <c r="V29" s="104" t="n">
        <f aca="false">V11+V23-V28</f>
        <v>0</v>
      </c>
      <c r="W29" s="104" t="n">
        <f aca="false">W11+W23-W28</f>
        <v>0</v>
      </c>
      <c r="X29" s="104" t="n">
        <f aca="false">X11+X23-X28</f>
        <v>0</v>
      </c>
      <c r="Y29" s="104" t="n">
        <f aca="false">Y11+Y23-Y28</f>
        <v>0</v>
      </c>
      <c r="Z29" s="104" t="n">
        <f aca="false">Z11+Z23-Z28</f>
        <v>0</v>
      </c>
      <c r="AA29" s="104" t="n">
        <f aca="false">AA11+AA23-AA28</f>
        <v>0</v>
      </c>
      <c r="AB29" s="104" t="n">
        <f aca="false">AB11+AB23-AB28</f>
        <v>0</v>
      </c>
      <c r="AC29" s="104" t="n">
        <f aca="false">AC11+AC23-AC28</f>
        <v>0</v>
      </c>
      <c r="AD29" s="104" t="n">
        <f aca="false">AD11+AD23-AD28</f>
        <v>0</v>
      </c>
      <c r="AE29" s="104" t="n">
        <f aca="false">AE11+AE23-AE28</f>
        <v>0</v>
      </c>
      <c r="AF29" s="104" t="n">
        <f aca="false">AF11+AF23-AF28</f>
        <v>0</v>
      </c>
      <c r="AG29" s="104" t="n">
        <f aca="false">AG11+AG23-AG28</f>
        <v>0</v>
      </c>
      <c r="AH29" s="104" t="n">
        <f aca="false">AH11+AH23-AH28</f>
        <v>0</v>
      </c>
      <c r="AI29" s="104" t="n">
        <f aca="false">AI11+AI23-AI28</f>
        <v>0</v>
      </c>
      <c r="AJ29" s="104" t="n">
        <f aca="false">AJ11+AJ23-AJ28</f>
        <v>0</v>
      </c>
      <c r="AK29" s="104" t="n">
        <f aca="false">AK11+AK23-AK28</f>
        <v>0</v>
      </c>
      <c r="AL29" s="104" t="n">
        <f aca="false">AL11+AL23-AL28</f>
        <v>0</v>
      </c>
    </row>
    <row r="31" customFormat="false" ht="15.75" hidden="false" customHeight="true" outlineLevel="0" collapsed="false">
      <c r="A31" s="7" t="s">
        <v>42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379</v>
      </c>
      <c r="C32" s="108" t="n">
        <f aca="false">Inputs!$E$27*(1+Inputs!$E$30)^(C$5-1)</f>
        <v>13</v>
      </c>
      <c r="D32" s="108" t="n">
        <f aca="false">Inputs!$E$27*(1+Inputs!$E$30)^(D$5-1)</f>
        <v>13</v>
      </c>
      <c r="E32" s="108" t="n">
        <f aca="false">Inputs!$E$27*(1+Inputs!$E$30)^(E$5-1)</f>
        <v>13</v>
      </c>
      <c r="F32" s="108" t="n">
        <f aca="false">Inputs!$E$27*(1+Inputs!$E$30)^(F$5-1)</f>
        <v>13</v>
      </c>
      <c r="G32" s="108" t="n">
        <f aca="false">Inputs!$E$27*(1+Inputs!$E$30)^(G$5-1)</f>
        <v>13</v>
      </c>
      <c r="H32" s="108" t="n">
        <f aca="false">Inputs!$E$27*(1+Inputs!$E$30)^(H$5-1)</f>
        <v>13</v>
      </c>
      <c r="I32" s="108" t="n">
        <f aca="false">Inputs!$E$27*(1+Inputs!$E$30)^(I$5-1)</f>
        <v>13</v>
      </c>
      <c r="J32" s="108" t="n">
        <f aca="false">Inputs!$E$27*(1+Inputs!$E$30)^(J$5-1)</f>
        <v>13</v>
      </c>
      <c r="K32" s="108" t="n">
        <f aca="false">Inputs!$E$27*(1+Inputs!$E$30)^(K$5-1)</f>
        <v>13</v>
      </c>
      <c r="L32" s="108" t="n">
        <f aca="false">Inputs!$E$27*(1+Inputs!$E$30)^(L$5-1)</f>
        <v>13</v>
      </c>
      <c r="M32" s="108" t="n">
        <f aca="false">Inputs!$E$27*(1+Inputs!$E$30)^(M$5-1)</f>
        <v>13</v>
      </c>
      <c r="N32" s="108" t="n">
        <f aca="false">Inputs!$E$27*(1+Inputs!$E$30)^(N$5-1)</f>
        <v>13</v>
      </c>
      <c r="O32" s="108" t="n">
        <f aca="false">Inputs!$E$27*(1+Inputs!$E$30)^(O$5-1)</f>
        <v>13.26</v>
      </c>
      <c r="P32" s="108" t="n">
        <f aca="false">Inputs!$E$27*(1+Inputs!$E$30)^(P$5-1)</f>
        <v>13.26</v>
      </c>
      <c r="Q32" s="108" t="n">
        <f aca="false">Inputs!$E$27*(1+Inputs!$E$30)^(Q$5-1)</f>
        <v>13.26</v>
      </c>
      <c r="R32" s="108" t="n">
        <f aca="false">Inputs!$E$27*(1+Inputs!$E$30)^(R$5-1)</f>
        <v>13.26</v>
      </c>
      <c r="S32" s="108" t="n">
        <f aca="false">Inputs!$E$27*(1+Inputs!$E$30)^(S$5-1)</f>
        <v>13.26</v>
      </c>
      <c r="T32" s="108" t="n">
        <f aca="false">Inputs!$E$27*(1+Inputs!$E$30)^(T$5-1)</f>
        <v>13.26</v>
      </c>
      <c r="U32" s="108" t="n">
        <f aca="false">Inputs!$E$27*(1+Inputs!$E$30)^(U$5-1)</f>
        <v>13.26</v>
      </c>
      <c r="V32" s="108" t="n">
        <f aca="false">Inputs!$E$27*(1+Inputs!$E$30)^(V$5-1)</f>
        <v>13.26</v>
      </c>
      <c r="W32" s="108" t="n">
        <f aca="false">Inputs!$E$27*(1+Inputs!$E$30)^(W$5-1)</f>
        <v>13.26</v>
      </c>
      <c r="X32" s="108" t="n">
        <f aca="false">Inputs!$E$27*(1+Inputs!$E$30)^(X$5-1)</f>
        <v>13.26</v>
      </c>
      <c r="Y32" s="108" t="n">
        <f aca="false">Inputs!$E$27*(1+Inputs!$E$30)^(Y$5-1)</f>
        <v>13.26</v>
      </c>
      <c r="Z32" s="108" t="n">
        <f aca="false">Inputs!$E$27*(1+Inputs!$E$30)^(Z$5-1)</f>
        <v>13.26</v>
      </c>
      <c r="AA32" s="108" t="n">
        <f aca="false">Inputs!$E$27*(1+Inputs!$E$30)^(AA$5-1)</f>
        <v>13.5252</v>
      </c>
      <c r="AB32" s="108" t="n">
        <f aca="false">Inputs!$E$27*(1+Inputs!$E$30)^(AB$5-1)</f>
        <v>13.5252</v>
      </c>
      <c r="AC32" s="108" t="n">
        <f aca="false">Inputs!$E$27*(1+Inputs!$E$30)^(AC$5-1)</f>
        <v>13.5252</v>
      </c>
      <c r="AD32" s="108" t="n">
        <f aca="false">Inputs!$E$27*(1+Inputs!$E$30)^(AD$5-1)</f>
        <v>13.5252</v>
      </c>
      <c r="AE32" s="108" t="n">
        <f aca="false">Inputs!$E$27*(1+Inputs!$E$30)^(AE$5-1)</f>
        <v>13.5252</v>
      </c>
      <c r="AF32" s="108" t="n">
        <f aca="false">Inputs!$E$27*(1+Inputs!$E$30)^(AF$5-1)</f>
        <v>13.5252</v>
      </c>
      <c r="AG32" s="108" t="n">
        <f aca="false">Inputs!$E$27*(1+Inputs!$E$30)^(AG$5-1)</f>
        <v>13.5252</v>
      </c>
      <c r="AH32" s="108" t="n">
        <f aca="false">Inputs!$E$27*(1+Inputs!$E$30)^(AH$5-1)</f>
        <v>13.5252</v>
      </c>
      <c r="AI32" s="108" t="n">
        <f aca="false">Inputs!$E$27*(1+Inputs!$E$30)^(AI$5-1)</f>
        <v>13.5252</v>
      </c>
      <c r="AJ32" s="108" t="n">
        <f aca="false">Inputs!$E$27*(1+Inputs!$E$30)^(AJ$5-1)</f>
        <v>13.5252</v>
      </c>
      <c r="AK32" s="108" t="n">
        <f aca="false">Inputs!$E$27*(1+Inputs!$E$30)^(AK$5-1)</f>
        <v>13.5252</v>
      </c>
      <c r="AL32" s="108" t="n">
        <f aca="false">Inputs!$E$27*(1+Inputs!$E$30)^(AL$5-1)</f>
        <v>13.5252</v>
      </c>
    </row>
    <row r="33" customFormat="false" ht="15" hidden="false" customHeight="false" outlineLevel="0" collapsed="false">
      <c r="A33" s="6" t="s">
        <v>380</v>
      </c>
      <c r="C33" s="108" t="n">
        <f aca="false">Inputs!$E$29*(1+Inputs!$E$30)^(C$5-1)</f>
        <v>35</v>
      </c>
      <c r="D33" s="108" t="n">
        <f aca="false">Inputs!$E$29*(1+Inputs!$E$30)^(D$5-1)</f>
        <v>35</v>
      </c>
      <c r="E33" s="108" t="n">
        <f aca="false">Inputs!$E$29*(1+Inputs!$E$30)^(E$5-1)</f>
        <v>35</v>
      </c>
      <c r="F33" s="108" t="n">
        <f aca="false">Inputs!$E$29*(1+Inputs!$E$30)^(F$5-1)</f>
        <v>35</v>
      </c>
      <c r="G33" s="108" t="n">
        <f aca="false">Inputs!$E$29*(1+Inputs!$E$30)^(G$5-1)</f>
        <v>35</v>
      </c>
      <c r="H33" s="108" t="n">
        <f aca="false">Inputs!$E$29*(1+Inputs!$E$30)^(H$5-1)</f>
        <v>35</v>
      </c>
      <c r="I33" s="108" t="n">
        <f aca="false">Inputs!$E$29*(1+Inputs!$E$30)^(I$5-1)</f>
        <v>35</v>
      </c>
      <c r="J33" s="108" t="n">
        <f aca="false">Inputs!$E$29*(1+Inputs!$E$30)^(J$5-1)</f>
        <v>35</v>
      </c>
      <c r="K33" s="108" t="n">
        <f aca="false">Inputs!$E$29*(1+Inputs!$E$30)^(K$5-1)</f>
        <v>35</v>
      </c>
      <c r="L33" s="108" t="n">
        <f aca="false">Inputs!$E$29*(1+Inputs!$E$30)^(L$5-1)</f>
        <v>35</v>
      </c>
      <c r="M33" s="108" t="n">
        <f aca="false">Inputs!$E$29*(1+Inputs!$E$30)^(M$5-1)</f>
        <v>35</v>
      </c>
      <c r="N33" s="108" t="n">
        <f aca="false">Inputs!$E$29*(1+Inputs!$E$30)^(N$5-1)</f>
        <v>35</v>
      </c>
      <c r="O33" s="108" t="n">
        <f aca="false">Inputs!$E$29*(1+Inputs!$E$30)^(O$5-1)</f>
        <v>35.7</v>
      </c>
      <c r="P33" s="108" t="n">
        <f aca="false">Inputs!$E$29*(1+Inputs!$E$30)^(P$5-1)</f>
        <v>35.7</v>
      </c>
      <c r="Q33" s="108" t="n">
        <f aca="false">Inputs!$E$29*(1+Inputs!$E$30)^(Q$5-1)</f>
        <v>35.7</v>
      </c>
      <c r="R33" s="108" t="n">
        <f aca="false">Inputs!$E$29*(1+Inputs!$E$30)^(R$5-1)</f>
        <v>35.7</v>
      </c>
      <c r="S33" s="108" t="n">
        <f aca="false">Inputs!$E$29*(1+Inputs!$E$30)^(S$5-1)</f>
        <v>35.7</v>
      </c>
      <c r="T33" s="108" t="n">
        <f aca="false">Inputs!$E$29*(1+Inputs!$E$30)^(T$5-1)</f>
        <v>35.7</v>
      </c>
      <c r="U33" s="108" t="n">
        <f aca="false">Inputs!$E$29*(1+Inputs!$E$30)^(U$5-1)</f>
        <v>35.7</v>
      </c>
      <c r="V33" s="108" t="n">
        <f aca="false">Inputs!$E$29*(1+Inputs!$E$30)^(V$5-1)</f>
        <v>35.7</v>
      </c>
      <c r="W33" s="108" t="n">
        <f aca="false">Inputs!$E$29*(1+Inputs!$E$30)^(W$5-1)</f>
        <v>35.7</v>
      </c>
      <c r="X33" s="108" t="n">
        <f aca="false">Inputs!$E$29*(1+Inputs!$E$30)^(X$5-1)</f>
        <v>35.7</v>
      </c>
      <c r="Y33" s="108" t="n">
        <f aca="false">Inputs!$E$29*(1+Inputs!$E$30)^(Y$5-1)</f>
        <v>35.7</v>
      </c>
      <c r="Z33" s="108" t="n">
        <f aca="false">Inputs!$E$29*(1+Inputs!$E$30)^(Z$5-1)</f>
        <v>35.7</v>
      </c>
      <c r="AA33" s="108" t="n">
        <f aca="false">Inputs!$E$29*(1+Inputs!$E$30)^(AA$5-1)</f>
        <v>36.414</v>
      </c>
      <c r="AB33" s="108" t="n">
        <f aca="false">Inputs!$E$29*(1+Inputs!$E$30)^(AB$5-1)</f>
        <v>36.414</v>
      </c>
      <c r="AC33" s="108" t="n">
        <f aca="false">Inputs!$E$29*(1+Inputs!$E$30)^(AC$5-1)</f>
        <v>36.414</v>
      </c>
      <c r="AD33" s="108" t="n">
        <f aca="false">Inputs!$E$29*(1+Inputs!$E$30)^(AD$5-1)</f>
        <v>36.414</v>
      </c>
      <c r="AE33" s="108" t="n">
        <f aca="false">Inputs!$E$29*(1+Inputs!$E$30)^(AE$5-1)</f>
        <v>36.414</v>
      </c>
      <c r="AF33" s="108" t="n">
        <f aca="false">Inputs!$E$29*(1+Inputs!$E$30)^(AF$5-1)</f>
        <v>36.414</v>
      </c>
      <c r="AG33" s="108" t="n">
        <f aca="false">Inputs!$E$29*(1+Inputs!$E$30)^(AG$5-1)</f>
        <v>36.414</v>
      </c>
      <c r="AH33" s="108" t="n">
        <f aca="false">Inputs!$E$29*(1+Inputs!$E$30)^(AH$5-1)</f>
        <v>36.414</v>
      </c>
      <c r="AI33" s="108" t="n">
        <f aca="false">Inputs!$E$29*(1+Inputs!$E$30)^(AI$5-1)</f>
        <v>36.414</v>
      </c>
      <c r="AJ33" s="108" t="n">
        <f aca="false">Inputs!$E$29*(1+Inputs!$E$30)^(AJ$5-1)</f>
        <v>36.414</v>
      </c>
      <c r="AK33" s="108" t="n">
        <f aca="false">Inputs!$E$29*(1+Inputs!$E$30)^(AK$5-1)</f>
        <v>36.414</v>
      </c>
      <c r="AL33" s="108" t="n">
        <f aca="false">Inputs!$E$29*(1+Inputs!$E$30)^(AL$5-1)</f>
        <v>36.414</v>
      </c>
    </row>
    <row r="34" customFormat="false" ht="15" hidden="false" customHeight="false" outlineLevel="0" collapsed="false">
      <c r="A34" s="6" t="s">
        <v>381</v>
      </c>
      <c r="C34" s="54" t="n">
        <f aca="false">C26*C32</f>
        <v>34608.6</v>
      </c>
      <c r="D34" s="54" t="n">
        <f aca="false">D26*D32</f>
        <v>39308.5333333333</v>
      </c>
      <c r="E34" s="54" t="n">
        <f aca="false">E26*E32</f>
        <v>54363.4</v>
      </c>
      <c r="F34" s="54" t="n">
        <f aca="false">F26*F32</f>
        <v>60169.2</v>
      </c>
      <c r="G34" s="54" t="n">
        <f aca="false">G26*G32</f>
        <v>65975</v>
      </c>
      <c r="H34" s="54" t="n">
        <f aca="false">H26*H32</f>
        <v>71780.8</v>
      </c>
      <c r="I34" s="54" t="n">
        <f aca="false">I26*I32</f>
        <v>77586.6</v>
      </c>
      <c r="J34" s="54" t="n">
        <f aca="false">J26*J32</f>
        <v>83392.4</v>
      </c>
      <c r="K34" s="54" t="n">
        <f aca="false">K26*K32</f>
        <v>89198.2</v>
      </c>
      <c r="L34" s="54" t="n">
        <f aca="false">L26*L32</f>
        <v>95004</v>
      </c>
      <c r="M34" s="54" t="n">
        <f aca="false">M26*M32</f>
        <v>95004</v>
      </c>
      <c r="N34" s="54" t="n">
        <f aca="false">N26*N32</f>
        <v>76908</v>
      </c>
      <c r="O34" s="54" t="n">
        <f aca="false">O26*O32</f>
        <v>78446.16</v>
      </c>
      <c r="P34" s="54" t="n">
        <f aca="false">P26*P32</f>
        <v>78446.16</v>
      </c>
      <c r="Q34" s="54" t="n">
        <f aca="false">Q26*Q32</f>
        <v>96904.08</v>
      </c>
      <c r="R34" s="54" t="n">
        <f aca="false">R26*R32</f>
        <v>96904.08</v>
      </c>
      <c r="S34" s="54" t="n">
        <f aca="false">S26*S32</f>
        <v>96904.08</v>
      </c>
      <c r="T34" s="54" t="n">
        <f aca="false">T26*T32</f>
        <v>96904.08</v>
      </c>
      <c r="U34" s="54" t="n">
        <f aca="false">U26*U32</f>
        <v>96904.08</v>
      </c>
      <c r="V34" s="54" t="n">
        <f aca="false">V26*V32</f>
        <v>96904.08</v>
      </c>
      <c r="W34" s="54" t="n">
        <f aca="false">W26*W32</f>
        <v>96904.08</v>
      </c>
      <c r="X34" s="54" t="n">
        <f aca="false">X26*X32</f>
        <v>96904.08</v>
      </c>
      <c r="Y34" s="54" t="n">
        <f aca="false">Y26*Y32</f>
        <v>96904.08</v>
      </c>
      <c r="Z34" s="54" t="n">
        <f aca="false">Z26*Z32</f>
        <v>78446.16</v>
      </c>
      <c r="AA34" s="54" t="n">
        <f aca="false">AA26*AA32</f>
        <v>80015.0832</v>
      </c>
      <c r="AB34" s="54" t="n">
        <f aca="false">AB26*AB32</f>
        <v>80015.0832</v>
      </c>
      <c r="AC34" s="54" t="n">
        <f aca="false">AC26*AC32</f>
        <v>98842.1616</v>
      </c>
      <c r="AD34" s="54" t="n">
        <f aca="false">AD26*AD32</f>
        <v>98842.1616</v>
      </c>
      <c r="AE34" s="54" t="n">
        <f aca="false">AE26*AE32</f>
        <v>98842.1616</v>
      </c>
      <c r="AF34" s="54" t="n">
        <f aca="false">AF26*AF32</f>
        <v>98842.1616</v>
      </c>
      <c r="AG34" s="54" t="n">
        <f aca="false">AG26*AG32</f>
        <v>98842.1616</v>
      </c>
      <c r="AH34" s="54" t="n">
        <f aca="false">AH26*AH32</f>
        <v>98842.1616</v>
      </c>
      <c r="AI34" s="54" t="n">
        <f aca="false">AI26*AI32</f>
        <v>98842.1616</v>
      </c>
      <c r="AJ34" s="54" t="n">
        <f aca="false">AJ26*AJ32</f>
        <v>98842.1616</v>
      </c>
      <c r="AK34" s="54" t="n">
        <f aca="false">AK26*AK32</f>
        <v>98842.1616</v>
      </c>
      <c r="AL34" s="54" t="n">
        <f aca="false">AL26*AL32</f>
        <v>80015.0832</v>
      </c>
    </row>
    <row r="35" customFormat="false" ht="15" hidden="false" customHeight="false" outlineLevel="0" collapsed="false">
      <c r="A35" s="6" t="s">
        <v>382</v>
      </c>
      <c r="C35" s="54" t="n">
        <f aca="false">C26*Inputs!$E$28*(1+Inputs!$E$30)^(C$5-1)</f>
        <v>3993.3</v>
      </c>
      <c r="D35" s="54" t="n">
        <f aca="false">D26*Inputs!$E$28*(1+Inputs!$E$30)^(D$5-1)</f>
        <v>4535.6</v>
      </c>
      <c r="E35" s="54" t="n">
        <f aca="false">E26*Inputs!$E$28*(1+Inputs!$E$30)^(E$5-1)</f>
        <v>6272.7</v>
      </c>
      <c r="F35" s="54" t="n">
        <f aca="false">F26*Inputs!$E$28*(1+Inputs!$E$30)^(F$5-1)</f>
        <v>6942.6</v>
      </c>
      <c r="G35" s="54" t="n">
        <f aca="false">G26*Inputs!$E$28*(1+Inputs!$E$30)^(G$5-1)</f>
        <v>7612.5</v>
      </c>
      <c r="H35" s="54" t="n">
        <f aca="false">H26*Inputs!$E$28*(1+Inputs!$E$30)^(H$5-1)</f>
        <v>8282.4</v>
      </c>
      <c r="I35" s="54" t="n">
        <f aca="false">I26*Inputs!$E$28*(1+Inputs!$E$30)^(I$5-1)</f>
        <v>8952.3</v>
      </c>
      <c r="J35" s="54" t="n">
        <f aca="false">J26*Inputs!$E$28*(1+Inputs!$E$30)^(J$5-1)</f>
        <v>9622.2</v>
      </c>
      <c r="K35" s="54" t="n">
        <f aca="false">K26*Inputs!$E$28*(1+Inputs!$E$30)^(K$5-1)</f>
        <v>10292.1</v>
      </c>
      <c r="L35" s="54" t="n">
        <f aca="false">L26*Inputs!$E$28*(1+Inputs!$E$30)^(L$5-1)</f>
        <v>10962</v>
      </c>
      <c r="M35" s="54" t="n">
        <f aca="false">M26*Inputs!$E$28*(1+Inputs!$E$30)^(M$5-1)</f>
        <v>10962</v>
      </c>
      <c r="N35" s="54" t="n">
        <f aca="false">N26*Inputs!$E$28*(1+Inputs!$E$30)^(N$5-1)</f>
        <v>8874</v>
      </c>
      <c r="O35" s="54" t="n">
        <f aca="false">O26*Inputs!$E$28*(1+Inputs!$E$30)^(O$5-1)</f>
        <v>9051.48</v>
      </c>
      <c r="P35" s="54" t="n">
        <f aca="false">P26*Inputs!$E$28*(1+Inputs!$E$30)^(P$5-1)</f>
        <v>9051.48</v>
      </c>
      <c r="Q35" s="54" t="n">
        <f aca="false">Q26*Inputs!$E$28*(1+Inputs!$E$30)^(Q$5-1)</f>
        <v>11181.24</v>
      </c>
      <c r="R35" s="54" t="n">
        <f aca="false">R26*Inputs!$E$28*(1+Inputs!$E$30)^(R$5-1)</f>
        <v>11181.24</v>
      </c>
      <c r="S35" s="54" t="n">
        <f aca="false">S26*Inputs!$E$28*(1+Inputs!$E$30)^(S$5-1)</f>
        <v>11181.24</v>
      </c>
      <c r="T35" s="54" t="n">
        <f aca="false">T26*Inputs!$E$28*(1+Inputs!$E$30)^(T$5-1)</f>
        <v>11181.24</v>
      </c>
      <c r="U35" s="54" t="n">
        <f aca="false">U26*Inputs!$E$28*(1+Inputs!$E$30)^(U$5-1)</f>
        <v>11181.24</v>
      </c>
      <c r="V35" s="54" t="n">
        <f aca="false">V26*Inputs!$E$28*(1+Inputs!$E$30)^(V$5-1)</f>
        <v>11181.24</v>
      </c>
      <c r="W35" s="54" t="n">
        <f aca="false">W26*Inputs!$E$28*(1+Inputs!$E$30)^(W$5-1)</f>
        <v>11181.24</v>
      </c>
      <c r="X35" s="54" t="n">
        <f aca="false">X26*Inputs!$E$28*(1+Inputs!$E$30)^(X$5-1)</f>
        <v>11181.24</v>
      </c>
      <c r="Y35" s="54" t="n">
        <f aca="false">Y26*Inputs!$E$28*(1+Inputs!$E$30)^(Y$5-1)</f>
        <v>11181.24</v>
      </c>
      <c r="Z35" s="54" t="n">
        <f aca="false">Z26*Inputs!$E$28*(1+Inputs!$E$30)^(Z$5-1)</f>
        <v>9051.48</v>
      </c>
      <c r="AA35" s="54" t="n">
        <f aca="false">AA26*Inputs!$E$28*(1+Inputs!$E$30)^(AA$5-1)</f>
        <v>9232.5096</v>
      </c>
      <c r="AB35" s="54" t="n">
        <f aca="false">AB26*Inputs!$E$28*(1+Inputs!$E$30)^(AB$5-1)</f>
        <v>9232.5096</v>
      </c>
      <c r="AC35" s="54" t="n">
        <f aca="false">AC26*Inputs!$E$28*(1+Inputs!$E$30)^(AC$5-1)</f>
        <v>11404.8648</v>
      </c>
      <c r="AD35" s="54" t="n">
        <f aca="false">AD26*Inputs!$E$28*(1+Inputs!$E$30)^(AD$5-1)</f>
        <v>11404.8648</v>
      </c>
      <c r="AE35" s="54" t="n">
        <f aca="false">AE26*Inputs!$E$28*(1+Inputs!$E$30)^(AE$5-1)</f>
        <v>11404.8648</v>
      </c>
      <c r="AF35" s="54" t="n">
        <f aca="false">AF26*Inputs!$E$28*(1+Inputs!$E$30)^(AF$5-1)</f>
        <v>11404.8648</v>
      </c>
      <c r="AG35" s="54" t="n">
        <f aca="false">AG26*Inputs!$E$28*(1+Inputs!$E$30)^(AG$5-1)</f>
        <v>11404.8648</v>
      </c>
      <c r="AH35" s="54" t="n">
        <f aca="false">AH26*Inputs!$E$28*(1+Inputs!$E$30)^(AH$5-1)</f>
        <v>11404.8648</v>
      </c>
      <c r="AI35" s="54" t="n">
        <f aca="false">AI26*Inputs!$E$28*(1+Inputs!$E$30)^(AI$5-1)</f>
        <v>11404.8648</v>
      </c>
      <c r="AJ35" s="54" t="n">
        <f aca="false">AJ26*Inputs!$E$28*(1+Inputs!$E$30)^(AJ$5-1)</f>
        <v>11404.8648</v>
      </c>
      <c r="AK35" s="54" t="n">
        <f aca="false">AK26*Inputs!$E$28*(1+Inputs!$E$30)^(AK$5-1)</f>
        <v>11404.8648</v>
      </c>
      <c r="AL35" s="54" t="n">
        <f aca="false">AL26*Inputs!$E$28*(1+Inputs!$E$30)^(AL$5-1)</f>
        <v>9232.5096</v>
      </c>
    </row>
    <row r="36" customFormat="false" ht="15" hidden="false" customHeight="false" outlineLevel="0" collapsed="false">
      <c r="A36" s="6" t="s">
        <v>208</v>
      </c>
      <c r="C36" s="54" t="n">
        <f aca="false">C20*C33*1</f>
        <v>9341.458</v>
      </c>
      <c r="D36" s="54" t="n">
        <f aca="false">D20*D33*1</f>
        <v>10604.8025688889</v>
      </c>
      <c r="E36" s="54" t="n">
        <f aca="false">E20*E33*1</f>
        <v>12137.3017994667</v>
      </c>
      <c r="F36" s="54" t="n">
        <f aca="false">F20*F33*1</f>
        <v>13940.0988385991</v>
      </c>
      <c r="G36" s="54" t="n">
        <f aca="false">G20*G33*1</f>
        <v>15902.7764406107</v>
      </c>
      <c r="H36" s="54" t="n">
        <f aca="false">H20*H33*1</f>
        <v>18018.9393829863</v>
      </c>
      <c r="I36" s="54" t="n">
        <f aca="false">I20*I33*1</f>
        <v>20282.4482521113</v>
      </c>
      <c r="J36" s="54" t="n">
        <f aca="false">J20*J33*1</f>
        <v>22687.4092109157</v>
      </c>
      <c r="K36" s="54" t="n">
        <f aca="false">K20*K33*1</f>
        <v>25228.1641758124</v>
      </c>
      <c r="L36" s="54" t="n">
        <f aca="false">L20*L33*1</f>
        <v>27899.2813865577</v>
      </c>
      <c r="M36" s="54" t="n">
        <f aca="false">M20*M33*1</f>
        <v>30579.5501310954</v>
      </c>
      <c r="N36" s="54" t="n">
        <f aca="false">N20*N33*1</f>
        <v>32957.7281258516</v>
      </c>
      <c r="O36" s="54" t="n">
        <f aca="false">O20*O33*1</f>
        <v>35791.4419808339</v>
      </c>
      <c r="P36" s="54" t="n">
        <f aca="false">P20*P33*1</f>
        <v>37923.6439016005</v>
      </c>
      <c r="Q36" s="54" t="n">
        <f aca="false">Q20*Q33*1</f>
        <v>40169.3353455365</v>
      </c>
      <c r="R36" s="54" t="n">
        <f aca="false">R20*R33*1</f>
        <v>42523.976731715</v>
      </c>
      <c r="S36" s="54" t="n">
        <f aca="false">S20*S33*1</f>
        <v>44784.4324624464</v>
      </c>
      <c r="T36" s="54" t="n">
        <f aca="false">T20*T33*1</f>
        <v>46954.4699639486</v>
      </c>
      <c r="U36" s="54" t="n">
        <f aca="false">U20*U33*1</f>
        <v>49037.7059653906</v>
      </c>
      <c r="V36" s="54" t="n">
        <f aca="false">V20*V33*1</f>
        <v>51037.612526775</v>
      </c>
      <c r="W36" s="54" t="n">
        <f aca="false">W20*W33*1</f>
        <v>52957.522825704</v>
      </c>
      <c r="X36" s="54" t="n">
        <f aca="false">X20*X33*1</f>
        <v>54800.6367126758</v>
      </c>
      <c r="Y36" s="54" t="n">
        <f aca="false">Y20*Y33*1</f>
        <v>56570.0260441688</v>
      </c>
      <c r="Z36" s="54" t="n">
        <f aca="false">Z20*Z33*1</f>
        <v>58069.862202402</v>
      </c>
      <c r="AA36" s="54" t="n">
        <f aca="false">AA20*AA33*1</f>
        <v>60544.9392355921</v>
      </c>
      <c r="AB36" s="54" t="n">
        <f aca="false">AB20*AB33*1</f>
        <v>61853.8652081684</v>
      </c>
      <c r="AC36" s="54" t="n">
        <f aca="false">AC20*AC33*1</f>
        <v>63313.1872938416</v>
      </c>
      <c r="AD36" s="54" t="n">
        <f aca="false">AD20*AD33*1</f>
        <v>64916.889648088</v>
      </c>
      <c r="AE36" s="54" t="n">
        <f aca="false">AE20*AE33*1</f>
        <v>66456.4439081644</v>
      </c>
      <c r="AF36" s="54" t="n">
        <f aca="false">AF20*AF33*1</f>
        <v>67934.4159978379</v>
      </c>
      <c r="AG36" s="54" t="n">
        <f aca="false">AG20*AG33*1</f>
        <v>69353.2692039243</v>
      </c>
      <c r="AH36" s="54" t="n">
        <f aca="false">AH20*AH33*1</f>
        <v>70715.3682817674</v>
      </c>
      <c r="AI36" s="54" t="n">
        <f aca="false">AI20*AI33*1</f>
        <v>72022.9833964967</v>
      </c>
      <c r="AJ36" s="54" t="n">
        <f aca="false">AJ20*AJ33*1</f>
        <v>73278.2939066368</v>
      </c>
      <c r="AK36" s="54" t="n">
        <f aca="false">AK20*AK33*1</f>
        <v>74483.3919963713</v>
      </c>
      <c r="AL36" s="54" t="n">
        <f aca="false">AL20*AL33*1</f>
        <v>75437.5330105165</v>
      </c>
    </row>
    <row r="37" customFormat="false" ht="15" hidden="false" customHeight="false" outlineLevel="0" collapsed="false">
      <c r="A37" s="99" t="s">
        <v>42</v>
      </c>
      <c r="C37" s="55" t="n">
        <f aca="false">C34+C35+C36</f>
        <v>47943.358</v>
      </c>
      <c r="D37" s="55" t="n">
        <f aca="false">D34+D35+D36</f>
        <v>54448.9359022222</v>
      </c>
      <c r="E37" s="55" t="n">
        <f aca="false">E34+E35+E36</f>
        <v>72773.4017994667</v>
      </c>
      <c r="F37" s="55" t="n">
        <f aca="false">F34+F35+F36</f>
        <v>81051.8988385991</v>
      </c>
      <c r="G37" s="55" t="n">
        <f aca="false">G34+G35+G36</f>
        <v>89490.2764406107</v>
      </c>
      <c r="H37" s="55" t="n">
        <f aca="false">H34+H35+H36</f>
        <v>98082.1393829863</v>
      </c>
      <c r="I37" s="55" t="n">
        <f aca="false">I34+I35+I36</f>
        <v>106821.348252111</v>
      </c>
      <c r="J37" s="55" t="n">
        <f aca="false">J34+J35+J36</f>
        <v>115702.009210916</v>
      </c>
      <c r="K37" s="55" t="n">
        <f aca="false">K34+K35+K36</f>
        <v>124718.464175812</v>
      </c>
      <c r="L37" s="55" t="n">
        <f aca="false">L34+L35+L36</f>
        <v>133865.281386558</v>
      </c>
      <c r="M37" s="55" t="n">
        <f aca="false">M34+M35+M36</f>
        <v>136545.550131095</v>
      </c>
      <c r="N37" s="55" t="n">
        <f aca="false">N34+N35+N36</f>
        <v>118739.728125852</v>
      </c>
      <c r="O37" s="55" t="n">
        <f aca="false">O34+O35+O36</f>
        <v>123289.081980834</v>
      </c>
      <c r="P37" s="55" t="n">
        <f aca="false">P34+P35+P36</f>
        <v>125421.283901601</v>
      </c>
      <c r="Q37" s="55" t="n">
        <f aca="false">Q34+Q35+Q36</f>
        <v>148254.655345536</v>
      </c>
      <c r="R37" s="55" t="n">
        <f aca="false">R34+R35+R36</f>
        <v>150609.296731715</v>
      </c>
      <c r="S37" s="55" t="n">
        <f aca="false">S34+S35+S36</f>
        <v>152869.752462446</v>
      </c>
      <c r="T37" s="55" t="n">
        <f aca="false">T34+T35+T36</f>
        <v>155039.789963949</v>
      </c>
      <c r="U37" s="55" t="n">
        <f aca="false">U34+U35+U36</f>
        <v>157123.025965391</v>
      </c>
      <c r="V37" s="55" t="n">
        <f aca="false">V34+V35+V36</f>
        <v>159122.932526775</v>
      </c>
      <c r="W37" s="55" t="n">
        <f aca="false">W34+W35+W36</f>
        <v>161042.842825704</v>
      </c>
      <c r="X37" s="55" t="n">
        <f aca="false">X34+X35+X36</f>
        <v>162885.956712676</v>
      </c>
      <c r="Y37" s="55" t="n">
        <f aca="false">Y34+Y35+Y36</f>
        <v>164655.346044169</v>
      </c>
      <c r="Z37" s="55" t="n">
        <f aca="false">Z34+Z35+Z36</f>
        <v>145567.502202402</v>
      </c>
      <c r="AA37" s="55" t="n">
        <f aca="false">AA34+AA35+AA36</f>
        <v>149792.532035592</v>
      </c>
      <c r="AB37" s="55" t="n">
        <f aca="false">AB34+AB35+AB36</f>
        <v>151101.458008168</v>
      </c>
      <c r="AC37" s="55" t="n">
        <f aca="false">AC34+AC35+AC36</f>
        <v>173560.213693842</v>
      </c>
      <c r="AD37" s="55" t="n">
        <f aca="false">AD34+AD35+AD36</f>
        <v>175163.916048088</v>
      </c>
      <c r="AE37" s="55" t="n">
        <f aca="false">AE34+AE35+AE36</f>
        <v>176703.470308164</v>
      </c>
      <c r="AF37" s="55" t="n">
        <f aca="false">AF34+AF35+AF36</f>
        <v>178181.442397838</v>
      </c>
      <c r="AG37" s="55" t="n">
        <f aca="false">AG34+AG35+AG36</f>
        <v>179600.295603924</v>
      </c>
      <c r="AH37" s="55" t="n">
        <f aca="false">AH34+AH35+AH36</f>
        <v>180962.394681767</v>
      </c>
      <c r="AI37" s="55" t="n">
        <f aca="false">AI34+AI35+AI36</f>
        <v>182270.009796497</v>
      </c>
      <c r="AJ37" s="55" t="n">
        <f aca="false">AJ34+AJ35+AJ36</f>
        <v>183525.320306637</v>
      </c>
      <c r="AK37" s="55" t="n">
        <f aca="false">AK34+AK35+AK36</f>
        <v>184730.418396371</v>
      </c>
      <c r="AL37" s="55" t="n">
        <f aca="false">AL34+AL35+AL36</f>
        <v>164685.125810516</v>
      </c>
    </row>
    <row r="39" customFormat="false" ht="15.75" hidden="false" customHeight="true" outlineLevel="0" collapsed="false">
      <c r="A39" s="7" t="s">
        <v>74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</row>
    <row r="40" customFormat="false" ht="15" hidden="false" customHeight="false" outlineLevel="0" collapsed="false">
      <c r="A40" s="6" t="s">
        <v>383</v>
      </c>
      <c r="C40" s="54" t="n">
        <f aca="false">-C28*Inputs!$E$33*(1+Inputs!$E$38)^(C$5-1)</f>
        <v>-2937.7903405</v>
      </c>
      <c r="D40" s="54" t="n">
        <f aca="false">-D28*Inputs!$E$33*(1+Inputs!$E$38)^(D$5-1)</f>
        <v>-3336.37031893556</v>
      </c>
      <c r="E40" s="54" t="n">
        <f aca="false">-E28*Inputs!$E$33*(1+Inputs!$E$38)^(E$5-1)</f>
        <v>-4637.7841856024</v>
      </c>
      <c r="F40" s="54" t="n">
        <f aca="false">-F28*Inputs!$E$33*(1+Inputs!$E$38)^(F$5-1)</f>
        <v>-5178.29382134497</v>
      </c>
      <c r="G40" s="54" t="n">
        <f aca="false">-G28*Inputs!$E$33*(1+Inputs!$E$38)^(G$5-1)</f>
        <v>-5733.07279732451</v>
      </c>
      <c r="H40" s="54" t="n">
        <f aca="false">-H28*Inputs!$E$33*(1+Inputs!$E$38)^(H$5-1)</f>
        <v>-6301.55033993153</v>
      </c>
      <c r="I40" s="54" t="n">
        <f aca="false">-I28*Inputs!$E$33*(1+Inputs!$E$38)^(I$5-1)</f>
        <v>-6883.17850650093</v>
      </c>
      <c r="J40" s="54" t="n">
        <f aca="false">-J28*Inputs!$E$33*(1+Inputs!$E$38)^(J$5-1)</f>
        <v>-7477.43127207423</v>
      </c>
      <c r="K40" s="54" t="n">
        <f aca="false">-K28*Inputs!$E$33*(1+Inputs!$E$38)^(K$5-1)</f>
        <v>-8083.80365269126</v>
      </c>
      <c r="L40" s="54" t="n">
        <f aca="false">-L28*Inputs!$E$33*(1+Inputs!$E$38)^(L$5-1)</f>
        <v>-8701.81086375027</v>
      </c>
      <c r="M40" s="54" t="n">
        <f aca="false">-M28*Inputs!$E$33*(1+Inputs!$E$38)^(M$5-1)</f>
        <v>-8941.02484920026</v>
      </c>
      <c r="N40" s="54" t="n">
        <f aca="false">-N28*Inputs!$E$33*(1+Inputs!$E$38)^(N$5-1)</f>
        <v>-7409.79585709278</v>
      </c>
      <c r="O40" s="54" t="n">
        <f aca="false">-O28*Inputs!$E$33*(1+Inputs!$E$38)^(O$5-1)</f>
        <v>-7790.74195451834</v>
      </c>
      <c r="P40" s="54" t="n">
        <f aca="false">-P28*Inputs!$E$33*(1+Inputs!$E$38)^(P$5-1)</f>
        <v>-7946.3038529876</v>
      </c>
      <c r="Q40" s="54" t="n">
        <f aca="false">-Q28*Inputs!$E$33*(1+Inputs!$E$38)^(Q$5-1)</f>
        <v>-10018.4153480165</v>
      </c>
      <c r="R40" s="54" t="n">
        <f aca="false">-R28*Inputs!$E$33*(1+Inputs!$E$38)^(R$5-1)</f>
        <v>-10230.6274029458</v>
      </c>
      <c r="S40" s="54" t="n">
        <f aca="false">-S28*Inputs!$E$33*(1+Inputs!$E$38)^(S$5-1)</f>
        <v>-10434.350975678</v>
      </c>
      <c r="T40" s="54" t="n">
        <f aca="false">-T28*Inputs!$E$33*(1+Inputs!$E$38)^(T$5-1)</f>
        <v>-10629.9256055009</v>
      </c>
      <c r="U40" s="54" t="n">
        <f aca="false">-U28*Inputs!$E$33*(1+Inputs!$E$38)^(U$5-1)</f>
        <v>-10817.6772501308</v>
      </c>
      <c r="V40" s="54" t="n">
        <f aca="false">-V28*Inputs!$E$33*(1+Inputs!$E$38)^(V$5-1)</f>
        <v>-10997.9188289756</v>
      </c>
      <c r="W40" s="54" t="n">
        <f aca="false">-W28*Inputs!$E$33*(1+Inputs!$E$38)^(W$5-1)</f>
        <v>-11170.9507446666</v>
      </c>
      <c r="X40" s="54" t="n">
        <f aca="false">-X28*Inputs!$E$33*(1+Inputs!$E$38)^(X$5-1)</f>
        <v>-11337.0613837299</v>
      </c>
      <c r="Y40" s="54" t="n">
        <f aca="false">-Y28*Inputs!$E$33*(1+Inputs!$E$38)^(Y$5-1)</f>
        <v>-11496.5275972307</v>
      </c>
      <c r="Z40" s="54" t="n">
        <f aca="false">-Z28*Inputs!$E$33*(1+Inputs!$E$38)^(Z$5-1)</f>
        <v>-9416.13836318358</v>
      </c>
      <c r="AA40" s="54" t="n">
        <f aca="false">-AA28*Inputs!$E$33*(1+Inputs!$E$38)^(AA$5-1)</f>
        <v>-9795.40604798886</v>
      </c>
      <c r="AB40" s="54" t="n">
        <f aca="false">-AB28*Inputs!$E$33*(1+Inputs!$E$38)^(AB$5-1)</f>
        <v>-9891.83935106568</v>
      </c>
      <c r="AC40" s="54" t="n">
        <f aca="false">-AC28*Inputs!$E$33*(1+Inputs!$E$38)^(AC$5-1)</f>
        <v>-12352.1417915718</v>
      </c>
      <c r="AD40" s="54" t="n">
        <f aca="false">-AD28*Inputs!$E$33*(1+Inputs!$E$38)^(AD$5-1)</f>
        <v>-12498.0924630588</v>
      </c>
      <c r="AE40" s="54" t="n">
        <f aca="false">-AE28*Inputs!$E$33*(1+Inputs!$E$38)^(AE$5-1)</f>
        <v>-12638.2051076863</v>
      </c>
      <c r="AF40" s="54" t="n">
        <f aca="false">-AF28*Inputs!$E$33*(1+Inputs!$E$38)^(AF$5-1)</f>
        <v>-12772.7132465287</v>
      </c>
      <c r="AG40" s="54" t="n">
        <f aca="false">-AG28*Inputs!$E$33*(1+Inputs!$E$38)^(AG$5-1)</f>
        <v>-12901.8410598174</v>
      </c>
      <c r="AH40" s="54" t="n">
        <f aca="false">-AH28*Inputs!$E$33*(1+Inputs!$E$38)^(AH$5-1)</f>
        <v>-13025.8037605746</v>
      </c>
      <c r="AI40" s="54" t="n">
        <f aca="false">-AI28*Inputs!$E$33*(1+Inputs!$E$38)^(AI$5-1)</f>
        <v>-13144.8079533015</v>
      </c>
      <c r="AJ40" s="54" t="n">
        <f aca="false">-AJ28*Inputs!$E$33*(1+Inputs!$E$38)^(AJ$5-1)</f>
        <v>-13259.0519783193</v>
      </c>
      <c r="AK40" s="54" t="n">
        <f aca="false">-AK28*Inputs!$E$33*(1+Inputs!$E$38)^(AK$5-1)</f>
        <v>-13368.7262423364</v>
      </c>
      <c r="AL40" s="54" t="n">
        <f aca="false">-AL28*Inputs!$E$33*(1+Inputs!$E$38)^(AL$5-1)</f>
        <v>-10892.5972101984</v>
      </c>
    </row>
    <row r="41" customFormat="false" ht="15" hidden="false" customHeight="false" outlineLevel="0" collapsed="false">
      <c r="A41" s="6" t="s">
        <v>384</v>
      </c>
      <c r="C41" s="54" t="n">
        <f aca="false">-C28*Inputs!$E$34/1000*Inputs!$E$35*(1+Inputs!$E$38)^(C$5-1)</f>
        <v>-1244.2406148</v>
      </c>
      <c r="D41" s="54" t="n">
        <f aca="false">-D28*Inputs!$E$34/1000*Inputs!$E$35*(1+Inputs!$E$38)^(D$5-1)</f>
        <v>-1413.050958608</v>
      </c>
      <c r="E41" s="54" t="n">
        <f aca="false">-E28*Inputs!$E$34/1000*Inputs!$E$35*(1+Inputs!$E$38)^(E$5-1)</f>
        <v>-1964.23800801984</v>
      </c>
      <c r="F41" s="54" t="n">
        <f aca="false">-F28*Inputs!$E$34/1000*Inputs!$E$35*(1+Inputs!$E$38)^(F$5-1)</f>
        <v>-2193.15973609905</v>
      </c>
      <c r="G41" s="54" t="n">
        <f aca="false">-G28*Inputs!$E$34/1000*Inputs!$E$35*(1+Inputs!$E$38)^(G$5-1)</f>
        <v>-2428.12494945509</v>
      </c>
      <c r="H41" s="54" t="n">
        <f aca="false">-H28*Inputs!$E$34/1000*Inputs!$E$35*(1+Inputs!$E$38)^(H$5-1)</f>
        <v>-2668.89190867688</v>
      </c>
      <c r="I41" s="54" t="n">
        <f aca="false">-I28*Inputs!$E$34/1000*Inputs!$E$35*(1+Inputs!$E$38)^(I$5-1)</f>
        <v>-2915.22854392981</v>
      </c>
      <c r="J41" s="54" t="n">
        <f aca="false">-J28*Inputs!$E$34/1000*Inputs!$E$35*(1+Inputs!$E$38)^(J$5-1)</f>
        <v>-3166.91206817261</v>
      </c>
      <c r="K41" s="54" t="n">
        <f aca="false">-K28*Inputs!$E$34/1000*Inputs!$E$35*(1+Inputs!$E$38)^(K$5-1)</f>
        <v>-3423.72860584571</v>
      </c>
      <c r="L41" s="54" t="n">
        <f aca="false">-L28*Inputs!$E$34/1000*Inputs!$E$35*(1+Inputs!$E$38)^(L$5-1)</f>
        <v>-3685.47283641188</v>
      </c>
      <c r="M41" s="54" t="n">
        <f aca="false">-M28*Inputs!$E$34/1000*Inputs!$E$35*(1+Inputs!$E$38)^(M$5-1)</f>
        <v>-3786.78699495541</v>
      </c>
      <c r="N41" s="54" t="n">
        <f aca="false">-N28*Inputs!$E$34/1000*Inputs!$E$35*(1+Inputs!$E$38)^(N$5-1)</f>
        <v>-3138.26648065106</v>
      </c>
      <c r="O41" s="54" t="n">
        <f aca="false">-O28*Inputs!$E$34/1000*Inputs!$E$35*(1+Inputs!$E$38)^(O$5-1)</f>
        <v>-3299.60835720777</v>
      </c>
      <c r="P41" s="54" t="n">
        <f aca="false">-P28*Inputs!$E$34/1000*Inputs!$E$35*(1+Inputs!$E$38)^(P$5-1)</f>
        <v>-3365.49339655946</v>
      </c>
      <c r="Q41" s="54" t="n">
        <f aca="false">-Q28*Inputs!$E$34/1000*Inputs!$E$35*(1+Inputs!$E$38)^(Q$5-1)</f>
        <v>-4243.09355915992</v>
      </c>
      <c r="R41" s="54" t="n">
        <f aca="false">-R28*Inputs!$E$34/1000*Inputs!$E$35*(1+Inputs!$E$38)^(R$5-1)</f>
        <v>-4332.97160595352</v>
      </c>
      <c r="S41" s="54" t="n">
        <f aca="false">-S28*Inputs!$E$34/1000*Inputs!$E$35*(1+Inputs!$E$38)^(S$5-1)</f>
        <v>-4419.25453087538</v>
      </c>
      <c r="T41" s="54" t="n">
        <f aca="false">-T28*Inputs!$E$34/1000*Inputs!$E$35*(1+Inputs!$E$38)^(T$5-1)</f>
        <v>-4502.08613880037</v>
      </c>
      <c r="U41" s="54" t="n">
        <f aca="false">-U28*Inputs!$E$34/1000*Inputs!$E$35*(1+Inputs!$E$38)^(U$5-1)</f>
        <v>-4581.60448240835</v>
      </c>
      <c r="V41" s="54" t="n">
        <f aca="false">-V28*Inputs!$E$34/1000*Inputs!$E$35*(1+Inputs!$E$38)^(V$5-1)</f>
        <v>-4657.94209227202</v>
      </c>
      <c r="W41" s="54" t="n">
        <f aca="false">-W28*Inputs!$E$34/1000*Inputs!$E$35*(1+Inputs!$E$38)^(W$5-1)</f>
        <v>-4731.22619774114</v>
      </c>
      <c r="X41" s="54" t="n">
        <f aca="false">-X28*Inputs!$E$34/1000*Inputs!$E$35*(1+Inputs!$E$38)^(X$5-1)</f>
        <v>-4801.57893899149</v>
      </c>
      <c r="Y41" s="54" t="n">
        <f aca="false">-Y28*Inputs!$E$34/1000*Inputs!$E$35*(1+Inputs!$E$38)^(Y$5-1)</f>
        <v>-4869.11757059183</v>
      </c>
      <c r="Z41" s="54" t="n">
        <f aca="false">-Z28*Inputs!$E$34/1000*Inputs!$E$35*(1+Inputs!$E$38)^(Z$5-1)</f>
        <v>-3988.01154205422</v>
      </c>
      <c r="AA41" s="54" t="n">
        <f aca="false">-AA28*Inputs!$E$34/1000*Inputs!$E$35*(1+Inputs!$E$38)^(AA$5-1)</f>
        <v>-4148.64256150117</v>
      </c>
      <c r="AB41" s="54" t="n">
        <f aca="false">-AB28*Inputs!$E$34/1000*Inputs!$E$35*(1+Inputs!$E$38)^(AB$5-1)</f>
        <v>-4189.48490162782</v>
      </c>
      <c r="AC41" s="54" t="n">
        <f aca="false">-AC28*Inputs!$E$34/1000*Inputs!$E$35*(1+Inputs!$E$38)^(AC$5-1)</f>
        <v>-5231.49534701863</v>
      </c>
      <c r="AD41" s="54" t="n">
        <f aca="false">-AD28*Inputs!$E$34/1000*Inputs!$E$35*(1+Inputs!$E$38)^(AD$5-1)</f>
        <v>-5293.30974906019</v>
      </c>
      <c r="AE41" s="54" t="n">
        <f aca="false">-AE28*Inputs!$E$34/1000*Inputs!$E$35*(1+Inputs!$E$38)^(AE$5-1)</f>
        <v>-5352.65157502008</v>
      </c>
      <c r="AF41" s="54" t="n">
        <f aca="false">-AF28*Inputs!$E$34/1000*Inputs!$E$35*(1+Inputs!$E$38)^(AF$5-1)</f>
        <v>-5409.61972794158</v>
      </c>
      <c r="AG41" s="54" t="n">
        <f aca="false">-AG28*Inputs!$E$34/1000*Inputs!$E$35*(1+Inputs!$E$38)^(AG$5-1)</f>
        <v>-5464.30915474621</v>
      </c>
      <c r="AH41" s="54" t="n">
        <f aca="false">-AH28*Inputs!$E$34/1000*Inputs!$E$35*(1+Inputs!$E$38)^(AH$5-1)</f>
        <v>-5516.81100447866</v>
      </c>
      <c r="AI41" s="54" t="n">
        <f aca="false">-AI28*Inputs!$E$34/1000*Inputs!$E$35*(1+Inputs!$E$38)^(AI$5-1)</f>
        <v>-5567.21278022182</v>
      </c>
      <c r="AJ41" s="54" t="n">
        <f aca="false">-AJ28*Inputs!$E$34/1000*Inputs!$E$35*(1+Inputs!$E$38)^(AJ$5-1)</f>
        <v>-5615.59848493524</v>
      </c>
      <c r="AK41" s="54" t="n">
        <f aca="false">-AK28*Inputs!$E$34/1000*Inputs!$E$35*(1+Inputs!$E$38)^(AK$5-1)</f>
        <v>-5662.04876146013</v>
      </c>
      <c r="AL41" s="54" t="n">
        <f aca="false">-AL28*Inputs!$E$34/1000*Inputs!$E$35*(1+Inputs!$E$38)^(AL$5-1)</f>
        <v>-4613.3352890252</v>
      </c>
    </row>
    <row r="42" customFormat="false" ht="15" hidden="false" customHeight="false" outlineLevel="0" collapsed="false">
      <c r="A42" s="6" t="s">
        <v>385</v>
      </c>
      <c r="C42" s="54" t="n">
        <f aca="false">-C28*Inputs!$E$36*(1+Inputs!$E$38)^(C$5-1)</f>
        <v>-1451.6140506</v>
      </c>
      <c r="D42" s="54" t="n">
        <f aca="false">-D28*Inputs!$E$36*(1+Inputs!$E$38)^(D$5-1)</f>
        <v>-1648.55945170933</v>
      </c>
      <c r="E42" s="54" t="n">
        <f aca="false">-E28*Inputs!$E$36*(1+Inputs!$E$38)^(E$5-1)</f>
        <v>-2291.61100935648</v>
      </c>
      <c r="F42" s="54" t="n">
        <f aca="false">-F28*Inputs!$E$36*(1+Inputs!$E$38)^(F$5-1)</f>
        <v>-2558.68635878222</v>
      </c>
      <c r="G42" s="54" t="n">
        <f aca="false">-G28*Inputs!$E$36*(1+Inputs!$E$38)^(G$5-1)</f>
        <v>-2832.81244103093</v>
      </c>
      <c r="H42" s="54" t="n">
        <f aca="false">-H28*Inputs!$E$36*(1+Inputs!$E$38)^(H$5-1)</f>
        <v>-3113.70722678969</v>
      </c>
      <c r="I42" s="54" t="n">
        <f aca="false">-I28*Inputs!$E$36*(1+Inputs!$E$38)^(I$5-1)</f>
        <v>-3401.09996791811</v>
      </c>
      <c r="J42" s="54" t="n">
        <f aca="false">-J28*Inputs!$E$36*(1+Inputs!$E$38)^(J$5-1)</f>
        <v>-3694.73074620138</v>
      </c>
      <c r="K42" s="54" t="n">
        <f aca="false">-K28*Inputs!$E$36*(1+Inputs!$E$38)^(K$5-1)</f>
        <v>-3994.35004015333</v>
      </c>
      <c r="L42" s="54" t="n">
        <f aca="false">-L28*Inputs!$E$36*(1+Inputs!$E$38)^(L$5-1)</f>
        <v>-4299.71830914719</v>
      </c>
      <c r="M42" s="54" t="n">
        <f aca="false">-M28*Inputs!$E$36*(1+Inputs!$E$38)^(M$5-1)</f>
        <v>-4417.91816078131</v>
      </c>
      <c r="N42" s="54" t="n">
        <f aca="false">-N28*Inputs!$E$36*(1+Inputs!$E$38)^(N$5-1)</f>
        <v>-3661.3108940929</v>
      </c>
      <c r="O42" s="54" t="n">
        <f aca="false">-O28*Inputs!$E$36*(1+Inputs!$E$38)^(O$5-1)</f>
        <v>-3849.54308340906</v>
      </c>
      <c r="P42" s="54" t="n">
        <f aca="false">-P28*Inputs!$E$36*(1+Inputs!$E$38)^(P$5-1)</f>
        <v>-3926.4089626527</v>
      </c>
      <c r="Q42" s="54" t="n">
        <f aca="false">-Q28*Inputs!$E$36*(1+Inputs!$E$38)^(Q$5-1)</f>
        <v>-4950.27581901991</v>
      </c>
      <c r="R42" s="54" t="n">
        <f aca="false">-R28*Inputs!$E$36*(1+Inputs!$E$38)^(R$5-1)</f>
        <v>-5055.13354027911</v>
      </c>
      <c r="S42" s="54" t="n">
        <f aca="false">-S28*Inputs!$E$36*(1+Inputs!$E$38)^(S$5-1)</f>
        <v>-5155.79695268794</v>
      </c>
      <c r="T42" s="54" t="n">
        <f aca="false">-T28*Inputs!$E$36*(1+Inputs!$E$38)^(T$5-1)</f>
        <v>-5252.43382860043</v>
      </c>
      <c r="U42" s="54" t="n">
        <f aca="false">-U28*Inputs!$E$36*(1+Inputs!$E$38)^(U$5-1)</f>
        <v>-5345.20522947641</v>
      </c>
      <c r="V42" s="54" t="n">
        <f aca="false">-V28*Inputs!$E$36*(1+Inputs!$E$38)^(V$5-1)</f>
        <v>-5434.26577431735</v>
      </c>
      <c r="W42" s="54" t="n">
        <f aca="false">-W28*Inputs!$E$36*(1+Inputs!$E$38)^(W$5-1)</f>
        <v>-5519.76389736466</v>
      </c>
      <c r="X42" s="54" t="n">
        <f aca="false">-X28*Inputs!$E$36*(1+Inputs!$E$38)^(X$5-1)</f>
        <v>-5601.84209549007</v>
      </c>
      <c r="Y42" s="54" t="n">
        <f aca="false">-Y28*Inputs!$E$36*(1+Inputs!$E$38)^(Y$5-1)</f>
        <v>-5680.63716569047</v>
      </c>
      <c r="Z42" s="54" t="n">
        <f aca="false">-Z28*Inputs!$E$36*(1+Inputs!$E$38)^(Z$5-1)</f>
        <v>-4652.68013239659</v>
      </c>
      <c r="AA42" s="54" t="n">
        <f aca="false">-AA28*Inputs!$E$36*(1+Inputs!$E$38)^(AA$5-1)</f>
        <v>-4840.08298841803</v>
      </c>
      <c r="AB42" s="54" t="n">
        <f aca="false">-AB28*Inputs!$E$36*(1+Inputs!$E$38)^(AB$5-1)</f>
        <v>-4887.73238523245</v>
      </c>
      <c r="AC42" s="54" t="n">
        <f aca="false">-AC28*Inputs!$E$36*(1+Inputs!$E$38)^(AC$5-1)</f>
        <v>-6103.4112381884</v>
      </c>
      <c r="AD42" s="54" t="n">
        <f aca="false">-AD28*Inputs!$E$36*(1+Inputs!$E$38)^(AD$5-1)</f>
        <v>-6175.52804057022</v>
      </c>
      <c r="AE42" s="54" t="n">
        <f aca="false">-AE28*Inputs!$E$36*(1+Inputs!$E$38)^(AE$5-1)</f>
        <v>-6244.76017085676</v>
      </c>
      <c r="AF42" s="54" t="n">
        <f aca="false">-AF28*Inputs!$E$36*(1+Inputs!$E$38)^(AF$5-1)</f>
        <v>-6311.22301593184</v>
      </c>
      <c r="AG42" s="54" t="n">
        <f aca="false">-AG28*Inputs!$E$36*(1+Inputs!$E$38)^(AG$5-1)</f>
        <v>-6375.02734720391</v>
      </c>
      <c r="AH42" s="54" t="n">
        <f aca="false">-AH28*Inputs!$E$36*(1+Inputs!$E$38)^(AH$5-1)</f>
        <v>-6436.27950522511</v>
      </c>
      <c r="AI42" s="54" t="n">
        <f aca="false">-AI28*Inputs!$E$36*(1+Inputs!$E$38)^(AI$5-1)</f>
        <v>-6495.08157692545</v>
      </c>
      <c r="AJ42" s="54" t="n">
        <f aca="false">-AJ28*Inputs!$E$36*(1+Inputs!$E$38)^(AJ$5-1)</f>
        <v>-6551.53156575778</v>
      </c>
      <c r="AK42" s="54" t="n">
        <f aca="false">-AK28*Inputs!$E$36*(1+Inputs!$E$38)^(AK$5-1)</f>
        <v>-6605.72355503682</v>
      </c>
      <c r="AL42" s="54" t="n">
        <f aca="false">-AL28*Inputs!$E$36*(1+Inputs!$E$38)^(AL$5-1)</f>
        <v>-5382.22450386274</v>
      </c>
    </row>
    <row r="43" customFormat="false" ht="15" hidden="false" customHeight="false" outlineLevel="0" collapsed="false">
      <c r="A43" s="6" t="s">
        <v>213</v>
      </c>
      <c r="C43" s="54" t="n">
        <f aca="false">C40+C41+C42</f>
        <v>-5633.6450059</v>
      </c>
      <c r="D43" s="54" t="n">
        <f aca="false">D40+D41+D42</f>
        <v>-6397.98072925289</v>
      </c>
      <c r="E43" s="54" t="n">
        <f aca="false">E40+E41+E42</f>
        <v>-8893.63320297872</v>
      </c>
      <c r="F43" s="54" t="n">
        <f aca="false">F40+F41+F42</f>
        <v>-9930.13991622624</v>
      </c>
      <c r="G43" s="54" t="n">
        <f aca="false">G40+G41+G42</f>
        <v>-10994.0101878105</v>
      </c>
      <c r="H43" s="54" t="n">
        <f aca="false">H40+H41+H42</f>
        <v>-12084.1494753981</v>
      </c>
      <c r="I43" s="54" t="n">
        <f aca="false">I40+I41+I42</f>
        <v>-13199.5070183488</v>
      </c>
      <c r="J43" s="54" t="n">
        <f aca="false">J40+J41+J42</f>
        <v>-14339.0740864482</v>
      </c>
      <c r="K43" s="54" t="n">
        <f aca="false">K40+K41+K42</f>
        <v>-15501.8822986903</v>
      </c>
      <c r="L43" s="54" t="n">
        <f aca="false">L40+L41+L42</f>
        <v>-16687.0020093093</v>
      </c>
      <c r="M43" s="54" t="n">
        <f aca="false">M40+M41+M42</f>
        <v>-17145.730004937</v>
      </c>
      <c r="N43" s="54" t="n">
        <f aca="false">N40+N41+N42</f>
        <v>-14209.3732318367</v>
      </c>
      <c r="O43" s="54" t="n">
        <f aca="false">O40+O41+O42</f>
        <v>-14939.8933951352</v>
      </c>
      <c r="P43" s="54" t="n">
        <f aca="false">P40+P41+P42</f>
        <v>-15238.2062121998</v>
      </c>
      <c r="Q43" s="54" t="n">
        <f aca="false">Q40+Q41+Q42</f>
        <v>-19211.7847261963</v>
      </c>
      <c r="R43" s="54" t="n">
        <f aca="false">R40+R41+R42</f>
        <v>-19618.7325491784</v>
      </c>
      <c r="S43" s="54" t="n">
        <f aca="false">S40+S41+S42</f>
        <v>-20009.4024592413</v>
      </c>
      <c r="T43" s="54" t="n">
        <f aca="false">T40+T41+T42</f>
        <v>-20384.4455729017</v>
      </c>
      <c r="U43" s="54" t="n">
        <f aca="false">U40+U41+U42</f>
        <v>-20744.4869620156</v>
      </c>
      <c r="V43" s="54" t="n">
        <f aca="false">V40+V41+V42</f>
        <v>-21090.126695565</v>
      </c>
      <c r="W43" s="54" t="n">
        <f aca="false">W40+W41+W42</f>
        <v>-21421.9408397724</v>
      </c>
      <c r="X43" s="54" t="n">
        <f aca="false">X40+X41+X42</f>
        <v>-21740.4824182115</v>
      </c>
      <c r="Y43" s="54" t="n">
        <f aca="false">Y40+Y41+Y42</f>
        <v>-22046.282333513</v>
      </c>
      <c r="Z43" s="54" t="n">
        <f aca="false">Z40+Z41+Z42</f>
        <v>-18056.8300376344</v>
      </c>
      <c r="AA43" s="54" t="n">
        <f aca="false">AA40+AA41+AA42</f>
        <v>-18784.1315979081</v>
      </c>
      <c r="AB43" s="54" t="n">
        <f aca="false">AB40+AB41+AB42</f>
        <v>-18969.056637926</v>
      </c>
      <c r="AC43" s="54" t="n">
        <f aca="false">AC40+AC41+AC42</f>
        <v>-23687.0483767788</v>
      </c>
      <c r="AD43" s="54" t="n">
        <f aca="false">AD40+AD41+AD42</f>
        <v>-23966.9302526892</v>
      </c>
      <c r="AE43" s="54" t="n">
        <f aca="false">AE40+AE41+AE42</f>
        <v>-24235.6168535631</v>
      </c>
      <c r="AF43" s="54" t="n">
        <f aca="false">AF40+AF41+AF42</f>
        <v>-24493.5559904021</v>
      </c>
      <c r="AG43" s="54" t="n">
        <f aca="false">AG40+AG41+AG42</f>
        <v>-24741.1775617676</v>
      </c>
      <c r="AH43" s="54" t="n">
        <f aca="false">AH40+AH41+AH42</f>
        <v>-24978.8942702784</v>
      </c>
      <c r="AI43" s="54" t="n">
        <f aca="false">AI40+AI41+AI42</f>
        <v>-25207.1023104488</v>
      </c>
      <c r="AJ43" s="54" t="n">
        <f aca="false">AJ40+AJ41+AJ42</f>
        <v>-25426.1820290123</v>
      </c>
      <c r="AK43" s="54" t="n">
        <f aca="false">AK40+AK41+AK42</f>
        <v>-25636.4985588334</v>
      </c>
      <c r="AL43" s="54" t="n">
        <f aca="false">AL40+AL41+AL42</f>
        <v>-20888.1570030863</v>
      </c>
    </row>
    <row r="44" customFormat="false" ht="15" hidden="false" customHeight="false" outlineLevel="0" collapsed="false">
      <c r="A44" s="6" t="s">
        <v>386</v>
      </c>
      <c r="C44" s="54" t="n">
        <f aca="false">-C37*Inputs!$E$37</f>
        <v>-1438.30074</v>
      </c>
      <c r="D44" s="54" t="n">
        <f aca="false">-D37*Inputs!$E$37</f>
        <v>-1633.46807706667</v>
      </c>
      <c r="E44" s="54" t="n">
        <f aca="false">-E37*Inputs!$E$37</f>
        <v>-2183.202053984</v>
      </c>
      <c r="F44" s="54" t="n">
        <f aca="false">-F37*Inputs!$E$37</f>
        <v>-2431.55696515797</v>
      </c>
      <c r="G44" s="54" t="n">
        <f aca="false">-G37*Inputs!$E$37</f>
        <v>-2684.70829321832</v>
      </c>
      <c r="H44" s="54" t="n">
        <f aca="false">-H37*Inputs!$E$37</f>
        <v>-2942.46418148959</v>
      </c>
      <c r="I44" s="54" t="n">
        <f aca="false">-I37*Inputs!$E$37</f>
        <v>-3204.64044756334</v>
      </c>
      <c r="J44" s="54" t="n">
        <f aca="false">-J37*Inputs!$E$37</f>
        <v>-3471.06027632747</v>
      </c>
      <c r="K44" s="54" t="n">
        <f aca="false">-K37*Inputs!$E$37</f>
        <v>-3741.55392527437</v>
      </c>
      <c r="L44" s="54" t="n">
        <f aca="false">-L37*Inputs!$E$37</f>
        <v>-4015.95844159673</v>
      </c>
      <c r="M44" s="54" t="n">
        <f aca="false">-M37*Inputs!$E$37</f>
        <v>-4096.36650393286</v>
      </c>
      <c r="N44" s="54" t="n">
        <f aca="false">-N37*Inputs!$E$37</f>
        <v>-3562.19184377555</v>
      </c>
      <c r="O44" s="54" t="n">
        <f aca="false">-O37*Inputs!$E$37</f>
        <v>-3698.67245942502</v>
      </c>
      <c r="P44" s="54" t="n">
        <f aca="false">-P37*Inputs!$E$37</f>
        <v>-3762.63851704802</v>
      </c>
      <c r="Q44" s="54" t="n">
        <f aca="false">-Q37*Inputs!$E$37</f>
        <v>-4447.63966036609</v>
      </c>
      <c r="R44" s="54" t="n">
        <f aca="false">-R37*Inputs!$E$37</f>
        <v>-4518.27890195145</v>
      </c>
      <c r="S44" s="54" t="n">
        <f aca="false">-S37*Inputs!$E$37</f>
        <v>-4586.09257387339</v>
      </c>
      <c r="T44" s="54" t="n">
        <f aca="false">-T37*Inputs!$E$37</f>
        <v>-4651.19369891846</v>
      </c>
      <c r="U44" s="54" t="n">
        <f aca="false">-U37*Inputs!$E$37</f>
        <v>-4713.69077896172</v>
      </c>
      <c r="V44" s="54" t="n">
        <f aca="false">-V37*Inputs!$E$37</f>
        <v>-4773.68797580325</v>
      </c>
      <c r="W44" s="54" t="n">
        <f aca="false">-W37*Inputs!$E$37</f>
        <v>-4831.28528477112</v>
      </c>
      <c r="X44" s="54" t="n">
        <f aca="false">-X37*Inputs!$E$37</f>
        <v>-4886.57870138028</v>
      </c>
      <c r="Y44" s="54" t="n">
        <f aca="false">-Y37*Inputs!$E$37</f>
        <v>-4939.66038132506</v>
      </c>
      <c r="Z44" s="54" t="n">
        <f aca="false">-Z37*Inputs!$E$37</f>
        <v>-4367.02506607206</v>
      </c>
      <c r="AA44" s="54" t="n">
        <f aca="false">-AA37*Inputs!$E$37</f>
        <v>-4493.77596106776</v>
      </c>
      <c r="AB44" s="54" t="n">
        <f aca="false">-AB37*Inputs!$E$37</f>
        <v>-4533.04374024505</v>
      </c>
      <c r="AC44" s="54" t="n">
        <f aca="false">-AC37*Inputs!$E$37</f>
        <v>-5206.80641081525</v>
      </c>
      <c r="AD44" s="54" t="n">
        <f aca="false">-AD37*Inputs!$E$37</f>
        <v>-5254.91748144264</v>
      </c>
      <c r="AE44" s="54" t="n">
        <f aca="false">-AE37*Inputs!$E$37</f>
        <v>-5301.10410924493</v>
      </c>
      <c r="AF44" s="54" t="n">
        <f aca="false">-AF37*Inputs!$E$37</f>
        <v>-5345.44327193514</v>
      </c>
      <c r="AG44" s="54" t="n">
        <f aca="false">-AG37*Inputs!$E$37</f>
        <v>-5388.00886811773</v>
      </c>
      <c r="AH44" s="54" t="n">
        <f aca="false">-AH37*Inputs!$E$37</f>
        <v>-5428.87184045302</v>
      </c>
      <c r="AI44" s="54" t="n">
        <f aca="false">-AI37*Inputs!$E$37</f>
        <v>-5468.1002938949</v>
      </c>
      <c r="AJ44" s="54" t="n">
        <f aca="false">-AJ37*Inputs!$E$37</f>
        <v>-5505.7596091991</v>
      </c>
      <c r="AK44" s="54" t="n">
        <f aca="false">-AK37*Inputs!$E$37</f>
        <v>-5541.91255189114</v>
      </c>
      <c r="AL44" s="54" t="n">
        <f aca="false">-AL37*Inputs!$E$37</f>
        <v>-4940.55377431549</v>
      </c>
    </row>
    <row r="45" customFormat="false" ht="15" hidden="false" customHeight="false" outlineLevel="0" collapsed="false">
      <c r="A45" s="4" t="s">
        <v>74</v>
      </c>
      <c r="C45" s="60" t="n">
        <f aca="false">C43+C44</f>
        <v>-7071.9457459</v>
      </c>
      <c r="D45" s="60" t="n">
        <f aca="false">D43+D44</f>
        <v>-8031.44880631956</v>
      </c>
      <c r="E45" s="60" t="n">
        <f aca="false">E43+E44</f>
        <v>-11076.8352569627</v>
      </c>
      <c r="F45" s="60" t="n">
        <f aca="false">F43+F44</f>
        <v>-12361.6968813842</v>
      </c>
      <c r="G45" s="60" t="n">
        <f aca="false">G43+G44</f>
        <v>-13678.7184810288</v>
      </c>
      <c r="H45" s="60" t="n">
        <f aca="false">H43+H44</f>
        <v>-15026.6136568877</v>
      </c>
      <c r="I45" s="60" t="n">
        <f aca="false">I43+I44</f>
        <v>-16404.1474659122</v>
      </c>
      <c r="J45" s="60" t="n">
        <f aca="false">J43+J44</f>
        <v>-17810.1343627757</v>
      </c>
      <c r="K45" s="60" t="n">
        <f aca="false">K43+K44</f>
        <v>-19243.4362239647</v>
      </c>
      <c r="L45" s="60" t="n">
        <f aca="false">L43+L44</f>
        <v>-20702.9604509061</v>
      </c>
      <c r="M45" s="60" t="n">
        <f aca="false">M43+M44</f>
        <v>-21242.0965088698</v>
      </c>
      <c r="N45" s="60" t="n">
        <f aca="false">N43+N44</f>
        <v>-17771.5650756123</v>
      </c>
      <c r="O45" s="60" t="n">
        <f aca="false">O43+O44</f>
        <v>-18638.5658545602</v>
      </c>
      <c r="P45" s="60" t="n">
        <f aca="false">P43+P44</f>
        <v>-19000.8447292478</v>
      </c>
      <c r="Q45" s="60" t="n">
        <f aca="false">Q43+Q44</f>
        <v>-23659.4243865624</v>
      </c>
      <c r="R45" s="60" t="n">
        <f aca="false">R43+R44</f>
        <v>-24137.0114511299</v>
      </c>
      <c r="S45" s="60" t="n">
        <f aca="false">S43+S44</f>
        <v>-24595.4950331147</v>
      </c>
      <c r="T45" s="60" t="n">
        <f aca="false">T43+T44</f>
        <v>-25035.6392718201</v>
      </c>
      <c r="U45" s="60" t="n">
        <f aca="false">U43+U44</f>
        <v>-25458.1777409773</v>
      </c>
      <c r="V45" s="60" t="n">
        <f aca="false">V43+V44</f>
        <v>-25863.8146713682</v>
      </c>
      <c r="W45" s="60" t="n">
        <f aca="false">W43+W44</f>
        <v>-26253.2261245435</v>
      </c>
      <c r="X45" s="60" t="n">
        <f aca="false">X43+X44</f>
        <v>-26627.0611195917</v>
      </c>
      <c r="Y45" s="60" t="n">
        <f aca="false">Y43+Y44</f>
        <v>-26985.9427148381</v>
      </c>
      <c r="Z45" s="60" t="n">
        <f aca="false">Z43+Z44</f>
        <v>-22423.8551037065</v>
      </c>
      <c r="AA45" s="60" t="n">
        <f aca="false">AA43+AA44</f>
        <v>-23277.9075589758</v>
      </c>
      <c r="AB45" s="60" t="n">
        <f aca="false">AB43+AB44</f>
        <v>-23502.100378171</v>
      </c>
      <c r="AC45" s="60" t="n">
        <f aca="false">AC43+AC44</f>
        <v>-28893.854787594</v>
      </c>
      <c r="AD45" s="60" t="n">
        <f aca="false">AD43+AD44</f>
        <v>-29221.8477341318</v>
      </c>
      <c r="AE45" s="60" t="n">
        <f aca="false">AE43+AE44</f>
        <v>-29536.7209628081</v>
      </c>
      <c r="AF45" s="60" t="n">
        <f aca="false">AF43+AF44</f>
        <v>-29838.9992623373</v>
      </c>
      <c r="AG45" s="60" t="n">
        <f aca="false">AG43+AG44</f>
        <v>-30129.1864298853</v>
      </c>
      <c r="AH45" s="60" t="n">
        <f aca="false">AH43+AH44</f>
        <v>-30407.7661107314</v>
      </c>
      <c r="AI45" s="60" t="n">
        <f aca="false">AI43+AI44</f>
        <v>-30675.2026043437</v>
      </c>
      <c r="AJ45" s="60" t="n">
        <f aca="false">AJ43+AJ44</f>
        <v>-30931.9416382114</v>
      </c>
      <c r="AK45" s="60" t="n">
        <f aca="false">AK43+AK44</f>
        <v>-31178.4111107245</v>
      </c>
      <c r="AL45" s="60" t="n">
        <f aca="false">AL43+AL44</f>
        <v>-25828.7107774018</v>
      </c>
    </row>
    <row r="46" customFormat="false" ht="15" hidden="false" customHeight="false" outlineLevel="0" collapsed="false">
      <c r="A46" s="99" t="s">
        <v>43</v>
      </c>
      <c r="C46" s="55" t="n">
        <f aca="false">C37+C45</f>
        <v>40871.4122541</v>
      </c>
      <c r="D46" s="55" t="n">
        <f aca="false">D37+D45</f>
        <v>46417.4870959027</v>
      </c>
      <c r="E46" s="55" t="n">
        <f aca="false">E37+E45</f>
        <v>61696.566542504</v>
      </c>
      <c r="F46" s="55" t="n">
        <f aca="false">F37+F45</f>
        <v>68690.2019572149</v>
      </c>
      <c r="G46" s="55" t="n">
        <f aca="false">G37+G45</f>
        <v>75811.5579595819</v>
      </c>
      <c r="H46" s="55" t="n">
        <f aca="false">H37+H45</f>
        <v>83055.5257260986</v>
      </c>
      <c r="I46" s="55" t="n">
        <f aca="false">I37+I45</f>
        <v>90417.2007861991</v>
      </c>
      <c r="J46" s="55" t="n">
        <f aca="false">J37+J45</f>
        <v>97891.87484814</v>
      </c>
      <c r="K46" s="55" t="n">
        <f aca="false">K37+K45</f>
        <v>105475.027951848</v>
      </c>
      <c r="L46" s="55" t="n">
        <f aca="false">L37+L45</f>
        <v>113162.320935652</v>
      </c>
      <c r="M46" s="55" t="n">
        <f aca="false">M37+M45</f>
        <v>115303.453622226</v>
      </c>
      <c r="N46" s="55" t="n">
        <f aca="false">N37+N45</f>
        <v>100968.163050239</v>
      </c>
      <c r="O46" s="55" t="n">
        <f aca="false">O37+O45</f>
        <v>104650.516126274</v>
      </c>
      <c r="P46" s="55" t="n">
        <f aca="false">P37+P45</f>
        <v>106420.439172353</v>
      </c>
      <c r="Q46" s="55" t="n">
        <f aca="false">Q37+Q45</f>
        <v>124595.230958974</v>
      </c>
      <c r="R46" s="55" t="n">
        <f aca="false">R37+R45</f>
        <v>126472.285280585</v>
      </c>
      <c r="S46" s="55" t="n">
        <f aca="false">S37+S45</f>
        <v>128274.257429332</v>
      </c>
      <c r="T46" s="55" t="n">
        <f aca="false">T37+T45</f>
        <v>130004.150692128</v>
      </c>
      <c r="U46" s="55" t="n">
        <f aca="false">U37+U45</f>
        <v>131664.848224413</v>
      </c>
      <c r="V46" s="55" t="n">
        <f aca="false">V37+V45</f>
        <v>133259.117855407</v>
      </c>
      <c r="W46" s="55" t="n">
        <f aca="false">W37+W45</f>
        <v>134789.616701161</v>
      </c>
      <c r="X46" s="55" t="n">
        <f aca="false">X37+X45</f>
        <v>136258.895593084</v>
      </c>
      <c r="Y46" s="55" t="n">
        <f aca="false">Y37+Y45</f>
        <v>137669.403329331</v>
      </c>
      <c r="Z46" s="55" t="n">
        <f aca="false">Z37+Z45</f>
        <v>123143.647098696</v>
      </c>
      <c r="AA46" s="55" t="n">
        <f aca="false">AA37+AA45</f>
        <v>126514.624476616</v>
      </c>
      <c r="AB46" s="55" t="n">
        <f aca="false">AB37+AB45</f>
        <v>127599.357629997</v>
      </c>
      <c r="AC46" s="55" t="n">
        <f aca="false">AC37+AC45</f>
        <v>144666.358906248</v>
      </c>
      <c r="AD46" s="55" t="n">
        <f aca="false">AD37+AD45</f>
        <v>145942.068313956</v>
      </c>
      <c r="AE46" s="55" t="n">
        <f aca="false">AE37+AE45</f>
        <v>147166.749345356</v>
      </c>
      <c r="AF46" s="55" t="n">
        <f aca="false">AF37+AF45</f>
        <v>148342.443135501</v>
      </c>
      <c r="AG46" s="55" t="n">
        <f aca="false">AG37+AG45</f>
        <v>149471.109174039</v>
      </c>
      <c r="AH46" s="55" t="n">
        <f aca="false">AH37+AH45</f>
        <v>150554.628571036</v>
      </c>
      <c r="AI46" s="55" t="n">
        <f aca="false">AI37+AI45</f>
        <v>151594.807192153</v>
      </c>
      <c r="AJ46" s="55" t="n">
        <f aca="false">AJ37+AJ45</f>
        <v>152593.378668425</v>
      </c>
      <c r="AK46" s="55" t="n">
        <f aca="false">AK37+AK45</f>
        <v>153552.007285647</v>
      </c>
      <c r="AL46" s="55" t="n">
        <f aca="false">AL37+AL45</f>
        <v>138856.415033115</v>
      </c>
    </row>
    <row r="48" customFormat="false" ht="15.75" hidden="false" customHeight="true" outlineLevel="0" collapsed="false">
      <c r="A48" s="7" t="s">
        <v>45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 customFormat="false" ht="15" hidden="false" customHeight="false" outlineLevel="0" collapsed="false">
      <c r="A49" s="6" t="s">
        <v>310</v>
      </c>
      <c r="C49" s="56" t="n">
        <f aca="false">Headcount!C15</f>
        <v>-36586.6666666667</v>
      </c>
      <c r="D49" s="56" t="n">
        <f aca="false">Headcount!D15</f>
        <v>-36586.6666666667</v>
      </c>
      <c r="E49" s="56" t="n">
        <f aca="false">Headcount!E15</f>
        <v>-36586.6666666667</v>
      </c>
      <c r="F49" s="56" t="n">
        <f aca="false">Headcount!F15</f>
        <v>-36586.6666666667</v>
      </c>
      <c r="G49" s="56" t="n">
        <f aca="false">Headcount!G15</f>
        <v>-36586.6666666667</v>
      </c>
      <c r="H49" s="56" t="n">
        <f aca="false">Headcount!H15</f>
        <v>-36586.6666666667</v>
      </c>
      <c r="I49" s="56" t="n">
        <f aca="false">Headcount!I15</f>
        <v>-36586.6666666667</v>
      </c>
      <c r="J49" s="56" t="n">
        <f aca="false">Headcount!J15</f>
        <v>-36586.6666666667</v>
      </c>
      <c r="K49" s="56" t="n">
        <f aca="false">Headcount!K15</f>
        <v>-36586.6666666667</v>
      </c>
      <c r="L49" s="56" t="n">
        <f aca="false">Headcount!L15</f>
        <v>-36586.6666666667</v>
      </c>
      <c r="M49" s="56" t="n">
        <f aca="false">Headcount!M15</f>
        <v>-36586.6666666667</v>
      </c>
      <c r="N49" s="56" t="n">
        <f aca="false">Headcount!N15</f>
        <v>-36586.6666666667</v>
      </c>
      <c r="O49" s="56" t="n">
        <f aca="false">Headcount!O15</f>
        <v>-37684.2666666667</v>
      </c>
      <c r="P49" s="56" t="n">
        <f aca="false">Headcount!P15</f>
        <v>-37684.2666666667</v>
      </c>
      <c r="Q49" s="56" t="n">
        <f aca="false">Headcount!Q15</f>
        <v>-37684.2666666667</v>
      </c>
      <c r="R49" s="56" t="n">
        <f aca="false">Headcount!R15</f>
        <v>-37684.2666666667</v>
      </c>
      <c r="S49" s="56" t="n">
        <f aca="false">Headcount!S15</f>
        <v>-37684.2666666667</v>
      </c>
      <c r="T49" s="56" t="n">
        <f aca="false">Headcount!T15</f>
        <v>-37684.2666666667</v>
      </c>
      <c r="U49" s="56" t="n">
        <f aca="false">Headcount!U15</f>
        <v>-37684.2666666667</v>
      </c>
      <c r="V49" s="56" t="n">
        <f aca="false">Headcount!V15</f>
        <v>-37684.2666666667</v>
      </c>
      <c r="W49" s="56" t="n">
        <f aca="false">Headcount!W15</f>
        <v>-37684.2666666667</v>
      </c>
      <c r="X49" s="56" t="n">
        <f aca="false">Headcount!X15</f>
        <v>-37684.2666666667</v>
      </c>
      <c r="Y49" s="56" t="n">
        <f aca="false">Headcount!Y15</f>
        <v>-37684.2666666667</v>
      </c>
      <c r="Z49" s="56" t="n">
        <f aca="false">Headcount!Z15</f>
        <v>-37684.2666666667</v>
      </c>
      <c r="AA49" s="56" t="n">
        <f aca="false">Headcount!AA15</f>
        <v>-38814.7946666667</v>
      </c>
      <c r="AB49" s="56" t="n">
        <f aca="false">Headcount!AB15</f>
        <v>-38814.7946666667</v>
      </c>
      <c r="AC49" s="56" t="n">
        <f aca="false">Headcount!AC15</f>
        <v>-38814.7946666667</v>
      </c>
      <c r="AD49" s="56" t="n">
        <f aca="false">Headcount!AD15</f>
        <v>-38814.7946666667</v>
      </c>
      <c r="AE49" s="56" t="n">
        <f aca="false">Headcount!AE15</f>
        <v>-38814.7946666667</v>
      </c>
      <c r="AF49" s="56" t="n">
        <f aca="false">Headcount!AF15</f>
        <v>-38814.7946666667</v>
      </c>
      <c r="AG49" s="56" t="n">
        <f aca="false">Headcount!AG15</f>
        <v>-38814.7946666667</v>
      </c>
      <c r="AH49" s="56" t="n">
        <f aca="false">Headcount!AH15</f>
        <v>-38814.7946666667</v>
      </c>
      <c r="AI49" s="56" t="n">
        <f aca="false">Headcount!AI15</f>
        <v>-38814.7946666667</v>
      </c>
      <c r="AJ49" s="56" t="n">
        <f aca="false">Headcount!AJ15</f>
        <v>-38814.7946666667</v>
      </c>
      <c r="AK49" s="56" t="n">
        <f aca="false">Headcount!AK15</f>
        <v>-38814.7946666667</v>
      </c>
      <c r="AL49" s="56" t="n">
        <f aca="false">Headcount!AL15</f>
        <v>-38814.7946666667</v>
      </c>
    </row>
    <row r="50" customFormat="false" ht="15" hidden="false" customHeight="false" outlineLevel="0" collapsed="false">
      <c r="A50" s="6" t="s">
        <v>311</v>
      </c>
      <c r="C50" s="54" t="n">
        <f aca="false">-Inputs!$E$41*(1+Inputs!$E$42)^(C$5-1)*1</f>
        <v>-30000</v>
      </c>
      <c r="D50" s="54" t="n">
        <f aca="false">-Inputs!$E$41*(1+Inputs!$E$42)^(D$5-1)*1</f>
        <v>-30000</v>
      </c>
      <c r="E50" s="54" t="n">
        <f aca="false">-Inputs!$E$41*(1+Inputs!$E$42)^(E$5-1)*1</f>
        <v>-30000</v>
      </c>
      <c r="F50" s="54" t="n">
        <f aca="false">-Inputs!$E$41*(1+Inputs!$E$42)^(F$5-1)*1</f>
        <v>-30000</v>
      </c>
      <c r="G50" s="54" t="n">
        <f aca="false">-Inputs!$E$41*(1+Inputs!$E$42)^(G$5-1)*1</f>
        <v>-30000</v>
      </c>
      <c r="H50" s="54" t="n">
        <f aca="false">-Inputs!$E$41*(1+Inputs!$E$42)^(H$5-1)*1</f>
        <v>-30000</v>
      </c>
      <c r="I50" s="54" t="n">
        <f aca="false">-Inputs!$E$41*(1+Inputs!$E$42)^(I$5-1)*1</f>
        <v>-30000</v>
      </c>
      <c r="J50" s="54" t="n">
        <f aca="false">-Inputs!$E$41*(1+Inputs!$E$42)^(J$5-1)*1</f>
        <v>-30000</v>
      </c>
      <c r="K50" s="54" t="n">
        <f aca="false">-Inputs!$E$41*(1+Inputs!$E$42)^(K$5-1)*1</f>
        <v>-30000</v>
      </c>
      <c r="L50" s="54" t="n">
        <f aca="false">-Inputs!$E$41*(1+Inputs!$E$42)^(L$5-1)*1</f>
        <v>-30000</v>
      </c>
      <c r="M50" s="54" t="n">
        <f aca="false">-Inputs!$E$41*(1+Inputs!$E$42)^(M$5-1)*1</f>
        <v>-30000</v>
      </c>
      <c r="N50" s="54" t="n">
        <f aca="false">-Inputs!$E$41*(1+Inputs!$E$42)^(N$5-1)*1</f>
        <v>-30000</v>
      </c>
      <c r="O50" s="54" t="n">
        <f aca="false">-Inputs!$E$41*(1+Inputs!$E$42)^(O$5-1)*1</f>
        <v>-30900</v>
      </c>
      <c r="P50" s="54" t="n">
        <f aca="false">-Inputs!$E$41*(1+Inputs!$E$42)^(P$5-1)*1</f>
        <v>-30900</v>
      </c>
      <c r="Q50" s="54" t="n">
        <f aca="false">-Inputs!$E$41*(1+Inputs!$E$42)^(Q$5-1)*1</f>
        <v>-30900</v>
      </c>
      <c r="R50" s="54" t="n">
        <f aca="false">-Inputs!$E$41*(1+Inputs!$E$42)^(R$5-1)*1</f>
        <v>-30900</v>
      </c>
      <c r="S50" s="54" t="n">
        <f aca="false">-Inputs!$E$41*(1+Inputs!$E$42)^(S$5-1)*1</f>
        <v>-30900</v>
      </c>
      <c r="T50" s="54" t="n">
        <f aca="false">-Inputs!$E$41*(1+Inputs!$E$42)^(T$5-1)*1</f>
        <v>-30900</v>
      </c>
      <c r="U50" s="54" t="n">
        <f aca="false">-Inputs!$E$41*(1+Inputs!$E$42)^(U$5-1)*1</f>
        <v>-30900</v>
      </c>
      <c r="V50" s="54" t="n">
        <f aca="false">-Inputs!$E$41*(1+Inputs!$E$42)^(V$5-1)*1</f>
        <v>-30900</v>
      </c>
      <c r="W50" s="54" t="n">
        <f aca="false">-Inputs!$E$41*(1+Inputs!$E$42)^(W$5-1)*1</f>
        <v>-30900</v>
      </c>
      <c r="X50" s="54" t="n">
        <f aca="false">-Inputs!$E$41*(1+Inputs!$E$42)^(X$5-1)*1</f>
        <v>-30900</v>
      </c>
      <c r="Y50" s="54" t="n">
        <f aca="false">-Inputs!$E$41*(1+Inputs!$E$42)^(Y$5-1)*1</f>
        <v>-30900</v>
      </c>
      <c r="Z50" s="54" t="n">
        <f aca="false">-Inputs!$E$41*(1+Inputs!$E$42)^(Z$5-1)*1</f>
        <v>-30900</v>
      </c>
      <c r="AA50" s="54" t="n">
        <f aca="false">-Inputs!$E$41*(1+Inputs!$E$42)^(AA$5-1)*1</f>
        <v>-31827</v>
      </c>
      <c r="AB50" s="54" t="n">
        <f aca="false">-Inputs!$E$41*(1+Inputs!$E$42)^(AB$5-1)*1</f>
        <v>-31827</v>
      </c>
      <c r="AC50" s="54" t="n">
        <f aca="false">-Inputs!$E$41*(1+Inputs!$E$42)^(AC$5-1)*1</f>
        <v>-31827</v>
      </c>
      <c r="AD50" s="54" t="n">
        <f aca="false">-Inputs!$E$41*(1+Inputs!$E$42)^(AD$5-1)*1</f>
        <v>-31827</v>
      </c>
      <c r="AE50" s="54" t="n">
        <f aca="false">-Inputs!$E$41*(1+Inputs!$E$42)^(AE$5-1)*1</f>
        <v>-31827</v>
      </c>
      <c r="AF50" s="54" t="n">
        <f aca="false">-Inputs!$E$41*(1+Inputs!$E$42)^(AF$5-1)*1</f>
        <v>-31827</v>
      </c>
      <c r="AG50" s="54" t="n">
        <f aca="false">-Inputs!$E$41*(1+Inputs!$E$42)^(AG$5-1)*1</f>
        <v>-31827</v>
      </c>
      <c r="AH50" s="54" t="n">
        <f aca="false">-Inputs!$E$41*(1+Inputs!$E$42)^(AH$5-1)*1</f>
        <v>-31827</v>
      </c>
      <c r="AI50" s="54" t="n">
        <f aca="false">-Inputs!$E$41*(1+Inputs!$E$42)^(AI$5-1)*1</f>
        <v>-31827</v>
      </c>
      <c r="AJ50" s="54" t="n">
        <f aca="false">-Inputs!$E$41*(1+Inputs!$E$42)^(AJ$5-1)*1</f>
        <v>-31827</v>
      </c>
      <c r="AK50" s="54" t="n">
        <f aca="false">-Inputs!$E$41*(1+Inputs!$E$42)^(AK$5-1)*1</f>
        <v>-31827</v>
      </c>
      <c r="AL50" s="54" t="n">
        <f aca="false">-Inputs!$E$41*(1+Inputs!$E$42)^(AL$5-1)*1</f>
        <v>-31827</v>
      </c>
    </row>
    <row r="51" customFormat="false" ht="15" hidden="false" customHeight="false" outlineLevel="0" collapsed="false">
      <c r="A51" s="6" t="s">
        <v>312</v>
      </c>
      <c r="C51" s="54" t="n">
        <f aca="false">-Inputs!$E$43*(1+Inputs!$E$38)^(C$5-1)*1</f>
        <v>-5500</v>
      </c>
      <c r="D51" s="54" t="n">
        <f aca="false">-Inputs!$E$43*(1+Inputs!$E$38)^(D$5-1)*1</f>
        <v>-5500</v>
      </c>
      <c r="E51" s="54" t="n">
        <f aca="false">-Inputs!$E$43*(1+Inputs!$E$38)^(E$5-1)*1</f>
        <v>-5500</v>
      </c>
      <c r="F51" s="54" t="n">
        <f aca="false">-Inputs!$E$43*(1+Inputs!$E$38)^(F$5-1)*1</f>
        <v>-5500</v>
      </c>
      <c r="G51" s="54" t="n">
        <f aca="false">-Inputs!$E$43*(1+Inputs!$E$38)^(G$5-1)*1</f>
        <v>-5500</v>
      </c>
      <c r="H51" s="54" t="n">
        <f aca="false">-Inputs!$E$43*(1+Inputs!$E$38)^(H$5-1)*1</f>
        <v>-5500</v>
      </c>
      <c r="I51" s="54" t="n">
        <f aca="false">-Inputs!$E$43*(1+Inputs!$E$38)^(I$5-1)*1</f>
        <v>-5500</v>
      </c>
      <c r="J51" s="54" t="n">
        <f aca="false">-Inputs!$E$43*(1+Inputs!$E$38)^(J$5-1)*1</f>
        <v>-5500</v>
      </c>
      <c r="K51" s="54" t="n">
        <f aca="false">-Inputs!$E$43*(1+Inputs!$E$38)^(K$5-1)*1</f>
        <v>-5500</v>
      </c>
      <c r="L51" s="54" t="n">
        <f aca="false">-Inputs!$E$43*(1+Inputs!$E$38)^(L$5-1)*1</f>
        <v>-5500</v>
      </c>
      <c r="M51" s="54" t="n">
        <f aca="false">-Inputs!$E$43*(1+Inputs!$E$38)^(M$5-1)*1</f>
        <v>-5500</v>
      </c>
      <c r="N51" s="54" t="n">
        <f aca="false">-Inputs!$E$43*(1+Inputs!$E$38)^(N$5-1)*1</f>
        <v>-5500</v>
      </c>
      <c r="O51" s="54" t="n">
        <f aca="false">-Inputs!$E$43*(1+Inputs!$E$38)^(O$5-1)*1</f>
        <v>-5665</v>
      </c>
      <c r="P51" s="54" t="n">
        <f aca="false">-Inputs!$E$43*(1+Inputs!$E$38)^(P$5-1)*1</f>
        <v>-5665</v>
      </c>
      <c r="Q51" s="54" t="n">
        <f aca="false">-Inputs!$E$43*(1+Inputs!$E$38)^(Q$5-1)*1</f>
        <v>-5665</v>
      </c>
      <c r="R51" s="54" t="n">
        <f aca="false">-Inputs!$E$43*(1+Inputs!$E$38)^(R$5-1)*1</f>
        <v>-5665</v>
      </c>
      <c r="S51" s="54" t="n">
        <f aca="false">-Inputs!$E$43*(1+Inputs!$E$38)^(S$5-1)*1</f>
        <v>-5665</v>
      </c>
      <c r="T51" s="54" t="n">
        <f aca="false">-Inputs!$E$43*(1+Inputs!$E$38)^(T$5-1)*1</f>
        <v>-5665</v>
      </c>
      <c r="U51" s="54" t="n">
        <f aca="false">-Inputs!$E$43*(1+Inputs!$E$38)^(U$5-1)*1</f>
        <v>-5665</v>
      </c>
      <c r="V51" s="54" t="n">
        <f aca="false">-Inputs!$E$43*(1+Inputs!$E$38)^(V$5-1)*1</f>
        <v>-5665</v>
      </c>
      <c r="W51" s="54" t="n">
        <f aca="false">-Inputs!$E$43*(1+Inputs!$E$38)^(W$5-1)*1</f>
        <v>-5665</v>
      </c>
      <c r="X51" s="54" t="n">
        <f aca="false">-Inputs!$E$43*(1+Inputs!$E$38)^(X$5-1)*1</f>
        <v>-5665</v>
      </c>
      <c r="Y51" s="54" t="n">
        <f aca="false">-Inputs!$E$43*(1+Inputs!$E$38)^(Y$5-1)*1</f>
        <v>-5665</v>
      </c>
      <c r="Z51" s="54" t="n">
        <f aca="false">-Inputs!$E$43*(1+Inputs!$E$38)^(Z$5-1)*1</f>
        <v>-5665</v>
      </c>
      <c r="AA51" s="54" t="n">
        <f aca="false">-Inputs!$E$43*(1+Inputs!$E$38)^(AA$5-1)*1</f>
        <v>-5834.95</v>
      </c>
      <c r="AB51" s="54" t="n">
        <f aca="false">-Inputs!$E$43*(1+Inputs!$E$38)^(AB$5-1)*1</f>
        <v>-5834.95</v>
      </c>
      <c r="AC51" s="54" t="n">
        <f aca="false">-Inputs!$E$43*(1+Inputs!$E$38)^(AC$5-1)*1</f>
        <v>-5834.95</v>
      </c>
      <c r="AD51" s="54" t="n">
        <f aca="false">-Inputs!$E$43*(1+Inputs!$E$38)^(AD$5-1)*1</f>
        <v>-5834.95</v>
      </c>
      <c r="AE51" s="54" t="n">
        <f aca="false">-Inputs!$E$43*(1+Inputs!$E$38)^(AE$5-1)*1</f>
        <v>-5834.95</v>
      </c>
      <c r="AF51" s="54" t="n">
        <f aca="false">-Inputs!$E$43*(1+Inputs!$E$38)^(AF$5-1)*1</f>
        <v>-5834.95</v>
      </c>
      <c r="AG51" s="54" t="n">
        <f aca="false">-Inputs!$E$43*(1+Inputs!$E$38)^(AG$5-1)*1</f>
        <v>-5834.95</v>
      </c>
      <c r="AH51" s="54" t="n">
        <f aca="false">-Inputs!$E$43*(1+Inputs!$E$38)^(AH$5-1)*1</f>
        <v>-5834.95</v>
      </c>
      <c r="AI51" s="54" t="n">
        <f aca="false">-Inputs!$E$43*(1+Inputs!$E$38)^(AI$5-1)*1</f>
        <v>-5834.95</v>
      </c>
      <c r="AJ51" s="54" t="n">
        <f aca="false">-Inputs!$E$43*(1+Inputs!$E$38)^(AJ$5-1)*1</f>
        <v>-5834.95</v>
      </c>
      <c r="AK51" s="54" t="n">
        <f aca="false">-Inputs!$E$43*(1+Inputs!$E$38)^(AK$5-1)*1</f>
        <v>-5834.95</v>
      </c>
      <c r="AL51" s="54" t="n">
        <f aca="false">-Inputs!$E$43*(1+Inputs!$E$38)^(AL$5-1)*1</f>
        <v>-5834.95</v>
      </c>
    </row>
    <row r="52" customFormat="false" ht="15" hidden="false" customHeight="false" outlineLevel="0" collapsed="false">
      <c r="A52" s="6" t="s">
        <v>313</v>
      </c>
      <c r="C52" s="54" t="n">
        <f aca="false">-Inputs!$E$44*(1+Inputs!$E$38)^(C$5-1)*1</f>
        <v>-9500</v>
      </c>
      <c r="D52" s="54" t="n">
        <f aca="false">-Inputs!$E$44*(1+Inputs!$E$38)^(D$5-1)*1</f>
        <v>-9500</v>
      </c>
      <c r="E52" s="54" t="n">
        <f aca="false">-Inputs!$E$44*(1+Inputs!$E$38)^(E$5-1)*1</f>
        <v>-9500</v>
      </c>
      <c r="F52" s="54" t="n">
        <f aca="false">-Inputs!$E$44*(1+Inputs!$E$38)^(F$5-1)*1</f>
        <v>-9500</v>
      </c>
      <c r="G52" s="54" t="n">
        <f aca="false">-Inputs!$E$44*(1+Inputs!$E$38)^(G$5-1)*1</f>
        <v>-9500</v>
      </c>
      <c r="H52" s="54" t="n">
        <f aca="false">-Inputs!$E$44*(1+Inputs!$E$38)^(H$5-1)*1</f>
        <v>-9500</v>
      </c>
      <c r="I52" s="54" t="n">
        <f aca="false">-Inputs!$E$44*(1+Inputs!$E$38)^(I$5-1)*1</f>
        <v>-9500</v>
      </c>
      <c r="J52" s="54" t="n">
        <f aca="false">-Inputs!$E$44*(1+Inputs!$E$38)^(J$5-1)*1</f>
        <v>-9500</v>
      </c>
      <c r="K52" s="54" t="n">
        <f aca="false">-Inputs!$E$44*(1+Inputs!$E$38)^(K$5-1)*1</f>
        <v>-9500</v>
      </c>
      <c r="L52" s="54" t="n">
        <f aca="false">-Inputs!$E$44*(1+Inputs!$E$38)^(L$5-1)*1</f>
        <v>-9500</v>
      </c>
      <c r="M52" s="54" t="n">
        <f aca="false">-Inputs!$E$44*(1+Inputs!$E$38)^(M$5-1)*1</f>
        <v>-9500</v>
      </c>
      <c r="N52" s="54" t="n">
        <f aca="false">-Inputs!$E$44*(1+Inputs!$E$38)^(N$5-1)*1</f>
        <v>-9500</v>
      </c>
      <c r="O52" s="54" t="n">
        <f aca="false">-Inputs!$E$44*(1+Inputs!$E$38)^(O$5-1)*1</f>
        <v>-9785</v>
      </c>
      <c r="P52" s="54" t="n">
        <f aca="false">-Inputs!$E$44*(1+Inputs!$E$38)^(P$5-1)*1</f>
        <v>-9785</v>
      </c>
      <c r="Q52" s="54" t="n">
        <f aca="false">-Inputs!$E$44*(1+Inputs!$E$38)^(Q$5-1)*1</f>
        <v>-9785</v>
      </c>
      <c r="R52" s="54" t="n">
        <f aca="false">-Inputs!$E$44*(1+Inputs!$E$38)^(R$5-1)*1</f>
        <v>-9785</v>
      </c>
      <c r="S52" s="54" t="n">
        <f aca="false">-Inputs!$E$44*(1+Inputs!$E$38)^(S$5-1)*1</f>
        <v>-9785</v>
      </c>
      <c r="T52" s="54" t="n">
        <f aca="false">-Inputs!$E$44*(1+Inputs!$E$38)^(T$5-1)*1</f>
        <v>-9785</v>
      </c>
      <c r="U52" s="54" t="n">
        <f aca="false">-Inputs!$E$44*(1+Inputs!$E$38)^(U$5-1)*1</f>
        <v>-9785</v>
      </c>
      <c r="V52" s="54" t="n">
        <f aca="false">-Inputs!$E$44*(1+Inputs!$E$38)^(V$5-1)*1</f>
        <v>-9785</v>
      </c>
      <c r="W52" s="54" t="n">
        <f aca="false">-Inputs!$E$44*(1+Inputs!$E$38)^(W$5-1)*1</f>
        <v>-9785</v>
      </c>
      <c r="X52" s="54" t="n">
        <f aca="false">-Inputs!$E$44*(1+Inputs!$E$38)^(X$5-1)*1</f>
        <v>-9785</v>
      </c>
      <c r="Y52" s="54" t="n">
        <f aca="false">-Inputs!$E$44*(1+Inputs!$E$38)^(Y$5-1)*1</f>
        <v>-9785</v>
      </c>
      <c r="Z52" s="54" t="n">
        <f aca="false">-Inputs!$E$44*(1+Inputs!$E$38)^(Z$5-1)*1</f>
        <v>-9785</v>
      </c>
      <c r="AA52" s="54" t="n">
        <f aca="false">-Inputs!$E$44*(1+Inputs!$E$38)^(AA$5-1)*1</f>
        <v>-10078.55</v>
      </c>
      <c r="AB52" s="54" t="n">
        <f aca="false">-Inputs!$E$44*(1+Inputs!$E$38)^(AB$5-1)*1</f>
        <v>-10078.55</v>
      </c>
      <c r="AC52" s="54" t="n">
        <f aca="false">-Inputs!$E$44*(1+Inputs!$E$38)^(AC$5-1)*1</f>
        <v>-10078.55</v>
      </c>
      <c r="AD52" s="54" t="n">
        <f aca="false">-Inputs!$E$44*(1+Inputs!$E$38)^(AD$5-1)*1</f>
        <v>-10078.55</v>
      </c>
      <c r="AE52" s="54" t="n">
        <f aca="false">-Inputs!$E$44*(1+Inputs!$E$38)^(AE$5-1)*1</f>
        <v>-10078.55</v>
      </c>
      <c r="AF52" s="54" t="n">
        <f aca="false">-Inputs!$E$44*(1+Inputs!$E$38)^(AF$5-1)*1</f>
        <v>-10078.55</v>
      </c>
      <c r="AG52" s="54" t="n">
        <f aca="false">-Inputs!$E$44*(1+Inputs!$E$38)^(AG$5-1)*1</f>
        <v>-10078.55</v>
      </c>
      <c r="AH52" s="54" t="n">
        <f aca="false">-Inputs!$E$44*(1+Inputs!$E$38)^(AH$5-1)*1</f>
        <v>-10078.55</v>
      </c>
      <c r="AI52" s="54" t="n">
        <f aca="false">-Inputs!$E$44*(1+Inputs!$E$38)^(AI$5-1)*1</f>
        <v>-10078.55</v>
      </c>
      <c r="AJ52" s="54" t="n">
        <f aca="false">-Inputs!$E$44*(1+Inputs!$E$38)^(AJ$5-1)*1</f>
        <v>-10078.55</v>
      </c>
      <c r="AK52" s="54" t="n">
        <f aca="false">-Inputs!$E$44*(1+Inputs!$E$38)^(AK$5-1)*1</f>
        <v>-10078.55</v>
      </c>
      <c r="AL52" s="54" t="n">
        <f aca="false">-Inputs!$E$44*(1+Inputs!$E$38)^(AL$5-1)*1</f>
        <v>-10078.55</v>
      </c>
    </row>
    <row r="53" customFormat="false" ht="15" hidden="false" customHeight="false" outlineLevel="0" collapsed="false">
      <c r="A53" s="6" t="s">
        <v>314</v>
      </c>
      <c r="C53" s="54" t="n">
        <f aca="false">-Inputs!$E$45*(1+Inputs!$E$46)^(C$5-1)*1</f>
        <v>-12000</v>
      </c>
      <c r="D53" s="54" t="n">
        <f aca="false">-Inputs!$E$45*(1+Inputs!$E$46)^(D$5-1)*1</f>
        <v>-12000</v>
      </c>
      <c r="E53" s="54" t="n">
        <f aca="false">-Inputs!$E$45*(1+Inputs!$E$46)^(E$5-1)*1</f>
        <v>-12000</v>
      </c>
      <c r="F53" s="54" t="n">
        <f aca="false">-Inputs!$E$45*(1+Inputs!$E$46)^(F$5-1)*1</f>
        <v>-12000</v>
      </c>
      <c r="G53" s="54" t="n">
        <f aca="false">-Inputs!$E$45*(1+Inputs!$E$46)^(G$5-1)*1</f>
        <v>-12000</v>
      </c>
      <c r="H53" s="54" t="n">
        <f aca="false">-Inputs!$E$45*(1+Inputs!$E$46)^(H$5-1)*1</f>
        <v>-12000</v>
      </c>
      <c r="I53" s="54" t="n">
        <f aca="false">-Inputs!$E$45*(1+Inputs!$E$46)^(I$5-1)*1</f>
        <v>-12000</v>
      </c>
      <c r="J53" s="54" t="n">
        <f aca="false">-Inputs!$E$45*(1+Inputs!$E$46)^(J$5-1)*1</f>
        <v>-12000</v>
      </c>
      <c r="K53" s="54" t="n">
        <f aca="false">-Inputs!$E$45*(1+Inputs!$E$46)^(K$5-1)*1</f>
        <v>-12000</v>
      </c>
      <c r="L53" s="54" t="n">
        <f aca="false">-Inputs!$E$45*(1+Inputs!$E$46)^(L$5-1)*1</f>
        <v>-12000</v>
      </c>
      <c r="M53" s="54" t="n">
        <f aca="false">-Inputs!$E$45*(1+Inputs!$E$46)^(M$5-1)*1</f>
        <v>-12000</v>
      </c>
      <c r="N53" s="54" t="n">
        <f aca="false">-Inputs!$E$45*(1+Inputs!$E$46)^(N$5-1)*1</f>
        <v>-12000</v>
      </c>
      <c r="O53" s="54" t="n">
        <f aca="false">-Inputs!$E$45*(1+Inputs!$E$46)^(O$5-1)*1</f>
        <v>-9600</v>
      </c>
      <c r="P53" s="54" t="n">
        <f aca="false">-Inputs!$E$45*(1+Inputs!$E$46)^(P$5-1)*1</f>
        <v>-9600</v>
      </c>
      <c r="Q53" s="54" t="n">
        <f aca="false">-Inputs!$E$45*(1+Inputs!$E$46)^(Q$5-1)*1</f>
        <v>-9600</v>
      </c>
      <c r="R53" s="54" t="n">
        <f aca="false">-Inputs!$E$45*(1+Inputs!$E$46)^(R$5-1)*1</f>
        <v>-9600</v>
      </c>
      <c r="S53" s="54" t="n">
        <f aca="false">-Inputs!$E$45*(1+Inputs!$E$46)^(S$5-1)*1</f>
        <v>-9600</v>
      </c>
      <c r="T53" s="54" t="n">
        <f aca="false">-Inputs!$E$45*(1+Inputs!$E$46)^(T$5-1)*1</f>
        <v>-9600</v>
      </c>
      <c r="U53" s="54" t="n">
        <f aca="false">-Inputs!$E$45*(1+Inputs!$E$46)^(U$5-1)*1</f>
        <v>-9600</v>
      </c>
      <c r="V53" s="54" t="n">
        <f aca="false">-Inputs!$E$45*(1+Inputs!$E$46)^(V$5-1)*1</f>
        <v>-9600</v>
      </c>
      <c r="W53" s="54" t="n">
        <f aca="false">-Inputs!$E$45*(1+Inputs!$E$46)^(W$5-1)*1</f>
        <v>-9600</v>
      </c>
      <c r="X53" s="54" t="n">
        <f aca="false">-Inputs!$E$45*(1+Inputs!$E$46)^(X$5-1)*1</f>
        <v>-9600</v>
      </c>
      <c r="Y53" s="54" t="n">
        <f aca="false">-Inputs!$E$45*(1+Inputs!$E$46)^(Y$5-1)*1</f>
        <v>-9600</v>
      </c>
      <c r="Z53" s="54" t="n">
        <f aca="false">-Inputs!$E$45*(1+Inputs!$E$46)^(Z$5-1)*1</f>
        <v>-9600</v>
      </c>
      <c r="AA53" s="54" t="n">
        <f aca="false">-Inputs!$E$45*(1+Inputs!$E$46)^(AA$5-1)*1</f>
        <v>-7680</v>
      </c>
      <c r="AB53" s="54" t="n">
        <f aca="false">-Inputs!$E$45*(1+Inputs!$E$46)^(AB$5-1)*1</f>
        <v>-7680</v>
      </c>
      <c r="AC53" s="54" t="n">
        <f aca="false">-Inputs!$E$45*(1+Inputs!$E$46)^(AC$5-1)*1</f>
        <v>-7680</v>
      </c>
      <c r="AD53" s="54" t="n">
        <f aca="false">-Inputs!$E$45*(1+Inputs!$E$46)^(AD$5-1)*1</f>
        <v>-7680</v>
      </c>
      <c r="AE53" s="54" t="n">
        <f aca="false">-Inputs!$E$45*(1+Inputs!$E$46)^(AE$5-1)*1</f>
        <v>-7680</v>
      </c>
      <c r="AF53" s="54" t="n">
        <f aca="false">-Inputs!$E$45*(1+Inputs!$E$46)^(AF$5-1)*1</f>
        <v>-7680</v>
      </c>
      <c r="AG53" s="54" t="n">
        <f aca="false">-Inputs!$E$45*(1+Inputs!$E$46)^(AG$5-1)*1</f>
        <v>-7680</v>
      </c>
      <c r="AH53" s="54" t="n">
        <f aca="false">-Inputs!$E$45*(1+Inputs!$E$46)^(AH$5-1)*1</f>
        <v>-7680</v>
      </c>
      <c r="AI53" s="54" t="n">
        <f aca="false">-Inputs!$E$45*(1+Inputs!$E$46)^(AI$5-1)*1</f>
        <v>-7680</v>
      </c>
      <c r="AJ53" s="54" t="n">
        <f aca="false">-Inputs!$E$45*(1+Inputs!$E$46)^(AJ$5-1)*1</f>
        <v>-7680</v>
      </c>
      <c r="AK53" s="54" t="n">
        <f aca="false">-Inputs!$E$45*(1+Inputs!$E$46)^(AK$5-1)*1</f>
        <v>-7680</v>
      </c>
      <c r="AL53" s="54" t="n">
        <f aca="false">-Inputs!$E$45*(1+Inputs!$E$46)^(AL$5-1)*1</f>
        <v>-7680</v>
      </c>
    </row>
    <row r="54" customFormat="false" ht="15" hidden="false" customHeight="false" outlineLevel="0" collapsed="false">
      <c r="A54" s="99" t="s">
        <v>75</v>
      </c>
      <c r="C54" s="55" t="n">
        <f aca="false">C49+C50+C51+C52+C53</f>
        <v>-93586.6666666667</v>
      </c>
      <c r="D54" s="55" t="n">
        <f aca="false">D49+D50+D51+D52+D53</f>
        <v>-93586.6666666667</v>
      </c>
      <c r="E54" s="55" t="n">
        <f aca="false">E49+E50+E51+E52+E53</f>
        <v>-93586.6666666667</v>
      </c>
      <c r="F54" s="55" t="n">
        <f aca="false">F49+F50+F51+F52+F53</f>
        <v>-93586.6666666667</v>
      </c>
      <c r="G54" s="55" t="n">
        <f aca="false">G49+G50+G51+G52+G53</f>
        <v>-93586.6666666667</v>
      </c>
      <c r="H54" s="55" t="n">
        <f aca="false">H49+H50+H51+H52+H53</f>
        <v>-93586.6666666667</v>
      </c>
      <c r="I54" s="55" t="n">
        <f aca="false">I49+I50+I51+I52+I53</f>
        <v>-93586.6666666667</v>
      </c>
      <c r="J54" s="55" t="n">
        <f aca="false">J49+J50+J51+J52+J53</f>
        <v>-93586.6666666667</v>
      </c>
      <c r="K54" s="55" t="n">
        <f aca="false">K49+K50+K51+K52+K53</f>
        <v>-93586.6666666667</v>
      </c>
      <c r="L54" s="55" t="n">
        <f aca="false">L49+L50+L51+L52+L53</f>
        <v>-93586.6666666667</v>
      </c>
      <c r="M54" s="55" t="n">
        <f aca="false">M49+M50+M51+M52+M53</f>
        <v>-93586.6666666667</v>
      </c>
      <c r="N54" s="55" t="n">
        <f aca="false">N49+N50+N51+N52+N53</f>
        <v>-93586.6666666667</v>
      </c>
      <c r="O54" s="55" t="n">
        <f aca="false">O49+O50+O51+O52+O53</f>
        <v>-93634.2666666667</v>
      </c>
      <c r="P54" s="55" t="n">
        <f aca="false">P49+P50+P51+P52+P53</f>
        <v>-93634.2666666667</v>
      </c>
      <c r="Q54" s="55" t="n">
        <f aca="false">Q49+Q50+Q51+Q52+Q53</f>
        <v>-93634.2666666667</v>
      </c>
      <c r="R54" s="55" t="n">
        <f aca="false">R49+R50+R51+R52+R53</f>
        <v>-93634.2666666667</v>
      </c>
      <c r="S54" s="55" t="n">
        <f aca="false">S49+S50+S51+S52+S53</f>
        <v>-93634.2666666667</v>
      </c>
      <c r="T54" s="55" t="n">
        <f aca="false">T49+T50+T51+T52+T53</f>
        <v>-93634.2666666667</v>
      </c>
      <c r="U54" s="55" t="n">
        <f aca="false">U49+U50+U51+U52+U53</f>
        <v>-93634.2666666667</v>
      </c>
      <c r="V54" s="55" t="n">
        <f aca="false">V49+V50+V51+V52+V53</f>
        <v>-93634.2666666667</v>
      </c>
      <c r="W54" s="55" t="n">
        <f aca="false">W49+W50+W51+W52+W53</f>
        <v>-93634.2666666667</v>
      </c>
      <c r="X54" s="55" t="n">
        <f aca="false">X49+X50+X51+X52+X53</f>
        <v>-93634.2666666667</v>
      </c>
      <c r="Y54" s="55" t="n">
        <f aca="false">Y49+Y50+Y51+Y52+Y53</f>
        <v>-93634.2666666667</v>
      </c>
      <c r="Z54" s="55" t="n">
        <f aca="false">Z49+Z50+Z51+Z52+Z53</f>
        <v>-93634.2666666667</v>
      </c>
      <c r="AA54" s="55" t="n">
        <f aca="false">AA49+AA50+AA51+AA52+AA53</f>
        <v>-94235.2946666667</v>
      </c>
      <c r="AB54" s="55" t="n">
        <f aca="false">AB49+AB50+AB51+AB52+AB53</f>
        <v>-94235.2946666667</v>
      </c>
      <c r="AC54" s="55" t="n">
        <f aca="false">AC49+AC50+AC51+AC52+AC53</f>
        <v>-94235.2946666667</v>
      </c>
      <c r="AD54" s="55" t="n">
        <f aca="false">AD49+AD50+AD51+AD52+AD53</f>
        <v>-94235.2946666667</v>
      </c>
      <c r="AE54" s="55" t="n">
        <f aca="false">AE49+AE50+AE51+AE52+AE53</f>
        <v>-94235.2946666667</v>
      </c>
      <c r="AF54" s="55" t="n">
        <f aca="false">AF49+AF50+AF51+AF52+AF53</f>
        <v>-94235.2946666667</v>
      </c>
      <c r="AG54" s="55" t="n">
        <f aca="false">AG49+AG50+AG51+AG52+AG53</f>
        <v>-94235.2946666667</v>
      </c>
      <c r="AH54" s="55" t="n">
        <f aca="false">AH49+AH50+AH51+AH52+AH53</f>
        <v>-94235.2946666667</v>
      </c>
      <c r="AI54" s="55" t="n">
        <f aca="false">AI49+AI50+AI51+AI52+AI53</f>
        <v>-94235.2946666667</v>
      </c>
      <c r="AJ54" s="55" t="n">
        <f aca="false">AJ49+AJ50+AJ51+AJ52+AJ53</f>
        <v>-94235.2946666667</v>
      </c>
      <c r="AK54" s="55" t="n">
        <f aca="false">AK49+AK50+AK51+AK52+AK53</f>
        <v>-94235.2946666667</v>
      </c>
      <c r="AL54" s="55" t="n">
        <f aca="false">AL49+AL50+AL51+AL52+AL53</f>
        <v>-94235.2946666667</v>
      </c>
    </row>
    <row r="55" customFormat="false" ht="15" hidden="false" customHeight="false" outlineLevel="0" collapsed="false">
      <c r="A55" s="99" t="s">
        <v>46</v>
      </c>
      <c r="C55" s="55" t="n">
        <f aca="false">C46+C54</f>
        <v>-52715.2544125667</v>
      </c>
      <c r="D55" s="55" t="n">
        <f aca="false">D46+D54</f>
        <v>-47169.179570764</v>
      </c>
      <c r="E55" s="55" t="n">
        <f aca="false">E46+E54</f>
        <v>-31890.1001241627</v>
      </c>
      <c r="F55" s="55" t="n">
        <f aca="false">F46+F54</f>
        <v>-24896.4647094518</v>
      </c>
      <c r="G55" s="55" t="n">
        <f aca="false">G46+G54</f>
        <v>-17775.1087070848</v>
      </c>
      <c r="H55" s="55" t="n">
        <f aca="false">H46+H54</f>
        <v>-10531.1409405681</v>
      </c>
      <c r="I55" s="55" t="n">
        <f aca="false">I46+I54</f>
        <v>-3169.46588046759</v>
      </c>
      <c r="J55" s="55" t="n">
        <f aca="false">J46+J54</f>
        <v>4305.20818147335</v>
      </c>
      <c r="K55" s="55" t="n">
        <f aca="false">K46+K54</f>
        <v>11888.3612851811</v>
      </c>
      <c r="L55" s="55" t="n">
        <f aca="false">L46+L54</f>
        <v>19575.654268985</v>
      </c>
      <c r="M55" s="55" t="n">
        <f aca="false">M46+M54</f>
        <v>21716.7869555589</v>
      </c>
      <c r="N55" s="55" t="n">
        <f aca="false">N46+N54</f>
        <v>7381.49638357262</v>
      </c>
      <c r="O55" s="55" t="n">
        <f aca="false">O46+O54</f>
        <v>11016.249459607</v>
      </c>
      <c r="P55" s="55" t="n">
        <f aca="false">P46+P54</f>
        <v>12786.1725056861</v>
      </c>
      <c r="Q55" s="55" t="n">
        <f aca="false">Q46+Q54</f>
        <v>30960.9642923074</v>
      </c>
      <c r="R55" s="55" t="n">
        <f aca="false">R46+R54</f>
        <v>32838.0186139185</v>
      </c>
      <c r="S55" s="55" t="n">
        <f aca="false">S46+S54</f>
        <v>34639.9907626651</v>
      </c>
      <c r="T55" s="55" t="n">
        <f aca="false">T46+T54</f>
        <v>36369.8840254618</v>
      </c>
      <c r="U55" s="55" t="n">
        <f aca="false">U46+U54</f>
        <v>38030.5815577466</v>
      </c>
      <c r="V55" s="55" t="n">
        <f aca="false">V46+V54</f>
        <v>39624.8511887401</v>
      </c>
      <c r="W55" s="55" t="n">
        <f aca="false">W46+W54</f>
        <v>41155.3500344938</v>
      </c>
      <c r="X55" s="55" t="n">
        <f aca="false">X46+X54</f>
        <v>42624.6289264174</v>
      </c>
      <c r="Y55" s="55" t="n">
        <f aca="false">Y46+Y54</f>
        <v>44035.136662664</v>
      </c>
      <c r="Z55" s="55" t="n">
        <f aca="false">Z46+Z54</f>
        <v>29509.3804320289</v>
      </c>
      <c r="AA55" s="55" t="n">
        <f aca="false">AA46+AA54</f>
        <v>32279.3298099496</v>
      </c>
      <c r="AB55" s="55" t="n">
        <f aca="false">AB46+AB54</f>
        <v>33364.0629633307</v>
      </c>
      <c r="AC55" s="55" t="n">
        <f aca="false">AC46+AC54</f>
        <v>50431.0642395809</v>
      </c>
      <c r="AD55" s="55" t="n">
        <f aca="false">AD46+AD54</f>
        <v>51706.7736472895</v>
      </c>
      <c r="AE55" s="55" t="n">
        <f aca="false">AE46+AE54</f>
        <v>52931.4546786897</v>
      </c>
      <c r="AF55" s="55" t="n">
        <f aca="false">AF46+AF54</f>
        <v>54107.1484688339</v>
      </c>
      <c r="AG55" s="55" t="n">
        <f aca="false">AG46+AG54</f>
        <v>55235.8145073723</v>
      </c>
      <c r="AH55" s="55" t="n">
        <f aca="false">AH46+AH54</f>
        <v>56319.3339043693</v>
      </c>
      <c r="AI55" s="55" t="n">
        <f aca="false">AI46+AI54</f>
        <v>57359.5125254863</v>
      </c>
      <c r="AJ55" s="55" t="n">
        <f aca="false">AJ46+AJ54</f>
        <v>58358.0840017586</v>
      </c>
      <c r="AK55" s="55" t="n">
        <f aca="false">AK46+AK54</f>
        <v>59316.7126189801</v>
      </c>
      <c r="AL55" s="55" t="n">
        <f aca="false">AL46+AL54</f>
        <v>44621.120366448</v>
      </c>
    </row>
    <row r="57" customFormat="false" ht="15.75" hidden="false" customHeight="true" outlineLevel="0" collapsed="false">
      <c r="A57" s="7" t="s">
        <v>387</v>
      </c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</row>
    <row r="58" customFormat="false" ht="15" hidden="false" customHeight="false" outlineLevel="0" collapsed="false">
      <c r="A58" s="4" t="s">
        <v>77</v>
      </c>
      <c r="C58" s="60" t="n">
        <f aca="false">C55+C73</f>
        <v>-81187.4766347889</v>
      </c>
      <c r="D58" s="60" t="n">
        <f aca="false">D55+D73</f>
        <v>-75641.4017929862</v>
      </c>
      <c r="E58" s="60" t="n">
        <f aca="false">E55+E73</f>
        <v>-60362.3223463849</v>
      </c>
      <c r="F58" s="60" t="n">
        <f aca="false">F55+F73</f>
        <v>-53368.686931674</v>
      </c>
      <c r="G58" s="60" t="n">
        <f aca="false">G55+G73</f>
        <v>-46247.330929307</v>
      </c>
      <c r="H58" s="60" t="n">
        <f aca="false">H55+H73</f>
        <v>-39003.3631627903</v>
      </c>
      <c r="I58" s="60" t="n">
        <f aca="false">I55+I73</f>
        <v>-31641.6881026898</v>
      </c>
      <c r="J58" s="60" t="n">
        <f aca="false">J55+J73</f>
        <v>-24167.0140407489</v>
      </c>
      <c r="K58" s="60" t="n">
        <f aca="false">K55+K73</f>
        <v>-16583.8609370411</v>
      </c>
      <c r="L58" s="60" t="n">
        <f aca="false">L55+L73</f>
        <v>-8896.56795323726</v>
      </c>
      <c r="M58" s="60" t="n">
        <f aca="false">M55+M73</f>
        <v>-6755.43526666334</v>
      </c>
      <c r="N58" s="60" t="n">
        <f aca="false">N55+N73</f>
        <v>-21090.7258386496</v>
      </c>
      <c r="O58" s="60" t="n">
        <f aca="false">O55+O73</f>
        <v>-17733.750540393</v>
      </c>
      <c r="P58" s="60" t="n">
        <f aca="false">P55+P73</f>
        <v>-15963.8274943139</v>
      </c>
      <c r="Q58" s="60" t="n">
        <f aca="false">Q55+Q73</f>
        <v>2210.96429230741</v>
      </c>
      <c r="R58" s="60" t="n">
        <f aca="false">R55+R73</f>
        <v>4088.01861391848</v>
      </c>
      <c r="S58" s="60" t="n">
        <f aca="false">S55+S73</f>
        <v>5889.99076266505</v>
      </c>
      <c r="T58" s="60" t="n">
        <f aca="false">T55+T73</f>
        <v>7619.8840254618</v>
      </c>
      <c r="U58" s="60" t="n">
        <f aca="false">U55+U73</f>
        <v>9280.58155774663</v>
      </c>
      <c r="V58" s="60" t="n">
        <f aca="false">V55+V73</f>
        <v>10874.8511887401</v>
      </c>
      <c r="W58" s="60" t="n">
        <f aca="false">W55+W73</f>
        <v>12405.3500344938</v>
      </c>
      <c r="X58" s="60" t="n">
        <f aca="false">X55+X73</f>
        <v>13874.6289264174</v>
      </c>
      <c r="Y58" s="60" t="n">
        <f aca="false">Y55+Y73</f>
        <v>15285.136662664</v>
      </c>
      <c r="Z58" s="60" t="n">
        <f aca="false">Z55+Z73</f>
        <v>759.380432028891</v>
      </c>
      <c r="AA58" s="60" t="n">
        <f aca="false">AA55+AA73</f>
        <v>3251.55203217178</v>
      </c>
      <c r="AB58" s="60" t="n">
        <f aca="false">AB55+AB73</f>
        <v>4336.28518555293</v>
      </c>
      <c r="AC58" s="60" t="n">
        <f aca="false">AC55+AC73</f>
        <v>21403.2864618032</v>
      </c>
      <c r="AD58" s="60" t="n">
        <f aca="false">AD55+AD73</f>
        <v>22678.9958695117</v>
      </c>
      <c r="AE58" s="60" t="n">
        <f aca="false">AE55+AE73</f>
        <v>23903.6769009119</v>
      </c>
      <c r="AF58" s="60" t="n">
        <f aca="false">AF55+AF73</f>
        <v>25079.3706910562</v>
      </c>
      <c r="AG58" s="60" t="n">
        <f aca="false">AG55+AG73</f>
        <v>26208.0367295946</v>
      </c>
      <c r="AH58" s="60" t="n">
        <f aca="false">AH55+AH73</f>
        <v>27291.5561265915</v>
      </c>
      <c r="AI58" s="60" t="n">
        <f aca="false">AI55+AI73</f>
        <v>28331.7347477085</v>
      </c>
      <c r="AJ58" s="60" t="n">
        <f aca="false">AJ55+AJ73</f>
        <v>29330.3062239809</v>
      </c>
      <c r="AK58" s="60" t="n">
        <f aca="false">AK55+AK73</f>
        <v>30288.9348412023</v>
      </c>
      <c r="AL58" s="60" t="n">
        <f aca="false">AL55+AL73</f>
        <v>15593.3425886702</v>
      </c>
    </row>
    <row r="59" customFormat="false" ht="15" hidden="false" customHeight="false" outlineLevel="0" collapsed="false">
      <c r="A59" s="6" t="s">
        <v>388</v>
      </c>
      <c r="C59" s="54" t="n">
        <f aca="false">-(C78+C79+C81)/2*Inputs!$E$69/12</f>
        <v>-21250</v>
      </c>
      <c r="D59" s="54" t="n">
        <f aca="false">-(D78+D79+D81)/2*Inputs!$E$69/12</f>
        <v>-21161.4583333333</v>
      </c>
      <c r="E59" s="54" t="n">
        <f aca="false">-(E78+E79+E81)/2*Inputs!$E$69/12</f>
        <v>-20984.375</v>
      </c>
      <c r="F59" s="54" t="n">
        <f aca="false">-(F78+F79+F81)/2*Inputs!$E$69/12</f>
        <v>-20807.2916666667</v>
      </c>
      <c r="G59" s="54" t="n">
        <f aca="false">-(G78+G79+G81)/2*Inputs!$E$69/12</f>
        <v>-20630.2083333333</v>
      </c>
      <c r="H59" s="54" t="n">
        <f aca="false">-(H78+H79+H81)/2*Inputs!$E$69/12</f>
        <v>-20453.125</v>
      </c>
      <c r="I59" s="54" t="n">
        <f aca="false">-(I78+I79+I81)/2*Inputs!$E$69/12</f>
        <v>-20276.0416666667</v>
      </c>
      <c r="J59" s="54" t="n">
        <f aca="false">-(J78+J79+J81)/2*Inputs!$E$69/12</f>
        <v>-20098.9583333333</v>
      </c>
      <c r="K59" s="54" t="n">
        <f aca="false">-(K78+K79+K81)/2*Inputs!$E$69/12</f>
        <v>-19921.875</v>
      </c>
      <c r="L59" s="54" t="n">
        <f aca="false">-(L78+L79+L81)/2*Inputs!$E$69/12</f>
        <v>-19744.7916666667</v>
      </c>
      <c r="M59" s="54" t="n">
        <f aca="false">-(M78+M79+M81)/2*Inputs!$E$69/12</f>
        <v>-19567.7083333333</v>
      </c>
      <c r="N59" s="54" t="n">
        <f aca="false">-(N78+N79+N81)/2*Inputs!$E$69/12</f>
        <v>-19390.625</v>
      </c>
      <c r="O59" s="54" t="n">
        <f aca="false">-(O78+O79+O81)/2*Inputs!$E$69/12</f>
        <v>-19213.5416666667</v>
      </c>
      <c r="P59" s="54" t="n">
        <f aca="false">-(P78+P79+P81)/2*Inputs!$E$69/12</f>
        <v>-19036.4583333333</v>
      </c>
      <c r="Q59" s="54" t="n">
        <f aca="false">-(Q78+Q79+Q81)/2*Inputs!$E$69/12</f>
        <v>-18859.375</v>
      </c>
      <c r="R59" s="54" t="n">
        <f aca="false">-(R78+R79+R81)/2*Inputs!$E$69/12</f>
        <v>-18682.2916666667</v>
      </c>
      <c r="S59" s="54" t="n">
        <f aca="false">-(S78+S79+S81)/2*Inputs!$E$69/12</f>
        <v>-18505.2083333333</v>
      </c>
      <c r="T59" s="54" t="n">
        <f aca="false">-(T78+T79+T81)/2*Inputs!$E$69/12</f>
        <v>-18328.125</v>
      </c>
      <c r="U59" s="54" t="n">
        <f aca="false">-(U78+U79+U81)/2*Inputs!$E$69/12</f>
        <v>-18151.0416666667</v>
      </c>
      <c r="V59" s="54" t="n">
        <f aca="false">-(V78+V79+V81)/2*Inputs!$E$69/12</f>
        <v>-17973.9583333333</v>
      </c>
      <c r="W59" s="54" t="n">
        <f aca="false">-(W78+W79+W81)/2*Inputs!$E$69/12</f>
        <v>-17796.875</v>
      </c>
      <c r="X59" s="54" t="n">
        <f aca="false">-(X78+X79+X81)/2*Inputs!$E$69/12</f>
        <v>-17619.7916666667</v>
      </c>
      <c r="Y59" s="54" t="n">
        <f aca="false">-(Y78+Y79+Y81)/2*Inputs!$E$69/12</f>
        <v>-17442.7083333333</v>
      </c>
      <c r="Z59" s="54" t="n">
        <f aca="false">-(Z78+Z79+Z81)/2*Inputs!$E$69/12</f>
        <v>-17265.625</v>
      </c>
      <c r="AA59" s="54" t="n">
        <f aca="false">-(AA78+AA79+AA81)/2*Inputs!$E$69/12</f>
        <v>-17088.5416666667</v>
      </c>
      <c r="AB59" s="54" t="n">
        <f aca="false">-(AB78+AB79+AB81)/2*Inputs!$E$69/12</f>
        <v>-16911.4583333333</v>
      </c>
      <c r="AC59" s="54" t="n">
        <f aca="false">-(AC78+AC79+AC81)/2*Inputs!$E$69/12</f>
        <v>-16734.375</v>
      </c>
      <c r="AD59" s="54" t="n">
        <f aca="false">-(AD78+AD79+AD81)/2*Inputs!$E$69/12</f>
        <v>-16557.2916666667</v>
      </c>
      <c r="AE59" s="54" t="n">
        <f aca="false">-(AE78+AE79+AE81)/2*Inputs!$E$69/12</f>
        <v>-16380.2083333333</v>
      </c>
      <c r="AF59" s="54" t="n">
        <f aca="false">-(AF78+AF79+AF81)/2*Inputs!$E$69/12</f>
        <v>-16203.125</v>
      </c>
      <c r="AG59" s="54" t="n">
        <f aca="false">-(AG78+AG79+AG81)/2*Inputs!$E$69/12</f>
        <v>-16026.0416666667</v>
      </c>
      <c r="AH59" s="54" t="n">
        <f aca="false">-(AH78+AH79+AH81)/2*Inputs!$E$69/12</f>
        <v>-15848.9583333333</v>
      </c>
      <c r="AI59" s="54" t="n">
        <f aca="false">-(AI78+AI79+AI81)/2*Inputs!$E$69/12</f>
        <v>-15671.875</v>
      </c>
      <c r="AJ59" s="54" t="n">
        <f aca="false">-(AJ78+AJ79+AJ81)/2*Inputs!$E$69/12</f>
        <v>-15494.7916666667</v>
      </c>
      <c r="AK59" s="54" t="n">
        <f aca="false">-(AK78+AK79+AK81)/2*Inputs!$E$69/12</f>
        <v>-15317.7083333333</v>
      </c>
      <c r="AL59" s="54" t="n">
        <f aca="false">-(AL78+AL79+AL81)/2*Inputs!$E$69/12</f>
        <v>-15140.625</v>
      </c>
    </row>
    <row r="60" customFormat="false" ht="15" hidden="false" customHeight="false" outlineLevel="0" collapsed="false">
      <c r="A60" s="99" t="s">
        <v>79</v>
      </c>
      <c r="C60" s="55" t="n">
        <f aca="false">C58+C59</f>
        <v>-102437.476634789</v>
      </c>
      <c r="D60" s="55" t="n">
        <f aca="false">D58+D59</f>
        <v>-96802.8601263196</v>
      </c>
      <c r="E60" s="55" t="n">
        <f aca="false">E58+E59</f>
        <v>-81346.6973463849</v>
      </c>
      <c r="F60" s="55" t="n">
        <f aca="false">F58+F59</f>
        <v>-74175.9785983407</v>
      </c>
      <c r="G60" s="55" t="n">
        <f aca="false">G58+G59</f>
        <v>-66877.5392626404</v>
      </c>
      <c r="H60" s="55" t="n">
        <f aca="false">H58+H59</f>
        <v>-59456.4881627903</v>
      </c>
      <c r="I60" s="55" t="n">
        <f aca="false">I58+I59</f>
        <v>-51917.7297693565</v>
      </c>
      <c r="J60" s="55" t="n">
        <f aca="false">J58+J59</f>
        <v>-44265.9723740822</v>
      </c>
      <c r="K60" s="55" t="n">
        <f aca="false">K58+K59</f>
        <v>-36505.7359370411</v>
      </c>
      <c r="L60" s="55" t="n">
        <f aca="false">L58+L59</f>
        <v>-28641.3596199039</v>
      </c>
      <c r="M60" s="55" t="n">
        <f aca="false">M58+M59</f>
        <v>-26323.1435999967</v>
      </c>
      <c r="N60" s="55" t="n">
        <f aca="false">N58+N59</f>
        <v>-40481.3508386496</v>
      </c>
      <c r="O60" s="55" t="n">
        <f aca="false">O58+O59</f>
        <v>-36947.2922070597</v>
      </c>
      <c r="P60" s="55" t="n">
        <f aca="false">P58+P59</f>
        <v>-35000.2858276473</v>
      </c>
      <c r="Q60" s="55" t="n">
        <f aca="false">Q58+Q59</f>
        <v>-16648.4107076926</v>
      </c>
      <c r="R60" s="55" t="n">
        <f aca="false">R58+R59</f>
        <v>-14594.2730527482</v>
      </c>
      <c r="S60" s="55" t="n">
        <f aca="false">S58+S59</f>
        <v>-12615.2175706683</v>
      </c>
      <c r="T60" s="55" t="n">
        <f aca="false">T58+T59</f>
        <v>-10708.2409745382</v>
      </c>
      <c r="U60" s="55" t="n">
        <f aca="false">U58+U59</f>
        <v>-8870.46010892004</v>
      </c>
      <c r="V60" s="55" t="n">
        <f aca="false">V58+V59</f>
        <v>-7099.10714459323</v>
      </c>
      <c r="W60" s="55" t="n">
        <f aca="false">W58+W59</f>
        <v>-5391.52496550617</v>
      </c>
      <c r="X60" s="55" t="n">
        <f aca="false">X58+X59</f>
        <v>-3745.16274024923</v>
      </c>
      <c r="Y60" s="55" t="n">
        <f aca="false">Y58+Y59</f>
        <v>-2157.5716706693</v>
      </c>
      <c r="Z60" s="55" t="n">
        <f aca="false">Z58+Z59</f>
        <v>-16506.2445679711</v>
      </c>
      <c r="AA60" s="55" t="n">
        <f aca="false">AA58+AA59</f>
        <v>-13836.9896344949</v>
      </c>
      <c r="AB60" s="55" t="n">
        <f aca="false">AB58+AB59</f>
        <v>-12575.1731477804</v>
      </c>
      <c r="AC60" s="55" t="n">
        <f aca="false">AC58+AC59</f>
        <v>4668.91146180315</v>
      </c>
      <c r="AD60" s="55" t="n">
        <f aca="false">AD58+AD59</f>
        <v>6121.70420284503</v>
      </c>
      <c r="AE60" s="55" t="n">
        <f aca="false">AE58+AE59</f>
        <v>7523.46856757859</v>
      </c>
      <c r="AF60" s="55" t="n">
        <f aca="false">AF58+AF59</f>
        <v>8876.24569105615</v>
      </c>
      <c r="AG60" s="55" t="n">
        <f aca="false">AG58+AG59</f>
        <v>10181.9950629279</v>
      </c>
      <c r="AH60" s="55" t="n">
        <f aca="false">AH58+AH59</f>
        <v>11442.5977932581</v>
      </c>
      <c r="AI60" s="55" t="n">
        <f aca="false">AI58+AI59</f>
        <v>12659.8597477085</v>
      </c>
      <c r="AJ60" s="55" t="n">
        <f aca="false">AJ58+AJ59</f>
        <v>13835.5145573142</v>
      </c>
      <c r="AK60" s="55" t="n">
        <f aca="false">AK58+AK59</f>
        <v>14971.226507869</v>
      </c>
      <c r="AL60" s="55" t="n">
        <f aca="false">AL58+AL59</f>
        <v>452.717588670192</v>
      </c>
    </row>
    <row r="61" customFormat="false" ht="15" hidden="false" customHeight="false" outlineLevel="0" collapsed="false">
      <c r="A61" s="102" t="s">
        <v>389</v>
      </c>
      <c r="C61" s="54" t="n">
        <f aca="false">C60</f>
        <v>-102437.476634789</v>
      </c>
      <c r="D61" s="54" t="n">
        <f aca="false">C61+D60</f>
        <v>-199240.336761108</v>
      </c>
      <c r="E61" s="54" t="n">
        <f aca="false">D61+E60</f>
        <v>-280587.034107493</v>
      </c>
      <c r="F61" s="54" t="n">
        <f aca="false">E61+F60</f>
        <v>-354763.012705834</v>
      </c>
      <c r="G61" s="54" t="n">
        <f aca="false">F61+G60</f>
        <v>-421640.551968474</v>
      </c>
      <c r="H61" s="54" t="n">
        <f aca="false">G61+H60</f>
        <v>-481097.040131265</v>
      </c>
      <c r="I61" s="54" t="n">
        <f aca="false">H61+I60</f>
        <v>-533014.769900621</v>
      </c>
      <c r="J61" s="54" t="n">
        <f aca="false">I61+J60</f>
        <v>-577280.742274703</v>
      </c>
      <c r="K61" s="54" t="n">
        <f aca="false">J61+K60</f>
        <v>-613786.478211745</v>
      </c>
      <c r="L61" s="54" t="n">
        <f aca="false">K61+L60</f>
        <v>-642427.837831648</v>
      </c>
      <c r="M61" s="54" t="n">
        <f aca="false">L61+M60</f>
        <v>-668750.981431645</v>
      </c>
      <c r="N61" s="54" t="n">
        <f aca="false">M61+N60</f>
        <v>-709232.332270295</v>
      </c>
      <c r="O61" s="54" t="n">
        <f aca="false">N61+O60</f>
        <v>-746179.624477354</v>
      </c>
      <c r="P61" s="54" t="n">
        <f aca="false">O61+P60</f>
        <v>-781179.910305002</v>
      </c>
      <c r="Q61" s="54" t="n">
        <f aca="false">P61+Q60</f>
        <v>-797828.321012694</v>
      </c>
      <c r="R61" s="54" t="n">
        <f aca="false">Q61+R60</f>
        <v>-812422.594065442</v>
      </c>
      <c r="S61" s="54" t="n">
        <f aca="false">R61+S60</f>
        <v>-825037.811636111</v>
      </c>
      <c r="T61" s="54" t="n">
        <f aca="false">S61+T60</f>
        <v>-835746.052610649</v>
      </c>
      <c r="U61" s="54" t="n">
        <f aca="false">T61+U60</f>
        <v>-844616.512719569</v>
      </c>
      <c r="V61" s="54" t="n">
        <f aca="false">U61+V60</f>
        <v>-851715.619864162</v>
      </c>
      <c r="W61" s="54" t="n">
        <f aca="false">V61+W60</f>
        <v>-857107.144829668</v>
      </c>
      <c r="X61" s="54" t="n">
        <f aca="false">W61+X60</f>
        <v>-860852.307569918</v>
      </c>
      <c r="Y61" s="54" t="n">
        <f aca="false">X61+Y60</f>
        <v>-863009.879240587</v>
      </c>
      <c r="Z61" s="54" t="n">
        <f aca="false">Y61+Z60</f>
        <v>-879516.123808558</v>
      </c>
      <c r="AA61" s="54" t="n">
        <f aca="false">Z61+AA60</f>
        <v>-893353.113443053</v>
      </c>
      <c r="AB61" s="54" t="n">
        <f aca="false">AA61+AB60</f>
        <v>-905928.286590833</v>
      </c>
      <c r="AC61" s="54" t="n">
        <f aca="false">AB61+AC60</f>
        <v>-901259.37512903</v>
      </c>
      <c r="AD61" s="54" t="n">
        <f aca="false">AC61+AD60</f>
        <v>-895137.670926185</v>
      </c>
      <c r="AE61" s="54" t="n">
        <f aca="false">AD61+AE60</f>
        <v>-887614.202358606</v>
      </c>
      <c r="AF61" s="54" t="n">
        <f aca="false">AE61+AF60</f>
        <v>-878737.95666755</v>
      </c>
      <c r="AG61" s="54" t="n">
        <f aca="false">AF61+AG60</f>
        <v>-868555.961604622</v>
      </c>
      <c r="AH61" s="54" t="n">
        <f aca="false">AG61+AH60</f>
        <v>-857113.363811364</v>
      </c>
      <c r="AI61" s="54" t="n">
        <f aca="false">AH61+AI60</f>
        <v>-844453.504063656</v>
      </c>
      <c r="AJ61" s="54" t="n">
        <f aca="false">AI61+AJ60</f>
        <v>-830617.989506341</v>
      </c>
      <c r="AK61" s="54" t="n">
        <f aca="false">AJ61+AK60</f>
        <v>-815646.762998472</v>
      </c>
      <c r="AL61" s="54" t="n">
        <f aca="false">AK61+AL60</f>
        <v>-815194.045409802</v>
      </c>
    </row>
    <row r="62" customFormat="false" ht="15" hidden="false" customHeight="false" outlineLevel="0" collapsed="false">
      <c r="A62" s="102" t="s">
        <v>390</v>
      </c>
      <c r="C62" s="54" t="n">
        <f aca="false">MAX(0,C61)</f>
        <v>0</v>
      </c>
      <c r="D62" s="54" t="n">
        <f aca="false">MAX(C62,D61)</f>
        <v>0</v>
      </c>
      <c r="E62" s="54" t="n">
        <f aca="false">MAX(D62,E61)</f>
        <v>0</v>
      </c>
      <c r="F62" s="54" t="n">
        <f aca="false">MAX(E62,F61)</f>
        <v>0</v>
      </c>
      <c r="G62" s="54" t="n">
        <f aca="false">MAX(F62,G61)</f>
        <v>0</v>
      </c>
      <c r="H62" s="54" t="n">
        <f aca="false">MAX(G62,H61)</f>
        <v>0</v>
      </c>
      <c r="I62" s="54" t="n">
        <f aca="false">MAX(H62,I61)</f>
        <v>0</v>
      </c>
      <c r="J62" s="54" t="n">
        <f aca="false">MAX(I62,J61)</f>
        <v>0</v>
      </c>
      <c r="K62" s="54" t="n">
        <f aca="false">MAX(J62,K61)</f>
        <v>0</v>
      </c>
      <c r="L62" s="54" t="n">
        <f aca="false">MAX(K62,L61)</f>
        <v>0</v>
      </c>
      <c r="M62" s="54" t="n">
        <f aca="false">MAX(L62,M61)</f>
        <v>0</v>
      </c>
      <c r="N62" s="54" t="n">
        <f aca="false">MAX(M62,N61)</f>
        <v>0</v>
      </c>
      <c r="O62" s="54" t="n">
        <f aca="false">MAX(N62,O61)</f>
        <v>0</v>
      </c>
      <c r="P62" s="54" t="n">
        <f aca="false">MAX(O62,P61)</f>
        <v>0</v>
      </c>
      <c r="Q62" s="54" t="n">
        <f aca="false">MAX(P62,Q61)</f>
        <v>0</v>
      </c>
      <c r="R62" s="54" t="n">
        <f aca="false">MAX(Q62,R61)</f>
        <v>0</v>
      </c>
      <c r="S62" s="54" t="n">
        <f aca="false">MAX(R62,S61)</f>
        <v>0</v>
      </c>
      <c r="T62" s="54" t="n">
        <f aca="false">MAX(S62,T61)</f>
        <v>0</v>
      </c>
      <c r="U62" s="54" t="n">
        <f aca="false">MAX(T62,U61)</f>
        <v>0</v>
      </c>
      <c r="V62" s="54" t="n">
        <f aca="false">MAX(U62,V61)</f>
        <v>0</v>
      </c>
      <c r="W62" s="54" t="n">
        <f aca="false">MAX(V62,W61)</f>
        <v>0</v>
      </c>
      <c r="X62" s="54" t="n">
        <f aca="false">MAX(W62,X61)</f>
        <v>0</v>
      </c>
      <c r="Y62" s="54" t="n">
        <f aca="false">MAX(X62,Y61)</f>
        <v>0</v>
      </c>
      <c r="Z62" s="54" t="n">
        <f aca="false">MAX(Y62,Z61)</f>
        <v>0</v>
      </c>
      <c r="AA62" s="54" t="n">
        <f aca="false">MAX(Z62,AA61)</f>
        <v>0</v>
      </c>
      <c r="AB62" s="54" t="n">
        <f aca="false">MAX(AA62,AB61)</f>
        <v>0</v>
      </c>
      <c r="AC62" s="54" t="n">
        <f aca="false">MAX(AB62,AC61)</f>
        <v>0</v>
      </c>
      <c r="AD62" s="54" t="n">
        <f aca="false">MAX(AC62,AD61)</f>
        <v>0</v>
      </c>
      <c r="AE62" s="54" t="n">
        <f aca="false">MAX(AD62,AE61)</f>
        <v>0</v>
      </c>
      <c r="AF62" s="54" t="n">
        <f aca="false">MAX(AE62,AF61)</f>
        <v>0</v>
      </c>
      <c r="AG62" s="54" t="n">
        <f aca="false">MAX(AF62,AG61)</f>
        <v>0</v>
      </c>
      <c r="AH62" s="54" t="n">
        <f aca="false">MAX(AG62,AH61)</f>
        <v>0</v>
      </c>
      <c r="AI62" s="54" t="n">
        <f aca="false">MAX(AH62,AI61)</f>
        <v>0</v>
      </c>
      <c r="AJ62" s="54" t="n">
        <f aca="false">MAX(AI62,AJ61)</f>
        <v>0</v>
      </c>
      <c r="AK62" s="54" t="n">
        <f aca="false">MAX(AJ62,AK61)</f>
        <v>0</v>
      </c>
      <c r="AL62" s="54" t="n">
        <f aca="false">MAX(AK62,AL61)</f>
        <v>0</v>
      </c>
    </row>
    <row r="63" customFormat="false" ht="15" hidden="false" customHeight="false" outlineLevel="0" collapsed="false">
      <c r="A63" s="6" t="s">
        <v>80</v>
      </c>
      <c r="C63" s="54" t="n">
        <f aca="false">-C62*Inputs!$E$79</f>
        <v>-0</v>
      </c>
      <c r="D63" s="54" t="n">
        <f aca="false">-(D62-C62)*Inputs!$E$79</f>
        <v>-0</v>
      </c>
      <c r="E63" s="54" t="n">
        <f aca="false">-(E62-D62)*Inputs!$E$79</f>
        <v>-0</v>
      </c>
      <c r="F63" s="54" t="n">
        <f aca="false">-(F62-E62)*Inputs!$E$79</f>
        <v>-0</v>
      </c>
      <c r="G63" s="54" t="n">
        <f aca="false">-(G62-F62)*Inputs!$E$79</f>
        <v>-0</v>
      </c>
      <c r="H63" s="54" t="n">
        <f aca="false">-(H62-G62)*Inputs!$E$79</f>
        <v>-0</v>
      </c>
      <c r="I63" s="54" t="n">
        <f aca="false">-(I62-H62)*Inputs!$E$79</f>
        <v>-0</v>
      </c>
      <c r="J63" s="54" t="n">
        <f aca="false">-(J62-I62)*Inputs!$E$79</f>
        <v>-0</v>
      </c>
      <c r="K63" s="54" t="n">
        <f aca="false">-(K62-J62)*Inputs!$E$79</f>
        <v>-0</v>
      </c>
      <c r="L63" s="54" t="n">
        <f aca="false">-(L62-K62)*Inputs!$E$79</f>
        <v>-0</v>
      </c>
      <c r="M63" s="54" t="n">
        <f aca="false">-(M62-L62)*Inputs!$E$79</f>
        <v>-0</v>
      </c>
      <c r="N63" s="54" t="n">
        <f aca="false">-(N62-M62)*Inputs!$E$79</f>
        <v>-0</v>
      </c>
      <c r="O63" s="54" t="n">
        <f aca="false">-(O62-N62)*Inputs!$E$79</f>
        <v>-0</v>
      </c>
      <c r="P63" s="54" t="n">
        <f aca="false">-(P62-O62)*Inputs!$E$79</f>
        <v>-0</v>
      </c>
      <c r="Q63" s="54" t="n">
        <f aca="false">-(Q62-P62)*Inputs!$E$79</f>
        <v>-0</v>
      </c>
      <c r="R63" s="54" t="n">
        <f aca="false">-(R62-Q62)*Inputs!$E$79</f>
        <v>-0</v>
      </c>
      <c r="S63" s="54" t="n">
        <f aca="false">-(S62-R62)*Inputs!$E$79</f>
        <v>-0</v>
      </c>
      <c r="T63" s="54" t="n">
        <f aca="false">-(T62-S62)*Inputs!$E$79</f>
        <v>-0</v>
      </c>
      <c r="U63" s="54" t="n">
        <f aca="false">-(U62-T62)*Inputs!$E$79</f>
        <v>-0</v>
      </c>
      <c r="V63" s="54" t="n">
        <f aca="false">-(V62-U62)*Inputs!$E$79</f>
        <v>-0</v>
      </c>
      <c r="W63" s="54" t="n">
        <f aca="false">-(W62-V62)*Inputs!$E$79</f>
        <v>-0</v>
      </c>
      <c r="X63" s="54" t="n">
        <f aca="false">-(X62-W62)*Inputs!$E$79</f>
        <v>-0</v>
      </c>
      <c r="Y63" s="54" t="n">
        <f aca="false">-(Y62-X62)*Inputs!$E$79</f>
        <v>-0</v>
      </c>
      <c r="Z63" s="54" t="n">
        <f aca="false">-(Z62-Y62)*Inputs!$E$79</f>
        <v>-0</v>
      </c>
      <c r="AA63" s="54" t="n">
        <f aca="false">-(AA62-Z62)*Inputs!$E$79</f>
        <v>-0</v>
      </c>
      <c r="AB63" s="54" t="n">
        <f aca="false">-(AB62-AA62)*Inputs!$E$79</f>
        <v>-0</v>
      </c>
      <c r="AC63" s="54" t="n">
        <f aca="false">-(AC62-AB62)*Inputs!$E$79</f>
        <v>-0</v>
      </c>
      <c r="AD63" s="54" t="n">
        <f aca="false">-(AD62-AC62)*Inputs!$E$79</f>
        <v>-0</v>
      </c>
      <c r="AE63" s="54" t="n">
        <f aca="false">-(AE62-AD62)*Inputs!$E$79</f>
        <v>-0</v>
      </c>
      <c r="AF63" s="54" t="n">
        <f aca="false">-(AF62-AE62)*Inputs!$E$79</f>
        <v>-0</v>
      </c>
      <c r="AG63" s="54" t="n">
        <f aca="false">-(AG62-AF62)*Inputs!$E$79</f>
        <v>-0</v>
      </c>
      <c r="AH63" s="54" t="n">
        <f aca="false">-(AH62-AG62)*Inputs!$E$79</f>
        <v>-0</v>
      </c>
      <c r="AI63" s="54" t="n">
        <f aca="false">-(AI62-AH62)*Inputs!$E$79</f>
        <v>-0</v>
      </c>
      <c r="AJ63" s="54" t="n">
        <f aca="false">-(AJ62-AI62)*Inputs!$E$79</f>
        <v>-0</v>
      </c>
      <c r="AK63" s="54" t="n">
        <f aca="false">-(AK62-AJ62)*Inputs!$E$79</f>
        <v>-0</v>
      </c>
      <c r="AL63" s="54" t="n">
        <f aca="false">-(AL62-AK62)*Inputs!$E$79</f>
        <v>-0</v>
      </c>
    </row>
    <row r="64" customFormat="false" ht="15" hidden="false" customHeight="false" outlineLevel="0" collapsed="false">
      <c r="A64" s="99" t="s">
        <v>48</v>
      </c>
      <c r="C64" s="55" t="n">
        <f aca="false">C60+C63</f>
        <v>-102437.476634789</v>
      </c>
      <c r="D64" s="55" t="n">
        <f aca="false">D60+D63</f>
        <v>-96802.8601263196</v>
      </c>
      <c r="E64" s="55" t="n">
        <f aca="false">E60+E63</f>
        <v>-81346.6973463849</v>
      </c>
      <c r="F64" s="55" t="n">
        <f aca="false">F60+F63</f>
        <v>-74175.9785983407</v>
      </c>
      <c r="G64" s="55" t="n">
        <f aca="false">G60+G63</f>
        <v>-66877.5392626404</v>
      </c>
      <c r="H64" s="55" t="n">
        <f aca="false">H60+H63</f>
        <v>-59456.4881627903</v>
      </c>
      <c r="I64" s="55" t="n">
        <f aca="false">I60+I63</f>
        <v>-51917.7297693565</v>
      </c>
      <c r="J64" s="55" t="n">
        <f aca="false">J60+J63</f>
        <v>-44265.9723740822</v>
      </c>
      <c r="K64" s="55" t="n">
        <f aca="false">K60+K63</f>
        <v>-36505.7359370411</v>
      </c>
      <c r="L64" s="55" t="n">
        <f aca="false">L60+L63</f>
        <v>-28641.3596199039</v>
      </c>
      <c r="M64" s="55" t="n">
        <f aca="false">M60+M63</f>
        <v>-26323.1435999967</v>
      </c>
      <c r="N64" s="55" t="n">
        <f aca="false">N60+N63</f>
        <v>-40481.3508386496</v>
      </c>
      <c r="O64" s="55" t="n">
        <f aca="false">O60+O63</f>
        <v>-36947.2922070597</v>
      </c>
      <c r="P64" s="55" t="n">
        <f aca="false">P60+P63</f>
        <v>-35000.2858276473</v>
      </c>
      <c r="Q64" s="55" t="n">
        <f aca="false">Q60+Q63</f>
        <v>-16648.4107076926</v>
      </c>
      <c r="R64" s="55" t="n">
        <f aca="false">R60+R63</f>
        <v>-14594.2730527482</v>
      </c>
      <c r="S64" s="55" t="n">
        <f aca="false">S60+S63</f>
        <v>-12615.2175706683</v>
      </c>
      <c r="T64" s="55" t="n">
        <f aca="false">T60+T63</f>
        <v>-10708.2409745382</v>
      </c>
      <c r="U64" s="55" t="n">
        <f aca="false">U60+U63</f>
        <v>-8870.46010892004</v>
      </c>
      <c r="V64" s="55" t="n">
        <f aca="false">V60+V63</f>
        <v>-7099.10714459323</v>
      </c>
      <c r="W64" s="55" t="n">
        <f aca="false">W60+W63</f>
        <v>-5391.52496550617</v>
      </c>
      <c r="X64" s="55" t="n">
        <f aca="false">X60+X63</f>
        <v>-3745.16274024923</v>
      </c>
      <c r="Y64" s="55" t="n">
        <f aca="false">Y60+Y63</f>
        <v>-2157.5716706693</v>
      </c>
      <c r="Z64" s="55" t="n">
        <f aca="false">Z60+Z63</f>
        <v>-16506.2445679711</v>
      </c>
      <c r="AA64" s="55" t="n">
        <f aca="false">AA60+AA63</f>
        <v>-13836.9896344949</v>
      </c>
      <c r="AB64" s="55" t="n">
        <f aca="false">AB60+AB63</f>
        <v>-12575.1731477804</v>
      </c>
      <c r="AC64" s="55" t="n">
        <f aca="false">AC60+AC63</f>
        <v>4668.91146180315</v>
      </c>
      <c r="AD64" s="55" t="n">
        <f aca="false">AD60+AD63</f>
        <v>6121.70420284503</v>
      </c>
      <c r="AE64" s="55" t="n">
        <f aca="false">AE60+AE63</f>
        <v>7523.46856757859</v>
      </c>
      <c r="AF64" s="55" t="n">
        <f aca="false">AF60+AF63</f>
        <v>8876.24569105615</v>
      </c>
      <c r="AG64" s="55" t="n">
        <f aca="false">AG60+AG63</f>
        <v>10181.9950629279</v>
      </c>
      <c r="AH64" s="55" t="n">
        <f aca="false">AH60+AH63</f>
        <v>11442.5977932581</v>
      </c>
      <c r="AI64" s="55" t="n">
        <f aca="false">AI60+AI63</f>
        <v>12659.8597477085</v>
      </c>
      <c r="AJ64" s="55" t="n">
        <f aca="false">AJ60+AJ63</f>
        <v>13835.5145573142</v>
      </c>
      <c r="AK64" s="55" t="n">
        <f aca="false">AK60+AK63</f>
        <v>14971.226507869</v>
      </c>
      <c r="AL64" s="55" t="n">
        <f aca="false">AL60+AL63</f>
        <v>452.717588670192</v>
      </c>
    </row>
    <row r="66" customFormat="false" ht="15.75" hidden="false" customHeight="true" outlineLevel="0" collapsed="false">
      <c r="A66" s="7" t="s">
        <v>391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customFormat="false" ht="15" hidden="false" customHeight="false" outlineLevel="0" collapsed="false">
      <c r="A67" s="6" t="s">
        <v>392</v>
      </c>
      <c r="C67" s="54" t="n">
        <f aca="false">IF(C$4=1,Inputs!$E$49,0)</f>
        <v>1650000</v>
      </c>
      <c r="D67" s="54" t="n">
        <f aca="false">IF(D$4=1,Inputs!$E$49,0)</f>
        <v>0</v>
      </c>
      <c r="E67" s="54" t="n">
        <f aca="false">IF(E$4=1,Inputs!$E$49,0)</f>
        <v>0</v>
      </c>
      <c r="F67" s="54" t="n">
        <f aca="false">IF(F$4=1,Inputs!$E$49,0)</f>
        <v>0</v>
      </c>
      <c r="G67" s="54" t="n">
        <f aca="false">IF(G$4=1,Inputs!$E$49,0)</f>
        <v>0</v>
      </c>
      <c r="H67" s="54" t="n">
        <f aca="false">IF(H$4=1,Inputs!$E$49,0)</f>
        <v>0</v>
      </c>
      <c r="I67" s="54" t="n">
        <f aca="false">IF(I$4=1,Inputs!$E$49,0)</f>
        <v>0</v>
      </c>
      <c r="J67" s="54" t="n">
        <f aca="false">IF(J$4=1,Inputs!$E$49,0)</f>
        <v>0</v>
      </c>
      <c r="K67" s="54" t="n">
        <f aca="false">IF(K$4=1,Inputs!$E$49,0)</f>
        <v>0</v>
      </c>
      <c r="L67" s="54" t="n">
        <f aca="false">IF(L$4=1,Inputs!$E$49,0)</f>
        <v>0</v>
      </c>
      <c r="M67" s="54" t="n">
        <f aca="false">IF(M$4=1,Inputs!$E$49,0)</f>
        <v>0</v>
      </c>
      <c r="N67" s="54" t="n">
        <f aca="false">IF(N$4=1,Inputs!$E$49,0)</f>
        <v>0</v>
      </c>
      <c r="O67" s="54" t="n">
        <f aca="false">IF(O$4=1,Inputs!$E$49,0)</f>
        <v>0</v>
      </c>
      <c r="P67" s="54" t="n">
        <f aca="false">IF(P$4=1,Inputs!$E$49,0)</f>
        <v>0</v>
      </c>
      <c r="Q67" s="54" t="n">
        <f aca="false">IF(Q$4=1,Inputs!$E$49,0)</f>
        <v>0</v>
      </c>
      <c r="R67" s="54" t="n">
        <f aca="false">IF(R$4=1,Inputs!$E$49,0)</f>
        <v>0</v>
      </c>
      <c r="S67" s="54" t="n">
        <f aca="false">IF(S$4=1,Inputs!$E$49,0)</f>
        <v>0</v>
      </c>
      <c r="T67" s="54" t="n">
        <f aca="false">IF(T$4=1,Inputs!$E$49,0)</f>
        <v>0</v>
      </c>
      <c r="U67" s="54" t="n">
        <f aca="false">IF(U$4=1,Inputs!$E$49,0)</f>
        <v>0</v>
      </c>
      <c r="V67" s="54" t="n">
        <f aca="false">IF(V$4=1,Inputs!$E$49,0)</f>
        <v>0</v>
      </c>
      <c r="W67" s="54" t="n">
        <f aca="false">IF(W$4=1,Inputs!$E$49,0)</f>
        <v>0</v>
      </c>
      <c r="X67" s="54" t="n">
        <f aca="false">IF(X$4=1,Inputs!$E$49,0)</f>
        <v>0</v>
      </c>
      <c r="Y67" s="54" t="n">
        <f aca="false">IF(Y$4=1,Inputs!$E$49,0)</f>
        <v>0</v>
      </c>
      <c r="Z67" s="54" t="n">
        <f aca="false">IF(Z$4=1,Inputs!$E$49,0)</f>
        <v>0</v>
      </c>
      <c r="AA67" s="54" t="n">
        <f aca="false">IF(AA$4=1,Inputs!$E$49,0)</f>
        <v>0</v>
      </c>
      <c r="AB67" s="54" t="n">
        <f aca="false">IF(AB$4=1,Inputs!$E$49,0)</f>
        <v>0</v>
      </c>
      <c r="AC67" s="54" t="n">
        <f aca="false">IF(AC$4=1,Inputs!$E$49,0)</f>
        <v>0</v>
      </c>
      <c r="AD67" s="54" t="n">
        <f aca="false">IF(AD$4=1,Inputs!$E$49,0)</f>
        <v>0</v>
      </c>
      <c r="AE67" s="54" t="n">
        <f aca="false">IF(AE$4=1,Inputs!$E$49,0)</f>
        <v>0</v>
      </c>
      <c r="AF67" s="54" t="n">
        <f aca="false">IF(AF$4=1,Inputs!$E$49,0)</f>
        <v>0</v>
      </c>
      <c r="AG67" s="54" t="n">
        <f aca="false">IF(AG$4=1,Inputs!$E$49,0)</f>
        <v>0</v>
      </c>
      <c r="AH67" s="54" t="n">
        <f aca="false">IF(AH$4=1,Inputs!$E$49,0)</f>
        <v>0</v>
      </c>
      <c r="AI67" s="54" t="n">
        <f aca="false">IF(AI$4=1,Inputs!$E$49,0)</f>
        <v>0</v>
      </c>
      <c r="AJ67" s="54" t="n">
        <f aca="false">IF(AJ$4=1,Inputs!$E$49,0)</f>
        <v>0</v>
      </c>
      <c r="AK67" s="54" t="n">
        <f aca="false">IF(AK$4=1,Inputs!$E$49,0)</f>
        <v>0</v>
      </c>
      <c r="AL67" s="54" t="n">
        <f aca="false">IF(AL$4=1,Inputs!$E$49,0)</f>
        <v>0</v>
      </c>
    </row>
    <row r="68" customFormat="false" ht="15" hidden="false" customHeight="false" outlineLevel="0" collapsed="false">
      <c r="A68" s="6" t="s">
        <v>393</v>
      </c>
      <c r="C68" s="54" t="n">
        <f aca="false">IF(C$4=1,Inputs!$E$50,0)</f>
        <v>2300000</v>
      </c>
      <c r="D68" s="54" t="n">
        <f aca="false">IF(D$4=1,Inputs!$E$50,0)</f>
        <v>0</v>
      </c>
      <c r="E68" s="54" t="n">
        <f aca="false">IF(E$4=1,Inputs!$E$50,0)</f>
        <v>0</v>
      </c>
      <c r="F68" s="54" t="n">
        <f aca="false">IF(F$4=1,Inputs!$E$50,0)</f>
        <v>0</v>
      </c>
      <c r="G68" s="54" t="n">
        <f aca="false">IF(G$4=1,Inputs!$E$50,0)</f>
        <v>0</v>
      </c>
      <c r="H68" s="54" t="n">
        <f aca="false">IF(H$4=1,Inputs!$E$50,0)</f>
        <v>0</v>
      </c>
      <c r="I68" s="54" t="n">
        <f aca="false">IF(I$4=1,Inputs!$E$50,0)</f>
        <v>0</v>
      </c>
      <c r="J68" s="54" t="n">
        <f aca="false">IF(J$4=1,Inputs!$E$50,0)</f>
        <v>0</v>
      </c>
      <c r="K68" s="54" t="n">
        <f aca="false">IF(K$4=1,Inputs!$E$50,0)</f>
        <v>0</v>
      </c>
      <c r="L68" s="54" t="n">
        <f aca="false">IF(L$4=1,Inputs!$E$50,0)</f>
        <v>0</v>
      </c>
      <c r="M68" s="54" t="n">
        <f aca="false">IF(M$4=1,Inputs!$E$50,0)</f>
        <v>0</v>
      </c>
      <c r="N68" s="54" t="n">
        <f aca="false">IF(N$4=1,Inputs!$E$50,0)</f>
        <v>0</v>
      </c>
      <c r="O68" s="54" t="n">
        <f aca="false">IF(O$4=1,Inputs!$E$50,0)</f>
        <v>0</v>
      </c>
      <c r="P68" s="54" t="n">
        <f aca="false">IF(P$4=1,Inputs!$E$50,0)</f>
        <v>0</v>
      </c>
      <c r="Q68" s="54" t="n">
        <f aca="false">IF(Q$4=1,Inputs!$E$50,0)</f>
        <v>0</v>
      </c>
      <c r="R68" s="54" t="n">
        <f aca="false">IF(R$4=1,Inputs!$E$50,0)</f>
        <v>0</v>
      </c>
      <c r="S68" s="54" t="n">
        <f aca="false">IF(S$4=1,Inputs!$E$50,0)</f>
        <v>0</v>
      </c>
      <c r="T68" s="54" t="n">
        <f aca="false">IF(T$4=1,Inputs!$E$50,0)</f>
        <v>0</v>
      </c>
      <c r="U68" s="54" t="n">
        <f aca="false">IF(U$4=1,Inputs!$E$50,0)</f>
        <v>0</v>
      </c>
      <c r="V68" s="54" t="n">
        <f aca="false">IF(V$4=1,Inputs!$E$50,0)</f>
        <v>0</v>
      </c>
      <c r="W68" s="54" t="n">
        <f aca="false">IF(W$4=1,Inputs!$E$50,0)</f>
        <v>0</v>
      </c>
      <c r="X68" s="54" t="n">
        <f aca="false">IF(X$4=1,Inputs!$E$50,0)</f>
        <v>0</v>
      </c>
      <c r="Y68" s="54" t="n">
        <f aca="false">IF(Y$4=1,Inputs!$E$50,0)</f>
        <v>0</v>
      </c>
      <c r="Z68" s="54" t="n">
        <f aca="false">IF(Z$4=1,Inputs!$E$50,0)</f>
        <v>0</v>
      </c>
      <c r="AA68" s="54" t="n">
        <f aca="false">IF(AA$4=1,Inputs!$E$50,0)</f>
        <v>0</v>
      </c>
      <c r="AB68" s="54" t="n">
        <f aca="false">IF(AB$4=1,Inputs!$E$50,0)</f>
        <v>0</v>
      </c>
      <c r="AC68" s="54" t="n">
        <f aca="false">IF(AC$4=1,Inputs!$E$50,0)</f>
        <v>0</v>
      </c>
      <c r="AD68" s="54" t="n">
        <f aca="false">IF(AD$4=1,Inputs!$E$50,0)</f>
        <v>0</v>
      </c>
      <c r="AE68" s="54" t="n">
        <f aca="false">IF(AE$4=1,Inputs!$E$50,0)</f>
        <v>0</v>
      </c>
      <c r="AF68" s="54" t="n">
        <f aca="false">IF(AF$4=1,Inputs!$E$50,0)</f>
        <v>0</v>
      </c>
      <c r="AG68" s="54" t="n">
        <f aca="false">IF(AG$4=1,Inputs!$E$50,0)</f>
        <v>0</v>
      </c>
      <c r="AH68" s="54" t="n">
        <f aca="false">IF(AH$4=1,Inputs!$E$50,0)</f>
        <v>0</v>
      </c>
      <c r="AI68" s="54" t="n">
        <f aca="false">IF(AI$4=1,Inputs!$E$50,0)</f>
        <v>0</v>
      </c>
      <c r="AJ68" s="54" t="n">
        <f aca="false">IF(AJ$4=1,Inputs!$E$50,0)</f>
        <v>0</v>
      </c>
      <c r="AK68" s="54" t="n">
        <f aca="false">IF(AK$4=1,Inputs!$E$50,0)</f>
        <v>0</v>
      </c>
      <c r="AL68" s="54" t="n">
        <f aca="false">IF(AL$4=1,Inputs!$E$50,0)</f>
        <v>0</v>
      </c>
    </row>
    <row r="69" customFormat="false" ht="15" hidden="false" customHeight="false" outlineLevel="0" collapsed="false">
      <c r="A69" s="6" t="s">
        <v>394</v>
      </c>
      <c r="C69" s="54" t="n">
        <f aca="false">IF(C$4=1,Inputs!$E$51,0)</f>
        <v>150000</v>
      </c>
      <c r="D69" s="54" t="n">
        <f aca="false">IF(D$4=1,Inputs!$E$51,0)</f>
        <v>0</v>
      </c>
      <c r="E69" s="54" t="n">
        <f aca="false">IF(E$4=1,Inputs!$E$51,0)</f>
        <v>0</v>
      </c>
      <c r="F69" s="54" t="n">
        <f aca="false">IF(F$4=1,Inputs!$E$51,0)</f>
        <v>0</v>
      </c>
      <c r="G69" s="54" t="n">
        <f aca="false">IF(G$4=1,Inputs!$E$51,0)</f>
        <v>0</v>
      </c>
      <c r="H69" s="54" t="n">
        <f aca="false">IF(H$4=1,Inputs!$E$51,0)</f>
        <v>0</v>
      </c>
      <c r="I69" s="54" t="n">
        <f aca="false">IF(I$4=1,Inputs!$E$51,0)</f>
        <v>0</v>
      </c>
      <c r="J69" s="54" t="n">
        <f aca="false">IF(J$4=1,Inputs!$E$51,0)</f>
        <v>0</v>
      </c>
      <c r="K69" s="54" t="n">
        <f aca="false">IF(K$4=1,Inputs!$E$51,0)</f>
        <v>0</v>
      </c>
      <c r="L69" s="54" t="n">
        <f aca="false">IF(L$4=1,Inputs!$E$51,0)</f>
        <v>0</v>
      </c>
      <c r="M69" s="54" t="n">
        <f aca="false">IF(M$4=1,Inputs!$E$51,0)</f>
        <v>0</v>
      </c>
      <c r="N69" s="54" t="n">
        <f aca="false">IF(N$4=1,Inputs!$E$51,0)</f>
        <v>0</v>
      </c>
      <c r="O69" s="54" t="n">
        <f aca="false">IF(O$4=1,Inputs!$E$51,0)</f>
        <v>0</v>
      </c>
      <c r="P69" s="54" t="n">
        <f aca="false">IF(P$4=1,Inputs!$E$51,0)</f>
        <v>0</v>
      </c>
      <c r="Q69" s="54" t="n">
        <f aca="false">IF(Q$4=1,Inputs!$E$51,0)</f>
        <v>0</v>
      </c>
      <c r="R69" s="54" t="n">
        <f aca="false">IF(R$4=1,Inputs!$E$51,0)</f>
        <v>0</v>
      </c>
      <c r="S69" s="54" t="n">
        <f aca="false">IF(S$4=1,Inputs!$E$51,0)</f>
        <v>0</v>
      </c>
      <c r="T69" s="54" t="n">
        <f aca="false">IF(T$4=1,Inputs!$E$51,0)</f>
        <v>0</v>
      </c>
      <c r="U69" s="54" t="n">
        <f aca="false">IF(U$4=1,Inputs!$E$51,0)</f>
        <v>0</v>
      </c>
      <c r="V69" s="54" t="n">
        <f aca="false">IF(V$4=1,Inputs!$E$51,0)</f>
        <v>0</v>
      </c>
      <c r="W69" s="54" t="n">
        <f aca="false">IF(W$4=1,Inputs!$E$51,0)</f>
        <v>0</v>
      </c>
      <c r="X69" s="54" t="n">
        <f aca="false">IF(X$4=1,Inputs!$E$51,0)</f>
        <v>0</v>
      </c>
      <c r="Y69" s="54" t="n">
        <f aca="false">IF(Y$4=1,Inputs!$E$51,0)</f>
        <v>0</v>
      </c>
      <c r="Z69" s="54" t="n">
        <f aca="false">IF(Z$4=1,Inputs!$E$51,0)</f>
        <v>0</v>
      </c>
      <c r="AA69" s="54" t="n">
        <f aca="false">IF(AA$4=1,Inputs!$E$51,0)</f>
        <v>0</v>
      </c>
      <c r="AB69" s="54" t="n">
        <f aca="false">IF(AB$4=1,Inputs!$E$51,0)</f>
        <v>0</v>
      </c>
      <c r="AC69" s="54" t="n">
        <f aca="false">IF(AC$4=1,Inputs!$E$51,0)</f>
        <v>0</v>
      </c>
      <c r="AD69" s="54" t="n">
        <f aca="false">IF(AD$4=1,Inputs!$E$51,0)</f>
        <v>0</v>
      </c>
      <c r="AE69" s="54" t="n">
        <f aca="false">IF(AE$4=1,Inputs!$E$51,0)</f>
        <v>0</v>
      </c>
      <c r="AF69" s="54" t="n">
        <f aca="false">IF(AF$4=1,Inputs!$E$51,0)</f>
        <v>0</v>
      </c>
      <c r="AG69" s="54" t="n">
        <f aca="false">IF(AG$4=1,Inputs!$E$51,0)</f>
        <v>0</v>
      </c>
      <c r="AH69" s="54" t="n">
        <f aca="false">IF(AH$4=1,Inputs!$E$51,0)</f>
        <v>0</v>
      </c>
      <c r="AI69" s="54" t="n">
        <f aca="false">IF(AI$4=1,Inputs!$E$51,0)</f>
        <v>0</v>
      </c>
      <c r="AJ69" s="54" t="n">
        <f aca="false">IF(AJ$4=1,Inputs!$E$51,0)</f>
        <v>0</v>
      </c>
      <c r="AK69" s="54" t="n">
        <f aca="false">IF(AK$4=1,Inputs!$E$51,0)</f>
        <v>0</v>
      </c>
      <c r="AL69" s="54" t="n">
        <f aca="false">IF(AL$4=1,Inputs!$E$51,0)</f>
        <v>0</v>
      </c>
    </row>
    <row r="70" customFormat="false" ht="15" hidden="false" customHeight="false" outlineLevel="0" collapsed="false">
      <c r="A70" s="6" t="s">
        <v>395</v>
      </c>
      <c r="C70" s="54" t="n">
        <f aca="false">IF(AND(C$5&gt;1,MOD(C$4-1,12)=0),Inputs!$E$52,0)</f>
        <v>0</v>
      </c>
      <c r="D70" s="54" t="n">
        <f aca="false">IF(AND(D$5&gt;1,MOD(D$4-1,12)=0),Inputs!$E$52,0)</f>
        <v>0</v>
      </c>
      <c r="E70" s="54" t="n">
        <f aca="false">IF(AND(E$5&gt;1,MOD(E$4-1,12)=0),Inputs!$E$52,0)</f>
        <v>0</v>
      </c>
      <c r="F70" s="54" t="n">
        <f aca="false">IF(AND(F$5&gt;1,MOD(F$4-1,12)=0),Inputs!$E$52,0)</f>
        <v>0</v>
      </c>
      <c r="G70" s="54" t="n">
        <f aca="false">IF(AND(G$5&gt;1,MOD(G$4-1,12)=0),Inputs!$E$52,0)</f>
        <v>0</v>
      </c>
      <c r="H70" s="54" t="n">
        <f aca="false">IF(AND(H$5&gt;1,MOD(H$4-1,12)=0),Inputs!$E$52,0)</f>
        <v>0</v>
      </c>
      <c r="I70" s="54" t="n">
        <f aca="false">IF(AND(I$5&gt;1,MOD(I$4-1,12)=0),Inputs!$E$52,0)</f>
        <v>0</v>
      </c>
      <c r="J70" s="54" t="n">
        <f aca="false">IF(AND(J$5&gt;1,MOD(J$4-1,12)=0),Inputs!$E$52,0)</f>
        <v>0</v>
      </c>
      <c r="K70" s="54" t="n">
        <f aca="false">IF(AND(K$5&gt;1,MOD(K$4-1,12)=0),Inputs!$E$52,0)</f>
        <v>0</v>
      </c>
      <c r="L70" s="54" t="n">
        <f aca="false">IF(AND(L$5&gt;1,MOD(L$4-1,12)=0),Inputs!$E$52,0)</f>
        <v>0</v>
      </c>
      <c r="M70" s="54" t="n">
        <f aca="false">IF(AND(M$5&gt;1,MOD(M$4-1,12)=0),Inputs!$E$52,0)</f>
        <v>0</v>
      </c>
      <c r="N70" s="54" t="n">
        <f aca="false">IF(AND(N$5&gt;1,MOD(N$4-1,12)=0),Inputs!$E$52,0)</f>
        <v>0</v>
      </c>
      <c r="O70" s="54" t="n">
        <f aca="false">IF(AND(O$5&gt;1,MOD(O$4-1,12)=0),Inputs!$E$52,0)</f>
        <v>40000</v>
      </c>
      <c r="P70" s="54" t="n">
        <f aca="false">IF(AND(P$5&gt;1,MOD(P$4-1,12)=0),Inputs!$E$52,0)</f>
        <v>0</v>
      </c>
      <c r="Q70" s="54" t="n">
        <f aca="false">IF(AND(Q$5&gt;1,MOD(Q$4-1,12)=0),Inputs!$E$52,0)</f>
        <v>0</v>
      </c>
      <c r="R70" s="54" t="n">
        <f aca="false">IF(AND(R$5&gt;1,MOD(R$4-1,12)=0),Inputs!$E$52,0)</f>
        <v>0</v>
      </c>
      <c r="S70" s="54" t="n">
        <f aca="false">IF(AND(S$5&gt;1,MOD(S$4-1,12)=0),Inputs!$E$52,0)</f>
        <v>0</v>
      </c>
      <c r="T70" s="54" t="n">
        <f aca="false">IF(AND(T$5&gt;1,MOD(T$4-1,12)=0),Inputs!$E$52,0)</f>
        <v>0</v>
      </c>
      <c r="U70" s="54" t="n">
        <f aca="false">IF(AND(U$5&gt;1,MOD(U$4-1,12)=0),Inputs!$E$52,0)</f>
        <v>0</v>
      </c>
      <c r="V70" s="54" t="n">
        <f aca="false">IF(AND(V$5&gt;1,MOD(V$4-1,12)=0),Inputs!$E$52,0)</f>
        <v>0</v>
      </c>
      <c r="W70" s="54" t="n">
        <f aca="false">IF(AND(W$5&gt;1,MOD(W$4-1,12)=0),Inputs!$E$52,0)</f>
        <v>0</v>
      </c>
      <c r="X70" s="54" t="n">
        <f aca="false">IF(AND(X$5&gt;1,MOD(X$4-1,12)=0),Inputs!$E$52,0)</f>
        <v>0</v>
      </c>
      <c r="Y70" s="54" t="n">
        <f aca="false">IF(AND(Y$5&gt;1,MOD(Y$4-1,12)=0),Inputs!$E$52,0)</f>
        <v>0</v>
      </c>
      <c r="Z70" s="54" t="n">
        <f aca="false">IF(AND(Z$5&gt;1,MOD(Z$4-1,12)=0),Inputs!$E$52,0)</f>
        <v>0</v>
      </c>
      <c r="AA70" s="54" t="n">
        <f aca="false">IF(AND(AA$5&gt;1,MOD(AA$4-1,12)=0),Inputs!$E$52,0)</f>
        <v>40000</v>
      </c>
      <c r="AB70" s="54" t="n">
        <f aca="false">IF(AND(AB$5&gt;1,MOD(AB$4-1,12)=0),Inputs!$E$52,0)</f>
        <v>0</v>
      </c>
      <c r="AC70" s="54" t="n">
        <f aca="false">IF(AND(AC$5&gt;1,MOD(AC$4-1,12)=0),Inputs!$E$52,0)</f>
        <v>0</v>
      </c>
      <c r="AD70" s="54" t="n">
        <f aca="false">IF(AND(AD$5&gt;1,MOD(AD$4-1,12)=0),Inputs!$E$52,0)</f>
        <v>0</v>
      </c>
      <c r="AE70" s="54" t="n">
        <f aca="false">IF(AND(AE$5&gt;1,MOD(AE$4-1,12)=0),Inputs!$E$52,0)</f>
        <v>0</v>
      </c>
      <c r="AF70" s="54" t="n">
        <f aca="false">IF(AND(AF$5&gt;1,MOD(AF$4-1,12)=0),Inputs!$E$52,0)</f>
        <v>0</v>
      </c>
      <c r="AG70" s="54" t="n">
        <f aca="false">IF(AND(AG$5&gt;1,MOD(AG$4-1,12)=0),Inputs!$E$52,0)</f>
        <v>0</v>
      </c>
      <c r="AH70" s="54" t="n">
        <f aca="false">IF(AND(AH$5&gt;1,MOD(AH$4-1,12)=0),Inputs!$E$52,0)</f>
        <v>0</v>
      </c>
      <c r="AI70" s="54" t="n">
        <f aca="false">IF(AND(AI$5&gt;1,MOD(AI$4-1,12)=0),Inputs!$E$52,0)</f>
        <v>0</v>
      </c>
      <c r="AJ70" s="54" t="n">
        <f aca="false">IF(AND(AJ$5&gt;1,MOD(AJ$4-1,12)=0),Inputs!$E$52,0)</f>
        <v>0</v>
      </c>
      <c r="AK70" s="54" t="n">
        <f aca="false">IF(AND(AK$5&gt;1,MOD(AK$4-1,12)=0),Inputs!$E$52,0)</f>
        <v>0</v>
      </c>
      <c r="AL70" s="54" t="n">
        <f aca="false">IF(AND(AL$5&gt;1,MOD(AL$4-1,12)=0),Inputs!$E$52,0)</f>
        <v>0</v>
      </c>
    </row>
    <row r="71" customFormat="false" ht="15" hidden="false" customHeight="false" outlineLevel="0" collapsed="false">
      <c r="A71" s="4" t="s">
        <v>82</v>
      </c>
      <c r="C71" s="60" t="n">
        <f aca="false">C67+C68+C69+C70</f>
        <v>4100000</v>
      </c>
      <c r="D71" s="60" t="n">
        <f aca="false">D67+D68+D69+D70</f>
        <v>0</v>
      </c>
      <c r="E71" s="60" t="n">
        <f aca="false">E67+E68+E69+E70</f>
        <v>0</v>
      </c>
      <c r="F71" s="60" t="n">
        <f aca="false">F67+F68+F69+F70</f>
        <v>0</v>
      </c>
      <c r="G71" s="60" t="n">
        <f aca="false">G67+G68+G69+G70</f>
        <v>0</v>
      </c>
      <c r="H71" s="60" t="n">
        <f aca="false">H67+H68+H69+H70</f>
        <v>0</v>
      </c>
      <c r="I71" s="60" t="n">
        <f aca="false">I67+I68+I69+I70</f>
        <v>0</v>
      </c>
      <c r="J71" s="60" t="n">
        <f aca="false">J67+J68+J69+J70</f>
        <v>0</v>
      </c>
      <c r="K71" s="60" t="n">
        <f aca="false">K67+K68+K69+K70</f>
        <v>0</v>
      </c>
      <c r="L71" s="60" t="n">
        <f aca="false">L67+L68+L69+L70</f>
        <v>0</v>
      </c>
      <c r="M71" s="60" t="n">
        <f aca="false">M67+M68+M69+M70</f>
        <v>0</v>
      </c>
      <c r="N71" s="60" t="n">
        <f aca="false">N67+N68+N69+N70</f>
        <v>0</v>
      </c>
      <c r="O71" s="60" t="n">
        <f aca="false">O67+O68+O69+O70</f>
        <v>40000</v>
      </c>
      <c r="P71" s="60" t="n">
        <f aca="false">P67+P68+P69+P70</f>
        <v>0</v>
      </c>
      <c r="Q71" s="60" t="n">
        <f aca="false">Q67+Q68+Q69+Q70</f>
        <v>0</v>
      </c>
      <c r="R71" s="60" t="n">
        <f aca="false">R67+R68+R69+R70</f>
        <v>0</v>
      </c>
      <c r="S71" s="60" t="n">
        <f aca="false">S67+S68+S69+S70</f>
        <v>0</v>
      </c>
      <c r="T71" s="60" t="n">
        <f aca="false">T67+T68+T69+T70</f>
        <v>0</v>
      </c>
      <c r="U71" s="60" t="n">
        <f aca="false">U67+U68+U69+U70</f>
        <v>0</v>
      </c>
      <c r="V71" s="60" t="n">
        <f aca="false">V67+V68+V69+V70</f>
        <v>0</v>
      </c>
      <c r="W71" s="60" t="n">
        <f aca="false">W67+W68+W69+W70</f>
        <v>0</v>
      </c>
      <c r="X71" s="60" t="n">
        <f aca="false">X67+X68+X69+X70</f>
        <v>0</v>
      </c>
      <c r="Y71" s="60" t="n">
        <f aca="false">Y67+Y68+Y69+Y70</f>
        <v>0</v>
      </c>
      <c r="Z71" s="60" t="n">
        <f aca="false">Z67+Z68+Z69+Z70</f>
        <v>0</v>
      </c>
      <c r="AA71" s="60" t="n">
        <f aca="false">AA67+AA68+AA69+AA70</f>
        <v>40000</v>
      </c>
      <c r="AB71" s="60" t="n">
        <f aca="false">AB67+AB68+AB69+AB70</f>
        <v>0</v>
      </c>
      <c r="AC71" s="60" t="n">
        <f aca="false">AC67+AC68+AC69+AC70</f>
        <v>0</v>
      </c>
      <c r="AD71" s="60" t="n">
        <f aca="false">AD67+AD68+AD69+AD70</f>
        <v>0</v>
      </c>
      <c r="AE71" s="60" t="n">
        <f aca="false">AE67+AE68+AE69+AE70</f>
        <v>0</v>
      </c>
      <c r="AF71" s="60" t="n">
        <f aca="false">AF67+AF68+AF69+AF70</f>
        <v>0</v>
      </c>
      <c r="AG71" s="60" t="n">
        <f aca="false">AG67+AG68+AG69+AG70</f>
        <v>0</v>
      </c>
      <c r="AH71" s="60" t="n">
        <f aca="false">AH67+AH68+AH69+AH70</f>
        <v>0</v>
      </c>
      <c r="AI71" s="60" t="n">
        <f aca="false">AI67+AI68+AI69+AI70</f>
        <v>0</v>
      </c>
      <c r="AJ71" s="60" t="n">
        <f aca="false">AJ67+AJ68+AJ69+AJ70</f>
        <v>0</v>
      </c>
      <c r="AK71" s="60" t="n">
        <f aca="false">AK67+AK68+AK69+AK70</f>
        <v>0</v>
      </c>
      <c r="AL71" s="60" t="n">
        <f aca="false">AL67+AL68+AL69+AL70</f>
        <v>0</v>
      </c>
    </row>
    <row r="72" customFormat="false" ht="15" hidden="false" customHeight="false" outlineLevel="0" collapsed="false">
      <c r="A72" s="6" t="s">
        <v>396</v>
      </c>
      <c r="C72" s="54" t="n">
        <f aca="false">C71</f>
        <v>4100000</v>
      </c>
      <c r="D72" s="54" t="n">
        <f aca="false">C72+D71</f>
        <v>4100000</v>
      </c>
      <c r="E72" s="54" t="n">
        <f aca="false">D72+E71</f>
        <v>4100000</v>
      </c>
      <c r="F72" s="54" t="n">
        <f aca="false">E72+F71</f>
        <v>4100000</v>
      </c>
      <c r="G72" s="54" t="n">
        <f aca="false">F72+G71</f>
        <v>4100000</v>
      </c>
      <c r="H72" s="54" t="n">
        <f aca="false">G72+H71</f>
        <v>4100000</v>
      </c>
      <c r="I72" s="54" t="n">
        <f aca="false">H72+I71</f>
        <v>4100000</v>
      </c>
      <c r="J72" s="54" t="n">
        <f aca="false">I72+J71</f>
        <v>4100000</v>
      </c>
      <c r="K72" s="54" t="n">
        <f aca="false">J72+K71</f>
        <v>4100000</v>
      </c>
      <c r="L72" s="54" t="n">
        <f aca="false">K72+L71</f>
        <v>4100000</v>
      </c>
      <c r="M72" s="54" t="n">
        <f aca="false">L72+M71</f>
        <v>4100000</v>
      </c>
      <c r="N72" s="54" t="n">
        <f aca="false">M72+N71</f>
        <v>4100000</v>
      </c>
      <c r="O72" s="54" t="n">
        <f aca="false">N72+O71</f>
        <v>4140000</v>
      </c>
      <c r="P72" s="54" t="n">
        <f aca="false">O72+P71</f>
        <v>4140000</v>
      </c>
      <c r="Q72" s="54" t="n">
        <f aca="false">P72+Q71</f>
        <v>4140000</v>
      </c>
      <c r="R72" s="54" t="n">
        <f aca="false">Q72+R71</f>
        <v>4140000</v>
      </c>
      <c r="S72" s="54" t="n">
        <f aca="false">R72+S71</f>
        <v>4140000</v>
      </c>
      <c r="T72" s="54" t="n">
        <f aca="false">S72+T71</f>
        <v>4140000</v>
      </c>
      <c r="U72" s="54" t="n">
        <f aca="false">T72+U71</f>
        <v>4140000</v>
      </c>
      <c r="V72" s="54" t="n">
        <f aca="false">U72+V71</f>
        <v>4140000</v>
      </c>
      <c r="W72" s="54" t="n">
        <f aca="false">V72+W71</f>
        <v>4140000</v>
      </c>
      <c r="X72" s="54" t="n">
        <f aca="false">W72+X71</f>
        <v>4140000</v>
      </c>
      <c r="Y72" s="54" t="n">
        <f aca="false">X72+Y71</f>
        <v>4140000</v>
      </c>
      <c r="Z72" s="54" t="n">
        <f aca="false">Y72+Z71</f>
        <v>4140000</v>
      </c>
      <c r="AA72" s="54" t="n">
        <f aca="false">Z72+AA71</f>
        <v>4180000</v>
      </c>
      <c r="AB72" s="54" t="n">
        <f aca="false">AA72+AB71</f>
        <v>4180000</v>
      </c>
      <c r="AC72" s="54" t="n">
        <f aca="false">AB72+AC71</f>
        <v>4180000</v>
      </c>
      <c r="AD72" s="54" t="n">
        <f aca="false">AC72+AD71</f>
        <v>4180000</v>
      </c>
      <c r="AE72" s="54" t="n">
        <f aca="false">AD72+AE71</f>
        <v>4180000</v>
      </c>
      <c r="AF72" s="54" t="n">
        <f aca="false">AE72+AF71</f>
        <v>4180000</v>
      </c>
      <c r="AG72" s="54" t="n">
        <f aca="false">AF72+AG71</f>
        <v>4180000</v>
      </c>
      <c r="AH72" s="54" t="n">
        <f aca="false">AG72+AH71</f>
        <v>4180000</v>
      </c>
      <c r="AI72" s="54" t="n">
        <f aca="false">AH72+AI71</f>
        <v>4180000</v>
      </c>
      <c r="AJ72" s="54" t="n">
        <f aca="false">AI72+AJ71</f>
        <v>4180000</v>
      </c>
      <c r="AK72" s="54" t="n">
        <f aca="false">AJ72+AK71</f>
        <v>4180000</v>
      </c>
      <c r="AL72" s="54" t="n">
        <f aca="false">AK72+AL71</f>
        <v>4180000</v>
      </c>
    </row>
    <row r="73" customFormat="false" ht="15" hidden="false" customHeight="false" outlineLevel="0" collapsed="false">
      <c r="A73" s="6" t="s">
        <v>76</v>
      </c>
      <c r="C73" s="54" t="n">
        <f aca="false">-MIN(C72/MAX(1,Inputs!$E$78*12),C71)</f>
        <v>-28472.2222222222</v>
      </c>
      <c r="D73" s="54" t="n">
        <f aca="false">-MIN(D72/MAX(1,Inputs!$E$78*12),C75+D71)</f>
        <v>-28472.2222222222</v>
      </c>
      <c r="E73" s="54" t="n">
        <f aca="false">-MIN(E72/MAX(1,Inputs!$E$78*12),D75+E71)</f>
        <v>-28472.2222222222</v>
      </c>
      <c r="F73" s="54" t="n">
        <f aca="false">-MIN(F72/MAX(1,Inputs!$E$78*12),E75+F71)</f>
        <v>-28472.2222222222</v>
      </c>
      <c r="G73" s="54" t="n">
        <f aca="false">-MIN(G72/MAX(1,Inputs!$E$78*12),F75+G71)</f>
        <v>-28472.2222222222</v>
      </c>
      <c r="H73" s="54" t="n">
        <f aca="false">-MIN(H72/MAX(1,Inputs!$E$78*12),G75+H71)</f>
        <v>-28472.2222222222</v>
      </c>
      <c r="I73" s="54" t="n">
        <f aca="false">-MIN(I72/MAX(1,Inputs!$E$78*12),H75+I71)</f>
        <v>-28472.2222222222</v>
      </c>
      <c r="J73" s="54" t="n">
        <f aca="false">-MIN(J72/MAX(1,Inputs!$E$78*12),I75+J71)</f>
        <v>-28472.2222222222</v>
      </c>
      <c r="K73" s="54" t="n">
        <f aca="false">-MIN(K72/MAX(1,Inputs!$E$78*12),J75+K71)</f>
        <v>-28472.2222222222</v>
      </c>
      <c r="L73" s="54" t="n">
        <f aca="false">-MIN(L72/MAX(1,Inputs!$E$78*12),K75+L71)</f>
        <v>-28472.2222222222</v>
      </c>
      <c r="M73" s="54" t="n">
        <f aca="false">-MIN(M72/MAX(1,Inputs!$E$78*12),L75+M71)</f>
        <v>-28472.2222222222</v>
      </c>
      <c r="N73" s="54" t="n">
        <f aca="false">-MIN(N72/MAX(1,Inputs!$E$78*12),M75+N71)</f>
        <v>-28472.2222222222</v>
      </c>
      <c r="O73" s="54" t="n">
        <f aca="false">-MIN(O72/MAX(1,Inputs!$E$78*12),N75+O71)</f>
        <v>-28750</v>
      </c>
      <c r="P73" s="54" t="n">
        <f aca="false">-MIN(P72/MAX(1,Inputs!$E$78*12),O75+P71)</f>
        <v>-28750</v>
      </c>
      <c r="Q73" s="54" t="n">
        <f aca="false">-MIN(Q72/MAX(1,Inputs!$E$78*12),P75+Q71)</f>
        <v>-28750</v>
      </c>
      <c r="R73" s="54" t="n">
        <f aca="false">-MIN(R72/MAX(1,Inputs!$E$78*12),Q75+R71)</f>
        <v>-28750</v>
      </c>
      <c r="S73" s="54" t="n">
        <f aca="false">-MIN(S72/MAX(1,Inputs!$E$78*12),R75+S71)</f>
        <v>-28750</v>
      </c>
      <c r="T73" s="54" t="n">
        <f aca="false">-MIN(T72/MAX(1,Inputs!$E$78*12),S75+T71)</f>
        <v>-28750</v>
      </c>
      <c r="U73" s="54" t="n">
        <f aca="false">-MIN(U72/MAX(1,Inputs!$E$78*12),T75+U71)</f>
        <v>-28750</v>
      </c>
      <c r="V73" s="54" t="n">
        <f aca="false">-MIN(V72/MAX(1,Inputs!$E$78*12),U75+V71)</f>
        <v>-28750</v>
      </c>
      <c r="W73" s="54" t="n">
        <f aca="false">-MIN(W72/MAX(1,Inputs!$E$78*12),V75+W71)</f>
        <v>-28750</v>
      </c>
      <c r="X73" s="54" t="n">
        <f aca="false">-MIN(X72/MAX(1,Inputs!$E$78*12),W75+X71)</f>
        <v>-28750</v>
      </c>
      <c r="Y73" s="54" t="n">
        <f aca="false">-MIN(Y72/MAX(1,Inputs!$E$78*12),X75+Y71)</f>
        <v>-28750</v>
      </c>
      <c r="Z73" s="54" t="n">
        <f aca="false">-MIN(Z72/MAX(1,Inputs!$E$78*12),Y75+Z71)</f>
        <v>-28750</v>
      </c>
      <c r="AA73" s="54" t="n">
        <f aca="false">-MIN(AA72/MAX(1,Inputs!$E$78*12),Z75+AA71)</f>
        <v>-29027.7777777778</v>
      </c>
      <c r="AB73" s="54" t="n">
        <f aca="false">-MIN(AB72/MAX(1,Inputs!$E$78*12),AA75+AB71)</f>
        <v>-29027.7777777778</v>
      </c>
      <c r="AC73" s="54" t="n">
        <f aca="false">-MIN(AC72/MAX(1,Inputs!$E$78*12),AB75+AC71)</f>
        <v>-29027.7777777778</v>
      </c>
      <c r="AD73" s="54" t="n">
        <f aca="false">-MIN(AD72/MAX(1,Inputs!$E$78*12),AC75+AD71)</f>
        <v>-29027.7777777778</v>
      </c>
      <c r="AE73" s="54" t="n">
        <f aca="false">-MIN(AE72/MAX(1,Inputs!$E$78*12),AD75+AE71)</f>
        <v>-29027.7777777778</v>
      </c>
      <c r="AF73" s="54" t="n">
        <f aca="false">-MIN(AF72/MAX(1,Inputs!$E$78*12),AE75+AF71)</f>
        <v>-29027.7777777778</v>
      </c>
      <c r="AG73" s="54" t="n">
        <f aca="false">-MIN(AG72/MAX(1,Inputs!$E$78*12),AF75+AG71)</f>
        <v>-29027.7777777778</v>
      </c>
      <c r="AH73" s="54" t="n">
        <f aca="false">-MIN(AH72/MAX(1,Inputs!$E$78*12),AG75+AH71)</f>
        <v>-29027.7777777778</v>
      </c>
      <c r="AI73" s="54" t="n">
        <f aca="false">-MIN(AI72/MAX(1,Inputs!$E$78*12),AH75+AI71)</f>
        <v>-29027.7777777778</v>
      </c>
      <c r="AJ73" s="54" t="n">
        <f aca="false">-MIN(AJ72/MAX(1,Inputs!$E$78*12),AI75+AJ71)</f>
        <v>-29027.7777777778</v>
      </c>
      <c r="AK73" s="54" t="n">
        <f aca="false">-MIN(AK72/MAX(1,Inputs!$E$78*12),AJ75+AK71)</f>
        <v>-29027.7777777778</v>
      </c>
      <c r="AL73" s="54" t="n">
        <f aca="false">-MIN(AL72/MAX(1,Inputs!$E$78*12),AK75+AL71)</f>
        <v>-29027.7777777778</v>
      </c>
    </row>
    <row r="74" customFormat="false" ht="15" hidden="false" customHeight="false" outlineLevel="0" collapsed="false">
      <c r="A74" s="6" t="s">
        <v>397</v>
      </c>
      <c r="C74" s="54" t="n">
        <f aca="false">C73</f>
        <v>-28472.2222222222</v>
      </c>
      <c r="D74" s="54" t="n">
        <f aca="false">C74+D73</f>
        <v>-56944.4444444444</v>
      </c>
      <c r="E74" s="54" t="n">
        <f aca="false">D74+E73</f>
        <v>-85416.6666666667</v>
      </c>
      <c r="F74" s="54" t="n">
        <f aca="false">E74+F73</f>
        <v>-113888.888888889</v>
      </c>
      <c r="G74" s="54" t="n">
        <f aca="false">F74+G73</f>
        <v>-142361.111111111</v>
      </c>
      <c r="H74" s="54" t="n">
        <f aca="false">G74+H73</f>
        <v>-170833.333333333</v>
      </c>
      <c r="I74" s="54" t="n">
        <f aca="false">H74+I73</f>
        <v>-199305.555555556</v>
      </c>
      <c r="J74" s="54" t="n">
        <f aca="false">I74+J73</f>
        <v>-227777.777777778</v>
      </c>
      <c r="K74" s="54" t="n">
        <f aca="false">J74+K73</f>
        <v>-256250</v>
      </c>
      <c r="L74" s="54" t="n">
        <f aca="false">K74+L73</f>
        <v>-284722.222222222</v>
      </c>
      <c r="M74" s="54" t="n">
        <f aca="false">L74+M73</f>
        <v>-313194.444444445</v>
      </c>
      <c r="N74" s="54" t="n">
        <f aca="false">M74+N73</f>
        <v>-341666.666666667</v>
      </c>
      <c r="O74" s="54" t="n">
        <f aca="false">N74+O73</f>
        <v>-370416.666666667</v>
      </c>
      <c r="P74" s="54" t="n">
        <f aca="false">O74+P73</f>
        <v>-399166.666666667</v>
      </c>
      <c r="Q74" s="54" t="n">
        <f aca="false">P74+Q73</f>
        <v>-427916.666666667</v>
      </c>
      <c r="R74" s="54" t="n">
        <f aca="false">Q74+R73</f>
        <v>-456666.666666667</v>
      </c>
      <c r="S74" s="54" t="n">
        <f aca="false">R74+S73</f>
        <v>-485416.666666667</v>
      </c>
      <c r="T74" s="54" t="n">
        <f aca="false">S74+T73</f>
        <v>-514166.666666667</v>
      </c>
      <c r="U74" s="54" t="n">
        <f aca="false">T74+U73</f>
        <v>-542916.666666667</v>
      </c>
      <c r="V74" s="54" t="n">
        <f aca="false">U74+V73</f>
        <v>-571666.666666667</v>
      </c>
      <c r="W74" s="54" t="n">
        <f aca="false">V74+W73</f>
        <v>-600416.666666667</v>
      </c>
      <c r="X74" s="54" t="n">
        <f aca="false">W74+X73</f>
        <v>-629166.666666667</v>
      </c>
      <c r="Y74" s="54" t="n">
        <f aca="false">X74+Y73</f>
        <v>-657916.666666667</v>
      </c>
      <c r="Z74" s="54" t="n">
        <f aca="false">Y74+Z73</f>
        <v>-686666.666666667</v>
      </c>
      <c r="AA74" s="54" t="n">
        <f aca="false">Z74+AA73</f>
        <v>-715694.444444445</v>
      </c>
      <c r="AB74" s="54" t="n">
        <f aca="false">AA74+AB73</f>
        <v>-744722.222222222</v>
      </c>
      <c r="AC74" s="54" t="n">
        <f aca="false">AB74+AC73</f>
        <v>-773750</v>
      </c>
      <c r="AD74" s="54" t="n">
        <f aca="false">AC74+AD73</f>
        <v>-802777.777777778</v>
      </c>
      <c r="AE74" s="54" t="n">
        <f aca="false">AD74+AE73</f>
        <v>-831805.555555556</v>
      </c>
      <c r="AF74" s="54" t="n">
        <f aca="false">AE74+AF73</f>
        <v>-860833.333333333</v>
      </c>
      <c r="AG74" s="54" t="n">
        <f aca="false">AF74+AG73</f>
        <v>-889861.111111111</v>
      </c>
      <c r="AH74" s="54" t="n">
        <f aca="false">AG74+AH73</f>
        <v>-918888.888888889</v>
      </c>
      <c r="AI74" s="54" t="n">
        <f aca="false">AH74+AI73</f>
        <v>-947916.666666667</v>
      </c>
      <c r="AJ74" s="54" t="n">
        <f aca="false">AI74+AJ73</f>
        <v>-976944.444444444</v>
      </c>
      <c r="AK74" s="54" t="n">
        <f aca="false">AJ74+AK73</f>
        <v>-1005972.22222222</v>
      </c>
      <c r="AL74" s="54" t="n">
        <f aca="false">AK74+AL73</f>
        <v>-1035000</v>
      </c>
    </row>
    <row r="75" customFormat="false" ht="15" hidden="false" customHeight="false" outlineLevel="0" collapsed="false">
      <c r="A75" s="4" t="s">
        <v>90</v>
      </c>
      <c r="C75" s="60" t="n">
        <f aca="false">C72+C74</f>
        <v>4071527.77777778</v>
      </c>
      <c r="D75" s="60" t="n">
        <f aca="false">D72+D74</f>
        <v>4043055.55555556</v>
      </c>
      <c r="E75" s="60" t="n">
        <f aca="false">E72+E74</f>
        <v>4014583.33333333</v>
      </c>
      <c r="F75" s="60" t="n">
        <f aca="false">F72+F74</f>
        <v>3986111.11111111</v>
      </c>
      <c r="G75" s="60" t="n">
        <f aca="false">G72+G74</f>
        <v>3957638.88888889</v>
      </c>
      <c r="H75" s="60" t="n">
        <f aca="false">H72+H74</f>
        <v>3929166.66666667</v>
      </c>
      <c r="I75" s="60" t="n">
        <f aca="false">I72+I74</f>
        <v>3900694.44444444</v>
      </c>
      <c r="J75" s="60" t="n">
        <f aca="false">J72+J74</f>
        <v>3872222.22222222</v>
      </c>
      <c r="K75" s="60" t="n">
        <f aca="false">K72+K74</f>
        <v>3843750</v>
      </c>
      <c r="L75" s="60" t="n">
        <f aca="false">L72+L74</f>
        <v>3815277.77777778</v>
      </c>
      <c r="M75" s="60" t="n">
        <f aca="false">M72+M74</f>
        <v>3786805.55555556</v>
      </c>
      <c r="N75" s="60" t="n">
        <f aca="false">N72+N74</f>
        <v>3758333.33333333</v>
      </c>
      <c r="O75" s="60" t="n">
        <f aca="false">O72+O74</f>
        <v>3769583.33333333</v>
      </c>
      <c r="P75" s="60" t="n">
        <f aca="false">P72+P74</f>
        <v>3740833.33333333</v>
      </c>
      <c r="Q75" s="60" t="n">
        <f aca="false">Q72+Q74</f>
        <v>3712083.33333333</v>
      </c>
      <c r="R75" s="60" t="n">
        <f aca="false">R72+R74</f>
        <v>3683333.33333333</v>
      </c>
      <c r="S75" s="60" t="n">
        <f aca="false">S72+S74</f>
        <v>3654583.33333333</v>
      </c>
      <c r="T75" s="60" t="n">
        <f aca="false">T72+T74</f>
        <v>3625833.33333333</v>
      </c>
      <c r="U75" s="60" t="n">
        <f aca="false">U72+U74</f>
        <v>3597083.33333333</v>
      </c>
      <c r="V75" s="60" t="n">
        <f aca="false">V72+V74</f>
        <v>3568333.33333333</v>
      </c>
      <c r="W75" s="60" t="n">
        <f aca="false">W72+W74</f>
        <v>3539583.33333333</v>
      </c>
      <c r="X75" s="60" t="n">
        <f aca="false">X72+X74</f>
        <v>3510833.33333333</v>
      </c>
      <c r="Y75" s="60" t="n">
        <f aca="false">Y72+Y74</f>
        <v>3482083.33333333</v>
      </c>
      <c r="Z75" s="60" t="n">
        <f aca="false">Z72+Z74</f>
        <v>3453333.33333333</v>
      </c>
      <c r="AA75" s="60" t="n">
        <f aca="false">AA72+AA74</f>
        <v>3464305.55555556</v>
      </c>
      <c r="AB75" s="60" t="n">
        <f aca="false">AB72+AB74</f>
        <v>3435277.77777778</v>
      </c>
      <c r="AC75" s="60" t="n">
        <f aca="false">AC72+AC74</f>
        <v>3406250</v>
      </c>
      <c r="AD75" s="60" t="n">
        <f aca="false">AD72+AD74</f>
        <v>3377222.22222222</v>
      </c>
      <c r="AE75" s="60" t="n">
        <f aca="false">AE72+AE74</f>
        <v>3348194.44444444</v>
      </c>
      <c r="AF75" s="60" t="n">
        <f aca="false">AF72+AF74</f>
        <v>3319166.66666667</v>
      </c>
      <c r="AG75" s="60" t="n">
        <f aca="false">AG72+AG74</f>
        <v>3290138.88888889</v>
      </c>
      <c r="AH75" s="60" t="n">
        <f aca="false">AH72+AH74</f>
        <v>3261111.11111111</v>
      </c>
      <c r="AI75" s="60" t="n">
        <f aca="false">AI72+AI74</f>
        <v>3232083.33333333</v>
      </c>
      <c r="AJ75" s="60" t="n">
        <f aca="false">AJ72+AJ74</f>
        <v>3203055.55555556</v>
      </c>
      <c r="AK75" s="60" t="n">
        <f aca="false">AK72+AK74</f>
        <v>3174027.77777778</v>
      </c>
      <c r="AL75" s="60" t="n">
        <f aca="false">AL72+AL74</f>
        <v>3145000</v>
      </c>
    </row>
    <row r="77" customFormat="false" ht="15.75" hidden="false" customHeight="true" outlineLevel="0" collapsed="false">
      <c r="A77" s="7" t="s">
        <v>398</v>
      </c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</row>
    <row r="78" customFormat="false" ht="15" hidden="false" customHeight="false" outlineLevel="0" collapsed="false">
      <c r="A78" s="6" t="s">
        <v>399</v>
      </c>
      <c r="C78" s="54" t="n">
        <f aca="false">0</f>
        <v>0</v>
      </c>
      <c r="D78" s="54" t="n">
        <f aca="false">C81</f>
        <v>3000000</v>
      </c>
      <c r="E78" s="54" t="n">
        <f aca="false">D81</f>
        <v>2975000</v>
      </c>
      <c r="F78" s="54" t="n">
        <f aca="false">E81</f>
        <v>2950000</v>
      </c>
      <c r="G78" s="54" t="n">
        <f aca="false">F81</f>
        <v>2925000</v>
      </c>
      <c r="H78" s="54" t="n">
        <f aca="false">G81</f>
        <v>2900000</v>
      </c>
      <c r="I78" s="54" t="n">
        <f aca="false">H81</f>
        <v>2875000</v>
      </c>
      <c r="J78" s="54" t="n">
        <f aca="false">I81</f>
        <v>2850000</v>
      </c>
      <c r="K78" s="54" t="n">
        <f aca="false">J81</f>
        <v>2825000</v>
      </c>
      <c r="L78" s="54" t="n">
        <f aca="false">K81</f>
        <v>2800000</v>
      </c>
      <c r="M78" s="54" t="n">
        <f aca="false">L81</f>
        <v>2775000</v>
      </c>
      <c r="N78" s="54" t="n">
        <f aca="false">M81</f>
        <v>2750000</v>
      </c>
      <c r="O78" s="54" t="n">
        <f aca="false">N81</f>
        <v>2725000</v>
      </c>
      <c r="P78" s="54" t="n">
        <f aca="false">O81</f>
        <v>2700000</v>
      </c>
      <c r="Q78" s="54" t="n">
        <f aca="false">P81</f>
        <v>2675000</v>
      </c>
      <c r="R78" s="54" t="n">
        <f aca="false">Q81</f>
        <v>2650000</v>
      </c>
      <c r="S78" s="54" t="n">
        <f aca="false">R81</f>
        <v>2625000</v>
      </c>
      <c r="T78" s="54" t="n">
        <f aca="false">S81</f>
        <v>2600000</v>
      </c>
      <c r="U78" s="54" t="n">
        <f aca="false">T81</f>
        <v>2575000</v>
      </c>
      <c r="V78" s="54" t="n">
        <f aca="false">U81</f>
        <v>2550000</v>
      </c>
      <c r="W78" s="54" t="n">
        <f aca="false">V81</f>
        <v>2525000</v>
      </c>
      <c r="X78" s="54" t="n">
        <f aca="false">W81</f>
        <v>2500000</v>
      </c>
      <c r="Y78" s="54" t="n">
        <f aca="false">X81</f>
        <v>2475000</v>
      </c>
      <c r="Z78" s="54" t="n">
        <f aca="false">Y81</f>
        <v>2450000</v>
      </c>
      <c r="AA78" s="54" t="n">
        <f aca="false">Z81</f>
        <v>2425000</v>
      </c>
      <c r="AB78" s="54" t="n">
        <f aca="false">AA81</f>
        <v>2400000</v>
      </c>
      <c r="AC78" s="54" t="n">
        <f aca="false">AB81</f>
        <v>2375000</v>
      </c>
      <c r="AD78" s="54" t="n">
        <f aca="false">AC81</f>
        <v>2350000</v>
      </c>
      <c r="AE78" s="54" t="n">
        <f aca="false">AD81</f>
        <v>2325000</v>
      </c>
      <c r="AF78" s="54" t="n">
        <f aca="false">AE81</f>
        <v>2300000</v>
      </c>
      <c r="AG78" s="54" t="n">
        <f aca="false">AF81</f>
        <v>2275000</v>
      </c>
      <c r="AH78" s="54" t="n">
        <f aca="false">AG81</f>
        <v>2250000</v>
      </c>
      <c r="AI78" s="54" t="n">
        <f aca="false">AH81</f>
        <v>2225000</v>
      </c>
      <c r="AJ78" s="54" t="n">
        <f aca="false">AI81</f>
        <v>2200000</v>
      </c>
      <c r="AK78" s="54" t="n">
        <f aca="false">AJ81</f>
        <v>2175000</v>
      </c>
      <c r="AL78" s="54" t="n">
        <f aca="false">AK81</f>
        <v>2150000</v>
      </c>
    </row>
    <row r="79" customFormat="false" ht="15" hidden="false" customHeight="false" outlineLevel="0" collapsed="false">
      <c r="A79" s="6" t="s">
        <v>83</v>
      </c>
      <c r="C79" s="54" t="n">
        <f aca="false">IF(C$4=1,Inputs!$E$68,0)</f>
        <v>3000000</v>
      </c>
      <c r="D79" s="54" t="n">
        <f aca="false">IF(D$4=1,Inputs!$E$68,0)</f>
        <v>0</v>
      </c>
      <c r="E79" s="54" t="n">
        <f aca="false">IF(E$4=1,Inputs!$E$68,0)</f>
        <v>0</v>
      </c>
      <c r="F79" s="54" t="n">
        <f aca="false">IF(F$4=1,Inputs!$E$68,0)</f>
        <v>0</v>
      </c>
      <c r="G79" s="54" t="n">
        <f aca="false">IF(G$4=1,Inputs!$E$68,0)</f>
        <v>0</v>
      </c>
      <c r="H79" s="54" t="n">
        <f aca="false">IF(H$4=1,Inputs!$E$68,0)</f>
        <v>0</v>
      </c>
      <c r="I79" s="54" t="n">
        <f aca="false">IF(I$4=1,Inputs!$E$68,0)</f>
        <v>0</v>
      </c>
      <c r="J79" s="54" t="n">
        <f aca="false">IF(J$4=1,Inputs!$E$68,0)</f>
        <v>0</v>
      </c>
      <c r="K79" s="54" t="n">
        <f aca="false">IF(K$4=1,Inputs!$E$68,0)</f>
        <v>0</v>
      </c>
      <c r="L79" s="54" t="n">
        <f aca="false">IF(L$4=1,Inputs!$E$68,0)</f>
        <v>0</v>
      </c>
      <c r="M79" s="54" t="n">
        <f aca="false">IF(M$4=1,Inputs!$E$68,0)</f>
        <v>0</v>
      </c>
      <c r="N79" s="54" t="n">
        <f aca="false">IF(N$4=1,Inputs!$E$68,0)</f>
        <v>0</v>
      </c>
      <c r="O79" s="54" t="n">
        <f aca="false">IF(O$4=1,Inputs!$E$68,0)</f>
        <v>0</v>
      </c>
      <c r="P79" s="54" t="n">
        <f aca="false">IF(P$4=1,Inputs!$E$68,0)</f>
        <v>0</v>
      </c>
      <c r="Q79" s="54" t="n">
        <f aca="false">IF(Q$4=1,Inputs!$E$68,0)</f>
        <v>0</v>
      </c>
      <c r="R79" s="54" t="n">
        <f aca="false">IF(R$4=1,Inputs!$E$68,0)</f>
        <v>0</v>
      </c>
      <c r="S79" s="54" t="n">
        <f aca="false">IF(S$4=1,Inputs!$E$68,0)</f>
        <v>0</v>
      </c>
      <c r="T79" s="54" t="n">
        <f aca="false">IF(T$4=1,Inputs!$E$68,0)</f>
        <v>0</v>
      </c>
      <c r="U79" s="54" t="n">
        <f aca="false">IF(U$4=1,Inputs!$E$68,0)</f>
        <v>0</v>
      </c>
      <c r="V79" s="54" t="n">
        <f aca="false">IF(V$4=1,Inputs!$E$68,0)</f>
        <v>0</v>
      </c>
      <c r="W79" s="54" t="n">
        <f aca="false">IF(W$4=1,Inputs!$E$68,0)</f>
        <v>0</v>
      </c>
      <c r="X79" s="54" t="n">
        <f aca="false">IF(X$4=1,Inputs!$E$68,0)</f>
        <v>0</v>
      </c>
      <c r="Y79" s="54" t="n">
        <f aca="false">IF(Y$4=1,Inputs!$E$68,0)</f>
        <v>0</v>
      </c>
      <c r="Z79" s="54" t="n">
        <f aca="false">IF(Z$4=1,Inputs!$E$68,0)</f>
        <v>0</v>
      </c>
      <c r="AA79" s="54" t="n">
        <f aca="false">IF(AA$4=1,Inputs!$E$68,0)</f>
        <v>0</v>
      </c>
      <c r="AB79" s="54" t="n">
        <f aca="false">IF(AB$4=1,Inputs!$E$68,0)</f>
        <v>0</v>
      </c>
      <c r="AC79" s="54" t="n">
        <f aca="false">IF(AC$4=1,Inputs!$E$68,0)</f>
        <v>0</v>
      </c>
      <c r="AD79" s="54" t="n">
        <f aca="false">IF(AD$4=1,Inputs!$E$68,0)</f>
        <v>0</v>
      </c>
      <c r="AE79" s="54" t="n">
        <f aca="false">IF(AE$4=1,Inputs!$E$68,0)</f>
        <v>0</v>
      </c>
      <c r="AF79" s="54" t="n">
        <f aca="false">IF(AF$4=1,Inputs!$E$68,0)</f>
        <v>0</v>
      </c>
      <c r="AG79" s="54" t="n">
        <f aca="false">IF(AG$4=1,Inputs!$E$68,0)</f>
        <v>0</v>
      </c>
      <c r="AH79" s="54" t="n">
        <f aca="false">IF(AH$4=1,Inputs!$E$68,0)</f>
        <v>0</v>
      </c>
      <c r="AI79" s="54" t="n">
        <f aca="false">IF(AI$4=1,Inputs!$E$68,0)</f>
        <v>0</v>
      </c>
      <c r="AJ79" s="54" t="n">
        <f aca="false">IF(AJ$4=1,Inputs!$E$68,0)</f>
        <v>0</v>
      </c>
      <c r="AK79" s="54" t="n">
        <f aca="false">IF(AK$4=1,Inputs!$E$68,0)</f>
        <v>0</v>
      </c>
      <c r="AL79" s="54" t="n">
        <f aca="false">IF(AL$4=1,Inputs!$E$68,0)</f>
        <v>0</v>
      </c>
    </row>
    <row r="80" customFormat="false" ht="15" hidden="false" customHeight="false" outlineLevel="0" collapsed="false">
      <c r="A80" s="6" t="s">
        <v>84</v>
      </c>
      <c r="C80" s="54" t="n">
        <f aca="false">-MIN(C78,Inputs!$E$68/MAX(1,Inputs!$E$70*12))</f>
        <v>-0</v>
      </c>
      <c r="D80" s="54" t="n">
        <f aca="false">-MIN(D78,Inputs!$E$68/MAX(1,Inputs!$E$70*12))</f>
        <v>-25000</v>
      </c>
      <c r="E80" s="54" t="n">
        <f aca="false">-MIN(E78,Inputs!$E$68/MAX(1,Inputs!$E$70*12))</f>
        <v>-25000</v>
      </c>
      <c r="F80" s="54" t="n">
        <f aca="false">-MIN(F78,Inputs!$E$68/MAX(1,Inputs!$E$70*12))</f>
        <v>-25000</v>
      </c>
      <c r="G80" s="54" t="n">
        <f aca="false">-MIN(G78,Inputs!$E$68/MAX(1,Inputs!$E$70*12))</f>
        <v>-25000</v>
      </c>
      <c r="H80" s="54" t="n">
        <f aca="false">-MIN(H78,Inputs!$E$68/MAX(1,Inputs!$E$70*12))</f>
        <v>-25000</v>
      </c>
      <c r="I80" s="54" t="n">
        <f aca="false">-MIN(I78,Inputs!$E$68/MAX(1,Inputs!$E$70*12))</f>
        <v>-25000</v>
      </c>
      <c r="J80" s="54" t="n">
        <f aca="false">-MIN(J78,Inputs!$E$68/MAX(1,Inputs!$E$70*12))</f>
        <v>-25000</v>
      </c>
      <c r="K80" s="54" t="n">
        <f aca="false">-MIN(K78,Inputs!$E$68/MAX(1,Inputs!$E$70*12))</f>
        <v>-25000</v>
      </c>
      <c r="L80" s="54" t="n">
        <f aca="false">-MIN(L78,Inputs!$E$68/MAX(1,Inputs!$E$70*12))</f>
        <v>-25000</v>
      </c>
      <c r="M80" s="54" t="n">
        <f aca="false">-MIN(M78,Inputs!$E$68/MAX(1,Inputs!$E$70*12))</f>
        <v>-25000</v>
      </c>
      <c r="N80" s="54" t="n">
        <f aca="false">-MIN(N78,Inputs!$E$68/MAX(1,Inputs!$E$70*12))</f>
        <v>-25000</v>
      </c>
      <c r="O80" s="54" t="n">
        <f aca="false">-MIN(O78,Inputs!$E$68/MAX(1,Inputs!$E$70*12))</f>
        <v>-25000</v>
      </c>
      <c r="P80" s="54" t="n">
        <f aca="false">-MIN(P78,Inputs!$E$68/MAX(1,Inputs!$E$70*12))</f>
        <v>-25000</v>
      </c>
      <c r="Q80" s="54" t="n">
        <f aca="false">-MIN(Q78,Inputs!$E$68/MAX(1,Inputs!$E$70*12))</f>
        <v>-25000</v>
      </c>
      <c r="R80" s="54" t="n">
        <f aca="false">-MIN(R78,Inputs!$E$68/MAX(1,Inputs!$E$70*12))</f>
        <v>-25000</v>
      </c>
      <c r="S80" s="54" t="n">
        <f aca="false">-MIN(S78,Inputs!$E$68/MAX(1,Inputs!$E$70*12))</f>
        <v>-25000</v>
      </c>
      <c r="T80" s="54" t="n">
        <f aca="false">-MIN(T78,Inputs!$E$68/MAX(1,Inputs!$E$70*12))</f>
        <v>-25000</v>
      </c>
      <c r="U80" s="54" t="n">
        <f aca="false">-MIN(U78,Inputs!$E$68/MAX(1,Inputs!$E$70*12))</f>
        <v>-25000</v>
      </c>
      <c r="V80" s="54" t="n">
        <f aca="false">-MIN(V78,Inputs!$E$68/MAX(1,Inputs!$E$70*12))</f>
        <v>-25000</v>
      </c>
      <c r="W80" s="54" t="n">
        <f aca="false">-MIN(W78,Inputs!$E$68/MAX(1,Inputs!$E$70*12))</f>
        <v>-25000</v>
      </c>
      <c r="X80" s="54" t="n">
        <f aca="false">-MIN(X78,Inputs!$E$68/MAX(1,Inputs!$E$70*12))</f>
        <v>-25000</v>
      </c>
      <c r="Y80" s="54" t="n">
        <f aca="false">-MIN(Y78,Inputs!$E$68/MAX(1,Inputs!$E$70*12))</f>
        <v>-25000</v>
      </c>
      <c r="Z80" s="54" t="n">
        <f aca="false">-MIN(Z78,Inputs!$E$68/MAX(1,Inputs!$E$70*12))</f>
        <v>-25000</v>
      </c>
      <c r="AA80" s="54" t="n">
        <f aca="false">-MIN(AA78,Inputs!$E$68/MAX(1,Inputs!$E$70*12))</f>
        <v>-25000</v>
      </c>
      <c r="AB80" s="54" t="n">
        <f aca="false">-MIN(AB78,Inputs!$E$68/MAX(1,Inputs!$E$70*12))</f>
        <v>-25000</v>
      </c>
      <c r="AC80" s="54" t="n">
        <f aca="false">-MIN(AC78,Inputs!$E$68/MAX(1,Inputs!$E$70*12))</f>
        <v>-25000</v>
      </c>
      <c r="AD80" s="54" t="n">
        <f aca="false">-MIN(AD78,Inputs!$E$68/MAX(1,Inputs!$E$70*12))</f>
        <v>-25000</v>
      </c>
      <c r="AE80" s="54" t="n">
        <f aca="false">-MIN(AE78,Inputs!$E$68/MAX(1,Inputs!$E$70*12))</f>
        <v>-25000</v>
      </c>
      <c r="AF80" s="54" t="n">
        <f aca="false">-MIN(AF78,Inputs!$E$68/MAX(1,Inputs!$E$70*12))</f>
        <v>-25000</v>
      </c>
      <c r="AG80" s="54" t="n">
        <f aca="false">-MIN(AG78,Inputs!$E$68/MAX(1,Inputs!$E$70*12))</f>
        <v>-25000</v>
      </c>
      <c r="AH80" s="54" t="n">
        <f aca="false">-MIN(AH78,Inputs!$E$68/MAX(1,Inputs!$E$70*12))</f>
        <v>-25000</v>
      </c>
      <c r="AI80" s="54" t="n">
        <f aca="false">-MIN(AI78,Inputs!$E$68/MAX(1,Inputs!$E$70*12))</f>
        <v>-25000</v>
      </c>
      <c r="AJ80" s="54" t="n">
        <f aca="false">-MIN(AJ78,Inputs!$E$68/MAX(1,Inputs!$E$70*12))</f>
        <v>-25000</v>
      </c>
      <c r="AK80" s="54" t="n">
        <f aca="false">-MIN(AK78,Inputs!$E$68/MAX(1,Inputs!$E$70*12))</f>
        <v>-25000</v>
      </c>
      <c r="AL80" s="54" t="n">
        <f aca="false">-MIN(AL78,Inputs!$E$68/MAX(1,Inputs!$E$70*12))</f>
        <v>-25000</v>
      </c>
    </row>
    <row r="81" customFormat="false" ht="15" hidden="false" customHeight="false" outlineLevel="0" collapsed="false">
      <c r="A81" s="4" t="s">
        <v>400</v>
      </c>
      <c r="C81" s="60" t="n">
        <f aca="false">C78+C79+C80</f>
        <v>3000000</v>
      </c>
      <c r="D81" s="60" t="n">
        <f aca="false">D78+D79+D80</f>
        <v>2975000</v>
      </c>
      <c r="E81" s="60" t="n">
        <f aca="false">E78+E79+E80</f>
        <v>2950000</v>
      </c>
      <c r="F81" s="60" t="n">
        <f aca="false">F78+F79+F80</f>
        <v>2925000</v>
      </c>
      <c r="G81" s="60" t="n">
        <f aca="false">G78+G79+G80</f>
        <v>2900000</v>
      </c>
      <c r="H81" s="60" t="n">
        <f aca="false">H78+H79+H80</f>
        <v>2875000</v>
      </c>
      <c r="I81" s="60" t="n">
        <f aca="false">I78+I79+I80</f>
        <v>2850000</v>
      </c>
      <c r="J81" s="60" t="n">
        <f aca="false">J78+J79+J80</f>
        <v>2825000</v>
      </c>
      <c r="K81" s="60" t="n">
        <f aca="false">K78+K79+K80</f>
        <v>2800000</v>
      </c>
      <c r="L81" s="60" t="n">
        <f aca="false">L78+L79+L80</f>
        <v>2775000</v>
      </c>
      <c r="M81" s="60" t="n">
        <f aca="false">M78+M79+M80</f>
        <v>2750000</v>
      </c>
      <c r="N81" s="60" t="n">
        <f aca="false">N78+N79+N80</f>
        <v>2725000</v>
      </c>
      <c r="O81" s="60" t="n">
        <f aca="false">O78+O79+O80</f>
        <v>2700000</v>
      </c>
      <c r="P81" s="60" t="n">
        <f aca="false">P78+P79+P80</f>
        <v>2675000</v>
      </c>
      <c r="Q81" s="60" t="n">
        <f aca="false">Q78+Q79+Q80</f>
        <v>2650000</v>
      </c>
      <c r="R81" s="60" t="n">
        <f aca="false">R78+R79+R80</f>
        <v>2625000</v>
      </c>
      <c r="S81" s="60" t="n">
        <f aca="false">S78+S79+S80</f>
        <v>2600000</v>
      </c>
      <c r="T81" s="60" t="n">
        <f aca="false">T78+T79+T80</f>
        <v>2575000</v>
      </c>
      <c r="U81" s="60" t="n">
        <f aca="false">U78+U79+U80</f>
        <v>2550000</v>
      </c>
      <c r="V81" s="60" t="n">
        <f aca="false">V78+V79+V80</f>
        <v>2525000</v>
      </c>
      <c r="W81" s="60" t="n">
        <f aca="false">W78+W79+W80</f>
        <v>2500000</v>
      </c>
      <c r="X81" s="60" t="n">
        <f aca="false">X78+X79+X80</f>
        <v>2475000</v>
      </c>
      <c r="Y81" s="60" t="n">
        <f aca="false">Y78+Y79+Y80</f>
        <v>2450000</v>
      </c>
      <c r="Z81" s="60" t="n">
        <f aca="false">Z78+Z79+Z80</f>
        <v>2425000</v>
      </c>
      <c r="AA81" s="60" t="n">
        <f aca="false">AA78+AA79+AA80</f>
        <v>2400000</v>
      </c>
      <c r="AB81" s="60" t="n">
        <f aca="false">AB78+AB79+AB80</f>
        <v>2375000</v>
      </c>
      <c r="AC81" s="60" t="n">
        <f aca="false">AC78+AC79+AC80</f>
        <v>2350000</v>
      </c>
      <c r="AD81" s="60" t="n">
        <f aca="false">AD78+AD79+AD80</f>
        <v>2325000</v>
      </c>
      <c r="AE81" s="60" t="n">
        <f aca="false">AE78+AE79+AE80</f>
        <v>2300000</v>
      </c>
      <c r="AF81" s="60" t="n">
        <f aca="false">AF78+AF79+AF80</f>
        <v>2275000</v>
      </c>
      <c r="AG81" s="60" t="n">
        <f aca="false">AG78+AG79+AG80</f>
        <v>2250000</v>
      </c>
      <c r="AH81" s="60" t="n">
        <f aca="false">AH78+AH79+AH80</f>
        <v>2225000</v>
      </c>
      <c r="AI81" s="60" t="n">
        <f aca="false">AI78+AI79+AI80</f>
        <v>2200000</v>
      </c>
      <c r="AJ81" s="60" t="n">
        <f aca="false">AJ78+AJ79+AJ80</f>
        <v>2175000</v>
      </c>
      <c r="AK81" s="60" t="n">
        <f aca="false">AK78+AK79+AK80</f>
        <v>2150000</v>
      </c>
      <c r="AL81" s="60" t="n">
        <f aca="false">AL78+AL79+AL80</f>
        <v>2125000</v>
      </c>
    </row>
    <row r="83" customFormat="false" ht="15.75" hidden="false" customHeight="true" outlineLevel="0" collapsed="false">
      <c r="A83" s="7" t="s">
        <v>294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6" t="s">
        <v>88</v>
      </c>
      <c r="C84" s="54" t="n">
        <f aca="false">C37*Inputs!$E$73/30</f>
        <v>3196.22386666667</v>
      </c>
      <c r="D84" s="54" t="n">
        <f aca="false">D37*Inputs!$E$73/30</f>
        <v>3629.92906014815</v>
      </c>
      <c r="E84" s="54" t="n">
        <f aca="false">E37*Inputs!$E$73/30</f>
        <v>4851.56011996444</v>
      </c>
      <c r="F84" s="54" t="n">
        <f aca="false">F37*Inputs!$E$73/30</f>
        <v>5403.45992257327</v>
      </c>
      <c r="G84" s="54" t="n">
        <f aca="false">G37*Inputs!$E$73/30</f>
        <v>5966.01842937405</v>
      </c>
      <c r="H84" s="54" t="n">
        <f aca="false">H37*Inputs!$E$73/30</f>
        <v>6538.80929219909</v>
      </c>
      <c r="I84" s="54" t="n">
        <f aca="false">I37*Inputs!$E$73/30</f>
        <v>7121.42321680742</v>
      </c>
      <c r="J84" s="54" t="n">
        <f aca="false">J37*Inputs!$E$73/30</f>
        <v>7713.46728072771</v>
      </c>
      <c r="K84" s="54" t="n">
        <f aca="false">K37*Inputs!$E$73/30</f>
        <v>8314.5642783875</v>
      </c>
      <c r="L84" s="54" t="n">
        <f aca="false">L37*Inputs!$E$73/30</f>
        <v>8924.35209243718</v>
      </c>
      <c r="M84" s="54" t="n">
        <f aca="false">M37*Inputs!$E$73/30</f>
        <v>9103.03667540636</v>
      </c>
      <c r="N84" s="54" t="n">
        <f aca="false">N37*Inputs!$E$73/30</f>
        <v>7915.98187505677</v>
      </c>
      <c r="O84" s="54" t="n">
        <f aca="false">O37*Inputs!$E$73/30</f>
        <v>8219.27213205559</v>
      </c>
      <c r="P84" s="54" t="n">
        <f aca="false">P37*Inputs!$E$73/30</f>
        <v>8361.41892677337</v>
      </c>
      <c r="Q84" s="54" t="n">
        <f aca="false">Q37*Inputs!$E$73/30</f>
        <v>9883.64368970243</v>
      </c>
      <c r="R84" s="54" t="n">
        <f aca="false">R37*Inputs!$E$73/30</f>
        <v>10040.6197821143</v>
      </c>
      <c r="S84" s="54" t="n">
        <f aca="false">S37*Inputs!$E$73/30</f>
        <v>10191.3168308298</v>
      </c>
      <c r="T84" s="54" t="n">
        <f aca="false">T37*Inputs!$E$73/30</f>
        <v>10335.9859975966</v>
      </c>
      <c r="U84" s="54" t="n">
        <f aca="false">U37*Inputs!$E$73/30</f>
        <v>10474.8683976927</v>
      </c>
      <c r="V84" s="54" t="n">
        <f aca="false">V37*Inputs!$E$73/30</f>
        <v>10608.195501785</v>
      </c>
      <c r="W84" s="54" t="n">
        <f aca="false">W37*Inputs!$E$73/30</f>
        <v>10736.1895217136</v>
      </c>
      <c r="X84" s="54" t="n">
        <f aca="false">X37*Inputs!$E$73/30</f>
        <v>10859.0637808451</v>
      </c>
      <c r="Y84" s="54" t="n">
        <f aca="false">Y37*Inputs!$E$73/30</f>
        <v>10977.0230696113</v>
      </c>
      <c r="Z84" s="54" t="n">
        <f aca="false">Z37*Inputs!$E$73/30</f>
        <v>9704.5001468268</v>
      </c>
      <c r="AA84" s="54" t="n">
        <f aca="false">AA37*Inputs!$E$73/30</f>
        <v>9986.1688023728</v>
      </c>
      <c r="AB84" s="54" t="n">
        <f aca="false">AB37*Inputs!$E$73/30</f>
        <v>10073.4305338779</v>
      </c>
      <c r="AC84" s="54" t="n">
        <f aca="false">AC37*Inputs!$E$73/30</f>
        <v>11570.6809129228</v>
      </c>
      <c r="AD84" s="54" t="n">
        <f aca="false">AD37*Inputs!$E$73/30</f>
        <v>11677.5944032059</v>
      </c>
      <c r="AE84" s="54" t="n">
        <f aca="false">AE37*Inputs!$E$73/30</f>
        <v>11780.2313538776</v>
      </c>
      <c r="AF84" s="54" t="n">
        <f aca="false">AF37*Inputs!$E$73/30</f>
        <v>11878.7628265225</v>
      </c>
      <c r="AG84" s="54" t="n">
        <f aca="false">AG37*Inputs!$E$73/30</f>
        <v>11973.3530402616</v>
      </c>
      <c r="AH84" s="54" t="n">
        <f aca="false">AH37*Inputs!$E$73/30</f>
        <v>12064.1596454512</v>
      </c>
      <c r="AI84" s="54" t="n">
        <f aca="false">AI37*Inputs!$E$73/30</f>
        <v>12151.3339864331</v>
      </c>
      <c r="AJ84" s="54" t="n">
        <f aca="false">AJ37*Inputs!$E$73/30</f>
        <v>12235.0213537758</v>
      </c>
      <c r="AK84" s="54" t="n">
        <f aca="false">AK37*Inputs!$E$73/30</f>
        <v>12315.3612264248</v>
      </c>
      <c r="AL84" s="54" t="n">
        <f aca="false">AL37*Inputs!$E$73/30</f>
        <v>10979.0083873678</v>
      </c>
    </row>
    <row r="85" customFormat="false" ht="15" hidden="false" customHeight="false" outlineLevel="0" collapsed="false">
      <c r="A85" s="6" t="s">
        <v>89</v>
      </c>
      <c r="C85" s="54" t="n">
        <f aca="false">-C45*Inputs!$E$74/30</f>
        <v>3535.97287295</v>
      </c>
      <c r="D85" s="54" t="n">
        <f aca="false">-D45*Inputs!$E$74/30</f>
        <v>4015.72440315978</v>
      </c>
      <c r="E85" s="54" t="n">
        <f aca="false">-E45*Inputs!$E$74/30</f>
        <v>5538.41762848136</v>
      </c>
      <c r="F85" s="54" t="n">
        <f aca="false">-F45*Inputs!$E$74/30</f>
        <v>6180.84844069211</v>
      </c>
      <c r="G85" s="54" t="n">
        <f aca="false">-G45*Inputs!$E$74/30</f>
        <v>6839.35924051442</v>
      </c>
      <c r="H85" s="54" t="n">
        <f aca="false">-H45*Inputs!$E$74/30</f>
        <v>7513.30682844384</v>
      </c>
      <c r="I85" s="54" t="n">
        <f aca="false">-I45*Inputs!$E$74/30</f>
        <v>8202.07373295609</v>
      </c>
      <c r="J85" s="54" t="n">
        <f aca="false">-J45*Inputs!$E$74/30</f>
        <v>8905.06718138785</v>
      </c>
      <c r="K85" s="54" t="n">
        <f aca="false">-K45*Inputs!$E$74/30</f>
        <v>9621.71811198233</v>
      </c>
      <c r="L85" s="54" t="n">
        <f aca="false">-L45*Inputs!$E$74/30</f>
        <v>10351.480225453</v>
      </c>
      <c r="M85" s="54" t="n">
        <f aca="false">-M45*Inputs!$E$74/30</f>
        <v>10621.0482544349</v>
      </c>
      <c r="N85" s="54" t="n">
        <f aca="false">-N45*Inputs!$E$74/30</f>
        <v>8885.78253780614</v>
      </c>
      <c r="O85" s="54" t="n">
        <f aca="false">-O45*Inputs!$E$74/30</f>
        <v>9319.28292728009</v>
      </c>
      <c r="P85" s="54" t="n">
        <f aca="false">-P45*Inputs!$E$74/30</f>
        <v>9500.42236462389</v>
      </c>
      <c r="Q85" s="54" t="n">
        <f aca="false">-Q45*Inputs!$E$74/30</f>
        <v>11829.7121932812</v>
      </c>
      <c r="R85" s="54" t="n">
        <f aca="false">-R45*Inputs!$E$74/30</f>
        <v>12068.5057255649</v>
      </c>
      <c r="S85" s="54" t="n">
        <f aca="false">-S45*Inputs!$E$74/30</f>
        <v>12297.7475165574</v>
      </c>
      <c r="T85" s="54" t="n">
        <f aca="false">-T45*Inputs!$E$74/30</f>
        <v>12517.8196359101</v>
      </c>
      <c r="U85" s="54" t="n">
        <f aca="false">-U45*Inputs!$E$74/30</f>
        <v>12729.0888704887</v>
      </c>
      <c r="V85" s="54" t="n">
        <f aca="false">-V45*Inputs!$E$74/30</f>
        <v>12931.9073356841</v>
      </c>
      <c r="W85" s="54" t="n">
        <f aca="false">-W45*Inputs!$E$74/30</f>
        <v>13126.6130622717</v>
      </c>
      <c r="X85" s="54" t="n">
        <f aca="false">-X45*Inputs!$E$74/30</f>
        <v>13313.5305597959</v>
      </c>
      <c r="Y85" s="54" t="n">
        <f aca="false">-Y45*Inputs!$E$74/30</f>
        <v>13492.971357419</v>
      </c>
      <c r="Z85" s="54" t="n">
        <f aca="false">-Z45*Inputs!$E$74/30</f>
        <v>11211.9275518532</v>
      </c>
      <c r="AA85" s="54" t="n">
        <f aca="false">-AA45*Inputs!$E$74/30</f>
        <v>11638.9537794879</v>
      </c>
      <c r="AB85" s="54" t="n">
        <f aca="false">-AB45*Inputs!$E$74/30</f>
        <v>11751.0501890855</v>
      </c>
      <c r="AC85" s="54" t="n">
        <f aca="false">-AC45*Inputs!$E$74/30</f>
        <v>14446.927393797</v>
      </c>
      <c r="AD85" s="54" t="n">
        <f aca="false">-AD45*Inputs!$E$74/30</f>
        <v>14610.9238670659</v>
      </c>
      <c r="AE85" s="54" t="n">
        <f aca="false">-AE45*Inputs!$E$74/30</f>
        <v>14768.360481404</v>
      </c>
      <c r="AF85" s="54" t="n">
        <f aca="false">-AF45*Inputs!$E$74/30</f>
        <v>14919.4996311686</v>
      </c>
      <c r="AG85" s="54" t="n">
        <f aca="false">-AG45*Inputs!$E$74/30</f>
        <v>15064.5932149426</v>
      </c>
      <c r="AH85" s="54" t="n">
        <f aca="false">-AH45*Inputs!$E$74/30</f>
        <v>15203.8830553657</v>
      </c>
      <c r="AI85" s="54" t="n">
        <f aca="false">-AI45*Inputs!$E$74/30</f>
        <v>15337.6013021718</v>
      </c>
      <c r="AJ85" s="54" t="n">
        <f aca="false">-AJ45*Inputs!$E$74/30</f>
        <v>15465.9708191057</v>
      </c>
      <c r="AK85" s="54" t="n">
        <f aca="false">-AK45*Inputs!$E$74/30</f>
        <v>15589.2055553623</v>
      </c>
      <c r="AL85" s="54" t="n">
        <f aca="false">-AL45*Inputs!$E$74/30</f>
        <v>12914.3553887009</v>
      </c>
    </row>
    <row r="86" customFormat="false" ht="15" hidden="false" customHeight="false" outlineLevel="0" collapsed="false">
      <c r="A86" s="6" t="s">
        <v>92</v>
      </c>
      <c r="C86" s="54" t="n">
        <f aca="false">-C45*Inputs!$E$75/30</f>
        <v>5893.28812158333</v>
      </c>
      <c r="D86" s="54" t="n">
        <f aca="false">-D45*Inputs!$E$75/30</f>
        <v>6692.8740052663</v>
      </c>
      <c r="E86" s="54" t="n">
        <f aca="false">-E45*Inputs!$E$75/30</f>
        <v>9230.69604746893</v>
      </c>
      <c r="F86" s="54" t="n">
        <f aca="false">-F45*Inputs!$E$75/30</f>
        <v>10301.4140678202</v>
      </c>
      <c r="G86" s="54" t="n">
        <f aca="false">-G45*Inputs!$E$75/30</f>
        <v>11398.932067524</v>
      </c>
      <c r="H86" s="54" t="n">
        <f aca="false">-H45*Inputs!$E$75/30</f>
        <v>12522.1780474064</v>
      </c>
      <c r="I86" s="54" t="n">
        <f aca="false">-I45*Inputs!$E$75/30</f>
        <v>13670.1228882601</v>
      </c>
      <c r="J86" s="54" t="n">
        <f aca="false">-J45*Inputs!$E$75/30</f>
        <v>14841.7786356464</v>
      </c>
      <c r="K86" s="54" t="n">
        <f aca="false">-K45*Inputs!$E$75/30</f>
        <v>16036.1968533039</v>
      </c>
      <c r="L86" s="54" t="n">
        <f aca="false">-L45*Inputs!$E$75/30</f>
        <v>17252.4670424217</v>
      </c>
      <c r="M86" s="54" t="n">
        <f aca="false">-M45*Inputs!$E$75/30</f>
        <v>17701.7470907249</v>
      </c>
      <c r="N86" s="54" t="n">
        <f aca="false">-N45*Inputs!$E$75/30</f>
        <v>14809.6375630102</v>
      </c>
      <c r="O86" s="54" t="n">
        <f aca="false">-O45*Inputs!$E$75/30</f>
        <v>15532.1382121335</v>
      </c>
      <c r="P86" s="54" t="n">
        <f aca="false">-P45*Inputs!$E$75/30</f>
        <v>15834.0372743731</v>
      </c>
      <c r="Q86" s="54" t="n">
        <f aca="false">-Q45*Inputs!$E$75/30</f>
        <v>19716.186988802</v>
      </c>
      <c r="R86" s="54" t="n">
        <f aca="false">-R45*Inputs!$E$75/30</f>
        <v>20114.1762092749</v>
      </c>
      <c r="S86" s="54" t="n">
        <f aca="false">-S45*Inputs!$E$75/30</f>
        <v>20496.2458609289</v>
      </c>
      <c r="T86" s="54" t="n">
        <f aca="false">-T45*Inputs!$E$75/30</f>
        <v>20863.0327265168</v>
      </c>
      <c r="U86" s="54" t="n">
        <f aca="false">-U45*Inputs!$E$75/30</f>
        <v>21215.1481174811</v>
      </c>
      <c r="V86" s="54" t="n">
        <f aca="false">-V45*Inputs!$E$75/30</f>
        <v>21553.1788928068</v>
      </c>
      <c r="W86" s="54" t="n">
        <f aca="false">-W45*Inputs!$E$75/30</f>
        <v>21877.6884371196</v>
      </c>
      <c r="X86" s="54" t="n">
        <f aca="false">-X45*Inputs!$E$75/30</f>
        <v>22189.2175996598</v>
      </c>
      <c r="Y86" s="54" t="n">
        <f aca="false">-Y45*Inputs!$E$75/30</f>
        <v>22488.2855956984</v>
      </c>
      <c r="Z86" s="54" t="n">
        <f aca="false">-Z45*Inputs!$E$75/30</f>
        <v>18686.5459197554</v>
      </c>
      <c r="AA86" s="54" t="n">
        <f aca="false">-AA45*Inputs!$E$75/30</f>
        <v>19398.2562991465</v>
      </c>
      <c r="AB86" s="54" t="n">
        <f aca="false">-AB45*Inputs!$E$75/30</f>
        <v>19585.0836484758</v>
      </c>
      <c r="AC86" s="54" t="n">
        <f aca="false">-AC45*Inputs!$E$75/30</f>
        <v>24078.212322995</v>
      </c>
      <c r="AD86" s="54" t="n">
        <f aca="false">-AD45*Inputs!$E$75/30</f>
        <v>24351.5397784432</v>
      </c>
      <c r="AE86" s="54" t="n">
        <f aca="false">-AE45*Inputs!$E$75/30</f>
        <v>24613.9341356734</v>
      </c>
      <c r="AF86" s="54" t="n">
        <f aca="false">-AF45*Inputs!$E$75/30</f>
        <v>24865.8327186144</v>
      </c>
      <c r="AG86" s="54" t="n">
        <f aca="false">-AG45*Inputs!$E$75/30</f>
        <v>25107.6553582377</v>
      </c>
      <c r="AH86" s="54" t="n">
        <f aca="false">-AH45*Inputs!$E$75/30</f>
        <v>25339.8050922762</v>
      </c>
      <c r="AI86" s="54" t="n">
        <f aca="false">-AI45*Inputs!$E$75/30</f>
        <v>25562.6688369531</v>
      </c>
      <c r="AJ86" s="54" t="n">
        <f aca="false">-AJ45*Inputs!$E$75/30</f>
        <v>25776.6180318429</v>
      </c>
      <c r="AK86" s="54" t="n">
        <f aca="false">-AK45*Inputs!$E$75/30</f>
        <v>25982.0092589371</v>
      </c>
      <c r="AL86" s="54" t="n">
        <f aca="false">-AL45*Inputs!$E$75/30</f>
        <v>21523.9256478349</v>
      </c>
    </row>
    <row r="87" customFormat="false" ht="15" hidden="false" customHeight="false" outlineLevel="0" collapsed="false">
      <c r="A87" s="6" t="s">
        <v>316</v>
      </c>
      <c r="C87" s="54" t="n">
        <f aca="false">-C84</f>
        <v>-3196.22386666667</v>
      </c>
      <c r="D87" s="54" t="n">
        <f aca="false">C84-D84</f>
        <v>-433.705193481482</v>
      </c>
      <c r="E87" s="54" t="n">
        <f aca="false">D84-E84</f>
        <v>-1221.6310598163</v>
      </c>
      <c r="F87" s="54" t="n">
        <f aca="false">E84-F84</f>
        <v>-551.899802608829</v>
      </c>
      <c r="G87" s="54" t="n">
        <f aca="false">F84-G84</f>
        <v>-562.558506800773</v>
      </c>
      <c r="H87" s="54" t="n">
        <f aca="false">G84-H84</f>
        <v>-572.790862825039</v>
      </c>
      <c r="I87" s="54" t="n">
        <f aca="false">H84-I84</f>
        <v>-582.613924608332</v>
      </c>
      <c r="J87" s="54" t="n">
        <f aca="false">I84-J84</f>
        <v>-592.044063920296</v>
      </c>
      <c r="K87" s="54" t="n">
        <f aca="false">J84-K84</f>
        <v>-601.096997659782</v>
      </c>
      <c r="L87" s="54" t="n">
        <f aca="false">K84-L84</f>
        <v>-609.787814049685</v>
      </c>
      <c r="M87" s="54" t="n">
        <f aca="false">L84-M84</f>
        <v>-178.684582969179</v>
      </c>
      <c r="N87" s="54" t="n">
        <f aca="false">M84-N84</f>
        <v>1187.05480034959</v>
      </c>
      <c r="O87" s="54" t="n">
        <f aca="false">N84-O84</f>
        <v>-303.290256998819</v>
      </c>
      <c r="P87" s="54" t="n">
        <f aca="false">O84-P84</f>
        <v>-142.146794717777</v>
      </c>
      <c r="Q87" s="54" t="n">
        <f aca="false">P84-Q84</f>
        <v>-1522.22476292907</v>
      </c>
      <c r="R87" s="54" t="n">
        <f aca="false">Q84-R84</f>
        <v>-156.976092411904</v>
      </c>
      <c r="S87" s="54" t="n">
        <f aca="false">R84-S84</f>
        <v>-150.697048715427</v>
      </c>
      <c r="T87" s="54" t="n">
        <f aca="false">S84-T84</f>
        <v>-144.669166766809</v>
      </c>
      <c r="U87" s="54" t="n">
        <f aca="false">T84-U84</f>
        <v>-138.882400096136</v>
      </c>
      <c r="V87" s="54" t="n">
        <f aca="false">U84-V84</f>
        <v>-133.327104092292</v>
      </c>
      <c r="W87" s="54" t="n">
        <f aca="false">V84-W84</f>
        <v>-127.994019928599</v>
      </c>
      <c r="X87" s="54" t="n">
        <f aca="false">W84-X84</f>
        <v>-122.874259131457</v>
      </c>
      <c r="Y87" s="54" t="n">
        <f aca="false">X84-Y84</f>
        <v>-117.959288766197</v>
      </c>
      <c r="Z87" s="54" t="n">
        <f aca="false">Y84-Z84</f>
        <v>1272.52292278445</v>
      </c>
      <c r="AA87" s="54" t="n">
        <f aca="false">Z84-AA84</f>
        <v>-281.668655546002</v>
      </c>
      <c r="AB87" s="54" t="n">
        <f aca="false">AA84-AB84</f>
        <v>-87.2617315050902</v>
      </c>
      <c r="AC87" s="54" t="n">
        <f aca="false">AB84-AC84</f>
        <v>-1497.25037904488</v>
      </c>
      <c r="AD87" s="54" t="n">
        <f aca="false">AC84-AD84</f>
        <v>-106.913490283088</v>
      </c>
      <c r="AE87" s="54" t="n">
        <f aca="false">AD84-AE84</f>
        <v>-102.636950671766</v>
      </c>
      <c r="AF87" s="54" t="n">
        <f aca="false">AE84-AF84</f>
        <v>-98.5314726448942</v>
      </c>
      <c r="AG87" s="54" t="n">
        <f aca="false">AF84-AG84</f>
        <v>-94.5902137390985</v>
      </c>
      <c r="AH87" s="54" t="n">
        <f aca="false">AG84-AH84</f>
        <v>-90.806605189533</v>
      </c>
      <c r="AI87" s="54" t="n">
        <f aca="false">AH84-AI84</f>
        <v>-87.1743409819555</v>
      </c>
      <c r="AJ87" s="54" t="n">
        <f aca="false">AI84-AJ84</f>
        <v>-83.6873673426744</v>
      </c>
      <c r="AK87" s="54" t="n">
        <f aca="false">AJ84-AK84</f>
        <v>-80.3398726489686</v>
      </c>
      <c r="AL87" s="54" t="n">
        <f aca="false">AK84-AL84</f>
        <v>1336.35283905699</v>
      </c>
    </row>
    <row r="88" customFormat="false" ht="15" hidden="false" customHeight="false" outlineLevel="0" collapsed="false">
      <c r="A88" s="6" t="s">
        <v>317</v>
      </c>
      <c r="C88" s="54" t="n">
        <f aca="false">-C85</f>
        <v>-3535.97287295</v>
      </c>
      <c r="D88" s="54" t="n">
        <f aca="false">C85-D85</f>
        <v>-479.751530209779</v>
      </c>
      <c r="E88" s="54" t="n">
        <f aca="false">D85-E85</f>
        <v>-1522.69322532158</v>
      </c>
      <c r="F88" s="54" t="n">
        <f aca="false">E85-F85</f>
        <v>-642.430812210746</v>
      </c>
      <c r="G88" s="54" t="n">
        <f aca="false">F85-G85</f>
        <v>-658.510799822315</v>
      </c>
      <c r="H88" s="54" t="n">
        <f aca="false">G85-H85</f>
        <v>-673.947587929423</v>
      </c>
      <c r="I88" s="54" t="n">
        <f aca="false">H85-I85</f>
        <v>-688.766904512245</v>
      </c>
      <c r="J88" s="54" t="n">
        <f aca="false">I85-J85</f>
        <v>-702.993448431758</v>
      </c>
      <c r="K88" s="54" t="n">
        <f aca="false">J85-K85</f>
        <v>-716.650930594486</v>
      </c>
      <c r="L88" s="54" t="n">
        <f aca="false">K85-L85</f>
        <v>-729.762113470708</v>
      </c>
      <c r="M88" s="54" t="n">
        <f aca="false">L85-M85</f>
        <v>-269.568028981877</v>
      </c>
      <c r="N88" s="54" t="n">
        <f aca="false">M85-N85</f>
        <v>1735.26571662878</v>
      </c>
      <c r="O88" s="54" t="n">
        <f aca="false">N85-O85</f>
        <v>-433.500389473948</v>
      </c>
      <c r="P88" s="54" t="n">
        <f aca="false">O85-P85</f>
        <v>-181.139437343798</v>
      </c>
      <c r="Q88" s="54" t="n">
        <f aca="false">P85-Q85</f>
        <v>-2329.28982865731</v>
      </c>
      <c r="R88" s="54" t="n">
        <f aca="false">Q85-R85</f>
        <v>-238.793532283751</v>
      </c>
      <c r="S88" s="54" t="n">
        <f aca="false">R85-S85</f>
        <v>-229.241790992404</v>
      </c>
      <c r="T88" s="54" t="n">
        <f aca="false">S85-T85</f>
        <v>-220.072119352706</v>
      </c>
      <c r="U88" s="54" t="n">
        <f aca="false">T85-U85</f>
        <v>-211.269234578596</v>
      </c>
      <c r="V88" s="54" t="n">
        <f aca="false">U85-V85</f>
        <v>-202.818465195453</v>
      </c>
      <c r="W88" s="54" t="n">
        <f aca="false">V85-W85</f>
        <v>-194.705726587636</v>
      </c>
      <c r="X88" s="54" t="n">
        <f aca="false">W85-X85</f>
        <v>-186.917497524129</v>
      </c>
      <c r="Y88" s="54" t="n">
        <f aca="false">X85-Y85</f>
        <v>-179.440797623163</v>
      </c>
      <c r="Z88" s="54" t="n">
        <f aca="false">Y85-Z85</f>
        <v>2281.04380556581</v>
      </c>
      <c r="AA88" s="54" t="n">
        <f aca="false">Z85-AA85</f>
        <v>-427.026227634677</v>
      </c>
      <c r="AB88" s="54" t="n">
        <f aca="false">AA85-AB85</f>
        <v>-112.096409597598</v>
      </c>
      <c r="AC88" s="54" t="n">
        <f aca="false">AB85-AC85</f>
        <v>-2695.87720471152</v>
      </c>
      <c r="AD88" s="54" t="n">
        <f aca="false">AC85-AD85</f>
        <v>-163.996473268882</v>
      </c>
      <c r="AE88" s="54" t="n">
        <f aca="false">AD85-AE85</f>
        <v>-157.436614338127</v>
      </c>
      <c r="AF88" s="54" t="n">
        <f aca="false">AE85-AF85</f>
        <v>-151.139149764602</v>
      </c>
      <c r="AG88" s="54" t="n">
        <f aca="false">AF85-AG85</f>
        <v>-145.093583774014</v>
      </c>
      <c r="AH88" s="54" t="n">
        <f aca="false">AG85-AH85</f>
        <v>-139.289840423056</v>
      </c>
      <c r="AI88" s="54" t="n">
        <f aca="false">AH85-AI85</f>
        <v>-133.718246806135</v>
      </c>
      <c r="AJ88" s="54" t="n">
        <f aca="false">AI85-AJ85</f>
        <v>-128.369516933886</v>
      </c>
      <c r="AK88" s="54" t="n">
        <f aca="false">AJ85-AK85</f>
        <v>-123.234736256534</v>
      </c>
      <c r="AL88" s="54" t="n">
        <f aca="false">AK85-AL85</f>
        <v>2674.85016666134</v>
      </c>
    </row>
    <row r="89" customFormat="false" ht="15" hidden="false" customHeight="false" outlineLevel="0" collapsed="false">
      <c r="A89" s="6" t="s">
        <v>318</v>
      </c>
      <c r="C89" s="54" t="n">
        <f aca="false">C86</f>
        <v>5893.28812158333</v>
      </c>
      <c r="D89" s="54" t="n">
        <f aca="false">D86-C86</f>
        <v>799.585883682964</v>
      </c>
      <c r="E89" s="54" t="n">
        <f aca="false">E86-D86</f>
        <v>2537.82204220264</v>
      </c>
      <c r="F89" s="54" t="n">
        <f aca="false">F86-E86</f>
        <v>1070.71802035124</v>
      </c>
      <c r="G89" s="54" t="n">
        <f aca="false">G86-F86</f>
        <v>1097.51799970386</v>
      </c>
      <c r="H89" s="54" t="n">
        <f aca="false">H86-G86</f>
        <v>1123.24597988237</v>
      </c>
      <c r="I89" s="54" t="n">
        <f aca="false">I86-H86</f>
        <v>1147.94484085374</v>
      </c>
      <c r="J89" s="54" t="n">
        <f aca="false">J86-I86</f>
        <v>1171.65574738627</v>
      </c>
      <c r="K89" s="54" t="n">
        <f aca="false">K86-J86</f>
        <v>1194.41821765747</v>
      </c>
      <c r="L89" s="54" t="n">
        <f aca="false">L86-K86</f>
        <v>1216.27018911785</v>
      </c>
      <c r="M89" s="54" t="n">
        <f aca="false">M86-L86</f>
        <v>449.280048303132</v>
      </c>
      <c r="N89" s="54" t="n">
        <f aca="false">N86-M86</f>
        <v>-2892.10952771463</v>
      </c>
      <c r="O89" s="54" t="n">
        <f aca="false">O86-N86</f>
        <v>722.500649123245</v>
      </c>
      <c r="P89" s="54" t="n">
        <f aca="false">P86-O86</f>
        <v>301.899062239663</v>
      </c>
      <c r="Q89" s="54" t="n">
        <f aca="false">Q86-P86</f>
        <v>3882.14971442885</v>
      </c>
      <c r="R89" s="54" t="n">
        <f aca="false">R86-Q86</f>
        <v>397.989220472919</v>
      </c>
      <c r="S89" s="54" t="n">
        <f aca="false">S86-R86</f>
        <v>382.069651654008</v>
      </c>
      <c r="T89" s="54" t="n">
        <f aca="false">T86-S86</f>
        <v>366.786865587845</v>
      </c>
      <c r="U89" s="54" t="n">
        <f aca="false">U86-T86</f>
        <v>352.115390964325</v>
      </c>
      <c r="V89" s="54" t="n">
        <f aca="false">V86-U86</f>
        <v>338.030775325755</v>
      </c>
      <c r="W89" s="54" t="n">
        <f aca="false">W86-V86</f>
        <v>324.509544312728</v>
      </c>
      <c r="X89" s="54" t="n">
        <f aca="false">X86-W86</f>
        <v>311.529162540213</v>
      </c>
      <c r="Y89" s="54" t="n">
        <f aca="false">Y86-X86</f>
        <v>299.067996038604</v>
      </c>
      <c r="Z89" s="54" t="n">
        <f aca="false">Z86-Y86</f>
        <v>-3801.73967594301</v>
      </c>
      <c r="AA89" s="54" t="n">
        <f aca="false">AA86-Z86</f>
        <v>711.71037939113</v>
      </c>
      <c r="AB89" s="54" t="n">
        <f aca="false">AB86-AA86</f>
        <v>186.827349329327</v>
      </c>
      <c r="AC89" s="54" t="n">
        <f aca="false">AC86-AB86</f>
        <v>4493.1286745192</v>
      </c>
      <c r="AD89" s="54" t="n">
        <f aca="false">AD86-AC86</f>
        <v>273.32745544814</v>
      </c>
      <c r="AE89" s="54" t="n">
        <f aca="false">AE86-AD86</f>
        <v>262.394357230209</v>
      </c>
      <c r="AF89" s="54" t="n">
        <f aca="false">AF86-AE86</f>
        <v>251.898582941005</v>
      </c>
      <c r="AG89" s="54" t="n">
        <f aca="false">AG86-AF86</f>
        <v>241.822639623355</v>
      </c>
      <c r="AH89" s="54" t="n">
        <f aca="false">AH86-AG86</f>
        <v>232.14973403843</v>
      </c>
      <c r="AI89" s="54" t="n">
        <f aca="false">AI86-AH86</f>
        <v>222.863744676888</v>
      </c>
      <c r="AJ89" s="54" t="n">
        <f aca="false">AJ86-AI86</f>
        <v>213.94919488981</v>
      </c>
      <c r="AK89" s="54" t="n">
        <f aca="false">AK86-AJ86</f>
        <v>205.391227094224</v>
      </c>
      <c r="AL89" s="54" t="n">
        <f aca="false">AL86-AK86</f>
        <v>-4458.08361110224</v>
      </c>
    </row>
    <row r="91" customFormat="false" ht="15.75" hidden="false" customHeight="true" outlineLevel="0" collapsed="false">
      <c r="A91" s="7" t="s">
        <v>401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customFormat="false" ht="15" hidden="false" customHeight="false" outlineLevel="0" collapsed="false">
      <c r="A92" s="4" t="s">
        <v>50</v>
      </c>
      <c r="C92" s="60" t="n">
        <f aca="false">C64-C73+C87+C88+C89</f>
        <v>-74804.1630306</v>
      </c>
      <c r="D92" s="60" t="n">
        <f aca="false">D64-D73+D87+D88+D89</f>
        <v>-68444.5087441057</v>
      </c>
      <c r="E92" s="60" t="n">
        <f aca="false">E64-E73+E87+E88+E89</f>
        <v>-53080.977367098</v>
      </c>
      <c r="F92" s="60" t="n">
        <f aca="false">F64-F73+F87+F88+F89</f>
        <v>-45827.3689705868</v>
      </c>
      <c r="G92" s="60" t="n">
        <f aca="false">G64-G73+G87+G88+G89</f>
        <v>-38528.8683473374</v>
      </c>
      <c r="H92" s="60" t="n">
        <f aca="false">H64-H73+H87+H88+H89</f>
        <v>-31107.7584114402</v>
      </c>
      <c r="I92" s="60" t="n">
        <f aca="false">I64-I73+I87+I88+I89</f>
        <v>-23568.9435354011</v>
      </c>
      <c r="J92" s="60" t="n">
        <f aca="false">J64-J73+J87+J88+J89</f>
        <v>-15917.1319168258</v>
      </c>
      <c r="K92" s="60" t="n">
        <f aca="false">K64-K73+K87+K88+K89</f>
        <v>-8156.84342541571</v>
      </c>
      <c r="L92" s="60" t="n">
        <f aca="false">L64-L73+L87+L88+L89</f>
        <v>-292.417136084256</v>
      </c>
      <c r="M92" s="60" t="n">
        <f aca="false">M64-M73+M87+M88+M89</f>
        <v>2150.10605857762</v>
      </c>
      <c r="N92" s="60" t="n">
        <f aca="false">N64-N73+N87+N88+N89</f>
        <v>-11978.9176271636</v>
      </c>
      <c r="O92" s="60" t="n">
        <f aca="false">O64-O73+O87+O88+O89</f>
        <v>-8211.58220440918</v>
      </c>
      <c r="P92" s="60" t="n">
        <f aca="false">P64-P73+P87+P88+P89</f>
        <v>-6271.67299746916</v>
      </c>
      <c r="Q92" s="60" t="n">
        <f aca="false">Q64-Q73+Q87+Q88+Q89</f>
        <v>12132.2244151499</v>
      </c>
      <c r="R92" s="60" t="n">
        <f aca="false">R64-R73+R87+R88+R89</f>
        <v>14157.9465430291</v>
      </c>
      <c r="S92" s="60" t="n">
        <f aca="false">S64-S73+S87+S88+S89</f>
        <v>16136.9132412779</v>
      </c>
      <c r="T92" s="60" t="n">
        <f aca="false">T64-T73+T87+T88+T89</f>
        <v>18043.8046049301</v>
      </c>
      <c r="U92" s="60" t="n">
        <f aca="false">U64-U73+U87+U88+U89</f>
        <v>19881.5036473696</v>
      </c>
      <c r="V92" s="60" t="n">
        <f aca="false">V64-V73+V87+V88+V89</f>
        <v>21652.7780614448</v>
      </c>
      <c r="W92" s="60" t="n">
        <f aca="false">W64-W73+W87+W88+W89</f>
        <v>23360.2848322903</v>
      </c>
      <c r="X92" s="60" t="n">
        <f aca="false">X64-X73+X87+X88+X89</f>
        <v>25006.5746656354</v>
      </c>
      <c r="Y92" s="60" t="n">
        <f aca="false">Y64-Y73+Y87+Y88+Y89</f>
        <v>26594.0962389799</v>
      </c>
      <c r="Z92" s="60" t="n">
        <f aca="false">Z64-Z73+Z87+Z88+Z89</f>
        <v>11995.5824844361</v>
      </c>
      <c r="AA92" s="60" t="n">
        <f aca="false">AA64-AA73+AA87+AA88+AA89</f>
        <v>15193.8036394933</v>
      </c>
      <c r="AB92" s="60" t="n">
        <f aca="false">AB64-AB73+AB87+AB88+AB89</f>
        <v>16440.073838224</v>
      </c>
      <c r="AC92" s="60" t="n">
        <f aca="false">AC64-AC73+AC87+AC88+AC89</f>
        <v>33996.6903303437</v>
      </c>
      <c r="AD92" s="60" t="n">
        <f aca="false">AD64-AD73+AD87+AD88+AD89</f>
        <v>35151.899472519</v>
      </c>
      <c r="AE92" s="60" t="n">
        <f aca="false">AE64-AE73+AE87+AE88+AE89</f>
        <v>36553.5671375767</v>
      </c>
      <c r="AF92" s="60" t="n">
        <f aca="false">AF64-AF73+AF87+AF88+AF89</f>
        <v>37906.2514293654</v>
      </c>
      <c r="AG92" s="60" t="n">
        <f aca="false">AG64-AG73+AG87+AG88+AG89</f>
        <v>39211.9116828159</v>
      </c>
      <c r="AH92" s="60" t="n">
        <f aca="false">AH64-AH73+AH87+AH88+AH89</f>
        <v>40472.4288594618</v>
      </c>
      <c r="AI92" s="60" t="n">
        <f aca="false">AI64-AI73+AI87+AI88+AI89</f>
        <v>41689.6086823751</v>
      </c>
      <c r="AJ92" s="60" t="n">
        <f aca="false">AJ64-AJ73+AJ87+AJ88+AJ89</f>
        <v>42865.1846457052</v>
      </c>
      <c r="AK92" s="60" t="n">
        <f aca="false">AK64-AK73+AK87+AK88+AK89</f>
        <v>44000.8209038355</v>
      </c>
      <c r="AL92" s="60" t="n">
        <f aca="false">AL64-AL73+AL87+AL88+AL89</f>
        <v>29033.6147610641</v>
      </c>
    </row>
    <row r="93" customFormat="false" ht="15" hidden="false" customHeight="false" outlineLevel="0" collapsed="false">
      <c r="A93" s="6" t="s">
        <v>402</v>
      </c>
      <c r="C93" s="54" t="n">
        <f aca="false">-C71</f>
        <v>-4100000</v>
      </c>
      <c r="D93" s="54" t="n">
        <f aca="false">-D71</f>
        <v>-0</v>
      </c>
      <c r="E93" s="54" t="n">
        <f aca="false">-E71</f>
        <v>-0</v>
      </c>
      <c r="F93" s="54" t="n">
        <f aca="false">-F71</f>
        <v>-0</v>
      </c>
      <c r="G93" s="54" t="n">
        <f aca="false">-G71</f>
        <v>-0</v>
      </c>
      <c r="H93" s="54" t="n">
        <f aca="false">-H71</f>
        <v>-0</v>
      </c>
      <c r="I93" s="54" t="n">
        <f aca="false">-I71</f>
        <v>-0</v>
      </c>
      <c r="J93" s="54" t="n">
        <f aca="false">-J71</f>
        <v>-0</v>
      </c>
      <c r="K93" s="54" t="n">
        <f aca="false">-K71</f>
        <v>-0</v>
      </c>
      <c r="L93" s="54" t="n">
        <f aca="false">-L71</f>
        <v>-0</v>
      </c>
      <c r="M93" s="54" t="n">
        <f aca="false">-M71</f>
        <v>-0</v>
      </c>
      <c r="N93" s="54" t="n">
        <f aca="false">-N71</f>
        <v>-0</v>
      </c>
      <c r="O93" s="54" t="n">
        <f aca="false">-O71</f>
        <v>-40000</v>
      </c>
      <c r="P93" s="54" t="n">
        <f aca="false">-P71</f>
        <v>-0</v>
      </c>
      <c r="Q93" s="54" t="n">
        <f aca="false">-Q71</f>
        <v>-0</v>
      </c>
      <c r="R93" s="54" t="n">
        <f aca="false">-R71</f>
        <v>-0</v>
      </c>
      <c r="S93" s="54" t="n">
        <f aca="false">-S71</f>
        <v>-0</v>
      </c>
      <c r="T93" s="54" t="n">
        <f aca="false">-T71</f>
        <v>-0</v>
      </c>
      <c r="U93" s="54" t="n">
        <f aca="false">-U71</f>
        <v>-0</v>
      </c>
      <c r="V93" s="54" t="n">
        <f aca="false">-V71</f>
        <v>-0</v>
      </c>
      <c r="W93" s="54" t="n">
        <f aca="false">-W71</f>
        <v>-0</v>
      </c>
      <c r="X93" s="54" t="n">
        <f aca="false">-X71</f>
        <v>-0</v>
      </c>
      <c r="Y93" s="54" t="n">
        <f aca="false">-Y71</f>
        <v>-0</v>
      </c>
      <c r="Z93" s="54" t="n">
        <f aca="false">-Z71</f>
        <v>-0</v>
      </c>
      <c r="AA93" s="54" t="n">
        <f aca="false">-AA71</f>
        <v>-40000</v>
      </c>
      <c r="AB93" s="54" t="n">
        <f aca="false">-AB71</f>
        <v>-0</v>
      </c>
      <c r="AC93" s="54" t="n">
        <f aca="false">-AC71</f>
        <v>-0</v>
      </c>
      <c r="AD93" s="54" t="n">
        <f aca="false">-AD71</f>
        <v>-0</v>
      </c>
      <c r="AE93" s="54" t="n">
        <f aca="false">-AE71</f>
        <v>-0</v>
      </c>
      <c r="AF93" s="54" t="n">
        <f aca="false">-AF71</f>
        <v>-0</v>
      </c>
      <c r="AG93" s="54" t="n">
        <f aca="false">-AG71</f>
        <v>-0</v>
      </c>
      <c r="AH93" s="54" t="n">
        <f aca="false">-AH71</f>
        <v>-0</v>
      </c>
      <c r="AI93" s="54" t="n">
        <f aca="false">-AI71</f>
        <v>-0</v>
      </c>
      <c r="AJ93" s="54" t="n">
        <f aca="false">-AJ71</f>
        <v>-0</v>
      </c>
      <c r="AK93" s="54" t="n">
        <f aca="false">-AK71</f>
        <v>-0</v>
      </c>
      <c r="AL93" s="54" t="n">
        <f aca="false">-AL71</f>
        <v>-0</v>
      </c>
    </row>
    <row r="94" customFormat="false" ht="15" hidden="false" customHeight="false" outlineLevel="0" collapsed="false">
      <c r="A94" s="6" t="s">
        <v>62</v>
      </c>
      <c r="C94" s="54" t="n">
        <f aca="false">IF(C$4=1,Inputs!$E$67,0)</f>
        <v>2100000</v>
      </c>
      <c r="D94" s="54" t="n">
        <f aca="false">IF(D$4=1,Inputs!$E$67,0)</f>
        <v>0</v>
      </c>
      <c r="E94" s="54" t="n">
        <f aca="false">IF(E$4=1,Inputs!$E$67,0)</f>
        <v>0</v>
      </c>
      <c r="F94" s="54" t="n">
        <f aca="false">IF(F$4=1,Inputs!$E$67,0)</f>
        <v>0</v>
      </c>
      <c r="G94" s="54" t="n">
        <f aca="false">IF(G$4=1,Inputs!$E$67,0)</f>
        <v>0</v>
      </c>
      <c r="H94" s="54" t="n">
        <f aca="false">IF(H$4=1,Inputs!$E$67,0)</f>
        <v>0</v>
      </c>
      <c r="I94" s="54" t="n">
        <f aca="false">IF(I$4=1,Inputs!$E$67,0)</f>
        <v>0</v>
      </c>
      <c r="J94" s="54" t="n">
        <f aca="false">IF(J$4=1,Inputs!$E$67,0)</f>
        <v>0</v>
      </c>
      <c r="K94" s="54" t="n">
        <f aca="false">IF(K$4=1,Inputs!$E$67,0)</f>
        <v>0</v>
      </c>
      <c r="L94" s="54" t="n">
        <f aca="false">IF(L$4=1,Inputs!$E$67,0)</f>
        <v>0</v>
      </c>
      <c r="M94" s="54" t="n">
        <f aca="false">IF(M$4=1,Inputs!$E$67,0)</f>
        <v>0</v>
      </c>
      <c r="N94" s="54" t="n">
        <f aca="false">IF(N$4=1,Inputs!$E$67,0)</f>
        <v>0</v>
      </c>
      <c r="O94" s="54" t="n">
        <f aca="false">IF(O$4=1,Inputs!$E$67,0)</f>
        <v>0</v>
      </c>
      <c r="P94" s="54" t="n">
        <f aca="false">IF(P$4=1,Inputs!$E$67,0)</f>
        <v>0</v>
      </c>
      <c r="Q94" s="54" t="n">
        <f aca="false">IF(Q$4=1,Inputs!$E$67,0)</f>
        <v>0</v>
      </c>
      <c r="R94" s="54" t="n">
        <f aca="false">IF(R$4=1,Inputs!$E$67,0)</f>
        <v>0</v>
      </c>
      <c r="S94" s="54" t="n">
        <f aca="false">IF(S$4=1,Inputs!$E$67,0)</f>
        <v>0</v>
      </c>
      <c r="T94" s="54" t="n">
        <f aca="false">IF(T$4=1,Inputs!$E$67,0)</f>
        <v>0</v>
      </c>
      <c r="U94" s="54" t="n">
        <f aca="false">IF(U$4=1,Inputs!$E$67,0)</f>
        <v>0</v>
      </c>
      <c r="V94" s="54" t="n">
        <f aca="false">IF(V$4=1,Inputs!$E$67,0)</f>
        <v>0</v>
      </c>
      <c r="W94" s="54" t="n">
        <f aca="false">IF(W$4=1,Inputs!$E$67,0)</f>
        <v>0</v>
      </c>
      <c r="X94" s="54" t="n">
        <f aca="false">IF(X$4=1,Inputs!$E$67,0)</f>
        <v>0</v>
      </c>
      <c r="Y94" s="54" t="n">
        <f aca="false">IF(Y$4=1,Inputs!$E$67,0)</f>
        <v>0</v>
      </c>
      <c r="Z94" s="54" t="n">
        <f aca="false">IF(Z$4=1,Inputs!$E$67,0)</f>
        <v>0</v>
      </c>
      <c r="AA94" s="54" t="n">
        <f aca="false">IF(AA$4=1,Inputs!$E$67,0)</f>
        <v>0</v>
      </c>
      <c r="AB94" s="54" t="n">
        <f aca="false">IF(AB$4=1,Inputs!$E$67,0)</f>
        <v>0</v>
      </c>
      <c r="AC94" s="54" t="n">
        <f aca="false">IF(AC$4=1,Inputs!$E$67,0)</f>
        <v>0</v>
      </c>
      <c r="AD94" s="54" t="n">
        <f aca="false">IF(AD$4=1,Inputs!$E$67,0)</f>
        <v>0</v>
      </c>
      <c r="AE94" s="54" t="n">
        <f aca="false">IF(AE$4=1,Inputs!$E$67,0)</f>
        <v>0</v>
      </c>
      <c r="AF94" s="54" t="n">
        <f aca="false">IF(AF$4=1,Inputs!$E$67,0)</f>
        <v>0</v>
      </c>
      <c r="AG94" s="54" t="n">
        <f aca="false">IF(AG$4=1,Inputs!$E$67,0)</f>
        <v>0</v>
      </c>
      <c r="AH94" s="54" t="n">
        <f aca="false">IF(AH$4=1,Inputs!$E$67,0)</f>
        <v>0</v>
      </c>
      <c r="AI94" s="54" t="n">
        <f aca="false">IF(AI$4=1,Inputs!$E$67,0)</f>
        <v>0</v>
      </c>
      <c r="AJ94" s="54" t="n">
        <f aca="false">IF(AJ$4=1,Inputs!$E$67,0)</f>
        <v>0</v>
      </c>
      <c r="AK94" s="54" t="n">
        <f aca="false">IF(AK$4=1,Inputs!$E$67,0)</f>
        <v>0</v>
      </c>
      <c r="AL94" s="54" t="n">
        <f aca="false">IF(AL$4=1,Inputs!$E$67,0)</f>
        <v>0</v>
      </c>
    </row>
    <row r="95" customFormat="false" ht="15" hidden="false" customHeight="false" outlineLevel="0" collapsed="false">
      <c r="A95" s="6" t="s">
        <v>52</v>
      </c>
      <c r="C95" s="54" t="n">
        <f aca="false">C94+C79+C80</f>
        <v>5100000</v>
      </c>
      <c r="D95" s="54" t="n">
        <f aca="false">D94+D79+D80</f>
        <v>-25000</v>
      </c>
      <c r="E95" s="54" t="n">
        <f aca="false">E94+E79+E80</f>
        <v>-25000</v>
      </c>
      <c r="F95" s="54" t="n">
        <f aca="false">F94+F79+F80</f>
        <v>-25000</v>
      </c>
      <c r="G95" s="54" t="n">
        <f aca="false">G94+G79+G80</f>
        <v>-25000</v>
      </c>
      <c r="H95" s="54" t="n">
        <f aca="false">H94+H79+H80</f>
        <v>-25000</v>
      </c>
      <c r="I95" s="54" t="n">
        <f aca="false">I94+I79+I80</f>
        <v>-25000</v>
      </c>
      <c r="J95" s="54" t="n">
        <f aca="false">J94+J79+J80</f>
        <v>-25000</v>
      </c>
      <c r="K95" s="54" t="n">
        <f aca="false">K94+K79+K80</f>
        <v>-25000</v>
      </c>
      <c r="L95" s="54" t="n">
        <f aca="false">L94+L79+L80</f>
        <v>-25000</v>
      </c>
      <c r="M95" s="54" t="n">
        <f aca="false">M94+M79+M80</f>
        <v>-25000</v>
      </c>
      <c r="N95" s="54" t="n">
        <f aca="false">N94+N79+N80</f>
        <v>-25000</v>
      </c>
      <c r="O95" s="54" t="n">
        <f aca="false">O94+O79+O80</f>
        <v>-25000</v>
      </c>
      <c r="P95" s="54" t="n">
        <f aca="false">P94+P79+P80</f>
        <v>-25000</v>
      </c>
      <c r="Q95" s="54" t="n">
        <f aca="false">Q94+Q79+Q80</f>
        <v>-25000</v>
      </c>
      <c r="R95" s="54" t="n">
        <f aca="false">R94+R79+R80</f>
        <v>-25000</v>
      </c>
      <c r="S95" s="54" t="n">
        <f aca="false">S94+S79+S80</f>
        <v>-25000</v>
      </c>
      <c r="T95" s="54" t="n">
        <f aca="false">T94+T79+T80</f>
        <v>-25000</v>
      </c>
      <c r="U95" s="54" t="n">
        <f aca="false">U94+U79+U80</f>
        <v>-25000</v>
      </c>
      <c r="V95" s="54" t="n">
        <f aca="false">V94+V79+V80</f>
        <v>-25000</v>
      </c>
      <c r="W95" s="54" t="n">
        <f aca="false">W94+W79+W80</f>
        <v>-25000</v>
      </c>
      <c r="X95" s="54" t="n">
        <f aca="false">X94+X79+X80</f>
        <v>-25000</v>
      </c>
      <c r="Y95" s="54" t="n">
        <f aca="false">Y94+Y79+Y80</f>
        <v>-25000</v>
      </c>
      <c r="Z95" s="54" t="n">
        <f aca="false">Z94+Z79+Z80</f>
        <v>-25000</v>
      </c>
      <c r="AA95" s="54" t="n">
        <f aca="false">AA94+AA79+AA80</f>
        <v>-25000</v>
      </c>
      <c r="AB95" s="54" t="n">
        <f aca="false">AB94+AB79+AB80</f>
        <v>-25000</v>
      </c>
      <c r="AC95" s="54" t="n">
        <f aca="false">AC94+AC79+AC80</f>
        <v>-25000</v>
      </c>
      <c r="AD95" s="54" t="n">
        <f aca="false">AD94+AD79+AD80</f>
        <v>-25000</v>
      </c>
      <c r="AE95" s="54" t="n">
        <f aca="false">AE94+AE79+AE80</f>
        <v>-25000</v>
      </c>
      <c r="AF95" s="54" t="n">
        <f aca="false">AF94+AF79+AF80</f>
        <v>-25000</v>
      </c>
      <c r="AG95" s="54" t="n">
        <f aca="false">AG94+AG79+AG80</f>
        <v>-25000</v>
      </c>
      <c r="AH95" s="54" t="n">
        <f aca="false">AH94+AH79+AH80</f>
        <v>-25000</v>
      </c>
      <c r="AI95" s="54" t="n">
        <f aca="false">AI94+AI79+AI80</f>
        <v>-25000</v>
      </c>
      <c r="AJ95" s="54" t="n">
        <f aca="false">AJ94+AJ79+AJ80</f>
        <v>-25000</v>
      </c>
      <c r="AK95" s="54" t="n">
        <f aca="false">AK94+AK79+AK80</f>
        <v>-25000</v>
      </c>
      <c r="AL95" s="54" t="n">
        <f aca="false">AL94+AL79+AL80</f>
        <v>-25000</v>
      </c>
    </row>
    <row r="96" customFormat="false" ht="15" hidden="false" customHeight="false" outlineLevel="0" collapsed="false">
      <c r="A96" s="99" t="s">
        <v>403</v>
      </c>
      <c r="C96" s="55" t="n">
        <f aca="false">C92+C93+C95</f>
        <v>925195.8369694</v>
      </c>
      <c r="D96" s="55" t="n">
        <f aca="false">D92+D93+D95</f>
        <v>-93444.5087441057</v>
      </c>
      <c r="E96" s="55" t="n">
        <f aca="false">E92+E93+E95</f>
        <v>-78080.977367098</v>
      </c>
      <c r="F96" s="55" t="n">
        <f aca="false">F92+F93+F95</f>
        <v>-70827.3689705868</v>
      </c>
      <c r="G96" s="55" t="n">
        <f aca="false">G92+G93+G95</f>
        <v>-63528.8683473374</v>
      </c>
      <c r="H96" s="55" t="n">
        <f aca="false">H92+H93+H95</f>
        <v>-56107.7584114402</v>
      </c>
      <c r="I96" s="55" t="n">
        <f aca="false">I92+I93+I95</f>
        <v>-48568.9435354011</v>
      </c>
      <c r="J96" s="55" t="n">
        <f aca="false">J92+J93+J95</f>
        <v>-40917.1319168258</v>
      </c>
      <c r="K96" s="55" t="n">
        <f aca="false">K92+K93+K95</f>
        <v>-33156.8434254157</v>
      </c>
      <c r="L96" s="55" t="n">
        <f aca="false">L92+L93+L95</f>
        <v>-25292.4171360843</v>
      </c>
      <c r="M96" s="55" t="n">
        <f aca="false">M92+M93+M95</f>
        <v>-22849.8939414224</v>
      </c>
      <c r="N96" s="55" t="n">
        <f aca="false">N92+N93+N95</f>
        <v>-36978.9176271636</v>
      </c>
      <c r="O96" s="55" t="n">
        <f aca="false">O92+O93+O95</f>
        <v>-73211.5822044092</v>
      </c>
      <c r="P96" s="55" t="n">
        <f aca="false">P92+P93+P95</f>
        <v>-31271.6729974692</v>
      </c>
      <c r="Q96" s="55" t="n">
        <f aca="false">Q92+Q93+Q95</f>
        <v>-12867.7755848501</v>
      </c>
      <c r="R96" s="55" t="n">
        <f aca="false">R92+R93+R95</f>
        <v>-10842.0534569709</v>
      </c>
      <c r="S96" s="55" t="n">
        <f aca="false">S92+S93+S95</f>
        <v>-8863.08675872211</v>
      </c>
      <c r="T96" s="55" t="n">
        <f aca="false">T92+T93+T95</f>
        <v>-6956.19539506988</v>
      </c>
      <c r="U96" s="55" t="n">
        <f aca="false">U92+U93+U95</f>
        <v>-5118.49635263045</v>
      </c>
      <c r="V96" s="55" t="n">
        <f aca="false">V92+V93+V95</f>
        <v>-3347.22193855521</v>
      </c>
      <c r="W96" s="55" t="n">
        <f aca="false">W92+W93+W95</f>
        <v>-1639.71516770967</v>
      </c>
      <c r="X96" s="55" t="n">
        <f aca="false">X92+X93+X95</f>
        <v>6.5746656354022</v>
      </c>
      <c r="Y96" s="55" t="n">
        <f aca="false">Y92+Y93+Y95</f>
        <v>1594.09623897995</v>
      </c>
      <c r="Z96" s="55" t="n">
        <f aca="false">Z92+Z93+Z95</f>
        <v>-13004.4175155639</v>
      </c>
      <c r="AA96" s="55" t="n">
        <f aca="false">AA92+AA93+AA95</f>
        <v>-49806.1963605067</v>
      </c>
      <c r="AB96" s="55" t="n">
        <f aca="false">AB92+AB93+AB95</f>
        <v>-8559.92616177598</v>
      </c>
      <c r="AC96" s="55" t="n">
        <f aca="false">AC92+AC93+AC95</f>
        <v>8996.69033034372</v>
      </c>
      <c r="AD96" s="55" t="n">
        <f aca="false">AD92+AD93+AD95</f>
        <v>10151.899472519</v>
      </c>
      <c r="AE96" s="55" t="n">
        <f aca="false">AE92+AE93+AE95</f>
        <v>11553.5671375767</v>
      </c>
      <c r="AF96" s="55" t="n">
        <f aca="false">AF92+AF93+AF95</f>
        <v>12906.2514293654</v>
      </c>
      <c r="AG96" s="55" t="n">
        <f aca="false">AG92+AG93+AG95</f>
        <v>14211.9116828159</v>
      </c>
      <c r="AH96" s="55" t="n">
        <f aca="false">AH92+AH93+AH95</f>
        <v>15472.4288594618</v>
      </c>
      <c r="AI96" s="55" t="n">
        <f aca="false">AI92+AI93+AI95</f>
        <v>16689.6086823751</v>
      </c>
      <c r="AJ96" s="55" t="n">
        <f aca="false">AJ92+AJ93+AJ95</f>
        <v>17865.1846457052</v>
      </c>
      <c r="AK96" s="55" t="n">
        <f aca="false">AK92+AK93+AK95</f>
        <v>19000.8209038355</v>
      </c>
      <c r="AL96" s="55" t="n">
        <f aca="false">AL92+AL93+AL95</f>
        <v>4033.61476106406</v>
      </c>
    </row>
    <row r="97" customFormat="false" ht="15" hidden="false" customHeight="false" outlineLevel="0" collapsed="false">
      <c r="A97" s="6" t="s">
        <v>319</v>
      </c>
      <c r="C97" s="54" t="n">
        <f aca="false">0</f>
        <v>0</v>
      </c>
      <c r="D97" s="54" t="n">
        <f aca="false">C98</f>
        <v>925195.8369694</v>
      </c>
      <c r="E97" s="54" t="n">
        <f aca="false">D98</f>
        <v>831751.328225294</v>
      </c>
      <c r="F97" s="54" t="n">
        <f aca="false">E98</f>
        <v>753670.350858196</v>
      </c>
      <c r="G97" s="54" t="n">
        <f aca="false">F98</f>
        <v>682842.981887609</v>
      </c>
      <c r="H97" s="54" t="n">
        <f aca="false">G98</f>
        <v>619314.113540272</v>
      </c>
      <c r="I97" s="54" t="n">
        <f aca="false">H98</f>
        <v>563206.355128832</v>
      </c>
      <c r="J97" s="54" t="n">
        <f aca="false">I98</f>
        <v>514637.411593431</v>
      </c>
      <c r="K97" s="54" t="n">
        <f aca="false">J98</f>
        <v>473720.279676605</v>
      </c>
      <c r="L97" s="54" t="n">
        <f aca="false">K98</f>
        <v>440563.436251189</v>
      </c>
      <c r="M97" s="54" t="n">
        <f aca="false">L98</f>
        <v>415271.019115105</v>
      </c>
      <c r="N97" s="54" t="n">
        <f aca="false">M98</f>
        <v>392421.125173683</v>
      </c>
      <c r="O97" s="54" t="n">
        <f aca="false">N98</f>
        <v>355442.207546519</v>
      </c>
      <c r="P97" s="54" t="n">
        <f aca="false">O98</f>
        <v>282230.62534211</v>
      </c>
      <c r="Q97" s="54" t="n">
        <f aca="false">P98</f>
        <v>250958.952344641</v>
      </c>
      <c r="R97" s="54" t="n">
        <f aca="false">Q98</f>
        <v>238091.176759791</v>
      </c>
      <c r="S97" s="54" t="n">
        <f aca="false">R98</f>
        <v>227249.12330282</v>
      </c>
      <c r="T97" s="54" t="n">
        <f aca="false">S98</f>
        <v>218386.036544098</v>
      </c>
      <c r="U97" s="54" t="n">
        <f aca="false">T98</f>
        <v>211429.841149028</v>
      </c>
      <c r="V97" s="54" t="n">
        <f aca="false">U98</f>
        <v>206311.344796397</v>
      </c>
      <c r="W97" s="54" t="n">
        <f aca="false">V98</f>
        <v>202964.122857842</v>
      </c>
      <c r="X97" s="54" t="n">
        <f aca="false">W98</f>
        <v>201324.407690132</v>
      </c>
      <c r="Y97" s="54" t="n">
        <f aca="false">X98</f>
        <v>201330.982355768</v>
      </c>
      <c r="Z97" s="54" t="n">
        <f aca="false">Y98</f>
        <v>202925.078594748</v>
      </c>
      <c r="AA97" s="54" t="n">
        <f aca="false">Z98</f>
        <v>189920.661079184</v>
      </c>
      <c r="AB97" s="54" t="n">
        <f aca="false">AA98</f>
        <v>140114.464718677</v>
      </c>
      <c r="AC97" s="54" t="n">
        <f aca="false">AB98</f>
        <v>131554.538556901</v>
      </c>
      <c r="AD97" s="54" t="n">
        <f aca="false">AC98</f>
        <v>140551.228887245</v>
      </c>
      <c r="AE97" s="54" t="n">
        <f aca="false">AD98</f>
        <v>150703.128359764</v>
      </c>
      <c r="AF97" s="54" t="n">
        <f aca="false">AE98</f>
        <v>162256.695497341</v>
      </c>
      <c r="AG97" s="54" t="n">
        <f aca="false">AF98</f>
        <v>175162.946926706</v>
      </c>
      <c r="AH97" s="54" t="n">
        <f aca="false">AG98</f>
        <v>189374.858609522</v>
      </c>
      <c r="AI97" s="54" t="n">
        <f aca="false">AH98</f>
        <v>204847.287468984</v>
      </c>
      <c r="AJ97" s="54" t="n">
        <f aca="false">AI98</f>
        <v>221536.896151359</v>
      </c>
      <c r="AK97" s="54" t="n">
        <f aca="false">AJ98</f>
        <v>239402.080797064</v>
      </c>
      <c r="AL97" s="54" t="n">
        <f aca="false">AK98</f>
        <v>258402.901700899</v>
      </c>
    </row>
    <row r="98" customFormat="false" ht="15" hidden="false" customHeight="false" outlineLevel="0" collapsed="false">
      <c r="A98" s="99" t="s">
        <v>85</v>
      </c>
      <c r="C98" s="55" t="n">
        <f aca="false">C97+C96</f>
        <v>925195.8369694</v>
      </c>
      <c r="D98" s="55" t="n">
        <f aca="false">D97+D96</f>
        <v>831751.328225294</v>
      </c>
      <c r="E98" s="55" t="n">
        <f aca="false">E97+E96</f>
        <v>753670.350858196</v>
      </c>
      <c r="F98" s="55" t="n">
        <f aca="false">F97+F96</f>
        <v>682842.981887609</v>
      </c>
      <c r="G98" s="55" t="n">
        <f aca="false">G97+G96</f>
        <v>619314.113540272</v>
      </c>
      <c r="H98" s="55" t="n">
        <f aca="false">H97+H96</f>
        <v>563206.355128832</v>
      </c>
      <c r="I98" s="55" t="n">
        <f aca="false">I97+I96</f>
        <v>514637.411593431</v>
      </c>
      <c r="J98" s="55" t="n">
        <f aca="false">J97+J96</f>
        <v>473720.279676605</v>
      </c>
      <c r="K98" s="55" t="n">
        <f aca="false">K97+K96</f>
        <v>440563.436251189</v>
      </c>
      <c r="L98" s="55" t="n">
        <f aca="false">L97+L96</f>
        <v>415271.019115105</v>
      </c>
      <c r="M98" s="55" t="n">
        <f aca="false">M97+M96</f>
        <v>392421.125173683</v>
      </c>
      <c r="N98" s="55" t="n">
        <f aca="false">N97+N96</f>
        <v>355442.207546519</v>
      </c>
      <c r="O98" s="55" t="n">
        <f aca="false">O97+O96</f>
        <v>282230.62534211</v>
      </c>
      <c r="P98" s="55" t="n">
        <f aca="false">P97+P96</f>
        <v>250958.952344641</v>
      </c>
      <c r="Q98" s="55" t="n">
        <f aca="false">Q97+Q96</f>
        <v>238091.176759791</v>
      </c>
      <c r="R98" s="55" t="n">
        <f aca="false">R97+R96</f>
        <v>227249.12330282</v>
      </c>
      <c r="S98" s="55" t="n">
        <f aca="false">S97+S96</f>
        <v>218386.036544098</v>
      </c>
      <c r="T98" s="55" t="n">
        <f aca="false">T97+T96</f>
        <v>211429.841149028</v>
      </c>
      <c r="U98" s="55" t="n">
        <f aca="false">U97+U96</f>
        <v>206311.344796397</v>
      </c>
      <c r="V98" s="55" t="n">
        <f aca="false">V97+V96</f>
        <v>202964.122857842</v>
      </c>
      <c r="W98" s="55" t="n">
        <f aca="false">W97+W96</f>
        <v>201324.407690132</v>
      </c>
      <c r="X98" s="55" t="n">
        <f aca="false">X97+X96</f>
        <v>201330.982355768</v>
      </c>
      <c r="Y98" s="55" t="n">
        <f aca="false">Y97+Y96</f>
        <v>202925.078594748</v>
      </c>
      <c r="Z98" s="55" t="n">
        <f aca="false">Z97+Z96</f>
        <v>189920.661079184</v>
      </c>
      <c r="AA98" s="55" t="n">
        <f aca="false">AA97+AA96</f>
        <v>140114.464718677</v>
      </c>
      <c r="AB98" s="55" t="n">
        <f aca="false">AB97+AB96</f>
        <v>131554.538556901</v>
      </c>
      <c r="AC98" s="55" t="n">
        <f aca="false">AC97+AC96</f>
        <v>140551.228887245</v>
      </c>
      <c r="AD98" s="55" t="n">
        <f aca="false">AD97+AD96</f>
        <v>150703.128359764</v>
      </c>
      <c r="AE98" s="55" t="n">
        <f aca="false">AE97+AE96</f>
        <v>162256.695497341</v>
      </c>
      <c r="AF98" s="55" t="n">
        <f aca="false">AF97+AF96</f>
        <v>175162.946926706</v>
      </c>
      <c r="AG98" s="55" t="n">
        <f aca="false">AG97+AG96</f>
        <v>189374.858609522</v>
      </c>
      <c r="AH98" s="55" t="n">
        <f aca="false">AH97+AH96</f>
        <v>204847.287468984</v>
      </c>
      <c r="AI98" s="55" t="n">
        <f aca="false">AI97+AI96</f>
        <v>221536.896151359</v>
      </c>
      <c r="AJ98" s="55" t="n">
        <f aca="false">AJ97+AJ96</f>
        <v>239402.080797064</v>
      </c>
      <c r="AK98" s="55" t="n">
        <f aca="false">AK97+AK96</f>
        <v>258402.901700899</v>
      </c>
      <c r="AL98" s="55" t="n">
        <f aca="false">AL97+AL96</f>
        <v>262436.516461964</v>
      </c>
    </row>
    <row r="99" customFormat="false" ht="15" hidden="false" customHeight="false" outlineLevel="0" collapsed="false">
      <c r="A99" s="102" t="s">
        <v>404</v>
      </c>
      <c r="C99" s="104" t="n">
        <f aca="false">IF(C55&gt;0,1,0)</f>
        <v>0</v>
      </c>
      <c r="D99" s="104" t="n">
        <f aca="false">IF(D55&gt;0,1,0)</f>
        <v>0</v>
      </c>
      <c r="E99" s="104" t="n">
        <f aca="false">IF(E55&gt;0,1,0)</f>
        <v>0</v>
      </c>
      <c r="F99" s="104" t="n">
        <f aca="false">IF(F55&gt;0,1,0)</f>
        <v>0</v>
      </c>
      <c r="G99" s="104" t="n">
        <f aca="false">IF(G55&gt;0,1,0)</f>
        <v>0</v>
      </c>
      <c r="H99" s="104" t="n">
        <f aca="false">IF(H55&gt;0,1,0)</f>
        <v>0</v>
      </c>
      <c r="I99" s="104" t="n">
        <f aca="false">IF(I55&gt;0,1,0)</f>
        <v>0</v>
      </c>
      <c r="J99" s="104" t="n">
        <f aca="false">IF(J55&gt;0,1,0)</f>
        <v>1</v>
      </c>
      <c r="K99" s="104" t="n">
        <f aca="false">IF(K55&gt;0,1,0)</f>
        <v>1</v>
      </c>
      <c r="L99" s="104" t="n">
        <f aca="false">IF(L55&gt;0,1,0)</f>
        <v>1</v>
      </c>
      <c r="M99" s="104" t="n">
        <f aca="false">IF(M55&gt;0,1,0)</f>
        <v>1</v>
      </c>
      <c r="N99" s="104" t="n">
        <f aca="false">IF(N55&gt;0,1,0)</f>
        <v>1</v>
      </c>
      <c r="O99" s="104" t="n">
        <f aca="false">IF(O55&gt;0,1,0)</f>
        <v>1</v>
      </c>
      <c r="P99" s="104" t="n">
        <f aca="false">IF(P55&gt;0,1,0)</f>
        <v>1</v>
      </c>
      <c r="Q99" s="104" t="n">
        <f aca="false">IF(Q55&gt;0,1,0)</f>
        <v>1</v>
      </c>
      <c r="R99" s="104" t="n">
        <f aca="false">IF(R55&gt;0,1,0)</f>
        <v>1</v>
      </c>
      <c r="S99" s="104" t="n">
        <f aca="false">IF(S55&gt;0,1,0)</f>
        <v>1</v>
      </c>
      <c r="T99" s="104" t="n">
        <f aca="false">IF(T55&gt;0,1,0)</f>
        <v>1</v>
      </c>
      <c r="U99" s="104" t="n">
        <f aca="false">IF(U55&gt;0,1,0)</f>
        <v>1</v>
      </c>
      <c r="V99" s="104" t="n">
        <f aca="false">IF(V55&gt;0,1,0)</f>
        <v>1</v>
      </c>
      <c r="W99" s="104" t="n">
        <f aca="false">IF(W55&gt;0,1,0)</f>
        <v>1</v>
      </c>
      <c r="X99" s="104" t="n">
        <f aca="false">IF(X55&gt;0,1,0)</f>
        <v>1</v>
      </c>
      <c r="Y99" s="104" t="n">
        <f aca="false">IF(Y55&gt;0,1,0)</f>
        <v>1</v>
      </c>
      <c r="Z99" s="104" t="n">
        <f aca="false">IF(Z55&gt;0,1,0)</f>
        <v>1</v>
      </c>
      <c r="AA99" s="104" t="n">
        <f aca="false">IF(AA55&gt;0,1,0)</f>
        <v>1</v>
      </c>
      <c r="AB99" s="104" t="n">
        <f aca="false">IF(AB55&gt;0,1,0)</f>
        <v>1</v>
      </c>
      <c r="AC99" s="104" t="n">
        <f aca="false">IF(AC55&gt;0,1,0)</f>
        <v>1</v>
      </c>
      <c r="AD99" s="104" t="n">
        <f aca="false">IF(AD55&gt;0,1,0)</f>
        <v>1</v>
      </c>
      <c r="AE99" s="104" t="n">
        <f aca="false">IF(AE55&gt;0,1,0)</f>
        <v>1</v>
      </c>
      <c r="AF99" s="104" t="n">
        <f aca="false">IF(AF55&gt;0,1,0)</f>
        <v>1</v>
      </c>
      <c r="AG99" s="104" t="n">
        <f aca="false">IF(AG55&gt;0,1,0)</f>
        <v>1</v>
      </c>
      <c r="AH99" s="104" t="n">
        <f aca="false">IF(AH55&gt;0,1,0)</f>
        <v>1</v>
      </c>
      <c r="AI99" s="104" t="n">
        <f aca="false">IF(AI55&gt;0,1,0)</f>
        <v>1</v>
      </c>
      <c r="AJ99" s="104" t="n">
        <f aca="false">IF(AJ55&gt;0,1,0)</f>
        <v>1</v>
      </c>
      <c r="AK99" s="104" t="n">
        <f aca="false">IF(AK55&gt;0,1,0)</f>
        <v>1</v>
      </c>
      <c r="AL99" s="104" t="n">
        <f aca="false">IF(AL55&gt;0,1,0)</f>
        <v>1</v>
      </c>
    </row>
    <row r="101" customFormat="false" ht="15.75" hidden="false" customHeight="true" outlineLevel="0" collapsed="false">
      <c r="A101" s="7" t="s">
        <v>405</v>
      </c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</row>
    <row r="102" customFormat="false" ht="15" hidden="false" customHeight="false" outlineLevel="0" collapsed="false">
      <c r="A102" s="102" t="s">
        <v>406</v>
      </c>
      <c r="C102" s="104" t="n">
        <f aca="false">IF(C64&gt;0,1,0)</f>
        <v>0</v>
      </c>
      <c r="D102" s="104" t="n">
        <f aca="false">IF(D64&gt;0,1,0)</f>
        <v>0</v>
      </c>
      <c r="E102" s="104" t="n">
        <f aca="false">IF(E64&gt;0,1,0)</f>
        <v>0</v>
      </c>
      <c r="F102" s="104" t="n">
        <f aca="false">IF(F64&gt;0,1,0)</f>
        <v>0</v>
      </c>
      <c r="G102" s="104" t="n">
        <f aca="false">IF(G64&gt;0,1,0)</f>
        <v>0</v>
      </c>
      <c r="H102" s="104" t="n">
        <f aca="false">IF(H64&gt;0,1,0)</f>
        <v>0</v>
      </c>
      <c r="I102" s="104" t="n">
        <f aca="false">IF(I64&gt;0,1,0)</f>
        <v>0</v>
      </c>
      <c r="J102" s="104" t="n">
        <f aca="false">IF(J64&gt;0,1,0)</f>
        <v>0</v>
      </c>
      <c r="K102" s="104" t="n">
        <f aca="false">IF(K64&gt;0,1,0)</f>
        <v>0</v>
      </c>
      <c r="L102" s="104" t="n">
        <f aca="false">IF(L64&gt;0,1,0)</f>
        <v>0</v>
      </c>
      <c r="M102" s="104" t="n">
        <f aca="false">IF(M64&gt;0,1,0)</f>
        <v>0</v>
      </c>
      <c r="N102" s="104" t="n">
        <f aca="false">IF(N64&gt;0,1,0)</f>
        <v>0</v>
      </c>
      <c r="O102" s="104" t="n">
        <f aca="false">IF(O64&gt;0,1,0)</f>
        <v>0</v>
      </c>
      <c r="P102" s="104" t="n">
        <f aca="false">IF(P64&gt;0,1,0)</f>
        <v>0</v>
      </c>
      <c r="Q102" s="104" t="n">
        <f aca="false">IF(Q64&gt;0,1,0)</f>
        <v>0</v>
      </c>
      <c r="R102" s="104" t="n">
        <f aca="false">IF(R64&gt;0,1,0)</f>
        <v>0</v>
      </c>
      <c r="S102" s="104" t="n">
        <f aca="false">IF(S64&gt;0,1,0)</f>
        <v>0</v>
      </c>
      <c r="T102" s="104" t="n">
        <f aca="false">IF(T64&gt;0,1,0)</f>
        <v>0</v>
      </c>
      <c r="U102" s="104" t="n">
        <f aca="false">IF(U64&gt;0,1,0)</f>
        <v>0</v>
      </c>
      <c r="V102" s="104" t="n">
        <f aca="false">IF(V64&gt;0,1,0)</f>
        <v>0</v>
      </c>
      <c r="W102" s="104" t="n">
        <f aca="false">IF(W64&gt;0,1,0)</f>
        <v>0</v>
      </c>
      <c r="X102" s="104" t="n">
        <f aca="false">IF(X64&gt;0,1,0)</f>
        <v>0</v>
      </c>
      <c r="Y102" s="104" t="n">
        <f aca="false">IF(Y64&gt;0,1,0)</f>
        <v>0</v>
      </c>
      <c r="Z102" s="104" t="n">
        <f aca="false">IF(Z64&gt;0,1,0)</f>
        <v>0</v>
      </c>
      <c r="AA102" s="104" t="n">
        <f aca="false">IF(AA64&gt;0,1,0)</f>
        <v>0</v>
      </c>
      <c r="AB102" s="104" t="n">
        <f aca="false">IF(AB64&gt;0,1,0)</f>
        <v>0</v>
      </c>
      <c r="AC102" s="104" t="n">
        <f aca="false">IF(AC64&gt;0,1,0)</f>
        <v>1</v>
      </c>
      <c r="AD102" s="104" t="n">
        <f aca="false">IF(AD64&gt;0,1,0)</f>
        <v>1</v>
      </c>
      <c r="AE102" s="104" t="n">
        <f aca="false">IF(AE64&gt;0,1,0)</f>
        <v>1</v>
      </c>
      <c r="AF102" s="104" t="n">
        <f aca="false">IF(AF64&gt;0,1,0)</f>
        <v>1</v>
      </c>
      <c r="AG102" s="104" t="n">
        <f aca="false">IF(AG64&gt;0,1,0)</f>
        <v>1</v>
      </c>
      <c r="AH102" s="104" t="n">
        <f aca="false">IF(AH64&gt;0,1,0)</f>
        <v>1</v>
      </c>
      <c r="AI102" s="104" t="n">
        <f aca="false">IF(AI64&gt;0,1,0)</f>
        <v>1</v>
      </c>
      <c r="AJ102" s="104" t="n">
        <f aca="false">IF(AJ64&gt;0,1,0)</f>
        <v>1</v>
      </c>
      <c r="AK102" s="104" t="n">
        <f aca="false">IF(AK64&gt;0,1,0)</f>
        <v>1</v>
      </c>
      <c r="AL102" s="104" t="n">
        <f aca="false">IF(AL64&gt;0,1,0)</f>
        <v>1</v>
      </c>
    </row>
    <row r="103" customFormat="false" ht="15" hidden="false" customHeight="false" outlineLevel="0" collapsed="false">
      <c r="A103" s="6" t="s">
        <v>407</v>
      </c>
      <c r="C103" s="54" t="n">
        <f aca="false">C92+C93</f>
        <v>-4174804.1630306</v>
      </c>
      <c r="D103" s="54" t="n">
        <f aca="false">D92+D93</f>
        <v>-68444.5087441057</v>
      </c>
      <c r="E103" s="54" t="n">
        <f aca="false">E92+E93</f>
        <v>-53080.977367098</v>
      </c>
      <c r="F103" s="54" t="n">
        <f aca="false">F92+F93</f>
        <v>-45827.3689705868</v>
      </c>
      <c r="G103" s="54" t="n">
        <f aca="false">G92+G93</f>
        <v>-38528.8683473374</v>
      </c>
      <c r="H103" s="54" t="n">
        <f aca="false">H92+H93</f>
        <v>-31107.7584114402</v>
      </c>
      <c r="I103" s="54" t="n">
        <f aca="false">I92+I93</f>
        <v>-23568.9435354011</v>
      </c>
      <c r="J103" s="54" t="n">
        <f aca="false">J92+J93</f>
        <v>-15917.1319168258</v>
      </c>
      <c r="K103" s="54" t="n">
        <f aca="false">K92+K93</f>
        <v>-8156.84342541571</v>
      </c>
      <c r="L103" s="54" t="n">
        <f aca="false">L92+L93</f>
        <v>-292.417136084256</v>
      </c>
      <c r="M103" s="54" t="n">
        <f aca="false">M92+M93</f>
        <v>2150.10605857762</v>
      </c>
      <c r="N103" s="54" t="n">
        <f aca="false">N92+N93</f>
        <v>-11978.9176271636</v>
      </c>
      <c r="O103" s="54" t="n">
        <f aca="false">O92+O93</f>
        <v>-48211.5822044092</v>
      </c>
      <c r="P103" s="54" t="n">
        <f aca="false">P92+P93</f>
        <v>-6271.67299746916</v>
      </c>
      <c r="Q103" s="54" t="n">
        <f aca="false">Q92+Q93</f>
        <v>12132.2244151499</v>
      </c>
      <c r="R103" s="54" t="n">
        <f aca="false">R92+R93</f>
        <v>14157.9465430291</v>
      </c>
      <c r="S103" s="54" t="n">
        <f aca="false">S92+S93</f>
        <v>16136.9132412779</v>
      </c>
      <c r="T103" s="54" t="n">
        <f aca="false">T92+T93</f>
        <v>18043.8046049301</v>
      </c>
      <c r="U103" s="54" t="n">
        <f aca="false">U92+U93</f>
        <v>19881.5036473696</v>
      </c>
      <c r="V103" s="54" t="n">
        <f aca="false">V92+V93</f>
        <v>21652.7780614448</v>
      </c>
      <c r="W103" s="54" t="n">
        <f aca="false">W92+W93</f>
        <v>23360.2848322903</v>
      </c>
      <c r="X103" s="54" t="n">
        <f aca="false">X92+X93</f>
        <v>25006.5746656354</v>
      </c>
      <c r="Y103" s="54" t="n">
        <f aca="false">Y92+Y93</f>
        <v>26594.0962389799</v>
      </c>
      <c r="Z103" s="54" t="n">
        <f aca="false">Z92+Z93</f>
        <v>11995.5824844361</v>
      </c>
      <c r="AA103" s="54" t="n">
        <f aca="false">AA92+AA93</f>
        <v>-24806.1963605067</v>
      </c>
      <c r="AB103" s="54" t="n">
        <f aca="false">AB92+AB93</f>
        <v>16440.073838224</v>
      </c>
      <c r="AC103" s="54" t="n">
        <f aca="false">AC92+AC93</f>
        <v>33996.6903303437</v>
      </c>
      <c r="AD103" s="54" t="n">
        <f aca="false">AD92+AD93</f>
        <v>35151.899472519</v>
      </c>
      <c r="AE103" s="54" t="n">
        <f aca="false">AE92+AE93</f>
        <v>36553.5671375767</v>
      </c>
      <c r="AF103" s="54" t="n">
        <f aca="false">AF92+AF93</f>
        <v>37906.2514293654</v>
      </c>
      <c r="AG103" s="54" t="n">
        <f aca="false">AG92+AG93</f>
        <v>39211.9116828159</v>
      </c>
      <c r="AH103" s="54" t="n">
        <f aca="false">AH92+AH93</f>
        <v>40472.4288594618</v>
      </c>
      <c r="AI103" s="54" t="n">
        <f aca="false">AI92+AI93</f>
        <v>41689.6086823751</v>
      </c>
      <c r="AJ103" s="54" t="n">
        <f aca="false">AJ92+AJ93</f>
        <v>42865.1846457052</v>
      </c>
      <c r="AK103" s="54" t="n">
        <f aca="false">AK92+AK93</f>
        <v>44000.8209038355</v>
      </c>
      <c r="AL103" s="54" t="n">
        <f aca="false">AL92+AL93</f>
        <v>29033.6147610641</v>
      </c>
    </row>
    <row r="104" customFormat="false" ht="15" hidden="false" customHeight="false" outlineLevel="0" collapsed="false">
      <c r="A104" s="6" t="s">
        <v>408</v>
      </c>
      <c r="C104" s="54" t="n">
        <f aca="false">C103</f>
        <v>-4174804.1630306</v>
      </c>
      <c r="D104" s="54" t="n">
        <f aca="false">C104+D103</f>
        <v>-4243248.67177471</v>
      </c>
      <c r="E104" s="54" t="n">
        <f aca="false">D104+E103</f>
        <v>-4296329.6491418</v>
      </c>
      <c r="F104" s="54" t="n">
        <f aca="false">E104+F103</f>
        <v>-4342157.01811239</v>
      </c>
      <c r="G104" s="54" t="n">
        <f aca="false">F104+G103</f>
        <v>-4380685.88645973</v>
      </c>
      <c r="H104" s="54" t="n">
        <f aca="false">G104+H103</f>
        <v>-4411793.64487117</v>
      </c>
      <c r="I104" s="54" t="n">
        <f aca="false">H104+I103</f>
        <v>-4435362.58840657</v>
      </c>
      <c r="J104" s="54" t="n">
        <f aca="false">I104+J103</f>
        <v>-4451279.7203234</v>
      </c>
      <c r="K104" s="54" t="n">
        <f aca="false">J104+K103</f>
        <v>-4459436.56374881</v>
      </c>
      <c r="L104" s="54" t="n">
        <f aca="false">K104+L103</f>
        <v>-4459728.9808849</v>
      </c>
      <c r="M104" s="54" t="n">
        <f aca="false">L104+M103</f>
        <v>-4457578.87482632</v>
      </c>
      <c r="N104" s="54" t="n">
        <f aca="false">M104+N103</f>
        <v>-4469557.79245348</v>
      </c>
      <c r="O104" s="54" t="n">
        <f aca="false">N104+O103</f>
        <v>-4517769.37465789</v>
      </c>
      <c r="P104" s="54" t="n">
        <f aca="false">O104+P103</f>
        <v>-4524041.04765536</v>
      </c>
      <c r="Q104" s="54" t="n">
        <f aca="false">P104+Q103</f>
        <v>-4511908.82324021</v>
      </c>
      <c r="R104" s="54" t="n">
        <f aca="false">Q104+R103</f>
        <v>-4497750.87669718</v>
      </c>
      <c r="S104" s="54" t="n">
        <f aca="false">R104+S103</f>
        <v>-4481613.9634559</v>
      </c>
      <c r="T104" s="54" t="n">
        <f aca="false">S104+T103</f>
        <v>-4463570.15885097</v>
      </c>
      <c r="U104" s="54" t="n">
        <f aca="false">T104+U103</f>
        <v>-4443688.6552036</v>
      </c>
      <c r="V104" s="54" t="n">
        <f aca="false">U104+V103</f>
        <v>-4422035.87714216</v>
      </c>
      <c r="W104" s="54" t="n">
        <f aca="false">V104+W103</f>
        <v>-4398675.59230987</v>
      </c>
      <c r="X104" s="54" t="n">
        <f aca="false">W104+X103</f>
        <v>-4373669.01764423</v>
      </c>
      <c r="Y104" s="54" t="n">
        <f aca="false">X104+Y103</f>
        <v>-4347074.92140525</v>
      </c>
      <c r="Z104" s="54" t="n">
        <f aca="false">Y104+Z103</f>
        <v>-4335079.33892082</v>
      </c>
      <c r="AA104" s="54" t="n">
        <f aca="false">Z104+AA103</f>
        <v>-4359885.53528132</v>
      </c>
      <c r="AB104" s="54" t="n">
        <f aca="false">AA104+AB103</f>
        <v>-4343445.4614431</v>
      </c>
      <c r="AC104" s="54" t="n">
        <f aca="false">AB104+AC103</f>
        <v>-4309448.77111276</v>
      </c>
      <c r="AD104" s="54" t="n">
        <f aca="false">AC104+AD103</f>
        <v>-4274296.87164024</v>
      </c>
      <c r="AE104" s="54" t="n">
        <f aca="false">AD104+AE103</f>
        <v>-4237743.30450266</v>
      </c>
      <c r="AF104" s="54" t="n">
        <f aca="false">AE104+AF103</f>
        <v>-4199837.05307329</v>
      </c>
      <c r="AG104" s="54" t="n">
        <f aca="false">AF104+AG103</f>
        <v>-4160625.14139048</v>
      </c>
      <c r="AH104" s="54" t="n">
        <f aca="false">AG104+AH103</f>
        <v>-4120152.71253102</v>
      </c>
      <c r="AI104" s="54" t="n">
        <f aca="false">AH104+AI103</f>
        <v>-4078463.10384864</v>
      </c>
      <c r="AJ104" s="54" t="n">
        <f aca="false">AI104+AJ103</f>
        <v>-4035597.91920294</v>
      </c>
      <c r="AK104" s="54" t="n">
        <f aca="false">AJ104+AK103</f>
        <v>-3991597.0982991</v>
      </c>
      <c r="AL104" s="54" t="n">
        <f aca="false">AK104+AL103</f>
        <v>-3962563.48353804</v>
      </c>
    </row>
    <row r="105" customFormat="false" ht="15" hidden="false" customHeight="false" outlineLevel="0" collapsed="false">
      <c r="A105" s="102" t="s">
        <v>409</v>
      </c>
      <c r="C105" s="54" t="n">
        <f aca="false">C104</f>
        <v>-4174804.1630306</v>
      </c>
      <c r="D105" s="54" t="n">
        <f aca="false">MIN(C105,D104)</f>
        <v>-4243248.67177471</v>
      </c>
      <c r="E105" s="54" t="n">
        <f aca="false">MIN(D105,E104)</f>
        <v>-4296329.6491418</v>
      </c>
      <c r="F105" s="54" t="n">
        <f aca="false">MIN(E105,F104)</f>
        <v>-4342157.01811239</v>
      </c>
      <c r="G105" s="54" t="n">
        <f aca="false">MIN(F105,G104)</f>
        <v>-4380685.88645973</v>
      </c>
      <c r="H105" s="54" t="n">
        <f aca="false">MIN(G105,H104)</f>
        <v>-4411793.64487117</v>
      </c>
      <c r="I105" s="54" t="n">
        <f aca="false">MIN(H105,I104)</f>
        <v>-4435362.58840657</v>
      </c>
      <c r="J105" s="54" t="n">
        <f aca="false">MIN(I105,J104)</f>
        <v>-4451279.7203234</v>
      </c>
      <c r="K105" s="54" t="n">
        <f aca="false">MIN(J105,K104)</f>
        <v>-4459436.56374881</v>
      </c>
      <c r="L105" s="54" t="n">
        <f aca="false">MIN(K105,L104)</f>
        <v>-4459728.9808849</v>
      </c>
      <c r="M105" s="54" t="n">
        <f aca="false">MIN(L105,M104)</f>
        <v>-4459728.9808849</v>
      </c>
      <c r="N105" s="54" t="n">
        <f aca="false">MIN(M105,N104)</f>
        <v>-4469557.79245348</v>
      </c>
      <c r="O105" s="54" t="n">
        <f aca="false">MIN(N105,O104)</f>
        <v>-4517769.37465789</v>
      </c>
      <c r="P105" s="54" t="n">
        <f aca="false">MIN(O105,P104)</f>
        <v>-4524041.04765536</v>
      </c>
      <c r="Q105" s="54" t="n">
        <f aca="false">MIN(P105,Q104)</f>
        <v>-4524041.04765536</v>
      </c>
      <c r="R105" s="54" t="n">
        <f aca="false">MIN(Q105,R104)</f>
        <v>-4524041.04765536</v>
      </c>
      <c r="S105" s="54" t="n">
        <f aca="false">MIN(R105,S104)</f>
        <v>-4524041.04765536</v>
      </c>
      <c r="T105" s="54" t="n">
        <f aca="false">MIN(S105,T104)</f>
        <v>-4524041.04765536</v>
      </c>
      <c r="U105" s="54" t="n">
        <f aca="false">MIN(T105,U104)</f>
        <v>-4524041.04765536</v>
      </c>
      <c r="V105" s="54" t="n">
        <f aca="false">MIN(U105,V104)</f>
        <v>-4524041.04765536</v>
      </c>
      <c r="W105" s="54" t="n">
        <f aca="false">MIN(V105,W104)</f>
        <v>-4524041.04765536</v>
      </c>
      <c r="X105" s="54" t="n">
        <f aca="false">MIN(W105,X104)</f>
        <v>-4524041.04765536</v>
      </c>
      <c r="Y105" s="54" t="n">
        <f aca="false">MIN(X105,Y104)</f>
        <v>-4524041.04765536</v>
      </c>
      <c r="Z105" s="54" t="n">
        <f aca="false">MIN(Y105,Z104)</f>
        <v>-4524041.04765536</v>
      </c>
      <c r="AA105" s="54" t="n">
        <f aca="false">MIN(Z105,AA104)</f>
        <v>-4524041.04765536</v>
      </c>
      <c r="AB105" s="54" t="n">
        <f aca="false">MIN(AA105,AB104)</f>
        <v>-4524041.04765536</v>
      </c>
      <c r="AC105" s="54" t="n">
        <f aca="false">MIN(AB105,AC104)</f>
        <v>-4524041.04765536</v>
      </c>
      <c r="AD105" s="54" t="n">
        <f aca="false">MIN(AC105,AD104)</f>
        <v>-4524041.04765536</v>
      </c>
      <c r="AE105" s="54" t="n">
        <f aca="false">MIN(AD105,AE104)</f>
        <v>-4524041.04765536</v>
      </c>
      <c r="AF105" s="54" t="n">
        <f aca="false">MIN(AE105,AF104)</f>
        <v>-4524041.04765536</v>
      </c>
      <c r="AG105" s="54" t="n">
        <f aca="false">MIN(AF105,AG104)</f>
        <v>-4524041.04765536</v>
      </c>
      <c r="AH105" s="54" t="n">
        <f aca="false">MIN(AG105,AH104)</f>
        <v>-4524041.04765536</v>
      </c>
      <c r="AI105" s="54" t="n">
        <f aca="false">MIN(AH105,AI104)</f>
        <v>-4524041.04765536</v>
      </c>
      <c r="AJ105" s="54" t="n">
        <f aca="false">MIN(AI105,AJ104)</f>
        <v>-4524041.04765536</v>
      </c>
      <c r="AK105" s="54" t="n">
        <f aca="false">MIN(AJ105,AK104)</f>
        <v>-4524041.04765536</v>
      </c>
      <c r="AL105" s="54" t="n">
        <f aca="false">MIN(AK105,AL104)</f>
        <v>-4524041.04765536</v>
      </c>
    </row>
    <row r="106" customFormat="false" ht="15" hidden="false" customHeight="false" outlineLevel="0" collapsed="false">
      <c r="A106" s="102" t="s">
        <v>410</v>
      </c>
      <c r="C106" s="104" t="n">
        <f aca="false">IF(AND(C104&gt;=0,C105&lt;0),1,0)</f>
        <v>0</v>
      </c>
      <c r="D106" s="104" t="n">
        <f aca="false">IF(AND(D104&gt;=0,D105&lt;0),1,0)</f>
        <v>0</v>
      </c>
      <c r="E106" s="104" t="n">
        <f aca="false">IF(AND(E104&gt;=0,E105&lt;0),1,0)</f>
        <v>0</v>
      </c>
      <c r="F106" s="104" t="n">
        <f aca="false">IF(AND(F104&gt;=0,F105&lt;0),1,0)</f>
        <v>0</v>
      </c>
      <c r="G106" s="104" t="n">
        <f aca="false">IF(AND(G104&gt;=0,G105&lt;0),1,0)</f>
        <v>0</v>
      </c>
      <c r="H106" s="104" t="n">
        <f aca="false">IF(AND(H104&gt;=0,H105&lt;0),1,0)</f>
        <v>0</v>
      </c>
      <c r="I106" s="104" t="n">
        <f aca="false">IF(AND(I104&gt;=0,I105&lt;0),1,0)</f>
        <v>0</v>
      </c>
      <c r="J106" s="104" t="n">
        <f aca="false">IF(AND(J104&gt;=0,J105&lt;0),1,0)</f>
        <v>0</v>
      </c>
      <c r="K106" s="104" t="n">
        <f aca="false">IF(AND(K104&gt;=0,K105&lt;0),1,0)</f>
        <v>0</v>
      </c>
      <c r="L106" s="104" t="n">
        <f aca="false">IF(AND(L104&gt;=0,L105&lt;0),1,0)</f>
        <v>0</v>
      </c>
      <c r="M106" s="104" t="n">
        <f aca="false">IF(AND(M104&gt;=0,M105&lt;0),1,0)</f>
        <v>0</v>
      </c>
      <c r="N106" s="104" t="n">
        <f aca="false">IF(AND(N104&gt;=0,N105&lt;0),1,0)</f>
        <v>0</v>
      </c>
      <c r="O106" s="104" t="n">
        <f aca="false">IF(AND(O104&gt;=0,O105&lt;0),1,0)</f>
        <v>0</v>
      </c>
      <c r="P106" s="104" t="n">
        <f aca="false">IF(AND(P104&gt;=0,P105&lt;0),1,0)</f>
        <v>0</v>
      </c>
      <c r="Q106" s="104" t="n">
        <f aca="false">IF(AND(Q104&gt;=0,Q105&lt;0),1,0)</f>
        <v>0</v>
      </c>
      <c r="R106" s="104" t="n">
        <f aca="false">IF(AND(R104&gt;=0,R105&lt;0),1,0)</f>
        <v>0</v>
      </c>
      <c r="S106" s="104" t="n">
        <f aca="false">IF(AND(S104&gt;=0,S105&lt;0),1,0)</f>
        <v>0</v>
      </c>
      <c r="T106" s="104" t="n">
        <f aca="false">IF(AND(T104&gt;=0,T105&lt;0),1,0)</f>
        <v>0</v>
      </c>
      <c r="U106" s="104" t="n">
        <f aca="false">IF(AND(U104&gt;=0,U105&lt;0),1,0)</f>
        <v>0</v>
      </c>
      <c r="V106" s="104" t="n">
        <f aca="false">IF(AND(V104&gt;=0,V105&lt;0),1,0)</f>
        <v>0</v>
      </c>
      <c r="W106" s="104" t="n">
        <f aca="false">IF(AND(W104&gt;=0,W105&lt;0),1,0)</f>
        <v>0</v>
      </c>
      <c r="X106" s="104" t="n">
        <f aca="false">IF(AND(X104&gt;=0,X105&lt;0),1,0)</f>
        <v>0</v>
      </c>
      <c r="Y106" s="104" t="n">
        <f aca="false">IF(AND(Y104&gt;=0,Y105&lt;0),1,0)</f>
        <v>0</v>
      </c>
      <c r="Z106" s="104" t="n">
        <f aca="false">IF(AND(Z104&gt;=0,Z105&lt;0),1,0)</f>
        <v>0</v>
      </c>
      <c r="AA106" s="104" t="n">
        <f aca="false">IF(AND(AA104&gt;=0,AA105&lt;0),1,0)</f>
        <v>0</v>
      </c>
      <c r="AB106" s="104" t="n">
        <f aca="false">IF(AND(AB104&gt;=0,AB105&lt;0),1,0)</f>
        <v>0</v>
      </c>
      <c r="AC106" s="104" t="n">
        <f aca="false">IF(AND(AC104&gt;=0,AC105&lt;0),1,0)</f>
        <v>0</v>
      </c>
      <c r="AD106" s="104" t="n">
        <f aca="false">IF(AND(AD104&gt;=0,AD105&lt;0),1,0)</f>
        <v>0</v>
      </c>
      <c r="AE106" s="104" t="n">
        <f aca="false">IF(AND(AE104&gt;=0,AE105&lt;0),1,0)</f>
        <v>0</v>
      </c>
      <c r="AF106" s="104" t="n">
        <f aca="false">IF(AND(AF104&gt;=0,AF105&lt;0),1,0)</f>
        <v>0</v>
      </c>
      <c r="AG106" s="104" t="n">
        <f aca="false">IF(AND(AG104&gt;=0,AG105&lt;0),1,0)</f>
        <v>0</v>
      </c>
      <c r="AH106" s="104" t="n">
        <f aca="false">IF(AND(AH104&gt;=0,AH105&lt;0),1,0)</f>
        <v>0</v>
      </c>
      <c r="AI106" s="104" t="n">
        <f aca="false">IF(AND(AI104&gt;=0,AI105&lt;0),1,0)</f>
        <v>0</v>
      </c>
      <c r="AJ106" s="104" t="n">
        <f aca="false">IF(AND(AJ104&gt;=0,AJ105&lt;0),1,0)</f>
        <v>0</v>
      </c>
      <c r="AK106" s="104" t="n">
        <f aca="false">IF(AND(AK104&gt;=0,AK105&lt;0),1,0)</f>
        <v>0</v>
      </c>
      <c r="AL106" s="104" t="n">
        <f aca="false">IF(AND(AL104&gt;=0,AL105&lt;0),1,0)</f>
        <v>0</v>
      </c>
    </row>
    <row r="107" customFormat="false" ht="15" hidden="false" customHeight="false" outlineLevel="0" collapsed="false">
      <c r="A107" s="6" t="s">
        <v>411</v>
      </c>
      <c r="C107" s="54" t="n">
        <f aca="false">C92-C59*(1-Inputs!$E$79)+C93</f>
        <v>-4158016.6630306</v>
      </c>
      <c r="D107" s="54" t="n">
        <f aca="false">D92-D59*(1-Inputs!$E$79)+D93</f>
        <v>-51726.9566607723</v>
      </c>
      <c r="E107" s="54" t="n">
        <f aca="false">E92-E59*(1-Inputs!$E$79)+E93</f>
        <v>-36503.321117098</v>
      </c>
      <c r="F107" s="54" t="n">
        <f aca="false">F92-F59*(1-Inputs!$E$79)+F93</f>
        <v>-29389.6085539201</v>
      </c>
      <c r="G107" s="54" t="n">
        <f aca="false">G92-G59*(1-Inputs!$E$79)+G93</f>
        <v>-22231.0037640041</v>
      </c>
      <c r="H107" s="54" t="n">
        <f aca="false">H92-H59*(1-Inputs!$E$79)+H93</f>
        <v>-14949.7896614402</v>
      </c>
      <c r="I107" s="54" t="n">
        <f aca="false">I92-I59*(1-Inputs!$E$79)+I93</f>
        <v>-7550.87061873443</v>
      </c>
      <c r="J107" s="54" t="n">
        <f aca="false">J92-J59*(1-Inputs!$E$79)+J93</f>
        <v>-38.9548334924384</v>
      </c>
      <c r="K107" s="54" t="n">
        <f aca="false">K92-K59*(1-Inputs!$E$79)+K93</f>
        <v>7581.4378245843</v>
      </c>
      <c r="L107" s="54" t="n">
        <f aca="false">L92-L59*(1-Inputs!$E$79)+L93</f>
        <v>15305.9682805824</v>
      </c>
      <c r="M107" s="54" t="n">
        <f aca="false">M92-M59*(1-Inputs!$E$79)+M93</f>
        <v>17608.595641911</v>
      </c>
      <c r="N107" s="54" t="n">
        <f aca="false">N92-N59*(1-Inputs!$E$79)+N93</f>
        <v>3339.67612283636</v>
      </c>
      <c r="O107" s="54" t="n">
        <f aca="false">O92-O59*(1-Inputs!$E$79)+O93</f>
        <v>-33032.8842877425</v>
      </c>
      <c r="P107" s="54" t="n">
        <f aca="false">P92-P59*(1-Inputs!$E$79)+P93</f>
        <v>8767.12908586418</v>
      </c>
      <c r="Q107" s="54" t="n">
        <f aca="false">Q92-Q59*(1-Inputs!$E$79)+Q93</f>
        <v>27031.1306651499</v>
      </c>
      <c r="R107" s="54" t="n">
        <f aca="false">R92-R59*(1-Inputs!$E$79)+R93</f>
        <v>28916.9569596957</v>
      </c>
      <c r="S107" s="54" t="n">
        <f aca="false">S92-S59*(1-Inputs!$E$79)+S93</f>
        <v>30756.0278246112</v>
      </c>
      <c r="T107" s="54" t="n">
        <f aca="false">T92-T59*(1-Inputs!$E$79)+T93</f>
        <v>32523.0233549301</v>
      </c>
      <c r="U107" s="54" t="n">
        <f aca="false">U92-U59*(1-Inputs!$E$79)+U93</f>
        <v>34220.8265640362</v>
      </c>
      <c r="V107" s="54" t="n">
        <f aca="false">V92-V59*(1-Inputs!$E$79)+V93</f>
        <v>35852.2051447781</v>
      </c>
      <c r="W107" s="54" t="n">
        <f aca="false">W92-W59*(1-Inputs!$E$79)+W93</f>
        <v>37419.8160822903</v>
      </c>
      <c r="X107" s="54" t="n">
        <f aca="false">X92-X59*(1-Inputs!$E$79)+X93</f>
        <v>38926.2100823021</v>
      </c>
      <c r="Y107" s="54" t="n">
        <f aca="false">Y92-Y59*(1-Inputs!$E$79)+Y93</f>
        <v>40373.8358223133</v>
      </c>
      <c r="Z107" s="54" t="n">
        <f aca="false">Z92-Z59*(1-Inputs!$E$79)+Z93</f>
        <v>25635.4262344361</v>
      </c>
      <c r="AA107" s="54" t="n">
        <f aca="false">AA92-AA59*(1-Inputs!$E$79)+AA93</f>
        <v>-11306.24844384</v>
      </c>
      <c r="AB107" s="54" t="n">
        <f aca="false">AB92-AB59*(1-Inputs!$E$79)+AB93</f>
        <v>29800.1259215574</v>
      </c>
      <c r="AC107" s="54" t="n">
        <f aca="false">AC92-AC59*(1-Inputs!$E$79)+AC93</f>
        <v>47216.8465803437</v>
      </c>
      <c r="AD107" s="54" t="n">
        <f aca="false">AD92-AD59*(1-Inputs!$E$79)+AD93</f>
        <v>48232.1598891856</v>
      </c>
      <c r="AE107" s="54" t="n">
        <f aca="false">AE92-AE59*(1-Inputs!$E$79)+AE93</f>
        <v>49493.93172091</v>
      </c>
      <c r="AF107" s="54" t="n">
        <f aca="false">AF92-AF59*(1-Inputs!$E$79)+AF93</f>
        <v>50706.7201793654</v>
      </c>
      <c r="AG107" s="54" t="n">
        <f aca="false">AG92-AG59*(1-Inputs!$E$79)+AG93</f>
        <v>51872.4845994826</v>
      </c>
      <c r="AH107" s="54" t="n">
        <f aca="false">AH92-AH59*(1-Inputs!$E$79)+AH93</f>
        <v>52993.1059427951</v>
      </c>
      <c r="AI107" s="54" t="n">
        <f aca="false">AI92-AI59*(1-Inputs!$E$79)+AI93</f>
        <v>54070.3899323751</v>
      </c>
      <c r="AJ107" s="54" t="n">
        <f aca="false">AJ92-AJ59*(1-Inputs!$E$79)+AJ93</f>
        <v>55106.0700623719</v>
      </c>
      <c r="AK107" s="54" t="n">
        <f aca="false">AK92-AK59*(1-Inputs!$E$79)+AK93</f>
        <v>56101.8104871688</v>
      </c>
      <c r="AL107" s="54" t="n">
        <f aca="false">AL92-AL59*(1-Inputs!$E$79)+AL93</f>
        <v>40994.7085110641</v>
      </c>
    </row>
    <row r="109" customFormat="false" ht="15.75" hidden="false" customHeight="true" outlineLevel="0" collapsed="false">
      <c r="A109" s="7" t="s">
        <v>412</v>
      </c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</row>
    <row r="110" customFormat="false" ht="15" hidden="false" customHeight="false" outlineLevel="0" collapsed="false">
      <c r="A110" s="6" t="s">
        <v>95</v>
      </c>
      <c r="C110" s="54" t="n">
        <f aca="false">C94</f>
        <v>2100000</v>
      </c>
      <c r="D110" s="54" t="n">
        <f aca="false">C110+D94</f>
        <v>2100000</v>
      </c>
      <c r="E110" s="54" t="n">
        <f aca="false">D110+E94</f>
        <v>2100000</v>
      </c>
      <c r="F110" s="54" t="n">
        <f aca="false">E110+F94</f>
        <v>2100000</v>
      </c>
      <c r="G110" s="54" t="n">
        <f aca="false">F110+G94</f>
        <v>2100000</v>
      </c>
      <c r="H110" s="54" t="n">
        <f aca="false">G110+H94</f>
        <v>2100000</v>
      </c>
      <c r="I110" s="54" t="n">
        <f aca="false">H110+I94</f>
        <v>2100000</v>
      </c>
      <c r="J110" s="54" t="n">
        <f aca="false">I110+J94</f>
        <v>2100000</v>
      </c>
      <c r="K110" s="54" t="n">
        <f aca="false">J110+K94</f>
        <v>2100000</v>
      </c>
      <c r="L110" s="54" t="n">
        <f aca="false">K110+L94</f>
        <v>2100000</v>
      </c>
      <c r="M110" s="54" t="n">
        <f aca="false">L110+M94</f>
        <v>2100000</v>
      </c>
      <c r="N110" s="54" t="n">
        <f aca="false">M110+N94</f>
        <v>2100000</v>
      </c>
      <c r="O110" s="54" t="n">
        <f aca="false">N110+O94</f>
        <v>2100000</v>
      </c>
      <c r="P110" s="54" t="n">
        <f aca="false">O110+P94</f>
        <v>2100000</v>
      </c>
      <c r="Q110" s="54" t="n">
        <f aca="false">P110+Q94</f>
        <v>2100000</v>
      </c>
      <c r="R110" s="54" t="n">
        <f aca="false">Q110+R94</f>
        <v>2100000</v>
      </c>
      <c r="S110" s="54" t="n">
        <f aca="false">R110+S94</f>
        <v>2100000</v>
      </c>
      <c r="T110" s="54" t="n">
        <f aca="false">S110+T94</f>
        <v>2100000</v>
      </c>
      <c r="U110" s="54" t="n">
        <f aca="false">T110+U94</f>
        <v>2100000</v>
      </c>
      <c r="V110" s="54" t="n">
        <f aca="false">U110+V94</f>
        <v>2100000</v>
      </c>
      <c r="W110" s="54" t="n">
        <f aca="false">V110+W94</f>
        <v>2100000</v>
      </c>
      <c r="X110" s="54" t="n">
        <f aca="false">W110+X94</f>
        <v>2100000</v>
      </c>
      <c r="Y110" s="54" t="n">
        <f aca="false">X110+Y94</f>
        <v>2100000</v>
      </c>
      <c r="Z110" s="54" t="n">
        <f aca="false">Y110+Z94</f>
        <v>2100000</v>
      </c>
      <c r="AA110" s="54" t="n">
        <f aca="false">Z110+AA94</f>
        <v>2100000</v>
      </c>
      <c r="AB110" s="54" t="n">
        <f aca="false">AA110+AB94</f>
        <v>2100000</v>
      </c>
      <c r="AC110" s="54" t="n">
        <f aca="false">AB110+AC94</f>
        <v>2100000</v>
      </c>
      <c r="AD110" s="54" t="n">
        <f aca="false">AC110+AD94</f>
        <v>2100000</v>
      </c>
      <c r="AE110" s="54" t="n">
        <f aca="false">AD110+AE94</f>
        <v>2100000</v>
      </c>
      <c r="AF110" s="54" t="n">
        <f aca="false">AE110+AF94</f>
        <v>2100000</v>
      </c>
      <c r="AG110" s="54" t="n">
        <f aca="false">AF110+AG94</f>
        <v>2100000</v>
      </c>
      <c r="AH110" s="54" t="n">
        <f aca="false">AG110+AH94</f>
        <v>2100000</v>
      </c>
      <c r="AI110" s="54" t="n">
        <f aca="false">AH110+AI94</f>
        <v>2100000</v>
      </c>
      <c r="AJ110" s="54" t="n">
        <f aca="false">AI110+AJ94</f>
        <v>2100000</v>
      </c>
      <c r="AK110" s="54" t="n">
        <f aca="false">AJ110+AK94</f>
        <v>2100000</v>
      </c>
      <c r="AL110" s="54" t="n">
        <f aca="false">AK110+AL94</f>
        <v>2100000</v>
      </c>
    </row>
    <row r="111" customFormat="false" ht="15" hidden="false" customHeight="false" outlineLevel="0" collapsed="false">
      <c r="A111" s="6" t="s">
        <v>96</v>
      </c>
      <c r="C111" s="54" t="n">
        <f aca="false">C64</f>
        <v>-102437.476634789</v>
      </c>
      <c r="D111" s="54" t="n">
        <f aca="false">C111+D64</f>
        <v>-199240.336761108</v>
      </c>
      <c r="E111" s="54" t="n">
        <f aca="false">D111+E64</f>
        <v>-280587.034107493</v>
      </c>
      <c r="F111" s="54" t="n">
        <f aca="false">E111+F64</f>
        <v>-354763.012705834</v>
      </c>
      <c r="G111" s="54" t="n">
        <f aca="false">F111+G64</f>
        <v>-421640.551968474</v>
      </c>
      <c r="H111" s="54" t="n">
        <f aca="false">G111+H64</f>
        <v>-481097.040131265</v>
      </c>
      <c r="I111" s="54" t="n">
        <f aca="false">H111+I64</f>
        <v>-533014.769900621</v>
      </c>
      <c r="J111" s="54" t="n">
        <f aca="false">I111+J64</f>
        <v>-577280.742274703</v>
      </c>
      <c r="K111" s="54" t="n">
        <f aca="false">J111+K64</f>
        <v>-613786.478211745</v>
      </c>
      <c r="L111" s="54" t="n">
        <f aca="false">K111+L64</f>
        <v>-642427.837831648</v>
      </c>
      <c r="M111" s="54" t="n">
        <f aca="false">L111+M64</f>
        <v>-668750.981431645</v>
      </c>
      <c r="N111" s="54" t="n">
        <f aca="false">M111+N64</f>
        <v>-709232.332270295</v>
      </c>
      <c r="O111" s="54" t="n">
        <f aca="false">N111+O64</f>
        <v>-746179.624477354</v>
      </c>
      <c r="P111" s="54" t="n">
        <f aca="false">O111+P64</f>
        <v>-781179.910305002</v>
      </c>
      <c r="Q111" s="54" t="n">
        <f aca="false">P111+Q64</f>
        <v>-797828.321012694</v>
      </c>
      <c r="R111" s="54" t="n">
        <f aca="false">Q111+R64</f>
        <v>-812422.594065442</v>
      </c>
      <c r="S111" s="54" t="n">
        <f aca="false">R111+S64</f>
        <v>-825037.811636111</v>
      </c>
      <c r="T111" s="54" t="n">
        <f aca="false">S111+T64</f>
        <v>-835746.052610649</v>
      </c>
      <c r="U111" s="54" t="n">
        <f aca="false">T111+U64</f>
        <v>-844616.512719569</v>
      </c>
      <c r="V111" s="54" t="n">
        <f aca="false">U111+V64</f>
        <v>-851715.619864162</v>
      </c>
      <c r="W111" s="54" t="n">
        <f aca="false">V111+W64</f>
        <v>-857107.144829668</v>
      </c>
      <c r="X111" s="54" t="n">
        <f aca="false">W111+X64</f>
        <v>-860852.307569918</v>
      </c>
      <c r="Y111" s="54" t="n">
        <f aca="false">X111+Y64</f>
        <v>-863009.879240587</v>
      </c>
      <c r="Z111" s="54" t="n">
        <f aca="false">Y111+Z64</f>
        <v>-879516.123808558</v>
      </c>
      <c r="AA111" s="54" t="n">
        <f aca="false">Z111+AA64</f>
        <v>-893353.113443053</v>
      </c>
      <c r="AB111" s="54" t="n">
        <f aca="false">AA111+AB64</f>
        <v>-905928.286590833</v>
      </c>
      <c r="AC111" s="54" t="n">
        <f aca="false">AB111+AC64</f>
        <v>-901259.37512903</v>
      </c>
      <c r="AD111" s="54" t="n">
        <f aca="false">AC111+AD64</f>
        <v>-895137.670926185</v>
      </c>
      <c r="AE111" s="54" t="n">
        <f aca="false">AD111+AE64</f>
        <v>-887614.202358606</v>
      </c>
      <c r="AF111" s="54" t="n">
        <f aca="false">AE111+AF64</f>
        <v>-878737.95666755</v>
      </c>
      <c r="AG111" s="54" t="n">
        <f aca="false">AF111+AG64</f>
        <v>-868555.961604622</v>
      </c>
      <c r="AH111" s="54" t="n">
        <f aca="false">AG111+AH64</f>
        <v>-857113.363811364</v>
      </c>
      <c r="AI111" s="54" t="n">
        <f aca="false">AH111+AI64</f>
        <v>-844453.504063656</v>
      </c>
      <c r="AJ111" s="54" t="n">
        <f aca="false">AI111+AJ64</f>
        <v>-830617.989506341</v>
      </c>
      <c r="AK111" s="54" t="n">
        <f aca="false">AJ111+AK64</f>
        <v>-815646.762998472</v>
      </c>
      <c r="AL111" s="54" t="n">
        <f aca="false">AK111+AL64</f>
        <v>-815194.045409802</v>
      </c>
    </row>
    <row r="112" customFormat="false" ht="15" hidden="false" customHeight="false" outlineLevel="0" collapsed="false">
      <c r="A112" s="4" t="s">
        <v>91</v>
      </c>
      <c r="C112" s="60" t="n">
        <f aca="false">C98+C84+C85+C75</f>
        <v>5003455.8114868</v>
      </c>
      <c r="D112" s="60" t="n">
        <f aca="false">D98+D84+D85+D75</f>
        <v>4882452.53724416</v>
      </c>
      <c r="E112" s="60" t="n">
        <f aca="false">E98+E84+E85+E75</f>
        <v>4778643.66193998</v>
      </c>
      <c r="F112" s="60" t="n">
        <f aca="false">F98+F84+F85+F75</f>
        <v>4680538.40136199</v>
      </c>
      <c r="G112" s="60" t="n">
        <f aca="false">G98+G84+G85+G75</f>
        <v>4589758.38009905</v>
      </c>
      <c r="H112" s="60" t="n">
        <f aca="false">H98+H84+H85+H75</f>
        <v>4506425.13791614</v>
      </c>
      <c r="I112" s="60" t="n">
        <f aca="false">I98+I84+I85+I75</f>
        <v>4430655.35298764</v>
      </c>
      <c r="J112" s="60" t="n">
        <f aca="false">J98+J84+J85+J75</f>
        <v>4362561.03636094</v>
      </c>
      <c r="K112" s="60" t="n">
        <f aca="false">K98+K84+K85+K75</f>
        <v>4302249.71864156</v>
      </c>
      <c r="L112" s="60" t="n">
        <f aca="false">L98+L84+L85+L75</f>
        <v>4249824.62921077</v>
      </c>
      <c r="M112" s="60" t="n">
        <f aca="false">M98+M84+M85+M75</f>
        <v>4198950.76565908</v>
      </c>
      <c r="N112" s="60" t="n">
        <f aca="false">N98+N84+N85+N75</f>
        <v>4130577.30529272</v>
      </c>
      <c r="O112" s="60" t="n">
        <f aca="false">O98+O84+O85+O75</f>
        <v>4069352.51373478</v>
      </c>
      <c r="P112" s="60" t="n">
        <f aca="false">P98+P84+P85+P75</f>
        <v>4009654.12696937</v>
      </c>
      <c r="Q112" s="60" t="n">
        <f aca="false">Q98+Q84+Q85+Q75</f>
        <v>3971887.86597611</v>
      </c>
      <c r="R112" s="60" t="n">
        <f aca="false">R98+R84+R85+R75</f>
        <v>3932691.58214383</v>
      </c>
      <c r="S112" s="60" t="n">
        <f aca="false">S98+S84+S85+S75</f>
        <v>3895458.43422482</v>
      </c>
      <c r="T112" s="60" t="n">
        <f aca="false">T98+T84+T85+T75</f>
        <v>3860116.98011587</v>
      </c>
      <c r="U112" s="60" t="n">
        <f aca="false">U98+U84+U85+U75</f>
        <v>3826598.63539791</v>
      </c>
      <c r="V112" s="60" t="n">
        <f aca="false">V98+V84+V85+V75</f>
        <v>3794837.55902864</v>
      </c>
      <c r="W112" s="60" t="n">
        <f aca="false">W98+W84+W85+W75</f>
        <v>3764770.54360745</v>
      </c>
      <c r="X112" s="60" t="n">
        <f aca="false">X98+X84+X85+X75</f>
        <v>3736336.91002974</v>
      </c>
      <c r="Y112" s="60" t="n">
        <f aca="false">Y98+Y84+Y85+Y75</f>
        <v>3709478.40635511</v>
      </c>
      <c r="Z112" s="60" t="n">
        <f aca="false">Z98+Z84+Z85+Z75</f>
        <v>3664170.4221112</v>
      </c>
      <c r="AA112" s="60" t="n">
        <f aca="false">AA98+AA84+AA85+AA75</f>
        <v>3626045.14285609</v>
      </c>
      <c r="AB112" s="60" t="n">
        <f aca="false">AB98+AB84+AB85+AB75</f>
        <v>3588656.79705764</v>
      </c>
      <c r="AC112" s="60" t="n">
        <f aca="false">AC98+AC84+AC85+AC75</f>
        <v>3572818.83719396</v>
      </c>
      <c r="AD112" s="60" t="n">
        <f aca="false">AD98+AD84+AD85+AD75</f>
        <v>3554213.86885226</v>
      </c>
      <c r="AE112" s="60" t="n">
        <f aca="false">AE98+AE84+AE85+AE75</f>
        <v>3536999.73177707</v>
      </c>
      <c r="AF112" s="60" t="n">
        <f aca="false">AF98+AF84+AF85+AF75</f>
        <v>3521127.87605106</v>
      </c>
      <c r="AG112" s="60" t="n">
        <f aca="false">AG98+AG84+AG85+AG75</f>
        <v>3506551.69375362</v>
      </c>
      <c r="AH112" s="60" t="n">
        <f aca="false">AH98+AH84+AH85+AH75</f>
        <v>3493226.44128091</v>
      </c>
      <c r="AI112" s="60" t="n">
        <f aca="false">AI98+AI84+AI85+AI75</f>
        <v>3481109.1647733</v>
      </c>
      <c r="AJ112" s="60" t="n">
        <f aca="false">AJ98+AJ84+AJ85+AJ75</f>
        <v>3470158.6285255</v>
      </c>
      <c r="AK112" s="60" t="n">
        <f aca="false">AK98+AK84+AK85+AK75</f>
        <v>3460335.24626046</v>
      </c>
      <c r="AL112" s="60" t="n">
        <f aca="false">AL98+AL84+AL85+AL75</f>
        <v>3431329.88023803</v>
      </c>
    </row>
    <row r="113" customFormat="false" ht="15" hidden="false" customHeight="false" outlineLevel="0" collapsed="false">
      <c r="A113" s="6" t="s">
        <v>94</v>
      </c>
      <c r="C113" s="54" t="n">
        <f aca="false">C86+C81</f>
        <v>3005893.28812158</v>
      </c>
      <c r="D113" s="54" t="n">
        <f aca="false">D86+D81</f>
        <v>2981692.87400527</v>
      </c>
      <c r="E113" s="54" t="n">
        <f aca="false">E86+E81</f>
        <v>2959230.69604747</v>
      </c>
      <c r="F113" s="54" t="n">
        <f aca="false">F86+F81</f>
        <v>2935301.41406782</v>
      </c>
      <c r="G113" s="54" t="n">
        <f aca="false">G86+G81</f>
        <v>2911398.93206752</v>
      </c>
      <c r="H113" s="54" t="n">
        <f aca="false">H86+H81</f>
        <v>2887522.17804741</v>
      </c>
      <c r="I113" s="54" t="n">
        <f aca="false">I86+I81</f>
        <v>2863670.12288826</v>
      </c>
      <c r="J113" s="54" t="n">
        <f aca="false">J86+J81</f>
        <v>2839841.77863565</v>
      </c>
      <c r="K113" s="54" t="n">
        <f aca="false">K86+K81</f>
        <v>2816036.1968533</v>
      </c>
      <c r="L113" s="54" t="n">
        <f aca="false">L86+L81</f>
        <v>2792252.46704242</v>
      </c>
      <c r="M113" s="54" t="n">
        <f aca="false">M86+M81</f>
        <v>2767701.74709072</v>
      </c>
      <c r="N113" s="54" t="n">
        <f aca="false">N86+N81</f>
        <v>2739809.63756301</v>
      </c>
      <c r="O113" s="54" t="n">
        <f aca="false">O86+O81</f>
        <v>2715532.13821213</v>
      </c>
      <c r="P113" s="54" t="n">
        <f aca="false">P86+P81</f>
        <v>2690834.03727437</v>
      </c>
      <c r="Q113" s="54" t="n">
        <f aca="false">Q86+Q81</f>
        <v>2669716.1869888</v>
      </c>
      <c r="R113" s="54" t="n">
        <f aca="false">R86+R81</f>
        <v>2645114.17620927</v>
      </c>
      <c r="S113" s="54" t="n">
        <f aca="false">S86+S81</f>
        <v>2620496.24586093</v>
      </c>
      <c r="T113" s="54" t="n">
        <f aca="false">T86+T81</f>
        <v>2595863.03272652</v>
      </c>
      <c r="U113" s="54" t="n">
        <f aca="false">U86+U81</f>
        <v>2571215.14811748</v>
      </c>
      <c r="V113" s="54" t="n">
        <f aca="false">V86+V81</f>
        <v>2546553.17889281</v>
      </c>
      <c r="W113" s="54" t="n">
        <f aca="false">W86+W81</f>
        <v>2521877.68843712</v>
      </c>
      <c r="X113" s="54" t="n">
        <f aca="false">X86+X81</f>
        <v>2497189.21759966</v>
      </c>
      <c r="Y113" s="54" t="n">
        <f aca="false">Y86+Y81</f>
        <v>2472488.2855957</v>
      </c>
      <c r="Z113" s="54" t="n">
        <f aca="false">Z86+Z81</f>
        <v>2443686.54591976</v>
      </c>
      <c r="AA113" s="54" t="n">
        <f aca="false">AA86+AA81</f>
        <v>2419398.25629915</v>
      </c>
      <c r="AB113" s="54" t="n">
        <f aca="false">AB86+AB81</f>
        <v>2394585.08364848</v>
      </c>
      <c r="AC113" s="54" t="n">
        <f aca="false">AC86+AC81</f>
        <v>2374078.212323</v>
      </c>
      <c r="AD113" s="54" t="n">
        <f aca="false">AD86+AD81</f>
        <v>2349351.53977844</v>
      </c>
      <c r="AE113" s="54" t="n">
        <f aca="false">AE86+AE81</f>
        <v>2324613.93413567</v>
      </c>
      <c r="AF113" s="54" t="n">
        <f aca="false">AF86+AF81</f>
        <v>2299865.83271861</v>
      </c>
      <c r="AG113" s="54" t="n">
        <f aca="false">AG86+AG81</f>
        <v>2275107.65535824</v>
      </c>
      <c r="AH113" s="54" t="n">
        <f aca="false">AH86+AH81</f>
        <v>2250339.80509228</v>
      </c>
      <c r="AI113" s="54" t="n">
        <f aca="false">AI86+AI81</f>
        <v>2225562.66883695</v>
      </c>
      <c r="AJ113" s="54" t="n">
        <f aca="false">AJ86+AJ81</f>
        <v>2200776.61803184</v>
      </c>
      <c r="AK113" s="54" t="n">
        <f aca="false">AK86+AK81</f>
        <v>2175982.00925894</v>
      </c>
      <c r="AL113" s="54" t="n">
        <f aca="false">AL86+AL81</f>
        <v>2146523.92564784</v>
      </c>
    </row>
    <row r="114" customFormat="false" ht="15" hidden="false" customHeight="false" outlineLevel="0" collapsed="false">
      <c r="A114" s="6" t="s">
        <v>97</v>
      </c>
      <c r="C114" s="54" t="n">
        <f aca="false">C110+C111</f>
        <v>1997562.52336521</v>
      </c>
      <c r="D114" s="54" t="n">
        <f aca="false">D110+D111</f>
        <v>1900759.66323889</v>
      </c>
      <c r="E114" s="54" t="n">
        <f aca="false">E110+E111</f>
        <v>1819412.96589251</v>
      </c>
      <c r="F114" s="54" t="n">
        <f aca="false">F110+F111</f>
        <v>1745236.98729417</v>
      </c>
      <c r="G114" s="54" t="n">
        <f aca="false">G110+G111</f>
        <v>1678359.44803153</v>
      </c>
      <c r="H114" s="54" t="n">
        <f aca="false">H110+H111</f>
        <v>1618902.95986874</v>
      </c>
      <c r="I114" s="54" t="n">
        <f aca="false">I110+I111</f>
        <v>1566985.23009938</v>
      </c>
      <c r="J114" s="54" t="n">
        <f aca="false">J110+J111</f>
        <v>1522719.2577253</v>
      </c>
      <c r="K114" s="54" t="n">
        <f aca="false">K110+K111</f>
        <v>1486213.52178826</v>
      </c>
      <c r="L114" s="54" t="n">
        <f aca="false">L110+L111</f>
        <v>1457572.16216835</v>
      </c>
      <c r="M114" s="54" t="n">
        <f aca="false">M110+M111</f>
        <v>1431249.01856836</v>
      </c>
      <c r="N114" s="54" t="n">
        <f aca="false">N110+N111</f>
        <v>1390767.66772971</v>
      </c>
      <c r="O114" s="54" t="n">
        <f aca="false">O110+O111</f>
        <v>1353820.37552265</v>
      </c>
      <c r="P114" s="54" t="n">
        <f aca="false">P110+P111</f>
        <v>1318820.089695</v>
      </c>
      <c r="Q114" s="54" t="n">
        <f aca="false">Q110+Q111</f>
        <v>1302171.67898731</v>
      </c>
      <c r="R114" s="54" t="n">
        <f aca="false">R110+R111</f>
        <v>1287577.40593456</v>
      </c>
      <c r="S114" s="54" t="n">
        <f aca="false">S110+S111</f>
        <v>1274962.18836389</v>
      </c>
      <c r="T114" s="54" t="n">
        <f aca="false">T110+T111</f>
        <v>1264253.94738935</v>
      </c>
      <c r="U114" s="54" t="n">
        <f aca="false">U110+U111</f>
        <v>1255383.48728043</v>
      </c>
      <c r="V114" s="54" t="n">
        <f aca="false">V110+V111</f>
        <v>1248284.38013584</v>
      </c>
      <c r="W114" s="54" t="n">
        <f aca="false">W110+W111</f>
        <v>1242892.85517033</v>
      </c>
      <c r="X114" s="54" t="n">
        <f aca="false">X110+X111</f>
        <v>1239147.69243008</v>
      </c>
      <c r="Y114" s="54" t="n">
        <f aca="false">Y110+Y111</f>
        <v>1236990.12075941</v>
      </c>
      <c r="Z114" s="54" t="n">
        <f aca="false">Z110+Z111</f>
        <v>1220483.87619144</v>
      </c>
      <c r="AA114" s="54" t="n">
        <f aca="false">AA110+AA111</f>
        <v>1206646.88655695</v>
      </c>
      <c r="AB114" s="54" t="n">
        <f aca="false">AB110+AB111</f>
        <v>1194071.71340917</v>
      </c>
      <c r="AC114" s="54" t="n">
        <f aca="false">AC110+AC111</f>
        <v>1198740.62487097</v>
      </c>
      <c r="AD114" s="54" t="n">
        <f aca="false">AD110+AD111</f>
        <v>1204862.32907382</v>
      </c>
      <c r="AE114" s="54" t="n">
        <f aca="false">AE110+AE111</f>
        <v>1212385.79764139</v>
      </c>
      <c r="AF114" s="54" t="n">
        <f aca="false">AF110+AF111</f>
        <v>1221262.04333245</v>
      </c>
      <c r="AG114" s="54" t="n">
        <f aca="false">AG110+AG111</f>
        <v>1231444.03839538</v>
      </c>
      <c r="AH114" s="54" t="n">
        <f aca="false">AH110+AH111</f>
        <v>1242886.63618864</v>
      </c>
      <c r="AI114" s="54" t="n">
        <f aca="false">AI110+AI111</f>
        <v>1255546.49593634</v>
      </c>
      <c r="AJ114" s="54" t="n">
        <f aca="false">AJ110+AJ111</f>
        <v>1269382.01049366</v>
      </c>
      <c r="AK114" s="54" t="n">
        <f aca="false">AK110+AK111</f>
        <v>1284353.23700153</v>
      </c>
      <c r="AL114" s="54" t="n">
        <f aca="false">AL110+AL111</f>
        <v>1284805.9545902</v>
      </c>
    </row>
    <row r="115" customFormat="false" ht="15" hidden="false" customHeight="false" outlineLevel="0" collapsed="false">
      <c r="A115" s="4" t="s">
        <v>98</v>
      </c>
      <c r="C115" s="60" t="n">
        <f aca="false">C113+C114</f>
        <v>5003455.8114868</v>
      </c>
      <c r="D115" s="60" t="n">
        <f aca="false">D113+D114</f>
        <v>4882452.53724416</v>
      </c>
      <c r="E115" s="60" t="n">
        <f aca="false">E113+E114</f>
        <v>4778643.66193998</v>
      </c>
      <c r="F115" s="60" t="n">
        <f aca="false">F113+F114</f>
        <v>4680538.40136199</v>
      </c>
      <c r="G115" s="60" t="n">
        <f aca="false">G113+G114</f>
        <v>4589758.38009905</v>
      </c>
      <c r="H115" s="60" t="n">
        <f aca="false">H113+H114</f>
        <v>4506425.13791614</v>
      </c>
      <c r="I115" s="60" t="n">
        <f aca="false">I113+I114</f>
        <v>4430655.35298764</v>
      </c>
      <c r="J115" s="60" t="n">
        <f aca="false">J113+J114</f>
        <v>4362561.03636094</v>
      </c>
      <c r="K115" s="60" t="n">
        <f aca="false">K113+K114</f>
        <v>4302249.71864156</v>
      </c>
      <c r="L115" s="60" t="n">
        <f aca="false">L113+L114</f>
        <v>4249824.62921077</v>
      </c>
      <c r="M115" s="60" t="n">
        <f aca="false">M113+M114</f>
        <v>4198950.76565908</v>
      </c>
      <c r="N115" s="60" t="n">
        <f aca="false">N113+N114</f>
        <v>4130577.30529272</v>
      </c>
      <c r="O115" s="60" t="n">
        <f aca="false">O113+O114</f>
        <v>4069352.51373478</v>
      </c>
      <c r="P115" s="60" t="n">
        <f aca="false">P113+P114</f>
        <v>4009654.12696937</v>
      </c>
      <c r="Q115" s="60" t="n">
        <f aca="false">Q113+Q114</f>
        <v>3971887.86597611</v>
      </c>
      <c r="R115" s="60" t="n">
        <f aca="false">R113+R114</f>
        <v>3932691.58214383</v>
      </c>
      <c r="S115" s="60" t="n">
        <f aca="false">S113+S114</f>
        <v>3895458.43422482</v>
      </c>
      <c r="T115" s="60" t="n">
        <f aca="false">T113+T114</f>
        <v>3860116.98011587</v>
      </c>
      <c r="U115" s="60" t="n">
        <f aca="false">U113+U114</f>
        <v>3826598.63539791</v>
      </c>
      <c r="V115" s="60" t="n">
        <f aca="false">V113+V114</f>
        <v>3794837.55902864</v>
      </c>
      <c r="W115" s="60" t="n">
        <f aca="false">W113+W114</f>
        <v>3764770.54360745</v>
      </c>
      <c r="X115" s="60" t="n">
        <f aca="false">X113+X114</f>
        <v>3736336.91002974</v>
      </c>
      <c r="Y115" s="60" t="n">
        <f aca="false">Y113+Y114</f>
        <v>3709478.40635511</v>
      </c>
      <c r="Z115" s="60" t="n">
        <f aca="false">Z113+Z114</f>
        <v>3664170.4221112</v>
      </c>
      <c r="AA115" s="60" t="n">
        <f aca="false">AA113+AA114</f>
        <v>3626045.14285609</v>
      </c>
      <c r="AB115" s="60" t="n">
        <f aca="false">AB113+AB114</f>
        <v>3588656.79705764</v>
      </c>
      <c r="AC115" s="60" t="n">
        <f aca="false">AC113+AC114</f>
        <v>3572818.83719397</v>
      </c>
      <c r="AD115" s="60" t="n">
        <f aca="false">AD113+AD114</f>
        <v>3554213.86885226</v>
      </c>
      <c r="AE115" s="60" t="n">
        <f aca="false">AE113+AE114</f>
        <v>3536999.73177707</v>
      </c>
      <c r="AF115" s="60" t="n">
        <f aca="false">AF113+AF114</f>
        <v>3521127.87605106</v>
      </c>
      <c r="AG115" s="60" t="n">
        <f aca="false">AG113+AG114</f>
        <v>3506551.69375362</v>
      </c>
      <c r="AH115" s="60" t="n">
        <f aca="false">AH113+AH114</f>
        <v>3493226.44128091</v>
      </c>
      <c r="AI115" s="60" t="n">
        <f aca="false">AI113+AI114</f>
        <v>3481109.1647733</v>
      </c>
      <c r="AJ115" s="60" t="n">
        <f aca="false">AJ113+AJ114</f>
        <v>3470158.6285255</v>
      </c>
      <c r="AK115" s="60" t="n">
        <f aca="false">AK113+AK114</f>
        <v>3460335.24626046</v>
      </c>
      <c r="AL115" s="60" t="n">
        <f aca="false">AL113+AL114</f>
        <v>3431329.88023803</v>
      </c>
    </row>
    <row r="116" customFormat="false" ht="15" hidden="false" customHeight="false" outlineLevel="0" collapsed="false">
      <c r="A116" s="6" t="s">
        <v>413</v>
      </c>
      <c r="C116" s="54" t="n">
        <f aca="false">C112-C115</f>
        <v>0</v>
      </c>
      <c r="D116" s="54" t="n">
        <f aca="false">D112-D115</f>
        <v>0</v>
      </c>
      <c r="E116" s="54" t="n">
        <f aca="false">E112-E115</f>
        <v>0</v>
      </c>
      <c r="F116" s="54" t="n">
        <f aca="false">F112-F115</f>
        <v>0</v>
      </c>
      <c r="G116" s="54" t="n">
        <f aca="false">G112-G115</f>
        <v>0</v>
      </c>
      <c r="H116" s="54" t="n">
        <f aca="false">H112-H115</f>
        <v>0</v>
      </c>
      <c r="I116" s="54" t="n">
        <f aca="false">I112-I115</f>
        <v>0</v>
      </c>
      <c r="J116" s="54" t="n">
        <f aca="false">J112-J115</f>
        <v>0</v>
      </c>
      <c r="K116" s="54" t="n">
        <f aca="false">K112-K115</f>
        <v>0</v>
      </c>
      <c r="L116" s="54" t="n">
        <f aca="false">L112-L115</f>
        <v>0</v>
      </c>
      <c r="M116" s="54" t="n">
        <f aca="false">M112-M115</f>
        <v>0</v>
      </c>
      <c r="N116" s="54" t="n">
        <f aca="false">N112-N115</f>
        <v>0</v>
      </c>
      <c r="O116" s="54" t="n">
        <f aca="false">O112-O115</f>
        <v>0</v>
      </c>
      <c r="P116" s="54" t="n">
        <f aca="false">P112-P115</f>
        <v>0</v>
      </c>
      <c r="Q116" s="54" t="n">
        <f aca="false">Q112-Q115</f>
        <v>0</v>
      </c>
      <c r="R116" s="54" t="n">
        <f aca="false">R112-R115</f>
        <v>0</v>
      </c>
      <c r="S116" s="54" t="n">
        <f aca="false">S112-S115</f>
        <v>0</v>
      </c>
      <c r="T116" s="54" t="n">
        <f aca="false">T112-T115</f>
        <v>0</v>
      </c>
      <c r="U116" s="54" t="n">
        <f aca="false">U112-U115</f>
        <v>0</v>
      </c>
      <c r="V116" s="54" t="n">
        <f aca="false">V112-V115</f>
        <v>0</v>
      </c>
      <c r="W116" s="54" t="n">
        <f aca="false">W112-W115</f>
        <v>0</v>
      </c>
      <c r="X116" s="54" t="n">
        <f aca="false">X112-X115</f>
        <v>0</v>
      </c>
      <c r="Y116" s="54" t="n">
        <f aca="false">Y112-Y115</f>
        <v>0</v>
      </c>
      <c r="Z116" s="54" t="n">
        <f aca="false">Z112-Z115</f>
        <v>0</v>
      </c>
      <c r="AA116" s="54" t="n">
        <f aca="false">AA112-AA115</f>
        <v>0</v>
      </c>
      <c r="AB116" s="54" t="n">
        <f aca="false">AB112-AB115</f>
        <v>0</v>
      </c>
      <c r="AC116" s="54" t="n">
        <f aca="false">AC112-AC115</f>
        <v>0</v>
      </c>
      <c r="AD116" s="54" t="n">
        <f aca="false">AD112-AD115</f>
        <v>0</v>
      </c>
      <c r="AE116" s="54" t="n">
        <f aca="false">AE112-AE115</f>
        <v>0</v>
      </c>
      <c r="AF116" s="54" t="n">
        <f aca="false">AF112-AF115</f>
        <v>0</v>
      </c>
      <c r="AG116" s="54" t="n">
        <f aca="false">AG112-AG115</f>
        <v>0</v>
      </c>
      <c r="AH116" s="54" t="n">
        <f aca="false">AH112-AH115</f>
        <v>0</v>
      </c>
      <c r="AI116" s="54" t="n">
        <f aca="false">AI112-AI115</f>
        <v>0</v>
      </c>
      <c r="AJ116" s="54" t="n">
        <f aca="false">AJ112-AJ115</f>
        <v>0</v>
      </c>
      <c r="AK116" s="54" t="n">
        <f aca="false">AK112-AK115</f>
        <v>0</v>
      </c>
      <c r="AL116" s="54" t="n">
        <f aca="false">AL112-AL115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414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322</v>
      </c>
    </row>
    <row r="3" customFormat="false" ht="15" hidden="false" customHeight="false" outlineLevel="0" collapsed="false">
      <c r="A3" s="33" t="s">
        <v>323</v>
      </c>
      <c r="C3" s="35" t="s">
        <v>324</v>
      </c>
      <c r="D3" s="35" t="s">
        <v>325</v>
      </c>
      <c r="E3" s="35" t="s">
        <v>326</v>
      </c>
      <c r="F3" s="35" t="s">
        <v>327</v>
      </c>
      <c r="G3" s="35" t="s">
        <v>328</v>
      </c>
      <c r="H3" s="35" t="s">
        <v>329</v>
      </c>
      <c r="I3" s="35" t="s">
        <v>330</v>
      </c>
      <c r="J3" s="35" t="s">
        <v>331</v>
      </c>
      <c r="K3" s="35" t="s">
        <v>332</v>
      </c>
      <c r="L3" s="35" t="s">
        <v>333</v>
      </c>
      <c r="M3" s="35" t="s">
        <v>334</v>
      </c>
      <c r="N3" s="35" t="s">
        <v>335</v>
      </c>
      <c r="O3" s="35" t="s">
        <v>336</v>
      </c>
      <c r="P3" s="35" t="s">
        <v>337</v>
      </c>
      <c r="Q3" s="35" t="s">
        <v>338</v>
      </c>
      <c r="R3" s="35" t="s">
        <v>339</v>
      </c>
      <c r="S3" s="35" t="s">
        <v>340</v>
      </c>
      <c r="T3" s="35" t="s">
        <v>341</v>
      </c>
      <c r="U3" s="35" t="s">
        <v>342</v>
      </c>
      <c r="V3" s="35" t="s">
        <v>343</v>
      </c>
      <c r="W3" s="35" t="s">
        <v>344</v>
      </c>
      <c r="X3" s="35" t="s">
        <v>345</v>
      </c>
      <c r="Y3" s="35" t="s">
        <v>346</v>
      </c>
      <c r="Z3" s="35" t="s">
        <v>347</v>
      </c>
      <c r="AA3" s="35" t="s">
        <v>348</v>
      </c>
      <c r="AB3" s="35" t="s">
        <v>349</v>
      </c>
      <c r="AC3" s="35" t="s">
        <v>350</v>
      </c>
      <c r="AD3" s="35" t="s">
        <v>351</v>
      </c>
      <c r="AE3" s="35" t="s">
        <v>352</v>
      </c>
      <c r="AF3" s="35" t="s">
        <v>353</v>
      </c>
      <c r="AG3" s="35" t="s">
        <v>354</v>
      </c>
      <c r="AH3" s="35" t="s">
        <v>355</v>
      </c>
      <c r="AI3" s="35" t="s">
        <v>356</v>
      </c>
      <c r="AJ3" s="35" t="s">
        <v>357</v>
      </c>
      <c r="AK3" s="35" t="s">
        <v>358</v>
      </c>
      <c r="AL3" s="35" t="s">
        <v>359</v>
      </c>
    </row>
    <row r="4" customFormat="false" ht="15" hidden="false" customHeight="false" outlineLevel="0" collapsed="false">
      <c r="A4" s="59" t="s">
        <v>360</v>
      </c>
      <c r="C4" s="59" t="n">
        <v>1</v>
      </c>
      <c r="D4" s="59" t="n">
        <v>2</v>
      </c>
      <c r="E4" s="59" t="n">
        <v>3</v>
      </c>
      <c r="F4" s="59" t="n">
        <v>4</v>
      </c>
      <c r="G4" s="59" t="n">
        <v>5</v>
      </c>
      <c r="H4" s="59" t="n">
        <v>6</v>
      </c>
      <c r="I4" s="59" t="n">
        <v>7</v>
      </c>
      <c r="J4" s="59" t="n">
        <v>8</v>
      </c>
      <c r="K4" s="59" t="n">
        <v>9</v>
      </c>
      <c r="L4" s="59" t="n">
        <v>10</v>
      </c>
      <c r="M4" s="59" t="n">
        <v>11</v>
      </c>
      <c r="N4" s="59" t="n">
        <v>12</v>
      </c>
      <c r="O4" s="59" t="n">
        <v>13</v>
      </c>
      <c r="P4" s="59" t="n">
        <v>14</v>
      </c>
      <c r="Q4" s="59" t="n">
        <v>15</v>
      </c>
      <c r="R4" s="59" t="n">
        <v>16</v>
      </c>
      <c r="S4" s="59" t="n">
        <v>17</v>
      </c>
      <c r="T4" s="59" t="n">
        <v>18</v>
      </c>
      <c r="U4" s="59" t="n">
        <v>19</v>
      </c>
      <c r="V4" s="59" t="n">
        <v>20</v>
      </c>
      <c r="W4" s="59" t="n">
        <v>21</v>
      </c>
      <c r="X4" s="59" t="n">
        <v>22</v>
      </c>
      <c r="Y4" s="59" t="n">
        <v>23</v>
      </c>
      <c r="Z4" s="59" t="n">
        <v>24</v>
      </c>
      <c r="AA4" s="59" t="n">
        <v>25</v>
      </c>
      <c r="AB4" s="59" t="n">
        <v>26</v>
      </c>
      <c r="AC4" s="59" t="n">
        <v>27</v>
      </c>
      <c r="AD4" s="59" t="n">
        <v>28</v>
      </c>
      <c r="AE4" s="59" t="n">
        <v>29</v>
      </c>
      <c r="AF4" s="59" t="n">
        <v>30</v>
      </c>
      <c r="AG4" s="59" t="n">
        <v>31</v>
      </c>
      <c r="AH4" s="59" t="n">
        <v>32</v>
      </c>
      <c r="AI4" s="59" t="n">
        <v>33</v>
      </c>
      <c r="AJ4" s="59" t="n">
        <v>34</v>
      </c>
      <c r="AK4" s="59" t="n">
        <v>35</v>
      </c>
      <c r="AL4" s="59" t="n">
        <v>36</v>
      </c>
    </row>
    <row r="5" customFormat="false" ht="15" hidden="false" customHeight="false" outlineLevel="0" collapsed="false">
      <c r="A5" s="59" t="s">
        <v>122</v>
      </c>
      <c r="C5" s="59" t="n">
        <f aca="false">ROUNDUP(C4*1/12,0)</f>
        <v>1</v>
      </c>
      <c r="D5" s="59" t="n">
        <f aca="false">ROUNDUP(D4*1/12,0)</f>
        <v>1</v>
      </c>
      <c r="E5" s="59" t="n">
        <f aca="false">ROUNDUP(E4*1/12,0)</f>
        <v>1</v>
      </c>
      <c r="F5" s="59" t="n">
        <f aca="false">ROUNDUP(F4*1/12,0)</f>
        <v>1</v>
      </c>
      <c r="G5" s="59" t="n">
        <f aca="false">ROUNDUP(G4*1/12,0)</f>
        <v>1</v>
      </c>
      <c r="H5" s="59" t="n">
        <f aca="false">ROUNDUP(H4*1/12,0)</f>
        <v>1</v>
      </c>
      <c r="I5" s="59" t="n">
        <f aca="false">ROUNDUP(I4*1/12,0)</f>
        <v>1</v>
      </c>
      <c r="J5" s="59" t="n">
        <f aca="false">ROUNDUP(J4*1/12,0)</f>
        <v>1</v>
      </c>
      <c r="K5" s="59" t="n">
        <f aca="false">ROUNDUP(K4*1/12,0)</f>
        <v>1</v>
      </c>
      <c r="L5" s="59" t="n">
        <f aca="false">ROUNDUP(L4*1/12,0)</f>
        <v>1</v>
      </c>
      <c r="M5" s="59" t="n">
        <f aca="false">ROUNDUP(M4*1/12,0)</f>
        <v>1</v>
      </c>
      <c r="N5" s="59" t="n">
        <f aca="false">ROUNDUP(N4*1/12,0)</f>
        <v>1</v>
      </c>
      <c r="O5" s="59" t="n">
        <f aca="false">ROUNDUP(O4*1/12,0)</f>
        <v>2</v>
      </c>
      <c r="P5" s="59" t="n">
        <f aca="false">ROUNDUP(P4*1/12,0)</f>
        <v>2</v>
      </c>
      <c r="Q5" s="59" t="n">
        <f aca="false">ROUNDUP(Q4*1/12,0)</f>
        <v>2</v>
      </c>
      <c r="R5" s="59" t="n">
        <f aca="false">ROUNDUP(R4*1/12,0)</f>
        <v>2</v>
      </c>
      <c r="S5" s="59" t="n">
        <f aca="false">ROUNDUP(S4*1/12,0)</f>
        <v>2</v>
      </c>
      <c r="T5" s="59" t="n">
        <f aca="false">ROUNDUP(T4*1/12,0)</f>
        <v>2</v>
      </c>
      <c r="U5" s="59" t="n">
        <f aca="false">ROUNDUP(U4*1/12,0)</f>
        <v>2</v>
      </c>
      <c r="V5" s="59" t="n">
        <f aca="false">ROUNDUP(V4*1/12,0)</f>
        <v>2</v>
      </c>
      <c r="W5" s="59" t="n">
        <f aca="false">ROUNDUP(W4*1/12,0)</f>
        <v>2</v>
      </c>
      <c r="X5" s="59" t="n">
        <f aca="false">ROUNDUP(X4*1/12,0)</f>
        <v>2</v>
      </c>
      <c r="Y5" s="59" t="n">
        <f aca="false">ROUNDUP(Y4*1/12,0)</f>
        <v>2</v>
      </c>
      <c r="Z5" s="59" t="n">
        <f aca="false">ROUNDUP(Z4*1/12,0)</f>
        <v>2</v>
      </c>
      <c r="AA5" s="59" t="n">
        <f aca="false">ROUNDUP(AA4*1/12,0)</f>
        <v>3</v>
      </c>
      <c r="AB5" s="59" t="n">
        <f aca="false">ROUNDUP(AB4*1/12,0)</f>
        <v>3</v>
      </c>
      <c r="AC5" s="59" t="n">
        <f aca="false">ROUNDUP(AC4*1/12,0)</f>
        <v>3</v>
      </c>
      <c r="AD5" s="59" t="n">
        <f aca="false">ROUNDUP(AD4*1/12,0)</f>
        <v>3</v>
      </c>
      <c r="AE5" s="59" t="n">
        <f aca="false">ROUNDUP(AE4*1/12,0)</f>
        <v>3</v>
      </c>
      <c r="AF5" s="59" t="n">
        <f aca="false">ROUNDUP(AF4*1/12,0)</f>
        <v>3</v>
      </c>
      <c r="AG5" s="59" t="n">
        <f aca="false">ROUNDUP(AG4*1/12,0)</f>
        <v>3</v>
      </c>
      <c r="AH5" s="59" t="n">
        <f aca="false">ROUNDUP(AH4*1/12,0)</f>
        <v>3</v>
      </c>
      <c r="AI5" s="59" t="n">
        <f aca="false">ROUNDUP(AI4*1/12,0)</f>
        <v>3</v>
      </c>
      <c r="AJ5" s="59" t="n">
        <f aca="false">ROUNDUP(AJ4*1/12,0)</f>
        <v>3</v>
      </c>
      <c r="AK5" s="59" t="n">
        <f aca="false">ROUNDUP(AK4*1/12,0)</f>
        <v>3</v>
      </c>
      <c r="AL5" s="59" t="n">
        <f aca="false">ROUNDUP(AL4*1/12,0)</f>
        <v>3</v>
      </c>
    </row>
    <row r="7" customFormat="false" ht="15.75" hidden="false" customHeight="true" outlineLevel="0" collapsed="false">
      <c r="A7" s="7" t="s">
        <v>415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416</v>
      </c>
      <c r="C8" s="103" t="n">
        <f aca="false">Inputs!$E$55*(1+Inputs!$E$57)^(C$5-1)*MAX(0,MIN(1,C$4*1-Inputs!$E$58+1))/1</f>
        <v>1</v>
      </c>
      <c r="D8" s="103" t="n">
        <f aca="false">Inputs!$E$55*(1+Inputs!$E$57)^(D$5-1)*MAX(0,MIN(1,D$4*1-Inputs!$E$58+1))/1</f>
        <v>1</v>
      </c>
      <c r="E8" s="103" t="n">
        <f aca="false">Inputs!$E$55*(1+Inputs!$E$57)^(E$5-1)*MAX(0,MIN(1,E$4*1-Inputs!$E$58+1))/1</f>
        <v>1</v>
      </c>
      <c r="F8" s="103" t="n">
        <f aca="false">Inputs!$E$55*(1+Inputs!$E$57)^(F$5-1)*MAX(0,MIN(1,F$4*1-Inputs!$E$58+1))/1</f>
        <v>1</v>
      </c>
      <c r="G8" s="103" t="n">
        <f aca="false">Inputs!$E$55*(1+Inputs!$E$57)^(G$5-1)*MAX(0,MIN(1,G$4*1-Inputs!$E$58+1))/1</f>
        <v>1</v>
      </c>
      <c r="H8" s="103" t="n">
        <f aca="false">Inputs!$E$55*(1+Inputs!$E$57)^(H$5-1)*MAX(0,MIN(1,H$4*1-Inputs!$E$58+1))/1</f>
        <v>1</v>
      </c>
      <c r="I8" s="103" t="n">
        <f aca="false">Inputs!$E$55*(1+Inputs!$E$57)^(I$5-1)*MAX(0,MIN(1,I$4*1-Inputs!$E$58+1))/1</f>
        <v>1</v>
      </c>
      <c r="J8" s="103" t="n">
        <f aca="false">Inputs!$E$55*(1+Inputs!$E$57)^(J$5-1)*MAX(0,MIN(1,J$4*1-Inputs!$E$58+1))/1</f>
        <v>1</v>
      </c>
      <c r="K8" s="103" t="n">
        <f aca="false">Inputs!$E$55*(1+Inputs!$E$57)^(K$5-1)*MAX(0,MIN(1,K$4*1-Inputs!$E$58+1))/1</f>
        <v>1</v>
      </c>
      <c r="L8" s="103" t="n">
        <f aca="false">Inputs!$E$55*(1+Inputs!$E$57)^(L$5-1)*MAX(0,MIN(1,L$4*1-Inputs!$E$58+1))/1</f>
        <v>1</v>
      </c>
      <c r="M8" s="103" t="n">
        <f aca="false">Inputs!$E$55*(1+Inputs!$E$57)^(M$5-1)*MAX(0,MIN(1,M$4*1-Inputs!$E$58+1))/1</f>
        <v>1</v>
      </c>
      <c r="N8" s="103" t="n">
        <f aca="false">Inputs!$E$55*(1+Inputs!$E$57)^(N$5-1)*MAX(0,MIN(1,N$4*1-Inputs!$E$58+1))/1</f>
        <v>1</v>
      </c>
      <c r="O8" s="103" t="n">
        <f aca="false">Inputs!$E$55*(1+Inputs!$E$57)^(O$5-1)*MAX(0,MIN(1,O$4*1-Inputs!$E$58+1))/1</f>
        <v>1</v>
      </c>
      <c r="P8" s="103" t="n">
        <f aca="false">Inputs!$E$55*(1+Inputs!$E$57)^(P$5-1)*MAX(0,MIN(1,P$4*1-Inputs!$E$58+1))/1</f>
        <v>1</v>
      </c>
      <c r="Q8" s="103" t="n">
        <f aca="false">Inputs!$E$55*(1+Inputs!$E$57)^(Q$5-1)*MAX(0,MIN(1,Q$4*1-Inputs!$E$58+1))/1</f>
        <v>1</v>
      </c>
      <c r="R8" s="103" t="n">
        <f aca="false">Inputs!$E$55*(1+Inputs!$E$57)^(R$5-1)*MAX(0,MIN(1,R$4*1-Inputs!$E$58+1))/1</f>
        <v>1</v>
      </c>
      <c r="S8" s="103" t="n">
        <f aca="false">Inputs!$E$55*(1+Inputs!$E$57)^(S$5-1)*MAX(0,MIN(1,S$4*1-Inputs!$E$58+1))/1</f>
        <v>1</v>
      </c>
      <c r="T8" s="103" t="n">
        <f aca="false">Inputs!$E$55*(1+Inputs!$E$57)^(T$5-1)*MAX(0,MIN(1,T$4*1-Inputs!$E$58+1))/1</f>
        <v>1</v>
      </c>
      <c r="U8" s="103" t="n">
        <f aca="false">Inputs!$E$55*(1+Inputs!$E$57)^(U$5-1)*MAX(0,MIN(1,U$4*1-Inputs!$E$58+1))/1</f>
        <v>1</v>
      </c>
      <c r="V8" s="103" t="n">
        <f aca="false">Inputs!$E$55*(1+Inputs!$E$57)^(V$5-1)*MAX(0,MIN(1,V$4*1-Inputs!$E$58+1))/1</f>
        <v>1</v>
      </c>
      <c r="W8" s="103" t="n">
        <f aca="false">Inputs!$E$55*(1+Inputs!$E$57)^(W$5-1)*MAX(0,MIN(1,W$4*1-Inputs!$E$58+1))/1</f>
        <v>1</v>
      </c>
      <c r="X8" s="103" t="n">
        <f aca="false">Inputs!$E$55*(1+Inputs!$E$57)^(X$5-1)*MAX(0,MIN(1,X$4*1-Inputs!$E$58+1))/1</f>
        <v>1</v>
      </c>
      <c r="Y8" s="103" t="n">
        <f aca="false">Inputs!$E$55*(1+Inputs!$E$57)^(Y$5-1)*MAX(0,MIN(1,Y$4*1-Inputs!$E$58+1))/1</f>
        <v>1</v>
      </c>
      <c r="Z8" s="103" t="n">
        <f aca="false">Inputs!$E$55*(1+Inputs!$E$57)^(Z$5-1)*MAX(0,MIN(1,Z$4*1-Inputs!$E$58+1))/1</f>
        <v>1</v>
      </c>
      <c r="AA8" s="103" t="n">
        <f aca="false">Inputs!$E$55*(1+Inputs!$E$57)^(AA$5-1)*MAX(0,MIN(1,AA$4*1-Inputs!$E$58+1))/1</f>
        <v>1</v>
      </c>
      <c r="AB8" s="103" t="n">
        <f aca="false">Inputs!$E$55*(1+Inputs!$E$57)^(AB$5-1)*MAX(0,MIN(1,AB$4*1-Inputs!$E$58+1))/1</f>
        <v>1</v>
      </c>
      <c r="AC8" s="103" t="n">
        <f aca="false">Inputs!$E$55*(1+Inputs!$E$57)^(AC$5-1)*MAX(0,MIN(1,AC$4*1-Inputs!$E$58+1))/1</f>
        <v>1</v>
      </c>
      <c r="AD8" s="103" t="n">
        <f aca="false">Inputs!$E$55*(1+Inputs!$E$57)^(AD$5-1)*MAX(0,MIN(1,AD$4*1-Inputs!$E$58+1))/1</f>
        <v>1</v>
      </c>
      <c r="AE8" s="103" t="n">
        <f aca="false">Inputs!$E$55*(1+Inputs!$E$57)^(AE$5-1)*MAX(0,MIN(1,AE$4*1-Inputs!$E$58+1))/1</f>
        <v>1</v>
      </c>
      <c r="AF8" s="103" t="n">
        <f aca="false">Inputs!$E$55*(1+Inputs!$E$57)^(AF$5-1)*MAX(0,MIN(1,AF$4*1-Inputs!$E$58+1))/1</f>
        <v>1</v>
      </c>
      <c r="AG8" s="103" t="n">
        <f aca="false">Inputs!$E$55*(1+Inputs!$E$57)^(AG$5-1)*MAX(0,MIN(1,AG$4*1-Inputs!$E$58+1))/1</f>
        <v>1</v>
      </c>
      <c r="AH8" s="103" t="n">
        <f aca="false">Inputs!$E$55*(1+Inputs!$E$57)^(AH$5-1)*MAX(0,MIN(1,AH$4*1-Inputs!$E$58+1))/1</f>
        <v>1</v>
      </c>
      <c r="AI8" s="103" t="n">
        <f aca="false">Inputs!$E$55*(1+Inputs!$E$57)^(AI$5-1)*MAX(0,MIN(1,AI$4*1-Inputs!$E$58+1))/1</f>
        <v>1</v>
      </c>
      <c r="AJ8" s="103" t="n">
        <f aca="false">Inputs!$E$55*(1+Inputs!$E$57)^(AJ$5-1)*MAX(0,MIN(1,AJ$4*1-Inputs!$E$58+1))/1</f>
        <v>1</v>
      </c>
      <c r="AK8" s="103" t="n">
        <f aca="false">Inputs!$E$55*(1+Inputs!$E$57)^(AK$5-1)*MAX(0,MIN(1,AK$4*1-Inputs!$E$58+1))/1</f>
        <v>1</v>
      </c>
      <c r="AL8" s="103" t="n">
        <f aca="false">Inputs!$E$55*(1+Inputs!$E$57)^(AL$5-1)*MAX(0,MIN(1,AL$4*1-Inputs!$E$58+1))/1</f>
        <v>1</v>
      </c>
    </row>
    <row r="9" customFormat="false" ht="15" hidden="false" customHeight="false" outlineLevel="0" collapsed="false">
      <c r="A9" s="6" t="s">
        <v>417</v>
      </c>
      <c r="C9" s="103" t="n">
        <f aca="false">Inputs!$E$59*(1+Inputs!$E$61)^(C$5-1)*MAX(0,MIN(1,C$4*1-Inputs!$E$62+1))/1</f>
        <v>10</v>
      </c>
      <c r="D9" s="103" t="n">
        <f aca="false">Inputs!$E$59*(1+Inputs!$E$61)^(D$5-1)*MAX(0,MIN(1,D$4*1-Inputs!$E$62+1))/1</f>
        <v>10</v>
      </c>
      <c r="E9" s="103" t="n">
        <f aca="false">Inputs!$E$59*(1+Inputs!$E$61)^(E$5-1)*MAX(0,MIN(1,E$4*1-Inputs!$E$62+1))/1</f>
        <v>10</v>
      </c>
      <c r="F9" s="103" t="n">
        <f aca="false">Inputs!$E$59*(1+Inputs!$E$61)^(F$5-1)*MAX(0,MIN(1,F$4*1-Inputs!$E$62+1))/1</f>
        <v>10</v>
      </c>
      <c r="G9" s="103" t="n">
        <f aca="false">Inputs!$E$59*(1+Inputs!$E$61)^(G$5-1)*MAX(0,MIN(1,G$4*1-Inputs!$E$62+1))/1</f>
        <v>10</v>
      </c>
      <c r="H9" s="103" t="n">
        <f aca="false">Inputs!$E$59*(1+Inputs!$E$61)^(H$5-1)*MAX(0,MIN(1,H$4*1-Inputs!$E$62+1))/1</f>
        <v>10</v>
      </c>
      <c r="I9" s="103" t="n">
        <f aca="false">Inputs!$E$59*(1+Inputs!$E$61)^(I$5-1)*MAX(0,MIN(1,I$4*1-Inputs!$E$62+1))/1</f>
        <v>10</v>
      </c>
      <c r="J9" s="103" t="n">
        <f aca="false">Inputs!$E$59*(1+Inputs!$E$61)^(J$5-1)*MAX(0,MIN(1,J$4*1-Inputs!$E$62+1))/1</f>
        <v>10</v>
      </c>
      <c r="K9" s="103" t="n">
        <f aca="false">Inputs!$E$59*(1+Inputs!$E$61)^(K$5-1)*MAX(0,MIN(1,K$4*1-Inputs!$E$62+1))/1</f>
        <v>10</v>
      </c>
      <c r="L9" s="103" t="n">
        <f aca="false">Inputs!$E$59*(1+Inputs!$E$61)^(L$5-1)*MAX(0,MIN(1,L$4*1-Inputs!$E$62+1))/1</f>
        <v>10</v>
      </c>
      <c r="M9" s="103" t="n">
        <f aca="false">Inputs!$E$59*(1+Inputs!$E$61)^(M$5-1)*MAX(0,MIN(1,M$4*1-Inputs!$E$62+1))/1</f>
        <v>10</v>
      </c>
      <c r="N9" s="103" t="n">
        <f aca="false">Inputs!$E$59*(1+Inputs!$E$61)^(N$5-1)*MAX(0,MIN(1,N$4*1-Inputs!$E$62+1))/1</f>
        <v>10</v>
      </c>
      <c r="O9" s="103" t="n">
        <f aca="false">Inputs!$E$59*(1+Inputs!$E$61)^(O$5-1)*MAX(0,MIN(1,O$4*1-Inputs!$E$62+1))/1</f>
        <v>10</v>
      </c>
      <c r="P9" s="103" t="n">
        <f aca="false">Inputs!$E$59*(1+Inputs!$E$61)^(P$5-1)*MAX(0,MIN(1,P$4*1-Inputs!$E$62+1))/1</f>
        <v>10</v>
      </c>
      <c r="Q9" s="103" t="n">
        <f aca="false">Inputs!$E$59*(1+Inputs!$E$61)^(Q$5-1)*MAX(0,MIN(1,Q$4*1-Inputs!$E$62+1))/1</f>
        <v>10</v>
      </c>
      <c r="R9" s="103" t="n">
        <f aca="false">Inputs!$E$59*(1+Inputs!$E$61)^(R$5-1)*MAX(0,MIN(1,R$4*1-Inputs!$E$62+1))/1</f>
        <v>10</v>
      </c>
      <c r="S9" s="103" t="n">
        <f aca="false">Inputs!$E$59*(1+Inputs!$E$61)^(S$5-1)*MAX(0,MIN(1,S$4*1-Inputs!$E$62+1))/1</f>
        <v>10</v>
      </c>
      <c r="T9" s="103" t="n">
        <f aca="false">Inputs!$E$59*(1+Inputs!$E$61)^(T$5-1)*MAX(0,MIN(1,T$4*1-Inputs!$E$62+1))/1</f>
        <v>10</v>
      </c>
      <c r="U9" s="103" t="n">
        <f aca="false">Inputs!$E$59*(1+Inputs!$E$61)^(U$5-1)*MAX(0,MIN(1,U$4*1-Inputs!$E$62+1))/1</f>
        <v>10</v>
      </c>
      <c r="V9" s="103" t="n">
        <f aca="false">Inputs!$E$59*(1+Inputs!$E$61)^(V$5-1)*MAX(0,MIN(1,V$4*1-Inputs!$E$62+1))/1</f>
        <v>10</v>
      </c>
      <c r="W9" s="103" t="n">
        <f aca="false">Inputs!$E$59*(1+Inputs!$E$61)^(W$5-1)*MAX(0,MIN(1,W$4*1-Inputs!$E$62+1))/1</f>
        <v>10</v>
      </c>
      <c r="X9" s="103" t="n">
        <f aca="false">Inputs!$E$59*(1+Inputs!$E$61)^(X$5-1)*MAX(0,MIN(1,X$4*1-Inputs!$E$62+1))/1</f>
        <v>10</v>
      </c>
      <c r="Y9" s="103" t="n">
        <f aca="false">Inputs!$E$59*(1+Inputs!$E$61)^(Y$5-1)*MAX(0,MIN(1,Y$4*1-Inputs!$E$62+1))/1</f>
        <v>10</v>
      </c>
      <c r="Z9" s="103" t="n">
        <f aca="false">Inputs!$E$59*(1+Inputs!$E$61)^(Z$5-1)*MAX(0,MIN(1,Z$4*1-Inputs!$E$62+1))/1</f>
        <v>10</v>
      </c>
      <c r="AA9" s="103" t="n">
        <f aca="false">Inputs!$E$59*(1+Inputs!$E$61)^(AA$5-1)*MAX(0,MIN(1,AA$4*1-Inputs!$E$62+1))/1</f>
        <v>10</v>
      </c>
      <c r="AB9" s="103" t="n">
        <f aca="false">Inputs!$E$59*(1+Inputs!$E$61)^(AB$5-1)*MAX(0,MIN(1,AB$4*1-Inputs!$E$62+1))/1</f>
        <v>10</v>
      </c>
      <c r="AC9" s="103" t="n">
        <f aca="false">Inputs!$E$59*(1+Inputs!$E$61)^(AC$5-1)*MAX(0,MIN(1,AC$4*1-Inputs!$E$62+1))/1</f>
        <v>10</v>
      </c>
      <c r="AD9" s="103" t="n">
        <f aca="false">Inputs!$E$59*(1+Inputs!$E$61)^(AD$5-1)*MAX(0,MIN(1,AD$4*1-Inputs!$E$62+1))/1</f>
        <v>10</v>
      </c>
      <c r="AE9" s="103" t="n">
        <f aca="false">Inputs!$E$59*(1+Inputs!$E$61)^(AE$5-1)*MAX(0,MIN(1,AE$4*1-Inputs!$E$62+1))/1</f>
        <v>10</v>
      </c>
      <c r="AF9" s="103" t="n">
        <f aca="false">Inputs!$E$59*(1+Inputs!$E$61)^(AF$5-1)*MAX(0,MIN(1,AF$4*1-Inputs!$E$62+1))/1</f>
        <v>10</v>
      </c>
      <c r="AG9" s="103" t="n">
        <f aca="false">Inputs!$E$59*(1+Inputs!$E$61)^(AG$5-1)*MAX(0,MIN(1,AG$4*1-Inputs!$E$62+1))/1</f>
        <v>10</v>
      </c>
      <c r="AH9" s="103" t="n">
        <f aca="false">Inputs!$E$59*(1+Inputs!$E$61)^(AH$5-1)*MAX(0,MIN(1,AH$4*1-Inputs!$E$62+1))/1</f>
        <v>10</v>
      </c>
      <c r="AI9" s="103" t="n">
        <f aca="false">Inputs!$E$59*(1+Inputs!$E$61)^(AI$5-1)*MAX(0,MIN(1,AI$4*1-Inputs!$E$62+1))/1</f>
        <v>10</v>
      </c>
      <c r="AJ9" s="103" t="n">
        <f aca="false">Inputs!$E$59*(1+Inputs!$E$61)^(AJ$5-1)*MAX(0,MIN(1,AJ$4*1-Inputs!$E$62+1))/1</f>
        <v>10</v>
      </c>
      <c r="AK9" s="103" t="n">
        <f aca="false">Inputs!$E$59*(1+Inputs!$E$61)^(AK$5-1)*MAX(0,MIN(1,AK$4*1-Inputs!$E$62+1))/1</f>
        <v>10</v>
      </c>
      <c r="AL9" s="103" t="n">
        <f aca="false">Inputs!$E$59*(1+Inputs!$E$61)^(AL$5-1)*MAX(0,MIN(1,AL$4*1-Inputs!$E$62+1))/1</f>
        <v>10</v>
      </c>
    </row>
    <row r="10" customFormat="false" ht="15" hidden="false" customHeight="false" outlineLevel="0" collapsed="false">
      <c r="A10" s="99" t="s">
        <v>418</v>
      </c>
      <c r="C10" s="109" t="n">
        <f aca="false">C8+C9</f>
        <v>11</v>
      </c>
      <c r="D10" s="109" t="n">
        <f aca="false">D8+D9</f>
        <v>11</v>
      </c>
      <c r="E10" s="109" t="n">
        <f aca="false">E8+E9</f>
        <v>11</v>
      </c>
      <c r="F10" s="109" t="n">
        <f aca="false">F8+F9</f>
        <v>11</v>
      </c>
      <c r="G10" s="109" t="n">
        <f aca="false">G8+G9</f>
        <v>11</v>
      </c>
      <c r="H10" s="109" t="n">
        <f aca="false">H8+H9</f>
        <v>11</v>
      </c>
      <c r="I10" s="109" t="n">
        <f aca="false">I8+I9</f>
        <v>11</v>
      </c>
      <c r="J10" s="109" t="n">
        <f aca="false">J8+J9</f>
        <v>11</v>
      </c>
      <c r="K10" s="109" t="n">
        <f aca="false">K8+K9</f>
        <v>11</v>
      </c>
      <c r="L10" s="109" t="n">
        <f aca="false">L8+L9</f>
        <v>11</v>
      </c>
      <c r="M10" s="109" t="n">
        <f aca="false">M8+M9</f>
        <v>11</v>
      </c>
      <c r="N10" s="109" t="n">
        <f aca="false">N8+N9</f>
        <v>11</v>
      </c>
      <c r="O10" s="109" t="n">
        <f aca="false">O8+O9</f>
        <v>11</v>
      </c>
      <c r="P10" s="109" t="n">
        <f aca="false">P8+P9</f>
        <v>11</v>
      </c>
      <c r="Q10" s="109" t="n">
        <f aca="false">Q8+Q9</f>
        <v>11</v>
      </c>
      <c r="R10" s="109" t="n">
        <f aca="false">R8+R9</f>
        <v>11</v>
      </c>
      <c r="S10" s="109" t="n">
        <f aca="false">S8+S9</f>
        <v>11</v>
      </c>
      <c r="T10" s="109" t="n">
        <f aca="false">T8+T9</f>
        <v>11</v>
      </c>
      <c r="U10" s="109" t="n">
        <f aca="false">U8+U9</f>
        <v>11</v>
      </c>
      <c r="V10" s="109" t="n">
        <f aca="false">V8+V9</f>
        <v>11</v>
      </c>
      <c r="W10" s="109" t="n">
        <f aca="false">W8+W9</f>
        <v>11</v>
      </c>
      <c r="X10" s="109" t="n">
        <f aca="false">X8+X9</f>
        <v>11</v>
      </c>
      <c r="Y10" s="109" t="n">
        <f aca="false">Y8+Y9</f>
        <v>11</v>
      </c>
      <c r="Z10" s="109" t="n">
        <f aca="false">Z8+Z9</f>
        <v>11</v>
      </c>
      <c r="AA10" s="109" t="n">
        <f aca="false">AA8+AA9</f>
        <v>11</v>
      </c>
      <c r="AB10" s="109" t="n">
        <f aca="false">AB8+AB9</f>
        <v>11</v>
      </c>
      <c r="AC10" s="109" t="n">
        <f aca="false">AC8+AC9</f>
        <v>11</v>
      </c>
      <c r="AD10" s="109" t="n">
        <f aca="false">AD8+AD9</f>
        <v>11</v>
      </c>
      <c r="AE10" s="109" t="n">
        <f aca="false">AE8+AE9</f>
        <v>11</v>
      </c>
      <c r="AF10" s="109" t="n">
        <f aca="false">AF8+AF9</f>
        <v>11</v>
      </c>
      <c r="AG10" s="109" t="n">
        <f aca="false">AG8+AG9</f>
        <v>11</v>
      </c>
      <c r="AH10" s="109" t="n">
        <f aca="false">AH8+AH9</f>
        <v>11</v>
      </c>
      <c r="AI10" s="109" t="n">
        <f aca="false">AI8+AI9</f>
        <v>11</v>
      </c>
      <c r="AJ10" s="109" t="n">
        <f aca="false">AJ8+AJ9</f>
        <v>11</v>
      </c>
      <c r="AK10" s="109" t="n">
        <f aca="false">AK8+AK9</f>
        <v>11</v>
      </c>
      <c r="AL10" s="109" t="n">
        <f aca="false">AL8+AL9</f>
        <v>11</v>
      </c>
    </row>
    <row r="12" customFormat="false" ht="15.75" hidden="false" customHeight="true" outlineLevel="0" collapsed="false">
      <c r="A12" s="7" t="s">
        <v>419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customFormat="false" ht="15" hidden="false" customHeight="false" outlineLevel="0" collapsed="false">
      <c r="A13" s="6" t="s">
        <v>420</v>
      </c>
      <c r="C13" s="54" t="n">
        <f aca="false">-C8*Inputs!$E$56/12*1*(1+Inputs!$E$63)*(1+Inputs!$E$64)^(C$5-1)</f>
        <v>-6720</v>
      </c>
      <c r="D13" s="54" t="n">
        <f aca="false">-D8*Inputs!$E$56/12*1*(1+Inputs!$E$63)*(1+Inputs!$E$64)^(D$5-1)</f>
        <v>-6720</v>
      </c>
      <c r="E13" s="54" t="n">
        <f aca="false">-E8*Inputs!$E$56/12*1*(1+Inputs!$E$63)*(1+Inputs!$E$64)^(E$5-1)</f>
        <v>-6720</v>
      </c>
      <c r="F13" s="54" t="n">
        <f aca="false">-F8*Inputs!$E$56/12*1*(1+Inputs!$E$63)*(1+Inputs!$E$64)^(F$5-1)</f>
        <v>-6720</v>
      </c>
      <c r="G13" s="54" t="n">
        <f aca="false">-G8*Inputs!$E$56/12*1*(1+Inputs!$E$63)*(1+Inputs!$E$64)^(G$5-1)</f>
        <v>-6720</v>
      </c>
      <c r="H13" s="54" t="n">
        <f aca="false">-H8*Inputs!$E$56/12*1*(1+Inputs!$E$63)*(1+Inputs!$E$64)^(H$5-1)</f>
        <v>-6720</v>
      </c>
      <c r="I13" s="54" t="n">
        <f aca="false">-I8*Inputs!$E$56/12*1*(1+Inputs!$E$63)*(1+Inputs!$E$64)^(I$5-1)</f>
        <v>-6720</v>
      </c>
      <c r="J13" s="54" t="n">
        <f aca="false">-J8*Inputs!$E$56/12*1*(1+Inputs!$E$63)*(1+Inputs!$E$64)^(J$5-1)</f>
        <v>-6720</v>
      </c>
      <c r="K13" s="54" t="n">
        <f aca="false">-K8*Inputs!$E$56/12*1*(1+Inputs!$E$63)*(1+Inputs!$E$64)^(K$5-1)</f>
        <v>-6720</v>
      </c>
      <c r="L13" s="54" t="n">
        <f aca="false">-L8*Inputs!$E$56/12*1*(1+Inputs!$E$63)*(1+Inputs!$E$64)^(L$5-1)</f>
        <v>-6720</v>
      </c>
      <c r="M13" s="54" t="n">
        <f aca="false">-M8*Inputs!$E$56/12*1*(1+Inputs!$E$63)*(1+Inputs!$E$64)^(M$5-1)</f>
        <v>-6720</v>
      </c>
      <c r="N13" s="54" t="n">
        <f aca="false">-N8*Inputs!$E$56/12*1*(1+Inputs!$E$63)*(1+Inputs!$E$64)^(N$5-1)</f>
        <v>-6720</v>
      </c>
      <c r="O13" s="54" t="n">
        <f aca="false">-O8*Inputs!$E$56/12*1*(1+Inputs!$E$63)*(1+Inputs!$E$64)^(O$5-1)</f>
        <v>-6921.6</v>
      </c>
      <c r="P13" s="54" t="n">
        <f aca="false">-P8*Inputs!$E$56/12*1*(1+Inputs!$E$63)*(1+Inputs!$E$64)^(P$5-1)</f>
        <v>-6921.6</v>
      </c>
      <c r="Q13" s="54" t="n">
        <f aca="false">-Q8*Inputs!$E$56/12*1*(1+Inputs!$E$63)*(1+Inputs!$E$64)^(Q$5-1)</f>
        <v>-6921.6</v>
      </c>
      <c r="R13" s="54" t="n">
        <f aca="false">-R8*Inputs!$E$56/12*1*(1+Inputs!$E$63)*(1+Inputs!$E$64)^(R$5-1)</f>
        <v>-6921.6</v>
      </c>
      <c r="S13" s="54" t="n">
        <f aca="false">-S8*Inputs!$E$56/12*1*(1+Inputs!$E$63)*(1+Inputs!$E$64)^(S$5-1)</f>
        <v>-6921.6</v>
      </c>
      <c r="T13" s="54" t="n">
        <f aca="false">-T8*Inputs!$E$56/12*1*(1+Inputs!$E$63)*(1+Inputs!$E$64)^(T$5-1)</f>
        <v>-6921.6</v>
      </c>
      <c r="U13" s="54" t="n">
        <f aca="false">-U8*Inputs!$E$56/12*1*(1+Inputs!$E$63)*(1+Inputs!$E$64)^(U$5-1)</f>
        <v>-6921.6</v>
      </c>
      <c r="V13" s="54" t="n">
        <f aca="false">-V8*Inputs!$E$56/12*1*(1+Inputs!$E$63)*(1+Inputs!$E$64)^(V$5-1)</f>
        <v>-6921.6</v>
      </c>
      <c r="W13" s="54" t="n">
        <f aca="false">-W8*Inputs!$E$56/12*1*(1+Inputs!$E$63)*(1+Inputs!$E$64)^(W$5-1)</f>
        <v>-6921.6</v>
      </c>
      <c r="X13" s="54" t="n">
        <f aca="false">-X8*Inputs!$E$56/12*1*(1+Inputs!$E$63)*(1+Inputs!$E$64)^(X$5-1)</f>
        <v>-6921.6</v>
      </c>
      <c r="Y13" s="54" t="n">
        <f aca="false">-Y8*Inputs!$E$56/12*1*(1+Inputs!$E$63)*(1+Inputs!$E$64)^(Y$5-1)</f>
        <v>-6921.6</v>
      </c>
      <c r="Z13" s="54" t="n">
        <f aca="false">-Z8*Inputs!$E$56/12*1*(1+Inputs!$E$63)*(1+Inputs!$E$64)^(Z$5-1)</f>
        <v>-6921.6</v>
      </c>
      <c r="AA13" s="54" t="n">
        <f aca="false">-AA8*Inputs!$E$56/12*1*(1+Inputs!$E$63)*(1+Inputs!$E$64)^(AA$5-1)</f>
        <v>-7129.248</v>
      </c>
      <c r="AB13" s="54" t="n">
        <f aca="false">-AB8*Inputs!$E$56/12*1*(1+Inputs!$E$63)*(1+Inputs!$E$64)^(AB$5-1)</f>
        <v>-7129.248</v>
      </c>
      <c r="AC13" s="54" t="n">
        <f aca="false">-AC8*Inputs!$E$56/12*1*(1+Inputs!$E$63)*(1+Inputs!$E$64)^(AC$5-1)</f>
        <v>-7129.248</v>
      </c>
      <c r="AD13" s="54" t="n">
        <f aca="false">-AD8*Inputs!$E$56/12*1*(1+Inputs!$E$63)*(1+Inputs!$E$64)^(AD$5-1)</f>
        <v>-7129.248</v>
      </c>
      <c r="AE13" s="54" t="n">
        <f aca="false">-AE8*Inputs!$E$56/12*1*(1+Inputs!$E$63)*(1+Inputs!$E$64)^(AE$5-1)</f>
        <v>-7129.248</v>
      </c>
      <c r="AF13" s="54" t="n">
        <f aca="false">-AF8*Inputs!$E$56/12*1*(1+Inputs!$E$63)*(1+Inputs!$E$64)^(AF$5-1)</f>
        <v>-7129.248</v>
      </c>
      <c r="AG13" s="54" t="n">
        <f aca="false">-AG8*Inputs!$E$56/12*1*(1+Inputs!$E$63)*(1+Inputs!$E$64)^(AG$5-1)</f>
        <v>-7129.248</v>
      </c>
      <c r="AH13" s="54" t="n">
        <f aca="false">-AH8*Inputs!$E$56/12*1*(1+Inputs!$E$63)*(1+Inputs!$E$64)^(AH$5-1)</f>
        <v>-7129.248</v>
      </c>
      <c r="AI13" s="54" t="n">
        <f aca="false">-AI8*Inputs!$E$56/12*1*(1+Inputs!$E$63)*(1+Inputs!$E$64)^(AI$5-1)</f>
        <v>-7129.248</v>
      </c>
      <c r="AJ13" s="54" t="n">
        <f aca="false">-AJ8*Inputs!$E$56/12*1*(1+Inputs!$E$63)*(1+Inputs!$E$64)^(AJ$5-1)</f>
        <v>-7129.248</v>
      </c>
      <c r="AK13" s="54" t="n">
        <f aca="false">-AK8*Inputs!$E$56/12*1*(1+Inputs!$E$63)*(1+Inputs!$E$64)^(AK$5-1)</f>
        <v>-7129.248</v>
      </c>
      <c r="AL13" s="54" t="n">
        <f aca="false">-AL8*Inputs!$E$56/12*1*(1+Inputs!$E$63)*(1+Inputs!$E$64)^(AL$5-1)</f>
        <v>-7129.248</v>
      </c>
    </row>
    <row r="14" customFormat="false" ht="15" hidden="false" customHeight="false" outlineLevel="0" collapsed="false">
      <c r="A14" s="6" t="s">
        <v>421</v>
      </c>
      <c r="C14" s="54" t="n">
        <f aca="false">-C9*Inputs!$E$60/12*1*(1+Inputs!$E$63)*(1+Inputs!$E$64)^(C$5-1)</f>
        <v>-29866.6666666667</v>
      </c>
      <c r="D14" s="54" t="n">
        <f aca="false">-D9*Inputs!$E$60/12*1*(1+Inputs!$E$63)*(1+Inputs!$E$64)^(D$5-1)</f>
        <v>-29866.6666666667</v>
      </c>
      <c r="E14" s="54" t="n">
        <f aca="false">-E9*Inputs!$E$60/12*1*(1+Inputs!$E$63)*(1+Inputs!$E$64)^(E$5-1)</f>
        <v>-29866.6666666667</v>
      </c>
      <c r="F14" s="54" t="n">
        <f aca="false">-F9*Inputs!$E$60/12*1*(1+Inputs!$E$63)*(1+Inputs!$E$64)^(F$5-1)</f>
        <v>-29866.6666666667</v>
      </c>
      <c r="G14" s="54" t="n">
        <f aca="false">-G9*Inputs!$E$60/12*1*(1+Inputs!$E$63)*(1+Inputs!$E$64)^(G$5-1)</f>
        <v>-29866.6666666667</v>
      </c>
      <c r="H14" s="54" t="n">
        <f aca="false">-H9*Inputs!$E$60/12*1*(1+Inputs!$E$63)*(1+Inputs!$E$64)^(H$5-1)</f>
        <v>-29866.6666666667</v>
      </c>
      <c r="I14" s="54" t="n">
        <f aca="false">-I9*Inputs!$E$60/12*1*(1+Inputs!$E$63)*(1+Inputs!$E$64)^(I$5-1)</f>
        <v>-29866.6666666667</v>
      </c>
      <c r="J14" s="54" t="n">
        <f aca="false">-J9*Inputs!$E$60/12*1*(1+Inputs!$E$63)*(1+Inputs!$E$64)^(J$5-1)</f>
        <v>-29866.6666666667</v>
      </c>
      <c r="K14" s="54" t="n">
        <f aca="false">-K9*Inputs!$E$60/12*1*(1+Inputs!$E$63)*(1+Inputs!$E$64)^(K$5-1)</f>
        <v>-29866.6666666667</v>
      </c>
      <c r="L14" s="54" t="n">
        <f aca="false">-L9*Inputs!$E$60/12*1*(1+Inputs!$E$63)*(1+Inputs!$E$64)^(L$5-1)</f>
        <v>-29866.6666666667</v>
      </c>
      <c r="M14" s="54" t="n">
        <f aca="false">-M9*Inputs!$E$60/12*1*(1+Inputs!$E$63)*(1+Inputs!$E$64)^(M$5-1)</f>
        <v>-29866.6666666667</v>
      </c>
      <c r="N14" s="54" t="n">
        <f aca="false">-N9*Inputs!$E$60/12*1*(1+Inputs!$E$63)*(1+Inputs!$E$64)^(N$5-1)</f>
        <v>-29866.6666666667</v>
      </c>
      <c r="O14" s="54" t="n">
        <f aca="false">-O9*Inputs!$E$60/12*1*(1+Inputs!$E$63)*(1+Inputs!$E$64)^(O$5-1)</f>
        <v>-30762.6666666667</v>
      </c>
      <c r="P14" s="54" t="n">
        <f aca="false">-P9*Inputs!$E$60/12*1*(1+Inputs!$E$63)*(1+Inputs!$E$64)^(P$5-1)</f>
        <v>-30762.6666666667</v>
      </c>
      <c r="Q14" s="54" t="n">
        <f aca="false">-Q9*Inputs!$E$60/12*1*(1+Inputs!$E$63)*(1+Inputs!$E$64)^(Q$5-1)</f>
        <v>-30762.6666666667</v>
      </c>
      <c r="R14" s="54" t="n">
        <f aca="false">-R9*Inputs!$E$60/12*1*(1+Inputs!$E$63)*(1+Inputs!$E$64)^(R$5-1)</f>
        <v>-30762.6666666667</v>
      </c>
      <c r="S14" s="54" t="n">
        <f aca="false">-S9*Inputs!$E$60/12*1*(1+Inputs!$E$63)*(1+Inputs!$E$64)^(S$5-1)</f>
        <v>-30762.6666666667</v>
      </c>
      <c r="T14" s="54" t="n">
        <f aca="false">-T9*Inputs!$E$60/12*1*(1+Inputs!$E$63)*(1+Inputs!$E$64)^(T$5-1)</f>
        <v>-30762.6666666667</v>
      </c>
      <c r="U14" s="54" t="n">
        <f aca="false">-U9*Inputs!$E$60/12*1*(1+Inputs!$E$63)*(1+Inputs!$E$64)^(U$5-1)</f>
        <v>-30762.6666666667</v>
      </c>
      <c r="V14" s="54" t="n">
        <f aca="false">-V9*Inputs!$E$60/12*1*(1+Inputs!$E$63)*(1+Inputs!$E$64)^(V$5-1)</f>
        <v>-30762.6666666667</v>
      </c>
      <c r="W14" s="54" t="n">
        <f aca="false">-W9*Inputs!$E$60/12*1*(1+Inputs!$E$63)*(1+Inputs!$E$64)^(W$5-1)</f>
        <v>-30762.6666666667</v>
      </c>
      <c r="X14" s="54" t="n">
        <f aca="false">-X9*Inputs!$E$60/12*1*(1+Inputs!$E$63)*(1+Inputs!$E$64)^(X$5-1)</f>
        <v>-30762.6666666667</v>
      </c>
      <c r="Y14" s="54" t="n">
        <f aca="false">-Y9*Inputs!$E$60/12*1*(1+Inputs!$E$63)*(1+Inputs!$E$64)^(Y$5-1)</f>
        <v>-30762.6666666667</v>
      </c>
      <c r="Z14" s="54" t="n">
        <f aca="false">-Z9*Inputs!$E$60/12*1*(1+Inputs!$E$63)*(1+Inputs!$E$64)^(Z$5-1)</f>
        <v>-30762.6666666667</v>
      </c>
      <c r="AA14" s="54" t="n">
        <f aca="false">-AA9*Inputs!$E$60/12*1*(1+Inputs!$E$63)*(1+Inputs!$E$64)^(AA$5-1)</f>
        <v>-31685.5466666667</v>
      </c>
      <c r="AB14" s="54" t="n">
        <f aca="false">-AB9*Inputs!$E$60/12*1*(1+Inputs!$E$63)*(1+Inputs!$E$64)^(AB$5-1)</f>
        <v>-31685.5466666667</v>
      </c>
      <c r="AC14" s="54" t="n">
        <f aca="false">-AC9*Inputs!$E$60/12*1*(1+Inputs!$E$63)*(1+Inputs!$E$64)^(AC$5-1)</f>
        <v>-31685.5466666667</v>
      </c>
      <c r="AD14" s="54" t="n">
        <f aca="false">-AD9*Inputs!$E$60/12*1*(1+Inputs!$E$63)*(1+Inputs!$E$64)^(AD$5-1)</f>
        <v>-31685.5466666667</v>
      </c>
      <c r="AE14" s="54" t="n">
        <f aca="false">-AE9*Inputs!$E$60/12*1*(1+Inputs!$E$63)*(1+Inputs!$E$64)^(AE$5-1)</f>
        <v>-31685.5466666667</v>
      </c>
      <c r="AF14" s="54" t="n">
        <f aca="false">-AF9*Inputs!$E$60/12*1*(1+Inputs!$E$63)*(1+Inputs!$E$64)^(AF$5-1)</f>
        <v>-31685.5466666667</v>
      </c>
      <c r="AG14" s="54" t="n">
        <f aca="false">-AG9*Inputs!$E$60/12*1*(1+Inputs!$E$63)*(1+Inputs!$E$64)^(AG$5-1)</f>
        <v>-31685.5466666667</v>
      </c>
      <c r="AH14" s="54" t="n">
        <f aca="false">-AH9*Inputs!$E$60/12*1*(1+Inputs!$E$63)*(1+Inputs!$E$64)^(AH$5-1)</f>
        <v>-31685.5466666667</v>
      </c>
      <c r="AI14" s="54" t="n">
        <f aca="false">-AI9*Inputs!$E$60/12*1*(1+Inputs!$E$63)*(1+Inputs!$E$64)^(AI$5-1)</f>
        <v>-31685.5466666667</v>
      </c>
      <c r="AJ14" s="54" t="n">
        <f aca="false">-AJ9*Inputs!$E$60/12*1*(1+Inputs!$E$63)*(1+Inputs!$E$64)^(AJ$5-1)</f>
        <v>-31685.5466666667</v>
      </c>
      <c r="AK14" s="54" t="n">
        <f aca="false">-AK9*Inputs!$E$60/12*1*(1+Inputs!$E$63)*(1+Inputs!$E$64)^(AK$5-1)</f>
        <v>-31685.5466666667</v>
      </c>
      <c r="AL14" s="54" t="n">
        <f aca="false">-AL9*Inputs!$E$60/12*1*(1+Inputs!$E$63)*(1+Inputs!$E$64)^(AL$5-1)</f>
        <v>-31685.5466666667</v>
      </c>
    </row>
    <row r="15" customFormat="false" ht="15" hidden="false" customHeight="false" outlineLevel="0" collapsed="false">
      <c r="A15" s="99" t="s">
        <v>422</v>
      </c>
      <c r="C15" s="55" t="n">
        <f aca="false">C13+C14</f>
        <v>-36586.6666666667</v>
      </c>
      <c r="D15" s="55" t="n">
        <f aca="false">D13+D14</f>
        <v>-36586.6666666667</v>
      </c>
      <c r="E15" s="55" t="n">
        <f aca="false">E13+E14</f>
        <v>-36586.6666666667</v>
      </c>
      <c r="F15" s="55" t="n">
        <f aca="false">F13+F14</f>
        <v>-36586.6666666667</v>
      </c>
      <c r="G15" s="55" t="n">
        <f aca="false">G13+G14</f>
        <v>-36586.6666666667</v>
      </c>
      <c r="H15" s="55" t="n">
        <f aca="false">H13+H14</f>
        <v>-36586.6666666667</v>
      </c>
      <c r="I15" s="55" t="n">
        <f aca="false">I13+I14</f>
        <v>-36586.6666666667</v>
      </c>
      <c r="J15" s="55" t="n">
        <f aca="false">J13+J14</f>
        <v>-36586.6666666667</v>
      </c>
      <c r="K15" s="55" t="n">
        <f aca="false">K13+K14</f>
        <v>-36586.6666666667</v>
      </c>
      <c r="L15" s="55" t="n">
        <f aca="false">L13+L14</f>
        <v>-36586.6666666667</v>
      </c>
      <c r="M15" s="55" t="n">
        <f aca="false">M13+M14</f>
        <v>-36586.6666666667</v>
      </c>
      <c r="N15" s="55" t="n">
        <f aca="false">N13+N14</f>
        <v>-36586.6666666667</v>
      </c>
      <c r="O15" s="55" t="n">
        <f aca="false">O13+O14</f>
        <v>-37684.2666666667</v>
      </c>
      <c r="P15" s="55" t="n">
        <f aca="false">P13+P14</f>
        <v>-37684.2666666667</v>
      </c>
      <c r="Q15" s="55" t="n">
        <f aca="false">Q13+Q14</f>
        <v>-37684.2666666667</v>
      </c>
      <c r="R15" s="55" t="n">
        <f aca="false">R13+R14</f>
        <v>-37684.2666666667</v>
      </c>
      <c r="S15" s="55" t="n">
        <f aca="false">S13+S14</f>
        <v>-37684.2666666667</v>
      </c>
      <c r="T15" s="55" t="n">
        <f aca="false">T13+T14</f>
        <v>-37684.2666666667</v>
      </c>
      <c r="U15" s="55" t="n">
        <f aca="false">U13+U14</f>
        <v>-37684.2666666667</v>
      </c>
      <c r="V15" s="55" t="n">
        <f aca="false">V13+V14</f>
        <v>-37684.2666666667</v>
      </c>
      <c r="W15" s="55" t="n">
        <f aca="false">W13+W14</f>
        <v>-37684.2666666667</v>
      </c>
      <c r="X15" s="55" t="n">
        <f aca="false">X13+X14</f>
        <v>-37684.2666666667</v>
      </c>
      <c r="Y15" s="55" t="n">
        <f aca="false">Y13+Y14</f>
        <v>-37684.2666666667</v>
      </c>
      <c r="Z15" s="55" t="n">
        <f aca="false">Z13+Z14</f>
        <v>-37684.2666666667</v>
      </c>
      <c r="AA15" s="55" t="n">
        <f aca="false">AA13+AA14</f>
        <v>-38814.7946666667</v>
      </c>
      <c r="AB15" s="55" t="n">
        <f aca="false">AB13+AB14</f>
        <v>-38814.7946666667</v>
      </c>
      <c r="AC15" s="55" t="n">
        <f aca="false">AC13+AC14</f>
        <v>-38814.7946666667</v>
      </c>
      <c r="AD15" s="55" t="n">
        <f aca="false">AD13+AD14</f>
        <v>-38814.7946666667</v>
      </c>
      <c r="AE15" s="55" t="n">
        <f aca="false">AE13+AE14</f>
        <v>-38814.7946666667</v>
      </c>
      <c r="AF15" s="55" t="n">
        <f aca="false">AF13+AF14</f>
        <v>-38814.7946666667</v>
      </c>
      <c r="AG15" s="55" t="n">
        <f aca="false">AG13+AG14</f>
        <v>-38814.7946666667</v>
      </c>
      <c r="AH15" s="55" t="n">
        <f aca="false">AH13+AH14</f>
        <v>-38814.7946666667</v>
      </c>
      <c r="AI15" s="55" t="n">
        <f aca="false">AI13+AI14</f>
        <v>-38814.7946666667</v>
      </c>
      <c r="AJ15" s="55" t="n">
        <f aca="false">AJ13+AJ14</f>
        <v>-38814.7946666667</v>
      </c>
      <c r="AK15" s="55" t="n">
        <f aca="false">AK13+AK14</f>
        <v>-38814.7946666667</v>
      </c>
      <c r="AL15" s="55" t="n">
        <f aca="false">AL13+AL14</f>
        <v>-38814.7946666667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423</v>
      </c>
    </row>
    <row r="3" customFormat="false" ht="15" hidden="false" customHeight="false" outlineLevel="0" collapsed="false">
      <c r="A3" s="33" t="s">
        <v>424</v>
      </c>
      <c r="B3" s="33" t="s">
        <v>425</v>
      </c>
      <c r="C3" s="33" t="s">
        <v>426</v>
      </c>
    </row>
    <row r="4" customFormat="false" ht="15" hidden="false" customHeight="false" outlineLevel="0" collapsed="false">
      <c r="A4" s="6" t="s">
        <v>427</v>
      </c>
      <c r="B4" s="4" t="str">
        <f aca="false">IF(ABS(SUM('P&amp;L'!$B$5:$D$5)-SUM(Monthly!$C$37:$AL$37))&lt;0.5,"PASS","FAIL")</f>
        <v>PASS</v>
      </c>
      <c r="C4" s="18" t="s">
        <v>428</v>
      </c>
    </row>
    <row r="5" customFormat="false" ht="15" hidden="false" customHeight="false" outlineLevel="0" collapsed="false">
      <c r="A5" s="6" t="s">
        <v>429</v>
      </c>
      <c r="B5" s="4" t="str">
        <f aca="false">IF(ABS(SUM('P&amp;L'!$B$22:$D$22)-SUM(Monthly!$C$64:$AL$64))&lt;0.5,"PASS","FAIL")</f>
        <v>PASS</v>
      </c>
      <c r="C5" s="18" t="s">
        <v>430</v>
      </c>
    </row>
    <row r="6" customFormat="false" ht="15" hidden="false" customHeight="false" outlineLevel="0" collapsed="false">
      <c r="A6" s="6" t="s">
        <v>431</v>
      </c>
      <c r="B6" s="4" t="str">
        <f aca="false">IF(ABS(SUM(Monthly!$C$55:$AL$55)-SUM(Monthly!$C$46:$AL$46)-SUM(Monthly!$C$54:$AL$54))&lt;0.5,"PASS","FAIL")</f>
        <v>PASS</v>
      </c>
      <c r="C6" s="18" t="s">
        <v>432</v>
      </c>
    </row>
    <row r="7" customFormat="false" ht="15" hidden="false" customHeight="false" outlineLevel="0" collapsed="false">
      <c r="A7" s="6" t="s">
        <v>433</v>
      </c>
      <c r="B7" s="4" t="str">
        <f aca="false">IF(ABS(INDEX(Monthly!$C$98:$AL$98,36)-SUM(Monthly!$C$96:$AL$96))&lt;0.5,"PASS","FAIL")</f>
        <v>PASS</v>
      </c>
      <c r="C7" s="18" t="s">
        <v>434</v>
      </c>
    </row>
    <row r="8" customFormat="false" ht="15" hidden="false" customHeight="false" outlineLevel="0" collapsed="false">
      <c r="A8" s="6" t="s">
        <v>435</v>
      </c>
      <c r="B8" s="4" t="str">
        <f aca="false">IF(AND(ISNUMBER(Dashboard!B4),Dashboard!B4&gt;=1,Dashboard!B4&lt;=3,INT(Dashboard!B4)=Dashboard!B4),"PASS","FAIL")</f>
        <v>PASS</v>
      </c>
      <c r="C8" s="18" t="s">
        <v>436</v>
      </c>
    </row>
    <row r="9" customFormat="false" ht="15" hidden="false" customHeight="false" outlineLevel="0" collapsed="false">
      <c r="A9" s="6" t="s">
        <v>437</v>
      </c>
      <c r="B9" s="4" t="str">
        <f aca="false">IF(AND(Inputs!$B$7&lt;=Inputs!$C$7,Inputs!$C$7&lt;=Inputs!$D$7,Inputs!$B$9&gt;=Inputs!$C$9,Inputs!$C$9&gt;=Inputs!$D$9,Inputs!$B$10&lt;=Inputs!$C$10,Inputs!$C$10&lt;=Inputs!$D$10,Inputs!$B$11&gt;=Inputs!$C$11,Inputs!$C$11&gt;=Inputs!$D$11,Inputs!$B$19&lt;=Inputs!$C$19,Inputs!$C$19&lt;=Inputs!$D$19,Inputs!$B$20&lt;=Inputs!$C$20,Inputs!$C$20&lt;=Inputs!$D$20,Inputs!$B$21&lt;=Inputs!$C$21,Inputs!$C$21&lt;=Inputs!$D$21,Inputs!$B$22&lt;=Inputs!$C$22,Inputs!$C$22&lt;=Inputs!$D$22,Inputs!$B$23&gt;=Inputs!$C$23,Inputs!$C$23&gt;=Inputs!$D$23,Inputs!$B$24&gt;=Inputs!$C$24,Inputs!$C$24&gt;=Inputs!$D$24,Inputs!$B$27&lt;=Inputs!$C$27,Inputs!$C$27&lt;=Inputs!$D$27,Inputs!$B$28&lt;=Inputs!$C$28,Inputs!$C$28&lt;=Inputs!$D$28,Inputs!$B$29&lt;=Inputs!$C$29,Inputs!$C$29&lt;=Inputs!$D$29,Inputs!$B$30&lt;=Inputs!$C$30,Inputs!$C$30&lt;=Inputs!$D$30,Inputs!$B$33&gt;=Inputs!$C$33,Inputs!$C$33&gt;=Inputs!$D$33,Inputs!$B$34&gt;=Inputs!$C$34,Inputs!$C$34&gt;=Inputs!$D$34,Inputs!$B$35&gt;=Inputs!$C$35,Inputs!$C$35&gt;=Inputs!$D$35,Inputs!$B$36&gt;=Inputs!$C$36,Inputs!$C$36&gt;=Inputs!$D$36,Inputs!$B$37&gt;=Inputs!$C$37,Inputs!$C$37&gt;=Inputs!$D$37,Inputs!$B$38&gt;=Inputs!$C$38,Inputs!$C$38&gt;=Inputs!$D$38,Inputs!$B$46&lt;=Inputs!$C$46,Inputs!$C$46&lt;=Inputs!$D$46,Inputs!$B$55&lt;=Inputs!$C$55,Inputs!$C$55&lt;=Inputs!$D$55,Inputs!$B$57&lt;=Inputs!$C$57,Inputs!$C$57&lt;=Inputs!$D$57,Inputs!$B$59&lt;=Inputs!$C$59,Inputs!$C$59&lt;=Inputs!$D$59,Inputs!$B$61&lt;=Inputs!$C$61,Inputs!$C$61&lt;=Inputs!$D$61,Inputs!$B$85&gt;=Inputs!$C$85,Inputs!$C$85&gt;=Inputs!$D$85,Inputs!$B$86&lt;=Inputs!$C$86,Inputs!$C$86&lt;=Inputs!$D$86,Inputs!$B$87&lt;=Inputs!$C$87,Inputs!$C$87&lt;=Inputs!$D$87),"PASS","FAIL")</f>
        <v>PASS</v>
      </c>
      <c r="C9" s="18" t="s">
        <v>438</v>
      </c>
    </row>
    <row r="10" customFormat="false" ht="15" hidden="false" customHeight="false" outlineLevel="0" collapsed="false">
      <c r="A10" s="6" t="s">
        <v>439</v>
      </c>
      <c r="B10" s="4" t="str">
        <f aca="false">IF(AND(MIN('P&amp;L'!$B$8:$D$8)&gt;=0,MAX('P&amp;L'!$B$8:$D$8)&lt;=1),"PASS","FAIL")</f>
        <v>PASS</v>
      </c>
      <c r="C10" s="18" t="s">
        <v>440</v>
      </c>
    </row>
    <row r="11" customFormat="false" ht="15" hidden="false" customHeight="false" outlineLevel="0" collapsed="false">
      <c r="A11" s="6" t="s">
        <v>441</v>
      </c>
      <c r="B11" s="4" t="str">
        <f aca="false">IF(MIN(Monthly!$C$81:$AL$81)&gt;=-0.5,"PASS","FAIL")</f>
        <v>PASS</v>
      </c>
      <c r="C11" s="18" t="s">
        <v>442</v>
      </c>
    </row>
    <row r="12" customFormat="false" ht="15" hidden="false" customHeight="false" outlineLevel="0" collapsed="false">
      <c r="A12" s="6" t="s">
        <v>443</v>
      </c>
      <c r="B12" s="4" t="str">
        <f aca="false">IF(ABS('Break-even'!B18-('Break-even'!B16-'Break-even'!B10))&lt;0.5,"PASS","FAIL")</f>
        <v>PASS</v>
      </c>
      <c r="C12" s="18" t="s">
        <v>444</v>
      </c>
    </row>
    <row r="13" customFormat="false" ht="15" hidden="false" customHeight="false" outlineLevel="0" collapsed="false">
      <c r="A13" s="6" t="s">
        <v>445</v>
      </c>
      <c r="B13" s="4" t="str">
        <f aca="false">IF(ABS(Valuation!B23-NPV(Valuation!B6,Valuation!$B$17:$D$17))&lt;0.5,"PASS","FAIL")</f>
        <v>PASS</v>
      </c>
      <c r="C13" s="18" t="s">
        <v>446</v>
      </c>
    </row>
    <row r="14" customFormat="false" ht="15" hidden="false" customHeight="false" outlineLevel="0" collapsed="false">
      <c r="A14" s="6" t="s">
        <v>447</v>
      </c>
      <c r="B14" s="4" t="str">
        <f aca="false">IF(Valuation!B6&gt;Valuation!B7,"PASS","FAIL")</f>
        <v>PASS</v>
      </c>
      <c r="C14" s="18" t="s">
        <v>448</v>
      </c>
    </row>
    <row r="15" customFormat="false" ht="15" hidden="false" customHeight="false" outlineLevel="0" collapsed="false">
      <c r="A15" s="6" t="s">
        <v>449</v>
      </c>
      <c r="B15" s="4" t="str">
        <f aca="false">IF(ABS(Valuation!D36-Valuation!B27)&lt;0.5,"PASS","FAIL")</f>
        <v>PASS</v>
      </c>
      <c r="C15" s="18" t="s">
        <v>450</v>
      </c>
    </row>
    <row r="16" customFormat="false" ht="15" hidden="false" customHeight="false" outlineLevel="0" collapsed="false">
      <c r="A16" s="6" t="s">
        <v>451</v>
      </c>
      <c r="B16" s="4" t="str">
        <f aca="false">IF(Valuation!$D$17&gt;0,"PASS","WARN")</f>
        <v>PASS</v>
      </c>
      <c r="C16" s="18" t="s">
        <v>452</v>
      </c>
    </row>
    <row r="17" customFormat="false" ht="15" hidden="false" customHeight="false" outlineLevel="0" collapsed="false">
      <c r="A17" s="6" t="s">
        <v>453</v>
      </c>
      <c r="B17" s="4" t="str">
        <f aca="false">IF(ABS('Sources &amp; Uses'!B21-'Sources &amp; Uses'!B28)&lt;0.5,"PASS","FAIL")</f>
        <v>PASS</v>
      </c>
      <c r="C17" s="18" t="s">
        <v>454</v>
      </c>
    </row>
    <row r="18" customFormat="false" ht="15" hidden="false" customHeight="false" outlineLevel="0" collapsed="false">
      <c r="A18" s="6" t="s">
        <v>455</v>
      </c>
      <c r="B18" s="4" t="str">
        <f aca="false">IF(SUMPRODUCT(--ISERROR(Monthly!$C$4:$AL$116))+SUMPRODUCT(--ISERROR(Headcount!$C$4:$AL$15))+SUMPRODUCT(--ISERROR('P&amp;L'!$B$3:$D$23))+SUMPRODUCT(--ISERROR('Cash Flow'!$B$3:$D$18))+SUMPRODUCT(--ISERROR('Balance Sheet'!$B$3:$D$17))+SUMPRODUCT(--ISERROR(KPIs!$B$27:$D$52))+SUMPRODUCT(--ISERROR('Break-even'!$B$26:$D$33))+SUMPRODUCT(--ISERROR(Valuation!$B$14:$D$19))+SUMPRODUCT(--ISERROR('Break-even'!$B$3:$D$35))+SUMPRODUCT(--ISERROR(Valuation!$A$3:$F$40))+SUMPRODUCT(--ISERROR('Sources &amp; Uses'!$B$3:$C$30))+SUMPRODUCT(--ISERROR(Dashboard!$A$6:$W$44))+SUMPRODUCT(--ISERROR(Summary!$A$5:$S$52))+SUMPRODUCT(--ISERROR(KPIs!$A$4:$E$52))=0,"PASS","FAIL")</f>
        <v>PASS</v>
      </c>
      <c r="C18" s="18" t="s">
        <v>456</v>
      </c>
    </row>
    <row r="19" customFormat="false" ht="15" hidden="false" customHeight="false" outlineLevel="0" collapsed="false">
      <c r="A19" s="6" t="s">
        <v>457</v>
      </c>
      <c r="B19" s="4" t="str">
        <f aca="false">IF(IFERROR(AND(SUMPRODUCT(--(ABS(Summary!$B$7:$D$7-'P&amp;L'!$B$5:$D$5)&gt;0.5))=0,SUMPRODUCT(--(ABS(Summary!$B$19:$D$19-'P&amp;L'!$B$22:$D$22)&gt;0.5))=0,SUMPRODUCT(--(ABS(Summary!$B$31:$D$31-'Cash Flow'!$B$18:$D$18)&gt;0.5))=0,SUMPRODUCT(--(ABS(Summary!$B$41:$D$41-'Balance Sheet'!$B$5:$D$5)&gt;0.5))=0,ABS(SUM(Summary!$H$7:$S$7)-INDEX(Summary!$B$7:$D$7,Summary!$R$2))&lt;0.5,ABS(SUM(Summary!$H$19:$S$19)-INDEX(Summary!$B$19:$D$19,Summary!$R$2))&lt;0.5,ABS(Summary!$S$31-INDEX(Summary!$B$31:$D$31,Summary!$R$2))&lt;0.5),FALSE()),"PASS","FAIL")</f>
        <v>PASS</v>
      </c>
      <c r="C19" s="18" t="s">
        <v>458</v>
      </c>
    </row>
    <row r="20" customFormat="false" ht="15" hidden="false" customHeight="false" outlineLevel="0" collapsed="false">
      <c r="A20" s="6" t="s">
        <v>459</v>
      </c>
      <c r="B20" s="4" t="str">
        <f aca="false">IF(SUMPRODUCT(--(ABS(KPIs!$B$24:$D$24)&gt;0.000000001))&gt;0,"FAIL",IF(SUMPRODUCT(ISNUMBER(KPIs!$B$23:$D$23)*ISNUMBER(KPIs!$B$16:$D$16))=0,"n/a","PASS"))</f>
        <v>PASS</v>
      </c>
      <c r="C20" s="18" t="s">
        <v>460</v>
      </c>
    </row>
    <row r="21" customFormat="false" ht="15" hidden="false" customHeight="false" outlineLevel="0" collapsed="false">
      <c r="A21" s="6" t="s">
        <v>461</v>
      </c>
      <c r="B21" s="4" t="str">
        <f aca="false">IF(SUMPRODUCT(--(ABS(Monthly!$C$116:$AL$116)&gt;0.5))=0,"PASS","FAIL")</f>
        <v>PASS</v>
      </c>
      <c r="C21" s="18" t="s">
        <v>462</v>
      </c>
    </row>
    <row r="22" customFormat="false" ht="15" hidden="false" customHeight="false" outlineLevel="0" collapsed="false">
      <c r="A22" s="6" t="s">
        <v>463</v>
      </c>
      <c r="B22" s="4" t="str">
        <f aca="false">IF(MIN(Monthly!$C$98:$AL$98)&gt;=0,"PASS","WARN")</f>
        <v>PASS</v>
      </c>
      <c r="C22" s="18" t="s">
        <v>464</v>
      </c>
    </row>
    <row r="24" customFormat="false" ht="15" hidden="false" customHeight="false" outlineLevel="0" collapsed="false">
      <c r="A24" s="57" t="s">
        <v>465</v>
      </c>
      <c r="B24" s="57" t="str">
        <f aca="false">IF(COUNTIF(B4:B22,"FAIL")&gt;0,"FAIL",IF(COUNTIF(B4:B22,"WARN")&gt;0,"PASS WITH WARNINGS","PASS"))</f>
        <v>PASS</v>
      </c>
      <c r="C24" s="110"/>
    </row>
  </sheetData>
  <conditionalFormatting sqref="B4:B24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2026-10-21T11:26:21Z</dcterms:created>
  <dc:creator/>
  <dc:description/>
  <dc:language>en-US</dc:language>
  <cp:lastModifiedBy/>
  <dcterms:modified xsi:type="dcterms:W3CDTF">2026-10-21T11:26:21Z</dcterms:modified>
  <cp:revision>0</cp:revision>
  <dc:subject/>
  <dc:title>Car wash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