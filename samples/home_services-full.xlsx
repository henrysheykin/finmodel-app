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7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<sst xmlns="http://schemas.openxmlformats.org/spreadsheetml/2006/main" count="1137" uniqueCount="470">
  <si>
    <t xml:space="preserve">Home services financial model (growing)</t>
  </si>
  <si>
    <t xml:space="preserve">3-year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</si>
  <si>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</si>
  <si>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</si>
  <si>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</si>
  <si>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</si>
  <si>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</si>
  <si>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22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</si>
  <si>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</si>
  <si>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</si>
  <si>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</si>
  <si>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</si>
  <si>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</si>
  <si>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</si>
  <si>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</si>
  <si>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</si>
  <si>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</si>
  <si>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</si>
  <si>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</si>
  <si>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</si>
  <si>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</si>
  <si>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</si>
  <si>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</si>
  <si>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</si>
  <si>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</si>
  <si>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</si>
  <si>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</si>
  <si>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</si>
  <si>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</si>
  <si>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</si>
  <si>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</si>
  <si>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</si>
  <si>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</si>
  <si>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</si>
  <si>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</si>
  <si>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</si>
  <si>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3</t>
  </si>
  <si>
    <t xml:space="preserve">EBITDA MARGIN · YEAR 3</t>
  </si>
  <si>
    <t xml:space="preserve">NET INCOME · YEAR 3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</si>
  <si>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</si>
  <si>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</si>
  <si>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</si>
  <si>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</si>
  <si>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</si>
  <si>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</si>
  <si>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</si>
  <si>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</si>
  <si>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</si>
  <si>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</si>
  <si>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</si>
  <si>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</si>
  <si>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</si>
  <si>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</si>
  <si>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</si>
  <si>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</si>
  <si>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</si>
  <si>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</si>
  <si>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Home services metrics</t>
  </si>
  <si>
    <t xml:space="preserve">Jobs completed</t>
  </si>
  <si>
    <t xml:space="preserve">Technician utilisation</t>
  </si>
  <si>
    <t xml:space="preserve">Average revenue per job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</si>
  <si>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</si>
  <si>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</si>
  <si>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</si>
  <si>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</si>
  <si>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</si>
  <si>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</si>
  <si>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</si>
  <si>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</si>
  <si>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</si>
  <si>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</si>
  <si>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</si>
  <si>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</si>
  <si>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</si>
  <si>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</si>
  <si>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Cost of delivery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</si>
  <si>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</si>
  <si>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</si>
  <si>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</si>
  <si>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</si>
  <si>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</si>
  <si>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</si>
  <si>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</si>
  <si>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</si>
  <si>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</si>
  <si>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</si>
  <si>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</si>
  <si>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</si>
  <si>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</si>
  <si>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</si>
  <si>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</si>
  <si>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</si>
  <si>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</si>
  <si>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</si>
  <si>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</si>
  <si>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</si>
  <si>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</si>
  <si>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</si>
  <si>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</si>
  <si>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</si>
  <si>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</si>
  <si>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</si>
  <si>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</si>
  <si>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</si>
  <si>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</si>
  <si>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</si>
  <si>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</si>
  <si>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</si>
  <si>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Average revenue per job (year 1) ($)</t>
  </si>
  <si>
    <t xml:space="preserve">Jobs per technician per working day (jobs)</t>
  </si>
  <si>
    <t xml:space="preserve">Marketing budget per month ($)</t>
  </si>
  <si>
    <t xml:space="preserve">Cost per lead ($)</t>
  </si>
  <si>
    <t xml:space="preserve">Leads booked as jobs (%)</t>
  </si>
  <si>
    <t xml:space="preserve">Materials &amp; parts, % of job revenue (%)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</si>
  <si>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</si>
  <si>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</si>
  <si>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</si>
  <si>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</si>
  <si>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</si>
  <si>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</si>
  <si>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</si>
  <si>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</si>
  <si>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</si>
  <si>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</si>
  <si>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</si>
  <si>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</si>
  <si>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</si>
  <si>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</si>
  <si>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</si>
  <si>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</si>
  <si>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</si>
  <si>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</si>
  <si>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</si>
  <si>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</si>
  <si>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</si>
  <si>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</si>
  <si>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</si>
  <si>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</si>
  <si>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</si>
  <si>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</si>
  <si>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</si>
  <si>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</si>
  <si>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</si>
  <si>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</si>
  <si>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</si>
  <si>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</si>
  <si>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</si>
  <si>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</si>
  <si>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</si>
  <si>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</si>
  <si>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</si>
  <si>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</si>
  <si>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</si>
  <si>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</si>
  <si>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</si>
  <si>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</si>
  <si>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</si>
  <si>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</si>
  <si>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</si>
  <si>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</si>
  <si>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</si>
  <si>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 In a year with zero or negative gross margin there is no break-even revenue (n/a); the chart line shows 0 there.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</si>
  <si>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</si>
  <si>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</si>
  <si>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</si>
  <si>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</si>
  <si>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</si>
  <si>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</si>
  <si>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</si>
  <si>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</si>
  <si>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</si>
  <si>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</si>
  <si>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</si>
  <si>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</si>
  <si>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</si>
  <si>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</si>
  <si>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</si>
  <si>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</si>
  <si>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</si>
  <si>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</si>
  <si>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3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</si>
  <si>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</si>
  <si>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</si>
  <si>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</si>
  <si>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</si>
  <si>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</si>
  <si>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</si>
  <si>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</si>
  <si>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</si>
  <si>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</si>
  <si>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</si>
  <si>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</si>
  <si>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</si>
  <si>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</si>
  <si>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</si>
  <si>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</si>
  <si>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</si>
  <si>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</si>
  <si>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</si>
  <si>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</si>
  <si>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36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</si>
  <si>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</si>
  <si>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</si>
  <si>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</si>
  <si>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</si>
  <si>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</si>
  <si>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</si>
  <si>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</si>
  <si>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</si>
  <si>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</si>
  <si>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</si>
  <si>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</si>
  <si>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</si>
  <si>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Home services financial model (growing)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</si>
  <si>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</si>
  <si>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</si>
  <si>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</si>
  <si>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</si>
  <si>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</si>
  <si>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</si>
  <si>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</si>
  <si>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</si>
  <si>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</si>
  <si>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</si>
  <si>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</si>
  <si>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</si>
  <si>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</si>
  <si>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</si>
  <si>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</si>
  <si>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Home services metrics ($'000; per-unit rows in $)</t>
  </si>
  <si>
    <t xml:space="preserve">Field technicians (FTE, year end)</t>
  </si>
  <si>
    <t xml:space="preserve">Job capacity</t>
  </si>
  <si>
    <t xml:space="preserve">Jobs demanded</t>
  </si>
  <si>
    <t xml:space="preserve">Technician utilisation (jobs ÷ capacity)</t>
  </si>
  <si>
    <t xml:space="preserve">Jobs turned away (demand above capacity)</t>
  </si>
  <si>
    <t xml:space="preserve">Jobs booked from marketing leads</t>
  </si>
  <si>
    <t xml:space="preserve">Marketing spend</t>
  </si>
  <si>
    <t xml:space="preserve">Marketing cost per booked job ($)</t>
  </si>
  <si>
    <t xml:space="preserve">Job revenue</t>
  </si>
  <si>
    <t xml:space="preserve">Average revenue per job ($)</t>
  </si>
  <si>
    <t xml:space="preserve">Revenue per technician (year-end FTE)</t>
  </si>
  <si>
    <t xml:space="preserve">Maintenance plan members (year end)</t>
  </si>
  <si>
    <t xml:space="preserve">Maintenance plan revenue</t>
  </si>
  <si>
    <t xml:space="preserve">Plans share of revenue</t>
  </si>
  <si>
    <t xml:space="preserve">Gross profit per job (all gross profit ÷ jobs) ($)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</si>
  <si>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</si>
  <si>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</si>
  <si>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</si>
  <si>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</si>
  <si>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Technician capacity</t>
  </si>
  <si>
    <t xml:space="preserve">Jobs per technician per working day</t>
  </si>
  <si>
    <t xml:space="preserve">jobs</t>
  </si>
  <si>
    <t xml:space="preserve">Low ≤ Base ≤ High</t>
  </si>
  <si>
    <t xml:space="preserve">Working days per month</t>
  </si>
  <si>
    <t xml:space="preserve">days</t>
  </si>
  <si>
    <t xml:space="preserve">Demand</t>
  </si>
  <si>
    <t xml:space="preserve">Marketing budget per month</t>
  </si>
  <si>
    <t xml:space="preserve">$</t>
  </si>
  <si>
    <t xml:space="preserve">Marketing budget growth per year</t>
  </si>
  <si>
    <t xml:space="preserve">%</t>
  </si>
  <si>
    <t xml:space="preserve">Cost per lead</t>
  </si>
  <si>
    <t xml:space="preserve">Low ≥ Base ≥ High (lower is better)</t>
  </si>
  <si>
    <t xml:space="preserve">Leads booked as jobs</t>
  </si>
  <si>
    <t xml:space="preserve">Repeat &amp; referral jobs per month (year 1)</t>
  </si>
  <si>
    <t xml:space="preserve">Repeat &amp; referral jobs growth per year</t>
  </si>
  <si>
    <t xml:space="preserve">Busy-season uplift, June–August (monthly models)</t>
  </si>
  <si>
    <t xml:space="preserve">Prices</t>
  </si>
  <si>
    <t xml:space="preserve">Average revenue per job (year 1)</t>
  </si>
  <si>
    <t xml:space="preserve">Price increase per year</t>
  </si>
  <si>
    <t xml:space="preserve">Maintenance plans</t>
  </si>
  <si>
    <t xml:space="preserve">Maintenance plan members (year-1 average)</t>
  </si>
  <si>
    <t xml:space="preserve">#</t>
  </si>
  <si>
    <t xml:space="preserve">Plan members growth per year</t>
  </si>
  <si>
    <t xml:space="preserve">Plan fee per member per month (year 1)</t>
  </si>
  <si>
    <t xml:space="preserve">Cost of plan visits, % of plan fees</t>
  </si>
  <si>
    <t xml:space="preserve">Costs</t>
  </si>
  <si>
    <t xml:space="preserve">Materials &amp; parts, % of job revenue</t>
  </si>
  <si>
    <t xml:space="preserve">Vehicle per technician per month (lease, fuel, upkeep)</t>
  </si>
  <si>
    <t xml:space="preserve">Field software &amp; phone per technician per month</t>
  </si>
  <si>
    <t xml:space="preserve">Insurance &amp; licences per month</t>
  </si>
  <si>
    <t xml:space="preserve">Shop / office rent per month</t>
  </si>
  <si>
    <t xml:space="preserve">Other G&amp;A per month (accounting, legal, bank)</t>
  </si>
  <si>
    <t xml:space="preserve">Card processing fees, % of revenue</t>
  </si>
  <si>
    <t xml:space="preserve">Start-up capex (shop, equipment)</t>
  </si>
  <si>
    <t xml:space="preserve">Van &amp; tools per technician added</t>
  </si>
  <si>
    <t xml:space="preserve">Technicians already equipped at start (own vans &amp; tools)</t>
  </si>
  <si>
    <t xml:space="preserve">FTE</t>
  </si>
  <si>
    <t xml:space="preserve">Headcount</t>
  </si>
  <si>
    <t xml:space="preserve">Field technicians: headcount (FTE)</t>
  </si>
  <si>
    <t xml:space="preserve">Field technicians: salary per FTE per year</t>
  </si>
  <si>
    <t xml:space="preserve">Field technicians: headcount growth per year</t>
  </si>
  <si>
    <t xml:space="preserve">Field technicians: first month on payroll</t>
  </si>
  <si>
    <t xml:space="preserve">month #</t>
  </si>
  <si>
    <t xml:space="preserve">Dispatch &amp; office: headcount (FTE)</t>
  </si>
  <si>
    <t xml:space="preserve">Dispatch &amp; office: salary per FTE per year</t>
  </si>
  <si>
    <t xml:space="preserve">Dispatch &amp; office: headcount growth per year</t>
  </si>
  <si>
    <t xml:space="preserve">Dispatch &amp; office: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</si>
  <si>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</si>
  <si>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</si>
  <si>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</si>
  <si>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</si>
  <si>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</si>
  <si>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</si>
  <si>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</si>
  <si>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</si>
  <si>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</si>
  <si>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</si>
  <si>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</si>
  <si>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</si>
  <si>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</si>
  <si>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</si>
  <si>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</si>
  <si>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</si>
  <si>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</si>
  <si>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</si>
  <si>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</si>
  <si>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</si>
  <si>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</si>
  <si>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</si>
  <si>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</si>
  <si>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</si>
  <si>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Dispatch, office &amp; other payroll</t>
  </si>
  <si>
    <t xml:space="preserve">Marketing</t>
  </si>
  <si>
    <t xml:space="preserve">Field software &amp; phones</t>
  </si>
  <si>
    <t xml:space="preserve">Insurance &amp; licences</t>
  </si>
  <si>
    <t xml:space="preserve">Shop / office rent</t>
  </si>
  <si>
    <t xml:space="preserve">Other G&amp;A</t>
  </si>
  <si>
    <t xml:space="preserve">Card processing fees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</si>
  <si>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</si>
  <si>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</si>
  <si>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</si>
  <si>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</si>
  <si>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</si>
  <si>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</si>
  <si>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</si>
  <si>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</si>
  <si>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</si>
  <si>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</si>
  <si>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</si>
  <si>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</si>
  <si>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</si>
  <si>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</si>
  <si>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</si>
  <si>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</si>
  <si>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</si>
  <si>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</si>
  <si>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</si>
  <si>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</si>
  <si>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</si>
  <si>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</si>
  <si>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</si>
  <si>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</si>
  <si>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</si>
  <si>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</si>
  <si>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</si>
  <si>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</si>
  <si>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</si>
  <si>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</si>
  <si>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</si>
  <si>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</si>
  <si>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</si>
  <si>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</si>
  <si>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</si>
  <si>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</si>
  <si>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</si>
  <si>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</si>
  <si>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</si>
  <si>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</si>
  <si>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</si>
  <si>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</si>
  <si>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</si>
  <si>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</si>
  <si>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</si>
  <si>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Period #</t>
  </si>
  <si>
    <t xml:space="preserve">Jobs</t>
  </si>
  <si>
    <t xml:space="preserve">Field technicians (FTE)</t>
  </si>
  <si>
    <t xml:space="preserve">Job capacity (technicians × jobs per day × working days)</t>
  </si>
  <si>
    <t xml:space="preserve">Season factor (June–August busy season)</t>
  </si>
  <si>
    <t xml:space="preserve">Leads from marketing</t>
  </si>
  <si>
    <t xml:space="preserve">Jobs booked from leads</t>
  </si>
  <si>
    <t xml:space="preserve">Repeat &amp; referral jobs</t>
  </si>
  <si>
    <t xml:space="preserve">Jobs completed (demand capped by capacity)</t>
  </si>
  <si>
    <t xml:space="preserve">Maintenance plan members (average)</t>
  </si>
  <si>
    <t xml:space="preserve">Technician payroll</t>
  </si>
  <si>
    <t xml:space="preserve">Materials &amp; parts</t>
  </si>
  <si>
    <t xml:space="preserve">Vehicles</t>
  </si>
  <si>
    <t xml:space="preserve">Plan visits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</si>
  <si>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</si>
  <si>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</si>
  <si>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</si>
  <si>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</si>
  <si>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</si>
  <si>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Capital spending (start-up + van &amp; tools per technician added)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</si>
  <si>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</si>
  <si>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</si>
  <si>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</si>
  <si>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</si>
  <si>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</si>
  <si>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</si>
  <si>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</si>
  <si>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</si>
  <si>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</si>
  <si>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</si>
  <si>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</si>
  <si>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</si>
  <si>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</si>
  <si>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</si>
  <si>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</si>
  <si>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</si>
  <si>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</si>
  <si>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</si>
  <si>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</si>
  <si>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</si>
  <si>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Field technicians — FTE</t>
  </si>
  <si>
    <t xml:space="preserve">Dispatch &amp; office — FTE</t>
  </si>
  <si>
    <t xml:space="preserve">Total FTE</t>
  </si>
  <si>
    <t xml:space="preserve">Payroll cost (salary + taxes &amp; benefits)</t>
  </si>
  <si>
    <t xml:space="preserve">Field technicians — payroll cost</t>
  </si>
  <si>
    <t xml:space="preserve">Dispatch &amp; office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</si>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</sst>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\$#,##0.00;&quot;($&quot;#,##0.00\)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\$#,##0.00;&quot;($&quot;#,##0.00\);\-"/>
    <numFmt numFmtId="184" formatCode="#,##0.0;\(#,##0.0\);\-"/>
    <numFmt numFmtId="185" formatCode="\$#,##0;&quot;($&quot;#,##0\);\-"/>
    <numFmt numFmtId="186" formatCode="0.0%;\(0.0%\);\-"/>
    <numFmt numFmtId="187" formatCode="0"/>
    <numFmt numFmtId="188" formatCode="[&gt;=1000000]\$#,##0.0,,\M;[&gt;=1000]\$#,##0,\k;\$#,##0"/>
    <numFmt numFmtId="189" formatCode="0.0\x"/>
    <numFmt numFmtId="190" formatCode="0.000"/>
    <numFmt numFmtId="191" formatCode="0.0\x;\(0.0&quot;x)&quot;;\-"/>
    <numFmt numFmtId="192" formatCode="#,##0;\(#,##0\);\-"/>
    <numFmt numFmtId="193" formatCode="\$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1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2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2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Dashboard!$B$12:$D$12</c:f>
              <c:numCache>
                <c:formatCode>\$#,##0,;"($"#,##0,\);\-</c:formatCode>
                <c:ptCount val="3"/>
                <c:pt idx="0">
                  <c:v>1710030</c:v>
                </c:pt>
                <c:pt idx="1">
                  <c:v>2015484.945</c:v>
                </c:pt>
                <c:pt idx="2">
                  <c:v>2376160.7103285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Dashboard!$B$16:$D$16</c:f>
              <c:numCache>
                <c:formatCode>\$#,##0,;"($"#,##0,\);\-</c:formatCode>
                <c:ptCount val="3"/>
                <c:pt idx="0">
                  <c:v>266071.69</c:v>
                </c:pt>
                <c:pt idx="1">
                  <c:v>362576.355235</c:v>
                </c:pt>
                <c:pt idx="2">
                  <c:v>480449.961331505</c:v>
                </c:pt>
              </c:numCache>
            </c:numRef>
          </c:val>
        </c:ser>
        <c:gapWidth val="60"/>
        <c:overlap val="0"/>
        <c:axId val="64040529"/>
        <c:axId val="53805654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Dashboard!$B$17:$D$17</c:f>
              <c:numCache>
                <c:formatCode>0.0%;\(0.0%\);\-</c:formatCode>
                <c:ptCount val="3"/>
                <c:pt idx="0">
                  <c:v>0.155594749799711</c:v>
                </c:pt>
                <c:pt idx="1">
                  <c:v>0.179895342872432</c:v>
                </c:pt>
                <c:pt idx="2">
                  <c:v>0.202195903350781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470001"/>
        <c:axId val="28949649"/>
      </c:lineChart>
      <c:catAx>
        <c:axId val="6404052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3805654"/>
        <c:crosses val="autoZero"/>
        <c:auto val="1"/>
        <c:lblAlgn val="ctr"/>
        <c:lblOffset val="100"/>
        <c:noMultiLvlLbl val="0"/>
      </c:catAx>
      <c:valAx>
        <c:axId val="5380565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040529"/>
        <c:crosses val="autoZero"/>
        <c:crossBetween val="between"/>
      </c:valAx>
      <c:catAx>
        <c:axId val="5470001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949649"/>
        <c:crosses val="autoZero"/>
        <c:auto val="1"/>
        <c:lblAlgn val="ctr"/>
        <c:lblOffset val="100"/>
        <c:noMultiLvlLbl val="0"/>
      </c:catAx>
      <c:valAx>
        <c:axId val="2894964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470001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Dashboard!$B$20:$D$20</c:f>
              <c:numCache>
                <c:formatCode>\$#,##0,;"($"#,##0,\);\-</c:formatCode>
                <c:ptCount val="3"/>
                <c:pt idx="0">
                  <c:v>194710.801766667</c:v>
                </c:pt>
                <c:pt idx="1">
                  <c:v>276206.622093983</c:v>
                </c:pt>
                <c:pt idx="2">
                  <c:v>373872.067546618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Dashboard!$B$21:$D$21</c:f>
              <c:numCache>
                <c:formatCode>\$#,##0,;"($"#,##0,\);\-</c:formatCode>
                <c:ptCount val="3"/>
                <c:pt idx="0">
                  <c:v>-20000</c:v>
                </c:pt>
                <c:pt idx="1">
                  <c:v>-37800</c:v>
                </c:pt>
                <c:pt idx="2">
                  <c:v>-42336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Dashboard!$B$22:$D$22</c:f>
              <c:numCache>
                <c:formatCode>\$#,##0,;"($"#,##0,\);\-</c:formatCode>
                <c:ptCount val="3"/>
                <c:pt idx="0">
                  <c:v>304166.666666667</c:v>
                </c:pt>
                <c:pt idx="1">
                  <c:v>-50000</c:v>
                </c:pt>
                <c:pt idx="2">
                  <c:v>-50000</c:v>
                </c:pt>
              </c:numCache>
            </c:numRef>
          </c:val>
        </c:ser>
        <c:gapWidth val="60"/>
        <c:overlap val="0"/>
        <c:axId val="20314897"/>
        <c:axId val="79514084"/>
      </c:barChart>
      <c:catAx>
        <c:axId val="2031489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514084"/>
        <c:crosses val="autoZero"/>
        <c:auto val="1"/>
        <c:lblAlgn val="ctr"/>
        <c:lblOffset val="100"/>
        <c:noMultiLvlLbl val="0"/>
      </c:catAx>
      <c:valAx>
        <c:axId val="7951408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03148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Dashboard!$B$24:$D$24</c:f>
              <c:numCache>
                <c:formatCode>\$#,##0,;"($"#,##0,\);\-</c:formatCode>
                <c:ptCount val="3"/>
                <c:pt idx="0">
                  <c:v>478877.468433333</c:v>
                </c:pt>
                <c:pt idx="1">
                  <c:v>667284.090527316</c:v>
                </c:pt>
                <c:pt idx="2">
                  <c:v>948820.158073935</c:v>
                </c:pt>
              </c:numCache>
            </c:numRef>
          </c:val>
        </c:ser>
        <c:gapWidth val="60"/>
        <c:overlap val="0"/>
        <c:axId val="71398464"/>
        <c:axId val="41359592"/>
      </c:barChart>
      <c:catAx>
        <c:axId val="7139846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359592"/>
        <c:crosses val="autoZero"/>
        <c:auto val="1"/>
        <c:lblAlgn val="ctr"/>
        <c:lblOffset val="100"/>
        <c:noMultiLvlLbl val="0"/>
      </c:catAx>
      <c:valAx>
        <c:axId val="4135959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3984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Jobs completed &amp; technician utilisation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Dashboard!$A$28</c:f>
              <c:strCache>
                <c:ptCount val="1"/>
                <c:pt idx="0">
                  <c:v>Jobs completed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Dashboard!$B$28:$D$28</c:f>
              <c:numCache>
                <c:formatCode>#,##0;\(#,##0\);\-</c:formatCode>
                <c:ptCount val="3"/>
                <c:pt idx="0">
                  <c:v>3668.25</c:v>
                </c:pt>
                <c:pt idx="1">
                  <c:v>4185.4125</c:v>
                </c:pt>
                <c:pt idx="2">
                  <c:v>4776.180375</c:v>
                </c:pt>
              </c:numCache>
            </c:numRef>
          </c:val>
        </c:ser>
        <c:gapWidth val="60"/>
        <c:overlap val="0"/>
        <c:axId val="4068825"/>
        <c:axId val="59227757"/>
      </c:barChart>
      <c:lineChart>
        <c:grouping val="standard"/>
        <c:varyColors val="0"/>
        <c:ser>
          <c:idx val="1"/>
          <c:order val="1"/>
          <c:tx>
            <c:strRef>
              <c:f>Dashboard!$A$29</c:f>
              <c:strCache>
                <c:ptCount val="1"/>
                <c:pt idx="0">
                  <c:v>Technician utilisation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Dashboard!$B$11:$D$11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Dashboard!$B$29:$D$29</c:f>
              <c:numCache>
                <c:formatCode>0.0%;\(0.0%\);\-</c:formatCode>
                <c:ptCount val="3"/>
                <c:pt idx="0">
                  <c:v>0.831802721088435</c:v>
                </c:pt>
                <c:pt idx="1">
                  <c:v>0.847386722546161</c:v>
                </c:pt>
                <c:pt idx="2">
                  <c:v>0.863388152614362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5661837"/>
        <c:axId val="48727816"/>
      </c:lineChart>
      <c:catAx>
        <c:axId val="406882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9227757"/>
        <c:crosses val="autoZero"/>
        <c:auto val="1"/>
        <c:lblAlgn val="ctr"/>
        <c:lblOffset val="100"/>
        <c:noMultiLvlLbl val="0"/>
      </c:catAx>
      <c:valAx>
        <c:axId val="5922775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068825"/>
        <c:crosses val="autoZero"/>
        <c:crossBetween val="between"/>
      </c:valAx>
      <c:catAx>
        <c:axId val="65661837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727816"/>
        <c:crosses val="autoZero"/>
        <c:auto val="1"/>
        <c:lblAlgn val="ctr"/>
        <c:lblOffset val="100"/>
        <c:noMultiLvlLbl val="0"/>
      </c:catAx>
      <c:valAx>
        <c:axId val="487278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566183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133436.666666667</c:v>
                </c:pt>
                <c:pt idx="1">
                  <c:v>133436.666666667</c:v>
                </c:pt>
                <c:pt idx="2">
                  <c:v>133436.666666667</c:v>
                </c:pt>
                <c:pt idx="3">
                  <c:v>133436.666666667</c:v>
                </c:pt>
                <c:pt idx="4">
                  <c:v>133436.666666667</c:v>
                </c:pt>
                <c:pt idx="5">
                  <c:v>169700</c:v>
                </c:pt>
                <c:pt idx="6">
                  <c:v>169700</c:v>
                </c:pt>
                <c:pt idx="7">
                  <c:v>169700</c:v>
                </c:pt>
                <c:pt idx="8">
                  <c:v>133436.666666667</c:v>
                </c:pt>
                <c:pt idx="9">
                  <c:v>133436.666666667</c:v>
                </c:pt>
                <c:pt idx="10">
                  <c:v>133436.666666667</c:v>
                </c:pt>
                <c:pt idx="11">
                  <c:v>133436.666666667</c:v>
                </c:pt>
              </c:numCache>
            </c:numRef>
          </c:val>
        </c:ser>
        <c:gapWidth val="60"/>
        <c:overlap val="0"/>
        <c:axId val="17688613"/>
        <c:axId val="6386358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15618.0433333333</c:v>
                </c:pt>
                <c:pt idx="1">
                  <c:v>15618.0433333333</c:v>
                </c:pt>
                <c:pt idx="2">
                  <c:v>15618.0433333333</c:v>
                </c:pt>
                <c:pt idx="3">
                  <c:v>15618.0433333333</c:v>
                </c:pt>
                <c:pt idx="4">
                  <c:v>15618.0433333333</c:v>
                </c:pt>
                <c:pt idx="5">
                  <c:v>41836.4333333333</c:v>
                </c:pt>
                <c:pt idx="6">
                  <c:v>41836.4333333333</c:v>
                </c:pt>
                <c:pt idx="7">
                  <c:v>41836.4333333333</c:v>
                </c:pt>
                <c:pt idx="8">
                  <c:v>15618.0433333333</c:v>
                </c:pt>
                <c:pt idx="9">
                  <c:v>15618.0433333333</c:v>
                </c:pt>
                <c:pt idx="10">
                  <c:v>15618.0433333333</c:v>
                </c:pt>
                <c:pt idx="11">
                  <c:v>15618.0433333333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10758.2542333333</c:v>
                </c:pt>
                <c:pt idx="1">
                  <c:v>10769.2264555556</c:v>
                </c:pt>
                <c:pt idx="2">
                  <c:v>10791.1709</c:v>
                </c:pt>
                <c:pt idx="3">
                  <c:v>10813.1153444444</c:v>
                </c:pt>
                <c:pt idx="4">
                  <c:v>10835.0597888889</c:v>
                </c:pt>
                <c:pt idx="5">
                  <c:v>31569.5323333333</c:v>
                </c:pt>
                <c:pt idx="6">
                  <c:v>31591.4767777778</c:v>
                </c:pt>
                <c:pt idx="7">
                  <c:v>31613.4212222222</c:v>
                </c:pt>
                <c:pt idx="8">
                  <c:v>10922.8375666667</c:v>
                </c:pt>
                <c:pt idx="9">
                  <c:v>10944.7820111111</c:v>
                </c:pt>
                <c:pt idx="10">
                  <c:v>10966.7264555556</c:v>
                </c:pt>
                <c:pt idx="11">
                  <c:v>10988.6709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7688613"/>
        <c:axId val="6386358"/>
      </c:lineChart>
      <c:catAx>
        <c:axId val="17688613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86358"/>
        <c:crosses val="autoZero"/>
        <c:auto val="1"/>
        <c:lblAlgn val="ctr"/>
        <c:lblOffset val="100"/>
        <c:noMultiLvlLbl val="0"/>
      </c:catAx>
      <c:valAx>
        <c:axId val="63863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76886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9238.11534444444</c:v>
                </c:pt>
                <c:pt idx="1">
                  <c:v>11102.5597888889</c:v>
                </c:pt>
                <c:pt idx="2">
                  <c:v>11124.5042333333</c:v>
                </c:pt>
                <c:pt idx="3">
                  <c:v>11146.4486777778</c:v>
                </c:pt>
                <c:pt idx="4">
                  <c:v>11168.3931222222</c:v>
                </c:pt>
                <c:pt idx="5">
                  <c:v>24348.0045555555</c:v>
                </c:pt>
                <c:pt idx="6">
                  <c:v>31924.8101111111</c:v>
                </c:pt>
                <c:pt idx="7">
                  <c:v>31946.7545555556</c:v>
                </c:pt>
                <c:pt idx="8">
                  <c:v>18811.0320111111</c:v>
                </c:pt>
                <c:pt idx="9">
                  <c:v>11278.1153444444</c:v>
                </c:pt>
                <c:pt idx="10">
                  <c:v>11300.0597888889</c:v>
                </c:pt>
                <c:pt idx="11">
                  <c:v>11322.0042333333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-20000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350000</c:v>
                </c:pt>
                <c:pt idx="1">
                  <c:v>-4166.66666666667</c:v>
                </c:pt>
                <c:pt idx="2">
                  <c:v>-4166.66666666667</c:v>
                </c:pt>
                <c:pt idx="3">
                  <c:v>-4166.66666666667</c:v>
                </c:pt>
                <c:pt idx="4">
                  <c:v>-4166.66666666667</c:v>
                </c:pt>
                <c:pt idx="5">
                  <c:v>-4166.66666666667</c:v>
                </c:pt>
                <c:pt idx="6">
                  <c:v>-4166.66666666667</c:v>
                </c:pt>
                <c:pt idx="7">
                  <c:v>-4166.66666666667</c:v>
                </c:pt>
                <c:pt idx="8">
                  <c:v>-4166.66666666667</c:v>
                </c:pt>
                <c:pt idx="9">
                  <c:v>-4166.66666666667</c:v>
                </c:pt>
                <c:pt idx="10">
                  <c:v>-4166.66666666667</c:v>
                </c:pt>
                <c:pt idx="11">
                  <c:v>-4166.66666666667</c:v>
                </c:pt>
              </c:numCache>
            </c:numRef>
          </c:val>
        </c:ser>
        <c:gapWidth val="60"/>
        <c:overlap val="0"/>
        <c:axId val="8560992"/>
        <c:axId val="83737298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339238.115344444</c:v>
                </c:pt>
                <c:pt idx="1">
                  <c:v>346174.008466667</c:v>
                </c:pt>
                <c:pt idx="2">
                  <c:v>353131.846033333</c:v>
                </c:pt>
                <c:pt idx="3">
                  <c:v>360111.628044444</c:v>
                </c:pt>
                <c:pt idx="4">
                  <c:v>367113.3545</c:v>
                </c:pt>
                <c:pt idx="5">
                  <c:v>387294.692388889</c:v>
                </c:pt>
                <c:pt idx="6">
                  <c:v>415052.835833333</c:v>
                </c:pt>
                <c:pt idx="7">
                  <c:v>442832.923722222</c:v>
                </c:pt>
                <c:pt idx="8">
                  <c:v>457477.289066667</c:v>
                </c:pt>
                <c:pt idx="9">
                  <c:v>464588.737744444</c:v>
                </c:pt>
                <c:pt idx="10">
                  <c:v>471722.130866667</c:v>
                </c:pt>
                <c:pt idx="11">
                  <c:v>478877.468433333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2496553"/>
        <c:axId val="81651735"/>
      </c:lineChart>
      <c:catAx>
        <c:axId val="8560992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3737298"/>
        <c:crosses val="autoZero"/>
        <c:auto val="1"/>
        <c:lblAlgn val="ctr"/>
        <c:lblOffset val="100"/>
        <c:noMultiLvlLbl val="0"/>
      </c:catAx>
      <c:valAx>
        <c:axId val="8373729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60992"/>
        <c:crosses val="autoZero"/>
        <c:crossBetween val="between"/>
      </c:valAx>
      <c:catAx>
        <c:axId val="82496553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651735"/>
        <c:crosses val="autoZero"/>
        <c:auto val="1"/>
        <c:lblAlgn val="ctr"/>
        <c:lblOffset val="100"/>
        <c:noMultiLvlLbl val="0"/>
      </c:catAx>
      <c:valAx>
        <c:axId val="81651735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49655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339238.115344444</c:v>
                </c:pt>
                <c:pt idx="1">
                  <c:v>346174.008466667</c:v>
                </c:pt>
                <c:pt idx="2">
                  <c:v>353131.846033333</c:v>
                </c:pt>
                <c:pt idx="3">
                  <c:v>360111.628044444</c:v>
                </c:pt>
                <c:pt idx="4">
                  <c:v>367113.3545</c:v>
                </c:pt>
                <c:pt idx="5">
                  <c:v>387294.692388889</c:v>
                </c:pt>
                <c:pt idx="6">
                  <c:v>415052.835833333</c:v>
                </c:pt>
                <c:pt idx="7">
                  <c:v>442832.923722222</c:v>
                </c:pt>
                <c:pt idx="8">
                  <c:v>457477.289066667</c:v>
                </c:pt>
                <c:pt idx="9">
                  <c:v>464588.737744444</c:v>
                </c:pt>
                <c:pt idx="10">
                  <c:v>471722.130866667</c:v>
                </c:pt>
                <c:pt idx="11">
                  <c:v>478877.468433333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44478.8888888889</c:v>
                </c:pt>
                <c:pt idx="1">
                  <c:v>44478.8888888889</c:v>
                </c:pt>
                <c:pt idx="2">
                  <c:v>44478.8888888889</c:v>
                </c:pt>
                <c:pt idx="3">
                  <c:v>44478.8888888889</c:v>
                </c:pt>
                <c:pt idx="4">
                  <c:v>44478.8888888889</c:v>
                </c:pt>
                <c:pt idx="5">
                  <c:v>56566.6666666667</c:v>
                </c:pt>
                <c:pt idx="6">
                  <c:v>56566.6666666667</c:v>
                </c:pt>
                <c:pt idx="7">
                  <c:v>56566.6666666667</c:v>
                </c:pt>
                <c:pt idx="8">
                  <c:v>44478.8888888889</c:v>
                </c:pt>
                <c:pt idx="9">
                  <c:v>44478.8888888889</c:v>
                </c:pt>
                <c:pt idx="10">
                  <c:v>44478.8888888889</c:v>
                </c:pt>
                <c:pt idx="11">
                  <c:v>44478.8888888889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19666.6666666667</c:v>
                </c:pt>
                <c:pt idx="1">
                  <c:v>19333.3333333333</c:v>
                </c:pt>
                <c:pt idx="2">
                  <c:v>19000</c:v>
                </c:pt>
                <c:pt idx="3">
                  <c:v>18666.6666666667</c:v>
                </c:pt>
                <c:pt idx="4">
                  <c:v>18333.3333333333</c:v>
                </c:pt>
                <c:pt idx="5">
                  <c:v>18000</c:v>
                </c:pt>
                <c:pt idx="6">
                  <c:v>17666.6666666667</c:v>
                </c:pt>
                <c:pt idx="7">
                  <c:v>17333.3333333333</c:v>
                </c:pt>
                <c:pt idx="8">
                  <c:v>17000</c:v>
                </c:pt>
                <c:pt idx="9">
                  <c:v>16666.6666666667</c:v>
                </c:pt>
                <c:pt idx="10">
                  <c:v>16333.3333333333</c:v>
                </c:pt>
                <c:pt idx="11">
                  <c:v>16000</c:v>
                </c:pt>
              </c:numCache>
            </c:numRef>
          </c:val>
        </c:ser>
        <c:gapWidth val="60"/>
        <c:overlap val="100"/>
        <c:axId val="81788281"/>
        <c:axId val="82937268"/>
      </c:barChart>
      <c:lineChart>
        <c:grouping val="stacked"/>
        <c:varyColors val="0"/>
        <c:ser>
          <c:idx val="3"/>
          <c:order val="3"/>
          <c:tx>
            <c:strRef>
              <c:f>Summary!$A$51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Summary!$H$51:$S$51</c:f>
              <c:numCache>
                <c:formatCode>\$#,##0,;"($"#,##0,\);\-</c:formatCode>
                <c:ptCount val="12"/>
                <c:pt idx="0">
                  <c:v>110758.254233333</c:v>
                </c:pt>
                <c:pt idx="1">
                  <c:v>121527.480688889</c:v>
                </c:pt>
                <c:pt idx="2">
                  <c:v>132318.651588889</c:v>
                </c:pt>
                <c:pt idx="3">
                  <c:v>143131.766933333</c:v>
                </c:pt>
                <c:pt idx="4">
                  <c:v>153966.826722222</c:v>
                </c:pt>
                <c:pt idx="5">
                  <c:v>185536.359055556</c:v>
                </c:pt>
                <c:pt idx="6">
                  <c:v>217127.835833333</c:v>
                </c:pt>
                <c:pt idx="7">
                  <c:v>248741.257055556</c:v>
                </c:pt>
                <c:pt idx="8">
                  <c:v>259664.094622222</c:v>
                </c:pt>
                <c:pt idx="9">
                  <c:v>270608.876633333</c:v>
                </c:pt>
                <c:pt idx="10">
                  <c:v>281575.603088889</c:v>
                </c:pt>
                <c:pt idx="11">
                  <c:v>292564.273988889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1788281"/>
        <c:axId val="82937268"/>
      </c:lineChart>
      <c:catAx>
        <c:axId val="8178828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2937268"/>
        <c:crosses val="autoZero"/>
        <c:auto val="1"/>
        <c:lblAlgn val="ctr"/>
        <c:lblOffset val="100"/>
        <c:noMultiLvlLbl val="0"/>
      </c:catAx>
      <c:valAx>
        <c:axId val="8293726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7882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Scenarios!$B$30:$D$30</c:f>
              <c:numCache>
                <c:formatCode>\$#,##0,;"($"#,##0,\);\-</c:formatCode>
                <c:ptCount val="3"/>
                <c:pt idx="0">
                  <c:v>1373007.69230769</c:v>
                </c:pt>
                <c:pt idx="1">
                  <c:v>1570506.86769231</c:v>
                </c:pt>
                <c:pt idx="2">
                  <c:v>1796472.96389169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Scenarios!$B$31:$D$31</c:f>
              <c:numCache>
                <c:formatCode>\$#,##0,;"($"#,##0,\);\-</c:formatCode>
                <c:ptCount val="3"/>
                <c:pt idx="0">
                  <c:v>1710030</c:v>
                </c:pt>
                <c:pt idx="1">
                  <c:v>2015484.945</c:v>
                </c:pt>
                <c:pt idx="2">
                  <c:v>2376160.7103285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Scenarios!$B$29:$D$29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Scenarios!$B$32:$D$32</c:f>
              <c:numCache>
                <c:formatCode>\$#,##0,;"($"#,##0,\);\-</c:formatCode>
                <c:ptCount val="3"/>
                <c:pt idx="0">
                  <c:v>2056472.25</c:v>
                </c:pt>
                <c:pt idx="1">
                  <c:v>2499402.7968</c:v>
                </c:pt>
                <c:pt idx="2">
                  <c:v>3040261.75025664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8341495"/>
        <c:axId val="57671704"/>
      </c:lineChart>
      <c:catAx>
        <c:axId val="7834149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671704"/>
        <c:crosses val="autoZero"/>
        <c:auto val="1"/>
        <c:lblAlgn val="ctr"/>
        <c:lblOffset val="100"/>
        <c:noMultiLvlLbl val="0"/>
      </c:catAx>
      <c:valAx>
        <c:axId val="5767170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3414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Scenarios!$B$36:$D$36</c:f>
              <c:numCache>
                <c:formatCode>\$#,##0,;"($"#,##0,\);\-</c:formatCode>
                <c:ptCount val="3"/>
                <c:pt idx="0">
                  <c:v>5760.46923076916</c:v>
                </c:pt>
                <c:pt idx="1">
                  <c:v>26183.8589292305</c:v>
                </c:pt>
                <c:pt idx="2">
                  <c:v>49597.5556189935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Scenarios!$B$37:$D$37</c:f>
              <c:numCache>
                <c:formatCode>\$#,##0,;"($"#,##0,\);\-</c:formatCode>
                <c:ptCount val="3"/>
                <c:pt idx="0">
                  <c:v>266071.69</c:v>
                </c:pt>
                <c:pt idx="1">
                  <c:v>362576.355235</c:v>
                </c:pt>
                <c:pt idx="2">
                  <c:v>480449.961331505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Scenarios!$B$35:$D$35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Scenarios!$B$38:$D$38</c:f>
              <c:numCache>
                <c:formatCode>\$#,##0,;"($"#,##0,\);\-</c:formatCode>
                <c:ptCount val="3"/>
                <c:pt idx="0">
                  <c:v>541347.10375</c:v>
                </c:pt>
                <c:pt idx="1">
                  <c:v>737680.195648</c:v>
                </c:pt>
                <c:pt idx="2">
                  <c:v>985565.056602631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309990"/>
        <c:axId val="42170611"/>
      </c:lineChart>
      <c:catAx>
        <c:axId val="5030999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170611"/>
        <c:crosses val="autoZero"/>
        <c:auto val="1"/>
        <c:lblAlgn val="ctr"/>
        <c:lblOffset val="100"/>
        <c:noMultiLvlLbl val="0"/>
      </c:catAx>
      <c:valAx>
        <c:axId val="4217061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030999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Scenarios!$B$42:$D$42</c:f>
              <c:numCache>
                <c:formatCode>\$#,##0,;"($"#,##0,\);\-</c:formatCode>
                <c:ptCount val="3"/>
                <c:pt idx="0">
                  <c:v>-19574.1489764958</c:v>
                </c:pt>
                <c:pt idx="1">
                  <c:v>-45.474404102808</c:v>
                </c:pt>
                <c:pt idx="2">
                  <c:v>15445.6057899961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Scenarios!$B$43:$D$43</c:f>
              <c:numCache>
                <c:formatCode>\$#,##0,;"($"#,##0,\);\-</c:formatCode>
                <c:ptCount val="3"/>
                <c:pt idx="0">
                  <c:v>192564.273988889</c:v>
                </c:pt>
                <c:pt idx="1">
                  <c:v>265979.587302317</c:v>
                </c:pt>
                <c:pt idx="2">
                  <c:v>355570.648118556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Scenarios!$B$41:$D$41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Scenarios!$B$44:$D$44</c:f>
              <c:numCache>
                <c:formatCode>\$#,##0,;"($"#,##0,\);\-</c:formatCode>
                <c:ptCount val="3"/>
                <c:pt idx="0">
                  <c:v>410031.850851389</c:v>
                </c:pt>
                <c:pt idx="1">
                  <c:v>562577.061228587</c:v>
                </c:pt>
                <c:pt idx="2">
                  <c:v>755174.306182745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0869297"/>
        <c:axId val="25137551"/>
      </c:lineChart>
      <c:catAx>
        <c:axId val="3086929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5137551"/>
        <c:crosses val="autoZero"/>
        <c:auto val="1"/>
        <c:lblAlgn val="ctr"/>
        <c:lblOffset val="100"/>
        <c:noMultiLvlLbl val="0"/>
      </c:catAx>
      <c:valAx>
        <c:axId val="2513755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086929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Scenarios!$B$48:$D$48</c:f>
              <c:numCache>
                <c:formatCode>\$#,##0,;"($"#,##0,\);\-</c:formatCode>
                <c:ptCount val="3"/>
                <c:pt idx="0">
                  <c:v>273127.736173077</c:v>
                </c:pt>
                <c:pt idx="1">
                  <c:v>196250.770614273</c:v>
                </c:pt>
                <c:pt idx="2">
                  <c:v>139097.511526339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Scenarios!$B$49:$D$49</c:f>
              <c:numCache>
                <c:formatCode>\$#,##0,;"($"#,##0,\);\-</c:formatCode>
                <c:ptCount val="3"/>
                <c:pt idx="0">
                  <c:v>478877.468433333</c:v>
                </c:pt>
                <c:pt idx="1">
                  <c:v>667284.090527316</c:v>
                </c:pt>
                <c:pt idx="2">
                  <c:v>948820.158073935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Scenarios!$B$47:$D$47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Scenarios!$B$50:$D$50</c:f>
              <c:numCache>
                <c:formatCode>\$#,##0,;"($"#,##0,\);\-</c:formatCode>
                <c:ptCount val="3"/>
                <c:pt idx="0">
                  <c:v>689056.684184722</c:v>
                </c:pt>
                <c:pt idx="1">
                  <c:v>1172546.36621331</c:v>
                </c:pt>
                <c:pt idx="2">
                  <c:v>1851111.68137781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632935"/>
        <c:axId val="44160448"/>
      </c:lineChart>
      <c:catAx>
        <c:axId val="6763293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4160448"/>
        <c:crosses val="autoZero"/>
        <c:auto val="1"/>
        <c:lblAlgn val="ctr"/>
        <c:lblOffset val="100"/>
        <c:noMultiLvlLbl val="0"/>
      </c:catAx>
      <c:valAx>
        <c:axId val="4416044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76329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vs break-even revenue (EBITDA = 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'Break-even'!$A$28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'Break-even'!$B$28:$D$28</c:f>
              <c:numCache>
                <c:formatCode>\$#,##0;"($"#,##0\);\-</c:formatCode>
                <c:ptCount val="3"/>
                <c:pt idx="0">
                  <c:v>1710030</c:v>
                </c:pt>
                <c:pt idx="1">
                  <c:v>2015484.945</c:v>
                </c:pt>
                <c:pt idx="2">
                  <c:v>2376160.7103285</c:v>
                </c:pt>
              </c:numCache>
            </c:numRef>
          </c:val>
        </c:ser>
        <c:gapWidth val="60"/>
        <c:overlap val="0"/>
        <c:axId val="43463926"/>
        <c:axId val="69637674"/>
      </c:barChart>
      <c:lineChart>
        <c:grouping val="standard"/>
        <c:varyColors val="0"/>
        <c:ser>
          <c:idx val="1"/>
          <c:order val="1"/>
          <c:tx>
            <c:strRef>
              <c:f>'Break-even'!$A$32</c:f>
              <c:strCache>
                <c:ptCount val="1"/>
                <c:pt idx="0">
                  <c:v>Break-even revenue (EBITDA = 0)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'Break-even'!$B$26:$D$26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'Break-even'!$B$32:$D$32</c:f>
              <c:numCache>
                <c:formatCode>\$#,##0;"($"#,##0\);\-</c:formatCode>
                <c:ptCount val="3"/>
                <c:pt idx="0">
                  <c:v>1020464.89415608</c:v>
                </c:pt>
                <c:pt idx="1">
                  <c:v>1097146.7737286</c:v>
                </c:pt>
                <c:pt idx="2">
                  <c:v>1185655.16464602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3463926"/>
        <c:axId val="69637674"/>
      </c:lineChart>
      <c:catAx>
        <c:axId val="4346392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637674"/>
        <c:crosses val="autoZero"/>
        <c:auto val="1"/>
        <c:lblAlgn val="ctr"/>
        <c:lblOffset val="100"/>
        <c:noMultiLvlLbl val="0"/>
      </c:catAx>
      <c:valAx>
        <c:axId val="6963767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[&gt;=1000000]\$#,##0.0,,\M;[&gt;=1000]\$#,##0,\k;\$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4639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100000</c:v>
                </c:pt>
                <c:pt idx="1">
                  <c:v>250000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0</c:v>
                </c:pt>
                <c:pt idx="1">
                  <c:v>20000</c:v>
                </c:pt>
                <c:pt idx="2">
                  <c:v>45833.3333333333</c:v>
                </c:pt>
                <c:pt idx="3">
                  <c:v>478877.468433333</c:v>
                </c:pt>
              </c:numCache>
            </c:numRef>
          </c:val>
        </c:ser>
        <c:gapWidth val="60"/>
        <c:overlap val="0"/>
        <c:axId val="34217519"/>
        <c:axId val="27754694"/>
      </c:barChart>
      <c:catAx>
        <c:axId val="342175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7754694"/>
        <c:crosses val="autoZero"/>
        <c:auto val="1"/>
        <c:lblAlgn val="ctr"/>
        <c:lblOffset val="100"/>
        <c:noMultiLvlLbl val="0"/>
      </c:catAx>
      <c:valAx>
        <c:axId val="2775469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4217519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KPIs!$B$7:$D$7</c:f>
              <c:numCache>
                <c:formatCode>0.0%;\(0.0%\);\-</c:formatCode>
                <c:ptCount val="3"/>
                <c:pt idx="0">
                  <c:v>0.385854341736695</c:v>
                </c:pt>
                <c:pt idx="1">
                  <c:v>0.394817907583031</c:v>
                </c:pt>
                <c:pt idx="2">
                  <c:v>0.403568016187677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KPIs!$B$8:$D$8</c:f>
              <c:numCache>
                <c:formatCode>0.0%;\(0.0%\);\-</c:formatCode>
                <c:ptCount val="3"/>
                <c:pt idx="0">
                  <c:v>0.155594749799711</c:v>
                </c:pt>
                <c:pt idx="1">
                  <c:v>0.179895342872432</c:v>
                </c:pt>
                <c:pt idx="2">
                  <c:v>0.202195903350781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KPIs!$B$9:$D$9</c:f>
              <c:numCache>
                <c:formatCode>0.0%;\(0.0%\);\-</c:formatCode>
                <c:ptCount val="3"/>
                <c:pt idx="0">
                  <c:v>0.11260871095179</c:v>
                </c:pt>
                <c:pt idx="1">
                  <c:v>0.131968034771064</c:v>
                </c:pt>
                <c:pt idx="2">
                  <c:v>0.149640824618045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467333"/>
        <c:axId val="92863575"/>
      </c:lineChart>
      <c:catAx>
        <c:axId val="42467333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863575"/>
        <c:crosses val="autoZero"/>
        <c:auto val="1"/>
        <c:lblAlgn val="ctr"/>
        <c:lblOffset val="100"/>
        <c:noMultiLvlLbl val="0"/>
      </c:catAx>
      <c:valAx>
        <c:axId val="9286357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24673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KPIs!$B$15:$D$15</c:f>
              <c:numCache>
                <c:formatCode>0.0%;\(0.0%\);\-</c:formatCode>
                <c:ptCount val="3"/>
                <c:pt idx="0">
                  <c:v>0.347862190138343</c:v>
                </c:pt>
                <c:pt idx="1">
                  <c:v>0.341484533183422</c:v>
                </c:pt>
                <c:pt idx="2">
                  <c:v>0.324608711463597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KPIs!$B$16:$D$16</c:f>
              <c:numCache>
                <c:formatCode>0.0%;\(0.0%\);\-</c:formatCode>
                <c:ptCount val="3"/>
                <c:pt idx="0">
                  <c:v>0.658194766447123</c:v>
                </c:pt>
                <c:pt idx="1">
                  <c:v>0.476201791364141</c:v>
                </c:pt>
                <c:pt idx="2">
                  <c:v>0.388978234628554</c:v>
                </c:pt>
              </c:numCache>
            </c:numRef>
          </c:val>
        </c:ser>
        <c:gapWidth val="60"/>
        <c:overlap val="0"/>
        <c:axId val="68594054"/>
        <c:axId val="28278363"/>
      </c:barChart>
      <c:catAx>
        <c:axId val="6859405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8278363"/>
        <c:crosses val="autoZero"/>
        <c:auto val="1"/>
        <c:lblAlgn val="ctr"/>
        <c:lblOffset val="100"/>
        <c:noMultiLvlLbl val="0"/>
      </c:catAx>
      <c:valAx>
        <c:axId val="2827836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85940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and gross profit per job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KPIs!$A$40</c:f>
              <c:strCache>
                <c:ptCount val="1"/>
                <c:pt idx="0">
                  <c:v>Average revenue per job ($)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KPIs!$B$40:$D$40</c:f>
              <c:numCache>
                <c:formatCode>\$#,##0.00;"($"#,##0.00\);\-</c:formatCode>
                <c:ptCount val="3"/>
                <c:pt idx="0">
                  <c:v>440</c:v>
                </c:pt>
                <c:pt idx="1">
                  <c:v>453.2</c:v>
                </c:pt>
                <c:pt idx="2">
                  <c:v>466.796</c:v>
                </c:pt>
              </c:numCache>
            </c:numRef>
          </c:val>
        </c:ser>
        <c:ser>
          <c:idx val="1"/>
          <c:order val="1"/>
          <c:tx>
            <c:strRef>
              <c:f>KPIs!$A$47</c:f>
              <c:strCache>
                <c:ptCount val="1"/>
                <c:pt idx="0">
                  <c:v>Gross profit per job (all gross profit ÷ jobs) ($)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KPIs!$B$47:$D$47</c:f>
              <c:numCache>
                <c:formatCode>\$#,##0.00;"($"#,##0.00\);\-</c:formatCode>
                <c:ptCount val="3"/>
                <c:pt idx="0">
                  <c:v>179.873918080829</c:v>
                </c:pt>
                <c:pt idx="1">
                  <c:v>190.124521477871</c:v>
                </c:pt>
                <c:pt idx="2">
                  <c:v>200.776015292424</c:v>
                </c:pt>
              </c:numCache>
            </c:numRef>
          </c:val>
        </c:ser>
        <c:gapWidth val="60"/>
        <c:overlap val="0"/>
        <c:axId val="24894288"/>
        <c:axId val="98544264"/>
      </c:barChart>
      <c:catAx>
        <c:axId val="2489428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544264"/>
        <c:crosses val="autoZero"/>
        <c:auto val="1"/>
        <c:lblAlgn val="ctr"/>
        <c:lblOffset val="100"/>
        <c:noMultiLvlLbl val="0"/>
      </c:catAx>
      <c:valAx>
        <c:axId val="98544264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8942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Plan members and plans share of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KPIs!$A$42</c:f>
              <c:strCache>
                <c:ptCount val="1"/>
                <c:pt idx="0">
                  <c:v>Maintenance plan members (year end)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KPIs!$B$42:$D$42</c:f>
              <c:numCache>
                <c:formatCode>#,##0;\(#,##0\);\-</c:formatCode>
                <c:ptCount val="3"/>
                <c:pt idx="0">
                  <c:v>400</c:v>
                </c:pt>
                <c:pt idx="1">
                  <c:v>480</c:v>
                </c:pt>
                <c:pt idx="2">
                  <c:v>576</c:v>
                </c:pt>
              </c:numCache>
            </c:numRef>
          </c:val>
        </c:ser>
        <c:gapWidth val="60"/>
        <c:overlap val="0"/>
        <c:axId val="3226057"/>
        <c:axId val="5214477"/>
      </c:barChart>
      <c:lineChart>
        <c:grouping val="standard"/>
        <c:varyColors val="0"/>
        <c:ser>
          <c:idx val="1"/>
          <c:order val="1"/>
          <c:tx>
            <c:strRef>
              <c:f>KPIs!$A$44</c:f>
              <c:strCache>
                <c:ptCount val="1"/>
                <c:pt idx="0">
                  <c:v>Plans share of revenue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KPIs!$B$5:$D$5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KPIs!$B$44:$D$44</c:f>
              <c:numCache>
                <c:formatCode>0.0%;\(0.0%\);\-</c:formatCode>
                <c:ptCount val="3"/>
                <c:pt idx="0">
                  <c:v>0.0561393659760355</c:v>
                </c:pt>
                <c:pt idx="1">
                  <c:v>0.0588721837364059</c:v>
                </c:pt>
                <c:pt idx="2">
                  <c:v>0.0617209161663668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914523"/>
        <c:axId val="637948"/>
      </c:lineChart>
      <c:catAx>
        <c:axId val="32260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214477"/>
        <c:crosses val="autoZero"/>
        <c:auto val="1"/>
        <c:lblAlgn val="ctr"/>
        <c:lblOffset val="100"/>
        <c:noMultiLvlLbl val="0"/>
      </c:catAx>
      <c:valAx>
        <c:axId val="521447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226057"/>
        <c:crosses val="autoZero"/>
        <c:crossBetween val="between"/>
      </c:valAx>
      <c:catAx>
        <c:axId val="57914523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7948"/>
        <c:crosses val="autoZero"/>
        <c:auto val="1"/>
        <c:lblAlgn val="ctr"/>
        <c:lblOffset val="100"/>
        <c:noMultiLvlLbl val="0"/>
      </c:catAx>
      <c:valAx>
        <c:axId val="637948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91452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4</xdr:col>
      <xdr:colOff>151200</xdr:colOff>
      <xdr:row>55</xdr:row>
      <xdr:rowOff>160200</xdr:rowOff>
    </xdr:to>
    <xdr:graphicFrame>
      <xdr:nvGraphicFramePr>
        <xdr:cNvPr id="11" name="Chart 1"/>
        <xdr:cNvGraphicFramePr/>
      </xdr:nvGraphicFramePr>
      <xdr:xfrm>
        <a:off x="0" y="6972480"/>
        <a:ext cx="7199640" cy="37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2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3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36720</xdr:colOff>
      <xdr:row>18</xdr:row>
      <xdr:rowOff>111240</xdr:rowOff>
    </xdr:to>
    <xdr:graphicFrame>
      <xdr:nvGraphicFramePr>
        <xdr:cNvPr id="14" name="Chart 1"/>
        <xdr:cNvGraphicFramePr/>
      </xdr:nvGraphicFramePr>
      <xdr:xfrm>
        <a:off x="66268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3</xdr:row>
      <xdr:rowOff>0</xdr:rowOff>
    </xdr:from>
    <xdr:to>
      <xdr:col>22</xdr:col>
      <xdr:colOff>36720</xdr:colOff>
      <xdr:row>18</xdr:row>
      <xdr:rowOff>111240</xdr:rowOff>
    </xdr:to>
    <xdr:graphicFrame>
      <xdr:nvGraphicFramePr>
        <xdr:cNvPr id="15" name="Chart 2"/>
        <xdr:cNvGraphicFramePr/>
      </xdr:nvGraphicFramePr>
      <xdr:xfrm>
        <a:off x="117018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36720</xdr:colOff>
      <xdr:row>35</xdr:row>
      <xdr:rowOff>120600</xdr:rowOff>
    </xdr:to>
    <xdr:graphicFrame>
      <xdr:nvGraphicFramePr>
        <xdr:cNvPr id="16" name="Chart 3"/>
        <xdr:cNvGraphicFramePr/>
      </xdr:nvGraphicFramePr>
      <xdr:xfrm>
        <a:off x="66268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20</xdr:row>
      <xdr:rowOff>0</xdr:rowOff>
    </xdr:from>
    <xdr:to>
      <xdr:col>22</xdr:col>
      <xdr:colOff>36720</xdr:colOff>
      <xdr:row>35</xdr:row>
      <xdr:rowOff>120600</xdr:rowOff>
    </xdr:to>
    <xdr:graphicFrame>
      <xdr:nvGraphicFramePr>
        <xdr:cNvPr id="17" name="Chart 4"/>
        <xdr:cNvGraphicFramePr/>
      </xdr:nvGraphicFramePr>
      <xdr:xfrm>
        <a:off x="117018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D12</f>
        <v>2376160.7103285</v>
      </c>
      <c r="B7" s="25"/>
      <c r="C7" s="26" t="n">
        <f aca="false">D17</f>
        <v>0.202195903350781</v>
      </c>
      <c r="D7" s="26"/>
      <c r="E7" s="26"/>
      <c r="F7" s="26"/>
      <c r="H7" s="25" t="n">
        <f aca="false">D18</f>
        <v>355570.648118556</v>
      </c>
      <c r="I7" s="25"/>
      <c r="J7" s="25"/>
      <c r="K7" s="25"/>
      <c r="L7" s="25" t="n">
        <f aca="false">F38</f>
        <v>339238.115344444</v>
      </c>
      <c r="M7" s="25"/>
      <c r="N7" s="25"/>
      <c r="O7" s="25"/>
      <c r="P7" s="25" t="n">
        <f aca="false">F36</f>
        <v>108761.884655556</v>
      </c>
      <c r="Q7" s="25"/>
      <c r="R7" s="25"/>
      <c r="S7" s="25"/>
      <c r="T7" s="25" t="n">
        <f aca="false">F43</f>
        <v>2205569.61881217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IF(AND(B12&gt;0,D12&gt;=0),(D12/B12)^(1/2)-1,"CAGR n/a")</f>
        <v>0.178788907695663</v>
      </c>
      <c r="B8" s="27"/>
      <c r="C8" s="28" t="n">
        <f aca="false">D16</f>
        <v>480449.961331505</v>
      </c>
      <c r="D8" s="28"/>
      <c r="E8" s="28"/>
      <c r="F8" s="28"/>
      <c r="H8" s="29" t="n">
        <f aca="false">D19</f>
        <v>0.149640824618045</v>
      </c>
      <c r="I8" s="29"/>
      <c r="J8" s="29"/>
      <c r="K8" s="29"/>
      <c r="L8" s="30" t="n">
        <f aca="false">'Break-even'!B6</f>
        <v>1</v>
      </c>
      <c r="M8" s="30"/>
      <c r="N8" s="30"/>
      <c r="O8" s="30"/>
      <c r="P8" s="31" t="str">
        <f aca="false">IF(F37&gt;=0,"Covered by funding raised",-F37)</f>
        <v>Covered by funding raised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5"/>
      <c r="F11" s="35"/>
    </row>
    <row r="12" customFormat="false" ht="15" hidden="false" customHeight="false" outlineLevel="0" collapsed="false">
      <c r="A12" s="6" t="s">
        <v>44</v>
      </c>
      <c r="B12" s="36" t="n">
        <f aca="false">SUMIF(Monthly!$C$5:$AL$5,B$11,Monthly!$C$22:$AL$22)</f>
        <v>1710030</v>
      </c>
      <c r="C12" s="36" t="n">
        <f aca="false">SUMIF(Monthly!$C$5:$AL$5,C$11,Monthly!$C$22:$AL$22)</f>
        <v>2015484.945</v>
      </c>
      <c r="D12" s="36" t="n">
        <f aca="false">SUMIF(Monthly!$C$5:$AL$5,D$11,Monthly!$C$22:$AL$22)</f>
        <v>2376160.7103285</v>
      </c>
    </row>
    <row r="13" customFormat="false" ht="15" hidden="false" customHeight="false" outlineLevel="0" collapsed="false">
      <c r="A13" s="37" t="s">
        <v>45</v>
      </c>
      <c r="B13" s="38" t="n">
        <f aca="false">SUMIF(Monthly!$C$5:$AL$5,B$11,Monthly!$C$30:$AL$30)</f>
        <v>659822.5</v>
      </c>
      <c r="C13" s="38" t="n">
        <f aca="false">SUMIF(Monthly!$C$5:$AL$5,C$11,Monthly!$C$30:$AL$30)</f>
        <v>795749.54875</v>
      </c>
      <c r="D13" s="38" t="n">
        <f aca="false">SUMIF(Monthly!$C$5:$AL$5,D$11,Monthly!$C$30:$AL$30)</f>
        <v>958942.464010375</v>
      </c>
      <c r="E13" s="37"/>
      <c r="F13" s="37"/>
    </row>
    <row r="14" customFormat="false" ht="15" hidden="false" customHeight="false" outlineLevel="0" collapsed="false">
      <c r="A14" s="39" t="s">
        <v>46</v>
      </c>
      <c r="B14" s="40" t="n">
        <f aca="false">IF(B12=0,0,B13/B12)</f>
        <v>0.385854341736695</v>
      </c>
      <c r="C14" s="40" t="n">
        <f aca="false">IF(C12=0,0,C13/C12)</f>
        <v>0.394817907583031</v>
      </c>
      <c r="D14" s="40" t="n">
        <f aca="false">IF(D12=0,0,D13/D12)</f>
        <v>0.403568016187677</v>
      </c>
    </row>
    <row r="15" customFormat="false" ht="15" hidden="false" customHeight="false" outlineLevel="0" collapsed="false">
      <c r="A15" s="6" t="s">
        <v>47</v>
      </c>
      <c r="B15" s="36" t="n">
        <f aca="false">SUMIF(Monthly!$C$5:$AL$5,B$11,Monthly!$C$40:$AL$40)</f>
        <v>-393750.81</v>
      </c>
      <c r="C15" s="36" t="n">
        <f aca="false">SUMIF(Monthly!$C$5:$AL$5,C$11,Monthly!$C$40:$AL$40)</f>
        <v>-433173.193515</v>
      </c>
      <c r="D15" s="36" t="n">
        <f aca="false">SUMIF(Monthly!$C$5:$AL$5,D$11,Monthly!$C$40:$AL$40)</f>
        <v>-478492.50267887</v>
      </c>
    </row>
    <row r="16" customFormat="false" ht="15" hidden="false" customHeight="false" outlineLevel="0" collapsed="false">
      <c r="A16" s="37" t="s">
        <v>48</v>
      </c>
      <c r="B16" s="38" t="n">
        <f aca="false">SUMIF(Monthly!$C$5:$AL$5,B$11,Monthly!$C$41:$AL$41)</f>
        <v>266071.69</v>
      </c>
      <c r="C16" s="38" t="n">
        <f aca="false">SUMIF(Monthly!$C$5:$AL$5,C$11,Monthly!$C$41:$AL$41)</f>
        <v>362576.355235</v>
      </c>
      <c r="D16" s="38" t="n">
        <f aca="false">SUMIF(Monthly!$C$5:$AL$5,D$11,Monthly!$C$41:$AL$41)</f>
        <v>480449.961331505</v>
      </c>
      <c r="E16" s="37"/>
      <c r="F16" s="37"/>
    </row>
    <row r="17" customFormat="false" ht="15" hidden="false" customHeight="false" outlineLevel="0" collapsed="false">
      <c r="A17" s="39" t="s">
        <v>49</v>
      </c>
      <c r="B17" s="40" t="n">
        <f aca="false">IF(B12=0,0,B16/B12)</f>
        <v>0.155594749799711</v>
      </c>
      <c r="C17" s="40" t="n">
        <f aca="false">IF(C12=0,0,C16/C12)</f>
        <v>0.179895342872432</v>
      </c>
      <c r="D17" s="40" t="n">
        <f aca="false">IF(D12=0,0,D16/D12)</f>
        <v>0.202195903350781</v>
      </c>
    </row>
    <row r="18" customFormat="false" ht="15" hidden="false" customHeight="false" outlineLevel="0" collapsed="false">
      <c r="A18" s="41" t="s">
        <v>50</v>
      </c>
      <c r="B18" s="42" t="n">
        <f aca="false">SUMIF(Monthly!$C$5:$AL$5,B$11,Monthly!$C$50:$AL$50)</f>
        <v>192564.273988889</v>
      </c>
      <c r="C18" s="42" t="n">
        <f aca="false">SUMIF(Monthly!$C$5:$AL$5,C$11,Monthly!$C$50:$AL$50)</f>
        <v>265979.587302317</v>
      </c>
      <c r="D18" s="42" t="n">
        <f aca="false">SUMIF(Monthly!$C$5:$AL$5,D$11,Monthly!$C$50:$AL$50)</f>
        <v>355570.648118556</v>
      </c>
      <c r="E18" s="41"/>
      <c r="F18" s="41"/>
    </row>
    <row r="19" customFormat="false" ht="15" hidden="false" customHeight="false" outlineLevel="0" collapsed="false">
      <c r="A19" s="39" t="s">
        <v>51</v>
      </c>
      <c r="B19" s="40" t="n">
        <f aca="false">IF(B12=0,0,B18/B12)</f>
        <v>0.11260871095179</v>
      </c>
      <c r="C19" s="40" t="n">
        <f aca="false">IF(C12=0,0,C18/C12)</f>
        <v>0.131968034771064</v>
      </c>
      <c r="D19" s="40" t="n">
        <f aca="false">IF(D12=0,0,D18/D12)</f>
        <v>0.149640824618045</v>
      </c>
    </row>
    <row r="20" customFormat="false" ht="15" hidden="false" customHeight="false" outlineLevel="0" collapsed="false">
      <c r="A20" s="6" t="s">
        <v>52</v>
      </c>
      <c r="B20" s="36" t="n">
        <f aca="false">SUMIF(Monthly!$C$5:$AL$5,B$11,Monthly!$C$74:$AL$74)</f>
        <v>194710.801766667</v>
      </c>
      <c r="C20" s="36" t="n">
        <f aca="false">SUMIF(Monthly!$C$5:$AL$5,C$11,Monthly!$C$74:$AL$74)</f>
        <v>276206.622093983</v>
      </c>
      <c r="D20" s="36" t="n">
        <f aca="false">SUMIF(Monthly!$C$5:$AL$5,D$11,Monthly!$C$74:$AL$74)</f>
        <v>373872.067546618</v>
      </c>
    </row>
    <row r="21" customFormat="false" ht="15" hidden="false" customHeight="false" outlineLevel="0" collapsed="false">
      <c r="A21" s="6" t="s">
        <v>53</v>
      </c>
      <c r="B21" s="36" t="n">
        <f aca="false">SUMIF(Monthly!$C$5:$AL$5,B$11,Monthly!$C$75:$AL$75)</f>
        <v>-20000</v>
      </c>
      <c r="C21" s="36" t="n">
        <f aca="false">SUMIF(Monthly!$C$5:$AL$5,C$11,Monthly!$C$75:$AL$75)</f>
        <v>-37800</v>
      </c>
      <c r="D21" s="36" t="n">
        <f aca="false">SUMIF(Monthly!$C$5:$AL$5,D$11,Monthly!$C$75:$AL$75)</f>
        <v>-42336</v>
      </c>
    </row>
    <row r="22" customFormat="false" ht="15" hidden="false" customHeight="false" outlineLevel="0" collapsed="false">
      <c r="A22" s="6" t="s">
        <v>54</v>
      </c>
      <c r="B22" s="36" t="n">
        <f aca="false">SUMIF(Monthly!$C$5:$AL$5,B$11,Monthly!$C$77:$AL$77)</f>
        <v>304166.666666667</v>
      </c>
      <c r="C22" s="36" t="n">
        <f aca="false">SUMIF(Monthly!$C$5:$AL$5,C$11,Monthly!$C$77:$AL$77)</f>
        <v>-50000</v>
      </c>
      <c r="D22" s="36" t="n">
        <f aca="false">SUMIF(Monthly!$C$5:$AL$5,D$11,Monthly!$C$77:$AL$77)</f>
        <v>-50000</v>
      </c>
    </row>
    <row r="23" customFormat="false" ht="15" hidden="false" customHeight="false" outlineLevel="0" collapsed="false">
      <c r="A23" s="37" t="s">
        <v>55</v>
      </c>
      <c r="B23" s="38" t="n">
        <f aca="false">SUMIF(Monthly!$C$5:$AL$5,B$11,Monthly!$C$78:$AL$78)</f>
        <v>478877.468433333</v>
      </c>
      <c r="C23" s="38" t="n">
        <f aca="false">SUMIF(Monthly!$C$5:$AL$5,C$11,Monthly!$C$78:$AL$78)</f>
        <v>188406.622093983</v>
      </c>
      <c r="D23" s="38" t="n">
        <f aca="false">SUMIF(Monthly!$C$5:$AL$5,D$11,Monthly!$C$78:$AL$78)</f>
        <v>281536.067546618</v>
      </c>
      <c r="E23" s="37"/>
      <c r="F23" s="37"/>
    </row>
    <row r="24" customFormat="false" ht="15" hidden="false" customHeight="false" outlineLevel="0" collapsed="false">
      <c r="A24" s="41" t="s">
        <v>56</v>
      </c>
      <c r="B24" s="42" t="n">
        <f aca="false">INDEX(Monthly!$C$80:$AL$80,B$11*12)</f>
        <v>478877.468433333</v>
      </c>
      <c r="C24" s="42" t="n">
        <f aca="false">INDEX(Monthly!$C$80:$AL$80,C$11*12)</f>
        <v>667284.090527316</v>
      </c>
      <c r="D24" s="42" t="n">
        <f aca="false">INDEX(Monthly!$C$80:$AL$80,D$11*12)</f>
        <v>948820.158073935</v>
      </c>
      <c r="E24" s="41"/>
      <c r="F24" s="41"/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5"/>
      <c r="F27" s="35"/>
    </row>
    <row r="28" customFormat="false" ht="15" hidden="false" customHeight="false" outlineLevel="0" collapsed="false">
      <c r="A28" s="6" t="s">
        <v>58</v>
      </c>
      <c r="B28" s="43" t="n">
        <f aca="false">KPIs!B32</f>
        <v>3668.25</v>
      </c>
      <c r="C28" s="43" t="n">
        <f aca="false">KPIs!C32</f>
        <v>4185.4125</v>
      </c>
      <c r="D28" s="43" t="n">
        <f aca="false">KPIs!D32</f>
        <v>4776.180375</v>
      </c>
    </row>
    <row r="29" customFormat="false" ht="15" hidden="false" customHeight="false" outlineLevel="0" collapsed="false">
      <c r="A29" s="6" t="s">
        <v>59</v>
      </c>
      <c r="B29" s="44" t="n">
        <f aca="false">KPIs!B33</f>
        <v>0.831802721088435</v>
      </c>
      <c r="C29" s="44" t="n">
        <f aca="false">KPIs!C33</f>
        <v>0.847386722546161</v>
      </c>
      <c r="D29" s="44" t="n">
        <f aca="false">KPIs!D33</f>
        <v>0.863388152614362</v>
      </c>
    </row>
    <row r="30" customFormat="false" ht="15" hidden="false" customHeight="false" outlineLevel="0" collapsed="false">
      <c r="A30" s="6" t="s">
        <v>60</v>
      </c>
      <c r="B30" s="45" t="n">
        <f aca="false">KPIs!B40</f>
        <v>440</v>
      </c>
      <c r="C30" s="45" t="n">
        <f aca="false">KPIs!C40</f>
        <v>453.2</v>
      </c>
      <c r="D30" s="45" t="n">
        <f aca="false">KPIs!D40</f>
        <v>466.796</v>
      </c>
    </row>
    <row r="31" customFormat="false" ht="15" hidden="false" customHeight="false" outlineLevel="0" collapsed="false">
      <c r="A31" s="6" t="s">
        <v>61</v>
      </c>
      <c r="B31" s="46" t="n">
        <f aca="false">INDEX(Headcount!$C$10:$AL$10,B$27*12)</f>
        <v>9</v>
      </c>
      <c r="C31" s="46" t="n">
        <f aca="false">INDEX(Headcount!$C$10:$AL$10,C$27*12)</f>
        <v>10.04</v>
      </c>
      <c r="D31" s="46" t="n">
        <f aca="false">INDEX(Headcount!$C$10:$AL$10,D$27*12)</f>
        <v>11.2008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7"/>
      <c r="C34" s="47"/>
      <c r="D34" s="47"/>
      <c r="E34" s="47"/>
      <c r="F34" s="48" t="n">
        <f aca="false">Inputs!$E$54</f>
        <v>100000</v>
      </c>
    </row>
    <row r="35" customFormat="false" ht="15" hidden="false" customHeight="false" outlineLevel="0" collapsed="false">
      <c r="A35" s="6" t="s">
        <v>64</v>
      </c>
      <c r="B35" s="47"/>
      <c r="C35" s="47"/>
      <c r="D35" s="47"/>
      <c r="E35" s="47"/>
      <c r="F35" s="48" t="n">
        <f aca="false">Inputs!$E$55</f>
        <v>250000</v>
      </c>
    </row>
    <row r="36" customFormat="false" ht="15" hidden="false" customHeight="false" outlineLevel="0" collapsed="false">
      <c r="A36" s="6" t="s">
        <v>65</v>
      </c>
      <c r="B36" s="47"/>
      <c r="C36" s="47"/>
      <c r="D36" s="47"/>
      <c r="E36" s="47"/>
      <c r="F36" s="48" t="n">
        <f aca="false">'Break-even'!B12</f>
        <v>108761.884655556</v>
      </c>
    </row>
    <row r="37" customFormat="false" ht="15" hidden="false" customHeight="false" outlineLevel="0" collapsed="false">
      <c r="A37" s="37" t="s">
        <v>66</v>
      </c>
      <c r="B37" s="37"/>
      <c r="C37" s="37"/>
      <c r="D37" s="37"/>
      <c r="E37" s="37"/>
      <c r="F37" s="38" t="n">
        <f aca="false">'Break-even'!B17</f>
        <v>241238.115344444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1)</v>
      </c>
      <c r="B38" s="47"/>
      <c r="C38" s="47"/>
      <c r="D38" s="47"/>
      <c r="E38" s="47"/>
      <c r="F38" s="48" t="n">
        <f aca="false">'Break-even'!B18</f>
        <v>339238.115344444</v>
      </c>
    </row>
    <row r="39" customFormat="false" ht="15" hidden="false" customHeight="false" outlineLevel="0" collapsed="false">
      <c r="A39" s="6" t="s">
        <v>67</v>
      </c>
      <c r="B39" s="47"/>
      <c r="C39" s="47"/>
      <c r="D39" s="47"/>
      <c r="E39" s="47"/>
      <c r="F39" s="49" t="n">
        <f aca="false">'Break-even'!B21</f>
        <v>1</v>
      </c>
    </row>
    <row r="40" customFormat="false" ht="15" hidden="false" customHeight="false" outlineLevel="0" collapsed="false">
      <c r="A40" s="6" t="s">
        <v>68</v>
      </c>
      <c r="B40" s="47"/>
      <c r="C40" s="47"/>
      <c r="D40" s="47"/>
      <c r="E40" s="47"/>
      <c r="F40" s="49" t="n">
        <f aca="false">'Break-even'!B23</f>
        <v>2</v>
      </c>
    </row>
    <row r="41" customFormat="false" ht="15" hidden="false" customHeight="false" outlineLevel="0" collapsed="false">
      <c r="A41" s="6" t="s">
        <v>69</v>
      </c>
      <c r="B41" s="47"/>
      <c r="C41" s="47"/>
      <c r="D41" s="47"/>
      <c r="E41" s="47"/>
      <c r="F41" s="48" t="n">
        <f aca="false">Valuation!B27</f>
        <v>2151907.48838079</v>
      </c>
    </row>
    <row r="42" customFormat="false" ht="15" hidden="false" customHeight="false" outlineLevel="0" collapsed="false">
      <c r="A42" s="6" t="s">
        <v>70</v>
      </c>
      <c r="B42" s="47"/>
      <c r="C42" s="47"/>
      <c r="D42" s="47"/>
      <c r="E42" s="47"/>
      <c r="F42" s="48" t="n">
        <f aca="false">Valuation!C27</f>
        <v>2259231.74924355</v>
      </c>
    </row>
    <row r="43" customFormat="false" ht="15" hidden="false" customHeight="false" outlineLevel="0" collapsed="false">
      <c r="A43" s="41" t="s">
        <v>71</v>
      </c>
      <c r="B43" s="41"/>
      <c r="C43" s="41"/>
      <c r="D43" s="41"/>
      <c r="E43" s="41"/>
      <c r="F43" s="42" t="n">
        <f aca="false">Valuation!B30</f>
        <v>2205569.61881217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50" t="n">
        <v>1</v>
      </c>
      <c r="S2" s="50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5"/>
      <c r="F6" s="35"/>
      <c r="H6" s="51" t="n">
        <f aca="false">INDEX(Monthly!$C$4:$AL$4,($R$2-1)*12+1)</f>
        <v>1</v>
      </c>
      <c r="I6" s="51" t="n">
        <f aca="false">INDEX(Monthly!$C$4:$AL$4,($R$2-1)*12+2)</f>
        <v>2</v>
      </c>
      <c r="J6" s="51" t="n">
        <f aca="false">INDEX(Monthly!$C$4:$AL$4,($R$2-1)*12+3)</f>
        <v>3</v>
      </c>
      <c r="K6" s="51" t="n">
        <f aca="false">INDEX(Monthly!$C$4:$AL$4,($R$2-1)*12+4)</f>
        <v>4</v>
      </c>
      <c r="L6" s="51" t="n">
        <f aca="false">INDEX(Monthly!$C$4:$AL$4,($R$2-1)*12+5)</f>
        <v>5</v>
      </c>
      <c r="M6" s="51" t="n">
        <f aca="false">INDEX(Monthly!$C$4:$AL$4,($R$2-1)*12+6)</f>
        <v>6</v>
      </c>
      <c r="N6" s="51" t="n">
        <f aca="false">INDEX(Monthly!$C$4:$AL$4,($R$2-1)*12+7)</f>
        <v>7</v>
      </c>
      <c r="O6" s="51" t="n">
        <f aca="false">INDEX(Monthly!$C$4:$AL$4,($R$2-1)*12+8)</f>
        <v>8</v>
      </c>
      <c r="P6" s="51" t="n">
        <f aca="false">INDEX(Monthly!$C$4:$AL$4,($R$2-1)*12+9)</f>
        <v>9</v>
      </c>
      <c r="Q6" s="51" t="n">
        <f aca="false">INDEX(Monthly!$C$4:$AL$4,($R$2-1)*12+10)</f>
        <v>10</v>
      </c>
      <c r="R6" s="51" t="n">
        <f aca="false">INDEX(Monthly!$C$4:$AL$4,($R$2-1)*12+11)</f>
        <v>11</v>
      </c>
      <c r="S6" s="51" t="n">
        <f aca="false">INDEX(Monthly!$C$4:$AL$4,($R$2-1)*12+12)</f>
        <v>12</v>
      </c>
    </row>
    <row r="7" customFormat="false" ht="15" hidden="false" customHeight="false" outlineLevel="0" collapsed="false">
      <c r="A7" s="52" t="s">
        <v>44</v>
      </c>
      <c r="B7" s="36" t="n">
        <f aca="false">'P&amp;L'!B5</f>
        <v>1710030</v>
      </c>
      <c r="C7" s="36" t="n">
        <f aca="false">'P&amp;L'!C5</f>
        <v>2015484.945</v>
      </c>
      <c r="D7" s="36" t="n">
        <f aca="false">'P&amp;L'!D5</f>
        <v>2376160.7103285</v>
      </c>
      <c r="H7" s="36" t="n">
        <f aca="false">INDEX(Monthly!$C$22:$AL$22,($R$2-1)*12+1)</f>
        <v>133436.666666667</v>
      </c>
      <c r="I7" s="36" t="n">
        <f aca="false">INDEX(Monthly!$C$22:$AL$22,($R$2-1)*12+2)</f>
        <v>133436.666666667</v>
      </c>
      <c r="J7" s="36" t="n">
        <f aca="false">INDEX(Monthly!$C$22:$AL$22,($R$2-1)*12+3)</f>
        <v>133436.666666667</v>
      </c>
      <c r="K7" s="36" t="n">
        <f aca="false">INDEX(Monthly!$C$22:$AL$22,($R$2-1)*12+4)</f>
        <v>133436.666666667</v>
      </c>
      <c r="L7" s="36" t="n">
        <f aca="false">INDEX(Monthly!$C$22:$AL$22,($R$2-1)*12+5)</f>
        <v>133436.666666667</v>
      </c>
      <c r="M7" s="36" t="n">
        <f aca="false">INDEX(Monthly!$C$22:$AL$22,($R$2-1)*12+6)</f>
        <v>169700</v>
      </c>
      <c r="N7" s="36" t="n">
        <f aca="false">INDEX(Monthly!$C$22:$AL$22,($R$2-1)*12+7)</f>
        <v>169700</v>
      </c>
      <c r="O7" s="36" t="n">
        <f aca="false">INDEX(Monthly!$C$22:$AL$22,($R$2-1)*12+8)</f>
        <v>169700</v>
      </c>
      <c r="P7" s="36" t="n">
        <f aca="false">INDEX(Monthly!$C$22:$AL$22,($R$2-1)*12+9)</f>
        <v>133436.666666667</v>
      </c>
      <c r="Q7" s="36" t="n">
        <f aca="false">INDEX(Monthly!$C$22:$AL$22,($R$2-1)*12+10)</f>
        <v>133436.666666667</v>
      </c>
      <c r="R7" s="36" t="n">
        <f aca="false">INDEX(Monthly!$C$22:$AL$22,($R$2-1)*12+11)</f>
        <v>133436.666666667</v>
      </c>
      <c r="S7" s="36" t="n">
        <f aca="false">INDEX(Monthly!$C$22:$AL$22,($R$2-1)*12+12)</f>
        <v>133436.666666667</v>
      </c>
    </row>
    <row r="8" customFormat="false" ht="15" hidden="false" customHeight="false" outlineLevel="0" collapsed="false">
      <c r="A8" s="52" t="s">
        <v>75</v>
      </c>
      <c r="B8" s="36" t="n">
        <f aca="false">'P&amp;L'!B6</f>
        <v>-1050207.5</v>
      </c>
      <c r="C8" s="36" t="n">
        <f aca="false">'P&amp;L'!C6</f>
        <v>-1219735.39625</v>
      </c>
      <c r="D8" s="36" t="n">
        <f aca="false">'P&amp;L'!D6</f>
        <v>-1417218.24631813</v>
      </c>
      <c r="H8" s="36" t="n">
        <f aca="false">INDEX(Monthly!$C$29:$AL$29,($R$2-1)*12+1)</f>
        <v>-85250.8333333333</v>
      </c>
      <c r="I8" s="36" t="n">
        <f aca="false">INDEX(Monthly!$C$29:$AL$29,($R$2-1)*12+2)</f>
        <v>-85250.8333333333</v>
      </c>
      <c r="J8" s="36" t="n">
        <f aca="false">INDEX(Monthly!$C$29:$AL$29,($R$2-1)*12+3)</f>
        <v>-85250.8333333333</v>
      </c>
      <c r="K8" s="36" t="n">
        <f aca="false">INDEX(Monthly!$C$29:$AL$29,($R$2-1)*12+4)</f>
        <v>-85250.8333333333</v>
      </c>
      <c r="L8" s="36" t="n">
        <f aca="false">INDEX(Monthly!$C$29:$AL$29,($R$2-1)*12+5)</f>
        <v>-85250.8333333333</v>
      </c>
      <c r="M8" s="36" t="n">
        <f aca="false">INDEX(Monthly!$C$29:$AL$29,($R$2-1)*12+6)</f>
        <v>-94316.6666666667</v>
      </c>
      <c r="N8" s="36" t="n">
        <f aca="false">INDEX(Monthly!$C$29:$AL$29,($R$2-1)*12+7)</f>
        <v>-94316.6666666667</v>
      </c>
      <c r="O8" s="36" t="n">
        <f aca="false">INDEX(Monthly!$C$29:$AL$29,($R$2-1)*12+8)</f>
        <v>-94316.6666666667</v>
      </c>
      <c r="P8" s="36" t="n">
        <f aca="false">INDEX(Monthly!$C$29:$AL$29,($R$2-1)*12+9)</f>
        <v>-85250.8333333333</v>
      </c>
      <c r="Q8" s="36" t="n">
        <f aca="false">INDEX(Monthly!$C$29:$AL$29,($R$2-1)*12+10)</f>
        <v>-85250.8333333333</v>
      </c>
      <c r="R8" s="36" t="n">
        <f aca="false">INDEX(Monthly!$C$29:$AL$29,($R$2-1)*12+11)</f>
        <v>-85250.8333333333</v>
      </c>
      <c r="S8" s="36" t="n">
        <f aca="false">INDEX(Monthly!$C$29:$AL$29,($R$2-1)*12+12)</f>
        <v>-85250.8333333333</v>
      </c>
    </row>
    <row r="9" customFormat="false" ht="15" hidden="false" customHeight="false" outlineLevel="0" collapsed="false">
      <c r="A9" s="37" t="s">
        <v>45</v>
      </c>
      <c r="B9" s="38" t="n">
        <f aca="false">'P&amp;L'!B7</f>
        <v>659822.5</v>
      </c>
      <c r="C9" s="38" t="n">
        <f aca="false">'P&amp;L'!C7</f>
        <v>795749.54875</v>
      </c>
      <c r="D9" s="38" t="n">
        <f aca="false">'P&amp;L'!D7</f>
        <v>958942.464010375</v>
      </c>
      <c r="E9" s="37"/>
      <c r="F9" s="37"/>
      <c r="H9" s="38" t="n">
        <f aca="false">INDEX(Monthly!$C$30:$AL$30,($R$2-1)*12+1)</f>
        <v>48185.8333333333</v>
      </c>
      <c r="I9" s="38" t="n">
        <f aca="false">INDEX(Monthly!$C$30:$AL$30,($R$2-1)*12+2)</f>
        <v>48185.8333333333</v>
      </c>
      <c r="J9" s="38" t="n">
        <f aca="false">INDEX(Monthly!$C$30:$AL$30,($R$2-1)*12+3)</f>
        <v>48185.8333333333</v>
      </c>
      <c r="K9" s="38" t="n">
        <f aca="false">INDEX(Monthly!$C$30:$AL$30,($R$2-1)*12+4)</f>
        <v>48185.8333333333</v>
      </c>
      <c r="L9" s="38" t="n">
        <f aca="false">INDEX(Monthly!$C$30:$AL$30,($R$2-1)*12+5)</f>
        <v>48185.8333333333</v>
      </c>
      <c r="M9" s="38" t="n">
        <f aca="false">INDEX(Monthly!$C$30:$AL$30,($R$2-1)*12+6)</f>
        <v>75383.3333333333</v>
      </c>
      <c r="N9" s="38" t="n">
        <f aca="false">INDEX(Monthly!$C$30:$AL$30,($R$2-1)*12+7)</f>
        <v>75383.3333333333</v>
      </c>
      <c r="O9" s="38" t="n">
        <f aca="false">INDEX(Monthly!$C$30:$AL$30,($R$2-1)*12+8)</f>
        <v>75383.3333333333</v>
      </c>
      <c r="P9" s="38" t="n">
        <f aca="false">INDEX(Monthly!$C$30:$AL$30,($R$2-1)*12+9)</f>
        <v>48185.8333333333</v>
      </c>
      <c r="Q9" s="38" t="n">
        <f aca="false">INDEX(Monthly!$C$30:$AL$30,($R$2-1)*12+10)</f>
        <v>48185.8333333333</v>
      </c>
      <c r="R9" s="38" t="n">
        <f aca="false">INDEX(Monthly!$C$30:$AL$30,($R$2-1)*12+11)</f>
        <v>48185.8333333333</v>
      </c>
      <c r="S9" s="38" t="n">
        <f aca="false">INDEX(Monthly!$C$30:$AL$30,($R$2-1)*12+12)</f>
        <v>48185.8333333333</v>
      </c>
    </row>
    <row r="10" customFormat="false" ht="15" hidden="false" customHeight="false" outlineLevel="0" collapsed="false">
      <c r="A10" s="39" t="s">
        <v>46</v>
      </c>
      <c r="B10" s="40" t="n">
        <f aca="false">'P&amp;L'!B8</f>
        <v>0.385854341736695</v>
      </c>
      <c r="C10" s="40" t="n">
        <f aca="false">'P&amp;L'!C8</f>
        <v>0.394817907583031</v>
      </c>
      <c r="D10" s="40" t="n">
        <f aca="false">'P&amp;L'!D8</f>
        <v>0.403568016187677</v>
      </c>
      <c r="H10" s="40" t="n">
        <f aca="false">IF(H7=0,0,H9/H7)</f>
        <v>0.361113886737778</v>
      </c>
      <c r="I10" s="40" t="n">
        <f aca="false">IF(I7=0,0,I9/I7)</f>
        <v>0.361113886737778</v>
      </c>
      <c r="J10" s="40" t="n">
        <f aca="false">IF(J7=0,0,J9/J7)</f>
        <v>0.361113886737778</v>
      </c>
      <c r="K10" s="40" t="n">
        <f aca="false">IF(K7=0,0,K9/K7)</f>
        <v>0.361113886737778</v>
      </c>
      <c r="L10" s="40" t="n">
        <f aca="false">IF(L7=0,0,L9/L7)</f>
        <v>0.361113886737778</v>
      </c>
      <c r="M10" s="40" t="n">
        <f aca="false">IF(M7=0,0,M9/M7)</f>
        <v>0.444215281869967</v>
      </c>
      <c r="N10" s="40" t="n">
        <f aca="false">IF(N7=0,0,N9/N7)</f>
        <v>0.444215281869967</v>
      </c>
      <c r="O10" s="40" t="n">
        <f aca="false">IF(O7=0,0,O9/O7)</f>
        <v>0.444215281869967</v>
      </c>
      <c r="P10" s="40" t="n">
        <f aca="false">IF(P7=0,0,P9/P7)</f>
        <v>0.361113886737778</v>
      </c>
      <c r="Q10" s="40" t="n">
        <f aca="false">IF(Q7=0,0,Q9/Q7)</f>
        <v>0.361113886737778</v>
      </c>
      <c r="R10" s="40" t="n">
        <f aca="false">IF(R7=0,0,R9/R7)</f>
        <v>0.361113886737778</v>
      </c>
      <c r="S10" s="40" t="n">
        <f aca="false">IF(S7=0,0,S9/S7)</f>
        <v>0.361113886737778</v>
      </c>
    </row>
    <row r="11" customFormat="false" ht="15" hidden="false" customHeight="false" outlineLevel="0" collapsed="false">
      <c r="A11" s="52" t="s">
        <v>76</v>
      </c>
      <c r="B11" s="36" t="n">
        <f aca="false">'P&amp;L'!B16</f>
        <v>-393750.81</v>
      </c>
      <c r="C11" s="36" t="n">
        <f aca="false">'P&amp;L'!C16</f>
        <v>-433173.193515</v>
      </c>
      <c r="D11" s="36" t="n">
        <f aca="false">'P&amp;L'!D16</f>
        <v>-478492.50267887</v>
      </c>
      <c r="H11" s="36" t="n">
        <f aca="false">INDEX(Monthly!$C$40:$AL$40,($R$2-1)*12+1)</f>
        <v>-32567.79</v>
      </c>
      <c r="I11" s="36" t="n">
        <f aca="false">INDEX(Monthly!$C$40:$AL$40,($R$2-1)*12+2)</f>
        <v>-32567.79</v>
      </c>
      <c r="J11" s="36" t="n">
        <f aca="false">INDEX(Monthly!$C$40:$AL$40,($R$2-1)*12+3)</f>
        <v>-32567.79</v>
      </c>
      <c r="K11" s="36" t="n">
        <f aca="false">INDEX(Monthly!$C$40:$AL$40,($R$2-1)*12+4)</f>
        <v>-32567.79</v>
      </c>
      <c r="L11" s="36" t="n">
        <f aca="false">INDEX(Monthly!$C$40:$AL$40,($R$2-1)*12+5)</f>
        <v>-32567.79</v>
      </c>
      <c r="M11" s="36" t="n">
        <f aca="false">INDEX(Monthly!$C$40:$AL$40,($R$2-1)*12+6)</f>
        <v>-33546.9</v>
      </c>
      <c r="N11" s="36" t="n">
        <f aca="false">INDEX(Monthly!$C$40:$AL$40,($R$2-1)*12+7)</f>
        <v>-33546.9</v>
      </c>
      <c r="O11" s="36" t="n">
        <f aca="false">INDEX(Monthly!$C$40:$AL$40,($R$2-1)*12+8)</f>
        <v>-33546.9</v>
      </c>
      <c r="P11" s="36" t="n">
        <f aca="false">INDEX(Monthly!$C$40:$AL$40,($R$2-1)*12+9)</f>
        <v>-32567.79</v>
      </c>
      <c r="Q11" s="36" t="n">
        <f aca="false">INDEX(Monthly!$C$40:$AL$40,($R$2-1)*12+10)</f>
        <v>-32567.79</v>
      </c>
      <c r="R11" s="36" t="n">
        <f aca="false">INDEX(Monthly!$C$40:$AL$40,($R$2-1)*12+11)</f>
        <v>-32567.79</v>
      </c>
      <c r="S11" s="36" t="n">
        <f aca="false">INDEX(Monthly!$C$40:$AL$40,($R$2-1)*12+12)</f>
        <v>-32567.79</v>
      </c>
    </row>
    <row r="12" customFormat="false" ht="15" hidden="false" customHeight="false" outlineLevel="0" collapsed="false">
      <c r="A12" s="37" t="s">
        <v>48</v>
      </c>
      <c r="B12" s="38" t="n">
        <f aca="false">'P&amp;L'!B17</f>
        <v>266071.69</v>
      </c>
      <c r="C12" s="38" t="n">
        <f aca="false">'P&amp;L'!C17</f>
        <v>362576.355235</v>
      </c>
      <c r="D12" s="38" t="n">
        <f aca="false">'P&amp;L'!D17</f>
        <v>480449.961331505</v>
      </c>
      <c r="E12" s="37"/>
      <c r="F12" s="37"/>
      <c r="H12" s="38" t="n">
        <f aca="false">INDEX(Monthly!$C$41:$AL$41,($R$2-1)*12+1)</f>
        <v>15618.0433333333</v>
      </c>
      <c r="I12" s="38" t="n">
        <f aca="false">INDEX(Monthly!$C$41:$AL$41,($R$2-1)*12+2)</f>
        <v>15618.0433333333</v>
      </c>
      <c r="J12" s="38" t="n">
        <f aca="false">INDEX(Monthly!$C$41:$AL$41,($R$2-1)*12+3)</f>
        <v>15618.0433333333</v>
      </c>
      <c r="K12" s="38" t="n">
        <f aca="false">INDEX(Monthly!$C$41:$AL$41,($R$2-1)*12+4)</f>
        <v>15618.0433333333</v>
      </c>
      <c r="L12" s="38" t="n">
        <f aca="false">INDEX(Monthly!$C$41:$AL$41,($R$2-1)*12+5)</f>
        <v>15618.0433333333</v>
      </c>
      <c r="M12" s="38" t="n">
        <f aca="false">INDEX(Monthly!$C$41:$AL$41,($R$2-1)*12+6)</f>
        <v>41836.4333333333</v>
      </c>
      <c r="N12" s="38" t="n">
        <f aca="false">INDEX(Monthly!$C$41:$AL$41,($R$2-1)*12+7)</f>
        <v>41836.4333333333</v>
      </c>
      <c r="O12" s="38" t="n">
        <f aca="false">INDEX(Monthly!$C$41:$AL$41,($R$2-1)*12+8)</f>
        <v>41836.4333333333</v>
      </c>
      <c r="P12" s="38" t="n">
        <f aca="false">INDEX(Monthly!$C$41:$AL$41,($R$2-1)*12+9)</f>
        <v>15618.0433333333</v>
      </c>
      <c r="Q12" s="38" t="n">
        <f aca="false">INDEX(Monthly!$C$41:$AL$41,($R$2-1)*12+10)</f>
        <v>15618.0433333333</v>
      </c>
      <c r="R12" s="38" t="n">
        <f aca="false">INDEX(Monthly!$C$41:$AL$41,($R$2-1)*12+11)</f>
        <v>15618.0433333333</v>
      </c>
      <c r="S12" s="38" t="n">
        <f aca="false">INDEX(Monthly!$C$41:$AL$41,($R$2-1)*12+12)</f>
        <v>15618.0433333333</v>
      </c>
    </row>
    <row r="13" customFormat="false" ht="15" hidden="false" customHeight="false" outlineLevel="0" collapsed="false">
      <c r="A13" s="39" t="s">
        <v>49</v>
      </c>
      <c r="B13" s="40" t="n">
        <f aca="false">'P&amp;L'!B18</f>
        <v>0.155594749799711</v>
      </c>
      <c r="C13" s="40" t="n">
        <f aca="false">'P&amp;L'!C18</f>
        <v>0.179895342872432</v>
      </c>
      <c r="D13" s="40" t="n">
        <f aca="false">'P&amp;L'!D18</f>
        <v>0.202195903350781</v>
      </c>
      <c r="H13" s="40" t="n">
        <f aca="false">IF(H7=0,0,H12/H7)</f>
        <v>0.117044615423047</v>
      </c>
      <c r="I13" s="40" t="n">
        <f aca="false">IF(I7=0,0,I12/I7)</f>
        <v>0.117044615423047</v>
      </c>
      <c r="J13" s="40" t="n">
        <f aca="false">IF(J7=0,0,J12/J7)</f>
        <v>0.117044615423047</v>
      </c>
      <c r="K13" s="40" t="n">
        <f aca="false">IF(K7=0,0,K12/K7)</f>
        <v>0.117044615423047</v>
      </c>
      <c r="L13" s="40" t="n">
        <f aca="false">IF(L7=0,0,L12/L7)</f>
        <v>0.117044615423047</v>
      </c>
      <c r="M13" s="40" t="n">
        <f aca="false">IF(M7=0,0,M12/M7)</f>
        <v>0.24653172264781</v>
      </c>
      <c r="N13" s="40" t="n">
        <f aca="false">IF(N7=0,0,N12/N7)</f>
        <v>0.24653172264781</v>
      </c>
      <c r="O13" s="40" t="n">
        <f aca="false">IF(O7=0,0,O12/O7)</f>
        <v>0.24653172264781</v>
      </c>
      <c r="P13" s="40" t="n">
        <f aca="false">IF(P7=0,0,P12/P7)</f>
        <v>0.117044615423047</v>
      </c>
      <c r="Q13" s="40" t="n">
        <f aca="false">IF(Q7=0,0,Q12/Q7)</f>
        <v>0.117044615423047</v>
      </c>
      <c r="R13" s="40" t="n">
        <f aca="false">IF(R7=0,0,R12/R7)</f>
        <v>0.117044615423047</v>
      </c>
      <c r="S13" s="40" t="n">
        <f aca="false">IF(S7=0,0,S12/S7)</f>
        <v>0.117044615423047</v>
      </c>
    </row>
    <row r="14" customFormat="false" ht="15" hidden="false" customHeight="false" outlineLevel="0" collapsed="false">
      <c r="A14" s="52" t="s">
        <v>77</v>
      </c>
      <c r="B14" s="36" t="n">
        <f aca="false">'P&amp;L'!B19</f>
        <v>-4000</v>
      </c>
      <c r="C14" s="36" t="n">
        <f aca="false">'P&amp;L'!C19</f>
        <v>-11560</v>
      </c>
      <c r="D14" s="36" t="n">
        <f aca="false">'P&amp;L'!D19</f>
        <v>-20027.2</v>
      </c>
      <c r="H14" s="36" t="n">
        <f aca="false">INDEX(Monthly!$C$55:$AL$55,($R$2-1)*12+1)</f>
        <v>-333.333333333333</v>
      </c>
      <c r="I14" s="36" t="n">
        <f aca="false">INDEX(Monthly!$C$55:$AL$55,($R$2-1)*12+2)</f>
        <v>-333.333333333333</v>
      </c>
      <c r="J14" s="36" t="n">
        <f aca="false">INDEX(Monthly!$C$55:$AL$55,($R$2-1)*12+3)</f>
        <v>-333.333333333333</v>
      </c>
      <c r="K14" s="36" t="n">
        <f aca="false">INDEX(Monthly!$C$55:$AL$55,($R$2-1)*12+4)</f>
        <v>-333.333333333333</v>
      </c>
      <c r="L14" s="36" t="n">
        <f aca="false">INDEX(Monthly!$C$55:$AL$55,($R$2-1)*12+5)</f>
        <v>-333.333333333333</v>
      </c>
      <c r="M14" s="36" t="n">
        <f aca="false">INDEX(Monthly!$C$55:$AL$55,($R$2-1)*12+6)</f>
        <v>-333.333333333333</v>
      </c>
      <c r="N14" s="36" t="n">
        <f aca="false">INDEX(Monthly!$C$55:$AL$55,($R$2-1)*12+7)</f>
        <v>-333.333333333333</v>
      </c>
      <c r="O14" s="36" t="n">
        <f aca="false">INDEX(Monthly!$C$55:$AL$55,($R$2-1)*12+8)</f>
        <v>-333.333333333333</v>
      </c>
      <c r="P14" s="36" t="n">
        <f aca="false">INDEX(Monthly!$C$55:$AL$55,($R$2-1)*12+9)</f>
        <v>-333.333333333333</v>
      </c>
      <c r="Q14" s="36" t="n">
        <f aca="false">INDEX(Monthly!$C$55:$AL$55,($R$2-1)*12+10)</f>
        <v>-333.333333333333</v>
      </c>
      <c r="R14" s="36" t="n">
        <f aca="false">INDEX(Monthly!$C$55:$AL$55,($R$2-1)*12+11)</f>
        <v>-333.333333333333</v>
      </c>
      <c r="S14" s="36" t="n">
        <f aca="false">INDEX(Monthly!$C$55:$AL$55,($R$2-1)*12+12)</f>
        <v>-333.333333333333</v>
      </c>
    </row>
    <row r="15" customFormat="false" ht="15" hidden="false" customHeight="false" outlineLevel="0" collapsed="false">
      <c r="A15" s="37" t="s">
        <v>78</v>
      </c>
      <c r="B15" s="38" t="n">
        <f aca="false">'P&amp;L'!B20</f>
        <v>262071.69</v>
      </c>
      <c r="C15" s="38" t="n">
        <f aca="false">'P&amp;L'!C20</f>
        <v>351016.355235</v>
      </c>
      <c r="D15" s="38" t="n">
        <f aca="false">'P&amp;L'!D20</f>
        <v>460422.761331505</v>
      </c>
      <c r="E15" s="37"/>
      <c r="F15" s="37"/>
      <c r="H15" s="38" t="n">
        <f aca="false">INDEX(Monthly!$C$44:$AL$44,($R$2-1)*12+1)</f>
        <v>15284.71</v>
      </c>
      <c r="I15" s="38" t="n">
        <f aca="false">INDEX(Monthly!$C$44:$AL$44,($R$2-1)*12+2)</f>
        <v>15284.71</v>
      </c>
      <c r="J15" s="38" t="n">
        <f aca="false">INDEX(Monthly!$C$44:$AL$44,($R$2-1)*12+3)</f>
        <v>15284.71</v>
      </c>
      <c r="K15" s="38" t="n">
        <f aca="false">INDEX(Monthly!$C$44:$AL$44,($R$2-1)*12+4)</f>
        <v>15284.71</v>
      </c>
      <c r="L15" s="38" t="n">
        <f aca="false">INDEX(Monthly!$C$44:$AL$44,($R$2-1)*12+5)</f>
        <v>15284.71</v>
      </c>
      <c r="M15" s="38" t="n">
        <f aca="false">INDEX(Monthly!$C$44:$AL$44,($R$2-1)*12+6)</f>
        <v>41503.1</v>
      </c>
      <c r="N15" s="38" t="n">
        <f aca="false">INDEX(Monthly!$C$44:$AL$44,($R$2-1)*12+7)</f>
        <v>41503.1</v>
      </c>
      <c r="O15" s="38" t="n">
        <f aca="false">INDEX(Monthly!$C$44:$AL$44,($R$2-1)*12+8)</f>
        <v>41503.1</v>
      </c>
      <c r="P15" s="38" t="n">
        <f aca="false">INDEX(Monthly!$C$44:$AL$44,($R$2-1)*12+9)</f>
        <v>15284.71</v>
      </c>
      <c r="Q15" s="38" t="n">
        <f aca="false">INDEX(Monthly!$C$44:$AL$44,($R$2-1)*12+10)</f>
        <v>15284.71</v>
      </c>
      <c r="R15" s="38" t="n">
        <f aca="false">INDEX(Monthly!$C$44:$AL$44,($R$2-1)*12+11)</f>
        <v>15284.71</v>
      </c>
      <c r="S15" s="38" t="n">
        <f aca="false">INDEX(Monthly!$C$44:$AL$44,($R$2-1)*12+12)</f>
        <v>15284.71</v>
      </c>
    </row>
    <row r="16" customFormat="false" ht="15" hidden="false" customHeight="false" outlineLevel="0" collapsed="false">
      <c r="A16" s="52" t="s">
        <v>79</v>
      </c>
      <c r="B16" s="36" t="n">
        <f aca="false">'P&amp;L'!B21</f>
        <v>-18319.4444444445</v>
      </c>
      <c r="C16" s="36" t="n">
        <f aca="false">'P&amp;L'!C21</f>
        <v>-14333.3333333333</v>
      </c>
      <c r="D16" s="36" t="n">
        <f aca="false">'P&amp;L'!D21</f>
        <v>-10333.3333333334</v>
      </c>
      <c r="H16" s="36" t="n">
        <f aca="false">INDEX(Monthly!$C$45:$AL$45,($R$2-1)*12+1)</f>
        <v>-1666.66666666667</v>
      </c>
      <c r="I16" s="36" t="n">
        <f aca="false">INDEX(Monthly!$C$45:$AL$45,($R$2-1)*12+2)</f>
        <v>-1652.77777777778</v>
      </c>
      <c r="J16" s="36" t="n">
        <f aca="false">INDEX(Monthly!$C$45:$AL$45,($R$2-1)*12+3)</f>
        <v>-1625</v>
      </c>
      <c r="K16" s="36" t="n">
        <f aca="false">INDEX(Monthly!$C$45:$AL$45,($R$2-1)*12+4)</f>
        <v>-1597.22222222222</v>
      </c>
      <c r="L16" s="36" t="n">
        <f aca="false">INDEX(Monthly!$C$45:$AL$45,($R$2-1)*12+5)</f>
        <v>-1569.44444444444</v>
      </c>
      <c r="M16" s="36" t="n">
        <f aca="false">INDEX(Monthly!$C$45:$AL$45,($R$2-1)*12+6)</f>
        <v>-1541.66666666667</v>
      </c>
      <c r="N16" s="36" t="n">
        <f aca="false">INDEX(Monthly!$C$45:$AL$45,($R$2-1)*12+7)</f>
        <v>-1513.88888888889</v>
      </c>
      <c r="O16" s="36" t="n">
        <f aca="false">INDEX(Monthly!$C$45:$AL$45,($R$2-1)*12+8)</f>
        <v>-1486.11111111111</v>
      </c>
      <c r="P16" s="36" t="n">
        <f aca="false">INDEX(Monthly!$C$45:$AL$45,($R$2-1)*12+9)</f>
        <v>-1458.33333333333</v>
      </c>
      <c r="Q16" s="36" t="n">
        <f aca="false">INDEX(Monthly!$C$45:$AL$45,($R$2-1)*12+10)</f>
        <v>-1430.55555555556</v>
      </c>
      <c r="R16" s="36" t="n">
        <f aca="false">INDEX(Monthly!$C$45:$AL$45,($R$2-1)*12+11)</f>
        <v>-1402.77777777778</v>
      </c>
      <c r="S16" s="36" t="n">
        <f aca="false">INDEX(Monthly!$C$45:$AL$45,($R$2-1)*12+12)</f>
        <v>-1375</v>
      </c>
    </row>
    <row r="17" customFormat="false" ht="15" hidden="false" customHeight="false" outlineLevel="0" collapsed="false">
      <c r="A17" s="52" t="s">
        <v>80</v>
      </c>
      <c r="B17" s="36" t="n">
        <f aca="false">'P&amp;L'!B22</f>
        <v>243752.245555556</v>
      </c>
      <c r="C17" s="36" t="n">
        <f aca="false">'P&amp;L'!C22</f>
        <v>336683.021901667</v>
      </c>
      <c r="D17" s="36" t="n">
        <f aca="false">'P&amp;L'!D22</f>
        <v>450089.427998172</v>
      </c>
      <c r="H17" s="36" t="n">
        <f aca="false">INDEX(Monthly!$C$46:$AL$46,($R$2-1)*12+1)</f>
        <v>13618.0433333333</v>
      </c>
      <c r="I17" s="36" t="n">
        <f aca="false">INDEX(Monthly!$C$46:$AL$46,($R$2-1)*12+2)</f>
        <v>13631.9322222222</v>
      </c>
      <c r="J17" s="36" t="n">
        <f aca="false">INDEX(Monthly!$C$46:$AL$46,($R$2-1)*12+3)</f>
        <v>13659.71</v>
      </c>
      <c r="K17" s="36" t="n">
        <f aca="false">INDEX(Monthly!$C$46:$AL$46,($R$2-1)*12+4)</f>
        <v>13687.4877777778</v>
      </c>
      <c r="L17" s="36" t="n">
        <f aca="false">INDEX(Monthly!$C$46:$AL$46,($R$2-1)*12+5)</f>
        <v>13715.2655555555</v>
      </c>
      <c r="M17" s="36" t="n">
        <f aca="false">INDEX(Monthly!$C$46:$AL$46,($R$2-1)*12+6)</f>
        <v>39961.4333333333</v>
      </c>
      <c r="N17" s="36" t="n">
        <f aca="false">INDEX(Monthly!$C$46:$AL$46,($R$2-1)*12+7)</f>
        <v>39989.2111111111</v>
      </c>
      <c r="O17" s="36" t="n">
        <f aca="false">INDEX(Monthly!$C$46:$AL$46,($R$2-1)*12+8)</f>
        <v>40016.9888888889</v>
      </c>
      <c r="P17" s="36" t="n">
        <f aca="false">INDEX(Monthly!$C$46:$AL$46,($R$2-1)*12+9)</f>
        <v>13826.3766666667</v>
      </c>
      <c r="Q17" s="36" t="n">
        <f aca="false">INDEX(Monthly!$C$46:$AL$46,($R$2-1)*12+10)</f>
        <v>13854.1544444444</v>
      </c>
      <c r="R17" s="36" t="n">
        <f aca="false">INDEX(Monthly!$C$46:$AL$46,($R$2-1)*12+11)</f>
        <v>13881.9322222222</v>
      </c>
      <c r="S17" s="36" t="n">
        <f aca="false">INDEX(Monthly!$C$46:$AL$46,($R$2-1)*12+12)</f>
        <v>13909.71</v>
      </c>
    </row>
    <row r="18" customFormat="false" ht="15" hidden="false" customHeight="false" outlineLevel="0" collapsed="false">
      <c r="A18" s="52" t="s">
        <v>81</v>
      </c>
      <c r="B18" s="36" t="n">
        <f aca="false">'P&amp;L'!B23</f>
        <v>-51187.9715666667</v>
      </c>
      <c r="C18" s="36" t="n">
        <f aca="false">'P&amp;L'!C23</f>
        <v>-70703.43459935</v>
      </c>
      <c r="D18" s="36" t="n">
        <f aca="false">'P&amp;L'!D23</f>
        <v>-94518.7798796161</v>
      </c>
      <c r="H18" s="36" t="n">
        <f aca="false">INDEX(Monthly!$C$49:$AL$49,($R$2-1)*12+1)</f>
        <v>-2859.7891</v>
      </c>
      <c r="I18" s="36" t="n">
        <f aca="false">INDEX(Monthly!$C$49:$AL$49,($R$2-1)*12+2)</f>
        <v>-2862.70576666667</v>
      </c>
      <c r="J18" s="36" t="n">
        <f aca="false">INDEX(Monthly!$C$49:$AL$49,($R$2-1)*12+3)</f>
        <v>-2868.5391</v>
      </c>
      <c r="K18" s="36" t="n">
        <f aca="false">INDEX(Monthly!$C$49:$AL$49,($R$2-1)*12+4)</f>
        <v>-2874.37243333333</v>
      </c>
      <c r="L18" s="36" t="n">
        <f aca="false">INDEX(Monthly!$C$49:$AL$49,($R$2-1)*12+5)</f>
        <v>-2880.20576666667</v>
      </c>
      <c r="M18" s="36" t="n">
        <f aca="false">INDEX(Monthly!$C$49:$AL$49,($R$2-1)*12+6)</f>
        <v>-8391.901</v>
      </c>
      <c r="N18" s="36" t="n">
        <f aca="false">INDEX(Monthly!$C$49:$AL$49,($R$2-1)*12+7)</f>
        <v>-8397.73433333333</v>
      </c>
      <c r="O18" s="36" t="n">
        <f aca="false">INDEX(Monthly!$C$49:$AL$49,($R$2-1)*12+8)</f>
        <v>-8403.56766666667</v>
      </c>
      <c r="P18" s="36" t="n">
        <f aca="false">INDEX(Monthly!$C$49:$AL$49,($R$2-1)*12+9)</f>
        <v>-2903.5391</v>
      </c>
      <c r="Q18" s="36" t="n">
        <f aca="false">INDEX(Monthly!$C$49:$AL$49,($R$2-1)*12+10)</f>
        <v>-2909.37243333333</v>
      </c>
      <c r="R18" s="36" t="n">
        <f aca="false">INDEX(Monthly!$C$49:$AL$49,($R$2-1)*12+11)</f>
        <v>-2915.20576666666</v>
      </c>
      <c r="S18" s="36" t="n">
        <f aca="false">INDEX(Monthly!$C$49:$AL$49,($R$2-1)*12+12)</f>
        <v>-2921.0391</v>
      </c>
    </row>
    <row r="19" customFormat="false" ht="15" hidden="false" customHeight="false" outlineLevel="0" collapsed="false">
      <c r="A19" s="41" t="s">
        <v>50</v>
      </c>
      <c r="B19" s="42" t="n">
        <f aca="false">'P&amp;L'!B24</f>
        <v>192564.273988889</v>
      </c>
      <c r="C19" s="42" t="n">
        <f aca="false">'P&amp;L'!C24</f>
        <v>265979.587302317</v>
      </c>
      <c r="D19" s="42" t="n">
        <f aca="false">'P&amp;L'!D24</f>
        <v>355570.648118556</v>
      </c>
      <c r="E19" s="41"/>
      <c r="F19" s="41"/>
      <c r="H19" s="42" t="n">
        <f aca="false">INDEX(Monthly!$C$50:$AL$50,($R$2-1)*12+1)</f>
        <v>10758.2542333333</v>
      </c>
      <c r="I19" s="42" t="n">
        <f aca="false">INDEX(Monthly!$C$50:$AL$50,($R$2-1)*12+2)</f>
        <v>10769.2264555556</v>
      </c>
      <c r="J19" s="42" t="n">
        <f aca="false">INDEX(Monthly!$C$50:$AL$50,($R$2-1)*12+3)</f>
        <v>10791.1709</v>
      </c>
      <c r="K19" s="42" t="n">
        <f aca="false">INDEX(Monthly!$C$50:$AL$50,($R$2-1)*12+4)</f>
        <v>10813.1153444444</v>
      </c>
      <c r="L19" s="42" t="n">
        <f aca="false">INDEX(Monthly!$C$50:$AL$50,($R$2-1)*12+5)</f>
        <v>10835.0597888889</v>
      </c>
      <c r="M19" s="42" t="n">
        <f aca="false">INDEX(Monthly!$C$50:$AL$50,($R$2-1)*12+6)</f>
        <v>31569.5323333333</v>
      </c>
      <c r="N19" s="42" t="n">
        <f aca="false">INDEX(Monthly!$C$50:$AL$50,($R$2-1)*12+7)</f>
        <v>31591.4767777778</v>
      </c>
      <c r="O19" s="42" t="n">
        <f aca="false">INDEX(Monthly!$C$50:$AL$50,($R$2-1)*12+8)</f>
        <v>31613.4212222222</v>
      </c>
      <c r="P19" s="42" t="n">
        <f aca="false">INDEX(Monthly!$C$50:$AL$50,($R$2-1)*12+9)</f>
        <v>10922.8375666667</v>
      </c>
      <c r="Q19" s="42" t="n">
        <f aca="false">INDEX(Monthly!$C$50:$AL$50,($R$2-1)*12+10)</f>
        <v>10944.7820111111</v>
      </c>
      <c r="R19" s="42" t="n">
        <f aca="false">INDEX(Monthly!$C$50:$AL$50,($R$2-1)*12+11)</f>
        <v>10966.7264555556</v>
      </c>
      <c r="S19" s="42" t="n">
        <f aca="false">INDEX(Monthly!$C$50:$AL$50,($R$2-1)*12+12)</f>
        <v>10988.6709</v>
      </c>
    </row>
    <row r="20" customFormat="false" ht="15" hidden="false" customHeight="false" outlineLevel="0" collapsed="false">
      <c r="A20" s="39" t="s">
        <v>51</v>
      </c>
      <c r="B20" s="40" t="n">
        <f aca="false">'P&amp;L'!B25</f>
        <v>0.11260871095179</v>
      </c>
      <c r="C20" s="40" t="n">
        <f aca="false">'P&amp;L'!C25</f>
        <v>0.131968034771064</v>
      </c>
      <c r="D20" s="40" t="n">
        <f aca="false">'P&amp;L'!D25</f>
        <v>0.149640824618045</v>
      </c>
      <c r="H20" s="40" t="n">
        <f aca="false">IF(H7=0,0,H19/H7)</f>
        <v>0.0806244228223127</v>
      </c>
      <c r="I20" s="40" t="n">
        <f aca="false">IF(I7=0,0,I19/I7)</f>
        <v>0.0807066507623258</v>
      </c>
      <c r="J20" s="40" t="n">
        <f aca="false">IF(J7=0,0,J19/J7)</f>
        <v>0.0808711066423522</v>
      </c>
      <c r="K20" s="40" t="n">
        <f aca="false">IF(K7=0,0,K19/K7)</f>
        <v>0.0810355625223785</v>
      </c>
      <c r="L20" s="40" t="n">
        <f aca="false">IF(L7=0,0,L19/L7)</f>
        <v>0.0812000184024048</v>
      </c>
      <c r="M20" s="40" t="n">
        <f aca="false">IF(M7=0,0,M19/M7)</f>
        <v>0.186031422117462</v>
      </c>
      <c r="N20" s="40" t="n">
        <f aca="false">IF(N7=0,0,N19/N7)</f>
        <v>0.186160735284489</v>
      </c>
      <c r="O20" s="40" t="n">
        <f aca="false">IF(O7=0,0,O19/O7)</f>
        <v>0.186290048451516</v>
      </c>
      <c r="P20" s="40" t="n">
        <f aca="false">IF(P7=0,0,P19/P7)</f>
        <v>0.08185784192251</v>
      </c>
      <c r="Q20" s="40" t="n">
        <f aca="false">IF(Q7=0,0,Q19/Q7)</f>
        <v>0.0820222978025363</v>
      </c>
      <c r="R20" s="40" t="n">
        <f aca="false">IF(R7=0,0,R19/R7)</f>
        <v>0.0821867536825627</v>
      </c>
      <c r="S20" s="40" t="n">
        <f aca="false">IF(S7=0,0,S19/S7)</f>
        <v>0.082351209562589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5"/>
      <c r="F23" s="35"/>
      <c r="H23" s="51" t="n">
        <f aca="false">INDEX(Monthly!$C$4:$AL$4,($R$2-1)*12+1)</f>
        <v>1</v>
      </c>
      <c r="I23" s="51" t="n">
        <f aca="false">INDEX(Monthly!$C$4:$AL$4,($R$2-1)*12+2)</f>
        <v>2</v>
      </c>
      <c r="J23" s="51" t="n">
        <f aca="false">INDEX(Monthly!$C$4:$AL$4,($R$2-1)*12+3)</f>
        <v>3</v>
      </c>
      <c r="K23" s="51" t="n">
        <f aca="false">INDEX(Monthly!$C$4:$AL$4,($R$2-1)*12+4)</f>
        <v>4</v>
      </c>
      <c r="L23" s="51" t="n">
        <f aca="false">INDEX(Monthly!$C$4:$AL$4,($R$2-1)*12+5)</f>
        <v>5</v>
      </c>
      <c r="M23" s="51" t="n">
        <f aca="false">INDEX(Monthly!$C$4:$AL$4,($R$2-1)*12+6)</f>
        <v>6</v>
      </c>
      <c r="N23" s="51" t="n">
        <f aca="false">INDEX(Monthly!$C$4:$AL$4,($R$2-1)*12+7)</f>
        <v>7</v>
      </c>
      <c r="O23" s="51" t="n">
        <f aca="false">INDEX(Monthly!$C$4:$AL$4,($R$2-1)*12+8)</f>
        <v>8</v>
      </c>
      <c r="P23" s="51" t="n">
        <f aca="false">INDEX(Monthly!$C$4:$AL$4,($R$2-1)*12+9)</f>
        <v>9</v>
      </c>
      <c r="Q23" s="51" t="n">
        <f aca="false">INDEX(Monthly!$C$4:$AL$4,($R$2-1)*12+10)</f>
        <v>10</v>
      </c>
      <c r="R23" s="51" t="n">
        <f aca="false">INDEX(Monthly!$C$4:$AL$4,($R$2-1)*12+11)</f>
        <v>11</v>
      </c>
      <c r="S23" s="51" t="n">
        <f aca="false">INDEX(Monthly!$C$4:$AL$4,($R$2-1)*12+12)</f>
        <v>12</v>
      </c>
    </row>
    <row r="24" customFormat="false" ht="15" hidden="false" customHeight="false" outlineLevel="0" collapsed="false">
      <c r="A24" s="37" t="s">
        <v>52</v>
      </c>
      <c r="B24" s="38" t="n">
        <f aca="false">'Cash Flow'!B10</f>
        <v>194710.801766667</v>
      </c>
      <c r="C24" s="38" t="n">
        <f aca="false">'Cash Flow'!C10</f>
        <v>276206.622093983</v>
      </c>
      <c r="D24" s="38" t="n">
        <f aca="false">'Cash Flow'!D10</f>
        <v>373872.067546618</v>
      </c>
      <c r="E24" s="37"/>
      <c r="F24" s="37"/>
      <c r="H24" s="38" t="n">
        <f aca="false">INDEX(Monthly!$C$74:$AL$74,($R$2-1)*12+1)</f>
        <v>9238.11534444444</v>
      </c>
      <c r="I24" s="38" t="n">
        <f aca="false">INDEX(Monthly!$C$74:$AL$74,($R$2-1)*12+2)</f>
        <v>11102.5597888889</v>
      </c>
      <c r="J24" s="38" t="n">
        <f aca="false">INDEX(Monthly!$C$74:$AL$74,($R$2-1)*12+3)</f>
        <v>11124.5042333333</v>
      </c>
      <c r="K24" s="38" t="n">
        <f aca="false">INDEX(Monthly!$C$74:$AL$74,($R$2-1)*12+4)</f>
        <v>11146.4486777778</v>
      </c>
      <c r="L24" s="38" t="n">
        <f aca="false">INDEX(Monthly!$C$74:$AL$74,($R$2-1)*12+5)</f>
        <v>11168.3931222222</v>
      </c>
      <c r="M24" s="38" t="n">
        <f aca="false">INDEX(Monthly!$C$74:$AL$74,($R$2-1)*12+6)</f>
        <v>24348.0045555555</v>
      </c>
      <c r="N24" s="38" t="n">
        <f aca="false">INDEX(Monthly!$C$74:$AL$74,($R$2-1)*12+7)</f>
        <v>31924.8101111111</v>
      </c>
      <c r="O24" s="38" t="n">
        <f aca="false">INDEX(Monthly!$C$74:$AL$74,($R$2-1)*12+8)</f>
        <v>31946.7545555556</v>
      </c>
      <c r="P24" s="38" t="n">
        <f aca="false">INDEX(Monthly!$C$74:$AL$74,($R$2-1)*12+9)</f>
        <v>18811.0320111111</v>
      </c>
      <c r="Q24" s="38" t="n">
        <f aca="false">INDEX(Monthly!$C$74:$AL$74,($R$2-1)*12+10)</f>
        <v>11278.1153444444</v>
      </c>
      <c r="R24" s="38" t="n">
        <f aca="false">INDEX(Monthly!$C$74:$AL$74,($R$2-1)*12+11)</f>
        <v>11300.0597888889</v>
      </c>
      <c r="S24" s="38" t="n">
        <f aca="false">INDEX(Monthly!$C$74:$AL$74,($R$2-1)*12+12)</f>
        <v>11322.0042333333</v>
      </c>
    </row>
    <row r="25" customFormat="false" ht="15" hidden="false" customHeight="false" outlineLevel="0" collapsed="false">
      <c r="A25" s="52" t="s">
        <v>83</v>
      </c>
      <c r="B25" s="36" t="n">
        <f aca="false">'Cash Flow'!B11</f>
        <v>-20000</v>
      </c>
      <c r="C25" s="36" t="n">
        <f aca="false">'Cash Flow'!C11</f>
        <v>-37800</v>
      </c>
      <c r="D25" s="36" t="n">
        <f aca="false">'Cash Flow'!D11</f>
        <v>-42336</v>
      </c>
      <c r="H25" s="36" t="n">
        <f aca="false">INDEX(Monthly!$C$75:$AL$75,($R$2-1)*12+1)</f>
        <v>-20000</v>
      </c>
      <c r="I25" s="36" t="n">
        <f aca="false">INDEX(Monthly!$C$75:$AL$75,($R$2-1)*12+2)</f>
        <v>-0</v>
      </c>
      <c r="J25" s="36" t="n">
        <f aca="false">INDEX(Monthly!$C$75:$AL$75,($R$2-1)*12+3)</f>
        <v>-0</v>
      </c>
      <c r="K25" s="36" t="n">
        <f aca="false">INDEX(Monthly!$C$75:$AL$75,($R$2-1)*12+4)</f>
        <v>-0</v>
      </c>
      <c r="L25" s="36" t="n">
        <f aca="false">INDEX(Monthly!$C$75:$AL$75,($R$2-1)*12+5)</f>
        <v>-0</v>
      </c>
      <c r="M25" s="36" t="n">
        <f aca="false">INDEX(Monthly!$C$75:$AL$75,($R$2-1)*12+6)</f>
        <v>-0</v>
      </c>
      <c r="N25" s="36" t="n">
        <f aca="false">INDEX(Monthly!$C$75:$AL$75,($R$2-1)*12+7)</f>
        <v>-0</v>
      </c>
      <c r="O25" s="36" t="n">
        <f aca="false">INDEX(Monthly!$C$75:$AL$75,($R$2-1)*12+8)</f>
        <v>-0</v>
      </c>
      <c r="P25" s="36" t="n">
        <f aca="false">INDEX(Monthly!$C$75:$AL$75,($R$2-1)*12+9)</f>
        <v>-0</v>
      </c>
      <c r="Q25" s="36" t="n">
        <f aca="false">INDEX(Monthly!$C$75:$AL$75,($R$2-1)*12+10)</f>
        <v>-0</v>
      </c>
      <c r="R25" s="36" t="n">
        <f aca="false">INDEX(Monthly!$C$75:$AL$75,($R$2-1)*12+11)</f>
        <v>-0</v>
      </c>
      <c r="S25" s="36" t="n">
        <f aca="false">INDEX(Monthly!$C$75:$AL$75,($R$2-1)*12+12)</f>
        <v>-0</v>
      </c>
    </row>
    <row r="26" customFormat="false" ht="15" hidden="false" customHeight="false" outlineLevel="0" collapsed="false">
      <c r="A26" s="52" t="s">
        <v>63</v>
      </c>
      <c r="B26" s="36" t="n">
        <f aca="false">'Cash Flow'!B12</f>
        <v>100000</v>
      </c>
      <c r="C26" s="36" t="n">
        <f aca="false">'Cash Flow'!C12</f>
        <v>0</v>
      </c>
      <c r="D26" s="36" t="n">
        <f aca="false">'Cash Flow'!D12</f>
        <v>0</v>
      </c>
      <c r="H26" s="36" t="n">
        <f aca="false">INDEX(Monthly!$C$76:$AL$76,($R$2-1)*12+1)</f>
        <v>100000</v>
      </c>
      <c r="I26" s="36" t="n">
        <f aca="false">INDEX(Monthly!$C$76:$AL$76,($R$2-1)*12+2)</f>
        <v>0</v>
      </c>
      <c r="J26" s="36" t="n">
        <f aca="false">INDEX(Monthly!$C$76:$AL$76,($R$2-1)*12+3)</f>
        <v>0</v>
      </c>
      <c r="K26" s="36" t="n">
        <f aca="false">INDEX(Monthly!$C$76:$AL$76,($R$2-1)*12+4)</f>
        <v>0</v>
      </c>
      <c r="L26" s="36" t="n">
        <f aca="false">INDEX(Monthly!$C$76:$AL$76,($R$2-1)*12+5)</f>
        <v>0</v>
      </c>
      <c r="M26" s="36" t="n">
        <f aca="false">INDEX(Monthly!$C$76:$AL$76,($R$2-1)*12+6)</f>
        <v>0</v>
      </c>
      <c r="N26" s="36" t="n">
        <f aca="false">INDEX(Monthly!$C$76:$AL$76,($R$2-1)*12+7)</f>
        <v>0</v>
      </c>
      <c r="O26" s="36" t="n">
        <f aca="false">INDEX(Monthly!$C$76:$AL$76,($R$2-1)*12+8)</f>
        <v>0</v>
      </c>
      <c r="P26" s="36" t="n">
        <f aca="false">INDEX(Monthly!$C$76:$AL$76,($R$2-1)*12+9)</f>
        <v>0</v>
      </c>
      <c r="Q26" s="36" t="n">
        <f aca="false">INDEX(Monthly!$C$76:$AL$76,($R$2-1)*12+10)</f>
        <v>0</v>
      </c>
      <c r="R26" s="36" t="n">
        <f aca="false">INDEX(Monthly!$C$76:$AL$76,($R$2-1)*12+11)</f>
        <v>0</v>
      </c>
      <c r="S26" s="36" t="n">
        <f aca="false">INDEX(Monthly!$C$76:$AL$76,($R$2-1)*12+12)</f>
        <v>0</v>
      </c>
    </row>
    <row r="27" customFormat="false" ht="15" hidden="false" customHeight="false" outlineLevel="0" collapsed="false">
      <c r="A27" s="52" t="s">
        <v>84</v>
      </c>
      <c r="B27" s="36" t="n">
        <f aca="false">'Cash Flow'!B13</f>
        <v>250000</v>
      </c>
      <c r="C27" s="36" t="n">
        <f aca="false">'Cash Flow'!C13</f>
        <v>0</v>
      </c>
      <c r="D27" s="36" t="n">
        <f aca="false">'Cash Flow'!D13</f>
        <v>0</v>
      </c>
      <c r="H27" s="36" t="n">
        <f aca="false">INDEX(Monthly!$C$61:$AL$61,($R$2-1)*12+1)</f>
        <v>250000</v>
      </c>
      <c r="I27" s="36" t="n">
        <f aca="false">INDEX(Monthly!$C$61:$AL$61,($R$2-1)*12+2)</f>
        <v>0</v>
      </c>
      <c r="J27" s="36" t="n">
        <f aca="false">INDEX(Monthly!$C$61:$AL$61,($R$2-1)*12+3)</f>
        <v>0</v>
      </c>
      <c r="K27" s="36" t="n">
        <f aca="false">INDEX(Monthly!$C$61:$AL$61,($R$2-1)*12+4)</f>
        <v>0</v>
      </c>
      <c r="L27" s="36" t="n">
        <f aca="false">INDEX(Monthly!$C$61:$AL$61,($R$2-1)*12+5)</f>
        <v>0</v>
      </c>
      <c r="M27" s="36" t="n">
        <f aca="false">INDEX(Monthly!$C$61:$AL$61,($R$2-1)*12+6)</f>
        <v>0</v>
      </c>
      <c r="N27" s="36" t="n">
        <f aca="false">INDEX(Monthly!$C$61:$AL$61,($R$2-1)*12+7)</f>
        <v>0</v>
      </c>
      <c r="O27" s="36" t="n">
        <f aca="false">INDEX(Monthly!$C$61:$AL$61,($R$2-1)*12+8)</f>
        <v>0</v>
      </c>
      <c r="P27" s="36" t="n">
        <f aca="false">INDEX(Monthly!$C$61:$AL$61,($R$2-1)*12+9)</f>
        <v>0</v>
      </c>
      <c r="Q27" s="36" t="n">
        <f aca="false">INDEX(Monthly!$C$61:$AL$61,($R$2-1)*12+10)</f>
        <v>0</v>
      </c>
      <c r="R27" s="36" t="n">
        <f aca="false">INDEX(Monthly!$C$61:$AL$61,($R$2-1)*12+11)</f>
        <v>0</v>
      </c>
      <c r="S27" s="36" t="n">
        <f aca="false">INDEX(Monthly!$C$61:$AL$61,($R$2-1)*12+12)</f>
        <v>0</v>
      </c>
    </row>
    <row r="28" customFormat="false" ht="15" hidden="false" customHeight="false" outlineLevel="0" collapsed="false">
      <c r="A28" s="52" t="s">
        <v>85</v>
      </c>
      <c r="B28" s="36" t="n">
        <f aca="false">'Cash Flow'!B14</f>
        <v>-45833.3333333333</v>
      </c>
      <c r="C28" s="36" t="n">
        <f aca="false">'Cash Flow'!C14</f>
        <v>-50000</v>
      </c>
      <c r="D28" s="36" t="n">
        <f aca="false">'Cash Flow'!D14</f>
        <v>-50000</v>
      </c>
      <c r="H28" s="36" t="n">
        <f aca="false">INDEX(Monthly!$C$62:$AL$62,($R$2-1)*12+1)</f>
        <v>-0</v>
      </c>
      <c r="I28" s="36" t="n">
        <f aca="false">INDEX(Monthly!$C$62:$AL$62,($R$2-1)*12+2)</f>
        <v>-4166.66666666667</v>
      </c>
      <c r="J28" s="36" t="n">
        <f aca="false">INDEX(Monthly!$C$62:$AL$62,($R$2-1)*12+3)</f>
        <v>-4166.66666666667</v>
      </c>
      <c r="K28" s="36" t="n">
        <f aca="false">INDEX(Monthly!$C$62:$AL$62,($R$2-1)*12+4)</f>
        <v>-4166.66666666667</v>
      </c>
      <c r="L28" s="36" t="n">
        <f aca="false">INDEX(Monthly!$C$62:$AL$62,($R$2-1)*12+5)</f>
        <v>-4166.66666666667</v>
      </c>
      <c r="M28" s="36" t="n">
        <f aca="false">INDEX(Monthly!$C$62:$AL$62,($R$2-1)*12+6)</f>
        <v>-4166.66666666667</v>
      </c>
      <c r="N28" s="36" t="n">
        <f aca="false">INDEX(Monthly!$C$62:$AL$62,($R$2-1)*12+7)</f>
        <v>-4166.66666666667</v>
      </c>
      <c r="O28" s="36" t="n">
        <f aca="false">INDEX(Monthly!$C$62:$AL$62,($R$2-1)*12+8)</f>
        <v>-4166.66666666667</v>
      </c>
      <c r="P28" s="36" t="n">
        <f aca="false">INDEX(Monthly!$C$62:$AL$62,($R$2-1)*12+9)</f>
        <v>-4166.66666666667</v>
      </c>
      <c r="Q28" s="36" t="n">
        <f aca="false">INDEX(Monthly!$C$62:$AL$62,($R$2-1)*12+10)</f>
        <v>-4166.66666666667</v>
      </c>
      <c r="R28" s="36" t="n">
        <f aca="false">INDEX(Monthly!$C$62:$AL$62,($R$2-1)*12+11)</f>
        <v>-4166.66666666667</v>
      </c>
      <c r="S28" s="36" t="n">
        <f aca="false">INDEX(Monthly!$C$62:$AL$62,($R$2-1)*12+12)</f>
        <v>-4166.66666666667</v>
      </c>
    </row>
    <row r="29" customFormat="false" ht="15" hidden="false" customHeight="false" outlineLevel="0" collapsed="false">
      <c r="A29" s="37" t="s">
        <v>54</v>
      </c>
      <c r="B29" s="38" t="n">
        <f aca="false">'Cash Flow'!B15</f>
        <v>304166.666666667</v>
      </c>
      <c r="C29" s="38" t="n">
        <f aca="false">'Cash Flow'!C15</f>
        <v>-50000</v>
      </c>
      <c r="D29" s="38" t="n">
        <f aca="false">'Cash Flow'!D15</f>
        <v>-50000</v>
      </c>
      <c r="E29" s="37"/>
      <c r="F29" s="37"/>
      <c r="H29" s="38" t="n">
        <f aca="false">INDEX(Monthly!$C$77:$AL$77,($R$2-1)*12+1)</f>
        <v>350000</v>
      </c>
      <c r="I29" s="38" t="n">
        <f aca="false">INDEX(Monthly!$C$77:$AL$77,($R$2-1)*12+2)</f>
        <v>-4166.66666666667</v>
      </c>
      <c r="J29" s="38" t="n">
        <f aca="false">INDEX(Monthly!$C$77:$AL$77,($R$2-1)*12+3)</f>
        <v>-4166.66666666667</v>
      </c>
      <c r="K29" s="38" t="n">
        <f aca="false">INDEX(Monthly!$C$77:$AL$77,($R$2-1)*12+4)</f>
        <v>-4166.66666666667</v>
      </c>
      <c r="L29" s="38" t="n">
        <f aca="false">INDEX(Monthly!$C$77:$AL$77,($R$2-1)*12+5)</f>
        <v>-4166.66666666667</v>
      </c>
      <c r="M29" s="38" t="n">
        <f aca="false">INDEX(Monthly!$C$77:$AL$77,($R$2-1)*12+6)</f>
        <v>-4166.66666666667</v>
      </c>
      <c r="N29" s="38" t="n">
        <f aca="false">INDEX(Monthly!$C$77:$AL$77,($R$2-1)*12+7)</f>
        <v>-4166.66666666667</v>
      </c>
      <c r="O29" s="38" t="n">
        <f aca="false">INDEX(Monthly!$C$77:$AL$77,($R$2-1)*12+8)</f>
        <v>-4166.66666666667</v>
      </c>
      <c r="P29" s="38" t="n">
        <f aca="false">INDEX(Monthly!$C$77:$AL$77,($R$2-1)*12+9)</f>
        <v>-4166.66666666667</v>
      </c>
      <c r="Q29" s="38" t="n">
        <f aca="false">INDEX(Monthly!$C$77:$AL$77,($R$2-1)*12+10)</f>
        <v>-4166.66666666667</v>
      </c>
      <c r="R29" s="38" t="n">
        <f aca="false">INDEX(Monthly!$C$77:$AL$77,($R$2-1)*12+11)</f>
        <v>-4166.66666666667</v>
      </c>
      <c r="S29" s="38" t="n">
        <f aca="false">INDEX(Monthly!$C$77:$AL$77,($R$2-1)*12+12)</f>
        <v>-4166.66666666667</v>
      </c>
    </row>
    <row r="30" customFormat="false" ht="15" hidden="false" customHeight="false" outlineLevel="0" collapsed="false">
      <c r="A30" s="37" t="s">
        <v>55</v>
      </c>
      <c r="B30" s="38" t="n">
        <f aca="false">'Cash Flow'!B16</f>
        <v>478877.468433333</v>
      </c>
      <c r="C30" s="38" t="n">
        <f aca="false">'Cash Flow'!C16</f>
        <v>188406.622093983</v>
      </c>
      <c r="D30" s="38" t="n">
        <f aca="false">'Cash Flow'!D16</f>
        <v>281536.067546618</v>
      </c>
      <c r="E30" s="37"/>
      <c r="F30" s="37"/>
      <c r="H30" s="38" t="n">
        <f aca="false">INDEX(Monthly!$C$78:$AL$78,($R$2-1)*12+1)</f>
        <v>339238.115344444</v>
      </c>
      <c r="I30" s="38" t="n">
        <f aca="false">INDEX(Monthly!$C$78:$AL$78,($R$2-1)*12+2)</f>
        <v>6935.89312222222</v>
      </c>
      <c r="J30" s="38" t="n">
        <f aca="false">INDEX(Monthly!$C$78:$AL$78,($R$2-1)*12+3)</f>
        <v>6957.83756666666</v>
      </c>
      <c r="K30" s="38" t="n">
        <f aca="false">INDEX(Monthly!$C$78:$AL$78,($R$2-1)*12+4)</f>
        <v>6979.78201111111</v>
      </c>
      <c r="L30" s="38" t="n">
        <f aca="false">INDEX(Monthly!$C$78:$AL$78,($R$2-1)*12+5)</f>
        <v>7001.72645555555</v>
      </c>
      <c r="M30" s="38" t="n">
        <f aca="false">INDEX(Monthly!$C$78:$AL$78,($R$2-1)*12+6)</f>
        <v>20181.3378888889</v>
      </c>
      <c r="N30" s="38" t="n">
        <f aca="false">INDEX(Monthly!$C$78:$AL$78,($R$2-1)*12+7)</f>
        <v>27758.1434444445</v>
      </c>
      <c r="O30" s="38" t="n">
        <f aca="false">INDEX(Monthly!$C$78:$AL$78,($R$2-1)*12+8)</f>
        <v>27780.0878888889</v>
      </c>
      <c r="P30" s="38" t="n">
        <f aca="false">INDEX(Monthly!$C$78:$AL$78,($R$2-1)*12+9)</f>
        <v>14644.3653444444</v>
      </c>
      <c r="Q30" s="38" t="n">
        <f aca="false">INDEX(Monthly!$C$78:$AL$78,($R$2-1)*12+10)</f>
        <v>7111.44867777777</v>
      </c>
      <c r="R30" s="38" t="n">
        <f aca="false">INDEX(Monthly!$C$78:$AL$78,($R$2-1)*12+11)</f>
        <v>7133.39312222222</v>
      </c>
      <c r="S30" s="38" t="n">
        <f aca="false">INDEX(Monthly!$C$78:$AL$78,($R$2-1)*12+12)</f>
        <v>7155.33756666666</v>
      </c>
    </row>
    <row r="31" customFormat="false" ht="15" hidden="false" customHeight="false" outlineLevel="0" collapsed="false">
      <c r="A31" s="41" t="s">
        <v>86</v>
      </c>
      <c r="B31" s="42" t="n">
        <f aca="false">'Cash Flow'!B18</f>
        <v>478877.468433333</v>
      </c>
      <c r="C31" s="42" t="n">
        <f aca="false">'Cash Flow'!C18</f>
        <v>667284.090527316</v>
      </c>
      <c r="D31" s="42" t="n">
        <f aca="false">'Cash Flow'!D18</f>
        <v>948820.158073935</v>
      </c>
      <c r="E31" s="41"/>
      <c r="F31" s="41"/>
      <c r="H31" s="42" t="n">
        <f aca="false">INDEX(Monthly!$C$80:$AL$80,($R$2-1)*12+1)</f>
        <v>339238.115344444</v>
      </c>
      <c r="I31" s="42" t="n">
        <f aca="false">INDEX(Monthly!$C$80:$AL$80,($R$2-1)*12+2)</f>
        <v>346174.008466667</v>
      </c>
      <c r="J31" s="42" t="n">
        <f aca="false">INDEX(Monthly!$C$80:$AL$80,($R$2-1)*12+3)</f>
        <v>353131.846033333</v>
      </c>
      <c r="K31" s="42" t="n">
        <f aca="false">INDEX(Monthly!$C$80:$AL$80,($R$2-1)*12+4)</f>
        <v>360111.628044444</v>
      </c>
      <c r="L31" s="42" t="n">
        <f aca="false">INDEX(Monthly!$C$80:$AL$80,($R$2-1)*12+5)</f>
        <v>367113.3545</v>
      </c>
      <c r="M31" s="42" t="n">
        <f aca="false">INDEX(Monthly!$C$80:$AL$80,($R$2-1)*12+6)</f>
        <v>387294.692388889</v>
      </c>
      <c r="N31" s="42" t="n">
        <f aca="false">INDEX(Monthly!$C$80:$AL$80,($R$2-1)*12+7)</f>
        <v>415052.835833333</v>
      </c>
      <c r="O31" s="42" t="n">
        <f aca="false">INDEX(Monthly!$C$80:$AL$80,($R$2-1)*12+8)</f>
        <v>442832.923722222</v>
      </c>
      <c r="P31" s="42" t="n">
        <f aca="false">INDEX(Monthly!$C$80:$AL$80,($R$2-1)*12+9)</f>
        <v>457477.289066667</v>
      </c>
      <c r="Q31" s="42" t="n">
        <f aca="false">INDEX(Monthly!$C$80:$AL$80,($R$2-1)*12+10)</f>
        <v>464588.737744444</v>
      </c>
      <c r="R31" s="42" t="n">
        <f aca="false">INDEX(Monthly!$C$80:$AL$80,($R$2-1)*12+11)</f>
        <v>471722.130866667</v>
      </c>
      <c r="S31" s="42" t="n">
        <f aca="false">INDEX(Monthly!$C$80:$AL$80,($R$2-1)*12+12)</f>
        <v>478877.468433333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5"/>
      <c r="F40" s="35"/>
      <c r="H40" s="51" t="n">
        <f aca="false">INDEX(Monthly!$C$4:$AL$4,($R$2-1)*12+1)</f>
        <v>1</v>
      </c>
      <c r="I40" s="51" t="n">
        <f aca="false">INDEX(Monthly!$C$4:$AL$4,($R$2-1)*12+2)</f>
        <v>2</v>
      </c>
      <c r="J40" s="51" t="n">
        <f aca="false">INDEX(Monthly!$C$4:$AL$4,($R$2-1)*12+3)</f>
        <v>3</v>
      </c>
      <c r="K40" s="51" t="n">
        <f aca="false">INDEX(Monthly!$C$4:$AL$4,($R$2-1)*12+4)</f>
        <v>4</v>
      </c>
      <c r="L40" s="51" t="n">
        <f aca="false">INDEX(Monthly!$C$4:$AL$4,($R$2-1)*12+5)</f>
        <v>5</v>
      </c>
      <c r="M40" s="51" t="n">
        <f aca="false">INDEX(Monthly!$C$4:$AL$4,($R$2-1)*12+6)</f>
        <v>6</v>
      </c>
      <c r="N40" s="51" t="n">
        <f aca="false">INDEX(Monthly!$C$4:$AL$4,($R$2-1)*12+7)</f>
        <v>7</v>
      </c>
      <c r="O40" s="51" t="n">
        <f aca="false">INDEX(Monthly!$C$4:$AL$4,($R$2-1)*12+8)</f>
        <v>8</v>
      </c>
      <c r="P40" s="51" t="n">
        <f aca="false">INDEX(Monthly!$C$4:$AL$4,($R$2-1)*12+9)</f>
        <v>9</v>
      </c>
      <c r="Q40" s="51" t="n">
        <f aca="false">INDEX(Monthly!$C$4:$AL$4,($R$2-1)*12+10)</f>
        <v>10</v>
      </c>
      <c r="R40" s="51" t="n">
        <f aca="false">INDEX(Monthly!$C$4:$AL$4,($R$2-1)*12+11)</f>
        <v>11</v>
      </c>
      <c r="S40" s="51" t="n">
        <f aca="false">INDEX(Monthly!$C$4:$AL$4,($R$2-1)*12+12)</f>
        <v>12</v>
      </c>
    </row>
    <row r="41" customFormat="false" ht="15" hidden="false" customHeight="false" outlineLevel="0" collapsed="false">
      <c r="A41" s="52" t="s">
        <v>88</v>
      </c>
      <c r="B41" s="36" t="n">
        <f aca="false">'Balance Sheet'!B5</f>
        <v>478877.468433333</v>
      </c>
      <c r="C41" s="36" t="n">
        <f aca="false">'Balance Sheet'!C5</f>
        <v>667284.090527316</v>
      </c>
      <c r="D41" s="36" t="n">
        <f aca="false">'Balance Sheet'!D5</f>
        <v>948820.158073935</v>
      </c>
      <c r="H41" s="36" t="n">
        <f aca="false">INDEX(Monthly!$C$80:$AL$80,($R$2-1)*12+1)</f>
        <v>339238.115344444</v>
      </c>
      <c r="I41" s="36" t="n">
        <f aca="false">INDEX(Monthly!$C$80:$AL$80,($R$2-1)*12+2)</f>
        <v>346174.008466667</v>
      </c>
      <c r="J41" s="36" t="n">
        <f aca="false">INDEX(Monthly!$C$80:$AL$80,($R$2-1)*12+3)</f>
        <v>353131.846033333</v>
      </c>
      <c r="K41" s="36" t="n">
        <f aca="false">INDEX(Monthly!$C$80:$AL$80,($R$2-1)*12+4)</f>
        <v>360111.628044444</v>
      </c>
      <c r="L41" s="36" t="n">
        <f aca="false">INDEX(Monthly!$C$80:$AL$80,($R$2-1)*12+5)</f>
        <v>367113.3545</v>
      </c>
      <c r="M41" s="36" t="n">
        <f aca="false">INDEX(Monthly!$C$80:$AL$80,($R$2-1)*12+6)</f>
        <v>387294.692388889</v>
      </c>
      <c r="N41" s="36" t="n">
        <f aca="false">INDEX(Monthly!$C$80:$AL$80,($R$2-1)*12+7)</f>
        <v>415052.835833333</v>
      </c>
      <c r="O41" s="36" t="n">
        <f aca="false">INDEX(Monthly!$C$80:$AL$80,($R$2-1)*12+8)</f>
        <v>442832.923722222</v>
      </c>
      <c r="P41" s="36" t="n">
        <f aca="false">INDEX(Monthly!$C$80:$AL$80,($R$2-1)*12+9)</f>
        <v>457477.289066667</v>
      </c>
      <c r="Q41" s="36" t="n">
        <f aca="false">INDEX(Monthly!$C$80:$AL$80,($R$2-1)*12+10)</f>
        <v>464588.737744444</v>
      </c>
      <c r="R41" s="36" t="n">
        <f aca="false">INDEX(Monthly!$C$80:$AL$80,($R$2-1)*12+11)</f>
        <v>471722.130866667</v>
      </c>
      <c r="S41" s="36" t="n">
        <f aca="false">INDEX(Monthly!$C$80:$AL$80,($R$2-1)*12+12)</f>
        <v>478877.468433333</v>
      </c>
    </row>
    <row r="42" customFormat="false" ht="15" hidden="false" customHeight="false" outlineLevel="0" collapsed="false">
      <c r="A42" s="52" t="s">
        <v>89</v>
      </c>
      <c r="B42" s="36" t="n">
        <f aca="false">'Balance Sheet'!B6</f>
        <v>44478.8888888889</v>
      </c>
      <c r="C42" s="36" t="n">
        <f aca="false">'Balance Sheet'!C6</f>
        <v>52822.5772222222</v>
      </c>
      <c r="D42" s="36" t="n">
        <f aca="false">'Balance Sheet'!D6</f>
        <v>62738.0867197222</v>
      </c>
      <c r="H42" s="36" t="n">
        <f aca="false">INDEX(Monthly!$C$66:$AL$66,($R$2-1)*12+1)</f>
        <v>44478.8888888889</v>
      </c>
      <c r="I42" s="36" t="n">
        <f aca="false">INDEX(Monthly!$C$66:$AL$66,($R$2-1)*12+2)</f>
        <v>44478.8888888889</v>
      </c>
      <c r="J42" s="36" t="n">
        <f aca="false">INDEX(Monthly!$C$66:$AL$66,($R$2-1)*12+3)</f>
        <v>44478.8888888889</v>
      </c>
      <c r="K42" s="36" t="n">
        <f aca="false">INDEX(Monthly!$C$66:$AL$66,($R$2-1)*12+4)</f>
        <v>44478.8888888889</v>
      </c>
      <c r="L42" s="36" t="n">
        <f aca="false">INDEX(Monthly!$C$66:$AL$66,($R$2-1)*12+5)</f>
        <v>44478.8888888889</v>
      </c>
      <c r="M42" s="36" t="n">
        <f aca="false">INDEX(Monthly!$C$66:$AL$66,($R$2-1)*12+6)</f>
        <v>56566.6666666667</v>
      </c>
      <c r="N42" s="36" t="n">
        <f aca="false">INDEX(Monthly!$C$66:$AL$66,($R$2-1)*12+7)</f>
        <v>56566.6666666667</v>
      </c>
      <c r="O42" s="36" t="n">
        <f aca="false">INDEX(Monthly!$C$66:$AL$66,($R$2-1)*12+8)</f>
        <v>56566.6666666667</v>
      </c>
      <c r="P42" s="36" t="n">
        <f aca="false">INDEX(Monthly!$C$66:$AL$66,($R$2-1)*12+9)</f>
        <v>44478.8888888889</v>
      </c>
      <c r="Q42" s="36" t="n">
        <f aca="false">INDEX(Monthly!$C$66:$AL$66,($R$2-1)*12+10)</f>
        <v>44478.8888888889</v>
      </c>
      <c r="R42" s="36" t="n">
        <f aca="false">INDEX(Monthly!$C$66:$AL$66,($R$2-1)*12+11)</f>
        <v>44478.8888888889</v>
      </c>
      <c r="S42" s="36" t="n">
        <f aca="false">INDEX(Monthly!$C$66:$AL$66,($R$2-1)*12+12)</f>
        <v>44478.8888888889</v>
      </c>
    </row>
    <row r="43" customFormat="false" ht="15" hidden="false" customHeight="false" outlineLevel="0" collapsed="false">
      <c r="A43" s="52" t="s">
        <v>90</v>
      </c>
      <c r="B43" s="36" t="n">
        <f aca="false">'Balance Sheet'!B7</f>
        <v>14208.4722222222</v>
      </c>
      <c r="C43" s="36" t="n">
        <f aca="false">'Balance Sheet'!C7</f>
        <v>16545.3799305556</v>
      </c>
      <c r="D43" s="36" t="n">
        <f aca="false">'Balance Sheet'!D7</f>
        <v>19275.2895724097</v>
      </c>
      <c r="H43" s="36" t="n">
        <f aca="false">INDEX(Monthly!$C$67:$AL$67,($R$2-1)*12+1)</f>
        <v>14208.4722222222</v>
      </c>
      <c r="I43" s="36" t="n">
        <f aca="false">INDEX(Monthly!$C$67:$AL$67,($R$2-1)*12+2)</f>
        <v>14208.4722222222</v>
      </c>
      <c r="J43" s="36" t="n">
        <f aca="false">INDEX(Monthly!$C$67:$AL$67,($R$2-1)*12+3)</f>
        <v>14208.4722222222</v>
      </c>
      <c r="K43" s="36" t="n">
        <f aca="false">INDEX(Monthly!$C$67:$AL$67,($R$2-1)*12+4)</f>
        <v>14208.4722222222</v>
      </c>
      <c r="L43" s="36" t="n">
        <f aca="false">INDEX(Monthly!$C$67:$AL$67,($R$2-1)*12+5)</f>
        <v>14208.4722222222</v>
      </c>
      <c r="M43" s="36" t="n">
        <f aca="false">INDEX(Monthly!$C$67:$AL$67,($R$2-1)*12+6)</f>
        <v>15719.4444444444</v>
      </c>
      <c r="N43" s="36" t="n">
        <f aca="false">INDEX(Monthly!$C$67:$AL$67,($R$2-1)*12+7)</f>
        <v>15719.4444444444</v>
      </c>
      <c r="O43" s="36" t="n">
        <f aca="false">INDEX(Monthly!$C$67:$AL$67,($R$2-1)*12+8)</f>
        <v>15719.4444444444</v>
      </c>
      <c r="P43" s="36" t="n">
        <f aca="false">INDEX(Monthly!$C$67:$AL$67,($R$2-1)*12+9)</f>
        <v>14208.4722222222</v>
      </c>
      <c r="Q43" s="36" t="n">
        <f aca="false">INDEX(Monthly!$C$67:$AL$67,($R$2-1)*12+10)</f>
        <v>14208.4722222222</v>
      </c>
      <c r="R43" s="36" t="n">
        <f aca="false">INDEX(Monthly!$C$67:$AL$67,($R$2-1)*12+11)</f>
        <v>14208.4722222222</v>
      </c>
      <c r="S43" s="36" t="n">
        <f aca="false">INDEX(Monthly!$C$67:$AL$67,($R$2-1)*12+12)</f>
        <v>14208.4722222222</v>
      </c>
    </row>
    <row r="44" customFormat="false" ht="15" hidden="false" customHeight="false" outlineLevel="0" collapsed="false">
      <c r="A44" s="52" t="s">
        <v>91</v>
      </c>
      <c r="B44" s="36" t="n">
        <f aca="false">'Balance Sheet'!B8</f>
        <v>16000</v>
      </c>
      <c r="C44" s="36" t="n">
        <f aca="false">'Balance Sheet'!C8</f>
        <v>42240</v>
      </c>
      <c r="D44" s="36" t="n">
        <f aca="false">'Balance Sheet'!D8</f>
        <v>64548.8</v>
      </c>
      <c r="H44" s="36" t="n">
        <f aca="false">INDEX(Monthly!$C$57:$AL$57,($R$2-1)*12+1)</f>
        <v>19666.6666666667</v>
      </c>
      <c r="I44" s="36" t="n">
        <f aca="false">INDEX(Monthly!$C$57:$AL$57,($R$2-1)*12+2)</f>
        <v>19333.3333333333</v>
      </c>
      <c r="J44" s="36" t="n">
        <f aca="false">INDEX(Monthly!$C$57:$AL$57,($R$2-1)*12+3)</f>
        <v>19000</v>
      </c>
      <c r="K44" s="36" t="n">
        <f aca="false">INDEX(Monthly!$C$57:$AL$57,($R$2-1)*12+4)</f>
        <v>18666.6666666667</v>
      </c>
      <c r="L44" s="36" t="n">
        <f aca="false">INDEX(Monthly!$C$57:$AL$57,($R$2-1)*12+5)</f>
        <v>18333.3333333333</v>
      </c>
      <c r="M44" s="36" t="n">
        <f aca="false">INDEX(Monthly!$C$57:$AL$57,($R$2-1)*12+6)</f>
        <v>18000</v>
      </c>
      <c r="N44" s="36" t="n">
        <f aca="false">INDEX(Monthly!$C$57:$AL$57,($R$2-1)*12+7)</f>
        <v>17666.6666666667</v>
      </c>
      <c r="O44" s="36" t="n">
        <f aca="false">INDEX(Monthly!$C$57:$AL$57,($R$2-1)*12+8)</f>
        <v>17333.3333333333</v>
      </c>
      <c r="P44" s="36" t="n">
        <f aca="false">INDEX(Monthly!$C$57:$AL$57,($R$2-1)*12+9)</f>
        <v>17000</v>
      </c>
      <c r="Q44" s="36" t="n">
        <f aca="false">INDEX(Monthly!$C$57:$AL$57,($R$2-1)*12+10)</f>
        <v>16666.6666666667</v>
      </c>
      <c r="R44" s="36" t="n">
        <f aca="false">INDEX(Monthly!$C$57:$AL$57,($R$2-1)*12+11)</f>
        <v>16333.3333333333</v>
      </c>
      <c r="S44" s="36" t="n">
        <f aca="false">INDEX(Monthly!$C$57:$AL$57,($R$2-1)*12+12)</f>
        <v>16000</v>
      </c>
    </row>
    <row r="45" customFormat="false" ht="15" hidden="false" customHeight="false" outlineLevel="0" collapsed="false">
      <c r="A45" s="37" t="s">
        <v>92</v>
      </c>
      <c r="B45" s="38" t="n">
        <f aca="false">'Balance Sheet'!B9</f>
        <v>553564.829544445</v>
      </c>
      <c r="C45" s="38" t="n">
        <f aca="false">'Balance Sheet'!C9</f>
        <v>778892.047680094</v>
      </c>
      <c r="D45" s="38" t="n">
        <f aca="false">'Balance Sheet'!D9</f>
        <v>1095382.33436607</v>
      </c>
      <c r="E45" s="37"/>
      <c r="F45" s="37"/>
      <c r="H45" s="38" t="n">
        <f aca="false">INDEX(Monthly!$C$94:$AL$94,($R$2-1)*12+1)</f>
        <v>417592.143122222</v>
      </c>
      <c r="I45" s="38" t="n">
        <f aca="false">INDEX(Monthly!$C$94:$AL$94,($R$2-1)*12+2)</f>
        <v>424194.702911111</v>
      </c>
      <c r="J45" s="38" t="n">
        <f aca="false">INDEX(Monthly!$C$94:$AL$94,($R$2-1)*12+3)</f>
        <v>430819.207144444</v>
      </c>
      <c r="K45" s="38" t="n">
        <f aca="false">INDEX(Monthly!$C$94:$AL$94,($R$2-1)*12+4)</f>
        <v>437465.655822222</v>
      </c>
      <c r="L45" s="38" t="n">
        <f aca="false">INDEX(Monthly!$C$94:$AL$94,($R$2-1)*12+5)</f>
        <v>444134.048944444</v>
      </c>
      <c r="M45" s="38" t="n">
        <f aca="false">INDEX(Monthly!$C$94:$AL$94,($R$2-1)*12+6)</f>
        <v>477580.8035</v>
      </c>
      <c r="N45" s="38" t="n">
        <f aca="false">INDEX(Monthly!$C$94:$AL$94,($R$2-1)*12+7)</f>
        <v>505005.613611111</v>
      </c>
      <c r="O45" s="38" t="n">
        <f aca="false">INDEX(Monthly!$C$94:$AL$94,($R$2-1)*12+8)</f>
        <v>532452.368166667</v>
      </c>
      <c r="P45" s="38" t="n">
        <f aca="false">INDEX(Monthly!$C$94:$AL$94,($R$2-1)*12+9)</f>
        <v>533164.650177778</v>
      </c>
      <c r="Q45" s="38" t="n">
        <f aca="false">INDEX(Monthly!$C$94:$AL$94,($R$2-1)*12+10)</f>
        <v>539942.765522222</v>
      </c>
      <c r="R45" s="38" t="n">
        <f aca="false">INDEX(Monthly!$C$94:$AL$94,($R$2-1)*12+11)</f>
        <v>546742.825311111</v>
      </c>
      <c r="S45" s="38" t="n">
        <f aca="false">INDEX(Monthly!$C$94:$AL$94,($R$2-1)*12+12)</f>
        <v>553564.829544445</v>
      </c>
    </row>
    <row r="46" customFormat="false" ht="15" hidden="false" customHeight="false" outlineLevel="0" collapsed="false">
      <c r="A46" s="52" t="s">
        <v>93</v>
      </c>
      <c r="B46" s="36" t="n">
        <f aca="false">'Balance Sheet'!B10</f>
        <v>56833.8888888889</v>
      </c>
      <c r="C46" s="36" t="n">
        <f aca="false">'Balance Sheet'!C10</f>
        <v>66181.5197222222</v>
      </c>
      <c r="D46" s="36" t="n">
        <f aca="false">'Balance Sheet'!D10</f>
        <v>77101.1582896389</v>
      </c>
      <c r="H46" s="36" t="n">
        <f aca="false">INDEX(Monthly!$C$68:$AL$68,($R$2-1)*12+1)</f>
        <v>56833.8888888889</v>
      </c>
      <c r="I46" s="36" t="n">
        <f aca="false">INDEX(Monthly!$C$68:$AL$68,($R$2-1)*12+2)</f>
        <v>56833.8888888889</v>
      </c>
      <c r="J46" s="36" t="n">
        <f aca="false">INDEX(Monthly!$C$68:$AL$68,($R$2-1)*12+3)</f>
        <v>56833.8888888889</v>
      </c>
      <c r="K46" s="36" t="n">
        <f aca="false">INDEX(Monthly!$C$68:$AL$68,($R$2-1)*12+4)</f>
        <v>56833.8888888889</v>
      </c>
      <c r="L46" s="36" t="n">
        <f aca="false">INDEX(Monthly!$C$68:$AL$68,($R$2-1)*12+5)</f>
        <v>56833.8888888889</v>
      </c>
      <c r="M46" s="36" t="n">
        <f aca="false">INDEX(Monthly!$C$68:$AL$68,($R$2-1)*12+6)</f>
        <v>62877.7777777778</v>
      </c>
      <c r="N46" s="36" t="n">
        <f aca="false">INDEX(Monthly!$C$68:$AL$68,($R$2-1)*12+7)</f>
        <v>62877.7777777778</v>
      </c>
      <c r="O46" s="36" t="n">
        <f aca="false">INDEX(Monthly!$C$68:$AL$68,($R$2-1)*12+8)</f>
        <v>62877.7777777778</v>
      </c>
      <c r="P46" s="36" t="n">
        <f aca="false">INDEX(Monthly!$C$68:$AL$68,($R$2-1)*12+9)</f>
        <v>56833.8888888889</v>
      </c>
      <c r="Q46" s="36" t="n">
        <f aca="false">INDEX(Monthly!$C$68:$AL$68,($R$2-1)*12+10)</f>
        <v>56833.8888888889</v>
      </c>
      <c r="R46" s="36" t="n">
        <f aca="false">INDEX(Monthly!$C$68:$AL$68,($R$2-1)*12+11)</f>
        <v>56833.8888888889</v>
      </c>
      <c r="S46" s="36" t="n">
        <f aca="false">INDEX(Monthly!$C$68:$AL$68,($R$2-1)*12+12)</f>
        <v>56833.8888888889</v>
      </c>
    </row>
    <row r="47" customFormat="false" ht="15" hidden="false" customHeight="false" outlineLevel="0" collapsed="false">
      <c r="A47" s="52" t="s">
        <v>94</v>
      </c>
      <c r="B47" s="36" t="n">
        <f aca="false">'Balance Sheet'!B11</f>
        <v>204166.666666667</v>
      </c>
      <c r="C47" s="36" t="n">
        <f aca="false">'Balance Sheet'!C11</f>
        <v>154166.666666667</v>
      </c>
      <c r="D47" s="36" t="n">
        <f aca="false">'Balance Sheet'!D11</f>
        <v>104166.666666667</v>
      </c>
      <c r="H47" s="36" t="n">
        <f aca="false">INDEX(Monthly!$C$63:$AL$63,($R$2-1)*12+1)</f>
        <v>250000</v>
      </c>
      <c r="I47" s="36" t="n">
        <f aca="false">INDEX(Monthly!$C$63:$AL$63,($R$2-1)*12+2)</f>
        <v>245833.333333333</v>
      </c>
      <c r="J47" s="36" t="n">
        <f aca="false">INDEX(Monthly!$C$63:$AL$63,($R$2-1)*12+3)</f>
        <v>241666.666666667</v>
      </c>
      <c r="K47" s="36" t="n">
        <f aca="false">INDEX(Monthly!$C$63:$AL$63,($R$2-1)*12+4)</f>
        <v>237500</v>
      </c>
      <c r="L47" s="36" t="n">
        <f aca="false">INDEX(Monthly!$C$63:$AL$63,($R$2-1)*12+5)</f>
        <v>233333.333333333</v>
      </c>
      <c r="M47" s="36" t="n">
        <f aca="false">INDEX(Monthly!$C$63:$AL$63,($R$2-1)*12+6)</f>
        <v>229166.666666667</v>
      </c>
      <c r="N47" s="36" t="n">
        <f aca="false">INDEX(Monthly!$C$63:$AL$63,($R$2-1)*12+7)</f>
        <v>225000</v>
      </c>
      <c r="O47" s="36" t="n">
        <f aca="false">INDEX(Monthly!$C$63:$AL$63,($R$2-1)*12+8)</f>
        <v>220833.333333333</v>
      </c>
      <c r="P47" s="36" t="n">
        <f aca="false">INDEX(Monthly!$C$63:$AL$63,($R$2-1)*12+9)</f>
        <v>216666.666666667</v>
      </c>
      <c r="Q47" s="36" t="n">
        <f aca="false">INDEX(Monthly!$C$63:$AL$63,($R$2-1)*12+10)</f>
        <v>212500</v>
      </c>
      <c r="R47" s="36" t="n">
        <f aca="false">INDEX(Monthly!$C$63:$AL$63,($R$2-1)*12+11)</f>
        <v>208333.333333333</v>
      </c>
      <c r="S47" s="36" t="n">
        <f aca="false">INDEX(Monthly!$C$63:$AL$63,($R$2-1)*12+12)</f>
        <v>204166.666666667</v>
      </c>
    </row>
    <row r="48" customFormat="false" ht="15" hidden="false" customHeight="false" outlineLevel="0" collapsed="false">
      <c r="A48" s="37" t="s">
        <v>95</v>
      </c>
      <c r="B48" s="38" t="n">
        <f aca="false">'Balance Sheet'!B12</f>
        <v>261000.555555556</v>
      </c>
      <c r="C48" s="38" t="n">
        <f aca="false">'Balance Sheet'!C12</f>
        <v>220348.186388889</v>
      </c>
      <c r="D48" s="38" t="n">
        <f aca="false">'Balance Sheet'!D12</f>
        <v>181267.824956306</v>
      </c>
      <c r="E48" s="37"/>
      <c r="F48" s="37"/>
      <c r="H48" s="38" t="n">
        <f aca="false">INDEX(Monthly!$C$95:$AL$95,($R$2-1)*12+1)</f>
        <v>306833.888888889</v>
      </c>
      <c r="I48" s="38" t="n">
        <f aca="false">INDEX(Monthly!$C$95:$AL$95,($R$2-1)*12+2)</f>
        <v>302667.222222222</v>
      </c>
      <c r="J48" s="38" t="n">
        <f aca="false">INDEX(Monthly!$C$95:$AL$95,($R$2-1)*12+3)</f>
        <v>298500.555555556</v>
      </c>
      <c r="K48" s="38" t="n">
        <f aca="false">INDEX(Monthly!$C$95:$AL$95,($R$2-1)*12+4)</f>
        <v>294333.888888889</v>
      </c>
      <c r="L48" s="38" t="n">
        <f aca="false">INDEX(Monthly!$C$95:$AL$95,($R$2-1)*12+5)</f>
        <v>290167.222222222</v>
      </c>
      <c r="M48" s="38" t="n">
        <f aca="false">INDEX(Monthly!$C$95:$AL$95,($R$2-1)*12+6)</f>
        <v>292044.444444445</v>
      </c>
      <c r="N48" s="38" t="n">
        <f aca="false">INDEX(Monthly!$C$95:$AL$95,($R$2-1)*12+7)</f>
        <v>287877.777777778</v>
      </c>
      <c r="O48" s="38" t="n">
        <f aca="false">INDEX(Monthly!$C$95:$AL$95,($R$2-1)*12+8)</f>
        <v>283711.111111111</v>
      </c>
      <c r="P48" s="38" t="n">
        <f aca="false">INDEX(Monthly!$C$95:$AL$95,($R$2-1)*12+9)</f>
        <v>273500.555555556</v>
      </c>
      <c r="Q48" s="38" t="n">
        <f aca="false">INDEX(Monthly!$C$95:$AL$95,($R$2-1)*12+10)</f>
        <v>269333.888888889</v>
      </c>
      <c r="R48" s="38" t="n">
        <f aca="false">INDEX(Monthly!$C$95:$AL$95,($R$2-1)*12+11)</f>
        <v>265167.222222222</v>
      </c>
      <c r="S48" s="38" t="n">
        <f aca="false">INDEX(Monthly!$C$95:$AL$95,($R$2-1)*12+12)</f>
        <v>261000.555555556</v>
      </c>
    </row>
    <row r="49" customFormat="false" ht="15" hidden="false" customHeight="false" outlineLevel="0" collapsed="false">
      <c r="A49" s="52" t="s">
        <v>96</v>
      </c>
      <c r="B49" s="36" t="n">
        <f aca="false">'Balance Sheet'!B13</f>
        <v>100000</v>
      </c>
      <c r="C49" s="36" t="n">
        <f aca="false">'Balance Sheet'!C13</f>
        <v>100000</v>
      </c>
      <c r="D49" s="36" t="n">
        <f aca="false">'Balance Sheet'!D13</f>
        <v>100000</v>
      </c>
      <c r="H49" s="36" t="n">
        <f aca="false">INDEX(Monthly!$C$92:$AL$92,($R$2-1)*12+1)</f>
        <v>100000</v>
      </c>
      <c r="I49" s="36" t="n">
        <f aca="false">INDEX(Monthly!$C$92:$AL$92,($R$2-1)*12+2)</f>
        <v>100000</v>
      </c>
      <c r="J49" s="36" t="n">
        <f aca="false">INDEX(Monthly!$C$92:$AL$92,($R$2-1)*12+3)</f>
        <v>100000</v>
      </c>
      <c r="K49" s="36" t="n">
        <f aca="false">INDEX(Monthly!$C$92:$AL$92,($R$2-1)*12+4)</f>
        <v>100000</v>
      </c>
      <c r="L49" s="36" t="n">
        <f aca="false">INDEX(Monthly!$C$92:$AL$92,($R$2-1)*12+5)</f>
        <v>100000</v>
      </c>
      <c r="M49" s="36" t="n">
        <f aca="false">INDEX(Monthly!$C$92:$AL$92,($R$2-1)*12+6)</f>
        <v>100000</v>
      </c>
      <c r="N49" s="36" t="n">
        <f aca="false">INDEX(Monthly!$C$92:$AL$92,($R$2-1)*12+7)</f>
        <v>100000</v>
      </c>
      <c r="O49" s="36" t="n">
        <f aca="false">INDEX(Monthly!$C$92:$AL$92,($R$2-1)*12+8)</f>
        <v>100000</v>
      </c>
      <c r="P49" s="36" t="n">
        <f aca="false">INDEX(Monthly!$C$92:$AL$92,($R$2-1)*12+9)</f>
        <v>100000</v>
      </c>
      <c r="Q49" s="36" t="n">
        <f aca="false">INDEX(Monthly!$C$92:$AL$92,($R$2-1)*12+10)</f>
        <v>100000</v>
      </c>
      <c r="R49" s="36" t="n">
        <f aca="false">INDEX(Monthly!$C$92:$AL$92,($R$2-1)*12+11)</f>
        <v>100000</v>
      </c>
      <c r="S49" s="36" t="n">
        <f aca="false">INDEX(Monthly!$C$92:$AL$92,($R$2-1)*12+12)</f>
        <v>100000</v>
      </c>
    </row>
    <row r="50" customFormat="false" ht="15" hidden="false" customHeight="false" outlineLevel="0" collapsed="false">
      <c r="A50" s="52" t="s">
        <v>97</v>
      </c>
      <c r="B50" s="36" t="n">
        <f aca="false">'Balance Sheet'!B14</f>
        <v>192564.273988889</v>
      </c>
      <c r="C50" s="36" t="n">
        <f aca="false">'Balance Sheet'!C14</f>
        <v>458543.861291206</v>
      </c>
      <c r="D50" s="36" t="n">
        <f aca="false">'Balance Sheet'!D14</f>
        <v>814114.509409761</v>
      </c>
      <c r="H50" s="36" t="n">
        <f aca="false">INDEX(Monthly!$C$93:$AL$93,($R$2-1)*12+1)</f>
        <v>10758.2542333333</v>
      </c>
      <c r="I50" s="36" t="n">
        <f aca="false">INDEX(Monthly!$C$93:$AL$93,($R$2-1)*12+2)</f>
        <v>21527.4806888889</v>
      </c>
      <c r="J50" s="36" t="n">
        <f aca="false">INDEX(Monthly!$C$93:$AL$93,($R$2-1)*12+3)</f>
        <v>32318.6515888889</v>
      </c>
      <c r="K50" s="36" t="n">
        <f aca="false">INDEX(Monthly!$C$93:$AL$93,($R$2-1)*12+4)</f>
        <v>43131.7669333333</v>
      </c>
      <c r="L50" s="36" t="n">
        <f aca="false">INDEX(Monthly!$C$93:$AL$93,($R$2-1)*12+5)</f>
        <v>53966.8267222222</v>
      </c>
      <c r="M50" s="36" t="n">
        <f aca="false">INDEX(Monthly!$C$93:$AL$93,($R$2-1)*12+6)</f>
        <v>85536.3590555555</v>
      </c>
      <c r="N50" s="36" t="n">
        <f aca="false">INDEX(Monthly!$C$93:$AL$93,($R$2-1)*12+7)</f>
        <v>117127.835833333</v>
      </c>
      <c r="O50" s="36" t="n">
        <f aca="false">INDEX(Monthly!$C$93:$AL$93,($R$2-1)*12+8)</f>
        <v>148741.257055556</v>
      </c>
      <c r="P50" s="36" t="n">
        <f aca="false">INDEX(Monthly!$C$93:$AL$93,($R$2-1)*12+9)</f>
        <v>159664.094622222</v>
      </c>
      <c r="Q50" s="36" t="n">
        <f aca="false">INDEX(Monthly!$C$93:$AL$93,($R$2-1)*12+10)</f>
        <v>170608.876633333</v>
      </c>
      <c r="R50" s="36" t="n">
        <f aca="false">INDEX(Monthly!$C$93:$AL$93,($R$2-1)*12+11)</f>
        <v>181575.603088889</v>
      </c>
      <c r="S50" s="36" t="n">
        <f aca="false">INDEX(Monthly!$C$93:$AL$93,($R$2-1)*12+12)</f>
        <v>192564.273988889</v>
      </c>
    </row>
    <row r="51" customFormat="false" ht="15" hidden="false" customHeight="false" outlineLevel="0" collapsed="false">
      <c r="A51" s="37" t="s">
        <v>98</v>
      </c>
      <c r="B51" s="38" t="n">
        <f aca="false">'Balance Sheet'!B15</f>
        <v>292564.273988889</v>
      </c>
      <c r="C51" s="38" t="n">
        <f aca="false">'Balance Sheet'!C15</f>
        <v>558543.861291206</v>
      </c>
      <c r="D51" s="38" t="n">
        <f aca="false">'Balance Sheet'!D15</f>
        <v>914114.509409761</v>
      </c>
      <c r="E51" s="37"/>
      <c r="F51" s="37"/>
      <c r="H51" s="38" t="n">
        <f aca="false">INDEX(Monthly!$C$96:$AL$96,($R$2-1)*12+1)</f>
        <v>110758.254233333</v>
      </c>
      <c r="I51" s="38" t="n">
        <f aca="false">INDEX(Monthly!$C$96:$AL$96,($R$2-1)*12+2)</f>
        <v>121527.480688889</v>
      </c>
      <c r="J51" s="38" t="n">
        <f aca="false">INDEX(Monthly!$C$96:$AL$96,($R$2-1)*12+3)</f>
        <v>132318.651588889</v>
      </c>
      <c r="K51" s="38" t="n">
        <f aca="false">INDEX(Monthly!$C$96:$AL$96,($R$2-1)*12+4)</f>
        <v>143131.766933333</v>
      </c>
      <c r="L51" s="38" t="n">
        <f aca="false">INDEX(Monthly!$C$96:$AL$96,($R$2-1)*12+5)</f>
        <v>153966.826722222</v>
      </c>
      <c r="M51" s="38" t="n">
        <f aca="false">INDEX(Monthly!$C$96:$AL$96,($R$2-1)*12+6)</f>
        <v>185536.359055556</v>
      </c>
      <c r="N51" s="38" t="n">
        <f aca="false">INDEX(Monthly!$C$96:$AL$96,($R$2-1)*12+7)</f>
        <v>217127.835833333</v>
      </c>
      <c r="O51" s="38" t="n">
        <f aca="false">INDEX(Monthly!$C$96:$AL$96,($R$2-1)*12+8)</f>
        <v>248741.257055556</v>
      </c>
      <c r="P51" s="38" t="n">
        <f aca="false">INDEX(Monthly!$C$96:$AL$96,($R$2-1)*12+9)</f>
        <v>259664.094622222</v>
      </c>
      <c r="Q51" s="38" t="n">
        <f aca="false">INDEX(Monthly!$C$96:$AL$96,($R$2-1)*12+10)</f>
        <v>270608.876633333</v>
      </c>
      <c r="R51" s="38" t="n">
        <f aca="false">INDEX(Monthly!$C$96:$AL$96,($R$2-1)*12+11)</f>
        <v>281575.603088889</v>
      </c>
      <c r="S51" s="38" t="n">
        <f aca="false">INDEX(Monthly!$C$96:$AL$96,($R$2-1)*12+12)</f>
        <v>292564.273988889</v>
      </c>
    </row>
    <row r="52" customFormat="false" ht="15" hidden="false" customHeight="false" outlineLevel="0" collapsed="false">
      <c r="A52" s="41" t="s">
        <v>99</v>
      </c>
      <c r="B52" s="42" t="n">
        <f aca="false">'Balance Sheet'!B16</f>
        <v>553564.829544445</v>
      </c>
      <c r="C52" s="42" t="n">
        <f aca="false">'Balance Sheet'!C16</f>
        <v>778892.047680095</v>
      </c>
      <c r="D52" s="42" t="n">
        <f aca="false">'Balance Sheet'!D16</f>
        <v>1095382.33436607</v>
      </c>
      <c r="E52" s="41"/>
      <c r="F52" s="41"/>
      <c r="H52" s="42" t="n">
        <f aca="false">INDEX(Monthly!$C$97:$AL$97,($R$2-1)*12+1)</f>
        <v>417592.143122222</v>
      </c>
      <c r="I52" s="42" t="n">
        <f aca="false">INDEX(Monthly!$C$97:$AL$97,($R$2-1)*12+2)</f>
        <v>424194.702911111</v>
      </c>
      <c r="J52" s="42" t="n">
        <f aca="false">INDEX(Monthly!$C$97:$AL$97,($R$2-1)*12+3)</f>
        <v>430819.207144444</v>
      </c>
      <c r="K52" s="42" t="n">
        <f aca="false">INDEX(Monthly!$C$97:$AL$97,($R$2-1)*12+4)</f>
        <v>437465.655822222</v>
      </c>
      <c r="L52" s="42" t="n">
        <f aca="false">INDEX(Monthly!$C$97:$AL$97,($R$2-1)*12+5)</f>
        <v>444134.048944444</v>
      </c>
      <c r="M52" s="42" t="n">
        <f aca="false">INDEX(Monthly!$C$97:$AL$97,($R$2-1)*12+6)</f>
        <v>477580.8035</v>
      </c>
      <c r="N52" s="42" t="n">
        <f aca="false">INDEX(Monthly!$C$97:$AL$97,($R$2-1)*12+7)</f>
        <v>505005.613611111</v>
      </c>
      <c r="O52" s="42" t="n">
        <f aca="false">INDEX(Monthly!$C$97:$AL$97,($R$2-1)*12+8)</f>
        <v>532452.368166667</v>
      </c>
      <c r="P52" s="42" t="n">
        <f aca="false">INDEX(Monthly!$C$97:$AL$97,($R$2-1)*12+9)</f>
        <v>533164.650177778</v>
      </c>
      <c r="Q52" s="42" t="n">
        <f aca="false">INDEX(Monthly!$C$97:$AL$97,($R$2-1)*12+10)</f>
        <v>539942.765522222</v>
      </c>
      <c r="R52" s="42" t="n">
        <f aca="false">INDEX(Monthly!$C$97:$AL$97,($R$2-1)*12+11)</f>
        <v>546742.825311111</v>
      </c>
      <c r="S52" s="42" t="n">
        <f aca="false">INDEX(Monthly!$C$97:$AL$97,($R$2-1)*12+12)</f>
        <v>553564.829544445</v>
      </c>
    </row>
  </sheetData>
  <mergeCells count="1">
    <mergeCell ref="R2:S2"/>
  </mergeCells>
  <dataValidations count="1">
    <dataValidation allowBlank="false" error="Enter a year from 1 to 3" errorStyle="stop" errorTitle="Detailed year" operator="between" prompt="Pick the year shown month by month on the right" promptTitle="Detailed year" showDropDown="false" showErrorMessage="true" showInputMessage="true" sqref="R2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101</v>
      </c>
    </row>
    <row r="5" customFormat="false" ht="15.75" hidden="false" customHeight="true" outlineLevel="0" collapsed="false">
      <c r="A5" s="7" t="s">
        <v>102</v>
      </c>
      <c r="B5" s="7"/>
      <c r="C5" s="7"/>
      <c r="D5" s="7"/>
      <c r="E5" s="7"/>
    </row>
    <row r="6" customFormat="false" ht="15" hidden="false" customHeight="false" outlineLevel="0" collapsed="false">
      <c r="A6" s="33" t="s">
        <v>103</v>
      </c>
      <c r="B6" s="35" t="s">
        <v>104</v>
      </c>
      <c r="C6" s="35" t="s">
        <v>105</v>
      </c>
      <c r="D6" s="35" t="s">
        <v>106</v>
      </c>
      <c r="E6" s="35" t="s">
        <v>107</v>
      </c>
    </row>
    <row r="7" customFormat="false" ht="15" hidden="false" customHeight="false" outlineLevel="0" collapsed="false">
      <c r="A7" s="6" t="s">
        <v>108</v>
      </c>
      <c r="B7" s="53" t="n">
        <f aca="false">Inputs!$B$20</f>
        <v>415</v>
      </c>
      <c r="C7" s="53" t="n">
        <f aca="false">Inputs!$C$20</f>
        <v>440</v>
      </c>
      <c r="D7" s="53" t="n">
        <f aca="false">Inputs!$D$20</f>
        <v>465</v>
      </c>
      <c r="E7" s="54" t="n">
        <f aca="false">Inputs!$E$20</f>
        <v>440</v>
      </c>
    </row>
    <row r="8" customFormat="false" ht="15" hidden="false" customHeight="false" outlineLevel="0" collapsed="false">
      <c r="A8" s="6" t="s">
        <v>109</v>
      </c>
      <c r="B8" s="55" t="n">
        <f aca="false">Inputs!$B$7</f>
        <v>2.35</v>
      </c>
      <c r="C8" s="55" t="n">
        <f aca="false">Inputs!$C$7</f>
        <v>2.5</v>
      </c>
      <c r="D8" s="55" t="n">
        <f aca="false">Inputs!$D$7</f>
        <v>2.65</v>
      </c>
      <c r="E8" s="56" t="n">
        <f aca="false">Inputs!$E$7</f>
        <v>2.5</v>
      </c>
    </row>
    <row r="9" customFormat="false" ht="15" hidden="false" customHeight="false" outlineLevel="0" collapsed="false">
      <c r="A9" s="6" t="s">
        <v>110</v>
      </c>
      <c r="B9" s="57" t="n">
        <f aca="false">Inputs!$B$11</f>
        <v>9000</v>
      </c>
      <c r="C9" s="57" t="n">
        <f aca="false">Inputs!$C$11</f>
        <v>9000</v>
      </c>
      <c r="D9" s="57" t="n">
        <f aca="false">Inputs!$D$11</f>
        <v>9000</v>
      </c>
      <c r="E9" s="58" t="n">
        <f aca="false">Inputs!$E$11</f>
        <v>9000</v>
      </c>
    </row>
    <row r="10" customFormat="false" ht="15" hidden="false" customHeight="false" outlineLevel="0" collapsed="false">
      <c r="A10" s="6" t="s">
        <v>111</v>
      </c>
      <c r="B10" s="53" t="n">
        <f aca="false">Inputs!$B$13</f>
        <v>52</v>
      </c>
      <c r="C10" s="53" t="n">
        <f aca="false">Inputs!$C$13</f>
        <v>50</v>
      </c>
      <c r="D10" s="53" t="n">
        <f aca="false">Inputs!$D$13</f>
        <v>48</v>
      </c>
      <c r="E10" s="54" t="n">
        <f aca="false">Inputs!$E$13</f>
        <v>50</v>
      </c>
    </row>
    <row r="11" customFormat="false" ht="15" hidden="false" customHeight="false" outlineLevel="0" collapsed="false">
      <c r="A11" s="6" t="s">
        <v>112</v>
      </c>
      <c r="B11" s="59" t="n">
        <f aca="false">Inputs!$B$14</f>
        <v>0.42</v>
      </c>
      <c r="C11" s="59" t="n">
        <f aca="false">Inputs!$C$14</f>
        <v>0.45</v>
      </c>
      <c r="D11" s="59" t="n">
        <f aca="false">Inputs!$D$14</f>
        <v>0.48</v>
      </c>
      <c r="E11" s="60" t="n">
        <f aca="false">Inputs!$E$14</f>
        <v>0.45</v>
      </c>
    </row>
    <row r="12" customFormat="false" ht="15" hidden="false" customHeight="false" outlineLevel="0" collapsed="false">
      <c r="A12" s="6" t="s">
        <v>113</v>
      </c>
      <c r="B12" s="59" t="n">
        <f aca="false">Inputs!$B$30</f>
        <v>0.26</v>
      </c>
      <c r="C12" s="59" t="n">
        <f aca="false">Inputs!$C$30</f>
        <v>0.25</v>
      </c>
      <c r="D12" s="59" t="n">
        <f aca="false">Inputs!$D$30</f>
        <v>0.24</v>
      </c>
      <c r="E12" s="60" t="n">
        <f aca="false">Inputs!$E$30</f>
        <v>0.25</v>
      </c>
    </row>
    <row r="13" customFormat="false" ht="15" hidden="false" customHeight="false" outlineLevel="0" collapsed="false">
      <c r="A13" s="6" t="s">
        <v>114</v>
      </c>
      <c r="B13" s="57" t="n">
        <f aca="false">Inputs!$B$54</f>
        <v>100000</v>
      </c>
      <c r="C13" s="57" t="n">
        <f aca="false">Inputs!$C$54</f>
        <v>100000</v>
      </c>
      <c r="D13" s="57" t="n">
        <f aca="false">Inputs!$D$54</f>
        <v>100000</v>
      </c>
      <c r="E13" s="58" t="n">
        <f aca="false">Inputs!$E$54</f>
        <v>100000</v>
      </c>
    </row>
    <row r="15" customFormat="false" ht="15.75" hidden="false" customHeight="true" outlineLevel="0" collapsed="false">
      <c r="A15" s="7" t="s">
        <v>115</v>
      </c>
      <c r="B15" s="7"/>
      <c r="C15" s="7"/>
      <c r="D15" s="7"/>
      <c r="E15" s="7"/>
    </row>
    <row r="16" customFormat="false" ht="15" hidden="false" customHeight="false" outlineLevel="0" collapsed="false">
      <c r="A16" s="33" t="s">
        <v>116</v>
      </c>
      <c r="B16" s="35" t="s">
        <v>104</v>
      </c>
      <c r="C16" s="35" t="s">
        <v>105</v>
      </c>
      <c r="D16" s="35" t="s">
        <v>106</v>
      </c>
      <c r="E16" s="35" t="s">
        <v>107</v>
      </c>
    </row>
    <row r="17" customFormat="false" ht="15" hidden="false" customHeight="false" outlineLevel="0" collapsed="false">
      <c r="A17" s="6" t="s">
        <v>117</v>
      </c>
      <c r="B17" s="61" t="n">
        <f aca="false">D30</f>
        <v>1796472.96389169</v>
      </c>
      <c r="C17" s="61" t="n">
        <f aca="false">D31</f>
        <v>2376160.7103285</v>
      </c>
      <c r="D17" s="61" t="n">
        <f aca="false">D32</f>
        <v>3040261.75025664</v>
      </c>
      <c r="E17" s="62" t="n">
        <f aca="false">'P&amp;L'!D5</f>
        <v>2376160.7103285</v>
      </c>
    </row>
    <row r="18" customFormat="false" ht="15" hidden="false" customHeight="false" outlineLevel="0" collapsed="false">
      <c r="A18" s="6" t="s">
        <v>118</v>
      </c>
      <c r="B18" s="61" t="n">
        <f aca="false">SUM(B30:D30)</f>
        <v>4739987.52389169</v>
      </c>
      <c r="C18" s="61" t="n">
        <f aca="false">SUM(B31:D31)</f>
        <v>6101675.6553285</v>
      </c>
      <c r="D18" s="61" t="n">
        <f aca="false">SUM(B32:D32)</f>
        <v>7596136.79705664</v>
      </c>
      <c r="E18" s="62" t="n">
        <f aca="false">SUM('P&amp;L'!$B$5:$D$5)</f>
        <v>6101675.6553285</v>
      </c>
    </row>
    <row r="19" customFormat="false" ht="15" hidden="false" customHeight="false" outlineLevel="0" collapsed="false">
      <c r="A19" s="6" t="s">
        <v>119</v>
      </c>
      <c r="B19" s="61" t="n">
        <f aca="false">D36</f>
        <v>49597.5556189935</v>
      </c>
      <c r="C19" s="61" t="n">
        <f aca="false">D37</f>
        <v>480449.961331505</v>
      </c>
      <c r="D19" s="61" t="n">
        <f aca="false">D38</f>
        <v>985565.056602631</v>
      </c>
      <c r="E19" s="62" t="n">
        <f aca="false">'P&amp;L'!D17</f>
        <v>480449.961331505</v>
      </c>
    </row>
    <row r="20" customFormat="false" ht="15" hidden="false" customHeight="false" outlineLevel="0" collapsed="false">
      <c r="A20" s="6" t="s">
        <v>120</v>
      </c>
      <c r="B20" s="63" t="n">
        <f aca="false">IF(B17=0,0,B19/B17)</f>
        <v>0.0276082950402719</v>
      </c>
      <c r="C20" s="63" t="n">
        <f aca="false">IF(C17=0,0,C19/C17)</f>
        <v>0.202195903350781</v>
      </c>
      <c r="D20" s="63" t="n">
        <f aca="false">IF(D17=0,0,D19/D17)</f>
        <v>0.324171119976573</v>
      </c>
      <c r="E20" s="64" t="n">
        <f aca="false">IF(E17=0,0,E19/E17)</f>
        <v>0.202195903350781</v>
      </c>
    </row>
    <row r="21" customFormat="false" ht="15" hidden="false" customHeight="false" outlineLevel="0" collapsed="false">
      <c r="A21" s="6" t="s">
        <v>121</v>
      </c>
      <c r="B21" s="61" t="n">
        <f aca="false">D42</f>
        <v>15445.6057899961</v>
      </c>
      <c r="C21" s="61" t="n">
        <f aca="false">D43</f>
        <v>355570.648118556</v>
      </c>
      <c r="D21" s="61" t="n">
        <f aca="false">D44</f>
        <v>755174.306182745</v>
      </c>
      <c r="E21" s="62" t="n">
        <f aca="false">'P&amp;L'!D24</f>
        <v>355570.648118556</v>
      </c>
    </row>
    <row r="22" customFormat="false" ht="15" hidden="false" customHeight="false" outlineLevel="0" collapsed="false">
      <c r="A22" s="6" t="s">
        <v>122</v>
      </c>
      <c r="B22" s="61" t="n">
        <f aca="false">SUM(B42:D42)</f>
        <v>-4174.01759060245</v>
      </c>
      <c r="C22" s="61" t="n">
        <f aca="false">SUM(B43:D43)</f>
        <v>814114.509409761</v>
      </c>
      <c r="D22" s="61" t="n">
        <f aca="false">SUM(B44:D44)</f>
        <v>1727783.21826272</v>
      </c>
      <c r="E22" s="62" t="n">
        <f aca="false">SUM('P&amp;L'!$B$24:$D$24)</f>
        <v>814114.509409761</v>
      </c>
    </row>
    <row r="23" customFormat="false" ht="15" hidden="false" customHeight="false" outlineLevel="0" collapsed="false">
      <c r="A23" s="6" t="s">
        <v>123</v>
      </c>
      <c r="B23" s="61" t="n">
        <f aca="false">D48</f>
        <v>139097.511526339</v>
      </c>
      <c r="C23" s="61" t="n">
        <f aca="false">D49</f>
        <v>948820.158073935</v>
      </c>
      <c r="D23" s="61" t="n">
        <f aca="false">D50</f>
        <v>1851111.68137781</v>
      </c>
      <c r="E23" s="62" t="n">
        <f aca="false">'Balance Sheet'!D5</f>
        <v>948820.158073935</v>
      </c>
    </row>
    <row r="24" customFormat="false" ht="15" hidden="false" customHeight="false" outlineLevel="0" collapsed="false">
      <c r="A24" s="6" t="s">
        <v>124</v>
      </c>
      <c r="B24" s="61" t="n">
        <f aca="false">MIN('Scenario calc'!$C$82:$AL$82)</f>
        <v>105803.750032597</v>
      </c>
      <c r="C24" s="61" t="n">
        <f aca="false">MIN('Scenario calc'!$C$191:$AL$191)</f>
        <v>339238.115344444</v>
      </c>
      <c r="D24" s="61" t="n">
        <f aca="false">MIN('Scenario calc'!$C$300:$AL$300)</f>
        <v>351230.525833333</v>
      </c>
      <c r="E24" s="62" t="n">
        <f aca="false">'Break-even'!B18</f>
        <v>339238.115344444</v>
      </c>
    </row>
    <row r="25" customFormat="false" ht="15" hidden="false" customHeight="false" outlineLevel="0" collapsed="false">
      <c r="A25" s="6" t="s">
        <v>125</v>
      </c>
      <c r="B25" s="65" t="n">
        <f aca="false">MATCH(MIN('Scenario calc'!$C$82:$AL$82),'Scenario calc'!$C$82:$AL$82,0)</f>
        <v>29</v>
      </c>
      <c r="C25" s="65" t="n">
        <f aca="false">MATCH(MIN('Scenario calc'!$C$191:$AL$191),'Scenario calc'!$C$191:$AL$191,0)</f>
        <v>1</v>
      </c>
      <c r="D25" s="65" t="n">
        <f aca="false">MATCH(MIN('Scenario calc'!$C$300:$AL$300),'Scenario calc'!$C$300:$AL$300,0)</f>
        <v>1</v>
      </c>
      <c r="E25" s="66" t="n">
        <f aca="false">'Break-even'!B6</f>
        <v>1</v>
      </c>
    </row>
    <row r="26" customFormat="false" ht="15" hidden="false" customHeight="false" outlineLevel="0" collapsed="false">
      <c r="A26" s="4" t="s">
        <v>65</v>
      </c>
      <c r="B26" s="61" t="n">
        <f aca="false">SUMPRODUCT(--('Scenario calc'!$C$6:$AL$6&lt;=B25),'Scenario calc'!$C$55:$AL$55)-SUMPRODUCT(--('Scenario calc'!$C$6:$AL$6&lt;=B25),'Scenario calc'!$C$76:$AL$76)-SUMPRODUCT(--('Scenario calc'!$C$6:$AL$6&lt;=B25),'Scenario calc'!$C$64:$AL$64)+Inputs!$B$69</f>
        <v>342196.249967403</v>
      </c>
      <c r="C26" s="61" t="n">
        <f aca="false">SUMPRODUCT(--('Scenario calc'!$C$115:$AL$115&lt;=C25),'Scenario calc'!$C$164:$AL$164)-SUMPRODUCT(--('Scenario calc'!$C$115:$AL$115&lt;=C25),'Scenario calc'!$C$185:$AL$185)-SUMPRODUCT(--('Scenario calc'!$C$115:$AL$115&lt;=C25),'Scenario calc'!$C$173:$AL$173)+Inputs!$C$69</f>
        <v>108761.884655556</v>
      </c>
      <c r="D26" s="61" t="n">
        <f aca="false">SUMPRODUCT(--('Scenario calc'!$C$224:$AL$224&lt;=D25),'Scenario calc'!$C$273:$AL$273)-SUMPRODUCT(--('Scenario calc'!$C$224:$AL$224&lt;=D25),'Scenario calc'!$C$294:$AL$294)-SUMPRODUCT(--('Scenario calc'!$C$224:$AL$224&lt;=D25),'Scenario calc'!$C$282:$AL$282)+Inputs!$D$69</f>
        <v>96769.4741666667</v>
      </c>
      <c r="E26" s="62" t="n">
        <f aca="false">'Break-even'!B12</f>
        <v>108761.884655556</v>
      </c>
    </row>
    <row r="28" customFormat="false" ht="15.75" hidden="false" customHeight="true" outlineLevel="0" collapsed="false">
      <c r="A28" s="7" t="s">
        <v>126</v>
      </c>
      <c r="B28" s="7"/>
      <c r="C28" s="7"/>
      <c r="D28" s="7"/>
      <c r="E28" s="7"/>
    </row>
    <row r="29" customFormat="false" ht="15" hidden="false" customHeight="false" outlineLevel="0" collapsed="false">
      <c r="A29" s="33" t="s">
        <v>127</v>
      </c>
      <c r="B29" s="34" t="n">
        <v>1</v>
      </c>
      <c r="C29" s="34" t="n">
        <v>2</v>
      </c>
      <c r="D29" s="34" t="n">
        <v>3</v>
      </c>
    </row>
    <row r="30" customFormat="false" ht="15" hidden="false" customHeight="false" outlineLevel="0" collapsed="false">
      <c r="A30" s="6" t="s">
        <v>104</v>
      </c>
      <c r="B30" s="61" t="n">
        <f aca="false">SUMIF('Scenario calc'!$C$7:$AL$7,B$29,'Scenario calc'!$C$24:$AL$24)</f>
        <v>1373007.69230769</v>
      </c>
      <c r="C30" s="61" t="n">
        <f aca="false">SUMIF('Scenario calc'!$C$7:$AL$7,C$29,'Scenario calc'!$C$24:$AL$24)</f>
        <v>1570506.86769231</v>
      </c>
      <c r="D30" s="61" t="n">
        <f aca="false">SUMIF('Scenario calc'!$C$7:$AL$7,D$29,'Scenario calc'!$C$24:$AL$24)</f>
        <v>1796472.96389169</v>
      </c>
    </row>
    <row r="31" customFormat="false" ht="15" hidden="false" customHeight="false" outlineLevel="0" collapsed="false">
      <c r="A31" s="6" t="s">
        <v>105</v>
      </c>
      <c r="B31" s="61" t="n">
        <f aca="false">SUMIF('Scenario calc'!$C$116:$AL$116,B$29,'Scenario calc'!$C$133:$AL$133)</f>
        <v>1710030</v>
      </c>
      <c r="C31" s="61" t="n">
        <f aca="false">SUMIF('Scenario calc'!$C$116:$AL$116,C$29,'Scenario calc'!$C$133:$AL$133)</f>
        <v>2015484.945</v>
      </c>
      <c r="D31" s="61" t="n">
        <f aca="false">SUMIF('Scenario calc'!$C$116:$AL$116,D$29,'Scenario calc'!$C$133:$AL$133)</f>
        <v>2376160.7103285</v>
      </c>
    </row>
    <row r="32" customFormat="false" ht="15" hidden="false" customHeight="false" outlineLevel="0" collapsed="false">
      <c r="A32" s="6" t="s">
        <v>106</v>
      </c>
      <c r="B32" s="61" t="n">
        <f aca="false">SUMIF('Scenario calc'!$C$225:$AL$225,B$29,'Scenario calc'!$C$242:$AL$242)</f>
        <v>2056472.25</v>
      </c>
      <c r="C32" s="61" t="n">
        <f aca="false">SUMIF('Scenario calc'!$C$225:$AL$225,C$29,'Scenario calc'!$C$242:$AL$242)</f>
        <v>2499402.7968</v>
      </c>
      <c r="D32" s="61" t="n">
        <f aca="false">SUMIF('Scenario calc'!$C$225:$AL$225,D$29,'Scenario calc'!$C$242:$AL$242)</f>
        <v>3040261.75025664</v>
      </c>
    </row>
    <row r="34" customFormat="false" ht="15.75" hidden="false" customHeight="true" outlineLevel="0" collapsed="false">
      <c r="A34" s="7" t="s">
        <v>128</v>
      </c>
      <c r="B34" s="7"/>
      <c r="C34" s="7"/>
      <c r="D34" s="7"/>
      <c r="E34" s="7"/>
    </row>
    <row r="35" customFormat="false" ht="15" hidden="false" customHeight="false" outlineLevel="0" collapsed="false">
      <c r="A35" s="33" t="s">
        <v>127</v>
      </c>
      <c r="B35" s="34" t="n">
        <v>1</v>
      </c>
      <c r="C35" s="34" t="n">
        <v>2</v>
      </c>
      <c r="D35" s="34" t="n">
        <v>3</v>
      </c>
    </row>
    <row r="36" customFormat="false" ht="15" hidden="false" customHeight="false" outlineLevel="0" collapsed="false">
      <c r="A36" s="6" t="s">
        <v>104</v>
      </c>
      <c r="B36" s="61" t="n">
        <f aca="false">SUMIF('Scenario calc'!$C$7:$AL$7,B$35,'Scenario calc'!$C$43:$AL$43)</f>
        <v>5760.46923076916</v>
      </c>
      <c r="C36" s="61" t="n">
        <f aca="false">SUMIF('Scenario calc'!$C$7:$AL$7,C$35,'Scenario calc'!$C$43:$AL$43)</f>
        <v>26183.8589292305</v>
      </c>
      <c r="D36" s="61" t="n">
        <f aca="false">SUMIF('Scenario calc'!$C$7:$AL$7,D$35,'Scenario calc'!$C$43:$AL$43)</f>
        <v>49597.5556189935</v>
      </c>
    </row>
    <row r="37" customFormat="false" ht="15" hidden="false" customHeight="false" outlineLevel="0" collapsed="false">
      <c r="A37" s="6" t="s">
        <v>105</v>
      </c>
      <c r="B37" s="61" t="n">
        <f aca="false">SUMIF('Scenario calc'!$C$116:$AL$116,B$35,'Scenario calc'!$C$152:$AL$152)</f>
        <v>266071.69</v>
      </c>
      <c r="C37" s="61" t="n">
        <f aca="false">SUMIF('Scenario calc'!$C$116:$AL$116,C$35,'Scenario calc'!$C$152:$AL$152)</f>
        <v>362576.355235</v>
      </c>
      <c r="D37" s="61" t="n">
        <f aca="false">SUMIF('Scenario calc'!$C$116:$AL$116,D$35,'Scenario calc'!$C$152:$AL$152)</f>
        <v>480449.961331505</v>
      </c>
    </row>
    <row r="38" customFormat="false" ht="15" hidden="false" customHeight="false" outlineLevel="0" collapsed="false">
      <c r="A38" s="6" t="s">
        <v>106</v>
      </c>
      <c r="B38" s="61" t="n">
        <f aca="false">SUMIF('Scenario calc'!$C$225:$AL$225,B$35,'Scenario calc'!$C$261:$AL$261)</f>
        <v>541347.10375</v>
      </c>
      <c r="C38" s="61" t="n">
        <f aca="false">SUMIF('Scenario calc'!$C$225:$AL$225,C$35,'Scenario calc'!$C$261:$AL$261)</f>
        <v>737680.195648</v>
      </c>
      <c r="D38" s="61" t="n">
        <f aca="false">SUMIF('Scenario calc'!$C$225:$AL$225,D$35,'Scenario calc'!$C$261:$AL$261)</f>
        <v>985565.056602631</v>
      </c>
    </row>
    <row r="40" customFormat="false" ht="15.75" hidden="false" customHeight="true" outlineLevel="0" collapsed="false">
      <c r="A40" s="7" t="s">
        <v>129</v>
      </c>
      <c r="B40" s="7"/>
      <c r="C40" s="7"/>
      <c r="D40" s="7"/>
      <c r="E40" s="7"/>
    </row>
    <row r="41" customFormat="false" ht="15" hidden="false" customHeight="false" outlineLevel="0" collapsed="false">
      <c r="A41" s="33" t="s">
        <v>127</v>
      </c>
      <c r="B41" s="34" t="n">
        <v>1</v>
      </c>
      <c r="C41" s="34" t="n">
        <v>2</v>
      </c>
      <c r="D41" s="34" t="n">
        <v>3</v>
      </c>
    </row>
    <row r="42" customFormat="false" ht="15" hidden="false" customHeight="false" outlineLevel="0" collapsed="false">
      <c r="A42" s="6" t="s">
        <v>104</v>
      </c>
      <c r="B42" s="61" t="n">
        <f aca="false">SUMIF('Scenario calc'!$C$7:$AL$7,B$41,'Scenario calc'!$C$52:$AL$52)</f>
        <v>-19574.1489764958</v>
      </c>
      <c r="C42" s="61" t="n">
        <f aca="false">SUMIF('Scenario calc'!$C$7:$AL$7,C$41,'Scenario calc'!$C$52:$AL$52)</f>
        <v>-45.474404102808</v>
      </c>
      <c r="D42" s="61" t="n">
        <f aca="false">SUMIF('Scenario calc'!$C$7:$AL$7,D$41,'Scenario calc'!$C$52:$AL$52)</f>
        <v>15445.6057899961</v>
      </c>
    </row>
    <row r="43" customFormat="false" ht="15" hidden="false" customHeight="false" outlineLevel="0" collapsed="false">
      <c r="A43" s="6" t="s">
        <v>105</v>
      </c>
      <c r="B43" s="61" t="n">
        <f aca="false">SUMIF('Scenario calc'!$C$116:$AL$116,B$41,'Scenario calc'!$C$161:$AL$161)</f>
        <v>192564.273988889</v>
      </c>
      <c r="C43" s="61" t="n">
        <f aca="false">SUMIF('Scenario calc'!$C$116:$AL$116,C$41,'Scenario calc'!$C$161:$AL$161)</f>
        <v>265979.587302317</v>
      </c>
      <c r="D43" s="61" t="n">
        <f aca="false">SUMIF('Scenario calc'!$C$116:$AL$116,D$41,'Scenario calc'!$C$161:$AL$161)</f>
        <v>355570.648118556</v>
      </c>
    </row>
    <row r="44" customFormat="false" ht="15" hidden="false" customHeight="false" outlineLevel="0" collapsed="false">
      <c r="A44" s="6" t="s">
        <v>106</v>
      </c>
      <c r="B44" s="61" t="n">
        <f aca="false">SUMIF('Scenario calc'!$C$225:$AL$225,B$41,'Scenario calc'!$C$270:$AL$270)</f>
        <v>410031.850851389</v>
      </c>
      <c r="C44" s="61" t="n">
        <f aca="false">SUMIF('Scenario calc'!$C$225:$AL$225,C$41,'Scenario calc'!$C$270:$AL$270)</f>
        <v>562577.061228587</v>
      </c>
      <c r="D44" s="61" t="n">
        <f aca="false">SUMIF('Scenario calc'!$C$225:$AL$225,D$41,'Scenario calc'!$C$270:$AL$270)</f>
        <v>755174.306182745</v>
      </c>
    </row>
    <row r="46" customFormat="false" ht="15.75" hidden="false" customHeight="true" outlineLevel="0" collapsed="false">
      <c r="A46" s="7" t="s">
        <v>130</v>
      </c>
      <c r="B46" s="7"/>
      <c r="C46" s="7"/>
      <c r="D46" s="7"/>
      <c r="E46" s="7"/>
    </row>
    <row r="47" customFormat="false" ht="15" hidden="false" customHeight="false" outlineLevel="0" collapsed="false">
      <c r="A47" s="33" t="s">
        <v>127</v>
      </c>
      <c r="B47" s="34" t="n">
        <v>1</v>
      </c>
      <c r="C47" s="34" t="n">
        <v>2</v>
      </c>
      <c r="D47" s="34" t="n">
        <v>3</v>
      </c>
    </row>
    <row r="48" customFormat="false" ht="15" hidden="false" customHeight="false" outlineLevel="0" collapsed="false">
      <c r="A48" s="6" t="s">
        <v>104</v>
      </c>
      <c r="B48" s="61" t="n">
        <f aca="false">INDEX('Scenario calc'!$C$82:$AL$82,B$47*12)</f>
        <v>273127.736173077</v>
      </c>
      <c r="C48" s="61" t="n">
        <f aca="false">INDEX('Scenario calc'!$C$82:$AL$82,C$47*12)</f>
        <v>196250.770614273</v>
      </c>
      <c r="D48" s="61" t="n">
        <f aca="false">INDEX('Scenario calc'!$C$82:$AL$82,D$47*12)</f>
        <v>139097.511526339</v>
      </c>
    </row>
    <row r="49" customFormat="false" ht="15" hidden="false" customHeight="false" outlineLevel="0" collapsed="false">
      <c r="A49" s="6" t="s">
        <v>105</v>
      </c>
      <c r="B49" s="61" t="n">
        <f aca="false">INDEX('Scenario calc'!$C$191:$AL$191,B$47*12)</f>
        <v>478877.468433333</v>
      </c>
      <c r="C49" s="61" t="n">
        <f aca="false">INDEX('Scenario calc'!$C$191:$AL$191,C$47*12)</f>
        <v>667284.090527316</v>
      </c>
      <c r="D49" s="61" t="n">
        <f aca="false">INDEX('Scenario calc'!$C$191:$AL$191,D$47*12)</f>
        <v>948820.158073935</v>
      </c>
    </row>
    <row r="50" customFormat="false" ht="15" hidden="false" customHeight="false" outlineLevel="0" collapsed="false">
      <c r="A50" s="6" t="s">
        <v>106</v>
      </c>
      <c r="B50" s="61" t="n">
        <f aca="false">INDEX('Scenario calc'!$C$300:$AL$300,B$47*12)</f>
        <v>689056.684184722</v>
      </c>
      <c r="C50" s="61" t="n">
        <f aca="false">INDEX('Scenario calc'!$C$300:$AL$300,C$47*12)</f>
        <v>1172546.36621331</v>
      </c>
      <c r="D50" s="61" t="n">
        <f aca="false">INDEX('Scenario calc'!$C$300:$AL$300,D$47*12)</f>
        <v>1851111.68137781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6"/>
  </cols>
  <sheetData>
    <row r="1" customFormat="false" ht="21.75" hidden="false" customHeight="true" outlineLevel="0" collapsed="false">
      <c r="A1" s="16" t="s">
        <v>131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132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134</v>
      </c>
      <c r="B5" s="7"/>
      <c r="C5" s="7"/>
      <c r="D5" s="7"/>
    </row>
    <row r="6" customFormat="false" ht="15" hidden="false" customHeight="false" outlineLevel="0" collapsed="false">
      <c r="A6" s="6" t="s">
        <v>125</v>
      </c>
      <c r="B6" s="65" t="n">
        <f aca="false">MATCH(MIN(Monthly!$C$80:$AL$80),Monthly!$C$80:$AL$80,0)</f>
        <v>1</v>
      </c>
    </row>
    <row r="7" customFormat="false" ht="15" hidden="false" customHeight="false" outlineLevel="0" collapsed="false">
      <c r="A7" s="6" t="s">
        <v>135</v>
      </c>
      <c r="B7" s="67" t="n">
        <f aca="false">SUMPRODUCT(--(Monthly!$C$4:$AL$4&lt;=$B$6),Monthly!$C$53:$AL$53)</f>
        <v>20000</v>
      </c>
    </row>
    <row r="8" customFormat="false" ht="15" hidden="false" customHeight="false" outlineLevel="0" collapsed="false">
      <c r="A8" s="6" t="s">
        <v>136</v>
      </c>
      <c r="B8" s="67" t="n">
        <f aca="false">-SUMPRODUCT(--(Monthly!$C$4:$AL$4&lt;=$B$6),Monthly!$C$74:$AL$74)</f>
        <v>-9238.11534444444</v>
      </c>
      <c r="D8" s="18" t="s">
        <v>137</v>
      </c>
    </row>
    <row r="9" customFormat="false" ht="15" hidden="false" customHeight="false" outlineLevel="0" collapsed="false">
      <c r="A9" s="6" t="s">
        <v>138</v>
      </c>
      <c r="B9" s="67" t="n">
        <f aca="false">-SUMPRODUCT(--(Monthly!$C$4:$AL$4&lt;=$B$6),Monthly!$C$62:$AL$62)</f>
        <v>-0</v>
      </c>
    </row>
    <row r="10" customFormat="false" ht="15" hidden="false" customHeight="false" outlineLevel="0" collapsed="false">
      <c r="A10" s="4" t="s">
        <v>139</v>
      </c>
      <c r="B10" s="68" t="n">
        <f aca="false">B7+B8+B9</f>
        <v>10761.8846555556</v>
      </c>
    </row>
    <row r="11" customFormat="false" ht="15" hidden="false" customHeight="false" outlineLevel="0" collapsed="false">
      <c r="A11" s="6" t="s">
        <v>140</v>
      </c>
      <c r="B11" s="69" t="n">
        <f aca="false">Inputs!$E$69</f>
        <v>98000</v>
      </c>
      <c r="D11" s="18" t="s">
        <v>141</v>
      </c>
    </row>
    <row r="12" customFormat="false" ht="15" hidden="false" customHeight="false" outlineLevel="0" collapsed="false">
      <c r="A12" s="4" t="s">
        <v>142</v>
      </c>
      <c r="B12" s="68" t="n">
        <f aca="false">B10+B11</f>
        <v>108761.884655556</v>
      </c>
    </row>
    <row r="14" customFormat="false" ht="15" hidden="false" customHeight="false" outlineLevel="0" collapsed="false">
      <c r="A14" s="6" t="s">
        <v>63</v>
      </c>
      <c r="B14" s="69" t="n">
        <f aca="false">Inputs!$E$54</f>
        <v>100000</v>
      </c>
    </row>
    <row r="15" customFormat="false" ht="15" hidden="false" customHeight="false" outlineLevel="0" collapsed="false">
      <c r="A15" s="6" t="s">
        <v>64</v>
      </c>
      <c r="B15" s="69" t="n">
        <f aca="false">Inputs!$E$55</f>
        <v>250000</v>
      </c>
    </row>
    <row r="16" customFormat="false" ht="15" hidden="false" customHeight="false" outlineLevel="0" collapsed="false">
      <c r="A16" s="4" t="s">
        <v>143</v>
      </c>
      <c r="B16" s="68" t="n">
        <f aca="false">B14+B15</f>
        <v>350000</v>
      </c>
    </row>
    <row r="17" customFormat="false" ht="15" hidden="false" customHeight="false" outlineLevel="0" collapsed="false">
      <c r="A17" s="70" t="s">
        <v>66</v>
      </c>
      <c r="B17" s="71" t="n">
        <f aca="false">B16-B12</f>
        <v>241238.115344444</v>
      </c>
      <c r="D17" s="18" t="s">
        <v>144</v>
      </c>
    </row>
    <row r="18" customFormat="false" ht="15" hidden="false" customHeight="false" outlineLevel="0" collapsed="false">
      <c r="A18" s="6" t="s">
        <v>145</v>
      </c>
      <c r="B18" s="67" t="n">
        <f aca="false">MIN(Monthly!$C$80:$AL$80)</f>
        <v>339238.115344444</v>
      </c>
      <c r="D18" s="18" t="s">
        <v>146</v>
      </c>
    </row>
    <row r="20" customFormat="false" ht="15.75" hidden="false" customHeight="true" outlineLevel="0" collapsed="false">
      <c r="A20" s="7" t="s">
        <v>147</v>
      </c>
      <c r="B20" s="7"/>
      <c r="C20" s="7"/>
      <c r="D20" s="7"/>
    </row>
    <row r="21" customFormat="false" ht="15" hidden="false" customHeight="false" outlineLevel="0" collapsed="false">
      <c r="A21" s="6" t="s">
        <v>148</v>
      </c>
      <c r="B21" s="65" t="n">
        <f aca="false">IFERROR(MATCH(1,Monthly!$C$81:$AL$81,0),"Not within horizon")</f>
        <v>1</v>
      </c>
    </row>
    <row r="22" customFormat="false" ht="15" hidden="false" customHeight="false" outlineLevel="0" collapsed="false">
      <c r="A22" s="6" t="s">
        <v>149</v>
      </c>
      <c r="B22" s="65" t="n">
        <f aca="false">IFERROR(MATCH(1,Monthly!$C$84:$AL$84,0),"Not within horizon")</f>
        <v>1</v>
      </c>
    </row>
    <row r="23" customFormat="false" ht="15" hidden="false" customHeight="false" outlineLevel="0" collapsed="false">
      <c r="A23" s="6" t="s">
        <v>150</v>
      </c>
      <c r="B23" s="65" t="n">
        <f aca="false">IF(MIN(Monthly!$C$86:$AL$86)&gt;=0,"No investment to pay back",IFERROR(MATCH(1,Monthly!$C$88:$AL$88,0),"Not within horizon"))</f>
        <v>2</v>
      </c>
      <c r="D23" s="18" t="s">
        <v>151</v>
      </c>
    </row>
    <row r="25" customFormat="false" ht="15.75" hidden="false" customHeight="true" outlineLevel="0" collapsed="false">
      <c r="A25" s="7" t="s">
        <v>152</v>
      </c>
      <c r="B25" s="7"/>
      <c r="C25" s="7"/>
      <c r="D25" s="7"/>
    </row>
    <row r="26" customFormat="false" ht="15" hidden="false" customHeight="false" outlineLevel="0" collapsed="false">
      <c r="A26" s="72" t="s">
        <v>153</v>
      </c>
      <c r="B26" s="72" t="n">
        <v>1</v>
      </c>
      <c r="C26" s="72" t="n">
        <v>2</v>
      </c>
      <c r="D26" s="72" t="n">
        <v>3</v>
      </c>
    </row>
    <row r="27" customFormat="false" ht="15" hidden="false" customHeight="false" outlineLevel="0" collapsed="false">
      <c r="A27" s="33"/>
      <c r="B27" s="35" t="s">
        <v>154</v>
      </c>
      <c r="C27" s="35" t="s">
        <v>155</v>
      </c>
      <c r="D27" s="35" t="s">
        <v>156</v>
      </c>
    </row>
    <row r="28" customFormat="false" ht="15" hidden="false" customHeight="false" outlineLevel="0" collapsed="false">
      <c r="A28" s="4" t="s">
        <v>44</v>
      </c>
      <c r="B28" s="73" t="n">
        <f aca="false">SUMIF(Monthly!$C$5:$AL$5,B$26,Monthly!$C$22:$AL$22)</f>
        <v>1710030</v>
      </c>
      <c r="C28" s="73" t="n">
        <f aca="false">SUMIF(Monthly!$C$5:$AL$5,C$26,Monthly!$C$22:$AL$22)</f>
        <v>2015484.945</v>
      </c>
      <c r="D28" s="73" t="n">
        <f aca="false">SUMIF(Monthly!$C$5:$AL$5,D$26,Monthly!$C$22:$AL$22)</f>
        <v>2376160.7103285</v>
      </c>
    </row>
    <row r="29" customFormat="false" ht="15" hidden="false" customHeight="false" outlineLevel="0" collapsed="false">
      <c r="A29" s="6" t="s">
        <v>45</v>
      </c>
      <c r="B29" s="67" t="n">
        <f aca="false">SUMIF(Monthly!$C$5:$AL$5,B$26,Monthly!$C$30:$AL$30)</f>
        <v>659822.5</v>
      </c>
      <c r="C29" s="67" t="n">
        <f aca="false">SUMIF(Monthly!$C$5:$AL$5,C$26,Monthly!$C$30:$AL$30)</f>
        <v>795749.54875</v>
      </c>
      <c r="D29" s="67" t="n">
        <f aca="false">SUMIF(Monthly!$C$5:$AL$5,D$26,Monthly!$C$30:$AL$30)</f>
        <v>958942.464010375</v>
      </c>
    </row>
    <row r="30" customFormat="false" ht="15" hidden="false" customHeight="false" outlineLevel="0" collapsed="false">
      <c r="A30" s="39" t="s">
        <v>157</v>
      </c>
      <c r="B30" s="74" t="n">
        <f aca="false">IF(B28=0,0,B29/B28)</f>
        <v>0.385854341736695</v>
      </c>
      <c r="C30" s="74" t="n">
        <f aca="false">IF(C28=0,0,C29/C28)</f>
        <v>0.394817907583031</v>
      </c>
      <c r="D30" s="74" t="n">
        <f aca="false">IF(D28=0,0,D29/D28)</f>
        <v>0.403568016187677</v>
      </c>
    </row>
    <row r="31" customFormat="false" ht="15" hidden="false" customHeight="false" outlineLevel="0" collapsed="false">
      <c r="A31" s="6" t="s">
        <v>158</v>
      </c>
      <c r="B31" s="67" t="n">
        <f aca="false">-SUMIF(Monthly!$C$5:$AL$5,B$26,Monthly!$C$40:$AL$40)</f>
        <v>393750.81</v>
      </c>
      <c r="C31" s="67" t="n">
        <f aca="false">-SUMIF(Monthly!$C$5:$AL$5,C$26,Monthly!$C$40:$AL$40)</f>
        <v>433173.193515</v>
      </c>
      <c r="D31" s="67" t="n">
        <f aca="false">-SUMIF(Monthly!$C$5:$AL$5,D$26,Monthly!$C$40:$AL$40)</f>
        <v>478492.50267887</v>
      </c>
    </row>
    <row r="32" customFormat="false" ht="15" hidden="false" customHeight="false" outlineLevel="0" collapsed="false">
      <c r="A32" s="4" t="s">
        <v>159</v>
      </c>
      <c r="B32" s="73" t="n">
        <f aca="false">IF(B30&gt;0,B31/B30,"n/a")</f>
        <v>1020464.89415608</v>
      </c>
      <c r="C32" s="73" t="n">
        <f aca="false">IF(C30&gt;0,C31/C30,"n/a")</f>
        <v>1097146.7737286</v>
      </c>
      <c r="D32" s="73" t="n">
        <f aca="false">IF(D30&gt;0,D31/D30,"n/a")</f>
        <v>1185655.16464602</v>
      </c>
    </row>
    <row r="33" customFormat="false" ht="15" hidden="false" customHeight="false" outlineLevel="0" collapsed="false">
      <c r="A33" s="39" t="s">
        <v>160</v>
      </c>
      <c r="B33" s="74" t="n">
        <f aca="false">IF(AND(ISNUMBER(B32),B28&gt;0),(B28-B32)/B28,"n/a")</f>
        <v>0.40324737334662</v>
      </c>
      <c r="C33" s="74" t="n">
        <f aca="false">IF(AND(ISNUMBER(C32),C28&gt;0),(C28-C32)/C28,"n/a")</f>
        <v>0.455641295435921</v>
      </c>
      <c r="D33" s="74" t="n">
        <f aca="false">IF(AND(ISNUMBER(D32),D28&gt;0),(D28-D32)/D28,"n/a")</f>
        <v>0.501020634045368</v>
      </c>
    </row>
    <row r="35" customFormat="false" ht="15" hidden="false" customHeight="false" outlineLevel="0" collapsed="false">
      <c r="A35" s="39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163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164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9" t="s">
        <v>165</v>
      </c>
      <c r="B6" s="75" t="n">
        <f aca="false">Inputs!$E$72</f>
        <v>0.16</v>
      </c>
    </row>
    <row r="7" customFormat="false" ht="15" hidden="false" customHeight="false" outlineLevel="0" collapsed="false">
      <c r="A7" s="39" t="s">
        <v>166</v>
      </c>
      <c r="B7" s="75" t="n">
        <f aca="false">Inputs!$E$73</f>
        <v>0.02</v>
      </c>
    </row>
    <row r="8" customFormat="false" ht="15" hidden="false" customHeight="false" outlineLevel="0" collapsed="false">
      <c r="A8" s="6" t="s">
        <v>167</v>
      </c>
      <c r="B8" s="76" t="n">
        <f aca="false">Inputs!$E$74</f>
        <v>5.5</v>
      </c>
    </row>
    <row r="9" customFormat="false" ht="15" hidden="false" customHeight="false" outlineLevel="0" collapsed="false">
      <c r="A9" s="39" t="s">
        <v>168</v>
      </c>
      <c r="B9" s="75" t="n">
        <f aca="false">Inputs!$E$66</f>
        <v>0.21</v>
      </c>
    </row>
    <row r="10" customFormat="false" ht="15" hidden="false" customHeight="false" outlineLevel="0" collapsed="false">
      <c r="A10" s="39" t="s">
        <v>169</v>
      </c>
      <c r="B10" s="75" t="n">
        <f aca="false">Inputs!$E$75</f>
        <v>0.01</v>
      </c>
    </row>
    <row r="11" customFormat="false" ht="15" hidden="false" customHeight="false" outlineLevel="0" collapsed="false">
      <c r="A11" s="39" t="s">
        <v>170</v>
      </c>
      <c r="B11" s="75" t="n">
        <f aca="false">Inputs!$E$76</f>
        <v>0.005</v>
      </c>
    </row>
    <row r="13" customFormat="false" ht="15.75" hidden="false" customHeight="true" outlineLevel="0" collapsed="false">
      <c r="A13" s="7" t="s">
        <v>171</v>
      </c>
      <c r="B13" s="7"/>
      <c r="C13" s="7"/>
      <c r="D13" s="7"/>
    </row>
    <row r="14" customFormat="false" ht="15" hidden="false" customHeight="false" outlineLevel="0" collapsed="false">
      <c r="A14" s="72" t="s">
        <v>153</v>
      </c>
      <c r="B14" s="72" t="n">
        <v>1</v>
      </c>
      <c r="C14" s="72" t="n">
        <v>2</v>
      </c>
      <c r="D14" s="72" t="n">
        <v>3</v>
      </c>
    </row>
    <row r="15" customFormat="false" ht="15" hidden="false" customHeight="false" outlineLevel="0" collapsed="false">
      <c r="A15" s="33"/>
      <c r="B15" s="35" t="s">
        <v>154</v>
      </c>
      <c r="C15" s="35" t="s">
        <v>155</v>
      </c>
      <c r="D15" s="35" t="s">
        <v>156</v>
      </c>
    </row>
    <row r="16" customFormat="false" ht="15" hidden="false" customHeight="false" outlineLevel="0" collapsed="false">
      <c r="A16" s="6" t="s">
        <v>48</v>
      </c>
      <c r="B16" s="67" t="n">
        <f aca="false">SUMIF(Monthly!$C$5:$AL$5,B$14,Monthly!$C$41:$AL$41)</f>
        <v>266071.69</v>
      </c>
      <c r="C16" s="67" t="n">
        <f aca="false">SUMIF(Monthly!$C$5:$AL$5,C$14,Monthly!$C$41:$AL$41)</f>
        <v>362576.355235</v>
      </c>
      <c r="D16" s="67" t="n">
        <f aca="false">SUMIF(Monthly!$C$5:$AL$5,D$14,Monthly!$C$41:$AL$41)</f>
        <v>480449.961331505</v>
      </c>
    </row>
    <row r="17" customFormat="false" ht="15" hidden="false" customHeight="false" outlineLevel="0" collapsed="false">
      <c r="A17" s="4" t="s">
        <v>172</v>
      </c>
      <c r="B17" s="73" t="n">
        <f aca="false">SUMIF(Monthly!$C$5:$AL$5,B$14,Monthly!$C$89:$AL$89)</f>
        <v>189183.162877778</v>
      </c>
      <c r="C17" s="73" t="n">
        <f aca="false">SUMIF(Monthly!$C$5:$AL$5,C$14,Monthly!$C$89:$AL$89)</f>
        <v>249729.955427317</v>
      </c>
      <c r="D17" s="73" t="n">
        <f aca="false">SUMIF(Monthly!$C$5:$AL$5,D$14,Monthly!$C$89:$AL$89)</f>
        <v>339699.400879952</v>
      </c>
    </row>
    <row r="18" customFormat="false" ht="15" hidden="false" customHeight="false" outlineLevel="0" collapsed="false">
      <c r="A18" s="6" t="s">
        <v>173</v>
      </c>
      <c r="B18" s="77" t="n">
        <f aca="false">1/(1+Inputs!$E$72)^B$14</f>
        <v>0.862068965517241</v>
      </c>
      <c r="C18" s="77" t="n">
        <f aca="false">1/(1+Inputs!$E$72)^C$14</f>
        <v>0.743162901307967</v>
      </c>
      <c r="D18" s="77" t="n">
        <f aca="false">1/(1+Inputs!$E$72)^D$14</f>
        <v>0.640657673541351</v>
      </c>
    </row>
    <row r="19" customFormat="false" ht="15" hidden="false" customHeight="false" outlineLevel="0" collapsed="false">
      <c r="A19" s="6" t="s">
        <v>174</v>
      </c>
      <c r="B19" s="67" t="n">
        <f aca="false">B17*B18</f>
        <v>163088.933515326</v>
      </c>
      <c r="C19" s="67" t="n">
        <f aca="false">C17*C18</f>
        <v>185590.038218874</v>
      </c>
      <c r="D19" s="67" t="n">
        <f aca="false">D17*D18</f>
        <v>217631.027871141</v>
      </c>
    </row>
    <row r="21" customFormat="false" ht="15.75" hidden="false" customHeight="true" outlineLevel="0" collapsed="false">
      <c r="A21" s="7" t="s">
        <v>175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35" t="s">
        <v>176</v>
      </c>
      <c r="C22" s="35" t="s">
        <v>177</v>
      </c>
    </row>
    <row r="23" customFormat="false" ht="15" hidden="false" customHeight="false" outlineLevel="0" collapsed="false">
      <c r="A23" s="6" t="s">
        <v>178</v>
      </c>
      <c r="B23" s="67" t="n">
        <f aca="false">SUM($B$19:$D$19)</f>
        <v>566309.99960534</v>
      </c>
      <c r="C23" s="67" t="n">
        <f aca="false">B23</f>
        <v>566309.99960534</v>
      </c>
    </row>
    <row r="24" customFormat="false" ht="15" hidden="false" customHeight="false" outlineLevel="0" collapsed="false">
      <c r="A24" s="6" t="s">
        <v>179</v>
      </c>
      <c r="B24" s="67" t="n">
        <f aca="false">$D$17</f>
        <v>339699.400879952</v>
      </c>
      <c r="C24" s="67" t="n">
        <f aca="false">$D$16</f>
        <v>480449.961331505</v>
      </c>
    </row>
    <row r="25" customFormat="false" ht="15" hidden="false" customHeight="false" outlineLevel="0" collapsed="false">
      <c r="A25" s="6" t="s">
        <v>180</v>
      </c>
      <c r="B25" s="67" t="n">
        <f aca="false">IF($B$6&gt;$B$7,B24*(1+$B$7)/($B$6-$B$7),0)</f>
        <v>2474952.77783965</v>
      </c>
      <c r="C25" s="67" t="n">
        <f aca="false">C24*$B$8</f>
        <v>2642474.78732328</v>
      </c>
    </row>
    <row r="26" customFormat="false" ht="15" hidden="false" customHeight="false" outlineLevel="0" collapsed="false">
      <c r="A26" s="6" t="s">
        <v>181</v>
      </c>
      <c r="B26" s="67" t="n">
        <f aca="false">B25/(1+$B$6)^$D$14</f>
        <v>1585597.48877545</v>
      </c>
      <c r="C26" s="67" t="n">
        <f aca="false">C25/(1+$B$6)^$D$14</f>
        <v>1692921.74963821</v>
      </c>
    </row>
    <row r="27" customFormat="false" ht="15" hidden="false" customHeight="false" outlineLevel="0" collapsed="false">
      <c r="A27" s="4" t="s">
        <v>175</v>
      </c>
      <c r="B27" s="68" t="n">
        <f aca="false">B23+B26</f>
        <v>2151907.48838079</v>
      </c>
      <c r="C27" s="68" t="n">
        <f aca="false">C23+C26</f>
        <v>2259231.74924355</v>
      </c>
    </row>
    <row r="28" customFormat="false" ht="15" hidden="false" customHeight="false" outlineLevel="0" collapsed="false">
      <c r="A28" s="39" t="s">
        <v>182</v>
      </c>
      <c r="B28" s="74" t="n">
        <f aca="false">IF(B27&lt;&gt;0,B26/B27,0)</f>
        <v>0.736833482543684</v>
      </c>
      <c r="C28" s="74" t="n">
        <f aca="false">IF(C27&lt;&gt;0,C26/C27,0)</f>
        <v>0.74933514465926</v>
      </c>
    </row>
    <row r="29" customFormat="false" ht="15" hidden="false" customHeight="false" outlineLevel="0" collapsed="false">
      <c r="A29" s="6" t="s">
        <v>183</v>
      </c>
      <c r="B29" s="78" t="n">
        <f aca="false">IF(C24&gt;0,B25/C24,"n/a")</f>
        <v>5.15132267048297</v>
      </c>
      <c r="C29" s="74" t="n">
        <f aca="false">IF(C25+B24&lt;&gt;0,(C25*$B$6-B24)/(C25+B24),"n/a")</f>
        <v>0.0278644236880874</v>
      </c>
    </row>
    <row r="30" customFormat="false" ht="15" hidden="false" customHeight="false" outlineLevel="0" collapsed="false">
      <c r="A30" s="70" t="s">
        <v>184</v>
      </c>
      <c r="B30" s="71" t="n">
        <f aca="false">AVERAGE(B27,C27)</f>
        <v>2205569.61881217</v>
      </c>
    </row>
    <row r="32" customFormat="false" ht="15.75" hidden="false" customHeight="true" outlineLevel="0" collapsed="false">
      <c r="A32" s="7" t="s">
        <v>185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186</v>
      </c>
      <c r="B33" s="79" t="n">
        <f aca="false">$B$7+(-2)*$B$11</f>
        <v>0.01</v>
      </c>
      <c r="C33" s="79" t="n">
        <f aca="false">$B$7+(-1)*$B$11</f>
        <v>0.015</v>
      </c>
      <c r="D33" s="79" t="n">
        <f aca="false">$B$7+(0)*$B$11</f>
        <v>0.02</v>
      </c>
      <c r="E33" s="79" t="n">
        <f aca="false">$B$7+(1)*$B$11</f>
        <v>0.025</v>
      </c>
      <c r="F33" s="79" t="n">
        <f aca="false">$B$7+(2)*$B$11</f>
        <v>0.03</v>
      </c>
    </row>
    <row r="34" customFormat="false" ht="15" hidden="false" customHeight="false" outlineLevel="0" collapsed="false">
      <c r="A34" s="74" t="n">
        <f aca="false">$B$6+(-2)*$B$10</f>
        <v>0.14</v>
      </c>
      <c r="B34" s="67" t="n">
        <f aca="false">IF($A34&gt;B$33,SUMPRODUCT($B$17:$D$17/(1+$A34)^$B$14:$D$14)+$D$17*(1+B$33)/($A34-B$33)/(1+$A34)^$D$14,"n/a")</f>
        <v>2368783.5299855</v>
      </c>
      <c r="C34" s="67" t="n">
        <f aca="false">IF($A34&gt;C$33,SUMPRODUCT($B$17:$D$17/(1+$A34)^$B$14:$D$14)+$D$17*(1+C$33)/($A34-C$33)/(1+$A34)^$D$14,"n/a")</f>
        <v>2449210.5018064</v>
      </c>
      <c r="D34" s="67" t="n">
        <f aca="false">IF($A34&gt;D$33,SUMPRODUCT($B$17:$D$17/(1+$A34)^$B$14:$D$14)+$D$17*(1+D$33)/($A34-D$33)/(1+$A34)^$D$14,"n/a")</f>
        <v>2536339.72127904</v>
      </c>
      <c r="E34" s="67" t="n">
        <f aca="false">IF($A34&gt;E$33,SUMPRODUCT($B$17:$D$17/(1+$A34)^$B$14:$D$14)+$D$17*(1+E$33)/($A34-E$33)/(1+$A34)^$D$14,"n/a")</f>
        <v>2631045.39461888</v>
      </c>
      <c r="F34" s="67" t="n">
        <f aca="false">IF($A34&gt;F$33,SUMPRODUCT($B$17:$D$17/(1+$A34)^$B$14:$D$14)+$D$17*(1+F$33)/($A34-F$33)/(1+$A34)^$D$14,"n/a")</f>
        <v>2734360.67462597</v>
      </c>
    </row>
    <row r="35" customFormat="false" ht="15" hidden="false" customHeight="false" outlineLevel="0" collapsed="false">
      <c r="A35" s="74" t="n">
        <f aca="false">$B$6+(-1)*$B$10</f>
        <v>0.15</v>
      </c>
      <c r="B35" s="67" t="n">
        <f aca="false">IF($A35&gt;B$33,SUMPRODUCT($B$17:$D$17/(1+$A35)^$B$14:$D$14)+$D$17*(1+B$33)/($A35-B$33)/(1+$A35)^$D$14,"n/a")</f>
        <v>2188064.18505589</v>
      </c>
      <c r="C35" s="67" t="n">
        <f aca="false">IF($A35&gt;C$33,SUMPRODUCT($B$17:$D$17/(1+$A35)^$B$14:$D$14)+$D$17*(1+C$33)/($A35-C$33)/(1+$A35)^$D$14,"n/a")</f>
        <v>2256016.97626221</v>
      </c>
      <c r="D35" s="67" t="n">
        <f aca="false">IF($A35&gt;D$33,SUMPRODUCT($B$17:$D$17/(1+$A35)^$B$14:$D$14)+$D$17*(1+D$33)/($A35-D$33)/(1+$A35)^$D$14,"n/a")</f>
        <v>2329196.90525363</v>
      </c>
      <c r="E35" s="67" t="n">
        <f aca="false">IF($A35&gt;E$33,SUMPRODUCT($B$17:$D$17/(1+$A35)^$B$14:$D$14)+$D$17*(1+E$33)/($A35-E$33)/(1+$A35)^$D$14,"n/a")</f>
        <v>2408231.22856437</v>
      </c>
      <c r="F35" s="67" t="n">
        <f aca="false">IF($A35&gt;F$33,SUMPRODUCT($B$17:$D$17/(1+$A35)^$B$14:$D$14)+$D$17*(1+F$33)/($A35-F$33)/(1+$A35)^$D$14,"n/a")</f>
        <v>2493851.74548433</v>
      </c>
    </row>
    <row r="36" customFormat="false" ht="15" hidden="false" customHeight="false" outlineLevel="0" collapsed="false">
      <c r="A36" s="74" t="n">
        <f aca="false">$B$6+(0)*$B$10</f>
        <v>0.16</v>
      </c>
      <c r="B36" s="67" t="n">
        <f aca="false">IF($A36&gt;B$33,SUMPRODUCT($B$17:$D$17/(1+$A36)^$B$14:$D$14)+$D$17*(1+B$33)/($A36-B$33)/(1+$A36)^$D$14,"n/a")</f>
        <v>2031692.25393769</v>
      </c>
      <c r="C36" s="67" t="n">
        <f aca="false">IF($A36&gt;C$33,SUMPRODUCT($B$17:$D$17/(1+$A36)^$B$14:$D$14)+$D$17*(1+C$33)/($A36-C$33)/(1+$A36)^$D$14,"n/a")</f>
        <v>2089727.19470332</v>
      </c>
      <c r="D36" s="67" t="n">
        <f aca="false">IF($A36&gt;D$33,SUMPRODUCT($B$17:$D$17/(1+$A36)^$B$14:$D$14)+$D$17*(1+D$33)/($A36-D$33)/(1+$A36)^$D$14,"n/a")</f>
        <v>2151907.48838079</v>
      </c>
      <c r="E36" s="67" t="n">
        <f aca="false">IF($A36&gt;E$33,SUMPRODUCT($B$17:$D$17/(1+$A36)^$B$14:$D$14)+$D$17*(1+E$33)/($A36-E$33)/(1+$A36)^$D$14,"n/a")</f>
        <v>2218693.72973807</v>
      </c>
      <c r="F36" s="67" t="n">
        <f aca="false">IF($A36&gt;F$33,SUMPRODUCT($B$17:$D$17/(1+$A36)^$B$14:$D$14)+$D$17*(1+F$33)/($A36-F$33)/(1+$A36)^$D$14,"n/a")</f>
        <v>2290617.37427668</v>
      </c>
    </row>
    <row r="37" customFormat="false" ht="15" hidden="false" customHeight="false" outlineLevel="0" collapsed="false">
      <c r="A37" s="74" t="n">
        <f aca="false">$B$6+(1)*$B$10</f>
        <v>0.17</v>
      </c>
      <c r="B37" s="67" t="n">
        <f aca="false">IF($A37&gt;B$33,SUMPRODUCT($B$17:$D$17/(1+$A37)^$B$14:$D$14)+$D$17*(1+B$33)/($A37-B$33)/(1+$A37)^$D$14,"n/a")</f>
        <v>1895094.97515817</v>
      </c>
      <c r="C37" s="67" t="n">
        <f aca="false">IF($A37&gt;C$33,SUMPRODUCT($B$17:$D$17/(1+$A37)^$B$14:$D$14)+$D$17*(1+C$33)/($A37-C$33)/(1+$A37)^$D$14,"n/a")</f>
        <v>1945126.22830703</v>
      </c>
      <c r="D37" s="67" t="n">
        <f aca="false">IF($A37&gt;D$33,SUMPRODUCT($B$17:$D$17/(1+$A37)^$B$14:$D$14)+$D$17*(1+D$33)/($A37-D$33)/(1+$A37)^$D$14,"n/a")</f>
        <v>1998492.89833248</v>
      </c>
      <c r="E37" s="67" t="n">
        <f aca="false">IF($A37&gt;E$33,SUMPRODUCT($B$17:$D$17/(1+$A37)^$B$14:$D$14)+$D$17*(1+E$33)/($A37-E$33)/(1+$A37)^$D$14,"n/a")</f>
        <v>2055540.02835968</v>
      </c>
      <c r="F37" s="67" t="n">
        <f aca="false">IF($A37&gt;F$33,SUMPRODUCT($B$17:$D$17/(1+$A37)^$B$14:$D$14)+$D$17*(1+F$33)/($A37-F$33)/(1+$A37)^$D$14,"n/a")</f>
        <v>2116661.95338883</v>
      </c>
    </row>
    <row r="38" customFormat="false" ht="15" hidden="false" customHeight="false" outlineLevel="0" collapsed="false">
      <c r="A38" s="74" t="n">
        <f aca="false">$B$6+(2)*$B$10</f>
        <v>0.18</v>
      </c>
      <c r="B38" s="67" t="n">
        <f aca="false">IF($A38&gt;B$33,SUMPRODUCT($B$17:$D$17/(1+$A38)^$B$14:$D$14)+$D$17*(1+B$33)/($A38-B$33)/(1+$A38)^$D$14,"n/a")</f>
        <v>1774775.82412034</v>
      </c>
      <c r="C38" s="67" t="n">
        <f aca="false">IF($A38&gt;C$33,SUMPRODUCT($B$17:$D$17/(1+$A38)^$B$14:$D$14)+$D$17*(1+C$33)/($A38-C$33)/(1+$A38)^$D$14,"n/a")</f>
        <v>1818263.6709138</v>
      </c>
      <c r="D38" s="67" t="n">
        <f aca="false">IF($A38&gt;D$33,SUMPRODUCT($B$17:$D$17/(1+$A38)^$B$14:$D$14)+$D$17*(1+D$33)/($A38-D$33)/(1+$A38)^$D$14,"n/a")</f>
        <v>1864469.50813185</v>
      </c>
      <c r="E38" s="67" t="n">
        <f aca="false">IF($A38&gt;E$33,SUMPRODUCT($B$17:$D$17/(1+$A38)^$B$14:$D$14)+$D$17*(1+E$33)/($A38-E$33)/(1+$A38)^$D$14,"n/a")</f>
        <v>1913656.36710591</v>
      </c>
      <c r="F38" s="67" t="n">
        <f aca="false">IF($A38&gt;F$33,SUMPRODUCT($B$17:$D$17/(1+$A38)^$B$14:$D$14)+$D$17*(1+F$33)/($A38-F$33)/(1+$A38)^$D$14,"n/a")</f>
        <v>1966122.35001157</v>
      </c>
    </row>
    <row r="40" customFormat="false" ht="15" hidden="false" customHeight="false" outlineLevel="0" collapsed="false">
      <c r="A40" s="39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188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189</v>
      </c>
    </row>
    <row r="3" customFormat="false" ht="15" hidden="false" customHeight="false" outlineLevel="0" collapsed="false">
      <c r="A3" s="4" t="s">
        <v>133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190</v>
      </c>
      <c r="B5" s="7"/>
      <c r="C5" s="7"/>
    </row>
    <row r="6" customFormat="false" ht="15" hidden="false" customHeight="false" outlineLevel="0" collapsed="false">
      <c r="B6" s="35" t="s">
        <v>191</v>
      </c>
      <c r="C6" s="35" t="s">
        <v>192</v>
      </c>
    </row>
    <row r="7" customFormat="false" ht="15" hidden="false" customHeight="false" outlineLevel="0" collapsed="false">
      <c r="A7" s="6" t="s">
        <v>193</v>
      </c>
      <c r="B7" s="80" t="n">
        <f aca="false">Inputs!$E$54</f>
        <v>100000</v>
      </c>
      <c r="C7" s="74" t="n">
        <f aca="false">IF($B$9=0,0,B7/$B$9)</f>
        <v>0.285714285714286</v>
      </c>
    </row>
    <row r="8" customFormat="false" ht="15" hidden="false" customHeight="false" outlineLevel="0" collapsed="false">
      <c r="A8" s="6" t="s">
        <v>194</v>
      </c>
      <c r="B8" s="80" t="n">
        <f aca="false">Inputs!$E$55</f>
        <v>250000</v>
      </c>
      <c r="C8" s="74" t="n">
        <f aca="false">IF($B$9=0,0,B8/$B$9)</f>
        <v>0.714285714285714</v>
      </c>
    </row>
    <row r="9" customFormat="false" ht="15" hidden="false" customHeight="false" outlineLevel="0" collapsed="false">
      <c r="A9" s="4" t="s">
        <v>195</v>
      </c>
      <c r="B9" s="81" t="n">
        <f aca="false">B7+B8</f>
        <v>350000</v>
      </c>
      <c r="C9" s="82" t="n">
        <f aca="false">IF(B9=0,0,1)</f>
        <v>1</v>
      </c>
    </row>
    <row r="10" customFormat="false" ht="15" hidden="false" customHeight="false" outlineLevel="0" collapsed="false">
      <c r="A10" s="6" t="s">
        <v>196</v>
      </c>
      <c r="B10" s="78" t="n">
        <f aca="false">IF(B7&lt;=0,IF(B8&gt;0,"n/a",0),B8/B7)</f>
        <v>2.5</v>
      </c>
      <c r="D10" s="18" t="s">
        <v>197</v>
      </c>
    </row>
    <row r="11" customFormat="false" ht="15" hidden="false" customHeight="false" outlineLevel="0" collapsed="false">
      <c r="A11" s="6" t="s">
        <v>198</v>
      </c>
      <c r="B11" s="80" t="n">
        <f aca="false">'Break-even'!B12</f>
        <v>108761.884655556</v>
      </c>
    </row>
    <row r="12" customFormat="false" ht="15" hidden="false" customHeight="false" outlineLevel="0" collapsed="false">
      <c r="A12" s="70" t="s">
        <v>66</v>
      </c>
      <c r="B12" s="83" t="n">
        <f aca="false">'Break-even'!B17</f>
        <v>241238.115344444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199</v>
      </c>
      <c r="B15" s="84" t="n">
        <v>12</v>
      </c>
      <c r="D15" s="18" t="s">
        <v>200</v>
      </c>
    </row>
    <row r="16" customFormat="false" ht="15" hidden="false" customHeight="false" outlineLevel="0" collapsed="false">
      <c r="A16" s="6" t="s">
        <v>201</v>
      </c>
      <c r="B16" s="65" t="n">
        <f aca="false">MIN(36,MAX(1,ROUND(B15,0)))</f>
        <v>12</v>
      </c>
    </row>
    <row r="17" customFormat="false" ht="15" hidden="false" customHeight="false" outlineLevel="0" collapsed="false">
      <c r="A17" s="33" t="s">
        <v>202</v>
      </c>
      <c r="B17" s="35" t="s">
        <v>191</v>
      </c>
      <c r="C17" s="35" t="s">
        <v>192</v>
      </c>
    </row>
    <row r="18" customFormat="false" ht="15" hidden="false" customHeight="false" outlineLevel="0" collapsed="false">
      <c r="A18" s="6" t="s">
        <v>63</v>
      </c>
      <c r="B18" s="61" t="n">
        <f aca="false">SUMPRODUCT(--(Monthly!$C$4:$AL$4&lt;=$B$16),Monthly!$C$76:$AL$76)</f>
        <v>100000</v>
      </c>
      <c r="C18" s="74" t="n">
        <f aca="false">IF($B$21=0,0,B18/$B$21)</f>
        <v>0.183583655172009</v>
      </c>
    </row>
    <row r="19" customFormat="false" ht="15" hidden="false" customHeight="false" outlineLevel="0" collapsed="false">
      <c r="A19" s="6" t="s">
        <v>203</v>
      </c>
      <c r="B19" s="61" t="n">
        <f aca="false">SUMPRODUCT(--(Monthly!$C$4:$AL$4&lt;=$B$16),Monthly!$C$61:$AL$61)</f>
        <v>250000</v>
      </c>
      <c r="C19" s="74" t="n">
        <f aca="false">IF($B$21=0,0,B19/$B$21)</f>
        <v>0.458959137930021</v>
      </c>
    </row>
    <row r="20" customFormat="false" ht="15" hidden="false" customHeight="false" outlineLevel="0" collapsed="false">
      <c r="A20" s="6" t="s">
        <v>204</v>
      </c>
      <c r="B20" s="61" t="n">
        <f aca="false">MAX(0,SUMPRODUCT(--(Monthly!$C$4:$AL$4&lt;=$B$16),Monthly!$C$74:$AL$74))</f>
        <v>194710.801766667</v>
      </c>
      <c r="C20" s="74" t="n">
        <f aca="false">IF($B$21=0,0,B20/$B$21)</f>
        <v>0.35745720689797</v>
      </c>
    </row>
    <row r="21" customFormat="false" ht="15" hidden="false" customHeight="false" outlineLevel="0" collapsed="false">
      <c r="A21" s="4" t="s">
        <v>205</v>
      </c>
      <c r="B21" s="81" t="n">
        <f aca="false">SUM(B18:B20)</f>
        <v>544710.801766667</v>
      </c>
      <c r="C21" s="82" t="n">
        <f aca="false">IF(B21=0,0,1)</f>
        <v>1</v>
      </c>
    </row>
    <row r="23" customFormat="false" ht="15" hidden="false" customHeight="false" outlineLevel="0" collapsed="false">
      <c r="A23" s="33" t="s">
        <v>206</v>
      </c>
      <c r="B23" s="35" t="s">
        <v>191</v>
      </c>
      <c r="C23" s="35" t="s">
        <v>192</v>
      </c>
    </row>
    <row r="24" customFormat="false" ht="15" hidden="false" customHeight="false" outlineLevel="0" collapsed="false">
      <c r="A24" s="6" t="s">
        <v>207</v>
      </c>
      <c r="B24" s="61" t="n">
        <f aca="false">MAX(0,-SUMPRODUCT(--(Monthly!$C$4:$AL$4&lt;=$B$16),Monthly!$C$74:$AL$74))</f>
        <v>0</v>
      </c>
      <c r="C24" s="74" t="n">
        <f aca="false">IF($B$28=0,0,B24/$B$28)</f>
        <v>0</v>
      </c>
    </row>
    <row r="25" customFormat="false" ht="15" hidden="false" customHeight="false" outlineLevel="0" collapsed="false">
      <c r="A25" s="6" t="s">
        <v>83</v>
      </c>
      <c r="B25" s="61" t="n">
        <f aca="false">-SUMPRODUCT(--(Monthly!$C$4:$AL$4&lt;=$B$16),Monthly!$C$75:$AL$75)</f>
        <v>20000</v>
      </c>
      <c r="C25" s="74" t="n">
        <f aca="false">IF($B$28=0,0,B25/$B$28)</f>
        <v>0.0367167310344017</v>
      </c>
    </row>
    <row r="26" customFormat="false" ht="15" hidden="false" customHeight="false" outlineLevel="0" collapsed="false">
      <c r="A26" s="6" t="s">
        <v>208</v>
      </c>
      <c r="B26" s="61" t="n">
        <f aca="false">-SUMPRODUCT(--(Monthly!$C$4:$AL$4&lt;=$B$16),Monthly!$C$62:$AL$62)</f>
        <v>45833.3333333333</v>
      </c>
      <c r="C26" s="74" t="n">
        <f aca="false">IF($B$28=0,0,B26/$B$28)</f>
        <v>0.0841425086205039</v>
      </c>
    </row>
    <row r="27" customFormat="false" ht="15" hidden="false" customHeight="false" outlineLevel="0" collapsed="false">
      <c r="A27" s="6" t="s">
        <v>209</v>
      </c>
      <c r="B27" s="61" t="n">
        <f aca="false">INDEX(Monthly!$C$80:$AL$80,$B$16)</f>
        <v>478877.468433333</v>
      </c>
      <c r="C27" s="74" t="n">
        <f aca="false">IF($B$28=0,0,B27/$B$28)</f>
        <v>0.879140760345094</v>
      </c>
    </row>
    <row r="28" customFormat="false" ht="15" hidden="false" customHeight="false" outlineLevel="0" collapsed="false">
      <c r="A28" s="4" t="s">
        <v>210</v>
      </c>
      <c r="B28" s="81" t="n">
        <f aca="false">SUM(B24:B27)</f>
        <v>544710.801766667</v>
      </c>
      <c r="C28" s="82" t="n">
        <f aca="false">IF(B28=0,0,1)</f>
        <v>1</v>
      </c>
    </row>
    <row r="29" customFormat="false" ht="15" hidden="false" customHeight="false" outlineLevel="0" collapsed="false">
      <c r="A29" s="6" t="s">
        <v>211</v>
      </c>
      <c r="B29" s="61" t="n">
        <f aca="false">B21-B28</f>
        <v>0</v>
      </c>
    </row>
  </sheetData>
  <dataValidations count="1">
    <dataValidation allowBlank="false" errorStyle="stop" operator="between" prompt="A whole number from 1 to 36" promptTitle="Period" showDropDown="false" showErrorMessage="false" showInputMessage="true" sqref="B15" type="whole">
      <formula1>1</formula1>
      <formula2>36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G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.5"/>
    <col collapsed="false" customWidth="true" hidden="false" outlineLevel="0" max="6" min="6" style="0" width="2"/>
    <col collapsed="false" customWidth="true" hidden="false" outlineLevel="0" max="22" min="7" style="0" width="9"/>
  </cols>
  <sheetData>
    <row r="1" customFormat="false" ht="21.75" hidden="false" customHeight="true" outlineLevel="0" collapsed="false">
      <c r="A1" s="16" t="s">
        <v>212</v>
      </c>
      <c r="G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213</v>
      </c>
    </row>
    <row r="4" customFormat="false" ht="15.75" hidden="false" customHeight="true" outlineLevel="0" collapsed="false">
      <c r="A4" s="7" t="s">
        <v>214</v>
      </c>
      <c r="B4" s="7"/>
      <c r="C4" s="7"/>
      <c r="D4" s="7"/>
      <c r="E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5" t="s">
        <v>215</v>
      </c>
    </row>
    <row r="6" customFormat="false" ht="15" hidden="false" customHeight="false" outlineLevel="0" collapsed="false">
      <c r="A6" s="39" t="s">
        <v>216</v>
      </c>
      <c r="B6" s="40" t="str">
        <f aca="false">IF(N('P&amp;L'!A5)&lt;=0,"n/a",'P&amp;L'!B5/'P&amp;L'!A5-1)</f>
        <v>n/a</v>
      </c>
      <c r="C6" s="40" t="n">
        <f aca="false">IF(N('P&amp;L'!B5)&lt;=0,"n/a",'P&amp;L'!C5/'P&amp;L'!B5-1)</f>
        <v>0.178625489026508</v>
      </c>
      <c r="D6" s="40" t="n">
        <f aca="false">IF(N('P&amp;L'!C5)&lt;=0,"n/a",'P&amp;L'!D5/'P&amp;L'!C5-1)</f>
        <v>0.178952349023128</v>
      </c>
      <c r="E6" s="85"/>
    </row>
    <row r="7" customFormat="false" ht="15" hidden="false" customHeight="false" outlineLevel="0" collapsed="false">
      <c r="A7" s="39" t="s">
        <v>46</v>
      </c>
      <c r="B7" s="40" t="n">
        <f aca="false">IF('P&amp;L'!B5&lt;=0,"n/a",'P&amp;L'!B7/'P&amp;L'!B5)</f>
        <v>0.385854341736695</v>
      </c>
      <c r="C7" s="40" t="n">
        <f aca="false">IF('P&amp;L'!C5&lt;=0,"n/a",'P&amp;L'!C7/'P&amp;L'!C5)</f>
        <v>0.394817907583031</v>
      </c>
      <c r="D7" s="40" t="n">
        <f aca="false">IF('P&amp;L'!D5&lt;=0,"n/a",'P&amp;L'!D7/'P&amp;L'!D5)</f>
        <v>0.403568016187677</v>
      </c>
      <c r="E7" s="85"/>
    </row>
    <row r="8" customFormat="false" ht="15" hidden="false" customHeight="false" outlineLevel="0" collapsed="false">
      <c r="A8" s="39" t="s">
        <v>49</v>
      </c>
      <c r="B8" s="40" t="n">
        <f aca="false">IF('P&amp;L'!B5&lt;=0,"n/a",'P&amp;L'!B17/'P&amp;L'!B5)</f>
        <v>0.155594749799711</v>
      </c>
      <c r="C8" s="40" t="n">
        <f aca="false">IF('P&amp;L'!C5&lt;=0,"n/a",'P&amp;L'!C17/'P&amp;L'!C5)</f>
        <v>0.179895342872432</v>
      </c>
      <c r="D8" s="40" t="n">
        <f aca="false">IF('P&amp;L'!D5&lt;=0,"n/a",'P&amp;L'!D17/'P&amp;L'!D5)</f>
        <v>0.202195903350781</v>
      </c>
      <c r="E8" s="85"/>
    </row>
    <row r="9" customFormat="false" ht="15" hidden="false" customHeight="false" outlineLevel="0" collapsed="false">
      <c r="A9" s="39" t="s">
        <v>51</v>
      </c>
      <c r="B9" s="40" t="n">
        <f aca="false">IF('P&amp;L'!B5&lt;=0,"n/a",'P&amp;L'!B24/'P&amp;L'!B5)</f>
        <v>0.11260871095179</v>
      </c>
      <c r="C9" s="40" t="n">
        <f aca="false">IF('P&amp;L'!C5&lt;=0,"n/a",'P&amp;L'!C24/'P&amp;L'!C5)</f>
        <v>0.131968034771064</v>
      </c>
      <c r="D9" s="40" t="n">
        <f aca="false">IF('P&amp;L'!D5&lt;=0,"n/a",'P&amp;L'!D24/'P&amp;L'!D5)</f>
        <v>0.149640824618045</v>
      </c>
      <c r="E9" s="85"/>
    </row>
    <row r="10" customFormat="false" ht="15" hidden="false" customHeight="false" outlineLevel="0" collapsed="false">
      <c r="A10" s="39" t="s">
        <v>217</v>
      </c>
      <c r="B10" s="40" t="n">
        <f aca="false">IF('P&amp;L'!B5&lt;=0,"n/a",-SUMIF(Headcount!$C$5:$AL$5,B$5,Headcount!$C$15:$AL$15)/'P&amp;L'!B5)</f>
        <v>0.352391478512073</v>
      </c>
      <c r="C10" s="40" t="n">
        <f aca="false">IF('P&amp;L'!C5&lt;=0,"n/a",-SUMIF(Headcount!$C$5:$AL$5,C$5,Headcount!$C$15:$AL$15)/'P&amp;L'!C5)</f>
        <v>0.343851370221969</v>
      </c>
      <c r="D10" s="40" t="n">
        <f aca="false">IF('P&amp;L'!D5&lt;=0,"n/a",-SUMIF(Headcount!$C$5:$AL$5,D$5,Headcount!$C$15:$AL$15)/'P&amp;L'!D5)</f>
        <v>0.335440517289678</v>
      </c>
      <c r="E10" s="85"/>
    </row>
    <row r="11" customFormat="false" ht="15" hidden="false" customHeight="false" outlineLevel="0" collapsed="false">
      <c r="A11" s="39" t="s">
        <v>218</v>
      </c>
      <c r="B11" s="40" t="n">
        <f aca="false">IF('P&amp;L'!B5&lt;=0,"n/a",-'P&amp;L'!B10/'P&amp;L'!B5)</f>
        <v>0.0631567867230399</v>
      </c>
      <c r="C11" s="40" t="n">
        <f aca="false">IF('P&amp;L'!C5&lt;=0,"n/a",-'P&amp;L'!C10/'P&amp;L'!C5)</f>
        <v>0.0616228864959346</v>
      </c>
      <c r="D11" s="40" t="n">
        <f aca="false">IF('P&amp;L'!D5&lt;=0,"n/a",-'P&amp;L'!D10/'P&amp;L'!D5)</f>
        <v>0.0601095706107581</v>
      </c>
      <c r="E11" s="85"/>
    </row>
    <row r="12" customFormat="false" ht="15" hidden="false" customHeight="false" outlineLevel="0" collapsed="false">
      <c r="A12" s="39" t="s">
        <v>219</v>
      </c>
      <c r="B12" s="40" t="n">
        <f aca="false">IF('P&amp;L'!B5&lt;=0,"n/a",-'P&amp;L'!B16/'P&amp;L'!B5)</f>
        <v>0.230259591936984</v>
      </c>
      <c r="C12" s="40" t="n">
        <f aca="false">IF('P&amp;L'!C5&lt;=0,"n/a",-'P&amp;L'!C16/'P&amp;L'!C5)</f>
        <v>0.214922564710599</v>
      </c>
      <c r="D12" s="40" t="n">
        <f aca="false">IF('P&amp;L'!D5&lt;=0,"n/a",-'P&amp;L'!D16/'P&amp;L'!D5)</f>
        <v>0.201372112836896</v>
      </c>
      <c r="E12" s="85"/>
    </row>
    <row r="13" customFormat="false" ht="15" hidden="false" customHeight="false" outlineLevel="0" collapsed="false">
      <c r="A13" s="6" t="s">
        <v>220</v>
      </c>
      <c r="B13" s="86" t="n">
        <f aca="false">IF(('Balance Sheet'!B12-'Balance Sheet'!B11)&lt;=0,"n/a",('Balance Sheet'!B5+'Balance Sheet'!B6+'Balance Sheet'!B7)/('Balance Sheet'!B12-'Balance Sheet'!B11))</f>
        <v>9.45852624294973</v>
      </c>
      <c r="C13" s="86" t="n">
        <f aca="false">IF(('Balance Sheet'!C12-'Balance Sheet'!C11)&lt;=0,"n/a",('Balance Sheet'!C5+'Balance Sheet'!C6+'Balance Sheet'!C7)/('Balance Sheet'!C12-'Balance Sheet'!C11))</f>
        <v>11.1307816860655</v>
      </c>
      <c r="D13" s="86" t="n">
        <f aca="false">IF(('Balance Sheet'!D12-'Balance Sheet'!D11)&lt;=0,"n/a",('Balance Sheet'!D5+'Balance Sheet'!D6+'Balance Sheet'!D7)/('Balance Sheet'!D12-'Balance Sheet'!D11))</f>
        <v>13.3698838932306</v>
      </c>
      <c r="E13" s="87"/>
    </row>
    <row r="14" customFormat="false" ht="15" hidden="false" customHeight="false" outlineLevel="0" collapsed="false">
      <c r="A14" s="6" t="s">
        <v>221</v>
      </c>
      <c r="B14" s="86" t="n">
        <f aca="false">IF('Balance Sheet'!B15&lt;=0,"n/a",'Balance Sheet'!B11/'Balance Sheet'!B15)</f>
        <v>0.697852351837124</v>
      </c>
      <c r="C14" s="86" t="n">
        <f aca="false">IF('Balance Sheet'!C15&lt;=0,"n/a",'Balance Sheet'!C11/'Balance Sheet'!C15)</f>
        <v>0.276015327265928</v>
      </c>
      <c r="D14" s="86" t="n">
        <f aca="false">IF('Balance Sheet'!D15&lt;=0,"n/a",'Balance Sheet'!D11/'Balance Sheet'!D15)</f>
        <v>0.113953630091625</v>
      </c>
      <c r="E14" s="87"/>
    </row>
    <row r="15" customFormat="false" ht="15" hidden="false" customHeight="false" outlineLevel="0" collapsed="false">
      <c r="A15" s="39" t="s">
        <v>222</v>
      </c>
      <c r="B15" s="40" t="n">
        <f aca="false">IF('Balance Sheet'!B9&lt;=0,"n/a",'P&amp;L'!B24/'Balance Sheet'!B9)</f>
        <v>0.347862190138343</v>
      </c>
      <c r="C15" s="40" t="n">
        <f aca="false">IF('Balance Sheet'!C9&lt;=0,"n/a",'P&amp;L'!C24/'Balance Sheet'!C9)</f>
        <v>0.341484533183422</v>
      </c>
      <c r="D15" s="40" t="n">
        <f aca="false">IF('Balance Sheet'!D9&lt;=0,"n/a",'P&amp;L'!D24/'Balance Sheet'!D9)</f>
        <v>0.324608711463597</v>
      </c>
      <c r="E15" s="85"/>
    </row>
    <row r="16" customFormat="false" ht="15" hidden="false" customHeight="false" outlineLevel="0" collapsed="false">
      <c r="A16" s="39" t="s">
        <v>223</v>
      </c>
      <c r="B16" s="40" t="n">
        <f aca="false">IF('Balance Sheet'!B15&lt;=0,"n/a",'P&amp;L'!B24/'Balance Sheet'!B15)</f>
        <v>0.658194766447123</v>
      </c>
      <c r="C16" s="40" t="n">
        <f aca="false">IF('Balance Sheet'!C15&lt;=0,"n/a",'P&amp;L'!C24/'Balance Sheet'!C15)</f>
        <v>0.476201791364141</v>
      </c>
      <c r="D16" s="40" t="n">
        <f aca="false">IF('Balance Sheet'!D15&lt;=0,"n/a",'P&amp;L'!D24/'Balance Sheet'!D15)</f>
        <v>0.388978234628554</v>
      </c>
      <c r="E16" s="85"/>
    </row>
    <row r="18" customFormat="false" ht="15.75" hidden="false" customHeight="true" outlineLevel="0" collapsed="false">
      <c r="A18" s="7" t="s">
        <v>224</v>
      </c>
      <c r="B18" s="7"/>
      <c r="C18" s="7"/>
      <c r="D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</row>
    <row r="20" customFormat="false" ht="15" hidden="false" customHeight="false" outlineLevel="0" collapsed="false">
      <c r="A20" s="52" t="s">
        <v>51</v>
      </c>
      <c r="B20" s="40" t="n">
        <f aca="false">IF('P&amp;L'!B5&lt;=0,"n/a",'P&amp;L'!B24/'P&amp;L'!B5)</f>
        <v>0.11260871095179</v>
      </c>
      <c r="C20" s="40" t="n">
        <f aca="false">IF('P&amp;L'!C5&lt;=0,"n/a",'P&amp;L'!C24/'P&amp;L'!C5)</f>
        <v>0.131968034771064</v>
      </c>
      <c r="D20" s="40" t="n">
        <f aca="false">IF('P&amp;L'!D5&lt;=0,"n/a",'P&amp;L'!D24/'P&amp;L'!D5)</f>
        <v>0.149640824618045</v>
      </c>
    </row>
    <row r="21" customFormat="false" ht="15" hidden="false" customHeight="false" outlineLevel="0" collapsed="false">
      <c r="A21" s="52" t="s">
        <v>225</v>
      </c>
      <c r="B21" s="86" t="n">
        <f aca="false">IF('Balance Sheet'!B9&lt;=0,"n/a",'P&amp;L'!B5/'Balance Sheet'!B9)</f>
        <v>3.08912327650452</v>
      </c>
      <c r="C21" s="86" t="n">
        <f aca="false">IF('Balance Sheet'!C9&lt;=0,"n/a",'P&amp;L'!C5/'Balance Sheet'!C9)</f>
        <v>2.58763066204496</v>
      </c>
      <c r="D21" s="86" t="n">
        <f aca="false">IF('Balance Sheet'!D9&lt;=0,"n/a",'P&amp;L'!D5/'Balance Sheet'!D9)</f>
        <v>2.16925235671585</v>
      </c>
    </row>
    <row r="22" customFormat="false" ht="15" hidden="false" customHeight="false" outlineLevel="0" collapsed="false">
      <c r="A22" s="52" t="s">
        <v>226</v>
      </c>
      <c r="B22" s="86" t="n">
        <f aca="false">IF('Balance Sheet'!B15&lt;=0,"n/a",'Balance Sheet'!B9/'Balance Sheet'!B15)</f>
        <v>1.89211355849097</v>
      </c>
      <c r="C22" s="86" t="n">
        <f aca="false">IF('Balance Sheet'!C15&lt;=0,"n/a",'Balance Sheet'!C9/'Balance Sheet'!C15)</f>
        <v>1.39450471423945</v>
      </c>
      <c r="D22" s="86" t="n">
        <f aca="false">IF('Balance Sheet'!D15&lt;=0,"n/a",'Balance Sheet'!D9/'Balance Sheet'!D15)</f>
        <v>1.19829881605681</v>
      </c>
    </row>
    <row r="23" customFormat="false" ht="15" hidden="false" customHeight="false" outlineLevel="0" collapsed="false">
      <c r="A23" s="41" t="s">
        <v>227</v>
      </c>
      <c r="B23" s="88" t="n">
        <f aca="false">IF(AND(ISNUMBER(B20),ISNUMBER(B21),ISNUMBER(B22)),B20*B21*B22,"n/a")</f>
        <v>0.658194766447123</v>
      </c>
      <c r="C23" s="88" t="n">
        <f aca="false">IF(AND(ISNUMBER(C20),ISNUMBER(C21),ISNUMBER(C22)),C20*C21*C22,"n/a")</f>
        <v>0.476201791364141</v>
      </c>
      <c r="D23" s="88" t="n">
        <f aca="false">IF(AND(ISNUMBER(D20),ISNUMBER(D21),ISNUMBER(D22)),D20*D21*D22,"n/a")</f>
        <v>0.388978234628554</v>
      </c>
    </row>
    <row r="24" customFormat="false" ht="15" hidden="false" customHeight="false" outlineLevel="0" collapsed="false">
      <c r="A24" s="21" t="s">
        <v>228</v>
      </c>
      <c r="B24" s="40" t="n">
        <f aca="false">IF(AND(ISNUMBER(B23),ISNUMBER(B16)),B23-B16,IF(ISNUMBER(B23),1,IF(AND(ISNUMBER(B16),ISNUMBER(B20),ISNUMBER(B21)),1,0)))</f>
        <v>0</v>
      </c>
      <c r="C24" s="40" t="n">
        <f aca="false">IF(AND(ISNUMBER(C23),ISNUMBER(C16)),C23-C16,IF(ISNUMBER(C23),1,IF(AND(ISNUMBER(C16),ISNUMBER(C20),ISNUMBER(C21)),1,0)))</f>
        <v>0</v>
      </c>
      <c r="D24" s="40" t="n">
        <f aca="false">IF(AND(ISNUMBER(D23),ISNUMBER(D16)),D23-D16,IF(ISNUMBER(D23),1,IF(AND(ISNUMBER(D16),ISNUMBER(D20),ISNUMBER(D21)),1,0)))</f>
        <v>0</v>
      </c>
    </row>
    <row r="26" customFormat="false" ht="15.75" hidden="false" customHeight="true" outlineLevel="0" collapsed="false">
      <c r="A26" s="7" t="s">
        <v>229</v>
      </c>
      <c r="B26" s="7"/>
      <c r="C26" s="7"/>
      <c r="D26" s="7"/>
      <c r="E26" s="7"/>
    </row>
    <row r="27" customFormat="false" ht="15" hidden="false" customHeight="false" outlineLevel="0" collapsed="false">
      <c r="A27" s="72" t="s">
        <v>153</v>
      </c>
      <c r="B27" s="72" t="n">
        <v>1</v>
      </c>
      <c r="C27" s="72" t="n">
        <v>2</v>
      </c>
      <c r="D27" s="72" t="n">
        <v>3</v>
      </c>
    </row>
    <row r="28" customFormat="false" ht="15" hidden="false" customHeight="false" outlineLevel="0" collapsed="false">
      <c r="A28" s="33"/>
      <c r="B28" s="35" t="s">
        <v>154</v>
      </c>
      <c r="C28" s="35" t="s">
        <v>155</v>
      </c>
      <c r="D28" s="35" t="s">
        <v>156</v>
      </c>
      <c r="E28" s="35" t="s">
        <v>215</v>
      </c>
    </row>
    <row r="29" customFormat="false" ht="15" hidden="false" customHeight="false" outlineLevel="0" collapsed="false">
      <c r="A29" s="4" t="s">
        <v>230</v>
      </c>
      <c r="B29" s="89" t="n">
        <f aca="false">INDEX(Monthly!$C$8:$AL$8,B$27*12)</f>
        <v>7</v>
      </c>
      <c r="C29" s="89" t="n">
        <f aca="false">INDEX(Monthly!$C$8:$AL$8,C$27*12)</f>
        <v>7.84</v>
      </c>
      <c r="D29" s="89" t="n">
        <f aca="false">INDEX(Monthly!$C$8:$AL$8,D$27*12)</f>
        <v>8.7808</v>
      </c>
      <c r="E29" s="90"/>
    </row>
    <row r="30" customFormat="false" ht="15" hidden="false" customHeight="false" outlineLevel="0" collapsed="false">
      <c r="A30" s="6" t="s">
        <v>231</v>
      </c>
      <c r="B30" s="91" t="n">
        <f aca="false">SUMIF(Monthly!$C$5:$AL$5,B$27,Monthly!$C$9:$AL$9)</f>
        <v>4410</v>
      </c>
      <c r="C30" s="91" t="n">
        <f aca="false">SUMIF(Monthly!$C$5:$AL$5,C$27,Monthly!$C$9:$AL$9)</f>
        <v>4939.2</v>
      </c>
      <c r="D30" s="91" t="n">
        <f aca="false">SUMIF(Monthly!$C$5:$AL$5,D$27,Monthly!$C$9:$AL$9)</f>
        <v>5531.904</v>
      </c>
      <c r="E30" s="92"/>
    </row>
    <row r="31" customFormat="false" ht="15" hidden="false" customHeight="false" outlineLevel="0" collapsed="false">
      <c r="A31" s="6" t="s">
        <v>232</v>
      </c>
      <c r="B31" s="91" t="n">
        <f aca="false">SUMIF(Monthly!$C$5:$AL$5,B$27,Monthly!$C$14:$AL$14)</f>
        <v>3732</v>
      </c>
      <c r="C31" s="91" t="n">
        <f aca="false">SUMIF(Monthly!$C$5:$AL$5,C$27,Monthly!$C$14:$AL$14)</f>
        <v>4291.8</v>
      </c>
      <c r="D31" s="91" t="n">
        <f aca="false">SUMIF(Monthly!$C$5:$AL$5,D$27,Monthly!$C$14:$AL$14)</f>
        <v>4935.57</v>
      </c>
      <c r="E31" s="92"/>
    </row>
    <row r="32" customFormat="false" ht="15" hidden="false" customHeight="false" outlineLevel="0" collapsed="false">
      <c r="A32" s="4" t="s">
        <v>58</v>
      </c>
      <c r="B32" s="93" t="n">
        <f aca="false">SUMIF(Monthly!$C$5:$AL$5,B$27,Monthly!$C$15:$AL$15)</f>
        <v>3668.25</v>
      </c>
      <c r="C32" s="93" t="n">
        <f aca="false">SUMIF(Monthly!$C$5:$AL$5,C$27,Monthly!$C$15:$AL$15)</f>
        <v>4185.4125</v>
      </c>
      <c r="D32" s="93" t="n">
        <f aca="false">SUMIF(Monthly!$C$5:$AL$5,D$27,Monthly!$C$15:$AL$15)</f>
        <v>4776.180375</v>
      </c>
      <c r="E32" s="92"/>
    </row>
    <row r="33" customFormat="false" ht="15" hidden="false" customHeight="false" outlineLevel="0" collapsed="false">
      <c r="A33" s="39" t="s">
        <v>233</v>
      </c>
      <c r="B33" s="94" t="n">
        <f aca="false">IF(B30=0,0,B32/B30)</f>
        <v>0.831802721088435</v>
      </c>
      <c r="C33" s="94" t="n">
        <f aca="false">IF(C30=0,0,C32/C30)</f>
        <v>0.847386722546161</v>
      </c>
      <c r="D33" s="94" t="n">
        <f aca="false">IF(D30=0,0,D32/D30)</f>
        <v>0.863388152614362</v>
      </c>
      <c r="E33" s="95"/>
    </row>
    <row r="34" customFormat="false" ht="15" hidden="false" customHeight="false" outlineLevel="0" collapsed="false">
      <c r="A34" s="6" t="s">
        <v>234</v>
      </c>
      <c r="B34" s="91" t="n">
        <f aca="false">B31-B32</f>
        <v>63.75</v>
      </c>
      <c r="C34" s="91" t="n">
        <f aca="false">C31-C32</f>
        <v>106.3875</v>
      </c>
      <c r="D34" s="91" t="n">
        <f aca="false">D31-D32</f>
        <v>159.389625</v>
      </c>
      <c r="E34" s="92"/>
    </row>
    <row r="35" customFormat="false" ht="15" hidden="false" customHeight="false" outlineLevel="0" collapsed="false">
      <c r="A35" s="6" t="s">
        <v>235</v>
      </c>
      <c r="B35" s="91" t="n">
        <f aca="false">SUMIF(Monthly!$C$5:$AL$5,B$27,Monthly!$C$12:$AL$12)</f>
        <v>972</v>
      </c>
      <c r="C35" s="91" t="n">
        <f aca="false">SUMIF(Monthly!$C$5:$AL$5,C$27,Monthly!$C$12:$AL$12)</f>
        <v>1117.8</v>
      </c>
      <c r="D35" s="91" t="n">
        <f aca="false">SUMIF(Monthly!$C$5:$AL$5,D$27,Monthly!$C$12:$AL$12)</f>
        <v>1285.47</v>
      </c>
      <c r="E35" s="92"/>
    </row>
    <row r="36" customFormat="false" ht="15" hidden="false" customHeight="false" outlineLevel="0" collapsed="false">
      <c r="A36" s="6" t="s">
        <v>236</v>
      </c>
      <c r="B36" s="36" t="n">
        <f aca="false">-SUMIF(Monthly!$C$5:$AL$5,B$27,Monthly!$C$34:$AL$34)</f>
        <v>108000</v>
      </c>
      <c r="C36" s="36" t="n">
        <f aca="false">-SUMIF(Monthly!$C$5:$AL$5,C$27,Monthly!$C$34:$AL$34)</f>
        <v>124200</v>
      </c>
      <c r="D36" s="36" t="n">
        <f aca="false">-SUMIF(Monthly!$C$5:$AL$5,D$27,Monthly!$C$34:$AL$34)</f>
        <v>142830</v>
      </c>
      <c r="E36" s="96"/>
    </row>
    <row r="37" customFormat="false" ht="15" hidden="false" customHeight="false" outlineLevel="0" collapsed="false">
      <c r="A37" s="6" t="s">
        <v>237</v>
      </c>
      <c r="B37" s="97" t="n">
        <f aca="false">IF(B35=0,0,B36/B35)</f>
        <v>111.111111111111</v>
      </c>
      <c r="C37" s="97" t="n">
        <f aca="false">IF(C35=0,0,C36/C35)</f>
        <v>111.111111111111</v>
      </c>
      <c r="D37" s="97" t="n">
        <f aca="false">IF(D35=0,0,D36/D35)</f>
        <v>111.111111111111</v>
      </c>
      <c r="E37" s="98"/>
    </row>
    <row r="38" customFormat="false" ht="15" hidden="false" customHeight="false" outlineLevel="0" collapsed="false">
      <c r="A38" s="4" t="s">
        <v>44</v>
      </c>
      <c r="B38" s="99" t="n">
        <f aca="false">SUMIF(Monthly!$C$5:$AL$5,B$27,Monthly!$C$22:$AL$22)</f>
        <v>1710030</v>
      </c>
      <c r="C38" s="99" t="n">
        <f aca="false">SUMIF(Monthly!$C$5:$AL$5,C$27,Monthly!$C$22:$AL$22)</f>
        <v>2015484.945</v>
      </c>
      <c r="D38" s="99" t="n">
        <f aca="false">SUMIF(Monthly!$C$5:$AL$5,D$27,Monthly!$C$22:$AL$22)</f>
        <v>2376160.7103285</v>
      </c>
      <c r="E38" s="96"/>
    </row>
    <row r="39" customFormat="false" ht="15" hidden="false" customHeight="false" outlineLevel="0" collapsed="false">
      <c r="A39" s="6" t="s">
        <v>238</v>
      </c>
      <c r="B39" s="36" t="n">
        <f aca="false">SUMIF(Monthly!$C$5:$AL$5,B$27,Monthly!$C$19:$AL$19)</f>
        <v>1614030</v>
      </c>
      <c r="C39" s="36" t="n">
        <f aca="false">SUMIF(Monthly!$C$5:$AL$5,C$27,Monthly!$C$19:$AL$19)</f>
        <v>1896828.945</v>
      </c>
      <c r="D39" s="36" t="n">
        <f aca="false">SUMIF(Monthly!$C$5:$AL$5,D$27,Monthly!$C$19:$AL$19)</f>
        <v>2229501.8943285</v>
      </c>
      <c r="E39" s="96"/>
    </row>
    <row r="40" customFormat="false" ht="15" hidden="false" customHeight="false" outlineLevel="0" collapsed="false">
      <c r="A40" s="6" t="s">
        <v>239</v>
      </c>
      <c r="B40" s="97" t="n">
        <f aca="false">IF(B32=0,0,B39/B32)</f>
        <v>440</v>
      </c>
      <c r="C40" s="97" t="n">
        <f aca="false">IF(C32=0,0,C39/C32)</f>
        <v>453.2</v>
      </c>
      <c r="D40" s="97" t="n">
        <f aca="false">IF(D32=0,0,D39/D32)</f>
        <v>466.796</v>
      </c>
      <c r="E40" s="98"/>
    </row>
    <row r="41" customFormat="false" ht="15" hidden="false" customHeight="false" outlineLevel="0" collapsed="false">
      <c r="A41" s="6" t="s">
        <v>240</v>
      </c>
      <c r="B41" s="36" t="n">
        <f aca="false">IF(B29=0,0,B38/B29)</f>
        <v>244290</v>
      </c>
      <c r="C41" s="36" t="n">
        <f aca="false">IF(C29=0,0,C38/C29)</f>
        <v>257077.161352041</v>
      </c>
      <c r="D41" s="36" t="n">
        <f aca="false">IF(D29=0,0,D38/D29)</f>
        <v>270608.681478738</v>
      </c>
      <c r="E41" s="96"/>
    </row>
    <row r="42" customFormat="false" ht="15" hidden="false" customHeight="false" outlineLevel="0" collapsed="false">
      <c r="A42" s="6" t="s">
        <v>241</v>
      </c>
      <c r="B42" s="91" t="n">
        <f aca="false">INDEX(Monthly!$C$20:$AL$20,B$27*12)</f>
        <v>400</v>
      </c>
      <c r="C42" s="91" t="n">
        <f aca="false">INDEX(Monthly!$C$20:$AL$20,C$27*12)</f>
        <v>480</v>
      </c>
      <c r="D42" s="91" t="n">
        <f aca="false">INDEX(Monthly!$C$20:$AL$20,D$27*12)</f>
        <v>576</v>
      </c>
      <c r="E42" s="92"/>
    </row>
    <row r="43" customFormat="false" ht="15" hidden="false" customHeight="false" outlineLevel="0" collapsed="false">
      <c r="A43" s="6" t="s">
        <v>242</v>
      </c>
      <c r="B43" s="36" t="n">
        <f aca="false">SUMIF(Monthly!$C$5:$AL$5,B$27,Monthly!$C$21:$AL$21)</f>
        <v>96000</v>
      </c>
      <c r="C43" s="36" t="n">
        <f aca="false">SUMIF(Monthly!$C$5:$AL$5,C$27,Monthly!$C$21:$AL$21)</f>
        <v>118656</v>
      </c>
      <c r="D43" s="36" t="n">
        <f aca="false">SUMIF(Monthly!$C$5:$AL$5,D$27,Monthly!$C$21:$AL$21)</f>
        <v>146658.816</v>
      </c>
      <c r="E43" s="96"/>
    </row>
    <row r="44" customFormat="false" ht="15" hidden="false" customHeight="false" outlineLevel="0" collapsed="false">
      <c r="A44" s="39" t="s">
        <v>243</v>
      </c>
      <c r="B44" s="94" t="n">
        <f aca="false">IF(B38=0,0,B43/B38)</f>
        <v>0.0561393659760355</v>
      </c>
      <c r="C44" s="94" t="n">
        <f aca="false">IF(C38=0,0,C43/C38)</f>
        <v>0.0588721837364059</v>
      </c>
      <c r="D44" s="94" t="n">
        <f aca="false">IF(D38=0,0,D43/D38)</f>
        <v>0.0617209161663668</v>
      </c>
      <c r="E44" s="95"/>
    </row>
    <row r="45" customFormat="false" ht="15" hidden="false" customHeight="false" outlineLevel="0" collapsed="false">
      <c r="A45" s="6" t="s">
        <v>45</v>
      </c>
      <c r="B45" s="36" t="n">
        <f aca="false">SUMIF(Monthly!$C$5:$AL$5,B$27,Monthly!$C$30:$AL$30)</f>
        <v>659822.5</v>
      </c>
      <c r="C45" s="36" t="n">
        <f aca="false">SUMIF(Monthly!$C$5:$AL$5,C$27,Monthly!$C$30:$AL$30)</f>
        <v>795749.54875</v>
      </c>
      <c r="D45" s="36" t="n">
        <f aca="false">SUMIF(Monthly!$C$5:$AL$5,D$27,Monthly!$C$30:$AL$30)</f>
        <v>958942.464010375</v>
      </c>
      <c r="E45" s="96"/>
    </row>
    <row r="46" customFormat="false" ht="15" hidden="false" customHeight="false" outlineLevel="0" collapsed="false">
      <c r="A46" s="39" t="s">
        <v>46</v>
      </c>
      <c r="B46" s="94" t="n">
        <f aca="false">IF(B38=0,0,B45/B38)</f>
        <v>0.385854341736695</v>
      </c>
      <c r="C46" s="94" t="n">
        <f aca="false">IF(C38=0,0,C45/C38)</f>
        <v>0.394817907583031</v>
      </c>
      <c r="D46" s="94" t="n">
        <f aca="false">IF(D38=0,0,D45/D38)</f>
        <v>0.403568016187677</v>
      </c>
      <c r="E46" s="95"/>
    </row>
    <row r="47" customFormat="false" ht="15" hidden="false" customHeight="false" outlineLevel="0" collapsed="false">
      <c r="A47" s="6" t="s">
        <v>244</v>
      </c>
      <c r="B47" s="97" t="n">
        <f aca="false">IF(B32=0,0,B45/B32)</f>
        <v>179.873918080829</v>
      </c>
      <c r="C47" s="97" t="n">
        <f aca="false">IF(C32=0,0,C45/C32)</f>
        <v>190.124521477871</v>
      </c>
      <c r="D47" s="97" t="n">
        <f aca="false">IF(D32=0,0,D45/D32)</f>
        <v>200.776015292424</v>
      </c>
      <c r="E47" s="98"/>
    </row>
    <row r="48" customFormat="false" ht="15" hidden="false" customHeight="false" outlineLevel="0" collapsed="false">
      <c r="A48" s="6" t="s">
        <v>48</v>
      </c>
      <c r="B48" s="36" t="n">
        <f aca="false">SUMIF(Monthly!$C$5:$AL$5,B$27,Monthly!$C$41:$AL$41)</f>
        <v>266071.69</v>
      </c>
      <c r="C48" s="36" t="n">
        <f aca="false">SUMIF(Monthly!$C$5:$AL$5,C$27,Monthly!$C$41:$AL$41)</f>
        <v>362576.355235</v>
      </c>
      <c r="D48" s="36" t="n">
        <f aca="false">SUMIF(Monthly!$C$5:$AL$5,D$27,Monthly!$C$41:$AL$41)</f>
        <v>480449.961331505</v>
      </c>
      <c r="E48" s="96"/>
    </row>
    <row r="49" customFormat="false" ht="15" hidden="false" customHeight="false" outlineLevel="0" collapsed="false">
      <c r="A49" s="39" t="s">
        <v>49</v>
      </c>
      <c r="B49" s="94" t="n">
        <f aca="false">IF(B38=0,0,B48/B38)</f>
        <v>0.155594749799711</v>
      </c>
      <c r="C49" s="94" t="n">
        <f aca="false">IF(C38=0,0,C48/C38)</f>
        <v>0.179895342872432</v>
      </c>
      <c r="D49" s="94" t="n">
        <f aca="false">IF(D38=0,0,D48/D38)</f>
        <v>0.202195903350781</v>
      </c>
      <c r="E49" s="95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246</v>
      </c>
    </row>
    <row r="5" customFormat="false" ht="15" hidden="false" customHeight="false" outlineLevel="0" collapsed="false">
      <c r="A5" s="33" t="s">
        <v>103</v>
      </c>
      <c r="B5" s="35" t="s">
        <v>104</v>
      </c>
      <c r="C5" s="35" t="s">
        <v>105</v>
      </c>
      <c r="D5" s="35" t="s">
        <v>106</v>
      </c>
      <c r="E5" s="35" t="s">
        <v>107</v>
      </c>
      <c r="F5" s="33" t="s">
        <v>247</v>
      </c>
      <c r="G5" s="33" t="s">
        <v>248</v>
      </c>
    </row>
    <row r="6" customFormat="false" ht="15.75" hidden="false" customHeight="true" outlineLevel="0" collapsed="false">
      <c r="A6" s="7" t="s">
        <v>249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250</v>
      </c>
      <c r="B7" s="100" t="n">
        <v>2.35</v>
      </c>
      <c r="C7" s="100" t="n">
        <v>2.5</v>
      </c>
      <c r="D7" s="100" t="n">
        <v>2.65</v>
      </c>
      <c r="E7" s="101" t="n">
        <f aca="false">CHOOSE(Dashboard!$B$4,B7,C7,D7)</f>
        <v>2.5</v>
      </c>
      <c r="F7" s="39" t="s">
        <v>251</v>
      </c>
      <c r="G7" s="102" t="s">
        <v>252</v>
      </c>
    </row>
    <row r="8" customFormat="false" ht="15" hidden="false" customHeight="false" outlineLevel="0" collapsed="false">
      <c r="A8" s="6" t="s">
        <v>253</v>
      </c>
      <c r="B8" s="103" t="n">
        <v>21</v>
      </c>
      <c r="C8" s="103" t="n">
        <v>21</v>
      </c>
      <c r="D8" s="103" t="n">
        <v>21</v>
      </c>
      <c r="E8" s="104" t="n">
        <f aca="false">CHOOSE(Dashboard!$B$4,B8,C8,D8)</f>
        <v>21</v>
      </c>
      <c r="F8" s="39" t="s">
        <v>254</v>
      </c>
      <c r="G8" s="102"/>
    </row>
    <row r="10" customFormat="false" ht="15.75" hidden="false" customHeight="true" outlineLevel="0" collapsed="false">
      <c r="A10" s="7" t="s">
        <v>255</v>
      </c>
      <c r="B10" s="7"/>
      <c r="C10" s="7"/>
      <c r="D10" s="7"/>
      <c r="E10" s="7"/>
      <c r="F10" s="7"/>
      <c r="G10" s="7"/>
    </row>
    <row r="11" customFormat="false" ht="15" hidden="false" customHeight="false" outlineLevel="0" collapsed="false">
      <c r="A11" s="6" t="s">
        <v>256</v>
      </c>
      <c r="B11" s="105" t="n">
        <v>9000</v>
      </c>
      <c r="C11" s="105" t="n">
        <v>9000</v>
      </c>
      <c r="D11" s="105" t="n">
        <v>9000</v>
      </c>
      <c r="E11" s="106" t="n">
        <f aca="false">CHOOSE(Dashboard!$B$4,B11,C11,D11)</f>
        <v>9000</v>
      </c>
      <c r="F11" s="39" t="s">
        <v>257</v>
      </c>
      <c r="G11" s="102"/>
    </row>
    <row r="12" customFormat="false" ht="15" hidden="false" customHeight="false" outlineLevel="0" collapsed="false">
      <c r="A12" s="6" t="s">
        <v>258</v>
      </c>
      <c r="B12" s="107" t="n">
        <v>0.12</v>
      </c>
      <c r="C12" s="107" t="n">
        <v>0.15</v>
      </c>
      <c r="D12" s="107" t="n">
        <v>0.18</v>
      </c>
      <c r="E12" s="108" t="n">
        <f aca="false">CHOOSE(Dashboard!$B$4,B12,C12,D12)</f>
        <v>0.15</v>
      </c>
      <c r="F12" s="39" t="s">
        <v>259</v>
      </c>
      <c r="G12" s="102" t="s">
        <v>252</v>
      </c>
    </row>
    <row r="13" customFormat="false" ht="15" hidden="false" customHeight="false" outlineLevel="0" collapsed="false">
      <c r="A13" s="6" t="s">
        <v>260</v>
      </c>
      <c r="B13" s="109" t="n">
        <v>52</v>
      </c>
      <c r="C13" s="109" t="n">
        <v>50</v>
      </c>
      <c r="D13" s="109" t="n">
        <v>48</v>
      </c>
      <c r="E13" s="110" t="n">
        <f aca="false">CHOOSE(Dashboard!$B$4,B13,C13,D13)</f>
        <v>50</v>
      </c>
      <c r="F13" s="39" t="s">
        <v>257</v>
      </c>
      <c r="G13" s="102" t="s">
        <v>261</v>
      </c>
    </row>
    <row r="14" customFormat="false" ht="15" hidden="false" customHeight="false" outlineLevel="0" collapsed="false">
      <c r="A14" s="6" t="s">
        <v>262</v>
      </c>
      <c r="B14" s="107" t="n">
        <v>0.42</v>
      </c>
      <c r="C14" s="107" t="n">
        <v>0.45</v>
      </c>
      <c r="D14" s="107" t="n">
        <v>0.48</v>
      </c>
      <c r="E14" s="108" t="n">
        <f aca="false">CHOOSE(Dashboard!$B$4,B14,C14,D14)</f>
        <v>0.45</v>
      </c>
      <c r="F14" s="39" t="s">
        <v>259</v>
      </c>
      <c r="G14" s="102" t="s">
        <v>252</v>
      </c>
    </row>
    <row r="15" customFormat="false" ht="15" hidden="false" customHeight="false" outlineLevel="0" collapsed="false">
      <c r="A15" s="6" t="s">
        <v>263</v>
      </c>
      <c r="B15" s="100" t="n">
        <v>190</v>
      </c>
      <c r="C15" s="100" t="n">
        <v>230</v>
      </c>
      <c r="D15" s="100" t="n">
        <v>270</v>
      </c>
      <c r="E15" s="101" t="n">
        <f aca="false">CHOOSE(Dashboard!$B$4,B15,C15,D15)</f>
        <v>230</v>
      </c>
      <c r="F15" s="39" t="s">
        <v>251</v>
      </c>
      <c r="G15" s="102" t="s">
        <v>252</v>
      </c>
    </row>
    <row r="16" customFormat="false" ht="15" hidden="false" customHeight="false" outlineLevel="0" collapsed="false">
      <c r="A16" s="6" t="s">
        <v>264</v>
      </c>
      <c r="B16" s="107" t="n">
        <v>0.12</v>
      </c>
      <c r="C16" s="107" t="n">
        <v>0.15</v>
      </c>
      <c r="D16" s="107" t="n">
        <v>0.18</v>
      </c>
      <c r="E16" s="108" t="n">
        <f aca="false">CHOOSE(Dashboard!$B$4,B16,C16,D16)</f>
        <v>0.15</v>
      </c>
      <c r="F16" s="39" t="s">
        <v>259</v>
      </c>
      <c r="G16" s="102" t="s">
        <v>252</v>
      </c>
    </row>
    <row r="17" customFormat="false" ht="15" hidden="false" customHeight="false" outlineLevel="0" collapsed="false">
      <c r="A17" s="6" t="s">
        <v>265</v>
      </c>
      <c r="B17" s="107" t="n">
        <v>0.25</v>
      </c>
      <c r="C17" s="107" t="n">
        <v>0.25</v>
      </c>
      <c r="D17" s="107" t="n">
        <v>0.25</v>
      </c>
      <c r="E17" s="108" t="n">
        <f aca="false">CHOOSE(Dashboard!$B$4,B17,C17,D17)</f>
        <v>0.25</v>
      </c>
      <c r="F17" s="39" t="s">
        <v>259</v>
      </c>
      <c r="G17" s="102"/>
    </row>
    <row r="19" customFormat="false" ht="15.75" hidden="false" customHeight="true" outlineLevel="0" collapsed="false">
      <c r="A19" s="7" t="s">
        <v>266</v>
      </c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6" t="s">
        <v>267</v>
      </c>
      <c r="B20" s="109" t="n">
        <v>415</v>
      </c>
      <c r="C20" s="109" t="n">
        <v>440</v>
      </c>
      <c r="D20" s="109" t="n">
        <v>465</v>
      </c>
      <c r="E20" s="110" t="n">
        <f aca="false">CHOOSE(Dashboard!$B$4,B20,C20,D20)</f>
        <v>440</v>
      </c>
      <c r="F20" s="39" t="s">
        <v>257</v>
      </c>
      <c r="G20" s="102" t="s">
        <v>252</v>
      </c>
    </row>
    <row r="21" customFormat="false" ht="15" hidden="false" customHeight="false" outlineLevel="0" collapsed="false">
      <c r="A21" s="6" t="s">
        <v>268</v>
      </c>
      <c r="B21" s="107" t="n">
        <v>0.02</v>
      </c>
      <c r="C21" s="107" t="n">
        <v>0.03</v>
      </c>
      <c r="D21" s="107" t="n">
        <v>0.04</v>
      </c>
      <c r="E21" s="108" t="n">
        <f aca="false">CHOOSE(Dashboard!$B$4,B21,C21,D21)</f>
        <v>0.03</v>
      </c>
      <c r="F21" s="39" t="s">
        <v>259</v>
      </c>
      <c r="G21" s="102" t="s">
        <v>252</v>
      </c>
    </row>
    <row r="23" customFormat="false" ht="15.75" hidden="false" customHeight="true" outlineLevel="0" collapsed="false">
      <c r="A23" s="7" t="s">
        <v>269</v>
      </c>
      <c r="B23" s="7"/>
      <c r="C23" s="7"/>
      <c r="D23" s="7"/>
      <c r="E23" s="7"/>
      <c r="F23" s="7"/>
      <c r="G23" s="7"/>
    </row>
    <row r="24" customFormat="false" ht="15" hidden="false" customHeight="false" outlineLevel="0" collapsed="false">
      <c r="A24" s="6" t="s">
        <v>270</v>
      </c>
      <c r="B24" s="103" t="n">
        <v>300</v>
      </c>
      <c r="C24" s="103" t="n">
        <v>400</v>
      </c>
      <c r="D24" s="103" t="n">
        <v>500</v>
      </c>
      <c r="E24" s="104" t="n">
        <f aca="false">CHOOSE(Dashboard!$B$4,B24,C24,D24)</f>
        <v>400</v>
      </c>
      <c r="F24" s="39" t="s">
        <v>271</v>
      </c>
      <c r="G24" s="102" t="s">
        <v>252</v>
      </c>
    </row>
    <row r="25" customFormat="false" ht="15" hidden="false" customHeight="false" outlineLevel="0" collapsed="false">
      <c r="A25" s="6" t="s">
        <v>272</v>
      </c>
      <c r="B25" s="107" t="n">
        <v>0.15</v>
      </c>
      <c r="C25" s="107" t="n">
        <v>0.2</v>
      </c>
      <c r="D25" s="107" t="n">
        <v>0.25</v>
      </c>
      <c r="E25" s="108" t="n">
        <f aca="false">CHOOSE(Dashboard!$B$4,B25,C25,D25)</f>
        <v>0.2</v>
      </c>
      <c r="F25" s="39" t="s">
        <v>259</v>
      </c>
      <c r="G25" s="102" t="s">
        <v>252</v>
      </c>
    </row>
    <row r="26" customFormat="false" ht="15" hidden="false" customHeight="false" outlineLevel="0" collapsed="false">
      <c r="A26" s="6" t="s">
        <v>273</v>
      </c>
      <c r="B26" s="109" t="n">
        <v>18</v>
      </c>
      <c r="C26" s="109" t="n">
        <v>20</v>
      </c>
      <c r="D26" s="109" t="n">
        <v>22</v>
      </c>
      <c r="E26" s="110" t="n">
        <f aca="false">CHOOSE(Dashboard!$B$4,B26,C26,D26)</f>
        <v>20</v>
      </c>
      <c r="F26" s="39" t="s">
        <v>257</v>
      </c>
      <c r="G26" s="102" t="s">
        <v>252</v>
      </c>
    </row>
    <row r="27" customFormat="false" ht="15" hidden="false" customHeight="false" outlineLevel="0" collapsed="false">
      <c r="A27" s="6" t="s">
        <v>274</v>
      </c>
      <c r="B27" s="107" t="n">
        <v>0.42</v>
      </c>
      <c r="C27" s="107" t="n">
        <v>0.4</v>
      </c>
      <c r="D27" s="107" t="n">
        <v>0.38</v>
      </c>
      <c r="E27" s="108" t="n">
        <f aca="false">CHOOSE(Dashboard!$B$4,B27,C27,D27)</f>
        <v>0.4</v>
      </c>
      <c r="F27" s="39" t="s">
        <v>259</v>
      </c>
      <c r="G27" s="102" t="s">
        <v>261</v>
      </c>
    </row>
    <row r="29" customFormat="false" ht="15.75" hidden="false" customHeight="true" outlineLevel="0" collapsed="false">
      <c r="A29" s="7" t="s">
        <v>275</v>
      </c>
      <c r="B29" s="7"/>
      <c r="C29" s="7"/>
      <c r="D29" s="7"/>
      <c r="E29" s="7"/>
      <c r="F29" s="7"/>
      <c r="G29" s="7"/>
    </row>
    <row r="30" customFormat="false" ht="15" hidden="false" customHeight="false" outlineLevel="0" collapsed="false">
      <c r="A30" s="6" t="s">
        <v>276</v>
      </c>
      <c r="B30" s="107" t="n">
        <v>0.26</v>
      </c>
      <c r="C30" s="107" t="n">
        <v>0.25</v>
      </c>
      <c r="D30" s="107" t="n">
        <v>0.24</v>
      </c>
      <c r="E30" s="108" t="n">
        <f aca="false">CHOOSE(Dashboard!$B$4,B30,C30,D30)</f>
        <v>0.25</v>
      </c>
      <c r="F30" s="39" t="s">
        <v>259</v>
      </c>
      <c r="G30" s="102" t="s">
        <v>261</v>
      </c>
    </row>
    <row r="31" customFormat="false" ht="15" hidden="false" customHeight="false" outlineLevel="0" collapsed="false">
      <c r="A31" s="6" t="s">
        <v>277</v>
      </c>
      <c r="B31" s="105" t="n">
        <v>1350</v>
      </c>
      <c r="C31" s="105" t="n">
        <v>1300</v>
      </c>
      <c r="D31" s="105" t="n">
        <v>1250</v>
      </c>
      <c r="E31" s="106" t="n">
        <f aca="false">CHOOSE(Dashboard!$B$4,B31,C31,D31)</f>
        <v>1300</v>
      </c>
      <c r="F31" s="39" t="s">
        <v>257</v>
      </c>
      <c r="G31" s="102" t="s">
        <v>261</v>
      </c>
    </row>
    <row r="32" customFormat="false" ht="15" hidden="false" customHeight="false" outlineLevel="0" collapsed="false">
      <c r="A32" s="6" t="s">
        <v>278</v>
      </c>
      <c r="B32" s="105" t="n">
        <v>120</v>
      </c>
      <c r="C32" s="105" t="n">
        <v>120</v>
      </c>
      <c r="D32" s="105" t="n">
        <v>120</v>
      </c>
      <c r="E32" s="106" t="n">
        <f aca="false">CHOOSE(Dashboard!$B$4,B32,C32,D32)</f>
        <v>120</v>
      </c>
      <c r="F32" s="39" t="s">
        <v>257</v>
      </c>
      <c r="G32" s="102"/>
    </row>
    <row r="33" customFormat="false" ht="15" hidden="false" customHeight="false" outlineLevel="0" collapsed="false">
      <c r="A33" s="6" t="s">
        <v>279</v>
      </c>
      <c r="B33" s="105" t="n">
        <v>3500</v>
      </c>
      <c r="C33" s="105" t="n">
        <v>3500</v>
      </c>
      <c r="D33" s="105" t="n">
        <v>3500</v>
      </c>
      <c r="E33" s="106" t="n">
        <f aca="false">CHOOSE(Dashboard!$B$4,B33,C33,D33)</f>
        <v>3500</v>
      </c>
      <c r="F33" s="39" t="s">
        <v>257</v>
      </c>
      <c r="G33" s="102"/>
    </row>
    <row r="34" customFormat="false" ht="15" hidden="false" customHeight="false" outlineLevel="0" collapsed="false">
      <c r="A34" s="6" t="s">
        <v>280</v>
      </c>
      <c r="B34" s="105" t="n">
        <v>4500</v>
      </c>
      <c r="C34" s="105" t="n">
        <v>4500</v>
      </c>
      <c r="D34" s="105" t="n">
        <v>4500</v>
      </c>
      <c r="E34" s="106" t="n">
        <f aca="false">CHOOSE(Dashboard!$B$4,B34,C34,D34)</f>
        <v>4500</v>
      </c>
      <c r="F34" s="39" t="s">
        <v>257</v>
      </c>
      <c r="G34" s="102"/>
    </row>
    <row r="35" customFormat="false" ht="15" hidden="false" customHeight="false" outlineLevel="0" collapsed="false">
      <c r="A35" s="6" t="s">
        <v>281</v>
      </c>
      <c r="B35" s="105" t="n">
        <v>2500</v>
      </c>
      <c r="C35" s="105" t="n">
        <v>2500</v>
      </c>
      <c r="D35" s="105" t="n">
        <v>2500</v>
      </c>
      <c r="E35" s="106" t="n">
        <f aca="false">CHOOSE(Dashboard!$B$4,B35,C35,D35)</f>
        <v>2500</v>
      </c>
      <c r="F35" s="39" t="s">
        <v>257</v>
      </c>
      <c r="G35" s="102"/>
    </row>
    <row r="36" customFormat="false" ht="15" hidden="false" customHeight="false" outlineLevel="0" collapsed="false">
      <c r="A36" s="6" t="s">
        <v>282</v>
      </c>
      <c r="B36" s="107" t="n">
        <v>0.029</v>
      </c>
      <c r="C36" s="107" t="n">
        <v>0.027</v>
      </c>
      <c r="D36" s="107" t="n">
        <v>0.025</v>
      </c>
      <c r="E36" s="108" t="n">
        <f aca="false">CHOOSE(Dashboard!$B$4,B36,C36,D36)</f>
        <v>0.027</v>
      </c>
      <c r="F36" s="39" t="s">
        <v>259</v>
      </c>
      <c r="G36" s="102" t="s">
        <v>261</v>
      </c>
    </row>
    <row r="37" customFormat="false" ht="15" hidden="false" customHeight="false" outlineLevel="0" collapsed="false">
      <c r="A37" s="6" t="s">
        <v>283</v>
      </c>
      <c r="B37" s="105" t="n">
        <v>20000</v>
      </c>
      <c r="C37" s="105" t="n">
        <v>20000</v>
      </c>
      <c r="D37" s="105" t="n">
        <v>20000</v>
      </c>
      <c r="E37" s="106" t="n">
        <f aca="false">CHOOSE(Dashboard!$B$4,B37,C37,D37)</f>
        <v>20000</v>
      </c>
      <c r="F37" s="39" t="s">
        <v>257</v>
      </c>
      <c r="G37" s="102"/>
    </row>
    <row r="38" customFormat="false" ht="15" hidden="false" customHeight="false" outlineLevel="0" collapsed="false">
      <c r="A38" s="6" t="s">
        <v>284</v>
      </c>
      <c r="B38" s="105" t="n">
        <v>47000</v>
      </c>
      <c r="C38" s="105" t="n">
        <v>45000</v>
      </c>
      <c r="D38" s="105" t="n">
        <v>43000</v>
      </c>
      <c r="E38" s="106" t="n">
        <f aca="false">CHOOSE(Dashboard!$B$4,B38,C38,D38)</f>
        <v>45000</v>
      </c>
      <c r="F38" s="39" t="s">
        <v>257</v>
      </c>
      <c r="G38" s="102" t="s">
        <v>261</v>
      </c>
    </row>
    <row r="39" customFormat="false" ht="15" hidden="false" customHeight="false" outlineLevel="0" collapsed="false">
      <c r="A39" s="6" t="s">
        <v>285</v>
      </c>
      <c r="B39" s="100" t="n">
        <v>7</v>
      </c>
      <c r="C39" s="100" t="n">
        <v>7</v>
      </c>
      <c r="D39" s="100" t="n">
        <v>7</v>
      </c>
      <c r="E39" s="101" t="n">
        <f aca="false">CHOOSE(Dashboard!$B$4,B39,C39,D39)</f>
        <v>7</v>
      </c>
      <c r="F39" s="39" t="s">
        <v>286</v>
      </c>
      <c r="G39" s="102"/>
    </row>
    <row r="41" customFormat="false" ht="15.75" hidden="false" customHeight="true" outlineLevel="0" collapsed="false">
      <c r="A41" s="7" t="s">
        <v>287</v>
      </c>
      <c r="B41" s="7"/>
      <c r="C41" s="7"/>
      <c r="D41" s="7"/>
      <c r="E41" s="7"/>
      <c r="F41" s="7"/>
      <c r="G41" s="7"/>
    </row>
    <row r="42" customFormat="false" ht="15" hidden="false" customHeight="false" outlineLevel="0" collapsed="false">
      <c r="A42" s="6" t="s">
        <v>288</v>
      </c>
      <c r="B42" s="100" t="n">
        <v>7</v>
      </c>
      <c r="C42" s="100" t="n">
        <v>7</v>
      </c>
      <c r="D42" s="100" t="n">
        <v>7</v>
      </c>
      <c r="E42" s="101" t="n">
        <f aca="false">CHOOSE(Dashboard!$B$4,B42,C42,D42)</f>
        <v>7</v>
      </c>
      <c r="F42" s="39" t="s">
        <v>286</v>
      </c>
      <c r="G42" s="102" t="s">
        <v>252</v>
      </c>
    </row>
    <row r="43" customFormat="false" ht="15" hidden="false" customHeight="false" outlineLevel="0" collapsed="false">
      <c r="A43" s="6" t="s">
        <v>289</v>
      </c>
      <c r="B43" s="105" t="n">
        <v>62000</v>
      </c>
      <c r="C43" s="105" t="n">
        <v>62000</v>
      </c>
      <c r="D43" s="105" t="n">
        <v>62000</v>
      </c>
      <c r="E43" s="106" t="n">
        <f aca="false">CHOOSE(Dashboard!$B$4,B43,C43,D43)</f>
        <v>62000</v>
      </c>
      <c r="F43" s="39" t="s">
        <v>257</v>
      </c>
      <c r="G43" s="102"/>
    </row>
    <row r="44" customFormat="false" ht="15" hidden="false" customHeight="false" outlineLevel="0" collapsed="false">
      <c r="A44" s="6" t="s">
        <v>290</v>
      </c>
      <c r="B44" s="107" t="n">
        <v>0.12</v>
      </c>
      <c r="C44" s="107" t="n">
        <v>0.12</v>
      </c>
      <c r="D44" s="107" t="n">
        <v>0.12</v>
      </c>
      <c r="E44" s="108" t="n">
        <f aca="false">CHOOSE(Dashboard!$B$4,B44,C44,D44)</f>
        <v>0.12</v>
      </c>
      <c r="F44" s="39" t="s">
        <v>259</v>
      </c>
      <c r="G44" s="102" t="s">
        <v>252</v>
      </c>
    </row>
    <row r="45" customFormat="false" ht="15" hidden="false" customHeight="false" outlineLevel="0" collapsed="false">
      <c r="A45" s="6" t="s">
        <v>291</v>
      </c>
      <c r="B45" s="103" t="n">
        <v>1</v>
      </c>
      <c r="C45" s="103" t="n">
        <v>1</v>
      </c>
      <c r="D45" s="103" t="n">
        <v>1</v>
      </c>
      <c r="E45" s="104" t="n">
        <f aca="false">CHOOSE(Dashboard!$B$4,B45,C45,D45)</f>
        <v>1</v>
      </c>
      <c r="F45" s="39" t="s">
        <v>292</v>
      </c>
      <c r="G45" s="102"/>
    </row>
    <row r="46" customFormat="false" ht="15" hidden="false" customHeight="false" outlineLevel="0" collapsed="false">
      <c r="A46" s="6" t="s">
        <v>293</v>
      </c>
      <c r="B46" s="100" t="n">
        <v>2</v>
      </c>
      <c r="C46" s="100" t="n">
        <v>2</v>
      </c>
      <c r="D46" s="100" t="n">
        <v>2</v>
      </c>
      <c r="E46" s="101" t="n">
        <f aca="false">CHOOSE(Dashboard!$B$4,B46,C46,D46)</f>
        <v>2</v>
      </c>
      <c r="F46" s="39" t="s">
        <v>286</v>
      </c>
      <c r="G46" s="102" t="s">
        <v>252</v>
      </c>
    </row>
    <row r="47" customFormat="false" ht="15" hidden="false" customHeight="false" outlineLevel="0" collapsed="false">
      <c r="A47" s="6" t="s">
        <v>294</v>
      </c>
      <c r="B47" s="105" t="n">
        <v>45000</v>
      </c>
      <c r="C47" s="105" t="n">
        <v>45000</v>
      </c>
      <c r="D47" s="105" t="n">
        <v>45000</v>
      </c>
      <c r="E47" s="106" t="n">
        <f aca="false">CHOOSE(Dashboard!$B$4,B47,C47,D47)</f>
        <v>45000</v>
      </c>
      <c r="F47" s="39" t="s">
        <v>257</v>
      </c>
      <c r="G47" s="102"/>
    </row>
    <row r="48" customFormat="false" ht="15" hidden="false" customHeight="false" outlineLevel="0" collapsed="false">
      <c r="A48" s="6" t="s">
        <v>295</v>
      </c>
      <c r="B48" s="107" t="n">
        <v>0.1</v>
      </c>
      <c r="C48" s="107" t="n">
        <v>0.1</v>
      </c>
      <c r="D48" s="107" t="n">
        <v>0.1</v>
      </c>
      <c r="E48" s="108" t="n">
        <f aca="false">CHOOSE(Dashboard!$B$4,B48,C48,D48)</f>
        <v>0.1</v>
      </c>
      <c r="F48" s="39" t="s">
        <v>259</v>
      </c>
      <c r="G48" s="102" t="s">
        <v>252</v>
      </c>
    </row>
    <row r="49" customFormat="false" ht="15" hidden="false" customHeight="false" outlineLevel="0" collapsed="false">
      <c r="A49" s="6" t="s">
        <v>296</v>
      </c>
      <c r="B49" s="103" t="n">
        <v>1</v>
      </c>
      <c r="C49" s="103" t="n">
        <v>1</v>
      </c>
      <c r="D49" s="103" t="n">
        <v>1</v>
      </c>
      <c r="E49" s="104" t="n">
        <f aca="false">CHOOSE(Dashboard!$B$4,B49,C49,D49)</f>
        <v>1</v>
      </c>
      <c r="F49" s="39" t="s">
        <v>292</v>
      </c>
      <c r="G49" s="102"/>
    </row>
    <row r="50" customFormat="false" ht="15" hidden="false" customHeight="false" outlineLevel="0" collapsed="false">
      <c r="A50" s="6" t="s">
        <v>297</v>
      </c>
      <c r="B50" s="107" t="n">
        <v>0.15</v>
      </c>
      <c r="C50" s="107" t="n">
        <v>0.15</v>
      </c>
      <c r="D50" s="107" t="n">
        <v>0.15</v>
      </c>
      <c r="E50" s="108" t="n">
        <f aca="false">CHOOSE(Dashboard!$B$4,B50,C50,D50)</f>
        <v>0.15</v>
      </c>
      <c r="F50" s="39" t="s">
        <v>259</v>
      </c>
      <c r="G50" s="102"/>
    </row>
    <row r="51" customFormat="false" ht="15" hidden="false" customHeight="false" outlineLevel="0" collapsed="false">
      <c r="A51" s="6" t="s">
        <v>298</v>
      </c>
      <c r="B51" s="107" t="n">
        <v>0.03</v>
      </c>
      <c r="C51" s="107" t="n">
        <v>0.03</v>
      </c>
      <c r="D51" s="107" t="n">
        <v>0.03</v>
      </c>
      <c r="E51" s="108" t="n">
        <f aca="false">CHOOSE(Dashboard!$B$4,B51,C51,D51)</f>
        <v>0.03</v>
      </c>
      <c r="F51" s="39" t="s">
        <v>259</v>
      </c>
      <c r="G51" s="102"/>
    </row>
    <row r="53" customFormat="false" ht="15.75" hidden="false" customHeight="true" outlineLevel="0" collapsed="false">
      <c r="A53" s="7" t="s">
        <v>299</v>
      </c>
      <c r="B53" s="7"/>
      <c r="C53" s="7"/>
      <c r="D53" s="7"/>
      <c r="E53" s="7"/>
      <c r="F53" s="7"/>
      <c r="G53" s="7"/>
    </row>
    <row r="54" customFormat="false" ht="15" hidden="false" customHeight="false" outlineLevel="0" collapsed="false">
      <c r="A54" s="6" t="s">
        <v>300</v>
      </c>
      <c r="B54" s="105" t="n">
        <v>100000</v>
      </c>
      <c r="C54" s="105" t="n">
        <v>100000</v>
      </c>
      <c r="D54" s="105" t="n">
        <v>100000</v>
      </c>
      <c r="E54" s="106" t="n">
        <f aca="false">CHOOSE(Dashboard!$B$4,B54,C54,D54)</f>
        <v>100000</v>
      </c>
      <c r="F54" s="39" t="s">
        <v>257</v>
      </c>
      <c r="G54" s="102"/>
    </row>
    <row r="55" customFormat="false" ht="15" hidden="false" customHeight="false" outlineLevel="0" collapsed="false">
      <c r="A55" s="6" t="s">
        <v>301</v>
      </c>
      <c r="B55" s="105" t="n">
        <v>250000</v>
      </c>
      <c r="C55" s="105" t="n">
        <v>250000</v>
      </c>
      <c r="D55" s="105" t="n">
        <v>250000</v>
      </c>
      <c r="E55" s="106" t="n">
        <f aca="false">CHOOSE(Dashboard!$B$4,B55,C55,D55)</f>
        <v>250000</v>
      </c>
      <c r="F55" s="39" t="s">
        <v>257</v>
      </c>
      <c r="G55" s="102"/>
    </row>
    <row r="56" customFormat="false" ht="15" hidden="false" customHeight="false" outlineLevel="0" collapsed="false">
      <c r="A56" s="6" t="s">
        <v>302</v>
      </c>
      <c r="B56" s="107" t="n">
        <v>0.08</v>
      </c>
      <c r="C56" s="107" t="n">
        <v>0.08</v>
      </c>
      <c r="D56" s="107" t="n">
        <v>0.08</v>
      </c>
      <c r="E56" s="108" t="n">
        <f aca="false">CHOOSE(Dashboard!$B$4,B56,C56,D56)</f>
        <v>0.08</v>
      </c>
      <c r="F56" s="39" t="s">
        <v>259</v>
      </c>
      <c r="G56" s="102"/>
    </row>
    <row r="57" customFormat="false" ht="15" hidden="false" customHeight="false" outlineLevel="0" collapsed="false">
      <c r="A57" s="6" t="s">
        <v>303</v>
      </c>
      <c r="B57" s="103" t="n">
        <v>5</v>
      </c>
      <c r="C57" s="103" t="n">
        <v>5</v>
      </c>
      <c r="D57" s="103" t="n">
        <v>5</v>
      </c>
      <c r="E57" s="104" t="n">
        <f aca="false">CHOOSE(Dashboard!$B$4,B57,C57,D57)</f>
        <v>5</v>
      </c>
      <c r="F57" s="39" t="s">
        <v>304</v>
      </c>
      <c r="G57" s="102"/>
    </row>
    <row r="59" customFormat="false" ht="15.75" hidden="false" customHeight="true" outlineLevel="0" collapsed="false">
      <c r="A59" s="7" t="s">
        <v>305</v>
      </c>
      <c r="B59" s="7"/>
      <c r="C59" s="7"/>
      <c r="D59" s="7"/>
      <c r="E59" s="7"/>
      <c r="F59" s="7"/>
      <c r="G59" s="7"/>
    </row>
    <row r="60" customFormat="false" ht="15" hidden="false" customHeight="false" outlineLevel="0" collapsed="false">
      <c r="A60" s="6" t="s">
        <v>306</v>
      </c>
      <c r="B60" s="103" t="n">
        <v>10</v>
      </c>
      <c r="C60" s="103" t="n">
        <v>10</v>
      </c>
      <c r="D60" s="103" t="n">
        <v>10</v>
      </c>
      <c r="E60" s="104" t="n">
        <f aca="false">CHOOSE(Dashboard!$B$4,B60,C60,D60)</f>
        <v>10</v>
      </c>
      <c r="F60" s="39" t="s">
        <v>254</v>
      </c>
      <c r="G60" s="102"/>
    </row>
    <row r="61" customFormat="false" ht="15" hidden="false" customHeight="false" outlineLevel="0" collapsed="false">
      <c r="A61" s="6" t="s">
        <v>307</v>
      </c>
      <c r="B61" s="103" t="n">
        <v>5</v>
      </c>
      <c r="C61" s="103" t="n">
        <v>5</v>
      </c>
      <c r="D61" s="103" t="n">
        <v>5</v>
      </c>
      <c r="E61" s="104" t="n">
        <f aca="false">CHOOSE(Dashboard!$B$4,B61,C61,D61)</f>
        <v>5</v>
      </c>
      <c r="F61" s="39" t="s">
        <v>254</v>
      </c>
      <c r="G61" s="102"/>
    </row>
    <row r="62" customFormat="false" ht="15" hidden="false" customHeight="false" outlineLevel="0" collapsed="false">
      <c r="A62" s="6" t="s">
        <v>308</v>
      </c>
      <c r="B62" s="103" t="n">
        <v>20</v>
      </c>
      <c r="C62" s="103" t="n">
        <v>20</v>
      </c>
      <c r="D62" s="103" t="n">
        <v>20</v>
      </c>
      <c r="E62" s="104" t="n">
        <f aca="false">CHOOSE(Dashboard!$B$4,B62,C62,D62)</f>
        <v>20</v>
      </c>
      <c r="F62" s="39" t="s">
        <v>254</v>
      </c>
      <c r="G62" s="102"/>
    </row>
    <row r="64" customFormat="false" ht="15.75" hidden="false" customHeight="true" outlineLevel="0" collapsed="false">
      <c r="A64" s="7" t="s">
        <v>309</v>
      </c>
      <c r="B64" s="7"/>
      <c r="C64" s="7"/>
      <c r="D64" s="7"/>
      <c r="E64" s="7"/>
      <c r="F64" s="7"/>
      <c r="G64" s="7"/>
    </row>
    <row r="65" customFormat="false" ht="15" hidden="false" customHeight="false" outlineLevel="0" collapsed="false">
      <c r="A65" s="6" t="s">
        <v>310</v>
      </c>
      <c r="B65" s="103" t="n">
        <v>5</v>
      </c>
      <c r="C65" s="103" t="n">
        <v>5</v>
      </c>
      <c r="D65" s="103" t="n">
        <v>5</v>
      </c>
      <c r="E65" s="104" t="n">
        <f aca="false">CHOOSE(Dashboard!$B$4,B65,C65,D65)</f>
        <v>5</v>
      </c>
      <c r="F65" s="39" t="s">
        <v>304</v>
      </c>
      <c r="G65" s="102"/>
    </row>
    <row r="66" customFormat="false" ht="15" hidden="false" customHeight="false" outlineLevel="0" collapsed="false">
      <c r="A66" s="6" t="s">
        <v>311</v>
      </c>
      <c r="B66" s="107" t="n">
        <v>0.21</v>
      </c>
      <c r="C66" s="107" t="n">
        <v>0.21</v>
      </c>
      <c r="D66" s="107" t="n">
        <v>0.21</v>
      </c>
      <c r="E66" s="108" t="n">
        <f aca="false">CHOOSE(Dashboard!$B$4,B66,C66,D66)</f>
        <v>0.21</v>
      </c>
      <c r="F66" s="39" t="s">
        <v>259</v>
      </c>
      <c r="G66" s="102"/>
    </row>
    <row r="68" customFormat="false" ht="15.75" hidden="false" customHeight="true" outlineLevel="0" collapsed="false">
      <c r="A68" s="7" t="s">
        <v>312</v>
      </c>
      <c r="B68" s="7"/>
      <c r="C68" s="7"/>
      <c r="D68" s="7"/>
      <c r="E68" s="7"/>
      <c r="F68" s="7"/>
      <c r="G68" s="7"/>
    </row>
    <row r="69" customFormat="false" ht="15" hidden="false" customHeight="false" outlineLevel="0" collapsed="false">
      <c r="A69" s="6" t="s">
        <v>140</v>
      </c>
      <c r="B69" s="105" t="n">
        <v>98000</v>
      </c>
      <c r="C69" s="105" t="n">
        <v>98000</v>
      </c>
      <c r="D69" s="105" t="n">
        <v>98000</v>
      </c>
      <c r="E69" s="106" t="n">
        <f aca="false">CHOOSE(Dashboard!$B$4,B69,C69,D69)</f>
        <v>98000</v>
      </c>
      <c r="F69" s="39" t="s">
        <v>257</v>
      </c>
      <c r="G69" s="102" t="s">
        <v>313</v>
      </c>
    </row>
    <row r="71" customFormat="false" ht="15.75" hidden="false" customHeight="true" outlineLevel="0" collapsed="false">
      <c r="A71" s="7" t="s">
        <v>314</v>
      </c>
      <c r="B71" s="7"/>
      <c r="C71" s="7"/>
      <c r="D71" s="7"/>
      <c r="E71" s="7"/>
      <c r="F71" s="7"/>
      <c r="G71" s="7"/>
    </row>
    <row r="72" customFormat="false" ht="15" hidden="false" customHeight="false" outlineLevel="0" collapsed="false">
      <c r="A72" s="6" t="s">
        <v>165</v>
      </c>
      <c r="B72" s="107" t="n">
        <v>0.2</v>
      </c>
      <c r="C72" s="107" t="n">
        <v>0.16</v>
      </c>
      <c r="D72" s="107" t="n">
        <v>0.13</v>
      </c>
      <c r="E72" s="108" t="n">
        <f aca="false">CHOOSE(Dashboard!$B$4,B72,C72,D72)</f>
        <v>0.16</v>
      </c>
      <c r="F72" s="39" t="s">
        <v>259</v>
      </c>
      <c r="G72" s="102" t="s">
        <v>261</v>
      </c>
    </row>
    <row r="73" customFormat="false" ht="15" hidden="false" customHeight="false" outlineLevel="0" collapsed="false">
      <c r="A73" s="6" t="s">
        <v>315</v>
      </c>
      <c r="B73" s="107" t="n">
        <v>0.01</v>
      </c>
      <c r="C73" s="107" t="n">
        <v>0.02</v>
      </c>
      <c r="D73" s="107" t="n">
        <v>0.03</v>
      </c>
      <c r="E73" s="108" t="n">
        <f aca="false">CHOOSE(Dashboard!$B$4,B73,C73,D73)</f>
        <v>0.02</v>
      </c>
      <c r="F73" s="39" t="s">
        <v>259</v>
      </c>
      <c r="G73" s="102" t="s">
        <v>252</v>
      </c>
    </row>
    <row r="74" customFormat="false" ht="15" hidden="false" customHeight="false" outlineLevel="0" collapsed="false">
      <c r="A74" s="6" t="s">
        <v>167</v>
      </c>
      <c r="B74" s="111" t="n">
        <v>4</v>
      </c>
      <c r="C74" s="111" t="n">
        <v>5.5</v>
      </c>
      <c r="D74" s="111" t="n">
        <v>7</v>
      </c>
      <c r="E74" s="112" t="n">
        <f aca="false">CHOOSE(Dashboard!$B$4,B74,C74,D74)</f>
        <v>5.5</v>
      </c>
      <c r="F74" s="39" t="s">
        <v>316</v>
      </c>
      <c r="G74" s="102" t="s">
        <v>252</v>
      </c>
    </row>
    <row r="75" customFormat="false" ht="15" hidden="false" customHeight="false" outlineLevel="0" collapsed="false">
      <c r="A75" s="6" t="s">
        <v>317</v>
      </c>
      <c r="B75" s="107" t="n">
        <v>0.01</v>
      </c>
      <c r="C75" s="107" t="n">
        <v>0.01</v>
      </c>
      <c r="D75" s="107" t="n">
        <v>0.01</v>
      </c>
      <c r="E75" s="108" t="n">
        <f aca="false">CHOOSE(Dashboard!$B$4,B75,C75,D75)</f>
        <v>0.01</v>
      </c>
      <c r="F75" s="39" t="s">
        <v>259</v>
      </c>
      <c r="G75" s="102"/>
    </row>
    <row r="76" customFormat="false" ht="15" hidden="false" customHeight="false" outlineLevel="0" collapsed="false">
      <c r="A76" s="6" t="s">
        <v>318</v>
      </c>
      <c r="B76" s="107" t="n">
        <v>0.005</v>
      </c>
      <c r="C76" s="107" t="n">
        <v>0.005</v>
      </c>
      <c r="D76" s="107" t="n">
        <v>0.005</v>
      </c>
      <c r="E76" s="108" t="n">
        <f aca="false">CHOOSE(Dashboard!$B$4,B76,C76,D76)</f>
        <v>0.005</v>
      </c>
      <c r="F76" s="39" t="s">
        <v>259</v>
      </c>
      <c r="G76" s="102"/>
    </row>
    <row r="78" customFormat="false" ht="15" hidden="false" customHeight="false" outlineLevel="0" collapsed="false">
      <c r="A78" s="21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20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320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4" t="s">
        <v>44</v>
      </c>
      <c r="B5" s="73" t="n">
        <f aca="false">SUMIF(Monthly!$C$5:$AL$5,B$3,Monthly!$C$22:$AL$22)</f>
        <v>1710030</v>
      </c>
      <c r="C5" s="73" t="n">
        <f aca="false">SUMIF(Monthly!$C$5:$AL$5,C$3,Monthly!$C$22:$AL$22)</f>
        <v>2015484.945</v>
      </c>
      <c r="D5" s="73" t="n">
        <f aca="false">SUMIF(Monthly!$C$5:$AL$5,D$3,Monthly!$C$22:$AL$22)</f>
        <v>2376160.7103285</v>
      </c>
    </row>
    <row r="6" customFormat="false" ht="15" hidden="false" customHeight="false" outlineLevel="0" collapsed="false">
      <c r="A6" s="6" t="s">
        <v>75</v>
      </c>
      <c r="B6" s="67" t="n">
        <f aca="false">SUMIF(Monthly!$C$5:$AL$5,B$3,Monthly!$C$29:$AL$29)</f>
        <v>-1050207.5</v>
      </c>
      <c r="C6" s="67" t="n">
        <f aca="false">SUMIF(Monthly!$C$5:$AL$5,C$3,Monthly!$C$29:$AL$29)</f>
        <v>-1219735.39625</v>
      </c>
      <c r="D6" s="67" t="n">
        <f aca="false">SUMIF(Monthly!$C$5:$AL$5,D$3,Monthly!$C$29:$AL$29)</f>
        <v>-1417218.24631813</v>
      </c>
    </row>
    <row r="7" customFormat="false" ht="15" hidden="false" customHeight="false" outlineLevel="0" collapsed="false">
      <c r="A7" s="113" t="s">
        <v>45</v>
      </c>
      <c r="B7" s="68" t="n">
        <f aca="false">SUMIF(Monthly!$C$5:$AL$5,B$3,Monthly!$C$30:$AL$30)</f>
        <v>659822.5</v>
      </c>
      <c r="C7" s="68" t="n">
        <f aca="false">SUMIF(Monthly!$C$5:$AL$5,C$3,Monthly!$C$30:$AL$30)</f>
        <v>795749.54875</v>
      </c>
      <c r="D7" s="68" t="n">
        <f aca="false">SUMIF(Monthly!$C$5:$AL$5,D$3,Monthly!$C$30:$AL$30)</f>
        <v>958942.464010375</v>
      </c>
    </row>
    <row r="8" customFormat="false" ht="15" hidden="false" customHeight="false" outlineLevel="0" collapsed="false">
      <c r="A8" s="39" t="s">
        <v>46</v>
      </c>
      <c r="B8" s="74" t="n">
        <f aca="false">IF(B5=0,0,B7/B5)</f>
        <v>0.385854341736695</v>
      </c>
      <c r="C8" s="74" t="n">
        <f aca="false">IF(C5=0,0,C7/C5)</f>
        <v>0.394817907583031</v>
      </c>
      <c r="D8" s="74" t="n">
        <f aca="false">IF(D5=0,0,D7/D5)</f>
        <v>0.403568016187677</v>
      </c>
    </row>
    <row r="9" customFormat="false" ht="15" hidden="false" customHeight="false" outlineLevel="0" collapsed="false">
      <c r="A9" s="6" t="s">
        <v>321</v>
      </c>
      <c r="B9" s="67" t="n">
        <f aca="false">SUMIF(Monthly!$C$5:$AL$5,B$3,Monthly!$C$33:$AL$33)</f>
        <v>-103500</v>
      </c>
      <c r="C9" s="67" t="n">
        <f aca="false">SUMIF(Monthly!$C$5:$AL$5,C$3,Monthly!$C$33:$AL$33)</f>
        <v>-117265.5</v>
      </c>
      <c r="D9" s="67" t="n">
        <f aca="false">SUMIF(Monthly!$C$5:$AL$5,D$3,Monthly!$C$33:$AL$33)</f>
        <v>-132861.8115</v>
      </c>
    </row>
    <row r="10" customFormat="false" ht="15" hidden="false" customHeight="false" outlineLevel="0" collapsed="false">
      <c r="A10" s="6" t="s">
        <v>322</v>
      </c>
      <c r="B10" s="67" t="n">
        <f aca="false">SUMIF(Monthly!$C$5:$AL$5,B$3,Monthly!$C$34:$AL$34)</f>
        <v>-108000</v>
      </c>
      <c r="C10" s="67" t="n">
        <f aca="false">SUMIF(Monthly!$C$5:$AL$5,C$3,Monthly!$C$34:$AL$34)</f>
        <v>-124200</v>
      </c>
      <c r="D10" s="67" t="n">
        <f aca="false">SUMIF(Monthly!$C$5:$AL$5,D$3,Monthly!$C$34:$AL$34)</f>
        <v>-142830</v>
      </c>
    </row>
    <row r="11" customFormat="false" ht="15" hidden="false" customHeight="false" outlineLevel="0" collapsed="false">
      <c r="A11" s="6" t="s">
        <v>323</v>
      </c>
      <c r="B11" s="67" t="n">
        <f aca="false">SUMIF(Monthly!$C$5:$AL$5,B$3,Monthly!$C$35:$AL$35)</f>
        <v>-10080</v>
      </c>
      <c r="C11" s="67" t="n">
        <f aca="false">SUMIF(Monthly!$C$5:$AL$5,C$3,Monthly!$C$35:$AL$35)</f>
        <v>-11289.6</v>
      </c>
      <c r="D11" s="67" t="n">
        <f aca="false">SUMIF(Monthly!$C$5:$AL$5,D$3,Monthly!$C$35:$AL$35)</f>
        <v>-12644.352</v>
      </c>
    </row>
    <row r="12" customFormat="false" ht="15" hidden="false" customHeight="false" outlineLevel="0" collapsed="false">
      <c r="A12" s="6" t="s">
        <v>324</v>
      </c>
      <c r="B12" s="67" t="n">
        <f aca="false">SUMIF(Monthly!$C$5:$AL$5,B$3,Monthly!$C$36:$AL$36)</f>
        <v>-42000</v>
      </c>
      <c r="C12" s="67" t="n">
        <f aca="false">SUMIF(Monthly!$C$5:$AL$5,C$3,Monthly!$C$36:$AL$36)</f>
        <v>-42000</v>
      </c>
      <c r="D12" s="67" t="n">
        <f aca="false">SUMIF(Monthly!$C$5:$AL$5,D$3,Monthly!$C$36:$AL$36)</f>
        <v>-42000</v>
      </c>
    </row>
    <row r="13" customFormat="false" ht="15" hidden="false" customHeight="false" outlineLevel="0" collapsed="false">
      <c r="A13" s="6" t="s">
        <v>325</v>
      </c>
      <c r="B13" s="67" t="n">
        <f aca="false">SUMIF(Monthly!$C$5:$AL$5,B$3,Monthly!$C$37:$AL$37)</f>
        <v>-54000</v>
      </c>
      <c r="C13" s="67" t="n">
        <f aca="false">SUMIF(Monthly!$C$5:$AL$5,C$3,Monthly!$C$37:$AL$37)</f>
        <v>-54000</v>
      </c>
      <c r="D13" s="67" t="n">
        <f aca="false">SUMIF(Monthly!$C$5:$AL$5,D$3,Monthly!$C$37:$AL$37)</f>
        <v>-54000</v>
      </c>
    </row>
    <row r="14" customFormat="false" ht="15" hidden="false" customHeight="false" outlineLevel="0" collapsed="false">
      <c r="A14" s="6" t="s">
        <v>326</v>
      </c>
      <c r="B14" s="67" t="n">
        <f aca="false">SUMIF(Monthly!$C$5:$AL$5,B$3,Monthly!$C$38:$AL$38)</f>
        <v>-30000</v>
      </c>
      <c r="C14" s="67" t="n">
        <f aca="false">SUMIF(Monthly!$C$5:$AL$5,C$3,Monthly!$C$38:$AL$38)</f>
        <v>-30000</v>
      </c>
      <c r="D14" s="67" t="n">
        <f aca="false">SUMIF(Monthly!$C$5:$AL$5,D$3,Monthly!$C$38:$AL$38)</f>
        <v>-30000</v>
      </c>
    </row>
    <row r="15" customFormat="false" ht="15" hidden="false" customHeight="false" outlineLevel="0" collapsed="false">
      <c r="A15" s="6" t="s">
        <v>327</v>
      </c>
      <c r="B15" s="67" t="n">
        <f aca="false">SUMIF(Monthly!$C$5:$AL$5,B$3,Monthly!$C$39:$AL$39)</f>
        <v>-46170.81</v>
      </c>
      <c r="C15" s="67" t="n">
        <f aca="false">SUMIF(Monthly!$C$5:$AL$5,C$3,Monthly!$C$39:$AL$39)</f>
        <v>-54418.093515</v>
      </c>
      <c r="D15" s="67" t="n">
        <f aca="false">SUMIF(Monthly!$C$5:$AL$5,D$3,Monthly!$C$39:$AL$39)</f>
        <v>-64156.3391788695</v>
      </c>
    </row>
    <row r="16" customFormat="false" ht="15" hidden="false" customHeight="false" outlineLevel="0" collapsed="false">
      <c r="A16" s="113" t="s">
        <v>76</v>
      </c>
      <c r="B16" s="68" t="n">
        <f aca="false">SUMIF(Monthly!$C$5:$AL$5,B$3,Monthly!$C$40:$AL$40)</f>
        <v>-393750.81</v>
      </c>
      <c r="C16" s="68" t="n">
        <f aca="false">SUMIF(Monthly!$C$5:$AL$5,C$3,Monthly!$C$40:$AL$40)</f>
        <v>-433173.193515</v>
      </c>
      <c r="D16" s="68" t="n">
        <f aca="false">SUMIF(Monthly!$C$5:$AL$5,D$3,Monthly!$C$40:$AL$40)</f>
        <v>-478492.50267887</v>
      </c>
    </row>
    <row r="17" customFormat="false" ht="15" hidden="false" customHeight="false" outlineLevel="0" collapsed="false">
      <c r="A17" s="113" t="s">
        <v>48</v>
      </c>
      <c r="B17" s="68" t="n">
        <f aca="false">SUMIF(Monthly!$C$5:$AL$5,B$3,Monthly!$C$41:$AL$41)</f>
        <v>266071.69</v>
      </c>
      <c r="C17" s="68" t="n">
        <f aca="false">SUMIF(Monthly!$C$5:$AL$5,C$3,Monthly!$C$41:$AL$41)</f>
        <v>362576.355235</v>
      </c>
      <c r="D17" s="68" t="n">
        <f aca="false">SUMIF(Monthly!$C$5:$AL$5,D$3,Monthly!$C$41:$AL$41)</f>
        <v>480449.961331505</v>
      </c>
    </row>
    <row r="18" customFormat="false" ht="15" hidden="false" customHeight="false" outlineLevel="0" collapsed="false">
      <c r="A18" s="39" t="s">
        <v>49</v>
      </c>
      <c r="B18" s="74" t="n">
        <f aca="false">IF(B5=0,0,B17/B5)</f>
        <v>0.155594749799711</v>
      </c>
      <c r="C18" s="74" t="n">
        <f aca="false">IF(C5=0,0,C17/C5)</f>
        <v>0.179895342872432</v>
      </c>
      <c r="D18" s="74" t="n">
        <f aca="false">IF(D5=0,0,D17/D5)</f>
        <v>0.202195903350781</v>
      </c>
    </row>
    <row r="19" customFormat="false" ht="15" hidden="false" customHeight="false" outlineLevel="0" collapsed="false">
      <c r="A19" s="6" t="s">
        <v>77</v>
      </c>
      <c r="B19" s="67" t="n">
        <f aca="false">SUMIF(Monthly!$C$5:$AL$5,B$3,Monthly!$C$55:$AL$55)</f>
        <v>-4000</v>
      </c>
      <c r="C19" s="67" t="n">
        <f aca="false">SUMIF(Monthly!$C$5:$AL$5,C$3,Monthly!$C$55:$AL$55)</f>
        <v>-11560</v>
      </c>
      <c r="D19" s="67" t="n">
        <f aca="false">SUMIF(Monthly!$C$5:$AL$5,D$3,Monthly!$C$55:$AL$55)</f>
        <v>-20027.2</v>
      </c>
    </row>
    <row r="20" customFormat="false" ht="15" hidden="false" customHeight="false" outlineLevel="0" collapsed="false">
      <c r="A20" s="4" t="s">
        <v>78</v>
      </c>
      <c r="B20" s="73" t="n">
        <f aca="false">SUMIF(Monthly!$C$5:$AL$5,B$3,Monthly!$C$44:$AL$44)</f>
        <v>262071.69</v>
      </c>
      <c r="C20" s="73" t="n">
        <f aca="false">SUMIF(Monthly!$C$5:$AL$5,C$3,Monthly!$C$44:$AL$44)</f>
        <v>351016.355235</v>
      </c>
      <c r="D20" s="73" t="n">
        <f aca="false">SUMIF(Monthly!$C$5:$AL$5,D$3,Monthly!$C$44:$AL$44)</f>
        <v>460422.761331505</v>
      </c>
    </row>
    <row r="21" customFormat="false" ht="15" hidden="false" customHeight="false" outlineLevel="0" collapsed="false">
      <c r="A21" s="6" t="s">
        <v>79</v>
      </c>
      <c r="B21" s="67" t="n">
        <f aca="false">SUMIF(Monthly!$C$5:$AL$5,B$3,Monthly!$C$45:$AL$45)</f>
        <v>-18319.4444444445</v>
      </c>
      <c r="C21" s="67" t="n">
        <f aca="false">SUMIF(Monthly!$C$5:$AL$5,C$3,Monthly!$C$45:$AL$45)</f>
        <v>-14333.3333333333</v>
      </c>
      <c r="D21" s="67" t="n">
        <f aca="false">SUMIF(Monthly!$C$5:$AL$5,D$3,Monthly!$C$45:$AL$45)</f>
        <v>-10333.3333333334</v>
      </c>
    </row>
    <row r="22" customFormat="false" ht="15" hidden="false" customHeight="false" outlineLevel="0" collapsed="false">
      <c r="A22" s="114" t="s">
        <v>80</v>
      </c>
      <c r="B22" s="115" t="n">
        <f aca="false">SUMIF(Monthly!$C$5:$AL$5,B$3,Monthly!$C$46:$AL$46)</f>
        <v>243752.245555556</v>
      </c>
      <c r="C22" s="115" t="n">
        <f aca="false">SUMIF(Monthly!$C$5:$AL$5,C$3,Monthly!$C$46:$AL$46)</f>
        <v>336683.021901667</v>
      </c>
      <c r="D22" s="115" t="n">
        <f aca="false">SUMIF(Monthly!$C$5:$AL$5,D$3,Monthly!$C$46:$AL$46)</f>
        <v>450089.427998172</v>
      </c>
    </row>
    <row r="23" customFormat="false" ht="15" hidden="false" customHeight="false" outlineLevel="0" collapsed="false">
      <c r="A23" s="6" t="s">
        <v>81</v>
      </c>
      <c r="B23" s="67" t="n">
        <f aca="false">SUMIF(Monthly!$C$5:$AL$5,B$3,Monthly!$C$49:$AL$49)</f>
        <v>-51187.9715666667</v>
      </c>
      <c r="C23" s="67" t="n">
        <f aca="false">SUMIF(Monthly!$C$5:$AL$5,C$3,Monthly!$C$49:$AL$49)</f>
        <v>-70703.43459935</v>
      </c>
      <c r="D23" s="67" t="n">
        <f aca="false">SUMIF(Monthly!$C$5:$AL$5,D$3,Monthly!$C$49:$AL$49)</f>
        <v>-94518.7798796161</v>
      </c>
    </row>
    <row r="24" customFormat="false" ht="15" hidden="false" customHeight="false" outlineLevel="0" collapsed="false">
      <c r="A24" s="70" t="s">
        <v>50</v>
      </c>
      <c r="B24" s="71" t="n">
        <f aca="false">SUMIF(Monthly!$C$5:$AL$5,B$3,Monthly!$C$50:$AL$50)</f>
        <v>192564.273988889</v>
      </c>
      <c r="C24" s="71" t="n">
        <f aca="false">SUMIF(Monthly!$C$5:$AL$5,C$3,Monthly!$C$50:$AL$50)</f>
        <v>265979.587302317</v>
      </c>
      <c r="D24" s="71" t="n">
        <f aca="false">SUMIF(Monthly!$C$5:$AL$5,D$3,Monthly!$C$50:$AL$50)</f>
        <v>355570.648118556</v>
      </c>
    </row>
    <row r="25" customFormat="false" ht="15" hidden="false" customHeight="false" outlineLevel="0" collapsed="false">
      <c r="A25" s="39" t="s">
        <v>51</v>
      </c>
      <c r="B25" s="74" t="n">
        <f aca="false">IF(B5=0,0,B24/B5)</f>
        <v>0.11260871095179</v>
      </c>
      <c r="C25" s="74" t="n">
        <f aca="false">IF(C5=0,0,C24/C5)</f>
        <v>0.131968034771064</v>
      </c>
      <c r="D25" s="74" t="n">
        <f aca="false">IF(D5=0,0,D24/D5)</f>
        <v>0.149640824618045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21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320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50</v>
      </c>
      <c r="B5" s="67" t="n">
        <f aca="false">SUMIF(Monthly!$C$5:$AL$5,B$3,Monthly!$C$50:$AL$50)</f>
        <v>192564.273988889</v>
      </c>
      <c r="C5" s="67" t="n">
        <f aca="false">SUMIF(Monthly!$C$5:$AL$5,C$3,Monthly!$C$50:$AL$50)</f>
        <v>265979.587302317</v>
      </c>
      <c r="D5" s="67" t="n">
        <f aca="false">SUMIF(Monthly!$C$5:$AL$5,D$3,Monthly!$C$50:$AL$50)</f>
        <v>355570.648118556</v>
      </c>
    </row>
    <row r="6" customFormat="false" ht="15" hidden="false" customHeight="false" outlineLevel="0" collapsed="false">
      <c r="A6" s="6" t="s">
        <v>328</v>
      </c>
      <c r="B6" s="67" t="n">
        <f aca="false">-SUMIF(Monthly!$C$5:$AL$5,B$3,Monthly!$C$55:$AL$55)</f>
        <v>4000</v>
      </c>
      <c r="C6" s="67" t="n">
        <f aca="false">-SUMIF(Monthly!$C$5:$AL$5,C$3,Monthly!$C$55:$AL$55)</f>
        <v>11560</v>
      </c>
      <c r="D6" s="67" t="n">
        <f aca="false">-SUMIF(Monthly!$C$5:$AL$5,D$3,Monthly!$C$55:$AL$55)</f>
        <v>20027.2</v>
      </c>
    </row>
    <row r="7" customFormat="false" ht="15" hidden="false" customHeight="false" outlineLevel="0" collapsed="false">
      <c r="A7" s="6" t="s">
        <v>329</v>
      </c>
      <c r="B7" s="67" t="n">
        <f aca="false">SUMIF(Monthly!$C$5:$AL$5,B$3,Monthly!$C$69:$AL$69)</f>
        <v>-44478.8888888889</v>
      </c>
      <c r="C7" s="67" t="n">
        <f aca="false">SUMIF(Monthly!$C$5:$AL$5,C$3,Monthly!$C$69:$AL$69)</f>
        <v>-8343.68833333334</v>
      </c>
      <c r="D7" s="67" t="n">
        <f aca="false">SUMIF(Monthly!$C$5:$AL$5,D$3,Monthly!$C$69:$AL$69)</f>
        <v>-9915.5094975</v>
      </c>
    </row>
    <row r="8" customFormat="false" ht="15" hidden="false" customHeight="false" outlineLevel="0" collapsed="false">
      <c r="A8" s="6" t="s">
        <v>330</v>
      </c>
      <c r="B8" s="67" t="n">
        <f aca="false">SUMIF(Monthly!$C$5:$AL$5,B$3,Monthly!$C$70:$AL$70)</f>
        <v>-14208.4722222222</v>
      </c>
      <c r="C8" s="67" t="n">
        <f aca="false">SUMIF(Monthly!$C$5:$AL$5,C$3,Monthly!$C$70:$AL$70)</f>
        <v>-2336.90770833333</v>
      </c>
      <c r="D8" s="67" t="n">
        <f aca="false">SUMIF(Monthly!$C$5:$AL$5,D$3,Monthly!$C$70:$AL$70)</f>
        <v>-2729.90964185416</v>
      </c>
    </row>
    <row r="9" customFormat="false" ht="15" hidden="false" customHeight="false" outlineLevel="0" collapsed="false">
      <c r="A9" s="6" t="s">
        <v>331</v>
      </c>
      <c r="B9" s="67" t="n">
        <f aca="false">SUMIF(Monthly!$C$5:$AL$5,B$3,Monthly!$C$71:$AL$71)</f>
        <v>56833.8888888889</v>
      </c>
      <c r="C9" s="67" t="n">
        <f aca="false">SUMIF(Monthly!$C$5:$AL$5,C$3,Monthly!$C$71:$AL$71)</f>
        <v>9347.63083333334</v>
      </c>
      <c r="D9" s="67" t="n">
        <f aca="false">SUMIF(Monthly!$C$5:$AL$5,D$3,Monthly!$C$71:$AL$71)</f>
        <v>10919.6385674167</v>
      </c>
    </row>
    <row r="10" customFormat="false" ht="15" hidden="false" customHeight="false" outlineLevel="0" collapsed="false">
      <c r="A10" s="113" t="s">
        <v>52</v>
      </c>
      <c r="B10" s="68" t="n">
        <f aca="false">SUMIF(Monthly!$C$5:$AL$5,B$3,Monthly!$C$74:$AL$74)</f>
        <v>194710.801766667</v>
      </c>
      <c r="C10" s="68" t="n">
        <f aca="false">SUMIF(Monthly!$C$5:$AL$5,C$3,Monthly!$C$74:$AL$74)</f>
        <v>276206.622093983</v>
      </c>
      <c r="D10" s="68" t="n">
        <f aca="false">SUMIF(Monthly!$C$5:$AL$5,D$3,Monthly!$C$74:$AL$74)</f>
        <v>373872.067546618</v>
      </c>
    </row>
    <row r="11" customFormat="false" ht="15" hidden="false" customHeight="false" outlineLevel="0" collapsed="false">
      <c r="A11" s="6" t="s">
        <v>83</v>
      </c>
      <c r="B11" s="67" t="n">
        <f aca="false">SUMIF(Monthly!$C$5:$AL$5,B$3,Monthly!$C$75:$AL$75)</f>
        <v>-20000</v>
      </c>
      <c r="C11" s="67" t="n">
        <f aca="false">SUMIF(Monthly!$C$5:$AL$5,C$3,Monthly!$C$75:$AL$75)</f>
        <v>-37800</v>
      </c>
      <c r="D11" s="67" t="n">
        <f aca="false">SUMIF(Monthly!$C$5:$AL$5,D$3,Monthly!$C$75:$AL$75)</f>
        <v>-42336</v>
      </c>
    </row>
    <row r="12" customFormat="false" ht="15" hidden="false" customHeight="false" outlineLevel="0" collapsed="false">
      <c r="A12" s="6" t="s">
        <v>63</v>
      </c>
      <c r="B12" s="67" t="n">
        <f aca="false">SUMIF(Monthly!$C$5:$AL$5,B$3,Monthly!$C$76:$AL$76)</f>
        <v>100000</v>
      </c>
      <c r="C12" s="67" t="n">
        <f aca="false">SUMIF(Monthly!$C$5:$AL$5,C$3,Monthly!$C$76:$AL$76)</f>
        <v>0</v>
      </c>
      <c r="D12" s="67" t="n">
        <f aca="false">SUMIF(Monthly!$C$5:$AL$5,D$3,Monthly!$C$76:$AL$76)</f>
        <v>0</v>
      </c>
    </row>
    <row r="13" customFormat="false" ht="15" hidden="false" customHeight="false" outlineLevel="0" collapsed="false">
      <c r="A13" s="6" t="s">
        <v>84</v>
      </c>
      <c r="B13" s="67" t="n">
        <f aca="false">SUMIF(Monthly!$C$5:$AL$5,B$3,Monthly!$C$61:$AL$61)</f>
        <v>250000</v>
      </c>
      <c r="C13" s="67" t="n">
        <f aca="false">SUMIF(Monthly!$C$5:$AL$5,C$3,Monthly!$C$61:$AL$61)</f>
        <v>0</v>
      </c>
      <c r="D13" s="67" t="n">
        <f aca="false">SUMIF(Monthly!$C$5:$AL$5,D$3,Monthly!$C$61:$AL$61)</f>
        <v>0</v>
      </c>
    </row>
    <row r="14" customFormat="false" ht="15" hidden="false" customHeight="false" outlineLevel="0" collapsed="false">
      <c r="A14" s="6" t="s">
        <v>85</v>
      </c>
      <c r="B14" s="67" t="n">
        <f aca="false">SUMIF(Monthly!$C$5:$AL$5,B$3,Monthly!$C$62:$AL$62)</f>
        <v>-45833.3333333333</v>
      </c>
      <c r="C14" s="67" t="n">
        <f aca="false">SUMIF(Monthly!$C$5:$AL$5,C$3,Monthly!$C$62:$AL$62)</f>
        <v>-50000</v>
      </c>
      <c r="D14" s="67" t="n">
        <f aca="false">SUMIF(Monthly!$C$5:$AL$5,D$3,Monthly!$C$62:$AL$62)</f>
        <v>-50000</v>
      </c>
    </row>
    <row r="15" customFormat="false" ht="15" hidden="false" customHeight="false" outlineLevel="0" collapsed="false">
      <c r="A15" s="113" t="s">
        <v>54</v>
      </c>
      <c r="B15" s="68" t="n">
        <f aca="false">SUMIF(Monthly!$C$5:$AL$5,B$3,Monthly!$C$77:$AL$77)</f>
        <v>304166.666666667</v>
      </c>
      <c r="C15" s="68" t="n">
        <f aca="false">SUMIF(Monthly!$C$5:$AL$5,C$3,Monthly!$C$77:$AL$77)</f>
        <v>-50000</v>
      </c>
      <c r="D15" s="68" t="n">
        <f aca="false">SUMIF(Monthly!$C$5:$AL$5,D$3,Monthly!$C$77:$AL$77)</f>
        <v>-50000</v>
      </c>
    </row>
    <row r="16" customFormat="false" ht="15" hidden="false" customHeight="false" outlineLevel="0" collapsed="false">
      <c r="A16" s="4" t="s">
        <v>55</v>
      </c>
      <c r="B16" s="73" t="n">
        <f aca="false">SUMIF(Monthly!$C$5:$AL$5,B$3,Monthly!$C$78:$AL$78)</f>
        <v>478877.468433333</v>
      </c>
      <c r="C16" s="73" t="n">
        <f aca="false">SUMIF(Monthly!$C$5:$AL$5,C$3,Monthly!$C$78:$AL$78)</f>
        <v>188406.622093983</v>
      </c>
      <c r="D16" s="73" t="n">
        <f aca="false">SUMIF(Monthly!$C$5:$AL$5,D$3,Monthly!$C$78:$AL$78)</f>
        <v>281536.067546618</v>
      </c>
    </row>
    <row r="17" customFormat="false" ht="15" hidden="false" customHeight="false" outlineLevel="0" collapsed="false">
      <c r="A17" s="6" t="s">
        <v>332</v>
      </c>
      <c r="B17" s="67" t="n">
        <f aca="false">INDEX(Monthly!$C$79:$AL$79,(B$3-1)*12+1)</f>
        <v>0</v>
      </c>
      <c r="C17" s="67" t="n">
        <f aca="false">INDEX(Monthly!$C$79:$AL$79,(C$3-1)*12+1)</f>
        <v>478877.468433333</v>
      </c>
      <c r="D17" s="67" t="n">
        <f aca="false">INDEX(Monthly!$C$79:$AL$79,(D$3-1)*12+1)</f>
        <v>667284.090527316</v>
      </c>
    </row>
    <row r="18" customFormat="false" ht="15" hidden="false" customHeight="false" outlineLevel="0" collapsed="false">
      <c r="A18" s="70" t="s">
        <v>86</v>
      </c>
      <c r="B18" s="71" t="n">
        <f aca="false">INDEX(Monthly!$C$80:$AL$80,B$3*12)</f>
        <v>478877.468433333</v>
      </c>
      <c r="C18" s="71" t="n">
        <f aca="false">INDEX(Monthly!$C$80:$AL$80,C$3*12)</f>
        <v>667284.090527316</v>
      </c>
      <c r="D18" s="71" t="n">
        <f aca="false">INDEX(Monthly!$C$80:$AL$80,D$3*12)</f>
        <v>948820.158073935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22</v>
      </c>
      <c r="F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320</v>
      </c>
    </row>
    <row r="3" customFormat="false" ht="15" hidden="false" customHeight="false" outlineLevel="0" collapsed="false">
      <c r="A3" s="72" t="s">
        <v>153</v>
      </c>
      <c r="B3" s="72" t="n">
        <v>1</v>
      </c>
      <c r="C3" s="72" t="n">
        <v>2</v>
      </c>
      <c r="D3" s="72" t="n">
        <v>3</v>
      </c>
    </row>
    <row r="4" customFormat="false" ht="15" hidden="false" customHeight="false" outlineLevel="0" collapsed="false">
      <c r="A4" s="33"/>
      <c r="B4" s="35" t="s">
        <v>154</v>
      </c>
      <c r="C4" s="35" t="s">
        <v>155</v>
      </c>
      <c r="D4" s="35" t="s">
        <v>156</v>
      </c>
    </row>
    <row r="5" customFormat="false" ht="15" hidden="false" customHeight="false" outlineLevel="0" collapsed="false">
      <c r="A5" s="6" t="s">
        <v>88</v>
      </c>
      <c r="B5" s="67" t="n">
        <f aca="false">INDEX(Monthly!$C$80:$AL$80,B$3*12)</f>
        <v>478877.468433333</v>
      </c>
      <c r="C5" s="67" t="n">
        <f aca="false">INDEX(Monthly!$C$80:$AL$80,C$3*12)</f>
        <v>667284.090527316</v>
      </c>
      <c r="D5" s="67" t="n">
        <f aca="false">INDEX(Monthly!$C$80:$AL$80,D$3*12)</f>
        <v>948820.158073935</v>
      </c>
    </row>
    <row r="6" customFormat="false" ht="15" hidden="false" customHeight="false" outlineLevel="0" collapsed="false">
      <c r="A6" s="6" t="s">
        <v>89</v>
      </c>
      <c r="B6" s="67" t="n">
        <f aca="false">INDEX(Monthly!$C$66:$AL$66,B$3*12)</f>
        <v>44478.8888888889</v>
      </c>
      <c r="C6" s="67" t="n">
        <f aca="false">INDEX(Monthly!$C$66:$AL$66,C$3*12)</f>
        <v>52822.5772222222</v>
      </c>
      <c r="D6" s="67" t="n">
        <f aca="false">INDEX(Monthly!$C$66:$AL$66,D$3*12)</f>
        <v>62738.0867197222</v>
      </c>
    </row>
    <row r="7" customFormat="false" ht="15" hidden="false" customHeight="false" outlineLevel="0" collapsed="false">
      <c r="A7" s="6" t="s">
        <v>90</v>
      </c>
      <c r="B7" s="67" t="n">
        <f aca="false">INDEX(Monthly!$C$67:$AL$67,B$3*12)</f>
        <v>14208.4722222222</v>
      </c>
      <c r="C7" s="67" t="n">
        <f aca="false">INDEX(Monthly!$C$67:$AL$67,C$3*12)</f>
        <v>16545.3799305556</v>
      </c>
      <c r="D7" s="67" t="n">
        <f aca="false">INDEX(Monthly!$C$67:$AL$67,D$3*12)</f>
        <v>19275.2895724097</v>
      </c>
    </row>
    <row r="8" customFormat="false" ht="15" hidden="false" customHeight="false" outlineLevel="0" collapsed="false">
      <c r="A8" s="6" t="s">
        <v>91</v>
      </c>
      <c r="B8" s="67" t="n">
        <f aca="false">INDEX(Monthly!$C$57:$AL$57,B$3*12)</f>
        <v>16000</v>
      </c>
      <c r="C8" s="67" t="n">
        <f aca="false">INDEX(Monthly!$C$57:$AL$57,C$3*12)</f>
        <v>42240</v>
      </c>
      <c r="D8" s="67" t="n">
        <f aca="false">INDEX(Monthly!$C$57:$AL$57,D$3*12)</f>
        <v>64548.8</v>
      </c>
    </row>
    <row r="9" customFormat="false" ht="15" hidden="false" customHeight="false" outlineLevel="0" collapsed="false">
      <c r="A9" s="113" t="s">
        <v>92</v>
      </c>
      <c r="B9" s="68" t="n">
        <f aca="false">INDEX(Monthly!$C$94:$AL$94,B$3*12)</f>
        <v>553564.829544445</v>
      </c>
      <c r="C9" s="68" t="n">
        <f aca="false">INDEX(Monthly!$C$94:$AL$94,C$3*12)</f>
        <v>778892.047680094</v>
      </c>
      <c r="D9" s="68" t="n">
        <f aca="false">INDEX(Monthly!$C$94:$AL$94,D$3*12)</f>
        <v>1095382.33436607</v>
      </c>
    </row>
    <row r="10" customFormat="false" ht="15" hidden="false" customHeight="false" outlineLevel="0" collapsed="false">
      <c r="A10" s="6" t="s">
        <v>93</v>
      </c>
      <c r="B10" s="67" t="n">
        <f aca="false">INDEX(Monthly!$C$68:$AL$68,B$3*12)</f>
        <v>56833.8888888889</v>
      </c>
      <c r="C10" s="67" t="n">
        <f aca="false">INDEX(Monthly!$C$68:$AL$68,C$3*12)</f>
        <v>66181.5197222222</v>
      </c>
      <c r="D10" s="67" t="n">
        <f aca="false">INDEX(Monthly!$C$68:$AL$68,D$3*12)</f>
        <v>77101.1582896389</v>
      </c>
    </row>
    <row r="11" customFormat="false" ht="15" hidden="false" customHeight="false" outlineLevel="0" collapsed="false">
      <c r="A11" s="6" t="s">
        <v>94</v>
      </c>
      <c r="B11" s="67" t="n">
        <f aca="false">INDEX(Monthly!$C$63:$AL$63,B$3*12)</f>
        <v>204166.666666667</v>
      </c>
      <c r="C11" s="67" t="n">
        <f aca="false">INDEX(Monthly!$C$63:$AL$63,C$3*12)</f>
        <v>154166.666666667</v>
      </c>
      <c r="D11" s="67" t="n">
        <f aca="false">INDEX(Monthly!$C$63:$AL$63,D$3*12)</f>
        <v>104166.666666667</v>
      </c>
    </row>
    <row r="12" customFormat="false" ht="15" hidden="false" customHeight="false" outlineLevel="0" collapsed="false">
      <c r="A12" s="114" t="s">
        <v>95</v>
      </c>
      <c r="B12" s="115" t="n">
        <f aca="false">INDEX(Monthly!$C$95:$AL$95,B$3*12)</f>
        <v>261000.555555556</v>
      </c>
      <c r="C12" s="115" t="n">
        <f aca="false">INDEX(Monthly!$C$95:$AL$95,C$3*12)</f>
        <v>220348.186388889</v>
      </c>
      <c r="D12" s="115" t="n">
        <f aca="false">INDEX(Monthly!$C$95:$AL$95,D$3*12)</f>
        <v>181267.824956306</v>
      </c>
    </row>
    <row r="13" customFormat="false" ht="15" hidden="false" customHeight="false" outlineLevel="0" collapsed="false">
      <c r="A13" s="6" t="s">
        <v>96</v>
      </c>
      <c r="B13" s="67" t="n">
        <f aca="false">INDEX(Monthly!$C$92:$AL$92,B$3*12)</f>
        <v>100000</v>
      </c>
      <c r="C13" s="67" t="n">
        <f aca="false">INDEX(Monthly!$C$92:$AL$92,C$3*12)</f>
        <v>100000</v>
      </c>
      <c r="D13" s="67" t="n">
        <f aca="false">INDEX(Monthly!$C$92:$AL$92,D$3*12)</f>
        <v>100000</v>
      </c>
    </row>
    <row r="14" customFormat="false" ht="15" hidden="false" customHeight="false" outlineLevel="0" collapsed="false">
      <c r="A14" s="6" t="s">
        <v>97</v>
      </c>
      <c r="B14" s="67" t="n">
        <f aca="false">INDEX(Monthly!$C$93:$AL$93,B$3*12)</f>
        <v>192564.273988889</v>
      </c>
      <c r="C14" s="67" t="n">
        <f aca="false">INDEX(Monthly!$C$93:$AL$93,C$3*12)</f>
        <v>458543.861291206</v>
      </c>
      <c r="D14" s="67" t="n">
        <f aca="false">INDEX(Monthly!$C$93:$AL$93,D$3*12)</f>
        <v>814114.509409761</v>
      </c>
    </row>
    <row r="15" customFormat="false" ht="15" hidden="false" customHeight="false" outlineLevel="0" collapsed="false">
      <c r="A15" s="114" t="s">
        <v>98</v>
      </c>
      <c r="B15" s="115" t="n">
        <f aca="false">INDEX(Monthly!$C$96:$AL$96,B$3*12)</f>
        <v>292564.273988889</v>
      </c>
      <c r="C15" s="115" t="n">
        <f aca="false">INDEX(Monthly!$C$96:$AL$96,C$3*12)</f>
        <v>558543.861291206</v>
      </c>
      <c r="D15" s="115" t="n">
        <f aca="false">INDEX(Monthly!$C$96:$AL$96,D$3*12)</f>
        <v>914114.509409761</v>
      </c>
    </row>
    <row r="16" customFormat="false" ht="15" hidden="false" customHeight="false" outlineLevel="0" collapsed="false">
      <c r="A16" s="70" t="s">
        <v>99</v>
      </c>
      <c r="B16" s="71" t="n">
        <f aca="false">INDEX(Monthly!$C$97:$AL$97,B$3*12)</f>
        <v>553564.829544445</v>
      </c>
      <c r="C16" s="71" t="n">
        <f aca="false">INDEX(Monthly!$C$97:$AL$97,C$3*12)</f>
        <v>778892.047680095</v>
      </c>
      <c r="D16" s="71" t="n">
        <f aca="false">INDEX(Monthly!$C$97:$AL$97,D$3*12)</f>
        <v>1095382.33436607</v>
      </c>
    </row>
    <row r="17" customFormat="false" ht="15" hidden="false" customHeight="false" outlineLevel="0" collapsed="false">
      <c r="A17" s="6" t="s">
        <v>333</v>
      </c>
      <c r="B17" s="67" t="n">
        <f aca="false">INDEX(Monthly!$C$98:$AL$98,B$3*12)</f>
        <v>0</v>
      </c>
      <c r="C17" s="67" t="n">
        <f aca="false">INDEX(Monthly!$C$98:$AL$98,C$3*12)</f>
        <v>0</v>
      </c>
      <c r="D17" s="67" t="n">
        <f aca="false">INDEX(Monthly!$C$98:$AL$98,D$3*12)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334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335</v>
      </c>
    </row>
    <row r="3" customFormat="false" ht="15" hidden="false" customHeight="false" outlineLevel="0" collapsed="false">
      <c r="A3" s="33" t="s">
        <v>336</v>
      </c>
      <c r="C3" s="35" t="s">
        <v>337</v>
      </c>
      <c r="D3" s="35" t="s">
        <v>338</v>
      </c>
      <c r="E3" s="35" t="s">
        <v>339</v>
      </c>
      <c r="F3" s="35" t="s">
        <v>340</v>
      </c>
      <c r="G3" s="35" t="s">
        <v>341</v>
      </c>
      <c r="H3" s="35" t="s">
        <v>342</v>
      </c>
      <c r="I3" s="35" t="s">
        <v>343</v>
      </c>
      <c r="J3" s="35" t="s">
        <v>344</v>
      </c>
      <c r="K3" s="35" t="s">
        <v>345</v>
      </c>
      <c r="L3" s="35" t="s">
        <v>346</v>
      </c>
      <c r="M3" s="35" t="s">
        <v>347</v>
      </c>
      <c r="N3" s="35" t="s">
        <v>348</v>
      </c>
      <c r="O3" s="35" t="s">
        <v>349</v>
      </c>
      <c r="P3" s="35" t="s">
        <v>350</v>
      </c>
      <c r="Q3" s="35" t="s">
        <v>351</v>
      </c>
      <c r="R3" s="35" t="s">
        <v>352</v>
      </c>
      <c r="S3" s="35" t="s">
        <v>353</v>
      </c>
      <c r="T3" s="35" t="s">
        <v>354</v>
      </c>
      <c r="U3" s="35" t="s">
        <v>355</v>
      </c>
      <c r="V3" s="35" t="s">
        <v>356</v>
      </c>
      <c r="W3" s="35" t="s">
        <v>357</v>
      </c>
      <c r="X3" s="35" t="s">
        <v>358</v>
      </c>
      <c r="Y3" s="35" t="s">
        <v>359</v>
      </c>
      <c r="Z3" s="35" t="s">
        <v>360</v>
      </c>
      <c r="AA3" s="35" t="s">
        <v>361</v>
      </c>
      <c r="AB3" s="35" t="s">
        <v>362</v>
      </c>
      <c r="AC3" s="35" t="s">
        <v>363</v>
      </c>
      <c r="AD3" s="35" t="s">
        <v>364</v>
      </c>
      <c r="AE3" s="35" t="s">
        <v>365</v>
      </c>
      <c r="AF3" s="35" t="s">
        <v>366</v>
      </c>
      <c r="AG3" s="35" t="s">
        <v>367</v>
      </c>
      <c r="AH3" s="35" t="s">
        <v>368</v>
      </c>
      <c r="AI3" s="35" t="s">
        <v>369</v>
      </c>
      <c r="AJ3" s="35" t="s">
        <v>370</v>
      </c>
      <c r="AK3" s="35" t="s">
        <v>371</v>
      </c>
      <c r="AL3" s="35" t="s">
        <v>372</v>
      </c>
    </row>
    <row r="4" customFormat="false" ht="15" hidden="false" customHeight="false" outlineLevel="0" collapsed="false">
      <c r="A4" s="72" t="s">
        <v>373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374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375</v>
      </c>
      <c r="C8" s="116" t="n">
        <f aca="false">Headcount!C8</f>
        <v>7</v>
      </c>
      <c r="D8" s="116" t="n">
        <f aca="false">Headcount!D8</f>
        <v>7</v>
      </c>
      <c r="E8" s="116" t="n">
        <f aca="false">Headcount!E8</f>
        <v>7</v>
      </c>
      <c r="F8" s="116" t="n">
        <f aca="false">Headcount!F8</f>
        <v>7</v>
      </c>
      <c r="G8" s="116" t="n">
        <f aca="false">Headcount!G8</f>
        <v>7</v>
      </c>
      <c r="H8" s="116" t="n">
        <f aca="false">Headcount!H8</f>
        <v>7</v>
      </c>
      <c r="I8" s="116" t="n">
        <f aca="false">Headcount!I8</f>
        <v>7</v>
      </c>
      <c r="J8" s="116" t="n">
        <f aca="false">Headcount!J8</f>
        <v>7</v>
      </c>
      <c r="K8" s="116" t="n">
        <f aca="false">Headcount!K8</f>
        <v>7</v>
      </c>
      <c r="L8" s="116" t="n">
        <f aca="false">Headcount!L8</f>
        <v>7</v>
      </c>
      <c r="M8" s="116" t="n">
        <f aca="false">Headcount!M8</f>
        <v>7</v>
      </c>
      <c r="N8" s="116" t="n">
        <f aca="false">Headcount!N8</f>
        <v>7</v>
      </c>
      <c r="O8" s="116" t="n">
        <f aca="false">Headcount!O8</f>
        <v>7.84</v>
      </c>
      <c r="P8" s="116" t="n">
        <f aca="false">Headcount!P8</f>
        <v>7.84</v>
      </c>
      <c r="Q8" s="116" t="n">
        <f aca="false">Headcount!Q8</f>
        <v>7.84</v>
      </c>
      <c r="R8" s="116" t="n">
        <f aca="false">Headcount!R8</f>
        <v>7.84</v>
      </c>
      <c r="S8" s="116" t="n">
        <f aca="false">Headcount!S8</f>
        <v>7.84</v>
      </c>
      <c r="T8" s="116" t="n">
        <f aca="false">Headcount!T8</f>
        <v>7.84</v>
      </c>
      <c r="U8" s="116" t="n">
        <f aca="false">Headcount!U8</f>
        <v>7.84</v>
      </c>
      <c r="V8" s="116" t="n">
        <f aca="false">Headcount!V8</f>
        <v>7.84</v>
      </c>
      <c r="W8" s="116" t="n">
        <f aca="false">Headcount!W8</f>
        <v>7.84</v>
      </c>
      <c r="X8" s="116" t="n">
        <f aca="false">Headcount!X8</f>
        <v>7.84</v>
      </c>
      <c r="Y8" s="116" t="n">
        <f aca="false">Headcount!Y8</f>
        <v>7.84</v>
      </c>
      <c r="Z8" s="116" t="n">
        <f aca="false">Headcount!Z8</f>
        <v>7.84</v>
      </c>
      <c r="AA8" s="116" t="n">
        <f aca="false">Headcount!AA8</f>
        <v>8.7808</v>
      </c>
      <c r="AB8" s="116" t="n">
        <f aca="false">Headcount!AB8</f>
        <v>8.7808</v>
      </c>
      <c r="AC8" s="116" t="n">
        <f aca="false">Headcount!AC8</f>
        <v>8.7808</v>
      </c>
      <c r="AD8" s="116" t="n">
        <f aca="false">Headcount!AD8</f>
        <v>8.7808</v>
      </c>
      <c r="AE8" s="116" t="n">
        <f aca="false">Headcount!AE8</f>
        <v>8.7808</v>
      </c>
      <c r="AF8" s="116" t="n">
        <f aca="false">Headcount!AF8</f>
        <v>8.7808</v>
      </c>
      <c r="AG8" s="116" t="n">
        <f aca="false">Headcount!AG8</f>
        <v>8.7808</v>
      </c>
      <c r="AH8" s="116" t="n">
        <f aca="false">Headcount!AH8</f>
        <v>8.7808</v>
      </c>
      <c r="AI8" s="116" t="n">
        <f aca="false">Headcount!AI8</f>
        <v>8.7808</v>
      </c>
      <c r="AJ8" s="116" t="n">
        <f aca="false">Headcount!AJ8</f>
        <v>8.7808</v>
      </c>
      <c r="AK8" s="116" t="n">
        <f aca="false">Headcount!AK8</f>
        <v>8.7808</v>
      </c>
      <c r="AL8" s="116" t="n">
        <f aca="false">Headcount!AL8</f>
        <v>8.7808</v>
      </c>
    </row>
    <row r="9" customFormat="false" ht="15" hidden="false" customHeight="false" outlineLevel="0" collapsed="false">
      <c r="A9" s="6" t="s">
        <v>376</v>
      </c>
      <c r="C9" s="117" t="n">
        <f aca="false">C8*Inputs!$E$7*Inputs!$E$8*1</f>
        <v>367.5</v>
      </c>
      <c r="D9" s="117" t="n">
        <f aca="false">D8*Inputs!$E$7*Inputs!$E$8*1</f>
        <v>367.5</v>
      </c>
      <c r="E9" s="117" t="n">
        <f aca="false">E8*Inputs!$E$7*Inputs!$E$8*1</f>
        <v>367.5</v>
      </c>
      <c r="F9" s="117" t="n">
        <f aca="false">F8*Inputs!$E$7*Inputs!$E$8*1</f>
        <v>367.5</v>
      </c>
      <c r="G9" s="117" t="n">
        <f aca="false">G8*Inputs!$E$7*Inputs!$E$8*1</f>
        <v>367.5</v>
      </c>
      <c r="H9" s="117" t="n">
        <f aca="false">H8*Inputs!$E$7*Inputs!$E$8*1</f>
        <v>367.5</v>
      </c>
      <c r="I9" s="117" t="n">
        <f aca="false">I8*Inputs!$E$7*Inputs!$E$8*1</f>
        <v>367.5</v>
      </c>
      <c r="J9" s="117" t="n">
        <f aca="false">J8*Inputs!$E$7*Inputs!$E$8*1</f>
        <v>367.5</v>
      </c>
      <c r="K9" s="117" t="n">
        <f aca="false">K8*Inputs!$E$7*Inputs!$E$8*1</f>
        <v>367.5</v>
      </c>
      <c r="L9" s="117" t="n">
        <f aca="false">L8*Inputs!$E$7*Inputs!$E$8*1</f>
        <v>367.5</v>
      </c>
      <c r="M9" s="117" t="n">
        <f aca="false">M8*Inputs!$E$7*Inputs!$E$8*1</f>
        <v>367.5</v>
      </c>
      <c r="N9" s="117" t="n">
        <f aca="false">N8*Inputs!$E$7*Inputs!$E$8*1</f>
        <v>367.5</v>
      </c>
      <c r="O9" s="117" t="n">
        <f aca="false">O8*Inputs!$E$7*Inputs!$E$8*1</f>
        <v>411.6</v>
      </c>
      <c r="P9" s="117" t="n">
        <f aca="false">P8*Inputs!$E$7*Inputs!$E$8*1</f>
        <v>411.6</v>
      </c>
      <c r="Q9" s="117" t="n">
        <f aca="false">Q8*Inputs!$E$7*Inputs!$E$8*1</f>
        <v>411.6</v>
      </c>
      <c r="R9" s="117" t="n">
        <f aca="false">R8*Inputs!$E$7*Inputs!$E$8*1</f>
        <v>411.6</v>
      </c>
      <c r="S9" s="117" t="n">
        <f aca="false">S8*Inputs!$E$7*Inputs!$E$8*1</f>
        <v>411.6</v>
      </c>
      <c r="T9" s="117" t="n">
        <f aca="false">T8*Inputs!$E$7*Inputs!$E$8*1</f>
        <v>411.6</v>
      </c>
      <c r="U9" s="117" t="n">
        <f aca="false">U8*Inputs!$E$7*Inputs!$E$8*1</f>
        <v>411.6</v>
      </c>
      <c r="V9" s="117" t="n">
        <f aca="false">V8*Inputs!$E$7*Inputs!$E$8*1</f>
        <v>411.6</v>
      </c>
      <c r="W9" s="117" t="n">
        <f aca="false">W8*Inputs!$E$7*Inputs!$E$8*1</f>
        <v>411.6</v>
      </c>
      <c r="X9" s="117" t="n">
        <f aca="false">X8*Inputs!$E$7*Inputs!$E$8*1</f>
        <v>411.6</v>
      </c>
      <c r="Y9" s="117" t="n">
        <f aca="false">Y8*Inputs!$E$7*Inputs!$E$8*1</f>
        <v>411.6</v>
      </c>
      <c r="Z9" s="117" t="n">
        <f aca="false">Z8*Inputs!$E$7*Inputs!$E$8*1</f>
        <v>411.6</v>
      </c>
      <c r="AA9" s="117" t="n">
        <f aca="false">AA8*Inputs!$E$7*Inputs!$E$8*1</f>
        <v>460.992</v>
      </c>
      <c r="AB9" s="117" t="n">
        <f aca="false">AB8*Inputs!$E$7*Inputs!$E$8*1</f>
        <v>460.992</v>
      </c>
      <c r="AC9" s="117" t="n">
        <f aca="false">AC8*Inputs!$E$7*Inputs!$E$8*1</f>
        <v>460.992</v>
      </c>
      <c r="AD9" s="117" t="n">
        <f aca="false">AD8*Inputs!$E$7*Inputs!$E$8*1</f>
        <v>460.992</v>
      </c>
      <c r="AE9" s="117" t="n">
        <f aca="false">AE8*Inputs!$E$7*Inputs!$E$8*1</f>
        <v>460.992</v>
      </c>
      <c r="AF9" s="117" t="n">
        <f aca="false">AF8*Inputs!$E$7*Inputs!$E$8*1</f>
        <v>460.992</v>
      </c>
      <c r="AG9" s="117" t="n">
        <f aca="false">AG8*Inputs!$E$7*Inputs!$E$8*1</f>
        <v>460.992</v>
      </c>
      <c r="AH9" s="117" t="n">
        <f aca="false">AH8*Inputs!$E$7*Inputs!$E$8*1</f>
        <v>460.992</v>
      </c>
      <c r="AI9" s="117" t="n">
        <f aca="false">AI8*Inputs!$E$7*Inputs!$E$8*1</f>
        <v>460.992</v>
      </c>
      <c r="AJ9" s="117" t="n">
        <f aca="false">AJ8*Inputs!$E$7*Inputs!$E$8*1</f>
        <v>460.992</v>
      </c>
      <c r="AK9" s="117" t="n">
        <f aca="false">AK8*Inputs!$E$7*Inputs!$E$8*1</f>
        <v>460.992</v>
      </c>
      <c r="AL9" s="117" t="n">
        <f aca="false">AL8*Inputs!$E$7*Inputs!$E$8*1</f>
        <v>460.992</v>
      </c>
    </row>
    <row r="10" customFormat="false" ht="15" hidden="false" customHeight="false" outlineLevel="0" collapsed="false">
      <c r="A10" s="6" t="s">
        <v>377</v>
      </c>
      <c r="C10" s="118" t="n">
        <f aca="false">IF(AND(MOD(C$4-1,12)&gt;=5,MOD(C$4-1,12)&lt;=7),1+Inputs!$E$17,1-Inputs!$E$17/3)</f>
        <v>0.916666666666667</v>
      </c>
      <c r="D10" s="118" t="n">
        <f aca="false">IF(AND(MOD(D$4-1,12)&gt;=5,MOD(D$4-1,12)&lt;=7),1+Inputs!$E$17,1-Inputs!$E$17/3)</f>
        <v>0.916666666666667</v>
      </c>
      <c r="E10" s="118" t="n">
        <f aca="false">IF(AND(MOD(E$4-1,12)&gt;=5,MOD(E$4-1,12)&lt;=7),1+Inputs!$E$17,1-Inputs!$E$17/3)</f>
        <v>0.916666666666667</v>
      </c>
      <c r="F10" s="118" t="n">
        <f aca="false">IF(AND(MOD(F$4-1,12)&gt;=5,MOD(F$4-1,12)&lt;=7),1+Inputs!$E$17,1-Inputs!$E$17/3)</f>
        <v>0.916666666666667</v>
      </c>
      <c r="G10" s="118" t="n">
        <f aca="false">IF(AND(MOD(G$4-1,12)&gt;=5,MOD(G$4-1,12)&lt;=7),1+Inputs!$E$17,1-Inputs!$E$17/3)</f>
        <v>0.916666666666667</v>
      </c>
      <c r="H10" s="118" t="n">
        <f aca="false">IF(AND(MOD(H$4-1,12)&gt;=5,MOD(H$4-1,12)&lt;=7),1+Inputs!$E$17,1-Inputs!$E$17/3)</f>
        <v>1.25</v>
      </c>
      <c r="I10" s="118" t="n">
        <f aca="false">IF(AND(MOD(I$4-1,12)&gt;=5,MOD(I$4-1,12)&lt;=7),1+Inputs!$E$17,1-Inputs!$E$17/3)</f>
        <v>1.25</v>
      </c>
      <c r="J10" s="118" t="n">
        <f aca="false">IF(AND(MOD(J$4-1,12)&gt;=5,MOD(J$4-1,12)&lt;=7),1+Inputs!$E$17,1-Inputs!$E$17/3)</f>
        <v>1.25</v>
      </c>
      <c r="K10" s="118" t="n">
        <f aca="false">IF(AND(MOD(K$4-1,12)&gt;=5,MOD(K$4-1,12)&lt;=7),1+Inputs!$E$17,1-Inputs!$E$17/3)</f>
        <v>0.916666666666667</v>
      </c>
      <c r="L10" s="118" t="n">
        <f aca="false">IF(AND(MOD(L$4-1,12)&gt;=5,MOD(L$4-1,12)&lt;=7),1+Inputs!$E$17,1-Inputs!$E$17/3)</f>
        <v>0.916666666666667</v>
      </c>
      <c r="M10" s="118" t="n">
        <f aca="false">IF(AND(MOD(M$4-1,12)&gt;=5,MOD(M$4-1,12)&lt;=7),1+Inputs!$E$17,1-Inputs!$E$17/3)</f>
        <v>0.916666666666667</v>
      </c>
      <c r="N10" s="118" t="n">
        <f aca="false">IF(AND(MOD(N$4-1,12)&gt;=5,MOD(N$4-1,12)&lt;=7),1+Inputs!$E$17,1-Inputs!$E$17/3)</f>
        <v>0.916666666666667</v>
      </c>
      <c r="O10" s="118" t="n">
        <f aca="false">IF(AND(MOD(O$4-1,12)&gt;=5,MOD(O$4-1,12)&lt;=7),1+Inputs!$E$17,1-Inputs!$E$17/3)</f>
        <v>0.916666666666667</v>
      </c>
      <c r="P10" s="118" t="n">
        <f aca="false">IF(AND(MOD(P$4-1,12)&gt;=5,MOD(P$4-1,12)&lt;=7),1+Inputs!$E$17,1-Inputs!$E$17/3)</f>
        <v>0.916666666666667</v>
      </c>
      <c r="Q10" s="118" t="n">
        <f aca="false">IF(AND(MOD(Q$4-1,12)&gt;=5,MOD(Q$4-1,12)&lt;=7),1+Inputs!$E$17,1-Inputs!$E$17/3)</f>
        <v>0.916666666666667</v>
      </c>
      <c r="R10" s="118" t="n">
        <f aca="false">IF(AND(MOD(R$4-1,12)&gt;=5,MOD(R$4-1,12)&lt;=7),1+Inputs!$E$17,1-Inputs!$E$17/3)</f>
        <v>0.916666666666667</v>
      </c>
      <c r="S10" s="118" t="n">
        <f aca="false">IF(AND(MOD(S$4-1,12)&gt;=5,MOD(S$4-1,12)&lt;=7),1+Inputs!$E$17,1-Inputs!$E$17/3)</f>
        <v>0.916666666666667</v>
      </c>
      <c r="T10" s="118" t="n">
        <f aca="false">IF(AND(MOD(T$4-1,12)&gt;=5,MOD(T$4-1,12)&lt;=7),1+Inputs!$E$17,1-Inputs!$E$17/3)</f>
        <v>1.25</v>
      </c>
      <c r="U10" s="118" t="n">
        <f aca="false">IF(AND(MOD(U$4-1,12)&gt;=5,MOD(U$4-1,12)&lt;=7),1+Inputs!$E$17,1-Inputs!$E$17/3)</f>
        <v>1.25</v>
      </c>
      <c r="V10" s="118" t="n">
        <f aca="false">IF(AND(MOD(V$4-1,12)&gt;=5,MOD(V$4-1,12)&lt;=7),1+Inputs!$E$17,1-Inputs!$E$17/3)</f>
        <v>1.25</v>
      </c>
      <c r="W10" s="118" t="n">
        <f aca="false">IF(AND(MOD(W$4-1,12)&gt;=5,MOD(W$4-1,12)&lt;=7),1+Inputs!$E$17,1-Inputs!$E$17/3)</f>
        <v>0.916666666666667</v>
      </c>
      <c r="X10" s="118" t="n">
        <f aca="false">IF(AND(MOD(X$4-1,12)&gt;=5,MOD(X$4-1,12)&lt;=7),1+Inputs!$E$17,1-Inputs!$E$17/3)</f>
        <v>0.916666666666667</v>
      </c>
      <c r="Y10" s="118" t="n">
        <f aca="false">IF(AND(MOD(Y$4-1,12)&gt;=5,MOD(Y$4-1,12)&lt;=7),1+Inputs!$E$17,1-Inputs!$E$17/3)</f>
        <v>0.916666666666667</v>
      </c>
      <c r="Z10" s="118" t="n">
        <f aca="false">IF(AND(MOD(Z$4-1,12)&gt;=5,MOD(Z$4-1,12)&lt;=7),1+Inputs!$E$17,1-Inputs!$E$17/3)</f>
        <v>0.916666666666667</v>
      </c>
      <c r="AA10" s="118" t="n">
        <f aca="false">IF(AND(MOD(AA$4-1,12)&gt;=5,MOD(AA$4-1,12)&lt;=7),1+Inputs!$E$17,1-Inputs!$E$17/3)</f>
        <v>0.916666666666667</v>
      </c>
      <c r="AB10" s="118" t="n">
        <f aca="false">IF(AND(MOD(AB$4-1,12)&gt;=5,MOD(AB$4-1,12)&lt;=7),1+Inputs!$E$17,1-Inputs!$E$17/3)</f>
        <v>0.916666666666667</v>
      </c>
      <c r="AC10" s="118" t="n">
        <f aca="false">IF(AND(MOD(AC$4-1,12)&gt;=5,MOD(AC$4-1,12)&lt;=7),1+Inputs!$E$17,1-Inputs!$E$17/3)</f>
        <v>0.916666666666667</v>
      </c>
      <c r="AD10" s="118" t="n">
        <f aca="false">IF(AND(MOD(AD$4-1,12)&gt;=5,MOD(AD$4-1,12)&lt;=7),1+Inputs!$E$17,1-Inputs!$E$17/3)</f>
        <v>0.916666666666667</v>
      </c>
      <c r="AE10" s="118" t="n">
        <f aca="false">IF(AND(MOD(AE$4-1,12)&gt;=5,MOD(AE$4-1,12)&lt;=7),1+Inputs!$E$17,1-Inputs!$E$17/3)</f>
        <v>0.916666666666667</v>
      </c>
      <c r="AF10" s="118" t="n">
        <f aca="false">IF(AND(MOD(AF$4-1,12)&gt;=5,MOD(AF$4-1,12)&lt;=7),1+Inputs!$E$17,1-Inputs!$E$17/3)</f>
        <v>1.25</v>
      </c>
      <c r="AG10" s="118" t="n">
        <f aca="false">IF(AND(MOD(AG$4-1,12)&gt;=5,MOD(AG$4-1,12)&lt;=7),1+Inputs!$E$17,1-Inputs!$E$17/3)</f>
        <v>1.25</v>
      </c>
      <c r="AH10" s="118" t="n">
        <f aca="false">IF(AND(MOD(AH$4-1,12)&gt;=5,MOD(AH$4-1,12)&lt;=7),1+Inputs!$E$17,1-Inputs!$E$17/3)</f>
        <v>1.25</v>
      </c>
      <c r="AI10" s="118" t="n">
        <f aca="false">IF(AND(MOD(AI$4-1,12)&gt;=5,MOD(AI$4-1,12)&lt;=7),1+Inputs!$E$17,1-Inputs!$E$17/3)</f>
        <v>0.916666666666667</v>
      </c>
      <c r="AJ10" s="118" t="n">
        <f aca="false">IF(AND(MOD(AJ$4-1,12)&gt;=5,MOD(AJ$4-1,12)&lt;=7),1+Inputs!$E$17,1-Inputs!$E$17/3)</f>
        <v>0.916666666666667</v>
      </c>
      <c r="AK10" s="118" t="n">
        <f aca="false">IF(AND(MOD(AK$4-1,12)&gt;=5,MOD(AK$4-1,12)&lt;=7),1+Inputs!$E$17,1-Inputs!$E$17/3)</f>
        <v>0.916666666666667</v>
      </c>
      <c r="AL10" s="118" t="n">
        <f aca="false">IF(AND(MOD(AL$4-1,12)&gt;=5,MOD(AL$4-1,12)&lt;=7),1+Inputs!$E$17,1-Inputs!$E$17/3)</f>
        <v>0.916666666666667</v>
      </c>
    </row>
    <row r="11" customFormat="false" ht="15" hidden="false" customHeight="false" outlineLevel="0" collapsed="false">
      <c r="A11" s="6" t="s">
        <v>378</v>
      </c>
      <c r="C11" s="117" t="n">
        <f aca="false">-C34/MAX(1,Inputs!$E$13)</f>
        <v>180</v>
      </c>
      <c r="D11" s="117" t="n">
        <f aca="false">-D34/MAX(1,Inputs!$E$13)</f>
        <v>180</v>
      </c>
      <c r="E11" s="117" t="n">
        <f aca="false">-E34/MAX(1,Inputs!$E$13)</f>
        <v>180</v>
      </c>
      <c r="F11" s="117" t="n">
        <f aca="false">-F34/MAX(1,Inputs!$E$13)</f>
        <v>180</v>
      </c>
      <c r="G11" s="117" t="n">
        <f aca="false">-G34/MAX(1,Inputs!$E$13)</f>
        <v>180</v>
      </c>
      <c r="H11" s="117" t="n">
        <f aca="false">-H34/MAX(1,Inputs!$E$13)</f>
        <v>180</v>
      </c>
      <c r="I11" s="117" t="n">
        <f aca="false">-I34/MAX(1,Inputs!$E$13)</f>
        <v>180</v>
      </c>
      <c r="J11" s="117" t="n">
        <f aca="false">-J34/MAX(1,Inputs!$E$13)</f>
        <v>180</v>
      </c>
      <c r="K11" s="117" t="n">
        <f aca="false">-K34/MAX(1,Inputs!$E$13)</f>
        <v>180</v>
      </c>
      <c r="L11" s="117" t="n">
        <f aca="false">-L34/MAX(1,Inputs!$E$13)</f>
        <v>180</v>
      </c>
      <c r="M11" s="117" t="n">
        <f aca="false">-M34/MAX(1,Inputs!$E$13)</f>
        <v>180</v>
      </c>
      <c r="N11" s="117" t="n">
        <f aca="false">-N34/MAX(1,Inputs!$E$13)</f>
        <v>180</v>
      </c>
      <c r="O11" s="117" t="n">
        <f aca="false">-O34/MAX(1,Inputs!$E$13)</f>
        <v>207</v>
      </c>
      <c r="P11" s="117" t="n">
        <f aca="false">-P34/MAX(1,Inputs!$E$13)</f>
        <v>207</v>
      </c>
      <c r="Q11" s="117" t="n">
        <f aca="false">-Q34/MAX(1,Inputs!$E$13)</f>
        <v>207</v>
      </c>
      <c r="R11" s="117" t="n">
        <f aca="false">-R34/MAX(1,Inputs!$E$13)</f>
        <v>207</v>
      </c>
      <c r="S11" s="117" t="n">
        <f aca="false">-S34/MAX(1,Inputs!$E$13)</f>
        <v>207</v>
      </c>
      <c r="T11" s="117" t="n">
        <f aca="false">-T34/MAX(1,Inputs!$E$13)</f>
        <v>207</v>
      </c>
      <c r="U11" s="117" t="n">
        <f aca="false">-U34/MAX(1,Inputs!$E$13)</f>
        <v>207</v>
      </c>
      <c r="V11" s="117" t="n">
        <f aca="false">-V34/MAX(1,Inputs!$E$13)</f>
        <v>207</v>
      </c>
      <c r="W11" s="117" t="n">
        <f aca="false">-W34/MAX(1,Inputs!$E$13)</f>
        <v>207</v>
      </c>
      <c r="X11" s="117" t="n">
        <f aca="false">-X34/MAX(1,Inputs!$E$13)</f>
        <v>207</v>
      </c>
      <c r="Y11" s="117" t="n">
        <f aca="false">-Y34/MAX(1,Inputs!$E$13)</f>
        <v>207</v>
      </c>
      <c r="Z11" s="117" t="n">
        <f aca="false">-Z34/MAX(1,Inputs!$E$13)</f>
        <v>207</v>
      </c>
      <c r="AA11" s="117" t="n">
        <f aca="false">-AA34/MAX(1,Inputs!$E$13)</f>
        <v>238.05</v>
      </c>
      <c r="AB11" s="117" t="n">
        <f aca="false">-AB34/MAX(1,Inputs!$E$13)</f>
        <v>238.05</v>
      </c>
      <c r="AC11" s="117" t="n">
        <f aca="false">-AC34/MAX(1,Inputs!$E$13)</f>
        <v>238.05</v>
      </c>
      <c r="AD11" s="117" t="n">
        <f aca="false">-AD34/MAX(1,Inputs!$E$13)</f>
        <v>238.05</v>
      </c>
      <c r="AE11" s="117" t="n">
        <f aca="false">-AE34/MAX(1,Inputs!$E$13)</f>
        <v>238.05</v>
      </c>
      <c r="AF11" s="117" t="n">
        <f aca="false">-AF34/MAX(1,Inputs!$E$13)</f>
        <v>238.05</v>
      </c>
      <c r="AG11" s="117" t="n">
        <f aca="false">-AG34/MAX(1,Inputs!$E$13)</f>
        <v>238.05</v>
      </c>
      <c r="AH11" s="117" t="n">
        <f aca="false">-AH34/MAX(1,Inputs!$E$13)</f>
        <v>238.05</v>
      </c>
      <c r="AI11" s="117" t="n">
        <f aca="false">-AI34/MAX(1,Inputs!$E$13)</f>
        <v>238.05</v>
      </c>
      <c r="AJ11" s="117" t="n">
        <f aca="false">-AJ34/MAX(1,Inputs!$E$13)</f>
        <v>238.05</v>
      </c>
      <c r="AK11" s="117" t="n">
        <f aca="false">-AK34/MAX(1,Inputs!$E$13)</f>
        <v>238.05</v>
      </c>
      <c r="AL11" s="117" t="n">
        <f aca="false">-AL34/MAX(1,Inputs!$E$13)</f>
        <v>238.05</v>
      </c>
    </row>
    <row r="12" customFormat="false" ht="15" hidden="false" customHeight="false" outlineLevel="0" collapsed="false">
      <c r="A12" s="6" t="s">
        <v>379</v>
      </c>
      <c r="C12" s="117" t="n">
        <f aca="false">C11*Inputs!$E$14*C10</f>
        <v>74.25</v>
      </c>
      <c r="D12" s="117" t="n">
        <f aca="false">D11*Inputs!$E$14*D10</f>
        <v>74.25</v>
      </c>
      <c r="E12" s="117" t="n">
        <f aca="false">E11*Inputs!$E$14*E10</f>
        <v>74.25</v>
      </c>
      <c r="F12" s="117" t="n">
        <f aca="false">F11*Inputs!$E$14*F10</f>
        <v>74.25</v>
      </c>
      <c r="G12" s="117" t="n">
        <f aca="false">G11*Inputs!$E$14*G10</f>
        <v>74.25</v>
      </c>
      <c r="H12" s="117" t="n">
        <f aca="false">H11*Inputs!$E$14*H10</f>
        <v>101.25</v>
      </c>
      <c r="I12" s="117" t="n">
        <f aca="false">I11*Inputs!$E$14*I10</f>
        <v>101.25</v>
      </c>
      <c r="J12" s="117" t="n">
        <f aca="false">J11*Inputs!$E$14*J10</f>
        <v>101.25</v>
      </c>
      <c r="K12" s="117" t="n">
        <f aca="false">K11*Inputs!$E$14*K10</f>
        <v>74.25</v>
      </c>
      <c r="L12" s="117" t="n">
        <f aca="false">L11*Inputs!$E$14*L10</f>
        <v>74.25</v>
      </c>
      <c r="M12" s="117" t="n">
        <f aca="false">M11*Inputs!$E$14*M10</f>
        <v>74.25</v>
      </c>
      <c r="N12" s="117" t="n">
        <f aca="false">N11*Inputs!$E$14*N10</f>
        <v>74.25</v>
      </c>
      <c r="O12" s="117" t="n">
        <f aca="false">O11*Inputs!$E$14*O10</f>
        <v>85.3875</v>
      </c>
      <c r="P12" s="117" t="n">
        <f aca="false">P11*Inputs!$E$14*P10</f>
        <v>85.3875</v>
      </c>
      <c r="Q12" s="117" t="n">
        <f aca="false">Q11*Inputs!$E$14*Q10</f>
        <v>85.3875</v>
      </c>
      <c r="R12" s="117" t="n">
        <f aca="false">R11*Inputs!$E$14*R10</f>
        <v>85.3875</v>
      </c>
      <c r="S12" s="117" t="n">
        <f aca="false">S11*Inputs!$E$14*S10</f>
        <v>85.3875</v>
      </c>
      <c r="T12" s="117" t="n">
        <f aca="false">T11*Inputs!$E$14*T10</f>
        <v>116.4375</v>
      </c>
      <c r="U12" s="117" t="n">
        <f aca="false">U11*Inputs!$E$14*U10</f>
        <v>116.4375</v>
      </c>
      <c r="V12" s="117" t="n">
        <f aca="false">V11*Inputs!$E$14*V10</f>
        <v>116.4375</v>
      </c>
      <c r="W12" s="117" t="n">
        <f aca="false">W11*Inputs!$E$14*W10</f>
        <v>85.3875</v>
      </c>
      <c r="X12" s="117" t="n">
        <f aca="false">X11*Inputs!$E$14*X10</f>
        <v>85.3875</v>
      </c>
      <c r="Y12" s="117" t="n">
        <f aca="false">Y11*Inputs!$E$14*Y10</f>
        <v>85.3875</v>
      </c>
      <c r="Z12" s="117" t="n">
        <f aca="false">Z11*Inputs!$E$14*Z10</f>
        <v>85.3875</v>
      </c>
      <c r="AA12" s="117" t="n">
        <f aca="false">AA11*Inputs!$E$14*AA10</f>
        <v>98.195625</v>
      </c>
      <c r="AB12" s="117" t="n">
        <f aca="false">AB11*Inputs!$E$14*AB10</f>
        <v>98.195625</v>
      </c>
      <c r="AC12" s="117" t="n">
        <f aca="false">AC11*Inputs!$E$14*AC10</f>
        <v>98.195625</v>
      </c>
      <c r="AD12" s="117" t="n">
        <f aca="false">AD11*Inputs!$E$14*AD10</f>
        <v>98.195625</v>
      </c>
      <c r="AE12" s="117" t="n">
        <f aca="false">AE11*Inputs!$E$14*AE10</f>
        <v>98.195625</v>
      </c>
      <c r="AF12" s="117" t="n">
        <f aca="false">AF11*Inputs!$E$14*AF10</f>
        <v>133.903125</v>
      </c>
      <c r="AG12" s="117" t="n">
        <f aca="false">AG11*Inputs!$E$14*AG10</f>
        <v>133.903125</v>
      </c>
      <c r="AH12" s="117" t="n">
        <f aca="false">AH11*Inputs!$E$14*AH10</f>
        <v>133.903125</v>
      </c>
      <c r="AI12" s="117" t="n">
        <f aca="false">AI11*Inputs!$E$14*AI10</f>
        <v>98.195625</v>
      </c>
      <c r="AJ12" s="117" t="n">
        <f aca="false">AJ11*Inputs!$E$14*AJ10</f>
        <v>98.195625</v>
      </c>
      <c r="AK12" s="117" t="n">
        <f aca="false">AK11*Inputs!$E$14*AK10</f>
        <v>98.195625</v>
      </c>
      <c r="AL12" s="117" t="n">
        <f aca="false">AL11*Inputs!$E$14*AL10</f>
        <v>98.195625</v>
      </c>
    </row>
    <row r="13" customFormat="false" ht="15" hidden="false" customHeight="false" outlineLevel="0" collapsed="false">
      <c r="A13" s="6" t="s">
        <v>380</v>
      </c>
      <c r="C13" s="117" t="n">
        <f aca="false">Inputs!$E$15*(1+Inputs!$E$16)^(C$5-1)*1*C10</f>
        <v>210.833333333333</v>
      </c>
      <c r="D13" s="117" t="n">
        <f aca="false">Inputs!$E$15*(1+Inputs!$E$16)^(D$5-1)*1*D10</f>
        <v>210.833333333333</v>
      </c>
      <c r="E13" s="117" t="n">
        <f aca="false">Inputs!$E$15*(1+Inputs!$E$16)^(E$5-1)*1*E10</f>
        <v>210.833333333333</v>
      </c>
      <c r="F13" s="117" t="n">
        <f aca="false">Inputs!$E$15*(1+Inputs!$E$16)^(F$5-1)*1*F10</f>
        <v>210.833333333333</v>
      </c>
      <c r="G13" s="117" t="n">
        <f aca="false">Inputs!$E$15*(1+Inputs!$E$16)^(G$5-1)*1*G10</f>
        <v>210.833333333333</v>
      </c>
      <c r="H13" s="117" t="n">
        <f aca="false">Inputs!$E$15*(1+Inputs!$E$16)^(H$5-1)*1*H10</f>
        <v>287.5</v>
      </c>
      <c r="I13" s="117" t="n">
        <f aca="false">Inputs!$E$15*(1+Inputs!$E$16)^(I$5-1)*1*I10</f>
        <v>287.5</v>
      </c>
      <c r="J13" s="117" t="n">
        <f aca="false">Inputs!$E$15*(1+Inputs!$E$16)^(J$5-1)*1*J10</f>
        <v>287.5</v>
      </c>
      <c r="K13" s="117" t="n">
        <f aca="false">Inputs!$E$15*(1+Inputs!$E$16)^(K$5-1)*1*K10</f>
        <v>210.833333333333</v>
      </c>
      <c r="L13" s="117" t="n">
        <f aca="false">Inputs!$E$15*(1+Inputs!$E$16)^(L$5-1)*1*L10</f>
        <v>210.833333333333</v>
      </c>
      <c r="M13" s="117" t="n">
        <f aca="false">Inputs!$E$15*(1+Inputs!$E$16)^(M$5-1)*1*M10</f>
        <v>210.833333333333</v>
      </c>
      <c r="N13" s="117" t="n">
        <f aca="false">Inputs!$E$15*(1+Inputs!$E$16)^(N$5-1)*1*N10</f>
        <v>210.833333333333</v>
      </c>
      <c r="O13" s="117" t="n">
        <f aca="false">Inputs!$E$15*(1+Inputs!$E$16)^(O$5-1)*1*O10</f>
        <v>242.458333333333</v>
      </c>
      <c r="P13" s="117" t="n">
        <f aca="false">Inputs!$E$15*(1+Inputs!$E$16)^(P$5-1)*1*P10</f>
        <v>242.458333333333</v>
      </c>
      <c r="Q13" s="117" t="n">
        <f aca="false">Inputs!$E$15*(1+Inputs!$E$16)^(Q$5-1)*1*Q10</f>
        <v>242.458333333333</v>
      </c>
      <c r="R13" s="117" t="n">
        <f aca="false">Inputs!$E$15*(1+Inputs!$E$16)^(R$5-1)*1*R10</f>
        <v>242.458333333333</v>
      </c>
      <c r="S13" s="117" t="n">
        <f aca="false">Inputs!$E$15*(1+Inputs!$E$16)^(S$5-1)*1*S10</f>
        <v>242.458333333333</v>
      </c>
      <c r="T13" s="117" t="n">
        <f aca="false">Inputs!$E$15*(1+Inputs!$E$16)^(T$5-1)*1*T10</f>
        <v>330.625</v>
      </c>
      <c r="U13" s="117" t="n">
        <f aca="false">Inputs!$E$15*(1+Inputs!$E$16)^(U$5-1)*1*U10</f>
        <v>330.625</v>
      </c>
      <c r="V13" s="117" t="n">
        <f aca="false">Inputs!$E$15*(1+Inputs!$E$16)^(V$5-1)*1*V10</f>
        <v>330.625</v>
      </c>
      <c r="W13" s="117" t="n">
        <f aca="false">Inputs!$E$15*(1+Inputs!$E$16)^(W$5-1)*1*W10</f>
        <v>242.458333333333</v>
      </c>
      <c r="X13" s="117" t="n">
        <f aca="false">Inputs!$E$15*(1+Inputs!$E$16)^(X$5-1)*1*X10</f>
        <v>242.458333333333</v>
      </c>
      <c r="Y13" s="117" t="n">
        <f aca="false">Inputs!$E$15*(1+Inputs!$E$16)^(Y$5-1)*1*Y10</f>
        <v>242.458333333333</v>
      </c>
      <c r="Z13" s="117" t="n">
        <f aca="false">Inputs!$E$15*(1+Inputs!$E$16)^(Z$5-1)*1*Z10</f>
        <v>242.458333333333</v>
      </c>
      <c r="AA13" s="117" t="n">
        <f aca="false">Inputs!$E$15*(1+Inputs!$E$16)^(AA$5-1)*1*AA10</f>
        <v>278.827083333333</v>
      </c>
      <c r="AB13" s="117" t="n">
        <f aca="false">Inputs!$E$15*(1+Inputs!$E$16)^(AB$5-1)*1*AB10</f>
        <v>278.827083333333</v>
      </c>
      <c r="AC13" s="117" t="n">
        <f aca="false">Inputs!$E$15*(1+Inputs!$E$16)^(AC$5-1)*1*AC10</f>
        <v>278.827083333333</v>
      </c>
      <c r="AD13" s="117" t="n">
        <f aca="false">Inputs!$E$15*(1+Inputs!$E$16)^(AD$5-1)*1*AD10</f>
        <v>278.827083333333</v>
      </c>
      <c r="AE13" s="117" t="n">
        <f aca="false">Inputs!$E$15*(1+Inputs!$E$16)^(AE$5-1)*1*AE10</f>
        <v>278.827083333333</v>
      </c>
      <c r="AF13" s="117" t="n">
        <f aca="false">Inputs!$E$15*(1+Inputs!$E$16)^(AF$5-1)*1*AF10</f>
        <v>380.21875</v>
      </c>
      <c r="AG13" s="117" t="n">
        <f aca="false">Inputs!$E$15*(1+Inputs!$E$16)^(AG$5-1)*1*AG10</f>
        <v>380.21875</v>
      </c>
      <c r="AH13" s="117" t="n">
        <f aca="false">Inputs!$E$15*(1+Inputs!$E$16)^(AH$5-1)*1*AH10</f>
        <v>380.21875</v>
      </c>
      <c r="AI13" s="117" t="n">
        <f aca="false">Inputs!$E$15*(1+Inputs!$E$16)^(AI$5-1)*1*AI10</f>
        <v>278.827083333333</v>
      </c>
      <c r="AJ13" s="117" t="n">
        <f aca="false">Inputs!$E$15*(1+Inputs!$E$16)^(AJ$5-1)*1*AJ10</f>
        <v>278.827083333333</v>
      </c>
      <c r="AK13" s="117" t="n">
        <f aca="false">Inputs!$E$15*(1+Inputs!$E$16)^(AK$5-1)*1*AK10</f>
        <v>278.827083333333</v>
      </c>
      <c r="AL13" s="117" t="n">
        <f aca="false">Inputs!$E$15*(1+Inputs!$E$16)^(AL$5-1)*1*AL10</f>
        <v>278.827083333333</v>
      </c>
    </row>
    <row r="14" customFormat="false" ht="15" hidden="false" customHeight="false" outlineLevel="0" collapsed="false">
      <c r="A14" s="6" t="s">
        <v>232</v>
      </c>
      <c r="C14" s="117" t="n">
        <f aca="false">C12+C13</f>
        <v>285.083333333333</v>
      </c>
      <c r="D14" s="117" t="n">
        <f aca="false">D12+D13</f>
        <v>285.083333333333</v>
      </c>
      <c r="E14" s="117" t="n">
        <f aca="false">E12+E13</f>
        <v>285.083333333333</v>
      </c>
      <c r="F14" s="117" t="n">
        <f aca="false">F12+F13</f>
        <v>285.083333333333</v>
      </c>
      <c r="G14" s="117" t="n">
        <f aca="false">G12+G13</f>
        <v>285.083333333333</v>
      </c>
      <c r="H14" s="117" t="n">
        <f aca="false">H12+H13</f>
        <v>388.75</v>
      </c>
      <c r="I14" s="117" t="n">
        <f aca="false">I12+I13</f>
        <v>388.75</v>
      </c>
      <c r="J14" s="117" t="n">
        <f aca="false">J12+J13</f>
        <v>388.75</v>
      </c>
      <c r="K14" s="117" t="n">
        <f aca="false">K12+K13</f>
        <v>285.083333333333</v>
      </c>
      <c r="L14" s="117" t="n">
        <f aca="false">L12+L13</f>
        <v>285.083333333333</v>
      </c>
      <c r="M14" s="117" t="n">
        <f aca="false">M12+M13</f>
        <v>285.083333333333</v>
      </c>
      <c r="N14" s="117" t="n">
        <f aca="false">N12+N13</f>
        <v>285.083333333333</v>
      </c>
      <c r="O14" s="117" t="n">
        <f aca="false">O12+O13</f>
        <v>327.845833333333</v>
      </c>
      <c r="P14" s="117" t="n">
        <f aca="false">P12+P13</f>
        <v>327.845833333333</v>
      </c>
      <c r="Q14" s="117" t="n">
        <f aca="false">Q12+Q13</f>
        <v>327.845833333333</v>
      </c>
      <c r="R14" s="117" t="n">
        <f aca="false">R12+R13</f>
        <v>327.845833333333</v>
      </c>
      <c r="S14" s="117" t="n">
        <f aca="false">S12+S13</f>
        <v>327.845833333333</v>
      </c>
      <c r="T14" s="117" t="n">
        <f aca="false">T12+T13</f>
        <v>447.0625</v>
      </c>
      <c r="U14" s="117" t="n">
        <f aca="false">U12+U13</f>
        <v>447.0625</v>
      </c>
      <c r="V14" s="117" t="n">
        <f aca="false">V12+V13</f>
        <v>447.0625</v>
      </c>
      <c r="W14" s="117" t="n">
        <f aca="false">W12+W13</f>
        <v>327.845833333333</v>
      </c>
      <c r="X14" s="117" t="n">
        <f aca="false">X12+X13</f>
        <v>327.845833333333</v>
      </c>
      <c r="Y14" s="117" t="n">
        <f aca="false">Y12+Y13</f>
        <v>327.845833333333</v>
      </c>
      <c r="Z14" s="117" t="n">
        <f aca="false">Z12+Z13</f>
        <v>327.845833333333</v>
      </c>
      <c r="AA14" s="117" t="n">
        <f aca="false">AA12+AA13</f>
        <v>377.022708333333</v>
      </c>
      <c r="AB14" s="117" t="n">
        <f aca="false">AB12+AB13</f>
        <v>377.022708333333</v>
      </c>
      <c r="AC14" s="117" t="n">
        <f aca="false">AC12+AC13</f>
        <v>377.022708333333</v>
      </c>
      <c r="AD14" s="117" t="n">
        <f aca="false">AD12+AD13</f>
        <v>377.022708333333</v>
      </c>
      <c r="AE14" s="117" t="n">
        <f aca="false">AE12+AE13</f>
        <v>377.022708333333</v>
      </c>
      <c r="AF14" s="117" t="n">
        <f aca="false">AF12+AF13</f>
        <v>514.121875</v>
      </c>
      <c r="AG14" s="117" t="n">
        <f aca="false">AG12+AG13</f>
        <v>514.121875</v>
      </c>
      <c r="AH14" s="117" t="n">
        <f aca="false">AH12+AH13</f>
        <v>514.121875</v>
      </c>
      <c r="AI14" s="117" t="n">
        <f aca="false">AI12+AI13</f>
        <v>377.022708333333</v>
      </c>
      <c r="AJ14" s="117" t="n">
        <f aca="false">AJ12+AJ13</f>
        <v>377.022708333333</v>
      </c>
      <c r="AK14" s="117" t="n">
        <f aca="false">AK12+AK13</f>
        <v>377.022708333333</v>
      </c>
      <c r="AL14" s="117" t="n">
        <f aca="false">AL12+AL13</f>
        <v>377.022708333333</v>
      </c>
    </row>
    <row r="15" customFormat="false" ht="15" hidden="false" customHeight="false" outlineLevel="0" collapsed="false">
      <c r="A15" s="4" t="s">
        <v>381</v>
      </c>
      <c r="C15" s="119" t="n">
        <f aca="false">MIN(C9,C14)</f>
        <v>285.083333333333</v>
      </c>
      <c r="D15" s="119" t="n">
        <f aca="false">MIN(D9,D14)</f>
        <v>285.083333333333</v>
      </c>
      <c r="E15" s="119" t="n">
        <f aca="false">MIN(E9,E14)</f>
        <v>285.083333333333</v>
      </c>
      <c r="F15" s="119" t="n">
        <f aca="false">MIN(F9,F14)</f>
        <v>285.083333333333</v>
      </c>
      <c r="G15" s="119" t="n">
        <f aca="false">MIN(G9,G14)</f>
        <v>285.083333333333</v>
      </c>
      <c r="H15" s="119" t="n">
        <f aca="false">MIN(H9,H14)</f>
        <v>367.5</v>
      </c>
      <c r="I15" s="119" t="n">
        <f aca="false">MIN(I9,I14)</f>
        <v>367.5</v>
      </c>
      <c r="J15" s="119" t="n">
        <f aca="false">MIN(J9,J14)</f>
        <v>367.5</v>
      </c>
      <c r="K15" s="119" t="n">
        <f aca="false">MIN(K9,K14)</f>
        <v>285.083333333333</v>
      </c>
      <c r="L15" s="119" t="n">
        <f aca="false">MIN(L9,L14)</f>
        <v>285.083333333333</v>
      </c>
      <c r="M15" s="119" t="n">
        <f aca="false">MIN(M9,M14)</f>
        <v>285.083333333333</v>
      </c>
      <c r="N15" s="119" t="n">
        <f aca="false">MIN(N9,N14)</f>
        <v>285.083333333333</v>
      </c>
      <c r="O15" s="119" t="n">
        <f aca="false">MIN(O9,O14)</f>
        <v>327.845833333333</v>
      </c>
      <c r="P15" s="119" t="n">
        <f aca="false">MIN(P9,P14)</f>
        <v>327.845833333333</v>
      </c>
      <c r="Q15" s="119" t="n">
        <f aca="false">MIN(Q9,Q14)</f>
        <v>327.845833333333</v>
      </c>
      <c r="R15" s="119" t="n">
        <f aca="false">MIN(R9,R14)</f>
        <v>327.845833333333</v>
      </c>
      <c r="S15" s="119" t="n">
        <f aca="false">MIN(S9,S14)</f>
        <v>327.845833333333</v>
      </c>
      <c r="T15" s="119" t="n">
        <f aca="false">MIN(T9,T14)</f>
        <v>411.6</v>
      </c>
      <c r="U15" s="119" t="n">
        <f aca="false">MIN(U9,U14)</f>
        <v>411.6</v>
      </c>
      <c r="V15" s="119" t="n">
        <f aca="false">MIN(V9,V14)</f>
        <v>411.6</v>
      </c>
      <c r="W15" s="119" t="n">
        <f aca="false">MIN(W9,W14)</f>
        <v>327.845833333333</v>
      </c>
      <c r="X15" s="119" t="n">
        <f aca="false">MIN(X9,X14)</f>
        <v>327.845833333333</v>
      </c>
      <c r="Y15" s="119" t="n">
        <f aca="false">MIN(Y9,Y14)</f>
        <v>327.845833333333</v>
      </c>
      <c r="Z15" s="119" t="n">
        <f aca="false">MIN(Z9,Z14)</f>
        <v>327.845833333333</v>
      </c>
      <c r="AA15" s="119" t="n">
        <f aca="false">MIN(AA9,AA14)</f>
        <v>377.022708333333</v>
      </c>
      <c r="AB15" s="119" t="n">
        <f aca="false">MIN(AB9,AB14)</f>
        <v>377.022708333333</v>
      </c>
      <c r="AC15" s="119" t="n">
        <f aca="false">MIN(AC9,AC14)</f>
        <v>377.022708333333</v>
      </c>
      <c r="AD15" s="119" t="n">
        <f aca="false">MIN(AD9,AD14)</f>
        <v>377.022708333333</v>
      </c>
      <c r="AE15" s="119" t="n">
        <f aca="false">MIN(AE9,AE14)</f>
        <v>377.022708333333</v>
      </c>
      <c r="AF15" s="119" t="n">
        <f aca="false">MIN(AF9,AF14)</f>
        <v>460.992</v>
      </c>
      <c r="AG15" s="119" t="n">
        <f aca="false">MIN(AG9,AG14)</f>
        <v>460.992</v>
      </c>
      <c r="AH15" s="119" t="n">
        <f aca="false">MIN(AH9,AH14)</f>
        <v>460.992</v>
      </c>
      <c r="AI15" s="119" t="n">
        <f aca="false">MIN(AI9,AI14)</f>
        <v>377.022708333333</v>
      </c>
      <c r="AJ15" s="119" t="n">
        <f aca="false">MIN(AJ9,AJ14)</f>
        <v>377.022708333333</v>
      </c>
      <c r="AK15" s="119" t="n">
        <f aca="false">MIN(AK9,AK14)</f>
        <v>377.022708333333</v>
      </c>
      <c r="AL15" s="119" t="n">
        <f aca="false">MIN(AL9,AL14)</f>
        <v>377.022708333333</v>
      </c>
    </row>
    <row r="17" customFormat="false" ht="15.75" hidden="false" customHeight="true" outlineLevel="0" collapsed="false">
      <c r="A17" s="7" t="s">
        <v>44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customFormat="false" ht="15" hidden="false" customHeight="false" outlineLevel="0" collapsed="false">
      <c r="A18" s="6" t="s">
        <v>60</v>
      </c>
      <c r="C18" s="120" t="n">
        <f aca="false">Inputs!$E$20*(1+Inputs!$E$21)^(C$5-1)</f>
        <v>440</v>
      </c>
      <c r="D18" s="120" t="n">
        <f aca="false">Inputs!$E$20*(1+Inputs!$E$21)^(D$5-1)</f>
        <v>440</v>
      </c>
      <c r="E18" s="120" t="n">
        <f aca="false">Inputs!$E$20*(1+Inputs!$E$21)^(E$5-1)</f>
        <v>440</v>
      </c>
      <c r="F18" s="120" t="n">
        <f aca="false">Inputs!$E$20*(1+Inputs!$E$21)^(F$5-1)</f>
        <v>440</v>
      </c>
      <c r="G18" s="120" t="n">
        <f aca="false">Inputs!$E$20*(1+Inputs!$E$21)^(G$5-1)</f>
        <v>440</v>
      </c>
      <c r="H18" s="120" t="n">
        <f aca="false">Inputs!$E$20*(1+Inputs!$E$21)^(H$5-1)</f>
        <v>440</v>
      </c>
      <c r="I18" s="120" t="n">
        <f aca="false">Inputs!$E$20*(1+Inputs!$E$21)^(I$5-1)</f>
        <v>440</v>
      </c>
      <c r="J18" s="120" t="n">
        <f aca="false">Inputs!$E$20*(1+Inputs!$E$21)^(J$5-1)</f>
        <v>440</v>
      </c>
      <c r="K18" s="120" t="n">
        <f aca="false">Inputs!$E$20*(1+Inputs!$E$21)^(K$5-1)</f>
        <v>440</v>
      </c>
      <c r="L18" s="120" t="n">
        <f aca="false">Inputs!$E$20*(1+Inputs!$E$21)^(L$5-1)</f>
        <v>440</v>
      </c>
      <c r="M18" s="120" t="n">
        <f aca="false">Inputs!$E$20*(1+Inputs!$E$21)^(M$5-1)</f>
        <v>440</v>
      </c>
      <c r="N18" s="120" t="n">
        <f aca="false">Inputs!$E$20*(1+Inputs!$E$21)^(N$5-1)</f>
        <v>440</v>
      </c>
      <c r="O18" s="120" t="n">
        <f aca="false">Inputs!$E$20*(1+Inputs!$E$21)^(O$5-1)</f>
        <v>453.2</v>
      </c>
      <c r="P18" s="120" t="n">
        <f aca="false">Inputs!$E$20*(1+Inputs!$E$21)^(P$5-1)</f>
        <v>453.2</v>
      </c>
      <c r="Q18" s="120" t="n">
        <f aca="false">Inputs!$E$20*(1+Inputs!$E$21)^(Q$5-1)</f>
        <v>453.2</v>
      </c>
      <c r="R18" s="120" t="n">
        <f aca="false">Inputs!$E$20*(1+Inputs!$E$21)^(R$5-1)</f>
        <v>453.2</v>
      </c>
      <c r="S18" s="120" t="n">
        <f aca="false">Inputs!$E$20*(1+Inputs!$E$21)^(S$5-1)</f>
        <v>453.2</v>
      </c>
      <c r="T18" s="120" t="n">
        <f aca="false">Inputs!$E$20*(1+Inputs!$E$21)^(T$5-1)</f>
        <v>453.2</v>
      </c>
      <c r="U18" s="120" t="n">
        <f aca="false">Inputs!$E$20*(1+Inputs!$E$21)^(U$5-1)</f>
        <v>453.2</v>
      </c>
      <c r="V18" s="120" t="n">
        <f aca="false">Inputs!$E$20*(1+Inputs!$E$21)^(V$5-1)</f>
        <v>453.2</v>
      </c>
      <c r="W18" s="120" t="n">
        <f aca="false">Inputs!$E$20*(1+Inputs!$E$21)^(W$5-1)</f>
        <v>453.2</v>
      </c>
      <c r="X18" s="120" t="n">
        <f aca="false">Inputs!$E$20*(1+Inputs!$E$21)^(X$5-1)</f>
        <v>453.2</v>
      </c>
      <c r="Y18" s="120" t="n">
        <f aca="false">Inputs!$E$20*(1+Inputs!$E$21)^(Y$5-1)</f>
        <v>453.2</v>
      </c>
      <c r="Z18" s="120" t="n">
        <f aca="false">Inputs!$E$20*(1+Inputs!$E$21)^(Z$5-1)</f>
        <v>453.2</v>
      </c>
      <c r="AA18" s="120" t="n">
        <f aca="false">Inputs!$E$20*(1+Inputs!$E$21)^(AA$5-1)</f>
        <v>466.796</v>
      </c>
      <c r="AB18" s="120" t="n">
        <f aca="false">Inputs!$E$20*(1+Inputs!$E$21)^(AB$5-1)</f>
        <v>466.796</v>
      </c>
      <c r="AC18" s="120" t="n">
        <f aca="false">Inputs!$E$20*(1+Inputs!$E$21)^(AC$5-1)</f>
        <v>466.796</v>
      </c>
      <c r="AD18" s="120" t="n">
        <f aca="false">Inputs!$E$20*(1+Inputs!$E$21)^(AD$5-1)</f>
        <v>466.796</v>
      </c>
      <c r="AE18" s="120" t="n">
        <f aca="false">Inputs!$E$20*(1+Inputs!$E$21)^(AE$5-1)</f>
        <v>466.796</v>
      </c>
      <c r="AF18" s="120" t="n">
        <f aca="false">Inputs!$E$20*(1+Inputs!$E$21)^(AF$5-1)</f>
        <v>466.796</v>
      </c>
      <c r="AG18" s="120" t="n">
        <f aca="false">Inputs!$E$20*(1+Inputs!$E$21)^(AG$5-1)</f>
        <v>466.796</v>
      </c>
      <c r="AH18" s="120" t="n">
        <f aca="false">Inputs!$E$20*(1+Inputs!$E$21)^(AH$5-1)</f>
        <v>466.796</v>
      </c>
      <c r="AI18" s="120" t="n">
        <f aca="false">Inputs!$E$20*(1+Inputs!$E$21)^(AI$5-1)</f>
        <v>466.796</v>
      </c>
      <c r="AJ18" s="120" t="n">
        <f aca="false">Inputs!$E$20*(1+Inputs!$E$21)^(AJ$5-1)</f>
        <v>466.796</v>
      </c>
      <c r="AK18" s="120" t="n">
        <f aca="false">Inputs!$E$20*(1+Inputs!$E$21)^(AK$5-1)</f>
        <v>466.796</v>
      </c>
      <c r="AL18" s="120" t="n">
        <f aca="false">Inputs!$E$20*(1+Inputs!$E$21)^(AL$5-1)</f>
        <v>466.796</v>
      </c>
    </row>
    <row r="19" customFormat="false" ht="15" hidden="false" customHeight="false" outlineLevel="0" collapsed="false">
      <c r="A19" s="6" t="s">
        <v>238</v>
      </c>
      <c r="C19" s="67" t="n">
        <f aca="false">C15*C18</f>
        <v>125436.666666667</v>
      </c>
      <c r="D19" s="67" t="n">
        <f aca="false">D15*D18</f>
        <v>125436.666666667</v>
      </c>
      <c r="E19" s="67" t="n">
        <f aca="false">E15*E18</f>
        <v>125436.666666667</v>
      </c>
      <c r="F19" s="67" t="n">
        <f aca="false">F15*F18</f>
        <v>125436.666666667</v>
      </c>
      <c r="G19" s="67" t="n">
        <f aca="false">G15*G18</f>
        <v>125436.666666667</v>
      </c>
      <c r="H19" s="67" t="n">
        <f aca="false">H15*H18</f>
        <v>161700</v>
      </c>
      <c r="I19" s="67" t="n">
        <f aca="false">I15*I18</f>
        <v>161700</v>
      </c>
      <c r="J19" s="67" t="n">
        <f aca="false">J15*J18</f>
        <v>161700</v>
      </c>
      <c r="K19" s="67" t="n">
        <f aca="false">K15*K18</f>
        <v>125436.666666667</v>
      </c>
      <c r="L19" s="67" t="n">
        <f aca="false">L15*L18</f>
        <v>125436.666666667</v>
      </c>
      <c r="M19" s="67" t="n">
        <f aca="false">M15*M18</f>
        <v>125436.666666667</v>
      </c>
      <c r="N19" s="67" t="n">
        <f aca="false">N15*N18</f>
        <v>125436.666666667</v>
      </c>
      <c r="O19" s="67" t="n">
        <f aca="false">O15*O18</f>
        <v>148579.731666667</v>
      </c>
      <c r="P19" s="67" t="n">
        <f aca="false">P15*P18</f>
        <v>148579.731666667</v>
      </c>
      <c r="Q19" s="67" t="n">
        <f aca="false">Q15*Q18</f>
        <v>148579.731666667</v>
      </c>
      <c r="R19" s="67" t="n">
        <f aca="false">R15*R18</f>
        <v>148579.731666667</v>
      </c>
      <c r="S19" s="67" t="n">
        <f aca="false">S15*S18</f>
        <v>148579.731666667</v>
      </c>
      <c r="T19" s="67" t="n">
        <f aca="false">T15*T18</f>
        <v>186537.12</v>
      </c>
      <c r="U19" s="67" t="n">
        <f aca="false">U15*U18</f>
        <v>186537.12</v>
      </c>
      <c r="V19" s="67" t="n">
        <f aca="false">V15*V18</f>
        <v>186537.12</v>
      </c>
      <c r="W19" s="67" t="n">
        <f aca="false">W15*W18</f>
        <v>148579.731666667</v>
      </c>
      <c r="X19" s="67" t="n">
        <f aca="false">X15*X18</f>
        <v>148579.731666667</v>
      </c>
      <c r="Y19" s="67" t="n">
        <f aca="false">Y15*Y18</f>
        <v>148579.731666667</v>
      </c>
      <c r="Z19" s="67" t="n">
        <f aca="false">Z15*Z18</f>
        <v>148579.731666667</v>
      </c>
      <c r="AA19" s="67" t="n">
        <f aca="false">AA15*AA18</f>
        <v>175992.692159167</v>
      </c>
      <c r="AB19" s="67" t="n">
        <f aca="false">AB15*AB18</f>
        <v>175992.692159167</v>
      </c>
      <c r="AC19" s="67" t="n">
        <f aca="false">AC15*AC18</f>
        <v>175992.692159167</v>
      </c>
      <c r="AD19" s="67" t="n">
        <f aca="false">AD15*AD18</f>
        <v>175992.692159167</v>
      </c>
      <c r="AE19" s="67" t="n">
        <f aca="false">AE15*AE18</f>
        <v>175992.692159167</v>
      </c>
      <c r="AF19" s="67" t="n">
        <f aca="false">AF15*AF18</f>
        <v>215189.221632</v>
      </c>
      <c r="AG19" s="67" t="n">
        <f aca="false">AG15*AG18</f>
        <v>215189.221632</v>
      </c>
      <c r="AH19" s="67" t="n">
        <f aca="false">AH15*AH18</f>
        <v>215189.221632</v>
      </c>
      <c r="AI19" s="67" t="n">
        <f aca="false">AI15*AI18</f>
        <v>175992.692159167</v>
      </c>
      <c r="AJ19" s="67" t="n">
        <f aca="false">AJ15*AJ18</f>
        <v>175992.692159167</v>
      </c>
      <c r="AK19" s="67" t="n">
        <f aca="false">AK15*AK18</f>
        <v>175992.692159167</v>
      </c>
      <c r="AL19" s="67" t="n">
        <f aca="false">AL15*AL18</f>
        <v>175992.692159167</v>
      </c>
    </row>
    <row r="20" customFormat="false" ht="15" hidden="false" customHeight="false" outlineLevel="0" collapsed="false">
      <c r="A20" s="6" t="s">
        <v>382</v>
      </c>
      <c r="C20" s="117" t="n">
        <f aca="false">Inputs!$E$24*(1+Inputs!$E$25)^(C$5-1)</f>
        <v>400</v>
      </c>
      <c r="D20" s="117" t="n">
        <f aca="false">Inputs!$E$24*(1+Inputs!$E$25)^(D$5-1)</f>
        <v>400</v>
      </c>
      <c r="E20" s="117" t="n">
        <f aca="false">Inputs!$E$24*(1+Inputs!$E$25)^(E$5-1)</f>
        <v>400</v>
      </c>
      <c r="F20" s="117" t="n">
        <f aca="false">Inputs!$E$24*(1+Inputs!$E$25)^(F$5-1)</f>
        <v>400</v>
      </c>
      <c r="G20" s="117" t="n">
        <f aca="false">Inputs!$E$24*(1+Inputs!$E$25)^(G$5-1)</f>
        <v>400</v>
      </c>
      <c r="H20" s="117" t="n">
        <f aca="false">Inputs!$E$24*(1+Inputs!$E$25)^(H$5-1)</f>
        <v>400</v>
      </c>
      <c r="I20" s="117" t="n">
        <f aca="false">Inputs!$E$24*(1+Inputs!$E$25)^(I$5-1)</f>
        <v>400</v>
      </c>
      <c r="J20" s="117" t="n">
        <f aca="false">Inputs!$E$24*(1+Inputs!$E$25)^(J$5-1)</f>
        <v>400</v>
      </c>
      <c r="K20" s="117" t="n">
        <f aca="false">Inputs!$E$24*(1+Inputs!$E$25)^(K$5-1)</f>
        <v>400</v>
      </c>
      <c r="L20" s="117" t="n">
        <f aca="false">Inputs!$E$24*(1+Inputs!$E$25)^(L$5-1)</f>
        <v>400</v>
      </c>
      <c r="M20" s="117" t="n">
        <f aca="false">Inputs!$E$24*(1+Inputs!$E$25)^(M$5-1)</f>
        <v>400</v>
      </c>
      <c r="N20" s="117" t="n">
        <f aca="false">Inputs!$E$24*(1+Inputs!$E$25)^(N$5-1)</f>
        <v>400</v>
      </c>
      <c r="O20" s="117" t="n">
        <f aca="false">Inputs!$E$24*(1+Inputs!$E$25)^(O$5-1)</f>
        <v>480</v>
      </c>
      <c r="P20" s="117" t="n">
        <f aca="false">Inputs!$E$24*(1+Inputs!$E$25)^(P$5-1)</f>
        <v>480</v>
      </c>
      <c r="Q20" s="117" t="n">
        <f aca="false">Inputs!$E$24*(1+Inputs!$E$25)^(Q$5-1)</f>
        <v>480</v>
      </c>
      <c r="R20" s="117" t="n">
        <f aca="false">Inputs!$E$24*(1+Inputs!$E$25)^(R$5-1)</f>
        <v>480</v>
      </c>
      <c r="S20" s="117" t="n">
        <f aca="false">Inputs!$E$24*(1+Inputs!$E$25)^(S$5-1)</f>
        <v>480</v>
      </c>
      <c r="T20" s="117" t="n">
        <f aca="false">Inputs!$E$24*(1+Inputs!$E$25)^(T$5-1)</f>
        <v>480</v>
      </c>
      <c r="U20" s="117" t="n">
        <f aca="false">Inputs!$E$24*(1+Inputs!$E$25)^(U$5-1)</f>
        <v>480</v>
      </c>
      <c r="V20" s="117" t="n">
        <f aca="false">Inputs!$E$24*(1+Inputs!$E$25)^(V$5-1)</f>
        <v>480</v>
      </c>
      <c r="W20" s="117" t="n">
        <f aca="false">Inputs!$E$24*(1+Inputs!$E$25)^(W$5-1)</f>
        <v>480</v>
      </c>
      <c r="X20" s="117" t="n">
        <f aca="false">Inputs!$E$24*(1+Inputs!$E$25)^(X$5-1)</f>
        <v>480</v>
      </c>
      <c r="Y20" s="117" t="n">
        <f aca="false">Inputs!$E$24*(1+Inputs!$E$25)^(Y$5-1)</f>
        <v>480</v>
      </c>
      <c r="Z20" s="117" t="n">
        <f aca="false">Inputs!$E$24*(1+Inputs!$E$25)^(Z$5-1)</f>
        <v>480</v>
      </c>
      <c r="AA20" s="117" t="n">
        <f aca="false">Inputs!$E$24*(1+Inputs!$E$25)^(AA$5-1)</f>
        <v>576</v>
      </c>
      <c r="AB20" s="117" t="n">
        <f aca="false">Inputs!$E$24*(1+Inputs!$E$25)^(AB$5-1)</f>
        <v>576</v>
      </c>
      <c r="AC20" s="117" t="n">
        <f aca="false">Inputs!$E$24*(1+Inputs!$E$25)^(AC$5-1)</f>
        <v>576</v>
      </c>
      <c r="AD20" s="117" t="n">
        <f aca="false">Inputs!$E$24*(1+Inputs!$E$25)^(AD$5-1)</f>
        <v>576</v>
      </c>
      <c r="AE20" s="117" t="n">
        <f aca="false">Inputs!$E$24*(1+Inputs!$E$25)^(AE$5-1)</f>
        <v>576</v>
      </c>
      <c r="AF20" s="117" t="n">
        <f aca="false">Inputs!$E$24*(1+Inputs!$E$25)^(AF$5-1)</f>
        <v>576</v>
      </c>
      <c r="AG20" s="117" t="n">
        <f aca="false">Inputs!$E$24*(1+Inputs!$E$25)^(AG$5-1)</f>
        <v>576</v>
      </c>
      <c r="AH20" s="117" t="n">
        <f aca="false">Inputs!$E$24*(1+Inputs!$E$25)^(AH$5-1)</f>
        <v>576</v>
      </c>
      <c r="AI20" s="117" t="n">
        <f aca="false">Inputs!$E$24*(1+Inputs!$E$25)^(AI$5-1)</f>
        <v>576</v>
      </c>
      <c r="AJ20" s="117" t="n">
        <f aca="false">Inputs!$E$24*(1+Inputs!$E$25)^(AJ$5-1)</f>
        <v>576</v>
      </c>
      <c r="AK20" s="117" t="n">
        <f aca="false">Inputs!$E$24*(1+Inputs!$E$25)^(AK$5-1)</f>
        <v>576</v>
      </c>
      <c r="AL20" s="117" t="n">
        <f aca="false">Inputs!$E$24*(1+Inputs!$E$25)^(AL$5-1)</f>
        <v>576</v>
      </c>
    </row>
    <row r="21" customFormat="false" ht="15" hidden="false" customHeight="false" outlineLevel="0" collapsed="false">
      <c r="A21" s="6" t="s">
        <v>242</v>
      </c>
      <c r="C21" s="67" t="n">
        <f aca="false">C20*Inputs!$E$26*(1+Inputs!$E$21)^(C$5-1)*1</f>
        <v>8000</v>
      </c>
      <c r="D21" s="67" t="n">
        <f aca="false">D20*Inputs!$E$26*(1+Inputs!$E$21)^(D$5-1)*1</f>
        <v>8000</v>
      </c>
      <c r="E21" s="67" t="n">
        <f aca="false">E20*Inputs!$E$26*(1+Inputs!$E$21)^(E$5-1)*1</f>
        <v>8000</v>
      </c>
      <c r="F21" s="67" t="n">
        <f aca="false">F20*Inputs!$E$26*(1+Inputs!$E$21)^(F$5-1)*1</f>
        <v>8000</v>
      </c>
      <c r="G21" s="67" t="n">
        <f aca="false">G20*Inputs!$E$26*(1+Inputs!$E$21)^(G$5-1)*1</f>
        <v>8000</v>
      </c>
      <c r="H21" s="67" t="n">
        <f aca="false">H20*Inputs!$E$26*(1+Inputs!$E$21)^(H$5-1)*1</f>
        <v>8000</v>
      </c>
      <c r="I21" s="67" t="n">
        <f aca="false">I20*Inputs!$E$26*(1+Inputs!$E$21)^(I$5-1)*1</f>
        <v>8000</v>
      </c>
      <c r="J21" s="67" t="n">
        <f aca="false">J20*Inputs!$E$26*(1+Inputs!$E$21)^(J$5-1)*1</f>
        <v>8000</v>
      </c>
      <c r="K21" s="67" t="n">
        <f aca="false">K20*Inputs!$E$26*(1+Inputs!$E$21)^(K$5-1)*1</f>
        <v>8000</v>
      </c>
      <c r="L21" s="67" t="n">
        <f aca="false">L20*Inputs!$E$26*(1+Inputs!$E$21)^(L$5-1)*1</f>
        <v>8000</v>
      </c>
      <c r="M21" s="67" t="n">
        <f aca="false">M20*Inputs!$E$26*(1+Inputs!$E$21)^(M$5-1)*1</f>
        <v>8000</v>
      </c>
      <c r="N21" s="67" t="n">
        <f aca="false">N20*Inputs!$E$26*(1+Inputs!$E$21)^(N$5-1)*1</f>
        <v>8000</v>
      </c>
      <c r="O21" s="67" t="n">
        <f aca="false">O20*Inputs!$E$26*(1+Inputs!$E$21)^(O$5-1)*1</f>
        <v>9888</v>
      </c>
      <c r="P21" s="67" t="n">
        <f aca="false">P20*Inputs!$E$26*(1+Inputs!$E$21)^(P$5-1)*1</f>
        <v>9888</v>
      </c>
      <c r="Q21" s="67" t="n">
        <f aca="false">Q20*Inputs!$E$26*(1+Inputs!$E$21)^(Q$5-1)*1</f>
        <v>9888</v>
      </c>
      <c r="R21" s="67" t="n">
        <f aca="false">R20*Inputs!$E$26*(1+Inputs!$E$21)^(R$5-1)*1</f>
        <v>9888</v>
      </c>
      <c r="S21" s="67" t="n">
        <f aca="false">S20*Inputs!$E$26*(1+Inputs!$E$21)^(S$5-1)*1</f>
        <v>9888</v>
      </c>
      <c r="T21" s="67" t="n">
        <f aca="false">T20*Inputs!$E$26*(1+Inputs!$E$21)^(T$5-1)*1</f>
        <v>9888</v>
      </c>
      <c r="U21" s="67" t="n">
        <f aca="false">U20*Inputs!$E$26*(1+Inputs!$E$21)^(U$5-1)*1</f>
        <v>9888</v>
      </c>
      <c r="V21" s="67" t="n">
        <f aca="false">V20*Inputs!$E$26*(1+Inputs!$E$21)^(V$5-1)*1</f>
        <v>9888</v>
      </c>
      <c r="W21" s="67" t="n">
        <f aca="false">W20*Inputs!$E$26*(1+Inputs!$E$21)^(W$5-1)*1</f>
        <v>9888</v>
      </c>
      <c r="X21" s="67" t="n">
        <f aca="false">X20*Inputs!$E$26*(1+Inputs!$E$21)^(X$5-1)*1</f>
        <v>9888</v>
      </c>
      <c r="Y21" s="67" t="n">
        <f aca="false">Y20*Inputs!$E$26*(1+Inputs!$E$21)^(Y$5-1)*1</f>
        <v>9888</v>
      </c>
      <c r="Z21" s="67" t="n">
        <f aca="false">Z20*Inputs!$E$26*(1+Inputs!$E$21)^(Z$5-1)*1</f>
        <v>9888</v>
      </c>
      <c r="AA21" s="67" t="n">
        <f aca="false">AA20*Inputs!$E$26*(1+Inputs!$E$21)^(AA$5-1)*1</f>
        <v>12221.568</v>
      </c>
      <c r="AB21" s="67" t="n">
        <f aca="false">AB20*Inputs!$E$26*(1+Inputs!$E$21)^(AB$5-1)*1</f>
        <v>12221.568</v>
      </c>
      <c r="AC21" s="67" t="n">
        <f aca="false">AC20*Inputs!$E$26*(1+Inputs!$E$21)^(AC$5-1)*1</f>
        <v>12221.568</v>
      </c>
      <c r="AD21" s="67" t="n">
        <f aca="false">AD20*Inputs!$E$26*(1+Inputs!$E$21)^(AD$5-1)*1</f>
        <v>12221.568</v>
      </c>
      <c r="AE21" s="67" t="n">
        <f aca="false">AE20*Inputs!$E$26*(1+Inputs!$E$21)^(AE$5-1)*1</f>
        <v>12221.568</v>
      </c>
      <c r="AF21" s="67" t="n">
        <f aca="false">AF20*Inputs!$E$26*(1+Inputs!$E$21)^(AF$5-1)*1</f>
        <v>12221.568</v>
      </c>
      <c r="AG21" s="67" t="n">
        <f aca="false">AG20*Inputs!$E$26*(1+Inputs!$E$21)^(AG$5-1)*1</f>
        <v>12221.568</v>
      </c>
      <c r="AH21" s="67" t="n">
        <f aca="false">AH20*Inputs!$E$26*(1+Inputs!$E$21)^(AH$5-1)*1</f>
        <v>12221.568</v>
      </c>
      <c r="AI21" s="67" t="n">
        <f aca="false">AI20*Inputs!$E$26*(1+Inputs!$E$21)^(AI$5-1)*1</f>
        <v>12221.568</v>
      </c>
      <c r="AJ21" s="67" t="n">
        <f aca="false">AJ20*Inputs!$E$26*(1+Inputs!$E$21)^(AJ$5-1)*1</f>
        <v>12221.568</v>
      </c>
      <c r="AK21" s="67" t="n">
        <f aca="false">AK20*Inputs!$E$26*(1+Inputs!$E$21)^(AK$5-1)*1</f>
        <v>12221.568</v>
      </c>
      <c r="AL21" s="67" t="n">
        <f aca="false">AL20*Inputs!$E$26*(1+Inputs!$E$21)^(AL$5-1)*1</f>
        <v>12221.568</v>
      </c>
    </row>
    <row r="22" customFormat="false" ht="15" hidden="false" customHeight="false" outlineLevel="0" collapsed="false">
      <c r="A22" s="113" t="s">
        <v>44</v>
      </c>
      <c r="C22" s="68" t="n">
        <f aca="false">C19+C21</f>
        <v>133436.666666667</v>
      </c>
      <c r="D22" s="68" t="n">
        <f aca="false">D19+D21</f>
        <v>133436.666666667</v>
      </c>
      <c r="E22" s="68" t="n">
        <f aca="false">E19+E21</f>
        <v>133436.666666667</v>
      </c>
      <c r="F22" s="68" t="n">
        <f aca="false">F19+F21</f>
        <v>133436.666666667</v>
      </c>
      <c r="G22" s="68" t="n">
        <f aca="false">G19+G21</f>
        <v>133436.666666667</v>
      </c>
      <c r="H22" s="68" t="n">
        <f aca="false">H19+H21</f>
        <v>169700</v>
      </c>
      <c r="I22" s="68" t="n">
        <f aca="false">I19+I21</f>
        <v>169700</v>
      </c>
      <c r="J22" s="68" t="n">
        <f aca="false">J19+J21</f>
        <v>169700</v>
      </c>
      <c r="K22" s="68" t="n">
        <f aca="false">K19+K21</f>
        <v>133436.666666667</v>
      </c>
      <c r="L22" s="68" t="n">
        <f aca="false">L19+L21</f>
        <v>133436.666666667</v>
      </c>
      <c r="M22" s="68" t="n">
        <f aca="false">M19+M21</f>
        <v>133436.666666667</v>
      </c>
      <c r="N22" s="68" t="n">
        <f aca="false">N19+N21</f>
        <v>133436.666666667</v>
      </c>
      <c r="O22" s="68" t="n">
        <f aca="false">O19+O21</f>
        <v>158467.731666667</v>
      </c>
      <c r="P22" s="68" t="n">
        <f aca="false">P19+P21</f>
        <v>158467.731666667</v>
      </c>
      <c r="Q22" s="68" t="n">
        <f aca="false">Q19+Q21</f>
        <v>158467.731666667</v>
      </c>
      <c r="R22" s="68" t="n">
        <f aca="false">R19+R21</f>
        <v>158467.731666667</v>
      </c>
      <c r="S22" s="68" t="n">
        <f aca="false">S19+S21</f>
        <v>158467.731666667</v>
      </c>
      <c r="T22" s="68" t="n">
        <f aca="false">T19+T21</f>
        <v>196425.12</v>
      </c>
      <c r="U22" s="68" t="n">
        <f aca="false">U19+U21</f>
        <v>196425.12</v>
      </c>
      <c r="V22" s="68" t="n">
        <f aca="false">V19+V21</f>
        <v>196425.12</v>
      </c>
      <c r="W22" s="68" t="n">
        <f aca="false">W19+W21</f>
        <v>158467.731666667</v>
      </c>
      <c r="X22" s="68" t="n">
        <f aca="false">X19+X21</f>
        <v>158467.731666667</v>
      </c>
      <c r="Y22" s="68" t="n">
        <f aca="false">Y19+Y21</f>
        <v>158467.731666667</v>
      </c>
      <c r="Z22" s="68" t="n">
        <f aca="false">Z19+Z21</f>
        <v>158467.731666667</v>
      </c>
      <c r="AA22" s="68" t="n">
        <f aca="false">AA19+AA21</f>
        <v>188214.260159167</v>
      </c>
      <c r="AB22" s="68" t="n">
        <f aca="false">AB19+AB21</f>
        <v>188214.260159167</v>
      </c>
      <c r="AC22" s="68" t="n">
        <f aca="false">AC19+AC21</f>
        <v>188214.260159167</v>
      </c>
      <c r="AD22" s="68" t="n">
        <f aca="false">AD19+AD21</f>
        <v>188214.260159167</v>
      </c>
      <c r="AE22" s="68" t="n">
        <f aca="false">AE19+AE21</f>
        <v>188214.260159167</v>
      </c>
      <c r="AF22" s="68" t="n">
        <f aca="false">AF19+AF21</f>
        <v>227410.789632</v>
      </c>
      <c r="AG22" s="68" t="n">
        <f aca="false">AG19+AG21</f>
        <v>227410.789632</v>
      </c>
      <c r="AH22" s="68" t="n">
        <f aca="false">AH19+AH21</f>
        <v>227410.789632</v>
      </c>
      <c r="AI22" s="68" t="n">
        <f aca="false">AI19+AI21</f>
        <v>188214.260159167</v>
      </c>
      <c r="AJ22" s="68" t="n">
        <f aca="false">AJ19+AJ21</f>
        <v>188214.260159167</v>
      </c>
      <c r="AK22" s="68" t="n">
        <f aca="false">AK19+AK21</f>
        <v>188214.260159167</v>
      </c>
      <c r="AL22" s="68" t="n">
        <f aca="false">AL19+AL21</f>
        <v>188214.260159167</v>
      </c>
    </row>
    <row r="24" customFormat="false" ht="15.75" hidden="false" customHeight="true" outlineLevel="0" collapsed="false">
      <c r="A24" s="7" t="s">
        <v>75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6" t="s">
        <v>383</v>
      </c>
      <c r="C25" s="69" t="n">
        <f aca="false">Headcount!C13</f>
        <v>-41591.6666666667</v>
      </c>
      <c r="D25" s="69" t="n">
        <f aca="false">Headcount!D13</f>
        <v>-41591.6666666667</v>
      </c>
      <c r="E25" s="69" t="n">
        <f aca="false">Headcount!E13</f>
        <v>-41591.6666666667</v>
      </c>
      <c r="F25" s="69" t="n">
        <f aca="false">Headcount!F13</f>
        <v>-41591.6666666667</v>
      </c>
      <c r="G25" s="69" t="n">
        <f aca="false">Headcount!G13</f>
        <v>-41591.6666666667</v>
      </c>
      <c r="H25" s="69" t="n">
        <f aca="false">Headcount!H13</f>
        <v>-41591.6666666667</v>
      </c>
      <c r="I25" s="69" t="n">
        <f aca="false">Headcount!I13</f>
        <v>-41591.6666666667</v>
      </c>
      <c r="J25" s="69" t="n">
        <f aca="false">Headcount!J13</f>
        <v>-41591.6666666667</v>
      </c>
      <c r="K25" s="69" t="n">
        <f aca="false">Headcount!K13</f>
        <v>-41591.6666666667</v>
      </c>
      <c r="L25" s="69" t="n">
        <f aca="false">Headcount!L13</f>
        <v>-41591.6666666667</v>
      </c>
      <c r="M25" s="69" t="n">
        <f aca="false">Headcount!M13</f>
        <v>-41591.6666666667</v>
      </c>
      <c r="N25" s="69" t="n">
        <f aca="false">Headcount!N13</f>
        <v>-41591.6666666667</v>
      </c>
      <c r="O25" s="69" t="n">
        <f aca="false">Headcount!O13</f>
        <v>-47980.1466666667</v>
      </c>
      <c r="P25" s="69" t="n">
        <f aca="false">Headcount!P13</f>
        <v>-47980.1466666667</v>
      </c>
      <c r="Q25" s="69" t="n">
        <f aca="false">Headcount!Q13</f>
        <v>-47980.1466666667</v>
      </c>
      <c r="R25" s="69" t="n">
        <f aca="false">Headcount!R13</f>
        <v>-47980.1466666667</v>
      </c>
      <c r="S25" s="69" t="n">
        <f aca="false">Headcount!S13</f>
        <v>-47980.1466666667</v>
      </c>
      <c r="T25" s="69" t="n">
        <f aca="false">Headcount!T13</f>
        <v>-47980.1466666667</v>
      </c>
      <c r="U25" s="69" t="n">
        <f aca="false">Headcount!U13</f>
        <v>-47980.1466666667</v>
      </c>
      <c r="V25" s="69" t="n">
        <f aca="false">Headcount!V13</f>
        <v>-47980.1466666667</v>
      </c>
      <c r="W25" s="69" t="n">
        <f aca="false">Headcount!W13</f>
        <v>-47980.1466666667</v>
      </c>
      <c r="X25" s="69" t="n">
        <f aca="false">Headcount!X13</f>
        <v>-47980.1466666667</v>
      </c>
      <c r="Y25" s="69" t="n">
        <f aca="false">Headcount!Y13</f>
        <v>-47980.1466666667</v>
      </c>
      <c r="Z25" s="69" t="n">
        <f aca="false">Headcount!Z13</f>
        <v>-47980.1466666667</v>
      </c>
      <c r="AA25" s="69" t="n">
        <f aca="false">Headcount!AA13</f>
        <v>-55349.8971946667</v>
      </c>
      <c r="AB25" s="69" t="n">
        <f aca="false">Headcount!AB13</f>
        <v>-55349.8971946667</v>
      </c>
      <c r="AC25" s="69" t="n">
        <f aca="false">Headcount!AC13</f>
        <v>-55349.8971946667</v>
      </c>
      <c r="AD25" s="69" t="n">
        <f aca="false">Headcount!AD13</f>
        <v>-55349.8971946667</v>
      </c>
      <c r="AE25" s="69" t="n">
        <f aca="false">Headcount!AE13</f>
        <v>-55349.8971946667</v>
      </c>
      <c r="AF25" s="69" t="n">
        <f aca="false">Headcount!AF13</f>
        <v>-55349.8971946667</v>
      </c>
      <c r="AG25" s="69" t="n">
        <f aca="false">Headcount!AG13</f>
        <v>-55349.8971946667</v>
      </c>
      <c r="AH25" s="69" t="n">
        <f aca="false">Headcount!AH13</f>
        <v>-55349.8971946667</v>
      </c>
      <c r="AI25" s="69" t="n">
        <f aca="false">Headcount!AI13</f>
        <v>-55349.8971946667</v>
      </c>
      <c r="AJ25" s="69" t="n">
        <f aca="false">Headcount!AJ13</f>
        <v>-55349.8971946667</v>
      </c>
      <c r="AK25" s="69" t="n">
        <f aca="false">Headcount!AK13</f>
        <v>-55349.8971946667</v>
      </c>
      <c r="AL25" s="69" t="n">
        <f aca="false">Headcount!AL13</f>
        <v>-55349.8971946667</v>
      </c>
    </row>
    <row r="26" customFormat="false" ht="15" hidden="false" customHeight="false" outlineLevel="0" collapsed="false">
      <c r="A26" s="6" t="s">
        <v>384</v>
      </c>
      <c r="C26" s="67" t="n">
        <f aca="false">-C19*Inputs!$E$30</f>
        <v>-31359.1666666667</v>
      </c>
      <c r="D26" s="67" t="n">
        <f aca="false">-D19*Inputs!$E$30</f>
        <v>-31359.1666666667</v>
      </c>
      <c r="E26" s="67" t="n">
        <f aca="false">-E19*Inputs!$E$30</f>
        <v>-31359.1666666667</v>
      </c>
      <c r="F26" s="67" t="n">
        <f aca="false">-F19*Inputs!$E$30</f>
        <v>-31359.1666666667</v>
      </c>
      <c r="G26" s="67" t="n">
        <f aca="false">-G19*Inputs!$E$30</f>
        <v>-31359.1666666667</v>
      </c>
      <c r="H26" s="67" t="n">
        <f aca="false">-H19*Inputs!$E$30</f>
        <v>-40425</v>
      </c>
      <c r="I26" s="67" t="n">
        <f aca="false">-I19*Inputs!$E$30</f>
        <v>-40425</v>
      </c>
      <c r="J26" s="67" t="n">
        <f aca="false">-J19*Inputs!$E$30</f>
        <v>-40425</v>
      </c>
      <c r="K26" s="67" t="n">
        <f aca="false">-K19*Inputs!$E$30</f>
        <v>-31359.1666666667</v>
      </c>
      <c r="L26" s="67" t="n">
        <f aca="false">-L19*Inputs!$E$30</f>
        <v>-31359.1666666667</v>
      </c>
      <c r="M26" s="67" t="n">
        <f aca="false">-M19*Inputs!$E$30</f>
        <v>-31359.1666666667</v>
      </c>
      <c r="N26" s="67" t="n">
        <f aca="false">-N19*Inputs!$E$30</f>
        <v>-31359.1666666667</v>
      </c>
      <c r="O26" s="67" t="n">
        <f aca="false">-O19*Inputs!$E$30</f>
        <v>-37144.9329166667</v>
      </c>
      <c r="P26" s="67" t="n">
        <f aca="false">-P19*Inputs!$E$30</f>
        <v>-37144.9329166667</v>
      </c>
      <c r="Q26" s="67" t="n">
        <f aca="false">-Q19*Inputs!$E$30</f>
        <v>-37144.9329166667</v>
      </c>
      <c r="R26" s="67" t="n">
        <f aca="false">-R19*Inputs!$E$30</f>
        <v>-37144.9329166667</v>
      </c>
      <c r="S26" s="67" t="n">
        <f aca="false">-S19*Inputs!$E$30</f>
        <v>-37144.9329166667</v>
      </c>
      <c r="T26" s="67" t="n">
        <f aca="false">-T19*Inputs!$E$30</f>
        <v>-46634.28</v>
      </c>
      <c r="U26" s="67" t="n">
        <f aca="false">-U19*Inputs!$E$30</f>
        <v>-46634.28</v>
      </c>
      <c r="V26" s="67" t="n">
        <f aca="false">-V19*Inputs!$E$30</f>
        <v>-46634.28</v>
      </c>
      <c r="W26" s="67" t="n">
        <f aca="false">-W19*Inputs!$E$30</f>
        <v>-37144.9329166667</v>
      </c>
      <c r="X26" s="67" t="n">
        <f aca="false">-X19*Inputs!$E$30</f>
        <v>-37144.9329166667</v>
      </c>
      <c r="Y26" s="67" t="n">
        <f aca="false">-Y19*Inputs!$E$30</f>
        <v>-37144.9329166667</v>
      </c>
      <c r="Z26" s="67" t="n">
        <f aca="false">-Z19*Inputs!$E$30</f>
        <v>-37144.9329166667</v>
      </c>
      <c r="AA26" s="67" t="n">
        <f aca="false">-AA19*Inputs!$E$30</f>
        <v>-43998.1730397917</v>
      </c>
      <c r="AB26" s="67" t="n">
        <f aca="false">-AB19*Inputs!$E$30</f>
        <v>-43998.1730397917</v>
      </c>
      <c r="AC26" s="67" t="n">
        <f aca="false">-AC19*Inputs!$E$30</f>
        <v>-43998.1730397917</v>
      </c>
      <c r="AD26" s="67" t="n">
        <f aca="false">-AD19*Inputs!$E$30</f>
        <v>-43998.1730397917</v>
      </c>
      <c r="AE26" s="67" t="n">
        <f aca="false">-AE19*Inputs!$E$30</f>
        <v>-43998.1730397917</v>
      </c>
      <c r="AF26" s="67" t="n">
        <f aca="false">-AF19*Inputs!$E$30</f>
        <v>-53797.305408</v>
      </c>
      <c r="AG26" s="67" t="n">
        <f aca="false">-AG19*Inputs!$E$30</f>
        <v>-53797.305408</v>
      </c>
      <c r="AH26" s="67" t="n">
        <f aca="false">-AH19*Inputs!$E$30</f>
        <v>-53797.305408</v>
      </c>
      <c r="AI26" s="67" t="n">
        <f aca="false">-AI19*Inputs!$E$30</f>
        <v>-43998.1730397917</v>
      </c>
      <c r="AJ26" s="67" t="n">
        <f aca="false">-AJ19*Inputs!$E$30</f>
        <v>-43998.1730397917</v>
      </c>
      <c r="AK26" s="67" t="n">
        <f aca="false">-AK19*Inputs!$E$30</f>
        <v>-43998.1730397917</v>
      </c>
      <c r="AL26" s="67" t="n">
        <f aca="false">-AL19*Inputs!$E$30</f>
        <v>-43998.1730397917</v>
      </c>
    </row>
    <row r="27" customFormat="false" ht="15" hidden="false" customHeight="false" outlineLevel="0" collapsed="false">
      <c r="A27" s="6" t="s">
        <v>385</v>
      </c>
      <c r="C27" s="67" t="n">
        <f aca="false">-C8*Inputs!$E$31*1</f>
        <v>-9100</v>
      </c>
      <c r="D27" s="67" t="n">
        <f aca="false">-D8*Inputs!$E$31*1</f>
        <v>-9100</v>
      </c>
      <c r="E27" s="67" t="n">
        <f aca="false">-E8*Inputs!$E$31*1</f>
        <v>-9100</v>
      </c>
      <c r="F27" s="67" t="n">
        <f aca="false">-F8*Inputs!$E$31*1</f>
        <v>-9100</v>
      </c>
      <c r="G27" s="67" t="n">
        <f aca="false">-G8*Inputs!$E$31*1</f>
        <v>-9100</v>
      </c>
      <c r="H27" s="67" t="n">
        <f aca="false">-H8*Inputs!$E$31*1</f>
        <v>-9100</v>
      </c>
      <c r="I27" s="67" t="n">
        <f aca="false">-I8*Inputs!$E$31*1</f>
        <v>-9100</v>
      </c>
      <c r="J27" s="67" t="n">
        <f aca="false">-J8*Inputs!$E$31*1</f>
        <v>-9100</v>
      </c>
      <c r="K27" s="67" t="n">
        <f aca="false">-K8*Inputs!$E$31*1</f>
        <v>-9100</v>
      </c>
      <c r="L27" s="67" t="n">
        <f aca="false">-L8*Inputs!$E$31*1</f>
        <v>-9100</v>
      </c>
      <c r="M27" s="67" t="n">
        <f aca="false">-M8*Inputs!$E$31*1</f>
        <v>-9100</v>
      </c>
      <c r="N27" s="67" t="n">
        <f aca="false">-N8*Inputs!$E$31*1</f>
        <v>-9100</v>
      </c>
      <c r="O27" s="67" t="n">
        <f aca="false">-O8*Inputs!$E$31*1</f>
        <v>-10192</v>
      </c>
      <c r="P27" s="67" t="n">
        <f aca="false">-P8*Inputs!$E$31*1</f>
        <v>-10192</v>
      </c>
      <c r="Q27" s="67" t="n">
        <f aca="false">-Q8*Inputs!$E$31*1</f>
        <v>-10192</v>
      </c>
      <c r="R27" s="67" t="n">
        <f aca="false">-R8*Inputs!$E$31*1</f>
        <v>-10192</v>
      </c>
      <c r="S27" s="67" t="n">
        <f aca="false">-S8*Inputs!$E$31*1</f>
        <v>-10192</v>
      </c>
      <c r="T27" s="67" t="n">
        <f aca="false">-T8*Inputs!$E$31*1</f>
        <v>-10192</v>
      </c>
      <c r="U27" s="67" t="n">
        <f aca="false">-U8*Inputs!$E$31*1</f>
        <v>-10192</v>
      </c>
      <c r="V27" s="67" t="n">
        <f aca="false">-V8*Inputs!$E$31*1</f>
        <v>-10192</v>
      </c>
      <c r="W27" s="67" t="n">
        <f aca="false">-W8*Inputs!$E$31*1</f>
        <v>-10192</v>
      </c>
      <c r="X27" s="67" t="n">
        <f aca="false">-X8*Inputs!$E$31*1</f>
        <v>-10192</v>
      </c>
      <c r="Y27" s="67" t="n">
        <f aca="false">-Y8*Inputs!$E$31*1</f>
        <v>-10192</v>
      </c>
      <c r="Z27" s="67" t="n">
        <f aca="false">-Z8*Inputs!$E$31*1</f>
        <v>-10192</v>
      </c>
      <c r="AA27" s="67" t="n">
        <f aca="false">-AA8*Inputs!$E$31*1</f>
        <v>-11415.04</v>
      </c>
      <c r="AB27" s="67" t="n">
        <f aca="false">-AB8*Inputs!$E$31*1</f>
        <v>-11415.04</v>
      </c>
      <c r="AC27" s="67" t="n">
        <f aca="false">-AC8*Inputs!$E$31*1</f>
        <v>-11415.04</v>
      </c>
      <c r="AD27" s="67" t="n">
        <f aca="false">-AD8*Inputs!$E$31*1</f>
        <v>-11415.04</v>
      </c>
      <c r="AE27" s="67" t="n">
        <f aca="false">-AE8*Inputs!$E$31*1</f>
        <v>-11415.04</v>
      </c>
      <c r="AF27" s="67" t="n">
        <f aca="false">-AF8*Inputs!$E$31*1</f>
        <v>-11415.04</v>
      </c>
      <c r="AG27" s="67" t="n">
        <f aca="false">-AG8*Inputs!$E$31*1</f>
        <v>-11415.04</v>
      </c>
      <c r="AH27" s="67" t="n">
        <f aca="false">-AH8*Inputs!$E$31*1</f>
        <v>-11415.04</v>
      </c>
      <c r="AI27" s="67" t="n">
        <f aca="false">-AI8*Inputs!$E$31*1</f>
        <v>-11415.04</v>
      </c>
      <c r="AJ27" s="67" t="n">
        <f aca="false">-AJ8*Inputs!$E$31*1</f>
        <v>-11415.04</v>
      </c>
      <c r="AK27" s="67" t="n">
        <f aca="false">-AK8*Inputs!$E$31*1</f>
        <v>-11415.04</v>
      </c>
      <c r="AL27" s="67" t="n">
        <f aca="false">-AL8*Inputs!$E$31*1</f>
        <v>-11415.04</v>
      </c>
    </row>
    <row r="28" customFormat="false" ht="15" hidden="false" customHeight="false" outlineLevel="0" collapsed="false">
      <c r="A28" s="6" t="s">
        <v>386</v>
      </c>
      <c r="C28" s="67" t="n">
        <f aca="false">-C21*Inputs!$E$27</f>
        <v>-3200</v>
      </c>
      <c r="D28" s="67" t="n">
        <f aca="false">-D21*Inputs!$E$27</f>
        <v>-3200</v>
      </c>
      <c r="E28" s="67" t="n">
        <f aca="false">-E21*Inputs!$E$27</f>
        <v>-3200</v>
      </c>
      <c r="F28" s="67" t="n">
        <f aca="false">-F21*Inputs!$E$27</f>
        <v>-3200</v>
      </c>
      <c r="G28" s="67" t="n">
        <f aca="false">-G21*Inputs!$E$27</f>
        <v>-3200</v>
      </c>
      <c r="H28" s="67" t="n">
        <f aca="false">-H21*Inputs!$E$27</f>
        <v>-3200</v>
      </c>
      <c r="I28" s="67" t="n">
        <f aca="false">-I21*Inputs!$E$27</f>
        <v>-3200</v>
      </c>
      <c r="J28" s="67" t="n">
        <f aca="false">-J21*Inputs!$E$27</f>
        <v>-3200</v>
      </c>
      <c r="K28" s="67" t="n">
        <f aca="false">-K21*Inputs!$E$27</f>
        <v>-3200</v>
      </c>
      <c r="L28" s="67" t="n">
        <f aca="false">-L21*Inputs!$E$27</f>
        <v>-3200</v>
      </c>
      <c r="M28" s="67" t="n">
        <f aca="false">-M21*Inputs!$E$27</f>
        <v>-3200</v>
      </c>
      <c r="N28" s="67" t="n">
        <f aca="false">-N21*Inputs!$E$27</f>
        <v>-3200</v>
      </c>
      <c r="O28" s="67" t="n">
        <f aca="false">-O21*Inputs!$E$27</f>
        <v>-3955.2</v>
      </c>
      <c r="P28" s="67" t="n">
        <f aca="false">-P21*Inputs!$E$27</f>
        <v>-3955.2</v>
      </c>
      <c r="Q28" s="67" t="n">
        <f aca="false">-Q21*Inputs!$E$27</f>
        <v>-3955.2</v>
      </c>
      <c r="R28" s="67" t="n">
        <f aca="false">-R21*Inputs!$E$27</f>
        <v>-3955.2</v>
      </c>
      <c r="S28" s="67" t="n">
        <f aca="false">-S21*Inputs!$E$27</f>
        <v>-3955.2</v>
      </c>
      <c r="T28" s="67" t="n">
        <f aca="false">-T21*Inputs!$E$27</f>
        <v>-3955.2</v>
      </c>
      <c r="U28" s="67" t="n">
        <f aca="false">-U21*Inputs!$E$27</f>
        <v>-3955.2</v>
      </c>
      <c r="V28" s="67" t="n">
        <f aca="false">-V21*Inputs!$E$27</f>
        <v>-3955.2</v>
      </c>
      <c r="W28" s="67" t="n">
        <f aca="false">-W21*Inputs!$E$27</f>
        <v>-3955.2</v>
      </c>
      <c r="X28" s="67" t="n">
        <f aca="false">-X21*Inputs!$E$27</f>
        <v>-3955.2</v>
      </c>
      <c r="Y28" s="67" t="n">
        <f aca="false">-Y21*Inputs!$E$27</f>
        <v>-3955.2</v>
      </c>
      <c r="Z28" s="67" t="n">
        <f aca="false">-Z21*Inputs!$E$27</f>
        <v>-3955.2</v>
      </c>
      <c r="AA28" s="67" t="n">
        <f aca="false">-AA21*Inputs!$E$27</f>
        <v>-4888.6272</v>
      </c>
      <c r="AB28" s="67" t="n">
        <f aca="false">-AB21*Inputs!$E$27</f>
        <v>-4888.6272</v>
      </c>
      <c r="AC28" s="67" t="n">
        <f aca="false">-AC21*Inputs!$E$27</f>
        <v>-4888.6272</v>
      </c>
      <c r="AD28" s="67" t="n">
        <f aca="false">-AD21*Inputs!$E$27</f>
        <v>-4888.6272</v>
      </c>
      <c r="AE28" s="67" t="n">
        <f aca="false">-AE21*Inputs!$E$27</f>
        <v>-4888.6272</v>
      </c>
      <c r="AF28" s="67" t="n">
        <f aca="false">-AF21*Inputs!$E$27</f>
        <v>-4888.6272</v>
      </c>
      <c r="AG28" s="67" t="n">
        <f aca="false">-AG21*Inputs!$E$27</f>
        <v>-4888.6272</v>
      </c>
      <c r="AH28" s="67" t="n">
        <f aca="false">-AH21*Inputs!$E$27</f>
        <v>-4888.6272</v>
      </c>
      <c r="AI28" s="67" t="n">
        <f aca="false">-AI21*Inputs!$E$27</f>
        <v>-4888.6272</v>
      </c>
      <c r="AJ28" s="67" t="n">
        <f aca="false">-AJ21*Inputs!$E$27</f>
        <v>-4888.6272</v>
      </c>
      <c r="AK28" s="67" t="n">
        <f aca="false">-AK21*Inputs!$E$27</f>
        <v>-4888.6272</v>
      </c>
      <c r="AL28" s="67" t="n">
        <f aca="false">-AL21*Inputs!$E$27</f>
        <v>-4888.6272</v>
      </c>
    </row>
    <row r="29" customFormat="false" ht="15" hidden="false" customHeight="false" outlineLevel="0" collapsed="false">
      <c r="A29" s="4" t="s">
        <v>75</v>
      </c>
      <c r="C29" s="73" t="n">
        <f aca="false">C25+C26+C27+C28</f>
        <v>-85250.8333333333</v>
      </c>
      <c r="D29" s="73" t="n">
        <f aca="false">D25+D26+D27+D28</f>
        <v>-85250.8333333333</v>
      </c>
      <c r="E29" s="73" t="n">
        <f aca="false">E25+E26+E27+E28</f>
        <v>-85250.8333333333</v>
      </c>
      <c r="F29" s="73" t="n">
        <f aca="false">F25+F26+F27+F28</f>
        <v>-85250.8333333333</v>
      </c>
      <c r="G29" s="73" t="n">
        <f aca="false">G25+G26+G27+G28</f>
        <v>-85250.8333333333</v>
      </c>
      <c r="H29" s="73" t="n">
        <f aca="false">H25+H26+H27+H28</f>
        <v>-94316.6666666667</v>
      </c>
      <c r="I29" s="73" t="n">
        <f aca="false">I25+I26+I27+I28</f>
        <v>-94316.6666666667</v>
      </c>
      <c r="J29" s="73" t="n">
        <f aca="false">J25+J26+J27+J28</f>
        <v>-94316.6666666667</v>
      </c>
      <c r="K29" s="73" t="n">
        <f aca="false">K25+K26+K27+K28</f>
        <v>-85250.8333333333</v>
      </c>
      <c r="L29" s="73" t="n">
        <f aca="false">L25+L26+L27+L28</f>
        <v>-85250.8333333333</v>
      </c>
      <c r="M29" s="73" t="n">
        <f aca="false">M25+M26+M27+M28</f>
        <v>-85250.8333333333</v>
      </c>
      <c r="N29" s="73" t="n">
        <f aca="false">N25+N26+N27+N28</f>
        <v>-85250.8333333333</v>
      </c>
      <c r="O29" s="73" t="n">
        <f aca="false">O25+O26+O27+O28</f>
        <v>-99272.2795833333</v>
      </c>
      <c r="P29" s="73" t="n">
        <f aca="false">P25+P26+P27+P28</f>
        <v>-99272.2795833333</v>
      </c>
      <c r="Q29" s="73" t="n">
        <f aca="false">Q25+Q26+Q27+Q28</f>
        <v>-99272.2795833333</v>
      </c>
      <c r="R29" s="73" t="n">
        <f aca="false">R25+R26+R27+R28</f>
        <v>-99272.2795833333</v>
      </c>
      <c r="S29" s="73" t="n">
        <f aca="false">S25+S26+S27+S28</f>
        <v>-99272.2795833333</v>
      </c>
      <c r="T29" s="73" t="n">
        <f aca="false">T25+T26+T27+T28</f>
        <v>-108761.626666667</v>
      </c>
      <c r="U29" s="73" t="n">
        <f aca="false">U25+U26+U27+U28</f>
        <v>-108761.626666667</v>
      </c>
      <c r="V29" s="73" t="n">
        <f aca="false">V25+V26+V27+V28</f>
        <v>-108761.626666667</v>
      </c>
      <c r="W29" s="73" t="n">
        <f aca="false">W25+W26+W27+W28</f>
        <v>-99272.2795833333</v>
      </c>
      <c r="X29" s="73" t="n">
        <f aca="false">X25+X26+X27+X28</f>
        <v>-99272.2795833333</v>
      </c>
      <c r="Y29" s="73" t="n">
        <f aca="false">Y25+Y26+Y27+Y28</f>
        <v>-99272.2795833333</v>
      </c>
      <c r="Z29" s="73" t="n">
        <f aca="false">Z25+Z26+Z27+Z28</f>
        <v>-99272.2795833333</v>
      </c>
      <c r="AA29" s="73" t="n">
        <f aca="false">AA25+AA26+AA27+AA28</f>
        <v>-115651.737434458</v>
      </c>
      <c r="AB29" s="73" t="n">
        <f aca="false">AB25+AB26+AB27+AB28</f>
        <v>-115651.737434458</v>
      </c>
      <c r="AC29" s="73" t="n">
        <f aca="false">AC25+AC26+AC27+AC28</f>
        <v>-115651.737434458</v>
      </c>
      <c r="AD29" s="73" t="n">
        <f aca="false">AD25+AD26+AD27+AD28</f>
        <v>-115651.737434458</v>
      </c>
      <c r="AE29" s="73" t="n">
        <f aca="false">AE25+AE26+AE27+AE28</f>
        <v>-115651.737434458</v>
      </c>
      <c r="AF29" s="73" t="n">
        <f aca="false">AF25+AF26+AF27+AF28</f>
        <v>-125450.869802667</v>
      </c>
      <c r="AG29" s="73" t="n">
        <f aca="false">AG25+AG26+AG27+AG28</f>
        <v>-125450.869802667</v>
      </c>
      <c r="AH29" s="73" t="n">
        <f aca="false">AH25+AH26+AH27+AH28</f>
        <v>-125450.869802667</v>
      </c>
      <c r="AI29" s="73" t="n">
        <f aca="false">AI25+AI26+AI27+AI28</f>
        <v>-115651.737434458</v>
      </c>
      <c r="AJ29" s="73" t="n">
        <f aca="false">AJ25+AJ26+AJ27+AJ28</f>
        <v>-115651.737434458</v>
      </c>
      <c r="AK29" s="73" t="n">
        <f aca="false">AK25+AK26+AK27+AK28</f>
        <v>-115651.737434458</v>
      </c>
      <c r="AL29" s="73" t="n">
        <f aca="false">AL25+AL26+AL27+AL28</f>
        <v>-115651.737434458</v>
      </c>
    </row>
    <row r="30" customFormat="false" ht="15" hidden="false" customHeight="false" outlineLevel="0" collapsed="false">
      <c r="A30" s="113" t="s">
        <v>45</v>
      </c>
      <c r="C30" s="68" t="n">
        <f aca="false">C22+C29</f>
        <v>48185.8333333333</v>
      </c>
      <c r="D30" s="68" t="n">
        <f aca="false">D22+D29</f>
        <v>48185.8333333333</v>
      </c>
      <c r="E30" s="68" t="n">
        <f aca="false">E22+E29</f>
        <v>48185.8333333333</v>
      </c>
      <c r="F30" s="68" t="n">
        <f aca="false">F22+F29</f>
        <v>48185.8333333333</v>
      </c>
      <c r="G30" s="68" t="n">
        <f aca="false">G22+G29</f>
        <v>48185.8333333333</v>
      </c>
      <c r="H30" s="68" t="n">
        <f aca="false">H22+H29</f>
        <v>75383.3333333333</v>
      </c>
      <c r="I30" s="68" t="n">
        <f aca="false">I22+I29</f>
        <v>75383.3333333333</v>
      </c>
      <c r="J30" s="68" t="n">
        <f aca="false">J22+J29</f>
        <v>75383.3333333333</v>
      </c>
      <c r="K30" s="68" t="n">
        <f aca="false">K22+K29</f>
        <v>48185.8333333333</v>
      </c>
      <c r="L30" s="68" t="n">
        <f aca="false">L22+L29</f>
        <v>48185.8333333333</v>
      </c>
      <c r="M30" s="68" t="n">
        <f aca="false">M22+M29</f>
        <v>48185.8333333333</v>
      </c>
      <c r="N30" s="68" t="n">
        <f aca="false">N22+N29</f>
        <v>48185.8333333333</v>
      </c>
      <c r="O30" s="68" t="n">
        <f aca="false">O22+O29</f>
        <v>59195.4520833333</v>
      </c>
      <c r="P30" s="68" t="n">
        <f aca="false">P22+P29</f>
        <v>59195.4520833333</v>
      </c>
      <c r="Q30" s="68" t="n">
        <f aca="false">Q22+Q29</f>
        <v>59195.4520833333</v>
      </c>
      <c r="R30" s="68" t="n">
        <f aca="false">R22+R29</f>
        <v>59195.4520833333</v>
      </c>
      <c r="S30" s="68" t="n">
        <f aca="false">S22+S29</f>
        <v>59195.4520833333</v>
      </c>
      <c r="T30" s="68" t="n">
        <f aca="false">T22+T29</f>
        <v>87663.4933333333</v>
      </c>
      <c r="U30" s="68" t="n">
        <f aca="false">U22+U29</f>
        <v>87663.4933333333</v>
      </c>
      <c r="V30" s="68" t="n">
        <f aca="false">V22+V29</f>
        <v>87663.4933333333</v>
      </c>
      <c r="W30" s="68" t="n">
        <f aca="false">W22+W29</f>
        <v>59195.4520833333</v>
      </c>
      <c r="X30" s="68" t="n">
        <f aca="false">X22+X29</f>
        <v>59195.4520833333</v>
      </c>
      <c r="Y30" s="68" t="n">
        <f aca="false">Y22+Y29</f>
        <v>59195.4520833333</v>
      </c>
      <c r="Z30" s="68" t="n">
        <f aca="false">Z22+Z29</f>
        <v>59195.4520833333</v>
      </c>
      <c r="AA30" s="68" t="n">
        <f aca="false">AA22+AA29</f>
        <v>72562.5227247083</v>
      </c>
      <c r="AB30" s="68" t="n">
        <f aca="false">AB22+AB29</f>
        <v>72562.5227247083</v>
      </c>
      <c r="AC30" s="68" t="n">
        <f aca="false">AC22+AC29</f>
        <v>72562.5227247083</v>
      </c>
      <c r="AD30" s="68" t="n">
        <f aca="false">AD22+AD29</f>
        <v>72562.5227247083</v>
      </c>
      <c r="AE30" s="68" t="n">
        <f aca="false">AE22+AE29</f>
        <v>72562.5227247083</v>
      </c>
      <c r="AF30" s="68" t="n">
        <f aca="false">AF22+AF29</f>
        <v>101959.919829333</v>
      </c>
      <c r="AG30" s="68" t="n">
        <f aca="false">AG22+AG29</f>
        <v>101959.919829333</v>
      </c>
      <c r="AH30" s="68" t="n">
        <f aca="false">AH22+AH29</f>
        <v>101959.919829333</v>
      </c>
      <c r="AI30" s="68" t="n">
        <f aca="false">AI22+AI29</f>
        <v>72562.5227247083</v>
      </c>
      <c r="AJ30" s="68" t="n">
        <f aca="false">AJ22+AJ29</f>
        <v>72562.5227247083</v>
      </c>
      <c r="AK30" s="68" t="n">
        <f aca="false">AK22+AK29</f>
        <v>72562.5227247083</v>
      </c>
      <c r="AL30" s="68" t="n">
        <f aca="false">AL22+AL29</f>
        <v>72562.5227247083</v>
      </c>
    </row>
    <row r="32" customFormat="false" ht="15.75" hidden="false" customHeight="true" outlineLevel="0" collapsed="false">
      <c r="A32" s="7" t="s">
        <v>47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customFormat="false" ht="15" hidden="false" customHeight="false" outlineLevel="0" collapsed="false">
      <c r="A33" s="6" t="s">
        <v>321</v>
      </c>
      <c r="C33" s="67" t="n">
        <f aca="false">Headcount!C15-Headcount!C13</f>
        <v>-8625</v>
      </c>
      <c r="D33" s="67" t="n">
        <f aca="false">Headcount!D15-Headcount!D13</f>
        <v>-8625</v>
      </c>
      <c r="E33" s="67" t="n">
        <f aca="false">Headcount!E15-Headcount!E13</f>
        <v>-8625</v>
      </c>
      <c r="F33" s="67" t="n">
        <f aca="false">Headcount!F15-Headcount!F13</f>
        <v>-8625</v>
      </c>
      <c r="G33" s="67" t="n">
        <f aca="false">Headcount!G15-Headcount!G13</f>
        <v>-8625</v>
      </c>
      <c r="H33" s="67" t="n">
        <f aca="false">Headcount!H15-Headcount!H13</f>
        <v>-8625</v>
      </c>
      <c r="I33" s="67" t="n">
        <f aca="false">Headcount!I15-Headcount!I13</f>
        <v>-8625</v>
      </c>
      <c r="J33" s="67" t="n">
        <f aca="false">Headcount!J15-Headcount!J13</f>
        <v>-8625</v>
      </c>
      <c r="K33" s="67" t="n">
        <f aca="false">Headcount!K15-Headcount!K13</f>
        <v>-8625</v>
      </c>
      <c r="L33" s="67" t="n">
        <f aca="false">Headcount!L15-Headcount!L13</f>
        <v>-8625</v>
      </c>
      <c r="M33" s="67" t="n">
        <f aca="false">Headcount!M15-Headcount!M13</f>
        <v>-8625</v>
      </c>
      <c r="N33" s="67" t="n">
        <f aca="false">Headcount!N15-Headcount!N13</f>
        <v>-8625</v>
      </c>
      <c r="O33" s="67" t="n">
        <f aca="false">Headcount!O15-Headcount!O13</f>
        <v>-9772.125</v>
      </c>
      <c r="P33" s="67" t="n">
        <f aca="false">Headcount!P15-Headcount!P13</f>
        <v>-9772.125</v>
      </c>
      <c r="Q33" s="67" t="n">
        <f aca="false">Headcount!Q15-Headcount!Q13</f>
        <v>-9772.125</v>
      </c>
      <c r="R33" s="67" t="n">
        <f aca="false">Headcount!R15-Headcount!R13</f>
        <v>-9772.125</v>
      </c>
      <c r="S33" s="67" t="n">
        <f aca="false">Headcount!S15-Headcount!S13</f>
        <v>-9772.125</v>
      </c>
      <c r="T33" s="67" t="n">
        <f aca="false">Headcount!T15-Headcount!T13</f>
        <v>-9772.125</v>
      </c>
      <c r="U33" s="67" t="n">
        <f aca="false">Headcount!U15-Headcount!U13</f>
        <v>-9772.125</v>
      </c>
      <c r="V33" s="67" t="n">
        <f aca="false">Headcount!V15-Headcount!V13</f>
        <v>-9772.125</v>
      </c>
      <c r="W33" s="67" t="n">
        <f aca="false">Headcount!W15-Headcount!W13</f>
        <v>-9772.125</v>
      </c>
      <c r="X33" s="67" t="n">
        <f aca="false">Headcount!X15-Headcount!X13</f>
        <v>-9772.125</v>
      </c>
      <c r="Y33" s="67" t="n">
        <f aca="false">Headcount!Y15-Headcount!Y13</f>
        <v>-9772.125</v>
      </c>
      <c r="Z33" s="67" t="n">
        <f aca="false">Headcount!Z15-Headcount!Z13</f>
        <v>-9772.125</v>
      </c>
      <c r="AA33" s="67" t="n">
        <f aca="false">Headcount!AA15-Headcount!AA13</f>
        <v>-11071.817625</v>
      </c>
      <c r="AB33" s="67" t="n">
        <f aca="false">Headcount!AB15-Headcount!AB13</f>
        <v>-11071.817625</v>
      </c>
      <c r="AC33" s="67" t="n">
        <f aca="false">Headcount!AC15-Headcount!AC13</f>
        <v>-11071.817625</v>
      </c>
      <c r="AD33" s="67" t="n">
        <f aca="false">Headcount!AD15-Headcount!AD13</f>
        <v>-11071.817625</v>
      </c>
      <c r="AE33" s="67" t="n">
        <f aca="false">Headcount!AE15-Headcount!AE13</f>
        <v>-11071.817625</v>
      </c>
      <c r="AF33" s="67" t="n">
        <f aca="false">Headcount!AF15-Headcount!AF13</f>
        <v>-11071.817625</v>
      </c>
      <c r="AG33" s="67" t="n">
        <f aca="false">Headcount!AG15-Headcount!AG13</f>
        <v>-11071.817625</v>
      </c>
      <c r="AH33" s="67" t="n">
        <f aca="false">Headcount!AH15-Headcount!AH13</f>
        <v>-11071.817625</v>
      </c>
      <c r="AI33" s="67" t="n">
        <f aca="false">Headcount!AI15-Headcount!AI13</f>
        <v>-11071.817625</v>
      </c>
      <c r="AJ33" s="67" t="n">
        <f aca="false">Headcount!AJ15-Headcount!AJ13</f>
        <v>-11071.817625</v>
      </c>
      <c r="AK33" s="67" t="n">
        <f aca="false">Headcount!AK15-Headcount!AK13</f>
        <v>-11071.817625</v>
      </c>
      <c r="AL33" s="67" t="n">
        <f aca="false">Headcount!AL15-Headcount!AL13</f>
        <v>-11071.817625</v>
      </c>
    </row>
    <row r="34" customFormat="false" ht="15" hidden="false" customHeight="false" outlineLevel="0" collapsed="false">
      <c r="A34" s="6" t="s">
        <v>322</v>
      </c>
      <c r="C34" s="67" t="n">
        <f aca="false">-Inputs!$E$11*(1+Inputs!$E$12)^(C$5-1)*1</f>
        <v>-9000</v>
      </c>
      <c r="D34" s="67" t="n">
        <f aca="false">-Inputs!$E$11*(1+Inputs!$E$12)^(D$5-1)*1</f>
        <v>-9000</v>
      </c>
      <c r="E34" s="67" t="n">
        <f aca="false">-Inputs!$E$11*(1+Inputs!$E$12)^(E$5-1)*1</f>
        <v>-9000</v>
      </c>
      <c r="F34" s="67" t="n">
        <f aca="false">-Inputs!$E$11*(1+Inputs!$E$12)^(F$5-1)*1</f>
        <v>-9000</v>
      </c>
      <c r="G34" s="67" t="n">
        <f aca="false">-Inputs!$E$11*(1+Inputs!$E$12)^(G$5-1)*1</f>
        <v>-9000</v>
      </c>
      <c r="H34" s="67" t="n">
        <f aca="false">-Inputs!$E$11*(1+Inputs!$E$12)^(H$5-1)*1</f>
        <v>-9000</v>
      </c>
      <c r="I34" s="67" t="n">
        <f aca="false">-Inputs!$E$11*(1+Inputs!$E$12)^(I$5-1)*1</f>
        <v>-9000</v>
      </c>
      <c r="J34" s="67" t="n">
        <f aca="false">-Inputs!$E$11*(1+Inputs!$E$12)^(J$5-1)*1</f>
        <v>-9000</v>
      </c>
      <c r="K34" s="67" t="n">
        <f aca="false">-Inputs!$E$11*(1+Inputs!$E$12)^(K$5-1)*1</f>
        <v>-9000</v>
      </c>
      <c r="L34" s="67" t="n">
        <f aca="false">-Inputs!$E$11*(1+Inputs!$E$12)^(L$5-1)*1</f>
        <v>-9000</v>
      </c>
      <c r="M34" s="67" t="n">
        <f aca="false">-Inputs!$E$11*(1+Inputs!$E$12)^(M$5-1)*1</f>
        <v>-9000</v>
      </c>
      <c r="N34" s="67" t="n">
        <f aca="false">-Inputs!$E$11*(1+Inputs!$E$12)^(N$5-1)*1</f>
        <v>-9000</v>
      </c>
      <c r="O34" s="67" t="n">
        <f aca="false">-Inputs!$E$11*(1+Inputs!$E$12)^(O$5-1)*1</f>
        <v>-10350</v>
      </c>
      <c r="P34" s="67" t="n">
        <f aca="false">-Inputs!$E$11*(1+Inputs!$E$12)^(P$5-1)*1</f>
        <v>-10350</v>
      </c>
      <c r="Q34" s="67" t="n">
        <f aca="false">-Inputs!$E$11*(1+Inputs!$E$12)^(Q$5-1)*1</f>
        <v>-10350</v>
      </c>
      <c r="R34" s="67" t="n">
        <f aca="false">-Inputs!$E$11*(1+Inputs!$E$12)^(R$5-1)*1</f>
        <v>-10350</v>
      </c>
      <c r="S34" s="67" t="n">
        <f aca="false">-Inputs!$E$11*(1+Inputs!$E$12)^(S$5-1)*1</f>
        <v>-10350</v>
      </c>
      <c r="T34" s="67" t="n">
        <f aca="false">-Inputs!$E$11*(1+Inputs!$E$12)^(T$5-1)*1</f>
        <v>-10350</v>
      </c>
      <c r="U34" s="67" t="n">
        <f aca="false">-Inputs!$E$11*(1+Inputs!$E$12)^(U$5-1)*1</f>
        <v>-10350</v>
      </c>
      <c r="V34" s="67" t="n">
        <f aca="false">-Inputs!$E$11*(1+Inputs!$E$12)^(V$5-1)*1</f>
        <v>-10350</v>
      </c>
      <c r="W34" s="67" t="n">
        <f aca="false">-Inputs!$E$11*(1+Inputs!$E$12)^(W$5-1)*1</f>
        <v>-10350</v>
      </c>
      <c r="X34" s="67" t="n">
        <f aca="false">-Inputs!$E$11*(1+Inputs!$E$12)^(X$5-1)*1</f>
        <v>-10350</v>
      </c>
      <c r="Y34" s="67" t="n">
        <f aca="false">-Inputs!$E$11*(1+Inputs!$E$12)^(Y$5-1)*1</f>
        <v>-10350</v>
      </c>
      <c r="Z34" s="67" t="n">
        <f aca="false">-Inputs!$E$11*(1+Inputs!$E$12)^(Z$5-1)*1</f>
        <v>-10350</v>
      </c>
      <c r="AA34" s="67" t="n">
        <f aca="false">-Inputs!$E$11*(1+Inputs!$E$12)^(AA$5-1)*1</f>
        <v>-11902.5</v>
      </c>
      <c r="AB34" s="67" t="n">
        <f aca="false">-Inputs!$E$11*(1+Inputs!$E$12)^(AB$5-1)*1</f>
        <v>-11902.5</v>
      </c>
      <c r="AC34" s="67" t="n">
        <f aca="false">-Inputs!$E$11*(1+Inputs!$E$12)^(AC$5-1)*1</f>
        <v>-11902.5</v>
      </c>
      <c r="AD34" s="67" t="n">
        <f aca="false">-Inputs!$E$11*(1+Inputs!$E$12)^(AD$5-1)*1</f>
        <v>-11902.5</v>
      </c>
      <c r="AE34" s="67" t="n">
        <f aca="false">-Inputs!$E$11*(1+Inputs!$E$12)^(AE$5-1)*1</f>
        <v>-11902.5</v>
      </c>
      <c r="AF34" s="67" t="n">
        <f aca="false">-Inputs!$E$11*(1+Inputs!$E$12)^(AF$5-1)*1</f>
        <v>-11902.5</v>
      </c>
      <c r="AG34" s="67" t="n">
        <f aca="false">-Inputs!$E$11*(1+Inputs!$E$12)^(AG$5-1)*1</f>
        <v>-11902.5</v>
      </c>
      <c r="AH34" s="67" t="n">
        <f aca="false">-Inputs!$E$11*(1+Inputs!$E$12)^(AH$5-1)*1</f>
        <v>-11902.5</v>
      </c>
      <c r="AI34" s="67" t="n">
        <f aca="false">-Inputs!$E$11*(1+Inputs!$E$12)^(AI$5-1)*1</f>
        <v>-11902.5</v>
      </c>
      <c r="AJ34" s="67" t="n">
        <f aca="false">-Inputs!$E$11*(1+Inputs!$E$12)^(AJ$5-1)*1</f>
        <v>-11902.5</v>
      </c>
      <c r="AK34" s="67" t="n">
        <f aca="false">-Inputs!$E$11*(1+Inputs!$E$12)^(AK$5-1)*1</f>
        <v>-11902.5</v>
      </c>
      <c r="AL34" s="67" t="n">
        <f aca="false">-Inputs!$E$11*(1+Inputs!$E$12)^(AL$5-1)*1</f>
        <v>-11902.5</v>
      </c>
    </row>
    <row r="35" customFormat="false" ht="15" hidden="false" customHeight="false" outlineLevel="0" collapsed="false">
      <c r="A35" s="6" t="s">
        <v>323</v>
      </c>
      <c r="C35" s="67" t="n">
        <f aca="false">-C8*Inputs!$E$32*1</f>
        <v>-840</v>
      </c>
      <c r="D35" s="67" t="n">
        <f aca="false">-D8*Inputs!$E$32*1</f>
        <v>-840</v>
      </c>
      <c r="E35" s="67" t="n">
        <f aca="false">-E8*Inputs!$E$32*1</f>
        <v>-840</v>
      </c>
      <c r="F35" s="67" t="n">
        <f aca="false">-F8*Inputs!$E$32*1</f>
        <v>-840</v>
      </c>
      <c r="G35" s="67" t="n">
        <f aca="false">-G8*Inputs!$E$32*1</f>
        <v>-840</v>
      </c>
      <c r="H35" s="67" t="n">
        <f aca="false">-H8*Inputs!$E$32*1</f>
        <v>-840</v>
      </c>
      <c r="I35" s="67" t="n">
        <f aca="false">-I8*Inputs!$E$32*1</f>
        <v>-840</v>
      </c>
      <c r="J35" s="67" t="n">
        <f aca="false">-J8*Inputs!$E$32*1</f>
        <v>-840</v>
      </c>
      <c r="K35" s="67" t="n">
        <f aca="false">-K8*Inputs!$E$32*1</f>
        <v>-840</v>
      </c>
      <c r="L35" s="67" t="n">
        <f aca="false">-L8*Inputs!$E$32*1</f>
        <v>-840</v>
      </c>
      <c r="M35" s="67" t="n">
        <f aca="false">-M8*Inputs!$E$32*1</f>
        <v>-840</v>
      </c>
      <c r="N35" s="67" t="n">
        <f aca="false">-N8*Inputs!$E$32*1</f>
        <v>-840</v>
      </c>
      <c r="O35" s="67" t="n">
        <f aca="false">-O8*Inputs!$E$32*1</f>
        <v>-940.8</v>
      </c>
      <c r="P35" s="67" t="n">
        <f aca="false">-P8*Inputs!$E$32*1</f>
        <v>-940.8</v>
      </c>
      <c r="Q35" s="67" t="n">
        <f aca="false">-Q8*Inputs!$E$32*1</f>
        <v>-940.8</v>
      </c>
      <c r="R35" s="67" t="n">
        <f aca="false">-R8*Inputs!$E$32*1</f>
        <v>-940.8</v>
      </c>
      <c r="S35" s="67" t="n">
        <f aca="false">-S8*Inputs!$E$32*1</f>
        <v>-940.8</v>
      </c>
      <c r="T35" s="67" t="n">
        <f aca="false">-T8*Inputs!$E$32*1</f>
        <v>-940.8</v>
      </c>
      <c r="U35" s="67" t="n">
        <f aca="false">-U8*Inputs!$E$32*1</f>
        <v>-940.8</v>
      </c>
      <c r="V35" s="67" t="n">
        <f aca="false">-V8*Inputs!$E$32*1</f>
        <v>-940.8</v>
      </c>
      <c r="W35" s="67" t="n">
        <f aca="false">-W8*Inputs!$E$32*1</f>
        <v>-940.8</v>
      </c>
      <c r="X35" s="67" t="n">
        <f aca="false">-X8*Inputs!$E$32*1</f>
        <v>-940.8</v>
      </c>
      <c r="Y35" s="67" t="n">
        <f aca="false">-Y8*Inputs!$E$32*1</f>
        <v>-940.8</v>
      </c>
      <c r="Z35" s="67" t="n">
        <f aca="false">-Z8*Inputs!$E$32*1</f>
        <v>-940.8</v>
      </c>
      <c r="AA35" s="67" t="n">
        <f aca="false">-AA8*Inputs!$E$32*1</f>
        <v>-1053.696</v>
      </c>
      <c r="AB35" s="67" t="n">
        <f aca="false">-AB8*Inputs!$E$32*1</f>
        <v>-1053.696</v>
      </c>
      <c r="AC35" s="67" t="n">
        <f aca="false">-AC8*Inputs!$E$32*1</f>
        <v>-1053.696</v>
      </c>
      <c r="AD35" s="67" t="n">
        <f aca="false">-AD8*Inputs!$E$32*1</f>
        <v>-1053.696</v>
      </c>
      <c r="AE35" s="67" t="n">
        <f aca="false">-AE8*Inputs!$E$32*1</f>
        <v>-1053.696</v>
      </c>
      <c r="AF35" s="67" t="n">
        <f aca="false">-AF8*Inputs!$E$32*1</f>
        <v>-1053.696</v>
      </c>
      <c r="AG35" s="67" t="n">
        <f aca="false">-AG8*Inputs!$E$32*1</f>
        <v>-1053.696</v>
      </c>
      <c r="AH35" s="67" t="n">
        <f aca="false">-AH8*Inputs!$E$32*1</f>
        <v>-1053.696</v>
      </c>
      <c r="AI35" s="67" t="n">
        <f aca="false">-AI8*Inputs!$E$32*1</f>
        <v>-1053.696</v>
      </c>
      <c r="AJ35" s="67" t="n">
        <f aca="false">-AJ8*Inputs!$E$32*1</f>
        <v>-1053.696</v>
      </c>
      <c r="AK35" s="67" t="n">
        <f aca="false">-AK8*Inputs!$E$32*1</f>
        <v>-1053.696</v>
      </c>
      <c r="AL35" s="67" t="n">
        <f aca="false">-AL8*Inputs!$E$32*1</f>
        <v>-1053.696</v>
      </c>
    </row>
    <row r="36" customFormat="false" ht="15" hidden="false" customHeight="false" outlineLevel="0" collapsed="false">
      <c r="A36" s="6" t="s">
        <v>324</v>
      </c>
      <c r="C36" s="67" t="n">
        <f aca="false">-Inputs!$E$33*1</f>
        <v>-3500</v>
      </c>
      <c r="D36" s="67" t="n">
        <f aca="false">-Inputs!$E$33*1</f>
        <v>-3500</v>
      </c>
      <c r="E36" s="67" t="n">
        <f aca="false">-Inputs!$E$33*1</f>
        <v>-3500</v>
      </c>
      <c r="F36" s="67" t="n">
        <f aca="false">-Inputs!$E$33*1</f>
        <v>-3500</v>
      </c>
      <c r="G36" s="67" t="n">
        <f aca="false">-Inputs!$E$33*1</f>
        <v>-3500</v>
      </c>
      <c r="H36" s="67" t="n">
        <f aca="false">-Inputs!$E$33*1</f>
        <v>-3500</v>
      </c>
      <c r="I36" s="67" t="n">
        <f aca="false">-Inputs!$E$33*1</f>
        <v>-3500</v>
      </c>
      <c r="J36" s="67" t="n">
        <f aca="false">-Inputs!$E$33*1</f>
        <v>-3500</v>
      </c>
      <c r="K36" s="67" t="n">
        <f aca="false">-Inputs!$E$33*1</f>
        <v>-3500</v>
      </c>
      <c r="L36" s="67" t="n">
        <f aca="false">-Inputs!$E$33*1</f>
        <v>-3500</v>
      </c>
      <c r="M36" s="67" t="n">
        <f aca="false">-Inputs!$E$33*1</f>
        <v>-3500</v>
      </c>
      <c r="N36" s="67" t="n">
        <f aca="false">-Inputs!$E$33*1</f>
        <v>-3500</v>
      </c>
      <c r="O36" s="67" t="n">
        <f aca="false">-Inputs!$E$33*1</f>
        <v>-3500</v>
      </c>
      <c r="P36" s="67" t="n">
        <f aca="false">-Inputs!$E$33*1</f>
        <v>-3500</v>
      </c>
      <c r="Q36" s="67" t="n">
        <f aca="false">-Inputs!$E$33*1</f>
        <v>-3500</v>
      </c>
      <c r="R36" s="67" t="n">
        <f aca="false">-Inputs!$E$33*1</f>
        <v>-3500</v>
      </c>
      <c r="S36" s="67" t="n">
        <f aca="false">-Inputs!$E$33*1</f>
        <v>-3500</v>
      </c>
      <c r="T36" s="67" t="n">
        <f aca="false">-Inputs!$E$33*1</f>
        <v>-3500</v>
      </c>
      <c r="U36" s="67" t="n">
        <f aca="false">-Inputs!$E$33*1</f>
        <v>-3500</v>
      </c>
      <c r="V36" s="67" t="n">
        <f aca="false">-Inputs!$E$33*1</f>
        <v>-3500</v>
      </c>
      <c r="W36" s="67" t="n">
        <f aca="false">-Inputs!$E$33*1</f>
        <v>-3500</v>
      </c>
      <c r="X36" s="67" t="n">
        <f aca="false">-Inputs!$E$33*1</f>
        <v>-3500</v>
      </c>
      <c r="Y36" s="67" t="n">
        <f aca="false">-Inputs!$E$33*1</f>
        <v>-3500</v>
      </c>
      <c r="Z36" s="67" t="n">
        <f aca="false">-Inputs!$E$33*1</f>
        <v>-3500</v>
      </c>
      <c r="AA36" s="67" t="n">
        <f aca="false">-Inputs!$E$33*1</f>
        <v>-3500</v>
      </c>
      <c r="AB36" s="67" t="n">
        <f aca="false">-Inputs!$E$33*1</f>
        <v>-3500</v>
      </c>
      <c r="AC36" s="67" t="n">
        <f aca="false">-Inputs!$E$33*1</f>
        <v>-3500</v>
      </c>
      <c r="AD36" s="67" t="n">
        <f aca="false">-Inputs!$E$33*1</f>
        <v>-3500</v>
      </c>
      <c r="AE36" s="67" t="n">
        <f aca="false">-Inputs!$E$33*1</f>
        <v>-3500</v>
      </c>
      <c r="AF36" s="67" t="n">
        <f aca="false">-Inputs!$E$33*1</f>
        <v>-3500</v>
      </c>
      <c r="AG36" s="67" t="n">
        <f aca="false">-Inputs!$E$33*1</f>
        <v>-3500</v>
      </c>
      <c r="AH36" s="67" t="n">
        <f aca="false">-Inputs!$E$33*1</f>
        <v>-3500</v>
      </c>
      <c r="AI36" s="67" t="n">
        <f aca="false">-Inputs!$E$33*1</f>
        <v>-3500</v>
      </c>
      <c r="AJ36" s="67" t="n">
        <f aca="false">-Inputs!$E$33*1</f>
        <v>-3500</v>
      </c>
      <c r="AK36" s="67" t="n">
        <f aca="false">-Inputs!$E$33*1</f>
        <v>-3500</v>
      </c>
      <c r="AL36" s="67" t="n">
        <f aca="false">-Inputs!$E$33*1</f>
        <v>-3500</v>
      </c>
    </row>
    <row r="37" customFormat="false" ht="15" hidden="false" customHeight="false" outlineLevel="0" collapsed="false">
      <c r="A37" s="6" t="s">
        <v>325</v>
      </c>
      <c r="C37" s="67" t="n">
        <f aca="false">-Inputs!$E$34*1</f>
        <v>-4500</v>
      </c>
      <c r="D37" s="67" t="n">
        <f aca="false">-Inputs!$E$34*1</f>
        <v>-4500</v>
      </c>
      <c r="E37" s="67" t="n">
        <f aca="false">-Inputs!$E$34*1</f>
        <v>-4500</v>
      </c>
      <c r="F37" s="67" t="n">
        <f aca="false">-Inputs!$E$34*1</f>
        <v>-4500</v>
      </c>
      <c r="G37" s="67" t="n">
        <f aca="false">-Inputs!$E$34*1</f>
        <v>-4500</v>
      </c>
      <c r="H37" s="67" t="n">
        <f aca="false">-Inputs!$E$34*1</f>
        <v>-4500</v>
      </c>
      <c r="I37" s="67" t="n">
        <f aca="false">-Inputs!$E$34*1</f>
        <v>-4500</v>
      </c>
      <c r="J37" s="67" t="n">
        <f aca="false">-Inputs!$E$34*1</f>
        <v>-4500</v>
      </c>
      <c r="K37" s="67" t="n">
        <f aca="false">-Inputs!$E$34*1</f>
        <v>-4500</v>
      </c>
      <c r="L37" s="67" t="n">
        <f aca="false">-Inputs!$E$34*1</f>
        <v>-4500</v>
      </c>
      <c r="M37" s="67" t="n">
        <f aca="false">-Inputs!$E$34*1</f>
        <v>-4500</v>
      </c>
      <c r="N37" s="67" t="n">
        <f aca="false">-Inputs!$E$34*1</f>
        <v>-4500</v>
      </c>
      <c r="O37" s="67" t="n">
        <f aca="false">-Inputs!$E$34*1</f>
        <v>-4500</v>
      </c>
      <c r="P37" s="67" t="n">
        <f aca="false">-Inputs!$E$34*1</f>
        <v>-4500</v>
      </c>
      <c r="Q37" s="67" t="n">
        <f aca="false">-Inputs!$E$34*1</f>
        <v>-4500</v>
      </c>
      <c r="R37" s="67" t="n">
        <f aca="false">-Inputs!$E$34*1</f>
        <v>-4500</v>
      </c>
      <c r="S37" s="67" t="n">
        <f aca="false">-Inputs!$E$34*1</f>
        <v>-4500</v>
      </c>
      <c r="T37" s="67" t="n">
        <f aca="false">-Inputs!$E$34*1</f>
        <v>-4500</v>
      </c>
      <c r="U37" s="67" t="n">
        <f aca="false">-Inputs!$E$34*1</f>
        <v>-4500</v>
      </c>
      <c r="V37" s="67" t="n">
        <f aca="false">-Inputs!$E$34*1</f>
        <v>-4500</v>
      </c>
      <c r="W37" s="67" t="n">
        <f aca="false">-Inputs!$E$34*1</f>
        <v>-4500</v>
      </c>
      <c r="X37" s="67" t="n">
        <f aca="false">-Inputs!$E$34*1</f>
        <v>-4500</v>
      </c>
      <c r="Y37" s="67" t="n">
        <f aca="false">-Inputs!$E$34*1</f>
        <v>-4500</v>
      </c>
      <c r="Z37" s="67" t="n">
        <f aca="false">-Inputs!$E$34*1</f>
        <v>-4500</v>
      </c>
      <c r="AA37" s="67" t="n">
        <f aca="false">-Inputs!$E$34*1</f>
        <v>-4500</v>
      </c>
      <c r="AB37" s="67" t="n">
        <f aca="false">-Inputs!$E$34*1</f>
        <v>-4500</v>
      </c>
      <c r="AC37" s="67" t="n">
        <f aca="false">-Inputs!$E$34*1</f>
        <v>-4500</v>
      </c>
      <c r="AD37" s="67" t="n">
        <f aca="false">-Inputs!$E$34*1</f>
        <v>-4500</v>
      </c>
      <c r="AE37" s="67" t="n">
        <f aca="false">-Inputs!$E$34*1</f>
        <v>-4500</v>
      </c>
      <c r="AF37" s="67" t="n">
        <f aca="false">-Inputs!$E$34*1</f>
        <v>-4500</v>
      </c>
      <c r="AG37" s="67" t="n">
        <f aca="false">-Inputs!$E$34*1</f>
        <v>-4500</v>
      </c>
      <c r="AH37" s="67" t="n">
        <f aca="false">-Inputs!$E$34*1</f>
        <v>-4500</v>
      </c>
      <c r="AI37" s="67" t="n">
        <f aca="false">-Inputs!$E$34*1</f>
        <v>-4500</v>
      </c>
      <c r="AJ37" s="67" t="n">
        <f aca="false">-Inputs!$E$34*1</f>
        <v>-4500</v>
      </c>
      <c r="AK37" s="67" t="n">
        <f aca="false">-Inputs!$E$34*1</f>
        <v>-4500</v>
      </c>
      <c r="AL37" s="67" t="n">
        <f aca="false">-Inputs!$E$34*1</f>
        <v>-4500</v>
      </c>
    </row>
    <row r="38" customFormat="false" ht="15" hidden="false" customHeight="false" outlineLevel="0" collapsed="false">
      <c r="A38" s="6" t="s">
        <v>326</v>
      </c>
      <c r="C38" s="67" t="n">
        <f aca="false">-Inputs!$E$35*1</f>
        <v>-2500</v>
      </c>
      <c r="D38" s="67" t="n">
        <f aca="false">-Inputs!$E$35*1</f>
        <v>-2500</v>
      </c>
      <c r="E38" s="67" t="n">
        <f aca="false">-Inputs!$E$35*1</f>
        <v>-2500</v>
      </c>
      <c r="F38" s="67" t="n">
        <f aca="false">-Inputs!$E$35*1</f>
        <v>-2500</v>
      </c>
      <c r="G38" s="67" t="n">
        <f aca="false">-Inputs!$E$35*1</f>
        <v>-2500</v>
      </c>
      <c r="H38" s="67" t="n">
        <f aca="false">-Inputs!$E$35*1</f>
        <v>-2500</v>
      </c>
      <c r="I38" s="67" t="n">
        <f aca="false">-Inputs!$E$35*1</f>
        <v>-2500</v>
      </c>
      <c r="J38" s="67" t="n">
        <f aca="false">-Inputs!$E$35*1</f>
        <v>-2500</v>
      </c>
      <c r="K38" s="67" t="n">
        <f aca="false">-Inputs!$E$35*1</f>
        <v>-2500</v>
      </c>
      <c r="L38" s="67" t="n">
        <f aca="false">-Inputs!$E$35*1</f>
        <v>-2500</v>
      </c>
      <c r="M38" s="67" t="n">
        <f aca="false">-Inputs!$E$35*1</f>
        <v>-2500</v>
      </c>
      <c r="N38" s="67" t="n">
        <f aca="false">-Inputs!$E$35*1</f>
        <v>-2500</v>
      </c>
      <c r="O38" s="67" t="n">
        <f aca="false">-Inputs!$E$35*1</f>
        <v>-2500</v>
      </c>
      <c r="P38" s="67" t="n">
        <f aca="false">-Inputs!$E$35*1</f>
        <v>-2500</v>
      </c>
      <c r="Q38" s="67" t="n">
        <f aca="false">-Inputs!$E$35*1</f>
        <v>-2500</v>
      </c>
      <c r="R38" s="67" t="n">
        <f aca="false">-Inputs!$E$35*1</f>
        <v>-2500</v>
      </c>
      <c r="S38" s="67" t="n">
        <f aca="false">-Inputs!$E$35*1</f>
        <v>-2500</v>
      </c>
      <c r="T38" s="67" t="n">
        <f aca="false">-Inputs!$E$35*1</f>
        <v>-2500</v>
      </c>
      <c r="U38" s="67" t="n">
        <f aca="false">-Inputs!$E$35*1</f>
        <v>-2500</v>
      </c>
      <c r="V38" s="67" t="n">
        <f aca="false">-Inputs!$E$35*1</f>
        <v>-2500</v>
      </c>
      <c r="W38" s="67" t="n">
        <f aca="false">-Inputs!$E$35*1</f>
        <v>-2500</v>
      </c>
      <c r="X38" s="67" t="n">
        <f aca="false">-Inputs!$E$35*1</f>
        <v>-2500</v>
      </c>
      <c r="Y38" s="67" t="n">
        <f aca="false">-Inputs!$E$35*1</f>
        <v>-2500</v>
      </c>
      <c r="Z38" s="67" t="n">
        <f aca="false">-Inputs!$E$35*1</f>
        <v>-2500</v>
      </c>
      <c r="AA38" s="67" t="n">
        <f aca="false">-Inputs!$E$35*1</f>
        <v>-2500</v>
      </c>
      <c r="AB38" s="67" t="n">
        <f aca="false">-Inputs!$E$35*1</f>
        <v>-2500</v>
      </c>
      <c r="AC38" s="67" t="n">
        <f aca="false">-Inputs!$E$35*1</f>
        <v>-2500</v>
      </c>
      <c r="AD38" s="67" t="n">
        <f aca="false">-Inputs!$E$35*1</f>
        <v>-2500</v>
      </c>
      <c r="AE38" s="67" t="n">
        <f aca="false">-Inputs!$E$35*1</f>
        <v>-2500</v>
      </c>
      <c r="AF38" s="67" t="n">
        <f aca="false">-Inputs!$E$35*1</f>
        <v>-2500</v>
      </c>
      <c r="AG38" s="67" t="n">
        <f aca="false">-Inputs!$E$35*1</f>
        <v>-2500</v>
      </c>
      <c r="AH38" s="67" t="n">
        <f aca="false">-Inputs!$E$35*1</f>
        <v>-2500</v>
      </c>
      <c r="AI38" s="67" t="n">
        <f aca="false">-Inputs!$E$35*1</f>
        <v>-2500</v>
      </c>
      <c r="AJ38" s="67" t="n">
        <f aca="false">-Inputs!$E$35*1</f>
        <v>-2500</v>
      </c>
      <c r="AK38" s="67" t="n">
        <f aca="false">-Inputs!$E$35*1</f>
        <v>-2500</v>
      </c>
      <c r="AL38" s="67" t="n">
        <f aca="false">-Inputs!$E$35*1</f>
        <v>-2500</v>
      </c>
    </row>
    <row r="39" customFormat="false" ht="15" hidden="false" customHeight="false" outlineLevel="0" collapsed="false">
      <c r="A39" s="6" t="s">
        <v>327</v>
      </c>
      <c r="C39" s="67" t="n">
        <f aca="false">-C22*Inputs!$E$36</f>
        <v>-3602.79</v>
      </c>
      <c r="D39" s="67" t="n">
        <f aca="false">-D22*Inputs!$E$36</f>
        <v>-3602.79</v>
      </c>
      <c r="E39" s="67" t="n">
        <f aca="false">-E22*Inputs!$E$36</f>
        <v>-3602.79</v>
      </c>
      <c r="F39" s="67" t="n">
        <f aca="false">-F22*Inputs!$E$36</f>
        <v>-3602.79</v>
      </c>
      <c r="G39" s="67" t="n">
        <f aca="false">-G22*Inputs!$E$36</f>
        <v>-3602.79</v>
      </c>
      <c r="H39" s="67" t="n">
        <f aca="false">-H22*Inputs!$E$36</f>
        <v>-4581.9</v>
      </c>
      <c r="I39" s="67" t="n">
        <f aca="false">-I22*Inputs!$E$36</f>
        <v>-4581.9</v>
      </c>
      <c r="J39" s="67" t="n">
        <f aca="false">-J22*Inputs!$E$36</f>
        <v>-4581.9</v>
      </c>
      <c r="K39" s="67" t="n">
        <f aca="false">-K22*Inputs!$E$36</f>
        <v>-3602.79</v>
      </c>
      <c r="L39" s="67" t="n">
        <f aca="false">-L22*Inputs!$E$36</f>
        <v>-3602.79</v>
      </c>
      <c r="M39" s="67" t="n">
        <f aca="false">-M22*Inputs!$E$36</f>
        <v>-3602.79</v>
      </c>
      <c r="N39" s="67" t="n">
        <f aca="false">-N22*Inputs!$E$36</f>
        <v>-3602.79</v>
      </c>
      <c r="O39" s="67" t="n">
        <f aca="false">-O22*Inputs!$E$36</f>
        <v>-4278.628755</v>
      </c>
      <c r="P39" s="67" t="n">
        <f aca="false">-P22*Inputs!$E$36</f>
        <v>-4278.628755</v>
      </c>
      <c r="Q39" s="67" t="n">
        <f aca="false">-Q22*Inputs!$E$36</f>
        <v>-4278.628755</v>
      </c>
      <c r="R39" s="67" t="n">
        <f aca="false">-R22*Inputs!$E$36</f>
        <v>-4278.628755</v>
      </c>
      <c r="S39" s="67" t="n">
        <f aca="false">-S22*Inputs!$E$36</f>
        <v>-4278.628755</v>
      </c>
      <c r="T39" s="67" t="n">
        <f aca="false">-T22*Inputs!$E$36</f>
        <v>-5303.47824</v>
      </c>
      <c r="U39" s="67" t="n">
        <f aca="false">-U22*Inputs!$E$36</f>
        <v>-5303.47824</v>
      </c>
      <c r="V39" s="67" t="n">
        <f aca="false">-V22*Inputs!$E$36</f>
        <v>-5303.47824</v>
      </c>
      <c r="W39" s="67" t="n">
        <f aca="false">-W22*Inputs!$E$36</f>
        <v>-4278.628755</v>
      </c>
      <c r="X39" s="67" t="n">
        <f aca="false">-X22*Inputs!$E$36</f>
        <v>-4278.628755</v>
      </c>
      <c r="Y39" s="67" t="n">
        <f aca="false">-Y22*Inputs!$E$36</f>
        <v>-4278.628755</v>
      </c>
      <c r="Z39" s="67" t="n">
        <f aca="false">-Z22*Inputs!$E$36</f>
        <v>-4278.628755</v>
      </c>
      <c r="AA39" s="67" t="n">
        <f aca="false">-AA22*Inputs!$E$36</f>
        <v>-5081.7850242975</v>
      </c>
      <c r="AB39" s="67" t="n">
        <f aca="false">-AB22*Inputs!$E$36</f>
        <v>-5081.7850242975</v>
      </c>
      <c r="AC39" s="67" t="n">
        <f aca="false">-AC22*Inputs!$E$36</f>
        <v>-5081.7850242975</v>
      </c>
      <c r="AD39" s="67" t="n">
        <f aca="false">-AD22*Inputs!$E$36</f>
        <v>-5081.7850242975</v>
      </c>
      <c r="AE39" s="67" t="n">
        <f aca="false">-AE22*Inputs!$E$36</f>
        <v>-5081.7850242975</v>
      </c>
      <c r="AF39" s="67" t="n">
        <f aca="false">-AF22*Inputs!$E$36</f>
        <v>-6140.091320064</v>
      </c>
      <c r="AG39" s="67" t="n">
        <f aca="false">-AG22*Inputs!$E$36</f>
        <v>-6140.091320064</v>
      </c>
      <c r="AH39" s="67" t="n">
        <f aca="false">-AH22*Inputs!$E$36</f>
        <v>-6140.091320064</v>
      </c>
      <c r="AI39" s="67" t="n">
        <f aca="false">-AI22*Inputs!$E$36</f>
        <v>-5081.7850242975</v>
      </c>
      <c r="AJ39" s="67" t="n">
        <f aca="false">-AJ22*Inputs!$E$36</f>
        <v>-5081.7850242975</v>
      </c>
      <c r="AK39" s="67" t="n">
        <f aca="false">-AK22*Inputs!$E$36</f>
        <v>-5081.7850242975</v>
      </c>
      <c r="AL39" s="67" t="n">
        <f aca="false">-AL22*Inputs!$E$36</f>
        <v>-5081.7850242975</v>
      </c>
    </row>
    <row r="40" customFormat="false" ht="15" hidden="false" customHeight="false" outlineLevel="0" collapsed="false">
      <c r="A40" s="113" t="s">
        <v>76</v>
      </c>
      <c r="C40" s="68" t="n">
        <f aca="false">C33+C34+C35+C36+C37+C38+C39</f>
        <v>-32567.79</v>
      </c>
      <c r="D40" s="68" t="n">
        <f aca="false">D33+D34+D35+D36+D37+D38+D39</f>
        <v>-32567.79</v>
      </c>
      <c r="E40" s="68" t="n">
        <f aca="false">E33+E34+E35+E36+E37+E38+E39</f>
        <v>-32567.79</v>
      </c>
      <c r="F40" s="68" t="n">
        <f aca="false">F33+F34+F35+F36+F37+F38+F39</f>
        <v>-32567.79</v>
      </c>
      <c r="G40" s="68" t="n">
        <f aca="false">G33+G34+G35+G36+G37+G38+G39</f>
        <v>-32567.79</v>
      </c>
      <c r="H40" s="68" t="n">
        <f aca="false">H33+H34+H35+H36+H37+H38+H39</f>
        <v>-33546.9</v>
      </c>
      <c r="I40" s="68" t="n">
        <f aca="false">I33+I34+I35+I36+I37+I38+I39</f>
        <v>-33546.9</v>
      </c>
      <c r="J40" s="68" t="n">
        <f aca="false">J33+J34+J35+J36+J37+J38+J39</f>
        <v>-33546.9</v>
      </c>
      <c r="K40" s="68" t="n">
        <f aca="false">K33+K34+K35+K36+K37+K38+K39</f>
        <v>-32567.79</v>
      </c>
      <c r="L40" s="68" t="n">
        <f aca="false">L33+L34+L35+L36+L37+L38+L39</f>
        <v>-32567.79</v>
      </c>
      <c r="M40" s="68" t="n">
        <f aca="false">M33+M34+M35+M36+M37+M38+M39</f>
        <v>-32567.79</v>
      </c>
      <c r="N40" s="68" t="n">
        <f aca="false">N33+N34+N35+N36+N37+N38+N39</f>
        <v>-32567.79</v>
      </c>
      <c r="O40" s="68" t="n">
        <f aca="false">O33+O34+O35+O36+O37+O38+O39</f>
        <v>-35841.553755</v>
      </c>
      <c r="P40" s="68" t="n">
        <f aca="false">P33+P34+P35+P36+P37+P38+P39</f>
        <v>-35841.553755</v>
      </c>
      <c r="Q40" s="68" t="n">
        <f aca="false">Q33+Q34+Q35+Q36+Q37+Q38+Q39</f>
        <v>-35841.553755</v>
      </c>
      <c r="R40" s="68" t="n">
        <f aca="false">R33+R34+R35+R36+R37+R38+R39</f>
        <v>-35841.553755</v>
      </c>
      <c r="S40" s="68" t="n">
        <f aca="false">S33+S34+S35+S36+S37+S38+S39</f>
        <v>-35841.553755</v>
      </c>
      <c r="T40" s="68" t="n">
        <f aca="false">T33+T34+T35+T36+T37+T38+T39</f>
        <v>-36866.40324</v>
      </c>
      <c r="U40" s="68" t="n">
        <f aca="false">U33+U34+U35+U36+U37+U38+U39</f>
        <v>-36866.40324</v>
      </c>
      <c r="V40" s="68" t="n">
        <f aca="false">V33+V34+V35+V36+V37+V38+V39</f>
        <v>-36866.40324</v>
      </c>
      <c r="W40" s="68" t="n">
        <f aca="false">W33+W34+W35+W36+W37+W38+W39</f>
        <v>-35841.553755</v>
      </c>
      <c r="X40" s="68" t="n">
        <f aca="false">X33+X34+X35+X36+X37+X38+X39</f>
        <v>-35841.553755</v>
      </c>
      <c r="Y40" s="68" t="n">
        <f aca="false">Y33+Y34+Y35+Y36+Y37+Y38+Y39</f>
        <v>-35841.553755</v>
      </c>
      <c r="Z40" s="68" t="n">
        <f aca="false">Z33+Z34+Z35+Z36+Z37+Z38+Z39</f>
        <v>-35841.553755</v>
      </c>
      <c r="AA40" s="68" t="n">
        <f aca="false">AA33+AA34+AA35+AA36+AA37+AA38+AA39</f>
        <v>-39609.7986492975</v>
      </c>
      <c r="AB40" s="68" t="n">
        <f aca="false">AB33+AB34+AB35+AB36+AB37+AB38+AB39</f>
        <v>-39609.7986492975</v>
      </c>
      <c r="AC40" s="68" t="n">
        <f aca="false">AC33+AC34+AC35+AC36+AC37+AC38+AC39</f>
        <v>-39609.7986492975</v>
      </c>
      <c r="AD40" s="68" t="n">
        <f aca="false">AD33+AD34+AD35+AD36+AD37+AD38+AD39</f>
        <v>-39609.7986492975</v>
      </c>
      <c r="AE40" s="68" t="n">
        <f aca="false">AE33+AE34+AE35+AE36+AE37+AE38+AE39</f>
        <v>-39609.7986492975</v>
      </c>
      <c r="AF40" s="68" t="n">
        <f aca="false">AF33+AF34+AF35+AF36+AF37+AF38+AF39</f>
        <v>-40668.104945064</v>
      </c>
      <c r="AG40" s="68" t="n">
        <f aca="false">AG33+AG34+AG35+AG36+AG37+AG38+AG39</f>
        <v>-40668.104945064</v>
      </c>
      <c r="AH40" s="68" t="n">
        <f aca="false">AH33+AH34+AH35+AH36+AH37+AH38+AH39</f>
        <v>-40668.104945064</v>
      </c>
      <c r="AI40" s="68" t="n">
        <f aca="false">AI33+AI34+AI35+AI36+AI37+AI38+AI39</f>
        <v>-39609.7986492975</v>
      </c>
      <c r="AJ40" s="68" t="n">
        <f aca="false">AJ33+AJ34+AJ35+AJ36+AJ37+AJ38+AJ39</f>
        <v>-39609.7986492975</v>
      </c>
      <c r="AK40" s="68" t="n">
        <f aca="false">AK33+AK34+AK35+AK36+AK37+AK38+AK39</f>
        <v>-39609.7986492975</v>
      </c>
      <c r="AL40" s="68" t="n">
        <f aca="false">AL33+AL34+AL35+AL36+AL37+AL38+AL39</f>
        <v>-39609.7986492975</v>
      </c>
    </row>
    <row r="41" customFormat="false" ht="15" hidden="false" customHeight="false" outlineLevel="0" collapsed="false">
      <c r="A41" s="113" t="s">
        <v>48</v>
      </c>
      <c r="C41" s="68" t="n">
        <f aca="false">C30+C40</f>
        <v>15618.0433333333</v>
      </c>
      <c r="D41" s="68" t="n">
        <f aca="false">D30+D40</f>
        <v>15618.0433333333</v>
      </c>
      <c r="E41" s="68" t="n">
        <f aca="false">E30+E40</f>
        <v>15618.0433333333</v>
      </c>
      <c r="F41" s="68" t="n">
        <f aca="false">F30+F40</f>
        <v>15618.0433333333</v>
      </c>
      <c r="G41" s="68" t="n">
        <f aca="false">G30+G40</f>
        <v>15618.0433333333</v>
      </c>
      <c r="H41" s="68" t="n">
        <f aca="false">H30+H40</f>
        <v>41836.4333333333</v>
      </c>
      <c r="I41" s="68" t="n">
        <f aca="false">I30+I40</f>
        <v>41836.4333333333</v>
      </c>
      <c r="J41" s="68" t="n">
        <f aca="false">J30+J40</f>
        <v>41836.4333333333</v>
      </c>
      <c r="K41" s="68" t="n">
        <f aca="false">K30+K40</f>
        <v>15618.0433333333</v>
      </c>
      <c r="L41" s="68" t="n">
        <f aca="false">L30+L40</f>
        <v>15618.0433333333</v>
      </c>
      <c r="M41" s="68" t="n">
        <f aca="false">M30+M40</f>
        <v>15618.0433333333</v>
      </c>
      <c r="N41" s="68" t="n">
        <f aca="false">N30+N40</f>
        <v>15618.0433333333</v>
      </c>
      <c r="O41" s="68" t="n">
        <f aca="false">O30+O40</f>
        <v>23353.8983283333</v>
      </c>
      <c r="P41" s="68" t="n">
        <f aca="false">P30+P40</f>
        <v>23353.8983283333</v>
      </c>
      <c r="Q41" s="68" t="n">
        <f aca="false">Q30+Q40</f>
        <v>23353.8983283333</v>
      </c>
      <c r="R41" s="68" t="n">
        <f aca="false">R30+R40</f>
        <v>23353.8983283333</v>
      </c>
      <c r="S41" s="68" t="n">
        <f aca="false">S30+S40</f>
        <v>23353.8983283333</v>
      </c>
      <c r="T41" s="68" t="n">
        <f aca="false">T30+T40</f>
        <v>50797.0900933333</v>
      </c>
      <c r="U41" s="68" t="n">
        <f aca="false">U30+U40</f>
        <v>50797.0900933333</v>
      </c>
      <c r="V41" s="68" t="n">
        <f aca="false">V30+V40</f>
        <v>50797.0900933333</v>
      </c>
      <c r="W41" s="68" t="n">
        <f aca="false">W30+W40</f>
        <v>23353.8983283333</v>
      </c>
      <c r="X41" s="68" t="n">
        <f aca="false">X30+X40</f>
        <v>23353.8983283333</v>
      </c>
      <c r="Y41" s="68" t="n">
        <f aca="false">Y30+Y40</f>
        <v>23353.8983283333</v>
      </c>
      <c r="Z41" s="68" t="n">
        <f aca="false">Z30+Z40</f>
        <v>23353.8983283333</v>
      </c>
      <c r="AA41" s="68" t="n">
        <f aca="false">AA30+AA40</f>
        <v>32952.7240754108</v>
      </c>
      <c r="AB41" s="68" t="n">
        <f aca="false">AB30+AB40</f>
        <v>32952.7240754108</v>
      </c>
      <c r="AC41" s="68" t="n">
        <f aca="false">AC30+AC40</f>
        <v>32952.7240754108</v>
      </c>
      <c r="AD41" s="68" t="n">
        <f aca="false">AD30+AD40</f>
        <v>32952.7240754108</v>
      </c>
      <c r="AE41" s="68" t="n">
        <f aca="false">AE30+AE40</f>
        <v>32952.7240754108</v>
      </c>
      <c r="AF41" s="68" t="n">
        <f aca="false">AF30+AF40</f>
        <v>61291.8148842693</v>
      </c>
      <c r="AG41" s="68" t="n">
        <f aca="false">AG30+AG40</f>
        <v>61291.8148842693</v>
      </c>
      <c r="AH41" s="68" t="n">
        <f aca="false">AH30+AH40</f>
        <v>61291.8148842693</v>
      </c>
      <c r="AI41" s="68" t="n">
        <f aca="false">AI30+AI40</f>
        <v>32952.7240754108</v>
      </c>
      <c r="AJ41" s="68" t="n">
        <f aca="false">AJ30+AJ40</f>
        <v>32952.7240754108</v>
      </c>
      <c r="AK41" s="68" t="n">
        <f aca="false">AK30+AK40</f>
        <v>32952.7240754108</v>
      </c>
      <c r="AL41" s="68" t="n">
        <f aca="false">AL30+AL40</f>
        <v>32952.7240754108</v>
      </c>
    </row>
    <row r="43" customFormat="false" ht="15.75" hidden="false" customHeight="true" outlineLevel="0" collapsed="false">
      <c r="A43" s="7" t="s">
        <v>387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4" t="s">
        <v>78</v>
      </c>
      <c r="C44" s="73" t="n">
        <f aca="false">C41+C55</f>
        <v>15284.71</v>
      </c>
      <c r="D44" s="73" t="n">
        <f aca="false">D41+D55</f>
        <v>15284.71</v>
      </c>
      <c r="E44" s="73" t="n">
        <f aca="false">E41+E55</f>
        <v>15284.71</v>
      </c>
      <c r="F44" s="73" t="n">
        <f aca="false">F41+F55</f>
        <v>15284.71</v>
      </c>
      <c r="G44" s="73" t="n">
        <f aca="false">G41+G55</f>
        <v>15284.71</v>
      </c>
      <c r="H44" s="73" t="n">
        <f aca="false">H41+H55</f>
        <v>41503.1</v>
      </c>
      <c r="I44" s="73" t="n">
        <f aca="false">I41+I55</f>
        <v>41503.1</v>
      </c>
      <c r="J44" s="73" t="n">
        <f aca="false">J41+J55</f>
        <v>41503.1</v>
      </c>
      <c r="K44" s="73" t="n">
        <f aca="false">K41+K55</f>
        <v>15284.71</v>
      </c>
      <c r="L44" s="73" t="n">
        <f aca="false">L41+L55</f>
        <v>15284.71</v>
      </c>
      <c r="M44" s="73" t="n">
        <f aca="false">M41+M55</f>
        <v>15284.71</v>
      </c>
      <c r="N44" s="73" t="n">
        <f aca="false">N41+N55</f>
        <v>15284.71</v>
      </c>
      <c r="O44" s="73" t="n">
        <f aca="false">O41+O55</f>
        <v>22390.564995</v>
      </c>
      <c r="P44" s="73" t="n">
        <f aca="false">P41+P55</f>
        <v>22390.564995</v>
      </c>
      <c r="Q44" s="73" t="n">
        <f aca="false">Q41+Q55</f>
        <v>22390.564995</v>
      </c>
      <c r="R44" s="73" t="n">
        <f aca="false">R41+R55</f>
        <v>22390.564995</v>
      </c>
      <c r="S44" s="73" t="n">
        <f aca="false">S41+S55</f>
        <v>22390.564995</v>
      </c>
      <c r="T44" s="73" t="n">
        <f aca="false">T41+T55</f>
        <v>49833.75676</v>
      </c>
      <c r="U44" s="73" t="n">
        <f aca="false">U41+U55</f>
        <v>49833.75676</v>
      </c>
      <c r="V44" s="73" t="n">
        <f aca="false">V41+V55</f>
        <v>49833.75676</v>
      </c>
      <c r="W44" s="73" t="n">
        <f aca="false">W41+W55</f>
        <v>22390.564995</v>
      </c>
      <c r="X44" s="73" t="n">
        <f aca="false">X41+X55</f>
        <v>22390.564995</v>
      </c>
      <c r="Y44" s="73" t="n">
        <f aca="false">Y41+Y55</f>
        <v>22390.564995</v>
      </c>
      <c r="Z44" s="73" t="n">
        <f aca="false">Z41+Z55</f>
        <v>22390.564995</v>
      </c>
      <c r="AA44" s="73" t="n">
        <f aca="false">AA41+AA55</f>
        <v>31283.7907420775</v>
      </c>
      <c r="AB44" s="73" t="n">
        <f aca="false">AB41+AB55</f>
        <v>31283.7907420775</v>
      </c>
      <c r="AC44" s="73" t="n">
        <f aca="false">AC41+AC55</f>
        <v>31283.7907420775</v>
      </c>
      <c r="AD44" s="73" t="n">
        <f aca="false">AD41+AD55</f>
        <v>31283.7907420775</v>
      </c>
      <c r="AE44" s="73" t="n">
        <f aca="false">AE41+AE55</f>
        <v>31283.7907420775</v>
      </c>
      <c r="AF44" s="73" t="n">
        <f aca="false">AF41+AF55</f>
        <v>59622.881550936</v>
      </c>
      <c r="AG44" s="73" t="n">
        <f aca="false">AG41+AG55</f>
        <v>59622.881550936</v>
      </c>
      <c r="AH44" s="73" t="n">
        <f aca="false">AH41+AH55</f>
        <v>59622.881550936</v>
      </c>
      <c r="AI44" s="73" t="n">
        <f aca="false">AI41+AI55</f>
        <v>31283.7907420775</v>
      </c>
      <c r="AJ44" s="73" t="n">
        <f aca="false">AJ41+AJ55</f>
        <v>31283.7907420775</v>
      </c>
      <c r="AK44" s="73" t="n">
        <f aca="false">AK41+AK55</f>
        <v>31283.7907420775</v>
      </c>
      <c r="AL44" s="73" t="n">
        <f aca="false">AL41+AL55</f>
        <v>31283.7907420775</v>
      </c>
    </row>
    <row r="45" customFormat="false" ht="15" hidden="false" customHeight="false" outlineLevel="0" collapsed="false">
      <c r="A45" s="6" t="s">
        <v>388</v>
      </c>
      <c r="C45" s="67" t="n">
        <f aca="false">-(C60+C61+C63)/2*Inputs!$E$56/12</f>
        <v>-1666.66666666667</v>
      </c>
      <c r="D45" s="67" t="n">
        <f aca="false">-(D60+D61+D63)/2*Inputs!$E$56/12</f>
        <v>-1652.77777777778</v>
      </c>
      <c r="E45" s="67" t="n">
        <f aca="false">-(E60+E61+E63)/2*Inputs!$E$56/12</f>
        <v>-1625</v>
      </c>
      <c r="F45" s="67" t="n">
        <f aca="false">-(F60+F61+F63)/2*Inputs!$E$56/12</f>
        <v>-1597.22222222222</v>
      </c>
      <c r="G45" s="67" t="n">
        <f aca="false">-(G60+G61+G63)/2*Inputs!$E$56/12</f>
        <v>-1569.44444444444</v>
      </c>
      <c r="H45" s="67" t="n">
        <f aca="false">-(H60+H61+H63)/2*Inputs!$E$56/12</f>
        <v>-1541.66666666667</v>
      </c>
      <c r="I45" s="67" t="n">
        <f aca="false">-(I60+I61+I63)/2*Inputs!$E$56/12</f>
        <v>-1513.88888888889</v>
      </c>
      <c r="J45" s="67" t="n">
        <f aca="false">-(J60+J61+J63)/2*Inputs!$E$56/12</f>
        <v>-1486.11111111111</v>
      </c>
      <c r="K45" s="67" t="n">
        <f aca="false">-(K60+K61+K63)/2*Inputs!$E$56/12</f>
        <v>-1458.33333333333</v>
      </c>
      <c r="L45" s="67" t="n">
        <f aca="false">-(L60+L61+L63)/2*Inputs!$E$56/12</f>
        <v>-1430.55555555556</v>
      </c>
      <c r="M45" s="67" t="n">
        <f aca="false">-(M60+M61+M63)/2*Inputs!$E$56/12</f>
        <v>-1402.77777777778</v>
      </c>
      <c r="N45" s="67" t="n">
        <f aca="false">-(N60+N61+N63)/2*Inputs!$E$56/12</f>
        <v>-1375</v>
      </c>
      <c r="O45" s="67" t="n">
        <f aca="false">-(O60+O61+O63)/2*Inputs!$E$56/12</f>
        <v>-1347.22222222222</v>
      </c>
      <c r="P45" s="67" t="n">
        <f aca="false">-(P60+P61+P63)/2*Inputs!$E$56/12</f>
        <v>-1319.44444444445</v>
      </c>
      <c r="Q45" s="67" t="n">
        <f aca="false">-(Q60+Q61+Q63)/2*Inputs!$E$56/12</f>
        <v>-1291.66666666667</v>
      </c>
      <c r="R45" s="67" t="n">
        <f aca="false">-(R60+R61+R63)/2*Inputs!$E$56/12</f>
        <v>-1263.88888888889</v>
      </c>
      <c r="S45" s="67" t="n">
        <f aca="false">-(S60+S61+S63)/2*Inputs!$E$56/12</f>
        <v>-1236.11111111111</v>
      </c>
      <c r="T45" s="67" t="n">
        <f aca="false">-(T60+T61+T63)/2*Inputs!$E$56/12</f>
        <v>-1208.33333333333</v>
      </c>
      <c r="U45" s="67" t="n">
        <f aca="false">-(U60+U61+U63)/2*Inputs!$E$56/12</f>
        <v>-1180.55555555556</v>
      </c>
      <c r="V45" s="67" t="n">
        <f aca="false">-(V60+V61+V63)/2*Inputs!$E$56/12</f>
        <v>-1152.77777777778</v>
      </c>
      <c r="W45" s="67" t="n">
        <f aca="false">-(W60+W61+W63)/2*Inputs!$E$56/12</f>
        <v>-1125</v>
      </c>
      <c r="X45" s="67" t="n">
        <f aca="false">-(X60+X61+X63)/2*Inputs!$E$56/12</f>
        <v>-1097.22222222222</v>
      </c>
      <c r="Y45" s="67" t="n">
        <f aca="false">-(Y60+Y61+Y63)/2*Inputs!$E$56/12</f>
        <v>-1069.44444444445</v>
      </c>
      <c r="Z45" s="67" t="n">
        <f aca="false">-(Z60+Z61+Z63)/2*Inputs!$E$56/12</f>
        <v>-1041.66666666667</v>
      </c>
      <c r="AA45" s="67" t="n">
        <f aca="false">-(AA60+AA61+AA63)/2*Inputs!$E$56/12</f>
        <v>-1013.88888888889</v>
      </c>
      <c r="AB45" s="67" t="n">
        <f aca="false">-(AB60+AB61+AB63)/2*Inputs!$E$56/12</f>
        <v>-986.111111111113</v>
      </c>
      <c r="AC45" s="67" t="n">
        <f aca="false">-(AC60+AC61+AC63)/2*Inputs!$E$56/12</f>
        <v>-958.333333333335</v>
      </c>
      <c r="AD45" s="67" t="n">
        <f aca="false">-(AD60+AD61+AD63)/2*Inputs!$E$56/12</f>
        <v>-930.555555555557</v>
      </c>
      <c r="AE45" s="67" t="n">
        <f aca="false">-(AE60+AE61+AE63)/2*Inputs!$E$56/12</f>
        <v>-902.77777777778</v>
      </c>
      <c r="AF45" s="67" t="n">
        <f aca="false">-(AF60+AF61+AF63)/2*Inputs!$E$56/12</f>
        <v>-875.000000000002</v>
      </c>
      <c r="AG45" s="67" t="n">
        <f aca="false">-(AG60+AG61+AG63)/2*Inputs!$E$56/12</f>
        <v>-847.222222222224</v>
      </c>
      <c r="AH45" s="67" t="n">
        <f aca="false">-(AH60+AH61+AH63)/2*Inputs!$E$56/12</f>
        <v>-819.444444444446</v>
      </c>
      <c r="AI45" s="67" t="n">
        <f aca="false">-(AI60+AI61+AI63)/2*Inputs!$E$56/12</f>
        <v>-791.666666666668</v>
      </c>
      <c r="AJ45" s="67" t="n">
        <f aca="false">-(AJ60+AJ61+AJ63)/2*Inputs!$E$56/12</f>
        <v>-763.888888888891</v>
      </c>
      <c r="AK45" s="67" t="n">
        <f aca="false">-(AK60+AK61+AK63)/2*Inputs!$E$56/12</f>
        <v>-736.111111111113</v>
      </c>
      <c r="AL45" s="67" t="n">
        <f aca="false">-(AL60+AL61+AL63)/2*Inputs!$E$56/12</f>
        <v>-708.333333333335</v>
      </c>
    </row>
    <row r="46" customFormat="false" ht="15" hidden="false" customHeight="false" outlineLevel="0" collapsed="false">
      <c r="A46" s="113" t="s">
        <v>80</v>
      </c>
      <c r="C46" s="68" t="n">
        <f aca="false">C44+C45</f>
        <v>13618.0433333333</v>
      </c>
      <c r="D46" s="68" t="n">
        <f aca="false">D44+D45</f>
        <v>13631.9322222222</v>
      </c>
      <c r="E46" s="68" t="n">
        <f aca="false">E44+E45</f>
        <v>13659.71</v>
      </c>
      <c r="F46" s="68" t="n">
        <f aca="false">F44+F45</f>
        <v>13687.4877777778</v>
      </c>
      <c r="G46" s="68" t="n">
        <f aca="false">G44+G45</f>
        <v>13715.2655555555</v>
      </c>
      <c r="H46" s="68" t="n">
        <f aca="false">H44+H45</f>
        <v>39961.4333333333</v>
      </c>
      <c r="I46" s="68" t="n">
        <f aca="false">I44+I45</f>
        <v>39989.2111111111</v>
      </c>
      <c r="J46" s="68" t="n">
        <f aca="false">J44+J45</f>
        <v>40016.9888888889</v>
      </c>
      <c r="K46" s="68" t="n">
        <f aca="false">K44+K45</f>
        <v>13826.3766666667</v>
      </c>
      <c r="L46" s="68" t="n">
        <f aca="false">L44+L45</f>
        <v>13854.1544444444</v>
      </c>
      <c r="M46" s="68" t="n">
        <f aca="false">M44+M45</f>
        <v>13881.9322222222</v>
      </c>
      <c r="N46" s="68" t="n">
        <f aca="false">N44+N45</f>
        <v>13909.71</v>
      </c>
      <c r="O46" s="68" t="n">
        <f aca="false">O44+O45</f>
        <v>21043.3427727778</v>
      </c>
      <c r="P46" s="68" t="n">
        <f aca="false">P44+P45</f>
        <v>21071.1205505555</v>
      </c>
      <c r="Q46" s="68" t="n">
        <f aca="false">Q44+Q45</f>
        <v>21098.8983283333</v>
      </c>
      <c r="R46" s="68" t="n">
        <f aca="false">R44+R45</f>
        <v>21126.6761061111</v>
      </c>
      <c r="S46" s="68" t="n">
        <f aca="false">S44+S45</f>
        <v>21154.4538838889</v>
      </c>
      <c r="T46" s="68" t="n">
        <f aca="false">T44+T45</f>
        <v>48625.4234266667</v>
      </c>
      <c r="U46" s="68" t="n">
        <f aca="false">U44+U45</f>
        <v>48653.2012044444</v>
      </c>
      <c r="V46" s="68" t="n">
        <f aca="false">V44+V45</f>
        <v>48680.9789822222</v>
      </c>
      <c r="W46" s="68" t="n">
        <f aca="false">W44+W45</f>
        <v>21265.564995</v>
      </c>
      <c r="X46" s="68" t="n">
        <f aca="false">X44+X45</f>
        <v>21293.3427727778</v>
      </c>
      <c r="Y46" s="68" t="n">
        <f aca="false">Y44+Y45</f>
        <v>21321.1205505555</v>
      </c>
      <c r="Z46" s="68" t="n">
        <f aca="false">Z44+Z45</f>
        <v>21348.8983283333</v>
      </c>
      <c r="AA46" s="68" t="n">
        <f aca="false">AA44+AA45</f>
        <v>30269.9018531886</v>
      </c>
      <c r="AB46" s="68" t="n">
        <f aca="false">AB44+AB45</f>
        <v>30297.6796309664</v>
      </c>
      <c r="AC46" s="68" t="n">
        <f aca="false">AC44+AC45</f>
        <v>30325.4574087442</v>
      </c>
      <c r="AD46" s="68" t="n">
        <f aca="false">AD44+AD45</f>
        <v>30353.2351865219</v>
      </c>
      <c r="AE46" s="68" t="n">
        <f aca="false">AE44+AE45</f>
        <v>30381.0129642997</v>
      </c>
      <c r="AF46" s="68" t="n">
        <f aca="false">AF44+AF45</f>
        <v>58747.881550936</v>
      </c>
      <c r="AG46" s="68" t="n">
        <f aca="false">AG44+AG45</f>
        <v>58775.6593287138</v>
      </c>
      <c r="AH46" s="68" t="n">
        <f aca="false">AH44+AH45</f>
        <v>58803.4371064916</v>
      </c>
      <c r="AI46" s="68" t="n">
        <f aca="false">AI44+AI45</f>
        <v>30492.1240754108</v>
      </c>
      <c r="AJ46" s="68" t="n">
        <f aca="false">AJ44+AJ45</f>
        <v>30519.9018531886</v>
      </c>
      <c r="AK46" s="68" t="n">
        <f aca="false">AK44+AK45</f>
        <v>30547.6796309664</v>
      </c>
      <c r="AL46" s="68" t="n">
        <f aca="false">AL44+AL45</f>
        <v>30575.4574087442</v>
      </c>
    </row>
    <row r="47" customFormat="false" ht="15" hidden="false" customHeight="false" outlineLevel="0" collapsed="false">
      <c r="A47" s="121" t="s">
        <v>389</v>
      </c>
      <c r="C47" s="67" t="n">
        <f aca="false">C46</f>
        <v>13618.0433333333</v>
      </c>
      <c r="D47" s="67" t="n">
        <f aca="false">C47+D46</f>
        <v>27249.9755555555</v>
      </c>
      <c r="E47" s="67" t="n">
        <f aca="false">D47+E46</f>
        <v>40909.6855555555</v>
      </c>
      <c r="F47" s="67" t="n">
        <f aca="false">E47+F46</f>
        <v>54597.1733333333</v>
      </c>
      <c r="G47" s="67" t="n">
        <f aca="false">F47+G46</f>
        <v>68312.4388888889</v>
      </c>
      <c r="H47" s="67" t="n">
        <f aca="false">G47+H46</f>
        <v>108273.872222222</v>
      </c>
      <c r="I47" s="67" t="n">
        <f aca="false">H47+I46</f>
        <v>148263.083333333</v>
      </c>
      <c r="J47" s="67" t="n">
        <f aca="false">I47+J46</f>
        <v>188280.072222222</v>
      </c>
      <c r="K47" s="67" t="n">
        <f aca="false">J47+K46</f>
        <v>202106.448888889</v>
      </c>
      <c r="L47" s="67" t="n">
        <f aca="false">K47+L46</f>
        <v>215960.603333333</v>
      </c>
      <c r="M47" s="67" t="n">
        <f aca="false">L47+M46</f>
        <v>229842.535555556</v>
      </c>
      <c r="N47" s="67" t="n">
        <f aca="false">M47+N46</f>
        <v>243752.245555556</v>
      </c>
      <c r="O47" s="67" t="n">
        <f aca="false">N47+O46</f>
        <v>264795.588328333</v>
      </c>
      <c r="P47" s="67" t="n">
        <f aca="false">O47+P46</f>
        <v>285866.708878889</v>
      </c>
      <c r="Q47" s="67" t="n">
        <f aca="false">P47+Q46</f>
        <v>306965.607207222</v>
      </c>
      <c r="R47" s="67" t="n">
        <f aca="false">Q47+R46</f>
        <v>328092.283313333</v>
      </c>
      <c r="S47" s="67" t="n">
        <f aca="false">R47+S46</f>
        <v>349246.737197222</v>
      </c>
      <c r="T47" s="67" t="n">
        <f aca="false">S47+T46</f>
        <v>397872.160623889</v>
      </c>
      <c r="U47" s="67" t="n">
        <f aca="false">T47+U46</f>
        <v>446525.361828333</v>
      </c>
      <c r="V47" s="67" t="n">
        <f aca="false">U47+V46</f>
        <v>495206.340810555</v>
      </c>
      <c r="W47" s="67" t="n">
        <f aca="false">V47+W46</f>
        <v>516471.905805555</v>
      </c>
      <c r="X47" s="67" t="n">
        <f aca="false">W47+X46</f>
        <v>537765.248578333</v>
      </c>
      <c r="Y47" s="67" t="n">
        <f aca="false">X47+Y46</f>
        <v>559086.369128889</v>
      </c>
      <c r="Z47" s="67" t="n">
        <f aca="false">Y47+Z46</f>
        <v>580435.267457222</v>
      </c>
      <c r="AA47" s="67" t="n">
        <f aca="false">Z47+AA46</f>
        <v>610705.169310411</v>
      </c>
      <c r="AB47" s="67" t="n">
        <f aca="false">AA47+AB46</f>
        <v>641002.848941377</v>
      </c>
      <c r="AC47" s="67" t="n">
        <f aca="false">AB47+AC46</f>
        <v>671328.306350121</v>
      </c>
      <c r="AD47" s="67" t="n">
        <f aca="false">AC47+AD46</f>
        <v>701681.541536643</v>
      </c>
      <c r="AE47" s="67" t="n">
        <f aca="false">AD47+AE46</f>
        <v>732062.554500943</v>
      </c>
      <c r="AF47" s="67" t="n">
        <f aca="false">AE47+AF46</f>
        <v>790810.436051879</v>
      </c>
      <c r="AG47" s="67" t="n">
        <f aca="false">AF47+AG46</f>
        <v>849586.095380593</v>
      </c>
      <c r="AH47" s="67" t="n">
        <f aca="false">AG47+AH46</f>
        <v>908389.532487084</v>
      </c>
      <c r="AI47" s="67" t="n">
        <f aca="false">AH47+AI46</f>
        <v>938881.656562495</v>
      </c>
      <c r="AJ47" s="67" t="n">
        <f aca="false">AI47+AJ46</f>
        <v>969401.558415684</v>
      </c>
      <c r="AK47" s="67" t="n">
        <f aca="false">AJ47+AK46</f>
        <v>999949.23804665</v>
      </c>
      <c r="AL47" s="67" t="n">
        <f aca="false">AK47+AL46</f>
        <v>1030524.69545539</v>
      </c>
    </row>
    <row r="48" customFormat="false" ht="15" hidden="false" customHeight="false" outlineLevel="0" collapsed="false">
      <c r="A48" s="121" t="s">
        <v>390</v>
      </c>
      <c r="C48" s="67" t="n">
        <f aca="false">MAX(0,C47)</f>
        <v>13618.0433333333</v>
      </c>
      <c r="D48" s="67" t="n">
        <f aca="false">MAX(C48,D47)</f>
        <v>27249.9755555555</v>
      </c>
      <c r="E48" s="67" t="n">
        <f aca="false">MAX(D48,E47)</f>
        <v>40909.6855555555</v>
      </c>
      <c r="F48" s="67" t="n">
        <f aca="false">MAX(E48,F47)</f>
        <v>54597.1733333333</v>
      </c>
      <c r="G48" s="67" t="n">
        <f aca="false">MAX(F48,G47)</f>
        <v>68312.4388888889</v>
      </c>
      <c r="H48" s="67" t="n">
        <f aca="false">MAX(G48,H47)</f>
        <v>108273.872222222</v>
      </c>
      <c r="I48" s="67" t="n">
        <f aca="false">MAX(H48,I47)</f>
        <v>148263.083333333</v>
      </c>
      <c r="J48" s="67" t="n">
        <f aca="false">MAX(I48,J47)</f>
        <v>188280.072222222</v>
      </c>
      <c r="K48" s="67" t="n">
        <f aca="false">MAX(J48,K47)</f>
        <v>202106.448888889</v>
      </c>
      <c r="L48" s="67" t="n">
        <f aca="false">MAX(K48,L47)</f>
        <v>215960.603333333</v>
      </c>
      <c r="M48" s="67" t="n">
        <f aca="false">MAX(L48,M47)</f>
        <v>229842.535555556</v>
      </c>
      <c r="N48" s="67" t="n">
        <f aca="false">MAX(M48,N47)</f>
        <v>243752.245555556</v>
      </c>
      <c r="O48" s="67" t="n">
        <f aca="false">MAX(N48,O47)</f>
        <v>264795.588328333</v>
      </c>
      <c r="P48" s="67" t="n">
        <f aca="false">MAX(O48,P47)</f>
        <v>285866.708878889</v>
      </c>
      <c r="Q48" s="67" t="n">
        <f aca="false">MAX(P48,Q47)</f>
        <v>306965.607207222</v>
      </c>
      <c r="R48" s="67" t="n">
        <f aca="false">MAX(Q48,R47)</f>
        <v>328092.283313333</v>
      </c>
      <c r="S48" s="67" t="n">
        <f aca="false">MAX(R48,S47)</f>
        <v>349246.737197222</v>
      </c>
      <c r="T48" s="67" t="n">
        <f aca="false">MAX(S48,T47)</f>
        <v>397872.160623889</v>
      </c>
      <c r="U48" s="67" t="n">
        <f aca="false">MAX(T48,U47)</f>
        <v>446525.361828333</v>
      </c>
      <c r="V48" s="67" t="n">
        <f aca="false">MAX(U48,V47)</f>
        <v>495206.340810555</v>
      </c>
      <c r="W48" s="67" t="n">
        <f aca="false">MAX(V48,W47)</f>
        <v>516471.905805555</v>
      </c>
      <c r="X48" s="67" t="n">
        <f aca="false">MAX(W48,X47)</f>
        <v>537765.248578333</v>
      </c>
      <c r="Y48" s="67" t="n">
        <f aca="false">MAX(X48,Y47)</f>
        <v>559086.369128889</v>
      </c>
      <c r="Z48" s="67" t="n">
        <f aca="false">MAX(Y48,Z47)</f>
        <v>580435.267457222</v>
      </c>
      <c r="AA48" s="67" t="n">
        <f aca="false">MAX(Z48,AA47)</f>
        <v>610705.169310411</v>
      </c>
      <c r="AB48" s="67" t="n">
        <f aca="false">MAX(AA48,AB47)</f>
        <v>641002.848941377</v>
      </c>
      <c r="AC48" s="67" t="n">
        <f aca="false">MAX(AB48,AC47)</f>
        <v>671328.306350121</v>
      </c>
      <c r="AD48" s="67" t="n">
        <f aca="false">MAX(AC48,AD47)</f>
        <v>701681.541536643</v>
      </c>
      <c r="AE48" s="67" t="n">
        <f aca="false">MAX(AD48,AE47)</f>
        <v>732062.554500943</v>
      </c>
      <c r="AF48" s="67" t="n">
        <f aca="false">MAX(AE48,AF47)</f>
        <v>790810.436051879</v>
      </c>
      <c r="AG48" s="67" t="n">
        <f aca="false">MAX(AF48,AG47)</f>
        <v>849586.095380593</v>
      </c>
      <c r="AH48" s="67" t="n">
        <f aca="false">MAX(AG48,AH47)</f>
        <v>908389.532487084</v>
      </c>
      <c r="AI48" s="67" t="n">
        <f aca="false">MAX(AH48,AI47)</f>
        <v>938881.656562495</v>
      </c>
      <c r="AJ48" s="67" t="n">
        <f aca="false">MAX(AI48,AJ47)</f>
        <v>969401.558415684</v>
      </c>
      <c r="AK48" s="67" t="n">
        <f aca="false">MAX(AJ48,AK47)</f>
        <v>999949.23804665</v>
      </c>
      <c r="AL48" s="67" t="n">
        <f aca="false">MAX(AK48,AL47)</f>
        <v>1030524.69545539</v>
      </c>
    </row>
    <row r="49" customFormat="false" ht="15" hidden="false" customHeight="false" outlineLevel="0" collapsed="false">
      <c r="A49" s="6" t="s">
        <v>81</v>
      </c>
      <c r="C49" s="67" t="n">
        <f aca="false">-C48*Inputs!$E$66</f>
        <v>-2859.7891</v>
      </c>
      <c r="D49" s="67" t="n">
        <f aca="false">-(D48-C48)*Inputs!$E$66</f>
        <v>-2862.70576666667</v>
      </c>
      <c r="E49" s="67" t="n">
        <f aca="false">-(E48-D48)*Inputs!$E$66</f>
        <v>-2868.5391</v>
      </c>
      <c r="F49" s="67" t="n">
        <f aca="false">-(F48-E48)*Inputs!$E$66</f>
        <v>-2874.37243333333</v>
      </c>
      <c r="G49" s="67" t="n">
        <f aca="false">-(G48-F48)*Inputs!$E$66</f>
        <v>-2880.20576666667</v>
      </c>
      <c r="H49" s="67" t="n">
        <f aca="false">-(H48-G48)*Inputs!$E$66</f>
        <v>-8391.901</v>
      </c>
      <c r="I49" s="67" t="n">
        <f aca="false">-(I48-H48)*Inputs!$E$66</f>
        <v>-8397.73433333333</v>
      </c>
      <c r="J49" s="67" t="n">
        <f aca="false">-(J48-I48)*Inputs!$E$66</f>
        <v>-8403.56766666667</v>
      </c>
      <c r="K49" s="67" t="n">
        <f aca="false">-(K48-J48)*Inputs!$E$66</f>
        <v>-2903.5391</v>
      </c>
      <c r="L49" s="67" t="n">
        <f aca="false">-(L48-K48)*Inputs!$E$66</f>
        <v>-2909.37243333333</v>
      </c>
      <c r="M49" s="67" t="n">
        <f aca="false">-(M48-L48)*Inputs!$E$66</f>
        <v>-2915.20576666666</v>
      </c>
      <c r="N49" s="67" t="n">
        <f aca="false">-(N48-M48)*Inputs!$E$66</f>
        <v>-2921.0391</v>
      </c>
      <c r="O49" s="67" t="n">
        <f aca="false">-(O48-N48)*Inputs!$E$66</f>
        <v>-4419.10198228333</v>
      </c>
      <c r="P49" s="67" t="n">
        <f aca="false">-(P48-O48)*Inputs!$E$66</f>
        <v>-4424.93531561666</v>
      </c>
      <c r="Q49" s="67" t="n">
        <f aca="false">-(Q48-P48)*Inputs!$E$66</f>
        <v>-4430.76864895</v>
      </c>
      <c r="R49" s="67" t="n">
        <f aca="false">-(R48-Q48)*Inputs!$E$66</f>
        <v>-4436.60198228333</v>
      </c>
      <c r="S49" s="67" t="n">
        <f aca="false">-(S48-R48)*Inputs!$E$66</f>
        <v>-4442.43531561667</v>
      </c>
      <c r="T49" s="67" t="n">
        <f aca="false">-(T48-S48)*Inputs!$E$66</f>
        <v>-10211.3389196</v>
      </c>
      <c r="U49" s="67" t="n">
        <f aca="false">-(U48-T48)*Inputs!$E$66</f>
        <v>-10217.1722529333</v>
      </c>
      <c r="V49" s="67" t="n">
        <f aca="false">-(V48-U48)*Inputs!$E$66</f>
        <v>-10223.0055862667</v>
      </c>
      <c r="W49" s="67" t="n">
        <f aca="false">-(W48-V48)*Inputs!$E$66</f>
        <v>-4465.76864894999</v>
      </c>
      <c r="X49" s="67" t="n">
        <f aca="false">-(X48-W48)*Inputs!$E$66</f>
        <v>-4471.60198228333</v>
      </c>
      <c r="Y49" s="67" t="n">
        <f aca="false">-(Y48-X48)*Inputs!$E$66</f>
        <v>-4477.43531561666</v>
      </c>
      <c r="Z49" s="67" t="n">
        <f aca="false">-(Z48-Y48)*Inputs!$E$66</f>
        <v>-4483.26864894999</v>
      </c>
      <c r="AA49" s="67" t="n">
        <f aca="false">-(AA48-Z48)*Inputs!$E$66</f>
        <v>-6356.67938916961</v>
      </c>
      <c r="AB49" s="67" t="n">
        <f aca="false">-(AB48-AA48)*Inputs!$E$66</f>
        <v>-6362.51272250294</v>
      </c>
      <c r="AC49" s="67" t="n">
        <f aca="false">-(AC48-AB48)*Inputs!$E$66</f>
        <v>-6368.34605583627</v>
      </c>
      <c r="AD49" s="67" t="n">
        <f aca="false">-(AD48-AC48)*Inputs!$E$66</f>
        <v>-6374.1793891696</v>
      </c>
      <c r="AE49" s="67" t="n">
        <f aca="false">-(AE48-AD48)*Inputs!$E$66</f>
        <v>-6380.01272250295</v>
      </c>
      <c r="AF49" s="67" t="n">
        <f aca="false">-(AF48-AE48)*Inputs!$E$66</f>
        <v>-12337.0551256966</v>
      </c>
      <c r="AG49" s="67" t="n">
        <f aca="false">-(AG48-AF48)*Inputs!$E$66</f>
        <v>-12342.8884590299</v>
      </c>
      <c r="AH49" s="67" t="n">
        <f aca="false">-(AH48-AG48)*Inputs!$E$66</f>
        <v>-12348.7217923632</v>
      </c>
      <c r="AI49" s="67" t="n">
        <f aca="false">-(AI48-AH48)*Inputs!$E$66</f>
        <v>-6403.34605583626</v>
      </c>
      <c r="AJ49" s="67" t="n">
        <f aca="false">-(AJ48-AI48)*Inputs!$E$66</f>
        <v>-6409.17938916961</v>
      </c>
      <c r="AK49" s="67" t="n">
        <f aca="false">-(AK48-AJ48)*Inputs!$E$66</f>
        <v>-6415.01272250294</v>
      </c>
      <c r="AL49" s="67" t="n">
        <f aca="false">-(AL48-AK48)*Inputs!$E$66</f>
        <v>-6420.84605583627</v>
      </c>
    </row>
    <row r="50" customFormat="false" ht="15" hidden="false" customHeight="false" outlineLevel="0" collapsed="false">
      <c r="A50" s="113" t="s">
        <v>50</v>
      </c>
      <c r="C50" s="68" t="n">
        <f aca="false">C46+C49</f>
        <v>10758.2542333333</v>
      </c>
      <c r="D50" s="68" t="n">
        <f aca="false">D46+D49</f>
        <v>10769.2264555556</v>
      </c>
      <c r="E50" s="68" t="n">
        <f aca="false">E46+E49</f>
        <v>10791.1709</v>
      </c>
      <c r="F50" s="68" t="n">
        <f aca="false">F46+F49</f>
        <v>10813.1153444444</v>
      </c>
      <c r="G50" s="68" t="n">
        <f aca="false">G46+G49</f>
        <v>10835.0597888889</v>
      </c>
      <c r="H50" s="68" t="n">
        <f aca="false">H46+H49</f>
        <v>31569.5323333333</v>
      </c>
      <c r="I50" s="68" t="n">
        <f aca="false">I46+I49</f>
        <v>31591.4767777778</v>
      </c>
      <c r="J50" s="68" t="n">
        <f aca="false">J46+J49</f>
        <v>31613.4212222222</v>
      </c>
      <c r="K50" s="68" t="n">
        <f aca="false">K46+K49</f>
        <v>10922.8375666667</v>
      </c>
      <c r="L50" s="68" t="n">
        <f aca="false">L46+L49</f>
        <v>10944.7820111111</v>
      </c>
      <c r="M50" s="68" t="n">
        <f aca="false">M46+M49</f>
        <v>10966.7264555556</v>
      </c>
      <c r="N50" s="68" t="n">
        <f aca="false">N46+N49</f>
        <v>10988.6709</v>
      </c>
      <c r="O50" s="68" t="n">
        <f aca="false">O46+O49</f>
        <v>16624.2407904944</v>
      </c>
      <c r="P50" s="68" t="n">
        <f aca="false">P46+P49</f>
        <v>16646.1852349389</v>
      </c>
      <c r="Q50" s="68" t="n">
        <f aca="false">Q46+Q49</f>
        <v>16668.1296793833</v>
      </c>
      <c r="R50" s="68" t="n">
        <f aca="false">R46+R49</f>
        <v>16690.0741238278</v>
      </c>
      <c r="S50" s="68" t="n">
        <f aca="false">S46+S49</f>
        <v>16712.0185682722</v>
      </c>
      <c r="T50" s="68" t="n">
        <f aca="false">T46+T49</f>
        <v>38414.0845070667</v>
      </c>
      <c r="U50" s="68" t="n">
        <f aca="false">U46+U49</f>
        <v>38436.0289515111</v>
      </c>
      <c r="V50" s="68" t="n">
        <f aca="false">V46+V49</f>
        <v>38457.9733959556</v>
      </c>
      <c r="W50" s="68" t="n">
        <f aca="false">W46+W49</f>
        <v>16799.79634605</v>
      </c>
      <c r="X50" s="68" t="n">
        <f aca="false">X46+X49</f>
        <v>16821.7407904944</v>
      </c>
      <c r="Y50" s="68" t="n">
        <f aca="false">Y46+Y49</f>
        <v>16843.6852349389</v>
      </c>
      <c r="Z50" s="68" t="n">
        <f aca="false">Z46+Z49</f>
        <v>16865.6296793833</v>
      </c>
      <c r="AA50" s="68" t="n">
        <f aca="false">AA46+AA49</f>
        <v>23913.222464019</v>
      </c>
      <c r="AB50" s="68" t="n">
        <f aca="false">AB46+AB49</f>
        <v>23935.1669084634</v>
      </c>
      <c r="AC50" s="68" t="n">
        <f aca="false">AC46+AC49</f>
        <v>23957.1113529079</v>
      </c>
      <c r="AD50" s="68" t="n">
        <f aca="false">AD46+AD49</f>
        <v>23979.0557973523</v>
      </c>
      <c r="AE50" s="68" t="n">
        <f aca="false">AE46+AE49</f>
        <v>24001.0002417968</v>
      </c>
      <c r="AF50" s="68" t="n">
        <f aca="false">AF46+AF49</f>
        <v>46410.8264252394</v>
      </c>
      <c r="AG50" s="68" t="n">
        <f aca="false">AG46+AG49</f>
        <v>46432.7708696839</v>
      </c>
      <c r="AH50" s="68" t="n">
        <f aca="false">AH46+AH49</f>
        <v>46454.7153141283</v>
      </c>
      <c r="AI50" s="68" t="n">
        <f aca="false">AI46+AI49</f>
        <v>24088.7780195746</v>
      </c>
      <c r="AJ50" s="68" t="n">
        <f aca="false">AJ46+AJ49</f>
        <v>24110.722464019</v>
      </c>
      <c r="AK50" s="68" t="n">
        <f aca="false">AK46+AK49</f>
        <v>24132.6669084634</v>
      </c>
      <c r="AL50" s="68" t="n">
        <f aca="false">AL46+AL49</f>
        <v>24154.6113529079</v>
      </c>
    </row>
    <row r="52" customFormat="false" ht="15.75" hidden="false" customHeight="true" outlineLevel="0" collapsed="false">
      <c r="A52" s="7" t="s">
        <v>391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6" t="s">
        <v>392</v>
      </c>
      <c r="C53" s="67" t="n">
        <f aca="false">Inputs!$E$37+MAX(0,C8-Inputs!$E$39)*Inputs!$E$38</f>
        <v>20000</v>
      </c>
      <c r="D53" s="67" t="n">
        <f aca="false">MAX(0,D8-C8)*Inputs!$E$38</f>
        <v>0</v>
      </c>
      <c r="E53" s="67" t="n">
        <f aca="false">MAX(0,E8-D8)*Inputs!$E$38</f>
        <v>0</v>
      </c>
      <c r="F53" s="67" t="n">
        <f aca="false">MAX(0,F8-E8)*Inputs!$E$38</f>
        <v>0</v>
      </c>
      <c r="G53" s="67" t="n">
        <f aca="false">MAX(0,G8-F8)*Inputs!$E$38</f>
        <v>0</v>
      </c>
      <c r="H53" s="67" t="n">
        <f aca="false">MAX(0,H8-G8)*Inputs!$E$38</f>
        <v>0</v>
      </c>
      <c r="I53" s="67" t="n">
        <f aca="false">MAX(0,I8-H8)*Inputs!$E$38</f>
        <v>0</v>
      </c>
      <c r="J53" s="67" t="n">
        <f aca="false">MAX(0,J8-I8)*Inputs!$E$38</f>
        <v>0</v>
      </c>
      <c r="K53" s="67" t="n">
        <f aca="false">MAX(0,K8-J8)*Inputs!$E$38</f>
        <v>0</v>
      </c>
      <c r="L53" s="67" t="n">
        <f aca="false">MAX(0,L8-K8)*Inputs!$E$38</f>
        <v>0</v>
      </c>
      <c r="M53" s="67" t="n">
        <f aca="false">MAX(0,M8-L8)*Inputs!$E$38</f>
        <v>0</v>
      </c>
      <c r="N53" s="67" t="n">
        <f aca="false">MAX(0,N8-M8)*Inputs!$E$38</f>
        <v>0</v>
      </c>
      <c r="O53" s="67" t="n">
        <f aca="false">MAX(0,O8-N8)*Inputs!$E$38</f>
        <v>37800</v>
      </c>
      <c r="P53" s="67" t="n">
        <f aca="false">MAX(0,P8-O8)*Inputs!$E$38</f>
        <v>0</v>
      </c>
      <c r="Q53" s="67" t="n">
        <f aca="false">MAX(0,Q8-P8)*Inputs!$E$38</f>
        <v>0</v>
      </c>
      <c r="R53" s="67" t="n">
        <f aca="false">MAX(0,R8-Q8)*Inputs!$E$38</f>
        <v>0</v>
      </c>
      <c r="S53" s="67" t="n">
        <f aca="false">MAX(0,S8-R8)*Inputs!$E$38</f>
        <v>0</v>
      </c>
      <c r="T53" s="67" t="n">
        <f aca="false">MAX(0,T8-S8)*Inputs!$E$38</f>
        <v>0</v>
      </c>
      <c r="U53" s="67" t="n">
        <f aca="false">MAX(0,U8-T8)*Inputs!$E$38</f>
        <v>0</v>
      </c>
      <c r="V53" s="67" t="n">
        <f aca="false">MAX(0,V8-U8)*Inputs!$E$38</f>
        <v>0</v>
      </c>
      <c r="W53" s="67" t="n">
        <f aca="false">MAX(0,W8-V8)*Inputs!$E$38</f>
        <v>0</v>
      </c>
      <c r="X53" s="67" t="n">
        <f aca="false">MAX(0,X8-W8)*Inputs!$E$38</f>
        <v>0</v>
      </c>
      <c r="Y53" s="67" t="n">
        <f aca="false">MAX(0,Y8-X8)*Inputs!$E$38</f>
        <v>0</v>
      </c>
      <c r="Z53" s="67" t="n">
        <f aca="false">MAX(0,Z8-Y8)*Inputs!$E$38</f>
        <v>0</v>
      </c>
      <c r="AA53" s="67" t="n">
        <f aca="false">MAX(0,AA8-Z8)*Inputs!$E$38</f>
        <v>42336</v>
      </c>
      <c r="AB53" s="67" t="n">
        <f aca="false">MAX(0,AB8-AA8)*Inputs!$E$38</f>
        <v>0</v>
      </c>
      <c r="AC53" s="67" t="n">
        <f aca="false">MAX(0,AC8-AB8)*Inputs!$E$38</f>
        <v>0</v>
      </c>
      <c r="AD53" s="67" t="n">
        <f aca="false">MAX(0,AD8-AC8)*Inputs!$E$38</f>
        <v>0</v>
      </c>
      <c r="AE53" s="67" t="n">
        <f aca="false">MAX(0,AE8-AD8)*Inputs!$E$38</f>
        <v>0</v>
      </c>
      <c r="AF53" s="67" t="n">
        <f aca="false">MAX(0,AF8-AE8)*Inputs!$E$38</f>
        <v>0</v>
      </c>
      <c r="AG53" s="67" t="n">
        <f aca="false">MAX(0,AG8-AF8)*Inputs!$E$38</f>
        <v>0</v>
      </c>
      <c r="AH53" s="67" t="n">
        <f aca="false">MAX(0,AH8-AG8)*Inputs!$E$38</f>
        <v>0</v>
      </c>
      <c r="AI53" s="67" t="n">
        <f aca="false">MAX(0,AI8-AH8)*Inputs!$E$38</f>
        <v>0</v>
      </c>
      <c r="AJ53" s="67" t="n">
        <f aca="false">MAX(0,AJ8-AI8)*Inputs!$E$38</f>
        <v>0</v>
      </c>
      <c r="AK53" s="67" t="n">
        <f aca="false">MAX(0,AK8-AJ8)*Inputs!$E$38</f>
        <v>0</v>
      </c>
      <c r="AL53" s="67" t="n">
        <f aca="false">MAX(0,AL8-AK8)*Inputs!$E$38</f>
        <v>0</v>
      </c>
    </row>
    <row r="54" customFormat="false" ht="15" hidden="false" customHeight="false" outlineLevel="0" collapsed="false">
      <c r="A54" s="6" t="s">
        <v>393</v>
      </c>
      <c r="C54" s="67" t="n">
        <f aca="false">C53</f>
        <v>20000</v>
      </c>
      <c r="D54" s="67" t="n">
        <f aca="false">C54+D53</f>
        <v>20000</v>
      </c>
      <c r="E54" s="67" t="n">
        <f aca="false">D54+E53</f>
        <v>20000</v>
      </c>
      <c r="F54" s="67" t="n">
        <f aca="false">E54+F53</f>
        <v>20000</v>
      </c>
      <c r="G54" s="67" t="n">
        <f aca="false">F54+G53</f>
        <v>20000</v>
      </c>
      <c r="H54" s="67" t="n">
        <f aca="false">G54+H53</f>
        <v>20000</v>
      </c>
      <c r="I54" s="67" t="n">
        <f aca="false">H54+I53</f>
        <v>20000</v>
      </c>
      <c r="J54" s="67" t="n">
        <f aca="false">I54+J53</f>
        <v>20000</v>
      </c>
      <c r="K54" s="67" t="n">
        <f aca="false">J54+K53</f>
        <v>20000</v>
      </c>
      <c r="L54" s="67" t="n">
        <f aca="false">K54+L53</f>
        <v>20000</v>
      </c>
      <c r="M54" s="67" t="n">
        <f aca="false">L54+M53</f>
        <v>20000</v>
      </c>
      <c r="N54" s="67" t="n">
        <f aca="false">M54+N53</f>
        <v>20000</v>
      </c>
      <c r="O54" s="67" t="n">
        <f aca="false">N54+O53</f>
        <v>57800</v>
      </c>
      <c r="P54" s="67" t="n">
        <f aca="false">O54+P53</f>
        <v>57800</v>
      </c>
      <c r="Q54" s="67" t="n">
        <f aca="false">P54+Q53</f>
        <v>57800</v>
      </c>
      <c r="R54" s="67" t="n">
        <f aca="false">Q54+R53</f>
        <v>57800</v>
      </c>
      <c r="S54" s="67" t="n">
        <f aca="false">R54+S53</f>
        <v>57800</v>
      </c>
      <c r="T54" s="67" t="n">
        <f aca="false">S54+T53</f>
        <v>57800</v>
      </c>
      <c r="U54" s="67" t="n">
        <f aca="false">T54+U53</f>
        <v>57800</v>
      </c>
      <c r="V54" s="67" t="n">
        <f aca="false">U54+V53</f>
        <v>57800</v>
      </c>
      <c r="W54" s="67" t="n">
        <f aca="false">V54+W53</f>
        <v>57800</v>
      </c>
      <c r="X54" s="67" t="n">
        <f aca="false">W54+X53</f>
        <v>57800</v>
      </c>
      <c r="Y54" s="67" t="n">
        <f aca="false">X54+Y53</f>
        <v>57800</v>
      </c>
      <c r="Z54" s="67" t="n">
        <f aca="false">Y54+Z53</f>
        <v>57800</v>
      </c>
      <c r="AA54" s="67" t="n">
        <f aca="false">Z54+AA53</f>
        <v>100136</v>
      </c>
      <c r="AB54" s="67" t="n">
        <f aca="false">AA54+AB53</f>
        <v>100136</v>
      </c>
      <c r="AC54" s="67" t="n">
        <f aca="false">AB54+AC53</f>
        <v>100136</v>
      </c>
      <c r="AD54" s="67" t="n">
        <f aca="false">AC54+AD53</f>
        <v>100136</v>
      </c>
      <c r="AE54" s="67" t="n">
        <f aca="false">AD54+AE53</f>
        <v>100136</v>
      </c>
      <c r="AF54" s="67" t="n">
        <f aca="false">AE54+AF53</f>
        <v>100136</v>
      </c>
      <c r="AG54" s="67" t="n">
        <f aca="false">AF54+AG53</f>
        <v>100136</v>
      </c>
      <c r="AH54" s="67" t="n">
        <f aca="false">AG54+AH53</f>
        <v>100136</v>
      </c>
      <c r="AI54" s="67" t="n">
        <f aca="false">AH54+AI53</f>
        <v>100136</v>
      </c>
      <c r="AJ54" s="67" t="n">
        <f aca="false">AI54+AJ53</f>
        <v>100136</v>
      </c>
      <c r="AK54" s="67" t="n">
        <f aca="false">AJ54+AK53</f>
        <v>100136</v>
      </c>
      <c r="AL54" s="67" t="n">
        <f aca="false">AK54+AL53</f>
        <v>100136</v>
      </c>
    </row>
    <row r="55" customFormat="false" ht="15" hidden="false" customHeight="false" outlineLevel="0" collapsed="false">
      <c r="A55" s="6" t="s">
        <v>77</v>
      </c>
      <c r="C55" s="67" t="n">
        <f aca="false">-MIN(C54/MAX(1,Inputs!$E$65*12),C53)</f>
        <v>-333.333333333333</v>
      </c>
      <c r="D55" s="67" t="n">
        <f aca="false">-MIN(D54/MAX(1,Inputs!$E$65*12),C57+D53)</f>
        <v>-333.333333333333</v>
      </c>
      <c r="E55" s="67" t="n">
        <f aca="false">-MIN(E54/MAX(1,Inputs!$E$65*12),D57+E53)</f>
        <v>-333.333333333333</v>
      </c>
      <c r="F55" s="67" t="n">
        <f aca="false">-MIN(F54/MAX(1,Inputs!$E$65*12),E57+F53)</f>
        <v>-333.333333333333</v>
      </c>
      <c r="G55" s="67" t="n">
        <f aca="false">-MIN(G54/MAX(1,Inputs!$E$65*12),F57+G53)</f>
        <v>-333.333333333333</v>
      </c>
      <c r="H55" s="67" t="n">
        <f aca="false">-MIN(H54/MAX(1,Inputs!$E$65*12),G57+H53)</f>
        <v>-333.333333333333</v>
      </c>
      <c r="I55" s="67" t="n">
        <f aca="false">-MIN(I54/MAX(1,Inputs!$E$65*12),H57+I53)</f>
        <v>-333.333333333333</v>
      </c>
      <c r="J55" s="67" t="n">
        <f aca="false">-MIN(J54/MAX(1,Inputs!$E$65*12),I57+J53)</f>
        <v>-333.333333333333</v>
      </c>
      <c r="K55" s="67" t="n">
        <f aca="false">-MIN(K54/MAX(1,Inputs!$E$65*12),J57+K53)</f>
        <v>-333.333333333333</v>
      </c>
      <c r="L55" s="67" t="n">
        <f aca="false">-MIN(L54/MAX(1,Inputs!$E$65*12),K57+L53)</f>
        <v>-333.333333333333</v>
      </c>
      <c r="M55" s="67" t="n">
        <f aca="false">-MIN(M54/MAX(1,Inputs!$E$65*12),L57+M53)</f>
        <v>-333.333333333333</v>
      </c>
      <c r="N55" s="67" t="n">
        <f aca="false">-MIN(N54/MAX(1,Inputs!$E$65*12),M57+N53)</f>
        <v>-333.333333333333</v>
      </c>
      <c r="O55" s="67" t="n">
        <f aca="false">-MIN(O54/MAX(1,Inputs!$E$65*12),N57+O53)</f>
        <v>-963.333333333334</v>
      </c>
      <c r="P55" s="67" t="n">
        <f aca="false">-MIN(P54/MAX(1,Inputs!$E$65*12),O57+P53)</f>
        <v>-963.333333333334</v>
      </c>
      <c r="Q55" s="67" t="n">
        <f aca="false">-MIN(Q54/MAX(1,Inputs!$E$65*12),P57+Q53)</f>
        <v>-963.333333333334</v>
      </c>
      <c r="R55" s="67" t="n">
        <f aca="false">-MIN(R54/MAX(1,Inputs!$E$65*12),Q57+R53)</f>
        <v>-963.333333333334</v>
      </c>
      <c r="S55" s="67" t="n">
        <f aca="false">-MIN(S54/MAX(1,Inputs!$E$65*12),R57+S53)</f>
        <v>-963.333333333334</v>
      </c>
      <c r="T55" s="67" t="n">
        <f aca="false">-MIN(T54/MAX(1,Inputs!$E$65*12),S57+T53)</f>
        <v>-963.333333333334</v>
      </c>
      <c r="U55" s="67" t="n">
        <f aca="false">-MIN(U54/MAX(1,Inputs!$E$65*12),T57+U53)</f>
        <v>-963.333333333334</v>
      </c>
      <c r="V55" s="67" t="n">
        <f aca="false">-MIN(V54/MAX(1,Inputs!$E$65*12),U57+V53)</f>
        <v>-963.333333333334</v>
      </c>
      <c r="W55" s="67" t="n">
        <f aca="false">-MIN(W54/MAX(1,Inputs!$E$65*12),V57+W53)</f>
        <v>-963.333333333334</v>
      </c>
      <c r="X55" s="67" t="n">
        <f aca="false">-MIN(X54/MAX(1,Inputs!$E$65*12),W57+X53)</f>
        <v>-963.333333333334</v>
      </c>
      <c r="Y55" s="67" t="n">
        <f aca="false">-MIN(Y54/MAX(1,Inputs!$E$65*12),X57+Y53)</f>
        <v>-963.333333333334</v>
      </c>
      <c r="Z55" s="67" t="n">
        <f aca="false">-MIN(Z54/MAX(1,Inputs!$E$65*12),Y57+Z53)</f>
        <v>-963.333333333334</v>
      </c>
      <c r="AA55" s="67" t="n">
        <f aca="false">-MIN(AA54/MAX(1,Inputs!$E$65*12),Z57+AA53)</f>
        <v>-1668.93333333333</v>
      </c>
      <c r="AB55" s="67" t="n">
        <f aca="false">-MIN(AB54/MAX(1,Inputs!$E$65*12),AA57+AB53)</f>
        <v>-1668.93333333333</v>
      </c>
      <c r="AC55" s="67" t="n">
        <f aca="false">-MIN(AC54/MAX(1,Inputs!$E$65*12),AB57+AC53)</f>
        <v>-1668.93333333333</v>
      </c>
      <c r="AD55" s="67" t="n">
        <f aca="false">-MIN(AD54/MAX(1,Inputs!$E$65*12),AC57+AD53)</f>
        <v>-1668.93333333333</v>
      </c>
      <c r="AE55" s="67" t="n">
        <f aca="false">-MIN(AE54/MAX(1,Inputs!$E$65*12),AD57+AE53)</f>
        <v>-1668.93333333333</v>
      </c>
      <c r="AF55" s="67" t="n">
        <f aca="false">-MIN(AF54/MAX(1,Inputs!$E$65*12),AE57+AF53)</f>
        <v>-1668.93333333333</v>
      </c>
      <c r="AG55" s="67" t="n">
        <f aca="false">-MIN(AG54/MAX(1,Inputs!$E$65*12),AF57+AG53)</f>
        <v>-1668.93333333333</v>
      </c>
      <c r="AH55" s="67" t="n">
        <f aca="false">-MIN(AH54/MAX(1,Inputs!$E$65*12),AG57+AH53)</f>
        <v>-1668.93333333333</v>
      </c>
      <c r="AI55" s="67" t="n">
        <f aca="false">-MIN(AI54/MAX(1,Inputs!$E$65*12),AH57+AI53)</f>
        <v>-1668.93333333333</v>
      </c>
      <c r="AJ55" s="67" t="n">
        <f aca="false">-MIN(AJ54/MAX(1,Inputs!$E$65*12),AI57+AJ53)</f>
        <v>-1668.93333333333</v>
      </c>
      <c r="AK55" s="67" t="n">
        <f aca="false">-MIN(AK54/MAX(1,Inputs!$E$65*12),AJ57+AK53)</f>
        <v>-1668.93333333333</v>
      </c>
      <c r="AL55" s="67" t="n">
        <f aca="false">-MIN(AL54/MAX(1,Inputs!$E$65*12),AK57+AL53)</f>
        <v>-1668.93333333333</v>
      </c>
    </row>
    <row r="56" customFormat="false" ht="15" hidden="false" customHeight="false" outlineLevel="0" collapsed="false">
      <c r="A56" s="6" t="s">
        <v>394</v>
      </c>
      <c r="C56" s="67" t="n">
        <f aca="false">C55</f>
        <v>-333.333333333333</v>
      </c>
      <c r="D56" s="67" t="n">
        <f aca="false">C56+D55</f>
        <v>-666.666666666667</v>
      </c>
      <c r="E56" s="67" t="n">
        <f aca="false">D56+E55</f>
        <v>-1000</v>
      </c>
      <c r="F56" s="67" t="n">
        <f aca="false">E56+F55</f>
        <v>-1333.33333333333</v>
      </c>
      <c r="G56" s="67" t="n">
        <f aca="false">F56+G55</f>
        <v>-1666.66666666667</v>
      </c>
      <c r="H56" s="67" t="n">
        <f aca="false">G56+H55</f>
        <v>-2000</v>
      </c>
      <c r="I56" s="67" t="n">
        <f aca="false">H56+I55</f>
        <v>-2333.33333333333</v>
      </c>
      <c r="J56" s="67" t="n">
        <f aca="false">I56+J55</f>
        <v>-2666.66666666667</v>
      </c>
      <c r="K56" s="67" t="n">
        <f aca="false">J56+K55</f>
        <v>-3000</v>
      </c>
      <c r="L56" s="67" t="n">
        <f aca="false">K56+L55</f>
        <v>-3333.33333333333</v>
      </c>
      <c r="M56" s="67" t="n">
        <f aca="false">L56+M55</f>
        <v>-3666.66666666667</v>
      </c>
      <c r="N56" s="67" t="n">
        <f aca="false">M56+N55</f>
        <v>-4000</v>
      </c>
      <c r="O56" s="67" t="n">
        <f aca="false">N56+O55</f>
        <v>-4963.33333333333</v>
      </c>
      <c r="P56" s="67" t="n">
        <f aca="false">O56+P55</f>
        <v>-5926.66666666667</v>
      </c>
      <c r="Q56" s="67" t="n">
        <f aca="false">P56+Q55</f>
        <v>-6890</v>
      </c>
      <c r="R56" s="67" t="n">
        <f aca="false">Q56+R55</f>
        <v>-7853.33333333334</v>
      </c>
      <c r="S56" s="67" t="n">
        <f aca="false">R56+S55</f>
        <v>-8816.66666666667</v>
      </c>
      <c r="T56" s="67" t="n">
        <f aca="false">S56+T55</f>
        <v>-9780</v>
      </c>
      <c r="U56" s="67" t="n">
        <f aca="false">T56+U55</f>
        <v>-10743.3333333333</v>
      </c>
      <c r="V56" s="67" t="n">
        <f aca="false">U56+V55</f>
        <v>-11706.6666666667</v>
      </c>
      <c r="W56" s="67" t="n">
        <f aca="false">V56+W55</f>
        <v>-12670</v>
      </c>
      <c r="X56" s="67" t="n">
        <f aca="false">W56+X55</f>
        <v>-13633.3333333333</v>
      </c>
      <c r="Y56" s="67" t="n">
        <f aca="false">X56+Y55</f>
        <v>-14596.6666666667</v>
      </c>
      <c r="Z56" s="67" t="n">
        <f aca="false">Y56+Z55</f>
        <v>-15560</v>
      </c>
      <c r="AA56" s="67" t="n">
        <f aca="false">Z56+AA55</f>
        <v>-17228.9333333333</v>
      </c>
      <c r="AB56" s="67" t="n">
        <f aca="false">AA56+AB55</f>
        <v>-18897.8666666667</v>
      </c>
      <c r="AC56" s="67" t="n">
        <f aca="false">AB56+AC55</f>
        <v>-20566.8</v>
      </c>
      <c r="AD56" s="67" t="n">
        <f aca="false">AC56+AD55</f>
        <v>-22235.7333333333</v>
      </c>
      <c r="AE56" s="67" t="n">
        <f aca="false">AD56+AE55</f>
        <v>-23904.6666666667</v>
      </c>
      <c r="AF56" s="67" t="n">
        <f aca="false">AE56+AF55</f>
        <v>-25573.6</v>
      </c>
      <c r="AG56" s="67" t="n">
        <f aca="false">AF56+AG55</f>
        <v>-27242.5333333333</v>
      </c>
      <c r="AH56" s="67" t="n">
        <f aca="false">AG56+AH55</f>
        <v>-28911.4666666667</v>
      </c>
      <c r="AI56" s="67" t="n">
        <f aca="false">AH56+AI55</f>
        <v>-30580.4</v>
      </c>
      <c r="AJ56" s="67" t="n">
        <f aca="false">AI56+AJ55</f>
        <v>-32249.3333333334</v>
      </c>
      <c r="AK56" s="67" t="n">
        <f aca="false">AJ56+AK55</f>
        <v>-33918.2666666667</v>
      </c>
      <c r="AL56" s="67" t="n">
        <f aca="false">AK56+AL55</f>
        <v>-35587.2</v>
      </c>
    </row>
    <row r="57" customFormat="false" ht="15" hidden="false" customHeight="false" outlineLevel="0" collapsed="false">
      <c r="A57" s="4" t="s">
        <v>91</v>
      </c>
      <c r="C57" s="73" t="n">
        <f aca="false">C54+C56</f>
        <v>19666.6666666667</v>
      </c>
      <c r="D57" s="73" t="n">
        <f aca="false">D54+D56</f>
        <v>19333.3333333333</v>
      </c>
      <c r="E57" s="73" t="n">
        <f aca="false">E54+E56</f>
        <v>19000</v>
      </c>
      <c r="F57" s="73" t="n">
        <f aca="false">F54+F56</f>
        <v>18666.6666666667</v>
      </c>
      <c r="G57" s="73" t="n">
        <f aca="false">G54+G56</f>
        <v>18333.3333333333</v>
      </c>
      <c r="H57" s="73" t="n">
        <f aca="false">H54+H56</f>
        <v>18000</v>
      </c>
      <c r="I57" s="73" t="n">
        <f aca="false">I54+I56</f>
        <v>17666.6666666667</v>
      </c>
      <c r="J57" s="73" t="n">
        <f aca="false">J54+J56</f>
        <v>17333.3333333333</v>
      </c>
      <c r="K57" s="73" t="n">
        <f aca="false">K54+K56</f>
        <v>17000</v>
      </c>
      <c r="L57" s="73" t="n">
        <f aca="false">L54+L56</f>
        <v>16666.6666666667</v>
      </c>
      <c r="M57" s="73" t="n">
        <f aca="false">M54+M56</f>
        <v>16333.3333333333</v>
      </c>
      <c r="N57" s="73" t="n">
        <f aca="false">N54+N56</f>
        <v>16000</v>
      </c>
      <c r="O57" s="73" t="n">
        <f aca="false">O54+O56</f>
        <v>52836.6666666667</v>
      </c>
      <c r="P57" s="73" t="n">
        <f aca="false">P54+P56</f>
        <v>51873.3333333334</v>
      </c>
      <c r="Q57" s="73" t="n">
        <f aca="false">Q54+Q56</f>
        <v>50910</v>
      </c>
      <c r="R57" s="73" t="n">
        <f aca="false">R54+R56</f>
        <v>49946.6666666667</v>
      </c>
      <c r="S57" s="73" t="n">
        <f aca="false">S54+S56</f>
        <v>48983.3333333334</v>
      </c>
      <c r="T57" s="73" t="n">
        <f aca="false">T54+T56</f>
        <v>48020</v>
      </c>
      <c r="U57" s="73" t="n">
        <f aca="false">U54+U56</f>
        <v>47056.6666666667</v>
      </c>
      <c r="V57" s="73" t="n">
        <f aca="false">V54+V56</f>
        <v>46093.3333333334</v>
      </c>
      <c r="W57" s="73" t="n">
        <f aca="false">W54+W56</f>
        <v>45130</v>
      </c>
      <c r="X57" s="73" t="n">
        <f aca="false">X54+X56</f>
        <v>44166.6666666667</v>
      </c>
      <c r="Y57" s="73" t="n">
        <f aca="false">Y54+Y56</f>
        <v>43203.3333333334</v>
      </c>
      <c r="Z57" s="73" t="n">
        <f aca="false">Z54+Z56</f>
        <v>42240</v>
      </c>
      <c r="AA57" s="73" t="n">
        <f aca="false">AA54+AA56</f>
        <v>82907.0666666667</v>
      </c>
      <c r="AB57" s="73" t="n">
        <f aca="false">AB54+AB56</f>
        <v>81238.1333333334</v>
      </c>
      <c r="AC57" s="73" t="n">
        <f aca="false">AC54+AC56</f>
        <v>79569.2</v>
      </c>
      <c r="AD57" s="73" t="n">
        <f aca="false">AD54+AD56</f>
        <v>77900.2666666667</v>
      </c>
      <c r="AE57" s="73" t="n">
        <f aca="false">AE54+AE56</f>
        <v>76231.3333333334</v>
      </c>
      <c r="AF57" s="73" t="n">
        <f aca="false">AF54+AF56</f>
        <v>74562.4000000001</v>
      </c>
      <c r="AG57" s="73" t="n">
        <f aca="false">AG54+AG56</f>
        <v>72893.4666666667</v>
      </c>
      <c r="AH57" s="73" t="n">
        <f aca="false">AH54+AH56</f>
        <v>71224.5333333334</v>
      </c>
      <c r="AI57" s="73" t="n">
        <f aca="false">AI54+AI56</f>
        <v>69555.6</v>
      </c>
      <c r="AJ57" s="73" t="n">
        <f aca="false">AJ54+AJ56</f>
        <v>67886.6666666667</v>
      </c>
      <c r="AK57" s="73" t="n">
        <f aca="false">AK54+AK56</f>
        <v>66217.7333333334</v>
      </c>
      <c r="AL57" s="73" t="n">
        <f aca="false">AL54+AL56</f>
        <v>64548.8</v>
      </c>
    </row>
    <row r="59" customFormat="false" ht="15.75" hidden="false" customHeight="true" outlineLevel="0" collapsed="false">
      <c r="A59" s="7" t="s">
        <v>395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396</v>
      </c>
      <c r="C60" s="67" t="n">
        <f aca="false">0</f>
        <v>0</v>
      </c>
      <c r="D60" s="67" t="n">
        <f aca="false">C63</f>
        <v>250000</v>
      </c>
      <c r="E60" s="67" t="n">
        <f aca="false">D63</f>
        <v>245833.333333333</v>
      </c>
      <c r="F60" s="67" t="n">
        <f aca="false">E63</f>
        <v>241666.666666667</v>
      </c>
      <c r="G60" s="67" t="n">
        <f aca="false">F63</f>
        <v>237500</v>
      </c>
      <c r="H60" s="67" t="n">
        <f aca="false">G63</f>
        <v>233333.333333333</v>
      </c>
      <c r="I60" s="67" t="n">
        <f aca="false">H63</f>
        <v>229166.666666667</v>
      </c>
      <c r="J60" s="67" t="n">
        <f aca="false">I63</f>
        <v>225000</v>
      </c>
      <c r="K60" s="67" t="n">
        <f aca="false">J63</f>
        <v>220833.333333333</v>
      </c>
      <c r="L60" s="67" t="n">
        <f aca="false">K63</f>
        <v>216666.666666667</v>
      </c>
      <c r="M60" s="67" t="n">
        <f aca="false">L63</f>
        <v>212500</v>
      </c>
      <c r="N60" s="67" t="n">
        <f aca="false">M63</f>
        <v>208333.333333333</v>
      </c>
      <c r="O60" s="67" t="n">
        <f aca="false">N63</f>
        <v>204166.666666667</v>
      </c>
      <c r="P60" s="67" t="n">
        <f aca="false">O63</f>
        <v>200000</v>
      </c>
      <c r="Q60" s="67" t="n">
        <f aca="false">P63</f>
        <v>195833.333333333</v>
      </c>
      <c r="R60" s="67" t="n">
        <f aca="false">Q63</f>
        <v>191666.666666667</v>
      </c>
      <c r="S60" s="67" t="n">
        <f aca="false">R63</f>
        <v>187500</v>
      </c>
      <c r="T60" s="67" t="n">
        <f aca="false">S63</f>
        <v>183333.333333334</v>
      </c>
      <c r="U60" s="67" t="n">
        <f aca="false">T63</f>
        <v>179166.666666667</v>
      </c>
      <c r="V60" s="67" t="n">
        <f aca="false">U63</f>
        <v>175000</v>
      </c>
      <c r="W60" s="67" t="n">
        <f aca="false">V63</f>
        <v>170833.333333334</v>
      </c>
      <c r="X60" s="67" t="n">
        <f aca="false">W63</f>
        <v>166666.666666667</v>
      </c>
      <c r="Y60" s="67" t="n">
        <f aca="false">X63</f>
        <v>162500</v>
      </c>
      <c r="Z60" s="67" t="n">
        <f aca="false">Y63</f>
        <v>158333.333333334</v>
      </c>
      <c r="AA60" s="67" t="n">
        <f aca="false">Z63</f>
        <v>154166.666666667</v>
      </c>
      <c r="AB60" s="67" t="n">
        <f aca="false">AA63</f>
        <v>150000</v>
      </c>
      <c r="AC60" s="67" t="n">
        <f aca="false">AB63</f>
        <v>145833.333333334</v>
      </c>
      <c r="AD60" s="67" t="n">
        <f aca="false">AC63</f>
        <v>141666.666666667</v>
      </c>
      <c r="AE60" s="67" t="n">
        <f aca="false">AD63</f>
        <v>137500</v>
      </c>
      <c r="AF60" s="67" t="n">
        <f aca="false">AE63</f>
        <v>133333.333333334</v>
      </c>
      <c r="AG60" s="67" t="n">
        <f aca="false">AF63</f>
        <v>129166.666666667</v>
      </c>
      <c r="AH60" s="67" t="n">
        <f aca="false">AG63</f>
        <v>125000</v>
      </c>
      <c r="AI60" s="67" t="n">
        <f aca="false">AH63</f>
        <v>120833.333333334</v>
      </c>
      <c r="AJ60" s="67" t="n">
        <f aca="false">AI63</f>
        <v>116666.666666667</v>
      </c>
      <c r="AK60" s="67" t="n">
        <f aca="false">AJ63</f>
        <v>112500</v>
      </c>
      <c r="AL60" s="67" t="n">
        <f aca="false">AK63</f>
        <v>108333.333333334</v>
      </c>
    </row>
    <row r="61" customFormat="false" ht="15" hidden="false" customHeight="false" outlineLevel="0" collapsed="false">
      <c r="A61" s="6" t="s">
        <v>84</v>
      </c>
      <c r="C61" s="67" t="n">
        <f aca="false">IF(C$4=1,Inputs!$E$55,0)</f>
        <v>250000</v>
      </c>
      <c r="D61" s="67" t="n">
        <f aca="false">IF(D$4=1,Inputs!$E$55,0)</f>
        <v>0</v>
      </c>
      <c r="E61" s="67" t="n">
        <f aca="false">IF(E$4=1,Inputs!$E$55,0)</f>
        <v>0</v>
      </c>
      <c r="F61" s="67" t="n">
        <f aca="false">IF(F$4=1,Inputs!$E$55,0)</f>
        <v>0</v>
      </c>
      <c r="G61" s="67" t="n">
        <f aca="false">IF(G$4=1,Inputs!$E$55,0)</f>
        <v>0</v>
      </c>
      <c r="H61" s="67" t="n">
        <f aca="false">IF(H$4=1,Inputs!$E$55,0)</f>
        <v>0</v>
      </c>
      <c r="I61" s="67" t="n">
        <f aca="false">IF(I$4=1,Inputs!$E$55,0)</f>
        <v>0</v>
      </c>
      <c r="J61" s="67" t="n">
        <f aca="false">IF(J$4=1,Inputs!$E$55,0)</f>
        <v>0</v>
      </c>
      <c r="K61" s="67" t="n">
        <f aca="false">IF(K$4=1,Inputs!$E$55,0)</f>
        <v>0</v>
      </c>
      <c r="L61" s="67" t="n">
        <f aca="false">IF(L$4=1,Inputs!$E$55,0)</f>
        <v>0</v>
      </c>
      <c r="M61" s="67" t="n">
        <f aca="false">IF(M$4=1,Inputs!$E$55,0)</f>
        <v>0</v>
      </c>
      <c r="N61" s="67" t="n">
        <f aca="false">IF(N$4=1,Inputs!$E$55,0)</f>
        <v>0</v>
      </c>
      <c r="O61" s="67" t="n">
        <f aca="false">IF(O$4=1,Inputs!$E$55,0)</f>
        <v>0</v>
      </c>
      <c r="P61" s="67" t="n">
        <f aca="false">IF(P$4=1,Inputs!$E$55,0)</f>
        <v>0</v>
      </c>
      <c r="Q61" s="67" t="n">
        <f aca="false">IF(Q$4=1,Inputs!$E$55,0)</f>
        <v>0</v>
      </c>
      <c r="R61" s="67" t="n">
        <f aca="false">IF(R$4=1,Inputs!$E$55,0)</f>
        <v>0</v>
      </c>
      <c r="S61" s="67" t="n">
        <f aca="false">IF(S$4=1,Inputs!$E$55,0)</f>
        <v>0</v>
      </c>
      <c r="T61" s="67" t="n">
        <f aca="false">IF(T$4=1,Inputs!$E$55,0)</f>
        <v>0</v>
      </c>
      <c r="U61" s="67" t="n">
        <f aca="false">IF(U$4=1,Inputs!$E$55,0)</f>
        <v>0</v>
      </c>
      <c r="V61" s="67" t="n">
        <f aca="false">IF(V$4=1,Inputs!$E$55,0)</f>
        <v>0</v>
      </c>
      <c r="W61" s="67" t="n">
        <f aca="false">IF(W$4=1,Inputs!$E$55,0)</f>
        <v>0</v>
      </c>
      <c r="X61" s="67" t="n">
        <f aca="false">IF(X$4=1,Inputs!$E$55,0)</f>
        <v>0</v>
      </c>
      <c r="Y61" s="67" t="n">
        <f aca="false">IF(Y$4=1,Inputs!$E$55,0)</f>
        <v>0</v>
      </c>
      <c r="Z61" s="67" t="n">
        <f aca="false">IF(Z$4=1,Inputs!$E$55,0)</f>
        <v>0</v>
      </c>
      <c r="AA61" s="67" t="n">
        <f aca="false">IF(AA$4=1,Inputs!$E$55,0)</f>
        <v>0</v>
      </c>
      <c r="AB61" s="67" t="n">
        <f aca="false">IF(AB$4=1,Inputs!$E$55,0)</f>
        <v>0</v>
      </c>
      <c r="AC61" s="67" t="n">
        <f aca="false">IF(AC$4=1,Inputs!$E$55,0)</f>
        <v>0</v>
      </c>
      <c r="AD61" s="67" t="n">
        <f aca="false">IF(AD$4=1,Inputs!$E$55,0)</f>
        <v>0</v>
      </c>
      <c r="AE61" s="67" t="n">
        <f aca="false">IF(AE$4=1,Inputs!$E$55,0)</f>
        <v>0</v>
      </c>
      <c r="AF61" s="67" t="n">
        <f aca="false">IF(AF$4=1,Inputs!$E$55,0)</f>
        <v>0</v>
      </c>
      <c r="AG61" s="67" t="n">
        <f aca="false">IF(AG$4=1,Inputs!$E$55,0)</f>
        <v>0</v>
      </c>
      <c r="AH61" s="67" t="n">
        <f aca="false">IF(AH$4=1,Inputs!$E$55,0)</f>
        <v>0</v>
      </c>
      <c r="AI61" s="67" t="n">
        <f aca="false">IF(AI$4=1,Inputs!$E$55,0)</f>
        <v>0</v>
      </c>
      <c r="AJ61" s="67" t="n">
        <f aca="false">IF(AJ$4=1,Inputs!$E$55,0)</f>
        <v>0</v>
      </c>
      <c r="AK61" s="67" t="n">
        <f aca="false">IF(AK$4=1,Inputs!$E$55,0)</f>
        <v>0</v>
      </c>
      <c r="AL61" s="67" t="n">
        <f aca="false">IF(AL$4=1,Inputs!$E$55,0)</f>
        <v>0</v>
      </c>
    </row>
    <row r="62" customFormat="false" ht="15" hidden="false" customHeight="false" outlineLevel="0" collapsed="false">
      <c r="A62" s="6" t="s">
        <v>85</v>
      </c>
      <c r="C62" s="67" t="n">
        <f aca="false">-MIN(C60,Inputs!$E$55/MAX(1,Inputs!$E$57*12))</f>
        <v>-0</v>
      </c>
      <c r="D62" s="67" t="n">
        <f aca="false">-MIN(D60,Inputs!$E$55/MAX(1,Inputs!$E$57*12))</f>
        <v>-4166.66666666667</v>
      </c>
      <c r="E62" s="67" t="n">
        <f aca="false">-MIN(E60,Inputs!$E$55/MAX(1,Inputs!$E$57*12))</f>
        <v>-4166.66666666667</v>
      </c>
      <c r="F62" s="67" t="n">
        <f aca="false">-MIN(F60,Inputs!$E$55/MAX(1,Inputs!$E$57*12))</f>
        <v>-4166.66666666667</v>
      </c>
      <c r="G62" s="67" t="n">
        <f aca="false">-MIN(G60,Inputs!$E$55/MAX(1,Inputs!$E$57*12))</f>
        <v>-4166.66666666667</v>
      </c>
      <c r="H62" s="67" t="n">
        <f aca="false">-MIN(H60,Inputs!$E$55/MAX(1,Inputs!$E$57*12))</f>
        <v>-4166.66666666667</v>
      </c>
      <c r="I62" s="67" t="n">
        <f aca="false">-MIN(I60,Inputs!$E$55/MAX(1,Inputs!$E$57*12))</f>
        <v>-4166.66666666667</v>
      </c>
      <c r="J62" s="67" t="n">
        <f aca="false">-MIN(J60,Inputs!$E$55/MAX(1,Inputs!$E$57*12))</f>
        <v>-4166.66666666667</v>
      </c>
      <c r="K62" s="67" t="n">
        <f aca="false">-MIN(K60,Inputs!$E$55/MAX(1,Inputs!$E$57*12))</f>
        <v>-4166.66666666667</v>
      </c>
      <c r="L62" s="67" t="n">
        <f aca="false">-MIN(L60,Inputs!$E$55/MAX(1,Inputs!$E$57*12))</f>
        <v>-4166.66666666667</v>
      </c>
      <c r="M62" s="67" t="n">
        <f aca="false">-MIN(M60,Inputs!$E$55/MAX(1,Inputs!$E$57*12))</f>
        <v>-4166.66666666667</v>
      </c>
      <c r="N62" s="67" t="n">
        <f aca="false">-MIN(N60,Inputs!$E$55/MAX(1,Inputs!$E$57*12))</f>
        <v>-4166.66666666667</v>
      </c>
      <c r="O62" s="67" t="n">
        <f aca="false">-MIN(O60,Inputs!$E$55/MAX(1,Inputs!$E$57*12))</f>
        <v>-4166.66666666667</v>
      </c>
      <c r="P62" s="67" t="n">
        <f aca="false">-MIN(P60,Inputs!$E$55/MAX(1,Inputs!$E$57*12))</f>
        <v>-4166.66666666667</v>
      </c>
      <c r="Q62" s="67" t="n">
        <f aca="false">-MIN(Q60,Inputs!$E$55/MAX(1,Inputs!$E$57*12))</f>
        <v>-4166.66666666667</v>
      </c>
      <c r="R62" s="67" t="n">
        <f aca="false">-MIN(R60,Inputs!$E$55/MAX(1,Inputs!$E$57*12))</f>
        <v>-4166.66666666667</v>
      </c>
      <c r="S62" s="67" t="n">
        <f aca="false">-MIN(S60,Inputs!$E$55/MAX(1,Inputs!$E$57*12))</f>
        <v>-4166.66666666667</v>
      </c>
      <c r="T62" s="67" t="n">
        <f aca="false">-MIN(T60,Inputs!$E$55/MAX(1,Inputs!$E$57*12))</f>
        <v>-4166.66666666667</v>
      </c>
      <c r="U62" s="67" t="n">
        <f aca="false">-MIN(U60,Inputs!$E$55/MAX(1,Inputs!$E$57*12))</f>
        <v>-4166.66666666667</v>
      </c>
      <c r="V62" s="67" t="n">
        <f aca="false">-MIN(V60,Inputs!$E$55/MAX(1,Inputs!$E$57*12))</f>
        <v>-4166.66666666667</v>
      </c>
      <c r="W62" s="67" t="n">
        <f aca="false">-MIN(W60,Inputs!$E$55/MAX(1,Inputs!$E$57*12))</f>
        <v>-4166.66666666667</v>
      </c>
      <c r="X62" s="67" t="n">
        <f aca="false">-MIN(X60,Inputs!$E$55/MAX(1,Inputs!$E$57*12))</f>
        <v>-4166.66666666667</v>
      </c>
      <c r="Y62" s="67" t="n">
        <f aca="false">-MIN(Y60,Inputs!$E$55/MAX(1,Inputs!$E$57*12))</f>
        <v>-4166.66666666667</v>
      </c>
      <c r="Z62" s="67" t="n">
        <f aca="false">-MIN(Z60,Inputs!$E$55/MAX(1,Inputs!$E$57*12))</f>
        <v>-4166.66666666667</v>
      </c>
      <c r="AA62" s="67" t="n">
        <f aca="false">-MIN(AA60,Inputs!$E$55/MAX(1,Inputs!$E$57*12))</f>
        <v>-4166.66666666667</v>
      </c>
      <c r="AB62" s="67" t="n">
        <f aca="false">-MIN(AB60,Inputs!$E$55/MAX(1,Inputs!$E$57*12))</f>
        <v>-4166.66666666667</v>
      </c>
      <c r="AC62" s="67" t="n">
        <f aca="false">-MIN(AC60,Inputs!$E$55/MAX(1,Inputs!$E$57*12))</f>
        <v>-4166.66666666667</v>
      </c>
      <c r="AD62" s="67" t="n">
        <f aca="false">-MIN(AD60,Inputs!$E$55/MAX(1,Inputs!$E$57*12))</f>
        <v>-4166.66666666667</v>
      </c>
      <c r="AE62" s="67" t="n">
        <f aca="false">-MIN(AE60,Inputs!$E$55/MAX(1,Inputs!$E$57*12))</f>
        <v>-4166.66666666667</v>
      </c>
      <c r="AF62" s="67" t="n">
        <f aca="false">-MIN(AF60,Inputs!$E$55/MAX(1,Inputs!$E$57*12))</f>
        <v>-4166.66666666667</v>
      </c>
      <c r="AG62" s="67" t="n">
        <f aca="false">-MIN(AG60,Inputs!$E$55/MAX(1,Inputs!$E$57*12))</f>
        <v>-4166.66666666667</v>
      </c>
      <c r="AH62" s="67" t="n">
        <f aca="false">-MIN(AH60,Inputs!$E$55/MAX(1,Inputs!$E$57*12))</f>
        <v>-4166.66666666667</v>
      </c>
      <c r="AI62" s="67" t="n">
        <f aca="false">-MIN(AI60,Inputs!$E$55/MAX(1,Inputs!$E$57*12))</f>
        <v>-4166.66666666667</v>
      </c>
      <c r="AJ62" s="67" t="n">
        <f aca="false">-MIN(AJ60,Inputs!$E$55/MAX(1,Inputs!$E$57*12))</f>
        <v>-4166.66666666667</v>
      </c>
      <c r="AK62" s="67" t="n">
        <f aca="false">-MIN(AK60,Inputs!$E$55/MAX(1,Inputs!$E$57*12))</f>
        <v>-4166.66666666667</v>
      </c>
      <c r="AL62" s="67" t="n">
        <f aca="false">-MIN(AL60,Inputs!$E$55/MAX(1,Inputs!$E$57*12))</f>
        <v>-4166.66666666667</v>
      </c>
    </row>
    <row r="63" customFormat="false" ht="15" hidden="false" customHeight="false" outlineLevel="0" collapsed="false">
      <c r="A63" s="4" t="s">
        <v>397</v>
      </c>
      <c r="C63" s="73" t="n">
        <f aca="false">C60+C61+C62</f>
        <v>250000</v>
      </c>
      <c r="D63" s="73" t="n">
        <f aca="false">D60+D61+D62</f>
        <v>245833.333333333</v>
      </c>
      <c r="E63" s="73" t="n">
        <f aca="false">E60+E61+E62</f>
        <v>241666.666666667</v>
      </c>
      <c r="F63" s="73" t="n">
        <f aca="false">F60+F61+F62</f>
        <v>237500</v>
      </c>
      <c r="G63" s="73" t="n">
        <f aca="false">G60+G61+G62</f>
        <v>233333.333333333</v>
      </c>
      <c r="H63" s="73" t="n">
        <f aca="false">H60+H61+H62</f>
        <v>229166.666666667</v>
      </c>
      <c r="I63" s="73" t="n">
        <f aca="false">I60+I61+I62</f>
        <v>225000</v>
      </c>
      <c r="J63" s="73" t="n">
        <f aca="false">J60+J61+J62</f>
        <v>220833.333333333</v>
      </c>
      <c r="K63" s="73" t="n">
        <f aca="false">K60+K61+K62</f>
        <v>216666.666666667</v>
      </c>
      <c r="L63" s="73" t="n">
        <f aca="false">L60+L61+L62</f>
        <v>212500</v>
      </c>
      <c r="M63" s="73" t="n">
        <f aca="false">M60+M61+M62</f>
        <v>208333.333333333</v>
      </c>
      <c r="N63" s="73" t="n">
        <f aca="false">N60+N61+N62</f>
        <v>204166.666666667</v>
      </c>
      <c r="O63" s="73" t="n">
        <f aca="false">O60+O61+O62</f>
        <v>200000</v>
      </c>
      <c r="P63" s="73" t="n">
        <f aca="false">P60+P61+P62</f>
        <v>195833.333333333</v>
      </c>
      <c r="Q63" s="73" t="n">
        <f aca="false">Q60+Q61+Q62</f>
        <v>191666.666666667</v>
      </c>
      <c r="R63" s="73" t="n">
        <f aca="false">R60+R61+R62</f>
        <v>187500</v>
      </c>
      <c r="S63" s="73" t="n">
        <f aca="false">S60+S61+S62</f>
        <v>183333.333333334</v>
      </c>
      <c r="T63" s="73" t="n">
        <f aca="false">T60+T61+T62</f>
        <v>179166.666666667</v>
      </c>
      <c r="U63" s="73" t="n">
        <f aca="false">U60+U61+U62</f>
        <v>175000</v>
      </c>
      <c r="V63" s="73" t="n">
        <f aca="false">V60+V61+V62</f>
        <v>170833.333333334</v>
      </c>
      <c r="W63" s="73" t="n">
        <f aca="false">W60+W61+W62</f>
        <v>166666.666666667</v>
      </c>
      <c r="X63" s="73" t="n">
        <f aca="false">X60+X61+X62</f>
        <v>162500</v>
      </c>
      <c r="Y63" s="73" t="n">
        <f aca="false">Y60+Y61+Y62</f>
        <v>158333.333333334</v>
      </c>
      <c r="Z63" s="73" t="n">
        <f aca="false">Z60+Z61+Z62</f>
        <v>154166.666666667</v>
      </c>
      <c r="AA63" s="73" t="n">
        <f aca="false">AA60+AA61+AA62</f>
        <v>150000</v>
      </c>
      <c r="AB63" s="73" t="n">
        <f aca="false">AB60+AB61+AB62</f>
        <v>145833.333333334</v>
      </c>
      <c r="AC63" s="73" t="n">
        <f aca="false">AC60+AC61+AC62</f>
        <v>141666.666666667</v>
      </c>
      <c r="AD63" s="73" t="n">
        <f aca="false">AD60+AD61+AD62</f>
        <v>137500</v>
      </c>
      <c r="AE63" s="73" t="n">
        <f aca="false">AE60+AE61+AE62</f>
        <v>133333.333333334</v>
      </c>
      <c r="AF63" s="73" t="n">
        <f aca="false">AF60+AF61+AF62</f>
        <v>129166.666666667</v>
      </c>
      <c r="AG63" s="73" t="n">
        <f aca="false">AG60+AG61+AG62</f>
        <v>125000</v>
      </c>
      <c r="AH63" s="73" t="n">
        <f aca="false">AH60+AH61+AH62</f>
        <v>120833.333333334</v>
      </c>
      <c r="AI63" s="73" t="n">
        <f aca="false">AI60+AI61+AI62</f>
        <v>116666.666666667</v>
      </c>
      <c r="AJ63" s="73" t="n">
        <f aca="false">AJ60+AJ61+AJ62</f>
        <v>112500</v>
      </c>
      <c r="AK63" s="73" t="n">
        <f aca="false">AK60+AK61+AK62</f>
        <v>108333.333333334</v>
      </c>
      <c r="AL63" s="73" t="n">
        <f aca="false">AL60+AL61+AL62</f>
        <v>104166.666666667</v>
      </c>
    </row>
    <row r="65" customFormat="false" ht="15.75" hidden="false" customHeight="true" outlineLevel="0" collapsed="false">
      <c r="A65" s="7" t="s">
        <v>305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customFormat="false" ht="15" hidden="false" customHeight="false" outlineLevel="0" collapsed="false">
      <c r="A66" s="6" t="s">
        <v>89</v>
      </c>
      <c r="C66" s="67" t="n">
        <f aca="false">C22*Inputs!$E$60/30</f>
        <v>44478.8888888889</v>
      </c>
      <c r="D66" s="67" t="n">
        <f aca="false">D22*Inputs!$E$60/30</f>
        <v>44478.8888888889</v>
      </c>
      <c r="E66" s="67" t="n">
        <f aca="false">E22*Inputs!$E$60/30</f>
        <v>44478.8888888889</v>
      </c>
      <c r="F66" s="67" t="n">
        <f aca="false">F22*Inputs!$E$60/30</f>
        <v>44478.8888888889</v>
      </c>
      <c r="G66" s="67" t="n">
        <f aca="false">G22*Inputs!$E$60/30</f>
        <v>44478.8888888889</v>
      </c>
      <c r="H66" s="67" t="n">
        <f aca="false">H22*Inputs!$E$60/30</f>
        <v>56566.6666666667</v>
      </c>
      <c r="I66" s="67" t="n">
        <f aca="false">I22*Inputs!$E$60/30</f>
        <v>56566.6666666667</v>
      </c>
      <c r="J66" s="67" t="n">
        <f aca="false">J22*Inputs!$E$60/30</f>
        <v>56566.6666666667</v>
      </c>
      <c r="K66" s="67" t="n">
        <f aca="false">K22*Inputs!$E$60/30</f>
        <v>44478.8888888889</v>
      </c>
      <c r="L66" s="67" t="n">
        <f aca="false">L22*Inputs!$E$60/30</f>
        <v>44478.8888888889</v>
      </c>
      <c r="M66" s="67" t="n">
        <f aca="false">M22*Inputs!$E$60/30</f>
        <v>44478.8888888889</v>
      </c>
      <c r="N66" s="67" t="n">
        <f aca="false">N22*Inputs!$E$60/30</f>
        <v>44478.8888888889</v>
      </c>
      <c r="O66" s="67" t="n">
        <f aca="false">O22*Inputs!$E$60/30</f>
        <v>52822.5772222222</v>
      </c>
      <c r="P66" s="67" t="n">
        <f aca="false">P22*Inputs!$E$60/30</f>
        <v>52822.5772222222</v>
      </c>
      <c r="Q66" s="67" t="n">
        <f aca="false">Q22*Inputs!$E$60/30</f>
        <v>52822.5772222222</v>
      </c>
      <c r="R66" s="67" t="n">
        <f aca="false">R22*Inputs!$E$60/30</f>
        <v>52822.5772222222</v>
      </c>
      <c r="S66" s="67" t="n">
        <f aca="false">S22*Inputs!$E$60/30</f>
        <v>52822.5772222222</v>
      </c>
      <c r="T66" s="67" t="n">
        <f aca="false">T22*Inputs!$E$60/30</f>
        <v>65475.04</v>
      </c>
      <c r="U66" s="67" t="n">
        <f aca="false">U22*Inputs!$E$60/30</f>
        <v>65475.04</v>
      </c>
      <c r="V66" s="67" t="n">
        <f aca="false">V22*Inputs!$E$60/30</f>
        <v>65475.04</v>
      </c>
      <c r="W66" s="67" t="n">
        <f aca="false">W22*Inputs!$E$60/30</f>
        <v>52822.5772222222</v>
      </c>
      <c r="X66" s="67" t="n">
        <f aca="false">X22*Inputs!$E$60/30</f>
        <v>52822.5772222222</v>
      </c>
      <c r="Y66" s="67" t="n">
        <f aca="false">Y22*Inputs!$E$60/30</f>
        <v>52822.5772222222</v>
      </c>
      <c r="Z66" s="67" t="n">
        <f aca="false">Z22*Inputs!$E$60/30</f>
        <v>52822.5772222222</v>
      </c>
      <c r="AA66" s="67" t="n">
        <f aca="false">AA22*Inputs!$E$60/30</f>
        <v>62738.0867197222</v>
      </c>
      <c r="AB66" s="67" t="n">
        <f aca="false">AB22*Inputs!$E$60/30</f>
        <v>62738.0867197222</v>
      </c>
      <c r="AC66" s="67" t="n">
        <f aca="false">AC22*Inputs!$E$60/30</f>
        <v>62738.0867197222</v>
      </c>
      <c r="AD66" s="67" t="n">
        <f aca="false">AD22*Inputs!$E$60/30</f>
        <v>62738.0867197222</v>
      </c>
      <c r="AE66" s="67" t="n">
        <f aca="false">AE22*Inputs!$E$60/30</f>
        <v>62738.0867197222</v>
      </c>
      <c r="AF66" s="67" t="n">
        <f aca="false">AF22*Inputs!$E$60/30</f>
        <v>75803.596544</v>
      </c>
      <c r="AG66" s="67" t="n">
        <f aca="false">AG22*Inputs!$E$60/30</f>
        <v>75803.596544</v>
      </c>
      <c r="AH66" s="67" t="n">
        <f aca="false">AH22*Inputs!$E$60/30</f>
        <v>75803.596544</v>
      </c>
      <c r="AI66" s="67" t="n">
        <f aca="false">AI22*Inputs!$E$60/30</f>
        <v>62738.0867197222</v>
      </c>
      <c r="AJ66" s="67" t="n">
        <f aca="false">AJ22*Inputs!$E$60/30</f>
        <v>62738.0867197222</v>
      </c>
      <c r="AK66" s="67" t="n">
        <f aca="false">AK22*Inputs!$E$60/30</f>
        <v>62738.0867197222</v>
      </c>
      <c r="AL66" s="67" t="n">
        <f aca="false">AL22*Inputs!$E$60/30</f>
        <v>62738.0867197222</v>
      </c>
    </row>
    <row r="67" customFormat="false" ht="15" hidden="false" customHeight="false" outlineLevel="0" collapsed="false">
      <c r="A67" s="6" t="s">
        <v>90</v>
      </c>
      <c r="C67" s="67" t="n">
        <f aca="false">-C29*Inputs!$E$61/30</f>
        <v>14208.4722222222</v>
      </c>
      <c r="D67" s="67" t="n">
        <f aca="false">-D29*Inputs!$E$61/30</f>
        <v>14208.4722222222</v>
      </c>
      <c r="E67" s="67" t="n">
        <f aca="false">-E29*Inputs!$E$61/30</f>
        <v>14208.4722222222</v>
      </c>
      <c r="F67" s="67" t="n">
        <f aca="false">-F29*Inputs!$E$61/30</f>
        <v>14208.4722222222</v>
      </c>
      <c r="G67" s="67" t="n">
        <f aca="false">-G29*Inputs!$E$61/30</f>
        <v>14208.4722222222</v>
      </c>
      <c r="H67" s="67" t="n">
        <f aca="false">-H29*Inputs!$E$61/30</f>
        <v>15719.4444444444</v>
      </c>
      <c r="I67" s="67" t="n">
        <f aca="false">-I29*Inputs!$E$61/30</f>
        <v>15719.4444444444</v>
      </c>
      <c r="J67" s="67" t="n">
        <f aca="false">-J29*Inputs!$E$61/30</f>
        <v>15719.4444444444</v>
      </c>
      <c r="K67" s="67" t="n">
        <f aca="false">-K29*Inputs!$E$61/30</f>
        <v>14208.4722222222</v>
      </c>
      <c r="L67" s="67" t="n">
        <f aca="false">-L29*Inputs!$E$61/30</f>
        <v>14208.4722222222</v>
      </c>
      <c r="M67" s="67" t="n">
        <f aca="false">-M29*Inputs!$E$61/30</f>
        <v>14208.4722222222</v>
      </c>
      <c r="N67" s="67" t="n">
        <f aca="false">-N29*Inputs!$E$61/30</f>
        <v>14208.4722222222</v>
      </c>
      <c r="O67" s="67" t="n">
        <f aca="false">-O29*Inputs!$E$61/30</f>
        <v>16545.3799305556</v>
      </c>
      <c r="P67" s="67" t="n">
        <f aca="false">-P29*Inputs!$E$61/30</f>
        <v>16545.3799305556</v>
      </c>
      <c r="Q67" s="67" t="n">
        <f aca="false">-Q29*Inputs!$E$61/30</f>
        <v>16545.3799305556</v>
      </c>
      <c r="R67" s="67" t="n">
        <f aca="false">-R29*Inputs!$E$61/30</f>
        <v>16545.3799305556</v>
      </c>
      <c r="S67" s="67" t="n">
        <f aca="false">-S29*Inputs!$E$61/30</f>
        <v>16545.3799305556</v>
      </c>
      <c r="T67" s="67" t="n">
        <f aca="false">-T29*Inputs!$E$61/30</f>
        <v>18126.9377777778</v>
      </c>
      <c r="U67" s="67" t="n">
        <f aca="false">-U29*Inputs!$E$61/30</f>
        <v>18126.9377777778</v>
      </c>
      <c r="V67" s="67" t="n">
        <f aca="false">-V29*Inputs!$E$61/30</f>
        <v>18126.9377777778</v>
      </c>
      <c r="W67" s="67" t="n">
        <f aca="false">-W29*Inputs!$E$61/30</f>
        <v>16545.3799305556</v>
      </c>
      <c r="X67" s="67" t="n">
        <f aca="false">-X29*Inputs!$E$61/30</f>
        <v>16545.3799305556</v>
      </c>
      <c r="Y67" s="67" t="n">
        <f aca="false">-Y29*Inputs!$E$61/30</f>
        <v>16545.3799305556</v>
      </c>
      <c r="Z67" s="67" t="n">
        <f aca="false">-Z29*Inputs!$E$61/30</f>
        <v>16545.3799305556</v>
      </c>
      <c r="AA67" s="67" t="n">
        <f aca="false">-AA29*Inputs!$E$61/30</f>
        <v>19275.2895724097</v>
      </c>
      <c r="AB67" s="67" t="n">
        <f aca="false">-AB29*Inputs!$E$61/30</f>
        <v>19275.2895724097</v>
      </c>
      <c r="AC67" s="67" t="n">
        <f aca="false">-AC29*Inputs!$E$61/30</f>
        <v>19275.2895724097</v>
      </c>
      <c r="AD67" s="67" t="n">
        <f aca="false">-AD29*Inputs!$E$61/30</f>
        <v>19275.2895724097</v>
      </c>
      <c r="AE67" s="67" t="n">
        <f aca="false">-AE29*Inputs!$E$61/30</f>
        <v>19275.2895724097</v>
      </c>
      <c r="AF67" s="67" t="n">
        <f aca="false">-AF29*Inputs!$E$61/30</f>
        <v>20908.4783004444</v>
      </c>
      <c r="AG67" s="67" t="n">
        <f aca="false">-AG29*Inputs!$E$61/30</f>
        <v>20908.4783004444</v>
      </c>
      <c r="AH67" s="67" t="n">
        <f aca="false">-AH29*Inputs!$E$61/30</f>
        <v>20908.4783004444</v>
      </c>
      <c r="AI67" s="67" t="n">
        <f aca="false">-AI29*Inputs!$E$61/30</f>
        <v>19275.2895724097</v>
      </c>
      <c r="AJ67" s="67" t="n">
        <f aca="false">-AJ29*Inputs!$E$61/30</f>
        <v>19275.2895724097</v>
      </c>
      <c r="AK67" s="67" t="n">
        <f aca="false">-AK29*Inputs!$E$61/30</f>
        <v>19275.2895724097</v>
      </c>
      <c r="AL67" s="67" t="n">
        <f aca="false">-AL29*Inputs!$E$61/30</f>
        <v>19275.2895724097</v>
      </c>
    </row>
    <row r="68" customFormat="false" ht="15" hidden="false" customHeight="false" outlineLevel="0" collapsed="false">
      <c r="A68" s="6" t="s">
        <v>93</v>
      </c>
      <c r="C68" s="67" t="n">
        <f aca="false">-C29*Inputs!$E$62/30</f>
        <v>56833.8888888889</v>
      </c>
      <c r="D68" s="67" t="n">
        <f aca="false">-D29*Inputs!$E$62/30</f>
        <v>56833.8888888889</v>
      </c>
      <c r="E68" s="67" t="n">
        <f aca="false">-E29*Inputs!$E$62/30</f>
        <v>56833.8888888889</v>
      </c>
      <c r="F68" s="67" t="n">
        <f aca="false">-F29*Inputs!$E$62/30</f>
        <v>56833.8888888889</v>
      </c>
      <c r="G68" s="67" t="n">
        <f aca="false">-G29*Inputs!$E$62/30</f>
        <v>56833.8888888889</v>
      </c>
      <c r="H68" s="67" t="n">
        <f aca="false">-H29*Inputs!$E$62/30</f>
        <v>62877.7777777778</v>
      </c>
      <c r="I68" s="67" t="n">
        <f aca="false">-I29*Inputs!$E$62/30</f>
        <v>62877.7777777778</v>
      </c>
      <c r="J68" s="67" t="n">
        <f aca="false">-J29*Inputs!$E$62/30</f>
        <v>62877.7777777778</v>
      </c>
      <c r="K68" s="67" t="n">
        <f aca="false">-K29*Inputs!$E$62/30</f>
        <v>56833.8888888889</v>
      </c>
      <c r="L68" s="67" t="n">
        <f aca="false">-L29*Inputs!$E$62/30</f>
        <v>56833.8888888889</v>
      </c>
      <c r="M68" s="67" t="n">
        <f aca="false">-M29*Inputs!$E$62/30</f>
        <v>56833.8888888889</v>
      </c>
      <c r="N68" s="67" t="n">
        <f aca="false">-N29*Inputs!$E$62/30</f>
        <v>56833.8888888889</v>
      </c>
      <c r="O68" s="67" t="n">
        <f aca="false">-O29*Inputs!$E$62/30</f>
        <v>66181.5197222222</v>
      </c>
      <c r="P68" s="67" t="n">
        <f aca="false">-P29*Inputs!$E$62/30</f>
        <v>66181.5197222222</v>
      </c>
      <c r="Q68" s="67" t="n">
        <f aca="false">-Q29*Inputs!$E$62/30</f>
        <v>66181.5197222222</v>
      </c>
      <c r="R68" s="67" t="n">
        <f aca="false">-R29*Inputs!$E$62/30</f>
        <v>66181.5197222222</v>
      </c>
      <c r="S68" s="67" t="n">
        <f aca="false">-S29*Inputs!$E$62/30</f>
        <v>66181.5197222222</v>
      </c>
      <c r="T68" s="67" t="n">
        <f aca="false">-T29*Inputs!$E$62/30</f>
        <v>72507.7511111111</v>
      </c>
      <c r="U68" s="67" t="n">
        <f aca="false">-U29*Inputs!$E$62/30</f>
        <v>72507.7511111111</v>
      </c>
      <c r="V68" s="67" t="n">
        <f aca="false">-V29*Inputs!$E$62/30</f>
        <v>72507.7511111111</v>
      </c>
      <c r="W68" s="67" t="n">
        <f aca="false">-W29*Inputs!$E$62/30</f>
        <v>66181.5197222222</v>
      </c>
      <c r="X68" s="67" t="n">
        <f aca="false">-X29*Inputs!$E$62/30</f>
        <v>66181.5197222222</v>
      </c>
      <c r="Y68" s="67" t="n">
        <f aca="false">-Y29*Inputs!$E$62/30</f>
        <v>66181.5197222222</v>
      </c>
      <c r="Z68" s="67" t="n">
        <f aca="false">-Z29*Inputs!$E$62/30</f>
        <v>66181.5197222222</v>
      </c>
      <c r="AA68" s="67" t="n">
        <f aca="false">-AA29*Inputs!$E$62/30</f>
        <v>77101.1582896389</v>
      </c>
      <c r="AB68" s="67" t="n">
        <f aca="false">-AB29*Inputs!$E$62/30</f>
        <v>77101.1582896389</v>
      </c>
      <c r="AC68" s="67" t="n">
        <f aca="false">-AC29*Inputs!$E$62/30</f>
        <v>77101.1582896389</v>
      </c>
      <c r="AD68" s="67" t="n">
        <f aca="false">-AD29*Inputs!$E$62/30</f>
        <v>77101.1582896389</v>
      </c>
      <c r="AE68" s="67" t="n">
        <f aca="false">-AE29*Inputs!$E$62/30</f>
        <v>77101.1582896389</v>
      </c>
      <c r="AF68" s="67" t="n">
        <f aca="false">-AF29*Inputs!$E$62/30</f>
        <v>83633.9132017778</v>
      </c>
      <c r="AG68" s="67" t="n">
        <f aca="false">-AG29*Inputs!$E$62/30</f>
        <v>83633.9132017778</v>
      </c>
      <c r="AH68" s="67" t="n">
        <f aca="false">-AH29*Inputs!$E$62/30</f>
        <v>83633.9132017778</v>
      </c>
      <c r="AI68" s="67" t="n">
        <f aca="false">-AI29*Inputs!$E$62/30</f>
        <v>77101.1582896389</v>
      </c>
      <c r="AJ68" s="67" t="n">
        <f aca="false">-AJ29*Inputs!$E$62/30</f>
        <v>77101.1582896389</v>
      </c>
      <c r="AK68" s="67" t="n">
        <f aca="false">-AK29*Inputs!$E$62/30</f>
        <v>77101.1582896389</v>
      </c>
      <c r="AL68" s="67" t="n">
        <f aca="false">-AL29*Inputs!$E$62/30</f>
        <v>77101.1582896389</v>
      </c>
    </row>
    <row r="69" customFormat="false" ht="15" hidden="false" customHeight="false" outlineLevel="0" collapsed="false">
      <c r="A69" s="6" t="s">
        <v>329</v>
      </c>
      <c r="C69" s="67" t="n">
        <f aca="false">-C66</f>
        <v>-44478.8888888889</v>
      </c>
      <c r="D69" s="67" t="n">
        <f aca="false">C66-D66</f>
        <v>0</v>
      </c>
      <c r="E69" s="67" t="n">
        <f aca="false">D66-E66</f>
        <v>0</v>
      </c>
      <c r="F69" s="67" t="n">
        <f aca="false">E66-F66</f>
        <v>0</v>
      </c>
      <c r="G69" s="67" t="n">
        <f aca="false">F66-G66</f>
        <v>0</v>
      </c>
      <c r="H69" s="67" t="n">
        <f aca="false">G66-H66</f>
        <v>-12087.7777777778</v>
      </c>
      <c r="I69" s="67" t="n">
        <f aca="false">H66-I66</f>
        <v>0</v>
      </c>
      <c r="J69" s="67" t="n">
        <f aca="false">I66-J66</f>
        <v>0</v>
      </c>
      <c r="K69" s="67" t="n">
        <f aca="false">J66-K66</f>
        <v>12087.7777777778</v>
      </c>
      <c r="L69" s="67" t="n">
        <f aca="false">K66-L66</f>
        <v>0</v>
      </c>
      <c r="M69" s="67" t="n">
        <f aca="false">L66-M66</f>
        <v>0</v>
      </c>
      <c r="N69" s="67" t="n">
        <f aca="false">M66-N66</f>
        <v>0</v>
      </c>
      <c r="O69" s="67" t="n">
        <f aca="false">N66-O66</f>
        <v>-8343.68833333334</v>
      </c>
      <c r="P69" s="67" t="n">
        <f aca="false">O66-P66</f>
        <v>0</v>
      </c>
      <c r="Q69" s="67" t="n">
        <f aca="false">P66-Q66</f>
        <v>0</v>
      </c>
      <c r="R69" s="67" t="n">
        <f aca="false">Q66-R66</f>
        <v>0</v>
      </c>
      <c r="S69" s="67" t="n">
        <f aca="false">R66-S66</f>
        <v>0</v>
      </c>
      <c r="T69" s="67" t="n">
        <f aca="false">S66-T66</f>
        <v>-12652.4627777778</v>
      </c>
      <c r="U69" s="67" t="n">
        <f aca="false">T66-U66</f>
        <v>0</v>
      </c>
      <c r="V69" s="67" t="n">
        <f aca="false">U66-V66</f>
        <v>0</v>
      </c>
      <c r="W69" s="67" t="n">
        <f aca="false">V66-W66</f>
        <v>12652.4627777778</v>
      </c>
      <c r="X69" s="67" t="n">
        <f aca="false">W66-X66</f>
        <v>0</v>
      </c>
      <c r="Y69" s="67" t="n">
        <f aca="false">X66-Y66</f>
        <v>0</v>
      </c>
      <c r="Z69" s="67" t="n">
        <f aca="false">Y66-Z66</f>
        <v>0</v>
      </c>
      <c r="AA69" s="67" t="n">
        <f aca="false">Z66-AA66</f>
        <v>-9915.5094975</v>
      </c>
      <c r="AB69" s="67" t="n">
        <f aca="false">AA66-AB66</f>
        <v>0</v>
      </c>
      <c r="AC69" s="67" t="n">
        <f aca="false">AB66-AC66</f>
        <v>0</v>
      </c>
      <c r="AD69" s="67" t="n">
        <f aca="false">AC66-AD66</f>
        <v>0</v>
      </c>
      <c r="AE69" s="67" t="n">
        <f aca="false">AD66-AE66</f>
        <v>0</v>
      </c>
      <c r="AF69" s="67" t="n">
        <f aca="false">AE66-AF66</f>
        <v>-13065.5098242778</v>
      </c>
      <c r="AG69" s="67" t="n">
        <f aca="false">AF66-AG66</f>
        <v>0</v>
      </c>
      <c r="AH69" s="67" t="n">
        <f aca="false">AG66-AH66</f>
        <v>0</v>
      </c>
      <c r="AI69" s="67" t="n">
        <f aca="false">AH66-AI66</f>
        <v>13065.5098242778</v>
      </c>
      <c r="AJ69" s="67" t="n">
        <f aca="false">AI66-AJ66</f>
        <v>0</v>
      </c>
      <c r="AK69" s="67" t="n">
        <f aca="false">AJ66-AK66</f>
        <v>0</v>
      </c>
      <c r="AL69" s="67" t="n">
        <f aca="false">AK66-AL66</f>
        <v>0</v>
      </c>
    </row>
    <row r="70" customFormat="false" ht="15" hidden="false" customHeight="false" outlineLevel="0" collapsed="false">
      <c r="A70" s="6" t="s">
        <v>330</v>
      </c>
      <c r="C70" s="67" t="n">
        <f aca="false">-C67</f>
        <v>-14208.4722222222</v>
      </c>
      <c r="D70" s="67" t="n">
        <f aca="false">C67-D67</f>
        <v>0</v>
      </c>
      <c r="E70" s="67" t="n">
        <f aca="false">D67-E67</f>
        <v>0</v>
      </c>
      <c r="F70" s="67" t="n">
        <f aca="false">E67-F67</f>
        <v>0</v>
      </c>
      <c r="G70" s="67" t="n">
        <f aca="false">F67-G67</f>
        <v>0</v>
      </c>
      <c r="H70" s="67" t="n">
        <f aca="false">G67-H67</f>
        <v>-1510.97222222222</v>
      </c>
      <c r="I70" s="67" t="n">
        <f aca="false">H67-I67</f>
        <v>0</v>
      </c>
      <c r="J70" s="67" t="n">
        <f aca="false">I67-J67</f>
        <v>0</v>
      </c>
      <c r="K70" s="67" t="n">
        <f aca="false">J67-K67</f>
        <v>1510.97222222222</v>
      </c>
      <c r="L70" s="67" t="n">
        <f aca="false">K67-L67</f>
        <v>0</v>
      </c>
      <c r="M70" s="67" t="n">
        <f aca="false">L67-M67</f>
        <v>0</v>
      </c>
      <c r="N70" s="67" t="n">
        <f aca="false">M67-N67</f>
        <v>0</v>
      </c>
      <c r="O70" s="67" t="n">
        <f aca="false">N67-O67</f>
        <v>-2336.90770833333</v>
      </c>
      <c r="P70" s="67" t="n">
        <f aca="false">O67-P67</f>
        <v>0</v>
      </c>
      <c r="Q70" s="67" t="n">
        <f aca="false">P67-Q67</f>
        <v>0</v>
      </c>
      <c r="R70" s="67" t="n">
        <f aca="false">Q67-R67</f>
        <v>0</v>
      </c>
      <c r="S70" s="67" t="n">
        <f aca="false">R67-S67</f>
        <v>0</v>
      </c>
      <c r="T70" s="67" t="n">
        <f aca="false">S67-T67</f>
        <v>-1581.55784722222</v>
      </c>
      <c r="U70" s="67" t="n">
        <f aca="false">T67-U67</f>
        <v>0</v>
      </c>
      <c r="V70" s="67" t="n">
        <f aca="false">U67-V67</f>
        <v>0</v>
      </c>
      <c r="W70" s="67" t="n">
        <f aca="false">V67-W67</f>
        <v>1581.55784722222</v>
      </c>
      <c r="X70" s="67" t="n">
        <f aca="false">W67-X67</f>
        <v>0</v>
      </c>
      <c r="Y70" s="67" t="n">
        <f aca="false">X67-Y67</f>
        <v>0</v>
      </c>
      <c r="Z70" s="67" t="n">
        <f aca="false">Y67-Z67</f>
        <v>0</v>
      </c>
      <c r="AA70" s="67" t="n">
        <f aca="false">Z67-AA67</f>
        <v>-2729.90964185416</v>
      </c>
      <c r="AB70" s="67" t="n">
        <f aca="false">AA67-AB67</f>
        <v>0</v>
      </c>
      <c r="AC70" s="67" t="n">
        <f aca="false">AB67-AC67</f>
        <v>0</v>
      </c>
      <c r="AD70" s="67" t="n">
        <f aca="false">AC67-AD67</f>
        <v>0</v>
      </c>
      <c r="AE70" s="67" t="n">
        <f aca="false">AD67-AE67</f>
        <v>0</v>
      </c>
      <c r="AF70" s="67" t="n">
        <f aca="false">AE67-AF67</f>
        <v>-1633.18872803473</v>
      </c>
      <c r="AG70" s="67" t="n">
        <f aca="false">AF67-AG67</f>
        <v>0</v>
      </c>
      <c r="AH70" s="67" t="n">
        <f aca="false">AG67-AH67</f>
        <v>0</v>
      </c>
      <c r="AI70" s="67" t="n">
        <f aca="false">AH67-AI67</f>
        <v>1633.18872803473</v>
      </c>
      <c r="AJ70" s="67" t="n">
        <f aca="false">AI67-AJ67</f>
        <v>0</v>
      </c>
      <c r="AK70" s="67" t="n">
        <f aca="false">AJ67-AK67</f>
        <v>0</v>
      </c>
      <c r="AL70" s="67" t="n">
        <f aca="false">AK67-AL67</f>
        <v>0</v>
      </c>
    </row>
    <row r="71" customFormat="false" ht="15" hidden="false" customHeight="false" outlineLevel="0" collapsed="false">
      <c r="A71" s="6" t="s">
        <v>331</v>
      </c>
      <c r="C71" s="67" t="n">
        <f aca="false">C68</f>
        <v>56833.8888888889</v>
      </c>
      <c r="D71" s="67" t="n">
        <f aca="false">D68-C68</f>
        <v>0</v>
      </c>
      <c r="E71" s="67" t="n">
        <f aca="false">E68-D68</f>
        <v>0</v>
      </c>
      <c r="F71" s="67" t="n">
        <f aca="false">F68-E68</f>
        <v>0</v>
      </c>
      <c r="G71" s="67" t="n">
        <f aca="false">G68-F68</f>
        <v>0</v>
      </c>
      <c r="H71" s="67" t="n">
        <f aca="false">H68-G68</f>
        <v>6043.88888888888</v>
      </c>
      <c r="I71" s="67" t="n">
        <f aca="false">I68-H68</f>
        <v>0</v>
      </c>
      <c r="J71" s="67" t="n">
        <f aca="false">J68-I68</f>
        <v>0</v>
      </c>
      <c r="K71" s="67" t="n">
        <f aca="false">K68-J68</f>
        <v>-6043.88888888888</v>
      </c>
      <c r="L71" s="67" t="n">
        <f aca="false">L68-K68</f>
        <v>0</v>
      </c>
      <c r="M71" s="67" t="n">
        <f aca="false">M68-L68</f>
        <v>0</v>
      </c>
      <c r="N71" s="67" t="n">
        <f aca="false">N68-M68</f>
        <v>0</v>
      </c>
      <c r="O71" s="67" t="n">
        <f aca="false">O68-N68</f>
        <v>9347.63083333334</v>
      </c>
      <c r="P71" s="67" t="n">
        <f aca="false">P68-O68</f>
        <v>0</v>
      </c>
      <c r="Q71" s="67" t="n">
        <f aca="false">Q68-P68</f>
        <v>0</v>
      </c>
      <c r="R71" s="67" t="n">
        <f aca="false">R68-Q68</f>
        <v>0</v>
      </c>
      <c r="S71" s="67" t="n">
        <f aca="false">S68-R68</f>
        <v>0</v>
      </c>
      <c r="T71" s="67" t="n">
        <f aca="false">T68-S68</f>
        <v>6326.23138888889</v>
      </c>
      <c r="U71" s="67" t="n">
        <f aca="false">U68-T68</f>
        <v>0</v>
      </c>
      <c r="V71" s="67" t="n">
        <f aca="false">V68-U68</f>
        <v>0</v>
      </c>
      <c r="W71" s="67" t="n">
        <f aca="false">W68-V68</f>
        <v>-6326.23138888889</v>
      </c>
      <c r="X71" s="67" t="n">
        <f aca="false">X68-W68</f>
        <v>0</v>
      </c>
      <c r="Y71" s="67" t="n">
        <f aca="false">Y68-X68</f>
        <v>0</v>
      </c>
      <c r="Z71" s="67" t="n">
        <f aca="false">Z68-Y68</f>
        <v>0</v>
      </c>
      <c r="AA71" s="67" t="n">
        <f aca="false">AA68-Z68</f>
        <v>10919.6385674167</v>
      </c>
      <c r="AB71" s="67" t="n">
        <f aca="false">AB68-AA68</f>
        <v>0</v>
      </c>
      <c r="AC71" s="67" t="n">
        <f aca="false">AC68-AB68</f>
        <v>0</v>
      </c>
      <c r="AD71" s="67" t="n">
        <f aca="false">AD68-AC68</f>
        <v>0</v>
      </c>
      <c r="AE71" s="67" t="n">
        <f aca="false">AE68-AD68</f>
        <v>0</v>
      </c>
      <c r="AF71" s="67" t="n">
        <f aca="false">AF68-AE68</f>
        <v>6532.7549121389</v>
      </c>
      <c r="AG71" s="67" t="n">
        <f aca="false">AG68-AF68</f>
        <v>0</v>
      </c>
      <c r="AH71" s="67" t="n">
        <f aca="false">AH68-AG68</f>
        <v>0</v>
      </c>
      <c r="AI71" s="67" t="n">
        <f aca="false">AI68-AH68</f>
        <v>-6532.7549121389</v>
      </c>
      <c r="AJ71" s="67" t="n">
        <f aca="false">AJ68-AI68</f>
        <v>0</v>
      </c>
      <c r="AK71" s="67" t="n">
        <f aca="false">AK68-AJ68</f>
        <v>0</v>
      </c>
      <c r="AL71" s="67" t="n">
        <f aca="false">AL68-AK68</f>
        <v>0</v>
      </c>
    </row>
    <row r="73" customFormat="false" ht="15.75" hidden="false" customHeight="true" outlineLevel="0" collapsed="false">
      <c r="A73" s="7" t="s">
        <v>398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customFormat="false" ht="15" hidden="false" customHeight="false" outlineLevel="0" collapsed="false">
      <c r="A74" s="4" t="s">
        <v>52</v>
      </c>
      <c r="C74" s="73" t="n">
        <f aca="false">C50-C55+C69+C70+C71</f>
        <v>9238.11534444444</v>
      </c>
      <c r="D74" s="73" t="n">
        <f aca="false">D50-D55+D69+D70+D71</f>
        <v>11102.5597888889</v>
      </c>
      <c r="E74" s="73" t="n">
        <f aca="false">E50-E55+E69+E70+E71</f>
        <v>11124.5042333333</v>
      </c>
      <c r="F74" s="73" t="n">
        <f aca="false">F50-F55+F69+F70+F71</f>
        <v>11146.4486777778</v>
      </c>
      <c r="G74" s="73" t="n">
        <f aca="false">G50-G55+G69+G70+G71</f>
        <v>11168.3931222222</v>
      </c>
      <c r="H74" s="73" t="n">
        <f aca="false">H50-H55+H69+H70+H71</f>
        <v>24348.0045555555</v>
      </c>
      <c r="I74" s="73" t="n">
        <f aca="false">I50-I55+I69+I70+I71</f>
        <v>31924.8101111111</v>
      </c>
      <c r="J74" s="73" t="n">
        <f aca="false">J50-J55+J69+J70+J71</f>
        <v>31946.7545555556</v>
      </c>
      <c r="K74" s="73" t="n">
        <f aca="false">K50-K55+K69+K70+K71</f>
        <v>18811.0320111111</v>
      </c>
      <c r="L74" s="73" t="n">
        <f aca="false">L50-L55+L69+L70+L71</f>
        <v>11278.1153444444</v>
      </c>
      <c r="M74" s="73" t="n">
        <f aca="false">M50-M55+M69+M70+M71</f>
        <v>11300.0597888889</v>
      </c>
      <c r="N74" s="73" t="n">
        <f aca="false">N50-N55+N69+N70+N71</f>
        <v>11322.0042333333</v>
      </c>
      <c r="O74" s="73" t="n">
        <f aca="false">O50-O55+O69+O70+O71</f>
        <v>16254.6089154944</v>
      </c>
      <c r="P74" s="73" t="n">
        <f aca="false">P50-P55+P69+P70+P71</f>
        <v>17609.5185682722</v>
      </c>
      <c r="Q74" s="73" t="n">
        <f aca="false">Q50-Q55+Q69+Q70+Q71</f>
        <v>17631.4630127167</v>
      </c>
      <c r="R74" s="73" t="n">
        <f aca="false">R50-R55+R69+R70+R71</f>
        <v>17653.4074571611</v>
      </c>
      <c r="S74" s="73" t="n">
        <f aca="false">S50-S55+S69+S70+S71</f>
        <v>17675.3519016055</v>
      </c>
      <c r="T74" s="73" t="n">
        <f aca="false">T50-T55+T69+T70+T71</f>
        <v>31469.6286042889</v>
      </c>
      <c r="U74" s="73" t="n">
        <f aca="false">U50-U55+U69+U70+U71</f>
        <v>39399.3622848444</v>
      </c>
      <c r="V74" s="73" t="n">
        <f aca="false">V50-V55+V69+V70+V71</f>
        <v>39421.3067292889</v>
      </c>
      <c r="W74" s="73" t="n">
        <f aca="false">W50-W55+W69+W70+W71</f>
        <v>25670.9189154944</v>
      </c>
      <c r="X74" s="73" t="n">
        <f aca="false">X50-X55+X69+X70+X71</f>
        <v>17785.0741238278</v>
      </c>
      <c r="Y74" s="73" t="n">
        <f aca="false">Y50-Y55+Y69+Y70+Y71</f>
        <v>17807.0185682722</v>
      </c>
      <c r="Z74" s="73" t="n">
        <f aca="false">Z50-Z55+Z69+Z70+Z71</f>
        <v>17828.9630127167</v>
      </c>
      <c r="AA74" s="73" t="n">
        <f aca="false">AA50-AA55+AA69+AA70+AA71</f>
        <v>23856.3752254148</v>
      </c>
      <c r="AB74" s="73" t="n">
        <f aca="false">AB50-AB55+AB69+AB70+AB71</f>
        <v>25604.1002417968</v>
      </c>
      <c r="AC74" s="73" t="n">
        <f aca="false">AC50-AC55+AC69+AC70+AC71</f>
        <v>25626.0446862412</v>
      </c>
      <c r="AD74" s="73" t="n">
        <f aca="false">AD50-AD55+AD69+AD70+AD71</f>
        <v>25647.9891306857</v>
      </c>
      <c r="AE74" s="73" t="n">
        <f aca="false">AE50-AE55+AE69+AE70+AE71</f>
        <v>25669.9335751301</v>
      </c>
      <c r="AF74" s="73" t="n">
        <f aca="false">AF50-AF55+AF69+AF70+AF71</f>
        <v>39913.8161183992</v>
      </c>
      <c r="AG74" s="73" t="n">
        <f aca="false">AG50-AG55+AG69+AG70+AG71</f>
        <v>48101.7042030172</v>
      </c>
      <c r="AH74" s="73" t="n">
        <f aca="false">AH50-AH55+AH69+AH70+AH71</f>
        <v>48123.6486474617</v>
      </c>
      <c r="AI74" s="73" t="n">
        <f aca="false">AI50-AI55+AI69+AI70+AI71</f>
        <v>33923.6549930815</v>
      </c>
      <c r="AJ74" s="73" t="n">
        <f aca="false">AJ50-AJ55+AJ69+AJ70+AJ71</f>
        <v>25779.6557973523</v>
      </c>
      <c r="AK74" s="73" t="n">
        <f aca="false">AK50-AK55+AK69+AK70+AK71</f>
        <v>25801.6002417968</v>
      </c>
      <c r="AL74" s="73" t="n">
        <f aca="false">AL50-AL55+AL69+AL70+AL71</f>
        <v>25823.5446862412</v>
      </c>
    </row>
    <row r="75" customFormat="false" ht="15" hidden="false" customHeight="false" outlineLevel="0" collapsed="false">
      <c r="A75" s="6" t="s">
        <v>399</v>
      </c>
      <c r="C75" s="67" t="n">
        <f aca="false">-C53</f>
        <v>-20000</v>
      </c>
      <c r="D75" s="67" t="n">
        <f aca="false">-D53</f>
        <v>-0</v>
      </c>
      <c r="E75" s="67" t="n">
        <f aca="false">-E53</f>
        <v>-0</v>
      </c>
      <c r="F75" s="67" t="n">
        <f aca="false">-F53</f>
        <v>-0</v>
      </c>
      <c r="G75" s="67" t="n">
        <f aca="false">-G53</f>
        <v>-0</v>
      </c>
      <c r="H75" s="67" t="n">
        <f aca="false">-H53</f>
        <v>-0</v>
      </c>
      <c r="I75" s="67" t="n">
        <f aca="false">-I53</f>
        <v>-0</v>
      </c>
      <c r="J75" s="67" t="n">
        <f aca="false">-J53</f>
        <v>-0</v>
      </c>
      <c r="K75" s="67" t="n">
        <f aca="false">-K53</f>
        <v>-0</v>
      </c>
      <c r="L75" s="67" t="n">
        <f aca="false">-L53</f>
        <v>-0</v>
      </c>
      <c r="M75" s="67" t="n">
        <f aca="false">-M53</f>
        <v>-0</v>
      </c>
      <c r="N75" s="67" t="n">
        <f aca="false">-N53</f>
        <v>-0</v>
      </c>
      <c r="O75" s="67" t="n">
        <f aca="false">-O53</f>
        <v>-37800</v>
      </c>
      <c r="P75" s="67" t="n">
        <f aca="false">-P53</f>
        <v>-0</v>
      </c>
      <c r="Q75" s="67" t="n">
        <f aca="false">-Q53</f>
        <v>-0</v>
      </c>
      <c r="R75" s="67" t="n">
        <f aca="false">-R53</f>
        <v>-0</v>
      </c>
      <c r="S75" s="67" t="n">
        <f aca="false">-S53</f>
        <v>-0</v>
      </c>
      <c r="T75" s="67" t="n">
        <f aca="false">-T53</f>
        <v>-0</v>
      </c>
      <c r="U75" s="67" t="n">
        <f aca="false">-U53</f>
        <v>-0</v>
      </c>
      <c r="V75" s="67" t="n">
        <f aca="false">-V53</f>
        <v>-0</v>
      </c>
      <c r="W75" s="67" t="n">
        <f aca="false">-W53</f>
        <v>-0</v>
      </c>
      <c r="X75" s="67" t="n">
        <f aca="false">-X53</f>
        <v>-0</v>
      </c>
      <c r="Y75" s="67" t="n">
        <f aca="false">-Y53</f>
        <v>-0</v>
      </c>
      <c r="Z75" s="67" t="n">
        <f aca="false">-Z53</f>
        <v>-0</v>
      </c>
      <c r="AA75" s="67" t="n">
        <f aca="false">-AA53</f>
        <v>-42336</v>
      </c>
      <c r="AB75" s="67" t="n">
        <f aca="false">-AB53</f>
        <v>-0</v>
      </c>
      <c r="AC75" s="67" t="n">
        <f aca="false">-AC53</f>
        <v>-0</v>
      </c>
      <c r="AD75" s="67" t="n">
        <f aca="false">-AD53</f>
        <v>-0</v>
      </c>
      <c r="AE75" s="67" t="n">
        <f aca="false">-AE53</f>
        <v>-0</v>
      </c>
      <c r="AF75" s="67" t="n">
        <f aca="false">-AF53</f>
        <v>-0</v>
      </c>
      <c r="AG75" s="67" t="n">
        <f aca="false">-AG53</f>
        <v>-0</v>
      </c>
      <c r="AH75" s="67" t="n">
        <f aca="false">-AH53</f>
        <v>-0</v>
      </c>
      <c r="AI75" s="67" t="n">
        <f aca="false">-AI53</f>
        <v>-0</v>
      </c>
      <c r="AJ75" s="67" t="n">
        <f aca="false">-AJ53</f>
        <v>-0</v>
      </c>
      <c r="AK75" s="67" t="n">
        <f aca="false">-AK53</f>
        <v>-0</v>
      </c>
      <c r="AL75" s="67" t="n">
        <f aca="false">-AL53</f>
        <v>-0</v>
      </c>
    </row>
    <row r="76" customFormat="false" ht="15" hidden="false" customHeight="false" outlineLevel="0" collapsed="false">
      <c r="A76" s="6" t="s">
        <v>63</v>
      </c>
      <c r="C76" s="67" t="n">
        <f aca="false">IF(C$4=1,Inputs!$E$54,0)</f>
        <v>100000</v>
      </c>
      <c r="D76" s="67" t="n">
        <f aca="false">IF(D$4=1,Inputs!$E$54,0)</f>
        <v>0</v>
      </c>
      <c r="E76" s="67" t="n">
        <f aca="false">IF(E$4=1,Inputs!$E$54,0)</f>
        <v>0</v>
      </c>
      <c r="F76" s="67" t="n">
        <f aca="false">IF(F$4=1,Inputs!$E$54,0)</f>
        <v>0</v>
      </c>
      <c r="G76" s="67" t="n">
        <f aca="false">IF(G$4=1,Inputs!$E$54,0)</f>
        <v>0</v>
      </c>
      <c r="H76" s="67" t="n">
        <f aca="false">IF(H$4=1,Inputs!$E$54,0)</f>
        <v>0</v>
      </c>
      <c r="I76" s="67" t="n">
        <f aca="false">IF(I$4=1,Inputs!$E$54,0)</f>
        <v>0</v>
      </c>
      <c r="J76" s="67" t="n">
        <f aca="false">IF(J$4=1,Inputs!$E$54,0)</f>
        <v>0</v>
      </c>
      <c r="K76" s="67" t="n">
        <f aca="false">IF(K$4=1,Inputs!$E$54,0)</f>
        <v>0</v>
      </c>
      <c r="L76" s="67" t="n">
        <f aca="false">IF(L$4=1,Inputs!$E$54,0)</f>
        <v>0</v>
      </c>
      <c r="M76" s="67" t="n">
        <f aca="false">IF(M$4=1,Inputs!$E$54,0)</f>
        <v>0</v>
      </c>
      <c r="N76" s="67" t="n">
        <f aca="false">IF(N$4=1,Inputs!$E$54,0)</f>
        <v>0</v>
      </c>
      <c r="O76" s="67" t="n">
        <f aca="false">IF(O$4=1,Inputs!$E$54,0)</f>
        <v>0</v>
      </c>
      <c r="P76" s="67" t="n">
        <f aca="false">IF(P$4=1,Inputs!$E$54,0)</f>
        <v>0</v>
      </c>
      <c r="Q76" s="67" t="n">
        <f aca="false">IF(Q$4=1,Inputs!$E$54,0)</f>
        <v>0</v>
      </c>
      <c r="R76" s="67" t="n">
        <f aca="false">IF(R$4=1,Inputs!$E$54,0)</f>
        <v>0</v>
      </c>
      <c r="S76" s="67" t="n">
        <f aca="false">IF(S$4=1,Inputs!$E$54,0)</f>
        <v>0</v>
      </c>
      <c r="T76" s="67" t="n">
        <f aca="false">IF(T$4=1,Inputs!$E$54,0)</f>
        <v>0</v>
      </c>
      <c r="U76" s="67" t="n">
        <f aca="false">IF(U$4=1,Inputs!$E$54,0)</f>
        <v>0</v>
      </c>
      <c r="V76" s="67" t="n">
        <f aca="false">IF(V$4=1,Inputs!$E$54,0)</f>
        <v>0</v>
      </c>
      <c r="W76" s="67" t="n">
        <f aca="false">IF(W$4=1,Inputs!$E$54,0)</f>
        <v>0</v>
      </c>
      <c r="X76" s="67" t="n">
        <f aca="false">IF(X$4=1,Inputs!$E$54,0)</f>
        <v>0</v>
      </c>
      <c r="Y76" s="67" t="n">
        <f aca="false">IF(Y$4=1,Inputs!$E$54,0)</f>
        <v>0</v>
      </c>
      <c r="Z76" s="67" t="n">
        <f aca="false">IF(Z$4=1,Inputs!$E$54,0)</f>
        <v>0</v>
      </c>
      <c r="AA76" s="67" t="n">
        <f aca="false">IF(AA$4=1,Inputs!$E$54,0)</f>
        <v>0</v>
      </c>
      <c r="AB76" s="67" t="n">
        <f aca="false">IF(AB$4=1,Inputs!$E$54,0)</f>
        <v>0</v>
      </c>
      <c r="AC76" s="67" t="n">
        <f aca="false">IF(AC$4=1,Inputs!$E$54,0)</f>
        <v>0</v>
      </c>
      <c r="AD76" s="67" t="n">
        <f aca="false">IF(AD$4=1,Inputs!$E$54,0)</f>
        <v>0</v>
      </c>
      <c r="AE76" s="67" t="n">
        <f aca="false">IF(AE$4=1,Inputs!$E$54,0)</f>
        <v>0</v>
      </c>
      <c r="AF76" s="67" t="n">
        <f aca="false">IF(AF$4=1,Inputs!$E$54,0)</f>
        <v>0</v>
      </c>
      <c r="AG76" s="67" t="n">
        <f aca="false">IF(AG$4=1,Inputs!$E$54,0)</f>
        <v>0</v>
      </c>
      <c r="AH76" s="67" t="n">
        <f aca="false">IF(AH$4=1,Inputs!$E$54,0)</f>
        <v>0</v>
      </c>
      <c r="AI76" s="67" t="n">
        <f aca="false">IF(AI$4=1,Inputs!$E$54,0)</f>
        <v>0</v>
      </c>
      <c r="AJ76" s="67" t="n">
        <f aca="false">IF(AJ$4=1,Inputs!$E$54,0)</f>
        <v>0</v>
      </c>
      <c r="AK76" s="67" t="n">
        <f aca="false">IF(AK$4=1,Inputs!$E$54,0)</f>
        <v>0</v>
      </c>
      <c r="AL76" s="67" t="n">
        <f aca="false">IF(AL$4=1,Inputs!$E$54,0)</f>
        <v>0</v>
      </c>
    </row>
    <row r="77" customFormat="false" ht="15" hidden="false" customHeight="false" outlineLevel="0" collapsed="false">
      <c r="A77" s="6" t="s">
        <v>54</v>
      </c>
      <c r="C77" s="67" t="n">
        <f aca="false">C76+C61+C62</f>
        <v>350000</v>
      </c>
      <c r="D77" s="67" t="n">
        <f aca="false">D76+D61+D62</f>
        <v>-4166.66666666667</v>
      </c>
      <c r="E77" s="67" t="n">
        <f aca="false">E76+E61+E62</f>
        <v>-4166.66666666667</v>
      </c>
      <c r="F77" s="67" t="n">
        <f aca="false">F76+F61+F62</f>
        <v>-4166.66666666667</v>
      </c>
      <c r="G77" s="67" t="n">
        <f aca="false">G76+G61+G62</f>
        <v>-4166.66666666667</v>
      </c>
      <c r="H77" s="67" t="n">
        <f aca="false">H76+H61+H62</f>
        <v>-4166.66666666667</v>
      </c>
      <c r="I77" s="67" t="n">
        <f aca="false">I76+I61+I62</f>
        <v>-4166.66666666667</v>
      </c>
      <c r="J77" s="67" t="n">
        <f aca="false">J76+J61+J62</f>
        <v>-4166.66666666667</v>
      </c>
      <c r="K77" s="67" t="n">
        <f aca="false">K76+K61+K62</f>
        <v>-4166.66666666667</v>
      </c>
      <c r="L77" s="67" t="n">
        <f aca="false">L76+L61+L62</f>
        <v>-4166.66666666667</v>
      </c>
      <c r="M77" s="67" t="n">
        <f aca="false">M76+M61+M62</f>
        <v>-4166.66666666667</v>
      </c>
      <c r="N77" s="67" t="n">
        <f aca="false">N76+N61+N62</f>
        <v>-4166.66666666667</v>
      </c>
      <c r="O77" s="67" t="n">
        <f aca="false">O76+O61+O62</f>
        <v>-4166.66666666667</v>
      </c>
      <c r="P77" s="67" t="n">
        <f aca="false">P76+P61+P62</f>
        <v>-4166.66666666667</v>
      </c>
      <c r="Q77" s="67" t="n">
        <f aca="false">Q76+Q61+Q62</f>
        <v>-4166.66666666667</v>
      </c>
      <c r="R77" s="67" t="n">
        <f aca="false">R76+R61+R62</f>
        <v>-4166.66666666667</v>
      </c>
      <c r="S77" s="67" t="n">
        <f aca="false">S76+S61+S62</f>
        <v>-4166.66666666667</v>
      </c>
      <c r="T77" s="67" t="n">
        <f aca="false">T76+T61+T62</f>
        <v>-4166.66666666667</v>
      </c>
      <c r="U77" s="67" t="n">
        <f aca="false">U76+U61+U62</f>
        <v>-4166.66666666667</v>
      </c>
      <c r="V77" s="67" t="n">
        <f aca="false">V76+V61+V62</f>
        <v>-4166.66666666667</v>
      </c>
      <c r="W77" s="67" t="n">
        <f aca="false">W76+W61+W62</f>
        <v>-4166.66666666667</v>
      </c>
      <c r="X77" s="67" t="n">
        <f aca="false">X76+X61+X62</f>
        <v>-4166.66666666667</v>
      </c>
      <c r="Y77" s="67" t="n">
        <f aca="false">Y76+Y61+Y62</f>
        <v>-4166.66666666667</v>
      </c>
      <c r="Z77" s="67" t="n">
        <f aca="false">Z76+Z61+Z62</f>
        <v>-4166.66666666667</v>
      </c>
      <c r="AA77" s="67" t="n">
        <f aca="false">AA76+AA61+AA62</f>
        <v>-4166.66666666667</v>
      </c>
      <c r="AB77" s="67" t="n">
        <f aca="false">AB76+AB61+AB62</f>
        <v>-4166.66666666667</v>
      </c>
      <c r="AC77" s="67" t="n">
        <f aca="false">AC76+AC61+AC62</f>
        <v>-4166.66666666667</v>
      </c>
      <c r="AD77" s="67" t="n">
        <f aca="false">AD76+AD61+AD62</f>
        <v>-4166.66666666667</v>
      </c>
      <c r="AE77" s="67" t="n">
        <f aca="false">AE76+AE61+AE62</f>
        <v>-4166.66666666667</v>
      </c>
      <c r="AF77" s="67" t="n">
        <f aca="false">AF76+AF61+AF62</f>
        <v>-4166.66666666667</v>
      </c>
      <c r="AG77" s="67" t="n">
        <f aca="false">AG76+AG61+AG62</f>
        <v>-4166.66666666667</v>
      </c>
      <c r="AH77" s="67" t="n">
        <f aca="false">AH76+AH61+AH62</f>
        <v>-4166.66666666667</v>
      </c>
      <c r="AI77" s="67" t="n">
        <f aca="false">AI76+AI61+AI62</f>
        <v>-4166.66666666667</v>
      </c>
      <c r="AJ77" s="67" t="n">
        <f aca="false">AJ76+AJ61+AJ62</f>
        <v>-4166.66666666667</v>
      </c>
      <c r="AK77" s="67" t="n">
        <f aca="false">AK76+AK61+AK62</f>
        <v>-4166.66666666667</v>
      </c>
      <c r="AL77" s="67" t="n">
        <f aca="false">AL76+AL61+AL62</f>
        <v>-4166.66666666667</v>
      </c>
    </row>
    <row r="78" customFormat="false" ht="15" hidden="false" customHeight="false" outlineLevel="0" collapsed="false">
      <c r="A78" s="113" t="s">
        <v>400</v>
      </c>
      <c r="C78" s="68" t="n">
        <f aca="false">C74+C75+C77</f>
        <v>339238.115344444</v>
      </c>
      <c r="D78" s="68" t="n">
        <f aca="false">D74+D75+D77</f>
        <v>6935.89312222222</v>
      </c>
      <c r="E78" s="68" t="n">
        <f aca="false">E74+E75+E77</f>
        <v>6957.83756666666</v>
      </c>
      <c r="F78" s="68" t="n">
        <f aca="false">F74+F75+F77</f>
        <v>6979.78201111111</v>
      </c>
      <c r="G78" s="68" t="n">
        <f aca="false">G74+G75+G77</f>
        <v>7001.72645555555</v>
      </c>
      <c r="H78" s="68" t="n">
        <f aca="false">H74+H75+H77</f>
        <v>20181.3378888889</v>
      </c>
      <c r="I78" s="68" t="n">
        <f aca="false">I74+I75+I77</f>
        <v>27758.1434444445</v>
      </c>
      <c r="J78" s="68" t="n">
        <f aca="false">J74+J75+J77</f>
        <v>27780.0878888889</v>
      </c>
      <c r="K78" s="68" t="n">
        <f aca="false">K74+K75+K77</f>
        <v>14644.3653444444</v>
      </c>
      <c r="L78" s="68" t="n">
        <f aca="false">L74+L75+L77</f>
        <v>7111.44867777777</v>
      </c>
      <c r="M78" s="68" t="n">
        <f aca="false">M74+M75+M77</f>
        <v>7133.39312222222</v>
      </c>
      <c r="N78" s="68" t="n">
        <f aca="false">N74+N75+N77</f>
        <v>7155.33756666666</v>
      </c>
      <c r="O78" s="68" t="n">
        <f aca="false">O74+O75+O77</f>
        <v>-25712.0577511723</v>
      </c>
      <c r="P78" s="68" t="n">
        <f aca="false">P74+P75+P77</f>
        <v>13442.8519016055</v>
      </c>
      <c r="Q78" s="68" t="n">
        <f aca="false">Q74+Q75+Q77</f>
        <v>13464.79634605</v>
      </c>
      <c r="R78" s="68" t="n">
        <f aca="false">R74+R75+R77</f>
        <v>13486.7407904944</v>
      </c>
      <c r="S78" s="68" t="n">
        <f aca="false">S74+S75+S77</f>
        <v>13508.6852349389</v>
      </c>
      <c r="T78" s="68" t="n">
        <f aca="false">T74+T75+T77</f>
        <v>27302.9619376222</v>
      </c>
      <c r="U78" s="68" t="n">
        <f aca="false">U74+U75+U77</f>
        <v>35232.6956181778</v>
      </c>
      <c r="V78" s="68" t="n">
        <f aca="false">V74+V75+V77</f>
        <v>35254.6400626222</v>
      </c>
      <c r="W78" s="68" t="n">
        <f aca="false">W74+W75+W77</f>
        <v>21504.2522488278</v>
      </c>
      <c r="X78" s="68" t="n">
        <f aca="false">X74+X75+X77</f>
        <v>13618.4074571611</v>
      </c>
      <c r="Y78" s="68" t="n">
        <f aca="false">Y74+Y75+Y77</f>
        <v>13640.3519016055</v>
      </c>
      <c r="Z78" s="68" t="n">
        <f aca="false">Z74+Z75+Z77</f>
        <v>13662.29634605</v>
      </c>
      <c r="AA78" s="68" t="n">
        <f aca="false">AA74+AA75+AA77</f>
        <v>-22646.2914412519</v>
      </c>
      <c r="AB78" s="68" t="n">
        <f aca="false">AB74+AB75+AB77</f>
        <v>21437.4335751301</v>
      </c>
      <c r="AC78" s="68" t="n">
        <f aca="false">AC74+AC75+AC77</f>
        <v>21459.3780195745</v>
      </c>
      <c r="AD78" s="68" t="n">
        <f aca="false">AD74+AD75+AD77</f>
        <v>21481.322464019</v>
      </c>
      <c r="AE78" s="68" t="n">
        <f aca="false">AE74+AE75+AE77</f>
        <v>21503.2669084634</v>
      </c>
      <c r="AF78" s="68" t="n">
        <f aca="false">AF74+AF75+AF77</f>
        <v>35747.1494517325</v>
      </c>
      <c r="AG78" s="68" t="n">
        <f aca="false">AG74+AG75+AG77</f>
        <v>43935.0375363505</v>
      </c>
      <c r="AH78" s="68" t="n">
        <f aca="false">AH74+AH75+AH77</f>
        <v>43956.981980795</v>
      </c>
      <c r="AI78" s="68" t="n">
        <f aca="false">AI74+AI75+AI77</f>
        <v>29756.9883264148</v>
      </c>
      <c r="AJ78" s="68" t="n">
        <f aca="false">AJ74+AJ75+AJ77</f>
        <v>21612.9891306856</v>
      </c>
      <c r="AK78" s="68" t="n">
        <f aca="false">AK74+AK75+AK77</f>
        <v>21634.9335751301</v>
      </c>
      <c r="AL78" s="68" t="n">
        <f aca="false">AL74+AL75+AL77</f>
        <v>21656.8780195745</v>
      </c>
    </row>
    <row r="79" customFormat="false" ht="15" hidden="false" customHeight="false" outlineLevel="0" collapsed="false">
      <c r="A79" s="6" t="s">
        <v>332</v>
      </c>
      <c r="C79" s="67" t="n">
        <f aca="false">0</f>
        <v>0</v>
      </c>
      <c r="D79" s="67" t="n">
        <f aca="false">C80</f>
        <v>339238.115344444</v>
      </c>
      <c r="E79" s="67" t="n">
        <f aca="false">D80</f>
        <v>346174.008466667</v>
      </c>
      <c r="F79" s="67" t="n">
        <f aca="false">E80</f>
        <v>353131.846033333</v>
      </c>
      <c r="G79" s="67" t="n">
        <f aca="false">F80</f>
        <v>360111.628044444</v>
      </c>
      <c r="H79" s="67" t="n">
        <f aca="false">G80</f>
        <v>367113.3545</v>
      </c>
      <c r="I79" s="67" t="n">
        <f aca="false">H80</f>
        <v>387294.692388889</v>
      </c>
      <c r="J79" s="67" t="n">
        <f aca="false">I80</f>
        <v>415052.835833333</v>
      </c>
      <c r="K79" s="67" t="n">
        <f aca="false">J80</f>
        <v>442832.923722222</v>
      </c>
      <c r="L79" s="67" t="n">
        <f aca="false">K80</f>
        <v>457477.289066667</v>
      </c>
      <c r="M79" s="67" t="n">
        <f aca="false">L80</f>
        <v>464588.737744444</v>
      </c>
      <c r="N79" s="67" t="n">
        <f aca="false">M80</f>
        <v>471722.130866667</v>
      </c>
      <c r="O79" s="67" t="n">
        <f aca="false">N80</f>
        <v>478877.468433333</v>
      </c>
      <c r="P79" s="67" t="n">
        <f aca="false">O80</f>
        <v>453165.410682161</v>
      </c>
      <c r="Q79" s="67" t="n">
        <f aca="false">P80</f>
        <v>466608.262583767</v>
      </c>
      <c r="R79" s="67" t="n">
        <f aca="false">Q80</f>
        <v>480073.058929817</v>
      </c>
      <c r="S79" s="67" t="n">
        <f aca="false">R80</f>
        <v>493559.799720311</v>
      </c>
      <c r="T79" s="67" t="n">
        <f aca="false">S80</f>
        <v>507068.48495525</v>
      </c>
      <c r="U79" s="67" t="n">
        <f aca="false">T80</f>
        <v>534371.446892872</v>
      </c>
      <c r="V79" s="67" t="n">
        <f aca="false">U80</f>
        <v>569604.14251105</v>
      </c>
      <c r="W79" s="67" t="n">
        <f aca="false">V80</f>
        <v>604858.782573672</v>
      </c>
      <c r="X79" s="67" t="n">
        <f aca="false">W80</f>
        <v>626363.0348225</v>
      </c>
      <c r="Y79" s="67" t="n">
        <f aca="false">X80</f>
        <v>639981.442279661</v>
      </c>
      <c r="Z79" s="67" t="n">
        <f aca="false">Y80</f>
        <v>653621.794181267</v>
      </c>
      <c r="AA79" s="67" t="n">
        <f aca="false">Z80</f>
        <v>667284.090527316</v>
      </c>
      <c r="AB79" s="67" t="n">
        <f aca="false">AA80</f>
        <v>644637.799086065</v>
      </c>
      <c r="AC79" s="67" t="n">
        <f aca="false">AB80</f>
        <v>666075.232661195</v>
      </c>
      <c r="AD79" s="67" t="n">
        <f aca="false">AC80</f>
        <v>687534.610680769</v>
      </c>
      <c r="AE79" s="67" t="n">
        <f aca="false">AD80</f>
        <v>709015.933144788</v>
      </c>
      <c r="AF79" s="67" t="n">
        <f aca="false">AE80</f>
        <v>730519.200053252</v>
      </c>
      <c r="AG79" s="67" t="n">
        <f aca="false">AF80</f>
        <v>766266.349504984</v>
      </c>
      <c r="AH79" s="67" t="n">
        <f aca="false">AG80</f>
        <v>810201.387041335</v>
      </c>
      <c r="AI79" s="67" t="n">
        <f aca="false">AH80</f>
        <v>854158.36902213</v>
      </c>
      <c r="AJ79" s="67" t="n">
        <f aca="false">AI80</f>
        <v>883915.357348545</v>
      </c>
      <c r="AK79" s="67" t="n">
        <f aca="false">AJ80</f>
        <v>905528.34647923</v>
      </c>
      <c r="AL79" s="67" t="n">
        <f aca="false">AK80</f>
        <v>927163.28005436</v>
      </c>
    </row>
    <row r="80" customFormat="false" ht="15" hidden="false" customHeight="false" outlineLevel="0" collapsed="false">
      <c r="A80" s="113" t="s">
        <v>86</v>
      </c>
      <c r="C80" s="68" t="n">
        <f aca="false">C79+C78</f>
        <v>339238.115344444</v>
      </c>
      <c r="D80" s="68" t="n">
        <f aca="false">D79+D78</f>
        <v>346174.008466667</v>
      </c>
      <c r="E80" s="68" t="n">
        <f aca="false">E79+E78</f>
        <v>353131.846033333</v>
      </c>
      <c r="F80" s="68" t="n">
        <f aca="false">F79+F78</f>
        <v>360111.628044444</v>
      </c>
      <c r="G80" s="68" t="n">
        <f aca="false">G79+G78</f>
        <v>367113.3545</v>
      </c>
      <c r="H80" s="68" t="n">
        <f aca="false">H79+H78</f>
        <v>387294.692388889</v>
      </c>
      <c r="I80" s="68" t="n">
        <f aca="false">I79+I78</f>
        <v>415052.835833333</v>
      </c>
      <c r="J80" s="68" t="n">
        <f aca="false">J79+J78</f>
        <v>442832.923722222</v>
      </c>
      <c r="K80" s="68" t="n">
        <f aca="false">K79+K78</f>
        <v>457477.289066667</v>
      </c>
      <c r="L80" s="68" t="n">
        <f aca="false">L79+L78</f>
        <v>464588.737744444</v>
      </c>
      <c r="M80" s="68" t="n">
        <f aca="false">M79+M78</f>
        <v>471722.130866667</v>
      </c>
      <c r="N80" s="68" t="n">
        <f aca="false">N79+N78</f>
        <v>478877.468433333</v>
      </c>
      <c r="O80" s="68" t="n">
        <f aca="false">O79+O78</f>
        <v>453165.410682161</v>
      </c>
      <c r="P80" s="68" t="n">
        <f aca="false">P79+P78</f>
        <v>466608.262583767</v>
      </c>
      <c r="Q80" s="68" t="n">
        <f aca="false">Q79+Q78</f>
        <v>480073.058929817</v>
      </c>
      <c r="R80" s="68" t="n">
        <f aca="false">R79+R78</f>
        <v>493559.799720311</v>
      </c>
      <c r="S80" s="68" t="n">
        <f aca="false">S79+S78</f>
        <v>507068.48495525</v>
      </c>
      <c r="T80" s="68" t="n">
        <f aca="false">T79+T78</f>
        <v>534371.446892872</v>
      </c>
      <c r="U80" s="68" t="n">
        <f aca="false">U79+U78</f>
        <v>569604.14251105</v>
      </c>
      <c r="V80" s="68" t="n">
        <f aca="false">V79+V78</f>
        <v>604858.782573672</v>
      </c>
      <c r="W80" s="68" t="n">
        <f aca="false">W79+W78</f>
        <v>626363.0348225</v>
      </c>
      <c r="X80" s="68" t="n">
        <f aca="false">X79+X78</f>
        <v>639981.442279661</v>
      </c>
      <c r="Y80" s="68" t="n">
        <f aca="false">Y79+Y78</f>
        <v>653621.794181267</v>
      </c>
      <c r="Z80" s="68" t="n">
        <f aca="false">Z79+Z78</f>
        <v>667284.090527316</v>
      </c>
      <c r="AA80" s="68" t="n">
        <f aca="false">AA79+AA78</f>
        <v>644637.799086065</v>
      </c>
      <c r="AB80" s="68" t="n">
        <f aca="false">AB79+AB78</f>
        <v>666075.232661195</v>
      </c>
      <c r="AC80" s="68" t="n">
        <f aca="false">AC79+AC78</f>
        <v>687534.610680769</v>
      </c>
      <c r="AD80" s="68" t="n">
        <f aca="false">AD79+AD78</f>
        <v>709015.933144788</v>
      </c>
      <c r="AE80" s="68" t="n">
        <f aca="false">AE79+AE78</f>
        <v>730519.200053252</v>
      </c>
      <c r="AF80" s="68" t="n">
        <f aca="false">AF79+AF78</f>
        <v>766266.349504984</v>
      </c>
      <c r="AG80" s="68" t="n">
        <f aca="false">AG79+AG78</f>
        <v>810201.387041335</v>
      </c>
      <c r="AH80" s="68" t="n">
        <f aca="false">AH79+AH78</f>
        <v>854158.36902213</v>
      </c>
      <c r="AI80" s="68" t="n">
        <f aca="false">AI79+AI78</f>
        <v>883915.357348545</v>
      </c>
      <c r="AJ80" s="68" t="n">
        <f aca="false">AJ79+AJ78</f>
        <v>905528.34647923</v>
      </c>
      <c r="AK80" s="68" t="n">
        <f aca="false">AK79+AK78</f>
        <v>927163.28005436</v>
      </c>
      <c r="AL80" s="68" t="n">
        <f aca="false">AL79+AL78</f>
        <v>948820.158073935</v>
      </c>
    </row>
    <row r="81" customFormat="false" ht="15" hidden="false" customHeight="false" outlineLevel="0" collapsed="false">
      <c r="A81" s="121" t="s">
        <v>401</v>
      </c>
      <c r="C81" s="117" t="n">
        <f aca="false">IF(C41&gt;0,1,0)</f>
        <v>1</v>
      </c>
      <c r="D81" s="117" t="n">
        <f aca="false">IF(D41&gt;0,1,0)</f>
        <v>1</v>
      </c>
      <c r="E81" s="117" t="n">
        <f aca="false">IF(E41&gt;0,1,0)</f>
        <v>1</v>
      </c>
      <c r="F81" s="117" t="n">
        <f aca="false">IF(F41&gt;0,1,0)</f>
        <v>1</v>
      </c>
      <c r="G81" s="117" t="n">
        <f aca="false">IF(G41&gt;0,1,0)</f>
        <v>1</v>
      </c>
      <c r="H81" s="117" t="n">
        <f aca="false">IF(H41&gt;0,1,0)</f>
        <v>1</v>
      </c>
      <c r="I81" s="117" t="n">
        <f aca="false">IF(I41&gt;0,1,0)</f>
        <v>1</v>
      </c>
      <c r="J81" s="117" t="n">
        <f aca="false">IF(J41&gt;0,1,0)</f>
        <v>1</v>
      </c>
      <c r="K81" s="117" t="n">
        <f aca="false">IF(K41&gt;0,1,0)</f>
        <v>1</v>
      </c>
      <c r="L81" s="117" t="n">
        <f aca="false">IF(L41&gt;0,1,0)</f>
        <v>1</v>
      </c>
      <c r="M81" s="117" t="n">
        <f aca="false">IF(M41&gt;0,1,0)</f>
        <v>1</v>
      </c>
      <c r="N81" s="117" t="n">
        <f aca="false">IF(N41&gt;0,1,0)</f>
        <v>1</v>
      </c>
      <c r="O81" s="117" t="n">
        <f aca="false">IF(O41&gt;0,1,0)</f>
        <v>1</v>
      </c>
      <c r="P81" s="117" t="n">
        <f aca="false">IF(P41&gt;0,1,0)</f>
        <v>1</v>
      </c>
      <c r="Q81" s="117" t="n">
        <f aca="false">IF(Q41&gt;0,1,0)</f>
        <v>1</v>
      </c>
      <c r="R81" s="117" t="n">
        <f aca="false">IF(R41&gt;0,1,0)</f>
        <v>1</v>
      </c>
      <c r="S81" s="117" t="n">
        <f aca="false">IF(S41&gt;0,1,0)</f>
        <v>1</v>
      </c>
      <c r="T81" s="117" t="n">
        <f aca="false">IF(T41&gt;0,1,0)</f>
        <v>1</v>
      </c>
      <c r="U81" s="117" t="n">
        <f aca="false">IF(U41&gt;0,1,0)</f>
        <v>1</v>
      </c>
      <c r="V81" s="117" t="n">
        <f aca="false">IF(V41&gt;0,1,0)</f>
        <v>1</v>
      </c>
      <c r="W81" s="117" t="n">
        <f aca="false">IF(W41&gt;0,1,0)</f>
        <v>1</v>
      </c>
      <c r="X81" s="117" t="n">
        <f aca="false">IF(X41&gt;0,1,0)</f>
        <v>1</v>
      </c>
      <c r="Y81" s="117" t="n">
        <f aca="false">IF(Y41&gt;0,1,0)</f>
        <v>1</v>
      </c>
      <c r="Z81" s="117" t="n">
        <f aca="false">IF(Z41&gt;0,1,0)</f>
        <v>1</v>
      </c>
      <c r="AA81" s="117" t="n">
        <f aca="false">IF(AA41&gt;0,1,0)</f>
        <v>1</v>
      </c>
      <c r="AB81" s="117" t="n">
        <f aca="false">IF(AB41&gt;0,1,0)</f>
        <v>1</v>
      </c>
      <c r="AC81" s="117" t="n">
        <f aca="false">IF(AC41&gt;0,1,0)</f>
        <v>1</v>
      </c>
      <c r="AD81" s="117" t="n">
        <f aca="false">IF(AD41&gt;0,1,0)</f>
        <v>1</v>
      </c>
      <c r="AE81" s="117" t="n">
        <f aca="false">IF(AE41&gt;0,1,0)</f>
        <v>1</v>
      </c>
      <c r="AF81" s="117" t="n">
        <f aca="false">IF(AF41&gt;0,1,0)</f>
        <v>1</v>
      </c>
      <c r="AG81" s="117" t="n">
        <f aca="false">IF(AG41&gt;0,1,0)</f>
        <v>1</v>
      </c>
      <c r="AH81" s="117" t="n">
        <f aca="false">IF(AH41&gt;0,1,0)</f>
        <v>1</v>
      </c>
      <c r="AI81" s="117" t="n">
        <f aca="false">IF(AI41&gt;0,1,0)</f>
        <v>1</v>
      </c>
      <c r="AJ81" s="117" t="n">
        <f aca="false">IF(AJ41&gt;0,1,0)</f>
        <v>1</v>
      </c>
      <c r="AK81" s="117" t="n">
        <f aca="false">IF(AK41&gt;0,1,0)</f>
        <v>1</v>
      </c>
      <c r="AL81" s="117" t="n">
        <f aca="false">IF(AL41&gt;0,1,0)</f>
        <v>1</v>
      </c>
    </row>
    <row r="83" customFormat="false" ht="15.75" hidden="false" customHeight="true" outlineLevel="0" collapsed="false">
      <c r="A83" s="7" t="s">
        <v>402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21" t="s">
        <v>403</v>
      </c>
      <c r="C84" s="117" t="n">
        <f aca="false">IF(C50&gt;0,1,0)</f>
        <v>1</v>
      </c>
      <c r="D84" s="117" t="n">
        <f aca="false">IF(D50&gt;0,1,0)</f>
        <v>1</v>
      </c>
      <c r="E84" s="117" t="n">
        <f aca="false">IF(E50&gt;0,1,0)</f>
        <v>1</v>
      </c>
      <c r="F84" s="117" t="n">
        <f aca="false">IF(F50&gt;0,1,0)</f>
        <v>1</v>
      </c>
      <c r="G84" s="117" t="n">
        <f aca="false">IF(G50&gt;0,1,0)</f>
        <v>1</v>
      </c>
      <c r="H84" s="117" t="n">
        <f aca="false">IF(H50&gt;0,1,0)</f>
        <v>1</v>
      </c>
      <c r="I84" s="117" t="n">
        <f aca="false">IF(I50&gt;0,1,0)</f>
        <v>1</v>
      </c>
      <c r="J84" s="117" t="n">
        <f aca="false">IF(J50&gt;0,1,0)</f>
        <v>1</v>
      </c>
      <c r="K84" s="117" t="n">
        <f aca="false">IF(K50&gt;0,1,0)</f>
        <v>1</v>
      </c>
      <c r="L84" s="117" t="n">
        <f aca="false">IF(L50&gt;0,1,0)</f>
        <v>1</v>
      </c>
      <c r="M84" s="117" t="n">
        <f aca="false">IF(M50&gt;0,1,0)</f>
        <v>1</v>
      </c>
      <c r="N84" s="117" t="n">
        <f aca="false">IF(N50&gt;0,1,0)</f>
        <v>1</v>
      </c>
      <c r="O84" s="117" t="n">
        <f aca="false">IF(O50&gt;0,1,0)</f>
        <v>1</v>
      </c>
      <c r="P84" s="117" t="n">
        <f aca="false">IF(P50&gt;0,1,0)</f>
        <v>1</v>
      </c>
      <c r="Q84" s="117" t="n">
        <f aca="false">IF(Q50&gt;0,1,0)</f>
        <v>1</v>
      </c>
      <c r="R84" s="117" t="n">
        <f aca="false">IF(R50&gt;0,1,0)</f>
        <v>1</v>
      </c>
      <c r="S84" s="117" t="n">
        <f aca="false">IF(S50&gt;0,1,0)</f>
        <v>1</v>
      </c>
      <c r="T84" s="117" t="n">
        <f aca="false">IF(T50&gt;0,1,0)</f>
        <v>1</v>
      </c>
      <c r="U84" s="117" t="n">
        <f aca="false">IF(U50&gt;0,1,0)</f>
        <v>1</v>
      </c>
      <c r="V84" s="117" t="n">
        <f aca="false">IF(V50&gt;0,1,0)</f>
        <v>1</v>
      </c>
      <c r="W84" s="117" t="n">
        <f aca="false">IF(W50&gt;0,1,0)</f>
        <v>1</v>
      </c>
      <c r="X84" s="117" t="n">
        <f aca="false">IF(X50&gt;0,1,0)</f>
        <v>1</v>
      </c>
      <c r="Y84" s="117" t="n">
        <f aca="false">IF(Y50&gt;0,1,0)</f>
        <v>1</v>
      </c>
      <c r="Z84" s="117" t="n">
        <f aca="false">IF(Z50&gt;0,1,0)</f>
        <v>1</v>
      </c>
      <c r="AA84" s="117" t="n">
        <f aca="false">IF(AA50&gt;0,1,0)</f>
        <v>1</v>
      </c>
      <c r="AB84" s="117" t="n">
        <f aca="false">IF(AB50&gt;0,1,0)</f>
        <v>1</v>
      </c>
      <c r="AC84" s="117" t="n">
        <f aca="false">IF(AC50&gt;0,1,0)</f>
        <v>1</v>
      </c>
      <c r="AD84" s="117" t="n">
        <f aca="false">IF(AD50&gt;0,1,0)</f>
        <v>1</v>
      </c>
      <c r="AE84" s="117" t="n">
        <f aca="false">IF(AE50&gt;0,1,0)</f>
        <v>1</v>
      </c>
      <c r="AF84" s="117" t="n">
        <f aca="false">IF(AF50&gt;0,1,0)</f>
        <v>1</v>
      </c>
      <c r="AG84" s="117" t="n">
        <f aca="false">IF(AG50&gt;0,1,0)</f>
        <v>1</v>
      </c>
      <c r="AH84" s="117" t="n">
        <f aca="false">IF(AH50&gt;0,1,0)</f>
        <v>1</v>
      </c>
      <c r="AI84" s="117" t="n">
        <f aca="false">IF(AI50&gt;0,1,0)</f>
        <v>1</v>
      </c>
      <c r="AJ84" s="117" t="n">
        <f aca="false">IF(AJ50&gt;0,1,0)</f>
        <v>1</v>
      </c>
      <c r="AK84" s="117" t="n">
        <f aca="false">IF(AK50&gt;0,1,0)</f>
        <v>1</v>
      </c>
      <c r="AL84" s="117" t="n">
        <f aca="false">IF(AL50&gt;0,1,0)</f>
        <v>1</v>
      </c>
    </row>
    <row r="85" customFormat="false" ht="15" hidden="false" customHeight="false" outlineLevel="0" collapsed="false">
      <c r="A85" s="6" t="s">
        <v>404</v>
      </c>
      <c r="C85" s="67" t="n">
        <f aca="false">C74+C75</f>
        <v>-10761.8846555556</v>
      </c>
      <c r="D85" s="67" t="n">
        <f aca="false">D74+D75</f>
        <v>11102.5597888889</v>
      </c>
      <c r="E85" s="67" t="n">
        <f aca="false">E74+E75</f>
        <v>11124.5042333333</v>
      </c>
      <c r="F85" s="67" t="n">
        <f aca="false">F74+F75</f>
        <v>11146.4486777778</v>
      </c>
      <c r="G85" s="67" t="n">
        <f aca="false">G74+G75</f>
        <v>11168.3931222222</v>
      </c>
      <c r="H85" s="67" t="n">
        <f aca="false">H74+H75</f>
        <v>24348.0045555555</v>
      </c>
      <c r="I85" s="67" t="n">
        <f aca="false">I74+I75</f>
        <v>31924.8101111111</v>
      </c>
      <c r="J85" s="67" t="n">
        <f aca="false">J74+J75</f>
        <v>31946.7545555556</v>
      </c>
      <c r="K85" s="67" t="n">
        <f aca="false">K74+K75</f>
        <v>18811.0320111111</v>
      </c>
      <c r="L85" s="67" t="n">
        <f aca="false">L74+L75</f>
        <v>11278.1153444444</v>
      </c>
      <c r="M85" s="67" t="n">
        <f aca="false">M74+M75</f>
        <v>11300.0597888889</v>
      </c>
      <c r="N85" s="67" t="n">
        <f aca="false">N74+N75</f>
        <v>11322.0042333333</v>
      </c>
      <c r="O85" s="67" t="n">
        <f aca="false">O74+O75</f>
        <v>-21545.3910845056</v>
      </c>
      <c r="P85" s="67" t="n">
        <f aca="false">P74+P75</f>
        <v>17609.5185682722</v>
      </c>
      <c r="Q85" s="67" t="n">
        <f aca="false">Q74+Q75</f>
        <v>17631.4630127167</v>
      </c>
      <c r="R85" s="67" t="n">
        <f aca="false">R74+R75</f>
        <v>17653.4074571611</v>
      </c>
      <c r="S85" s="67" t="n">
        <f aca="false">S74+S75</f>
        <v>17675.3519016055</v>
      </c>
      <c r="T85" s="67" t="n">
        <f aca="false">T74+T75</f>
        <v>31469.6286042889</v>
      </c>
      <c r="U85" s="67" t="n">
        <f aca="false">U74+U75</f>
        <v>39399.3622848444</v>
      </c>
      <c r="V85" s="67" t="n">
        <f aca="false">V74+V75</f>
        <v>39421.3067292889</v>
      </c>
      <c r="W85" s="67" t="n">
        <f aca="false">W74+W75</f>
        <v>25670.9189154944</v>
      </c>
      <c r="X85" s="67" t="n">
        <f aca="false">X74+X75</f>
        <v>17785.0741238278</v>
      </c>
      <c r="Y85" s="67" t="n">
        <f aca="false">Y74+Y75</f>
        <v>17807.0185682722</v>
      </c>
      <c r="Z85" s="67" t="n">
        <f aca="false">Z74+Z75</f>
        <v>17828.9630127167</v>
      </c>
      <c r="AA85" s="67" t="n">
        <f aca="false">AA74+AA75</f>
        <v>-18479.6247745852</v>
      </c>
      <c r="AB85" s="67" t="n">
        <f aca="false">AB74+AB75</f>
        <v>25604.1002417968</v>
      </c>
      <c r="AC85" s="67" t="n">
        <f aca="false">AC74+AC75</f>
        <v>25626.0446862412</v>
      </c>
      <c r="AD85" s="67" t="n">
        <f aca="false">AD74+AD75</f>
        <v>25647.9891306857</v>
      </c>
      <c r="AE85" s="67" t="n">
        <f aca="false">AE74+AE75</f>
        <v>25669.9335751301</v>
      </c>
      <c r="AF85" s="67" t="n">
        <f aca="false">AF74+AF75</f>
        <v>39913.8161183992</v>
      </c>
      <c r="AG85" s="67" t="n">
        <f aca="false">AG74+AG75</f>
        <v>48101.7042030172</v>
      </c>
      <c r="AH85" s="67" t="n">
        <f aca="false">AH74+AH75</f>
        <v>48123.6486474617</v>
      </c>
      <c r="AI85" s="67" t="n">
        <f aca="false">AI74+AI75</f>
        <v>33923.6549930815</v>
      </c>
      <c r="AJ85" s="67" t="n">
        <f aca="false">AJ74+AJ75</f>
        <v>25779.6557973523</v>
      </c>
      <c r="AK85" s="67" t="n">
        <f aca="false">AK74+AK75</f>
        <v>25801.6002417968</v>
      </c>
      <c r="AL85" s="67" t="n">
        <f aca="false">AL74+AL75</f>
        <v>25823.5446862412</v>
      </c>
    </row>
    <row r="86" customFormat="false" ht="15" hidden="false" customHeight="false" outlineLevel="0" collapsed="false">
      <c r="A86" s="6" t="s">
        <v>405</v>
      </c>
      <c r="C86" s="67" t="n">
        <f aca="false">C85</f>
        <v>-10761.8846555556</v>
      </c>
      <c r="D86" s="67" t="n">
        <f aca="false">C86+D85</f>
        <v>340.675133333327</v>
      </c>
      <c r="E86" s="67" t="n">
        <f aca="false">D86+E85</f>
        <v>11465.1793666667</v>
      </c>
      <c r="F86" s="67" t="n">
        <f aca="false">E86+F85</f>
        <v>22611.6280444444</v>
      </c>
      <c r="G86" s="67" t="n">
        <f aca="false">F86+G85</f>
        <v>33780.0211666666</v>
      </c>
      <c r="H86" s="67" t="n">
        <f aca="false">G86+H85</f>
        <v>58128.0257222222</v>
      </c>
      <c r="I86" s="67" t="n">
        <f aca="false">H86+I85</f>
        <v>90052.8358333333</v>
      </c>
      <c r="J86" s="67" t="n">
        <f aca="false">I86+J85</f>
        <v>121999.590388889</v>
      </c>
      <c r="K86" s="67" t="n">
        <f aca="false">J86+K85</f>
        <v>140810.6224</v>
      </c>
      <c r="L86" s="67" t="n">
        <f aca="false">K86+L85</f>
        <v>152088.737744444</v>
      </c>
      <c r="M86" s="67" t="n">
        <f aca="false">L86+M85</f>
        <v>163388.797533333</v>
      </c>
      <c r="N86" s="67" t="n">
        <f aca="false">M86+N85</f>
        <v>174710.801766667</v>
      </c>
      <c r="O86" s="67" t="n">
        <f aca="false">N86+O85</f>
        <v>153165.410682161</v>
      </c>
      <c r="P86" s="67" t="n">
        <f aca="false">O86+P85</f>
        <v>170774.929250433</v>
      </c>
      <c r="Q86" s="67" t="n">
        <f aca="false">P86+Q85</f>
        <v>188406.39226315</v>
      </c>
      <c r="R86" s="67" t="n">
        <f aca="false">Q86+R85</f>
        <v>206059.799720311</v>
      </c>
      <c r="S86" s="67" t="n">
        <f aca="false">R86+S85</f>
        <v>223735.151621917</v>
      </c>
      <c r="T86" s="67" t="n">
        <f aca="false">S86+T85</f>
        <v>255204.780226205</v>
      </c>
      <c r="U86" s="67" t="n">
        <f aca="false">T86+U85</f>
        <v>294604.14251105</v>
      </c>
      <c r="V86" s="67" t="n">
        <f aca="false">U86+V85</f>
        <v>334025.449240339</v>
      </c>
      <c r="W86" s="67" t="n">
        <f aca="false">V86+W85</f>
        <v>359696.368155833</v>
      </c>
      <c r="X86" s="67" t="n">
        <f aca="false">W86+X85</f>
        <v>377481.442279661</v>
      </c>
      <c r="Y86" s="67" t="n">
        <f aca="false">X86+Y85</f>
        <v>395288.460847933</v>
      </c>
      <c r="Z86" s="67" t="n">
        <f aca="false">Y86+Z85</f>
        <v>413117.42386065</v>
      </c>
      <c r="AA86" s="67" t="n">
        <f aca="false">Z86+AA85</f>
        <v>394637.799086065</v>
      </c>
      <c r="AB86" s="67" t="n">
        <f aca="false">AA86+AB85</f>
        <v>420241.899327861</v>
      </c>
      <c r="AC86" s="67" t="n">
        <f aca="false">AB86+AC85</f>
        <v>445867.944014103</v>
      </c>
      <c r="AD86" s="67" t="n">
        <f aca="false">AC86+AD85</f>
        <v>471515.933144788</v>
      </c>
      <c r="AE86" s="67" t="n">
        <f aca="false">AD86+AE85</f>
        <v>497185.866719918</v>
      </c>
      <c r="AF86" s="67" t="n">
        <f aca="false">AE86+AF85</f>
        <v>537099.682838318</v>
      </c>
      <c r="AG86" s="67" t="n">
        <f aca="false">AF86+AG85</f>
        <v>585201.387041335</v>
      </c>
      <c r="AH86" s="67" t="n">
        <f aca="false">AG86+AH85</f>
        <v>633325.035688796</v>
      </c>
      <c r="AI86" s="67" t="n">
        <f aca="false">AH86+AI85</f>
        <v>667248.690681878</v>
      </c>
      <c r="AJ86" s="67" t="n">
        <f aca="false">AI86+AJ85</f>
        <v>693028.34647923</v>
      </c>
      <c r="AK86" s="67" t="n">
        <f aca="false">AJ86+AK85</f>
        <v>718829.946721027</v>
      </c>
      <c r="AL86" s="67" t="n">
        <f aca="false">AK86+AL85</f>
        <v>744653.491407268</v>
      </c>
    </row>
    <row r="87" customFormat="false" ht="15" hidden="false" customHeight="false" outlineLevel="0" collapsed="false">
      <c r="A87" s="121" t="s">
        <v>406</v>
      </c>
      <c r="C87" s="67" t="n">
        <f aca="false">C86</f>
        <v>-10761.8846555556</v>
      </c>
      <c r="D87" s="67" t="n">
        <f aca="false">MIN(C87,D86)</f>
        <v>-10761.8846555556</v>
      </c>
      <c r="E87" s="67" t="n">
        <f aca="false">MIN(D87,E86)</f>
        <v>-10761.8846555556</v>
      </c>
      <c r="F87" s="67" t="n">
        <f aca="false">MIN(E87,F86)</f>
        <v>-10761.8846555556</v>
      </c>
      <c r="G87" s="67" t="n">
        <f aca="false">MIN(F87,G86)</f>
        <v>-10761.8846555556</v>
      </c>
      <c r="H87" s="67" t="n">
        <f aca="false">MIN(G87,H86)</f>
        <v>-10761.8846555556</v>
      </c>
      <c r="I87" s="67" t="n">
        <f aca="false">MIN(H87,I86)</f>
        <v>-10761.8846555556</v>
      </c>
      <c r="J87" s="67" t="n">
        <f aca="false">MIN(I87,J86)</f>
        <v>-10761.8846555556</v>
      </c>
      <c r="K87" s="67" t="n">
        <f aca="false">MIN(J87,K86)</f>
        <v>-10761.8846555556</v>
      </c>
      <c r="L87" s="67" t="n">
        <f aca="false">MIN(K87,L86)</f>
        <v>-10761.8846555556</v>
      </c>
      <c r="M87" s="67" t="n">
        <f aca="false">MIN(L87,M86)</f>
        <v>-10761.8846555556</v>
      </c>
      <c r="N87" s="67" t="n">
        <f aca="false">MIN(M87,N86)</f>
        <v>-10761.8846555556</v>
      </c>
      <c r="O87" s="67" t="n">
        <f aca="false">MIN(N87,O86)</f>
        <v>-10761.8846555556</v>
      </c>
      <c r="P87" s="67" t="n">
        <f aca="false">MIN(O87,P86)</f>
        <v>-10761.8846555556</v>
      </c>
      <c r="Q87" s="67" t="n">
        <f aca="false">MIN(P87,Q86)</f>
        <v>-10761.8846555556</v>
      </c>
      <c r="R87" s="67" t="n">
        <f aca="false">MIN(Q87,R86)</f>
        <v>-10761.8846555556</v>
      </c>
      <c r="S87" s="67" t="n">
        <f aca="false">MIN(R87,S86)</f>
        <v>-10761.8846555556</v>
      </c>
      <c r="T87" s="67" t="n">
        <f aca="false">MIN(S87,T86)</f>
        <v>-10761.8846555556</v>
      </c>
      <c r="U87" s="67" t="n">
        <f aca="false">MIN(T87,U86)</f>
        <v>-10761.8846555556</v>
      </c>
      <c r="V87" s="67" t="n">
        <f aca="false">MIN(U87,V86)</f>
        <v>-10761.8846555556</v>
      </c>
      <c r="W87" s="67" t="n">
        <f aca="false">MIN(V87,W86)</f>
        <v>-10761.8846555556</v>
      </c>
      <c r="X87" s="67" t="n">
        <f aca="false">MIN(W87,X86)</f>
        <v>-10761.8846555556</v>
      </c>
      <c r="Y87" s="67" t="n">
        <f aca="false">MIN(X87,Y86)</f>
        <v>-10761.8846555556</v>
      </c>
      <c r="Z87" s="67" t="n">
        <f aca="false">MIN(Y87,Z86)</f>
        <v>-10761.8846555556</v>
      </c>
      <c r="AA87" s="67" t="n">
        <f aca="false">MIN(Z87,AA86)</f>
        <v>-10761.8846555556</v>
      </c>
      <c r="AB87" s="67" t="n">
        <f aca="false">MIN(AA87,AB86)</f>
        <v>-10761.8846555556</v>
      </c>
      <c r="AC87" s="67" t="n">
        <f aca="false">MIN(AB87,AC86)</f>
        <v>-10761.8846555556</v>
      </c>
      <c r="AD87" s="67" t="n">
        <f aca="false">MIN(AC87,AD86)</f>
        <v>-10761.8846555556</v>
      </c>
      <c r="AE87" s="67" t="n">
        <f aca="false">MIN(AD87,AE86)</f>
        <v>-10761.8846555556</v>
      </c>
      <c r="AF87" s="67" t="n">
        <f aca="false">MIN(AE87,AF86)</f>
        <v>-10761.8846555556</v>
      </c>
      <c r="AG87" s="67" t="n">
        <f aca="false">MIN(AF87,AG86)</f>
        <v>-10761.8846555556</v>
      </c>
      <c r="AH87" s="67" t="n">
        <f aca="false">MIN(AG87,AH86)</f>
        <v>-10761.8846555556</v>
      </c>
      <c r="AI87" s="67" t="n">
        <f aca="false">MIN(AH87,AI86)</f>
        <v>-10761.8846555556</v>
      </c>
      <c r="AJ87" s="67" t="n">
        <f aca="false">MIN(AI87,AJ86)</f>
        <v>-10761.8846555556</v>
      </c>
      <c r="AK87" s="67" t="n">
        <f aca="false">MIN(AJ87,AK86)</f>
        <v>-10761.8846555556</v>
      </c>
      <c r="AL87" s="67" t="n">
        <f aca="false">MIN(AK87,AL86)</f>
        <v>-10761.8846555556</v>
      </c>
    </row>
    <row r="88" customFormat="false" ht="15" hidden="false" customHeight="false" outlineLevel="0" collapsed="false">
      <c r="A88" s="121" t="s">
        <v>407</v>
      </c>
      <c r="C88" s="117" t="n">
        <f aca="false">IF(AND(C86&gt;=0,C87&lt;0),1,0)</f>
        <v>0</v>
      </c>
      <c r="D88" s="117" t="n">
        <f aca="false">IF(AND(D86&gt;=0,D87&lt;0),1,0)</f>
        <v>1</v>
      </c>
      <c r="E88" s="117" t="n">
        <f aca="false">IF(AND(E86&gt;=0,E87&lt;0),1,0)</f>
        <v>1</v>
      </c>
      <c r="F88" s="117" t="n">
        <f aca="false">IF(AND(F86&gt;=0,F87&lt;0),1,0)</f>
        <v>1</v>
      </c>
      <c r="G88" s="117" t="n">
        <f aca="false">IF(AND(G86&gt;=0,G87&lt;0),1,0)</f>
        <v>1</v>
      </c>
      <c r="H88" s="117" t="n">
        <f aca="false">IF(AND(H86&gt;=0,H87&lt;0),1,0)</f>
        <v>1</v>
      </c>
      <c r="I88" s="117" t="n">
        <f aca="false">IF(AND(I86&gt;=0,I87&lt;0),1,0)</f>
        <v>1</v>
      </c>
      <c r="J88" s="117" t="n">
        <f aca="false">IF(AND(J86&gt;=0,J87&lt;0),1,0)</f>
        <v>1</v>
      </c>
      <c r="K88" s="117" t="n">
        <f aca="false">IF(AND(K86&gt;=0,K87&lt;0),1,0)</f>
        <v>1</v>
      </c>
      <c r="L88" s="117" t="n">
        <f aca="false">IF(AND(L86&gt;=0,L87&lt;0),1,0)</f>
        <v>1</v>
      </c>
      <c r="M88" s="117" t="n">
        <f aca="false">IF(AND(M86&gt;=0,M87&lt;0),1,0)</f>
        <v>1</v>
      </c>
      <c r="N88" s="117" t="n">
        <f aca="false">IF(AND(N86&gt;=0,N87&lt;0),1,0)</f>
        <v>1</v>
      </c>
      <c r="O88" s="117" t="n">
        <f aca="false">IF(AND(O86&gt;=0,O87&lt;0),1,0)</f>
        <v>1</v>
      </c>
      <c r="P88" s="117" t="n">
        <f aca="false">IF(AND(P86&gt;=0,P87&lt;0),1,0)</f>
        <v>1</v>
      </c>
      <c r="Q88" s="117" t="n">
        <f aca="false">IF(AND(Q86&gt;=0,Q87&lt;0),1,0)</f>
        <v>1</v>
      </c>
      <c r="R88" s="117" t="n">
        <f aca="false">IF(AND(R86&gt;=0,R87&lt;0),1,0)</f>
        <v>1</v>
      </c>
      <c r="S88" s="117" t="n">
        <f aca="false">IF(AND(S86&gt;=0,S87&lt;0),1,0)</f>
        <v>1</v>
      </c>
      <c r="T88" s="117" t="n">
        <f aca="false">IF(AND(T86&gt;=0,T87&lt;0),1,0)</f>
        <v>1</v>
      </c>
      <c r="U88" s="117" t="n">
        <f aca="false">IF(AND(U86&gt;=0,U87&lt;0),1,0)</f>
        <v>1</v>
      </c>
      <c r="V88" s="117" t="n">
        <f aca="false">IF(AND(V86&gt;=0,V87&lt;0),1,0)</f>
        <v>1</v>
      </c>
      <c r="W88" s="117" t="n">
        <f aca="false">IF(AND(W86&gt;=0,W87&lt;0),1,0)</f>
        <v>1</v>
      </c>
      <c r="X88" s="117" t="n">
        <f aca="false">IF(AND(X86&gt;=0,X87&lt;0),1,0)</f>
        <v>1</v>
      </c>
      <c r="Y88" s="117" t="n">
        <f aca="false">IF(AND(Y86&gt;=0,Y87&lt;0),1,0)</f>
        <v>1</v>
      </c>
      <c r="Z88" s="117" t="n">
        <f aca="false">IF(AND(Z86&gt;=0,Z87&lt;0),1,0)</f>
        <v>1</v>
      </c>
      <c r="AA88" s="117" t="n">
        <f aca="false">IF(AND(AA86&gt;=0,AA87&lt;0),1,0)</f>
        <v>1</v>
      </c>
      <c r="AB88" s="117" t="n">
        <f aca="false">IF(AND(AB86&gt;=0,AB87&lt;0),1,0)</f>
        <v>1</v>
      </c>
      <c r="AC88" s="117" t="n">
        <f aca="false">IF(AND(AC86&gt;=0,AC87&lt;0),1,0)</f>
        <v>1</v>
      </c>
      <c r="AD88" s="117" t="n">
        <f aca="false">IF(AND(AD86&gt;=0,AD87&lt;0),1,0)</f>
        <v>1</v>
      </c>
      <c r="AE88" s="117" t="n">
        <f aca="false">IF(AND(AE86&gt;=0,AE87&lt;0),1,0)</f>
        <v>1</v>
      </c>
      <c r="AF88" s="117" t="n">
        <f aca="false">IF(AND(AF86&gt;=0,AF87&lt;0),1,0)</f>
        <v>1</v>
      </c>
      <c r="AG88" s="117" t="n">
        <f aca="false">IF(AND(AG86&gt;=0,AG87&lt;0),1,0)</f>
        <v>1</v>
      </c>
      <c r="AH88" s="117" t="n">
        <f aca="false">IF(AND(AH86&gt;=0,AH87&lt;0),1,0)</f>
        <v>1</v>
      </c>
      <c r="AI88" s="117" t="n">
        <f aca="false">IF(AND(AI86&gt;=0,AI87&lt;0),1,0)</f>
        <v>1</v>
      </c>
      <c r="AJ88" s="117" t="n">
        <f aca="false">IF(AND(AJ86&gt;=0,AJ87&lt;0),1,0)</f>
        <v>1</v>
      </c>
      <c r="AK88" s="117" t="n">
        <f aca="false">IF(AND(AK86&gt;=0,AK87&lt;0),1,0)</f>
        <v>1</v>
      </c>
      <c r="AL88" s="117" t="n">
        <f aca="false">IF(AND(AL86&gt;=0,AL87&lt;0),1,0)</f>
        <v>1</v>
      </c>
    </row>
    <row r="89" customFormat="false" ht="15" hidden="false" customHeight="false" outlineLevel="0" collapsed="false">
      <c r="A89" s="6" t="s">
        <v>408</v>
      </c>
      <c r="C89" s="67" t="n">
        <f aca="false">C74-C45*(1-Inputs!$E$66)+C75</f>
        <v>-9445.21798888889</v>
      </c>
      <c r="D89" s="67" t="n">
        <f aca="false">D74-D45*(1-Inputs!$E$66)+D75</f>
        <v>12408.2542333333</v>
      </c>
      <c r="E89" s="67" t="n">
        <f aca="false">E74-E45*(1-Inputs!$E$66)+E75</f>
        <v>12408.2542333333</v>
      </c>
      <c r="F89" s="67" t="n">
        <f aca="false">F74-F45*(1-Inputs!$E$66)+F75</f>
        <v>12408.2542333333</v>
      </c>
      <c r="G89" s="67" t="n">
        <f aca="false">G74-G45*(1-Inputs!$E$66)+G75</f>
        <v>12408.2542333333</v>
      </c>
      <c r="H89" s="67" t="n">
        <f aca="false">H74-H45*(1-Inputs!$E$66)+H75</f>
        <v>25565.9212222222</v>
      </c>
      <c r="I89" s="67" t="n">
        <f aca="false">I74-I45*(1-Inputs!$E$66)+I75</f>
        <v>33120.7823333333</v>
      </c>
      <c r="J89" s="67" t="n">
        <f aca="false">J74-J45*(1-Inputs!$E$66)+J75</f>
        <v>33120.7823333333</v>
      </c>
      <c r="K89" s="67" t="n">
        <f aca="false">K74-K45*(1-Inputs!$E$66)+K75</f>
        <v>19963.1153444444</v>
      </c>
      <c r="L89" s="67" t="n">
        <f aca="false">L74-L45*(1-Inputs!$E$66)+L75</f>
        <v>12408.2542333333</v>
      </c>
      <c r="M89" s="67" t="n">
        <f aca="false">M74-M45*(1-Inputs!$E$66)+M75</f>
        <v>12408.2542333333</v>
      </c>
      <c r="N89" s="67" t="n">
        <f aca="false">N74-N45*(1-Inputs!$E$66)+N75</f>
        <v>12408.2542333333</v>
      </c>
      <c r="O89" s="67" t="n">
        <f aca="false">O74-O45*(1-Inputs!$E$66)+O75</f>
        <v>-20481.0855289501</v>
      </c>
      <c r="P89" s="67" t="n">
        <f aca="false">P74-P45*(1-Inputs!$E$66)+P75</f>
        <v>18651.8796793833</v>
      </c>
      <c r="Q89" s="67" t="n">
        <f aca="false">Q74-Q45*(1-Inputs!$E$66)+Q75</f>
        <v>18651.8796793833</v>
      </c>
      <c r="R89" s="67" t="n">
        <f aca="false">R74-R45*(1-Inputs!$E$66)+R75</f>
        <v>18651.8796793833</v>
      </c>
      <c r="S89" s="67" t="n">
        <f aca="false">S74-S45*(1-Inputs!$E$66)+S75</f>
        <v>18651.8796793833</v>
      </c>
      <c r="T89" s="67" t="n">
        <f aca="false">T74-T45*(1-Inputs!$E$66)+T75</f>
        <v>32424.2119376222</v>
      </c>
      <c r="U89" s="67" t="n">
        <f aca="false">U74-U45*(1-Inputs!$E$66)+U75</f>
        <v>40332.0011737333</v>
      </c>
      <c r="V89" s="67" t="n">
        <f aca="false">V74-V45*(1-Inputs!$E$66)+V75</f>
        <v>40332.0011737333</v>
      </c>
      <c r="W89" s="67" t="n">
        <f aca="false">W74-W45*(1-Inputs!$E$66)+W75</f>
        <v>26559.6689154944</v>
      </c>
      <c r="X89" s="67" t="n">
        <f aca="false">X74-X45*(1-Inputs!$E$66)+X75</f>
        <v>18651.8796793833</v>
      </c>
      <c r="Y89" s="67" t="n">
        <f aca="false">Y74-Y45*(1-Inputs!$E$66)+Y75</f>
        <v>18651.8796793833</v>
      </c>
      <c r="Z89" s="67" t="n">
        <f aca="false">Z74-Z45*(1-Inputs!$E$66)+Z75</f>
        <v>18651.8796793833</v>
      </c>
      <c r="AA89" s="67" t="n">
        <f aca="false">AA74-AA45*(1-Inputs!$E$66)+AA75</f>
        <v>-17678.652552363</v>
      </c>
      <c r="AB89" s="67" t="n">
        <f aca="false">AB74-AB45*(1-Inputs!$E$66)+AB75</f>
        <v>26383.1280195745</v>
      </c>
      <c r="AC89" s="67" t="n">
        <f aca="false">AC74-AC45*(1-Inputs!$E$66)+AC75</f>
        <v>26383.1280195746</v>
      </c>
      <c r="AD89" s="67" t="n">
        <f aca="false">AD74-AD45*(1-Inputs!$E$66)+AD75</f>
        <v>26383.1280195746</v>
      </c>
      <c r="AE89" s="67" t="n">
        <f aca="false">AE74-AE45*(1-Inputs!$E$66)+AE75</f>
        <v>26383.1280195745</v>
      </c>
      <c r="AF89" s="67" t="n">
        <f aca="false">AF74-AF45*(1-Inputs!$E$66)+AF75</f>
        <v>40605.0661183992</v>
      </c>
      <c r="AG89" s="67" t="n">
        <f aca="false">AG74-AG45*(1-Inputs!$E$66)+AG75</f>
        <v>48771.0097585728</v>
      </c>
      <c r="AH89" s="67" t="n">
        <f aca="false">AH74-AH45*(1-Inputs!$E$66)+AH75</f>
        <v>48771.0097585728</v>
      </c>
      <c r="AI89" s="67" t="n">
        <f aca="false">AI74-AI45*(1-Inputs!$E$66)+AI75</f>
        <v>34549.0716597482</v>
      </c>
      <c r="AJ89" s="67" t="n">
        <f aca="false">AJ74-AJ45*(1-Inputs!$E$66)+AJ75</f>
        <v>26383.1280195745</v>
      </c>
      <c r="AK89" s="67" t="n">
        <f aca="false">AK74-AK45*(1-Inputs!$E$66)+AK75</f>
        <v>26383.1280195745</v>
      </c>
      <c r="AL89" s="67" t="n">
        <f aca="false">AL74-AL45*(1-Inputs!$E$66)+AL75</f>
        <v>26383.1280195746</v>
      </c>
    </row>
    <row r="91" customFormat="false" ht="15.75" hidden="false" customHeight="true" outlineLevel="0" collapsed="false">
      <c r="A91" s="7" t="s">
        <v>409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96</v>
      </c>
      <c r="C92" s="67" t="n">
        <f aca="false">C76</f>
        <v>100000</v>
      </c>
      <c r="D92" s="67" t="n">
        <f aca="false">C92+D76</f>
        <v>100000</v>
      </c>
      <c r="E92" s="67" t="n">
        <f aca="false">D92+E76</f>
        <v>100000</v>
      </c>
      <c r="F92" s="67" t="n">
        <f aca="false">E92+F76</f>
        <v>100000</v>
      </c>
      <c r="G92" s="67" t="n">
        <f aca="false">F92+G76</f>
        <v>100000</v>
      </c>
      <c r="H92" s="67" t="n">
        <f aca="false">G92+H76</f>
        <v>100000</v>
      </c>
      <c r="I92" s="67" t="n">
        <f aca="false">H92+I76</f>
        <v>100000</v>
      </c>
      <c r="J92" s="67" t="n">
        <f aca="false">I92+J76</f>
        <v>100000</v>
      </c>
      <c r="K92" s="67" t="n">
        <f aca="false">J92+K76</f>
        <v>100000</v>
      </c>
      <c r="L92" s="67" t="n">
        <f aca="false">K92+L76</f>
        <v>100000</v>
      </c>
      <c r="M92" s="67" t="n">
        <f aca="false">L92+M76</f>
        <v>100000</v>
      </c>
      <c r="N92" s="67" t="n">
        <f aca="false">M92+N76</f>
        <v>100000</v>
      </c>
      <c r="O92" s="67" t="n">
        <f aca="false">N92+O76</f>
        <v>100000</v>
      </c>
      <c r="P92" s="67" t="n">
        <f aca="false">O92+P76</f>
        <v>100000</v>
      </c>
      <c r="Q92" s="67" t="n">
        <f aca="false">P92+Q76</f>
        <v>100000</v>
      </c>
      <c r="R92" s="67" t="n">
        <f aca="false">Q92+R76</f>
        <v>100000</v>
      </c>
      <c r="S92" s="67" t="n">
        <f aca="false">R92+S76</f>
        <v>100000</v>
      </c>
      <c r="T92" s="67" t="n">
        <f aca="false">S92+T76</f>
        <v>100000</v>
      </c>
      <c r="U92" s="67" t="n">
        <f aca="false">T92+U76</f>
        <v>100000</v>
      </c>
      <c r="V92" s="67" t="n">
        <f aca="false">U92+V76</f>
        <v>100000</v>
      </c>
      <c r="W92" s="67" t="n">
        <f aca="false">V92+W76</f>
        <v>100000</v>
      </c>
      <c r="X92" s="67" t="n">
        <f aca="false">W92+X76</f>
        <v>100000</v>
      </c>
      <c r="Y92" s="67" t="n">
        <f aca="false">X92+Y76</f>
        <v>100000</v>
      </c>
      <c r="Z92" s="67" t="n">
        <f aca="false">Y92+Z76</f>
        <v>100000</v>
      </c>
      <c r="AA92" s="67" t="n">
        <f aca="false">Z92+AA76</f>
        <v>100000</v>
      </c>
      <c r="AB92" s="67" t="n">
        <f aca="false">AA92+AB76</f>
        <v>100000</v>
      </c>
      <c r="AC92" s="67" t="n">
        <f aca="false">AB92+AC76</f>
        <v>100000</v>
      </c>
      <c r="AD92" s="67" t="n">
        <f aca="false">AC92+AD76</f>
        <v>100000</v>
      </c>
      <c r="AE92" s="67" t="n">
        <f aca="false">AD92+AE76</f>
        <v>100000</v>
      </c>
      <c r="AF92" s="67" t="n">
        <f aca="false">AE92+AF76</f>
        <v>100000</v>
      </c>
      <c r="AG92" s="67" t="n">
        <f aca="false">AF92+AG76</f>
        <v>100000</v>
      </c>
      <c r="AH92" s="67" t="n">
        <f aca="false">AG92+AH76</f>
        <v>100000</v>
      </c>
      <c r="AI92" s="67" t="n">
        <f aca="false">AH92+AI76</f>
        <v>100000</v>
      </c>
      <c r="AJ92" s="67" t="n">
        <f aca="false">AI92+AJ76</f>
        <v>100000</v>
      </c>
      <c r="AK92" s="67" t="n">
        <f aca="false">AJ92+AK76</f>
        <v>100000</v>
      </c>
      <c r="AL92" s="67" t="n">
        <f aca="false">AK92+AL76</f>
        <v>100000</v>
      </c>
    </row>
    <row r="93" customFormat="false" ht="15" hidden="false" customHeight="false" outlineLevel="0" collapsed="false">
      <c r="A93" s="6" t="s">
        <v>97</v>
      </c>
      <c r="C93" s="67" t="n">
        <f aca="false">C50</f>
        <v>10758.2542333333</v>
      </c>
      <c r="D93" s="67" t="n">
        <f aca="false">C93+D50</f>
        <v>21527.4806888889</v>
      </c>
      <c r="E93" s="67" t="n">
        <f aca="false">D93+E50</f>
        <v>32318.6515888889</v>
      </c>
      <c r="F93" s="67" t="n">
        <f aca="false">E93+F50</f>
        <v>43131.7669333333</v>
      </c>
      <c r="G93" s="67" t="n">
        <f aca="false">F93+G50</f>
        <v>53966.8267222222</v>
      </c>
      <c r="H93" s="67" t="n">
        <f aca="false">G93+H50</f>
        <v>85536.3590555555</v>
      </c>
      <c r="I93" s="67" t="n">
        <f aca="false">H93+I50</f>
        <v>117127.835833333</v>
      </c>
      <c r="J93" s="67" t="n">
        <f aca="false">I93+J50</f>
        <v>148741.257055556</v>
      </c>
      <c r="K93" s="67" t="n">
        <f aca="false">J93+K50</f>
        <v>159664.094622222</v>
      </c>
      <c r="L93" s="67" t="n">
        <f aca="false">K93+L50</f>
        <v>170608.876633333</v>
      </c>
      <c r="M93" s="67" t="n">
        <f aca="false">L93+M50</f>
        <v>181575.603088889</v>
      </c>
      <c r="N93" s="67" t="n">
        <f aca="false">M93+N50</f>
        <v>192564.273988889</v>
      </c>
      <c r="O93" s="67" t="n">
        <f aca="false">N93+O50</f>
        <v>209188.514779383</v>
      </c>
      <c r="P93" s="67" t="n">
        <f aca="false">O93+P50</f>
        <v>225834.700014322</v>
      </c>
      <c r="Q93" s="67" t="n">
        <f aca="false">P93+Q50</f>
        <v>242502.829693705</v>
      </c>
      <c r="R93" s="67" t="n">
        <f aca="false">Q93+R50</f>
        <v>259192.903817533</v>
      </c>
      <c r="S93" s="67" t="n">
        <f aca="false">R93+S50</f>
        <v>275904.922385805</v>
      </c>
      <c r="T93" s="67" t="n">
        <f aca="false">S93+T50</f>
        <v>314319.006892872</v>
      </c>
      <c r="U93" s="67" t="n">
        <f aca="false">T93+U50</f>
        <v>352755.035844383</v>
      </c>
      <c r="V93" s="67" t="n">
        <f aca="false">U93+V50</f>
        <v>391213.009240339</v>
      </c>
      <c r="W93" s="67" t="n">
        <f aca="false">V93+W50</f>
        <v>408012.805586389</v>
      </c>
      <c r="X93" s="67" t="n">
        <f aca="false">W93+X50</f>
        <v>424834.546376883</v>
      </c>
      <c r="Y93" s="67" t="n">
        <f aca="false">X93+Y50</f>
        <v>441678.231611822</v>
      </c>
      <c r="Z93" s="67" t="n">
        <f aca="false">Y93+Z50</f>
        <v>458543.861291206</v>
      </c>
      <c r="AA93" s="67" t="n">
        <f aca="false">Z93+AA50</f>
        <v>482457.083755225</v>
      </c>
      <c r="AB93" s="67" t="n">
        <f aca="false">AA93+AB50</f>
        <v>506392.250663688</v>
      </c>
      <c r="AC93" s="67" t="n">
        <f aca="false">AB93+AC50</f>
        <v>530349.362016596</v>
      </c>
      <c r="AD93" s="67" t="n">
        <f aca="false">AC93+AD50</f>
        <v>554328.417813948</v>
      </c>
      <c r="AE93" s="67" t="n">
        <f aca="false">AD93+AE50</f>
        <v>578329.418055745</v>
      </c>
      <c r="AF93" s="67" t="n">
        <f aca="false">AE93+AF50</f>
        <v>624740.244480984</v>
      </c>
      <c r="AG93" s="67" t="n">
        <f aca="false">AF93+AG50</f>
        <v>671173.015350668</v>
      </c>
      <c r="AH93" s="67" t="n">
        <f aca="false">AG93+AH50</f>
        <v>717627.730664796</v>
      </c>
      <c r="AI93" s="67" t="n">
        <f aca="false">AH93+AI50</f>
        <v>741716.508684371</v>
      </c>
      <c r="AJ93" s="67" t="n">
        <f aca="false">AI93+AJ50</f>
        <v>765827.23114839</v>
      </c>
      <c r="AK93" s="67" t="n">
        <f aca="false">AJ93+AK50</f>
        <v>789959.898056853</v>
      </c>
      <c r="AL93" s="67" t="n">
        <f aca="false">AK93+AL50</f>
        <v>814114.509409761</v>
      </c>
    </row>
    <row r="94" customFormat="false" ht="15" hidden="false" customHeight="false" outlineLevel="0" collapsed="false">
      <c r="A94" s="4" t="s">
        <v>92</v>
      </c>
      <c r="C94" s="73" t="n">
        <f aca="false">C80+C66+C67+C57</f>
        <v>417592.143122222</v>
      </c>
      <c r="D94" s="73" t="n">
        <f aca="false">D80+D66+D67+D57</f>
        <v>424194.702911111</v>
      </c>
      <c r="E94" s="73" t="n">
        <f aca="false">E80+E66+E67+E57</f>
        <v>430819.207144444</v>
      </c>
      <c r="F94" s="73" t="n">
        <f aca="false">F80+F66+F67+F57</f>
        <v>437465.655822222</v>
      </c>
      <c r="G94" s="73" t="n">
        <f aca="false">G80+G66+G67+G57</f>
        <v>444134.048944444</v>
      </c>
      <c r="H94" s="73" t="n">
        <f aca="false">H80+H66+H67+H57</f>
        <v>477580.8035</v>
      </c>
      <c r="I94" s="73" t="n">
        <f aca="false">I80+I66+I67+I57</f>
        <v>505005.613611111</v>
      </c>
      <c r="J94" s="73" t="n">
        <f aca="false">J80+J66+J67+J57</f>
        <v>532452.368166667</v>
      </c>
      <c r="K94" s="73" t="n">
        <f aca="false">K80+K66+K67+K57</f>
        <v>533164.650177778</v>
      </c>
      <c r="L94" s="73" t="n">
        <f aca="false">L80+L66+L67+L57</f>
        <v>539942.765522222</v>
      </c>
      <c r="M94" s="73" t="n">
        <f aca="false">M80+M66+M67+M57</f>
        <v>546742.825311111</v>
      </c>
      <c r="N94" s="73" t="n">
        <f aca="false">N80+N66+N67+N57</f>
        <v>553564.829544445</v>
      </c>
      <c r="O94" s="73" t="n">
        <f aca="false">O80+O66+O67+O57</f>
        <v>575370.034501606</v>
      </c>
      <c r="P94" s="73" t="n">
        <f aca="false">P80+P66+P67+P57</f>
        <v>587849.553069878</v>
      </c>
      <c r="Q94" s="73" t="n">
        <f aca="false">Q80+Q66+Q67+Q57</f>
        <v>600351.016082594</v>
      </c>
      <c r="R94" s="73" t="n">
        <f aca="false">R80+R66+R67+R57</f>
        <v>612874.423539756</v>
      </c>
      <c r="S94" s="73" t="n">
        <f aca="false">S80+S66+S67+S57</f>
        <v>625419.775441361</v>
      </c>
      <c r="T94" s="73" t="n">
        <f aca="false">T80+T66+T67+T57</f>
        <v>665993.42467065</v>
      </c>
      <c r="U94" s="73" t="n">
        <f aca="false">U80+U66+U67+U57</f>
        <v>700262.786955494</v>
      </c>
      <c r="V94" s="73" t="n">
        <f aca="false">V80+V66+V67+V57</f>
        <v>734554.093684783</v>
      </c>
      <c r="W94" s="73" t="n">
        <f aca="false">W80+W66+W67+W57</f>
        <v>740860.991975278</v>
      </c>
      <c r="X94" s="73" t="n">
        <f aca="false">X80+X66+X67+X57</f>
        <v>753516.066099106</v>
      </c>
      <c r="Y94" s="73" t="n">
        <f aca="false">Y80+Y66+Y67+Y57</f>
        <v>766193.084667378</v>
      </c>
      <c r="Z94" s="73" t="n">
        <f aca="false">Z80+Z66+Z67+Z57</f>
        <v>778892.047680094</v>
      </c>
      <c r="AA94" s="73" t="n">
        <f aca="false">AA80+AA66+AA67+AA57</f>
        <v>809558.242044863</v>
      </c>
      <c r="AB94" s="73" t="n">
        <f aca="false">AB80+AB66+AB67+AB57</f>
        <v>829326.74228666</v>
      </c>
      <c r="AC94" s="73" t="n">
        <f aca="false">AC80+AC66+AC67+AC57</f>
        <v>849117.186972901</v>
      </c>
      <c r="AD94" s="73" t="n">
        <f aca="false">AD80+AD66+AD67+AD57</f>
        <v>868929.576103587</v>
      </c>
      <c r="AE94" s="73" t="n">
        <f aca="false">AE80+AE66+AE67+AE57</f>
        <v>888763.909678717</v>
      </c>
      <c r="AF94" s="73" t="n">
        <f aca="false">AF80+AF66+AF67+AF57</f>
        <v>937540.824349429</v>
      </c>
      <c r="AG94" s="73" t="n">
        <f aca="false">AG80+AG66+AG67+AG57</f>
        <v>979806.928552446</v>
      </c>
      <c r="AH94" s="73" t="n">
        <f aca="false">AH80+AH66+AH67+AH57</f>
        <v>1022094.97719991</v>
      </c>
      <c r="AI94" s="73" t="n">
        <f aca="false">AI80+AI66+AI67+AI57</f>
        <v>1035484.33364068</v>
      </c>
      <c r="AJ94" s="73" t="n">
        <f aca="false">AJ80+AJ66+AJ67+AJ57</f>
        <v>1055428.38943803</v>
      </c>
      <c r="AK94" s="73" t="n">
        <f aca="false">AK80+AK66+AK67+AK57</f>
        <v>1075394.38967983</v>
      </c>
      <c r="AL94" s="73" t="n">
        <f aca="false">AL80+AL66+AL67+AL57</f>
        <v>1095382.33436607</v>
      </c>
    </row>
    <row r="95" customFormat="false" ht="15" hidden="false" customHeight="false" outlineLevel="0" collapsed="false">
      <c r="A95" s="6" t="s">
        <v>95</v>
      </c>
      <c r="C95" s="67" t="n">
        <f aca="false">C68+C63</f>
        <v>306833.888888889</v>
      </c>
      <c r="D95" s="67" t="n">
        <f aca="false">D68+D63</f>
        <v>302667.222222222</v>
      </c>
      <c r="E95" s="67" t="n">
        <f aca="false">E68+E63</f>
        <v>298500.555555556</v>
      </c>
      <c r="F95" s="67" t="n">
        <f aca="false">F68+F63</f>
        <v>294333.888888889</v>
      </c>
      <c r="G95" s="67" t="n">
        <f aca="false">G68+G63</f>
        <v>290167.222222222</v>
      </c>
      <c r="H95" s="67" t="n">
        <f aca="false">H68+H63</f>
        <v>292044.444444445</v>
      </c>
      <c r="I95" s="67" t="n">
        <f aca="false">I68+I63</f>
        <v>287877.777777778</v>
      </c>
      <c r="J95" s="67" t="n">
        <f aca="false">J68+J63</f>
        <v>283711.111111111</v>
      </c>
      <c r="K95" s="67" t="n">
        <f aca="false">K68+K63</f>
        <v>273500.555555556</v>
      </c>
      <c r="L95" s="67" t="n">
        <f aca="false">L68+L63</f>
        <v>269333.888888889</v>
      </c>
      <c r="M95" s="67" t="n">
        <f aca="false">M68+M63</f>
        <v>265167.222222222</v>
      </c>
      <c r="N95" s="67" t="n">
        <f aca="false">N68+N63</f>
        <v>261000.555555556</v>
      </c>
      <c r="O95" s="67" t="n">
        <f aca="false">O68+O63</f>
        <v>266181.519722222</v>
      </c>
      <c r="P95" s="67" t="n">
        <f aca="false">P68+P63</f>
        <v>262014.853055556</v>
      </c>
      <c r="Q95" s="67" t="n">
        <f aca="false">Q68+Q63</f>
        <v>257848.186388889</v>
      </c>
      <c r="R95" s="67" t="n">
        <f aca="false">R68+R63</f>
        <v>253681.519722222</v>
      </c>
      <c r="S95" s="67" t="n">
        <f aca="false">S68+S63</f>
        <v>249514.853055556</v>
      </c>
      <c r="T95" s="67" t="n">
        <f aca="false">T68+T63</f>
        <v>251674.417777778</v>
      </c>
      <c r="U95" s="67" t="n">
        <f aca="false">U68+U63</f>
        <v>247507.751111111</v>
      </c>
      <c r="V95" s="67" t="n">
        <f aca="false">V68+V63</f>
        <v>243341.084444445</v>
      </c>
      <c r="W95" s="67" t="n">
        <f aca="false">W68+W63</f>
        <v>232848.186388889</v>
      </c>
      <c r="X95" s="67" t="n">
        <f aca="false">X68+X63</f>
        <v>228681.519722222</v>
      </c>
      <c r="Y95" s="67" t="n">
        <f aca="false">Y68+Y63</f>
        <v>224514.853055556</v>
      </c>
      <c r="Z95" s="67" t="n">
        <f aca="false">Z68+Z63</f>
        <v>220348.186388889</v>
      </c>
      <c r="AA95" s="67" t="n">
        <f aca="false">AA68+AA63</f>
        <v>227101.158289639</v>
      </c>
      <c r="AB95" s="67" t="n">
        <f aca="false">AB68+AB63</f>
        <v>222934.491622972</v>
      </c>
      <c r="AC95" s="67" t="n">
        <f aca="false">AC68+AC63</f>
        <v>218767.824956306</v>
      </c>
      <c r="AD95" s="67" t="n">
        <f aca="false">AD68+AD63</f>
        <v>214601.158289639</v>
      </c>
      <c r="AE95" s="67" t="n">
        <f aca="false">AE68+AE63</f>
        <v>210434.491622972</v>
      </c>
      <c r="AF95" s="67" t="n">
        <f aca="false">AF68+AF63</f>
        <v>212800.579868445</v>
      </c>
      <c r="AG95" s="67" t="n">
        <f aca="false">AG68+AG63</f>
        <v>208633.913201778</v>
      </c>
      <c r="AH95" s="67" t="n">
        <f aca="false">AH68+AH63</f>
        <v>204467.246535111</v>
      </c>
      <c r="AI95" s="67" t="n">
        <f aca="false">AI68+AI63</f>
        <v>193767.824956306</v>
      </c>
      <c r="AJ95" s="67" t="n">
        <f aca="false">AJ68+AJ63</f>
        <v>189601.158289639</v>
      </c>
      <c r="AK95" s="67" t="n">
        <f aca="false">AK68+AK63</f>
        <v>185434.491622972</v>
      </c>
      <c r="AL95" s="67" t="n">
        <f aca="false">AL68+AL63</f>
        <v>181267.824956306</v>
      </c>
    </row>
    <row r="96" customFormat="false" ht="15" hidden="false" customHeight="false" outlineLevel="0" collapsed="false">
      <c r="A96" s="6" t="s">
        <v>98</v>
      </c>
      <c r="C96" s="67" t="n">
        <f aca="false">C92+C93</f>
        <v>110758.254233333</v>
      </c>
      <c r="D96" s="67" t="n">
        <f aca="false">D92+D93</f>
        <v>121527.480688889</v>
      </c>
      <c r="E96" s="67" t="n">
        <f aca="false">E92+E93</f>
        <v>132318.651588889</v>
      </c>
      <c r="F96" s="67" t="n">
        <f aca="false">F92+F93</f>
        <v>143131.766933333</v>
      </c>
      <c r="G96" s="67" t="n">
        <f aca="false">G92+G93</f>
        <v>153966.826722222</v>
      </c>
      <c r="H96" s="67" t="n">
        <f aca="false">H92+H93</f>
        <v>185536.359055556</v>
      </c>
      <c r="I96" s="67" t="n">
        <f aca="false">I92+I93</f>
        <v>217127.835833333</v>
      </c>
      <c r="J96" s="67" t="n">
        <f aca="false">J92+J93</f>
        <v>248741.257055556</v>
      </c>
      <c r="K96" s="67" t="n">
        <f aca="false">K92+K93</f>
        <v>259664.094622222</v>
      </c>
      <c r="L96" s="67" t="n">
        <f aca="false">L92+L93</f>
        <v>270608.876633333</v>
      </c>
      <c r="M96" s="67" t="n">
        <f aca="false">M92+M93</f>
        <v>281575.603088889</v>
      </c>
      <c r="N96" s="67" t="n">
        <f aca="false">N92+N93</f>
        <v>292564.273988889</v>
      </c>
      <c r="O96" s="67" t="n">
        <f aca="false">O92+O93</f>
        <v>309188.514779383</v>
      </c>
      <c r="P96" s="67" t="n">
        <f aca="false">P92+P93</f>
        <v>325834.700014322</v>
      </c>
      <c r="Q96" s="67" t="n">
        <f aca="false">Q92+Q93</f>
        <v>342502.829693706</v>
      </c>
      <c r="R96" s="67" t="n">
        <f aca="false">R92+R93</f>
        <v>359192.903817533</v>
      </c>
      <c r="S96" s="67" t="n">
        <f aca="false">S92+S93</f>
        <v>375904.922385805</v>
      </c>
      <c r="T96" s="67" t="n">
        <f aca="false">T92+T93</f>
        <v>414319.006892872</v>
      </c>
      <c r="U96" s="67" t="n">
        <f aca="false">U92+U93</f>
        <v>452755.035844383</v>
      </c>
      <c r="V96" s="67" t="n">
        <f aca="false">V92+V93</f>
        <v>491213.009240339</v>
      </c>
      <c r="W96" s="67" t="n">
        <f aca="false">W92+W93</f>
        <v>508012.805586389</v>
      </c>
      <c r="X96" s="67" t="n">
        <f aca="false">X92+X93</f>
        <v>524834.546376883</v>
      </c>
      <c r="Y96" s="67" t="n">
        <f aca="false">Y92+Y93</f>
        <v>541678.231611822</v>
      </c>
      <c r="Z96" s="67" t="n">
        <f aca="false">Z92+Z93</f>
        <v>558543.861291206</v>
      </c>
      <c r="AA96" s="67" t="n">
        <f aca="false">AA92+AA93</f>
        <v>582457.083755225</v>
      </c>
      <c r="AB96" s="67" t="n">
        <f aca="false">AB92+AB93</f>
        <v>606392.250663688</v>
      </c>
      <c r="AC96" s="67" t="n">
        <f aca="false">AC92+AC93</f>
        <v>630349.362016596</v>
      </c>
      <c r="AD96" s="67" t="n">
        <f aca="false">AD92+AD93</f>
        <v>654328.417813948</v>
      </c>
      <c r="AE96" s="67" t="n">
        <f aca="false">AE92+AE93</f>
        <v>678329.418055745</v>
      </c>
      <c r="AF96" s="67" t="n">
        <f aca="false">AF92+AF93</f>
        <v>724740.244480984</v>
      </c>
      <c r="AG96" s="67" t="n">
        <f aca="false">AG92+AG93</f>
        <v>771173.015350668</v>
      </c>
      <c r="AH96" s="67" t="n">
        <f aca="false">AH92+AH93</f>
        <v>817627.730664796</v>
      </c>
      <c r="AI96" s="67" t="n">
        <f aca="false">AI92+AI93</f>
        <v>841716.508684371</v>
      </c>
      <c r="AJ96" s="67" t="n">
        <f aca="false">AJ92+AJ93</f>
        <v>865827.23114839</v>
      </c>
      <c r="AK96" s="67" t="n">
        <f aca="false">AK92+AK93</f>
        <v>889959.898056853</v>
      </c>
      <c r="AL96" s="67" t="n">
        <f aca="false">AL92+AL93</f>
        <v>914114.509409761</v>
      </c>
    </row>
    <row r="97" customFormat="false" ht="15" hidden="false" customHeight="false" outlineLevel="0" collapsed="false">
      <c r="A97" s="4" t="s">
        <v>99</v>
      </c>
      <c r="C97" s="73" t="n">
        <f aca="false">C95+C96</f>
        <v>417592.143122222</v>
      </c>
      <c r="D97" s="73" t="n">
        <f aca="false">D95+D96</f>
        <v>424194.702911111</v>
      </c>
      <c r="E97" s="73" t="n">
        <f aca="false">E95+E96</f>
        <v>430819.207144444</v>
      </c>
      <c r="F97" s="73" t="n">
        <f aca="false">F95+F96</f>
        <v>437465.655822222</v>
      </c>
      <c r="G97" s="73" t="n">
        <f aca="false">G95+G96</f>
        <v>444134.048944444</v>
      </c>
      <c r="H97" s="73" t="n">
        <f aca="false">H95+H96</f>
        <v>477580.8035</v>
      </c>
      <c r="I97" s="73" t="n">
        <f aca="false">I95+I96</f>
        <v>505005.613611111</v>
      </c>
      <c r="J97" s="73" t="n">
        <f aca="false">J95+J96</f>
        <v>532452.368166667</v>
      </c>
      <c r="K97" s="73" t="n">
        <f aca="false">K95+K96</f>
        <v>533164.650177778</v>
      </c>
      <c r="L97" s="73" t="n">
        <f aca="false">L95+L96</f>
        <v>539942.765522222</v>
      </c>
      <c r="M97" s="73" t="n">
        <f aca="false">M95+M96</f>
        <v>546742.825311111</v>
      </c>
      <c r="N97" s="73" t="n">
        <f aca="false">N95+N96</f>
        <v>553564.829544445</v>
      </c>
      <c r="O97" s="73" t="n">
        <f aca="false">O95+O96</f>
        <v>575370.034501606</v>
      </c>
      <c r="P97" s="73" t="n">
        <f aca="false">P95+P96</f>
        <v>587849.553069878</v>
      </c>
      <c r="Q97" s="73" t="n">
        <f aca="false">Q95+Q96</f>
        <v>600351.016082595</v>
      </c>
      <c r="R97" s="73" t="n">
        <f aca="false">R95+R96</f>
        <v>612874.423539756</v>
      </c>
      <c r="S97" s="73" t="n">
        <f aca="false">S95+S96</f>
        <v>625419.775441361</v>
      </c>
      <c r="T97" s="73" t="n">
        <f aca="false">T95+T96</f>
        <v>665993.42467065</v>
      </c>
      <c r="U97" s="73" t="n">
        <f aca="false">U95+U96</f>
        <v>700262.786955495</v>
      </c>
      <c r="V97" s="73" t="n">
        <f aca="false">V95+V96</f>
        <v>734554.093684783</v>
      </c>
      <c r="W97" s="73" t="n">
        <f aca="false">W95+W96</f>
        <v>740860.991975278</v>
      </c>
      <c r="X97" s="73" t="n">
        <f aca="false">X95+X96</f>
        <v>753516.066099106</v>
      </c>
      <c r="Y97" s="73" t="n">
        <f aca="false">Y95+Y96</f>
        <v>766193.084667378</v>
      </c>
      <c r="Z97" s="73" t="n">
        <f aca="false">Z95+Z96</f>
        <v>778892.047680095</v>
      </c>
      <c r="AA97" s="73" t="n">
        <f aca="false">AA95+AA96</f>
        <v>809558.242044864</v>
      </c>
      <c r="AB97" s="73" t="n">
        <f aca="false">AB95+AB96</f>
        <v>829326.74228666</v>
      </c>
      <c r="AC97" s="73" t="n">
        <f aca="false">AC95+AC96</f>
        <v>849117.186972902</v>
      </c>
      <c r="AD97" s="73" t="n">
        <f aca="false">AD95+AD96</f>
        <v>868929.576103587</v>
      </c>
      <c r="AE97" s="73" t="n">
        <f aca="false">AE95+AE96</f>
        <v>888763.909678717</v>
      </c>
      <c r="AF97" s="73" t="n">
        <f aca="false">AF95+AF96</f>
        <v>937540.824349429</v>
      </c>
      <c r="AG97" s="73" t="n">
        <f aca="false">AG95+AG96</f>
        <v>979806.928552446</v>
      </c>
      <c r="AH97" s="73" t="n">
        <f aca="false">AH95+AH96</f>
        <v>1022094.97719991</v>
      </c>
      <c r="AI97" s="73" t="n">
        <f aca="false">AI95+AI96</f>
        <v>1035484.33364068</v>
      </c>
      <c r="AJ97" s="73" t="n">
        <f aca="false">AJ95+AJ96</f>
        <v>1055428.38943803</v>
      </c>
      <c r="AK97" s="73" t="n">
        <f aca="false">AK95+AK96</f>
        <v>1075394.38967983</v>
      </c>
      <c r="AL97" s="73" t="n">
        <f aca="false">AL95+AL96</f>
        <v>1095382.33436607</v>
      </c>
    </row>
    <row r="98" customFormat="false" ht="15" hidden="false" customHeight="false" outlineLevel="0" collapsed="false">
      <c r="A98" s="6" t="s">
        <v>410</v>
      </c>
      <c r="C98" s="67" t="n">
        <f aca="false">C94-C97</f>
        <v>0</v>
      </c>
      <c r="D98" s="67" t="n">
        <f aca="false">D94-D97</f>
        <v>0</v>
      </c>
      <c r="E98" s="67" t="n">
        <f aca="false">E94-E97</f>
        <v>0</v>
      </c>
      <c r="F98" s="67" t="n">
        <f aca="false">F94-F97</f>
        <v>0</v>
      </c>
      <c r="G98" s="67" t="n">
        <f aca="false">G94-G97</f>
        <v>0</v>
      </c>
      <c r="H98" s="67" t="n">
        <f aca="false">H94-H97</f>
        <v>0</v>
      </c>
      <c r="I98" s="67" t="n">
        <f aca="false">I94-I97</f>
        <v>0</v>
      </c>
      <c r="J98" s="67" t="n">
        <f aca="false">J94-J97</f>
        <v>0</v>
      </c>
      <c r="K98" s="67" t="n">
        <f aca="false">K94-K97</f>
        <v>0</v>
      </c>
      <c r="L98" s="67" t="n">
        <f aca="false">L94-L97</f>
        <v>0</v>
      </c>
      <c r="M98" s="67" t="n">
        <f aca="false">M94-M97</f>
        <v>0</v>
      </c>
      <c r="N98" s="67" t="n">
        <f aca="false">N94-N97</f>
        <v>0</v>
      </c>
      <c r="O98" s="67" t="n">
        <f aca="false">O94-O97</f>
        <v>0</v>
      </c>
      <c r="P98" s="67" t="n">
        <f aca="false">P94-P97</f>
        <v>0</v>
      </c>
      <c r="Q98" s="67" t="n">
        <f aca="false">Q94-Q97</f>
        <v>0</v>
      </c>
      <c r="R98" s="67" t="n">
        <f aca="false">R94-R97</f>
        <v>0</v>
      </c>
      <c r="S98" s="67" t="n">
        <f aca="false">S94-S97</f>
        <v>0</v>
      </c>
      <c r="T98" s="67" t="n">
        <f aca="false">T94-T97</f>
        <v>0</v>
      </c>
      <c r="U98" s="67" t="n">
        <f aca="false">U94-U97</f>
        <v>0</v>
      </c>
      <c r="V98" s="67" t="n">
        <f aca="false">V94-V97</f>
        <v>0</v>
      </c>
      <c r="W98" s="67" t="n">
        <f aca="false">W94-W97</f>
        <v>0</v>
      </c>
      <c r="X98" s="67" t="n">
        <f aca="false">X94-X97</f>
        <v>0</v>
      </c>
      <c r="Y98" s="67" t="n">
        <f aca="false">Y94-Y97</f>
        <v>0</v>
      </c>
      <c r="Z98" s="67" t="n">
        <f aca="false">Z94-Z97</f>
        <v>0</v>
      </c>
      <c r="AA98" s="67" t="n">
        <f aca="false">AA94-AA97</f>
        <v>0</v>
      </c>
      <c r="AB98" s="67" t="n">
        <f aca="false">AB94-AB97</f>
        <v>0</v>
      </c>
      <c r="AC98" s="67" t="n">
        <f aca="false">AC94-AC97</f>
        <v>0</v>
      </c>
      <c r="AD98" s="67" t="n">
        <f aca="false">AD94-AD97</f>
        <v>0</v>
      </c>
      <c r="AE98" s="67" t="n">
        <f aca="false">AE94-AE97</f>
        <v>0</v>
      </c>
      <c r="AF98" s="67" t="n">
        <f aca="false">AF94-AF97</f>
        <v>0</v>
      </c>
      <c r="AG98" s="67" t="n">
        <f aca="false">AG94-AG97</f>
        <v>0</v>
      </c>
      <c r="AH98" s="67" t="n">
        <f aca="false">AH94-AH97</f>
        <v>0</v>
      </c>
      <c r="AI98" s="67" t="n">
        <f aca="false">AI94-AI97</f>
        <v>0</v>
      </c>
      <c r="AJ98" s="67" t="n">
        <f aca="false">AJ94-AJ97</f>
        <v>0</v>
      </c>
      <c r="AK98" s="67" t="n">
        <f aca="false">AK94-AK97</f>
        <v>0</v>
      </c>
      <c r="AL98" s="67" t="n">
        <f aca="false">AL94-AL97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1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411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335</v>
      </c>
    </row>
    <row r="3" customFormat="false" ht="15" hidden="false" customHeight="false" outlineLevel="0" collapsed="false">
      <c r="A3" s="33" t="s">
        <v>336</v>
      </c>
      <c r="C3" s="35" t="s">
        <v>337</v>
      </c>
      <c r="D3" s="35" t="s">
        <v>338</v>
      </c>
      <c r="E3" s="35" t="s">
        <v>339</v>
      </c>
      <c r="F3" s="35" t="s">
        <v>340</v>
      </c>
      <c r="G3" s="35" t="s">
        <v>341</v>
      </c>
      <c r="H3" s="35" t="s">
        <v>342</v>
      </c>
      <c r="I3" s="35" t="s">
        <v>343</v>
      </c>
      <c r="J3" s="35" t="s">
        <v>344</v>
      </c>
      <c r="K3" s="35" t="s">
        <v>345</v>
      </c>
      <c r="L3" s="35" t="s">
        <v>346</v>
      </c>
      <c r="M3" s="35" t="s">
        <v>347</v>
      </c>
      <c r="N3" s="35" t="s">
        <v>348</v>
      </c>
      <c r="O3" s="35" t="s">
        <v>349</v>
      </c>
      <c r="P3" s="35" t="s">
        <v>350</v>
      </c>
      <c r="Q3" s="35" t="s">
        <v>351</v>
      </c>
      <c r="R3" s="35" t="s">
        <v>352</v>
      </c>
      <c r="S3" s="35" t="s">
        <v>353</v>
      </c>
      <c r="T3" s="35" t="s">
        <v>354</v>
      </c>
      <c r="U3" s="35" t="s">
        <v>355</v>
      </c>
      <c r="V3" s="35" t="s">
        <v>356</v>
      </c>
      <c r="W3" s="35" t="s">
        <v>357</v>
      </c>
      <c r="X3" s="35" t="s">
        <v>358</v>
      </c>
      <c r="Y3" s="35" t="s">
        <v>359</v>
      </c>
      <c r="Z3" s="35" t="s">
        <v>360</v>
      </c>
      <c r="AA3" s="35" t="s">
        <v>361</v>
      </c>
      <c r="AB3" s="35" t="s">
        <v>362</v>
      </c>
      <c r="AC3" s="35" t="s">
        <v>363</v>
      </c>
      <c r="AD3" s="35" t="s">
        <v>364</v>
      </c>
      <c r="AE3" s="35" t="s">
        <v>365</v>
      </c>
      <c r="AF3" s="35" t="s">
        <v>366</v>
      </c>
      <c r="AG3" s="35" t="s">
        <v>367</v>
      </c>
      <c r="AH3" s="35" t="s">
        <v>368</v>
      </c>
      <c r="AI3" s="35" t="s">
        <v>369</v>
      </c>
      <c r="AJ3" s="35" t="s">
        <v>370</v>
      </c>
      <c r="AK3" s="35" t="s">
        <v>371</v>
      </c>
      <c r="AL3" s="35" t="s">
        <v>372</v>
      </c>
    </row>
    <row r="4" customFormat="false" ht="15" hidden="false" customHeight="false" outlineLevel="0" collapsed="false">
      <c r="A4" s="72" t="s">
        <v>373</v>
      </c>
      <c r="C4" s="72" t="n">
        <v>1</v>
      </c>
      <c r="D4" s="72" t="n">
        <v>2</v>
      </c>
      <c r="E4" s="72" t="n">
        <v>3</v>
      </c>
      <c r="F4" s="72" t="n">
        <v>4</v>
      </c>
      <c r="G4" s="72" t="n">
        <v>5</v>
      </c>
      <c r="H4" s="72" t="n">
        <v>6</v>
      </c>
      <c r="I4" s="72" t="n">
        <v>7</v>
      </c>
      <c r="J4" s="72" t="n">
        <v>8</v>
      </c>
      <c r="K4" s="72" t="n">
        <v>9</v>
      </c>
      <c r="L4" s="72" t="n">
        <v>10</v>
      </c>
      <c r="M4" s="72" t="n">
        <v>11</v>
      </c>
      <c r="N4" s="72" t="n">
        <v>12</v>
      </c>
      <c r="O4" s="72" t="n">
        <v>13</v>
      </c>
      <c r="P4" s="72" t="n">
        <v>14</v>
      </c>
      <c r="Q4" s="72" t="n">
        <v>15</v>
      </c>
      <c r="R4" s="72" t="n">
        <v>16</v>
      </c>
      <c r="S4" s="72" t="n">
        <v>17</v>
      </c>
      <c r="T4" s="72" t="n">
        <v>18</v>
      </c>
      <c r="U4" s="72" t="n">
        <v>19</v>
      </c>
      <c r="V4" s="72" t="n">
        <v>20</v>
      </c>
      <c r="W4" s="72" t="n">
        <v>21</v>
      </c>
      <c r="X4" s="72" t="n">
        <v>22</v>
      </c>
      <c r="Y4" s="72" t="n">
        <v>23</v>
      </c>
      <c r="Z4" s="72" t="n">
        <v>24</v>
      </c>
      <c r="AA4" s="72" t="n">
        <v>25</v>
      </c>
      <c r="AB4" s="72" t="n">
        <v>26</v>
      </c>
      <c r="AC4" s="72" t="n">
        <v>27</v>
      </c>
      <c r="AD4" s="72" t="n">
        <v>28</v>
      </c>
      <c r="AE4" s="72" t="n">
        <v>29</v>
      </c>
      <c r="AF4" s="72" t="n">
        <v>30</v>
      </c>
      <c r="AG4" s="72" t="n">
        <v>31</v>
      </c>
      <c r="AH4" s="72" t="n">
        <v>32</v>
      </c>
      <c r="AI4" s="72" t="n">
        <v>33</v>
      </c>
      <c r="AJ4" s="72" t="n">
        <v>34</v>
      </c>
      <c r="AK4" s="72" t="n">
        <v>35</v>
      </c>
      <c r="AL4" s="72" t="n">
        <v>36</v>
      </c>
    </row>
    <row r="5" customFormat="false" ht="15" hidden="false" customHeight="false" outlineLevel="0" collapsed="false">
      <c r="A5" s="72" t="s">
        <v>153</v>
      </c>
      <c r="C5" s="72" t="n">
        <f aca="false">ROUNDUP(C4*1/12,0)</f>
        <v>1</v>
      </c>
      <c r="D5" s="72" t="n">
        <f aca="false">ROUNDUP(D4*1/12,0)</f>
        <v>1</v>
      </c>
      <c r="E5" s="72" t="n">
        <f aca="false">ROUNDUP(E4*1/12,0)</f>
        <v>1</v>
      </c>
      <c r="F5" s="72" t="n">
        <f aca="false">ROUNDUP(F4*1/12,0)</f>
        <v>1</v>
      </c>
      <c r="G5" s="72" t="n">
        <f aca="false">ROUNDUP(G4*1/12,0)</f>
        <v>1</v>
      </c>
      <c r="H5" s="72" t="n">
        <f aca="false">ROUNDUP(H4*1/12,0)</f>
        <v>1</v>
      </c>
      <c r="I5" s="72" t="n">
        <f aca="false">ROUNDUP(I4*1/12,0)</f>
        <v>1</v>
      </c>
      <c r="J5" s="72" t="n">
        <f aca="false">ROUNDUP(J4*1/12,0)</f>
        <v>1</v>
      </c>
      <c r="K5" s="72" t="n">
        <f aca="false">ROUNDUP(K4*1/12,0)</f>
        <v>1</v>
      </c>
      <c r="L5" s="72" t="n">
        <f aca="false">ROUNDUP(L4*1/12,0)</f>
        <v>1</v>
      </c>
      <c r="M5" s="72" t="n">
        <f aca="false">ROUNDUP(M4*1/12,0)</f>
        <v>1</v>
      </c>
      <c r="N5" s="72" t="n">
        <f aca="false">ROUNDUP(N4*1/12,0)</f>
        <v>1</v>
      </c>
      <c r="O5" s="72" t="n">
        <f aca="false">ROUNDUP(O4*1/12,0)</f>
        <v>2</v>
      </c>
      <c r="P5" s="72" t="n">
        <f aca="false">ROUNDUP(P4*1/12,0)</f>
        <v>2</v>
      </c>
      <c r="Q5" s="72" t="n">
        <f aca="false">ROUNDUP(Q4*1/12,0)</f>
        <v>2</v>
      </c>
      <c r="R5" s="72" t="n">
        <f aca="false">ROUNDUP(R4*1/12,0)</f>
        <v>2</v>
      </c>
      <c r="S5" s="72" t="n">
        <f aca="false">ROUNDUP(S4*1/12,0)</f>
        <v>2</v>
      </c>
      <c r="T5" s="72" t="n">
        <f aca="false">ROUNDUP(T4*1/12,0)</f>
        <v>2</v>
      </c>
      <c r="U5" s="72" t="n">
        <f aca="false">ROUNDUP(U4*1/12,0)</f>
        <v>2</v>
      </c>
      <c r="V5" s="72" t="n">
        <f aca="false">ROUNDUP(V4*1/12,0)</f>
        <v>2</v>
      </c>
      <c r="W5" s="72" t="n">
        <f aca="false">ROUNDUP(W4*1/12,0)</f>
        <v>2</v>
      </c>
      <c r="X5" s="72" t="n">
        <f aca="false">ROUNDUP(X4*1/12,0)</f>
        <v>2</v>
      </c>
      <c r="Y5" s="72" t="n">
        <f aca="false">ROUNDUP(Y4*1/12,0)</f>
        <v>2</v>
      </c>
      <c r="Z5" s="72" t="n">
        <f aca="false">ROUNDUP(Z4*1/12,0)</f>
        <v>2</v>
      </c>
      <c r="AA5" s="72" t="n">
        <f aca="false">ROUNDUP(AA4*1/12,0)</f>
        <v>3</v>
      </c>
      <c r="AB5" s="72" t="n">
        <f aca="false">ROUNDUP(AB4*1/12,0)</f>
        <v>3</v>
      </c>
      <c r="AC5" s="72" t="n">
        <f aca="false">ROUNDUP(AC4*1/12,0)</f>
        <v>3</v>
      </c>
      <c r="AD5" s="72" t="n">
        <f aca="false">ROUNDUP(AD4*1/12,0)</f>
        <v>3</v>
      </c>
      <c r="AE5" s="72" t="n">
        <f aca="false">ROUNDUP(AE4*1/12,0)</f>
        <v>3</v>
      </c>
      <c r="AF5" s="72" t="n">
        <f aca="false">ROUNDUP(AF4*1/12,0)</f>
        <v>3</v>
      </c>
      <c r="AG5" s="72" t="n">
        <f aca="false">ROUNDUP(AG4*1/12,0)</f>
        <v>3</v>
      </c>
      <c r="AH5" s="72" t="n">
        <f aca="false">ROUNDUP(AH4*1/12,0)</f>
        <v>3</v>
      </c>
      <c r="AI5" s="72" t="n">
        <f aca="false">ROUNDUP(AI4*1/12,0)</f>
        <v>3</v>
      </c>
      <c r="AJ5" s="72" t="n">
        <f aca="false">ROUNDUP(AJ4*1/12,0)</f>
        <v>3</v>
      </c>
      <c r="AK5" s="72" t="n">
        <f aca="false">ROUNDUP(AK4*1/12,0)</f>
        <v>3</v>
      </c>
      <c r="AL5" s="72" t="n">
        <f aca="false">ROUNDUP(AL4*1/12,0)</f>
        <v>3</v>
      </c>
    </row>
    <row r="7" customFormat="false" ht="15.75" hidden="false" customHeight="true" outlineLevel="0" collapsed="false">
      <c r="A7" s="7" t="s">
        <v>412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413</v>
      </c>
      <c r="C8" s="118" t="n">
        <f aca="false">Inputs!$E$42*(1+Inputs!$E$44)^(C$5-1)*MAX(0,MIN(1,C$4*1-Inputs!$E$45+1))/1</f>
        <v>7</v>
      </c>
      <c r="D8" s="118" t="n">
        <f aca="false">Inputs!$E$42*(1+Inputs!$E$44)^(D$5-1)*MAX(0,MIN(1,D$4*1-Inputs!$E$45+1))/1</f>
        <v>7</v>
      </c>
      <c r="E8" s="118" t="n">
        <f aca="false">Inputs!$E$42*(1+Inputs!$E$44)^(E$5-1)*MAX(0,MIN(1,E$4*1-Inputs!$E$45+1))/1</f>
        <v>7</v>
      </c>
      <c r="F8" s="118" t="n">
        <f aca="false">Inputs!$E$42*(1+Inputs!$E$44)^(F$5-1)*MAX(0,MIN(1,F$4*1-Inputs!$E$45+1))/1</f>
        <v>7</v>
      </c>
      <c r="G8" s="118" t="n">
        <f aca="false">Inputs!$E$42*(1+Inputs!$E$44)^(G$5-1)*MAX(0,MIN(1,G$4*1-Inputs!$E$45+1))/1</f>
        <v>7</v>
      </c>
      <c r="H8" s="118" t="n">
        <f aca="false">Inputs!$E$42*(1+Inputs!$E$44)^(H$5-1)*MAX(0,MIN(1,H$4*1-Inputs!$E$45+1))/1</f>
        <v>7</v>
      </c>
      <c r="I8" s="118" t="n">
        <f aca="false">Inputs!$E$42*(1+Inputs!$E$44)^(I$5-1)*MAX(0,MIN(1,I$4*1-Inputs!$E$45+1))/1</f>
        <v>7</v>
      </c>
      <c r="J8" s="118" t="n">
        <f aca="false">Inputs!$E$42*(1+Inputs!$E$44)^(J$5-1)*MAX(0,MIN(1,J$4*1-Inputs!$E$45+1))/1</f>
        <v>7</v>
      </c>
      <c r="K8" s="118" t="n">
        <f aca="false">Inputs!$E$42*(1+Inputs!$E$44)^(K$5-1)*MAX(0,MIN(1,K$4*1-Inputs!$E$45+1))/1</f>
        <v>7</v>
      </c>
      <c r="L8" s="118" t="n">
        <f aca="false">Inputs!$E$42*(1+Inputs!$E$44)^(L$5-1)*MAX(0,MIN(1,L$4*1-Inputs!$E$45+1))/1</f>
        <v>7</v>
      </c>
      <c r="M8" s="118" t="n">
        <f aca="false">Inputs!$E$42*(1+Inputs!$E$44)^(M$5-1)*MAX(0,MIN(1,M$4*1-Inputs!$E$45+1))/1</f>
        <v>7</v>
      </c>
      <c r="N8" s="118" t="n">
        <f aca="false">Inputs!$E$42*(1+Inputs!$E$44)^(N$5-1)*MAX(0,MIN(1,N$4*1-Inputs!$E$45+1))/1</f>
        <v>7</v>
      </c>
      <c r="O8" s="118" t="n">
        <f aca="false">Inputs!$E$42*(1+Inputs!$E$44)^(O$5-1)*MAX(0,MIN(1,O$4*1-Inputs!$E$45+1))/1</f>
        <v>7.84</v>
      </c>
      <c r="P8" s="118" t="n">
        <f aca="false">Inputs!$E$42*(1+Inputs!$E$44)^(P$5-1)*MAX(0,MIN(1,P$4*1-Inputs!$E$45+1))/1</f>
        <v>7.84</v>
      </c>
      <c r="Q8" s="118" t="n">
        <f aca="false">Inputs!$E$42*(1+Inputs!$E$44)^(Q$5-1)*MAX(0,MIN(1,Q$4*1-Inputs!$E$45+1))/1</f>
        <v>7.84</v>
      </c>
      <c r="R8" s="118" t="n">
        <f aca="false">Inputs!$E$42*(1+Inputs!$E$44)^(R$5-1)*MAX(0,MIN(1,R$4*1-Inputs!$E$45+1))/1</f>
        <v>7.84</v>
      </c>
      <c r="S8" s="118" t="n">
        <f aca="false">Inputs!$E$42*(1+Inputs!$E$44)^(S$5-1)*MAX(0,MIN(1,S$4*1-Inputs!$E$45+1))/1</f>
        <v>7.84</v>
      </c>
      <c r="T8" s="118" t="n">
        <f aca="false">Inputs!$E$42*(1+Inputs!$E$44)^(T$5-1)*MAX(0,MIN(1,T$4*1-Inputs!$E$45+1))/1</f>
        <v>7.84</v>
      </c>
      <c r="U8" s="118" t="n">
        <f aca="false">Inputs!$E$42*(1+Inputs!$E$44)^(U$5-1)*MAX(0,MIN(1,U$4*1-Inputs!$E$45+1))/1</f>
        <v>7.84</v>
      </c>
      <c r="V8" s="118" t="n">
        <f aca="false">Inputs!$E$42*(1+Inputs!$E$44)^(V$5-1)*MAX(0,MIN(1,V$4*1-Inputs!$E$45+1))/1</f>
        <v>7.84</v>
      </c>
      <c r="W8" s="118" t="n">
        <f aca="false">Inputs!$E$42*(1+Inputs!$E$44)^(W$5-1)*MAX(0,MIN(1,W$4*1-Inputs!$E$45+1))/1</f>
        <v>7.84</v>
      </c>
      <c r="X8" s="118" t="n">
        <f aca="false">Inputs!$E$42*(1+Inputs!$E$44)^(X$5-1)*MAX(0,MIN(1,X$4*1-Inputs!$E$45+1))/1</f>
        <v>7.84</v>
      </c>
      <c r="Y8" s="118" t="n">
        <f aca="false">Inputs!$E$42*(1+Inputs!$E$44)^(Y$5-1)*MAX(0,MIN(1,Y$4*1-Inputs!$E$45+1))/1</f>
        <v>7.84</v>
      </c>
      <c r="Z8" s="118" t="n">
        <f aca="false">Inputs!$E$42*(1+Inputs!$E$44)^(Z$5-1)*MAX(0,MIN(1,Z$4*1-Inputs!$E$45+1))/1</f>
        <v>7.84</v>
      </c>
      <c r="AA8" s="118" t="n">
        <f aca="false">Inputs!$E$42*(1+Inputs!$E$44)^(AA$5-1)*MAX(0,MIN(1,AA$4*1-Inputs!$E$45+1))/1</f>
        <v>8.7808</v>
      </c>
      <c r="AB8" s="118" t="n">
        <f aca="false">Inputs!$E$42*(1+Inputs!$E$44)^(AB$5-1)*MAX(0,MIN(1,AB$4*1-Inputs!$E$45+1))/1</f>
        <v>8.7808</v>
      </c>
      <c r="AC8" s="118" t="n">
        <f aca="false">Inputs!$E$42*(1+Inputs!$E$44)^(AC$5-1)*MAX(0,MIN(1,AC$4*1-Inputs!$E$45+1))/1</f>
        <v>8.7808</v>
      </c>
      <c r="AD8" s="118" t="n">
        <f aca="false">Inputs!$E$42*(1+Inputs!$E$44)^(AD$5-1)*MAX(0,MIN(1,AD$4*1-Inputs!$E$45+1))/1</f>
        <v>8.7808</v>
      </c>
      <c r="AE8" s="118" t="n">
        <f aca="false">Inputs!$E$42*(1+Inputs!$E$44)^(AE$5-1)*MAX(0,MIN(1,AE$4*1-Inputs!$E$45+1))/1</f>
        <v>8.7808</v>
      </c>
      <c r="AF8" s="118" t="n">
        <f aca="false">Inputs!$E$42*(1+Inputs!$E$44)^(AF$5-1)*MAX(0,MIN(1,AF$4*1-Inputs!$E$45+1))/1</f>
        <v>8.7808</v>
      </c>
      <c r="AG8" s="118" t="n">
        <f aca="false">Inputs!$E$42*(1+Inputs!$E$44)^(AG$5-1)*MAX(0,MIN(1,AG$4*1-Inputs!$E$45+1))/1</f>
        <v>8.7808</v>
      </c>
      <c r="AH8" s="118" t="n">
        <f aca="false">Inputs!$E$42*(1+Inputs!$E$44)^(AH$5-1)*MAX(0,MIN(1,AH$4*1-Inputs!$E$45+1))/1</f>
        <v>8.7808</v>
      </c>
      <c r="AI8" s="118" t="n">
        <f aca="false">Inputs!$E$42*(1+Inputs!$E$44)^(AI$5-1)*MAX(0,MIN(1,AI$4*1-Inputs!$E$45+1))/1</f>
        <v>8.7808</v>
      </c>
      <c r="AJ8" s="118" t="n">
        <f aca="false">Inputs!$E$42*(1+Inputs!$E$44)^(AJ$5-1)*MAX(0,MIN(1,AJ$4*1-Inputs!$E$45+1))/1</f>
        <v>8.7808</v>
      </c>
      <c r="AK8" s="118" t="n">
        <f aca="false">Inputs!$E$42*(1+Inputs!$E$44)^(AK$5-1)*MAX(0,MIN(1,AK$4*1-Inputs!$E$45+1))/1</f>
        <v>8.7808</v>
      </c>
      <c r="AL8" s="118" t="n">
        <f aca="false">Inputs!$E$42*(1+Inputs!$E$44)^(AL$5-1)*MAX(0,MIN(1,AL$4*1-Inputs!$E$45+1))/1</f>
        <v>8.7808</v>
      </c>
    </row>
    <row r="9" customFormat="false" ht="15" hidden="false" customHeight="false" outlineLevel="0" collapsed="false">
      <c r="A9" s="6" t="s">
        <v>414</v>
      </c>
      <c r="C9" s="118" t="n">
        <f aca="false">Inputs!$E$46*(1+Inputs!$E$48)^(C$5-1)*MAX(0,MIN(1,C$4*1-Inputs!$E$49+1))/1</f>
        <v>2</v>
      </c>
      <c r="D9" s="118" t="n">
        <f aca="false">Inputs!$E$46*(1+Inputs!$E$48)^(D$5-1)*MAX(0,MIN(1,D$4*1-Inputs!$E$49+1))/1</f>
        <v>2</v>
      </c>
      <c r="E9" s="118" t="n">
        <f aca="false">Inputs!$E$46*(1+Inputs!$E$48)^(E$5-1)*MAX(0,MIN(1,E$4*1-Inputs!$E$49+1))/1</f>
        <v>2</v>
      </c>
      <c r="F9" s="118" t="n">
        <f aca="false">Inputs!$E$46*(1+Inputs!$E$48)^(F$5-1)*MAX(0,MIN(1,F$4*1-Inputs!$E$49+1))/1</f>
        <v>2</v>
      </c>
      <c r="G9" s="118" t="n">
        <f aca="false">Inputs!$E$46*(1+Inputs!$E$48)^(G$5-1)*MAX(0,MIN(1,G$4*1-Inputs!$E$49+1))/1</f>
        <v>2</v>
      </c>
      <c r="H9" s="118" t="n">
        <f aca="false">Inputs!$E$46*(1+Inputs!$E$48)^(H$5-1)*MAX(0,MIN(1,H$4*1-Inputs!$E$49+1))/1</f>
        <v>2</v>
      </c>
      <c r="I9" s="118" t="n">
        <f aca="false">Inputs!$E$46*(1+Inputs!$E$48)^(I$5-1)*MAX(0,MIN(1,I$4*1-Inputs!$E$49+1))/1</f>
        <v>2</v>
      </c>
      <c r="J9" s="118" t="n">
        <f aca="false">Inputs!$E$46*(1+Inputs!$E$48)^(J$5-1)*MAX(0,MIN(1,J$4*1-Inputs!$E$49+1))/1</f>
        <v>2</v>
      </c>
      <c r="K9" s="118" t="n">
        <f aca="false">Inputs!$E$46*(1+Inputs!$E$48)^(K$5-1)*MAX(0,MIN(1,K$4*1-Inputs!$E$49+1))/1</f>
        <v>2</v>
      </c>
      <c r="L9" s="118" t="n">
        <f aca="false">Inputs!$E$46*(1+Inputs!$E$48)^(L$5-1)*MAX(0,MIN(1,L$4*1-Inputs!$E$49+1))/1</f>
        <v>2</v>
      </c>
      <c r="M9" s="118" t="n">
        <f aca="false">Inputs!$E$46*(1+Inputs!$E$48)^(M$5-1)*MAX(0,MIN(1,M$4*1-Inputs!$E$49+1))/1</f>
        <v>2</v>
      </c>
      <c r="N9" s="118" t="n">
        <f aca="false">Inputs!$E$46*(1+Inputs!$E$48)^(N$5-1)*MAX(0,MIN(1,N$4*1-Inputs!$E$49+1))/1</f>
        <v>2</v>
      </c>
      <c r="O9" s="118" t="n">
        <f aca="false">Inputs!$E$46*(1+Inputs!$E$48)^(O$5-1)*MAX(0,MIN(1,O$4*1-Inputs!$E$49+1))/1</f>
        <v>2.2</v>
      </c>
      <c r="P9" s="118" t="n">
        <f aca="false">Inputs!$E$46*(1+Inputs!$E$48)^(P$5-1)*MAX(0,MIN(1,P$4*1-Inputs!$E$49+1))/1</f>
        <v>2.2</v>
      </c>
      <c r="Q9" s="118" t="n">
        <f aca="false">Inputs!$E$46*(1+Inputs!$E$48)^(Q$5-1)*MAX(0,MIN(1,Q$4*1-Inputs!$E$49+1))/1</f>
        <v>2.2</v>
      </c>
      <c r="R9" s="118" t="n">
        <f aca="false">Inputs!$E$46*(1+Inputs!$E$48)^(R$5-1)*MAX(0,MIN(1,R$4*1-Inputs!$E$49+1))/1</f>
        <v>2.2</v>
      </c>
      <c r="S9" s="118" t="n">
        <f aca="false">Inputs!$E$46*(1+Inputs!$E$48)^(S$5-1)*MAX(0,MIN(1,S$4*1-Inputs!$E$49+1))/1</f>
        <v>2.2</v>
      </c>
      <c r="T9" s="118" t="n">
        <f aca="false">Inputs!$E$46*(1+Inputs!$E$48)^(T$5-1)*MAX(0,MIN(1,T$4*1-Inputs!$E$49+1))/1</f>
        <v>2.2</v>
      </c>
      <c r="U9" s="118" t="n">
        <f aca="false">Inputs!$E$46*(1+Inputs!$E$48)^(U$5-1)*MAX(0,MIN(1,U$4*1-Inputs!$E$49+1))/1</f>
        <v>2.2</v>
      </c>
      <c r="V9" s="118" t="n">
        <f aca="false">Inputs!$E$46*(1+Inputs!$E$48)^(V$5-1)*MAX(0,MIN(1,V$4*1-Inputs!$E$49+1))/1</f>
        <v>2.2</v>
      </c>
      <c r="W9" s="118" t="n">
        <f aca="false">Inputs!$E$46*(1+Inputs!$E$48)^(W$5-1)*MAX(0,MIN(1,W$4*1-Inputs!$E$49+1))/1</f>
        <v>2.2</v>
      </c>
      <c r="X9" s="118" t="n">
        <f aca="false">Inputs!$E$46*(1+Inputs!$E$48)^(X$5-1)*MAX(0,MIN(1,X$4*1-Inputs!$E$49+1))/1</f>
        <v>2.2</v>
      </c>
      <c r="Y9" s="118" t="n">
        <f aca="false">Inputs!$E$46*(1+Inputs!$E$48)^(Y$5-1)*MAX(0,MIN(1,Y$4*1-Inputs!$E$49+1))/1</f>
        <v>2.2</v>
      </c>
      <c r="Z9" s="118" t="n">
        <f aca="false">Inputs!$E$46*(1+Inputs!$E$48)^(Z$5-1)*MAX(0,MIN(1,Z$4*1-Inputs!$E$49+1))/1</f>
        <v>2.2</v>
      </c>
      <c r="AA9" s="118" t="n">
        <f aca="false">Inputs!$E$46*(1+Inputs!$E$48)^(AA$5-1)*MAX(0,MIN(1,AA$4*1-Inputs!$E$49+1))/1</f>
        <v>2.42</v>
      </c>
      <c r="AB9" s="118" t="n">
        <f aca="false">Inputs!$E$46*(1+Inputs!$E$48)^(AB$5-1)*MAX(0,MIN(1,AB$4*1-Inputs!$E$49+1))/1</f>
        <v>2.42</v>
      </c>
      <c r="AC9" s="118" t="n">
        <f aca="false">Inputs!$E$46*(1+Inputs!$E$48)^(AC$5-1)*MAX(0,MIN(1,AC$4*1-Inputs!$E$49+1))/1</f>
        <v>2.42</v>
      </c>
      <c r="AD9" s="118" t="n">
        <f aca="false">Inputs!$E$46*(1+Inputs!$E$48)^(AD$5-1)*MAX(0,MIN(1,AD$4*1-Inputs!$E$49+1))/1</f>
        <v>2.42</v>
      </c>
      <c r="AE9" s="118" t="n">
        <f aca="false">Inputs!$E$46*(1+Inputs!$E$48)^(AE$5-1)*MAX(0,MIN(1,AE$4*1-Inputs!$E$49+1))/1</f>
        <v>2.42</v>
      </c>
      <c r="AF9" s="118" t="n">
        <f aca="false">Inputs!$E$46*(1+Inputs!$E$48)^(AF$5-1)*MAX(0,MIN(1,AF$4*1-Inputs!$E$49+1))/1</f>
        <v>2.42</v>
      </c>
      <c r="AG9" s="118" t="n">
        <f aca="false">Inputs!$E$46*(1+Inputs!$E$48)^(AG$5-1)*MAX(0,MIN(1,AG$4*1-Inputs!$E$49+1))/1</f>
        <v>2.42</v>
      </c>
      <c r="AH9" s="118" t="n">
        <f aca="false">Inputs!$E$46*(1+Inputs!$E$48)^(AH$5-1)*MAX(0,MIN(1,AH$4*1-Inputs!$E$49+1))/1</f>
        <v>2.42</v>
      </c>
      <c r="AI9" s="118" t="n">
        <f aca="false">Inputs!$E$46*(1+Inputs!$E$48)^(AI$5-1)*MAX(0,MIN(1,AI$4*1-Inputs!$E$49+1))/1</f>
        <v>2.42</v>
      </c>
      <c r="AJ9" s="118" t="n">
        <f aca="false">Inputs!$E$46*(1+Inputs!$E$48)^(AJ$5-1)*MAX(0,MIN(1,AJ$4*1-Inputs!$E$49+1))/1</f>
        <v>2.42</v>
      </c>
      <c r="AK9" s="118" t="n">
        <f aca="false">Inputs!$E$46*(1+Inputs!$E$48)^(AK$5-1)*MAX(0,MIN(1,AK$4*1-Inputs!$E$49+1))/1</f>
        <v>2.42</v>
      </c>
      <c r="AL9" s="118" t="n">
        <f aca="false">Inputs!$E$46*(1+Inputs!$E$48)^(AL$5-1)*MAX(0,MIN(1,AL$4*1-Inputs!$E$49+1))/1</f>
        <v>2.42</v>
      </c>
    </row>
    <row r="10" customFormat="false" ht="15" hidden="false" customHeight="false" outlineLevel="0" collapsed="false">
      <c r="A10" s="113" t="s">
        <v>415</v>
      </c>
      <c r="C10" s="122" t="n">
        <f aca="false">C8+C9</f>
        <v>9</v>
      </c>
      <c r="D10" s="122" t="n">
        <f aca="false">D8+D9</f>
        <v>9</v>
      </c>
      <c r="E10" s="122" t="n">
        <f aca="false">E8+E9</f>
        <v>9</v>
      </c>
      <c r="F10" s="122" t="n">
        <f aca="false">F8+F9</f>
        <v>9</v>
      </c>
      <c r="G10" s="122" t="n">
        <f aca="false">G8+G9</f>
        <v>9</v>
      </c>
      <c r="H10" s="122" t="n">
        <f aca="false">H8+H9</f>
        <v>9</v>
      </c>
      <c r="I10" s="122" t="n">
        <f aca="false">I8+I9</f>
        <v>9</v>
      </c>
      <c r="J10" s="122" t="n">
        <f aca="false">J8+J9</f>
        <v>9</v>
      </c>
      <c r="K10" s="122" t="n">
        <f aca="false">K8+K9</f>
        <v>9</v>
      </c>
      <c r="L10" s="122" t="n">
        <f aca="false">L8+L9</f>
        <v>9</v>
      </c>
      <c r="M10" s="122" t="n">
        <f aca="false">M8+M9</f>
        <v>9</v>
      </c>
      <c r="N10" s="122" t="n">
        <f aca="false">N8+N9</f>
        <v>9</v>
      </c>
      <c r="O10" s="122" t="n">
        <f aca="false">O8+O9</f>
        <v>10.04</v>
      </c>
      <c r="P10" s="122" t="n">
        <f aca="false">P8+P9</f>
        <v>10.04</v>
      </c>
      <c r="Q10" s="122" t="n">
        <f aca="false">Q8+Q9</f>
        <v>10.04</v>
      </c>
      <c r="R10" s="122" t="n">
        <f aca="false">R8+R9</f>
        <v>10.04</v>
      </c>
      <c r="S10" s="122" t="n">
        <f aca="false">S8+S9</f>
        <v>10.04</v>
      </c>
      <c r="T10" s="122" t="n">
        <f aca="false">T8+T9</f>
        <v>10.04</v>
      </c>
      <c r="U10" s="122" t="n">
        <f aca="false">U8+U9</f>
        <v>10.04</v>
      </c>
      <c r="V10" s="122" t="n">
        <f aca="false">V8+V9</f>
        <v>10.04</v>
      </c>
      <c r="W10" s="122" t="n">
        <f aca="false">W8+W9</f>
        <v>10.04</v>
      </c>
      <c r="X10" s="122" t="n">
        <f aca="false">X8+X9</f>
        <v>10.04</v>
      </c>
      <c r="Y10" s="122" t="n">
        <f aca="false">Y8+Y9</f>
        <v>10.04</v>
      </c>
      <c r="Z10" s="122" t="n">
        <f aca="false">Z8+Z9</f>
        <v>10.04</v>
      </c>
      <c r="AA10" s="122" t="n">
        <f aca="false">AA8+AA9</f>
        <v>11.2008</v>
      </c>
      <c r="AB10" s="122" t="n">
        <f aca="false">AB8+AB9</f>
        <v>11.2008</v>
      </c>
      <c r="AC10" s="122" t="n">
        <f aca="false">AC8+AC9</f>
        <v>11.2008</v>
      </c>
      <c r="AD10" s="122" t="n">
        <f aca="false">AD8+AD9</f>
        <v>11.2008</v>
      </c>
      <c r="AE10" s="122" t="n">
        <f aca="false">AE8+AE9</f>
        <v>11.2008</v>
      </c>
      <c r="AF10" s="122" t="n">
        <f aca="false">AF8+AF9</f>
        <v>11.2008</v>
      </c>
      <c r="AG10" s="122" t="n">
        <f aca="false">AG8+AG9</f>
        <v>11.2008</v>
      </c>
      <c r="AH10" s="122" t="n">
        <f aca="false">AH8+AH9</f>
        <v>11.2008</v>
      </c>
      <c r="AI10" s="122" t="n">
        <f aca="false">AI8+AI9</f>
        <v>11.2008</v>
      </c>
      <c r="AJ10" s="122" t="n">
        <f aca="false">AJ8+AJ9</f>
        <v>11.2008</v>
      </c>
      <c r="AK10" s="122" t="n">
        <f aca="false">AK8+AK9</f>
        <v>11.2008</v>
      </c>
      <c r="AL10" s="122" t="n">
        <f aca="false">AL8+AL9</f>
        <v>11.2008</v>
      </c>
    </row>
    <row r="12" customFormat="false" ht="15.75" hidden="false" customHeight="true" outlineLevel="0" collapsed="false">
      <c r="A12" s="7" t="s">
        <v>416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customFormat="false" ht="15" hidden="false" customHeight="false" outlineLevel="0" collapsed="false">
      <c r="A13" s="6" t="s">
        <v>417</v>
      </c>
      <c r="C13" s="67" t="n">
        <f aca="false">-C8*Inputs!$E$43/12*1*(1+Inputs!$E$50)*(1+Inputs!$E$51)^(C$5-1)</f>
        <v>-41591.6666666667</v>
      </c>
      <c r="D13" s="67" t="n">
        <f aca="false">-D8*Inputs!$E$43/12*1*(1+Inputs!$E$50)*(1+Inputs!$E$51)^(D$5-1)</f>
        <v>-41591.6666666667</v>
      </c>
      <c r="E13" s="67" t="n">
        <f aca="false">-E8*Inputs!$E$43/12*1*(1+Inputs!$E$50)*(1+Inputs!$E$51)^(E$5-1)</f>
        <v>-41591.6666666667</v>
      </c>
      <c r="F13" s="67" t="n">
        <f aca="false">-F8*Inputs!$E$43/12*1*(1+Inputs!$E$50)*(1+Inputs!$E$51)^(F$5-1)</f>
        <v>-41591.6666666667</v>
      </c>
      <c r="G13" s="67" t="n">
        <f aca="false">-G8*Inputs!$E$43/12*1*(1+Inputs!$E$50)*(1+Inputs!$E$51)^(G$5-1)</f>
        <v>-41591.6666666667</v>
      </c>
      <c r="H13" s="67" t="n">
        <f aca="false">-H8*Inputs!$E$43/12*1*(1+Inputs!$E$50)*(1+Inputs!$E$51)^(H$5-1)</f>
        <v>-41591.6666666667</v>
      </c>
      <c r="I13" s="67" t="n">
        <f aca="false">-I8*Inputs!$E$43/12*1*(1+Inputs!$E$50)*(1+Inputs!$E$51)^(I$5-1)</f>
        <v>-41591.6666666667</v>
      </c>
      <c r="J13" s="67" t="n">
        <f aca="false">-J8*Inputs!$E$43/12*1*(1+Inputs!$E$50)*(1+Inputs!$E$51)^(J$5-1)</f>
        <v>-41591.6666666667</v>
      </c>
      <c r="K13" s="67" t="n">
        <f aca="false">-K8*Inputs!$E$43/12*1*(1+Inputs!$E$50)*(1+Inputs!$E$51)^(K$5-1)</f>
        <v>-41591.6666666667</v>
      </c>
      <c r="L13" s="67" t="n">
        <f aca="false">-L8*Inputs!$E$43/12*1*(1+Inputs!$E$50)*(1+Inputs!$E$51)^(L$5-1)</f>
        <v>-41591.6666666667</v>
      </c>
      <c r="M13" s="67" t="n">
        <f aca="false">-M8*Inputs!$E$43/12*1*(1+Inputs!$E$50)*(1+Inputs!$E$51)^(M$5-1)</f>
        <v>-41591.6666666667</v>
      </c>
      <c r="N13" s="67" t="n">
        <f aca="false">-N8*Inputs!$E$43/12*1*(1+Inputs!$E$50)*(1+Inputs!$E$51)^(N$5-1)</f>
        <v>-41591.6666666667</v>
      </c>
      <c r="O13" s="67" t="n">
        <f aca="false">-O8*Inputs!$E$43/12*1*(1+Inputs!$E$50)*(1+Inputs!$E$51)^(O$5-1)</f>
        <v>-47980.1466666667</v>
      </c>
      <c r="P13" s="67" t="n">
        <f aca="false">-P8*Inputs!$E$43/12*1*(1+Inputs!$E$50)*(1+Inputs!$E$51)^(P$5-1)</f>
        <v>-47980.1466666667</v>
      </c>
      <c r="Q13" s="67" t="n">
        <f aca="false">-Q8*Inputs!$E$43/12*1*(1+Inputs!$E$50)*(1+Inputs!$E$51)^(Q$5-1)</f>
        <v>-47980.1466666667</v>
      </c>
      <c r="R13" s="67" t="n">
        <f aca="false">-R8*Inputs!$E$43/12*1*(1+Inputs!$E$50)*(1+Inputs!$E$51)^(R$5-1)</f>
        <v>-47980.1466666667</v>
      </c>
      <c r="S13" s="67" t="n">
        <f aca="false">-S8*Inputs!$E$43/12*1*(1+Inputs!$E$50)*(1+Inputs!$E$51)^(S$5-1)</f>
        <v>-47980.1466666667</v>
      </c>
      <c r="T13" s="67" t="n">
        <f aca="false">-T8*Inputs!$E$43/12*1*(1+Inputs!$E$50)*(1+Inputs!$E$51)^(T$5-1)</f>
        <v>-47980.1466666667</v>
      </c>
      <c r="U13" s="67" t="n">
        <f aca="false">-U8*Inputs!$E$43/12*1*(1+Inputs!$E$50)*(1+Inputs!$E$51)^(U$5-1)</f>
        <v>-47980.1466666667</v>
      </c>
      <c r="V13" s="67" t="n">
        <f aca="false">-V8*Inputs!$E$43/12*1*(1+Inputs!$E$50)*(1+Inputs!$E$51)^(V$5-1)</f>
        <v>-47980.1466666667</v>
      </c>
      <c r="W13" s="67" t="n">
        <f aca="false">-W8*Inputs!$E$43/12*1*(1+Inputs!$E$50)*(1+Inputs!$E$51)^(W$5-1)</f>
        <v>-47980.1466666667</v>
      </c>
      <c r="X13" s="67" t="n">
        <f aca="false">-X8*Inputs!$E$43/12*1*(1+Inputs!$E$50)*(1+Inputs!$E$51)^(X$5-1)</f>
        <v>-47980.1466666667</v>
      </c>
      <c r="Y13" s="67" t="n">
        <f aca="false">-Y8*Inputs!$E$43/12*1*(1+Inputs!$E$50)*(1+Inputs!$E$51)^(Y$5-1)</f>
        <v>-47980.1466666667</v>
      </c>
      <c r="Z13" s="67" t="n">
        <f aca="false">-Z8*Inputs!$E$43/12*1*(1+Inputs!$E$50)*(1+Inputs!$E$51)^(Z$5-1)</f>
        <v>-47980.1466666667</v>
      </c>
      <c r="AA13" s="67" t="n">
        <f aca="false">-AA8*Inputs!$E$43/12*1*(1+Inputs!$E$50)*(1+Inputs!$E$51)^(AA$5-1)</f>
        <v>-55349.8971946667</v>
      </c>
      <c r="AB13" s="67" t="n">
        <f aca="false">-AB8*Inputs!$E$43/12*1*(1+Inputs!$E$50)*(1+Inputs!$E$51)^(AB$5-1)</f>
        <v>-55349.8971946667</v>
      </c>
      <c r="AC13" s="67" t="n">
        <f aca="false">-AC8*Inputs!$E$43/12*1*(1+Inputs!$E$50)*(1+Inputs!$E$51)^(AC$5-1)</f>
        <v>-55349.8971946667</v>
      </c>
      <c r="AD13" s="67" t="n">
        <f aca="false">-AD8*Inputs!$E$43/12*1*(1+Inputs!$E$50)*(1+Inputs!$E$51)^(AD$5-1)</f>
        <v>-55349.8971946667</v>
      </c>
      <c r="AE13" s="67" t="n">
        <f aca="false">-AE8*Inputs!$E$43/12*1*(1+Inputs!$E$50)*(1+Inputs!$E$51)^(AE$5-1)</f>
        <v>-55349.8971946667</v>
      </c>
      <c r="AF13" s="67" t="n">
        <f aca="false">-AF8*Inputs!$E$43/12*1*(1+Inputs!$E$50)*(1+Inputs!$E$51)^(AF$5-1)</f>
        <v>-55349.8971946667</v>
      </c>
      <c r="AG13" s="67" t="n">
        <f aca="false">-AG8*Inputs!$E$43/12*1*(1+Inputs!$E$50)*(1+Inputs!$E$51)^(AG$5-1)</f>
        <v>-55349.8971946667</v>
      </c>
      <c r="AH13" s="67" t="n">
        <f aca="false">-AH8*Inputs!$E$43/12*1*(1+Inputs!$E$50)*(1+Inputs!$E$51)^(AH$5-1)</f>
        <v>-55349.8971946667</v>
      </c>
      <c r="AI13" s="67" t="n">
        <f aca="false">-AI8*Inputs!$E$43/12*1*(1+Inputs!$E$50)*(1+Inputs!$E$51)^(AI$5-1)</f>
        <v>-55349.8971946667</v>
      </c>
      <c r="AJ13" s="67" t="n">
        <f aca="false">-AJ8*Inputs!$E$43/12*1*(1+Inputs!$E$50)*(1+Inputs!$E$51)^(AJ$5-1)</f>
        <v>-55349.8971946667</v>
      </c>
      <c r="AK13" s="67" t="n">
        <f aca="false">-AK8*Inputs!$E$43/12*1*(1+Inputs!$E$50)*(1+Inputs!$E$51)^(AK$5-1)</f>
        <v>-55349.8971946667</v>
      </c>
      <c r="AL13" s="67" t="n">
        <f aca="false">-AL8*Inputs!$E$43/12*1*(1+Inputs!$E$50)*(1+Inputs!$E$51)^(AL$5-1)</f>
        <v>-55349.8971946667</v>
      </c>
    </row>
    <row r="14" customFormat="false" ht="15" hidden="false" customHeight="false" outlineLevel="0" collapsed="false">
      <c r="A14" s="6" t="s">
        <v>418</v>
      </c>
      <c r="C14" s="67" t="n">
        <f aca="false">-C9*Inputs!$E$47/12*1*(1+Inputs!$E$50)*(1+Inputs!$E$51)^(C$5-1)</f>
        <v>-8625</v>
      </c>
      <c r="D14" s="67" t="n">
        <f aca="false">-D9*Inputs!$E$47/12*1*(1+Inputs!$E$50)*(1+Inputs!$E$51)^(D$5-1)</f>
        <v>-8625</v>
      </c>
      <c r="E14" s="67" t="n">
        <f aca="false">-E9*Inputs!$E$47/12*1*(1+Inputs!$E$50)*(1+Inputs!$E$51)^(E$5-1)</f>
        <v>-8625</v>
      </c>
      <c r="F14" s="67" t="n">
        <f aca="false">-F9*Inputs!$E$47/12*1*(1+Inputs!$E$50)*(1+Inputs!$E$51)^(F$5-1)</f>
        <v>-8625</v>
      </c>
      <c r="G14" s="67" t="n">
        <f aca="false">-G9*Inputs!$E$47/12*1*(1+Inputs!$E$50)*(1+Inputs!$E$51)^(G$5-1)</f>
        <v>-8625</v>
      </c>
      <c r="H14" s="67" t="n">
        <f aca="false">-H9*Inputs!$E$47/12*1*(1+Inputs!$E$50)*(1+Inputs!$E$51)^(H$5-1)</f>
        <v>-8625</v>
      </c>
      <c r="I14" s="67" t="n">
        <f aca="false">-I9*Inputs!$E$47/12*1*(1+Inputs!$E$50)*(1+Inputs!$E$51)^(I$5-1)</f>
        <v>-8625</v>
      </c>
      <c r="J14" s="67" t="n">
        <f aca="false">-J9*Inputs!$E$47/12*1*(1+Inputs!$E$50)*(1+Inputs!$E$51)^(J$5-1)</f>
        <v>-8625</v>
      </c>
      <c r="K14" s="67" t="n">
        <f aca="false">-K9*Inputs!$E$47/12*1*(1+Inputs!$E$50)*(1+Inputs!$E$51)^(K$5-1)</f>
        <v>-8625</v>
      </c>
      <c r="L14" s="67" t="n">
        <f aca="false">-L9*Inputs!$E$47/12*1*(1+Inputs!$E$50)*(1+Inputs!$E$51)^(L$5-1)</f>
        <v>-8625</v>
      </c>
      <c r="M14" s="67" t="n">
        <f aca="false">-M9*Inputs!$E$47/12*1*(1+Inputs!$E$50)*(1+Inputs!$E$51)^(M$5-1)</f>
        <v>-8625</v>
      </c>
      <c r="N14" s="67" t="n">
        <f aca="false">-N9*Inputs!$E$47/12*1*(1+Inputs!$E$50)*(1+Inputs!$E$51)^(N$5-1)</f>
        <v>-8625</v>
      </c>
      <c r="O14" s="67" t="n">
        <f aca="false">-O9*Inputs!$E$47/12*1*(1+Inputs!$E$50)*(1+Inputs!$E$51)^(O$5-1)</f>
        <v>-9772.125</v>
      </c>
      <c r="P14" s="67" t="n">
        <f aca="false">-P9*Inputs!$E$47/12*1*(1+Inputs!$E$50)*(1+Inputs!$E$51)^(P$5-1)</f>
        <v>-9772.125</v>
      </c>
      <c r="Q14" s="67" t="n">
        <f aca="false">-Q9*Inputs!$E$47/12*1*(1+Inputs!$E$50)*(1+Inputs!$E$51)^(Q$5-1)</f>
        <v>-9772.125</v>
      </c>
      <c r="R14" s="67" t="n">
        <f aca="false">-R9*Inputs!$E$47/12*1*(1+Inputs!$E$50)*(1+Inputs!$E$51)^(R$5-1)</f>
        <v>-9772.125</v>
      </c>
      <c r="S14" s="67" t="n">
        <f aca="false">-S9*Inputs!$E$47/12*1*(1+Inputs!$E$50)*(1+Inputs!$E$51)^(S$5-1)</f>
        <v>-9772.125</v>
      </c>
      <c r="T14" s="67" t="n">
        <f aca="false">-T9*Inputs!$E$47/12*1*(1+Inputs!$E$50)*(1+Inputs!$E$51)^(T$5-1)</f>
        <v>-9772.125</v>
      </c>
      <c r="U14" s="67" t="n">
        <f aca="false">-U9*Inputs!$E$47/12*1*(1+Inputs!$E$50)*(1+Inputs!$E$51)^(U$5-1)</f>
        <v>-9772.125</v>
      </c>
      <c r="V14" s="67" t="n">
        <f aca="false">-V9*Inputs!$E$47/12*1*(1+Inputs!$E$50)*(1+Inputs!$E$51)^(V$5-1)</f>
        <v>-9772.125</v>
      </c>
      <c r="W14" s="67" t="n">
        <f aca="false">-W9*Inputs!$E$47/12*1*(1+Inputs!$E$50)*(1+Inputs!$E$51)^(W$5-1)</f>
        <v>-9772.125</v>
      </c>
      <c r="X14" s="67" t="n">
        <f aca="false">-X9*Inputs!$E$47/12*1*(1+Inputs!$E$50)*(1+Inputs!$E$51)^(X$5-1)</f>
        <v>-9772.125</v>
      </c>
      <c r="Y14" s="67" t="n">
        <f aca="false">-Y9*Inputs!$E$47/12*1*(1+Inputs!$E$50)*(1+Inputs!$E$51)^(Y$5-1)</f>
        <v>-9772.125</v>
      </c>
      <c r="Z14" s="67" t="n">
        <f aca="false">-Z9*Inputs!$E$47/12*1*(1+Inputs!$E$50)*(1+Inputs!$E$51)^(Z$5-1)</f>
        <v>-9772.125</v>
      </c>
      <c r="AA14" s="67" t="n">
        <f aca="false">-AA9*Inputs!$E$47/12*1*(1+Inputs!$E$50)*(1+Inputs!$E$51)^(AA$5-1)</f>
        <v>-11071.817625</v>
      </c>
      <c r="AB14" s="67" t="n">
        <f aca="false">-AB9*Inputs!$E$47/12*1*(1+Inputs!$E$50)*(1+Inputs!$E$51)^(AB$5-1)</f>
        <v>-11071.817625</v>
      </c>
      <c r="AC14" s="67" t="n">
        <f aca="false">-AC9*Inputs!$E$47/12*1*(1+Inputs!$E$50)*(1+Inputs!$E$51)^(AC$5-1)</f>
        <v>-11071.817625</v>
      </c>
      <c r="AD14" s="67" t="n">
        <f aca="false">-AD9*Inputs!$E$47/12*1*(1+Inputs!$E$50)*(1+Inputs!$E$51)^(AD$5-1)</f>
        <v>-11071.817625</v>
      </c>
      <c r="AE14" s="67" t="n">
        <f aca="false">-AE9*Inputs!$E$47/12*1*(1+Inputs!$E$50)*(1+Inputs!$E$51)^(AE$5-1)</f>
        <v>-11071.817625</v>
      </c>
      <c r="AF14" s="67" t="n">
        <f aca="false">-AF9*Inputs!$E$47/12*1*(1+Inputs!$E$50)*(1+Inputs!$E$51)^(AF$5-1)</f>
        <v>-11071.817625</v>
      </c>
      <c r="AG14" s="67" t="n">
        <f aca="false">-AG9*Inputs!$E$47/12*1*(1+Inputs!$E$50)*(1+Inputs!$E$51)^(AG$5-1)</f>
        <v>-11071.817625</v>
      </c>
      <c r="AH14" s="67" t="n">
        <f aca="false">-AH9*Inputs!$E$47/12*1*(1+Inputs!$E$50)*(1+Inputs!$E$51)^(AH$5-1)</f>
        <v>-11071.817625</v>
      </c>
      <c r="AI14" s="67" t="n">
        <f aca="false">-AI9*Inputs!$E$47/12*1*(1+Inputs!$E$50)*(1+Inputs!$E$51)^(AI$5-1)</f>
        <v>-11071.817625</v>
      </c>
      <c r="AJ14" s="67" t="n">
        <f aca="false">-AJ9*Inputs!$E$47/12*1*(1+Inputs!$E$50)*(1+Inputs!$E$51)^(AJ$5-1)</f>
        <v>-11071.817625</v>
      </c>
      <c r="AK14" s="67" t="n">
        <f aca="false">-AK9*Inputs!$E$47/12*1*(1+Inputs!$E$50)*(1+Inputs!$E$51)^(AK$5-1)</f>
        <v>-11071.817625</v>
      </c>
      <c r="AL14" s="67" t="n">
        <f aca="false">-AL9*Inputs!$E$47/12*1*(1+Inputs!$E$50)*(1+Inputs!$E$51)^(AL$5-1)</f>
        <v>-11071.817625</v>
      </c>
    </row>
    <row r="15" customFormat="false" ht="15" hidden="false" customHeight="false" outlineLevel="0" collapsed="false">
      <c r="A15" s="113" t="s">
        <v>419</v>
      </c>
      <c r="C15" s="68" t="n">
        <f aca="false">C13+C14</f>
        <v>-50216.6666666667</v>
      </c>
      <c r="D15" s="68" t="n">
        <f aca="false">D13+D14</f>
        <v>-50216.6666666667</v>
      </c>
      <c r="E15" s="68" t="n">
        <f aca="false">E13+E14</f>
        <v>-50216.6666666667</v>
      </c>
      <c r="F15" s="68" t="n">
        <f aca="false">F13+F14</f>
        <v>-50216.6666666667</v>
      </c>
      <c r="G15" s="68" t="n">
        <f aca="false">G13+G14</f>
        <v>-50216.6666666667</v>
      </c>
      <c r="H15" s="68" t="n">
        <f aca="false">H13+H14</f>
        <v>-50216.6666666667</v>
      </c>
      <c r="I15" s="68" t="n">
        <f aca="false">I13+I14</f>
        <v>-50216.6666666667</v>
      </c>
      <c r="J15" s="68" t="n">
        <f aca="false">J13+J14</f>
        <v>-50216.6666666667</v>
      </c>
      <c r="K15" s="68" t="n">
        <f aca="false">K13+K14</f>
        <v>-50216.6666666667</v>
      </c>
      <c r="L15" s="68" t="n">
        <f aca="false">L13+L14</f>
        <v>-50216.6666666667</v>
      </c>
      <c r="M15" s="68" t="n">
        <f aca="false">M13+M14</f>
        <v>-50216.6666666667</v>
      </c>
      <c r="N15" s="68" t="n">
        <f aca="false">N13+N14</f>
        <v>-50216.6666666667</v>
      </c>
      <c r="O15" s="68" t="n">
        <f aca="false">O13+O14</f>
        <v>-57752.2716666667</v>
      </c>
      <c r="P15" s="68" t="n">
        <f aca="false">P13+P14</f>
        <v>-57752.2716666667</v>
      </c>
      <c r="Q15" s="68" t="n">
        <f aca="false">Q13+Q14</f>
        <v>-57752.2716666667</v>
      </c>
      <c r="R15" s="68" t="n">
        <f aca="false">R13+R14</f>
        <v>-57752.2716666667</v>
      </c>
      <c r="S15" s="68" t="n">
        <f aca="false">S13+S14</f>
        <v>-57752.2716666667</v>
      </c>
      <c r="T15" s="68" t="n">
        <f aca="false">T13+T14</f>
        <v>-57752.2716666667</v>
      </c>
      <c r="U15" s="68" t="n">
        <f aca="false">U13+U14</f>
        <v>-57752.2716666667</v>
      </c>
      <c r="V15" s="68" t="n">
        <f aca="false">V13+V14</f>
        <v>-57752.2716666667</v>
      </c>
      <c r="W15" s="68" t="n">
        <f aca="false">W13+W14</f>
        <v>-57752.2716666667</v>
      </c>
      <c r="X15" s="68" t="n">
        <f aca="false">X13+X14</f>
        <v>-57752.2716666667</v>
      </c>
      <c r="Y15" s="68" t="n">
        <f aca="false">Y13+Y14</f>
        <v>-57752.2716666667</v>
      </c>
      <c r="Z15" s="68" t="n">
        <f aca="false">Z13+Z14</f>
        <v>-57752.2716666667</v>
      </c>
      <c r="AA15" s="68" t="n">
        <f aca="false">AA13+AA14</f>
        <v>-66421.7148196667</v>
      </c>
      <c r="AB15" s="68" t="n">
        <f aca="false">AB13+AB14</f>
        <v>-66421.7148196667</v>
      </c>
      <c r="AC15" s="68" t="n">
        <f aca="false">AC13+AC14</f>
        <v>-66421.7148196667</v>
      </c>
      <c r="AD15" s="68" t="n">
        <f aca="false">AD13+AD14</f>
        <v>-66421.7148196667</v>
      </c>
      <c r="AE15" s="68" t="n">
        <f aca="false">AE13+AE14</f>
        <v>-66421.7148196667</v>
      </c>
      <c r="AF15" s="68" t="n">
        <f aca="false">AF13+AF14</f>
        <v>-66421.7148196667</v>
      </c>
      <c r="AG15" s="68" t="n">
        <f aca="false">AG13+AG14</f>
        <v>-66421.7148196667</v>
      </c>
      <c r="AH15" s="68" t="n">
        <f aca="false">AH13+AH14</f>
        <v>-66421.7148196667</v>
      </c>
      <c r="AI15" s="68" t="n">
        <f aca="false">AI13+AI14</f>
        <v>-66421.7148196667</v>
      </c>
      <c r="AJ15" s="68" t="n">
        <f aca="false">AJ13+AJ14</f>
        <v>-66421.7148196667</v>
      </c>
      <c r="AK15" s="68" t="n">
        <f aca="false">AK13+AK14</f>
        <v>-66421.7148196667</v>
      </c>
      <c r="AL15" s="68" t="n">
        <f aca="false">AL13+AL14</f>
        <v>-66421.7148196667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AL32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38" min="3" style="0" width="11"/>
  </cols>
  <sheetData>
    <row r="1" customFormat="false" ht="21.75" hidden="false" customHeight="true" outlineLevel="0" collapsed="false">
      <c r="A1" s="16" t="s">
        <v>420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421</v>
      </c>
    </row>
    <row r="4" customFormat="false" ht="15.75" hidden="false" customHeight="true" outlineLevel="0" collapsed="false">
      <c r="A4" s="7" t="s">
        <v>422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336</v>
      </c>
      <c r="C5" s="35" t="s">
        <v>337</v>
      </c>
      <c r="D5" s="35" t="s">
        <v>338</v>
      </c>
      <c r="E5" s="35" t="s">
        <v>339</v>
      </c>
      <c r="F5" s="35" t="s">
        <v>340</v>
      </c>
      <c r="G5" s="35" t="s">
        <v>341</v>
      </c>
      <c r="H5" s="35" t="s">
        <v>342</v>
      </c>
      <c r="I5" s="35" t="s">
        <v>343</v>
      </c>
      <c r="J5" s="35" t="s">
        <v>344</v>
      </c>
      <c r="K5" s="35" t="s">
        <v>345</v>
      </c>
      <c r="L5" s="35" t="s">
        <v>346</v>
      </c>
      <c r="M5" s="35" t="s">
        <v>347</v>
      </c>
      <c r="N5" s="35" t="s">
        <v>348</v>
      </c>
      <c r="O5" s="35" t="s">
        <v>349</v>
      </c>
      <c r="P5" s="35" t="s">
        <v>350</v>
      </c>
      <c r="Q5" s="35" t="s">
        <v>351</v>
      </c>
      <c r="R5" s="35" t="s">
        <v>352</v>
      </c>
      <c r="S5" s="35" t="s">
        <v>353</v>
      </c>
      <c r="T5" s="35" t="s">
        <v>354</v>
      </c>
      <c r="U5" s="35" t="s">
        <v>355</v>
      </c>
      <c r="V5" s="35" t="s">
        <v>356</v>
      </c>
      <c r="W5" s="35" t="s">
        <v>357</v>
      </c>
      <c r="X5" s="35" t="s">
        <v>358</v>
      </c>
      <c r="Y5" s="35" t="s">
        <v>359</v>
      </c>
      <c r="Z5" s="35" t="s">
        <v>360</v>
      </c>
      <c r="AA5" s="35" t="s">
        <v>361</v>
      </c>
      <c r="AB5" s="35" t="s">
        <v>362</v>
      </c>
      <c r="AC5" s="35" t="s">
        <v>363</v>
      </c>
      <c r="AD5" s="35" t="s">
        <v>364</v>
      </c>
      <c r="AE5" s="35" t="s">
        <v>365</v>
      </c>
      <c r="AF5" s="35" t="s">
        <v>366</v>
      </c>
      <c r="AG5" s="35" t="s">
        <v>367</v>
      </c>
      <c r="AH5" s="35" t="s">
        <v>368</v>
      </c>
      <c r="AI5" s="35" t="s">
        <v>369</v>
      </c>
      <c r="AJ5" s="35" t="s">
        <v>370</v>
      </c>
      <c r="AK5" s="35" t="s">
        <v>371</v>
      </c>
      <c r="AL5" s="35" t="s">
        <v>372</v>
      </c>
    </row>
    <row r="6" customFormat="false" ht="15" hidden="false" customHeight="false" outlineLevel="0" collapsed="false">
      <c r="A6" s="72" t="s">
        <v>373</v>
      </c>
      <c r="C6" s="72" t="n">
        <v>1</v>
      </c>
      <c r="D6" s="72" t="n">
        <v>2</v>
      </c>
      <c r="E6" s="72" t="n">
        <v>3</v>
      </c>
      <c r="F6" s="72" t="n">
        <v>4</v>
      </c>
      <c r="G6" s="72" t="n">
        <v>5</v>
      </c>
      <c r="H6" s="72" t="n">
        <v>6</v>
      </c>
      <c r="I6" s="72" t="n">
        <v>7</v>
      </c>
      <c r="J6" s="72" t="n">
        <v>8</v>
      </c>
      <c r="K6" s="72" t="n">
        <v>9</v>
      </c>
      <c r="L6" s="72" t="n">
        <v>10</v>
      </c>
      <c r="M6" s="72" t="n">
        <v>11</v>
      </c>
      <c r="N6" s="72" t="n">
        <v>12</v>
      </c>
      <c r="O6" s="72" t="n">
        <v>13</v>
      </c>
      <c r="P6" s="72" t="n">
        <v>14</v>
      </c>
      <c r="Q6" s="72" t="n">
        <v>15</v>
      </c>
      <c r="R6" s="72" t="n">
        <v>16</v>
      </c>
      <c r="S6" s="72" t="n">
        <v>17</v>
      </c>
      <c r="T6" s="72" t="n">
        <v>18</v>
      </c>
      <c r="U6" s="72" t="n">
        <v>19</v>
      </c>
      <c r="V6" s="72" t="n">
        <v>20</v>
      </c>
      <c r="W6" s="72" t="n">
        <v>21</v>
      </c>
      <c r="X6" s="72" t="n">
        <v>22</v>
      </c>
      <c r="Y6" s="72" t="n">
        <v>23</v>
      </c>
      <c r="Z6" s="72" t="n">
        <v>24</v>
      </c>
      <c r="AA6" s="72" t="n">
        <v>25</v>
      </c>
      <c r="AB6" s="72" t="n">
        <v>26</v>
      </c>
      <c r="AC6" s="72" t="n">
        <v>27</v>
      </c>
      <c r="AD6" s="72" t="n">
        <v>28</v>
      </c>
      <c r="AE6" s="72" t="n">
        <v>29</v>
      </c>
      <c r="AF6" s="72" t="n">
        <v>30</v>
      </c>
      <c r="AG6" s="72" t="n">
        <v>31</v>
      </c>
      <c r="AH6" s="72" t="n">
        <v>32</v>
      </c>
      <c r="AI6" s="72" t="n">
        <v>33</v>
      </c>
      <c r="AJ6" s="72" t="n">
        <v>34</v>
      </c>
      <c r="AK6" s="72" t="n">
        <v>35</v>
      </c>
      <c r="AL6" s="72" t="n">
        <v>36</v>
      </c>
    </row>
    <row r="7" customFormat="false" ht="15" hidden="false" customHeight="false" outlineLevel="0" collapsed="false">
      <c r="A7" s="72" t="s">
        <v>153</v>
      </c>
      <c r="C7" s="72" t="n">
        <f aca="false">ROUNDUP(C6*1/12,0)</f>
        <v>1</v>
      </c>
      <c r="D7" s="72" t="n">
        <f aca="false">ROUNDUP(D6*1/12,0)</f>
        <v>1</v>
      </c>
      <c r="E7" s="72" t="n">
        <f aca="false">ROUNDUP(E6*1/12,0)</f>
        <v>1</v>
      </c>
      <c r="F7" s="72" t="n">
        <f aca="false">ROUNDUP(F6*1/12,0)</f>
        <v>1</v>
      </c>
      <c r="G7" s="72" t="n">
        <f aca="false">ROUNDUP(G6*1/12,0)</f>
        <v>1</v>
      </c>
      <c r="H7" s="72" t="n">
        <f aca="false">ROUNDUP(H6*1/12,0)</f>
        <v>1</v>
      </c>
      <c r="I7" s="72" t="n">
        <f aca="false">ROUNDUP(I6*1/12,0)</f>
        <v>1</v>
      </c>
      <c r="J7" s="72" t="n">
        <f aca="false">ROUNDUP(J6*1/12,0)</f>
        <v>1</v>
      </c>
      <c r="K7" s="72" t="n">
        <f aca="false">ROUNDUP(K6*1/12,0)</f>
        <v>1</v>
      </c>
      <c r="L7" s="72" t="n">
        <f aca="false">ROUNDUP(L6*1/12,0)</f>
        <v>1</v>
      </c>
      <c r="M7" s="72" t="n">
        <f aca="false">ROUNDUP(M6*1/12,0)</f>
        <v>1</v>
      </c>
      <c r="N7" s="72" t="n">
        <f aca="false">ROUNDUP(N6*1/12,0)</f>
        <v>1</v>
      </c>
      <c r="O7" s="72" t="n">
        <f aca="false">ROUNDUP(O6*1/12,0)</f>
        <v>2</v>
      </c>
      <c r="P7" s="72" t="n">
        <f aca="false">ROUNDUP(P6*1/12,0)</f>
        <v>2</v>
      </c>
      <c r="Q7" s="72" t="n">
        <f aca="false">ROUNDUP(Q6*1/12,0)</f>
        <v>2</v>
      </c>
      <c r="R7" s="72" t="n">
        <f aca="false">ROUNDUP(R6*1/12,0)</f>
        <v>2</v>
      </c>
      <c r="S7" s="72" t="n">
        <f aca="false">ROUNDUP(S6*1/12,0)</f>
        <v>2</v>
      </c>
      <c r="T7" s="72" t="n">
        <f aca="false">ROUNDUP(T6*1/12,0)</f>
        <v>2</v>
      </c>
      <c r="U7" s="72" t="n">
        <f aca="false">ROUNDUP(U6*1/12,0)</f>
        <v>2</v>
      </c>
      <c r="V7" s="72" t="n">
        <f aca="false">ROUNDUP(V6*1/12,0)</f>
        <v>2</v>
      </c>
      <c r="W7" s="72" t="n">
        <f aca="false">ROUNDUP(W6*1/12,0)</f>
        <v>2</v>
      </c>
      <c r="X7" s="72" t="n">
        <f aca="false">ROUNDUP(X6*1/12,0)</f>
        <v>2</v>
      </c>
      <c r="Y7" s="72" t="n">
        <f aca="false">ROUNDUP(Y6*1/12,0)</f>
        <v>2</v>
      </c>
      <c r="Z7" s="72" t="n">
        <f aca="false">ROUNDUP(Z6*1/12,0)</f>
        <v>2</v>
      </c>
      <c r="AA7" s="72" t="n">
        <f aca="false">ROUNDUP(AA6*1/12,0)</f>
        <v>3</v>
      </c>
      <c r="AB7" s="72" t="n">
        <f aca="false">ROUNDUP(AB6*1/12,0)</f>
        <v>3</v>
      </c>
      <c r="AC7" s="72" t="n">
        <f aca="false">ROUNDUP(AC6*1/12,0)</f>
        <v>3</v>
      </c>
      <c r="AD7" s="72" t="n">
        <f aca="false">ROUNDUP(AD6*1/12,0)</f>
        <v>3</v>
      </c>
      <c r="AE7" s="72" t="n">
        <f aca="false">ROUNDUP(AE6*1/12,0)</f>
        <v>3</v>
      </c>
      <c r="AF7" s="72" t="n">
        <f aca="false">ROUNDUP(AF6*1/12,0)</f>
        <v>3</v>
      </c>
      <c r="AG7" s="72" t="n">
        <f aca="false">ROUNDUP(AG6*1/12,0)</f>
        <v>3</v>
      </c>
      <c r="AH7" s="72" t="n">
        <f aca="false">ROUNDUP(AH6*1/12,0)</f>
        <v>3</v>
      </c>
      <c r="AI7" s="72" t="n">
        <f aca="false">ROUNDUP(AI6*1/12,0)</f>
        <v>3</v>
      </c>
      <c r="AJ7" s="72" t="n">
        <f aca="false">ROUNDUP(AJ6*1/12,0)</f>
        <v>3</v>
      </c>
      <c r="AK7" s="72" t="n">
        <f aca="false">ROUNDUP(AK6*1/12,0)</f>
        <v>3</v>
      </c>
      <c r="AL7" s="72" t="n">
        <f aca="false">ROUNDUP(AL6*1/12,0)</f>
        <v>3</v>
      </c>
    </row>
    <row r="9" customFormat="false" ht="15.75" hidden="false" customHeight="true" outlineLevel="0" collapsed="false">
      <c r="A9" s="7" t="s">
        <v>374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375</v>
      </c>
      <c r="C10" s="118" t="n">
        <f aca="false">C103</f>
        <v>7</v>
      </c>
      <c r="D10" s="118" t="n">
        <f aca="false">D103</f>
        <v>7</v>
      </c>
      <c r="E10" s="118" t="n">
        <f aca="false">E103</f>
        <v>7</v>
      </c>
      <c r="F10" s="118" t="n">
        <f aca="false">F103</f>
        <v>7</v>
      </c>
      <c r="G10" s="118" t="n">
        <f aca="false">G103</f>
        <v>7</v>
      </c>
      <c r="H10" s="118" t="n">
        <f aca="false">H103</f>
        <v>7</v>
      </c>
      <c r="I10" s="118" t="n">
        <f aca="false">I103</f>
        <v>7</v>
      </c>
      <c r="J10" s="118" t="n">
        <f aca="false">J103</f>
        <v>7</v>
      </c>
      <c r="K10" s="118" t="n">
        <f aca="false">K103</f>
        <v>7</v>
      </c>
      <c r="L10" s="118" t="n">
        <f aca="false">L103</f>
        <v>7</v>
      </c>
      <c r="M10" s="118" t="n">
        <f aca="false">M103</f>
        <v>7</v>
      </c>
      <c r="N10" s="118" t="n">
        <f aca="false">N103</f>
        <v>7</v>
      </c>
      <c r="O10" s="118" t="n">
        <f aca="false">O103</f>
        <v>7.84</v>
      </c>
      <c r="P10" s="118" t="n">
        <f aca="false">P103</f>
        <v>7.84</v>
      </c>
      <c r="Q10" s="118" t="n">
        <f aca="false">Q103</f>
        <v>7.84</v>
      </c>
      <c r="R10" s="118" t="n">
        <f aca="false">R103</f>
        <v>7.84</v>
      </c>
      <c r="S10" s="118" t="n">
        <f aca="false">S103</f>
        <v>7.84</v>
      </c>
      <c r="T10" s="118" t="n">
        <f aca="false">T103</f>
        <v>7.84</v>
      </c>
      <c r="U10" s="118" t="n">
        <f aca="false">U103</f>
        <v>7.84</v>
      </c>
      <c r="V10" s="118" t="n">
        <f aca="false">V103</f>
        <v>7.84</v>
      </c>
      <c r="W10" s="118" t="n">
        <f aca="false">W103</f>
        <v>7.84</v>
      </c>
      <c r="X10" s="118" t="n">
        <f aca="false">X103</f>
        <v>7.84</v>
      </c>
      <c r="Y10" s="118" t="n">
        <f aca="false">Y103</f>
        <v>7.84</v>
      </c>
      <c r="Z10" s="118" t="n">
        <f aca="false">Z103</f>
        <v>7.84</v>
      </c>
      <c r="AA10" s="118" t="n">
        <f aca="false">AA103</f>
        <v>8.7808</v>
      </c>
      <c r="AB10" s="118" t="n">
        <f aca="false">AB103</f>
        <v>8.7808</v>
      </c>
      <c r="AC10" s="118" t="n">
        <f aca="false">AC103</f>
        <v>8.7808</v>
      </c>
      <c r="AD10" s="118" t="n">
        <f aca="false">AD103</f>
        <v>8.7808</v>
      </c>
      <c r="AE10" s="118" t="n">
        <f aca="false">AE103</f>
        <v>8.7808</v>
      </c>
      <c r="AF10" s="118" t="n">
        <f aca="false">AF103</f>
        <v>8.7808</v>
      </c>
      <c r="AG10" s="118" t="n">
        <f aca="false">AG103</f>
        <v>8.7808</v>
      </c>
      <c r="AH10" s="118" t="n">
        <f aca="false">AH103</f>
        <v>8.7808</v>
      </c>
      <c r="AI10" s="118" t="n">
        <f aca="false">AI103</f>
        <v>8.7808</v>
      </c>
      <c r="AJ10" s="118" t="n">
        <f aca="false">AJ103</f>
        <v>8.7808</v>
      </c>
      <c r="AK10" s="118" t="n">
        <f aca="false">AK103</f>
        <v>8.7808</v>
      </c>
      <c r="AL10" s="118" t="n">
        <f aca="false">AL103</f>
        <v>8.7808</v>
      </c>
    </row>
    <row r="11" customFormat="false" ht="15" hidden="false" customHeight="false" outlineLevel="0" collapsed="false">
      <c r="A11" s="6" t="s">
        <v>376</v>
      </c>
      <c r="C11" s="117" t="n">
        <f aca="false">C10*Inputs!$B$7*Inputs!$B$8*1</f>
        <v>345.45</v>
      </c>
      <c r="D11" s="117" t="n">
        <f aca="false">D10*Inputs!$B$7*Inputs!$B$8*1</f>
        <v>345.45</v>
      </c>
      <c r="E11" s="117" t="n">
        <f aca="false">E10*Inputs!$B$7*Inputs!$B$8*1</f>
        <v>345.45</v>
      </c>
      <c r="F11" s="117" t="n">
        <f aca="false">F10*Inputs!$B$7*Inputs!$B$8*1</f>
        <v>345.45</v>
      </c>
      <c r="G11" s="117" t="n">
        <f aca="false">G10*Inputs!$B$7*Inputs!$B$8*1</f>
        <v>345.45</v>
      </c>
      <c r="H11" s="117" t="n">
        <f aca="false">H10*Inputs!$B$7*Inputs!$B$8*1</f>
        <v>345.45</v>
      </c>
      <c r="I11" s="117" t="n">
        <f aca="false">I10*Inputs!$B$7*Inputs!$B$8*1</f>
        <v>345.45</v>
      </c>
      <c r="J11" s="117" t="n">
        <f aca="false">J10*Inputs!$B$7*Inputs!$B$8*1</f>
        <v>345.45</v>
      </c>
      <c r="K11" s="117" t="n">
        <f aca="false">K10*Inputs!$B$7*Inputs!$B$8*1</f>
        <v>345.45</v>
      </c>
      <c r="L11" s="117" t="n">
        <f aca="false">L10*Inputs!$B$7*Inputs!$B$8*1</f>
        <v>345.45</v>
      </c>
      <c r="M11" s="117" t="n">
        <f aca="false">M10*Inputs!$B$7*Inputs!$B$8*1</f>
        <v>345.45</v>
      </c>
      <c r="N11" s="117" t="n">
        <f aca="false">N10*Inputs!$B$7*Inputs!$B$8*1</f>
        <v>345.45</v>
      </c>
      <c r="O11" s="117" t="n">
        <f aca="false">O10*Inputs!$B$7*Inputs!$B$8*1</f>
        <v>386.904</v>
      </c>
      <c r="P11" s="117" t="n">
        <f aca="false">P10*Inputs!$B$7*Inputs!$B$8*1</f>
        <v>386.904</v>
      </c>
      <c r="Q11" s="117" t="n">
        <f aca="false">Q10*Inputs!$B$7*Inputs!$B$8*1</f>
        <v>386.904</v>
      </c>
      <c r="R11" s="117" t="n">
        <f aca="false">R10*Inputs!$B$7*Inputs!$B$8*1</f>
        <v>386.904</v>
      </c>
      <c r="S11" s="117" t="n">
        <f aca="false">S10*Inputs!$B$7*Inputs!$B$8*1</f>
        <v>386.904</v>
      </c>
      <c r="T11" s="117" t="n">
        <f aca="false">T10*Inputs!$B$7*Inputs!$B$8*1</f>
        <v>386.904</v>
      </c>
      <c r="U11" s="117" t="n">
        <f aca="false">U10*Inputs!$B$7*Inputs!$B$8*1</f>
        <v>386.904</v>
      </c>
      <c r="V11" s="117" t="n">
        <f aca="false">V10*Inputs!$B$7*Inputs!$B$8*1</f>
        <v>386.904</v>
      </c>
      <c r="W11" s="117" t="n">
        <f aca="false">W10*Inputs!$B$7*Inputs!$B$8*1</f>
        <v>386.904</v>
      </c>
      <c r="X11" s="117" t="n">
        <f aca="false">X10*Inputs!$B$7*Inputs!$B$8*1</f>
        <v>386.904</v>
      </c>
      <c r="Y11" s="117" t="n">
        <f aca="false">Y10*Inputs!$B$7*Inputs!$B$8*1</f>
        <v>386.904</v>
      </c>
      <c r="Z11" s="117" t="n">
        <f aca="false">Z10*Inputs!$B$7*Inputs!$B$8*1</f>
        <v>386.904</v>
      </c>
      <c r="AA11" s="117" t="n">
        <f aca="false">AA10*Inputs!$B$7*Inputs!$B$8*1</f>
        <v>433.33248</v>
      </c>
      <c r="AB11" s="117" t="n">
        <f aca="false">AB10*Inputs!$B$7*Inputs!$B$8*1</f>
        <v>433.33248</v>
      </c>
      <c r="AC11" s="117" t="n">
        <f aca="false">AC10*Inputs!$B$7*Inputs!$B$8*1</f>
        <v>433.33248</v>
      </c>
      <c r="AD11" s="117" t="n">
        <f aca="false">AD10*Inputs!$B$7*Inputs!$B$8*1</f>
        <v>433.33248</v>
      </c>
      <c r="AE11" s="117" t="n">
        <f aca="false">AE10*Inputs!$B$7*Inputs!$B$8*1</f>
        <v>433.33248</v>
      </c>
      <c r="AF11" s="117" t="n">
        <f aca="false">AF10*Inputs!$B$7*Inputs!$B$8*1</f>
        <v>433.33248</v>
      </c>
      <c r="AG11" s="117" t="n">
        <f aca="false">AG10*Inputs!$B$7*Inputs!$B$8*1</f>
        <v>433.33248</v>
      </c>
      <c r="AH11" s="117" t="n">
        <f aca="false">AH10*Inputs!$B$7*Inputs!$B$8*1</f>
        <v>433.33248</v>
      </c>
      <c r="AI11" s="117" t="n">
        <f aca="false">AI10*Inputs!$B$7*Inputs!$B$8*1</f>
        <v>433.33248</v>
      </c>
      <c r="AJ11" s="117" t="n">
        <f aca="false">AJ10*Inputs!$B$7*Inputs!$B$8*1</f>
        <v>433.33248</v>
      </c>
      <c r="AK11" s="117" t="n">
        <f aca="false">AK10*Inputs!$B$7*Inputs!$B$8*1</f>
        <v>433.33248</v>
      </c>
      <c r="AL11" s="117" t="n">
        <f aca="false">AL10*Inputs!$B$7*Inputs!$B$8*1</f>
        <v>433.33248</v>
      </c>
    </row>
    <row r="12" customFormat="false" ht="15" hidden="false" customHeight="false" outlineLevel="0" collapsed="false">
      <c r="A12" s="6" t="s">
        <v>377</v>
      </c>
      <c r="C12" s="118" t="n">
        <f aca="false">IF(AND(MOD(C$6-1,12)&gt;=5,MOD(C$6-1,12)&lt;=7),1+Inputs!$B$17,1-Inputs!$B$17/3)</f>
        <v>0.916666666666667</v>
      </c>
      <c r="D12" s="118" t="n">
        <f aca="false">IF(AND(MOD(D$6-1,12)&gt;=5,MOD(D$6-1,12)&lt;=7),1+Inputs!$B$17,1-Inputs!$B$17/3)</f>
        <v>0.916666666666667</v>
      </c>
      <c r="E12" s="118" t="n">
        <f aca="false">IF(AND(MOD(E$6-1,12)&gt;=5,MOD(E$6-1,12)&lt;=7),1+Inputs!$B$17,1-Inputs!$B$17/3)</f>
        <v>0.916666666666667</v>
      </c>
      <c r="F12" s="118" t="n">
        <f aca="false">IF(AND(MOD(F$6-1,12)&gt;=5,MOD(F$6-1,12)&lt;=7),1+Inputs!$B$17,1-Inputs!$B$17/3)</f>
        <v>0.916666666666667</v>
      </c>
      <c r="G12" s="118" t="n">
        <f aca="false">IF(AND(MOD(G$6-1,12)&gt;=5,MOD(G$6-1,12)&lt;=7),1+Inputs!$B$17,1-Inputs!$B$17/3)</f>
        <v>0.916666666666667</v>
      </c>
      <c r="H12" s="118" t="n">
        <f aca="false">IF(AND(MOD(H$6-1,12)&gt;=5,MOD(H$6-1,12)&lt;=7),1+Inputs!$B$17,1-Inputs!$B$17/3)</f>
        <v>1.25</v>
      </c>
      <c r="I12" s="118" t="n">
        <f aca="false">IF(AND(MOD(I$6-1,12)&gt;=5,MOD(I$6-1,12)&lt;=7),1+Inputs!$B$17,1-Inputs!$B$17/3)</f>
        <v>1.25</v>
      </c>
      <c r="J12" s="118" t="n">
        <f aca="false">IF(AND(MOD(J$6-1,12)&gt;=5,MOD(J$6-1,12)&lt;=7),1+Inputs!$B$17,1-Inputs!$B$17/3)</f>
        <v>1.25</v>
      </c>
      <c r="K12" s="118" t="n">
        <f aca="false">IF(AND(MOD(K$6-1,12)&gt;=5,MOD(K$6-1,12)&lt;=7),1+Inputs!$B$17,1-Inputs!$B$17/3)</f>
        <v>0.916666666666667</v>
      </c>
      <c r="L12" s="118" t="n">
        <f aca="false">IF(AND(MOD(L$6-1,12)&gt;=5,MOD(L$6-1,12)&lt;=7),1+Inputs!$B$17,1-Inputs!$B$17/3)</f>
        <v>0.916666666666667</v>
      </c>
      <c r="M12" s="118" t="n">
        <f aca="false">IF(AND(MOD(M$6-1,12)&gt;=5,MOD(M$6-1,12)&lt;=7),1+Inputs!$B$17,1-Inputs!$B$17/3)</f>
        <v>0.916666666666667</v>
      </c>
      <c r="N12" s="118" t="n">
        <f aca="false">IF(AND(MOD(N$6-1,12)&gt;=5,MOD(N$6-1,12)&lt;=7),1+Inputs!$B$17,1-Inputs!$B$17/3)</f>
        <v>0.916666666666667</v>
      </c>
      <c r="O12" s="118" t="n">
        <f aca="false">IF(AND(MOD(O$6-1,12)&gt;=5,MOD(O$6-1,12)&lt;=7),1+Inputs!$B$17,1-Inputs!$B$17/3)</f>
        <v>0.916666666666667</v>
      </c>
      <c r="P12" s="118" t="n">
        <f aca="false">IF(AND(MOD(P$6-1,12)&gt;=5,MOD(P$6-1,12)&lt;=7),1+Inputs!$B$17,1-Inputs!$B$17/3)</f>
        <v>0.916666666666667</v>
      </c>
      <c r="Q12" s="118" t="n">
        <f aca="false">IF(AND(MOD(Q$6-1,12)&gt;=5,MOD(Q$6-1,12)&lt;=7),1+Inputs!$B$17,1-Inputs!$B$17/3)</f>
        <v>0.916666666666667</v>
      </c>
      <c r="R12" s="118" t="n">
        <f aca="false">IF(AND(MOD(R$6-1,12)&gt;=5,MOD(R$6-1,12)&lt;=7),1+Inputs!$B$17,1-Inputs!$B$17/3)</f>
        <v>0.916666666666667</v>
      </c>
      <c r="S12" s="118" t="n">
        <f aca="false">IF(AND(MOD(S$6-1,12)&gt;=5,MOD(S$6-1,12)&lt;=7),1+Inputs!$B$17,1-Inputs!$B$17/3)</f>
        <v>0.916666666666667</v>
      </c>
      <c r="T12" s="118" t="n">
        <f aca="false">IF(AND(MOD(T$6-1,12)&gt;=5,MOD(T$6-1,12)&lt;=7),1+Inputs!$B$17,1-Inputs!$B$17/3)</f>
        <v>1.25</v>
      </c>
      <c r="U12" s="118" t="n">
        <f aca="false">IF(AND(MOD(U$6-1,12)&gt;=5,MOD(U$6-1,12)&lt;=7),1+Inputs!$B$17,1-Inputs!$B$17/3)</f>
        <v>1.25</v>
      </c>
      <c r="V12" s="118" t="n">
        <f aca="false">IF(AND(MOD(V$6-1,12)&gt;=5,MOD(V$6-1,12)&lt;=7),1+Inputs!$B$17,1-Inputs!$B$17/3)</f>
        <v>1.25</v>
      </c>
      <c r="W12" s="118" t="n">
        <f aca="false">IF(AND(MOD(W$6-1,12)&gt;=5,MOD(W$6-1,12)&lt;=7),1+Inputs!$B$17,1-Inputs!$B$17/3)</f>
        <v>0.916666666666667</v>
      </c>
      <c r="X12" s="118" t="n">
        <f aca="false">IF(AND(MOD(X$6-1,12)&gt;=5,MOD(X$6-1,12)&lt;=7),1+Inputs!$B$17,1-Inputs!$B$17/3)</f>
        <v>0.916666666666667</v>
      </c>
      <c r="Y12" s="118" t="n">
        <f aca="false">IF(AND(MOD(Y$6-1,12)&gt;=5,MOD(Y$6-1,12)&lt;=7),1+Inputs!$B$17,1-Inputs!$B$17/3)</f>
        <v>0.916666666666667</v>
      </c>
      <c r="Z12" s="118" t="n">
        <f aca="false">IF(AND(MOD(Z$6-1,12)&gt;=5,MOD(Z$6-1,12)&lt;=7),1+Inputs!$B$17,1-Inputs!$B$17/3)</f>
        <v>0.916666666666667</v>
      </c>
      <c r="AA12" s="118" t="n">
        <f aca="false">IF(AND(MOD(AA$6-1,12)&gt;=5,MOD(AA$6-1,12)&lt;=7),1+Inputs!$B$17,1-Inputs!$B$17/3)</f>
        <v>0.916666666666667</v>
      </c>
      <c r="AB12" s="118" t="n">
        <f aca="false">IF(AND(MOD(AB$6-1,12)&gt;=5,MOD(AB$6-1,12)&lt;=7),1+Inputs!$B$17,1-Inputs!$B$17/3)</f>
        <v>0.916666666666667</v>
      </c>
      <c r="AC12" s="118" t="n">
        <f aca="false">IF(AND(MOD(AC$6-1,12)&gt;=5,MOD(AC$6-1,12)&lt;=7),1+Inputs!$B$17,1-Inputs!$B$17/3)</f>
        <v>0.916666666666667</v>
      </c>
      <c r="AD12" s="118" t="n">
        <f aca="false">IF(AND(MOD(AD$6-1,12)&gt;=5,MOD(AD$6-1,12)&lt;=7),1+Inputs!$B$17,1-Inputs!$B$17/3)</f>
        <v>0.916666666666667</v>
      </c>
      <c r="AE12" s="118" t="n">
        <f aca="false">IF(AND(MOD(AE$6-1,12)&gt;=5,MOD(AE$6-1,12)&lt;=7),1+Inputs!$B$17,1-Inputs!$B$17/3)</f>
        <v>0.916666666666667</v>
      </c>
      <c r="AF12" s="118" t="n">
        <f aca="false">IF(AND(MOD(AF$6-1,12)&gt;=5,MOD(AF$6-1,12)&lt;=7),1+Inputs!$B$17,1-Inputs!$B$17/3)</f>
        <v>1.25</v>
      </c>
      <c r="AG12" s="118" t="n">
        <f aca="false">IF(AND(MOD(AG$6-1,12)&gt;=5,MOD(AG$6-1,12)&lt;=7),1+Inputs!$B$17,1-Inputs!$B$17/3)</f>
        <v>1.25</v>
      </c>
      <c r="AH12" s="118" t="n">
        <f aca="false">IF(AND(MOD(AH$6-1,12)&gt;=5,MOD(AH$6-1,12)&lt;=7),1+Inputs!$B$17,1-Inputs!$B$17/3)</f>
        <v>1.25</v>
      </c>
      <c r="AI12" s="118" t="n">
        <f aca="false">IF(AND(MOD(AI$6-1,12)&gt;=5,MOD(AI$6-1,12)&lt;=7),1+Inputs!$B$17,1-Inputs!$B$17/3)</f>
        <v>0.916666666666667</v>
      </c>
      <c r="AJ12" s="118" t="n">
        <f aca="false">IF(AND(MOD(AJ$6-1,12)&gt;=5,MOD(AJ$6-1,12)&lt;=7),1+Inputs!$B$17,1-Inputs!$B$17/3)</f>
        <v>0.916666666666667</v>
      </c>
      <c r="AK12" s="118" t="n">
        <f aca="false">IF(AND(MOD(AK$6-1,12)&gt;=5,MOD(AK$6-1,12)&lt;=7),1+Inputs!$B$17,1-Inputs!$B$17/3)</f>
        <v>0.916666666666667</v>
      </c>
      <c r="AL12" s="118" t="n">
        <f aca="false">IF(AND(MOD(AL$6-1,12)&gt;=5,MOD(AL$6-1,12)&lt;=7),1+Inputs!$B$17,1-Inputs!$B$17/3)</f>
        <v>0.916666666666667</v>
      </c>
    </row>
    <row r="13" customFormat="false" ht="15" hidden="false" customHeight="false" outlineLevel="0" collapsed="false">
      <c r="A13" s="6" t="s">
        <v>378</v>
      </c>
      <c r="C13" s="117" t="n">
        <f aca="false">-C36/MAX(1,Inputs!$B$13)</f>
        <v>173.076923076923</v>
      </c>
      <c r="D13" s="117" t="n">
        <f aca="false">-D36/MAX(1,Inputs!$B$13)</f>
        <v>173.076923076923</v>
      </c>
      <c r="E13" s="117" t="n">
        <f aca="false">-E36/MAX(1,Inputs!$B$13)</f>
        <v>173.076923076923</v>
      </c>
      <c r="F13" s="117" t="n">
        <f aca="false">-F36/MAX(1,Inputs!$B$13)</f>
        <v>173.076923076923</v>
      </c>
      <c r="G13" s="117" t="n">
        <f aca="false">-G36/MAX(1,Inputs!$B$13)</f>
        <v>173.076923076923</v>
      </c>
      <c r="H13" s="117" t="n">
        <f aca="false">-H36/MAX(1,Inputs!$B$13)</f>
        <v>173.076923076923</v>
      </c>
      <c r="I13" s="117" t="n">
        <f aca="false">-I36/MAX(1,Inputs!$B$13)</f>
        <v>173.076923076923</v>
      </c>
      <c r="J13" s="117" t="n">
        <f aca="false">-J36/MAX(1,Inputs!$B$13)</f>
        <v>173.076923076923</v>
      </c>
      <c r="K13" s="117" t="n">
        <f aca="false">-K36/MAX(1,Inputs!$B$13)</f>
        <v>173.076923076923</v>
      </c>
      <c r="L13" s="117" t="n">
        <f aca="false">-L36/MAX(1,Inputs!$B$13)</f>
        <v>173.076923076923</v>
      </c>
      <c r="M13" s="117" t="n">
        <f aca="false">-M36/MAX(1,Inputs!$B$13)</f>
        <v>173.076923076923</v>
      </c>
      <c r="N13" s="117" t="n">
        <f aca="false">-N36/MAX(1,Inputs!$B$13)</f>
        <v>173.076923076923</v>
      </c>
      <c r="O13" s="117" t="n">
        <f aca="false">-O36/MAX(1,Inputs!$B$13)</f>
        <v>193.846153846154</v>
      </c>
      <c r="P13" s="117" t="n">
        <f aca="false">-P36/MAX(1,Inputs!$B$13)</f>
        <v>193.846153846154</v>
      </c>
      <c r="Q13" s="117" t="n">
        <f aca="false">-Q36/MAX(1,Inputs!$B$13)</f>
        <v>193.846153846154</v>
      </c>
      <c r="R13" s="117" t="n">
        <f aca="false">-R36/MAX(1,Inputs!$B$13)</f>
        <v>193.846153846154</v>
      </c>
      <c r="S13" s="117" t="n">
        <f aca="false">-S36/MAX(1,Inputs!$B$13)</f>
        <v>193.846153846154</v>
      </c>
      <c r="T13" s="117" t="n">
        <f aca="false">-T36/MAX(1,Inputs!$B$13)</f>
        <v>193.846153846154</v>
      </c>
      <c r="U13" s="117" t="n">
        <f aca="false">-U36/MAX(1,Inputs!$B$13)</f>
        <v>193.846153846154</v>
      </c>
      <c r="V13" s="117" t="n">
        <f aca="false">-V36/MAX(1,Inputs!$B$13)</f>
        <v>193.846153846154</v>
      </c>
      <c r="W13" s="117" t="n">
        <f aca="false">-W36/MAX(1,Inputs!$B$13)</f>
        <v>193.846153846154</v>
      </c>
      <c r="X13" s="117" t="n">
        <f aca="false">-X36/MAX(1,Inputs!$B$13)</f>
        <v>193.846153846154</v>
      </c>
      <c r="Y13" s="117" t="n">
        <f aca="false">-Y36/MAX(1,Inputs!$B$13)</f>
        <v>193.846153846154</v>
      </c>
      <c r="Z13" s="117" t="n">
        <f aca="false">-Z36/MAX(1,Inputs!$B$13)</f>
        <v>193.846153846154</v>
      </c>
      <c r="AA13" s="117" t="n">
        <f aca="false">-AA36/MAX(1,Inputs!$B$13)</f>
        <v>217.107692307692</v>
      </c>
      <c r="AB13" s="117" t="n">
        <f aca="false">-AB36/MAX(1,Inputs!$B$13)</f>
        <v>217.107692307692</v>
      </c>
      <c r="AC13" s="117" t="n">
        <f aca="false">-AC36/MAX(1,Inputs!$B$13)</f>
        <v>217.107692307692</v>
      </c>
      <c r="AD13" s="117" t="n">
        <f aca="false">-AD36/MAX(1,Inputs!$B$13)</f>
        <v>217.107692307692</v>
      </c>
      <c r="AE13" s="117" t="n">
        <f aca="false">-AE36/MAX(1,Inputs!$B$13)</f>
        <v>217.107692307692</v>
      </c>
      <c r="AF13" s="117" t="n">
        <f aca="false">-AF36/MAX(1,Inputs!$B$13)</f>
        <v>217.107692307692</v>
      </c>
      <c r="AG13" s="117" t="n">
        <f aca="false">-AG36/MAX(1,Inputs!$B$13)</f>
        <v>217.107692307692</v>
      </c>
      <c r="AH13" s="117" t="n">
        <f aca="false">-AH36/MAX(1,Inputs!$B$13)</f>
        <v>217.107692307692</v>
      </c>
      <c r="AI13" s="117" t="n">
        <f aca="false">-AI36/MAX(1,Inputs!$B$13)</f>
        <v>217.107692307692</v>
      </c>
      <c r="AJ13" s="117" t="n">
        <f aca="false">-AJ36/MAX(1,Inputs!$B$13)</f>
        <v>217.107692307692</v>
      </c>
      <c r="AK13" s="117" t="n">
        <f aca="false">-AK36/MAX(1,Inputs!$B$13)</f>
        <v>217.107692307692</v>
      </c>
      <c r="AL13" s="117" t="n">
        <f aca="false">-AL36/MAX(1,Inputs!$B$13)</f>
        <v>217.107692307692</v>
      </c>
    </row>
    <row r="14" customFormat="false" ht="15" hidden="false" customHeight="false" outlineLevel="0" collapsed="false">
      <c r="A14" s="6" t="s">
        <v>379</v>
      </c>
      <c r="C14" s="117" t="n">
        <f aca="false">C13*Inputs!$B$14*C12</f>
        <v>66.6346153846154</v>
      </c>
      <c r="D14" s="117" t="n">
        <f aca="false">D13*Inputs!$B$14*D12</f>
        <v>66.6346153846154</v>
      </c>
      <c r="E14" s="117" t="n">
        <f aca="false">E13*Inputs!$B$14*E12</f>
        <v>66.6346153846154</v>
      </c>
      <c r="F14" s="117" t="n">
        <f aca="false">F13*Inputs!$B$14*F12</f>
        <v>66.6346153846154</v>
      </c>
      <c r="G14" s="117" t="n">
        <f aca="false">G13*Inputs!$B$14*G12</f>
        <v>66.6346153846154</v>
      </c>
      <c r="H14" s="117" t="n">
        <f aca="false">H13*Inputs!$B$14*H12</f>
        <v>90.8653846153846</v>
      </c>
      <c r="I14" s="117" t="n">
        <f aca="false">I13*Inputs!$B$14*I12</f>
        <v>90.8653846153846</v>
      </c>
      <c r="J14" s="117" t="n">
        <f aca="false">J13*Inputs!$B$14*J12</f>
        <v>90.8653846153846</v>
      </c>
      <c r="K14" s="117" t="n">
        <f aca="false">K13*Inputs!$B$14*K12</f>
        <v>66.6346153846154</v>
      </c>
      <c r="L14" s="117" t="n">
        <f aca="false">L13*Inputs!$B$14*L12</f>
        <v>66.6346153846154</v>
      </c>
      <c r="M14" s="117" t="n">
        <f aca="false">M13*Inputs!$B$14*M12</f>
        <v>66.6346153846154</v>
      </c>
      <c r="N14" s="117" t="n">
        <f aca="false">N13*Inputs!$B$14*N12</f>
        <v>66.6346153846154</v>
      </c>
      <c r="O14" s="117" t="n">
        <f aca="false">O13*Inputs!$B$14*O12</f>
        <v>74.6307692307692</v>
      </c>
      <c r="P14" s="117" t="n">
        <f aca="false">P13*Inputs!$B$14*P12</f>
        <v>74.6307692307692</v>
      </c>
      <c r="Q14" s="117" t="n">
        <f aca="false">Q13*Inputs!$B$14*Q12</f>
        <v>74.6307692307692</v>
      </c>
      <c r="R14" s="117" t="n">
        <f aca="false">R13*Inputs!$B$14*R12</f>
        <v>74.6307692307692</v>
      </c>
      <c r="S14" s="117" t="n">
        <f aca="false">S13*Inputs!$B$14*S12</f>
        <v>74.6307692307692</v>
      </c>
      <c r="T14" s="117" t="n">
        <f aca="false">T13*Inputs!$B$14*T12</f>
        <v>101.769230769231</v>
      </c>
      <c r="U14" s="117" t="n">
        <f aca="false">U13*Inputs!$B$14*U12</f>
        <v>101.769230769231</v>
      </c>
      <c r="V14" s="117" t="n">
        <f aca="false">V13*Inputs!$B$14*V12</f>
        <v>101.769230769231</v>
      </c>
      <c r="W14" s="117" t="n">
        <f aca="false">W13*Inputs!$B$14*W12</f>
        <v>74.6307692307692</v>
      </c>
      <c r="X14" s="117" t="n">
        <f aca="false">X13*Inputs!$B$14*X12</f>
        <v>74.6307692307692</v>
      </c>
      <c r="Y14" s="117" t="n">
        <f aca="false">Y13*Inputs!$B$14*Y12</f>
        <v>74.6307692307692</v>
      </c>
      <c r="Z14" s="117" t="n">
        <f aca="false">Z13*Inputs!$B$14*Z12</f>
        <v>74.6307692307692</v>
      </c>
      <c r="AA14" s="117" t="n">
        <f aca="false">AA13*Inputs!$B$14*AA12</f>
        <v>83.5864615384616</v>
      </c>
      <c r="AB14" s="117" t="n">
        <f aca="false">AB13*Inputs!$B$14*AB12</f>
        <v>83.5864615384616</v>
      </c>
      <c r="AC14" s="117" t="n">
        <f aca="false">AC13*Inputs!$B$14*AC12</f>
        <v>83.5864615384616</v>
      </c>
      <c r="AD14" s="117" t="n">
        <f aca="false">AD13*Inputs!$B$14*AD12</f>
        <v>83.5864615384616</v>
      </c>
      <c r="AE14" s="117" t="n">
        <f aca="false">AE13*Inputs!$B$14*AE12</f>
        <v>83.5864615384616</v>
      </c>
      <c r="AF14" s="117" t="n">
        <f aca="false">AF13*Inputs!$B$14*AF12</f>
        <v>113.981538461538</v>
      </c>
      <c r="AG14" s="117" t="n">
        <f aca="false">AG13*Inputs!$B$14*AG12</f>
        <v>113.981538461538</v>
      </c>
      <c r="AH14" s="117" t="n">
        <f aca="false">AH13*Inputs!$B$14*AH12</f>
        <v>113.981538461538</v>
      </c>
      <c r="AI14" s="117" t="n">
        <f aca="false">AI13*Inputs!$B$14*AI12</f>
        <v>83.5864615384616</v>
      </c>
      <c r="AJ14" s="117" t="n">
        <f aca="false">AJ13*Inputs!$B$14*AJ12</f>
        <v>83.5864615384616</v>
      </c>
      <c r="AK14" s="117" t="n">
        <f aca="false">AK13*Inputs!$B$14*AK12</f>
        <v>83.5864615384616</v>
      </c>
      <c r="AL14" s="117" t="n">
        <f aca="false">AL13*Inputs!$B$14*AL12</f>
        <v>83.5864615384616</v>
      </c>
    </row>
    <row r="15" customFormat="false" ht="15" hidden="false" customHeight="false" outlineLevel="0" collapsed="false">
      <c r="A15" s="6" t="s">
        <v>380</v>
      </c>
      <c r="C15" s="117" t="n">
        <f aca="false">Inputs!$B$15*(1+Inputs!$B$16)^(C$7-1)*1*C12</f>
        <v>174.166666666667</v>
      </c>
      <c r="D15" s="117" t="n">
        <f aca="false">Inputs!$B$15*(1+Inputs!$B$16)^(D$7-1)*1*D12</f>
        <v>174.166666666667</v>
      </c>
      <c r="E15" s="117" t="n">
        <f aca="false">Inputs!$B$15*(1+Inputs!$B$16)^(E$7-1)*1*E12</f>
        <v>174.166666666667</v>
      </c>
      <c r="F15" s="117" t="n">
        <f aca="false">Inputs!$B$15*(1+Inputs!$B$16)^(F$7-1)*1*F12</f>
        <v>174.166666666667</v>
      </c>
      <c r="G15" s="117" t="n">
        <f aca="false">Inputs!$B$15*(1+Inputs!$B$16)^(G$7-1)*1*G12</f>
        <v>174.166666666667</v>
      </c>
      <c r="H15" s="117" t="n">
        <f aca="false">Inputs!$B$15*(1+Inputs!$B$16)^(H$7-1)*1*H12</f>
        <v>237.5</v>
      </c>
      <c r="I15" s="117" t="n">
        <f aca="false">Inputs!$B$15*(1+Inputs!$B$16)^(I$7-1)*1*I12</f>
        <v>237.5</v>
      </c>
      <c r="J15" s="117" t="n">
        <f aca="false">Inputs!$B$15*(1+Inputs!$B$16)^(J$7-1)*1*J12</f>
        <v>237.5</v>
      </c>
      <c r="K15" s="117" t="n">
        <f aca="false">Inputs!$B$15*(1+Inputs!$B$16)^(K$7-1)*1*K12</f>
        <v>174.166666666667</v>
      </c>
      <c r="L15" s="117" t="n">
        <f aca="false">Inputs!$B$15*(1+Inputs!$B$16)^(L$7-1)*1*L12</f>
        <v>174.166666666667</v>
      </c>
      <c r="M15" s="117" t="n">
        <f aca="false">Inputs!$B$15*(1+Inputs!$B$16)^(M$7-1)*1*M12</f>
        <v>174.166666666667</v>
      </c>
      <c r="N15" s="117" t="n">
        <f aca="false">Inputs!$B$15*(1+Inputs!$B$16)^(N$7-1)*1*N12</f>
        <v>174.166666666667</v>
      </c>
      <c r="O15" s="117" t="n">
        <f aca="false">Inputs!$B$15*(1+Inputs!$B$16)^(O$7-1)*1*O12</f>
        <v>195.066666666667</v>
      </c>
      <c r="P15" s="117" t="n">
        <f aca="false">Inputs!$B$15*(1+Inputs!$B$16)^(P$7-1)*1*P12</f>
        <v>195.066666666667</v>
      </c>
      <c r="Q15" s="117" t="n">
        <f aca="false">Inputs!$B$15*(1+Inputs!$B$16)^(Q$7-1)*1*Q12</f>
        <v>195.066666666667</v>
      </c>
      <c r="R15" s="117" t="n">
        <f aca="false">Inputs!$B$15*(1+Inputs!$B$16)^(R$7-1)*1*R12</f>
        <v>195.066666666667</v>
      </c>
      <c r="S15" s="117" t="n">
        <f aca="false">Inputs!$B$15*(1+Inputs!$B$16)^(S$7-1)*1*S12</f>
        <v>195.066666666667</v>
      </c>
      <c r="T15" s="117" t="n">
        <f aca="false">Inputs!$B$15*(1+Inputs!$B$16)^(T$7-1)*1*T12</f>
        <v>266</v>
      </c>
      <c r="U15" s="117" t="n">
        <f aca="false">Inputs!$B$15*(1+Inputs!$B$16)^(U$7-1)*1*U12</f>
        <v>266</v>
      </c>
      <c r="V15" s="117" t="n">
        <f aca="false">Inputs!$B$15*(1+Inputs!$B$16)^(V$7-1)*1*V12</f>
        <v>266</v>
      </c>
      <c r="W15" s="117" t="n">
        <f aca="false">Inputs!$B$15*(1+Inputs!$B$16)^(W$7-1)*1*W12</f>
        <v>195.066666666667</v>
      </c>
      <c r="X15" s="117" t="n">
        <f aca="false">Inputs!$B$15*(1+Inputs!$B$16)^(X$7-1)*1*X12</f>
        <v>195.066666666667</v>
      </c>
      <c r="Y15" s="117" t="n">
        <f aca="false">Inputs!$B$15*(1+Inputs!$B$16)^(Y$7-1)*1*Y12</f>
        <v>195.066666666667</v>
      </c>
      <c r="Z15" s="117" t="n">
        <f aca="false">Inputs!$B$15*(1+Inputs!$B$16)^(Z$7-1)*1*Z12</f>
        <v>195.066666666667</v>
      </c>
      <c r="AA15" s="117" t="n">
        <f aca="false">Inputs!$B$15*(1+Inputs!$B$16)^(AA$7-1)*1*AA12</f>
        <v>218.474666666667</v>
      </c>
      <c r="AB15" s="117" t="n">
        <f aca="false">Inputs!$B$15*(1+Inputs!$B$16)^(AB$7-1)*1*AB12</f>
        <v>218.474666666667</v>
      </c>
      <c r="AC15" s="117" t="n">
        <f aca="false">Inputs!$B$15*(1+Inputs!$B$16)^(AC$7-1)*1*AC12</f>
        <v>218.474666666667</v>
      </c>
      <c r="AD15" s="117" t="n">
        <f aca="false">Inputs!$B$15*(1+Inputs!$B$16)^(AD$7-1)*1*AD12</f>
        <v>218.474666666667</v>
      </c>
      <c r="AE15" s="117" t="n">
        <f aca="false">Inputs!$B$15*(1+Inputs!$B$16)^(AE$7-1)*1*AE12</f>
        <v>218.474666666667</v>
      </c>
      <c r="AF15" s="117" t="n">
        <f aca="false">Inputs!$B$15*(1+Inputs!$B$16)^(AF$7-1)*1*AF12</f>
        <v>297.92</v>
      </c>
      <c r="AG15" s="117" t="n">
        <f aca="false">Inputs!$B$15*(1+Inputs!$B$16)^(AG$7-1)*1*AG12</f>
        <v>297.92</v>
      </c>
      <c r="AH15" s="117" t="n">
        <f aca="false">Inputs!$B$15*(1+Inputs!$B$16)^(AH$7-1)*1*AH12</f>
        <v>297.92</v>
      </c>
      <c r="AI15" s="117" t="n">
        <f aca="false">Inputs!$B$15*(1+Inputs!$B$16)^(AI$7-1)*1*AI12</f>
        <v>218.474666666667</v>
      </c>
      <c r="AJ15" s="117" t="n">
        <f aca="false">Inputs!$B$15*(1+Inputs!$B$16)^(AJ$7-1)*1*AJ12</f>
        <v>218.474666666667</v>
      </c>
      <c r="AK15" s="117" t="n">
        <f aca="false">Inputs!$B$15*(1+Inputs!$B$16)^(AK$7-1)*1*AK12</f>
        <v>218.474666666667</v>
      </c>
      <c r="AL15" s="117" t="n">
        <f aca="false">Inputs!$B$15*(1+Inputs!$B$16)^(AL$7-1)*1*AL12</f>
        <v>218.474666666667</v>
      </c>
    </row>
    <row r="16" customFormat="false" ht="15" hidden="false" customHeight="false" outlineLevel="0" collapsed="false">
      <c r="A16" s="6" t="s">
        <v>232</v>
      </c>
      <c r="C16" s="117" t="n">
        <f aca="false">C14+C15</f>
        <v>240.801282051282</v>
      </c>
      <c r="D16" s="117" t="n">
        <f aca="false">D14+D15</f>
        <v>240.801282051282</v>
      </c>
      <c r="E16" s="117" t="n">
        <f aca="false">E14+E15</f>
        <v>240.801282051282</v>
      </c>
      <c r="F16" s="117" t="n">
        <f aca="false">F14+F15</f>
        <v>240.801282051282</v>
      </c>
      <c r="G16" s="117" t="n">
        <f aca="false">G14+G15</f>
        <v>240.801282051282</v>
      </c>
      <c r="H16" s="117" t="n">
        <f aca="false">H14+H15</f>
        <v>328.365384615385</v>
      </c>
      <c r="I16" s="117" t="n">
        <f aca="false">I14+I15</f>
        <v>328.365384615385</v>
      </c>
      <c r="J16" s="117" t="n">
        <f aca="false">J14+J15</f>
        <v>328.365384615385</v>
      </c>
      <c r="K16" s="117" t="n">
        <f aca="false">K14+K15</f>
        <v>240.801282051282</v>
      </c>
      <c r="L16" s="117" t="n">
        <f aca="false">L14+L15</f>
        <v>240.801282051282</v>
      </c>
      <c r="M16" s="117" t="n">
        <f aca="false">M14+M15</f>
        <v>240.801282051282</v>
      </c>
      <c r="N16" s="117" t="n">
        <f aca="false">N14+N15</f>
        <v>240.801282051282</v>
      </c>
      <c r="O16" s="117" t="n">
        <f aca="false">O14+O15</f>
        <v>269.697435897436</v>
      </c>
      <c r="P16" s="117" t="n">
        <f aca="false">P14+P15</f>
        <v>269.697435897436</v>
      </c>
      <c r="Q16" s="117" t="n">
        <f aca="false">Q14+Q15</f>
        <v>269.697435897436</v>
      </c>
      <c r="R16" s="117" t="n">
        <f aca="false">R14+R15</f>
        <v>269.697435897436</v>
      </c>
      <c r="S16" s="117" t="n">
        <f aca="false">S14+S15</f>
        <v>269.697435897436</v>
      </c>
      <c r="T16" s="117" t="n">
        <f aca="false">T14+T15</f>
        <v>367.769230769231</v>
      </c>
      <c r="U16" s="117" t="n">
        <f aca="false">U14+U15</f>
        <v>367.769230769231</v>
      </c>
      <c r="V16" s="117" t="n">
        <f aca="false">V14+V15</f>
        <v>367.769230769231</v>
      </c>
      <c r="W16" s="117" t="n">
        <f aca="false">W14+W15</f>
        <v>269.697435897436</v>
      </c>
      <c r="X16" s="117" t="n">
        <f aca="false">X14+X15</f>
        <v>269.697435897436</v>
      </c>
      <c r="Y16" s="117" t="n">
        <f aca="false">Y14+Y15</f>
        <v>269.697435897436</v>
      </c>
      <c r="Z16" s="117" t="n">
        <f aca="false">Z14+Z15</f>
        <v>269.697435897436</v>
      </c>
      <c r="AA16" s="117" t="n">
        <f aca="false">AA14+AA15</f>
        <v>302.061128205128</v>
      </c>
      <c r="AB16" s="117" t="n">
        <f aca="false">AB14+AB15</f>
        <v>302.061128205128</v>
      </c>
      <c r="AC16" s="117" t="n">
        <f aca="false">AC14+AC15</f>
        <v>302.061128205128</v>
      </c>
      <c r="AD16" s="117" t="n">
        <f aca="false">AD14+AD15</f>
        <v>302.061128205128</v>
      </c>
      <c r="AE16" s="117" t="n">
        <f aca="false">AE14+AE15</f>
        <v>302.061128205128</v>
      </c>
      <c r="AF16" s="117" t="n">
        <f aca="false">AF14+AF15</f>
        <v>411.901538461539</v>
      </c>
      <c r="AG16" s="117" t="n">
        <f aca="false">AG14+AG15</f>
        <v>411.901538461539</v>
      </c>
      <c r="AH16" s="117" t="n">
        <f aca="false">AH14+AH15</f>
        <v>411.901538461539</v>
      </c>
      <c r="AI16" s="117" t="n">
        <f aca="false">AI14+AI15</f>
        <v>302.061128205128</v>
      </c>
      <c r="AJ16" s="117" t="n">
        <f aca="false">AJ14+AJ15</f>
        <v>302.061128205128</v>
      </c>
      <c r="AK16" s="117" t="n">
        <f aca="false">AK14+AK15</f>
        <v>302.061128205128</v>
      </c>
      <c r="AL16" s="117" t="n">
        <f aca="false">AL14+AL15</f>
        <v>302.061128205128</v>
      </c>
    </row>
    <row r="17" customFormat="false" ht="15" hidden="false" customHeight="false" outlineLevel="0" collapsed="false">
      <c r="A17" s="4" t="s">
        <v>381</v>
      </c>
      <c r="C17" s="119" t="n">
        <f aca="false">MIN(C11,C16)</f>
        <v>240.801282051282</v>
      </c>
      <c r="D17" s="119" t="n">
        <f aca="false">MIN(D11,D16)</f>
        <v>240.801282051282</v>
      </c>
      <c r="E17" s="119" t="n">
        <f aca="false">MIN(E11,E16)</f>
        <v>240.801282051282</v>
      </c>
      <c r="F17" s="119" t="n">
        <f aca="false">MIN(F11,F16)</f>
        <v>240.801282051282</v>
      </c>
      <c r="G17" s="119" t="n">
        <f aca="false">MIN(G11,G16)</f>
        <v>240.801282051282</v>
      </c>
      <c r="H17" s="119" t="n">
        <f aca="false">MIN(H11,H16)</f>
        <v>328.365384615385</v>
      </c>
      <c r="I17" s="119" t="n">
        <f aca="false">MIN(I11,I16)</f>
        <v>328.365384615385</v>
      </c>
      <c r="J17" s="119" t="n">
        <f aca="false">MIN(J11,J16)</f>
        <v>328.365384615385</v>
      </c>
      <c r="K17" s="119" t="n">
        <f aca="false">MIN(K11,K16)</f>
        <v>240.801282051282</v>
      </c>
      <c r="L17" s="119" t="n">
        <f aca="false">MIN(L11,L16)</f>
        <v>240.801282051282</v>
      </c>
      <c r="M17" s="119" t="n">
        <f aca="false">MIN(M11,M16)</f>
        <v>240.801282051282</v>
      </c>
      <c r="N17" s="119" t="n">
        <f aca="false">MIN(N11,N16)</f>
        <v>240.801282051282</v>
      </c>
      <c r="O17" s="119" t="n">
        <f aca="false">MIN(O11,O16)</f>
        <v>269.697435897436</v>
      </c>
      <c r="P17" s="119" t="n">
        <f aca="false">MIN(P11,P16)</f>
        <v>269.697435897436</v>
      </c>
      <c r="Q17" s="119" t="n">
        <f aca="false">MIN(Q11,Q16)</f>
        <v>269.697435897436</v>
      </c>
      <c r="R17" s="119" t="n">
        <f aca="false">MIN(R11,R16)</f>
        <v>269.697435897436</v>
      </c>
      <c r="S17" s="119" t="n">
        <f aca="false">MIN(S11,S16)</f>
        <v>269.697435897436</v>
      </c>
      <c r="T17" s="119" t="n">
        <f aca="false">MIN(T11,T16)</f>
        <v>367.769230769231</v>
      </c>
      <c r="U17" s="119" t="n">
        <f aca="false">MIN(U11,U16)</f>
        <v>367.769230769231</v>
      </c>
      <c r="V17" s="119" t="n">
        <f aca="false">MIN(V11,V16)</f>
        <v>367.769230769231</v>
      </c>
      <c r="W17" s="119" t="n">
        <f aca="false">MIN(W11,W16)</f>
        <v>269.697435897436</v>
      </c>
      <c r="X17" s="119" t="n">
        <f aca="false">MIN(X11,X16)</f>
        <v>269.697435897436</v>
      </c>
      <c r="Y17" s="119" t="n">
        <f aca="false">MIN(Y11,Y16)</f>
        <v>269.697435897436</v>
      </c>
      <c r="Z17" s="119" t="n">
        <f aca="false">MIN(Z11,Z16)</f>
        <v>269.697435897436</v>
      </c>
      <c r="AA17" s="119" t="n">
        <f aca="false">MIN(AA11,AA16)</f>
        <v>302.061128205128</v>
      </c>
      <c r="AB17" s="119" t="n">
        <f aca="false">MIN(AB11,AB16)</f>
        <v>302.061128205128</v>
      </c>
      <c r="AC17" s="119" t="n">
        <f aca="false">MIN(AC11,AC16)</f>
        <v>302.061128205128</v>
      </c>
      <c r="AD17" s="119" t="n">
        <f aca="false">MIN(AD11,AD16)</f>
        <v>302.061128205128</v>
      </c>
      <c r="AE17" s="119" t="n">
        <f aca="false">MIN(AE11,AE16)</f>
        <v>302.061128205128</v>
      </c>
      <c r="AF17" s="119" t="n">
        <f aca="false">MIN(AF11,AF16)</f>
        <v>411.901538461539</v>
      </c>
      <c r="AG17" s="119" t="n">
        <f aca="false">MIN(AG11,AG16)</f>
        <v>411.901538461539</v>
      </c>
      <c r="AH17" s="119" t="n">
        <f aca="false">MIN(AH11,AH16)</f>
        <v>411.901538461539</v>
      </c>
      <c r="AI17" s="119" t="n">
        <f aca="false">MIN(AI11,AI16)</f>
        <v>302.061128205128</v>
      </c>
      <c r="AJ17" s="119" t="n">
        <f aca="false">MIN(AJ11,AJ16)</f>
        <v>302.061128205128</v>
      </c>
      <c r="AK17" s="119" t="n">
        <f aca="false">MIN(AK11,AK16)</f>
        <v>302.061128205128</v>
      </c>
      <c r="AL17" s="119" t="n">
        <f aca="false">MIN(AL11,AL16)</f>
        <v>302.061128205128</v>
      </c>
    </row>
    <row r="19" customFormat="false" ht="15.75" hidden="false" customHeight="true" outlineLevel="0" collapsed="false">
      <c r="A19" s="7" t="s">
        <v>44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customFormat="false" ht="15" hidden="false" customHeight="false" outlineLevel="0" collapsed="false">
      <c r="A20" s="6" t="s">
        <v>60</v>
      </c>
      <c r="C20" s="120" t="n">
        <f aca="false">Inputs!$B$20*(1+Inputs!$B$21)^(C$7-1)</f>
        <v>415</v>
      </c>
      <c r="D20" s="120" t="n">
        <f aca="false">Inputs!$B$20*(1+Inputs!$B$21)^(D$7-1)</f>
        <v>415</v>
      </c>
      <c r="E20" s="120" t="n">
        <f aca="false">Inputs!$B$20*(1+Inputs!$B$21)^(E$7-1)</f>
        <v>415</v>
      </c>
      <c r="F20" s="120" t="n">
        <f aca="false">Inputs!$B$20*(1+Inputs!$B$21)^(F$7-1)</f>
        <v>415</v>
      </c>
      <c r="G20" s="120" t="n">
        <f aca="false">Inputs!$B$20*(1+Inputs!$B$21)^(G$7-1)</f>
        <v>415</v>
      </c>
      <c r="H20" s="120" t="n">
        <f aca="false">Inputs!$B$20*(1+Inputs!$B$21)^(H$7-1)</f>
        <v>415</v>
      </c>
      <c r="I20" s="120" t="n">
        <f aca="false">Inputs!$B$20*(1+Inputs!$B$21)^(I$7-1)</f>
        <v>415</v>
      </c>
      <c r="J20" s="120" t="n">
        <f aca="false">Inputs!$B$20*(1+Inputs!$B$21)^(J$7-1)</f>
        <v>415</v>
      </c>
      <c r="K20" s="120" t="n">
        <f aca="false">Inputs!$B$20*(1+Inputs!$B$21)^(K$7-1)</f>
        <v>415</v>
      </c>
      <c r="L20" s="120" t="n">
        <f aca="false">Inputs!$B$20*(1+Inputs!$B$21)^(L$7-1)</f>
        <v>415</v>
      </c>
      <c r="M20" s="120" t="n">
        <f aca="false">Inputs!$B$20*(1+Inputs!$B$21)^(M$7-1)</f>
        <v>415</v>
      </c>
      <c r="N20" s="120" t="n">
        <f aca="false">Inputs!$B$20*(1+Inputs!$B$21)^(N$7-1)</f>
        <v>415</v>
      </c>
      <c r="O20" s="120" t="n">
        <f aca="false">Inputs!$B$20*(1+Inputs!$B$21)^(O$7-1)</f>
        <v>423.3</v>
      </c>
      <c r="P20" s="120" t="n">
        <f aca="false">Inputs!$B$20*(1+Inputs!$B$21)^(P$7-1)</f>
        <v>423.3</v>
      </c>
      <c r="Q20" s="120" t="n">
        <f aca="false">Inputs!$B$20*(1+Inputs!$B$21)^(Q$7-1)</f>
        <v>423.3</v>
      </c>
      <c r="R20" s="120" t="n">
        <f aca="false">Inputs!$B$20*(1+Inputs!$B$21)^(R$7-1)</f>
        <v>423.3</v>
      </c>
      <c r="S20" s="120" t="n">
        <f aca="false">Inputs!$B$20*(1+Inputs!$B$21)^(S$7-1)</f>
        <v>423.3</v>
      </c>
      <c r="T20" s="120" t="n">
        <f aca="false">Inputs!$B$20*(1+Inputs!$B$21)^(T$7-1)</f>
        <v>423.3</v>
      </c>
      <c r="U20" s="120" t="n">
        <f aca="false">Inputs!$B$20*(1+Inputs!$B$21)^(U$7-1)</f>
        <v>423.3</v>
      </c>
      <c r="V20" s="120" t="n">
        <f aca="false">Inputs!$B$20*(1+Inputs!$B$21)^(V$7-1)</f>
        <v>423.3</v>
      </c>
      <c r="W20" s="120" t="n">
        <f aca="false">Inputs!$B$20*(1+Inputs!$B$21)^(W$7-1)</f>
        <v>423.3</v>
      </c>
      <c r="X20" s="120" t="n">
        <f aca="false">Inputs!$B$20*(1+Inputs!$B$21)^(X$7-1)</f>
        <v>423.3</v>
      </c>
      <c r="Y20" s="120" t="n">
        <f aca="false">Inputs!$B$20*(1+Inputs!$B$21)^(Y$7-1)</f>
        <v>423.3</v>
      </c>
      <c r="Z20" s="120" t="n">
        <f aca="false">Inputs!$B$20*(1+Inputs!$B$21)^(Z$7-1)</f>
        <v>423.3</v>
      </c>
      <c r="AA20" s="120" t="n">
        <f aca="false">Inputs!$B$20*(1+Inputs!$B$21)^(AA$7-1)</f>
        <v>431.766</v>
      </c>
      <c r="AB20" s="120" t="n">
        <f aca="false">Inputs!$B$20*(1+Inputs!$B$21)^(AB$7-1)</f>
        <v>431.766</v>
      </c>
      <c r="AC20" s="120" t="n">
        <f aca="false">Inputs!$B$20*(1+Inputs!$B$21)^(AC$7-1)</f>
        <v>431.766</v>
      </c>
      <c r="AD20" s="120" t="n">
        <f aca="false">Inputs!$B$20*(1+Inputs!$B$21)^(AD$7-1)</f>
        <v>431.766</v>
      </c>
      <c r="AE20" s="120" t="n">
        <f aca="false">Inputs!$B$20*(1+Inputs!$B$21)^(AE$7-1)</f>
        <v>431.766</v>
      </c>
      <c r="AF20" s="120" t="n">
        <f aca="false">Inputs!$B$20*(1+Inputs!$B$21)^(AF$7-1)</f>
        <v>431.766</v>
      </c>
      <c r="AG20" s="120" t="n">
        <f aca="false">Inputs!$B$20*(1+Inputs!$B$21)^(AG$7-1)</f>
        <v>431.766</v>
      </c>
      <c r="AH20" s="120" t="n">
        <f aca="false">Inputs!$B$20*(1+Inputs!$B$21)^(AH$7-1)</f>
        <v>431.766</v>
      </c>
      <c r="AI20" s="120" t="n">
        <f aca="false">Inputs!$B$20*(1+Inputs!$B$21)^(AI$7-1)</f>
        <v>431.766</v>
      </c>
      <c r="AJ20" s="120" t="n">
        <f aca="false">Inputs!$B$20*(1+Inputs!$B$21)^(AJ$7-1)</f>
        <v>431.766</v>
      </c>
      <c r="AK20" s="120" t="n">
        <f aca="false">Inputs!$B$20*(1+Inputs!$B$21)^(AK$7-1)</f>
        <v>431.766</v>
      </c>
      <c r="AL20" s="120" t="n">
        <f aca="false">Inputs!$B$20*(1+Inputs!$B$21)^(AL$7-1)</f>
        <v>431.766</v>
      </c>
    </row>
    <row r="21" customFormat="false" ht="15" hidden="false" customHeight="false" outlineLevel="0" collapsed="false">
      <c r="A21" s="6" t="s">
        <v>238</v>
      </c>
      <c r="C21" s="67" t="n">
        <f aca="false">C17*C20</f>
        <v>99932.5320512821</v>
      </c>
      <c r="D21" s="67" t="n">
        <f aca="false">D17*D20</f>
        <v>99932.5320512821</v>
      </c>
      <c r="E21" s="67" t="n">
        <f aca="false">E17*E20</f>
        <v>99932.5320512821</v>
      </c>
      <c r="F21" s="67" t="n">
        <f aca="false">F17*F20</f>
        <v>99932.5320512821</v>
      </c>
      <c r="G21" s="67" t="n">
        <f aca="false">G17*G20</f>
        <v>99932.5320512821</v>
      </c>
      <c r="H21" s="67" t="n">
        <f aca="false">H17*H20</f>
        <v>136271.634615385</v>
      </c>
      <c r="I21" s="67" t="n">
        <f aca="false">I17*I20</f>
        <v>136271.634615385</v>
      </c>
      <c r="J21" s="67" t="n">
        <f aca="false">J17*J20</f>
        <v>136271.634615385</v>
      </c>
      <c r="K21" s="67" t="n">
        <f aca="false">K17*K20</f>
        <v>99932.5320512821</v>
      </c>
      <c r="L21" s="67" t="n">
        <f aca="false">L17*L20</f>
        <v>99932.5320512821</v>
      </c>
      <c r="M21" s="67" t="n">
        <f aca="false">M17*M20</f>
        <v>99932.5320512821</v>
      </c>
      <c r="N21" s="67" t="n">
        <f aca="false">N17*N20</f>
        <v>99932.5320512821</v>
      </c>
      <c r="O21" s="67" t="n">
        <f aca="false">O17*O20</f>
        <v>114162.924615385</v>
      </c>
      <c r="P21" s="67" t="n">
        <f aca="false">P17*P20</f>
        <v>114162.924615385</v>
      </c>
      <c r="Q21" s="67" t="n">
        <f aca="false">Q17*Q20</f>
        <v>114162.924615385</v>
      </c>
      <c r="R21" s="67" t="n">
        <f aca="false">R17*R20</f>
        <v>114162.924615385</v>
      </c>
      <c r="S21" s="67" t="n">
        <f aca="false">S17*S20</f>
        <v>114162.924615385</v>
      </c>
      <c r="T21" s="67" t="n">
        <f aca="false">T17*T20</f>
        <v>155676.715384615</v>
      </c>
      <c r="U21" s="67" t="n">
        <f aca="false">U17*U20</f>
        <v>155676.715384615</v>
      </c>
      <c r="V21" s="67" t="n">
        <f aca="false">V17*V20</f>
        <v>155676.715384615</v>
      </c>
      <c r="W21" s="67" t="n">
        <f aca="false">W17*W20</f>
        <v>114162.924615385</v>
      </c>
      <c r="X21" s="67" t="n">
        <f aca="false">X17*X20</f>
        <v>114162.924615385</v>
      </c>
      <c r="Y21" s="67" t="n">
        <f aca="false">Y17*Y20</f>
        <v>114162.924615385</v>
      </c>
      <c r="Z21" s="67" t="n">
        <f aca="false">Z17*Z20</f>
        <v>114162.924615385</v>
      </c>
      <c r="AA21" s="67" t="n">
        <f aca="false">AA17*AA20</f>
        <v>130419.725080615</v>
      </c>
      <c r="AB21" s="67" t="n">
        <f aca="false">AB17*AB20</f>
        <v>130419.725080615</v>
      </c>
      <c r="AC21" s="67" t="n">
        <f aca="false">AC17*AC20</f>
        <v>130419.725080615</v>
      </c>
      <c r="AD21" s="67" t="n">
        <f aca="false">AD17*AD20</f>
        <v>130419.725080615</v>
      </c>
      <c r="AE21" s="67" t="n">
        <f aca="false">AE17*AE20</f>
        <v>130419.725080615</v>
      </c>
      <c r="AF21" s="67" t="n">
        <f aca="false">AF17*AF20</f>
        <v>177845.079655385</v>
      </c>
      <c r="AG21" s="67" t="n">
        <f aca="false">AG17*AG20</f>
        <v>177845.079655385</v>
      </c>
      <c r="AH21" s="67" t="n">
        <f aca="false">AH17*AH20</f>
        <v>177845.079655385</v>
      </c>
      <c r="AI21" s="67" t="n">
        <f aca="false">AI17*AI20</f>
        <v>130419.725080615</v>
      </c>
      <c r="AJ21" s="67" t="n">
        <f aca="false">AJ17*AJ20</f>
        <v>130419.725080615</v>
      </c>
      <c r="AK21" s="67" t="n">
        <f aca="false">AK17*AK20</f>
        <v>130419.725080615</v>
      </c>
      <c r="AL21" s="67" t="n">
        <f aca="false">AL17*AL20</f>
        <v>130419.725080615</v>
      </c>
    </row>
    <row r="22" customFormat="false" ht="15" hidden="false" customHeight="false" outlineLevel="0" collapsed="false">
      <c r="A22" s="6" t="s">
        <v>382</v>
      </c>
      <c r="C22" s="117" t="n">
        <f aca="false">Inputs!$B$24*(1+Inputs!$B$25)^(C$7-1)</f>
        <v>300</v>
      </c>
      <c r="D22" s="117" t="n">
        <f aca="false">Inputs!$B$24*(1+Inputs!$B$25)^(D$7-1)</f>
        <v>300</v>
      </c>
      <c r="E22" s="117" t="n">
        <f aca="false">Inputs!$B$24*(1+Inputs!$B$25)^(E$7-1)</f>
        <v>300</v>
      </c>
      <c r="F22" s="117" t="n">
        <f aca="false">Inputs!$B$24*(1+Inputs!$B$25)^(F$7-1)</f>
        <v>300</v>
      </c>
      <c r="G22" s="117" t="n">
        <f aca="false">Inputs!$B$24*(1+Inputs!$B$25)^(G$7-1)</f>
        <v>300</v>
      </c>
      <c r="H22" s="117" t="n">
        <f aca="false">Inputs!$B$24*(1+Inputs!$B$25)^(H$7-1)</f>
        <v>300</v>
      </c>
      <c r="I22" s="117" t="n">
        <f aca="false">Inputs!$B$24*(1+Inputs!$B$25)^(I$7-1)</f>
        <v>300</v>
      </c>
      <c r="J22" s="117" t="n">
        <f aca="false">Inputs!$B$24*(1+Inputs!$B$25)^(J$7-1)</f>
        <v>300</v>
      </c>
      <c r="K22" s="117" t="n">
        <f aca="false">Inputs!$B$24*(1+Inputs!$B$25)^(K$7-1)</f>
        <v>300</v>
      </c>
      <c r="L22" s="117" t="n">
        <f aca="false">Inputs!$B$24*(1+Inputs!$B$25)^(L$7-1)</f>
        <v>300</v>
      </c>
      <c r="M22" s="117" t="n">
        <f aca="false">Inputs!$B$24*(1+Inputs!$B$25)^(M$7-1)</f>
        <v>300</v>
      </c>
      <c r="N22" s="117" t="n">
        <f aca="false">Inputs!$B$24*(1+Inputs!$B$25)^(N$7-1)</f>
        <v>300</v>
      </c>
      <c r="O22" s="117" t="n">
        <f aca="false">Inputs!$B$24*(1+Inputs!$B$25)^(O$7-1)</f>
        <v>345</v>
      </c>
      <c r="P22" s="117" t="n">
        <f aca="false">Inputs!$B$24*(1+Inputs!$B$25)^(P$7-1)</f>
        <v>345</v>
      </c>
      <c r="Q22" s="117" t="n">
        <f aca="false">Inputs!$B$24*(1+Inputs!$B$25)^(Q$7-1)</f>
        <v>345</v>
      </c>
      <c r="R22" s="117" t="n">
        <f aca="false">Inputs!$B$24*(1+Inputs!$B$25)^(R$7-1)</f>
        <v>345</v>
      </c>
      <c r="S22" s="117" t="n">
        <f aca="false">Inputs!$B$24*(1+Inputs!$B$25)^(S$7-1)</f>
        <v>345</v>
      </c>
      <c r="T22" s="117" t="n">
        <f aca="false">Inputs!$B$24*(1+Inputs!$B$25)^(T$7-1)</f>
        <v>345</v>
      </c>
      <c r="U22" s="117" t="n">
        <f aca="false">Inputs!$B$24*(1+Inputs!$B$25)^(U$7-1)</f>
        <v>345</v>
      </c>
      <c r="V22" s="117" t="n">
        <f aca="false">Inputs!$B$24*(1+Inputs!$B$25)^(V$7-1)</f>
        <v>345</v>
      </c>
      <c r="W22" s="117" t="n">
        <f aca="false">Inputs!$B$24*(1+Inputs!$B$25)^(W$7-1)</f>
        <v>345</v>
      </c>
      <c r="X22" s="117" t="n">
        <f aca="false">Inputs!$B$24*(1+Inputs!$B$25)^(X$7-1)</f>
        <v>345</v>
      </c>
      <c r="Y22" s="117" t="n">
        <f aca="false">Inputs!$B$24*(1+Inputs!$B$25)^(Y$7-1)</f>
        <v>345</v>
      </c>
      <c r="Z22" s="117" t="n">
        <f aca="false">Inputs!$B$24*(1+Inputs!$B$25)^(Z$7-1)</f>
        <v>345</v>
      </c>
      <c r="AA22" s="117" t="n">
        <f aca="false">Inputs!$B$24*(1+Inputs!$B$25)^(AA$7-1)</f>
        <v>396.75</v>
      </c>
      <c r="AB22" s="117" t="n">
        <f aca="false">Inputs!$B$24*(1+Inputs!$B$25)^(AB$7-1)</f>
        <v>396.75</v>
      </c>
      <c r="AC22" s="117" t="n">
        <f aca="false">Inputs!$B$24*(1+Inputs!$B$25)^(AC$7-1)</f>
        <v>396.75</v>
      </c>
      <c r="AD22" s="117" t="n">
        <f aca="false">Inputs!$B$24*(1+Inputs!$B$25)^(AD$7-1)</f>
        <v>396.75</v>
      </c>
      <c r="AE22" s="117" t="n">
        <f aca="false">Inputs!$B$24*(1+Inputs!$B$25)^(AE$7-1)</f>
        <v>396.75</v>
      </c>
      <c r="AF22" s="117" t="n">
        <f aca="false">Inputs!$B$24*(1+Inputs!$B$25)^(AF$7-1)</f>
        <v>396.75</v>
      </c>
      <c r="AG22" s="117" t="n">
        <f aca="false">Inputs!$B$24*(1+Inputs!$B$25)^(AG$7-1)</f>
        <v>396.75</v>
      </c>
      <c r="AH22" s="117" t="n">
        <f aca="false">Inputs!$B$24*(1+Inputs!$B$25)^(AH$7-1)</f>
        <v>396.75</v>
      </c>
      <c r="AI22" s="117" t="n">
        <f aca="false">Inputs!$B$24*(1+Inputs!$B$25)^(AI$7-1)</f>
        <v>396.75</v>
      </c>
      <c r="AJ22" s="117" t="n">
        <f aca="false">Inputs!$B$24*(1+Inputs!$B$25)^(AJ$7-1)</f>
        <v>396.75</v>
      </c>
      <c r="AK22" s="117" t="n">
        <f aca="false">Inputs!$B$24*(1+Inputs!$B$25)^(AK$7-1)</f>
        <v>396.75</v>
      </c>
      <c r="AL22" s="117" t="n">
        <f aca="false">Inputs!$B$24*(1+Inputs!$B$25)^(AL$7-1)</f>
        <v>396.75</v>
      </c>
    </row>
    <row r="23" customFormat="false" ht="15" hidden="false" customHeight="false" outlineLevel="0" collapsed="false">
      <c r="A23" s="6" t="s">
        <v>242</v>
      </c>
      <c r="C23" s="67" t="n">
        <f aca="false">C22*Inputs!$B$26*(1+Inputs!$B$21)^(C$7-1)*1</f>
        <v>5400</v>
      </c>
      <c r="D23" s="67" t="n">
        <f aca="false">D22*Inputs!$B$26*(1+Inputs!$B$21)^(D$7-1)*1</f>
        <v>5400</v>
      </c>
      <c r="E23" s="67" t="n">
        <f aca="false">E22*Inputs!$B$26*(1+Inputs!$B$21)^(E$7-1)*1</f>
        <v>5400</v>
      </c>
      <c r="F23" s="67" t="n">
        <f aca="false">F22*Inputs!$B$26*(1+Inputs!$B$21)^(F$7-1)*1</f>
        <v>5400</v>
      </c>
      <c r="G23" s="67" t="n">
        <f aca="false">G22*Inputs!$B$26*(1+Inputs!$B$21)^(G$7-1)*1</f>
        <v>5400</v>
      </c>
      <c r="H23" s="67" t="n">
        <f aca="false">H22*Inputs!$B$26*(1+Inputs!$B$21)^(H$7-1)*1</f>
        <v>5400</v>
      </c>
      <c r="I23" s="67" t="n">
        <f aca="false">I22*Inputs!$B$26*(1+Inputs!$B$21)^(I$7-1)*1</f>
        <v>5400</v>
      </c>
      <c r="J23" s="67" t="n">
        <f aca="false">J22*Inputs!$B$26*(1+Inputs!$B$21)^(J$7-1)*1</f>
        <v>5400</v>
      </c>
      <c r="K23" s="67" t="n">
        <f aca="false">K22*Inputs!$B$26*(1+Inputs!$B$21)^(K$7-1)*1</f>
        <v>5400</v>
      </c>
      <c r="L23" s="67" t="n">
        <f aca="false">L22*Inputs!$B$26*(1+Inputs!$B$21)^(L$7-1)*1</f>
        <v>5400</v>
      </c>
      <c r="M23" s="67" t="n">
        <f aca="false">M22*Inputs!$B$26*(1+Inputs!$B$21)^(M$7-1)*1</f>
        <v>5400</v>
      </c>
      <c r="N23" s="67" t="n">
        <f aca="false">N22*Inputs!$B$26*(1+Inputs!$B$21)^(N$7-1)*1</f>
        <v>5400</v>
      </c>
      <c r="O23" s="67" t="n">
        <f aca="false">O22*Inputs!$B$26*(1+Inputs!$B$21)^(O$7-1)*1</f>
        <v>6334.2</v>
      </c>
      <c r="P23" s="67" t="n">
        <f aca="false">P22*Inputs!$B$26*(1+Inputs!$B$21)^(P$7-1)*1</f>
        <v>6334.2</v>
      </c>
      <c r="Q23" s="67" t="n">
        <f aca="false">Q22*Inputs!$B$26*(1+Inputs!$B$21)^(Q$7-1)*1</f>
        <v>6334.2</v>
      </c>
      <c r="R23" s="67" t="n">
        <f aca="false">R22*Inputs!$B$26*(1+Inputs!$B$21)^(R$7-1)*1</f>
        <v>6334.2</v>
      </c>
      <c r="S23" s="67" t="n">
        <f aca="false">S22*Inputs!$B$26*(1+Inputs!$B$21)^(S$7-1)*1</f>
        <v>6334.2</v>
      </c>
      <c r="T23" s="67" t="n">
        <f aca="false">T22*Inputs!$B$26*(1+Inputs!$B$21)^(T$7-1)*1</f>
        <v>6334.2</v>
      </c>
      <c r="U23" s="67" t="n">
        <f aca="false">U22*Inputs!$B$26*(1+Inputs!$B$21)^(U$7-1)*1</f>
        <v>6334.2</v>
      </c>
      <c r="V23" s="67" t="n">
        <f aca="false">V22*Inputs!$B$26*(1+Inputs!$B$21)^(V$7-1)*1</f>
        <v>6334.2</v>
      </c>
      <c r="W23" s="67" t="n">
        <f aca="false">W22*Inputs!$B$26*(1+Inputs!$B$21)^(W$7-1)*1</f>
        <v>6334.2</v>
      </c>
      <c r="X23" s="67" t="n">
        <f aca="false">X22*Inputs!$B$26*(1+Inputs!$B$21)^(X$7-1)*1</f>
        <v>6334.2</v>
      </c>
      <c r="Y23" s="67" t="n">
        <f aca="false">Y22*Inputs!$B$26*(1+Inputs!$B$21)^(Y$7-1)*1</f>
        <v>6334.2</v>
      </c>
      <c r="Z23" s="67" t="n">
        <f aca="false">Z22*Inputs!$B$26*(1+Inputs!$B$21)^(Z$7-1)*1</f>
        <v>6334.2</v>
      </c>
      <c r="AA23" s="67" t="n">
        <f aca="false">AA22*Inputs!$B$26*(1+Inputs!$B$21)^(AA$7-1)*1</f>
        <v>7430.0166</v>
      </c>
      <c r="AB23" s="67" t="n">
        <f aca="false">AB22*Inputs!$B$26*(1+Inputs!$B$21)^(AB$7-1)*1</f>
        <v>7430.0166</v>
      </c>
      <c r="AC23" s="67" t="n">
        <f aca="false">AC22*Inputs!$B$26*(1+Inputs!$B$21)^(AC$7-1)*1</f>
        <v>7430.0166</v>
      </c>
      <c r="AD23" s="67" t="n">
        <f aca="false">AD22*Inputs!$B$26*(1+Inputs!$B$21)^(AD$7-1)*1</f>
        <v>7430.0166</v>
      </c>
      <c r="AE23" s="67" t="n">
        <f aca="false">AE22*Inputs!$B$26*(1+Inputs!$B$21)^(AE$7-1)*1</f>
        <v>7430.0166</v>
      </c>
      <c r="AF23" s="67" t="n">
        <f aca="false">AF22*Inputs!$B$26*(1+Inputs!$B$21)^(AF$7-1)*1</f>
        <v>7430.0166</v>
      </c>
      <c r="AG23" s="67" t="n">
        <f aca="false">AG22*Inputs!$B$26*(1+Inputs!$B$21)^(AG$7-1)*1</f>
        <v>7430.0166</v>
      </c>
      <c r="AH23" s="67" t="n">
        <f aca="false">AH22*Inputs!$B$26*(1+Inputs!$B$21)^(AH$7-1)*1</f>
        <v>7430.0166</v>
      </c>
      <c r="AI23" s="67" t="n">
        <f aca="false">AI22*Inputs!$B$26*(1+Inputs!$B$21)^(AI$7-1)*1</f>
        <v>7430.0166</v>
      </c>
      <c r="AJ23" s="67" t="n">
        <f aca="false">AJ22*Inputs!$B$26*(1+Inputs!$B$21)^(AJ$7-1)*1</f>
        <v>7430.0166</v>
      </c>
      <c r="AK23" s="67" t="n">
        <f aca="false">AK22*Inputs!$B$26*(1+Inputs!$B$21)^(AK$7-1)*1</f>
        <v>7430.0166</v>
      </c>
      <c r="AL23" s="67" t="n">
        <f aca="false">AL22*Inputs!$B$26*(1+Inputs!$B$21)^(AL$7-1)*1</f>
        <v>7430.0166</v>
      </c>
    </row>
    <row r="24" customFormat="false" ht="15" hidden="false" customHeight="false" outlineLevel="0" collapsed="false">
      <c r="A24" s="113" t="s">
        <v>44</v>
      </c>
      <c r="C24" s="68" t="n">
        <f aca="false">C21+C23</f>
        <v>105332.532051282</v>
      </c>
      <c r="D24" s="68" t="n">
        <f aca="false">D21+D23</f>
        <v>105332.532051282</v>
      </c>
      <c r="E24" s="68" t="n">
        <f aca="false">E21+E23</f>
        <v>105332.532051282</v>
      </c>
      <c r="F24" s="68" t="n">
        <f aca="false">F21+F23</f>
        <v>105332.532051282</v>
      </c>
      <c r="G24" s="68" t="n">
        <f aca="false">G21+G23</f>
        <v>105332.532051282</v>
      </c>
      <c r="H24" s="68" t="n">
        <f aca="false">H21+H23</f>
        <v>141671.634615385</v>
      </c>
      <c r="I24" s="68" t="n">
        <f aca="false">I21+I23</f>
        <v>141671.634615385</v>
      </c>
      <c r="J24" s="68" t="n">
        <f aca="false">J21+J23</f>
        <v>141671.634615385</v>
      </c>
      <c r="K24" s="68" t="n">
        <f aca="false">K21+K23</f>
        <v>105332.532051282</v>
      </c>
      <c r="L24" s="68" t="n">
        <f aca="false">L21+L23</f>
        <v>105332.532051282</v>
      </c>
      <c r="M24" s="68" t="n">
        <f aca="false">M21+M23</f>
        <v>105332.532051282</v>
      </c>
      <c r="N24" s="68" t="n">
        <f aca="false">N21+N23</f>
        <v>105332.532051282</v>
      </c>
      <c r="O24" s="68" t="n">
        <f aca="false">O21+O23</f>
        <v>120497.124615385</v>
      </c>
      <c r="P24" s="68" t="n">
        <f aca="false">P21+P23</f>
        <v>120497.124615385</v>
      </c>
      <c r="Q24" s="68" t="n">
        <f aca="false">Q21+Q23</f>
        <v>120497.124615385</v>
      </c>
      <c r="R24" s="68" t="n">
        <f aca="false">R21+R23</f>
        <v>120497.124615385</v>
      </c>
      <c r="S24" s="68" t="n">
        <f aca="false">S21+S23</f>
        <v>120497.124615385</v>
      </c>
      <c r="T24" s="68" t="n">
        <f aca="false">T21+T23</f>
        <v>162010.915384615</v>
      </c>
      <c r="U24" s="68" t="n">
        <f aca="false">U21+U23</f>
        <v>162010.915384615</v>
      </c>
      <c r="V24" s="68" t="n">
        <f aca="false">V21+V23</f>
        <v>162010.915384615</v>
      </c>
      <c r="W24" s="68" t="n">
        <f aca="false">W21+W23</f>
        <v>120497.124615385</v>
      </c>
      <c r="X24" s="68" t="n">
        <f aca="false">X21+X23</f>
        <v>120497.124615385</v>
      </c>
      <c r="Y24" s="68" t="n">
        <f aca="false">Y21+Y23</f>
        <v>120497.124615385</v>
      </c>
      <c r="Z24" s="68" t="n">
        <f aca="false">Z21+Z23</f>
        <v>120497.124615385</v>
      </c>
      <c r="AA24" s="68" t="n">
        <f aca="false">AA21+AA23</f>
        <v>137849.741680615</v>
      </c>
      <c r="AB24" s="68" t="n">
        <f aca="false">AB21+AB23</f>
        <v>137849.741680615</v>
      </c>
      <c r="AC24" s="68" t="n">
        <f aca="false">AC21+AC23</f>
        <v>137849.741680615</v>
      </c>
      <c r="AD24" s="68" t="n">
        <f aca="false">AD21+AD23</f>
        <v>137849.741680615</v>
      </c>
      <c r="AE24" s="68" t="n">
        <f aca="false">AE21+AE23</f>
        <v>137849.741680615</v>
      </c>
      <c r="AF24" s="68" t="n">
        <f aca="false">AF21+AF23</f>
        <v>185275.096255385</v>
      </c>
      <c r="AG24" s="68" t="n">
        <f aca="false">AG21+AG23</f>
        <v>185275.096255385</v>
      </c>
      <c r="AH24" s="68" t="n">
        <f aca="false">AH21+AH23</f>
        <v>185275.096255385</v>
      </c>
      <c r="AI24" s="68" t="n">
        <f aca="false">AI21+AI23</f>
        <v>137849.741680615</v>
      </c>
      <c r="AJ24" s="68" t="n">
        <f aca="false">AJ21+AJ23</f>
        <v>137849.741680615</v>
      </c>
      <c r="AK24" s="68" t="n">
        <f aca="false">AK21+AK23</f>
        <v>137849.741680615</v>
      </c>
      <c r="AL24" s="68" t="n">
        <f aca="false">AL21+AL23</f>
        <v>137849.741680615</v>
      </c>
    </row>
    <row r="26" customFormat="false" ht="15.75" hidden="false" customHeight="true" outlineLevel="0" collapsed="false">
      <c r="A26" s="7" t="s">
        <v>75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6" t="s">
        <v>383</v>
      </c>
      <c r="C27" s="67" t="n">
        <f aca="false">C108</f>
        <v>-41591.6666666667</v>
      </c>
      <c r="D27" s="67" t="n">
        <f aca="false">D108</f>
        <v>-41591.6666666667</v>
      </c>
      <c r="E27" s="67" t="n">
        <f aca="false">E108</f>
        <v>-41591.6666666667</v>
      </c>
      <c r="F27" s="67" t="n">
        <f aca="false">F108</f>
        <v>-41591.6666666667</v>
      </c>
      <c r="G27" s="67" t="n">
        <f aca="false">G108</f>
        <v>-41591.6666666667</v>
      </c>
      <c r="H27" s="67" t="n">
        <f aca="false">H108</f>
        <v>-41591.6666666667</v>
      </c>
      <c r="I27" s="67" t="n">
        <f aca="false">I108</f>
        <v>-41591.6666666667</v>
      </c>
      <c r="J27" s="67" t="n">
        <f aca="false">J108</f>
        <v>-41591.6666666667</v>
      </c>
      <c r="K27" s="67" t="n">
        <f aca="false">K108</f>
        <v>-41591.6666666667</v>
      </c>
      <c r="L27" s="67" t="n">
        <f aca="false">L108</f>
        <v>-41591.6666666667</v>
      </c>
      <c r="M27" s="67" t="n">
        <f aca="false">M108</f>
        <v>-41591.6666666667</v>
      </c>
      <c r="N27" s="67" t="n">
        <f aca="false">N108</f>
        <v>-41591.6666666667</v>
      </c>
      <c r="O27" s="67" t="n">
        <f aca="false">O108</f>
        <v>-47980.1466666667</v>
      </c>
      <c r="P27" s="67" t="n">
        <f aca="false">P108</f>
        <v>-47980.1466666667</v>
      </c>
      <c r="Q27" s="67" t="n">
        <f aca="false">Q108</f>
        <v>-47980.1466666667</v>
      </c>
      <c r="R27" s="67" t="n">
        <f aca="false">R108</f>
        <v>-47980.1466666667</v>
      </c>
      <c r="S27" s="67" t="n">
        <f aca="false">S108</f>
        <v>-47980.1466666667</v>
      </c>
      <c r="T27" s="67" t="n">
        <f aca="false">T108</f>
        <v>-47980.1466666667</v>
      </c>
      <c r="U27" s="67" t="n">
        <f aca="false">U108</f>
        <v>-47980.1466666667</v>
      </c>
      <c r="V27" s="67" t="n">
        <f aca="false">V108</f>
        <v>-47980.1466666667</v>
      </c>
      <c r="W27" s="67" t="n">
        <f aca="false">W108</f>
        <v>-47980.1466666667</v>
      </c>
      <c r="X27" s="67" t="n">
        <f aca="false">X108</f>
        <v>-47980.1466666667</v>
      </c>
      <c r="Y27" s="67" t="n">
        <f aca="false">Y108</f>
        <v>-47980.1466666667</v>
      </c>
      <c r="Z27" s="67" t="n">
        <f aca="false">Z108</f>
        <v>-47980.1466666667</v>
      </c>
      <c r="AA27" s="67" t="n">
        <f aca="false">AA108</f>
        <v>-55349.8971946667</v>
      </c>
      <c r="AB27" s="67" t="n">
        <f aca="false">AB108</f>
        <v>-55349.8971946667</v>
      </c>
      <c r="AC27" s="67" t="n">
        <f aca="false">AC108</f>
        <v>-55349.8971946667</v>
      </c>
      <c r="AD27" s="67" t="n">
        <f aca="false">AD108</f>
        <v>-55349.8971946667</v>
      </c>
      <c r="AE27" s="67" t="n">
        <f aca="false">AE108</f>
        <v>-55349.8971946667</v>
      </c>
      <c r="AF27" s="67" t="n">
        <f aca="false">AF108</f>
        <v>-55349.8971946667</v>
      </c>
      <c r="AG27" s="67" t="n">
        <f aca="false">AG108</f>
        <v>-55349.8971946667</v>
      </c>
      <c r="AH27" s="67" t="n">
        <f aca="false">AH108</f>
        <v>-55349.8971946667</v>
      </c>
      <c r="AI27" s="67" t="n">
        <f aca="false">AI108</f>
        <v>-55349.8971946667</v>
      </c>
      <c r="AJ27" s="67" t="n">
        <f aca="false">AJ108</f>
        <v>-55349.8971946667</v>
      </c>
      <c r="AK27" s="67" t="n">
        <f aca="false">AK108</f>
        <v>-55349.8971946667</v>
      </c>
      <c r="AL27" s="67" t="n">
        <f aca="false">AL108</f>
        <v>-55349.8971946667</v>
      </c>
    </row>
    <row r="28" customFormat="false" ht="15" hidden="false" customHeight="false" outlineLevel="0" collapsed="false">
      <c r="A28" s="6" t="s">
        <v>384</v>
      </c>
      <c r="C28" s="67" t="n">
        <f aca="false">-C21*Inputs!$B$30</f>
        <v>-25982.4583333333</v>
      </c>
      <c r="D28" s="67" t="n">
        <f aca="false">-D21*Inputs!$B$30</f>
        <v>-25982.4583333333</v>
      </c>
      <c r="E28" s="67" t="n">
        <f aca="false">-E21*Inputs!$B$30</f>
        <v>-25982.4583333333</v>
      </c>
      <c r="F28" s="67" t="n">
        <f aca="false">-F21*Inputs!$B$30</f>
        <v>-25982.4583333333</v>
      </c>
      <c r="G28" s="67" t="n">
        <f aca="false">-G21*Inputs!$B$30</f>
        <v>-25982.4583333333</v>
      </c>
      <c r="H28" s="67" t="n">
        <f aca="false">-H21*Inputs!$B$30</f>
        <v>-35430.625</v>
      </c>
      <c r="I28" s="67" t="n">
        <f aca="false">-I21*Inputs!$B$30</f>
        <v>-35430.625</v>
      </c>
      <c r="J28" s="67" t="n">
        <f aca="false">-J21*Inputs!$B$30</f>
        <v>-35430.625</v>
      </c>
      <c r="K28" s="67" t="n">
        <f aca="false">-K21*Inputs!$B$30</f>
        <v>-25982.4583333333</v>
      </c>
      <c r="L28" s="67" t="n">
        <f aca="false">-L21*Inputs!$B$30</f>
        <v>-25982.4583333333</v>
      </c>
      <c r="M28" s="67" t="n">
        <f aca="false">-M21*Inputs!$B$30</f>
        <v>-25982.4583333333</v>
      </c>
      <c r="N28" s="67" t="n">
        <f aca="false">-N21*Inputs!$B$30</f>
        <v>-25982.4583333333</v>
      </c>
      <c r="O28" s="67" t="n">
        <f aca="false">-O21*Inputs!$B$30</f>
        <v>-29682.3604</v>
      </c>
      <c r="P28" s="67" t="n">
        <f aca="false">-P21*Inputs!$B$30</f>
        <v>-29682.3604</v>
      </c>
      <c r="Q28" s="67" t="n">
        <f aca="false">-Q21*Inputs!$B$30</f>
        <v>-29682.3604</v>
      </c>
      <c r="R28" s="67" t="n">
        <f aca="false">-R21*Inputs!$B$30</f>
        <v>-29682.3604</v>
      </c>
      <c r="S28" s="67" t="n">
        <f aca="false">-S21*Inputs!$B$30</f>
        <v>-29682.3604</v>
      </c>
      <c r="T28" s="67" t="n">
        <f aca="false">-T21*Inputs!$B$30</f>
        <v>-40475.946</v>
      </c>
      <c r="U28" s="67" t="n">
        <f aca="false">-U21*Inputs!$B$30</f>
        <v>-40475.946</v>
      </c>
      <c r="V28" s="67" t="n">
        <f aca="false">-V21*Inputs!$B$30</f>
        <v>-40475.946</v>
      </c>
      <c r="W28" s="67" t="n">
        <f aca="false">-W21*Inputs!$B$30</f>
        <v>-29682.3604</v>
      </c>
      <c r="X28" s="67" t="n">
        <f aca="false">-X21*Inputs!$B$30</f>
        <v>-29682.3604</v>
      </c>
      <c r="Y28" s="67" t="n">
        <f aca="false">-Y21*Inputs!$B$30</f>
        <v>-29682.3604</v>
      </c>
      <c r="Z28" s="67" t="n">
        <f aca="false">-Z21*Inputs!$B$30</f>
        <v>-29682.3604</v>
      </c>
      <c r="AA28" s="67" t="n">
        <f aca="false">-AA21*Inputs!$B$30</f>
        <v>-33909.12852096</v>
      </c>
      <c r="AB28" s="67" t="n">
        <f aca="false">-AB21*Inputs!$B$30</f>
        <v>-33909.12852096</v>
      </c>
      <c r="AC28" s="67" t="n">
        <f aca="false">-AC21*Inputs!$B$30</f>
        <v>-33909.12852096</v>
      </c>
      <c r="AD28" s="67" t="n">
        <f aca="false">-AD21*Inputs!$B$30</f>
        <v>-33909.12852096</v>
      </c>
      <c r="AE28" s="67" t="n">
        <f aca="false">-AE21*Inputs!$B$30</f>
        <v>-33909.12852096</v>
      </c>
      <c r="AF28" s="67" t="n">
        <f aca="false">-AF21*Inputs!$B$30</f>
        <v>-46239.7207104</v>
      </c>
      <c r="AG28" s="67" t="n">
        <f aca="false">-AG21*Inputs!$B$30</f>
        <v>-46239.7207104</v>
      </c>
      <c r="AH28" s="67" t="n">
        <f aca="false">-AH21*Inputs!$B$30</f>
        <v>-46239.7207104</v>
      </c>
      <c r="AI28" s="67" t="n">
        <f aca="false">-AI21*Inputs!$B$30</f>
        <v>-33909.12852096</v>
      </c>
      <c r="AJ28" s="67" t="n">
        <f aca="false">-AJ21*Inputs!$B$30</f>
        <v>-33909.12852096</v>
      </c>
      <c r="AK28" s="67" t="n">
        <f aca="false">-AK21*Inputs!$B$30</f>
        <v>-33909.12852096</v>
      </c>
      <c r="AL28" s="67" t="n">
        <f aca="false">-AL21*Inputs!$B$30</f>
        <v>-33909.12852096</v>
      </c>
    </row>
    <row r="29" customFormat="false" ht="15" hidden="false" customHeight="false" outlineLevel="0" collapsed="false">
      <c r="A29" s="6" t="s">
        <v>385</v>
      </c>
      <c r="C29" s="67" t="n">
        <f aca="false">-C10*Inputs!$B$31*1</f>
        <v>-9450</v>
      </c>
      <c r="D29" s="67" t="n">
        <f aca="false">-D10*Inputs!$B$31*1</f>
        <v>-9450</v>
      </c>
      <c r="E29" s="67" t="n">
        <f aca="false">-E10*Inputs!$B$31*1</f>
        <v>-9450</v>
      </c>
      <c r="F29" s="67" t="n">
        <f aca="false">-F10*Inputs!$B$31*1</f>
        <v>-9450</v>
      </c>
      <c r="G29" s="67" t="n">
        <f aca="false">-G10*Inputs!$B$31*1</f>
        <v>-9450</v>
      </c>
      <c r="H29" s="67" t="n">
        <f aca="false">-H10*Inputs!$B$31*1</f>
        <v>-9450</v>
      </c>
      <c r="I29" s="67" t="n">
        <f aca="false">-I10*Inputs!$B$31*1</f>
        <v>-9450</v>
      </c>
      <c r="J29" s="67" t="n">
        <f aca="false">-J10*Inputs!$B$31*1</f>
        <v>-9450</v>
      </c>
      <c r="K29" s="67" t="n">
        <f aca="false">-K10*Inputs!$B$31*1</f>
        <v>-9450</v>
      </c>
      <c r="L29" s="67" t="n">
        <f aca="false">-L10*Inputs!$B$31*1</f>
        <v>-9450</v>
      </c>
      <c r="M29" s="67" t="n">
        <f aca="false">-M10*Inputs!$B$31*1</f>
        <v>-9450</v>
      </c>
      <c r="N29" s="67" t="n">
        <f aca="false">-N10*Inputs!$B$31*1</f>
        <v>-9450</v>
      </c>
      <c r="O29" s="67" t="n">
        <f aca="false">-O10*Inputs!$B$31*1</f>
        <v>-10584</v>
      </c>
      <c r="P29" s="67" t="n">
        <f aca="false">-P10*Inputs!$B$31*1</f>
        <v>-10584</v>
      </c>
      <c r="Q29" s="67" t="n">
        <f aca="false">-Q10*Inputs!$B$31*1</f>
        <v>-10584</v>
      </c>
      <c r="R29" s="67" t="n">
        <f aca="false">-R10*Inputs!$B$31*1</f>
        <v>-10584</v>
      </c>
      <c r="S29" s="67" t="n">
        <f aca="false">-S10*Inputs!$B$31*1</f>
        <v>-10584</v>
      </c>
      <c r="T29" s="67" t="n">
        <f aca="false">-T10*Inputs!$B$31*1</f>
        <v>-10584</v>
      </c>
      <c r="U29" s="67" t="n">
        <f aca="false">-U10*Inputs!$B$31*1</f>
        <v>-10584</v>
      </c>
      <c r="V29" s="67" t="n">
        <f aca="false">-V10*Inputs!$B$31*1</f>
        <v>-10584</v>
      </c>
      <c r="W29" s="67" t="n">
        <f aca="false">-W10*Inputs!$B$31*1</f>
        <v>-10584</v>
      </c>
      <c r="X29" s="67" t="n">
        <f aca="false">-X10*Inputs!$B$31*1</f>
        <v>-10584</v>
      </c>
      <c r="Y29" s="67" t="n">
        <f aca="false">-Y10*Inputs!$B$31*1</f>
        <v>-10584</v>
      </c>
      <c r="Z29" s="67" t="n">
        <f aca="false">-Z10*Inputs!$B$31*1</f>
        <v>-10584</v>
      </c>
      <c r="AA29" s="67" t="n">
        <f aca="false">-AA10*Inputs!$B$31*1</f>
        <v>-11854.08</v>
      </c>
      <c r="AB29" s="67" t="n">
        <f aca="false">-AB10*Inputs!$B$31*1</f>
        <v>-11854.08</v>
      </c>
      <c r="AC29" s="67" t="n">
        <f aca="false">-AC10*Inputs!$B$31*1</f>
        <v>-11854.08</v>
      </c>
      <c r="AD29" s="67" t="n">
        <f aca="false">-AD10*Inputs!$B$31*1</f>
        <v>-11854.08</v>
      </c>
      <c r="AE29" s="67" t="n">
        <f aca="false">-AE10*Inputs!$B$31*1</f>
        <v>-11854.08</v>
      </c>
      <c r="AF29" s="67" t="n">
        <f aca="false">-AF10*Inputs!$B$31*1</f>
        <v>-11854.08</v>
      </c>
      <c r="AG29" s="67" t="n">
        <f aca="false">-AG10*Inputs!$B$31*1</f>
        <v>-11854.08</v>
      </c>
      <c r="AH29" s="67" t="n">
        <f aca="false">-AH10*Inputs!$B$31*1</f>
        <v>-11854.08</v>
      </c>
      <c r="AI29" s="67" t="n">
        <f aca="false">-AI10*Inputs!$B$31*1</f>
        <v>-11854.08</v>
      </c>
      <c r="AJ29" s="67" t="n">
        <f aca="false">-AJ10*Inputs!$B$31*1</f>
        <v>-11854.08</v>
      </c>
      <c r="AK29" s="67" t="n">
        <f aca="false">-AK10*Inputs!$B$31*1</f>
        <v>-11854.08</v>
      </c>
      <c r="AL29" s="67" t="n">
        <f aca="false">-AL10*Inputs!$B$31*1</f>
        <v>-11854.08</v>
      </c>
    </row>
    <row r="30" customFormat="false" ht="15" hidden="false" customHeight="false" outlineLevel="0" collapsed="false">
      <c r="A30" s="6" t="s">
        <v>386</v>
      </c>
      <c r="C30" s="67" t="n">
        <f aca="false">-C23*Inputs!$B$27</f>
        <v>-2268</v>
      </c>
      <c r="D30" s="67" t="n">
        <f aca="false">-D23*Inputs!$B$27</f>
        <v>-2268</v>
      </c>
      <c r="E30" s="67" t="n">
        <f aca="false">-E23*Inputs!$B$27</f>
        <v>-2268</v>
      </c>
      <c r="F30" s="67" t="n">
        <f aca="false">-F23*Inputs!$B$27</f>
        <v>-2268</v>
      </c>
      <c r="G30" s="67" t="n">
        <f aca="false">-G23*Inputs!$B$27</f>
        <v>-2268</v>
      </c>
      <c r="H30" s="67" t="n">
        <f aca="false">-H23*Inputs!$B$27</f>
        <v>-2268</v>
      </c>
      <c r="I30" s="67" t="n">
        <f aca="false">-I23*Inputs!$B$27</f>
        <v>-2268</v>
      </c>
      <c r="J30" s="67" t="n">
        <f aca="false">-J23*Inputs!$B$27</f>
        <v>-2268</v>
      </c>
      <c r="K30" s="67" t="n">
        <f aca="false">-K23*Inputs!$B$27</f>
        <v>-2268</v>
      </c>
      <c r="L30" s="67" t="n">
        <f aca="false">-L23*Inputs!$B$27</f>
        <v>-2268</v>
      </c>
      <c r="M30" s="67" t="n">
        <f aca="false">-M23*Inputs!$B$27</f>
        <v>-2268</v>
      </c>
      <c r="N30" s="67" t="n">
        <f aca="false">-N23*Inputs!$B$27</f>
        <v>-2268</v>
      </c>
      <c r="O30" s="67" t="n">
        <f aca="false">-O23*Inputs!$B$27</f>
        <v>-2660.364</v>
      </c>
      <c r="P30" s="67" t="n">
        <f aca="false">-P23*Inputs!$B$27</f>
        <v>-2660.364</v>
      </c>
      <c r="Q30" s="67" t="n">
        <f aca="false">-Q23*Inputs!$B$27</f>
        <v>-2660.364</v>
      </c>
      <c r="R30" s="67" t="n">
        <f aca="false">-R23*Inputs!$B$27</f>
        <v>-2660.364</v>
      </c>
      <c r="S30" s="67" t="n">
        <f aca="false">-S23*Inputs!$B$27</f>
        <v>-2660.364</v>
      </c>
      <c r="T30" s="67" t="n">
        <f aca="false">-T23*Inputs!$B$27</f>
        <v>-2660.364</v>
      </c>
      <c r="U30" s="67" t="n">
        <f aca="false">-U23*Inputs!$B$27</f>
        <v>-2660.364</v>
      </c>
      <c r="V30" s="67" t="n">
        <f aca="false">-V23*Inputs!$B$27</f>
        <v>-2660.364</v>
      </c>
      <c r="W30" s="67" t="n">
        <f aca="false">-W23*Inputs!$B$27</f>
        <v>-2660.364</v>
      </c>
      <c r="X30" s="67" t="n">
        <f aca="false">-X23*Inputs!$B$27</f>
        <v>-2660.364</v>
      </c>
      <c r="Y30" s="67" t="n">
        <f aca="false">-Y23*Inputs!$B$27</f>
        <v>-2660.364</v>
      </c>
      <c r="Z30" s="67" t="n">
        <f aca="false">-Z23*Inputs!$B$27</f>
        <v>-2660.364</v>
      </c>
      <c r="AA30" s="67" t="n">
        <f aca="false">-AA23*Inputs!$B$27</f>
        <v>-3120.606972</v>
      </c>
      <c r="AB30" s="67" t="n">
        <f aca="false">-AB23*Inputs!$B$27</f>
        <v>-3120.606972</v>
      </c>
      <c r="AC30" s="67" t="n">
        <f aca="false">-AC23*Inputs!$B$27</f>
        <v>-3120.606972</v>
      </c>
      <c r="AD30" s="67" t="n">
        <f aca="false">-AD23*Inputs!$B$27</f>
        <v>-3120.606972</v>
      </c>
      <c r="AE30" s="67" t="n">
        <f aca="false">-AE23*Inputs!$B$27</f>
        <v>-3120.606972</v>
      </c>
      <c r="AF30" s="67" t="n">
        <f aca="false">-AF23*Inputs!$B$27</f>
        <v>-3120.606972</v>
      </c>
      <c r="AG30" s="67" t="n">
        <f aca="false">-AG23*Inputs!$B$27</f>
        <v>-3120.606972</v>
      </c>
      <c r="AH30" s="67" t="n">
        <f aca="false">-AH23*Inputs!$B$27</f>
        <v>-3120.606972</v>
      </c>
      <c r="AI30" s="67" t="n">
        <f aca="false">-AI23*Inputs!$B$27</f>
        <v>-3120.606972</v>
      </c>
      <c r="AJ30" s="67" t="n">
        <f aca="false">-AJ23*Inputs!$B$27</f>
        <v>-3120.606972</v>
      </c>
      <c r="AK30" s="67" t="n">
        <f aca="false">-AK23*Inputs!$B$27</f>
        <v>-3120.606972</v>
      </c>
      <c r="AL30" s="67" t="n">
        <f aca="false">-AL23*Inputs!$B$27</f>
        <v>-3120.606972</v>
      </c>
    </row>
    <row r="31" customFormat="false" ht="15" hidden="false" customHeight="false" outlineLevel="0" collapsed="false">
      <c r="A31" s="4" t="s">
        <v>75</v>
      </c>
      <c r="C31" s="73" t="n">
        <f aca="false">C27+C28+C29+C30</f>
        <v>-79292.125</v>
      </c>
      <c r="D31" s="73" t="n">
        <f aca="false">D27+D28+D29+D30</f>
        <v>-79292.125</v>
      </c>
      <c r="E31" s="73" t="n">
        <f aca="false">E27+E28+E29+E30</f>
        <v>-79292.125</v>
      </c>
      <c r="F31" s="73" t="n">
        <f aca="false">F27+F28+F29+F30</f>
        <v>-79292.125</v>
      </c>
      <c r="G31" s="73" t="n">
        <f aca="false">G27+G28+G29+G30</f>
        <v>-79292.125</v>
      </c>
      <c r="H31" s="73" t="n">
        <f aca="false">H27+H28+H29+H30</f>
        <v>-88740.2916666667</v>
      </c>
      <c r="I31" s="73" t="n">
        <f aca="false">I27+I28+I29+I30</f>
        <v>-88740.2916666667</v>
      </c>
      <c r="J31" s="73" t="n">
        <f aca="false">J27+J28+J29+J30</f>
        <v>-88740.2916666667</v>
      </c>
      <c r="K31" s="73" t="n">
        <f aca="false">K27+K28+K29+K30</f>
        <v>-79292.125</v>
      </c>
      <c r="L31" s="73" t="n">
        <f aca="false">L27+L28+L29+L30</f>
        <v>-79292.125</v>
      </c>
      <c r="M31" s="73" t="n">
        <f aca="false">M27+M28+M29+M30</f>
        <v>-79292.125</v>
      </c>
      <c r="N31" s="73" t="n">
        <f aca="false">N27+N28+N29+N30</f>
        <v>-79292.125</v>
      </c>
      <c r="O31" s="73" t="n">
        <f aca="false">O27+O28+O29+O30</f>
        <v>-90906.8710666667</v>
      </c>
      <c r="P31" s="73" t="n">
        <f aca="false">P27+P28+P29+P30</f>
        <v>-90906.8710666667</v>
      </c>
      <c r="Q31" s="73" t="n">
        <f aca="false">Q27+Q28+Q29+Q30</f>
        <v>-90906.8710666667</v>
      </c>
      <c r="R31" s="73" t="n">
        <f aca="false">R27+R28+R29+R30</f>
        <v>-90906.8710666667</v>
      </c>
      <c r="S31" s="73" t="n">
        <f aca="false">S27+S28+S29+S30</f>
        <v>-90906.8710666667</v>
      </c>
      <c r="T31" s="73" t="n">
        <f aca="false">T27+T28+T29+T30</f>
        <v>-101700.456666667</v>
      </c>
      <c r="U31" s="73" t="n">
        <f aca="false">U27+U28+U29+U30</f>
        <v>-101700.456666667</v>
      </c>
      <c r="V31" s="73" t="n">
        <f aca="false">V27+V28+V29+V30</f>
        <v>-101700.456666667</v>
      </c>
      <c r="W31" s="73" t="n">
        <f aca="false">W27+W28+W29+W30</f>
        <v>-90906.8710666667</v>
      </c>
      <c r="X31" s="73" t="n">
        <f aca="false">X27+X28+X29+X30</f>
        <v>-90906.8710666667</v>
      </c>
      <c r="Y31" s="73" t="n">
        <f aca="false">Y27+Y28+Y29+Y30</f>
        <v>-90906.8710666667</v>
      </c>
      <c r="Z31" s="73" t="n">
        <f aca="false">Z27+Z28+Z29+Z30</f>
        <v>-90906.8710666667</v>
      </c>
      <c r="AA31" s="73" t="n">
        <f aca="false">AA27+AA28+AA29+AA30</f>
        <v>-104233.712687627</v>
      </c>
      <c r="AB31" s="73" t="n">
        <f aca="false">AB27+AB28+AB29+AB30</f>
        <v>-104233.712687627</v>
      </c>
      <c r="AC31" s="73" t="n">
        <f aca="false">AC27+AC28+AC29+AC30</f>
        <v>-104233.712687627</v>
      </c>
      <c r="AD31" s="73" t="n">
        <f aca="false">AD27+AD28+AD29+AD30</f>
        <v>-104233.712687627</v>
      </c>
      <c r="AE31" s="73" t="n">
        <f aca="false">AE27+AE28+AE29+AE30</f>
        <v>-104233.712687627</v>
      </c>
      <c r="AF31" s="73" t="n">
        <f aca="false">AF27+AF28+AF29+AF30</f>
        <v>-116564.304877067</v>
      </c>
      <c r="AG31" s="73" t="n">
        <f aca="false">AG27+AG28+AG29+AG30</f>
        <v>-116564.304877067</v>
      </c>
      <c r="AH31" s="73" t="n">
        <f aca="false">AH27+AH28+AH29+AH30</f>
        <v>-116564.304877067</v>
      </c>
      <c r="AI31" s="73" t="n">
        <f aca="false">AI27+AI28+AI29+AI30</f>
        <v>-104233.712687627</v>
      </c>
      <c r="AJ31" s="73" t="n">
        <f aca="false">AJ27+AJ28+AJ29+AJ30</f>
        <v>-104233.712687627</v>
      </c>
      <c r="AK31" s="73" t="n">
        <f aca="false">AK27+AK28+AK29+AK30</f>
        <v>-104233.712687627</v>
      </c>
      <c r="AL31" s="73" t="n">
        <f aca="false">AL27+AL28+AL29+AL30</f>
        <v>-104233.712687627</v>
      </c>
    </row>
    <row r="32" customFormat="false" ht="15" hidden="false" customHeight="false" outlineLevel="0" collapsed="false">
      <c r="A32" s="113" t="s">
        <v>45</v>
      </c>
      <c r="C32" s="68" t="n">
        <f aca="false">C24+C31</f>
        <v>26040.407051282</v>
      </c>
      <c r="D32" s="68" t="n">
        <f aca="false">D24+D31</f>
        <v>26040.407051282</v>
      </c>
      <c r="E32" s="68" t="n">
        <f aca="false">E24+E31</f>
        <v>26040.407051282</v>
      </c>
      <c r="F32" s="68" t="n">
        <f aca="false">F24+F31</f>
        <v>26040.407051282</v>
      </c>
      <c r="G32" s="68" t="n">
        <f aca="false">G24+G31</f>
        <v>26040.407051282</v>
      </c>
      <c r="H32" s="68" t="n">
        <f aca="false">H24+H31</f>
        <v>52931.3429487179</v>
      </c>
      <c r="I32" s="68" t="n">
        <f aca="false">I24+I31</f>
        <v>52931.3429487179</v>
      </c>
      <c r="J32" s="68" t="n">
        <f aca="false">J24+J31</f>
        <v>52931.3429487179</v>
      </c>
      <c r="K32" s="68" t="n">
        <f aca="false">K24+K31</f>
        <v>26040.407051282</v>
      </c>
      <c r="L32" s="68" t="n">
        <f aca="false">L24+L31</f>
        <v>26040.407051282</v>
      </c>
      <c r="M32" s="68" t="n">
        <f aca="false">M24+M31</f>
        <v>26040.407051282</v>
      </c>
      <c r="N32" s="68" t="n">
        <f aca="false">N24+N31</f>
        <v>26040.407051282</v>
      </c>
      <c r="O32" s="68" t="n">
        <f aca="false">O24+O31</f>
        <v>29590.2535487179</v>
      </c>
      <c r="P32" s="68" t="n">
        <f aca="false">P24+P31</f>
        <v>29590.2535487179</v>
      </c>
      <c r="Q32" s="68" t="n">
        <f aca="false">Q24+Q31</f>
        <v>29590.2535487179</v>
      </c>
      <c r="R32" s="68" t="n">
        <f aca="false">R24+R31</f>
        <v>29590.2535487179</v>
      </c>
      <c r="S32" s="68" t="n">
        <f aca="false">S24+S31</f>
        <v>29590.2535487179</v>
      </c>
      <c r="T32" s="68" t="n">
        <f aca="false">T24+T31</f>
        <v>60310.4587179487</v>
      </c>
      <c r="U32" s="68" t="n">
        <f aca="false">U24+U31</f>
        <v>60310.4587179487</v>
      </c>
      <c r="V32" s="68" t="n">
        <f aca="false">V24+V31</f>
        <v>60310.4587179487</v>
      </c>
      <c r="W32" s="68" t="n">
        <f aca="false">W24+W31</f>
        <v>29590.2535487179</v>
      </c>
      <c r="X32" s="68" t="n">
        <f aca="false">X24+X31</f>
        <v>29590.2535487179</v>
      </c>
      <c r="Y32" s="68" t="n">
        <f aca="false">Y24+Y31</f>
        <v>29590.2535487179</v>
      </c>
      <c r="Z32" s="68" t="n">
        <f aca="false">Z24+Z31</f>
        <v>29590.2535487179</v>
      </c>
      <c r="AA32" s="68" t="n">
        <f aca="false">AA24+AA31</f>
        <v>33616.0289929887</v>
      </c>
      <c r="AB32" s="68" t="n">
        <f aca="false">AB24+AB31</f>
        <v>33616.0289929887</v>
      </c>
      <c r="AC32" s="68" t="n">
        <f aca="false">AC24+AC31</f>
        <v>33616.0289929887</v>
      </c>
      <c r="AD32" s="68" t="n">
        <f aca="false">AD24+AD31</f>
        <v>33616.0289929887</v>
      </c>
      <c r="AE32" s="68" t="n">
        <f aca="false">AE24+AE31</f>
        <v>33616.0289929887</v>
      </c>
      <c r="AF32" s="68" t="n">
        <f aca="false">AF24+AF31</f>
        <v>68710.791378318</v>
      </c>
      <c r="AG32" s="68" t="n">
        <f aca="false">AG24+AG31</f>
        <v>68710.791378318</v>
      </c>
      <c r="AH32" s="68" t="n">
        <f aca="false">AH24+AH31</f>
        <v>68710.791378318</v>
      </c>
      <c r="AI32" s="68" t="n">
        <f aca="false">AI24+AI31</f>
        <v>33616.0289929887</v>
      </c>
      <c r="AJ32" s="68" t="n">
        <f aca="false">AJ24+AJ31</f>
        <v>33616.0289929887</v>
      </c>
      <c r="AK32" s="68" t="n">
        <f aca="false">AK24+AK31</f>
        <v>33616.0289929887</v>
      </c>
      <c r="AL32" s="68" t="n">
        <f aca="false">AL24+AL31</f>
        <v>33616.0289929887</v>
      </c>
    </row>
    <row r="34" customFormat="false" ht="15.75" hidden="false" customHeight="true" outlineLevel="0" collapsed="false">
      <c r="A34" s="7" t="s">
        <v>47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customFormat="false" ht="15" hidden="false" customHeight="false" outlineLevel="0" collapsed="false">
      <c r="A35" s="6" t="s">
        <v>321</v>
      </c>
      <c r="C35" s="67" t="n">
        <f aca="false">C110-C108</f>
        <v>-8625</v>
      </c>
      <c r="D35" s="67" t="n">
        <f aca="false">D110-D108</f>
        <v>-8625</v>
      </c>
      <c r="E35" s="67" t="n">
        <f aca="false">E110-E108</f>
        <v>-8625</v>
      </c>
      <c r="F35" s="67" t="n">
        <f aca="false">F110-F108</f>
        <v>-8625</v>
      </c>
      <c r="G35" s="67" t="n">
        <f aca="false">G110-G108</f>
        <v>-8625</v>
      </c>
      <c r="H35" s="67" t="n">
        <f aca="false">H110-H108</f>
        <v>-8625</v>
      </c>
      <c r="I35" s="67" t="n">
        <f aca="false">I110-I108</f>
        <v>-8625</v>
      </c>
      <c r="J35" s="67" t="n">
        <f aca="false">J110-J108</f>
        <v>-8625</v>
      </c>
      <c r="K35" s="67" t="n">
        <f aca="false">K110-K108</f>
        <v>-8625</v>
      </c>
      <c r="L35" s="67" t="n">
        <f aca="false">L110-L108</f>
        <v>-8625</v>
      </c>
      <c r="M35" s="67" t="n">
        <f aca="false">M110-M108</f>
        <v>-8625</v>
      </c>
      <c r="N35" s="67" t="n">
        <f aca="false">N110-N108</f>
        <v>-8625</v>
      </c>
      <c r="O35" s="67" t="n">
        <f aca="false">O110-O108</f>
        <v>-9772.125</v>
      </c>
      <c r="P35" s="67" t="n">
        <f aca="false">P110-P108</f>
        <v>-9772.125</v>
      </c>
      <c r="Q35" s="67" t="n">
        <f aca="false">Q110-Q108</f>
        <v>-9772.125</v>
      </c>
      <c r="R35" s="67" t="n">
        <f aca="false">R110-R108</f>
        <v>-9772.125</v>
      </c>
      <c r="S35" s="67" t="n">
        <f aca="false">S110-S108</f>
        <v>-9772.125</v>
      </c>
      <c r="T35" s="67" t="n">
        <f aca="false">T110-T108</f>
        <v>-9772.125</v>
      </c>
      <c r="U35" s="67" t="n">
        <f aca="false">U110-U108</f>
        <v>-9772.125</v>
      </c>
      <c r="V35" s="67" t="n">
        <f aca="false">V110-V108</f>
        <v>-9772.125</v>
      </c>
      <c r="W35" s="67" t="n">
        <f aca="false">W110-W108</f>
        <v>-9772.125</v>
      </c>
      <c r="X35" s="67" t="n">
        <f aca="false">X110-X108</f>
        <v>-9772.125</v>
      </c>
      <c r="Y35" s="67" t="n">
        <f aca="false">Y110-Y108</f>
        <v>-9772.125</v>
      </c>
      <c r="Z35" s="67" t="n">
        <f aca="false">Z110-Z108</f>
        <v>-9772.125</v>
      </c>
      <c r="AA35" s="67" t="n">
        <f aca="false">AA110-AA108</f>
        <v>-11071.817625</v>
      </c>
      <c r="AB35" s="67" t="n">
        <f aca="false">AB110-AB108</f>
        <v>-11071.817625</v>
      </c>
      <c r="AC35" s="67" t="n">
        <f aca="false">AC110-AC108</f>
        <v>-11071.817625</v>
      </c>
      <c r="AD35" s="67" t="n">
        <f aca="false">AD110-AD108</f>
        <v>-11071.817625</v>
      </c>
      <c r="AE35" s="67" t="n">
        <f aca="false">AE110-AE108</f>
        <v>-11071.817625</v>
      </c>
      <c r="AF35" s="67" t="n">
        <f aca="false">AF110-AF108</f>
        <v>-11071.817625</v>
      </c>
      <c r="AG35" s="67" t="n">
        <f aca="false">AG110-AG108</f>
        <v>-11071.817625</v>
      </c>
      <c r="AH35" s="67" t="n">
        <f aca="false">AH110-AH108</f>
        <v>-11071.817625</v>
      </c>
      <c r="AI35" s="67" t="n">
        <f aca="false">AI110-AI108</f>
        <v>-11071.817625</v>
      </c>
      <c r="AJ35" s="67" t="n">
        <f aca="false">AJ110-AJ108</f>
        <v>-11071.817625</v>
      </c>
      <c r="AK35" s="67" t="n">
        <f aca="false">AK110-AK108</f>
        <v>-11071.817625</v>
      </c>
      <c r="AL35" s="67" t="n">
        <f aca="false">AL110-AL108</f>
        <v>-11071.817625</v>
      </c>
    </row>
    <row r="36" customFormat="false" ht="15" hidden="false" customHeight="false" outlineLevel="0" collapsed="false">
      <c r="A36" s="6" t="s">
        <v>322</v>
      </c>
      <c r="C36" s="67" t="n">
        <f aca="false">-Inputs!$B$11*(1+Inputs!$B$12)^(C$7-1)*1</f>
        <v>-9000</v>
      </c>
      <c r="D36" s="67" t="n">
        <f aca="false">-Inputs!$B$11*(1+Inputs!$B$12)^(D$7-1)*1</f>
        <v>-9000</v>
      </c>
      <c r="E36" s="67" t="n">
        <f aca="false">-Inputs!$B$11*(1+Inputs!$B$12)^(E$7-1)*1</f>
        <v>-9000</v>
      </c>
      <c r="F36" s="67" t="n">
        <f aca="false">-Inputs!$B$11*(1+Inputs!$B$12)^(F$7-1)*1</f>
        <v>-9000</v>
      </c>
      <c r="G36" s="67" t="n">
        <f aca="false">-Inputs!$B$11*(1+Inputs!$B$12)^(G$7-1)*1</f>
        <v>-9000</v>
      </c>
      <c r="H36" s="67" t="n">
        <f aca="false">-Inputs!$B$11*(1+Inputs!$B$12)^(H$7-1)*1</f>
        <v>-9000</v>
      </c>
      <c r="I36" s="67" t="n">
        <f aca="false">-Inputs!$B$11*(1+Inputs!$B$12)^(I$7-1)*1</f>
        <v>-9000</v>
      </c>
      <c r="J36" s="67" t="n">
        <f aca="false">-Inputs!$B$11*(1+Inputs!$B$12)^(J$7-1)*1</f>
        <v>-9000</v>
      </c>
      <c r="K36" s="67" t="n">
        <f aca="false">-Inputs!$B$11*(1+Inputs!$B$12)^(K$7-1)*1</f>
        <v>-9000</v>
      </c>
      <c r="L36" s="67" t="n">
        <f aca="false">-Inputs!$B$11*(1+Inputs!$B$12)^(L$7-1)*1</f>
        <v>-9000</v>
      </c>
      <c r="M36" s="67" t="n">
        <f aca="false">-Inputs!$B$11*(1+Inputs!$B$12)^(M$7-1)*1</f>
        <v>-9000</v>
      </c>
      <c r="N36" s="67" t="n">
        <f aca="false">-Inputs!$B$11*(1+Inputs!$B$12)^(N$7-1)*1</f>
        <v>-9000</v>
      </c>
      <c r="O36" s="67" t="n">
        <f aca="false">-Inputs!$B$11*(1+Inputs!$B$12)^(O$7-1)*1</f>
        <v>-10080</v>
      </c>
      <c r="P36" s="67" t="n">
        <f aca="false">-Inputs!$B$11*(1+Inputs!$B$12)^(P$7-1)*1</f>
        <v>-10080</v>
      </c>
      <c r="Q36" s="67" t="n">
        <f aca="false">-Inputs!$B$11*(1+Inputs!$B$12)^(Q$7-1)*1</f>
        <v>-10080</v>
      </c>
      <c r="R36" s="67" t="n">
        <f aca="false">-Inputs!$B$11*(1+Inputs!$B$12)^(R$7-1)*1</f>
        <v>-10080</v>
      </c>
      <c r="S36" s="67" t="n">
        <f aca="false">-Inputs!$B$11*(1+Inputs!$B$12)^(S$7-1)*1</f>
        <v>-10080</v>
      </c>
      <c r="T36" s="67" t="n">
        <f aca="false">-Inputs!$B$11*(1+Inputs!$B$12)^(T$7-1)*1</f>
        <v>-10080</v>
      </c>
      <c r="U36" s="67" t="n">
        <f aca="false">-Inputs!$B$11*(1+Inputs!$B$12)^(U$7-1)*1</f>
        <v>-10080</v>
      </c>
      <c r="V36" s="67" t="n">
        <f aca="false">-Inputs!$B$11*(1+Inputs!$B$12)^(V$7-1)*1</f>
        <v>-10080</v>
      </c>
      <c r="W36" s="67" t="n">
        <f aca="false">-Inputs!$B$11*(1+Inputs!$B$12)^(W$7-1)*1</f>
        <v>-10080</v>
      </c>
      <c r="X36" s="67" t="n">
        <f aca="false">-Inputs!$B$11*(1+Inputs!$B$12)^(X$7-1)*1</f>
        <v>-10080</v>
      </c>
      <c r="Y36" s="67" t="n">
        <f aca="false">-Inputs!$B$11*(1+Inputs!$B$12)^(Y$7-1)*1</f>
        <v>-10080</v>
      </c>
      <c r="Z36" s="67" t="n">
        <f aca="false">-Inputs!$B$11*(1+Inputs!$B$12)^(Z$7-1)*1</f>
        <v>-10080</v>
      </c>
      <c r="AA36" s="67" t="n">
        <f aca="false">-Inputs!$B$11*(1+Inputs!$B$12)^(AA$7-1)*1</f>
        <v>-11289.6</v>
      </c>
      <c r="AB36" s="67" t="n">
        <f aca="false">-Inputs!$B$11*(1+Inputs!$B$12)^(AB$7-1)*1</f>
        <v>-11289.6</v>
      </c>
      <c r="AC36" s="67" t="n">
        <f aca="false">-Inputs!$B$11*(1+Inputs!$B$12)^(AC$7-1)*1</f>
        <v>-11289.6</v>
      </c>
      <c r="AD36" s="67" t="n">
        <f aca="false">-Inputs!$B$11*(1+Inputs!$B$12)^(AD$7-1)*1</f>
        <v>-11289.6</v>
      </c>
      <c r="AE36" s="67" t="n">
        <f aca="false">-Inputs!$B$11*(1+Inputs!$B$12)^(AE$7-1)*1</f>
        <v>-11289.6</v>
      </c>
      <c r="AF36" s="67" t="n">
        <f aca="false">-Inputs!$B$11*(1+Inputs!$B$12)^(AF$7-1)*1</f>
        <v>-11289.6</v>
      </c>
      <c r="AG36" s="67" t="n">
        <f aca="false">-Inputs!$B$11*(1+Inputs!$B$12)^(AG$7-1)*1</f>
        <v>-11289.6</v>
      </c>
      <c r="AH36" s="67" t="n">
        <f aca="false">-Inputs!$B$11*(1+Inputs!$B$12)^(AH$7-1)*1</f>
        <v>-11289.6</v>
      </c>
      <c r="AI36" s="67" t="n">
        <f aca="false">-Inputs!$B$11*(1+Inputs!$B$12)^(AI$7-1)*1</f>
        <v>-11289.6</v>
      </c>
      <c r="AJ36" s="67" t="n">
        <f aca="false">-Inputs!$B$11*(1+Inputs!$B$12)^(AJ$7-1)*1</f>
        <v>-11289.6</v>
      </c>
      <c r="AK36" s="67" t="n">
        <f aca="false">-Inputs!$B$11*(1+Inputs!$B$12)^(AK$7-1)*1</f>
        <v>-11289.6</v>
      </c>
      <c r="AL36" s="67" t="n">
        <f aca="false">-Inputs!$B$11*(1+Inputs!$B$12)^(AL$7-1)*1</f>
        <v>-11289.6</v>
      </c>
    </row>
    <row r="37" customFormat="false" ht="15" hidden="false" customHeight="false" outlineLevel="0" collapsed="false">
      <c r="A37" s="6" t="s">
        <v>323</v>
      </c>
      <c r="C37" s="67" t="n">
        <f aca="false">-C10*Inputs!$B$32*1</f>
        <v>-840</v>
      </c>
      <c r="D37" s="67" t="n">
        <f aca="false">-D10*Inputs!$B$32*1</f>
        <v>-840</v>
      </c>
      <c r="E37" s="67" t="n">
        <f aca="false">-E10*Inputs!$B$32*1</f>
        <v>-840</v>
      </c>
      <c r="F37" s="67" t="n">
        <f aca="false">-F10*Inputs!$B$32*1</f>
        <v>-840</v>
      </c>
      <c r="G37" s="67" t="n">
        <f aca="false">-G10*Inputs!$B$32*1</f>
        <v>-840</v>
      </c>
      <c r="H37" s="67" t="n">
        <f aca="false">-H10*Inputs!$B$32*1</f>
        <v>-840</v>
      </c>
      <c r="I37" s="67" t="n">
        <f aca="false">-I10*Inputs!$B$32*1</f>
        <v>-840</v>
      </c>
      <c r="J37" s="67" t="n">
        <f aca="false">-J10*Inputs!$B$32*1</f>
        <v>-840</v>
      </c>
      <c r="K37" s="67" t="n">
        <f aca="false">-K10*Inputs!$B$32*1</f>
        <v>-840</v>
      </c>
      <c r="L37" s="67" t="n">
        <f aca="false">-L10*Inputs!$B$32*1</f>
        <v>-840</v>
      </c>
      <c r="M37" s="67" t="n">
        <f aca="false">-M10*Inputs!$B$32*1</f>
        <v>-840</v>
      </c>
      <c r="N37" s="67" t="n">
        <f aca="false">-N10*Inputs!$B$32*1</f>
        <v>-840</v>
      </c>
      <c r="O37" s="67" t="n">
        <f aca="false">-O10*Inputs!$B$32*1</f>
        <v>-940.8</v>
      </c>
      <c r="P37" s="67" t="n">
        <f aca="false">-P10*Inputs!$B$32*1</f>
        <v>-940.8</v>
      </c>
      <c r="Q37" s="67" t="n">
        <f aca="false">-Q10*Inputs!$B$32*1</f>
        <v>-940.8</v>
      </c>
      <c r="R37" s="67" t="n">
        <f aca="false">-R10*Inputs!$B$32*1</f>
        <v>-940.8</v>
      </c>
      <c r="S37" s="67" t="n">
        <f aca="false">-S10*Inputs!$B$32*1</f>
        <v>-940.8</v>
      </c>
      <c r="T37" s="67" t="n">
        <f aca="false">-T10*Inputs!$B$32*1</f>
        <v>-940.8</v>
      </c>
      <c r="U37" s="67" t="n">
        <f aca="false">-U10*Inputs!$B$32*1</f>
        <v>-940.8</v>
      </c>
      <c r="V37" s="67" t="n">
        <f aca="false">-V10*Inputs!$B$32*1</f>
        <v>-940.8</v>
      </c>
      <c r="W37" s="67" t="n">
        <f aca="false">-W10*Inputs!$B$32*1</f>
        <v>-940.8</v>
      </c>
      <c r="X37" s="67" t="n">
        <f aca="false">-X10*Inputs!$B$32*1</f>
        <v>-940.8</v>
      </c>
      <c r="Y37" s="67" t="n">
        <f aca="false">-Y10*Inputs!$B$32*1</f>
        <v>-940.8</v>
      </c>
      <c r="Z37" s="67" t="n">
        <f aca="false">-Z10*Inputs!$B$32*1</f>
        <v>-940.8</v>
      </c>
      <c r="AA37" s="67" t="n">
        <f aca="false">-AA10*Inputs!$B$32*1</f>
        <v>-1053.696</v>
      </c>
      <c r="AB37" s="67" t="n">
        <f aca="false">-AB10*Inputs!$B$32*1</f>
        <v>-1053.696</v>
      </c>
      <c r="AC37" s="67" t="n">
        <f aca="false">-AC10*Inputs!$B$32*1</f>
        <v>-1053.696</v>
      </c>
      <c r="AD37" s="67" t="n">
        <f aca="false">-AD10*Inputs!$B$32*1</f>
        <v>-1053.696</v>
      </c>
      <c r="AE37" s="67" t="n">
        <f aca="false">-AE10*Inputs!$B$32*1</f>
        <v>-1053.696</v>
      </c>
      <c r="AF37" s="67" t="n">
        <f aca="false">-AF10*Inputs!$B$32*1</f>
        <v>-1053.696</v>
      </c>
      <c r="AG37" s="67" t="n">
        <f aca="false">-AG10*Inputs!$B$32*1</f>
        <v>-1053.696</v>
      </c>
      <c r="AH37" s="67" t="n">
        <f aca="false">-AH10*Inputs!$B$32*1</f>
        <v>-1053.696</v>
      </c>
      <c r="AI37" s="67" t="n">
        <f aca="false">-AI10*Inputs!$B$32*1</f>
        <v>-1053.696</v>
      </c>
      <c r="AJ37" s="67" t="n">
        <f aca="false">-AJ10*Inputs!$B$32*1</f>
        <v>-1053.696</v>
      </c>
      <c r="AK37" s="67" t="n">
        <f aca="false">-AK10*Inputs!$B$32*1</f>
        <v>-1053.696</v>
      </c>
      <c r="AL37" s="67" t="n">
        <f aca="false">-AL10*Inputs!$B$32*1</f>
        <v>-1053.696</v>
      </c>
    </row>
    <row r="38" customFormat="false" ht="15" hidden="false" customHeight="false" outlineLevel="0" collapsed="false">
      <c r="A38" s="6" t="s">
        <v>324</v>
      </c>
      <c r="C38" s="67" t="n">
        <f aca="false">-Inputs!$B$33*1</f>
        <v>-3500</v>
      </c>
      <c r="D38" s="67" t="n">
        <f aca="false">-Inputs!$B$33*1</f>
        <v>-3500</v>
      </c>
      <c r="E38" s="67" t="n">
        <f aca="false">-Inputs!$B$33*1</f>
        <v>-3500</v>
      </c>
      <c r="F38" s="67" t="n">
        <f aca="false">-Inputs!$B$33*1</f>
        <v>-3500</v>
      </c>
      <c r="G38" s="67" t="n">
        <f aca="false">-Inputs!$B$33*1</f>
        <v>-3500</v>
      </c>
      <c r="H38" s="67" t="n">
        <f aca="false">-Inputs!$B$33*1</f>
        <v>-3500</v>
      </c>
      <c r="I38" s="67" t="n">
        <f aca="false">-Inputs!$B$33*1</f>
        <v>-3500</v>
      </c>
      <c r="J38" s="67" t="n">
        <f aca="false">-Inputs!$B$33*1</f>
        <v>-3500</v>
      </c>
      <c r="K38" s="67" t="n">
        <f aca="false">-Inputs!$B$33*1</f>
        <v>-3500</v>
      </c>
      <c r="L38" s="67" t="n">
        <f aca="false">-Inputs!$B$33*1</f>
        <v>-3500</v>
      </c>
      <c r="M38" s="67" t="n">
        <f aca="false">-Inputs!$B$33*1</f>
        <v>-3500</v>
      </c>
      <c r="N38" s="67" t="n">
        <f aca="false">-Inputs!$B$33*1</f>
        <v>-3500</v>
      </c>
      <c r="O38" s="67" t="n">
        <f aca="false">-Inputs!$B$33*1</f>
        <v>-3500</v>
      </c>
      <c r="P38" s="67" t="n">
        <f aca="false">-Inputs!$B$33*1</f>
        <v>-3500</v>
      </c>
      <c r="Q38" s="67" t="n">
        <f aca="false">-Inputs!$B$33*1</f>
        <v>-3500</v>
      </c>
      <c r="R38" s="67" t="n">
        <f aca="false">-Inputs!$B$33*1</f>
        <v>-3500</v>
      </c>
      <c r="S38" s="67" t="n">
        <f aca="false">-Inputs!$B$33*1</f>
        <v>-3500</v>
      </c>
      <c r="T38" s="67" t="n">
        <f aca="false">-Inputs!$B$33*1</f>
        <v>-3500</v>
      </c>
      <c r="U38" s="67" t="n">
        <f aca="false">-Inputs!$B$33*1</f>
        <v>-3500</v>
      </c>
      <c r="V38" s="67" t="n">
        <f aca="false">-Inputs!$B$33*1</f>
        <v>-3500</v>
      </c>
      <c r="W38" s="67" t="n">
        <f aca="false">-Inputs!$B$33*1</f>
        <v>-3500</v>
      </c>
      <c r="X38" s="67" t="n">
        <f aca="false">-Inputs!$B$33*1</f>
        <v>-3500</v>
      </c>
      <c r="Y38" s="67" t="n">
        <f aca="false">-Inputs!$B$33*1</f>
        <v>-3500</v>
      </c>
      <c r="Z38" s="67" t="n">
        <f aca="false">-Inputs!$B$33*1</f>
        <v>-3500</v>
      </c>
      <c r="AA38" s="67" t="n">
        <f aca="false">-Inputs!$B$33*1</f>
        <v>-3500</v>
      </c>
      <c r="AB38" s="67" t="n">
        <f aca="false">-Inputs!$B$33*1</f>
        <v>-3500</v>
      </c>
      <c r="AC38" s="67" t="n">
        <f aca="false">-Inputs!$B$33*1</f>
        <v>-3500</v>
      </c>
      <c r="AD38" s="67" t="n">
        <f aca="false">-Inputs!$B$33*1</f>
        <v>-3500</v>
      </c>
      <c r="AE38" s="67" t="n">
        <f aca="false">-Inputs!$B$33*1</f>
        <v>-3500</v>
      </c>
      <c r="AF38" s="67" t="n">
        <f aca="false">-Inputs!$B$33*1</f>
        <v>-3500</v>
      </c>
      <c r="AG38" s="67" t="n">
        <f aca="false">-Inputs!$B$33*1</f>
        <v>-3500</v>
      </c>
      <c r="AH38" s="67" t="n">
        <f aca="false">-Inputs!$B$33*1</f>
        <v>-3500</v>
      </c>
      <c r="AI38" s="67" t="n">
        <f aca="false">-Inputs!$B$33*1</f>
        <v>-3500</v>
      </c>
      <c r="AJ38" s="67" t="n">
        <f aca="false">-Inputs!$B$33*1</f>
        <v>-3500</v>
      </c>
      <c r="AK38" s="67" t="n">
        <f aca="false">-Inputs!$B$33*1</f>
        <v>-3500</v>
      </c>
      <c r="AL38" s="67" t="n">
        <f aca="false">-Inputs!$B$33*1</f>
        <v>-3500</v>
      </c>
    </row>
    <row r="39" customFormat="false" ht="15" hidden="false" customHeight="false" outlineLevel="0" collapsed="false">
      <c r="A39" s="6" t="s">
        <v>325</v>
      </c>
      <c r="C39" s="67" t="n">
        <f aca="false">-Inputs!$B$34*1</f>
        <v>-4500</v>
      </c>
      <c r="D39" s="67" t="n">
        <f aca="false">-Inputs!$B$34*1</f>
        <v>-4500</v>
      </c>
      <c r="E39" s="67" t="n">
        <f aca="false">-Inputs!$B$34*1</f>
        <v>-4500</v>
      </c>
      <c r="F39" s="67" t="n">
        <f aca="false">-Inputs!$B$34*1</f>
        <v>-4500</v>
      </c>
      <c r="G39" s="67" t="n">
        <f aca="false">-Inputs!$B$34*1</f>
        <v>-4500</v>
      </c>
      <c r="H39" s="67" t="n">
        <f aca="false">-Inputs!$B$34*1</f>
        <v>-4500</v>
      </c>
      <c r="I39" s="67" t="n">
        <f aca="false">-Inputs!$B$34*1</f>
        <v>-4500</v>
      </c>
      <c r="J39" s="67" t="n">
        <f aca="false">-Inputs!$B$34*1</f>
        <v>-4500</v>
      </c>
      <c r="K39" s="67" t="n">
        <f aca="false">-Inputs!$B$34*1</f>
        <v>-4500</v>
      </c>
      <c r="L39" s="67" t="n">
        <f aca="false">-Inputs!$B$34*1</f>
        <v>-4500</v>
      </c>
      <c r="M39" s="67" t="n">
        <f aca="false">-Inputs!$B$34*1</f>
        <v>-4500</v>
      </c>
      <c r="N39" s="67" t="n">
        <f aca="false">-Inputs!$B$34*1</f>
        <v>-4500</v>
      </c>
      <c r="O39" s="67" t="n">
        <f aca="false">-Inputs!$B$34*1</f>
        <v>-4500</v>
      </c>
      <c r="P39" s="67" t="n">
        <f aca="false">-Inputs!$B$34*1</f>
        <v>-4500</v>
      </c>
      <c r="Q39" s="67" t="n">
        <f aca="false">-Inputs!$B$34*1</f>
        <v>-4500</v>
      </c>
      <c r="R39" s="67" t="n">
        <f aca="false">-Inputs!$B$34*1</f>
        <v>-4500</v>
      </c>
      <c r="S39" s="67" t="n">
        <f aca="false">-Inputs!$B$34*1</f>
        <v>-4500</v>
      </c>
      <c r="T39" s="67" t="n">
        <f aca="false">-Inputs!$B$34*1</f>
        <v>-4500</v>
      </c>
      <c r="U39" s="67" t="n">
        <f aca="false">-Inputs!$B$34*1</f>
        <v>-4500</v>
      </c>
      <c r="V39" s="67" t="n">
        <f aca="false">-Inputs!$B$34*1</f>
        <v>-4500</v>
      </c>
      <c r="W39" s="67" t="n">
        <f aca="false">-Inputs!$B$34*1</f>
        <v>-4500</v>
      </c>
      <c r="X39" s="67" t="n">
        <f aca="false">-Inputs!$B$34*1</f>
        <v>-4500</v>
      </c>
      <c r="Y39" s="67" t="n">
        <f aca="false">-Inputs!$B$34*1</f>
        <v>-4500</v>
      </c>
      <c r="Z39" s="67" t="n">
        <f aca="false">-Inputs!$B$34*1</f>
        <v>-4500</v>
      </c>
      <c r="AA39" s="67" t="n">
        <f aca="false">-Inputs!$B$34*1</f>
        <v>-4500</v>
      </c>
      <c r="AB39" s="67" t="n">
        <f aca="false">-Inputs!$B$34*1</f>
        <v>-4500</v>
      </c>
      <c r="AC39" s="67" t="n">
        <f aca="false">-Inputs!$B$34*1</f>
        <v>-4500</v>
      </c>
      <c r="AD39" s="67" t="n">
        <f aca="false">-Inputs!$B$34*1</f>
        <v>-4500</v>
      </c>
      <c r="AE39" s="67" t="n">
        <f aca="false">-Inputs!$B$34*1</f>
        <v>-4500</v>
      </c>
      <c r="AF39" s="67" t="n">
        <f aca="false">-Inputs!$B$34*1</f>
        <v>-4500</v>
      </c>
      <c r="AG39" s="67" t="n">
        <f aca="false">-Inputs!$B$34*1</f>
        <v>-4500</v>
      </c>
      <c r="AH39" s="67" t="n">
        <f aca="false">-Inputs!$B$34*1</f>
        <v>-4500</v>
      </c>
      <c r="AI39" s="67" t="n">
        <f aca="false">-Inputs!$B$34*1</f>
        <v>-4500</v>
      </c>
      <c r="AJ39" s="67" t="n">
        <f aca="false">-Inputs!$B$34*1</f>
        <v>-4500</v>
      </c>
      <c r="AK39" s="67" t="n">
        <f aca="false">-Inputs!$B$34*1</f>
        <v>-4500</v>
      </c>
      <c r="AL39" s="67" t="n">
        <f aca="false">-Inputs!$B$34*1</f>
        <v>-4500</v>
      </c>
    </row>
    <row r="40" customFormat="false" ht="15" hidden="false" customHeight="false" outlineLevel="0" collapsed="false">
      <c r="A40" s="6" t="s">
        <v>326</v>
      </c>
      <c r="C40" s="67" t="n">
        <f aca="false">-Inputs!$B$35*1</f>
        <v>-2500</v>
      </c>
      <c r="D40" s="67" t="n">
        <f aca="false">-Inputs!$B$35*1</f>
        <v>-2500</v>
      </c>
      <c r="E40" s="67" t="n">
        <f aca="false">-Inputs!$B$35*1</f>
        <v>-2500</v>
      </c>
      <c r="F40" s="67" t="n">
        <f aca="false">-Inputs!$B$35*1</f>
        <v>-2500</v>
      </c>
      <c r="G40" s="67" t="n">
        <f aca="false">-Inputs!$B$35*1</f>
        <v>-2500</v>
      </c>
      <c r="H40" s="67" t="n">
        <f aca="false">-Inputs!$B$35*1</f>
        <v>-2500</v>
      </c>
      <c r="I40" s="67" t="n">
        <f aca="false">-Inputs!$B$35*1</f>
        <v>-2500</v>
      </c>
      <c r="J40" s="67" t="n">
        <f aca="false">-Inputs!$B$35*1</f>
        <v>-2500</v>
      </c>
      <c r="K40" s="67" t="n">
        <f aca="false">-Inputs!$B$35*1</f>
        <v>-2500</v>
      </c>
      <c r="L40" s="67" t="n">
        <f aca="false">-Inputs!$B$35*1</f>
        <v>-2500</v>
      </c>
      <c r="M40" s="67" t="n">
        <f aca="false">-Inputs!$B$35*1</f>
        <v>-2500</v>
      </c>
      <c r="N40" s="67" t="n">
        <f aca="false">-Inputs!$B$35*1</f>
        <v>-2500</v>
      </c>
      <c r="O40" s="67" t="n">
        <f aca="false">-Inputs!$B$35*1</f>
        <v>-2500</v>
      </c>
      <c r="P40" s="67" t="n">
        <f aca="false">-Inputs!$B$35*1</f>
        <v>-2500</v>
      </c>
      <c r="Q40" s="67" t="n">
        <f aca="false">-Inputs!$B$35*1</f>
        <v>-2500</v>
      </c>
      <c r="R40" s="67" t="n">
        <f aca="false">-Inputs!$B$35*1</f>
        <v>-2500</v>
      </c>
      <c r="S40" s="67" t="n">
        <f aca="false">-Inputs!$B$35*1</f>
        <v>-2500</v>
      </c>
      <c r="T40" s="67" t="n">
        <f aca="false">-Inputs!$B$35*1</f>
        <v>-2500</v>
      </c>
      <c r="U40" s="67" t="n">
        <f aca="false">-Inputs!$B$35*1</f>
        <v>-2500</v>
      </c>
      <c r="V40" s="67" t="n">
        <f aca="false">-Inputs!$B$35*1</f>
        <v>-2500</v>
      </c>
      <c r="W40" s="67" t="n">
        <f aca="false">-Inputs!$B$35*1</f>
        <v>-2500</v>
      </c>
      <c r="X40" s="67" t="n">
        <f aca="false">-Inputs!$B$35*1</f>
        <v>-2500</v>
      </c>
      <c r="Y40" s="67" t="n">
        <f aca="false">-Inputs!$B$35*1</f>
        <v>-2500</v>
      </c>
      <c r="Z40" s="67" t="n">
        <f aca="false">-Inputs!$B$35*1</f>
        <v>-2500</v>
      </c>
      <c r="AA40" s="67" t="n">
        <f aca="false">-Inputs!$B$35*1</f>
        <v>-2500</v>
      </c>
      <c r="AB40" s="67" t="n">
        <f aca="false">-Inputs!$B$35*1</f>
        <v>-2500</v>
      </c>
      <c r="AC40" s="67" t="n">
        <f aca="false">-Inputs!$B$35*1</f>
        <v>-2500</v>
      </c>
      <c r="AD40" s="67" t="n">
        <f aca="false">-Inputs!$B$35*1</f>
        <v>-2500</v>
      </c>
      <c r="AE40" s="67" t="n">
        <f aca="false">-Inputs!$B$35*1</f>
        <v>-2500</v>
      </c>
      <c r="AF40" s="67" t="n">
        <f aca="false">-Inputs!$B$35*1</f>
        <v>-2500</v>
      </c>
      <c r="AG40" s="67" t="n">
        <f aca="false">-Inputs!$B$35*1</f>
        <v>-2500</v>
      </c>
      <c r="AH40" s="67" t="n">
        <f aca="false">-Inputs!$B$35*1</f>
        <v>-2500</v>
      </c>
      <c r="AI40" s="67" t="n">
        <f aca="false">-Inputs!$B$35*1</f>
        <v>-2500</v>
      </c>
      <c r="AJ40" s="67" t="n">
        <f aca="false">-Inputs!$B$35*1</f>
        <v>-2500</v>
      </c>
      <c r="AK40" s="67" t="n">
        <f aca="false">-Inputs!$B$35*1</f>
        <v>-2500</v>
      </c>
      <c r="AL40" s="67" t="n">
        <f aca="false">-Inputs!$B$35*1</f>
        <v>-2500</v>
      </c>
    </row>
    <row r="41" customFormat="false" ht="15" hidden="false" customHeight="false" outlineLevel="0" collapsed="false">
      <c r="A41" s="6" t="s">
        <v>327</v>
      </c>
      <c r="C41" s="67" t="n">
        <f aca="false">-C24*Inputs!$B$36</f>
        <v>-3054.64342948718</v>
      </c>
      <c r="D41" s="67" t="n">
        <f aca="false">-D24*Inputs!$B$36</f>
        <v>-3054.64342948718</v>
      </c>
      <c r="E41" s="67" t="n">
        <f aca="false">-E24*Inputs!$B$36</f>
        <v>-3054.64342948718</v>
      </c>
      <c r="F41" s="67" t="n">
        <f aca="false">-F24*Inputs!$B$36</f>
        <v>-3054.64342948718</v>
      </c>
      <c r="G41" s="67" t="n">
        <f aca="false">-G24*Inputs!$B$36</f>
        <v>-3054.64342948718</v>
      </c>
      <c r="H41" s="67" t="n">
        <f aca="false">-H24*Inputs!$B$36</f>
        <v>-4108.47740384615</v>
      </c>
      <c r="I41" s="67" t="n">
        <f aca="false">-I24*Inputs!$B$36</f>
        <v>-4108.47740384615</v>
      </c>
      <c r="J41" s="67" t="n">
        <f aca="false">-J24*Inputs!$B$36</f>
        <v>-4108.47740384615</v>
      </c>
      <c r="K41" s="67" t="n">
        <f aca="false">-K24*Inputs!$B$36</f>
        <v>-3054.64342948718</v>
      </c>
      <c r="L41" s="67" t="n">
        <f aca="false">-L24*Inputs!$B$36</f>
        <v>-3054.64342948718</v>
      </c>
      <c r="M41" s="67" t="n">
        <f aca="false">-M24*Inputs!$B$36</f>
        <v>-3054.64342948718</v>
      </c>
      <c r="N41" s="67" t="n">
        <f aca="false">-N24*Inputs!$B$36</f>
        <v>-3054.64342948718</v>
      </c>
      <c r="O41" s="67" t="n">
        <f aca="false">-O24*Inputs!$B$36</f>
        <v>-3494.41661384615</v>
      </c>
      <c r="P41" s="67" t="n">
        <f aca="false">-P24*Inputs!$B$36</f>
        <v>-3494.41661384615</v>
      </c>
      <c r="Q41" s="67" t="n">
        <f aca="false">-Q24*Inputs!$B$36</f>
        <v>-3494.41661384615</v>
      </c>
      <c r="R41" s="67" t="n">
        <f aca="false">-R24*Inputs!$B$36</f>
        <v>-3494.41661384615</v>
      </c>
      <c r="S41" s="67" t="n">
        <f aca="false">-S24*Inputs!$B$36</f>
        <v>-3494.41661384615</v>
      </c>
      <c r="T41" s="67" t="n">
        <f aca="false">-T24*Inputs!$B$36</f>
        <v>-4698.31654615385</v>
      </c>
      <c r="U41" s="67" t="n">
        <f aca="false">-U24*Inputs!$B$36</f>
        <v>-4698.31654615385</v>
      </c>
      <c r="V41" s="67" t="n">
        <f aca="false">-V24*Inputs!$B$36</f>
        <v>-4698.31654615385</v>
      </c>
      <c r="W41" s="67" t="n">
        <f aca="false">-W24*Inputs!$B$36</f>
        <v>-3494.41661384615</v>
      </c>
      <c r="X41" s="67" t="n">
        <f aca="false">-X24*Inputs!$B$36</f>
        <v>-3494.41661384615</v>
      </c>
      <c r="Y41" s="67" t="n">
        <f aca="false">-Y24*Inputs!$B$36</f>
        <v>-3494.41661384615</v>
      </c>
      <c r="Z41" s="67" t="n">
        <f aca="false">-Z24*Inputs!$B$36</f>
        <v>-3494.41661384615</v>
      </c>
      <c r="AA41" s="67" t="n">
        <f aca="false">-AA24*Inputs!$B$36</f>
        <v>-3997.64250873785</v>
      </c>
      <c r="AB41" s="67" t="n">
        <f aca="false">-AB24*Inputs!$B$36</f>
        <v>-3997.64250873785</v>
      </c>
      <c r="AC41" s="67" t="n">
        <f aca="false">-AC24*Inputs!$B$36</f>
        <v>-3997.64250873785</v>
      </c>
      <c r="AD41" s="67" t="n">
        <f aca="false">-AD24*Inputs!$B$36</f>
        <v>-3997.64250873785</v>
      </c>
      <c r="AE41" s="67" t="n">
        <f aca="false">-AE24*Inputs!$B$36</f>
        <v>-3997.64250873785</v>
      </c>
      <c r="AF41" s="67" t="n">
        <f aca="false">-AF24*Inputs!$B$36</f>
        <v>-5372.97779140616</v>
      </c>
      <c r="AG41" s="67" t="n">
        <f aca="false">-AG24*Inputs!$B$36</f>
        <v>-5372.97779140616</v>
      </c>
      <c r="AH41" s="67" t="n">
        <f aca="false">-AH24*Inputs!$B$36</f>
        <v>-5372.97779140616</v>
      </c>
      <c r="AI41" s="67" t="n">
        <f aca="false">-AI24*Inputs!$B$36</f>
        <v>-3997.64250873785</v>
      </c>
      <c r="AJ41" s="67" t="n">
        <f aca="false">-AJ24*Inputs!$B$36</f>
        <v>-3997.64250873785</v>
      </c>
      <c r="AK41" s="67" t="n">
        <f aca="false">-AK24*Inputs!$B$36</f>
        <v>-3997.64250873785</v>
      </c>
      <c r="AL41" s="67" t="n">
        <f aca="false">-AL24*Inputs!$B$36</f>
        <v>-3997.64250873785</v>
      </c>
    </row>
    <row r="42" customFormat="false" ht="15" hidden="false" customHeight="false" outlineLevel="0" collapsed="false">
      <c r="A42" s="113" t="s">
        <v>76</v>
      </c>
      <c r="C42" s="68" t="n">
        <f aca="false">C35+C36+C37+C38+C39+C40+C41</f>
        <v>-32019.6434294872</v>
      </c>
      <c r="D42" s="68" t="n">
        <f aca="false">D35+D36+D37+D38+D39+D40+D41</f>
        <v>-32019.6434294872</v>
      </c>
      <c r="E42" s="68" t="n">
        <f aca="false">E35+E36+E37+E38+E39+E40+E41</f>
        <v>-32019.6434294872</v>
      </c>
      <c r="F42" s="68" t="n">
        <f aca="false">F35+F36+F37+F38+F39+F40+F41</f>
        <v>-32019.6434294872</v>
      </c>
      <c r="G42" s="68" t="n">
        <f aca="false">G35+G36+G37+G38+G39+G40+G41</f>
        <v>-32019.6434294872</v>
      </c>
      <c r="H42" s="68" t="n">
        <f aca="false">H35+H36+H37+H38+H39+H40+H41</f>
        <v>-33073.4774038462</v>
      </c>
      <c r="I42" s="68" t="n">
        <f aca="false">I35+I36+I37+I38+I39+I40+I41</f>
        <v>-33073.4774038462</v>
      </c>
      <c r="J42" s="68" t="n">
        <f aca="false">J35+J36+J37+J38+J39+J40+J41</f>
        <v>-33073.4774038462</v>
      </c>
      <c r="K42" s="68" t="n">
        <f aca="false">K35+K36+K37+K38+K39+K40+K41</f>
        <v>-32019.6434294872</v>
      </c>
      <c r="L42" s="68" t="n">
        <f aca="false">L35+L36+L37+L38+L39+L40+L41</f>
        <v>-32019.6434294872</v>
      </c>
      <c r="M42" s="68" t="n">
        <f aca="false">M35+M36+M37+M38+M39+M40+M41</f>
        <v>-32019.6434294872</v>
      </c>
      <c r="N42" s="68" t="n">
        <f aca="false">N35+N36+N37+N38+N39+N40+N41</f>
        <v>-32019.6434294872</v>
      </c>
      <c r="O42" s="68" t="n">
        <f aca="false">O35+O36+O37+O38+O39+O40+O41</f>
        <v>-34787.3416138462</v>
      </c>
      <c r="P42" s="68" t="n">
        <f aca="false">P35+P36+P37+P38+P39+P40+P41</f>
        <v>-34787.3416138462</v>
      </c>
      <c r="Q42" s="68" t="n">
        <f aca="false">Q35+Q36+Q37+Q38+Q39+Q40+Q41</f>
        <v>-34787.3416138462</v>
      </c>
      <c r="R42" s="68" t="n">
        <f aca="false">R35+R36+R37+R38+R39+R40+R41</f>
        <v>-34787.3416138462</v>
      </c>
      <c r="S42" s="68" t="n">
        <f aca="false">S35+S36+S37+S38+S39+S40+S41</f>
        <v>-34787.3416138462</v>
      </c>
      <c r="T42" s="68" t="n">
        <f aca="false">T35+T36+T37+T38+T39+T40+T41</f>
        <v>-35991.2415461539</v>
      </c>
      <c r="U42" s="68" t="n">
        <f aca="false">U35+U36+U37+U38+U39+U40+U41</f>
        <v>-35991.2415461539</v>
      </c>
      <c r="V42" s="68" t="n">
        <f aca="false">V35+V36+V37+V38+V39+V40+V41</f>
        <v>-35991.2415461539</v>
      </c>
      <c r="W42" s="68" t="n">
        <f aca="false">W35+W36+W37+W38+W39+W40+W41</f>
        <v>-34787.3416138462</v>
      </c>
      <c r="X42" s="68" t="n">
        <f aca="false">X35+X36+X37+X38+X39+X40+X41</f>
        <v>-34787.3416138462</v>
      </c>
      <c r="Y42" s="68" t="n">
        <f aca="false">Y35+Y36+Y37+Y38+Y39+Y40+Y41</f>
        <v>-34787.3416138462</v>
      </c>
      <c r="Z42" s="68" t="n">
        <f aca="false">Z35+Z36+Z37+Z38+Z39+Z40+Z41</f>
        <v>-34787.3416138462</v>
      </c>
      <c r="AA42" s="68" t="n">
        <f aca="false">AA35+AA36+AA37+AA38+AA39+AA40+AA41</f>
        <v>-37912.7561337379</v>
      </c>
      <c r="AB42" s="68" t="n">
        <f aca="false">AB35+AB36+AB37+AB38+AB39+AB40+AB41</f>
        <v>-37912.7561337379</v>
      </c>
      <c r="AC42" s="68" t="n">
        <f aca="false">AC35+AC36+AC37+AC38+AC39+AC40+AC41</f>
        <v>-37912.7561337379</v>
      </c>
      <c r="AD42" s="68" t="n">
        <f aca="false">AD35+AD36+AD37+AD38+AD39+AD40+AD41</f>
        <v>-37912.7561337379</v>
      </c>
      <c r="AE42" s="68" t="n">
        <f aca="false">AE35+AE36+AE37+AE38+AE39+AE40+AE41</f>
        <v>-37912.7561337379</v>
      </c>
      <c r="AF42" s="68" t="n">
        <f aca="false">AF35+AF36+AF37+AF38+AF39+AF40+AF41</f>
        <v>-39288.0914164062</v>
      </c>
      <c r="AG42" s="68" t="n">
        <f aca="false">AG35+AG36+AG37+AG38+AG39+AG40+AG41</f>
        <v>-39288.0914164062</v>
      </c>
      <c r="AH42" s="68" t="n">
        <f aca="false">AH35+AH36+AH37+AH38+AH39+AH40+AH41</f>
        <v>-39288.0914164062</v>
      </c>
      <c r="AI42" s="68" t="n">
        <f aca="false">AI35+AI36+AI37+AI38+AI39+AI40+AI41</f>
        <v>-37912.7561337379</v>
      </c>
      <c r="AJ42" s="68" t="n">
        <f aca="false">AJ35+AJ36+AJ37+AJ38+AJ39+AJ40+AJ41</f>
        <v>-37912.7561337379</v>
      </c>
      <c r="AK42" s="68" t="n">
        <f aca="false">AK35+AK36+AK37+AK38+AK39+AK40+AK41</f>
        <v>-37912.7561337379</v>
      </c>
      <c r="AL42" s="68" t="n">
        <f aca="false">AL35+AL36+AL37+AL38+AL39+AL40+AL41</f>
        <v>-37912.7561337379</v>
      </c>
    </row>
    <row r="43" customFormat="false" ht="15" hidden="false" customHeight="false" outlineLevel="0" collapsed="false">
      <c r="A43" s="113" t="s">
        <v>48</v>
      </c>
      <c r="C43" s="68" t="n">
        <f aca="false">C32+C42</f>
        <v>-5979.23637820513</v>
      </c>
      <c r="D43" s="68" t="n">
        <f aca="false">D32+D42</f>
        <v>-5979.23637820513</v>
      </c>
      <c r="E43" s="68" t="n">
        <f aca="false">E32+E42</f>
        <v>-5979.23637820513</v>
      </c>
      <c r="F43" s="68" t="n">
        <f aca="false">F32+F42</f>
        <v>-5979.23637820513</v>
      </c>
      <c r="G43" s="68" t="n">
        <f aca="false">G32+G42</f>
        <v>-5979.23637820513</v>
      </c>
      <c r="H43" s="68" t="n">
        <f aca="false">H32+H42</f>
        <v>19857.8655448718</v>
      </c>
      <c r="I43" s="68" t="n">
        <f aca="false">I32+I42</f>
        <v>19857.8655448718</v>
      </c>
      <c r="J43" s="68" t="n">
        <f aca="false">J32+J42</f>
        <v>19857.8655448718</v>
      </c>
      <c r="K43" s="68" t="n">
        <f aca="false">K32+K42</f>
        <v>-5979.23637820513</v>
      </c>
      <c r="L43" s="68" t="n">
        <f aca="false">L32+L42</f>
        <v>-5979.23637820513</v>
      </c>
      <c r="M43" s="68" t="n">
        <f aca="false">M32+M42</f>
        <v>-5979.23637820513</v>
      </c>
      <c r="N43" s="68" t="n">
        <f aca="false">N32+N42</f>
        <v>-5979.23637820513</v>
      </c>
      <c r="O43" s="68" t="n">
        <f aca="false">O32+O42</f>
        <v>-5197.08806512823</v>
      </c>
      <c r="P43" s="68" t="n">
        <f aca="false">P32+P42</f>
        <v>-5197.08806512823</v>
      </c>
      <c r="Q43" s="68" t="n">
        <f aca="false">Q32+Q42</f>
        <v>-5197.08806512823</v>
      </c>
      <c r="R43" s="68" t="n">
        <f aca="false">R32+R42</f>
        <v>-5197.08806512823</v>
      </c>
      <c r="S43" s="68" t="n">
        <f aca="false">S32+S42</f>
        <v>-5197.08806512823</v>
      </c>
      <c r="T43" s="68" t="n">
        <f aca="false">T32+T42</f>
        <v>24319.2171717949</v>
      </c>
      <c r="U43" s="68" t="n">
        <f aca="false">U32+U42</f>
        <v>24319.2171717949</v>
      </c>
      <c r="V43" s="68" t="n">
        <f aca="false">V32+V42</f>
        <v>24319.2171717949</v>
      </c>
      <c r="W43" s="68" t="n">
        <f aca="false">W32+W42</f>
        <v>-5197.08806512823</v>
      </c>
      <c r="X43" s="68" t="n">
        <f aca="false">X32+X42</f>
        <v>-5197.08806512823</v>
      </c>
      <c r="Y43" s="68" t="n">
        <f aca="false">Y32+Y42</f>
        <v>-5197.08806512823</v>
      </c>
      <c r="Z43" s="68" t="n">
        <f aca="false">Z32+Z42</f>
        <v>-5197.08806512823</v>
      </c>
      <c r="AA43" s="68" t="n">
        <f aca="false">AA32+AA42</f>
        <v>-4296.72714074911</v>
      </c>
      <c r="AB43" s="68" t="n">
        <f aca="false">AB32+AB42</f>
        <v>-4296.72714074911</v>
      </c>
      <c r="AC43" s="68" t="n">
        <f aca="false">AC32+AC42</f>
        <v>-4296.72714074911</v>
      </c>
      <c r="AD43" s="68" t="n">
        <f aca="false">AD32+AD42</f>
        <v>-4296.72714074911</v>
      </c>
      <c r="AE43" s="68" t="n">
        <f aca="false">AE32+AE42</f>
        <v>-4296.72714074911</v>
      </c>
      <c r="AF43" s="68" t="n">
        <f aca="false">AF32+AF42</f>
        <v>29422.6999619118</v>
      </c>
      <c r="AG43" s="68" t="n">
        <f aca="false">AG32+AG42</f>
        <v>29422.6999619118</v>
      </c>
      <c r="AH43" s="68" t="n">
        <f aca="false">AH32+AH42</f>
        <v>29422.6999619118</v>
      </c>
      <c r="AI43" s="68" t="n">
        <f aca="false">AI32+AI42</f>
        <v>-4296.72714074911</v>
      </c>
      <c r="AJ43" s="68" t="n">
        <f aca="false">AJ32+AJ42</f>
        <v>-4296.72714074911</v>
      </c>
      <c r="AK43" s="68" t="n">
        <f aca="false">AK32+AK42</f>
        <v>-4296.72714074911</v>
      </c>
      <c r="AL43" s="68" t="n">
        <f aca="false">AL32+AL42</f>
        <v>-4296.72714074911</v>
      </c>
    </row>
    <row r="45" customFormat="false" ht="15.75" hidden="false" customHeight="true" outlineLevel="0" collapsed="false">
      <c r="A45" s="7" t="s">
        <v>387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customFormat="false" ht="15" hidden="false" customHeight="false" outlineLevel="0" collapsed="false">
      <c r="A46" s="4" t="s">
        <v>78</v>
      </c>
      <c r="C46" s="73" t="n">
        <f aca="false">C43+C57</f>
        <v>-6312.56971153847</v>
      </c>
      <c r="D46" s="73" t="n">
        <f aca="false">D43+D57</f>
        <v>-6312.56971153847</v>
      </c>
      <c r="E46" s="73" t="n">
        <f aca="false">E43+E57</f>
        <v>-6312.56971153847</v>
      </c>
      <c r="F46" s="73" t="n">
        <f aca="false">F43+F57</f>
        <v>-6312.56971153847</v>
      </c>
      <c r="G46" s="73" t="n">
        <f aca="false">G43+G57</f>
        <v>-6312.56971153847</v>
      </c>
      <c r="H46" s="73" t="n">
        <f aca="false">H43+H57</f>
        <v>19524.5322115385</v>
      </c>
      <c r="I46" s="73" t="n">
        <f aca="false">I43+I57</f>
        <v>19524.5322115385</v>
      </c>
      <c r="J46" s="73" t="n">
        <f aca="false">J43+J57</f>
        <v>19524.5322115385</v>
      </c>
      <c r="K46" s="73" t="n">
        <f aca="false">K43+K57</f>
        <v>-6312.56971153847</v>
      </c>
      <c r="L46" s="73" t="n">
        <f aca="false">L43+L57</f>
        <v>-6312.56971153847</v>
      </c>
      <c r="M46" s="73" t="n">
        <f aca="false">M43+M57</f>
        <v>-6312.56971153847</v>
      </c>
      <c r="N46" s="73" t="n">
        <f aca="false">N43+N57</f>
        <v>-6312.56971153847</v>
      </c>
      <c r="O46" s="73" t="n">
        <f aca="false">O43+O57</f>
        <v>-6188.42139846156</v>
      </c>
      <c r="P46" s="73" t="n">
        <f aca="false">P43+P57</f>
        <v>-6188.42139846156</v>
      </c>
      <c r="Q46" s="73" t="n">
        <f aca="false">Q43+Q57</f>
        <v>-6188.42139846156</v>
      </c>
      <c r="R46" s="73" t="n">
        <f aca="false">R43+R57</f>
        <v>-6188.42139846156</v>
      </c>
      <c r="S46" s="73" t="n">
        <f aca="false">S43+S57</f>
        <v>-6188.42139846156</v>
      </c>
      <c r="T46" s="73" t="n">
        <f aca="false">T43+T57</f>
        <v>23327.8838384615</v>
      </c>
      <c r="U46" s="73" t="n">
        <f aca="false">U43+U57</f>
        <v>23327.8838384615</v>
      </c>
      <c r="V46" s="73" t="n">
        <f aca="false">V43+V57</f>
        <v>23327.8838384615</v>
      </c>
      <c r="W46" s="73" t="n">
        <f aca="false">W43+W57</f>
        <v>-6188.42139846156</v>
      </c>
      <c r="X46" s="73" t="n">
        <f aca="false">X43+X57</f>
        <v>-6188.42139846156</v>
      </c>
      <c r="Y46" s="73" t="n">
        <f aca="false">Y43+Y57</f>
        <v>-6188.42139846156</v>
      </c>
      <c r="Z46" s="73" t="n">
        <f aca="false">Z43+Z57</f>
        <v>-6188.42139846156</v>
      </c>
      <c r="AA46" s="73" t="n">
        <f aca="false">AA43+AA57</f>
        <v>-6025.02047408245</v>
      </c>
      <c r="AB46" s="73" t="n">
        <f aca="false">AB43+AB57</f>
        <v>-6025.02047408245</v>
      </c>
      <c r="AC46" s="73" t="n">
        <f aca="false">AC43+AC57</f>
        <v>-6025.02047408245</v>
      </c>
      <c r="AD46" s="73" t="n">
        <f aca="false">AD43+AD57</f>
        <v>-6025.02047408245</v>
      </c>
      <c r="AE46" s="73" t="n">
        <f aca="false">AE43+AE57</f>
        <v>-6025.02047408245</v>
      </c>
      <c r="AF46" s="73" t="n">
        <f aca="false">AF43+AF57</f>
        <v>27694.4066285785</v>
      </c>
      <c r="AG46" s="73" t="n">
        <f aca="false">AG43+AG57</f>
        <v>27694.4066285785</v>
      </c>
      <c r="AH46" s="73" t="n">
        <f aca="false">AH43+AH57</f>
        <v>27694.4066285785</v>
      </c>
      <c r="AI46" s="73" t="n">
        <f aca="false">AI43+AI57</f>
        <v>-6025.02047408245</v>
      </c>
      <c r="AJ46" s="73" t="n">
        <f aca="false">AJ43+AJ57</f>
        <v>-6025.02047408245</v>
      </c>
      <c r="AK46" s="73" t="n">
        <f aca="false">AK43+AK57</f>
        <v>-6025.02047408245</v>
      </c>
      <c r="AL46" s="73" t="n">
        <f aca="false">AL43+AL57</f>
        <v>-6025.02047408245</v>
      </c>
    </row>
    <row r="47" customFormat="false" ht="15" hidden="false" customHeight="false" outlineLevel="0" collapsed="false">
      <c r="A47" s="6" t="s">
        <v>388</v>
      </c>
      <c r="C47" s="67" t="n">
        <f aca="false">-(C62+C63+C65)/2*Inputs!$B$56/12</f>
        <v>-1666.66666666667</v>
      </c>
      <c r="D47" s="67" t="n">
        <f aca="false">-(D62+D63+D65)/2*Inputs!$B$56/12</f>
        <v>-1652.77777777778</v>
      </c>
      <c r="E47" s="67" t="n">
        <f aca="false">-(E62+E63+E65)/2*Inputs!$B$56/12</f>
        <v>-1625</v>
      </c>
      <c r="F47" s="67" t="n">
        <f aca="false">-(F62+F63+F65)/2*Inputs!$B$56/12</f>
        <v>-1597.22222222222</v>
      </c>
      <c r="G47" s="67" t="n">
        <f aca="false">-(G62+G63+G65)/2*Inputs!$B$56/12</f>
        <v>-1569.44444444444</v>
      </c>
      <c r="H47" s="67" t="n">
        <f aca="false">-(H62+H63+H65)/2*Inputs!$B$56/12</f>
        <v>-1541.66666666667</v>
      </c>
      <c r="I47" s="67" t="n">
        <f aca="false">-(I62+I63+I65)/2*Inputs!$B$56/12</f>
        <v>-1513.88888888889</v>
      </c>
      <c r="J47" s="67" t="n">
        <f aca="false">-(J62+J63+J65)/2*Inputs!$B$56/12</f>
        <v>-1486.11111111111</v>
      </c>
      <c r="K47" s="67" t="n">
        <f aca="false">-(K62+K63+K65)/2*Inputs!$B$56/12</f>
        <v>-1458.33333333333</v>
      </c>
      <c r="L47" s="67" t="n">
        <f aca="false">-(L62+L63+L65)/2*Inputs!$B$56/12</f>
        <v>-1430.55555555556</v>
      </c>
      <c r="M47" s="67" t="n">
        <f aca="false">-(M62+M63+M65)/2*Inputs!$B$56/12</f>
        <v>-1402.77777777778</v>
      </c>
      <c r="N47" s="67" t="n">
        <f aca="false">-(N62+N63+N65)/2*Inputs!$B$56/12</f>
        <v>-1375</v>
      </c>
      <c r="O47" s="67" t="n">
        <f aca="false">-(O62+O63+O65)/2*Inputs!$B$56/12</f>
        <v>-1347.22222222222</v>
      </c>
      <c r="P47" s="67" t="n">
        <f aca="false">-(P62+P63+P65)/2*Inputs!$B$56/12</f>
        <v>-1319.44444444445</v>
      </c>
      <c r="Q47" s="67" t="n">
        <f aca="false">-(Q62+Q63+Q65)/2*Inputs!$B$56/12</f>
        <v>-1291.66666666667</v>
      </c>
      <c r="R47" s="67" t="n">
        <f aca="false">-(R62+R63+R65)/2*Inputs!$B$56/12</f>
        <v>-1263.88888888889</v>
      </c>
      <c r="S47" s="67" t="n">
        <f aca="false">-(S62+S63+S65)/2*Inputs!$B$56/12</f>
        <v>-1236.11111111111</v>
      </c>
      <c r="T47" s="67" t="n">
        <f aca="false">-(T62+T63+T65)/2*Inputs!$B$56/12</f>
        <v>-1208.33333333333</v>
      </c>
      <c r="U47" s="67" t="n">
        <f aca="false">-(U62+U63+U65)/2*Inputs!$B$56/12</f>
        <v>-1180.55555555556</v>
      </c>
      <c r="V47" s="67" t="n">
        <f aca="false">-(V62+V63+V65)/2*Inputs!$B$56/12</f>
        <v>-1152.77777777778</v>
      </c>
      <c r="W47" s="67" t="n">
        <f aca="false">-(W62+W63+W65)/2*Inputs!$B$56/12</f>
        <v>-1125</v>
      </c>
      <c r="X47" s="67" t="n">
        <f aca="false">-(X62+X63+X65)/2*Inputs!$B$56/12</f>
        <v>-1097.22222222222</v>
      </c>
      <c r="Y47" s="67" t="n">
        <f aca="false">-(Y62+Y63+Y65)/2*Inputs!$B$56/12</f>
        <v>-1069.44444444445</v>
      </c>
      <c r="Z47" s="67" t="n">
        <f aca="false">-(Z62+Z63+Z65)/2*Inputs!$B$56/12</f>
        <v>-1041.66666666667</v>
      </c>
      <c r="AA47" s="67" t="n">
        <f aca="false">-(AA62+AA63+AA65)/2*Inputs!$B$56/12</f>
        <v>-1013.88888888889</v>
      </c>
      <c r="AB47" s="67" t="n">
        <f aca="false">-(AB62+AB63+AB65)/2*Inputs!$B$56/12</f>
        <v>-986.111111111113</v>
      </c>
      <c r="AC47" s="67" t="n">
        <f aca="false">-(AC62+AC63+AC65)/2*Inputs!$B$56/12</f>
        <v>-958.333333333335</v>
      </c>
      <c r="AD47" s="67" t="n">
        <f aca="false">-(AD62+AD63+AD65)/2*Inputs!$B$56/12</f>
        <v>-930.555555555557</v>
      </c>
      <c r="AE47" s="67" t="n">
        <f aca="false">-(AE62+AE63+AE65)/2*Inputs!$B$56/12</f>
        <v>-902.77777777778</v>
      </c>
      <c r="AF47" s="67" t="n">
        <f aca="false">-(AF62+AF63+AF65)/2*Inputs!$B$56/12</f>
        <v>-875.000000000002</v>
      </c>
      <c r="AG47" s="67" t="n">
        <f aca="false">-(AG62+AG63+AG65)/2*Inputs!$B$56/12</f>
        <v>-847.222222222224</v>
      </c>
      <c r="AH47" s="67" t="n">
        <f aca="false">-(AH62+AH63+AH65)/2*Inputs!$B$56/12</f>
        <v>-819.444444444446</v>
      </c>
      <c r="AI47" s="67" t="n">
        <f aca="false">-(AI62+AI63+AI65)/2*Inputs!$B$56/12</f>
        <v>-791.666666666668</v>
      </c>
      <c r="AJ47" s="67" t="n">
        <f aca="false">-(AJ62+AJ63+AJ65)/2*Inputs!$B$56/12</f>
        <v>-763.888888888891</v>
      </c>
      <c r="AK47" s="67" t="n">
        <f aca="false">-(AK62+AK63+AK65)/2*Inputs!$B$56/12</f>
        <v>-736.111111111113</v>
      </c>
      <c r="AL47" s="67" t="n">
        <f aca="false">-(AL62+AL63+AL65)/2*Inputs!$B$56/12</f>
        <v>-708.333333333335</v>
      </c>
    </row>
    <row r="48" customFormat="false" ht="15" hidden="false" customHeight="false" outlineLevel="0" collapsed="false">
      <c r="A48" s="113" t="s">
        <v>80</v>
      </c>
      <c r="C48" s="68" t="n">
        <f aca="false">C46+C47</f>
        <v>-7979.23637820513</v>
      </c>
      <c r="D48" s="68" t="n">
        <f aca="false">D46+D47</f>
        <v>-7965.34748931624</v>
      </c>
      <c r="E48" s="68" t="n">
        <f aca="false">E46+E47</f>
        <v>-7937.56971153847</v>
      </c>
      <c r="F48" s="68" t="n">
        <f aca="false">F46+F47</f>
        <v>-7909.79193376069</v>
      </c>
      <c r="G48" s="68" t="n">
        <f aca="false">G46+G47</f>
        <v>-7882.01415598291</v>
      </c>
      <c r="H48" s="68" t="n">
        <f aca="false">H46+H47</f>
        <v>17982.8655448718</v>
      </c>
      <c r="I48" s="68" t="n">
        <f aca="false">I46+I47</f>
        <v>18010.6433226496</v>
      </c>
      <c r="J48" s="68" t="n">
        <f aca="false">J46+J47</f>
        <v>18038.4211004273</v>
      </c>
      <c r="K48" s="68" t="n">
        <f aca="false">K46+K47</f>
        <v>-7770.9030448718</v>
      </c>
      <c r="L48" s="68" t="n">
        <f aca="false">L46+L47</f>
        <v>-7743.12526709402</v>
      </c>
      <c r="M48" s="68" t="n">
        <f aca="false">M46+M47</f>
        <v>-7715.34748931624</v>
      </c>
      <c r="N48" s="68" t="n">
        <f aca="false">N46+N47</f>
        <v>-7687.56971153847</v>
      </c>
      <c r="O48" s="68" t="n">
        <f aca="false">O46+O47</f>
        <v>-7535.64362068378</v>
      </c>
      <c r="P48" s="68" t="n">
        <f aca="false">P46+P47</f>
        <v>-7507.86584290601</v>
      </c>
      <c r="Q48" s="68" t="n">
        <f aca="false">Q46+Q47</f>
        <v>-7480.08806512823</v>
      </c>
      <c r="R48" s="68" t="n">
        <f aca="false">R46+R47</f>
        <v>-7452.31028735045</v>
      </c>
      <c r="S48" s="68" t="n">
        <f aca="false">S46+S47</f>
        <v>-7424.53250957267</v>
      </c>
      <c r="T48" s="68" t="n">
        <f aca="false">T46+T47</f>
        <v>22119.5505051282</v>
      </c>
      <c r="U48" s="68" t="n">
        <f aca="false">U46+U47</f>
        <v>22147.328282906</v>
      </c>
      <c r="V48" s="68" t="n">
        <f aca="false">V46+V47</f>
        <v>22175.1060606838</v>
      </c>
      <c r="W48" s="68" t="n">
        <f aca="false">W46+W47</f>
        <v>-7313.42139846156</v>
      </c>
      <c r="X48" s="68" t="n">
        <f aca="false">X46+X47</f>
        <v>-7285.64362068379</v>
      </c>
      <c r="Y48" s="68" t="n">
        <f aca="false">Y46+Y47</f>
        <v>-7257.86584290601</v>
      </c>
      <c r="Z48" s="68" t="n">
        <f aca="false">Z46+Z47</f>
        <v>-7230.08806512823</v>
      </c>
      <c r="AA48" s="68" t="n">
        <f aca="false">AA46+AA47</f>
        <v>-7038.90936297134</v>
      </c>
      <c r="AB48" s="68" t="n">
        <f aca="false">AB46+AB47</f>
        <v>-7011.13158519356</v>
      </c>
      <c r="AC48" s="68" t="n">
        <f aca="false">AC46+AC47</f>
        <v>-6983.35380741578</v>
      </c>
      <c r="AD48" s="68" t="n">
        <f aca="false">AD46+AD47</f>
        <v>-6955.57602963801</v>
      </c>
      <c r="AE48" s="68" t="n">
        <f aca="false">AE46+AE47</f>
        <v>-6927.79825186023</v>
      </c>
      <c r="AF48" s="68" t="n">
        <f aca="false">AF46+AF47</f>
        <v>26819.4066285785</v>
      </c>
      <c r="AG48" s="68" t="n">
        <f aca="false">AG46+AG47</f>
        <v>26847.1844063563</v>
      </c>
      <c r="AH48" s="68" t="n">
        <f aca="false">AH46+AH47</f>
        <v>26874.9621841341</v>
      </c>
      <c r="AI48" s="68" t="n">
        <f aca="false">AI46+AI47</f>
        <v>-6816.68714074912</v>
      </c>
      <c r="AJ48" s="68" t="n">
        <f aca="false">AJ46+AJ47</f>
        <v>-6788.90936297134</v>
      </c>
      <c r="AK48" s="68" t="n">
        <f aca="false">AK46+AK47</f>
        <v>-6761.13158519356</v>
      </c>
      <c r="AL48" s="68" t="n">
        <f aca="false">AL46+AL47</f>
        <v>-6733.35380741578</v>
      </c>
    </row>
    <row r="49" customFormat="false" ht="15" hidden="false" customHeight="false" outlineLevel="0" collapsed="false">
      <c r="A49" s="121" t="s">
        <v>389</v>
      </c>
      <c r="C49" s="67" t="n">
        <f aca="false">C48</f>
        <v>-7979.23637820513</v>
      </c>
      <c r="D49" s="67" t="n">
        <f aca="false">C49+D48</f>
        <v>-15944.5838675214</v>
      </c>
      <c r="E49" s="67" t="n">
        <f aca="false">D49+E48</f>
        <v>-23882.1535790598</v>
      </c>
      <c r="F49" s="67" t="n">
        <f aca="false">E49+F48</f>
        <v>-31791.9455128205</v>
      </c>
      <c r="G49" s="67" t="n">
        <f aca="false">F49+G48</f>
        <v>-39673.9596688034</v>
      </c>
      <c r="H49" s="67" t="n">
        <f aca="false">G49+H48</f>
        <v>-21691.0941239317</v>
      </c>
      <c r="I49" s="67" t="n">
        <f aca="false">H49+I48</f>
        <v>-3680.45080128209</v>
      </c>
      <c r="J49" s="67" t="n">
        <f aca="false">I49+J48</f>
        <v>14357.9702991452</v>
      </c>
      <c r="K49" s="67" t="n">
        <f aca="false">J49+K48</f>
        <v>6587.06725427345</v>
      </c>
      <c r="L49" s="67" t="n">
        <f aca="false">K49+L48</f>
        <v>-1156.05801282057</v>
      </c>
      <c r="M49" s="67" t="n">
        <f aca="false">L49+M48</f>
        <v>-8871.40550213682</v>
      </c>
      <c r="N49" s="67" t="n">
        <f aca="false">M49+N48</f>
        <v>-16558.9752136753</v>
      </c>
      <c r="O49" s="67" t="n">
        <f aca="false">N49+O48</f>
        <v>-24094.6188343591</v>
      </c>
      <c r="P49" s="67" t="n">
        <f aca="false">O49+P48</f>
        <v>-31602.4846772651</v>
      </c>
      <c r="Q49" s="67" t="n">
        <f aca="false">P49+Q48</f>
        <v>-39082.5727423933</v>
      </c>
      <c r="R49" s="67" t="n">
        <f aca="false">Q49+R48</f>
        <v>-46534.8830297438</v>
      </c>
      <c r="S49" s="67" t="n">
        <f aca="false">R49+S48</f>
        <v>-53959.4155393164</v>
      </c>
      <c r="T49" s="67" t="n">
        <f aca="false">S49+T48</f>
        <v>-31839.8650341882</v>
      </c>
      <c r="U49" s="67" t="n">
        <f aca="false">T49+U48</f>
        <v>-9692.53675128226</v>
      </c>
      <c r="V49" s="67" t="n">
        <f aca="false">U49+V48</f>
        <v>12482.5693094015</v>
      </c>
      <c r="W49" s="67" t="n">
        <f aca="false">V49+W48</f>
        <v>5169.14791093993</v>
      </c>
      <c r="X49" s="67" t="n">
        <f aca="false">W49+X48</f>
        <v>-2116.49570974386</v>
      </c>
      <c r="Y49" s="67" t="n">
        <f aca="false">X49+Y48</f>
        <v>-9374.36155264987</v>
      </c>
      <c r="Z49" s="67" t="n">
        <f aca="false">Y49+Z48</f>
        <v>-16604.4496177781</v>
      </c>
      <c r="AA49" s="67" t="n">
        <f aca="false">Z49+AA48</f>
        <v>-23643.3589807494</v>
      </c>
      <c r="AB49" s="67" t="n">
        <f aca="false">AA49+AB48</f>
        <v>-30654.490565943</v>
      </c>
      <c r="AC49" s="67" t="n">
        <f aca="false">AB49+AC48</f>
        <v>-37637.8443733588</v>
      </c>
      <c r="AD49" s="67" t="n">
        <f aca="false">AC49+AD48</f>
        <v>-44593.4204029968</v>
      </c>
      <c r="AE49" s="67" t="n">
        <f aca="false">AD49+AE48</f>
        <v>-51521.218654857</v>
      </c>
      <c r="AF49" s="67" t="n">
        <f aca="false">AE49+AF48</f>
        <v>-24701.8120262785</v>
      </c>
      <c r="AG49" s="67" t="n">
        <f aca="false">AF49+AG48</f>
        <v>2145.37238007777</v>
      </c>
      <c r="AH49" s="67" t="n">
        <f aca="false">AG49+AH48</f>
        <v>29020.3345642118</v>
      </c>
      <c r="AI49" s="67" t="n">
        <f aca="false">AH49+AI48</f>
        <v>22203.6474234627</v>
      </c>
      <c r="AJ49" s="67" t="n">
        <f aca="false">AI49+AJ48</f>
        <v>15414.7380604914</v>
      </c>
      <c r="AK49" s="67" t="n">
        <f aca="false">AJ49+AK48</f>
        <v>8653.60647529781</v>
      </c>
      <c r="AL49" s="67" t="n">
        <f aca="false">AK49+AL48</f>
        <v>1920.25266788203</v>
      </c>
    </row>
    <row r="50" customFormat="false" ht="15" hidden="false" customHeight="false" outlineLevel="0" collapsed="false">
      <c r="A50" s="121" t="s">
        <v>390</v>
      </c>
      <c r="C50" s="67" t="n">
        <f aca="false">MAX(0,C49)</f>
        <v>0</v>
      </c>
      <c r="D50" s="67" t="n">
        <f aca="false">MAX(C50,D49)</f>
        <v>0</v>
      </c>
      <c r="E50" s="67" t="n">
        <f aca="false">MAX(D50,E49)</f>
        <v>0</v>
      </c>
      <c r="F50" s="67" t="n">
        <f aca="false">MAX(E50,F49)</f>
        <v>0</v>
      </c>
      <c r="G50" s="67" t="n">
        <f aca="false">MAX(F50,G49)</f>
        <v>0</v>
      </c>
      <c r="H50" s="67" t="n">
        <f aca="false">MAX(G50,H49)</f>
        <v>0</v>
      </c>
      <c r="I50" s="67" t="n">
        <f aca="false">MAX(H50,I49)</f>
        <v>0</v>
      </c>
      <c r="J50" s="67" t="n">
        <f aca="false">MAX(I50,J49)</f>
        <v>14357.9702991452</v>
      </c>
      <c r="K50" s="67" t="n">
        <f aca="false">MAX(J50,K49)</f>
        <v>14357.9702991452</v>
      </c>
      <c r="L50" s="67" t="n">
        <f aca="false">MAX(K50,L49)</f>
        <v>14357.9702991452</v>
      </c>
      <c r="M50" s="67" t="n">
        <f aca="false">MAX(L50,M49)</f>
        <v>14357.9702991452</v>
      </c>
      <c r="N50" s="67" t="n">
        <f aca="false">MAX(M50,N49)</f>
        <v>14357.9702991452</v>
      </c>
      <c r="O50" s="67" t="n">
        <f aca="false">MAX(N50,O49)</f>
        <v>14357.9702991452</v>
      </c>
      <c r="P50" s="67" t="n">
        <f aca="false">MAX(O50,P49)</f>
        <v>14357.9702991452</v>
      </c>
      <c r="Q50" s="67" t="n">
        <f aca="false">MAX(P50,Q49)</f>
        <v>14357.9702991452</v>
      </c>
      <c r="R50" s="67" t="n">
        <f aca="false">MAX(Q50,R49)</f>
        <v>14357.9702991452</v>
      </c>
      <c r="S50" s="67" t="n">
        <f aca="false">MAX(R50,S49)</f>
        <v>14357.9702991452</v>
      </c>
      <c r="T50" s="67" t="n">
        <f aca="false">MAX(S50,T49)</f>
        <v>14357.9702991452</v>
      </c>
      <c r="U50" s="67" t="n">
        <f aca="false">MAX(T50,U49)</f>
        <v>14357.9702991452</v>
      </c>
      <c r="V50" s="67" t="n">
        <f aca="false">MAX(U50,V49)</f>
        <v>14357.9702991452</v>
      </c>
      <c r="W50" s="67" t="n">
        <f aca="false">MAX(V50,W49)</f>
        <v>14357.9702991452</v>
      </c>
      <c r="X50" s="67" t="n">
        <f aca="false">MAX(W50,X49)</f>
        <v>14357.9702991452</v>
      </c>
      <c r="Y50" s="67" t="n">
        <f aca="false">MAX(X50,Y49)</f>
        <v>14357.9702991452</v>
      </c>
      <c r="Z50" s="67" t="n">
        <f aca="false">MAX(Y50,Z49)</f>
        <v>14357.9702991452</v>
      </c>
      <c r="AA50" s="67" t="n">
        <f aca="false">MAX(Z50,AA49)</f>
        <v>14357.9702991452</v>
      </c>
      <c r="AB50" s="67" t="n">
        <f aca="false">MAX(AA50,AB49)</f>
        <v>14357.9702991452</v>
      </c>
      <c r="AC50" s="67" t="n">
        <f aca="false">MAX(AB50,AC49)</f>
        <v>14357.9702991452</v>
      </c>
      <c r="AD50" s="67" t="n">
        <f aca="false">MAX(AC50,AD49)</f>
        <v>14357.9702991452</v>
      </c>
      <c r="AE50" s="67" t="n">
        <f aca="false">MAX(AD50,AE49)</f>
        <v>14357.9702991452</v>
      </c>
      <c r="AF50" s="67" t="n">
        <f aca="false">MAX(AE50,AF49)</f>
        <v>14357.9702991452</v>
      </c>
      <c r="AG50" s="67" t="n">
        <f aca="false">MAX(AF50,AG49)</f>
        <v>14357.9702991452</v>
      </c>
      <c r="AH50" s="67" t="n">
        <f aca="false">MAX(AG50,AH49)</f>
        <v>29020.3345642118</v>
      </c>
      <c r="AI50" s="67" t="n">
        <f aca="false">MAX(AH50,AI49)</f>
        <v>29020.3345642118</v>
      </c>
      <c r="AJ50" s="67" t="n">
        <f aca="false">MAX(AI50,AJ49)</f>
        <v>29020.3345642118</v>
      </c>
      <c r="AK50" s="67" t="n">
        <f aca="false">MAX(AJ50,AK49)</f>
        <v>29020.3345642118</v>
      </c>
      <c r="AL50" s="67" t="n">
        <f aca="false">MAX(AK50,AL49)</f>
        <v>29020.3345642118</v>
      </c>
    </row>
    <row r="51" customFormat="false" ht="15" hidden="false" customHeight="false" outlineLevel="0" collapsed="false">
      <c r="A51" s="6" t="s">
        <v>81</v>
      </c>
      <c r="C51" s="67" t="n">
        <f aca="false">-C50*Inputs!$B$66</f>
        <v>-0</v>
      </c>
      <c r="D51" s="67" t="n">
        <f aca="false">-(D50-C50)*Inputs!$B$66</f>
        <v>-0</v>
      </c>
      <c r="E51" s="67" t="n">
        <f aca="false">-(E50-D50)*Inputs!$B$66</f>
        <v>-0</v>
      </c>
      <c r="F51" s="67" t="n">
        <f aca="false">-(F50-E50)*Inputs!$B$66</f>
        <v>-0</v>
      </c>
      <c r="G51" s="67" t="n">
        <f aca="false">-(G50-F50)*Inputs!$B$66</f>
        <v>-0</v>
      </c>
      <c r="H51" s="67" t="n">
        <f aca="false">-(H50-G50)*Inputs!$B$66</f>
        <v>-0</v>
      </c>
      <c r="I51" s="67" t="n">
        <f aca="false">-(I50-H50)*Inputs!$B$66</f>
        <v>-0</v>
      </c>
      <c r="J51" s="67" t="n">
        <f aca="false">-(J50-I50)*Inputs!$B$66</f>
        <v>-3015.1737628205</v>
      </c>
      <c r="K51" s="67" t="n">
        <f aca="false">-(K50-J50)*Inputs!$B$66</f>
        <v>-0</v>
      </c>
      <c r="L51" s="67" t="n">
        <f aca="false">-(L50-K50)*Inputs!$B$66</f>
        <v>-0</v>
      </c>
      <c r="M51" s="67" t="n">
        <f aca="false">-(M50-L50)*Inputs!$B$66</f>
        <v>-0</v>
      </c>
      <c r="N51" s="67" t="n">
        <f aca="false">-(N50-M50)*Inputs!$B$66</f>
        <v>-0</v>
      </c>
      <c r="O51" s="67" t="n">
        <f aca="false">-(O50-N50)*Inputs!$B$66</f>
        <v>-0</v>
      </c>
      <c r="P51" s="67" t="n">
        <f aca="false">-(P50-O50)*Inputs!$B$66</f>
        <v>-0</v>
      </c>
      <c r="Q51" s="67" t="n">
        <f aca="false">-(Q50-P50)*Inputs!$B$66</f>
        <v>-0</v>
      </c>
      <c r="R51" s="67" t="n">
        <f aca="false">-(R50-Q50)*Inputs!$B$66</f>
        <v>-0</v>
      </c>
      <c r="S51" s="67" t="n">
        <f aca="false">-(S50-R50)*Inputs!$B$66</f>
        <v>-0</v>
      </c>
      <c r="T51" s="67" t="n">
        <f aca="false">-(T50-S50)*Inputs!$B$66</f>
        <v>-0</v>
      </c>
      <c r="U51" s="67" t="n">
        <f aca="false">-(U50-T50)*Inputs!$B$66</f>
        <v>-0</v>
      </c>
      <c r="V51" s="67" t="n">
        <f aca="false">-(V50-U50)*Inputs!$B$66</f>
        <v>-0</v>
      </c>
      <c r="W51" s="67" t="n">
        <f aca="false">-(W50-V50)*Inputs!$B$66</f>
        <v>-0</v>
      </c>
      <c r="X51" s="67" t="n">
        <f aca="false">-(X50-W50)*Inputs!$B$66</f>
        <v>-0</v>
      </c>
      <c r="Y51" s="67" t="n">
        <f aca="false">-(Y50-X50)*Inputs!$B$66</f>
        <v>-0</v>
      </c>
      <c r="Z51" s="67" t="n">
        <f aca="false">-(Z50-Y50)*Inputs!$B$66</f>
        <v>-0</v>
      </c>
      <c r="AA51" s="67" t="n">
        <f aca="false">-(AA50-Z50)*Inputs!$B$66</f>
        <v>-0</v>
      </c>
      <c r="AB51" s="67" t="n">
        <f aca="false">-(AB50-AA50)*Inputs!$B$66</f>
        <v>-0</v>
      </c>
      <c r="AC51" s="67" t="n">
        <f aca="false">-(AC50-AB50)*Inputs!$B$66</f>
        <v>-0</v>
      </c>
      <c r="AD51" s="67" t="n">
        <f aca="false">-(AD50-AC50)*Inputs!$B$66</f>
        <v>-0</v>
      </c>
      <c r="AE51" s="67" t="n">
        <f aca="false">-(AE50-AD50)*Inputs!$B$66</f>
        <v>-0</v>
      </c>
      <c r="AF51" s="67" t="n">
        <f aca="false">-(AF50-AE50)*Inputs!$B$66</f>
        <v>-0</v>
      </c>
      <c r="AG51" s="67" t="n">
        <f aca="false">-(AG50-AF50)*Inputs!$B$66</f>
        <v>-0</v>
      </c>
      <c r="AH51" s="67" t="n">
        <f aca="false">-(AH50-AG50)*Inputs!$B$66</f>
        <v>-3079.09649566398</v>
      </c>
      <c r="AI51" s="67" t="n">
        <f aca="false">-(AI50-AH50)*Inputs!$B$66</f>
        <v>-0</v>
      </c>
      <c r="AJ51" s="67" t="n">
        <f aca="false">-(AJ50-AI50)*Inputs!$B$66</f>
        <v>-0</v>
      </c>
      <c r="AK51" s="67" t="n">
        <f aca="false">-(AK50-AJ50)*Inputs!$B$66</f>
        <v>-0</v>
      </c>
      <c r="AL51" s="67" t="n">
        <f aca="false">-(AL50-AK50)*Inputs!$B$66</f>
        <v>-0</v>
      </c>
    </row>
    <row r="52" customFormat="false" ht="15" hidden="false" customHeight="false" outlineLevel="0" collapsed="false">
      <c r="A52" s="113" t="s">
        <v>50</v>
      </c>
      <c r="C52" s="68" t="n">
        <f aca="false">C48+C51</f>
        <v>-7979.23637820513</v>
      </c>
      <c r="D52" s="68" t="n">
        <f aca="false">D48+D51</f>
        <v>-7965.34748931624</v>
      </c>
      <c r="E52" s="68" t="n">
        <f aca="false">E48+E51</f>
        <v>-7937.56971153847</v>
      </c>
      <c r="F52" s="68" t="n">
        <f aca="false">F48+F51</f>
        <v>-7909.79193376069</v>
      </c>
      <c r="G52" s="68" t="n">
        <f aca="false">G48+G51</f>
        <v>-7882.01415598291</v>
      </c>
      <c r="H52" s="68" t="n">
        <f aca="false">H48+H51</f>
        <v>17982.8655448718</v>
      </c>
      <c r="I52" s="68" t="n">
        <f aca="false">I48+I51</f>
        <v>18010.6433226496</v>
      </c>
      <c r="J52" s="68" t="n">
        <f aca="false">J48+J51</f>
        <v>15023.2473376068</v>
      </c>
      <c r="K52" s="68" t="n">
        <f aca="false">K48+K51</f>
        <v>-7770.9030448718</v>
      </c>
      <c r="L52" s="68" t="n">
        <f aca="false">L48+L51</f>
        <v>-7743.12526709402</v>
      </c>
      <c r="M52" s="68" t="n">
        <f aca="false">M48+M51</f>
        <v>-7715.34748931624</v>
      </c>
      <c r="N52" s="68" t="n">
        <f aca="false">N48+N51</f>
        <v>-7687.56971153847</v>
      </c>
      <c r="O52" s="68" t="n">
        <f aca="false">O48+O51</f>
        <v>-7535.64362068378</v>
      </c>
      <c r="P52" s="68" t="n">
        <f aca="false">P48+P51</f>
        <v>-7507.86584290601</v>
      </c>
      <c r="Q52" s="68" t="n">
        <f aca="false">Q48+Q51</f>
        <v>-7480.08806512823</v>
      </c>
      <c r="R52" s="68" t="n">
        <f aca="false">R48+R51</f>
        <v>-7452.31028735045</v>
      </c>
      <c r="S52" s="68" t="n">
        <f aca="false">S48+S51</f>
        <v>-7424.53250957267</v>
      </c>
      <c r="T52" s="68" t="n">
        <f aca="false">T48+T51</f>
        <v>22119.5505051282</v>
      </c>
      <c r="U52" s="68" t="n">
        <f aca="false">U48+U51</f>
        <v>22147.328282906</v>
      </c>
      <c r="V52" s="68" t="n">
        <f aca="false">V48+V51</f>
        <v>22175.1060606838</v>
      </c>
      <c r="W52" s="68" t="n">
        <f aca="false">W48+W51</f>
        <v>-7313.42139846156</v>
      </c>
      <c r="X52" s="68" t="n">
        <f aca="false">X48+X51</f>
        <v>-7285.64362068379</v>
      </c>
      <c r="Y52" s="68" t="n">
        <f aca="false">Y48+Y51</f>
        <v>-7257.86584290601</v>
      </c>
      <c r="Z52" s="68" t="n">
        <f aca="false">Z48+Z51</f>
        <v>-7230.08806512823</v>
      </c>
      <c r="AA52" s="68" t="n">
        <f aca="false">AA48+AA51</f>
        <v>-7038.90936297134</v>
      </c>
      <c r="AB52" s="68" t="n">
        <f aca="false">AB48+AB51</f>
        <v>-7011.13158519356</v>
      </c>
      <c r="AC52" s="68" t="n">
        <f aca="false">AC48+AC51</f>
        <v>-6983.35380741578</v>
      </c>
      <c r="AD52" s="68" t="n">
        <f aca="false">AD48+AD51</f>
        <v>-6955.57602963801</v>
      </c>
      <c r="AE52" s="68" t="n">
        <f aca="false">AE48+AE51</f>
        <v>-6927.79825186023</v>
      </c>
      <c r="AF52" s="68" t="n">
        <f aca="false">AF48+AF51</f>
        <v>26819.4066285785</v>
      </c>
      <c r="AG52" s="68" t="n">
        <f aca="false">AG48+AG51</f>
        <v>26847.1844063563</v>
      </c>
      <c r="AH52" s="68" t="n">
        <f aca="false">AH48+AH51</f>
        <v>23795.8656884701</v>
      </c>
      <c r="AI52" s="68" t="n">
        <f aca="false">AI48+AI51</f>
        <v>-6816.68714074912</v>
      </c>
      <c r="AJ52" s="68" t="n">
        <f aca="false">AJ48+AJ51</f>
        <v>-6788.90936297134</v>
      </c>
      <c r="AK52" s="68" t="n">
        <f aca="false">AK48+AK51</f>
        <v>-6761.13158519356</v>
      </c>
      <c r="AL52" s="68" t="n">
        <f aca="false">AL48+AL51</f>
        <v>-6733.35380741578</v>
      </c>
    </row>
    <row r="54" customFormat="false" ht="15.75" hidden="false" customHeight="true" outlineLevel="0" collapsed="false">
      <c r="A54" s="7" t="s">
        <v>391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customFormat="false" ht="15" hidden="false" customHeight="false" outlineLevel="0" collapsed="false">
      <c r="A55" s="6" t="s">
        <v>392</v>
      </c>
      <c r="C55" s="67" t="n">
        <f aca="false">Inputs!$B$37+MAX(0,C10-Inputs!$B$39)*Inputs!$B$38</f>
        <v>20000</v>
      </c>
      <c r="D55" s="67" t="n">
        <f aca="false">MAX(0,D10-C10)*Inputs!$B$38</f>
        <v>0</v>
      </c>
      <c r="E55" s="67" t="n">
        <f aca="false">MAX(0,E10-D10)*Inputs!$B$38</f>
        <v>0</v>
      </c>
      <c r="F55" s="67" t="n">
        <f aca="false">MAX(0,F10-E10)*Inputs!$B$38</f>
        <v>0</v>
      </c>
      <c r="G55" s="67" t="n">
        <f aca="false">MAX(0,G10-F10)*Inputs!$B$38</f>
        <v>0</v>
      </c>
      <c r="H55" s="67" t="n">
        <f aca="false">MAX(0,H10-G10)*Inputs!$B$38</f>
        <v>0</v>
      </c>
      <c r="I55" s="67" t="n">
        <f aca="false">MAX(0,I10-H10)*Inputs!$B$38</f>
        <v>0</v>
      </c>
      <c r="J55" s="67" t="n">
        <f aca="false">MAX(0,J10-I10)*Inputs!$B$38</f>
        <v>0</v>
      </c>
      <c r="K55" s="67" t="n">
        <f aca="false">MAX(0,K10-J10)*Inputs!$B$38</f>
        <v>0</v>
      </c>
      <c r="L55" s="67" t="n">
        <f aca="false">MAX(0,L10-K10)*Inputs!$B$38</f>
        <v>0</v>
      </c>
      <c r="M55" s="67" t="n">
        <f aca="false">MAX(0,M10-L10)*Inputs!$B$38</f>
        <v>0</v>
      </c>
      <c r="N55" s="67" t="n">
        <f aca="false">MAX(0,N10-M10)*Inputs!$B$38</f>
        <v>0</v>
      </c>
      <c r="O55" s="67" t="n">
        <f aca="false">MAX(0,O10-N10)*Inputs!$B$38</f>
        <v>39480</v>
      </c>
      <c r="P55" s="67" t="n">
        <f aca="false">MAX(0,P10-O10)*Inputs!$B$38</f>
        <v>0</v>
      </c>
      <c r="Q55" s="67" t="n">
        <f aca="false">MAX(0,Q10-P10)*Inputs!$B$38</f>
        <v>0</v>
      </c>
      <c r="R55" s="67" t="n">
        <f aca="false">MAX(0,R10-Q10)*Inputs!$B$38</f>
        <v>0</v>
      </c>
      <c r="S55" s="67" t="n">
        <f aca="false">MAX(0,S10-R10)*Inputs!$B$38</f>
        <v>0</v>
      </c>
      <c r="T55" s="67" t="n">
        <f aca="false">MAX(0,T10-S10)*Inputs!$B$38</f>
        <v>0</v>
      </c>
      <c r="U55" s="67" t="n">
        <f aca="false">MAX(0,U10-T10)*Inputs!$B$38</f>
        <v>0</v>
      </c>
      <c r="V55" s="67" t="n">
        <f aca="false">MAX(0,V10-U10)*Inputs!$B$38</f>
        <v>0</v>
      </c>
      <c r="W55" s="67" t="n">
        <f aca="false">MAX(0,W10-V10)*Inputs!$B$38</f>
        <v>0</v>
      </c>
      <c r="X55" s="67" t="n">
        <f aca="false">MAX(0,X10-W10)*Inputs!$B$38</f>
        <v>0</v>
      </c>
      <c r="Y55" s="67" t="n">
        <f aca="false">MAX(0,Y10-X10)*Inputs!$B$38</f>
        <v>0</v>
      </c>
      <c r="Z55" s="67" t="n">
        <f aca="false">MAX(0,Z10-Y10)*Inputs!$B$38</f>
        <v>0</v>
      </c>
      <c r="AA55" s="67" t="n">
        <f aca="false">MAX(0,AA10-Z10)*Inputs!$B$38</f>
        <v>44217.6</v>
      </c>
      <c r="AB55" s="67" t="n">
        <f aca="false">MAX(0,AB10-AA10)*Inputs!$B$38</f>
        <v>0</v>
      </c>
      <c r="AC55" s="67" t="n">
        <f aca="false">MAX(0,AC10-AB10)*Inputs!$B$38</f>
        <v>0</v>
      </c>
      <c r="AD55" s="67" t="n">
        <f aca="false">MAX(0,AD10-AC10)*Inputs!$B$38</f>
        <v>0</v>
      </c>
      <c r="AE55" s="67" t="n">
        <f aca="false">MAX(0,AE10-AD10)*Inputs!$B$38</f>
        <v>0</v>
      </c>
      <c r="AF55" s="67" t="n">
        <f aca="false">MAX(0,AF10-AE10)*Inputs!$B$38</f>
        <v>0</v>
      </c>
      <c r="AG55" s="67" t="n">
        <f aca="false">MAX(0,AG10-AF10)*Inputs!$B$38</f>
        <v>0</v>
      </c>
      <c r="AH55" s="67" t="n">
        <f aca="false">MAX(0,AH10-AG10)*Inputs!$B$38</f>
        <v>0</v>
      </c>
      <c r="AI55" s="67" t="n">
        <f aca="false">MAX(0,AI10-AH10)*Inputs!$B$38</f>
        <v>0</v>
      </c>
      <c r="AJ55" s="67" t="n">
        <f aca="false">MAX(0,AJ10-AI10)*Inputs!$B$38</f>
        <v>0</v>
      </c>
      <c r="AK55" s="67" t="n">
        <f aca="false">MAX(0,AK10-AJ10)*Inputs!$B$38</f>
        <v>0</v>
      </c>
      <c r="AL55" s="67" t="n">
        <f aca="false">MAX(0,AL10-AK10)*Inputs!$B$38</f>
        <v>0</v>
      </c>
    </row>
    <row r="56" customFormat="false" ht="15" hidden="false" customHeight="false" outlineLevel="0" collapsed="false">
      <c r="A56" s="6" t="s">
        <v>393</v>
      </c>
      <c r="C56" s="67" t="n">
        <f aca="false">C55</f>
        <v>20000</v>
      </c>
      <c r="D56" s="67" t="n">
        <f aca="false">C56+D55</f>
        <v>20000</v>
      </c>
      <c r="E56" s="67" t="n">
        <f aca="false">D56+E55</f>
        <v>20000</v>
      </c>
      <c r="F56" s="67" t="n">
        <f aca="false">E56+F55</f>
        <v>20000</v>
      </c>
      <c r="G56" s="67" t="n">
        <f aca="false">F56+G55</f>
        <v>20000</v>
      </c>
      <c r="H56" s="67" t="n">
        <f aca="false">G56+H55</f>
        <v>20000</v>
      </c>
      <c r="I56" s="67" t="n">
        <f aca="false">H56+I55</f>
        <v>20000</v>
      </c>
      <c r="J56" s="67" t="n">
        <f aca="false">I56+J55</f>
        <v>20000</v>
      </c>
      <c r="K56" s="67" t="n">
        <f aca="false">J56+K55</f>
        <v>20000</v>
      </c>
      <c r="L56" s="67" t="n">
        <f aca="false">K56+L55</f>
        <v>20000</v>
      </c>
      <c r="M56" s="67" t="n">
        <f aca="false">L56+M55</f>
        <v>20000</v>
      </c>
      <c r="N56" s="67" t="n">
        <f aca="false">M56+N55</f>
        <v>20000</v>
      </c>
      <c r="O56" s="67" t="n">
        <f aca="false">N56+O55</f>
        <v>59480</v>
      </c>
      <c r="P56" s="67" t="n">
        <f aca="false">O56+P55</f>
        <v>59480</v>
      </c>
      <c r="Q56" s="67" t="n">
        <f aca="false">P56+Q55</f>
        <v>59480</v>
      </c>
      <c r="R56" s="67" t="n">
        <f aca="false">Q56+R55</f>
        <v>59480</v>
      </c>
      <c r="S56" s="67" t="n">
        <f aca="false">R56+S55</f>
        <v>59480</v>
      </c>
      <c r="T56" s="67" t="n">
        <f aca="false">S56+T55</f>
        <v>59480</v>
      </c>
      <c r="U56" s="67" t="n">
        <f aca="false">T56+U55</f>
        <v>59480</v>
      </c>
      <c r="V56" s="67" t="n">
        <f aca="false">U56+V55</f>
        <v>59480</v>
      </c>
      <c r="W56" s="67" t="n">
        <f aca="false">V56+W55</f>
        <v>59480</v>
      </c>
      <c r="X56" s="67" t="n">
        <f aca="false">W56+X55</f>
        <v>59480</v>
      </c>
      <c r="Y56" s="67" t="n">
        <f aca="false">X56+Y55</f>
        <v>59480</v>
      </c>
      <c r="Z56" s="67" t="n">
        <f aca="false">Y56+Z55</f>
        <v>59480</v>
      </c>
      <c r="AA56" s="67" t="n">
        <f aca="false">Z56+AA55</f>
        <v>103697.6</v>
      </c>
      <c r="AB56" s="67" t="n">
        <f aca="false">AA56+AB55</f>
        <v>103697.6</v>
      </c>
      <c r="AC56" s="67" t="n">
        <f aca="false">AB56+AC55</f>
        <v>103697.6</v>
      </c>
      <c r="AD56" s="67" t="n">
        <f aca="false">AC56+AD55</f>
        <v>103697.6</v>
      </c>
      <c r="AE56" s="67" t="n">
        <f aca="false">AD56+AE55</f>
        <v>103697.6</v>
      </c>
      <c r="AF56" s="67" t="n">
        <f aca="false">AE56+AF55</f>
        <v>103697.6</v>
      </c>
      <c r="AG56" s="67" t="n">
        <f aca="false">AF56+AG55</f>
        <v>103697.6</v>
      </c>
      <c r="AH56" s="67" t="n">
        <f aca="false">AG56+AH55</f>
        <v>103697.6</v>
      </c>
      <c r="AI56" s="67" t="n">
        <f aca="false">AH56+AI55</f>
        <v>103697.6</v>
      </c>
      <c r="AJ56" s="67" t="n">
        <f aca="false">AI56+AJ55</f>
        <v>103697.6</v>
      </c>
      <c r="AK56" s="67" t="n">
        <f aca="false">AJ56+AK55</f>
        <v>103697.6</v>
      </c>
      <c r="AL56" s="67" t="n">
        <f aca="false">AK56+AL55</f>
        <v>103697.6</v>
      </c>
    </row>
    <row r="57" customFormat="false" ht="15" hidden="false" customHeight="false" outlineLevel="0" collapsed="false">
      <c r="A57" s="6" t="s">
        <v>77</v>
      </c>
      <c r="C57" s="67" t="n">
        <f aca="false">-MIN(C56/MAX(1,Inputs!$B$65*12),C55)</f>
        <v>-333.333333333333</v>
      </c>
      <c r="D57" s="67" t="n">
        <f aca="false">-MIN(D56/MAX(1,Inputs!$B$65*12),C59+D55)</f>
        <v>-333.333333333333</v>
      </c>
      <c r="E57" s="67" t="n">
        <f aca="false">-MIN(E56/MAX(1,Inputs!$B$65*12),D59+E55)</f>
        <v>-333.333333333333</v>
      </c>
      <c r="F57" s="67" t="n">
        <f aca="false">-MIN(F56/MAX(1,Inputs!$B$65*12),E59+F55)</f>
        <v>-333.333333333333</v>
      </c>
      <c r="G57" s="67" t="n">
        <f aca="false">-MIN(G56/MAX(1,Inputs!$B$65*12),F59+G55)</f>
        <v>-333.333333333333</v>
      </c>
      <c r="H57" s="67" t="n">
        <f aca="false">-MIN(H56/MAX(1,Inputs!$B$65*12),G59+H55)</f>
        <v>-333.333333333333</v>
      </c>
      <c r="I57" s="67" t="n">
        <f aca="false">-MIN(I56/MAX(1,Inputs!$B$65*12),H59+I55)</f>
        <v>-333.333333333333</v>
      </c>
      <c r="J57" s="67" t="n">
        <f aca="false">-MIN(J56/MAX(1,Inputs!$B$65*12),I59+J55)</f>
        <v>-333.333333333333</v>
      </c>
      <c r="K57" s="67" t="n">
        <f aca="false">-MIN(K56/MAX(1,Inputs!$B$65*12),J59+K55)</f>
        <v>-333.333333333333</v>
      </c>
      <c r="L57" s="67" t="n">
        <f aca="false">-MIN(L56/MAX(1,Inputs!$B$65*12),K59+L55)</f>
        <v>-333.333333333333</v>
      </c>
      <c r="M57" s="67" t="n">
        <f aca="false">-MIN(M56/MAX(1,Inputs!$B$65*12),L59+M55)</f>
        <v>-333.333333333333</v>
      </c>
      <c r="N57" s="67" t="n">
        <f aca="false">-MIN(N56/MAX(1,Inputs!$B$65*12),M59+N55)</f>
        <v>-333.333333333333</v>
      </c>
      <c r="O57" s="67" t="n">
        <f aca="false">-MIN(O56/MAX(1,Inputs!$B$65*12),N59+O55)</f>
        <v>-991.333333333334</v>
      </c>
      <c r="P57" s="67" t="n">
        <f aca="false">-MIN(P56/MAX(1,Inputs!$B$65*12),O59+P55)</f>
        <v>-991.333333333334</v>
      </c>
      <c r="Q57" s="67" t="n">
        <f aca="false">-MIN(Q56/MAX(1,Inputs!$B$65*12),P59+Q55)</f>
        <v>-991.333333333334</v>
      </c>
      <c r="R57" s="67" t="n">
        <f aca="false">-MIN(R56/MAX(1,Inputs!$B$65*12),Q59+R55)</f>
        <v>-991.333333333334</v>
      </c>
      <c r="S57" s="67" t="n">
        <f aca="false">-MIN(S56/MAX(1,Inputs!$B$65*12),R59+S55)</f>
        <v>-991.333333333334</v>
      </c>
      <c r="T57" s="67" t="n">
        <f aca="false">-MIN(T56/MAX(1,Inputs!$B$65*12),S59+T55)</f>
        <v>-991.333333333334</v>
      </c>
      <c r="U57" s="67" t="n">
        <f aca="false">-MIN(U56/MAX(1,Inputs!$B$65*12),T59+U55)</f>
        <v>-991.333333333334</v>
      </c>
      <c r="V57" s="67" t="n">
        <f aca="false">-MIN(V56/MAX(1,Inputs!$B$65*12),U59+V55)</f>
        <v>-991.333333333334</v>
      </c>
      <c r="W57" s="67" t="n">
        <f aca="false">-MIN(W56/MAX(1,Inputs!$B$65*12),V59+W55)</f>
        <v>-991.333333333334</v>
      </c>
      <c r="X57" s="67" t="n">
        <f aca="false">-MIN(X56/MAX(1,Inputs!$B$65*12),W59+X55)</f>
        <v>-991.333333333334</v>
      </c>
      <c r="Y57" s="67" t="n">
        <f aca="false">-MIN(Y56/MAX(1,Inputs!$B$65*12),X59+Y55)</f>
        <v>-991.333333333334</v>
      </c>
      <c r="Z57" s="67" t="n">
        <f aca="false">-MIN(Z56/MAX(1,Inputs!$B$65*12),Y59+Z55)</f>
        <v>-991.333333333334</v>
      </c>
      <c r="AA57" s="67" t="n">
        <f aca="false">-MIN(AA56/MAX(1,Inputs!$B$65*12),Z59+AA55)</f>
        <v>-1728.29333333333</v>
      </c>
      <c r="AB57" s="67" t="n">
        <f aca="false">-MIN(AB56/MAX(1,Inputs!$B$65*12),AA59+AB55)</f>
        <v>-1728.29333333333</v>
      </c>
      <c r="AC57" s="67" t="n">
        <f aca="false">-MIN(AC56/MAX(1,Inputs!$B$65*12),AB59+AC55)</f>
        <v>-1728.29333333333</v>
      </c>
      <c r="AD57" s="67" t="n">
        <f aca="false">-MIN(AD56/MAX(1,Inputs!$B$65*12),AC59+AD55)</f>
        <v>-1728.29333333333</v>
      </c>
      <c r="AE57" s="67" t="n">
        <f aca="false">-MIN(AE56/MAX(1,Inputs!$B$65*12),AD59+AE55)</f>
        <v>-1728.29333333333</v>
      </c>
      <c r="AF57" s="67" t="n">
        <f aca="false">-MIN(AF56/MAX(1,Inputs!$B$65*12),AE59+AF55)</f>
        <v>-1728.29333333333</v>
      </c>
      <c r="AG57" s="67" t="n">
        <f aca="false">-MIN(AG56/MAX(1,Inputs!$B$65*12),AF59+AG55)</f>
        <v>-1728.29333333333</v>
      </c>
      <c r="AH57" s="67" t="n">
        <f aca="false">-MIN(AH56/MAX(1,Inputs!$B$65*12),AG59+AH55)</f>
        <v>-1728.29333333333</v>
      </c>
      <c r="AI57" s="67" t="n">
        <f aca="false">-MIN(AI56/MAX(1,Inputs!$B$65*12),AH59+AI55)</f>
        <v>-1728.29333333333</v>
      </c>
      <c r="AJ57" s="67" t="n">
        <f aca="false">-MIN(AJ56/MAX(1,Inputs!$B$65*12),AI59+AJ55)</f>
        <v>-1728.29333333333</v>
      </c>
      <c r="AK57" s="67" t="n">
        <f aca="false">-MIN(AK56/MAX(1,Inputs!$B$65*12),AJ59+AK55)</f>
        <v>-1728.29333333333</v>
      </c>
      <c r="AL57" s="67" t="n">
        <f aca="false">-MIN(AL56/MAX(1,Inputs!$B$65*12),AK59+AL55)</f>
        <v>-1728.29333333333</v>
      </c>
    </row>
    <row r="58" customFormat="false" ht="15" hidden="false" customHeight="false" outlineLevel="0" collapsed="false">
      <c r="A58" s="6" t="s">
        <v>394</v>
      </c>
      <c r="C58" s="67" t="n">
        <f aca="false">C57</f>
        <v>-333.333333333333</v>
      </c>
      <c r="D58" s="67" t="n">
        <f aca="false">C58+D57</f>
        <v>-666.666666666667</v>
      </c>
      <c r="E58" s="67" t="n">
        <f aca="false">D58+E57</f>
        <v>-1000</v>
      </c>
      <c r="F58" s="67" t="n">
        <f aca="false">E58+F57</f>
        <v>-1333.33333333333</v>
      </c>
      <c r="G58" s="67" t="n">
        <f aca="false">F58+G57</f>
        <v>-1666.66666666667</v>
      </c>
      <c r="H58" s="67" t="n">
        <f aca="false">G58+H57</f>
        <v>-2000</v>
      </c>
      <c r="I58" s="67" t="n">
        <f aca="false">H58+I57</f>
        <v>-2333.33333333333</v>
      </c>
      <c r="J58" s="67" t="n">
        <f aca="false">I58+J57</f>
        <v>-2666.66666666667</v>
      </c>
      <c r="K58" s="67" t="n">
        <f aca="false">J58+K57</f>
        <v>-3000</v>
      </c>
      <c r="L58" s="67" t="n">
        <f aca="false">K58+L57</f>
        <v>-3333.33333333333</v>
      </c>
      <c r="M58" s="67" t="n">
        <f aca="false">L58+M57</f>
        <v>-3666.66666666667</v>
      </c>
      <c r="N58" s="67" t="n">
        <f aca="false">M58+N57</f>
        <v>-4000</v>
      </c>
      <c r="O58" s="67" t="n">
        <f aca="false">N58+O57</f>
        <v>-4991.33333333333</v>
      </c>
      <c r="P58" s="67" t="n">
        <f aca="false">O58+P57</f>
        <v>-5982.66666666667</v>
      </c>
      <c r="Q58" s="67" t="n">
        <f aca="false">P58+Q57</f>
        <v>-6974</v>
      </c>
      <c r="R58" s="67" t="n">
        <f aca="false">Q58+R57</f>
        <v>-7965.33333333334</v>
      </c>
      <c r="S58" s="67" t="n">
        <f aca="false">R58+S57</f>
        <v>-8956.66666666667</v>
      </c>
      <c r="T58" s="67" t="n">
        <f aca="false">S58+T57</f>
        <v>-9948</v>
      </c>
      <c r="U58" s="67" t="n">
        <f aca="false">T58+U57</f>
        <v>-10939.3333333333</v>
      </c>
      <c r="V58" s="67" t="n">
        <f aca="false">U58+V57</f>
        <v>-11930.6666666667</v>
      </c>
      <c r="W58" s="67" t="n">
        <f aca="false">V58+W57</f>
        <v>-12922</v>
      </c>
      <c r="X58" s="67" t="n">
        <f aca="false">W58+X57</f>
        <v>-13913.3333333333</v>
      </c>
      <c r="Y58" s="67" t="n">
        <f aca="false">X58+Y57</f>
        <v>-14904.6666666667</v>
      </c>
      <c r="Z58" s="67" t="n">
        <f aca="false">Y58+Z57</f>
        <v>-15896</v>
      </c>
      <c r="AA58" s="67" t="n">
        <f aca="false">Z58+AA57</f>
        <v>-17624.2933333333</v>
      </c>
      <c r="AB58" s="67" t="n">
        <f aca="false">AA58+AB57</f>
        <v>-19352.5866666667</v>
      </c>
      <c r="AC58" s="67" t="n">
        <f aca="false">AB58+AC57</f>
        <v>-21080.88</v>
      </c>
      <c r="AD58" s="67" t="n">
        <f aca="false">AC58+AD57</f>
        <v>-22809.1733333333</v>
      </c>
      <c r="AE58" s="67" t="n">
        <f aca="false">AD58+AE57</f>
        <v>-24537.4666666667</v>
      </c>
      <c r="AF58" s="67" t="n">
        <f aca="false">AE58+AF57</f>
        <v>-26265.76</v>
      </c>
      <c r="AG58" s="67" t="n">
        <f aca="false">AF58+AG57</f>
        <v>-27994.0533333334</v>
      </c>
      <c r="AH58" s="67" t="n">
        <f aca="false">AG58+AH57</f>
        <v>-29722.3466666667</v>
      </c>
      <c r="AI58" s="67" t="n">
        <f aca="false">AH58+AI57</f>
        <v>-31450.64</v>
      </c>
      <c r="AJ58" s="67" t="n">
        <f aca="false">AI58+AJ57</f>
        <v>-33178.9333333334</v>
      </c>
      <c r="AK58" s="67" t="n">
        <f aca="false">AJ58+AK57</f>
        <v>-34907.2266666667</v>
      </c>
      <c r="AL58" s="67" t="n">
        <f aca="false">AK58+AL57</f>
        <v>-36635.52</v>
      </c>
    </row>
    <row r="59" customFormat="false" ht="15" hidden="false" customHeight="false" outlineLevel="0" collapsed="false">
      <c r="A59" s="4" t="s">
        <v>91</v>
      </c>
      <c r="C59" s="73" t="n">
        <f aca="false">C56+C58</f>
        <v>19666.6666666667</v>
      </c>
      <c r="D59" s="73" t="n">
        <f aca="false">D56+D58</f>
        <v>19333.3333333333</v>
      </c>
      <c r="E59" s="73" t="n">
        <f aca="false">E56+E58</f>
        <v>19000</v>
      </c>
      <c r="F59" s="73" t="n">
        <f aca="false">F56+F58</f>
        <v>18666.6666666667</v>
      </c>
      <c r="G59" s="73" t="n">
        <f aca="false">G56+G58</f>
        <v>18333.3333333333</v>
      </c>
      <c r="H59" s="73" t="n">
        <f aca="false">H56+H58</f>
        <v>18000</v>
      </c>
      <c r="I59" s="73" t="n">
        <f aca="false">I56+I58</f>
        <v>17666.6666666667</v>
      </c>
      <c r="J59" s="73" t="n">
        <f aca="false">J56+J58</f>
        <v>17333.3333333333</v>
      </c>
      <c r="K59" s="73" t="n">
        <f aca="false">K56+K58</f>
        <v>17000</v>
      </c>
      <c r="L59" s="73" t="n">
        <f aca="false">L56+L58</f>
        <v>16666.6666666667</v>
      </c>
      <c r="M59" s="73" t="n">
        <f aca="false">M56+M58</f>
        <v>16333.3333333333</v>
      </c>
      <c r="N59" s="73" t="n">
        <f aca="false">N56+N58</f>
        <v>16000</v>
      </c>
      <c r="O59" s="73" t="n">
        <f aca="false">O56+O58</f>
        <v>54488.6666666667</v>
      </c>
      <c r="P59" s="73" t="n">
        <f aca="false">P56+P58</f>
        <v>53497.3333333334</v>
      </c>
      <c r="Q59" s="73" t="n">
        <f aca="false">Q56+Q58</f>
        <v>52506</v>
      </c>
      <c r="R59" s="73" t="n">
        <f aca="false">R56+R58</f>
        <v>51514.6666666667</v>
      </c>
      <c r="S59" s="73" t="n">
        <f aca="false">S56+S58</f>
        <v>50523.3333333334</v>
      </c>
      <c r="T59" s="73" t="n">
        <f aca="false">T56+T58</f>
        <v>49532</v>
      </c>
      <c r="U59" s="73" t="n">
        <f aca="false">U56+U58</f>
        <v>48540.6666666667</v>
      </c>
      <c r="V59" s="73" t="n">
        <f aca="false">V56+V58</f>
        <v>47549.3333333334</v>
      </c>
      <c r="W59" s="73" t="n">
        <f aca="false">W56+W58</f>
        <v>46558</v>
      </c>
      <c r="X59" s="73" t="n">
        <f aca="false">X56+X58</f>
        <v>45566.6666666667</v>
      </c>
      <c r="Y59" s="73" t="n">
        <f aca="false">Y56+Y58</f>
        <v>44575.3333333334</v>
      </c>
      <c r="Z59" s="73" t="n">
        <f aca="false">Z56+Z58</f>
        <v>43584</v>
      </c>
      <c r="AA59" s="73" t="n">
        <f aca="false">AA56+AA58</f>
        <v>86073.3066666667</v>
      </c>
      <c r="AB59" s="73" t="n">
        <f aca="false">AB56+AB58</f>
        <v>84345.0133333334</v>
      </c>
      <c r="AC59" s="73" t="n">
        <f aca="false">AC56+AC58</f>
        <v>82616.72</v>
      </c>
      <c r="AD59" s="73" t="n">
        <f aca="false">AD56+AD58</f>
        <v>80888.4266666667</v>
      </c>
      <c r="AE59" s="73" t="n">
        <f aca="false">AE56+AE58</f>
        <v>79160.1333333334</v>
      </c>
      <c r="AF59" s="73" t="n">
        <f aca="false">AF56+AF58</f>
        <v>77431.84</v>
      </c>
      <c r="AG59" s="73" t="n">
        <f aca="false">AG56+AG58</f>
        <v>75703.5466666667</v>
      </c>
      <c r="AH59" s="73" t="n">
        <f aca="false">AH56+AH58</f>
        <v>73975.2533333334</v>
      </c>
      <c r="AI59" s="73" t="n">
        <f aca="false">AI56+AI58</f>
        <v>72246.96</v>
      </c>
      <c r="AJ59" s="73" t="n">
        <f aca="false">AJ56+AJ58</f>
        <v>70518.6666666667</v>
      </c>
      <c r="AK59" s="73" t="n">
        <f aca="false">AK56+AK58</f>
        <v>68790.3733333334</v>
      </c>
      <c r="AL59" s="73" t="n">
        <f aca="false">AL56+AL58</f>
        <v>67062.08</v>
      </c>
    </row>
    <row r="61" customFormat="false" ht="15.75" hidden="false" customHeight="true" outlineLevel="0" collapsed="false">
      <c r="A61" s="7" t="s">
        <v>395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6" t="s">
        <v>396</v>
      </c>
      <c r="C62" s="67" t="n">
        <f aca="false">0</f>
        <v>0</v>
      </c>
      <c r="D62" s="67" t="n">
        <f aca="false">C65</f>
        <v>250000</v>
      </c>
      <c r="E62" s="67" t="n">
        <f aca="false">D65</f>
        <v>245833.333333333</v>
      </c>
      <c r="F62" s="67" t="n">
        <f aca="false">E65</f>
        <v>241666.666666667</v>
      </c>
      <c r="G62" s="67" t="n">
        <f aca="false">F65</f>
        <v>237500</v>
      </c>
      <c r="H62" s="67" t="n">
        <f aca="false">G65</f>
        <v>233333.333333333</v>
      </c>
      <c r="I62" s="67" t="n">
        <f aca="false">H65</f>
        <v>229166.666666667</v>
      </c>
      <c r="J62" s="67" t="n">
        <f aca="false">I65</f>
        <v>225000</v>
      </c>
      <c r="K62" s="67" t="n">
        <f aca="false">J65</f>
        <v>220833.333333333</v>
      </c>
      <c r="L62" s="67" t="n">
        <f aca="false">K65</f>
        <v>216666.666666667</v>
      </c>
      <c r="M62" s="67" t="n">
        <f aca="false">L65</f>
        <v>212500</v>
      </c>
      <c r="N62" s="67" t="n">
        <f aca="false">M65</f>
        <v>208333.333333333</v>
      </c>
      <c r="O62" s="67" t="n">
        <f aca="false">N65</f>
        <v>204166.666666667</v>
      </c>
      <c r="P62" s="67" t="n">
        <f aca="false">O65</f>
        <v>200000</v>
      </c>
      <c r="Q62" s="67" t="n">
        <f aca="false">P65</f>
        <v>195833.333333333</v>
      </c>
      <c r="R62" s="67" t="n">
        <f aca="false">Q65</f>
        <v>191666.666666667</v>
      </c>
      <c r="S62" s="67" t="n">
        <f aca="false">R65</f>
        <v>187500</v>
      </c>
      <c r="T62" s="67" t="n">
        <f aca="false">S65</f>
        <v>183333.333333334</v>
      </c>
      <c r="U62" s="67" t="n">
        <f aca="false">T65</f>
        <v>179166.666666667</v>
      </c>
      <c r="V62" s="67" t="n">
        <f aca="false">U65</f>
        <v>175000</v>
      </c>
      <c r="W62" s="67" t="n">
        <f aca="false">V65</f>
        <v>170833.333333334</v>
      </c>
      <c r="X62" s="67" t="n">
        <f aca="false">W65</f>
        <v>166666.666666667</v>
      </c>
      <c r="Y62" s="67" t="n">
        <f aca="false">X65</f>
        <v>162500</v>
      </c>
      <c r="Z62" s="67" t="n">
        <f aca="false">Y65</f>
        <v>158333.333333334</v>
      </c>
      <c r="AA62" s="67" t="n">
        <f aca="false">Z65</f>
        <v>154166.666666667</v>
      </c>
      <c r="AB62" s="67" t="n">
        <f aca="false">AA65</f>
        <v>150000</v>
      </c>
      <c r="AC62" s="67" t="n">
        <f aca="false">AB65</f>
        <v>145833.333333334</v>
      </c>
      <c r="AD62" s="67" t="n">
        <f aca="false">AC65</f>
        <v>141666.666666667</v>
      </c>
      <c r="AE62" s="67" t="n">
        <f aca="false">AD65</f>
        <v>137500</v>
      </c>
      <c r="AF62" s="67" t="n">
        <f aca="false">AE65</f>
        <v>133333.333333334</v>
      </c>
      <c r="AG62" s="67" t="n">
        <f aca="false">AF65</f>
        <v>129166.666666667</v>
      </c>
      <c r="AH62" s="67" t="n">
        <f aca="false">AG65</f>
        <v>125000</v>
      </c>
      <c r="AI62" s="67" t="n">
        <f aca="false">AH65</f>
        <v>120833.333333334</v>
      </c>
      <c r="AJ62" s="67" t="n">
        <f aca="false">AI65</f>
        <v>116666.666666667</v>
      </c>
      <c r="AK62" s="67" t="n">
        <f aca="false">AJ65</f>
        <v>112500</v>
      </c>
      <c r="AL62" s="67" t="n">
        <f aca="false">AK65</f>
        <v>108333.333333334</v>
      </c>
    </row>
    <row r="63" customFormat="false" ht="15" hidden="false" customHeight="false" outlineLevel="0" collapsed="false">
      <c r="A63" s="6" t="s">
        <v>84</v>
      </c>
      <c r="C63" s="67" t="n">
        <f aca="false">IF(C$6=1,Inputs!$B$55,0)</f>
        <v>250000</v>
      </c>
      <c r="D63" s="67" t="n">
        <f aca="false">IF(D$6=1,Inputs!$B$55,0)</f>
        <v>0</v>
      </c>
      <c r="E63" s="67" t="n">
        <f aca="false">IF(E$6=1,Inputs!$B$55,0)</f>
        <v>0</v>
      </c>
      <c r="F63" s="67" t="n">
        <f aca="false">IF(F$6=1,Inputs!$B$55,0)</f>
        <v>0</v>
      </c>
      <c r="G63" s="67" t="n">
        <f aca="false">IF(G$6=1,Inputs!$B$55,0)</f>
        <v>0</v>
      </c>
      <c r="H63" s="67" t="n">
        <f aca="false">IF(H$6=1,Inputs!$B$55,0)</f>
        <v>0</v>
      </c>
      <c r="I63" s="67" t="n">
        <f aca="false">IF(I$6=1,Inputs!$B$55,0)</f>
        <v>0</v>
      </c>
      <c r="J63" s="67" t="n">
        <f aca="false">IF(J$6=1,Inputs!$B$55,0)</f>
        <v>0</v>
      </c>
      <c r="K63" s="67" t="n">
        <f aca="false">IF(K$6=1,Inputs!$B$55,0)</f>
        <v>0</v>
      </c>
      <c r="L63" s="67" t="n">
        <f aca="false">IF(L$6=1,Inputs!$B$55,0)</f>
        <v>0</v>
      </c>
      <c r="M63" s="67" t="n">
        <f aca="false">IF(M$6=1,Inputs!$B$55,0)</f>
        <v>0</v>
      </c>
      <c r="N63" s="67" t="n">
        <f aca="false">IF(N$6=1,Inputs!$B$55,0)</f>
        <v>0</v>
      </c>
      <c r="O63" s="67" t="n">
        <f aca="false">IF(O$6=1,Inputs!$B$55,0)</f>
        <v>0</v>
      </c>
      <c r="P63" s="67" t="n">
        <f aca="false">IF(P$6=1,Inputs!$B$55,0)</f>
        <v>0</v>
      </c>
      <c r="Q63" s="67" t="n">
        <f aca="false">IF(Q$6=1,Inputs!$B$55,0)</f>
        <v>0</v>
      </c>
      <c r="R63" s="67" t="n">
        <f aca="false">IF(R$6=1,Inputs!$B$55,0)</f>
        <v>0</v>
      </c>
      <c r="S63" s="67" t="n">
        <f aca="false">IF(S$6=1,Inputs!$B$55,0)</f>
        <v>0</v>
      </c>
      <c r="T63" s="67" t="n">
        <f aca="false">IF(T$6=1,Inputs!$B$55,0)</f>
        <v>0</v>
      </c>
      <c r="U63" s="67" t="n">
        <f aca="false">IF(U$6=1,Inputs!$B$55,0)</f>
        <v>0</v>
      </c>
      <c r="V63" s="67" t="n">
        <f aca="false">IF(V$6=1,Inputs!$B$55,0)</f>
        <v>0</v>
      </c>
      <c r="W63" s="67" t="n">
        <f aca="false">IF(W$6=1,Inputs!$B$55,0)</f>
        <v>0</v>
      </c>
      <c r="X63" s="67" t="n">
        <f aca="false">IF(X$6=1,Inputs!$B$55,0)</f>
        <v>0</v>
      </c>
      <c r="Y63" s="67" t="n">
        <f aca="false">IF(Y$6=1,Inputs!$B$55,0)</f>
        <v>0</v>
      </c>
      <c r="Z63" s="67" t="n">
        <f aca="false">IF(Z$6=1,Inputs!$B$55,0)</f>
        <v>0</v>
      </c>
      <c r="AA63" s="67" t="n">
        <f aca="false">IF(AA$6=1,Inputs!$B$55,0)</f>
        <v>0</v>
      </c>
      <c r="AB63" s="67" t="n">
        <f aca="false">IF(AB$6=1,Inputs!$B$55,0)</f>
        <v>0</v>
      </c>
      <c r="AC63" s="67" t="n">
        <f aca="false">IF(AC$6=1,Inputs!$B$55,0)</f>
        <v>0</v>
      </c>
      <c r="AD63" s="67" t="n">
        <f aca="false">IF(AD$6=1,Inputs!$B$55,0)</f>
        <v>0</v>
      </c>
      <c r="AE63" s="67" t="n">
        <f aca="false">IF(AE$6=1,Inputs!$B$55,0)</f>
        <v>0</v>
      </c>
      <c r="AF63" s="67" t="n">
        <f aca="false">IF(AF$6=1,Inputs!$B$55,0)</f>
        <v>0</v>
      </c>
      <c r="AG63" s="67" t="n">
        <f aca="false">IF(AG$6=1,Inputs!$B$55,0)</f>
        <v>0</v>
      </c>
      <c r="AH63" s="67" t="n">
        <f aca="false">IF(AH$6=1,Inputs!$B$55,0)</f>
        <v>0</v>
      </c>
      <c r="AI63" s="67" t="n">
        <f aca="false">IF(AI$6=1,Inputs!$B$55,0)</f>
        <v>0</v>
      </c>
      <c r="AJ63" s="67" t="n">
        <f aca="false">IF(AJ$6=1,Inputs!$B$55,0)</f>
        <v>0</v>
      </c>
      <c r="AK63" s="67" t="n">
        <f aca="false">IF(AK$6=1,Inputs!$B$55,0)</f>
        <v>0</v>
      </c>
      <c r="AL63" s="67" t="n">
        <f aca="false">IF(AL$6=1,Inputs!$B$55,0)</f>
        <v>0</v>
      </c>
    </row>
    <row r="64" customFormat="false" ht="15" hidden="false" customHeight="false" outlineLevel="0" collapsed="false">
      <c r="A64" s="6" t="s">
        <v>85</v>
      </c>
      <c r="C64" s="67" t="n">
        <f aca="false">-MIN(C62,Inputs!$B$55/MAX(1,Inputs!$B$57*12))</f>
        <v>-0</v>
      </c>
      <c r="D64" s="67" t="n">
        <f aca="false">-MIN(D62,Inputs!$B$55/MAX(1,Inputs!$B$57*12))</f>
        <v>-4166.66666666667</v>
      </c>
      <c r="E64" s="67" t="n">
        <f aca="false">-MIN(E62,Inputs!$B$55/MAX(1,Inputs!$B$57*12))</f>
        <v>-4166.66666666667</v>
      </c>
      <c r="F64" s="67" t="n">
        <f aca="false">-MIN(F62,Inputs!$B$55/MAX(1,Inputs!$B$57*12))</f>
        <v>-4166.66666666667</v>
      </c>
      <c r="G64" s="67" t="n">
        <f aca="false">-MIN(G62,Inputs!$B$55/MAX(1,Inputs!$B$57*12))</f>
        <v>-4166.66666666667</v>
      </c>
      <c r="H64" s="67" t="n">
        <f aca="false">-MIN(H62,Inputs!$B$55/MAX(1,Inputs!$B$57*12))</f>
        <v>-4166.66666666667</v>
      </c>
      <c r="I64" s="67" t="n">
        <f aca="false">-MIN(I62,Inputs!$B$55/MAX(1,Inputs!$B$57*12))</f>
        <v>-4166.66666666667</v>
      </c>
      <c r="J64" s="67" t="n">
        <f aca="false">-MIN(J62,Inputs!$B$55/MAX(1,Inputs!$B$57*12))</f>
        <v>-4166.66666666667</v>
      </c>
      <c r="K64" s="67" t="n">
        <f aca="false">-MIN(K62,Inputs!$B$55/MAX(1,Inputs!$B$57*12))</f>
        <v>-4166.66666666667</v>
      </c>
      <c r="L64" s="67" t="n">
        <f aca="false">-MIN(L62,Inputs!$B$55/MAX(1,Inputs!$B$57*12))</f>
        <v>-4166.66666666667</v>
      </c>
      <c r="M64" s="67" t="n">
        <f aca="false">-MIN(M62,Inputs!$B$55/MAX(1,Inputs!$B$57*12))</f>
        <v>-4166.66666666667</v>
      </c>
      <c r="N64" s="67" t="n">
        <f aca="false">-MIN(N62,Inputs!$B$55/MAX(1,Inputs!$B$57*12))</f>
        <v>-4166.66666666667</v>
      </c>
      <c r="O64" s="67" t="n">
        <f aca="false">-MIN(O62,Inputs!$B$55/MAX(1,Inputs!$B$57*12))</f>
        <v>-4166.66666666667</v>
      </c>
      <c r="P64" s="67" t="n">
        <f aca="false">-MIN(P62,Inputs!$B$55/MAX(1,Inputs!$B$57*12))</f>
        <v>-4166.66666666667</v>
      </c>
      <c r="Q64" s="67" t="n">
        <f aca="false">-MIN(Q62,Inputs!$B$55/MAX(1,Inputs!$B$57*12))</f>
        <v>-4166.66666666667</v>
      </c>
      <c r="R64" s="67" t="n">
        <f aca="false">-MIN(R62,Inputs!$B$55/MAX(1,Inputs!$B$57*12))</f>
        <v>-4166.66666666667</v>
      </c>
      <c r="S64" s="67" t="n">
        <f aca="false">-MIN(S62,Inputs!$B$55/MAX(1,Inputs!$B$57*12))</f>
        <v>-4166.66666666667</v>
      </c>
      <c r="T64" s="67" t="n">
        <f aca="false">-MIN(T62,Inputs!$B$55/MAX(1,Inputs!$B$57*12))</f>
        <v>-4166.66666666667</v>
      </c>
      <c r="U64" s="67" t="n">
        <f aca="false">-MIN(U62,Inputs!$B$55/MAX(1,Inputs!$B$57*12))</f>
        <v>-4166.66666666667</v>
      </c>
      <c r="V64" s="67" t="n">
        <f aca="false">-MIN(V62,Inputs!$B$55/MAX(1,Inputs!$B$57*12))</f>
        <v>-4166.66666666667</v>
      </c>
      <c r="W64" s="67" t="n">
        <f aca="false">-MIN(W62,Inputs!$B$55/MAX(1,Inputs!$B$57*12))</f>
        <v>-4166.66666666667</v>
      </c>
      <c r="X64" s="67" t="n">
        <f aca="false">-MIN(X62,Inputs!$B$55/MAX(1,Inputs!$B$57*12))</f>
        <v>-4166.66666666667</v>
      </c>
      <c r="Y64" s="67" t="n">
        <f aca="false">-MIN(Y62,Inputs!$B$55/MAX(1,Inputs!$B$57*12))</f>
        <v>-4166.66666666667</v>
      </c>
      <c r="Z64" s="67" t="n">
        <f aca="false">-MIN(Z62,Inputs!$B$55/MAX(1,Inputs!$B$57*12))</f>
        <v>-4166.66666666667</v>
      </c>
      <c r="AA64" s="67" t="n">
        <f aca="false">-MIN(AA62,Inputs!$B$55/MAX(1,Inputs!$B$57*12))</f>
        <v>-4166.66666666667</v>
      </c>
      <c r="AB64" s="67" t="n">
        <f aca="false">-MIN(AB62,Inputs!$B$55/MAX(1,Inputs!$B$57*12))</f>
        <v>-4166.66666666667</v>
      </c>
      <c r="AC64" s="67" t="n">
        <f aca="false">-MIN(AC62,Inputs!$B$55/MAX(1,Inputs!$B$57*12))</f>
        <v>-4166.66666666667</v>
      </c>
      <c r="AD64" s="67" t="n">
        <f aca="false">-MIN(AD62,Inputs!$B$55/MAX(1,Inputs!$B$57*12))</f>
        <v>-4166.66666666667</v>
      </c>
      <c r="AE64" s="67" t="n">
        <f aca="false">-MIN(AE62,Inputs!$B$55/MAX(1,Inputs!$B$57*12))</f>
        <v>-4166.66666666667</v>
      </c>
      <c r="AF64" s="67" t="n">
        <f aca="false">-MIN(AF62,Inputs!$B$55/MAX(1,Inputs!$B$57*12))</f>
        <v>-4166.66666666667</v>
      </c>
      <c r="AG64" s="67" t="n">
        <f aca="false">-MIN(AG62,Inputs!$B$55/MAX(1,Inputs!$B$57*12))</f>
        <v>-4166.66666666667</v>
      </c>
      <c r="AH64" s="67" t="n">
        <f aca="false">-MIN(AH62,Inputs!$B$55/MAX(1,Inputs!$B$57*12))</f>
        <v>-4166.66666666667</v>
      </c>
      <c r="AI64" s="67" t="n">
        <f aca="false">-MIN(AI62,Inputs!$B$55/MAX(1,Inputs!$B$57*12))</f>
        <v>-4166.66666666667</v>
      </c>
      <c r="AJ64" s="67" t="n">
        <f aca="false">-MIN(AJ62,Inputs!$B$55/MAX(1,Inputs!$B$57*12))</f>
        <v>-4166.66666666667</v>
      </c>
      <c r="AK64" s="67" t="n">
        <f aca="false">-MIN(AK62,Inputs!$B$55/MAX(1,Inputs!$B$57*12))</f>
        <v>-4166.66666666667</v>
      </c>
      <c r="AL64" s="67" t="n">
        <f aca="false">-MIN(AL62,Inputs!$B$55/MAX(1,Inputs!$B$57*12))</f>
        <v>-4166.66666666667</v>
      </c>
    </row>
    <row r="65" customFormat="false" ht="15" hidden="false" customHeight="false" outlineLevel="0" collapsed="false">
      <c r="A65" s="4" t="s">
        <v>397</v>
      </c>
      <c r="C65" s="73" t="n">
        <f aca="false">C62+C63+C64</f>
        <v>250000</v>
      </c>
      <c r="D65" s="73" t="n">
        <f aca="false">D62+D63+D64</f>
        <v>245833.333333333</v>
      </c>
      <c r="E65" s="73" t="n">
        <f aca="false">E62+E63+E64</f>
        <v>241666.666666667</v>
      </c>
      <c r="F65" s="73" t="n">
        <f aca="false">F62+F63+F64</f>
        <v>237500</v>
      </c>
      <c r="G65" s="73" t="n">
        <f aca="false">G62+G63+G64</f>
        <v>233333.333333333</v>
      </c>
      <c r="H65" s="73" t="n">
        <f aca="false">H62+H63+H64</f>
        <v>229166.666666667</v>
      </c>
      <c r="I65" s="73" t="n">
        <f aca="false">I62+I63+I64</f>
        <v>225000</v>
      </c>
      <c r="J65" s="73" t="n">
        <f aca="false">J62+J63+J64</f>
        <v>220833.333333333</v>
      </c>
      <c r="K65" s="73" t="n">
        <f aca="false">K62+K63+K64</f>
        <v>216666.666666667</v>
      </c>
      <c r="L65" s="73" t="n">
        <f aca="false">L62+L63+L64</f>
        <v>212500</v>
      </c>
      <c r="M65" s="73" t="n">
        <f aca="false">M62+M63+M64</f>
        <v>208333.333333333</v>
      </c>
      <c r="N65" s="73" t="n">
        <f aca="false">N62+N63+N64</f>
        <v>204166.666666667</v>
      </c>
      <c r="O65" s="73" t="n">
        <f aca="false">O62+O63+O64</f>
        <v>200000</v>
      </c>
      <c r="P65" s="73" t="n">
        <f aca="false">P62+P63+P64</f>
        <v>195833.333333333</v>
      </c>
      <c r="Q65" s="73" t="n">
        <f aca="false">Q62+Q63+Q64</f>
        <v>191666.666666667</v>
      </c>
      <c r="R65" s="73" t="n">
        <f aca="false">R62+R63+R64</f>
        <v>187500</v>
      </c>
      <c r="S65" s="73" t="n">
        <f aca="false">S62+S63+S64</f>
        <v>183333.333333334</v>
      </c>
      <c r="T65" s="73" t="n">
        <f aca="false">T62+T63+T64</f>
        <v>179166.666666667</v>
      </c>
      <c r="U65" s="73" t="n">
        <f aca="false">U62+U63+U64</f>
        <v>175000</v>
      </c>
      <c r="V65" s="73" t="n">
        <f aca="false">V62+V63+V64</f>
        <v>170833.333333334</v>
      </c>
      <c r="W65" s="73" t="n">
        <f aca="false">W62+W63+W64</f>
        <v>166666.666666667</v>
      </c>
      <c r="X65" s="73" t="n">
        <f aca="false">X62+X63+X64</f>
        <v>162500</v>
      </c>
      <c r="Y65" s="73" t="n">
        <f aca="false">Y62+Y63+Y64</f>
        <v>158333.333333334</v>
      </c>
      <c r="Z65" s="73" t="n">
        <f aca="false">Z62+Z63+Z64</f>
        <v>154166.666666667</v>
      </c>
      <c r="AA65" s="73" t="n">
        <f aca="false">AA62+AA63+AA64</f>
        <v>150000</v>
      </c>
      <c r="AB65" s="73" t="n">
        <f aca="false">AB62+AB63+AB64</f>
        <v>145833.333333334</v>
      </c>
      <c r="AC65" s="73" t="n">
        <f aca="false">AC62+AC63+AC64</f>
        <v>141666.666666667</v>
      </c>
      <c r="AD65" s="73" t="n">
        <f aca="false">AD62+AD63+AD64</f>
        <v>137500</v>
      </c>
      <c r="AE65" s="73" t="n">
        <f aca="false">AE62+AE63+AE64</f>
        <v>133333.333333334</v>
      </c>
      <c r="AF65" s="73" t="n">
        <f aca="false">AF62+AF63+AF64</f>
        <v>129166.666666667</v>
      </c>
      <c r="AG65" s="73" t="n">
        <f aca="false">AG62+AG63+AG64</f>
        <v>125000</v>
      </c>
      <c r="AH65" s="73" t="n">
        <f aca="false">AH62+AH63+AH64</f>
        <v>120833.333333334</v>
      </c>
      <c r="AI65" s="73" t="n">
        <f aca="false">AI62+AI63+AI64</f>
        <v>116666.666666667</v>
      </c>
      <c r="AJ65" s="73" t="n">
        <f aca="false">AJ62+AJ63+AJ64</f>
        <v>112500</v>
      </c>
      <c r="AK65" s="73" t="n">
        <f aca="false">AK62+AK63+AK64</f>
        <v>108333.333333334</v>
      </c>
      <c r="AL65" s="73" t="n">
        <f aca="false">AL62+AL63+AL64</f>
        <v>104166.666666667</v>
      </c>
    </row>
    <row r="67" customFormat="false" ht="15.75" hidden="false" customHeight="true" outlineLevel="0" collapsed="false">
      <c r="A67" s="7" t="s">
        <v>305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customFormat="false" ht="15" hidden="false" customHeight="false" outlineLevel="0" collapsed="false">
      <c r="A68" s="6" t="s">
        <v>89</v>
      </c>
      <c r="C68" s="67" t="n">
        <f aca="false">C24*Inputs!$B$60/30</f>
        <v>35110.844017094</v>
      </c>
      <c r="D68" s="67" t="n">
        <f aca="false">D24*Inputs!$B$60/30</f>
        <v>35110.844017094</v>
      </c>
      <c r="E68" s="67" t="n">
        <f aca="false">E24*Inputs!$B$60/30</f>
        <v>35110.844017094</v>
      </c>
      <c r="F68" s="67" t="n">
        <f aca="false">F24*Inputs!$B$60/30</f>
        <v>35110.844017094</v>
      </c>
      <c r="G68" s="67" t="n">
        <f aca="false">G24*Inputs!$B$60/30</f>
        <v>35110.844017094</v>
      </c>
      <c r="H68" s="67" t="n">
        <f aca="false">H24*Inputs!$B$60/30</f>
        <v>47223.8782051282</v>
      </c>
      <c r="I68" s="67" t="n">
        <f aca="false">I24*Inputs!$B$60/30</f>
        <v>47223.8782051282</v>
      </c>
      <c r="J68" s="67" t="n">
        <f aca="false">J24*Inputs!$B$60/30</f>
        <v>47223.8782051282</v>
      </c>
      <c r="K68" s="67" t="n">
        <f aca="false">K24*Inputs!$B$60/30</f>
        <v>35110.844017094</v>
      </c>
      <c r="L68" s="67" t="n">
        <f aca="false">L24*Inputs!$B$60/30</f>
        <v>35110.844017094</v>
      </c>
      <c r="M68" s="67" t="n">
        <f aca="false">M24*Inputs!$B$60/30</f>
        <v>35110.844017094</v>
      </c>
      <c r="N68" s="67" t="n">
        <f aca="false">N24*Inputs!$B$60/30</f>
        <v>35110.844017094</v>
      </c>
      <c r="O68" s="67" t="n">
        <f aca="false">O24*Inputs!$B$60/30</f>
        <v>40165.7082051282</v>
      </c>
      <c r="P68" s="67" t="n">
        <f aca="false">P24*Inputs!$B$60/30</f>
        <v>40165.7082051282</v>
      </c>
      <c r="Q68" s="67" t="n">
        <f aca="false">Q24*Inputs!$B$60/30</f>
        <v>40165.7082051282</v>
      </c>
      <c r="R68" s="67" t="n">
        <f aca="false">R24*Inputs!$B$60/30</f>
        <v>40165.7082051282</v>
      </c>
      <c r="S68" s="67" t="n">
        <f aca="false">S24*Inputs!$B$60/30</f>
        <v>40165.7082051282</v>
      </c>
      <c r="T68" s="67" t="n">
        <f aca="false">T24*Inputs!$B$60/30</f>
        <v>54003.6384615385</v>
      </c>
      <c r="U68" s="67" t="n">
        <f aca="false">U24*Inputs!$B$60/30</f>
        <v>54003.6384615385</v>
      </c>
      <c r="V68" s="67" t="n">
        <f aca="false">V24*Inputs!$B$60/30</f>
        <v>54003.6384615385</v>
      </c>
      <c r="W68" s="67" t="n">
        <f aca="false">W24*Inputs!$B$60/30</f>
        <v>40165.7082051282</v>
      </c>
      <c r="X68" s="67" t="n">
        <f aca="false">X24*Inputs!$B$60/30</f>
        <v>40165.7082051282</v>
      </c>
      <c r="Y68" s="67" t="n">
        <f aca="false">Y24*Inputs!$B$60/30</f>
        <v>40165.7082051282</v>
      </c>
      <c r="Z68" s="67" t="n">
        <f aca="false">Z24*Inputs!$B$60/30</f>
        <v>40165.7082051282</v>
      </c>
      <c r="AA68" s="67" t="n">
        <f aca="false">AA24*Inputs!$B$60/30</f>
        <v>45949.9138935385</v>
      </c>
      <c r="AB68" s="67" t="n">
        <f aca="false">AB24*Inputs!$B$60/30</f>
        <v>45949.9138935385</v>
      </c>
      <c r="AC68" s="67" t="n">
        <f aca="false">AC24*Inputs!$B$60/30</f>
        <v>45949.9138935385</v>
      </c>
      <c r="AD68" s="67" t="n">
        <f aca="false">AD24*Inputs!$B$60/30</f>
        <v>45949.9138935385</v>
      </c>
      <c r="AE68" s="67" t="n">
        <f aca="false">AE24*Inputs!$B$60/30</f>
        <v>45949.9138935385</v>
      </c>
      <c r="AF68" s="67" t="n">
        <f aca="false">AF24*Inputs!$B$60/30</f>
        <v>61758.3654184616</v>
      </c>
      <c r="AG68" s="67" t="n">
        <f aca="false">AG24*Inputs!$B$60/30</f>
        <v>61758.3654184616</v>
      </c>
      <c r="AH68" s="67" t="n">
        <f aca="false">AH24*Inputs!$B$60/30</f>
        <v>61758.3654184616</v>
      </c>
      <c r="AI68" s="67" t="n">
        <f aca="false">AI24*Inputs!$B$60/30</f>
        <v>45949.9138935385</v>
      </c>
      <c r="AJ68" s="67" t="n">
        <f aca="false">AJ24*Inputs!$B$60/30</f>
        <v>45949.9138935385</v>
      </c>
      <c r="AK68" s="67" t="n">
        <f aca="false">AK24*Inputs!$B$60/30</f>
        <v>45949.9138935385</v>
      </c>
      <c r="AL68" s="67" t="n">
        <f aca="false">AL24*Inputs!$B$60/30</f>
        <v>45949.9138935385</v>
      </c>
    </row>
    <row r="69" customFormat="false" ht="15" hidden="false" customHeight="false" outlineLevel="0" collapsed="false">
      <c r="A69" s="6" t="s">
        <v>90</v>
      </c>
      <c r="C69" s="67" t="n">
        <f aca="false">-C31*Inputs!$B$61/30</f>
        <v>13215.3541666667</v>
      </c>
      <c r="D69" s="67" t="n">
        <f aca="false">-D31*Inputs!$B$61/30</f>
        <v>13215.3541666667</v>
      </c>
      <c r="E69" s="67" t="n">
        <f aca="false">-E31*Inputs!$B$61/30</f>
        <v>13215.3541666667</v>
      </c>
      <c r="F69" s="67" t="n">
        <f aca="false">-F31*Inputs!$B$61/30</f>
        <v>13215.3541666667</v>
      </c>
      <c r="G69" s="67" t="n">
        <f aca="false">-G31*Inputs!$B$61/30</f>
        <v>13215.3541666667</v>
      </c>
      <c r="H69" s="67" t="n">
        <f aca="false">-H31*Inputs!$B$61/30</f>
        <v>14790.0486111111</v>
      </c>
      <c r="I69" s="67" t="n">
        <f aca="false">-I31*Inputs!$B$61/30</f>
        <v>14790.0486111111</v>
      </c>
      <c r="J69" s="67" t="n">
        <f aca="false">-J31*Inputs!$B$61/30</f>
        <v>14790.0486111111</v>
      </c>
      <c r="K69" s="67" t="n">
        <f aca="false">-K31*Inputs!$B$61/30</f>
        <v>13215.3541666667</v>
      </c>
      <c r="L69" s="67" t="n">
        <f aca="false">-L31*Inputs!$B$61/30</f>
        <v>13215.3541666667</v>
      </c>
      <c r="M69" s="67" t="n">
        <f aca="false">-M31*Inputs!$B$61/30</f>
        <v>13215.3541666667</v>
      </c>
      <c r="N69" s="67" t="n">
        <f aca="false">-N31*Inputs!$B$61/30</f>
        <v>13215.3541666667</v>
      </c>
      <c r="O69" s="67" t="n">
        <f aca="false">-O31*Inputs!$B$61/30</f>
        <v>15151.1451777778</v>
      </c>
      <c r="P69" s="67" t="n">
        <f aca="false">-P31*Inputs!$B$61/30</f>
        <v>15151.1451777778</v>
      </c>
      <c r="Q69" s="67" t="n">
        <f aca="false">-Q31*Inputs!$B$61/30</f>
        <v>15151.1451777778</v>
      </c>
      <c r="R69" s="67" t="n">
        <f aca="false">-R31*Inputs!$B$61/30</f>
        <v>15151.1451777778</v>
      </c>
      <c r="S69" s="67" t="n">
        <f aca="false">-S31*Inputs!$B$61/30</f>
        <v>15151.1451777778</v>
      </c>
      <c r="T69" s="67" t="n">
        <f aca="false">-T31*Inputs!$B$61/30</f>
        <v>16950.0761111111</v>
      </c>
      <c r="U69" s="67" t="n">
        <f aca="false">-U31*Inputs!$B$61/30</f>
        <v>16950.0761111111</v>
      </c>
      <c r="V69" s="67" t="n">
        <f aca="false">-V31*Inputs!$B$61/30</f>
        <v>16950.0761111111</v>
      </c>
      <c r="W69" s="67" t="n">
        <f aca="false">-W31*Inputs!$B$61/30</f>
        <v>15151.1451777778</v>
      </c>
      <c r="X69" s="67" t="n">
        <f aca="false">-X31*Inputs!$B$61/30</f>
        <v>15151.1451777778</v>
      </c>
      <c r="Y69" s="67" t="n">
        <f aca="false">-Y31*Inputs!$B$61/30</f>
        <v>15151.1451777778</v>
      </c>
      <c r="Z69" s="67" t="n">
        <f aca="false">-Z31*Inputs!$B$61/30</f>
        <v>15151.1451777778</v>
      </c>
      <c r="AA69" s="67" t="n">
        <f aca="false">-AA31*Inputs!$B$61/30</f>
        <v>17372.2854479378</v>
      </c>
      <c r="AB69" s="67" t="n">
        <f aca="false">-AB31*Inputs!$B$61/30</f>
        <v>17372.2854479378</v>
      </c>
      <c r="AC69" s="67" t="n">
        <f aca="false">-AC31*Inputs!$B$61/30</f>
        <v>17372.2854479378</v>
      </c>
      <c r="AD69" s="67" t="n">
        <f aca="false">-AD31*Inputs!$B$61/30</f>
        <v>17372.2854479378</v>
      </c>
      <c r="AE69" s="67" t="n">
        <f aca="false">-AE31*Inputs!$B$61/30</f>
        <v>17372.2854479378</v>
      </c>
      <c r="AF69" s="67" t="n">
        <f aca="false">-AF31*Inputs!$B$61/30</f>
        <v>19427.3841461778</v>
      </c>
      <c r="AG69" s="67" t="n">
        <f aca="false">-AG31*Inputs!$B$61/30</f>
        <v>19427.3841461778</v>
      </c>
      <c r="AH69" s="67" t="n">
        <f aca="false">-AH31*Inputs!$B$61/30</f>
        <v>19427.3841461778</v>
      </c>
      <c r="AI69" s="67" t="n">
        <f aca="false">-AI31*Inputs!$B$61/30</f>
        <v>17372.2854479378</v>
      </c>
      <c r="AJ69" s="67" t="n">
        <f aca="false">-AJ31*Inputs!$B$61/30</f>
        <v>17372.2854479378</v>
      </c>
      <c r="AK69" s="67" t="n">
        <f aca="false">-AK31*Inputs!$B$61/30</f>
        <v>17372.2854479378</v>
      </c>
      <c r="AL69" s="67" t="n">
        <f aca="false">-AL31*Inputs!$B$61/30</f>
        <v>17372.2854479378</v>
      </c>
    </row>
    <row r="70" customFormat="false" ht="15" hidden="false" customHeight="false" outlineLevel="0" collapsed="false">
      <c r="A70" s="6" t="s">
        <v>93</v>
      </c>
      <c r="C70" s="67" t="n">
        <f aca="false">-C31*Inputs!$B$62/30</f>
        <v>52861.4166666667</v>
      </c>
      <c r="D70" s="67" t="n">
        <f aca="false">-D31*Inputs!$B$62/30</f>
        <v>52861.4166666667</v>
      </c>
      <c r="E70" s="67" t="n">
        <f aca="false">-E31*Inputs!$B$62/30</f>
        <v>52861.4166666667</v>
      </c>
      <c r="F70" s="67" t="n">
        <f aca="false">-F31*Inputs!$B$62/30</f>
        <v>52861.4166666667</v>
      </c>
      <c r="G70" s="67" t="n">
        <f aca="false">-G31*Inputs!$B$62/30</f>
        <v>52861.4166666667</v>
      </c>
      <c r="H70" s="67" t="n">
        <f aca="false">-H31*Inputs!$B$62/30</f>
        <v>59160.1944444444</v>
      </c>
      <c r="I70" s="67" t="n">
        <f aca="false">-I31*Inputs!$B$62/30</f>
        <v>59160.1944444444</v>
      </c>
      <c r="J70" s="67" t="n">
        <f aca="false">-J31*Inputs!$B$62/30</f>
        <v>59160.1944444444</v>
      </c>
      <c r="K70" s="67" t="n">
        <f aca="false">-K31*Inputs!$B$62/30</f>
        <v>52861.4166666667</v>
      </c>
      <c r="L70" s="67" t="n">
        <f aca="false">-L31*Inputs!$B$62/30</f>
        <v>52861.4166666667</v>
      </c>
      <c r="M70" s="67" t="n">
        <f aca="false">-M31*Inputs!$B$62/30</f>
        <v>52861.4166666667</v>
      </c>
      <c r="N70" s="67" t="n">
        <f aca="false">-N31*Inputs!$B$62/30</f>
        <v>52861.4166666667</v>
      </c>
      <c r="O70" s="67" t="n">
        <f aca="false">-O31*Inputs!$B$62/30</f>
        <v>60604.5807111111</v>
      </c>
      <c r="P70" s="67" t="n">
        <f aca="false">-P31*Inputs!$B$62/30</f>
        <v>60604.5807111111</v>
      </c>
      <c r="Q70" s="67" t="n">
        <f aca="false">-Q31*Inputs!$B$62/30</f>
        <v>60604.5807111111</v>
      </c>
      <c r="R70" s="67" t="n">
        <f aca="false">-R31*Inputs!$B$62/30</f>
        <v>60604.5807111111</v>
      </c>
      <c r="S70" s="67" t="n">
        <f aca="false">-S31*Inputs!$B$62/30</f>
        <v>60604.5807111111</v>
      </c>
      <c r="T70" s="67" t="n">
        <f aca="false">-T31*Inputs!$B$62/30</f>
        <v>67800.3044444445</v>
      </c>
      <c r="U70" s="67" t="n">
        <f aca="false">-U31*Inputs!$B$62/30</f>
        <v>67800.3044444445</v>
      </c>
      <c r="V70" s="67" t="n">
        <f aca="false">-V31*Inputs!$B$62/30</f>
        <v>67800.3044444445</v>
      </c>
      <c r="W70" s="67" t="n">
        <f aca="false">-W31*Inputs!$B$62/30</f>
        <v>60604.5807111111</v>
      </c>
      <c r="X70" s="67" t="n">
        <f aca="false">-X31*Inputs!$B$62/30</f>
        <v>60604.5807111111</v>
      </c>
      <c r="Y70" s="67" t="n">
        <f aca="false">-Y31*Inputs!$B$62/30</f>
        <v>60604.5807111111</v>
      </c>
      <c r="Z70" s="67" t="n">
        <f aca="false">-Z31*Inputs!$B$62/30</f>
        <v>60604.5807111111</v>
      </c>
      <c r="AA70" s="67" t="n">
        <f aca="false">-AA31*Inputs!$B$62/30</f>
        <v>69489.1417917511</v>
      </c>
      <c r="AB70" s="67" t="n">
        <f aca="false">-AB31*Inputs!$B$62/30</f>
        <v>69489.1417917511</v>
      </c>
      <c r="AC70" s="67" t="n">
        <f aca="false">-AC31*Inputs!$B$62/30</f>
        <v>69489.1417917511</v>
      </c>
      <c r="AD70" s="67" t="n">
        <f aca="false">-AD31*Inputs!$B$62/30</f>
        <v>69489.1417917511</v>
      </c>
      <c r="AE70" s="67" t="n">
        <f aca="false">-AE31*Inputs!$B$62/30</f>
        <v>69489.1417917511</v>
      </c>
      <c r="AF70" s="67" t="n">
        <f aca="false">-AF31*Inputs!$B$62/30</f>
        <v>77709.5365847111</v>
      </c>
      <c r="AG70" s="67" t="n">
        <f aca="false">-AG31*Inputs!$B$62/30</f>
        <v>77709.5365847111</v>
      </c>
      <c r="AH70" s="67" t="n">
        <f aca="false">-AH31*Inputs!$B$62/30</f>
        <v>77709.5365847111</v>
      </c>
      <c r="AI70" s="67" t="n">
        <f aca="false">-AI31*Inputs!$B$62/30</f>
        <v>69489.1417917511</v>
      </c>
      <c r="AJ70" s="67" t="n">
        <f aca="false">-AJ31*Inputs!$B$62/30</f>
        <v>69489.1417917511</v>
      </c>
      <c r="AK70" s="67" t="n">
        <f aca="false">-AK31*Inputs!$B$62/30</f>
        <v>69489.1417917511</v>
      </c>
      <c r="AL70" s="67" t="n">
        <f aca="false">-AL31*Inputs!$B$62/30</f>
        <v>69489.1417917511</v>
      </c>
    </row>
    <row r="71" customFormat="false" ht="15" hidden="false" customHeight="false" outlineLevel="0" collapsed="false">
      <c r="A71" s="6" t="s">
        <v>329</v>
      </c>
      <c r="C71" s="67" t="n">
        <f aca="false">-C68</f>
        <v>-35110.844017094</v>
      </c>
      <c r="D71" s="67" t="n">
        <f aca="false">C68-D68</f>
        <v>0</v>
      </c>
      <c r="E71" s="67" t="n">
        <f aca="false">D68-E68</f>
        <v>0</v>
      </c>
      <c r="F71" s="67" t="n">
        <f aca="false">E68-F68</f>
        <v>0</v>
      </c>
      <c r="G71" s="67" t="n">
        <f aca="false">F68-G68</f>
        <v>0</v>
      </c>
      <c r="H71" s="67" t="n">
        <f aca="false">G68-H68</f>
        <v>-12113.0341880342</v>
      </c>
      <c r="I71" s="67" t="n">
        <f aca="false">H68-I68</f>
        <v>0</v>
      </c>
      <c r="J71" s="67" t="n">
        <f aca="false">I68-J68</f>
        <v>0</v>
      </c>
      <c r="K71" s="67" t="n">
        <f aca="false">J68-K68</f>
        <v>12113.0341880342</v>
      </c>
      <c r="L71" s="67" t="n">
        <f aca="false">K68-L68</f>
        <v>0</v>
      </c>
      <c r="M71" s="67" t="n">
        <f aca="false">L68-M68</f>
        <v>0</v>
      </c>
      <c r="N71" s="67" t="n">
        <f aca="false">M68-N68</f>
        <v>0</v>
      </c>
      <c r="O71" s="67" t="n">
        <f aca="false">N68-O68</f>
        <v>-5054.86418803418</v>
      </c>
      <c r="P71" s="67" t="n">
        <f aca="false">O68-P68</f>
        <v>0</v>
      </c>
      <c r="Q71" s="67" t="n">
        <f aca="false">P68-Q68</f>
        <v>0</v>
      </c>
      <c r="R71" s="67" t="n">
        <f aca="false">Q68-R68</f>
        <v>0</v>
      </c>
      <c r="S71" s="67" t="n">
        <f aca="false">R68-S68</f>
        <v>0</v>
      </c>
      <c r="T71" s="67" t="n">
        <f aca="false">S68-T68</f>
        <v>-13837.9302564103</v>
      </c>
      <c r="U71" s="67" t="n">
        <f aca="false">T68-U68</f>
        <v>0</v>
      </c>
      <c r="V71" s="67" t="n">
        <f aca="false">U68-V68</f>
        <v>0</v>
      </c>
      <c r="W71" s="67" t="n">
        <f aca="false">V68-W68</f>
        <v>13837.9302564103</v>
      </c>
      <c r="X71" s="67" t="n">
        <f aca="false">W68-X68</f>
        <v>0</v>
      </c>
      <c r="Y71" s="67" t="n">
        <f aca="false">X68-Y68</f>
        <v>0</v>
      </c>
      <c r="Z71" s="67" t="n">
        <f aca="false">Y68-Z68</f>
        <v>0</v>
      </c>
      <c r="AA71" s="67" t="n">
        <f aca="false">Z68-AA68</f>
        <v>-5784.20568841026</v>
      </c>
      <c r="AB71" s="67" t="n">
        <f aca="false">AA68-AB68</f>
        <v>0</v>
      </c>
      <c r="AC71" s="67" t="n">
        <f aca="false">AB68-AC68</f>
        <v>0</v>
      </c>
      <c r="AD71" s="67" t="n">
        <f aca="false">AC68-AD68</f>
        <v>0</v>
      </c>
      <c r="AE71" s="67" t="n">
        <f aca="false">AD68-AE68</f>
        <v>0</v>
      </c>
      <c r="AF71" s="67" t="n">
        <f aca="false">AE68-AF68</f>
        <v>-15808.4515249231</v>
      </c>
      <c r="AG71" s="67" t="n">
        <f aca="false">AF68-AG68</f>
        <v>0</v>
      </c>
      <c r="AH71" s="67" t="n">
        <f aca="false">AG68-AH68</f>
        <v>0</v>
      </c>
      <c r="AI71" s="67" t="n">
        <f aca="false">AH68-AI68</f>
        <v>15808.4515249231</v>
      </c>
      <c r="AJ71" s="67" t="n">
        <f aca="false">AI68-AJ68</f>
        <v>0</v>
      </c>
      <c r="AK71" s="67" t="n">
        <f aca="false">AJ68-AK68</f>
        <v>0</v>
      </c>
      <c r="AL71" s="67" t="n">
        <f aca="false">AK68-AL68</f>
        <v>0</v>
      </c>
    </row>
    <row r="72" customFormat="false" ht="15" hidden="false" customHeight="false" outlineLevel="0" collapsed="false">
      <c r="A72" s="6" t="s">
        <v>330</v>
      </c>
      <c r="C72" s="67" t="n">
        <f aca="false">-C69</f>
        <v>-13215.3541666667</v>
      </c>
      <c r="D72" s="67" t="n">
        <f aca="false">C69-D69</f>
        <v>0</v>
      </c>
      <c r="E72" s="67" t="n">
        <f aca="false">D69-E69</f>
        <v>0</v>
      </c>
      <c r="F72" s="67" t="n">
        <f aca="false">E69-F69</f>
        <v>0</v>
      </c>
      <c r="G72" s="67" t="n">
        <f aca="false">F69-G69</f>
        <v>0</v>
      </c>
      <c r="H72" s="67" t="n">
        <f aca="false">G69-H69</f>
        <v>-1574.69444444444</v>
      </c>
      <c r="I72" s="67" t="n">
        <f aca="false">H69-I69</f>
        <v>0</v>
      </c>
      <c r="J72" s="67" t="n">
        <f aca="false">I69-J69</f>
        <v>0</v>
      </c>
      <c r="K72" s="67" t="n">
        <f aca="false">J69-K69</f>
        <v>1574.69444444444</v>
      </c>
      <c r="L72" s="67" t="n">
        <f aca="false">K69-L69</f>
        <v>0</v>
      </c>
      <c r="M72" s="67" t="n">
        <f aca="false">L69-M69</f>
        <v>0</v>
      </c>
      <c r="N72" s="67" t="n">
        <f aca="false">M69-N69</f>
        <v>0</v>
      </c>
      <c r="O72" s="67" t="n">
        <f aca="false">N69-O69</f>
        <v>-1935.79101111111</v>
      </c>
      <c r="P72" s="67" t="n">
        <f aca="false">O69-P69</f>
        <v>0</v>
      </c>
      <c r="Q72" s="67" t="n">
        <f aca="false">P69-Q69</f>
        <v>0</v>
      </c>
      <c r="R72" s="67" t="n">
        <f aca="false">Q69-R69</f>
        <v>0</v>
      </c>
      <c r="S72" s="67" t="n">
        <f aca="false">R69-S69</f>
        <v>0</v>
      </c>
      <c r="T72" s="67" t="n">
        <f aca="false">S69-T69</f>
        <v>-1798.93093333334</v>
      </c>
      <c r="U72" s="67" t="n">
        <f aca="false">T69-U69</f>
        <v>0</v>
      </c>
      <c r="V72" s="67" t="n">
        <f aca="false">U69-V69</f>
        <v>0</v>
      </c>
      <c r="W72" s="67" t="n">
        <f aca="false">V69-W69</f>
        <v>1798.93093333334</v>
      </c>
      <c r="X72" s="67" t="n">
        <f aca="false">W69-X69</f>
        <v>0</v>
      </c>
      <c r="Y72" s="67" t="n">
        <f aca="false">X69-Y69</f>
        <v>0</v>
      </c>
      <c r="Z72" s="67" t="n">
        <f aca="false">Y69-Z69</f>
        <v>0</v>
      </c>
      <c r="AA72" s="67" t="n">
        <f aca="false">Z69-AA69</f>
        <v>-2221.14027016</v>
      </c>
      <c r="AB72" s="67" t="n">
        <f aca="false">AA69-AB69</f>
        <v>0</v>
      </c>
      <c r="AC72" s="67" t="n">
        <f aca="false">AB69-AC69</f>
        <v>0</v>
      </c>
      <c r="AD72" s="67" t="n">
        <f aca="false">AC69-AD69</f>
        <v>0</v>
      </c>
      <c r="AE72" s="67" t="n">
        <f aca="false">AD69-AE69</f>
        <v>0</v>
      </c>
      <c r="AF72" s="67" t="n">
        <f aca="false">AE69-AF69</f>
        <v>-2055.09869824</v>
      </c>
      <c r="AG72" s="67" t="n">
        <f aca="false">AF69-AG69</f>
        <v>0</v>
      </c>
      <c r="AH72" s="67" t="n">
        <f aca="false">AG69-AH69</f>
        <v>0</v>
      </c>
      <c r="AI72" s="67" t="n">
        <f aca="false">AH69-AI69</f>
        <v>2055.09869824</v>
      </c>
      <c r="AJ72" s="67" t="n">
        <f aca="false">AI69-AJ69</f>
        <v>0</v>
      </c>
      <c r="AK72" s="67" t="n">
        <f aca="false">AJ69-AK69</f>
        <v>0</v>
      </c>
      <c r="AL72" s="67" t="n">
        <f aca="false">AK69-AL69</f>
        <v>0</v>
      </c>
    </row>
    <row r="73" customFormat="false" ht="15" hidden="false" customHeight="false" outlineLevel="0" collapsed="false">
      <c r="A73" s="6" t="s">
        <v>331</v>
      </c>
      <c r="C73" s="67" t="n">
        <f aca="false">C70</f>
        <v>52861.4166666667</v>
      </c>
      <c r="D73" s="67" t="n">
        <f aca="false">D70-C70</f>
        <v>0</v>
      </c>
      <c r="E73" s="67" t="n">
        <f aca="false">E70-D70</f>
        <v>0</v>
      </c>
      <c r="F73" s="67" t="n">
        <f aca="false">F70-E70</f>
        <v>0</v>
      </c>
      <c r="G73" s="67" t="n">
        <f aca="false">G70-F70</f>
        <v>0</v>
      </c>
      <c r="H73" s="67" t="n">
        <f aca="false">H70-G70</f>
        <v>6298.77777777777</v>
      </c>
      <c r="I73" s="67" t="n">
        <f aca="false">I70-H70</f>
        <v>0</v>
      </c>
      <c r="J73" s="67" t="n">
        <f aca="false">J70-I70</f>
        <v>0</v>
      </c>
      <c r="K73" s="67" t="n">
        <f aca="false">K70-J70</f>
        <v>-6298.77777777777</v>
      </c>
      <c r="L73" s="67" t="n">
        <f aca="false">L70-K70</f>
        <v>0</v>
      </c>
      <c r="M73" s="67" t="n">
        <f aca="false">M70-L70</f>
        <v>0</v>
      </c>
      <c r="N73" s="67" t="n">
        <f aca="false">N70-M70</f>
        <v>0</v>
      </c>
      <c r="O73" s="67" t="n">
        <f aca="false">O70-N70</f>
        <v>7743.16404444445</v>
      </c>
      <c r="P73" s="67" t="n">
        <f aca="false">P70-O70</f>
        <v>0</v>
      </c>
      <c r="Q73" s="67" t="n">
        <f aca="false">Q70-P70</f>
        <v>0</v>
      </c>
      <c r="R73" s="67" t="n">
        <f aca="false">R70-Q70</f>
        <v>0</v>
      </c>
      <c r="S73" s="67" t="n">
        <f aca="false">S70-R70</f>
        <v>0</v>
      </c>
      <c r="T73" s="67" t="n">
        <f aca="false">T70-S70</f>
        <v>7195.72373333334</v>
      </c>
      <c r="U73" s="67" t="n">
        <f aca="false">U70-T70</f>
        <v>0</v>
      </c>
      <c r="V73" s="67" t="n">
        <f aca="false">V70-U70</f>
        <v>0</v>
      </c>
      <c r="W73" s="67" t="n">
        <f aca="false">W70-V70</f>
        <v>-7195.72373333334</v>
      </c>
      <c r="X73" s="67" t="n">
        <f aca="false">X70-W70</f>
        <v>0</v>
      </c>
      <c r="Y73" s="67" t="n">
        <f aca="false">Y70-X70</f>
        <v>0</v>
      </c>
      <c r="Z73" s="67" t="n">
        <f aca="false">Z70-Y70</f>
        <v>0</v>
      </c>
      <c r="AA73" s="67" t="n">
        <f aca="false">AA70-Z70</f>
        <v>8884.56108064</v>
      </c>
      <c r="AB73" s="67" t="n">
        <f aca="false">AB70-AA70</f>
        <v>0</v>
      </c>
      <c r="AC73" s="67" t="n">
        <f aca="false">AC70-AB70</f>
        <v>0</v>
      </c>
      <c r="AD73" s="67" t="n">
        <f aca="false">AD70-AC70</f>
        <v>0</v>
      </c>
      <c r="AE73" s="67" t="n">
        <f aca="false">AE70-AD70</f>
        <v>0</v>
      </c>
      <c r="AF73" s="67" t="n">
        <f aca="false">AF70-AE70</f>
        <v>8220.39479296001</v>
      </c>
      <c r="AG73" s="67" t="n">
        <f aca="false">AG70-AF70</f>
        <v>0</v>
      </c>
      <c r="AH73" s="67" t="n">
        <f aca="false">AH70-AG70</f>
        <v>0</v>
      </c>
      <c r="AI73" s="67" t="n">
        <f aca="false">AI70-AH70</f>
        <v>-8220.39479296001</v>
      </c>
      <c r="AJ73" s="67" t="n">
        <f aca="false">AJ70-AI70</f>
        <v>0</v>
      </c>
      <c r="AK73" s="67" t="n">
        <f aca="false">AK70-AJ70</f>
        <v>0</v>
      </c>
      <c r="AL73" s="67" t="n">
        <f aca="false">AL70-AK70</f>
        <v>0</v>
      </c>
    </row>
    <row r="75" customFormat="false" ht="15.75" hidden="false" customHeight="true" outlineLevel="0" collapsed="false">
      <c r="A75" s="7" t="s">
        <v>398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customFormat="false" ht="15" hidden="false" customHeight="false" outlineLevel="0" collapsed="false">
      <c r="A76" s="4" t="s">
        <v>52</v>
      </c>
      <c r="C76" s="73" t="n">
        <f aca="false">C52-C57+C71+C72+C73</f>
        <v>-3110.68456196581</v>
      </c>
      <c r="D76" s="73" t="n">
        <f aca="false">D52-D57+D71+D72+D73</f>
        <v>-7632.01415598291</v>
      </c>
      <c r="E76" s="73" t="n">
        <f aca="false">E52-E57+E71+E72+E73</f>
        <v>-7604.23637820513</v>
      </c>
      <c r="F76" s="73" t="n">
        <f aca="false">F52-F57+F71+F72+F73</f>
        <v>-7576.45860042736</v>
      </c>
      <c r="G76" s="73" t="n">
        <f aca="false">G52-G57+G71+G72+G73</f>
        <v>-7548.68082264958</v>
      </c>
      <c r="H76" s="73" t="n">
        <f aca="false">H52-H57+H71+H72+H73</f>
        <v>10927.2480235043</v>
      </c>
      <c r="I76" s="73" t="n">
        <f aca="false">I52-I57+I71+I72+I73</f>
        <v>18343.9766559829</v>
      </c>
      <c r="J76" s="73" t="n">
        <f aca="false">J52-J57+J71+J72+J73</f>
        <v>15356.5806709402</v>
      </c>
      <c r="K76" s="73" t="n">
        <f aca="false">K52-K57+K71+K72+K73</f>
        <v>-48.6188568376037</v>
      </c>
      <c r="L76" s="73" t="n">
        <f aca="false">L52-L57+L71+L72+L73</f>
        <v>-7409.79193376069</v>
      </c>
      <c r="M76" s="73" t="n">
        <f aca="false">M52-M57+M71+M72+M73</f>
        <v>-7382.01415598291</v>
      </c>
      <c r="N76" s="73" t="n">
        <f aca="false">N52-N57+N71+N72+N73</f>
        <v>-7354.23637820513</v>
      </c>
      <c r="O76" s="73" t="n">
        <f aca="false">O52-O57+O71+O72+O73</f>
        <v>-5791.8014420513</v>
      </c>
      <c r="P76" s="73" t="n">
        <f aca="false">P52-P57+P71+P72+P73</f>
        <v>-6516.53250957267</v>
      </c>
      <c r="Q76" s="73" t="n">
        <f aca="false">Q52-Q57+Q71+Q72+Q73</f>
        <v>-6488.7547317949</v>
      </c>
      <c r="R76" s="73" t="n">
        <f aca="false">R52-R57+R71+R72+R73</f>
        <v>-6460.97695401712</v>
      </c>
      <c r="S76" s="73" t="n">
        <f aca="false">S52-S57+S71+S72+S73</f>
        <v>-6433.19917623934</v>
      </c>
      <c r="T76" s="73" t="n">
        <f aca="false">T52-T57+T71+T72+T73</f>
        <v>14669.7463820513</v>
      </c>
      <c r="U76" s="73" t="n">
        <f aca="false">U52-U57+U71+U72+U73</f>
        <v>23138.6616162393</v>
      </c>
      <c r="V76" s="73" t="n">
        <f aca="false">V52-V57+V71+V72+V73</f>
        <v>23166.4393940171</v>
      </c>
      <c r="W76" s="73" t="n">
        <f aca="false">W52-W57+W71+W72+W73</f>
        <v>2119.04939128204</v>
      </c>
      <c r="X76" s="73" t="n">
        <f aca="false">X52-X57+X71+X72+X73</f>
        <v>-6294.31028735045</v>
      </c>
      <c r="Y76" s="73" t="n">
        <f aca="false">Y52-Y57+Y71+Y72+Y73</f>
        <v>-6266.53250957267</v>
      </c>
      <c r="Z76" s="73" t="n">
        <f aca="false">Z52-Z57+Z71+Z72+Z73</f>
        <v>-6238.7547317949</v>
      </c>
      <c r="AA76" s="73" t="n">
        <f aca="false">AA52-AA57+AA71+AA72+AA73</f>
        <v>-4431.40090756827</v>
      </c>
      <c r="AB76" s="73" t="n">
        <f aca="false">AB52-AB57+AB71+AB72+AB73</f>
        <v>-5282.83825186023</v>
      </c>
      <c r="AC76" s="73" t="n">
        <f aca="false">AC52-AC57+AC71+AC72+AC73</f>
        <v>-5255.06047408245</v>
      </c>
      <c r="AD76" s="73" t="n">
        <f aca="false">AD52-AD57+AD71+AD72+AD73</f>
        <v>-5227.28269630467</v>
      </c>
      <c r="AE76" s="73" t="n">
        <f aca="false">AE52-AE57+AE71+AE72+AE73</f>
        <v>-5199.50491852689</v>
      </c>
      <c r="AF76" s="73" t="n">
        <f aca="false">AF52-AF57+AF71+AF72+AF73</f>
        <v>18904.5445317088</v>
      </c>
      <c r="AG76" s="73" t="n">
        <f aca="false">AG52-AG57+AG71+AG72+AG73</f>
        <v>28575.4777396896</v>
      </c>
      <c r="AH76" s="73" t="n">
        <f aca="false">AH52-AH57+AH71+AH72+AH73</f>
        <v>25524.1590218034</v>
      </c>
      <c r="AI76" s="73" t="n">
        <f aca="false">AI52-AI57+AI71+AI72+AI73</f>
        <v>4554.7616227873</v>
      </c>
      <c r="AJ76" s="73" t="n">
        <f aca="false">AJ52-AJ57+AJ71+AJ72+AJ73</f>
        <v>-5060.616029638</v>
      </c>
      <c r="AK76" s="73" t="n">
        <f aca="false">AK52-AK57+AK71+AK72+AK73</f>
        <v>-5032.83825186023</v>
      </c>
      <c r="AL76" s="73" t="n">
        <f aca="false">AL52-AL57+AL71+AL72+AL73</f>
        <v>-5005.06047408245</v>
      </c>
    </row>
    <row r="77" customFormat="false" ht="15" hidden="false" customHeight="false" outlineLevel="0" collapsed="false">
      <c r="A77" s="6" t="s">
        <v>399</v>
      </c>
      <c r="C77" s="67" t="n">
        <f aca="false">-C55</f>
        <v>-20000</v>
      </c>
      <c r="D77" s="67" t="n">
        <f aca="false">-D55</f>
        <v>-0</v>
      </c>
      <c r="E77" s="67" t="n">
        <f aca="false">-E55</f>
        <v>-0</v>
      </c>
      <c r="F77" s="67" t="n">
        <f aca="false">-F55</f>
        <v>-0</v>
      </c>
      <c r="G77" s="67" t="n">
        <f aca="false">-G55</f>
        <v>-0</v>
      </c>
      <c r="H77" s="67" t="n">
        <f aca="false">-H55</f>
        <v>-0</v>
      </c>
      <c r="I77" s="67" t="n">
        <f aca="false">-I55</f>
        <v>-0</v>
      </c>
      <c r="J77" s="67" t="n">
        <f aca="false">-J55</f>
        <v>-0</v>
      </c>
      <c r="K77" s="67" t="n">
        <f aca="false">-K55</f>
        <v>-0</v>
      </c>
      <c r="L77" s="67" t="n">
        <f aca="false">-L55</f>
        <v>-0</v>
      </c>
      <c r="M77" s="67" t="n">
        <f aca="false">-M55</f>
        <v>-0</v>
      </c>
      <c r="N77" s="67" t="n">
        <f aca="false">-N55</f>
        <v>-0</v>
      </c>
      <c r="O77" s="67" t="n">
        <f aca="false">-O55</f>
        <v>-39480</v>
      </c>
      <c r="P77" s="67" t="n">
        <f aca="false">-P55</f>
        <v>-0</v>
      </c>
      <c r="Q77" s="67" t="n">
        <f aca="false">-Q55</f>
        <v>-0</v>
      </c>
      <c r="R77" s="67" t="n">
        <f aca="false">-R55</f>
        <v>-0</v>
      </c>
      <c r="S77" s="67" t="n">
        <f aca="false">-S55</f>
        <v>-0</v>
      </c>
      <c r="T77" s="67" t="n">
        <f aca="false">-T55</f>
        <v>-0</v>
      </c>
      <c r="U77" s="67" t="n">
        <f aca="false">-U55</f>
        <v>-0</v>
      </c>
      <c r="V77" s="67" t="n">
        <f aca="false">-V55</f>
        <v>-0</v>
      </c>
      <c r="W77" s="67" t="n">
        <f aca="false">-W55</f>
        <v>-0</v>
      </c>
      <c r="X77" s="67" t="n">
        <f aca="false">-X55</f>
        <v>-0</v>
      </c>
      <c r="Y77" s="67" t="n">
        <f aca="false">-Y55</f>
        <v>-0</v>
      </c>
      <c r="Z77" s="67" t="n">
        <f aca="false">-Z55</f>
        <v>-0</v>
      </c>
      <c r="AA77" s="67" t="n">
        <f aca="false">-AA55</f>
        <v>-44217.6</v>
      </c>
      <c r="AB77" s="67" t="n">
        <f aca="false">-AB55</f>
        <v>-0</v>
      </c>
      <c r="AC77" s="67" t="n">
        <f aca="false">-AC55</f>
        <v>-0</v>
      </c>
      <c r="AD77" s="67" t="n">
        <f aca="false">-AD55</f>
        <v>-0</v>
      </c>
      <c r="AE77" s="67" t="n">
        <f aca="false">-AE55</f>
        <v>-0</v>
      </c>
      <c r="AF77" s="67" t="n">
        <f aca="false">-AF55</f>
        <v>-0</v>
      </c>
      <c r="AG77" s="67" t="n">
        <f aca="false">-AG55</f>
        <v>-0</v>
      </c>
      <c r="AH77" s="67" t="n">
        <f aca="false">-AH55</f>
        <v>-0</v>
      </c>
      <c r="AI77" s="67" t="n">
        <f aca="false">-AI55</f>
        <v>-0</v>
      </c>
      <c r="AJ77" s="67" t="n">
        <f aca="false">-AJ55</f>
        <v>-0</v>
      </c>
      <c r="AK77" s="67" t="n">
        <f aca="false">-AK55</f>
        <v>-0</v>
      </c>
      <c r="AL77" s="67" t="n">
        <f aca="false">-AL55</f>
        <v>-0</v>
      </c>
    </row>
    <row r="78" customFormat="false" ht="15" hidden="false" customHeight="false" outlineLevel="0" collapsed="false">
      <c r="A78" s="6" t="s">
        <v>63</v>
      </c>
      <c r="C78" s="67" t="n">
        <f aca="false">IF(C$6=1,Inputs!$B$54,0)</f>
        <v>100000</v>
      </c>
      <c r="D78" s="67" t="n">
        <f aca="false">IF(D$6=1,Inputs!$B$54,0)</f>
        <v>0</v>
      </c>
      <c r="E78" s="67" t="n">
        <f aca="false">IF(E$6=1,Inputs!$B$54,0)</f>
        <v>0</v>
      </c>
      <c r="F78" s="67" t="n">
        <f aca="false">IF(F$6=1,Inputs!$B$54,0)</f>
        <v>0</v>
      </c>
      <c r="G78" s="67" t="n">
        <f aca="false">IF(G$6=1,Inputs!$B$54,0)</f>
        <v>0</v>
      </c>
      <c r="H78" s="67" t="n">
        <f aca="false">IF(H$6=1,Inputs!$B$54,0)</f>
        <v>0</v>
      </c>
      <c r="I78" s="67" t="n">
        <f aca="false">IF(I$6=1,Inputs!$B$54,0)</f>
        <v>0</v>
      </c>
      <c r="J78" s="67" t="n">
        <f aca="false">IF(J$6=1,Inputs!$B$54,0)</f>
        <v>0</v>
      </c>
      <c r="K78" s="67" t="n">
        <f aca="false">IF(K$6=1,Inputs!$B$54,0)</f>
        <v>0</v>
      </c>
      <c r="L78" s="67" t="n">
        <f aca="false">IF(L$6=1,Inputs!$B$54,0)</f>
        <v>0</v>
      </c>
      <c r="M78" s="67" t="n">
        <f aca="false">IF(M$6=1,Inputs!$B$54,0)</f>
        <v>0</v>
      </c>
      <c r="N78" s="67" t="n">
        <f aca="false">IF(N$6=1,Inputs!$B$54,0)</f>
        <v>0</v>
      </c>
      <c r="O78" s="67" t="n">
        <f aca="false">IF(O$6=1,Inputs!$B$54,0)</f>
        <v>0</v>
      </c>
      <c r="P78" s="67" t="n">
        <f aca="false">IF(P$6=1,Inputs!$B$54,0)</f>
        <v>0</v>
      </c>
      <c r="Q78" s="67" t="n">
        <f aca="false">IF(Q$6=1,Inputs!$B$54,0)</f>
        <v>0</v>
      </c>
      <c r="R78" s="67" t="n">
        <f aca="false">IF(R$6=1,Inputs!$B$54,0)</f>
        <v>0</v>
      </c>
      <c r="S78" s="67" t="n">
        <f aca="false">IF(S$6=1,Inputs!$B$54,0)</f>
        <v>0</v>
      </c>
      <c r="T78" s="67" t="n">
        <f aca="false">IF(T$6=1,Inputs!$B$54,0)</f>
        <v>0</v>
      </c>
      <c r="U78" s="67" t="n">
        <f aca="false">IF(U$6=1,Inputs!$B$54,0)</f>
        <v>0</v>
      </c>
      <c r="V78" s="67" t="n">
        <f aca="false">IF(V$6=1,Inputs!$B$54,0)</f>
        <v>0</v>
      </c>
      <c r="W78" s="67" t="n">
        <f aca="false">IF(W$6=1,Inputs!$B$54,0)</f>
        <v>0</v>
      </c>
      <c r="X78" s="67" t="n">
        <f aca="false">IF(X$6=1,Inputs!$B$54,0)</f>
        <v>0</v>
      </c>
      <c r="Y78" s="67" t="n">
        <f aca="false">IF(Y$6=1,Inputs!$B$54,0)</f>
        <v>0</v>
      </c>
      <c r="Z78" s="67" t="n">
        <f aca="false">IF(Z$6=1,Inputs!$B$54,0)</f>
        <v>0</v>
      </c>
      <c r="AA78" s="67" t="n">
        <f aca="false">IF(AA$6=1,Inputs!$B$54,0)</f>
        <v>0</v>
      </c>
      <c r="AB78" s="67" t="n">
        <f aca="false">IF(AB$6=1,Inputs!$B$54,0)</f>
        <v>0</v>
      </c>
      <c r="AC78" s="67" t="n">
        <f aca="false">IF(AC$6=1,Inputs!$B$54,0)</f>
        <v>0</v>
      </c>
      <c r="AD78" s="67" t="n">
        <f aca="false">IF(AD$6=1,Inputs!$B$54,0)</f>
        <v>0</v>
      </c>
      <c r="AE78" s="67" t="n">
        <f aca="false">IF(AE$6=1,Inputs!$B$54,0)</f>
        <v>0</v>
      </c>
      <c r="AF78" s="67" t="n">
        <f aca="false">IF(AF$6=1,Inputs!$B$54,0)</f>
        <v>0</v>
      </c>
      <c r="AG78" s="67" t="n">
        <f aca="false">IF(AG$6=1,Inputs!$B$54,0)</f>
        <v>0</v>
      </c>
      <c r="AH78" s="67" t="n">
        <f aca="false">IF(AH$6=1,Inputs!$B$54,0)</f>
        <v>0</v>
      </c>
      <c r="AI78" s="67" t="n">
        <f aca="false">IF(AI$6=1,Inputs!$B$54,0)</f>
        <v>0</v>
      </c>
      <c r="AJ78" s="67" t="n">
        <f aca="false">IF(AJ$6=1,Inputs!$B$54,0)</f>
        <v>0</v>
      </c>
      <c r="AK78" s="67" t="n">
        <f aca="false">IF(AK$6=1,Inputs!$B$54,0)</f>
        <v>0</v>
      </c>
      <c r="AL78" s="67" t="n">
        <f aca="false">IF(AL$6=1,Inputs!$B$54,0)</f>
        <v>0</v>
      </c>
    </row>
    <row r="79" customFormat="false" ht="15" hidden="false" customHeight="false" outlineLevel="0" collapsed="false">
      <c r="A79" s="6" t="s">
        <v>54</v>
      </c>
      <c r="C79" s="67" t="n">
        <f aca="false">C78+C63+C64</f>
        <v>350000</v>
      </c>
      <c r="D79" s="67" t="n">
        <f aca="false">D78+D63+D64</f>
        <v>-4166.66666666667</v>
      </c>
      <c r="E79" s="67" t="n">
        <f aca="false">E78+E63+E64</f>
        <v>-4166.66666666667</v>
      </c>
      <c r="F79" s="67" t="n">
        <f aca="false">F78+F63+F64</f>
        <v>-4166.66666666667</v>
      </c>
      <c r="G79" s="67" t="n">
        <f aca="false">G78+G63+G64</f>
        <v>-4166.66666666667</v>
      </c>
      <c r="H79" s="67" t="n">
        <f aca="false">H78+H63+H64</f>
        <v>-4166.66666666667</v>
      </c>
      <c r="I79" s="67" t="n">
        <f aca="false">I78+I63+I64</f>
        <v>-4166.66666666667</v>
      </c>
      <c r="J79" s="67" t="n">
        <f aca="false">J78+J63+J64</f>
        <v>-4166.66666666667</v>
      </c>
      <c r="K79" s="67" t="n">
        <f aca="false">K78+K63+K64</f>
        <v>-4166.66666666667</v>
      </c>
      <c r="L79" s="67" t="n">
        <f aca="false">L78+L63+L64</f>
        <v>-4166.66666666667</v>
      </c>
      <c r="M79" s="67" t="n">
        <f aca="false">M78+M63+M64</f>
        <v>-4166.66666666667</v>
      </c>
      <c r="N79" s="67" t="n">
        <f aca="false">N78+N63+N64</f>
        <v>-4166.66666666667</v>
      </c>
      <c r="O79" s="67" t="n">
        <f aca="false">O78+O63+O64</f>
        <v>-4166.66666666667</v>
      </c>
      <c r="P79" s="67" t="n">
        <f aca="false">P78+P63+P64</f>
        <v>-4166.66666666667</v>
      </c>
      <c r="Q79" s="67" t="n">
        <f aca="false">Q78+Q63+Q64</f>
        <v>-4166.66666666667</v>
      </c>
      <c r="R79" s="67" t="n">
        <f aca="false">R78+R63+R64</f>
        <v>-4166.66666666667</v>
      </c>
      <c r="S79" s="67" t="n">
        <f aca="false">S78+S63+S64</f>
        <v>-4166.66666666667</v>
      </c>
      <c r="T79" s="67" t="n">
        <f aca="false">T78+T63+T64</f>
        <v>-4166.66666666667</v>
      </c>
      <c r="U79" s="67" t="n">
        <f aca="false">U78+U63+U64</f>
        <v>-4166.66666666667</v>
      </c>
      <c r="V79" s="67" t="n">
        <f aca="false">V78+V63+V64</f>
        <v>-4166.66666666667</v>
      </c>
      <c r="W79" s="67" t="n">
        <f aca="false">W78+W63+W64</f>
        <v>-4166.66666666667</v>
      </c>
      <c r="X79" s="67" t="n">
        <f aca="false">X78+X63+X64</f>
        <v>-4166.66666666667</v>
      </c>
      <c r="Y79" s="67" t="n">
        <f aca="false">Y78+Y63+Y64</f>
        <v>-4166.66666666667</v>
      </c>
      <c r="Z79" s="67" t="n">
        <f aca="false">Z78+Z63+Z64</f>
        <v>-4166.66666666667</v>
      </c>
      <c r="AA79" s="67" t="n">
        <f aca="false">AA78+AA63+AA64</f>
        <v>-4166.66666666667</v>
      </c>
      <c r="AB79" s="67" t="n">
        <f aca="false">AB78+AB63+AB64</f>
        <v>-4166.66666666667</v>
      </c>
      <c r="AC79" s="67" t="n">
        <f aca="false">AC78+AC63+AC64</f>
        <v>-4166.66666666667</v>
      </c>
      <c r="AD79" s="67" t="n">
        <f aca="false">AD78+AD63+AD64</f>
        <v>-4166.66666666667</v>
      </c>
      <c r="AE79" s="67" t="n">
        <f aca="false">AE78+AE63+AE64</f>
        <v>-4166.66666666667</v>
      </c>
      <c r="AF79" s="67" t="n">
        <f aca="false">AF78+AF63+AF64</f>
        <v>-4166.66666666667</v>
      </c>
      <c r="AG79" s="67" t="n">
        <f aca="false">AG78+AG63+AG64</f>
        <v>-4166.66666666667</v>
      </c>
      <c r="AH79" s="67" t="n">
        <f aca="false">AH78+AH63+AH64</f>
        <v>-4166.66666666667</v>
      </c>
      <c r="AI79" s="67" t="n">
        <f aca="false">AI78+AI63+AI64</f>
        <v>-4166.66666666667</v>
      </c>
      <c r="AJ79" s="67" t="n">
        <f aca="false">AJ78+AJ63+AJ64</f>
        <v>-4166.66666666667</v>
      </c>
      <c r="AK79" s="67" t="n">
        <f aca="false">AK78+AK63+AK64</f>
        <v>-4166.66666666667</v>
      </c>
      <c r="AL79" s="67" t="n">
        <f aca="false">AL78+AL63+AL64</f>
        <v>-4166.66666666667</v>
      </c>
    </row>
    <row r="80" customFormat="false" ht="15" hidden="false" customHeight="false" outlineLevel="0" collapsed="false">
      <c r="A80" s="113" t="s">
        <v>400</v>
      </c>
      <c r="C80" s="68" t="n">
        <f aca="false">C76+C77+C79</f>
        <v>326889.315438034</v>
      </c>
      <c r="D80" s="68" t="n">
        <f aca="false">D76+D77+D79</f>
        <v>-11798.6808226496</v>
      </c>
      <c r="E80" s="68" t="n">
        <f aca="false">E76+E77+E79</f>
        <v>-11770.9030448718</v>
      </c>
      <c r="F80" s="68" t="n">
        <f aca="false">F76+F77+F79</f>
        <v>-11743.125267094</v>
      </c>
      <c r="G80" s="68" t="n">
        <f aca="false">G76+G77+G79</f>
        <v>-11715.3474893162</v>
      </c>
      <c r="H80" s="68" t="n">
        <f aca="false">H76+H77+H79</f>
        <v>6760.58135683759</v>
      </c>
      <c r="I80" s="68" t="n">
        <f aca="false">I76+I77+I79</f>
        <v>14177.3099893162</v>
      </c>
      <c r="J80" s="68" t="n">
        <f aca="false">J76+J77+J79</f>
        <v>11189.9140042735</v>
      </c>
      <c r="K80" s="68" t="n">
        <f aca="false">K76+K77+K79</f>
        <v>-4215.28552350427</v>
      </c>
      <c r="L80" s="68" t="n">
        <f aca="false">L76+L77+L79</f>
        <v>-11576.4586004274</v>
      </c>
      <c r="M80" s="68" t="n">
        <f aca="false">M76+M77+M79</f>
        <v>-11548.6808226496</v>
      </c>
      <c r="N80" s="68" t="n">
        <f aca="false">N76+N77+N79</f>
        <v>-11520.9030448718</v>
      </c>
      <c r="O80" s="68" t="n">
        <f aca="false">O76+O77+O79</f>
        <v>-49438.468108718</v>
      </c>
      <c r="P80" s="68" t="n">
        <f aca="false">P76+P77+P79</f>
        <v>-10683.1991762393</v>
      </c>
      <c r="Q80" s="68" t="n">
        <f aca="false">Q76+Q77+Q79</f>
        <v>-10655.4213984616</v>
      </c>
      <c r="R80" s="68" t="n">
        <f aca="false">R76+R77+R79</f>
        <v>-10627.6436206838</v>
      </c>
      <c r="S80" s="68" t="n">
        <f aca="false">S76+S77+S79</f>
        <v>-10599.865842906</v>
      </c>
      <c r="T80" s="68" t="n">
        <f aca="false">T76+T77+T79</f>
        <v>10503.0797153846</v>
      </c>
      <c r="U80" s="68" t="n">
        <f aca="false">U76+U77+U79</f>
        <v>18971.9949495726</v>
      </c>
      <c r="V80" s="68" t="n">
        <f aca="false">V76+V77+V79</f>
        <v>18999.7727273504</v>
      </c>
      <c r="W80" s="68" t="n">
        <f aca="false">W76+W77+W79</f>
        <v>-2047.61727538463</v>
      </c>
      <c r="X80" s="68" t="n">
        <f aca="false">X76+X77+X79</f>
        <v>-10460.9769540171</v>
      </c>
      <c r="Y80" s="68" t="n">
        <f aca="false">Y76+Y77+Y79</f>
        <v>-10433.1991762393</v>
      </c>
      <c r="Z80" s="68" t="n">
        <f aca="false">Z76+Z77+Z79</f>
        <v>-10405.4213984616</v>
      </c>
      <c r="AA80" s="68" t="n">
        <f aca="false">AA76+AA77+AA79</f>
        <v>-52815.667574235</v>
      </c>
      <c r="AB80" s="68" t="n">
        <f aca="false">AB76+AB77+AB79</f>
        <v>-9449.50491852689</v>
      </c>
      <c r="AC80" s="68" t="n">
        <f aca="false">AC76+AC77+AC79</f>
        <v>-9421.72714074912</v>
      </c>
      <c r="AD80" s="68" t="n">
        <f aca="false">AD76+AD77+AD79</f>
        <v>-9393.94936297134</v>
      </c>
      <c r="AE80" s="68" t="n">
        <f aca="false">AE76+AE77+AE79</f>
        <v>-9366.17158519356</v>
      </c>
      <c r="AF80" s="68" t="n">
        <f aca="false">AF76+AF77+AF79</f>
        <v>14737.8778650421</v>
      </c>
      <c r="AG80" s="68" t="n">
        <f aca="false">AG76+AG77+AG79</f>
        <v>24408.8110730229</v>
      </c>
      <c r="AH80" s="68" t="n">
        <f aca="false">AH76+AH77+AH79</f>
        <v>21357.4923551367</v>
      </c>
      <c r="AI80" s="68" t="n">
        <f aca="false">AI76+AI77+AI79</f>
        <v>388.094956120633</v>
      </c>
      <c r="AJ80" s="68" t="n">
        <f aca="false">AJ76+AJ77+AJ79</f>
        <v>-9227.28269630467</v>
      </c>
      <c r="AK80" s="68" t="n">
        <f aca="false">AK76+AK77+AK79</f>
        <v>-9199.50491852689</v>
      </c>
      <c r="AL80" s="68" t="n">
        <f aca="false">AL76+AL77+AL79</f>
        <v>-9171.72714074912</v>
      </c>
    </row>
    <row r="81" customFormat="false" ht="15" hidden="false" customHeight="false" outlineLevel="0" collapsed="false">
      <c r="A81" s="6" t="s">
        <v>332</v>
      </c>
      <c r="C81" s="67" t="n">
        <f aca="false">0</f>
        <v>0</v>
      </c>
      <c r="D81" s="67" t="n">
        <f aca="false">C82</f>
        <v>326889.315438034</v>
      </c>
      <c r="E81" s="67" t="n">
        <f aca="false">D82</f>
        <v>315090.634615385</v>
      </c>
      <c r="F81" s="67" t="n">
        <f aca="false">E82</f>
        <v>303319.731570513</v>
      </c>
      <c r="G81" s="67" t="n">
        <f aca="false">F82</f>
        <v>291576.606303419</v>
      </c>
      <c r="H81" s="67" t="n">
        <f aca="false">G82</f>
        <v>279861.258814103</v>
      </c>
      <c r="I81" s="67" t="n">
        <f aca="false">H82</f>
        <v>286621.84017094</v>
      </c>
      <c r="J81" s="67" t="n">
        <f aca="false">I82</f>
        <v>300799.150160256</v>
      </c>
      <c r="K81" s="67" t="n">
        <f aca="false">J82</f>
        <v>311989.06416453</v>
      </c>
      <c r="L81" s="67" t="n">
        <f aca="false">K82</f>
        <v>307773.778641026</v>
      </c>
      <c r="M81" s="67" t="n">
        <f aca="false">L82</f>
        <v>296197.320040598</v>
      </c>
      <c r="N81" s="67" t="n">
        <f aca="false">M82</f>
        <v>284648.639217949</v>
      </c>
      <c r="O81" s="67" t="n">
        <f aca="false">N82</f>
        <v>273127.736173077</v>
      </c>
      <c r="P81" s="67" t="n">
        <f aca="false">O82</f>
        <v>223689.268064359</v>
      </c>
      <c r="Q81" s="67" t="n">
        <f aca="false">P82</f>
        <v>213006.06888812</v>
      </c>
      <c r="R81" s="67" t="n">
        <f aca="false">Q82</f>
        <v>202350.647489658</v>
      </c>
      <c r="S81" s="67" t="n">
        <f aca="false">R82</f>
        <v>191723.003868974</v>
      </c>
      <c r="T81" s="67" t="n">
        <f aca="false">S82</f>
        <v>181123.138026068</v>
      </c>
      <c r="U81" s="67" t="n">
        <f aca="false">T82</f>
        <v>191626.217741453</v>
      </c>
      <c r="V81" s="67" t="n">
        <f aca="false">U82</f>
        <v>210598.212691025</v>
      </c>
      <c r="W81" s="67" t="n">
        <f aca="false">V82</f>
        <v>229597.985418376</v>
      </c>
      <c r="X81" s="67" t="n">
        <f aca="false">W82</f>
        <v>227550.368142991</v>
      </c>
      <c r="Y81" s="67" t="n">
        <f aca="false">X82</f>
        <v>217089.391188974</v>
      </c>
      <c r="Z81" s="67" t="n">
        <f aca="false">Y82</f>
        <v>206656.192012735</v>
      </c>
      <c r="AA81" s="67" t="n">
        <f aca="false">Z82</f>
        <v>196250.770614273</v>
      </c>
      <c r="AB81" s="67" t="n">
        <f aca="false">AA82</f>
        <v>143435.103040038</v>
      </c>
      <c r="AC81" s="67" t="n">
        <f aca="false">AB82</f>
        <v>133985.598121511</v>
      </c>
      <c r="AD81" s="67" t="n">
        <f aca="false">AC82</f>
        <v>124563.870980762</v>
      </c>
      <c r="AE81" s="67" t="n">
        <f aca="false">AD82</f>
        <v>115169.921617791</v>
      </c>
      <c r="AF81" s="67" t="n">
        <f aca="false">AE82</f>
        <v>105803.750032597</v>
      </c>
      <c r="AG81" s="67" t="n">
        <f aca="false">AF82</f>
        <v>120541.627897639</v>
      </c>
      <c r="AH81" s="67" t="n">
        <f aca="false">AG82</f>
        <v>144950.438970662</v>
      </c>
      <c r="AI81" s="67" t="n">
        <f aca="false">AH82</f>
        <v>166307.931325799</v>
      </c>
      <c r="AJ81" s="67" t="n">
        <f aca="false">AI82</f>
        <v>166696.02628192</v>
      </c>
      <c r="AK81" s="67" t="n">
        <f aca="false">AJ82</f>
        <v>157468.743585615</v>
      </c>
      <c r="AL81" s="67" t="n">
        <f aca="false">AK82</f>
        <v>148269.238667088</v>
      </c>
    </row>
    <row r="82" customFormat="false" ht="15" hidden="false" customHeight="false" outlineLevel="0" collapsed="false">
      <c r="A82" s="113" t="s">
        <v>86</v>
      </c>
      <c r="C82" s="68" t="n">
        <f aca="false">C81+C80</f>
        <v>326889.315438034</v>
      </c>
      <c r="D82" s="68" t="n">
        <f aca="false">D81+D80</f>
        <v>315090.634615385</v>
      </c>
      <c r="E82" s="68" t="n">
        <f aca="false">E81+E80</f>
        <v>303319.731570513</v>
      </c>
      <c r="F82" s="68" t="n">
        <f aca="false">F81+F80</f>
        <v>291576.606303419</v>
      </c>
      <c r="G82" s="68" t="n">
        <f aca="false">G81+G80</f>
        <v>279861.258814103</v>
      </c>
      <c r="H82" s="68" t="n">
        <f aca="false">H81+H80</f>
        <v>286621.84017094</v>
      </c>
      <c r="I82" s="68" t="n">
        <f aca="false">I81+I80</f>
        <v>300799.150160256</v>
      </c>
      <c r="J82" s="68" t="n">
        <f aca="false">J81+J80</f>
        <v>311989.06416453</v>
      </c>
      <c r="K82" s="68" t="n">
        <f aca="false">K81+K80</f>
        <v>307773.778641026</v>
      </c>
      <c r="L82" s="68" t="n">
        <f aca="false">L81+L80</f>
        <v>296197.320040598</v>
      </c>
      <c r="M82" s="68" t="n">
        <f aca="false">M81+M80</f>
        <v>284648.639217949</v>
      </c>
      <c r="N82" s="68" t="n">
        <f aca="false">N81+N80</f>
        <v>273127.736173077</v>
      </c>
      <c r="O82" s="68" t="n">
        <f aca="false">O81+O80</f>
        <v>223689.268064359</v>
      </c>
      <c r="P82" s="68" t="n">
        <f aca="false">P81+P80</f>
        <v>213006.06888812</v>
      </c>
      <c r="Q82" s="68" t="n">
        <f aca="false">Q81+Q80</f>
        <v>202350.647489658</v>
      </c>
      <c r="R82" s="68" t="n">
        <f aca="false">R81+R80</f>
        <v>191723.003868974</v>
      </c>
      <c r="S82" s="68" t="n">
        <f aca="false">S81+S80</f>
        <v>181123.138026068</v>
      </c>
      <c r="T82" s="68" t="n">
        <f aca="false">T81+T80</f>
        <v>191626.217741453</v>
      </c>
      <c r="U82" s="68" t="n">
        <f aca="false">U81+U80</f>
        <v>210598.212691025</v>
      </c>
      <c r="V82" s="68" t="n">
        <f aca="false">V81+V80</f>
        <v>229597.985418376</v>
      </c>
      <c r="W82" s="68" t="n">
        <f aca="false">W81+W80</f>
        <v>227550.368142991</v>
      </c>
      <c r="X82" s="68" t="n">
        <f aca="false">X81+X80</f>
        <v>217089.391188974</v>
      </c>
      <c r="Y82" s="68" t="n">
        <f aca="false">Y81+Y80</f>
        <v>206656.192012735</v>
      </c>
      <c r="Z82" s="68" t="n">
        <f aca="false">Z81+Z80</f>
        <v>196250.770614273</v>
      </c>
      <c r="AA82" s="68" t="n">
        <f aca="false">AA81+AA80</f>
        <v>143435.103040038</v>
      </c>
      <c r="AB82" s="68" t="n">
        <f aca="false">AB81+AB80</f>
        <v>133985.598121511</v>
      </c>
      <c r="AC82" s="68" t="n">
        <f aca="false">AC81+AC80</f>
        <v>124563.870980762</v>
      </c>
      <c r="AD82" s="68" t="n">
        <f aca="false">AD81+AD80</f>
        <v>115169.921617791</v>
      </c>
      <c r="AE82" s="68" t="n">
        <f aca="false">AE81+AE80</f>
        <v>105803.750032597</v>
      </c>
      <c r="AF82" s="68" t="n">
        <f aca="false">AF81+AF80</f>
        <v>120541.627897639</v>
      </c>
      <c r="AG82" s="68" t="n">
        <f aca="false">AG81+AG80</f>
        <v>144950.438970662</v>
      </c>
      <c r="AH82" s="68" t="n">
        <f aca="false">AH81+AH80</f>
        <v>166307.931325799</v>
      </c>
      <c r="AI82" s="68" t="n">
        <f aca="false">AI81+AI80</f>
        <v>166696.02628192</v>
      </c>
      <c r="AJ82" s="68" t="n">
        <f aca="false">AJ81+AJ80</f>
        <v>157468.743585615</v>
      </c>
      <c r="AK82" s="68" t="n">
        <f aca="false">AK81+AK80</f>
        <v>148269.238667088</v>
      </c>
      <c r="AL82" s="68" t="n">
        <f aca="false">AL81+AL80</f>
        <v>139097.511526339</v>
      </c>
    </row>
    <row r="83" customFormat="false" ht="15" hidden="false" customHeight="false" outlineLevel="0" collapsed="false">
      <c r="A83" s="121" t="s">
        <v>401</v>
      </c>
      <c r="C83" s="117" t="n">
        <f aca="false">IF(C43&gt;0,1,0)</f>
        <v>0</v>
      </c>
      <c r="D83" s="117" t="n">
        <f aca="false">IF(D43&gt;0,1,0)</f>
        <v>0</v>
      </c>
      <c r="E83" s="117" t="n">
        <f aca="false">IF(E43&gt;0,1,0)</f>
        <v>0</v>
      </c>
      <c r="F83" s="117" t="n">
        <f aca="false">IF(F43&gt;0,1,0)</f>
        <v>0</v>
      </c>
      <c r="G83" s="117" t="n">
        <f aca="false">IF(G43&gt;0,1,0)</f>
        <v>0</v>
      </c>
      <c r="H83" s="117" t="n">
        <f aca="false">IF(H43&gt;0,1,0)</f>
        <v>1</v>
      </c>
      <c r="I83" s="117" t="n">
        <f aca="false">IF(I43&gt;0,1,0)</f>
        <v>1</v>
      </c>
      <c r="J83" s="117" t="n">
        <f aca="false">IF(J43&gt;0,1,0)</f>
        <v>1</v>
      </c>
      <c r="K83" s="117" t="n">
        <f aca="false">IF(K43&gt;0,1,0)</f>
        <v>0</v>
      </c>
      <c r="L83" s="117" t="n">
        <f aca="false">IF(L43&gt;0,1,0)</f>
        <v>0</v>
      </c>
      <c r="M83" s="117" t="n">
        <f aca="false">IF(M43&gt;0,1,0)</f>
        <v>0</v>
      </c>
      <c r="N83" s="117" t="n">
        <f aca="false">IF(N43&gt;0,1,0)</f>
        <v>0</v>
      </c>
      <c r="O83" s="117" t="n">
        <f aca="false">IF(O43&gt;0,1,0)</f>
        <v>0</v>
      </c>
      <c r="P83" s="117" t="n">
        <f aca="false">IF(P43&gt;0,1,0)</f>
        <v>0</v>
      </c>
      <c r="Q83" s="117" t="n">
        <f aca="false">IF(Q43&gt;0,1,0)</f>
        <v>0</v>
      </c>
      <c r="R83" s="117" t="n">
        <f aca="false">IF(R43&gt;0,1,0)</f>
        <v>0</v>
      </c>
      <c r="S83" s="117" t="n">
        <f aca="false">IF(S43&gt;0,1,0)</f>
        <v>0</v>
      </c>
      <c r="T83" s="117" t="n">
        <f aca="false">IF(T43&gt;0,1,0)</f>
        <v>1</v>
      </c>
      <c r="U83" s="117" t="n">
        <f aca="false">IF(U43&gt;0,1,0)</f>
        <v>1</v>
      </c>
      <c r="V83" s="117" t="n">
        <f aca="false">IF(V43&gt;0,1,0)</f>
        <v>1</v>
      </c>
      <c r="W83" s="117" t="n">
        <f aca="false">IF(W43&gt;0,1,0)</f>
        <v>0</v>
      </c>
      <c r="X83" s="117" t="n">
        <f aca="false">IF(X43&gt;0,1,0)</f>
        <v>0</v>
      </c>
      <c r="Y83" s="117" t="n">
        <f aca="false">IF(Y43&gt;0,1,0)</f>
        <v>0</v>
      </c>
      <c r="Z83" s="117" t="n">
        <f aca="false">IF(Z43&gt;0,1,0)</f>
        <v>0</v>
      </c>
      <c r="AA83" s="117" t="n">
        <f aca="false">IF(AA43&gt;0,1,0)</f>
        <v>0</v>
      </c>
      <c r="AB83" s="117" t="n">
        <f aca="false">IF(AB43&gt;0,1,0)</f>
        <v>0</v>
      </c>
      <c r="AC83" s="117" t="n">
        <f aca="false">IF(AC43&gt;0,1,0)</f>
        <v>0</v>
      </c>
      <c r="AD83" s="117" t="n">
        <f aca="false">IF(AD43&gt;0,1,0)</f>
        <v>0</v>
      </c>
      <c r="AE83" s="117" t="n">
        <f aca="false">IF(AE43&gt;0,1,0)</f>
        <v>0</v>
      </c>
      <c r="AF83" s="117" t="n">
        <f aca="false">IF(AF43&gt;0,1,0)</f>
        <v>1</v>
      </c>
      <c r="AG83" s="117" t="n">
        <f aca="false">IF(AG43&gt;0,1,0)</f>
        <v>1</v>
      </c>
      <c r="AH83" s="117" t="n">
        <f aca="false">IF(AH43&gt;0,1,0)</f>
        <v>1</v>
      </c>
      <c r="AI83" s="117" t="n">
        <f aca="false">IF(AI43&gt;0,1,0)</f>
        <v>0</v>
      </c>
      <c r="AJ83" s="117" t="n">
        <f aca="false">IF(AJ43&gt;0,1,0)</f>
        <v>0</v>
      </c>
      <c r="AK83" s="117" t="n">
        <f aca="false">IF(AK43&gt;0,1,0)</f>
        <v>0</v>
      </c>
      <c r="AL83" s="117" t="n">
        <f aca="false">IF(AL43&gt;0,1,0)</f>
        <v>0</v>
      </c>
    </row>
    <row r="85" customFormat="false" ht="15.75" hidden="false" customHeight="true" outlineLevel="0" collapsed="false">
      <c r="A85" s="7" t="s">
        <v>402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121" t="s">
        <v>403</v>
      </c>
      <c r="C86" s="117" t="n">
        <f aca="false">IF(C52&gt;0,1,0)</f>
        <v>0</v>
      </c>
      <c r="D86" s="117" t="n">
        <f aca="false">IF(D52&gt;0,1,0)</f>
        <v>0</v>
      </c>
      <c r="E86" s="117" t="n">
        <f aca="false">IF(E52&gt;0,1,0)</f>
        <v>0</v>
      </c>
      <c r="F86" s="117" t="n">
        <f aca="false">IF(F52&gt;0,1,0)</f>
        <v>0</v>
      </c>
      <c r="G86" s="117" t="n">
        <f aca="false">IF(G52&gt;0,1,0)</f>
        <v>0</v>
      </c>
      <c r="H86" s="117" t="n">
        <f aca="false">IF(H52&gt;0,1,0)</f>
        <v>1</v>
      </c>
      <c r="I86" s="117" t="n">
        <f aca="false">IF(I52&gt;0,1,0)</f>
        <v>1</v>
      </c>
      <c r="J86" s="117" t="n">
        <f aca="false">IF(J52&gt;0,1,0)</f>
        <v>1</v>
      </c>
      <c r="K86" s="117" t="n">
        <f aca="false">IF(K52&gt;0,1,0)</f>
        <v>0</v>
      </c>
      <c r="L86" s="117" t="n">
        <f aca="false">IF(L52&gt;0,1,0)</f>
        <v>0</v>
      </c>
      <c r="M86" s="117" t="n">
        <f aca="false">IF(M52&gt;0,1,0)</f>
        <v>0</v>
      </c>
      <c r="N86" s="117" t="n">
        <f aca="false">IF(N52&gt;0,1,0)</f>
        <v>0</v>
      </c>
      <c r="O86" s="117" t="n">
        <f aca="false">IF(O52&gt;0,1,0)</f>
        <v>0</v>
      </c>
      <c r="P86" s="117" t="n">
        <f aca="false">IF(P52&gt;0,1,0)</f>
        <v>0</v>
      </c>
      <c r="Q86" s="117" t="n">
        <f aca="false">IF(Q52&gt;0,1,0)</f>
        <v>0</v>
      </c>
      <c r="R86" s="117" t="n">
        <f aca="false">IF(R52&gt;0,1,0)</f>
        <v>0</v>
      </c>
      <c r="S86" s="117" t="n">
        <f aca="false">IF(S52&gt;0,1,0)</f>
        <v>0</v>
      </c>
      <c r="T86" s="117" t="n">
        <f aca="false">IF(T52&gt;0,1,0)</f>
        <v>1</v>
      </c>
      <c r="U86" s="117" t="n">
        <f aca="false">IF(U52&gt;0,1,0)</f>
        <v>1</v>
      </c>
      <c r="V86" s="117" t="n">
        <f aca="false">IF(V52&gt;0,1,0)</f>
        <v>1</v>
      </c>
      <c r="W86" s="117" t="n">
        <f aca="false">IF(W52&gt;0,1,0)</f>
        <v>0</v>
      </c>
      <c r="X86" s="117" t="n">
        <f aca="false">IF(X52&gt;0,1,0)</f>
        <v>0</v>
      </c>
      <c r="Y86" s="117" t="n">
        <f aca="false">IF(Y52&gt;0,1,0)</f>
        <v>0</v>
      </c>
      <c r="Z86" s="117" t="n">
        <f aca="false">IF(Z52&gt;0,1,0)</f>
        <v>0</v>
      </c>
      <c r="AA86" s="117" t="n">
        <f aca="false">IF(AA52&gt;0,1,0)</f>
        <v>0</v>
      </c>
      <c r="AB86" s="117" t="n">
        <f aca="false">IF(AB52&gt;0,1,0)</f>
        <v>0</v>
      </c>
      <c r="AC86" s="117" t="n">
        <f aca="false">IF(AC52&gt;0,1,0)</f>
        <v>0</v>
      </c>
      <c r="AD86" s="117" t="n">
        <f aca="false">IF(AD52&gt;0,1,0)</f>
        <v>0</v>
      </c>
      <c r="AE86" s="117" t="n">
        <f aca="false">IF(AE52&gt;0,1,0)</f>
        <v>0</v>
      </c>
      <c r="AF86" s="117" t="n">
        <f aca="false">IF(AF52&gt;0,1,0)</f>
        <v>1</v>
      </c>
      <c r="AG86" s="117" t="n">
        <f aca="false">IF(AG52&gt;0,1,0)</f>
        <v>1</v>
      </c>
      <c r="AH86" s="117" t="n">
        <f aca="false">IF(AH52&gt;0,1,0)</f>
        <v>1</v>
      </c>
      <c r="AI86" s="117" t="n">
        <f aca="false">IF(AI52&gt;0,1,0)</f>
        <v>0</v>
      </c>
      <c r="AJ86" s="117" t="n">
        <f aca="false">IF(AJ52&gt;0,1,0)</f>
        <v>0</v>
      </c>
      <c r="AK86" s="117" t="n">
        <f aca="false">IF(AK52&gt;0,1,0)</f>
        <v>0</v>
      </c>
      <c r="AL86" s="117" t="n">
        <f aca="false">IF(AL52&gt;0,1,0)</f>
        <v>0</v>
      </c>
    </row>
    <row r="87" customFormat="false" ht="15" hidden="false" customHeight="false" outlineLevel="0" collapsed="false">
      <c r="A87" s="6" t="s">
        <v>404</v>
      </c>
      <c r="C87" s="67" t="n">
        <f aca="false">C76+C77</f>
        <v>-23110.6845619658</v>
      </c>
      <c r="D87" s="67" t="n">
        <f aca="false">D76+D77</f>
        <v>-7632.01415598291</v>
      </c>
      <c r="E87" s="67" t="n">
        <f aca="false">E76+E77</f>
        <v>-7604.23637820513</v>
      </c>
      <c r="F87" s="67" t="n">
        <f aca="false">F76+F77</f>
        <v>-7576.45860042736</v>
      </c>
      <c r="G87" s="67" t="n">
        <f aca="false">G76+G77</f>
        <v>-7548.68082264958</v>
      </c>
      <c r="H87" s="67" t="n">
        <f aca="false">H76+H77</f>
        <v>10927.2480235043</v>
      </c>
      <c r="I87" s="67" t="n">
        <f aca="false">I76+I77</f>
        <v>18343.9766559829</v>
      </c>
      <c r="J87" s="67" t="n">
        <f aca="false">J76+J77</f>
        <v>15356.5806709402</v>
      </c>
      <c r="K87" s="67" t="n">
        <f aca="false">K76+K77</f>
        <v>-48.6188568376037</v>
      </c>
      <c r="L87" s="67" t="n">
        <f aca="false">L76+L77</f>
        <v>-7409.79193376069</v>
      </c>
      <c r="M87" s="67" t="n">
        <f aca="false">M76+M77</f>
        <v>-7382.01415598291</v>
      </c>
      <c r="N87" s="67" t="n">
        <f aca="false">N76+N77</f>
        <v>-7354.23637820513</v>
      </c>
      <c r="O87" s="67" t="n">
        <f aca="false">O76+O77</f>
        <v>-45271.8014420513</v>
      </c>
      <c r="P87" s="67" t="n">
        <f aca="false">P76+P77</f>
        <v>-6516.53250957267</v>
      </c>
      <c r="Q87" s="67" t="n">
        <f aca="false">Q76+Q77</f>
        <v>-6488.7547317949</v>
      </c>
      <c r="R87" s="67" t="n">
        <f aca="false">R76+R77</f>
        <v>-6460.97695401712</v>
      </c>
      <c r="S87" s="67" t="n">
        <f aca="false">S76+S77</f>
        <v>-6433.19917623934</v>
      </c>
      <c r="T87" s="67" t="n">
        <f aca="false">T76+T77</f>
        <v>14669.7463820513</v>
      </c>
      <c r="U87" s="67" t="n">
        <f aca="false">U76+U77</f>
        <v>23138.6616162393</v>
      </c>
      <c r="V87" s="67" t="n">
        <f aca="false">V76+V77</f>
        <v>23166.4393940171</v>
      </c>
      <c r="W87" s="67" t="n">
        <f aca="false">W76+W77</f>
        <v>2119.04939128204</v>
      </c>
      <c r="X87" s="67" t="n">
        <f aca="false">X76+X77</f>
        <v>-6294.31028735045</v>
      </c>
      <c r="Y87" s="67" t="n">
        <f aca="false">Y76+Y77</f>
        <v>-6266.53250957267</v>
      </c>
      <c r="Z87" s="67" t="n">
        <f aca="false">Z76+Z77</f>
        <v>-6238.7547317949</v>
      </c>
      <c r="AA87" s="67" t="n">
        <f aca="false">AA76+AA77</f>
        <v>-48649.0009075683</v>
      </c>
      <c r="AB87" s="67" t="n">
        <f aca="false">AB76+AB77</f>
        <v>-5282.83825186023</v>
      </c>
      <c r="AC87" s="67" t="n">
        <f aca="false">AC76+AC77</f>
        <v>-5255.06047408245</v>
      </c>
      <c r="AD87" s="67" t="n">
        <f aca="false">AD76+AD77</f>
        <v>-5227.28269630467</v>
      </c>
      <c r="AE87" s="67" t="n">
        <f aca="false">AE76+AE77</f>
        <v>-5199.50491852689</v>
      </c>
      <c r="AF87" s="67" t="n">
        <f aca="false">AF76+AF77</f>
        <v>18904.5445317088</v>
      </c>
      <c r="AG87" s="67" t="n">
        <f aca="false">AG76+AG77</f>
        <v>28575.4777396896</v>
      </c>
      <c r="AH87" s="67" t="n">
        <f aca="false">AH76+AH77</f>
        <v>25524.1590218034</v>
      </c>
      <c r="AI87" s="67" t="n">
        <f aca="false">AI76+AI77</f>
        <v>4554.7616227873</v>
      </c>
      <c r="AJ87" s="67" t="n">
        <f aca="false">AJ76+AJ77</f>
        <v>-5060.616029638</v>
      </c>
      <c r="AK87" s="67" t="n">
        <f aca="false">AK76+AK77</f>
        <v>-5032.83825186023</v>
      </c>
      <c r="AL87" s="67" t="n">
        <f aca="false">AL76+AL77</f>
        <v>-5005.06047408245</v>
      </c>
    </row>
    <row r="88" customFormat="false" ht="15" hidden="false" customHeight="false" outlineLevel="0" collapsed="false">
      <c r="A88" s="6" t="s">
        <v>405</v>
      </c>
      <c r="C88" s="67" t="n">
        <f aca="false">C87</f>
        <v>-23110.6845619658</v>
      </c>
      <c r="D88" s="67" t="n">
        <f aca="false">C88+D87</f>
        <v>-30742.6987179487</v>
      </c>
      <c r="E88" s="67" t="n">
        <f aca="false">D88+E87</f>
        <v>-38346.9350961539</v>
      </c>
      <c r="F88" s="67" t="n">
        <f aca="false">E88+F87</f>
        <v>-45923.3936965812</v>
      </c>
      <c r="G88" s="67" t="n">
        <f aca="false">F88+G87</f>
        <v>-53472.0745192308</v>
      </c>
      <c r="H88" s="67" t="n">
        <f aca="false">G88+H87</f>
        <v>-42544.8264957265</v>
      </c>
      <c r="I88" s="67" t="n">
        <f aca="false">H88+I87</f>
        <v>-24200.8498397437</v>
      </c>
      <c r="J88" s="67" t="n">
        <f aca="false">I88+J87</f>
        <v>-8844.26916880348</v>
      </c>
      <c r="K88" s="67" t="n">
        <f aca="false">J88+K87</f>
        <v>-8892.88802564108</v>
      </c>
      <c r="L88" s="67" t="n">
        <f aca="false">K88+L87</f>
        <v>-16302.6799594018</v>
      </c>
      <c r="M88" s="67" t="n">
        <f aca="false">L88+M87</f>
        <v>-23684.6941153847</v>
      </c>
      <c r="N88" s="67" t="n">
        <f aca="false">M88+N87</f>
        <v>-31038.9304935898</v>
      </c>
      <c r="O88" s="67" t="n">
        <f aca="false">N88+O87</f>
        <v>-76310.7319356412</v>
      </c>
      <c r="P88" s="67" t="n">
        <f aca="false">O88+P87</f>
        <v>-82827.2644452138</v>
      </c>
      <c r="Q88" s="67" t="n">
        <f aca="false">P88+Q87</f>
        <v>-89316.0191770087</v>
      </c>
      <c r="R88" s="67" t="n">
        <f aca="false">Q88+R87</f>
        <v>-95776.9961310258</v>
      </c>
      <c r="S88" s="67" t="n">
        <f aca="false">R88+S87</f>
        <v>-102210.195307265</v>
      </c>
      <c r="T88" s="67" t="n">
        <f aca="false">S88+T87</f>
        <v>-87540.4489252139</v>
      </c>
      <c r="U88" s="67" t="n">
        <f aca="false">T88+U87</f>
        <v>-64401.7873089746</v>
      </c>
      <c r="V88" s="67" t="n">
        <f aca="false">U88+V87</f>
        <v>-41235.3479149575</v>
      </c>
      <c r="W88" s="67" t="n">
        <f aca="false">V88+W87</f>
        <v>-39116.2985236755</v>
      </c>
      <c r="X88" s="67" t="n">
        <f aca="false">W88+X87</f>
        <v>-45410.6088110259</v>
      </c>
      <c r="Y88" s="67" t="n">
        <f aca="false">X88+Y87</f>
        <v>-51677.1413205986</v>
      </c>
      <c r="Z88" s="67" t="n">
        <f aca="false">Y88+Z87</f>
        <v>-57915.8960523935</v>
      </c>
      <c r="AA88" s="67" t="n">
        <f aca="false">Z88+AA87</f>
        <v>-106564.896959962</v>
      </c>
      <c r="AB88" s="67" t="n">
        <f aca="false">AA88+AB87</f>
        <v>-111847.735211822</v>
      </c>
      <c r="AC88" s="67" t="n">
        <f aca="false">AB88+AC87</f>
        <v>-117102.795685904</v>
      </c>
      <c r="AD88" s="67" t="n">
        <f aca="false">AC88+AD87</f>
        <v>-122330.078382209</v>
      </c>
      <c r="AE88" s="67" t="n">
        <f aca="false">AD88+AE87</f>
        <v>-127529.583300736</v>
      </c>
      <c r="AF88" s="67" t="n">
        <f aca="false">AE88+AF87</f>
        <v>-108625.038769027</v>
      </c>
      <c r="AG88" s="67" t="n">
        <f aca="false">AF88+AG87</f>
        <v>-80049.5610293376</v>
      </c>
      <c r="AH88" s="67" t="n">
        <f aca="false">AG88+AH87</f>
        <v>-54525.4020075342</v>
      </c>
      <c r="AI88" s="67" t="n">
        <f aca="false">AH88+AI87</f>
        <v>-49970.6403847469</v>
      </c>
      <c r="AJ88" s="67" t="n">
        <f aca="false">AI88+AJ87</f>
        <v>-55031.2564143849</v>
      </c>
      <c r="AK88" s="67" t="n">
        <f aca="false">AJ88+AK87</f>
        <v>-60064.0946662452</v>
      </c>
      <c r="AL88" s="67" t="n">
        <f aca="false">AK88+AL87</f>
        <v>-65069.1551403276</v>
      </c>
    </row>
    <row r="89" customFormat="false" ht="15" hidden="false" customHeight="false" outlineLevel="0" collapsed="false">
      <c r="A89" s="121" t="s">
        <v>406</v>
      </c>
      <c r="C89" s="67" t="n">
        <f aca="false">C88</f>
        <v>-23110.6845619658</v>
      </c>
      <c r="D89" s="67" t="n">
        <f aca="false">MIN(C89,D88)</f>
        <v>-30742.6987179487</v>
      </c>
      <c r="E89" s="67" t="n">
        <f aca="false">MIN(D89,E88)</f>
        <v>-38346.9350961539</v>
      </c>
      <c r="F89" s="67" t="n">
        <f aca="false">MIN(E89,F88)</f>
        <v>-45923.3936965812</v>
      </c>
      <c r="G89" s="67" t="n">
        <f aca="false">MIN(F89,G88)</f>
        <v>-53472.0745192308</v>
      </c>
      <c r="H89" s="67" t="n">
        <f aca="false">MIN(G89,H88)</f>
        <v>-53472.0745192308</v>
      </c>
      <c r="I89" s="67" t="n">
        <f aca="false">MIN(H89,I88)</f>
        <v>-53472.0745192308</v>
      </c>
      <c r="J89" s="67" t="n">
        <f aca="false">MIN(I89,J88)</f>
        <v>-53472.0745192308</v>
      </c>
      <c r="K89" s="67" t="n">
        <f aca="false">MIN(J89,K88)</f>
        <v>-53472.0745192308</v>
      </c>
      <c r="L89" s="67" t="n">
        <f aca="false">MIN(K89,L88)</f>
        <v>-53472.0745192308</v>
      </c>
      <c r="M89" s="67" t="n">
        <f aca="false">MIN(L89,M88)</f>
        <v>-53472.0745192308</v>
      </c>
      <c r="N89" s="67" t="n">
        <f aca="false">MIN(M89,N88)</f>
        <v>-53472.0745192308</v>
      </c>
      <c r="O89" s="67" t="n">
        <f aca="false">MIN(N89,O88)</f>
        <v>-76310.7319356412</v>
      </c>
      <c r="P89" s="67" t="n">
        <f aca="false">MIN(O89,P88)</f>
        <v>-82827.2644452138</v>
      </c>
      <c r="Q89" s="67" t="n">
        <f aca="false">MIN(P89,Q88)</f>
        <v>-89316.0191770087</v>
      </c>
      <c r="R89" s="67" t="n">
        <f aca="false">MIN(Q89,R88)</f>
        <v>-95776.9961310258</v>
      </c>
      <c r="S89" s="67" t="n">
        <f aca="false">MIN(R89,S88)</f>
        <v>-102210.195307265</v>
      </c>
      <c r="T89" s="67" t="n">
        <f aca="false">MIN(S89,T88)</f>
        <v>-102210.195307265</v>
      </c>
      <c r="U89" s="67" t="n">
        <f aca="false">MIN(T89,U88)</f>
        <v>-102210.195307265</v>
      </c>
      <c r="V89" s="67" t="n">
        <f aca="false">MIN(U89,V88)</f>
        <v>-102210.195307265</v>
      </c>
      <c r="W89" s="67" t="n">
        <f aca="false">MIN(V89,W88)</f>
        <v>-102210.195307265</v>
      </c>
      <c r="X89" s="67" t="n">
        <f aca="false">MIN(W89,X88)</f>
        <v>-102210.195307265</v>
      </c>
      <c r="Y89" s="67" t="n">
        <f aca="false">MIN(X89,Y88)</f>
        <v>-102210.195307265</v>
      </c>
      <c r="Z89" s="67" t="n">
        <f aca="false">MIN(Y89,Z88)</f>
        <v>-102210.195307265</v>
      </c>
      <c r="AA89" s="67" t="n">
        <f aca="false">MIN(Z89,AA88)</f>
        <v>-106564.896959962</v>
      </c>
      <c r="AB89" s="67" t="n">
        <f aca="false">MIN(AA89,AB88)</f>
        <v>-111847.735211822</v>
      </c>
      <c r="AC89" s="67" t="n">
        <f aca="false">MIN(AB89,AC88)</f>
        <v>-117102.795685904</v>
      </c>
      <c r="AD89" s="67" t="n">
        <f aca="false">MIN(AC89,AD88)</f>
        <v>-122330.078382209</v>
      </c>
      <c r="AE89" s="67" t="n">
        <f aca="false">MIN(AD89,AE88)</f>
        <v>-127529.583300736</v>
      </c>
      <c r="AF89" s="67" t="n">
        <f aca="false">MIN(AE89,AF88)</f>
        <v>-127529.583300736</v>
      </c>
      <c r="AG89" s="67" t="n">
        <f aca="false">MIN(AF89,AG88)</f>
        <v>-127529.583300736</v>
      </c>
      <c r="AH89" s="67" t="n">
        <f aca="false">MIN(AG89,AH88)</f>
        <v>-127529.583300736</v>
      </c>
      <c r="AI89" s="67" t="n">
        <f aca="false">MIN(AH89,AI88)</f>
        <v>-127529.583300736</v>
      </c>
      <c r="AJ89" s="67" t="n">
        <f aca="false">MIN(AI89,AJ88)</f>
        <v>-127529.583300736</v>
      </c>
      <c r="AK89" s="67" t="n">
        <f aca="false">MIN(AJ89,AK88)</f>
        <v>-127529.583300736</v>
      </c>
      <c r="AL89" s="67" t="n">
        <f aca="false">MIN(AK89,AL88)</f>
        <v>-127529.583300736</v>
      </c>
    </row>
    <row r="90" customFormat="false" ht="15" hidden="false" customHeight="false" outlineLevel="0" collapsed="false">
      <c r="A90" s="121" t="s">
        <v>407</v>
      </c>
      <c r="C90" s="117" t="n">
        <f aca="false">IF(AND(C88&gt;=0,C89&lt;0),1,0)</f>
        <v>0</v>
      </c>
      <c r="D90" s="117" t="n">
        <f aca="false">IF(AND(D88&gt;=0,D89&lt;0),1,0)</f>
        <v>0</v>
      </c>
      <c r="E90" s="117" t="n">
        <f aca="false">IF(AND(E88&gt;=0,E89&lt;0),1,0)</f>
        <v>0</v>
      </c>
      <c r="F90" s="117" t="n">
        <f aca="false">IF(AND(F88&gt;=0,F89&lt;0),1,0)</f>
        <v>0</v>
      </c>
      <c r="G90" s="117" t="n">
        <f aca="false">IF(AND(G88&gt;=0,G89&lt;0),1,0)</f>
        <v>0</v>
      </c>
      <c r="H90" s="117" t="n">
        <f aca="false">IF(AND(H88&gt;=0,H89&lt;0),1,0)</f>
        <v>0</v>
      </c>
      <c r="I90" s="117" t="n">
        <f aca="false">IF(AND(I88&gt;=0,I89&lt;0),1,0)</f>
        <v>0</v>
      </c>
      <c r="J90" s="117" t="n">
        <f aca="false">IF(AND(J88&gt;=0,J89&lt;0),1,0)</f>
        <v>0</v>
      </c>
      <c r="K90" s="117" t="n">
        <f aca="false">IF(AND(K88&gt;=0,K89&lt;0),1,0)</f>
        <v>0</v>
      </c>
      <c r="L90" s="117" t="n">
        <f aca="false">IF(AND(L88&gt;=0,L89&lt;0),1,0)</f>
        <v>0</v>
      </c>
      <c r="M90" s="117" t="n">
        <f aca="false">IF(AND(M88&gt;=0,M89&lt;0),1,0)</f>
        <v>0</v>
      </c>
      <c r="N90" s="117" t="n">
        <f aca="false">IF(AND(N88&gt;=0,N89&lt;0),1,0)</f>
        <v>0</v>
      </c>
      <c r="O90" s="117" t="n">
        <f aca="false">IF(AND(O88&gt;=0,O89&lt;0),1,0)</f>
        <v>0</v>
      </c>
      <c r="P90" s="117" t="n">
        <f aca="false">IF(AND(P88&gt;=0,P89&lt;0),1,0)</f>
        <v>0</v>
      </c>
      <c r="Q90" s="117" t="n">
        <f aca="false">IF(AND(Q88&gt;=0,Q89&lt;0),1,0)</f>
        <v>0</v>
      </c>
      <c r="R90" s="117" t="n">
        <f aca="false">IF(AND(R88&gt;=0,R89&lt;0),1,0)</f>
        <v>0</v>
      </c>
      <c r="S90" s="117" t="n">
        <f aca="false">IF(AND(S88&gt;=0,S89&lt;0),1,0)</f>
        <v>0</v>
      </c>
      <c r="T90" s="117" t="n">
        <f aca="false">IF(AND(T88&gt;=0,T89&lt;0),1,0)</f>
        <v>0</v>
      </c>
      <c r="U90" s="117" t="n">
        <f aca="false">IF(AND(U88&gt;=0,U89&lt;0),1,0)</f>
        <v>0</v>
      </c>
      <c r="V90" s="117" t="n">
        <f aca="false">IF(AND(V88&gt;=0,V89&lt;0),1,0)</f>
        <v>0</v>
      </c>
      <c r="W90" s="117" t="n">
        <f aca="false">IF(AND(W88&gt;=0,W89&lt;0),1,0)</f>
        <v>0</v>
      </c>
      <c r="X90" s="117" t="n">
        <f aca="false">IF(AND(X88&gt;=0,X89&lt;0),1,0)</f>
        <v>0</v>
      </c>
      <c r="Y90" s="117" t="n">
        <f aca="false">IF(AND(Y88&gt;=0,Y89&lt;0),1,0)</f>
        <v>0</v>
      </c>
      <c r="Z90" s="117" t="n">
        <f aca="false">IF(AND(Z88&gt;=0,Z89&lt;0),1,0)</f>
        <v>0</v>
      </c>
      <c r="AA90" s="117" t="n">
        <f aca="false">IF(AND(AA88&gt;=0,AA89&lt;0),1,0)</f>
        <v>0</v>
      </c>
      <c r="AB90" s="117" t="n">
        <f aca="false">IF(AND(AB88&gt;=0,AB89&lt;0),1,0)</f>
        <v>0</v>
      </c>
      <c r="AC90" s="117" t="n">
        <f aca="false">IF(AND(AC88&gt;=0,AC89&lt;0),1,0)</f>
        <v>0</v>
      </c>
      <c r="AD90" s="117" t="n">
        <f aca="false">IF(AND(AD88&gt;=0,AD89&lt;0),1,0)</f>
        <v>0</v>
      </c>
      <c r="AE90" s="117" t="n">
        <f aca="false">IF(AND(AE88&gt;=0,AE89&lt;0),1,0)</f>
        <v>0</v>
      </c>
      <c r="AF90" s="117" t="n">
        <f aca="false">IF(AND(AF88&gt;=0,AF89&lt;0),1,0)</f>
        <v>0</v>
      </c>
      <c r="AG90" s="117" t="n">
        <f aca="false">IF(AND(AG88&gt;=0,AG89&lt;0),1,0)</f>
        <v>0</v>
      </c>
      <c r="AH90" s="117" t="n">
        <f aca="false">IF(AND(AH88&gt;=0,AH89&lt;0),1,0)</f>
        <v>0</v>
      </c>
      <c r="AI90" s="117" t="n">
        <f aca="false">IF(AND(AI88&gt;=0,AI89&lt;0),1,0)</f>
        <v>0</v>
      </c>
      <c r="AJ90" s="117" t="n">
        <f aca="false">IF(AND(AJ88&gt;=0,AJ89&lt;0),1,0)</f>
        <v>0</v>
      </c>
      <c r="AK90" s="117" t="n">
        <f aca="false">IF(AND(AK88&gt;=0,AK89&lt;0),1,0)</f>
        <v>0</v>
      </c>
      <c r="AL90" s="117" t="n">
        <f aca="false">IF(AND(AL88&gt;=0,AL89&lt;0),1,0)</f>
        <v>0</v>
      </c>
    </row>
    <row r="91" customFormat="false" ht="15" hidden="false" customHeight="false" outlineLevel="0" collapsed="false">
      <c r="A91" s="6" t="s">
        <v>408</v>
      </c>
      <c r="C91" s="67" t="n">
        <f aca="false">C76-C47*(1-Inputs!$B$66)+C77</f>
        <v>-21794.0178952991</v>
      </c>
      <c r="D91" s="67" t="n">
        <f aca="false">D76-D47*(1-Inputs!$B$66)+D77</f>
        <v>-6326.31971153847</v>
      </c>
      <c r="E91" s="67" t="n">
        <f aca="false">E76-E47*(1-Inputs!$B$66)+E77</f>
        <v>-6320.48637820513</v>
      </c>
      <c r="F91" s="67" t="n">
        <f aca="false">F76-F47*(1-Inputs!$B$66)+F77</f>
        <v>-6314.6530448718</v>
      </c>
      <c r="G91" s="67" t="n">
        <f aca="false">G76-G47*(1-Inputs!$B$66)+G77</f>
        <v>-6308.81971153847</v>
      </c>
      <c r="H91" s="67" t="n">
        <f aca="false">H76-H47*(1-Inputs!$B$66)+H77</f>
        <v>12145.1646901709</v>
      </c>
      <c r="I91" s="67" t="n">
        <f aca="false">I76-I47*(1-Inputs!$B$66)+I77</f>
        <v>19539.9488782051</v>
      </c>
      <c r="J91" s="67" t="n">
        <f aca="false">J76-J47*(1-Inputs!$B$66)+J77</f>
        <v>16530.608448718</v>
      </c>
      <c r="K91" s="67" t="n">
        <f aca="false">K76-K47*(1-Inputs!$B$66)+K77</f>
        <v>1103.46447649573</v>
      </c>
      <c r="L91" s="67" t="n">
        <f aca="false">L76-L47*(1-Inputs!$B$66)+L77</f>
        <v>-6279.6530448718</v>
      </c>
      <c r="M91" s="67" t="n">
        <f aca="false">M76-M47*(1-Inputs!$B$66)+M77</f>
        <v>-6273.81971153847</v>
      </c>
      <c r="N91" s="67" t="n">
        <f aca="false">N76-N47*(1-Inputs!$B$66)+N77</f>
        <v>-6267.98637820513</v>
      </c>
      <c r="O91" s="67" t="n">
        <f aca="false">O76-O47*(1-Inputs!$B$66)+O77</f>
        <v>-44207.4958864958</v>
      </c>
      <c r="P91" s="67" t="n">
        <f aca="false">P76-P47*(1-Inputs!$B$66)+P77</f>
        <v>-5474.17139846156</v>
      </c>
      <c r="Q91" s="67" t="n">
        <f aca="false">Q76-Q47*(1-Inputs!$B$66)+Q77</f>
        <v>-5468.33806512823</v>
      </c>
      <c r="R91" s="67" t="n">
        <f aca="false">R76-R47*(1-Inputs!$B$66)+R77</f>
        <v>-5462.5047317949</v>
      </c>
      <c r="S91" s="67" t="n">
        <f aca="false">S76-S47*(1-Inputs!$B$66)+S77</f>
        <v>-5456.67139846156</v>
      </c>
      <c r="T91" s="67" t="n">
        <f aca="false">T76-T47*(1-Inputs!$B$66)+T77</f>
        <v>15624.3297153846</v>
      </c>
      <c r="U91" s="67" t="n">
        <f aca="false">U76-U47*(1-Inputs!$B$66)+U77</f>
        <v>24071.3005051282</v>
      </c>
      <c r="V91" s="67" t="n">
        <f aca="false">V76-V47*(1-Inputs!$B$66)+V77</f>
        <v>24077.1338384615</v>
      </c>
      <c r="W91" s="67" t="n">
        <f aca="false">W76-W47*(1-Inputs!$B$66)+W77</f>
        <v>3007.79939128204</v>
      </c>
      <c r="X91" s="67" t="n">
        <f aca="false">X76-X47*(1-Inputs!$B$66)+X77</f>
        <v>-5427.5047317949</v>
      </c>
      <c r="Y91" s="67" t="n">
        <f aca="false">Y76-Y47*(1-Inputs!$B$66)+Y77</f>
        <v>-5421.67139846156</v>
      </c>
      <c r="Z91" s="67" t="n">
        <f aca="false">Z76-Z47*(1-Inputs!$B$66)+Z77</f>
        <v>-5415.83806512823</v>
      </c>
      <c r="AA91" s="67" t="n">
        <f aca="false">AA76-AA47*(1-Inputs!$B$66)+AA77</f>
        <v>-47848.0286853461</v>
      </c>
      <c r="AB91" s="67" t="n">
        <f aca="false">AB76-AB47*(1-Inputs!$B$66)+AB77</f>
        <v>-4503.81047408245</v>
      </c>
      <c r="AC91" s="67" t="n">
        <f aca="false">AC76-AC47*(1-Inputs!$B$66)+AC77</f>
        <v>-4497.97714074911</v>
      </c>
      <c r="AD91" s="67" t="n">
        <f aca="false">AD76-AD47*(1-Inputs!$B$66)+AD77</f>
        <v>-4492.14380741578</v>
      </c>
      <c r="AE91" s="67" t="n">
        <f aca="false">AE76-AE47*(1-Inputs!$B$66)+AE77</f>
        <v>-4486.31047408245</v>
      </c>
      <c r="AF91" s="67" t="n">
        <f aca="false">AF76-AF47*(1-Inputs!$B$66)+AF77</f>
        <v>19595.7945317088</v>
      </c>
      <c r="AG91" s="67" t="n">
        <f aca="false">AG76-AG47*(1-Inputs!$B$66)+AG77</f>
        <v>29244.7832952452</v>
      </c>
      <c r="AH91" s="67" t="n">
        <f aca="false">AH76-AH47*(1-Inputs!$B$66)+AH77</f>
        <v>26171.5201329145</v>
      </c>
      <c r="AI91" s="67" t="n">
        <f aca="false">AI76-AI47*(1-Inputs!$B$66)+AI77</f>
        <v>5180.17828945397</v>
      </c>
      <c r="AJ91" s="67" t="n">
        <f aca="false">AJ76-AJ47*(1-Inputs!$B$66)+AJ77</f>
        <v>-4457.14380741578</v>
      </c>
      <c r="AK91" s="67" t="n">
        <f aca="false">AK76-AK47*(1-Inputs!$B$66)+AK77</f>
        <v>-4451.31047408245</v>
      </c>
      <c r="AL91" s="67" t="n">
        <f aca="false">AL76-AL47*(1-Inputs!$B$66)+AL77</f>
        <v>-4445.47714074911</v>
      </c>
    </row>
    <row r="93" customFormat="false" ht="15.75" hidden="false" customHeight="true" outlineLevel="0" collapsed="false">
      <c r="A93" s="7" t="s">
        <v>409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6" t="s">
        <v>96</v>
      </c>
      <c r="C94" s="67" t="n">
        <f aca="false">C78</f>
        <v>100000</v>
      </c>
      <c r="D94" s="67" t="n">
        <f aca="false">C94+D78</f>
        <v>100000</v>
      </c>
      <c r="E94" s="67" t="n">
        <f aca="false">D94+E78</f>
        <v>100000</v>
      </c>
      <c r="F94" s="67" t="n">
        <f aca="false">E94+F78</f>
        <v>100000</v>
      </c>
      <c r="G94" s="67" t="n">
        <f aca="false">F94+G78</f>
        <v>100000</v>
      </c>
      <c r="H94" s="67" t="n">
        <f aca="false">G94+H78</f>
        <v>100000</v>
      </c>
      <c r="I94" s="67" t="n">
        <f aca="false">H94+I78</f>
        <v>100000</v>
      </c>
      <c r="J94" s="67" t="n">
        <f aca="false">I94+J78</f>
        <v>100000</v>
      </c>
      <c r="K94" s="67" t="n">
        <f aca="false">J94+K78</f>
        <v>100000</v>
      </c>
      <c r="L94" s="67" t="n">
        <f aca="false">K94+L78</f>
        <v>100000</v>
      </c>
      <c r="M94" s="67" t="n">
        <f aca="false">L94+M78</f>
        <v>100000</v>
      </c>
      <c r="N94" s="67" t="n">
        <f aca="false">M94+N78</f>
        <v>100000</v>
      </c>
      <c r="O94" s="67" t="n">
        <f aca="false">N94+O78</f>
        <v>100000</v>
      </c>
      <c r="P94" s="67" t="n">
        <f aca="false">O94+P78</f>
        <v>100000</v>
      </c>
      <c r="Q94" s="67" t="n">
        <f aca="false">P94+Q78</f>
        <v>100000</v>
      </c>
      <c r="R94" s="67" t="n">
        <f aca="false">Q94+R78</f>
        <v>100000</v>
      </c>
      <c r="S94" s="67" t="n">
        <f aca="false">R94+S78</f>
        <v>100000</v>
      </c>
      <c r="T94" s="67" t="n">
        <f aca="false">S94+T78</f>
        <v>100000</v>
      </c>
      <c r="U94" s="67" t="n">
        <f aca="false">T94+U78</f>
        <v>100000</v>
      </c>
      <c r="V94" s="67" t="n">
        <f aca="false">U94+V78</f>
        <v>100000</v>
      </c>
      <c r="W94" s="67" t="n">
        <f aca="false">V94+W78</f>
        <v>100000</v>
      </c>
      <c r="X94" s="67" t="n">
        <f aca="false">W94+X78</f>
        <v>100000</v>
      </c>
      <c r="Y94" s="67" t="n">
        <f aca="false">X94+Y78</f>
        <v>100000</v>
      </c>
      <c r="Z94" s="67" t="n">
        <f aca="false">Y94+Z78</f>
        <v>100000</v>
      </c>
      <c r="AA94" s="67" t="n">
        <f aca="false">Z94+AA78</f>
        <v>100000</v>
      </c>
      <c r="AB94" s="67" t="n">
        <f aca="false">AA94+AB78</f>
        <v>100000</v>
      </c>
      <c r="AC94" s="67" t="n">
        <f aca="false">AB94+AC78</f>
        <v>100000</v>
      </c>
      <c r="AD94" s="67" t="n">
        <f aca="false">AC94+AD78</f>
        <v>100000</v>
      </c>
      <c r="AE94" s="67" t="n">
        <f aca="false">AD94+AE78</f>
        <v>100000</v>
      </c>
      <c r="AF94" s="67" t="n">
        <f aca="false">AE94+AF78</f>
        <v>100000</v>
      </c>
      <c r="AG94" s="67" t="n">
        <f aca="false">AF94+AG78</f>
        <v>100000</v>
      </c>
      <c r="AH94" s="67" t="n">
        <f aca="false">AG94+AH78</f>
        <v>100000</v>
      </c>
      <c r="AI94" s="67" t="n">
        <f aca="false">AH94+AI78</f>
        <v>100000</v>
      </c>
      <c r="AJ94" s="67" t="n">
        <f aca="false">AI94+AJ78</f>
        <v>100000</v>
      </c>
      <c r="AK94" s="67" t="n">
        <f aca="false">AJ94+AK78</f>
        <v>100000</v>
      </c>
      <c r="AL94" s="67" t="n">
        <f aca="false">AK94+AL78</f>
        <v>100000</v>
      </c>
    </row>
    <row r="95" customFormat="false" ht="15" hidden="false" customHeight="false" outlineLevel="0" collapsed="false">
      <c r="A95" s="6" t="s">
        <v>97</v>
      </c>
      <c r="C95" s="67" t="n">
        <f aca="false">C52</f>
        <v>-7979.23637820513</v>
      </c>
      <c r="D95" s="67" t="n">
        <f aca="false">C95+D52</f>
        <v>-15944.5838675214</v>
      </c>
      <c r="E95" s="67" t="n">
        <f aca="false">D95+E52</f>
        <v>-23882.1535790598</v>
      </c>
      <c r="F95" s="67" t="n">
        <f aca="false">E95+F52</f>
        <v>-31791.9455128205</v>
      </c>
      <c r="G95" s="67" t="n">
        <f aca="false">F95+G52</f>
        <v>-39673.9596688034</v>
      </c>
      <c r="H95" s="67" t="n">
        <f aca="false">G95+H52</f>
        <v>-21691.0941239317</v>
      </c>
      <c r="I95" s="67" t="n">
        <f aca="false">H95+I52</f>
        <v>-3680.45080128209</v>
      </c>
      <c r="J95" s="67" t="n">
        <f aca="false">I95+J52</f>
        <v>11342.7965363247</v>
      </c>
      <c r="K95" s="67" t="n">
        <f aca="false">J95+K52</f>
        <v>3571.89349145295</v>
      </c>
      <c r="L95" s="67" t="n">
        <f aca="false">K95+L52</f>
        <v>-4171.23177564108</v>
      </c>
      <c r="M95" s="67" t="n">
        <f aca="false">L95+M52</f>
        <v>-11886.5792649573</v>
      </c>
      <c r="N95" s="67" t="n">
        <f aca="false">M95+N52</f>
        <v>-19574.1489764958</v>
      </c>
      <c r="O95" s="67" t="n">
        <f aca="false">N95+O52</f>
        <v>-27109.7925971796</v>
      </c>
      <c r="P95" s="67" t="n">
        <f aca="false">O95+P52</f>
        <v>-34617.6584400856</v>
      </c>
      <c r="Q95" s="67" t="n">
        <f aca="false">P95+Q52</f>
        <v>-42097.7465052138</v>
      </c>
      <c r="R95" s="67" t="n">
        <f aca="false">Q95+R52</f>
        <v>-49550.0567925643</v>
      </c>
      <c r="S95" s="67" t="n">
        <f aca="false">R95+S52</f>
        <v>-56974.5893021369</v>
      </c>
      <c r="T95" s="67" t="n">
        <f aca="false">S95+T52</f>
        <v>-34855.0387970087</v>
      </c>
      <c r="U95" s="67" t="n">
        <f aca="false">T95+U52</f>
        <v>-12707.7105141028</v>
      </c>
      <c r="V95" s="67" t="n">
        <f aca="false">U95+V52</f>
        <v>9467.39554658099</v>
      </c>
      <c r="W95" s="67" t="n">
        <f aca="false">V95+W52</f>
        <v>2153.97414811943</v>
      </c>
      <c r="X95" s="67" t="n">
        <f aca="false">W95+X52</f>
        <v>-5131.66947256436</v>
      </c>
      <c r="Y95" s="67" t="n">
        <f aca="false">X95+Y52</f>
        <v>-12389.5353154704</v>
      </c>
      <c r="Z95" s="67" t="n">
        <f aca="false">Y95+Z52</f>
        <v>-19619.6233805986</v>
      </c>
      <c r="AA95" s="67" t="n">
        <f aca="false">Z95+AA52</f>
        <v>-26658.5327435699</v>
      </c>
      <c r="AB95" s="67" t="n">
        <f aca="false">AA95+AB52</f>
        <v>-33669.6643287635</v>
      </c>
      <c r="AC95" s="67" t="n">
        <f aca="false">AB95+AC52</f>
        <v>-40653.0181361793</v>
      </c>
      <c r="AD95" s="67" t="n">
        <f aca="false">AC95+AD52</f>
        <v>-47608.5941658173</v>
      </c>
      <c r="AE95" s="67" t="n">
        <f aca="false">AD95+AE52</f>
        <v>-54536.3924176775</v>
      </c>
      <c r="AF95" s="67" t="n">
        <f aca="false">AE95+AF52</f>
        <v>-27716.985789099</v>
      </c>
      <c r="AG95" s="67" t="n">
        <f aca="false">AF95+AG52</f>
        <v>-869.801382742731</v>
      </c>
      <c r="AH95" s="67" t="n">
        <f aca="false">AG95+AH52</f>
        <v>22926.0643057273</v>
      </c>
      <c r="AI95" s="67" t="n">
        <f aca="false">AH95+AI52</f>
        <v>16109.3771649782</v>
      </c>
      <c r="AJ95" s="67" t="n">
        <f aca="false">AI95+AJ52</f>
        <v>9320.46780200689</v>
      </c>
      <c r="AK95" s="67" t="n">
        <f aca="false">AJ95+AK52</f>
        <v>2559.33621681333</v>
      </c>
      <c r="AL95" s="67" t="n">
        <f aca="false">AK95+AL52</f>
        <v>-4174.01759060245</v>
      </c>
    </row>
    <row r="96" customFormat="false" ht="15" hidden="false" customHeight="false" outlineLevel="0" collapsed="false">
      <c r="A96" s="4" t="s">
        <v>92</v>
      </c>
      <c r="C96" s="73" t="n">
        <f aca="false">C82+C68+C69+C59</f>
        <v>394882.180288462</v>
      </c>
      <c r="D96" s="73" t="n">
        <f aca="false">D82+D68+D69+D59</f>
        <v>382750.166132479</v>
      </c>
      <c r="E96" s="73" t="n">
        <f aca="false">E82+E68+E69+E59</f>
        <v>370645.929754274</v>
      </c>
      <c r="F96" s="73" t="n">
        <f aca="false">F82+F68+F69+F59</f>
        <v>358569.471153846</v>
      </c>
      <c r="G96" s="73" t="n">
        <f aca="false">G82+G68+G69+G59</f>
        <v>346520.790331197</v>
      </c>
      <c r="H96" s="73" t="n">
        <f aca="false">H82+H68+H69+H59</f>
        <v>366635.766987179</v>
      </c>
      <c r="I96" s="73" t="n">
        <f aca="false">I82+I68+I69+I59</f>
        <v>380479.743643162</v>
      </c>
      <c r="J96" s="73" t="n">
        <f aca="false">J82+J68+J69+J59</f>
        <v>391336.324314103</v>
      </c>
      <c r="K96" s="73" t="n">
        <f aca="false">K82+K68+K69+K59</f>
        <v>373099.976824786</v>
      </c>
      <c r="L96" s="73" t="n">
        <f aca="false">L82+L68+L69+L59</f>
        <v>361190.184891026</v>
      </c>
      <c r="M96" s="73" t="n">
        <f aca="false">M82+M68+M69+M59</f>
        <v>349308.170735043</v>
      </c>
      <c r="N96" s="73" t="n">
        <f aca="false">N82+N68+N69+N59</f>
        <v>337453.934356838</v>
      </c>
      <c r="O96" s="73" t="n">
        <f aca="false">O82+O68+O69+O59</f>
        <v>333494.788113932</v>
      </c>
      <c r="P96" s="73" t="n">
        <f aca="false">P82+P68+P69+P59</f>
        <v>321820.255604359</v>
      </c>
      <c r="Q96" s="73" t="n">
        <f aca="false">Q82+Q68+Q69+Q59</f>
        <v>310173.500872564</v>
      </c>
      <c r="R96" s="73" t="n">
        <f aca="false">R82+R68+R69+R59</f>
        <v>298554.523918547</v>
      </c>
      <c r="S96" s="73" t="n">
        <f aca="false">S82+S68+S69+S59</f>
        <v>286963.324742308</v>
      </c>
      <c r="T96" s="73" t="n">
        <f aca="false">T82+T68+T69+T59</f>
        <v>312111.932314102</v>
      </c>
      <c r="U96" s="73" t="n">
        <f aca="false">U82+U68+U69+U59</f>
        <v>330092.593930342</v>
      </c>
      <c r="V96" s="73" t="n">
        <f aca="false">V82+V68+V69+V59</f>
        <v>348101.033324359</v>
      </c>
      <c r="W96" s="73" t="n">
        <f aca="false">W82+W68+W69+W59</f>
        <v>329425.221525897</v>
      </c>
      <c r="X96" s="73" t="n">
        <f aca="false">X82+X68+X69+X59</f>
        <v>317972.911238547</v>
      </c>
      <c r="Y96" s="73" t="n">
        <f aca="false">Y82+Y68+Y69+Y59</f>
        <v>306548.378728974</v>
      </c>
      <c r="Z96" s="73" t="n">
        <f aca="false">Z82+Z68+Z69+Z59</f>
        <v>295151.623997179</v>
      </c>
      <c r="AA96" s="73" t="n">
        <f aca="false">AA82+AA68+AA69+AA59</f>
        <v>292830.609048181</v>
      </c>
      <c r="AB96" s="73" t="n">
        <f aca="false">AB82+AB68+AB69+AB59</f>
        <v>281652.810796321</v>
      </c>
      <c r="AC96" s="73" t="n">
        <f aca="false">AC82+AC68+AC69+AC59</f>
        <v>270502.790322238</v>
      </c>
      <c r="AD96" s="73" t="n">
        <f aca="false">AD82+AD68+AD69+AD59</f>
        <v>259380.547625934</v>
      </c>
      <c r="AE96" s="73" t="n">
        <f aca="false">AE82+AE68+AE69+AE59</f>
        <v>248286.082707407</v>
      </c>
      <c r="AF96" s="73" t="n">
        <f aca="false">AF82+AF68+AF69+AF59</f>
        <v>279159.217462279</v>
      </c>
      <c r="AG96" s="73" t="n">
        <f aca="false">AG82+AG68+AG69+AG59</f>
        <v>301839.735201968</v>
      </c>
      <c r="AH96" s="73" t="n">
        <f aca="false">AH82+AH68+AH69+AH59</f>
        <v>321468.934223772</v>
      </c>
      <c r="AI96" s="73" t="n">
        <f aca="false">AI82+AI68+AI69+AI59</f>
        <v>302265.185623396</v>
      </c>
      <c r="AJ96" s="73" t="n">
        <f aca="false">AJ82+AJ68+AJ69+AJ59</f>
        <v>291309.609593758</v>
      </c>
      <c r="AK96" s="73" t="n">
        <f aca="false">AK82+AK68+AK69+AK59</f>
        <v>280381.811341898</v>
      </c>
      <c r="AL96" s="73" t="n">
        <f aca="false">AL82+AL68+AL69+AL59</f>
        <v>269481.790867815</v>
      </c>
    </row>
    <row r="97" customFormat="false" ht="15" hidden="false" customHeight="false" outlineLevel="0" collapsed="false">
      <c r="A97" s="6" t="s">
        <v>95</v>
      </c>
      <c r="C97" s="67" t="n">
        <f aca="false">C70+C65</f>
        <v>302861.416666667</v>
      </c>
      <c r="D97" s="67" t="n">
        <f aca="false">D70+D65</f>
        <v>298694.75</v>
      </c>
      <c r="E97" s="67" t="n">
        <f aca="false">E70+E65</f>
        <v>294528.083333333</v>
      </c>
      <c r="F97" s="67" t="n">
        <f aca="false">F70+F65</f>
        <v>290361.416666667</v>
      </c>
      <c r="G97" s="67" t="n">
        <f aca="false">G70+G65</f>
        <v>286194.75</v>
      </c>
      <c r="H97" s="67" t="n">
        <f aca="false">H70+H65</f>
        <v>288326.861111111</v>
      </c>
      <c r="I97" s="67" t="n">
        <f aca="false">I70+I65</f>
        <v>284160.194444445</v>
      </c>
      <c r="J97" s="67" t="n">
        <f aca="false">J70+J65</f>
        <v>279993.527777778</v>
      </c>
      <c r="K97" s="67" t="n">
        <f aca="false">K70+K65</f>
        <v>269528.083333333</v>
      </c>
      <c r="L97" s="67" t="n">
        <f aca="false">L70+L65</f>
        <v>265361.416666667</v>
      </c>
      <c r="M97" s="67" t="n">
        <f aca="false">M70+M65</f>
        <v>261194.75</v>
      </c>
      <c r="N97" s="67" t="n">
        <f aca="false">N70+N65</f>
        <v>257028.083333333</v>
      </c>
      <c r="O97" s="67" t="n">
        <f aca="false">O70+O65</f>
        <v>260604.580711111</v>
      </c>
      <c r="P97" s="67" t="n">
        <f aca="false">P70+P65</f>
        <v>256437.914044445</v>
      </c>
      <c r="Q97" s="67" t="n">
        <f aca="false">Q70+Q65</f>
        <v>252271.247377778</v>
      </c>
      <c r="R97" s="67" t="n">
        <f aca="false">R70+R65</f>
        <v>248104.580711111</v>
      </c>
      <c r="S97" s="67" t="n">
        <f aca="false">S70+S65</f>
        <v>243937.914044445</v>
      </c>
      <c r="T97" s="67" t="n">
        <f aca="false">T70+T65</f>
        <v>246966.971111111</v>
      </c>
      <c r="U97" s="67" t="n">
        <f aca="false">U70+U65</f>
        <v>242800.304444445</v>
      </c>
      <c r="V97" s="67" t="n">
        <f aca="false">V70+V65</f>
        <v>238633.637777778</v>
      </c>
      <c r="W97" s="67" t="n">
        <f aca="false">W70+W65</f>
        <v>227271.247377778</v>
      </c>
      <c r="X97" s="67" t="n">
        <f aca="false">X70+X65</f>
        <v>223104.580711111</v>
      </c>
      <c r="Y97" s="67" t="n">
        <f aca="false">Y70+Y65</f>
        <v>218937.914044445</v>
      </c>
      <c r="Z97" s="67" t="n">
        <f aca="false">Z70+Z65</f>
        <v>214771.247377778</v>
      </c>
      <c r="AA97" s="67" t="n">
        <f aca="false">AA70+AA65</f>
        <v>219489.141791751</v>
      </c>
      <c r="AB97" s="67" t="n">
        <f aca="false">AB70+AB65</f>
        <v>215322.475125085</v>
      </c>
      <c r="AC97" s="67" t="n">
        <f aca="false">AC70+AC65</f>
        <v>211155.808458418</v>
      </c>
      <c r="AD97" s="67" t="n">
        <f aca="false">AD70+AD65</f>
        <v>206989.141791751</v>
      </c>
      <c r="AE97" s="67" t="n">
        <f aca="false">AE70+AE65</f>
        <v>202822.475125085</v>
      </c>
      <c r="AF97" s="67" t="n">
        <f aca="false">AF70+AF65</f>
        <v>206876.203251378</v>
      </c>
      <c r="AG97" s="67" t="n">
        <f aca="false">AG70+AG65</f>
        <v>202709.536584711</v>
      </c>
      <c r="AH97" s="67" t="n">
        <f aca="false">AH70+AH65</f>
        <v>198542.869918045</v>
      </c>
      <c r="AI97" s="67" t="n">
        <f aca="false">AI70+AI65</f>
        <v>186155.808458418</v>
      </c>
      <c r="AJ97" s="67" t="n">
        <f aca="false">AJ70+AJ65</f>
        <v>181989.141791751</v>
      </c>
      <c r="AK97" s="67" t="n">
        <f aca="false">AK70+AK65</f>
        <v>177822.475125085</v>
      </c>
      <c r="AL97" s="67" t="n">
        <f aca="false">AL70+AL65</f>
        <v>173655.808458418</v>
      </c>
    </row>
    <row r="98" customFormat="false" ht="15" hidden="false" customHeight="false" outlineLevel="0" collapsed="false">
      <c r="A98" s="6" t="s">
        <v>98</v>
      </c>
      <c r="C98" s="67" t="n">
        <f aca="false">C94+C95</f>
        <v>92020.7636217949</v>
      </c>
      <c r="D98" s="67" t="n">
        <f aca="false">D94+D95</f>
        <v>84055.4161324786</v>
      </c>
      <c r="E98" s="67" t="n">
        <f aca="false">E94+E95</f>
        <v>76117.8464209402</v>
      </c>
      <c r="F98" s="67" t="n">
        <f aca="false">F94+F95</f>
        <v>68208.0544871795</v>
      </c>
      <c r="G98" s="67" t="n">
        <f aca="false">G94+G95</f>
        <v>60326.0403311966</v>
      </c>
      <c r="H98" s="67" t="n">
        <f aca="false">H94+H95</f>
        <v>78308.9058760683</v>
      </c>
      <c r="I98" s="67" t="n">
        <f aca="false">I94+I95</f>
        <v>96319.5491987179</v>
      </c>
      <c r="J98" s="67" t="n">
        <f aca="false">J94+J95</f>
        <v>111342.796536325</v>
      </c>
      <c r="K98" s="67" t="n">
        <f aca="false">K94+K95</f>
        <v>103571.893491453</v>
      </c>
      <c r="L98" s="67" t="n">
        <f aca="false">L94+L95</f>
        <v>95828.7682243589</v>
      </c>
      <c r="M98" s="67" t="n">
        <f aca="false">M94+M95</f>
        <v>88113.4207350427</v>
      </c>
      <c r="N98" s="67" t="n">
        <f aca="false">N94+N95</f>
        <v>80425.8510235042</v>
      </c>
      <c r="O98" s="67" t="n">
        <f aca="false">O94+O95</f>
        <v>72890.2074028204</v>
      </c>
      <c r="P98" s="67" t="n">
        <f aca="false">P94+P95</f>
        <v>65382.3415599144</v>
      </c>
      <c r="Q98" s="67" t="n">
        <f aca="false">Q94+Q95</f>
        <v>57902.2534947862</v>
      </c>
      <c r="R98" s="67" t="n">
        <f aca="false">R94+R95</f>
        <v>50449.9432074357</v>
      </c>
      <c r="S98" s="67" t="n">
        <f aca="false">S94+S95</f>
        <v>43025.4106978631</v>
      </c>
      <c r="T98" s="67" t="n">
        <f aca="false">T94+T95</f>
        <v>65144.9612029913</v>
      </c>
      <c r="U98" s="67" t="n">
        <f aca="false">U94+U95</f>
        <v>87292.2894858972</v>
      </c>
      <c r="V98" s="67" t="n">
        <f aca="false">V94+V95</f>
        <v>109467.395546581</v>
      </c>
      <c r="W98" s="67" t="n">
        <f aca="false">W94+W95</f>
        <v>102153.974148119</v>
      </c>
      <c r="X98" s="67" t="n">
        <f aca="false">X94+X95</f>
        <v>94868.3305274356</v>
      </c>
      <c r="Y98" s="67" t="n">
        <f aca="false">Y94+Y95</f>
        <v>87610.4646845296</v>
      </c>
      <c r="Z98" s="67" t="n">
        <f aca="false">Z94+Z95</f>
        <v>80380.3766194014</v>
      </c>
      <c r="AA98" s="67" t="n">
        <f aca="false">AA94+AA95</f>
        <v>73341.4672564301</v>
      </c>
      <c r="AB98" s="67" t="n">
        <f aca="false">AB94+AB95</f>
        <v>66330.3356712365</v>
      </c>
      <c r="AC98" s="67" t="n">
        <f aca="false">AC94+AC95</f>
        <v>59346.9818638207</v>
      </c>
      <c r="AD98" s="67" t="n">
        <f aca="false">AD94+AD95</f>
        <v>52391.4058341827</v>
      </c>
      <c r="AE98" s="67" t="n">
        <f aca="false">AE94+AE95</f>
        <v>45463.6075823225</v>
      </c>
      <c r="AF98" s="67" t="n">
        <f aca="false">AF94+AF95</f>
        <v>72283.014210901</v>
      </c>
      <c r="AG98" s="67" t="n">
        <f aca="false">AG94+AG95</f>
        <v>99130.1986172573</v>
      </c>
      <c r="AH98" s="67" t="n">
        <f aca="false">AH94+AH95</f>
        <v>122926.064305727</v>
      </c>
      <c r="AI98" s="67" t="n">
        <f aca="false">AI94+AI95</f>
        <v>116109.377164978</v>
      </c>
      <c r="AJ98" s="67" t="n">
        <f aca="false">AJ94+AJ95</f>
        <v>109320.467802007</v>
      </c>
      <c r="AK98" s="67" t="n">
        <f aca="false">AK94+AK95</f>
        <v>102559.336216813</v>
      </c>
      <c r="AL98" s="67" t="n">
        <f aca="false">AL94+AL95</f>
        <v>95825.9824093976</v>
      </c>
    </row>
    <row r="99" customFormat="false" ht="15" hidden="false" customHeight="false" outlineLevel="0" collapsed="false">
      <c r="A99" s="4" t="s">
        <v>99</v>
      </c>
      <c r="C99" s="73" t="n">
        <f aca="false">C97+C98</f>
        <v>394882.180288462</v>
      </c>
      <c r="D99" s="73" t="n">
        <f aca="false">D97+D98</f>
        <v>382750.166132479</v>
      </c>
      <c r="E99" s="73" t="n">
        <f aca="false">E97+E98</f>
        <v>370645.929754274</v>
      </c>
      <c r="F99" s="73" t="n">
        <f aca="false">F97+F98</f>
        <v>358569.471153846</v>
      </c>
      <c r="G99" s="73" t="n">
        <f aca="false">G97+G98</f>
        <v>346520.790331197</v>
      </c>
      <c r="H99" s="73" t="n">
        <f aca="false">H97+H98</f>
        <v>366635.766987179</v>
      </c>
      <c r="I99" s="73" t="n">
        <f aca="false">I97+I98</f>
        <v>380479.743643162</v>
      </c>
      <c r="J99" s="73" t="n">
        <f aca="false">J97+J98</f>
        <v>391336.324314103</v>
      </c>
      <c r="K99" s="73" t="n">
        <f aca="false">K97+K98</f>
        <v>373099.976824786</v>
      </c>
      <c r="L99" s="73" t="n">
        <f aca="false">L97+L98</f>
        <v>361190.184891026</v>
      </c>
      <c r="M99" s="73" t="n">
        <f aca="false">M97+M98</f>
        <v>349308.170735043</v>
      </c>
      <c r="N99" s="73" t="n">
        <f aca="false">N97+N98</f>
        <v>337453.934356838</v>
      </c>
      <c r="O99" s="73" t="n">
        <f aca="false">O97+O98</f>
        <v>333494.788113932</v>
      </c>
      <c r="P99" s="73" t="n">
        <f aca="false">P97+P98</f>
        <v>321820.255604359</v>
      </c>
      <c r="Q99" s="73" t="n">
        <f aca="false">Q97+Q98</f>
        <v>310173.500872564</v>
      </c>
      <c r="R99" s="73" t="n">
        <f aca="false">R97+R98</f>
        <v>298554.523918547</v>
      </c>
      <c r="S99" s="73" t="n">
        <f aca="false">S97+S98</f>
        <v>286963.324742308</v>
      </c>
      <c r="T99" s="73" t="n">
        <f aca="false">T97+T98</f>
        <v>312111.932314103</v>
      </c>
      <c r="U99" s="73" t="n">
        <f aca="false">U97+U98</f>
        <v>330092.593930342</v>
      </c>
      <c r="V99" s="73" t="n">
        <f aca="false">V97+V98</f>
        <v>348101.033324359</v>
      </c>
      <c r="W99" s="73" t="n">
        <f aca="false">W97+W98</f>
        <v>329425.221525897</v>
      </c>
      <c r="X99" s="73" t="n">
        <f aca="false">X97+X98</f>
        <v>317972.911238547</v>
      </c>
      <c r="Y99" s="73" t="n">
        <f aca="false">Y97+Y98</f>
        <v>306548.378728974</v>
      </c>
      <c r="Z99" s="73" t="n">
        <f aca="false">Z97+Z98</f>
        <v>295151.623997179</v>
      </c>
      <c r="AA99" s="73" t="n">
        <f aca="false">AA97+AA98</f>
        <v>292830.609048181</v>
      </c>
      <c r="AB99" s="73" t="n">
        <f aca="false">AB97+AB98</f>
        <v>281652.810796321</v>
      </c>
      <c r="AC99" s="73" t="n">
        <f aca="false">AC97+AC98</f>
        <v>270502.790322239</v>
      </c>
      <c r="AD99" s="73" t="n">
        <f aca="false">AD97+AD98</f>
        <v>259380.547625934</v>
      </c>
      <c r="AE99" s="73" t="n">
        <f aca="false">AE97+AE98</f>
        <v>248286.082707407</v>
      </c>
      <c r="AF99" s="73" t="n">
        <f aca="false">AF97+AF98</f>
        <v>279159.217462279</v>
      </c>
      <c r="AG99" s="73" t="n">
        <f aca="false">AG97+AG98</f>
        <v>301839.735201969</v>
      </c>
      <c r="AH99" s="73" t="n">
        <f aca="false">AH97+AH98</f>
        <v>321468.934223772</v>
      </c>
      <c r="AI99" s="73" t="n">
        <f aca="false">AI97+AI98</f>
        <v>302265.185623396</v>
      </c>
      <c r="AJ99" s="73" t="n">
        <f aca="false">AJ97+AJ98</f>
        <v>291309.609593758</v>
      </c>
      <c r="AK99" s="73" t="n">
        <f aca="false">AK97+AK98</f>
        <v>280381.811341898</v>
      </c>
      <c r="AL99" s="73" t="n">
        <f aca="false">AL97+AL98</f>
        <v>269481.790867816</v>
      </c>
    </row>
    <row r="100" customFormat="false" ht="15" hidden="false" customHeight="false" outlineLevel="0" collapsed="false">
      <c r="A100" s="6" t="s">
        <v>410</v>
      </c>
      <c r="C100" s="67" t="n">
        <f aca="false">C96-C99</f>
        <v>0</v>
      </c>
      <c r="D100" s="67" t="n">
        <f aca="false">D96-D99</f>
        <v>0</v>
      </c>
      <c r="E100" s="67" t="n">
        <f aca="false">E96-E99</f>
        <v>0</v>
      </c>
      <c r="F100" s="67" t="n">
        <f aca="false">F96-F99</f>
        <v>0</v>
      </c>
      <c r="G100" s="67" t="n">
        <f aca="false">G96-G99</f>
        <v>0</v>
      </c>
      <c r="H100" s="67" t="n">
        <f aca="false">H96-H99</f>
        <v>0</v>
      </c>
      <c r="I100" s="67" t="n">
        <f aca="false">I96-I99</f>
        <v>0</v>
      </c>
      <c r="J100" s="67" t="n">
        <f aca="false">J96-J99</f>
        <v>0</v>
      </c>
      <c r="K100" s="67" t="n">
        <f aca="false">K96-K99</f>
        <v>0</v>
      </c>
      <c r="L100" s="67" t="n">
        <f aca="false">L96-L99</f>
        <v>0</v>
      </c>
      <c r="M100" s="67" t="n">
        <f aca="false">M96-M99</f>
        <v>0</v>
      </c>
      <c r="N100" s="67" t="n">
        <f aca="false">N96-N99</f>
        <v>0</v>
      </c>
      <c r="O100" s="67" t="n">
        <f aca="false">O96-O99</f>
        <v>0</v>
      </c>
      <c r="P100" s="67" t="n">
        <f aca="false">P96-P99</f>
        <v>0</v>
      </c>
      <c r="Q100" s="67" t="n">
        <f aca="false">Q96-Q99</f>
        <v>0</v>
      </c>
      <c r="R100" s="67" t="n">
        <f aca="false">R96-R99</f>
        <v>0</v>
      </c>
      <c r="S100" s="67" t="n">
        <f aca="false">S96-S99</f>
        <v>0</v>
      </c>
      <c r="T100" s="67" t="n">
        <f aca="false">T96-T99</f>
        <v>0</v>
      </c>
      <c r="U100" s="67" t="n">
        <f aca="false">U96-U99</f>
        <v>0</v>
      </c>
      <c r="V100" s="67" t="n">
        <f aca="false">V96-V99</f>
        <v>0</v>
      </c>
      <c r="W100" s="67" t="n">
        <f aca="false">W96-W99</f>
        <v>0</v>
      </c>
      <c r="X100" s="67" t="n">
        <f aca="false">X96-X99</f>
        <v>0</v>
      </c>
      <c r="Y100" s="67" t="n">
        <f aca="false">Y96-Y99</f>
        <v>0</v>
      </c>
      <c r="Z100" s="67" t="n">
        <f aca="false">Z96-Z99</f>
        <v>0</v>
      </c>
      <c r="AA100" s="67" t="n">
        <f aca="false">AA96-AA99</f>
        <v>0</v>
      </c>
      <c r="AB100" s="67" t="n">
        <f aca="false">AB96-AB99</f>
        <v>0</v>
      </c>
      <c r="AC100" s="67" t="n">
        <f aca="false">AC96-AC99</f>
        <v>0</v>
      </c>
      <c r="AD100" s="67" t="n">
        <f aca="false">AD96-AD99</f>
        <v>0</v>
      </c>
      <c r="AE100" s="67" t="n">
        <f aca="false">AE96-AE99</f>
        <v>0</v>
      </c>
      <c r="AF100" s="67" t="n">
        <f aca="false">AF96-AF99</f>
        <v>0</v>
      </c>
      <c r="AG100" s="67" t="n">
        <f aca="false">AG96-AG99</f>
        <v>0</v>
      </c>
      <c r="AH100" s="67" t="n">
        <f aca="false">AH96-AH99</f>
        <v>0</v>
      </c>
      <c r="AI100" s="67" t="n">
        <f aca="false">AI96-AI99</f>
        <v>0</v>
      </c>
      <c r="AJ100" s="67" t="n">
        <f aca="false">AJ96-AJ99</f>
        <v>0</v>
      </c>
      <c r="AK100" s="67" t="n">
        <f aca="false">AK96-AK99</f>
        <v>0</v>
      </c>
      <c r="AL100" s="67" t="n">
        <f aca="false">AL96-AL99</f>
        <v>0</v>
      </c>
    </row>
    <row r="102" customFormat="false" ht="15.75" hidden="false" customHeight="true" outlineLevel="0" collapsed="false">
      <c r="A102" s="7" t="s">
        <v>412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413</v>
      </c>
      <c r="C103" s="118" t="n">
        <f aca="false">Inputs!$B$42*(1+Inputs!$B$44)^(C$7-1)*MAX(0,MIN(1,C$6*1-Inputs!$B$45+1))/1</f>
        <v>7</v>
      </c>
      <c r="D103" s="118" t="n">
        <f aca="false">Inputs!$B$42*(1+Inputs!$B$44)^(D$7-1)*MAX(0,MIN(1,D$6*1-Inputs!$B$45+1))/1</f>
        <v>7</v>
      </c>
      <c r="E103" s="118" t="n">
        <f aca="false">Inputs!$B$42*(1+Inputs!$B$44)^(E$7-1)*MAX(0,MIN(1,E$6*1-Inputs!$B$45+1))/1</f>
        <v>7</v>
      </c>
      <c r="F103" s="118" t="n">
        <f aca="false">Inputs!$B$42*(1+Inputs!$B$44)^(F$7-1)*MAX(0,MIN(1,F$6*1-Inputs!$B$45+1))/1</f>
        <v>7</v>
      </c>
      <c r="G103" s="118" t="n">
        <f aca="false">Inputs!$B$42*(1+Inputs!$B$44)^(G$7-1)*MAX(0,MIN(1,G$6*1-Inputs!$B$45+1))/1</f>
        <v>7</v>
      </c>
      <c r="H103" s="118" t="n">
        <f aca="false">Inputs!$B$42*(1+Inputs!$B$44)^(H$7-1)*MAX(0,MIN(1,H$6*1-Inputs!$B$45+1))/1</f>
        <v>7</v>
      </c>
      <c r="I103" s="118" t="n">
        <f aca="false">Inputs!$B$42*(1+Inputs!$B$44)^(I$7-1)*MAX(0,MIN(1,I$6*1-Inputs!$B$45+1))/1</f>
        <v>7</v>
      </c>
      <c r="J103" s="118" t="n">
        <f aca="false">Inputs!$B$42*(1+Inputs!$B$44)^(J$7-1)*MAX(0,MIN(1,J$6*1-Inputs!$B$45+1))/1</f>
        <v>7</v>
      </c>
      <c r="K103" s="118" t="n">
        <f aca="false">Inputs!$B$42*(1+Inputs!$B$44)^(K$7-1)*MAX(0,MIN(1,K$6*1-Inputs!$B$45+1))/1</f>
        <v>7</v>
      </c>
      <c r="L103" s="118" t="n">
        <f aca="false">Inputs!$B$42*(1+Inputs!$B$44)^(L$7-1)*MAX(0,MIN(1,L$6*1-Inputs!$B$45+1))/1</f>
        <v>7</v>
      </c>
      <c r="M103" s="118" t="n">
        <f aca="false">Inputs!$B$42*(1+Inputs!$B$44)^(M$7-1)*MAX(0,MIN(1,M$6*1-Inputs!$B$45+1))/1</f>
        <v>7</v>
      </c>
      <c r="N103" s="118" t="n">
        <f aca="false">Inputs!$B$42*(1+Inputs!$B$44)^(N$7-1)*MAX(0,MIN(1,N$6*1-Inputs!$B$45+1))/1</f>
        <v>7</v>
      </c>
      <c r="O103" s="118" t="n">
        <f aca="false">Inputs!$B$42*(1+Inputs!$B$44)^(O$7-1)*MAX(0,MIN(1,O$6*1-Inputs!$B$45+1))/1</f>
        <v>7.84</v>
      </c>
      <c r="P103" s="118" t="n">
        <f aca="false">Inputs!$B$42*(1+Inputs!$B$44)^(P$7-1)*MAX(0,MIN(1,P$6*1-Inputs!$B$45+1))/1</f>
        <v>7.84</v>
      </c>
      <c r="Q103" s="118" t="n">
        <f aca="false">Inputs!$B$42*(1+Inputs!$B$44)^(Q$7-1)*MAX(0,MIN(1,Q$6*1-Inputs!$B$45+1))/1</f>
        <v>7.84</v>
      </c>
      <c r="R103" s="118" t="n">
        <f aca="false">Inputs!$B$42*(1+Inputs!$B$44)^(R$7-1)*MAX(0,MIN(1,R$6*1-Inputs!$B$45+1))/1</f>
        <v>7.84</v>
      </c>
      <c r="S103" s="118" t="n">
        <f aca="false">Inputs!$B$42*(1+Inputs!$B$44)^(S$7-1)*MAX(0,MIN(1,S$6*1-Inputs!$B$45+1))/1</f>
        <v>7.84</v>
      </c>
      <c r="T103" s="118" t="n">
        <f aca="false">Inputs!$B$42*(1+Inputs!$B$44)^(T$7-1)*MAX(0,MIN(1,T$6*1-Inputs!$B$45+1))/1</f>
        <v>7.84</v>
      </c>
      <c r="U103" s="118" t="n">
        <f aca="false">Inputs!$B$42*(1+Inputs!$B$44)^(U$7-1)*MAX(0,MIN(1,U$6*1-Inputs!$B$45+1))/1</f>
        <v>7.84</v>
      </c>
      <c r="V103" s="118" t="n">
        <f aca="false">Inputs!$B$42*(1+Inputs!$B$44)^(V$7-1)*MAX(0,MIN(1,V$6*1-Inputs!$B$45+1))/1</f>
        <v>7.84</v>
      </c>
      <c r="W103" s="118" t="n">
        <f aca="false">Inputs!$B$42*(1+Inputs!$B$44)^(W$7-1)*MAX(0,MIN(1,W$6*1-Inputs!$B$45+1))/1</f>
        <v>7.84</v>
      </c>
      <c r="X103" s="118" t="n">
        <f aca="false">Inputs!$B$42*(1+Inputs!$B$44)^(X$7-1)*MAX(0,MIN(1,X$6*1-Inputs!$B$45+1))/1</f>
        <v>7.84</v>
      </c>
      <c r="Y103" s="118" t="n">
        <f aca="false">Inputs!$B$42*(1+Inputs!$B$44)^(Y$7-1)*MAX(0,MIN(1,Y$6*1-Inputs!$B$45+1))/1</f>
        <v>7.84</v>
      </c>
      <c r="Z103" s="118" t="n">
        <f aca="false">Inputs!$B$42*(1+Inputs!$B$44)^(Z$7-1)*MAX(0,MIN(1,Z$6*1-Inputs!$B$45+1))/1</f>
        <v>7.84</v>
      </c>
      <c r="AA103" s="118" t="n">
        <f aca="false">Inputs!$B$42*(1+Inputs!$B$44)^(AA$7-1)*MAX(0,MIN(1,AA$6*1-Inputs!$B$45+1))/1</f>
        <v>8.7808</v>
      </c>
      <c r="AB103" s="118" t="n">
        <f aca="false">Inputs!$B$42*(1+Inputs!$B$44)^(AB$7-1)*MAX(0,MIN(1,AB$6*1-Inputs!$B$45+1))/1</f>
        <v>8.7808</v>
      </c>
      <c r="AC103" s="118" t="n">
        <f aca="false">Inputs!$B$42*(1+Inputs!$B$44)^(AC$7-1)*MAX(0,MIN(1,AC$6*1-Inputs!$B$45+1))/1</f>
        <v>8.7808</v>
      </c>
      <c r="AD103" s="118" t="n">
        <f aca="false">Inputs!$B$42*(1+Inputs!$B$44)^(AD$7-1)*MAX(0,MIN(1,AD$6*1-Inputs!$B$45+1))/1</f>
        <v>8.7808</v>
      </c>
      <c r="AE103" s="118" t="n">
        <f aca="false">Inputs!$B$42*(1+Inputs!$B$44)^(AE$7-1)*MAX(0,MIN(1,AE$6*1-Inputs!$B$45+1))/1</f>
        <v>8.7808</v>
      </c>
      <c r="AF103" s="118" t="n">
        <f aca="false">Inputs!$B$42*(1+Inputs!$B$44)^(AF$7-1)*MAX(0,MIN(1,AF$6*1-Inputs!$B$45+1))/1</f>
        <v>8.7808</v>
      </c>
      <c r="AG103" s="118" t="n">
        <f aca="false">Inputs!$B$42*(1+Inputs!$B$44)^(AG$7-1)*MAX(0,MIN(1,AG$6*1-Inputs!$B$45+1))/1</f>
        <v>8.7808</v>
      </c>
      <c r="AH103" s="118" t="n">
        <f aca="false">Inputs!$B$42*(1+Inputs!$B$44)^(AH$7-1)*MAX(0,MIN(1,AH$6*1-Inputs!$B$45+1))/1</f>
        <v>8.7808</v>
      </c>
      <c r="AI103" s="118" t="n">
        <f aca="false">Inputs!$B$42*(1+Inputs!$B$44)^(AI$7-1)*MAX(0,MIN(1,AI$6*1-Inputs!$B$45+1))/1</f>
        <v>8.7808</v>
      </c>
      <c r="AJ103" s="118" t="n">
        <f aca="false">Inputs!$B$42*(1+Inputs!$B$44)^(AJ$7-1)*MAX(0,MIN(1,AJ$6*1-Inputs!$B$45+1))/1</f>
        <v>8.7808</v>
      </c>
      <c r="AK103" s="118" t="n">
        <f aca="false">Inputs!$B$42*(1+Inputs!$B$44)^(AK$7-1)*MAX(0,MIN(1,AK$6*1-Inputs!$B$45+1))/1</f>
        <v>8.7808</v>
      </c>
      <c r="AL103" s="118" t="n">
        <f aca="false">Inputs!$B$42*(1+Inputs!$B$44)^(AL$7-1)*MAX(0,MIN(1,AL$6*1-Inputs!$B$45+1))/1</f>
        <v>8.7808</v>
      </c>
    </row>
    <row r="104" customFormat="false" ht="15" hidden="false" customHeight="false" outlineLevel="0" collapsed="false">
      <c r="A104" s="6" t="s">
        <v>414</v>
      </c>
      <c r="C104" s="118" t="n">
        <f aca="false">Inputs!$B$46*(1+Inputs!$B$48)^(C$7-1)*MAX(0,MIN(1,C$6*1-Inputs!$B$49+1))/1</f>
        <v>2</v>
      </c>
      <c r="D104" s="118" t="n">
        <f aca="false">Inputs!$B$46*(1+Inputs!$B$48)^(D$7-1)*MAX(0,MIN(1,D$6*1-Inputs!$B$49+1))/1</f>
        <v>2</v>
      </c>
      <c r="E104" s="118" t="n">
        <f aca="false">Inputs!$B$46*(1+Inputs!$B$48)^(E$7-1)*MAX(0,MIN(1,E$6*1-Inputs!$B$49+1))/1</f>
        <v>2</v>
      </c>
      <c r="F104" s="118" t="n">
        <f aca="false">Inputs!$B$46*(1+Inputs!$B$48)^(F$7-1)*MAX(0,MIN(1,F$6*1-Inputs!$B$49+1))/1</f>
        <v>2</v>
      </c>
      <c r="G104" s="118" t="n">
        <f aca="false">Inputs!$B$46*(1+Inputs!$B$48)^(G$7-1)*MAX(0,MIN(1,G$6*1-Inputs!$B$49+1))/1</f>
        <v>2</v>
      </c>
      <c r="H104" s="118" t="n">
        <f aca="false">Inputs!$B$46*(1+Inputs!$B$48)^(H$7-1)*MAX(0,MIN(1,H$6*1-Inputs!$B$49+1))/1</f>
        <v>2</v>
      </c>
      <c r="I104" s="118" t="n">
        <f aca="false">Inputs!$B$46*(1+Inputs!$B$48)^(I$7-1)*MAX(0,MIN(1,I$6*1-Inputs!$B$49+1))/1</f>
        <v>2</v>
      </c>
      <c r="J104" s="118" t="n">
        <f aca="false">Inputs!$B$46*(1+Inputs!$B$48)^(J$7-1)*MAX(0,MIN(1,J$6*1-Inputs!$B$49+1))/1</f>
        <v>2</v>
      </c>
      <c r="K104" s="118" t="n">
        <f aca="false">Inputs!$B$46*(1+Inputs!$B$48)^(K$7-1)*MAX(0,MIN(1,K$6*1-Inputs!$B$49+1))/1</f>
        <v>2</v>
      </c>
      <c r="L104" s="118" t="n">
        <f aca="false">Inputs!$B$46*(1+Inputs!$B$48)^(L$7-1)*MAX(0,MIN(1,L$6*1-Inputs!$B$49+1))/1</f>
        <v>2</v>
      </c>
      <c r="M104" s="118" t="n">
        <f aca="false">Inputs!$B$46*(1+Inputs!$B$48)^(M$7-1)*MAX(0,MIN(1,M$6*1-Inputs!$B$49+1))/1</f>
        <v>2</v>
      </c>
      <c r="N104" s="118" t="n">
        <f aca="false">Inputs!$B$46*(1+Inputs!$B$48)^(N$7-1)*MAX(0,MIN(1,N$6*1-Inputs!$B$49+1))/1</f>
        <v>2</v>
      </c>
      <c r="O104" s="118" t="n">
        <f aca="false">Inputs!$B$46*(1+Inputs!$B$48)^(O$7-1)*MAX(0,MIN(1,O$6*1-Inputs!$B$49+1))/1</f>
        <v>2.2</v>
      </c>
      <c r="P104" s="118" t="n">
        <f aca="false">Inputs!$B$46*(1+Inputs!$B$48)^(P$7-1)*MAX(0,MIN(1,P$6*1-Inputs!$B$49+1))/1</f>
        <v>2.2</v>
      </c>
      <c r="Q104" s="118" t="n">
        <f aca="false">Inputs!$B$46*(1+Inputs!$B$48)^(Q$7-1)*MAX(0,MIN(1,Q$6*1-Inputs!$B$49+1))/1</f>
        <v>2.2</v>
      </c>
      <c r="R104" s="118" t="n">
        <f aca="false">Inputs!$B$46*(1+Inputs!$B$48)^(R$7-1)*MAX(0,MIN(1,R$6*1-Inputs!$B$49+1))/1</f>
        <v>2.2</v>
      </c>
      <c r="S104" s="118" t="n">
        <f aca="false">Inputs!$B$46*(1+Inputs!$B$48)^(S$7-1)*MAX(0,MIN(1,S$6*1-Inputs!$B$49+1))/1</f>
        <v>2.2</v>
      </c>
      <c r="T104" s="118" t="n">
        <f aca="false">Inputs!$B$46*(1+Inputs!$B$48)^(T$7-1)*MAX(0,MIN(1,T$6*1-Inputs!$B$49+1))/1</f>
        <v>2.2</v>
      </c>
      <c r="U104" s="118" t="n">
        <f aca="false">Inputs!$B$46*(1+Inputs!$B$48)^(U$7-1)*MAX(0,MIN(1,U$6*1-Inputs!$B$49+1))/1</f>
        <v>2.2</v>
      </c>
      <c r="V104" s="118" t="n">
        <f aca="false">Inputs!$B$46*(1+Inputs!$B$48)^(V$7-1)*MAX(0,MIN(1,V$6*1-Inputs!$B$49+1))/1</f>
        <v>2.2</v>
      </c>
      <c r="W104" s="118" t="n">
        <f aca="false">Inputs!$B$46*(1+Inputs!$B$48)^(W$7-1)*MAX(0,MIN(1,W$6*1-Inputs!$B$49+1))/1</f>
        <v>2.2</v>
      </c>
      <c r="X104" s="118" t="n">
        <f aca="false">Inputs!$B$46*(1+Inputs!$B$48)^(X$7-1)*MAX(0,MIN(1,X$6*1-Inputs!$B$49+1))/1</f>
        <v>2.2</v>
      </c>
      <c r="Y104" s="118" t="n">
        <f aca="false">Inputs!$B$46*(1+Inputs!$B$48)^(Y$7-1)*MAX(0,MIN(1,Y$6*1-Inputs!$B$49+1))/1</f>
        <v>2.2</v>
      </c>
      <c r="Z104" s="118" t="n">
        <f aca="false">Inputs!$B$46*(1+Inputs!$B$48)^(Z$7-1)*MAX(0,MIN(1,Z$6*1-Inputs!$B$49+1))/1</f>
        <v>2.2</v>
      </c>
      <c r="AA104" s="118" t="n">
        <f aca="false">Inputs!$B$46*(1+Inputs!$B$48)^(AA$7-1)*MAX(0,MIN(1,AA$6*1-Inputs!$B$49+1))/1</f>
        <v>2.42</v>
      </c>
      <c r="AB104" s="118" t="n">
        <f aca="false">Inputs!$B$46*(1+Inputs!$B$48)^(AB$7-1)*MAX(0,MIN(1,AB$6*1-Inputs!$B$49+1))/1</f>
        <v>2.42</v>
      </c>
      <c r="AC104" s="118" t="n">
        <f aca="false">Inputs!$B$46*(1+Inputs!$B$48)^(AC$7-1)*MAX(0,MIN(1,AC$6*1-Inputs!$B$49+1))/1</f>
        <v>2.42</v>
      </c>
      <c r="AD104" s="118" t="n">
        <f aca="false">Inputs!$B$46*(1+Inputs!$B$48)^(AD$7-1)*MAX(0,MIN(1,AD$6*1-Inputs!$B$49+1))/1</f>
        <v>2.42</v>
      </c>
      <c r="AE104" s="118" t="n">
        <f aca="false">Inputs!$B$46*(1+Inputs!$B$48)^(AE$7-1)*MAX(0,MIN(1,AE$6*1-Inputs!$B$49+1))/1</f>
        <v>2.42</v>
      </c>
      <c r="AF104" s="118" t="n">
        <f aca="false">Inputs!$B$46*(1+Inputs!$B$48)^(AF$7-1)*MAX(0,MIN(1,AF$6*1-Inputs!$B$49+1))/1</f>
        <v>2.42</v>
      </c>
      <c r="AG104" s="118" t="n">
        <f aca="false">Inputs!$B$46*(1+Inputs!$B$48)^(AG$7-1)*MAX(0,MIN(1,AG$6*1-Inputs!$B$49+1))/1</f>
        <v>2.42</v>
      </c>
      <c r="AH104" s="118" t="n">
        <f aca="false">Inputs!$B$46*(1+Inputs!$B$48)^(AH$7-1)*MAX(0,MIN(1,AH$6*1-Inputs!$B$49+1))/1</f>
        <v>2.42</v>
      </c>
      <c r="AI104" s="118" t="n">
        <f aca="false">Inputs!$B$46*(1+Inputs!$B$48)^(AI$7-1)*MAX(0,MIN(1,AI$6*1-Inputs!$B$49+1))/1</f>
        <v>2.42</v>
      </c>
      <c r="AJ104" s="118" t="n">
        <f aca="false">Inputs!$B$46*(1+Inputs!$B$48)^(AJ$7-1)*MAX(0,MIN(1,AJ$6*1-Inputs!$B$49+1))/1</f>
        <v>2.42</v>
      </c>
      <c r="AK104" s="118" t="n">
        <f aca="false">Inputs!$B$46*(1+Inputs!$B$48)^(AK$7-1)*MAX(0,MIN(1,AK$6*1-Inputs!$B$49+1))/1</f>
        <v>2.42</v>
      </c>
      <c r="AL104" s="118" t="n">
        <f aca="false">Inputs!$B$46*(1+Inputs!$B$48)^(AL$7-1)*MAX(0,MIN(1,AL$6*1-Inputs!$B$49+1))/1</f>
        <v>2.42</v>
      </c>
    </row>
    <row r="105" customFormat="false" ht="15" hidden="false" customHeight="false" outlineLevel="0" collapsed="false">
      <c r="A105" s="113" t="s">
        <v>415</v>
      </c>
      <c r="C105" s="122" t="n">
        <f aca="false">C103+C104</f>
        <v>9</v>
      </c>
      <c r="D105" s="122" t="n">
        <f aca="false">D103+D104</f>
        <v>9</v>
      </c>
      <c r="E105" s="122" t="n">
        <f aca="false">E103+E104</f>
        <v>9</v>
      </c>
      <c r="F105" s="122" t="n">
        <f aca="false">F103+F104</f>
        <v>9</v>
      </c>
      <c r="G105" s="122" t="n">
        <f aca="false">G103+G104</f>
        <v>9</v>
      </c>
      <c r="H105" s="122" t="n">
        <f aca="false">H103+H104</f>
        <v>9</v>
      </c>
      <c r="I105" s="122" t="n">
        <f aca="false">I103+I104</f>
        <v>9</v>
      </c>
      <c r="J105" s="122" t="n">
        <f aca="false">J103+J104</f>
        <v>9</v>
      </c>
      <c r="K105" s="122" t="n">
        <f aca="false">K103+K104</f>
        <v>9</v>
      </c>
      <c r="L105" s="122" t="n">
        <f aca="false">L103+L104</f>
        <v>9</v>
      </c>
      <c r="M105" s="122" t="n">
        <f aca="false">M103+M104</f>
        <v>9</v>
      </c>
      <c r="N105" s="122" t="n">
        <f aca="false">N103+N104</f>
        <v>9</v>
      </c>
      <c r="O105" s="122" t="n">
        <f aca="false">O103+O104</f>
        <v>10.04</v>
      </c>
      <c r="P105" s="122" t="n">
        <f aca="false">P103+P104</f>
        <v>10.04</v>
      </c>
      <c r="Q105" s="122" t="n">
        <f aca="false">Q103+Q104</f>
        <v>10.04</v>
      </c>
      <c r="R105" s="122" t="n">
        <f aca="false">R103+R104</f>
        <v>10.04</v>
      </c>
      <c r="S105" s="122" t="n">
        <f aca="false">S103+S104</f>
        <v>10.04</v>
      </c>
      <c r="T105" s="122" t="n">
        <f aca="false">T103+T104</f>
        <v>10.04</v>
      </c>
      <c r="U105" s="122" t="n">
        <f aca="false">U103+U104</f>
        <v>10.04</v>
      </c>
      <c r="V105" s="122" t="n">
        <f aca="false">V103+V104</f>
        <v>10.04</v>
      </c>
      <c r="W105" s="122" t="n">
        <f aca="false">W103+W104</f>
        <v>10.04</v>
      </c>
      <c r="X105" s="122" t="n">
        <f aca="false">X103+X104</f>
        <v>10.04</v>
      </c>
      <c r="Y105" s="122" t="n">
        <f aca="false">Y103+Y104</f>
        <v>10.04</v>
      </c>
      <c r="Z105" s="122" t="n">
        <f aca="false">Z103+Z104</f>
        <v>10.04</v>
      </c>
      <c r="AA105" s="122" t="n">
        <f aca="false">AA103+AA104</f>
        <v>11.2008</v>
      </c>
      <c r="AB105" s="122" t="n">
        <f aca="false">AB103+AB104</f>
        <v>11.2008</v>
      </c>
      <c r="AC105" s="122" t="n">
        <f aca="false">AC103+AC104</f>
        <v>11.2008</v>
      </c>
      <c r="AD105" s="122" t="n">
        <f aca="false">AD103+AD104</f>
        <v>11.2008</v>
      </c>
      <c r="AE105" s="122" t="n">
        <f aca="false">AE103+AE104</f>
        <v>11.2008</v>
      </c>
      <c r="AF105" s="122" t="n">
        <f aca="false">AF103+AF104</f>
        <v>11.2008</v>
      </c>
      <c r="AG105" s="122" t="n">
        <f aca="false">AG103+AG104</f>
        <v>11.2008</v>
      </c>
      <c r="AH105" s="122" t="n">
        <f aca="false">AH103+AH104</f>
        <v>11.2008</v>
      </c>
      <c r="AI105" s="122" t="n">
        <f aca="false">AI103+AI104</f>
        <v>11.2008</v>
      </c>
      <c r="AJ105" s="122" t="n">
        <f aca="false">AJ103+AJ104</f>
        <v>11.2008</v>
      </c>
      <c r="AK105" s="122" t="n">
        <f aca="false">AK103+AK104</f>
        <v>11.2008</v>
      </c>
      <c r="AL105" s="122" t="n">
        <f aca="false">AL103+AL104</f>
        <v>11.2008</v>
      </c>
    </row>
    <row r="107" customFormat="false" ht="15.75" hidden="false" customHeight="true" outlineLevel="0" collapsed="false">
      <c r="A107" s="7" t="s">
        <v>416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customFormat="false" ht="15" hidden="false" customHeight="false" outlineLevel="0" collapsed="false">
      <c r="A108" s="6" t="s">
        <v>417</v>
      </c>
      <c r="C108" s="67" t="n">
        <f aca="false">-C103*Inputs!$B$43/12*1*(1+Inputs!$B$50)*(1+Inputs!$B$51)^(C$7-1)</f>
        <v>-41591.6666666667</v>
      </c>
      <c r="D108" s="67" t="n">
        <f aca="false">-D103*Inputs!$B$43/12*1*(1+Inputs!$B$50)*(1+Inputs!$B$51)^(D$7-1)</f>
        <v>-41591.6666666667</v>
      </c>
      <c r="E108" s="67" t="n">
        <f aca="false">-E103*Inputs!$B$43/12*1*(1+Inputs!$B$50)*(1+Inputs!$B$51)^(E$7-1)</f>
        <v>-41591.6666666667</v>
      </c>
      <c r="F108" s="67" t="n">
        <f aca="false">-F103*Inputs!$B$43/12*1*(1+Inputs!$B$50)*(1+Inputs!$B$51)^(F$7-1)</f>
        <v>-41591.6666666667</v>
      </c>
      <c r="G108" s="67" t="n">
        <f aca="false">-G103*Inputs!$B$43/12*1*(1+Inputs!$B$50)*(1+Inputs!$B$51)^(G$7-1)</f>
        <v>-41591.6666666667</v>
      </c>
      <c r="H108" s="67" t="n">
        <f aca="false">-H103*Inputs!$B$43/12*1*(1+Inputs!$B$50)*(1+Inputs!$B$51)^(H$7-1)</f>
        <v>-41591.6666666667</v>
      </c>
      <c r="I108" s="67" t="n">
        <f aca="false">-I103*Inputs!$B$43/12*1*(1+Inputs!$B$50)*(1+Inputs!$B$51)^(I$7-1)</f>
        <v>-41591.6666666667</v>
      </c>
      <c r="J108" s="67" t="n">
        <f aca="false">-J103*Inputs!$B$43/12*1*(1+Inputs!$B$50)*(1+Inputs!$B$51)^(J$7-1)</f>
        <v>-41591.6666666667</v>
      </c>
      <c r="K108" s="67" t="n">
        <f aca="false">-K103*Inputs!$B$43/12*1*(1+Inputs!$B$50)*(1+Inputs!$B$51)^(K$7-1)</f>
        <v>-41591.6666666667</v>
      </c>
      <c r="L108" s="67" t="n">
        <f aca="false">-L103*Inputs!$B$43/12*1*(1+Inputs!$B$50)*(1+Inputs!$B$51)^(L$7-1)</f>
        <v>-41591.6666666667</v>
      </c>
      <c r="M108" s="67" t="n">
        <f aca="false">-M103*Inputs!$B$43/12*1*(1+Inputs!$B$50)*(1+Inputs!$B$51)^(M$7-1)</f>
        <v>-41591.6666666667</v>
      </c>
      <c r="N108" s="67" t="n">
        <f aca="false">-N103*Inputs!$B$43/12*1*(1+Inputs!$B$50)*(1+Inputs!$B$51)^(N$7-1)</f>
        <v>-41591.6666666667</v>
      </c>
      <c r="O108" s="67" t="n">
        <f aca="false">-O103*Inputs!$B$43/12*1*(1+Inputs!$B$50)*(1+Inputs!$B$51)^(O$7-1)</f>
        <v>-47980.1466666667</v>
      </c>
      <c r="P108" s="67" t="n">
        <f aca="false">-P103*Inputs!$B$43/12*1*(1+Inputs!$B$50)*(1+Inputs!$B$51)^(P$7-1)</f>
        <v>-47980.1466666667</v>
      </c>
      <c r="Q108" s="67" t="n">
        <f aca="false">-Q103*Inputs!$B$43/12*1*(1+Inputs!$B$50)*(1+Inputs!$B$51)^(Q$7-1)</f>
        <v>-47980.1466666667</v>
      </c>
      <c r="R108" s="67" t="n">
        <f aca="false">-R103*Inputs!$B$43/12*1*(1+Inputs!$B$50)*(1+Inputs!$B$51)^(R$7-1)</f>
        <v>-47980.1466666667</v>
      </c>
      <c r="S108" s="67" t="n">
        <f aca="false">-S103*Inputs!$B$43/12*1*(1+Inputs!$B$50)*(1+Inputs!$B$51)^(S$7-1)</f>
        <v>-47980.1466666667</v>
      </c>
      <c r="T108" s="67" t="n">
        <f aca="false">-T103*Inputs!$B$43/12*1*(1+Inputs!$B$50)*(1+Inputs!$B$51)^(T$7-1)</f>
        <v>-47980.1466666667</v>
      </c>
      <c r="U108" s="67" t="n">
        <f aca="false">-U103*Inputs!$B$43/12*1*(1+Inputs!$B$50)*(1+Inputs!$B$51)^(U$7-1)</f>
        <v>-47980.1466666667</v>
      </c>
      <c r="V108" s="67" t="n">
        <f aca="false">-V103*Inputs!$B$43/12*1*(1+Inputs!$B$50)*(1+Inputs!$B$51)^(V$7-1)</f>
        <v>-47980.1466666667</v>
      </c>
      <c r="W108" s="67" t="n">
        <f aca="false">-W103*Inputs!$B$43/12*1*(1+Inputs!$B$50)*(1+Inputs!$B$51)^(W$7-1)</f>
        <v>-47980.1466666667</v>
      </c>
      <c r="X108" s="67" t="n">
        <f aca="false">-X103*Inputs!$B$43/12*1*(1+Inputs!$B$50)*(1+Inputs!$B$51)^(X$7-1)</f>
        <v>-47980.1466666667</v>
      </c>
      <c r="Y108" s="67" t="n">
        <f aca="false">-Y103*Inputs!$B$43/12*1*(1+Inputs!$B$50)*(1+Inputs!$B$51)^(Y$7-1)</f>
        <v>-47980.1466666667</v>
      </c>
      <c r="Z108" s="67" t="n">
        <f aca="false">-Z103*Inputs!$B$43/12*1*(1+Inputs!$B$50)*(1+Inputs!$B$51)^(Z$7-1)</f>
        <v>-47980.1466666667</v>
      </c>
      <c r="AA108" s="67" t="n">
        <f aca="false">-AA103*Inputs!$B$43/12*1*(1+Inputs!$B$50)*(1+Inputs!$B$51)^(AA$7-1)</f>
        <v>-55349.8971946667</v>
      </c>
      <c r="AB108" s="67" t="n">
        <f aca="false">-AB103*Inputs!$B$43/12*1*(1+Inputs!$B$50)*(1+Inputs!$B$51)^(AB$7-1)</f>
        <v>-55349.8971946667</v>
      </c>
      <c r="AC108" s="67" t="n">
        <f aca="false">-AC103*Inputs!$B$43/12*1*(1+Inputs!$B$50)*(1+Inputs!$B$51)^(AC$7-1)</f>
        <v>-55349.8971946667</v>
      </c>
      <c r="AD108" s="67" t="n">
        <f aca="false">-AD103*Inputs!$B$43/12*1*(1+Inputs!$B$50)*(1+Inputs!$B$51)^(AD$7-1)</f>
        <v>-55349.8971946667</v>
      </c>
      <c r="AE108" s="67" t="n">
        <f aca="false">-AE103*Inputs!$B$43/12*1*(1+Inputs!$B$50)*(1+Inputs!$B$51)^(AE$7-1)</f>
        <v>-55349.8971946667</v>
      </c>
      <c r="AF108" s="67" t="n">
        <f aca="false">-AF103*Inputs!$B$43/12*1*(1+Inputs!$B$50)*(1+Inputs!$B$51)^(AF$7-1)</f>
        <v>-55349.8971946667</v>
      </c>
      <c r="AG108" s="67" t="n">
        <f aca="false">-AG103*Inputs!$B$43/12*1*(1+Inputs!$B$50)*(1+Inputs!$B$51)^(AG$7-1)</f>
        <v>-55349.8971946667</v>
      </c>
      <c r="AH108" s="67" t="n">
        <f aca="false">-AH103*Inputs!$B$43/12*1*(1+Inputs!$B$50)*(1+Inputs!$B$51)^(AH$7-1)</f>
        <v>-55349.8971946667</v>
      </c>
      <c r="AI108" s="67" t="n">
        <f aca="false">-AI103*Inputs!$B$43/12*1*(1+Inputs!$B$50)*(1+Inputs!$B$51)^(AI$7-1)</f>
        <v>-55349.8971946667</v>
      </c>
      <c r="AJ108" s="67" t="n">
        <f aca="false">-AJ103*Inputs!$B$43/12*1*(1+Inputs!$B$50)*(1+Inputs!$B$51)^(AJ$7-1)</f>
        <v>-55349.8971946667</v>
      </c>
      <c r="AK108" s="67" t="n">
        <f aca="false">-AK103*Inputs!$B$43/12*1*(1+Inputs!$B$50)*(1+Inputs!$B$51)^(AK$7-1)</f>
        <v>-55349.8971946667</v>
      </c>
      <c r="AL108" s="67" t="n">
        <f aca="false">-AL103*Inputs!$B$43/12*1*(1+Inputs!$B$50)*(1+Inputs!$B$51)^(AL$7-1)</f>
        <v>-55349.8971946667</v>
      </c>
    </row>
    <row r="109" customFormat="false" ht="15" hidden="false" customHeight="false" outlineLevel="0" collapsed="false">
      <c r="A109" s="6" t="s">
        <v>418</v>
      </c>
      <c r="C109" s="67" t="n">
        <f aca="false">-C104*Inputs!$B$47/12*1*(1+Inputs!$B$50)*(1+Inputs!$B$51)^(C$7-1)</f>
        <v>-8625</v>
      </c>
      <c r="D109" s="67" t="n">
        <f aca="false">-D104*Inputs!$B$47/12*1*(1+Inputs!$B$50)*(1+Inputs!$B$51)^(D$7-1)</f>
        <v>-8625</v>
      </c>
      <c r="E109" s="67" t="n">
        <f aca="false">-E104*Inputs!$B$47/12*1*(1+Inputs!$B$50)*(1+Inputs!$B$51)^(E$7-1)</f>
        <v>-8625</v>
      </c>
      <c r="F109" s="67" t="n">
        <f aca="false">-F104*Inputs!$B$47/12*1*(1+Inputs!$B$50)*(1+Inputs!$B$51)^(F$7-1)</f>
        <v>-8625</v>
      </c>
      <c r="G109" s="67" t="n">
        <f aca="false">-G104*Inputs!$B$47/12*1*(1+Inputs!$B$50)*(1+Inputs!$B$51)^(G$7-1)</f>
        <v>-8625</v>
      </c>
      <c r="H109" s="67" t="n">
        <f aca="false">-H104*Inputs!$B$47/12*1*(1+Inputs!$B$50)*(1+Inputs!$B$51)^(H$7-1)</f>
        <v>-8625</v>
      </c>
      <c r="I109" s="67" t="n">
        <f aca="false">-I104*Inputs!$B$47/12*1*(1+Inputs!$B$50)*(1+Inputs!$B$51)^(I$7-1)</f>
        <v>-8625</v>
      </c>
      <c r="J109" s="67" t="n">
        <f aca="false">-J104*Inputs!$B$47/12*1*(1+Inputs!$B$50)*(1+Inputs!$B$51)^(J$7-1)</f>
        <v>-8625</v>
      </c>
      <c r="K109" s="67" t="n">
        <f aca="false">-K104*Inputs!$B$47/12*1*(1+Inputs!$B$50)*(1+Inputs!$B$51)^(K$7-1)</f>
        <v>-8625</v>
      </c>
      <c r="L109" s="67" t="n">
        <f aca="false">-L104*Inputs!$B$47/12*1*(1+Inputs!$B$50)*(1+Inputs!$B$51)^(L$7-1)</f>
        <v>-8625</v>
      </c>
      <c r="M109" s="67" t="n">
        <f aca="false">-M104*Inputs!$B$47/12*1*(1+Inputs!$B$50)*(1+Inputs!$B$51)^(M$7-1)</f>
        <v>-8625</v>
      </c>
      <c r="N109" s="67" t="n">
        <f aca="false">-N104*Inputs!$B$47/12*1*(1+Inputs!$B$50)*(1+Inputs!$B$51)^(N$7-1)</f>
        <v>-8625</v>
      </c>
      <c r="O109" s="67" t="n">
        <f aca="false">-O104*Inputs!$B$47/12*1*(1+Inputs!$B$50)*(1+Inputs!$B$51)^(O$7-1)</f>
        <v>-9772.125</v>
      </c>
      <c r="P109" s="67" t="n">
        <f aca="false">-P104*Inputs!$B$47/12*1*(1+Inputs!$B$50)*(1+Inputs!$B$51)^(P$7-1)</f>
        <v>-9772.125</v>
      </c>
      <c r="Q109" s="67" t="n">
        <f aca="false">-Q104*Inputs!$B$47/12*1*(1+Inputs!$B$50)*(1+Inputs!$B$51)^(Q$7-1)</f>
        <v>-9772.125</v>
      </c>
      <c r="R109" s="67" t="n">
        <f aca="false">-R104*Inputs!$B$47/12*1*(1+Inputs!$B$50)*(1+Inputs!$B$51)^(R$7-1)</f>
        <v>-9772.125</v>
      </c>
      <c r="S109" s="67" t="n">
        <f aca="false">-S104*Inputs!$B$47/12*1*(1+Inputs!$B$50)*(1+Inputs!$B$51)^(S$7-1)</f>
        <v>-9772.125</v>
      </c>
      <c r="T109" s="67" t="n">
        <f aca="false">-T104*Inputs!$B$47/12*1*(1+Inputs!$B$50)*(1+Inputs!$B$51)^(T$7-1)</f>
        <v>-9772.125</v>
      </c>
      <c r="U109" s="67" t="n">
        <f aca="false">-U104*Inputs!$B$47/12*1*(1+Inputs!$B$50)*(1+Inputs!$B$51)^(U$7-1)</f>
        <v>-9772.125</v>
      </c>
      <c r="V109" s="67" t="n">
        <f aca="false">-V104*Inputs!$B$47/12*1*(1+Inputs!$B$50)*(1+Inputs!$B$51)^(V$7-1)</f>
        <v>-9772.125</v>
      </c>
      <c r="W109" s="67" t="n">
        <f aca="false">-W104*Inputs!$B$47/12*1*(1+Inputs!$B$50)*(1+Inputs!$B$51)^(W$7-1)</f>
        <v>-9772.125</v>
      </c>
      <c r="X109" s="67" t="n">
        <f aca="false">-X104*Inputs!$B$47/12*1*(1+Inputs!$B$50)*(1+Inputs!$B$51)^(X$7-1)</f>
        <v>-9772.125</v>
      </c>
      <c r="Y109" s="67" t="n">
        <f aca="false">-Y104*Inputs!$B$47/12*1*(1+Inputs!$B$50)*(1+Inputs!$B$51)^(Y$7-1)</f>
        <v>-9772.125</v>
      </c>
      <c r="Z109" s="67" t="n">
        <f aca="false">-Z104*Inputs!$B$47/12*1*(1+Inputs!$B$50)*(1+Inputs!$B$51)^(Z$7-1)</f>
        <v>-9772.125</v>
      </c>
      <c r="AA109" s="67" t="n">
        <f aca="false">-AA104*Inputs!$B$47/12*1*(1+Inputs!$B$50)*(1+Inputs!$B$51)^(AA$7-1)</f>
        <v>-11071.817625</v>
      </c>
      <c r="AB109" s="67" t="n">
        <f aca="false">-AB104*Inputs!$B$47/12*1*(1+Inputs!$B$50)*(1+Inputs!$B$51)^(AB$7-1)</f>
        <v>-11071.817625</v>
      </c>
      <c r="AC109" s="67" t="n">
        <f aca="false">-AC104*Inputs!$B$47/12*1*(1+Inputs!$B$50)*(1+Inputs!$B$51)^(AC$7-1)</f>
        <v>-11071.817625</v>
      </c>
      <c r="AD109" s="67" t="n">
        <f aca="false">-AD104*Inputs!$B$47/12*1*(1+Inputs!$B$50)*(1+Inputs!$B$51)^(AD$7-1)</f>
        <v>-11071.817625</v>
      </c>
      <c r="AE109" s="67" t="n">
        <f aca="false">-AE104*Inputs!$B$47/12*1*(1+Inputs!$B$50)*(1+Inputs!$B$51)^(AE$7-1)</f>
        <v>-11071.817625</v>
      </c>
      <c r="AF109" s="67" t="n">
        <f aca="false">-AF104*Inputs!$B$47/12*1*(1+Inputs!$B$50)*(1+Inputs!$B$51)^(AF$7-1)</f>
        <v>-11071.817625</v>
      </c>
      <c r="AG109" s="67" t="n">
        <f aca="false">-AG104*Inputs!$B$47/12*1*(1+Inputs!$B$50)*(1+Inputs!$B$51)^(AG$7-1)</f>
        <v>-11071.817625</v>
      </c>
      <c r="AH109" s="67" t="n">
        <f aca="false">-AH104*Inputs!$B$47/12*1*(1+Inputs!$B$50)*(1+Inputs!$B$51)^(AH$7-1)</f>
        <v>-11071.817625</v>
      </c>
      <c r="AI109" s="67" t="n">
        <f aca="false">-AI104*Inputs!$B$47/12*1*(1+Inputs!$B$50)*(1+Inputs!$B$51)^(AI$7-1)</f>
        <v>-11071.817625</v>
      </c>
      <c r="AJ109" s="67" t="n">
        <f aca="false">-AJ104*Inputs!$B$47/12*1*(1+Inputs!$B$50)*(1+Inputs!$B$51)^(AJ$7-1)</f>
        <v>-11071.817625</v>
      </c>
      <c r="AK109" s="67" t="n">
        <f aca="false">-AK104*Inputs!$B$47/12*1*(1+Inputs!$B$50)*(1+Inputs!$B$51)^(AK$7-1)</f>
        <v>-11071.817625</v>
      </c>
      <c r="AL109" s="67" t="n">
        <f aca="false">-AL104*Inputs!$B$47/12*1*(1+Inputs!$B$50)*(1+Inputs!$B$51)^(AL$7-1)</f>
        <v>-11071.817625</v>
      </c>
    </row>
    <row r="110" customFormat="false" ht="15" hidden="false" customHeight="false" outlineLevel="0" collapsed="false">
      <c r="A110" s="113" t="s">
        <v>419</v>
      </c>
      <c r="C110" s="68" t="n">
        <f aca="false">C108+C109</f>
        <v>-50216.6666666667</v>
      </c>
      <c r="D110" s="68" t="n">
        <f aca="false">D108+D109</f>
        <v>-50216.6666666667</v>
      </c>
      <c r="E110" s="68" t="n">
        <f aca="false">E108+E109</f>
        <v>-50216.6666666667</v>
      </c>
      <c r="F110" s="68" t="n">
        <f aca="false">F108+F109</f>
        <v>-50216.6666666667</v>
      </c>
      <c r="G110" s="68" t="n">
        <f aca="false">G108+G109</f>
        <v>-50216.6666666667</v>
      </c>
      <c r="H110" s="68" t="n">
        <f aca="false">H108+H109</f>
        <v>-50216.6666666667</v>
      </c>
      <c r="I110" s="68" t="n">
        <f aca="false">I108+I109</f>
        <v>-50216.6666666667</v>
      </c>
      <c r="J110" s="68" t="n">
        <f aca="false">J108+J109</f>
        <v>-50216.6666666667</v>
      </c>
      <c r="K110" s="68" t="n">
        <f aca="false">K108+K109</f>
        <v>-50216.6666666667</v>
      </c>
      <c r="L110" s="68" t="n">
        <f aca="false">L108+L109</f>
        <v>-50216.6666666667</v>
      </c>
      <c r="M110" s="68" t="n">
        <f aca="false">M108+M109</f>
        <v>-50216.6666666667</v>
      </c>
      <c r="N110" s="68" t="n">
        <f aca="false">N108+N109</f>
        <v>-50216.6666666667</v>
      </c>
      <c r="O110" s="68" t="n">
        <f aca="false">O108+O109</f>
        <v>-57752.2716666667</v>
      </c>
      <c r="P110" s="68" t="n">
        <f aca="false">P108+P109</f>
        <v>-57752.2716666667</v>
      </c>
      <c r="Q110" s="68" t="n">
        <f aca="false">Q108+Q109</f>
        <v>-57752.2716666667</v>
      </c>
      <c r="R110" s="68" t="n">
        <f aca="false">R108+R109</f>
        <v>-57752.2716666667</v>
      </c>
      <c r="S110" s="68" t="n">
        <f aca="false">S108+S109</f>
        <v>-57752.2716666667</v>
      </c>
      <c r="T110" s="68" t="n">
        <f aca="false">T108+T109</f>
        <v>-57752.2716666667</v>
      </c>
      <c r="U110" s="68" t="n">
        <f aca="false">U108+U109</f>
        <v>-57752.2716666667</v>
      </c>
      <c r="V110" s="68" t="n">
        <f aca="false">V108+V109</f>
        <v>-57752.2716666667</v>
      </c>
      <c r="W110" s="68" t="n">
        <f aca="false">W108+W109</f>
        <v>-57752.2716666667</v>
      </c>
      <c r="X110" s="68" t="n">
        <f aca="false">X108+X109</f>
        <v>-57752.2716666667</v>
      </c>
      <c r="Y110" s="68" t="n">
        <f aca="false">Y108+Y109</f>
        <v>-57752.2716666667</v>
      </c>
      <c r="Z110" s="68" t="n">
        <f aca="false">Z108+Z109</f>
        <v>-57752.2716666667</v>
      </c>
      <c r="AA110" s="68" t="n">
        <f aca="false">AA108+AA109</f>
        <v>-66421.7148196667</v>
      </c>
      <c r="AB110" s="68" t="n">
        <f aca="false">AB108+AB109</f>
        <v>-66421.7148196667</v>
      </c>
      <c r="AC110" s="68" t="n">
        <f aca="false">AC108+AC109</f>
        <v>-66421.7148196667</v>
      </c>
      <c r="AD110" s="68" t="n">
        <f aca="false">AD108+AD109</f>
        <v>-66421.7148196667</v>
      </c>
      <c r="AE110" s="68" t="n">
        <f aca="false">AE108+AE109</f>
        <v>-66421.7148196667</v>
      </c>
      <c r="AF110" s="68" t="n">
        <f aca="false">AF108+AF109</f>
        <v>-66421.7148196667</v>
      </c>
      <c r="AG110" s="68" t="n">
        <f aca="false">AG108+AG109</f>
        <v>-66421.7148196667</v>
      </c>
      <c r="AH110" s="68" t="n">
        <f aca="false">AH108+AH109</f>
        <v>-66421.7148196667</v>
      </c>
      <c r="AI110" s="68" t="n">
        <f aca="false">AI108+AI109</f>
        <v>-66421.7148196667</v>
      </c>
      <c r="AJ110" s="68" t="n">
        <f aca="false">AJ108+AJ109</f>
        <v>-66421.7148196667</v>
      </c>
      <c r="AK110" s="68" t="n">
        <f aca="false">AK108+AK109</f>
        <v>-66421.7148196667</v>
      </c>
      <c r="AL110" s="68" t="n">
        <f aca="false">AL108+AL109</f>
        <v>-66421.7148196667</v>
      </c>
    </row>
    <row r="113" customFormat="false" ht="15.75" hidden="false" customHeight="true" outlineLevel="0" collapsed="false">
      <c r="A113" s="7" t="s">
        <v>423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customFormat="false" ht="15" hidden="false" customHeight="false" outlineLevel="0" collapsed="false">
      <c r="A114" s="33" t="s">
        <v>336</v>
      </c>
      <c r="C114" s="35" t="s">
        <v>337</v>
      </c>
      <c r="D114" s="35" t="s">
        <v>338</v>
      </c>
      <c r="E114" s="35" t="s">
        <v>339</v>
      </c>
      <c r="F114" s="35" t="s">
        <v>340</v>
      </c>
      <c r="G114" s="35" t="s">
        <v>341</v>
      </c>
      <c r="H114" s="35" t="s">
        <v>342</v>
      </c>
      <c r="I114" s="35" t="s">
        <v>343</v>
      </c>
      <c r="J114" s="35" t="s">
        <v>344</v>
      </c>
      <c r="K114" s="35" t="s">
        <v>345</v>
      </c>
      <c r="L114" s="35" t="s">
        <v>346</v>
      </c>
      <c r="M114" s="35" t="s">
        <v>347</v>
      </c>
      <c r="N114" s="35" t="s">
        <v>348</v>
      </c>
      <c r="O114" s="35" t="s">
        <v>349</v>
      </c>
      <c r="P114" s="35" t="s">
        <v>350</v>
      </c>
      <c r="Q114" s="35" t="s">
        <v>351</v>
      </c>
      <c r="R114" s="35" t="s">
        <v>352</v>
      </c>
      <c r="S114" s="35" t="s">
        <v>353</v>
      </c>
      <c r="T114" s="35" t="s">
        <v>354</v>
      </c>
      <c r="U114" s="35" t="s">
        <v>355</v>
      </c>
      <c r="V114" s="35" t="s">
        <v>356</v>
      </c>
      <c r="W114" s="35" t="s">
        <v>357</v>
      </c>
      <c r="X114" s="35" t="s">
        <v>358</v>
      </c>
      <c r="Y114" s="35" t="s">
        <v>359</v>
      </c>
      <c r="Z114" s="35" t="s">
        <v>360</v>
      </c>
      <c r="AA114" s="35" t="s">
        <v>361</v>
      </c>
      <c r="AB114" s="35" t="s">
        <v>362</v>
      </c>
      <c r="AC114" s="35" t="s">
        <v>363</v>
      </c>
      <c r="AD114" s="35" t="s">
        <v>364</v>
      </c>
      <c r="AE114" s="35" t="s">
        <v>365</v>
      </c>
      <c r="AF114" s="35" t="s">
        <v>366</v>
      </c>
      <c r="AG114" s="35" t="s">
        <v>367</v>
      </c>
      <c r="AH114" s="35" t="s">
        <v>368</v>
      </c>
      <c r="AI114" s="35" t="s">
        <v>369</v>
      </c>
      <c r="AJ114" s="35" t="s">
        <v>370</v>
      </c>
      <c r="AK114" s="35" t="s">
        <v>371</v>
      </c>
      <c r="AL114" s="35" t="s">
        <v>372</v>
      </c>
    </row>
    <row r="115" customFormat="false" ht="15" hidden="false" customHeight="false" outlineLevel="0" collapsed="false">
      <c r="A115" s="72" t="s">
        <v>373</v>
      </c>
      <c r="C115" s="72" t="n">
        <v>1</v>
      </c>
      <c r="D115" s="72" t="n">
        <v>2</v>
      </c>
      <c r="E115" s="72" t="n">
        <v>3</v>
      </c>
      <c r="F115" s="72" t="n">
        <v>4</v>
      </c>
      <c r="G115" s="72" t="n">
        <v>5</v>
      </c>
      <c r="H115" s="72" t="n">
        <v>6</v>
      </c>
      <c r="I115" s="72" t="n">
        <v>7</v>
      </c>
      <c r="J115" s="72" t="n">
        <v>8</v>
      </c>
      <c r="K115" s="72" t="n">
        <v>9</v>
      </c>
      <c r="L115" s="72" t="n">
        <v>10</v>
      </c>
      <c r="M115" s="72" t="n">
        <v>11</v>
      </c>
      <c r="N115" s="72" t="n">
        <v>12</v>
      </c>
      <c r="O115" s="72" t="n">
        <v>13</v>
      </c>
      <c r="P115" s="72" t="n">
        <v>14</v>
      </c>
      <c r="Q115" s="72" t="n">
        <v>15</v>
      </c>
      <c r="R115" s="72" t="n">
        <v>16</v>
      </c>
      <c r="S115" s="72" t="n">
        <v>17</v>
      </c>
      <c r="T115" s="72" t="n">
        <v>18</v>
      </c>
      <c r="U115" s="72" t="n">
        <v>19</v>
      </c>
      <c r="V115" s="72" t="n">
        <v>20</v>
      </c>
      <c r="W115" s="72" t="n">
        <v>21</v>
      </c>
      <c r="X115" s="72" t="n">
        <v>22</v>
      </c>
      <c r="Y115" s="72" t="n">
        <v>23</v>
      </c>
      <c r="Z115" s="72" t="n">
        <v>24</v>
      </c>
      <c r="AA115" s="72" t="n">
        <v>25</v>
      </c>
      <c r="AB115" s="72" t="n">
        <v>26</v>
      </c>
      <c r="AC115" s="72" t="n">
        <v>27</v>
      </c>
      <c r="AD115" s="72" t="n">
        <v>28</v>
      </c>
      <c r="AE115" s="72" t="n">
        <v>29</v>
      </c>
      <c r="AF115" s="72" t="n">
        <v>30</v>
      </c>
      <c r="AG115" s="72" t="n">
        <v>31</v>
      </c>
      <c r="AH115" s="72" t="n">
        <v>32</v>
      </c>
      <c r="AI115" s="72" t="n">
        <v>33</v>
      </c>
      <c r="AJ115" s="72" t="n">
        <v>34</v>
      </c>
      <c r="AK115" s="72" t="n">
        <v>35</v>
      </c>
      <c r="AL115" s="72" t="n">
        <v>36</v>
      </c>
    </row>
    <row r="116" customFormat="false" ht="15" hidden="false" customHeight="false" outlineLevel="0" collapsed="false">
      <c r="A116" s="72" t="s">
        <v>153</v>
      </c>
      <c r="C116" s="72" t="n">
        <f aca="false">ROUNDUP(C115*1/12,0)</f>
        <v>1</v>
      </c>
      <c r="D116" s="72" t="n">
        <f aca="false">ROUNDUP(D115*1/12,0)</f>
        <v>1</v>
      </c>
      <c r="E116" s="72" t="n">
        <f aca="false">ROUNDUP(E115*1/12,0)</f>
        <v>1</v>
      </c>
      <c r="F116" s="72" t="n">
        <f aca="false">ROUNDUP(F115*1/12,0)</f>
        <v>1</v>
      </c>
      <c r="G116" s="72" t="n">
        <f aca="false">ROUNDUP(G115*1/12,0)</f>
        <v>1</v>
      </c>
      <c r="H116" s="72" t="n">
        <f aca="false">ROUNDUP(H115*1/12,0)</f>
        <v>1</v>
      </c>
      <c r="I116" s="72" t="n">
        <f aca="false">ROUNDUP(I115*1/12,0)</f>
        <v>1</v>
      </c>
      <c r="J116" s="72" t="n">
        <f aca="false">ROUNDUP(J115*1/12,0)</f>
        <v>1</v>
      </c>
      <c r="K116" s="72" t="n">
        <f aca="false">ROUNDUP(K115*1/12,0)</f>
        <v>1</v>
      </c>
      <c r="L116" s="72" t="n">
        <f aca="false">ROUNDUP(L115*1/12,0)</f>
        <v>1</v>
      </c>
      <c r="M116" s="72" t="n">
        <f aca="false">ROUNDUP(M115*1/12,0)</f>
        <v>1</v>
      </c>
      <c r="N116" s="72" t="n">
        <f aca="false">ROUNDUP(N115*1/12,0)</f>
        <v>1</v>
      </c>
      <c r="O116" s="72" t="n">
        <f aca="false">ROUNDUP(O115*1/12,0)</f>
        <v>2</v>
      </c>
      <c r="P116" s="72" t="n">
        <f aca="false">ROUNDUP(P115*1/12,0)</f>
        <v>2</v>
      </c>
      <c r="Q116" s="72" t="n">
        <f aca="false">ROUNDUP(Q115*1/12,0)</f>
        <v>2</v>
      </c>
      <c r="R116" s="72" t="n">
        <f aca="false">ROUNDUP(R115*1/12,0)</f>
        <v>2</v>
      </c>
      <c r="S116" s="72" t="n">
        <f aca="false">ROUNDUP(S115*1/12,0)</f>
        <v>2</v>
      </c>
      <c r="T116" s="72" t="n">
        <f aca="false">ROUNDUP(T115*1/12,0)</f>
        <v>2</v>
      </c>
      <c r="U116" s="72" t="n">
        <f aca="false">ROUNDUP(U115*1/12,0)</f>
        <v>2</v>
      </c>
      <c r="V116" s="72" t="n">
        <f aca="false">ROUNDUP(V115*1/12,0)</f>
        <v>2</v>
      </c>
      <c r="W116" s="72" t="n">
        <f aca="false">ROUNDUP(W115*1/12,0)</f>
        <v>2</v>
      </c>
      <c r="X116" s="72" t="n">
        <f aca="false">ROUNDUP(X115*1/12,0)</f>
        <v>2</v>
      </c>
      <c r="Y116" s="72" t="n">
        <f aca="false">ROUNDUP(Y115*1/12,0)</f>
        <v>2</v>
      </c>
      <c r="Z116" s="72" t="n">
        <f aca="false">ROUNDUP(Z115*1/12,0)</f>
        <v>2</v>
      </c>
      <c r="AA116" s="72" t="n">
        <f aca="false">ROUNDUP(AA115*1/12,0)</f>
        <v>3</v>
      </c>
      <c r="AB116" s="72" t="n">
        <f aca="false">ROUNDUP(AB115*1/12,0)</f>
        <v>3</v>
      </c>
      <c r="AC116" s="72" t="n">
        <f aca="false">ROUNDUP(AC115*1/12,0)</f>
        <v>3</v>
      </c>
      <c r="AD116" s="72" t="n">
        <f aca="false">ROUNDUP(AD115*1/12,0)</f>
        <v>3</v>
      </c>
      <c r="AE116" s="72" t="n">
        <f aca="false">ROUNDUP(AE115*1/12,0)</f>
        <v>3</v>
      </c>
      <c r="AF116" s="72" t="n">
        <f aca="false">ROUNDUP(AF115*1/12,0)</f>
        <v>3</v>
      </c>
      <c r="AG116" s="72" t="n">
        <f aca="false">ROUNDUP(AG115*1/12,0)</f>
        <v>3</v>
      </c>
      <c r="AH116" s="72" t="n">
        <f aca="false">ROUNDUP(AH115*1/12,0)</f>
        <v>3</v>
      </c>
      <c r="AI116" s="72" t="n">
        <f aca="false">ROUNDUP(AI115*1/12,0)</f>
        <v>3</v>
      </c>
      <c r="AJ116" s="72" t="n">
        <f aca="false">ROUNDUP(AJ115*1/12,0)</f>
        <v>3</v>
      </c>
      <c r="AK116" s="72" t="n">
        <f aca="false">ROUNDUP(AK115*1/12,0)</f>
        <v>3</v>
      </c>
      <c r="AL116" s="72" t="n">
        <f aca="false">ROUNDUP(AL115*1/12,0)</f>
        <v>3</v>
      </c>
    </row>
    <row r="118" customFormat="false" ht="15.75" hidden="false" customHeight="true" outlineLevel="0" collapsed="false">
      <c r="A118" s="7" t="s">
        <v>374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customFormat="false" ht="15" hidden="false" customHeight="false" outlineLevel="0" collapsed="false">
      <c r="A119" s="6" t="s">
        <v>375</v>
      </c>
      <c r="C119" s="118" t="n">
        <f aca="false">C212</f>
        <v>7</v>
      </c>
      <c r="D119" s="118" t="n">
        <f aca="false">D212</f>
        <v>7</v>
      </c>
      <c r="E119" s="118" t="n">
        <f aca="false">E212</f>
        <v>7</v>
      </c>
      <c r="F119" s="118" t="n">
        <f aca="false">F212</f>
        <v>7</v>
      </c>
      <c r="G119" s="118" t="n">
        <f aca="false">G212</f>
        <v>7</v>
      </c>
      <c r="H119" s="118" t="n">
        <f aca="false">H212</f>
        <v>7</v>
      </c>
      <c r="I119" s="118" t="n">
        <f aca="false">I212</f>
        <v>7</v>
      </c>
      <c r="J119" s="118" t="n">
        <f aca="false">J212</f>
        <v>7</v>
      </c>
      <c r="K119" s="118" t="n">
        <f aca="false">K212</f>
        <v>7</v>
      </c>
      <c r="L119" s="118" t="n">
        <f aca="false">L212</f>
        <v>7</v>
      </c>
      <c r="M119" s="118" t="n">
        <f aca="false">M212</f>
        <v>7</v>
      </c>
      <c r="N119" s="118" t="n">
        <f aca="false">N212</f>
        <v>7</v>
      </c>
      <c r="O119" s="118" t="n">
        <f aca="false">O212</f>
        <v>7.84</v>
      </c>
      <c r="P119" s="118" t="n">
        <f aca="false">P212</f>
        <v>7.84</v>
      </c>
      <c r="Q119" s="118" t="n">
        <f aca="false">Q212</f>
        <v>7.84</v>
      </c>
      <c r="R119" s="118" t="n">
        <f aca="false">R212</f>
        <v>7.84</v>
      </c>
      <c r="S119" s="118" t="n">
        <f aca="false">S212</f>
        <v>7.84</v>
      </c>
      <c r="T119" s="118" t="n">
        <f aca="false">T212</f>
        <v>7.84</v>
      </c>
      <c r="U119" s="118" t="n">
        <f aca="false">U212</f>
        <v>7.84</v>
      </c>
      <c r="V119" s="118" t="n">
        <f aca="false">V212</f>
        <v>7.84</v>
      </c>
      <c r="W119" s="118" t="n">
        <f aca="false">W212</f>
        <v>7.84</v>
      </c>
      <c r="X119" s="118" t="n">
        <f aca="false">X212</f>
        <v>7.84</v>
      </c>
      <c r="Y119" s="118" t="n">
        <f aca="false">Y212</f>
        <v>7.84</v>
      </c>
      <c r="Z119" s="118" t="n">
        <f aca="false">Z212</f>
        <v>7.84</v>
      </c>
      <c r="AA119" s="118" t="n">
        <f aca="false">AA212</f>
        <v>8.7808</v>
      </c>
      <c r="AB119" s="118" t="n">
        <f aca="false">AB212</f>
        <v>8.7808</v>
      </c>
      <c r="AC119" s="118" t="n">
        <f aca="false">AC212</f>
        <v>8.7808</v>
      </c>
      <c r="AD119" s="118" t="n">
        <f aca="false">AD212</f>
        <v>8.7808</v>
      </c>
      <c r="AE119" s="118" t="n">
        <f aca="false">AE212</f>
        <v>8.7808</v>
      </c>
      <c r="AF119" s="118" t="n">
        <f aca="false">AF212</f>
        <v>8.7808</v>
      </c>
      <c r="AG119" s="118" t="n">
        <f aca="false">AG212</f>
        <v>8.7808</v>
      </c>
      <c r="AH119" s="118" t="n">
        <f aca="false">AH212</f>
        <v>8.7808</v>
      </c>
      <c r="AI119" s="118" t="n">
        <f aca="false">AI212</f>
        <v>8.7808</v>
      </c>
      <c r="AJ119" s="118" t="n">
        <f aca="false">AJ212</f>
        <v>8.7808</v>
      </c>
      <c r="AK119" s="118" t="n">
        <f aca="false">AK212</f>
        <v>8.7808</v>
      </c>
      <c r="AL119" s="118" t="n">
        <f aca="false">AL212</f>
        <v>8.7808</v>
      </c>
    </row>
    <row r="120" customFormat="false" ht="15" hidden="false" customHeight="false" outlineLevel="0" collapsed="false">
      <c r="A120" s="6" t="s">
        <v>376</v>
      </c>
      <c r="C120" s="117" t="n">
        <f aca="false">C119*Inputs!$C$7*Inputs!$C$8*1</f>
        <v>367.5</v>
      </c>
      <c r="D120" s="117" t="n">
        <f aca="false">D119*Inputs!$C$7*Inputs!$C$8*1</f>
        <v>367.5</v>
      </c>
      <c r="E120" s="117" t="n">
        <f aca="false">E119*Inputs!$C$7*Inputs!$C$8*1</f>
        <v>367.5</v>
      </c>
      <c r="F120" s="117" t="n">
        <f aca="false">F119*Inputs!$C$7*Inputs!$C$8*1</f>
        <v>367.5</v>
      </c>
      <c r="G120" s="117" t="n">
        <f aca="false">G119*Inputs!$C$7*Inputs!$C$8*1</f>
        <v>367.5</v>
      </c>
      <c r="H120" s="117" t="n">
        <f aca="false">H119*Inputs!$C$7*Inputs!$C$8*1</f>
        <v>367.5</v>
      </c>
      <c r="I120" s="117" t="n">
        <f aca="false">I119*Inputs!$C$7*Inputs!$C$8*1</f>
        <v>367.5</v>
      </c>
      <c r="J120" s="117" t="n">
        <f aca="false">J119*Inputs!$C$7*Inputs!$C$8*1</f>
        <v>367.5</v>
      </c>
      <c r="K120" s="117" t="n">
        <f aca="false">K119*Inputs!$C$7*Inputs!$C$8*1</f>
        <v>367.5</v>
      </c>
      <c r="L120" s="117" t="n">
        <f aca="false">L119*Inputs!$C$7*Inputs!$C$8*1</f>
        <v>367.5</v>
      </c>
      <c r="M120" s="117" t="n">
        <f aca="false">M119*Inputs!$C$7*Inputs!$C$8*1</f>
        <v>367.5</v>
      </c>
      <c r="N120" s="117" t="n">
        <f aca="false">N119*Inputs!$C$7*Inputs!$C$8*1</f>
        <v>367.5</v>
      </c>
      <c r="O120" s="117" t="n">
        <f aca="false">O119*Inputs!$C$7*Inputs!$C$8*1</f>
        <v>411.6</v>
      </c>
      <c r="P120" s="117" t="n">
        <f aca="false">P119*Inputs!$C$7*Inputs!$C$8*1</f>
        <v>411.6</v>
      </c>
      <c r="Q120" s="117" t="n">
        <f aca="false">Q119*Inputs!$C$7*Inputs!$C$8*1</f>
        <v>411.6</v>
      </c>
      <c r="R120" s="117" t="n">
        <f aca="false">R119*Inputs!$C$7*Inputs!$C$8*1</f>
        <v>411.6</v>
      </c>
      <c r="S120" s="117" t="n">
        <f aca="false">S119*Inputs!$C$7*Inputs!$C$8*1</f>
        <v>411.6</v>
      </c>
      <c r="T120" s="117" t="n">
        <f aca="false">T119*Inputs!$C$7*Inputs!$C$8*1</f>
        <v>411.6</v>
      </c>
      <c r="U120" s="117" t="n">
        <f aca="false">U119*Inputs!$C$7*Inputs!$C$8*1</f>
        <v>411.6</v>
      </c>
      <c r="V120" s="117" t="n">
        <f aca="false">V119*Inputs!$C$7*Inputs!$C$8*1</f>
        <v>411.6</v>
      </c>
      <c r="W120" s="117" t="n">
        <f aca="false">W119*Inputs!$C$7*Inputs!$C$8*1</f>
        <v>411.6</v>
      </c>
      <c r="X120" s="117" t="n">
        <f aca="false">X119*Inputs!$C$7*Inputs!$C$8*1</f>
        <v>411.6</v>
      </c>
      <c r="Y120" s="117" t="n">
        <f aca="false">Y119*Inputs!$C$7*Inputs!$C$8*1</f>
        <v>411.6</v>
      </c>
      <c r="Z120" s="117" t="n">
        <f aca="false">Z119*Inputs!$C$7*Inputs!$C$8*1</f>
        <v>411.6</v>
      </c>
      <c r="AA120" s="117" t="n">
        <f aca="false">AA119*Inputs!$C$7*Inputs!$C$8*1</f>
        <v>460.992</v>
      </c>
      <c r="AB120" s="117" t="n">
        <f aca="false">AB119*Inputs!$C$7*Inputs!$C$8*1</f>
        <v>460.992</v>
      </c>
      <c r="AC120" s="117" t="n">
        <f aca="false">AC119*Inputs!$C$7*Inputs!$C$8*1</f>
        <v>460.992</v>
      </c>
      <c r="AD120" s="117" t="n">
        <f aca="false">AD119*Inputs!$C$7*Inputs!$C$8*1</f>
        <v>460.992</v>
      </c>
      <c r="AE120" s="117" t="n">
        <f aca="false">AE119*Inputs!$C$7*Inputs!$C$8*1</f>
        <v>460.992</v>
      </c>
      <c r="AF120" s="117" t="n">
        <f aca="false">AF119*Inputs!$C$7*Inputs!$C$8*1</f>
        <v>460.992</v>
      </c>
      <c r="AG120" s="117" t="n">
        <f aca="false">AG119*Inputs!$C$7*Inputs!$C$8*1</f>
        <v>460.992</v>
      </c>
      <c r="AH120" s="117" t="n">
        <f aca="false">AH119*Inputs!$C$7*Inputs!$C$8*1</f>
        <v>460.992</v>
      </c>
      <c r="AI120" s="117" t="n">
        <f aca="false">AI119*Inputs!$C$7*Inputs!$C$8*1</f>
        <v>460.992</v>
      </c>
      <c r="AJ120" s="117" t="n">
        <f aca="false">AJ119*Inputs!$C$7*Inputs!$C$8*1</f>
        <v>460.992</v>
      </c>
      <c r="AK120" s="117" t="n">
        <f aca="false">AK119*Inputs!$C$7*Inputs!$C$8*1</f>
        <v>460.992</v>
      </c>
      <c r="AL120" s="117" t="n">
        <f aca="false">AL119*Inputs!$C$7*Inputs!$C$8*1</f>
        <v>460.992</v>
      </c>
    </row>
    <row r="121" customFormat="false" ht="15" hidden="false" customHeight="false" outlineLevel="0" collapsed="false">
      <c r="A121" s="6" t="s">
        <v>377</v>
      </c>
      <c r="C121" s="118" t="n">
        <f aca="false">IF(AND(MOD(C$115-1,12)&gt;=5,MOD(C$115-1,12)&lt;=7),1+Inputs!$C$17,1-Inputs!$C$17/3)</f>
        <v>0.916666666666667</v>
      </c>
      <c r="D121" s="118" t="n">
        <f aca="false">IF(AND(MOD(D$115-1,12)&gt;=5,MOD(D$115-1,12)&lt;=7),1+Inputs!$C$17,1-Inputs!$C$17/3)</f>
        <v>0.916666666666667</v>
      </c>
      <c r="E121" s="118" t="n">
        <f aca="false">IF(AND(MOD(E$115-1,12)&gt;=5,MOD(E$115-1,12)&lt;=7),1+Inputs!$C$17,1-Inputs!$C$17/3)</f>
        <v>0.916666666666667</v>
      </c>
      <c r="F121" s="118" t="n">
        <f aca="false">IF(AND(MOD(F$115-1,12)&gt;=5,MOD(F$115-1,12)&lt;=7),1+Inputs!$C$17,1-Inputs!$C$17/3)</f>
        <v>0.916666666666667</v>
      </c>
      <c r="G121" s="118" t="n">
        <f aca="false">IF(AND(MOD(G$115-1,12)&gt;=5,MOD(G$115-1,12)&lt;=7),1+Inputs!$C$17,1-Inputs!$C$17/3)</f>
        <v>0.916666666666667</v>
      </c>
      <c r="H121" s="118" t="n">
        <f aca="false">IF(AND(MOD(H$115-1,12)&gt;=5,MOD(H$115-1,12)&lt;=7),1+Inputs!$C$17,1-Inputs!$C$17/3)</f>
        <v>1.25</v>
      </c>
      <c r="I121" s="118" t="n">
        <f aca="false">IF(AND(MOD(I$115-1,12)&gt;=5,MOD(I$115-1,12)&lt;=7),1+Inputs!$C$17,1-Inputs!$C$17/3)</f>
        <v>1.25</v>
      </c>
      <c r="J121" s="118" t="n">
        <f aca="false">IF(AND(MOD(J$115-1,12)&gt;=5,MOD(J$115-1,12)&lt;=7),1+Inputs!$C$17,1-Inputs!$C$17/3)</f>
        <v>1.25</v>
      </c>
      <c r="K121" s="118" t="n">
        <f aca="false">IF(AND(MOD(K$115-1,12)&gt;=5,MOD(K$115-1,12)&lt;=7),1+Inputs!$C$17,1-Inputs!$C$17/3)</f>
        <v>0.916666666666667</v>
      </c>
      <c r="L121" s="118" t="n">
        <f aca="false">IF(AND(MOD(L$115-1,12)&gt;=5,MOD(L$115-1,12)&lt;=7),1+Inputs!$C$17,1-Inputs!$C$17/3)</f>
        <v>0.916666666666667</v>
      </c>
      <c r="M121" s="118" t="n">
        <f aca="false">IF(AND(MOD(M$115-1,12)&gt;=5,MOD(M$115-1,12)&lt;=7),1+Inputs!$C$17,1-Inputs!$C$17/3)</f>
        <v>0.916666666666667</v>
      </c>
      <c r="N121" s="118" t="n">
        <f aca="false">IF(AND(MOD(N$115-1,12)&gt;=5,MOD(N$115-1,12)&lt;=7),1+Inputs!$C$17,1-Inputs!$C$17/3)</f>
        <v>0.916666666666667</v>
      </c>
      <c r="O121" s="118" t="n">
        <f aca="false">IF(AND(MOD(O$115-1,12)&gt;=5,MOD(O$115-1,12)&lt;=7),1+Inputs!$C$17,1-Inputs!$C$17/3)</f>
        <v>0.916666666666667</v>
      </c>
      <c r="P121" s="118" t="n">
        <f aca="false">IF(AND(MOD(P$115-1,12)&gt;=5,MOD(P$115-1,12)&lt;=7),1+Inputs!$C$17,1-Inputs!$C$17/3)</f>
        <v>0.916666666666667</v>
      </c>
      <c r="Q121" s="118" t="n">
        <f aca="false">IF(AND(MOD(Q$115-1,12)&gt;=5,MOD(Q$115-1,12)&lt;=7),1+Inputs!$C$17,1-Inputs!$C$17/3)</f>
        <v>0.916666666666667</v>
      </c>
      <c r="R121" s="118" t="n">
        <f aca="false">IF(AND(MOD(R$115-1,12)&gt;=5,MOD(R$115-1,12)&lt;=7),1+Inputs!$C$17,1-Inputs!$C$17/3)</f>
        <v>0.916666666666667</v>
      </c>
      <c r="S121" s="118" t="n">
        <f aca="false">IF(AND(MOD(S$115-1,12)&gt;=5,MOD(S$115-1,12)&lt;=7),1+Inputs!$C$17,1-Inputs!$C$17/3)</f>
        <v>0.916666666666667</v>
      </c>
      <c r="T121" s="118" t="n">
        <f aca="false">IF(AND(MOD(T$115-1,12)&gt;=5,MOD(T$115-1,12)&lt;=7),1+Inputs!$C$17,1-Inputs!$C$17/3)</f>
        <v>1.25</v>
      </c>
      <c r="U121" s="118" t="n">
        <f aca="false">IF(AND(MOD(U$115-1,12)&gt;=5,MOD(U$115-1,12)&lt;=7),1+Inputs!$C$17,1-Inputs!$C$17/3)</f>
        <v>1.25</v>
      </c>
      <c r="V121" s="118" t="n">
        <f aca="false">IF(AND(MOD(V$115-1,12)&gt;=5,MOD(V$115-1,12)&lt;=7),1+Inputs!$C$17,1-Inputs!$C$17/3)</f>
        <v>1.25</v>
      </c>
      <c r="W121" s="118" t="n">
        <f aca="false">IF(AND(MOD(W$115-1,12)&gt;=5,MOD(W$115-1,12)&lt;=7),1+Inputs!$C$17,1-Inputs!$C$17/3)</f>
        <v>0.916666666666667</v>
      </c>
      <c r="X121" s="118" t="n">
        <f aca="false">IF(AND(MOD(X$115-1,12)&gt;=5,MOD(X$115-1,12)&lt;=7),1+Inputs!$C$17,1-Inputs!$C$17/3)</f>
        <v>0.916666666666667</v>
      </c>
      <c r="Y121" s="118" t="n">
        <f aca="false">IF(AND(MOD(Y$115-1,12)&gt;=5,MOD(Y$115-1,12)&lt;=7),1+Inputs!$C$17,1-Inputs!$C$17/3)</f>
        <v>0.916666666666667</v>
      </c>
      <c r="Z121" s="118" t="n">
        <f aca="false">IF(AND(MOD(Z$115-1,12)&gt;=5,MOD(Z$115-1,12)&lt;=7),1+Inputs!$C$17,1-Inputs!$C$17/3)</f>
        <v>0.916666666666667</v>
      </c>
      <c r="AA121" s="118" t="n">
        <f aca="false">IF(AND(MOD(AA$115-1,12)&gt;=5,MOD(AA$115-1,12)&lt;=7),1+Inputs!$C$17,1-Inputs!$C$17/3)</f>
        <v>0.916666666666667</v>
      </c>
      <c r="AB121" s="118" t="n">
        <f aca="false">IF(AND(MOD(AB$115-1,12)&gt;=5,MOD(AB$115-1,12)&lt;=7),1+Inputs!$C$17,1-Inputs!$C$17/3)</f>
        <v>0.916666666666667</v>
      </c>
      <c r="AC121" s="118" t="n">
        <f aca="false">IF(AND(MOD(AC$115-1,12)&gt;=5,MOD(AC$115-1,12)&lt;=7),1+Inputs!$C$17,1-Inputs!$C$17/3)</f>
        <v>0.916666666666667</v>
      </c>
      <c r="AD121" s="118" t="n">
        <f aca="false">IF(AND(MOD(AD$115-1,12)&gt;=5,MOD(AD$115-1,12)&lt;=7),1+Inputs!$C$17,1-Inputs!$C$17/3)</f>
        <v>0.916666666666667</v>
      </c>
      <c r="AE121" s="118" t="n">
        <f aca="false">IF(AND(MOD(AE$115-1,12)&gt;=5,MOD(AE$115-1,12)&lt;=7),1+Inputs!$C$17,1-Inputs!$C$17/3)</f>
        <v>0.916666666666667</v>
      </c>
      <c r="AF121" s="118" t="n">
        <f aca="false">IF(AND(MOD(AF$115-1,12)&gt;=5,MOD(AF$115-1,12)&lt;=7),1+Inputs!$C$17,1-Inputs!$C$17/3)</f>
        <v>1.25</v>
      </c>
      <c r="AG121" s="118" t="n">
        <f aca="false">IF(AND(MOD(AG$115-1,12)&gt;=5,MOD(AG$115-1,12)&lt;=7),1+Inputs!$C$17,1-Inputs!$C$17/3)</f>
        <v>1.25</v>
      </c>
      <c r="AH121" s="118" t="n">
        <f aca="false">IF(AND(MOD(AH$115-1,12)&gt;=5,MOD(AH$115-1,12)&lt;=7),1+Inputs!$C$17,1-Inputs!$C$17/3)</f>
        <v>1.25</v>
      </c>
      <c r="AI121" s="118" t="n">
        <f aca="false">IF(AND(MOD(AI$115-1,12)&gt;=5,MOD(AI$115-1,12)&lt;=7),1+Inputs!$C$17,1-Inputs!$C$17/3)</f>
        <v>0.916666666666667</v>
      </c>
      <c r="AJ121" s="118" t="n">
        <f aca="false">IF(AND(MOD(AJ$115-1,12)&gt;=5,MOD(AJ$115-1,12)&lt;=7),1+Inputs!$C$17,1-Inputs!$C$17/3)</f>
        <v>0.916666666666667</v>
      </c>
      <c r="AK121" s="118" t="n">
        <f aca="false">IF(AND(MOD(AK$115-1,12)&gt;=5,MOD(AK$115-1,12)&lt;=7),1+Inputs!$C$17,1-Inputs!$C$17/3)</f>
        <v>0.916666666666667</v>
      </c>
      <c r="AL121" s="118" t="n">
        <f aca="false">IF(AND(MOD(AL$115-1,12)&gt;=5,MOD(AL$115-1,12)&lt;=7),1+Inputs!$C$17,1-Inputs!$C$17/3)</f>
        <v>0.916666666666667</v>
      </c>
    </row>
    <row r="122" customFormat="false" ht="15" hidden="false" customHeight="false" outlineLevel="0" collapsed="false">
      <c r="A122" s="6" t="s">
        <v>378</v>
      </c>
      <c r="C122" s="117" t="n">
        <f aca="false">-C145/MAX(1,Inputs!$C$13)</f>
        <v>180</v>
      </c>
      <c r="D122" s="117" t="n">
        <f aca="false">-D145/MAX(1,Inputs!$C$13)</f>
        <v>180</v>
      </c>
      <c r="E122" s="117" t="n">
        <f aca="false">-E145/MAX(1,Inputs!$C$13)</f>
        <v>180</v>
      </c>
      <c r="F122" s="117" t="n">
        <f aca="false">-F145/MAX(1,Inputs!$C$13)</f>
        <v>180</v>
      </c>
      <c r="G122" s="117" t="n">
        <f aca="false">-G145/MAX(1,Inputs!$C$13)</f>
        <v>180</v>
      </c>
      <c r="H122" s="117" t="n">
        <f aca="false">-H145/MAX(1,Inputs!$C$13)</f>
        <v>180</v>
      </c>
      <c r="I122" s="117" t="n">
        <f aca="false">-I145/MAX(1,Inputs!$C$13)</f>
        <v>180</v>
      </c>
      <c r="J122" s="117" t="n">
        <f aca="false">-J145/MAX(1,Inputs!$C$13)</f>
        <v>180</v>
      </c>
      <c r="K122" s="117" t="n">
        <f aca="false">-K145/MAX(1,Inputs!$C$13)</f>
        <v>180</v>
      </c>
      <c r="L122" s="117" t="n">
        <f aca="false">-L145/MAX(1,Inputs!$C$13)</f>
        <v>180</v>
      </c>
      <c r="M122" s="117" t="n">
        <f aca="false">-M145/MAX(1,Inputs!$C$13)</f>
        <v>180</v>
      </c>
      <c r="N122" s="117" t="n">
        <f aca="false">-N145/MAX(1,Inputs!$C$13)</f>
        <v>180</v>
      </c>
      <c r="O122" s="117" t="n">
        <f aca="false">-O145/MAX(1,Inputs!$C$13)</f>
        <v>207</v>
      </c>
      <c r="P122" s="117" t="n">
        <f aca="false">-P145/MAX(1,Inputs!$C$13)</f>
        <v>207</v>
      </c>
      <c r="Q122" s="117" t="n">
        <f aca="false">-Q145/MAX(1,Inputs!$C$13)</f>
        <v>207</v>
      </c>
      <c r="R122" s="117" t="n">
        <f aca="false">-R145/MAX(1,Inputs!$C$13)</f>
        <v>207</v>
      </c>
      <c r="S122" s="117" t="n">
        <f aca="false">-S145/MAX(1,Inputs!$C$13)</f>
        <v>207</v>
      </c>
      <c r="T122" s="117" t="n">
        <f aca="false">-T145/MAX(1,Inputs!$C$13)</f>
        <v>207</v>
      </c>
      <c r="U122" s="117" t="n">
        <f aca="false">-U145/MAX(1,Inputs!$C$13)</f>
        <v>207</v>
      </c>
      <c r="V122" s="117" t="n">
        <f aca="false">-V145/MAX(1,Inputs!$C$13)</f>
        <v>207</v>
      </c>
      <c r="W122" s="117" t="n">
        <f aca="false">-W145/MAX(1,Inputs!$C$13)</f>
        <v>207</v>
      </c>
      <c r="X122" s="117" t="n">
        <f aca="false">-X145/MAX(1,Inputs!$C$13)</f>
        <v>207</v>
      </c>
      <c r="Y122" s="117" t="n">
        <f aca="false">-Y145/MAX(1,Inputs!$C$13)</f>
        <v>207</v>
      </c>
      <c r="Z122" s="117" t="n">
        <f aca="false">-Z145/MAX(1,Inputs!$C$13)</f>
        <v>207</v>
      </c>
      <c r="AA122" s="117" t="n">
        <f aca="false">-AA145/MAX(1,Inputs!$C$13)</f>
        <v>238.05</v>
      </c>
      <c r="AB122" s="117" t="n">
        <f aca="false">-AB145/MAX(1,Inputs!$C$13)</f>
        <v>238.05</v>
      </c>
      <c r="AC122" s="117" t="n">
        <f aca="false">-AC145/MAX(1,Inputs!$C$13)</f>
        <v>238.05</v>
      </c>
      <c r="AD122" s="117" t="n">
        <f aca="false">-AD145/MAX(1,Inputs!$C$13)</f>
        <v>238.05</v>
      </c>
      <c r="AE122" s="117" t="n">
        <f aca="false">-AE145/MAX(1,Inputs!$C$13)</f>
        <v>238.05</v>
      </c>
      <c r="AF122" s="117" t="n">
        <f aca="false">-AF145/MAX(1,Inputs!$C$13)</f>
        <v>238.05</v>
      </c>
      <c r="AG122" s="117" t="n">
        <f aca="false">-AG145/MAX(1,Inputs!$C$13)</f>
        <v>238.05</v>
      </c>
      <c r="AH122" s="117" t="n">
        <f aca="false">-AH145/MAX(1,Inputs!$C$13)</f>
        <v>238.05</v>
      </c>
      <c r="AI122" s="117" t="n">
        <f aca="false">-AI145/MAX(1,Inputs!$C$13)</f>
        <v>238.05</v>
      </c>
      <c r="AJ122" s="117" t="n">
        <f aca="false">-AJ145/MAX(1,Inputs!$C$13)</f>
        <v>238.05</v>
      </c>
      <c r="AK122" s="117" t="n">
        <f aca="false">-AK145/MAX(1,Inputs!$C$13)</f>
        <v>238.05</v>
      </c>
      <c r="AL122" s="117" t="n">
        <f aca="false">-AL145/MAX(1,Inputs!$C$13)</f>
        <v>238.05</v>
      </c>
    </row>
    <row r="123" customFormat="false" ht="15" hidden="false" customHeight="false" outlineLevel="0" collapsed="false">
      <c r="A123" s="6" t="s">
        <v>379</v>
      </c>
      <c r="C123" s="117" t="n">
        <f aca="false">C122*Inputs!$C$14*C121</f>
        <v>74.25</v>
      </c>
      <c r="D123" s="117" t="n">
        <f aca="false">D122*Inputs!$C$14*D121</f>
        <v>74.25</v>
      </c>
      <c r="E123" s="117" t="n">
        <f aca="false">E122*Inputs!$C$14*E121</f>
        <v>74.25</v>
      </c>
      <c r="F123" s="117" t="n">
        <f aca="false">F122*Inputs!$C$14*F121</f>
        <v>74.25</v>
      </c>
      <c r="G123" s="117" t="n">
        <f aca="false">G122*Inputs!$C$14*G121</f>
        <v>74.25</v>
      </c>
      <c r="H123" s="117" t="n">
        <f aca="false">H122*Inputs!$C$14*H121</f>
        <v>101.25</v>
      </c>
      <c r="I123" s="117" t="n">
        <f aca="false">I122*Inputs!$C$14*I121</f>
        <v>101.25</v>
      </c>
      <c r="J123" s="117" t="n">
        <f aca="false">J122*Inputs!$C$14*J121</f>
        <v>101.25</v>
      </c>
      <c r="K123" s="117" t="n">
        <f aca="false">K122*Inputs!$C$14*K121</f>
        <v>74.25</v>
      </c>
      <c r="L123" s="117" t="n">
        <f aca="false">L122*Inputs!$C$14*L121</f>
        <v>74.25</v>
      </c>
      <c r="M123" s="117" t="n">
        <f aca="false">M122*Inputs!$C$14*M121</f>
        <v>74.25</v>
      </c>
      <c r="N123" s="117" t="n">
        <f aca="false">N122*Inputs!$C$14*N121</f>
        <v>74.25</v>
      </c>
      <c r="O123" s="117" t="n">
        <f aca="false">O122*Inputs!$C$14*O121</f>
        <v>85.3875</v>
      </c>
      <c r="P123" s="117" t="n">
        <f aca="false">P122*Inputs!$C$14*P121</f>
        <v>85.3875</v>
      </c>
      <c r="Q123" s="117" t="n">
        <f aca="false">Q122*Inputs!$C$14*Q121</f>
        <v>85.3875</v>
      </c>
      <c r="R123" s="117" t="n">
        <f aca="false">R122*Inputs!$C$14*R121</f>
        <v>85.3875</v>
      </c>
      <c r="S123" s="117" t="n">
        <f aca="false">S122*Inputs!$C$14*S121</f>
        <v>85.3875</v>
      </c>
      <c r="T123" s="117" t="n">
        <f aca="false">T122*Inputs!$C$14*T121</f>
        <v>116.4375</v>
      </c>
      <c r="U123" s="117" t="n">
        <f aca="false">U122*Inputs!$C$14*U121</f>
        <v>116.4375</v>
      </c>
      <c r="V123" s="117" t="n">
        <f aca="false">V122*Inputs!$C$14*V121</f>
        <v>116.4375</v>
      </c>
      <c r="W123" s="117" t="n">
        <f aca="false">W122*Inputs!$C$14*W121</f>
        <v>85.3875</v>
      </c>
      <c r="X123" s="117" t="n">
        <f aca="false">X122*Inputs!$C$14*X121</f>
        <v>85.3875</v>
      </c>
      <c r="Y123" s="117" t="n">
        <f aca="false">Y122*Inputs!$C$14*Y121</f>
        <v>85.3875</v>
      </c>
      <c r="Z123" s="117" t="n">
        <f aca="false">Z122*Inputs!$C$14*Z121</f>
        <v>85.3875</v>
      </c>
      <c r="AA123" s="117" t="n">
        <f aca="false">AA122*Inputs!$C$14*AA121</f>
        <v>98.195625</v>
      </c>
      <c r="AB123" s="117" t="n">
        <f aca="false">AB122*Inputs!$C$14*AB121</f>
        <v>98.195625</v>
      </c>
      <c r="AC123" s="117" t="n">
        <f aca="false">AC122*Inputs!$C$14*AC121</f>
        <v>98.195625</v>
      </c>
      <c r="AD123" s="117" t="n">
        <f aca="false">AD122*Inputs!$C$14*AD121</f>
        <v>98.195625</v>
      </c>
      <c r="AE123" s="117" t="n">
        <f aca="false">AE122*Inputs!$C$14*AE121</f>
        <v>98.195625</v>
      </c>
      <c r="AF123" s="117" t="n">
        <f aca="false">AF122*Inputs!$C$14*AF121</f>
        <v>133.903125</v>
      </c>
      <c r="AG123" s="117" t="n">
        <f aca="false">AG122*Inputs!$C$14*AG121</f>
        <v>133.903125</v>
      </c>
      <c r="AH123" s="117" t="n">
        <f aca="false">AH122*Inputs!$C$14*AH121</f>
        <v>133.903125</v>
      </c>
      <c r="AI123" s="117" t="n">
        <f aca="false">AI122*Inputs!$C$14*AI121</f>
        <v>98.195625</v>
      </c>
      <c r="AJ123" s="117" t="n">
        <f aca="false">AJ122*Inputs!$C$14*AJ121</f>
        <v>98.195625</v>
      </c>
      <c r="AK123" s="117" t="n">
        <f aca="false">AK122*Inputs!$C$14*AK121</f>
        <v>98.195625</v>
      </c>
      <c r="AL123" s="117" t="n">
        <f aca="false">AL122*Inputs!$C$14*AL121</f>
        <v>98.195625</v>
      </c>
    </row>
    <row r="124" customFormat="false" ht="15" hidden="false" customHeight="false" outlineLevel="0" collapsed="false">
      <c r="A124" s="6" t="s">
        <v>380</v>
      </c>
      <c r="C124" s="117" t="n">
        <f aca="false">Inputs!$C$15*(1+Inputs!$C$16)^(C$116-1)*1*C121</f>
        <v>210.833333333333</v>
      </c>
      <c r="D124" s="117" t="n">
        <f aca="false">Inputs!$C$15*(1+Inputs!$C$16)^(D$116-1)*1*D121</f>
        <v>210.833333333333</v>
      </c>
      <c r="E124" s="117" t="n">
        <f aca="false">Inputs!$C$15*(1+Inputs!$C$16)^(E$116-1)*1*E121</f>
        <v>210.833333333333</v>
      </c>
      <c r="F124" s="117" t="n">
        <f aca="false">Inputs!$C$15*(1+Inputs!$C$16)^(F$116-1)*1*F121</f>
        <v>210.833333333333</v>
      </c>
      <c r="G124" s="117" t="n">
        <f aca="false">Inputs!$C$15*(1+Inputs!$C$16)^(G$116-1)*1*G121</f>
        <v>210.833333333333</v>
      </c>
      <c r="H124" s="117" t="n">
        <f aca="false">Inputs!$C$15*(1+Inputs!$C$16)^(H$116-1)*1*H121</f>
        <v>287.5</v>
      </c>
      <c r="I124" s="117" t="n">
        <f aca="false">Inputs!$C$15*(1+Inputs!$C$16)^(I$116-1)*1*I121</f>
        <v>287.5</v>
      </c>
      <c r="J124" s="117" t="n">
        <f aca="false">Inputs!$C$15*(1+Inputs!$C$16)^(J$116-1)*1*J121</f>
        <v>287.5</v>
      </c>
      <c r="K124" s="117" t="n">
        <f aca="false">Inputs!$C$15*(1+Inputs!$C$16)^(K$116-1)*1*K121</f>
        <v>210.833333333333</v>
      </c>
      <c r="L124" s="117" t="n">
        <f aca="false">Inputs!$C$15*(1+Inputs!$C$16)^(L$116-1)*1*L121</f>
        <v>210.833333333333</v>
      </c>
      <c r="M124" s="117" t="n">
        <f aca="false">Inputs!$C$15*(1+Inputs!$C$16)^(M$116-1)*1*M121</f>
        <v>210.833333333333</v>
      </c>
      <c r="N124" s="117" t="n">
        <f aca="false">Inputs!$C$15*(1+Inputs!$C$16)^(N$116-1)*1*N121</f>
        <v>210.833333333333</v>
      </c>
      <c r="O124" s="117" t="n">
        <f aca="false">Inputs!$C$15*(1+Inputs!$C$16)^(O$116-1)*1*O121</f>
        <v>242.458333333333</v>
      </c>
      <c r="P124" s="117" t="n">
        <f aca="false">Inputs!$C$15*(1+Inputs!$C$16)^(P$116-1)*1*P121</f>
        <v>242.458333333333</v>
      </c>
      <c r="Q124" s="117" t="n">
        <f aca="false">Inputs!$C$15*(1+Inputs!$C$16)^(Q$116-1)*1*Q121</f>
        <v>242.458333333333</v>
      </c>
      <c r="R124" s="117" t="n">
        <f aca="false">Inputs!$C$15*(1+Inputs!$C$16)^(R$116-1)*1*R121</f>
        <v>242.458333333333</v>
      </c>
      <c r="S124" s="117" t="n">
        <f aca="false">Inputs!$C$15*(1+Inputs!$C$16)^(S$116-1)*1*S121</f>
        <v>242.458333333333</v>
      </c>
      <c r="T124" s="117" t="n">
        <f aca="false">Inputs!$C$15*(1+Inputs!$C$16)^(T$116-1)*1*T121</f>
        <v>330.625</v>
      </c>
      <c r="U124" s="117" t="n">
        <f aca="false">Inputs!$C$15*(1+Inputs!$C$16)^(U$116-1)*1*U121</f>
        <v>330.625</v>
      </c>
      <c r="V124" s="117" t="n">
        <f aca="false">Inputs!$C$15*(1+Inputs!$C$16)^(V$116-1)*1*V121</f>
        <v>330.625</v>
      </c>
      <c r="W124" s="117" t="n">
        <f aca="false">Inputs!$C$15*(1+Inputs!$C$16)^(W$116-1)*1*W121</f>
        <v>242.458333333333</v>
      </c>
      <c r="X124" s="117" t="n">
        <f aca="false">Inputs!$C$15*(1+Inputs!$C$16)^(X$116-1)*1*X121</f>
        <v>242.458333333333</v>
      </c>
      <c r="Y124" s="117" t="n">
        <f aca="false">Inputs!$C$15*(1+Inputs!$C$16)^(Y$116-1)*1*Y121</f>
        <v>242.458333333333</v>
      </c>
      <c r="Z124" s="117" t="n">
        <f aca="false">Inputs!$C$15*(1+Inputs!$C$16)^(Z$116-1)*1*Z121</f>
        <v>242.458333333333</v>
      </c>
      <c r="AA124" s="117" t="n">
        <f aca="false">Inputs!$C$15*(1+Inputs!$C$16)^(AA$116-1)*1*AA121</f>
        <v>278.827083333333</v>
      </c>
      <c r="AB124" s="117" t="n">
        <f aca="false">Inputs!$C$15*(1+Inputs!$C$16)^(AB$116-1)*1*AB121</f>
        <v>278.827083333333</v>
      </c>
      <c r="AC124" s="117" t="n">
        <f aca="false">Inputs!$C$15*(1+Inputs!$C$16)^(AC$116-1)*1*AC121</f>
        <v>278.827083333333</v>
      </c>
      <c r="AD124" s="117" t="n">
        <f aca="false">Inputs!$C$15*(1+Inputs!$C$16)^(AD$116-1)*1*AD121</f>
        <v>278.827083333333</v>
      </c>
      <c r="AE124" s="117" t="n">
        <f aca="false">Inputs!$C$15*(1+Inputs!$C$16)^(AE$116-1)*1*AE121</f>
        <v>278.827083333333</v>
      </c>
      <c r="AF124" s="117" t="n">
        <f aca="false">Inputs!$C$15*(1+Inputs!$C$16)^(AF$116-1)*1*AF121</f>
        <v>380.21875</v>
      </c>
      <c r="AG124" s="117" t="n">
        <f aca="false">Inputs!$C$15*(1+Inputs!$C$16)^(AG$116-1)*1*AG121</f>
        <v>380.21875</v>
      </c>
      <c r="AH124" s="117" t="n">
        <f aca="false">Inputs!$C$15*(1+Inputs!$C$16)^(AH$116-1)*1*AH121</f>
        <v>380.21875</v>
      </c>
      <c r="AI124" s="117" t="n">
        <f aca="false">Inputs!$C$15*(1+Inputs!$C$16)^(AI$116-1)*1*AI121</f>
        <v>278.827083333333</v>
      </c>
      <c r="AJ124" s="117" t="n">
        <f aca="false">Inputs!$C$15*(1+Inputs!$C$16)^(AJ$116-1)*1*AJ121</f>
        <v>278.827083333333</v>
      </c>
      <c r="AK124" s="117" t="n">
        <f aca="false">Inputs!$C$15*(1+Inputs!$C$16)^(AK$116-1)*1*AK121</f>
        <v>278.827083333333</v>
      </c>
      <c r="AL124" s="117" t="n">
        <f aca="false">Inputs!$C$15*(1+Inputs!$C$16)^(AL$116-1)*1*AL121</f>
        <v>278.827083333333</v>
      </c>
    </row>
    <row r="125" customFormat="false" ht="15" hidden="false" customHeight="false" outlineLevel="0" collapsed="false">
      <c r="A125" s="6" t="s">
        <v>232</v>
      </c>
      <c r="C125" s="117" t="n">
        <f aca="false">C123+C124</f>
        <v>285.083333333333</v>
      </c>
      <c r="D125" s="117" t="n">
        <f aca="false">D123+D124</f>
        <v>285.083333333333</v>
      </c>
      <c r="E125" s="117" t="n">
        <f aca="false">E123+E124</f>
        <v>285.083333333333</v>
      </c>
      <c r="F125" s="117" t="n">
        <f aca="false">F123+F124</f>
        <v>285.083333333333</v>
      </c>
      <c r="G125" s="117" t="n">
        <f aca="false">G123+G124</f>
        <v>285.083333333333</v>
      </c>
      <c r="H125" s="117" t="n">
        <f aca="false">H123+H124</f>
        <v>388.75</v>
      </c>
      <c r="I125" s="117" t="n">
        <f aca="false">I123+I124</f>
        <v>388.75</v>
      </c>
      <c r="J125" s="117" t="n">
        <f aca="false">J123+J124</f>
        <v>388.75</v>
      </c>
      <c r="K125" s="117" t="n">
        <f aca="false">K123+K124</f>
        <v>285.083333333333</v>
      </c>
      <c r="L125" s="117" t="n">
        <f aca="false">L123+L124</f>
        <v>285.083333333333</v>
      </c>
      <c r="M125" s="117" t="n">
        <f aca="false">M123+M124</f>
        <v>285.083333333333</v>
      </c>
      <c r="N125" s="117" t="n">
        <f aca="false">N123+N124</f>
        <v>285.083333333333</v>
      </c>
      <c r="O125" s="117" t="n">
        <f aca="false">O123+O124</f>
        <v>327.845833333333</v>
      </c>
      <c r="P125" s="117" t="n">
        <f aca="false">P123+P124</f>
        <v>327.845833333333</v>
      </c>
      <c r="Q125" s="117" t="n">
        <f aca="false">Q123+Q124</f>
        <v>327.845833333333</v>
      </c>
      <c r="R125" s="117" t="n">
        <f aca="false">R123+R124</f>
        <v>327.845833333333</v>
      </c>
      <c r="S125" s="117" t="n">
        <f aca="false">S123+S124</f>
        <v>327.845833333333</v>
      </c>
      <c r="T125" s="117" t="n">
        <f aca="false">T123+T124</f>
        <v>447.0625</v>
      </c>
      <c r="U125" s="117" t="n">
        <f aca="false">U123+U124</f>
        <v>447.0625</v>
      </c>
      <c r="V125" s="117" t="n">
        <f aca="false">V123+V124</f>
        <v>447.0625</v>
      </c>
      <c r="W125" s="117" t="n">
        <f aca="false">W123+W124</f>
        <v>327.845833333333</v>
      </c>
      <c r="X125" s="117" t="n">
        <f aca="false">X123+X124</f>
        <v>327.845833333333</v>
      </c>
      <c r="Y125" s="117" t="n">
        <f aca="false">Y123+Y124</f>
        <v>327.845833333333</v>
      </c>
      <c r="Z125" s="117" t="n">
        <f aca="false">Z123+Z124</f>
        <v>327.845833333333</v>
      </c>
      <c r="AA125" s="117" t="n">
        <f aca="false">AA123+AA124</f>
        <v>377.022708333333</v>
      </c>
      <c r="AB125" s="117" t="n">
        <f aca="false">AB123+AB124</f>
        <v>377.022708333333</v>
      </c>
      <c r="AC125" s="117" t="n">
        <f aca="false">AC123+AC124</f>
        <v>377.022708333333</v>
      </c>
      <c r="AD125" s="117" t="n">
        <f aca="false">AD123+AD124</f>
        <v>377.022708333333</v>
      </c>
      <c r="AE125" s="117" t="n">
        <f aca="false">AE123+AE124</f>
        <v>377.022708333333</v>
      </c>
      <c r="AF125" s="117" t="n">
        <f aca="false">AF123+AF124</f>
        <v>514.121875</v>
      </c>
      <c r="AG125" s="117" t="n">
        <f aca="false">AG123+AG124</f>
        <v>514.121875</v>
      </c>
      <c r="AH125" s="117" t="n">
        <f aca="false">AH123+AH124</f>
        <v>514.121875</v>
      </c>
      <c r="AI125" s="117" t="n">
        <f aca="false">AI123+AI124</f>
        <v>377.022708333333</v>
      </c>
      <c r="AJ125" s="117" t="n">
        <f aca="false">AJ123+AJ124</f>
        <v>377.022708333333</v>
      </c>
      <c r="AK125" s="117" t="n">
        <f aca="false">AK123+AK124</f>
        <v>377.022708333333</v>
      </c>
      <c r="AL125" s="117" t="n">
        <f aca="false">AL123+AL124</f>
        <v>377.022708333333</v>
      </c>
    </row>
    <row r="126" customFormat="false" ht="15" hidden="false" customHeight="false" outlineLevel="0" collapsed="false">
      <c r="A126" s="4" t="s">
        <v>381</v>
      </c>
      <c r="C126" s="119" t="n">
        <f aca="false">MIN(C120,C125)</f>
        <v>285.083333333333</v>
      </c>
      <c r="D126" s="119" t="n">
        <f aca="false">MIN(D120,D125)</f>
        <v>285.083333333333</v>
      </c>
      <c r="E126" s="119" t="n">
        <f aca="false">MIN(E120,E125)</f>
        <v>285.083333333333</v>
      </c>
      <c r="F126" s="119" t="n">
        <f aca="false">MIN(F120,F125)</f>
        <v>285.083333333333</v>
      </c>
      <c r="G126" s="119" t="n">
        <f aca="false">MIN(G120,G125)</f>
        <v>285.083333333333</v>
      </c>
      <c r="H126" s="119" t="n">
        <f aca="false">MIN(H120,H125)</f>
        <v>367.5</v>
      </c>
      <c r="I126" s="119" t="n">
        <f aca="false">MIN(I120,I125)</f>
        <v>367.5</v>
      </c>
      <c r="J126" s="119" t="n">
        <f aca="false">MIN(J120,J125)</f>
        <v>367.5</v>
      </c>
      <c r="K126" s="119" t="n">
        <f aca="false">MIN(K120,K125)</f>
        <v>285.083333333333</v>
      </c>
      <c r="L126" s="119" t="n">
        <f aca="false">MIN(L120,L125)</f>
        <v>285.083333333333</v>
      </c>
      <c r="M126" s="119" t="n">
        <f aca="false">MIN(M120,M125)</f>
        <v>285.083333333333</v>
      </c>
      <c r="N126" s="119" t="n">
        <f aca="false">MIN(N120,N125)</f>
        <v>285.083333333333</v>
      </c>
      <c r="O126" s="119" t="n">
        <f aca="false">MIN(O120,O125)</f>
        <v>327.845833333333</v>
      </c>
      <c r="P126" s="119" t="n">
        <f aca="false">MIN(P120,P125)</f>
        <v>327.845833333333</v>
      </c>
      <c r="Q126" s="119" t="n">
        <f aca="false">MIN(Q120,Q125)</f>
        <v>327.845833333333</v>
      </c>
      <c r="R126" s="119" t="n">
        <f aca="false">MIN(R120,R125)</f>
        <v>327.845833333333</v>
      </c>
      <c r="S126" s="119" t="n">
        <f aca="false">MIN(S120,S125)</f>
        <v>327.845833333333</v>
      </c>
      <c r="T126" s="119" t="n">
        <f aca="false">MIN(T120,T125)</f>
        <v>411.6</v>
      </c>
      <c r="U126" s="119" t="n">
        <f aca="false">MIN(U120,U125)</f>
        <v>411.6</v>
      </c>
      <c r="V126" s="119" t="n">
        <f aca="false">MIN(V120,V125)</f>
        <v>411.6</v>
      </c>
      <c r="W126" s="119" t="n">
        <f aca="false">MIN(W120,W125)</f>
        <v>327.845833333333</v>
      </c>
      <c r="X126" s="119" t="n">
        <f aca="false">MIN(X120,X125)</f>
        <v>327.845833333333</v>
      </c>
      <c r="Y126" s="119" t="n">
        <f aca="false">MIN(Y120,Y125)</f>
        <v>327.845833333333</v>
      </c>
      <c r="Z126" s="119" t="n">
        <f aca="false">MIN(Z120,Z125)</f>
        <v>327.845833333333</v>
      </c>
      <c r="AA126" s="119" t="n">
        <f aca="false">MIN(AA120,AA125)</f>
        <v>377.022708333333</v>
      </c>
      <c r="AB126" s="119" t="n">
        <f aca="false">MIN(AB120,AB125)</f>
        <v>377.022708333333</v>
      </c>
      <c r="AC126" s="119" t="n">
        <f aca="false">MIN(AC120,AC125)</f>
        <v>377.022708333333</v>
      </c>
      <c r="AD126" s="119" t="n">
        <f aca="false">MIN(AD120,AD125)</f>
        <v>377.022708333333</v>
      </c>
      <c r="AE126" s="119" t="n">
        <f aca="false">MIN(AE120,AE125)</f>
        <v>377.022708333333</v>
      </c>
      <c r="AF126" s="119" t="n">
        <f aca="false">MIN(AF120,AF125)</f>
        <v>460.992</v>
      </c>
      <c r="AG126" s="119" t="n">
        <f aca="false">MIN(AG120,AG125)</f>
        <v>460.992</v>
      </c>
      <c r="AH126" s="119" t="n">
        <f aca="false">MIN(AH120,AH125)</f>
        <v>460.992</v>
      </c>
      <c r="AI126" s="119" t="n">
        <f aca="false">MIN(AI120,AI125)</f>
        <v>377.022708333333</v>
      </c>
      <c r="AJ126" s="119" t="n">
        <f aca="false">MIN(AJ120,AJ125)</f>
        <v>377.022708333333</v>
      </c>
      <c r="AK126" s="119" t="n">
        <f aca="false">MIN(AK120,AK125)</f>
        <v>377.022708333333</v>
      </c>
      <c r="AL126" s="119" t="n">
        <f aca="false">MIN(AL120,AL125)</f>
        <v>377.022708333333</v>
      </c>
    </row>
    <row r="128" customFormat="false" ht="15.75" hidden="false" customHeight="true" outlineLevel="0" collapsed="false">
      <c r="A128" s="7" t="s">
        <v>44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customFormat="false" ht="15" hidden="false" customHeight="false" outlineLevel="0" collapsed="false">
      <c r="A129" s="6" t="s">
        <v>60</v>
      </c>
      <c r="C129" s="120" t="n">
        <f aca="false">Inputs!$C$20*(1+Inputs!$C$21)^(C$116-1)</f>
        <v>440</v>
      </c>
      <c r="D129" s="120" t="n">
        <f aca="false">Inputs!$C$20*(1+Inputs!$C$21)^(D$116-1)</f>
        <v>440</v>
      </c>
      <c r="E129" s="120" t="n">
        <f aca="false">Inputs!$C$20*(1+Inputs!$C$21)^(E$116-1)</f>
        <v>440</v>
      </c>
      <c r="F129" s="120" t="n">
        <f aca="false">Inputs!$C$20*(1+Inputs!$C$21)^(F$116-1)</f>
        <v>440</v>
      </c>
      <c r="G129" s="120" t="n">
        <f aca="false">Inputs!$C$20*(1+Inputs!$C$21)^(G$116-1)</f>
        <v>440</v>
      </c>
      <c r="H129" s="120" t="n">
        <f aca="false">Inputs!$C$20*(1+Inputs!$C$21)^(H$116-1)</f>
        <v>440</v>
      </c>
      <c r="I129" s="120" t="n">
        <f aca="false">Inputs!$C$20*(1+Inputs!$C$21)^(I$116-1)</f>
        <v>440</v>
      </c>
      <c r="J129" s="120" t="n">
        <f aca="false">Inputs!$C$20*(1+Inputs!$C$21)^(J$116-1)</f>
        <v>440</v>
      </c>
      <c r="K129" s="120" t="n">
        <f aca="false">Inputs!$C$20*(1+Inputs!$C$21)^(K$116-1)</f>
        <v>440</v>
      </c>
      <c r="L129" s="120" t="n">
        <f aca="false">Inputs!$C$20*(1+Inputs!$C$21)^(L$116-1)</f>
        <v>440</v>
      </c>
      <c r="M129" s="120" t="n">
        <f aca="false">Inputs!$C$20*(1+Inputs!$C$21)^(M$116-1)</f>
        <v>440</v>
      </c>
      <c r="N129" s="120" t="n">
        <f aca="false">Inputs!$C$20*(1+Inputs!$C$21)^(N$116-1)</f>
        <v>440</v>
      </c>
      <c r="O129" s="120" t="n">
        <f aca="false">Inputs!$C$20*(1+Inputs!$C$21)^(O$116-1)</f>
        <v>453.2</v>
      </c>
      <c r="P129" s="120" t="n">
        <f aca="false">Inputs!$C$20*(1+Inputs!$C$21)^(P$116-1)</f>
        <v>453.2</v>
      </c>
      <c r="Q129" s="120" t="n">
        <f aca="false">Inputs!$C$20*(1+Inputs!$C$21)^(Q$116-1)</f>
        <v>453.2</v>
      </c>
      <c r="R129" s="120" t="n">
        <f aca="false">Inputs!$C$20*(1+Inputs!$C$21)^(R$116-1)</f>
        <v>453.2</v>
      </c>
      <c r="S129" s="120" t="n">
        <f aca="false">Inputs!$C$20*(1+Inputs!$C$21)^(S$116-1)</f>
        <v>453.2</v>
      </c>
      <c r="T129" s="120" t="n">
        <f aca="false">Inputs!$C$20*(1+Inputs!$C$21)^(T$116-1)</f>
        <v>453.2</v>
      </c>
      <c r="U129" s="120" t="n">
        <f aca="false">Inputs!$C$20*(1+Inputs!$C$21)^(U$116-1)</f>
        <v>453.2</v>
      </c>
      <c r="V129" s="120" t="n">
        <f aca="false">Inputs!$C$20*(1+Inputs!$C$21)^(V$116-1)</f>
        <v>453.2</v>
      </c>
      <c r="W129" s="120" t="n">
        <f aca="false">Inputs!$C$20*(1+Inputs!$C$21)^(W$116-1)</f>
        <v>453.2</v>
      </c>
      <c r="X129" s="120" t="n">
        <f aca="false">Inputs!$C$20*(1+Inputs!$C$21)^(X$116-1)</f>
        <v>453.2</v>
      </c>
      <c r="Y129" s="120" t="n">
        <f aca="false">Inputs!$C$20*(1+Inputs!$C$21)^(Y$116-1)</f>
        <v>453.2</v>
      </c>
      <c r="Z129" s="120" t="n">
        <f aca="false">Inputs!$C$20*(1+Inputs!$C$21)^(Z$116-1)</f>
        <v>453.2</v>
      </c>
      <c r="AA129" s="120" t="n">
        <f aca="false">Inputs!$C$20*(1+Inputs!$C$21)^(AA$116-1)</f>
        <v>466.796</v>
      </c>
      <c r="AB129" s="120" t="n">
        <f aca="false">Inputs!$C$20*(1+Inputs!$C$21)^(AB$116-1)</f>
        <v>466.796</v>
      </c>
      <c r="AC129" s="120" t="n">
        <f aca="false">Inputs!$C$20*(1+Inputs!$C$21)^(AC$116-1)</f>
        <v>466.796</v>
      </c>
      <c r="AD129" s="120" t="n">
        <f aca="false">Inputs!$C$20*(1+Inputs!$C$21)^(AD$116-1)</f>
        <v>466.796</v>
      </c>
      <c r="AE129" s="120" t="n">
        <f aca="false">Inputs!$C$20*(1+Inputs!$C$21)^(AE$116-1)</f>
        <v>466.796</v>
      </c>
      <c r="AF129" s="120" t="n">
        <f aca="false">Inputs!$C$20*(1+Inputs!$C$21)^(AF$116-1)</f>
        <v>466.796</v>
      </c>
      <c r="AG129" s="120" t="n">
        <f aca="false">Inputs!$C$20*(1+Inputs!$C$21)^(AG$116-1)</f>
        <v>466.796</v>
      </c>
      <c r="AH129" s="120" t="n">
        <f aca="false">Inputs!$C$20*(1+Inputs!$C$21)^(AH$116-1)</f>
        <v>466.796</v>
      </c>
      <c r="AI129" s="120" t="n">
        <f aca="false">Inputs!$C$20*(1+Inputs!$C$21)^(AI$116-1)</f>
        <v>466.796</v>
      </c>
      <c r="AJ129" s="120" t="n">
        <f aca="false">Inputs!$C$20*(1+Inputs!$C$21)^(AJ$116-1)</f>
        <v>466.796</v>
      </c>
      <c r="AK129" s="120" t="n">
        <f aca="false">Inputs!$C$20*(1+Inputs!$C$21)^(AK$116-1)</f>
        <v>466.796</v>
      </c>
      <c r="AL129" s="120" t="n">
        <f aca="false">Inputs!$C$20*(1+Inputs!$C$21)^(AL$116-1)</f>
        <v>466.796</v>
      </c>
    </row>
    <row r="130" customFormat="false" ht="15" hidden="false" customHeight="false" outlineLevel="0" collapsed="false">
      <c r="A130" s="6" t="s">
        <v>238</v>
      </c>
      <c r="C130" s="67" t="n">
        <f aca="false">C126*C129</f>
        <v>125436.666666667</v>
      </c>
      <c r="D130" s="67" t="n">
        <f aca="false">D126*D129</f>
        <v>125436.666666667</v>
      </c>
      <c r="E130" s="67" t="n">
        <f aca="false">E126*E129</f>
        <v>125436.666666667</v>
      </c>
      <c r="F130" s="67" t="n">
        <f aca="false">F126*F129</f>
        <v>125436.666666667</v>
      </c>
      <c r="G130" s="67" t="n">
        <f aca="false">G126*G129</f>
        <v>125436.666666667</v>
      </c>
      <c r="H130" s="67" t="n">
        <f aca="false">H126*H129</f>
        <v>161700</v>
      </c>
      <c r="I130" s="67" t="n">
        <f aca="false">I126*I129</f>
        <v>161700</v>
      </c>
      <c r="J130" s="67" t="n">
        <f aca="false">J126*J129</f>
        <v>161700</v>
      </c>
      <c r="K130" s="67" t="n">
        <f aca="false">K126*K129</f>
        <v>125436.666666667</v>
      </c>
      <c r="L130" s="67" t="n">
        <f aca="false">L126*L129</f>
        <v>125436.666666667</v>
      </c>
      <c r="M130" s="67" t="n">
        <f aca="false">M126*M129</f>
        <v>125436.666666667</v>
      </c>
      <c r="N130" s="67" t="n">
        <f aca="false">N126*N129</f>
        <v>125436.666666667</v>
      </c>
      <c r="O130" s="67" t="n">
        <f aca="false">O126*O129</f>
        <v>148579.731666667</v>
      </c>
      <c r="P130" s="67" t="n">
        <f aca="false">P126*P129</f>
        <v>148579.731666667</v>
      </c>
      <c r="Q130" s="67" t="n">
        <f aca="false">Q126*Q129</f>
        <v>148579.731666667</v>
      </c>
      <c r="R130" s="67" t="n">
        <f aca="false">R126*R129</f>
        <v>148579.731666667</v>
      </c>
      <c r="S130" s="67" t="n">
        <f aca="false">S126*S129</f>
        <v>148579.731666667</v>
      </c>
      <c r="T130" s="67" t="n">
        <f aca="false">T126*T129</f>
        <v>186537.12</v>
      </c>
      <c r="U130" s="67" t="n">
        <f aca="false">U126*U129</f>
        <v>186537.12</v>
      </c>
      <c r="V130" s="67" t="n">
        <f aca="false">V126*V129</f>
        <v>186537.12</v>
      </c>
      <c r="W130" s="67" t="n">
        <f aca="false">W126*W129</f>
        <v>148579.731666667</v>
      </c>
      <c r="X130" s="67" t="n">
        <f aca="false">X126*X129</f>
        <v>148579.731666667</v>
      </c>
      <c r="Y130" s="67" t="n">
        <f aca="false">Y126*Y129</f>
        <v>148579.731666667</v>
      </c>
      <c r="Z130" s="67" t="n">
        <f aca="false">Z126*Z129</f>
        <v>148579.731666667</v>
      </c>
      <c r="AA130" s="67" t="n">
        <f aca="false">AA126*AA129</f>
        <v>175992.692159167</v>
      </c>
      <c r="AB130" s="67" t="n">
        <f aca="false">AB126*AB129</f>
        <v>175992.692159167</v>
      </c>
      <c r="AC130" s="67" t="n">
        <f aca="false">AC126*AC129</f>
        <v>175992.692159167</v>
      </c>
      <c r="AD130" s="67" t="n">
        <f aca="false">AD126*AD129</f>
        <v>175992.692159167</v>
      </c>
      <c r="AE130" s="67" t="n">
        <f aca="false">AE126*AE129</f>
        <v>175992.692159167</v>
      </c>
      <c r="AF130" s="67" t="n">
        <f aca="false">AF126*AF129</f>
        <v>215189.221632</v>
      </c>
      <c r="AG130" s="67" t="n">
        <f aca="false">AG126*AG129</f>
        <v>215189.221632</v>
      </c>
      <c r="AH130" s="67" t="n">
        <f aca="false">AH126*AH129</f>
        <v>215189.221632</v>
      </c>
      <c r="AI130" s="67" t="n">
        <f aca="false">AI126*AI129</f>
        <v>175992.692159167</v>
      </c>
      <c r="AJ130" s="67" t="n">
        <f aca="false">AJ126*AJ129</f>
        <v>175992.692159167</v>
      </c>
      <c r="AK130" s="67" t="n">
        <f aca="false">AK126*AK129</f>
        <v>175992.692159167</v>
      </c>
      <c r="AL130" s="67" t="n">
        <f aca="false">AL126*AL129</f>
        <v>175992.692159167</v>
      </c>
    </row>
    <row r="131" customFormat="false" ht="15" hidden="false" customHeight="false" outlineLevel="0" collapsed="false">
      <c r="A131" s="6" t="s">
        <v>382</v>
      </c>
      <c r="C131" s="117" t="n">
        <f aca="false">Inputs!$C$24*(1+Inputs!$C$25)^(C$116-1)</f>
        <v>400</v>
      </c>
      <c r="D131" s="117" t="n">
        <f aca="false">Inputs!$C$24*(1+Inputs!$C$25)^(D$116-1)</f>
        <v>400</v>
      </c>
      <c r="E131" s="117" t="n">
        <f aca="false">Inputs!$C$24*(1+Inputs!$C$25)^(E$116-1)</f>
        <v>400</v>
      </c>
      <c r="F131" s="117" t="n">
        <f aca="false">Inputs!$C$24*(1+Inputs!$C$25)^(F$116-1)</f>
        <v>400</v>
      </c>
      <c r="G131" s="117" t="n">
        <f aca="false">Inputs!$C$24*(1+Inputs!$C$25)^(G$116-1)</f>
        <v>400</v>
      </c>
      <c r="H131" s="117" t="n">
        <f aca="false">Inputs!$C$24*(1+Inputs!$C$25)^(H$116-1)</f>
        <v>400</v>
      </c>
      <c r="I131" s="117" t="n">
        <f aca="false">Inputs!$C$24*(1+Inputs!$C$25)^(I$116-1)</f>
        <v>400</v>
      </c>
      <c r="J131" s="117" t="n">
        <f aca="false">Inputs!$C$24*(1+Inputs!$C$25)^(J$116-1)</f>
        <v>400</v>
      </c>
      <c r="K131" s="117" t="n">
        <f aca="false">Inputs!$C$24*(1+Inputs!$C$25)^(K$116-1)</f>
        <v>400</v>
      </c>
      <c r="L131" s="117" t="n">
        <f aca="false">Inputs!$C$24*(1+Inputs!$C$25)^(L$116-1)</f>
        <v>400</v>
      </c>
      <c r="M131" s="117" t="n">
        <f aca="false">Inputs!$C$24*(1+Inputs!$C$25)^(M$116-1)</f>
        <v>400</v>
      </c>
      <c r="N131" s="117" t="n">
        <f aca="false">Inputs!$C$24*(1+Inputs!$C$25)^(N$116-1)</f>
        <v>400</v>
      </c>
      <c r="O131" s="117" t="n">
        <f aca="false">Inputs!$C$24*(1+Inputs!$C$25)^(O$116-1)</f>
        <v>480</v>
      </c>
      <c r="P131" s="117" t="n">
        <f aca="false">Inputs!$C$24*(1+Inputs!$C$25)^(P$116-1)</f>
        <v>480</v>
      </c>
      <c r="Q131" s="117" t="n">
        <f aca="false">Inputs!$C$24*(1+Inputs!$C$25)^(Q$116-1)</f>
        <v>480</v>
      </c>
      <c r="R131" s="117" t="n">
        <f aca="false">Inputs!$C$24*(1+Inputs!$C$25)^(R$116-1)</f>
        <v>480</v>
      </c>
      <c r="S131" s="117" t="n">
        <f aca="false">Inputs!$C$24*(1+Inputs!$C$25)^(S$116-1)</f>
        <v>480</v>
      </c>
      <c r="T131" s="117" t="n">
        <f aca="false">Inputs!$C$24*(1+Inputs!$C$25)^(T$116-1)</f>
        <v>480</v>
      </c>
      <c r="U131" s="117" t="n">
        <f aca="false">Inputs!$C$24*(1+Inputs!$C$25)^(U$116-1)</f>
        <v>480</v>
      </c>
      <c r="V131" s="117" t="n">
        <f aca="false">Inputs!$C$24*(1+Inputs!$C$25)^(V$116-1)</f>
        <v>480</v>
      </c>
      <c r="W131" s="117" t="n">
        <f aca="false">Inputs!$C$24*(1+Inputs!$C$25)^(W$116-1)</f>
        <v>480</v>
      </c>
      <c r="X131" s="117" t="n">
        <f aca="false">Inputs!$C$24*(1+Inputs!$C$25)^(X$116-1)</f>
        <v>480</v>
      </c>
      <c r="Y131" s="117" t="n">
        <f aca="false">Inputs!$C$24*(1+Inputs!$C$25)^(Y$116-1)</f>
        <v>480</v>
      </c>
      <c r="Z131" s="117" t="n">
        <f aca="false">Inputs!$C$24*(1+Inputs!$C$25)^(Z$116-1)</f>
        <v>480</v>
      </c>
      <c r="AA131" s="117" t="n">
        <f aca="false">Inputs!$C$24*(1+Inputs!$C$25)^(AA$116-1)</f>
        <v>576</v>
      </c>
      <c r="AB131" s="117" t="n">
        <f aca="false">Inputs!$C$24*(1+Inputs!$C$25)^(AB$116-1)</f>
        <v>576</v>
      </c>
      <c r="AC131" s="117" t="n">
        <f aca="false">Inputs!$C$24*(1+Inputs!$C$25)^(AC$116-1)</f>
        <v>576</v>
      </c>
      <c r="AD131" s="117" t="n">
        <f aca="false">Inputs!$C$24*(1+Inputs!$C$25)^(AD$116-1)</f>
        <v>576</v>
      </c>
      <c r="AE131" s="117" t="n">
        <f aca="false">Inputs!$C$24*(1+Inputs!$C$25)^(AE$116-1)</f>
        <v>576</v>
      </c>
      <c r="AF131" s="117" t="n">
        <f aca="false">Inputs!$C$24*(1+Inputs!$C$25)^(AF$116-1)</f>
        <v>576</v>
      </c>
      <c r="AG131" s="117" t="n">
        <f aca="false">Inputs!$C$24*(1+Inputs!$C$25)^(AG$116-1)</f>
        <v>576</v>
      </c>
      <c r="AH131" s="117" t="n">
        <f aca="false">Inputs!$C$24*(1+Inputs!$C$25)^(AH$116-1)</f>
        <v>576</v>
      </c>
      <c r="AI131" s="117" t="n">
        <f aca="false">Inputs!$C$24*(1+Inputs!$C$25)^(AI$116-1)</f>
        <v>576</v>
      </c>
      <c r="AJ131" s="117" t="n">
        <f aca="false">Inputs!$C$24*(1+Inputs!$C$25)^(AJ$116-1)</f>
        <v>576</v>
      </c>
      <c r="AK131" s="117" t="n">
        <f aca="false">Inputs!$C$24*(1+Inputs!$C$25)^(AK$116-1)</f>
        <v>576</v>
      </c>
      <c r="AL131" s="117" t="n">
        <f aca="false">Inputs!$C$24*(1+Inputs!$C$25)^(AL$116-1)</f>
        <v>576</v>
      </c>
    </row>
    <row r="132" customFormat="false" ht="15" hidden="false" customHeight="false" outlineLevel="0" collapsed="false">
      <c r="A132" s="6" t="s">
        <v>242</v>
      </c>
      <c r="C132" s="67" t="n">
        <f aca="false">C131*Inputs!$C$26*(1+Inputs!$C$21)^(C$116-1)*1</f>
        <v>8000</v>
      </c>
      <c r="D132" s="67" t="n">
        <f aca="false">D131*Inputs!$C$26*(1+Inputs!$C$21)^(D$116-1)*1</f>
        <v>8000</v>
      </c>
      <c r="E132" s="67" t="n">
        <f aca="false">E131*Inputs!$C$26*(1+Inputs!$C$21)^(E$116-1)*1</f>
        <v>8000</v>
      </c>
      <c r="F132" s="67" t="n">
        <f aca="false">F131*Inputs!$C$26*(1+Inputs!$C$21)^(F$116-1)*1</f>
        <v>8000</v>
      </c>
      <c r="G132" s="67" t="n">
        <f aca="false">G131*Inputs!$C$26*(1+Inputs!$C$21)^(G$116-1)*1</f>
        <v>8000</v>
      </c>
      <c r="H132" s="67" t="n">
        <f aca="false">H131*Inputs!$C$26*(1+Inputs!$C$21)^(H$116-1)*1</f>
        <v>8000</v>
      </c>
      <c r="I132" s="67" t="n">
        <f aca="false">I131*Inputs!$C$26*(1+Inputs!$C$21)^(I$116-1)*1</f>
        <v>8000</v>
      </c>
      <c r="J132" s="67" t="n">
        <f aca="false">J131*Inputs!$C$26*(1+Inputs!$C$21)^(J$116-1)*1</f>
        <v>8000</v>
      </c>
      <c r="K132" s="67" t="n">
        <f aca="false">K131*Inputs!$C$26*(1+Inputs!$C$21)^(K$116-1)*1</f>
        <v>8000</v>
      </c>
      <c r="L132" s="67" t="n">
        <f aca="false">L131*Inputs!$C$26*(1+Inputs!$C$21)^(L$116-1)*1</f>
        <v>8000</v>
      </c>
      <c r="M132" s="67" t="n">
        <f aca="false">M131*Inputs!$C$26*(1+Inputs!$C$21)^(M$116-1)*1</f>
        <v>8000</v>
      </c>
      <c r="N132" s="67" t="n">
        <f aca="false">N131*Inputs!$C$26*(1+Inputs!$C$21)^(N$116-1)*1</f>
        <v>8000</v>
      </c>
      <c r="O132" s="67" t="n">
        <f aca="false">O131*Inputs!$C$26*(1+Inputs!$C$21)^(O$116-1)*1</f>
        <v>9888</v>
      </c>
      <c r="P132" s="67" t="n">
        <f aca="false">P131*Inputs!$C$26*(1+Inputs!$C$21)^(P$116-1)*1</f>
        <v>9888</v>
      </c>
      <c r="Q132" s="67" t="n">
        <f aca="false">Q131*Inputs!$C$26*(1+Inputs!$C$21)^(Q$116-1)*1</f>
        <v>9888</v>
      </c>
      <c r="R132" s="67" t="n">
        <f aca="false">R131*Inputs!$C$26*(1+Inputs!$C$21)^(R$116-1)*1</f>
        <v>9888</v>
      </c>
      <c r="S132" s="67" t="n">
        <f aca="false">S131*Inputs!$C$26*(1+Inputs!$C$21)^(S$116-1)*1</f>
        <v>9888</v>
      </c>
      <c r="T132" s="67" t="n">
        <f aca="false">T131*Inputs!$C$26*(1+Inputs!$C$21)^(T$116-1)*1</f>
        <v>9888</v>
      </c>
      <c r="U132" s="67" t="n">
        <f aca="false">U131*Inputs!$C$26*(1+Inputs!$C$21)^(U$116-1)*1</f>
        <v>9888</v>
      </c>
      <c r="V132" s="67" t="n">
        <f aca="false">V131*Inputs!$C$26*(1+Inputs!$C$21)^(V$116-1)*1</f>
        <v>9888</v>
      </c>
      <c r="W132" s="67" t="n">
        <f aca="false">W131*Inputs!$C$26*(1+Inputs!$C$21)^(W$116-1)*1</f>
        <v>9888</v>
      </c>
      <c r="X132" s="67" t="n">
        <f aca="false">X131*Inputs!$C$26*(1+Inputs!$C$21)^(X$116-1)*1</f>
        <v>9888</v>
      </c>
      <c r="Y132" s="67" t="n">
        <f aca="false">Y131*Inputs!$C$26*(1+Inputs!$C$21)^(Y$116-1)*1</f>
        <v>9888</v>
      </c>
      <c r="Z132" s="67" t="n">
        <f aca="false">Z131*Inputs!$C$26*(1+Inputs!$C$21)^(Z$116-1)*1</f>
        <v>9888</v>
      </c>
      <c r="AA132" s="67" t="n">
        <f aca="false">AA131*Inputs!$C$26*(1+Inputs!$C$21)^(AA$116-1)*1</f>
        <v>12221.568</v>
      </c>
      <c r="AB132" s="67" t="n">
        <f aca="false">AB131*Inputs!$C$26*(1+Inputs!$C$21)^(AB$116-1)*1</f>
        <v>12221.568</v>
      </c>
      <c r="AC132" s="67" t="n">
        <f aca="false">AC131*Inputs!$C$26*(1+Inputs!$C$21)^(AC$116-1)*1</f>
        <v>12221.568</v>
      </c>
      <c r="AD132" s="67" t="n">
        <f aca="false">AD131*Inputs!$C$26*(1+Inputs!$C$21)^(AD$116-1)*1</f>
        <v>12221.568</v>
      </c>
      <c r="AE132" s="67" t="n">
        <f aca="false">AE131*Inputs!$C$26*(1+Inputs!$C$21)^(AE$116-1)*1</f>
        <v>12221.568</v>
      </c>
      <c r="AF132" s="67" t="n">
        <f aca="false">AF131*Inputs!$C$26*(1+Inputs!$C$21)^(AF$116-1)*1</f>
        <v>12221.568</v>
      </c>
      <c r="AG132" s="67" t="n">
        <f aca="false">AG131*Inputs!$C$26*(1+Inputs!$C$21)^(AG$116-1)*1</f>
        <v>12221.568</v>
      </c>
      <c r="AH132" s="67" t="n">
        <f aca="false">AH131*Inputs!$C$26*(1+Inputs!$C$21)^(AH$116-1)*1</f>
        <v>12221.568</v>
      </c>
      <c r="AI132" s="67" t="n">
        <f aca="false">AI131*Inputs!$C$26*(1+Inputs!$C$21)^(AI$116-1)*1</f>
        <v>12221.568</v>
      </c>
      <c r="AJ132" s="67" t="n">
        <f aca="false">AJ131*Inputs!$C$26*(1+Inputs!$C$21)^(AJ$116-1)*1</f>
        <v>12221.568</v>
      </c>
      <c r="AK132" s="67" t="n">
        <f aca="false">AK131*Inputs!$C$26*(1+Inputs!$C$21)^(AK$116-1)*1</f>
        <v>12221.568</v>
      </c>
      <c r="AL132" s="67" t="n">
        <f aca="false">AL131*Inputs!$C$26*(1+Inputs!$C$21)^(AL$116-1)*1</f>
        <v>12221.568</v>
      </c>
    </row>
    <row r="133" customFormat="false" ht="15" hidden="false" customHeight="false" outlineLevel="0" collapsed="false">
      <c r="A133" s="113" t="s">
        <v>44</v>
      </c>
      <c r="C133" s="68" t="n">
        <f aca="false">C130+C132</f>
        <v>133436.666666667</v>
      </c>
      <c r="D133" s="68" t="n">
        <f aca="false">D130+D132</f>
        <v>133436.666666667</v>
      </c>
      <c r="E133" s="68" t="n">
        <f aca="false">E130+E132</f>
        <v>133436.666666667</v>
      </c>
      <c r="F133" s="68" t="n">
        <f aca="false">F130+F132</f>
        <v>133436.666666667</v>
      </c>
      <c r="G133" s="68" t="n">
        <f aca="false">G130+G132</f>
        <v>133436.666666667</v>
      </c>
      <c r="H133" s="68" t="n">
        <f aca="false">H130+H132</f>
        <v>169700</v>
      </c>
      <c r="I133" s="68" t="n">
        <f aca="false">I130+I132</f>
        <v>169700</v>
      </c>
      <c r="J133" s="68" t="n">
        <f aca="false">J130+J132</f>
        <v>169700</v>
      </c>
      <c r="K133" s="68" t="n">
        <f aca="false">K130+K132</f>
        <v>133436.666666667</v>
      </c>
      <c r="L133" s="68" t="n">
        <f aca="false">L130+L132</f>
        <v>133436.666666667</v>
      </c>
      <c r="M133" s="68" t="n">
        <f aca="false">M130+M132</f>
        <v>133436.666666667</v>
      </c>
      <c r="N133" s="68" t="n">
        <f aca="false">N130+N132</f>
        <v>133436.666666667</v>
      </c>
      <c r="O133" s="68" t="n">
        <f aca="false">O130+O132</f>
        <v>158467.731666667</v>
      </c>
      <c r="P133" s="68" t="n">
        <f aca="false">P130+P132</f>
        <v>158467.731666667</v>
      </c>
      <c r="Q133" s="68" t="n">
        <f aca="false">Q130+Q132</f>
        <v>158467.731666667</v>
      </c>
      <c r="R133" s="68" t="n">
        <f aca="false">R130+R132</f>
        <v>158467.731666667</v>
      </c>
      <c r="S133" s="68" t="n">
        <f aca="false">S130+S132</f>
        <v>158467.731666667</v>
      </c>
      <c r="T133" s="68" t="n">
        <f aca="false">T130+T132</f>
        <v>196425.12</v>
      </c>
      <c r="U133" s="68" t="n">
        <f aca="false">U130+U132</f>
        <v>196425.12</v>
      </c>
      <c r="V133" s="68" t="n">
        <f aca="false">V130+V132</f>
        <v>196425.12</v>
      </c>
      <c r="W133" s="68" t="n">
        <f aca="false">W130+W132</f>
        <v>158467.731666667</v>
      </c>
      <c r="X133" s="68" t="n">
        <f aca="false">X130+X132</f>
        <v>158467.731666667</v>
      </c>
      <c r="Y133" s="68" t="n">
        <f aca="false">Y130+Y132</f>
        <v>158467.731666667</v>
      </c>
      <c r="Z133" s="68" t="n">
        <f aca="false">Z130+Z132</f>
        <v>158467.731666667</v>
      </c>
      <c r="AA133" s="68" t="n">
        <f aca="false">AA130+AA132</f>
        <v>188214.260159167</v>
      </c>
      <c r="AB133" s="68" t="n">
        <f aca="false">AB130+AB132</f>
        <v>188214.260159167</v>
      </c>
      <c r="AC133" s="68" t="n">
        <f aca="false">AC130+AC132</f>
        <v>188214.260159167</v>
      </c>
      <c r="AD133" s="68" t="n">
        <f aca="false">AD130+AD132</f>
        <v>188214.260159167</v>
      </c>
      <c r="AE133" s="68" t="n">
        <f aca="false">AE130+AE132</f>
        <v>188214.260159167</v>
      </c>
      <c r="AF133" s="68" t="n">
        <f aca="false">AF130+AF132</f>
        <v>227410.789632</v>
      </c>
      <c r="AG133" s="68" t="n">
        <f aca="false">AG130+AG132</f>
        <v>227410.789632</v>
      </c>
      <c r="AH133" s="68" t="n">
        <f aca="false">AH130+AH132</f>
        <v>227410.789632</v>
      </c>
      <c r="AI133" s="68" t="n">
        <f aca="false">AI130+AI132</f>
        <v>188214.260159167</v>
      </c>
      <c r="AJ133" s="68" t="n">
        <f aca="false">AJ130+AJ132</f>
        <v>188214.260159167</v>
      </c>
      <c r="AK133" s="68" t="n">
        <f aca="false">AK130+AK132</f>
        <v>188214.260159167</v>
      </c>
      <c r="AL133" s="68" t="n">
        <f aca="false">AL130+AL132</f>
        <v>188214.260159167</v>
      </c>
    </row>
    <row r="135" customFormat="false" ht="15.75" hidden="false" customHeight="true" outlineLevel="0" collapsed="false">
      <c r="A135" s="7" t="s">
        <v>75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customFormat="false" ht="15" hidden="false" customHeight="false" outlineLevel="0" collapsed="false">
      <c r="A136" s="6" t="s">
        <v>383</v>
      </c>
      <c r="C136" s="67" t="n">
        <f aca="false">C217</f>
        <v>-41591.6666666667</v>
      </c>
      <c r="D136" s="67" t="n">
        <f aca="false">D217</f>
        <v>-41591.6666666667</v>
      </c>
      <c r="E136" s="67" t="n">
        <f aca="false">E217</f>
        <v>-41591.6666666667</v>
      </c>
      <c r="F136" s="67" t="n">
        <f aca="false">F217</f>
        <v>-41591.6666666667</v>
      </c>
      <c r="G136" s="67" t="n">
        <f aca="false">G217</f>
        <v>-41591.6666666667</v>
      </c>
      <c r="H136" s="67" t="n">
        <f aca="false">H217</f>
        <v>-41591.6666666667</v>
      </c>
      <c r="I136" s="67" t="n">
        <f aca="false">I217</f>
        <v>-41591.6666666667</v>
      </c>
      <c r="J136" s="67" t="n">
        <f aca="false">J217</f>
        <v>-41591.6666666667</v>
      </c>
      <c r="K136" s="67" t="n">
        <f aca="false">K217</f>
        <v>-41591.6666666667</v>
      </c>
      <c r="L136" s="67" t="n">
        <f aca="false">L217</f>
        <v>-41591.6666666667</v>
      </c>
      <c r="M136" s="67" t="n">
        <f aca="false">M217</f>
        <v>-41591.6666666667</v>
      </c>
      <c r="N136" s="67" t="n">
        <f aca="false">N217</f>
        <v>-41591.6666666667</v>
      </c>
      <c r="O136" s="67" t="n">
        <f aca="false">O217</f>
        <v>-47980.1466666667</v>
      </c>
      <c r="P136" s="67" t="n">
        <f aca="false">P217</f>
        <v>-47980.1466666667</v>
      </c>
      <c r="Q136" s="67" t="n">
        <f aca="false">Q217</f>
        <v>-47980.1466666667</v>
      </c>
      <c r="R136" s="67" t="n">
        <f aca="false">R217</f>
        <v>-47980.1466666667</v>
      </c>
      <c r="S136" s="67" t="n">
        <f aca="false">S217</f>
        <v>-47980.1466666667</v>
      </c>
      <c r="T136" s="67" t="n">
        <f aca="false">T217</f>
        <v>-47980.1466666667</v>
      </c>
      <c r="U136" s="67" t="n">
        <f aca="false">U217</f>
        <v>-47980.1466666667</v>
      </c>
      <c r="V136" s="67" t="n">
        <f aca="false">V217</f>
        <v>-47980.1466666667</v>
      </c>
      <c r="W136" s="67" t="n">
        <f aca="false">W217</f>
        <v>-47980.1466666667</v>
      </c>
      <c r="X136" s="67" t="n">
        <f aca="false">X217</f>
        <v>-47980.1466666667</v>
      </c>
      <c r="Y136" s="67" t="n">
        <f aca="false">Y217</f>
        <v>-47980.1466666667</v>
      </c>
      <c r="Z136" s="67" t="n">
        <f aca="false">Z217</f>
        <v>-47980.1466666667</v>
      </c>
      <c r="AA136" s="67" t="n">
        <f aca="false">AA217</f>
        <v>-55349.8971946667</v>
      </c>
      <c r="AB136" s="67" t="n">
        <f aca="false">AB217</f>
        <v>-55349.8971946667</v>
      </c>
      <c r="AC136" s="67" t="n">
        <f aca="false">AC217</f>
        <v>-55349.8971946667</v>
      </c>
      <c r="AD136" s="67" t="n">
        <f aca="false">AD217</f>
        <v>-55349.8971946667</v>
      </c>
      <c r="AE136" s="67" t="n">
        <f aca="false">AE217</f>
        <v>-55349.8971946667</v>
      </c>
      <c r="AF136" s="67" t="n">
        <f aca="false">AF217</f>
        <v>-55349.8971946667</v>
      </c>
      <c r="AG136" s="67" t="n">
        <f aca="false">AG217</f>
        <v>-55349.8971946667</v>
      </c>
      <c r="AH136" s="67" t="n">
        <f aca="false">AH217</f>
        <v>-55349.8971946667</v>
      </c>
      <c r="AI136" s="67" t="n">
        <f aca="false">AI217</f>
        <v>-55349.8971946667</v>
      </c>
      <c r="AJ136" s="67" t="n">
        <f aca="false">AJ217</f>
        <v>-55349.8971946667</v>
      </c>
      <c r="AK136" s="67" t="n">
        <f aca="false">AK217</f>
        <v>-55349.8971946667</v>
      </c>
      <c r="AL136" s="67" t="n">
        <f aca="false">AL217</f>
        <v>-55349.8971946667</v>
      </c>
    </row>
    <row r="137" customFormat="false" ht="15" hidden="false" customHeight="false" outlineLevel="0" collapsed="false">
      <c r="A137" s="6" t="s">
        <v>384</v>
      </c>
      <c r="C137" s="67" t="n">
        <f aca="false">-C130*Inputs!$C$30</f>
        <v>-31359.1666666667</v>
      </c>
      <c r="D137" s="67" t="n">
        <f aca="false">-D130*Inputs!$C$30</f>
        <v>-31359.1666666667</v>
      </c>
      <c r="E137" s="67" t="n">
        <f aca="false">-E130*Inputs!$C$30</f>
        <v>-31359.1666666667</v>
      </c>
      <c r="F137" s="67" t="n">
        <f aca="false">-F130*Inputs!$C$30</f>
        <v>-31359.1666666667</v>
      </c>
      <c r="G137" s="67" t="n">
        <f aca="false">-G130*Inputs!$C$30</f>
        <v>-31359.1666666667</v>
      </c>
      <c r="H137" s="67" t="n">
        <f aca="false">-H130*Inputs!$C$30</f>
        <v>-40425</v>
      </c>
      <c r="I137" s="67" t="n">
        <f aca="false">-I130*Inputs!$C$30</f>
        <v>-40425</v>
      </c>
      <c r="J137" s="67" t="n">
        <f aca="false">-J130*Inputs!$C$30</f>
        <v>-40425</v>
      </c>
      <c r="K137" s="67" t="n">
        <f aca="false">-K130*Inputs!$C$30</f>
        <v>-31359.1666666667</v>
      </c>
      <c r="L137" s="67" t="n">
        <f aca="false">-L130*Inputs!$C$30</f>
        <v>-31359.1666666667</v>
      </c>
      <c r="M137" s="67" t="n">
        <f aca="false">-M130*Inputs!$C$30</f>
        <v>-31359.1666666667</v>
      </c>
      <c r="N137" s="67" t="n">
        <f aca="false">-N130*Inputs!$C$30</f>
        <v>-31359.1666666667</v>
      </c>
      <c r="O137" s="67" t="n">
        <f aca="false">-O130*Inputs!$C$30</f>
        <v>-37144.9329166667</v>
      </c>
      <c r="P137" s="67" t="n">
        <f aca="false">-P130*Inputs!$C$30</f>
        <v>-37144.9329166667</v>
      </c>
      <c r="Q137" s="67" t="n">
        <f aca="false">-Q130*Inputs!$C$30</f>
        <v>-37144.9329166667</v>
      </c>
      <c r="R137" s="67" t="n">
        <f aca="false">-R130*Inputs!$C$30</f>
        <v>-37144.9329166667</v>
      </c>
      <c r="S137" s="67" t="n">
        <f aca="false">-S130*Inputs!$C$30</f>
        <v>-37144.9329166667</v>
      </c>
      <c r="T137" s="67" t="n">
        <f aca="false">-T130*Inputs!$C$30</f>
        <v>-46634.28</v>
      </c>
      <c r="U137" s="67" t="n">
        <f aca="false">-U130*Inputs!$C$30</f>
        <v>-46634.28</v>
      </c>
      <c r="V137" s="67" t="n">
        <f aca="false">-V130*Inputs!$C$30</f>
        <v>-46634.28</v>
      </c>
      <c r="W137" s="67" t="n">
        <f aca="false">-W130*Inputs!$C$30</f>
        <v>-37144.9329166667</v>
      </c>
      <c r="X137" s="67" t="n">
        <f aca="false">-X130*Inputs!$C$30</f>
        <v>-37144.9329166667</v>
      </c>
      <c r="Y137" s="67" t="n">
        <f aca="false">-Y130*Inputs!$C$30</f>
        <v>-37144.9329166667</v>
      </c>
      <c r="Z137" s="67" t="n">
        <f aca="false">-Z130*Inputs!$C$30</f>
        <v>-37144.9329166667</v>
      </c>
      <c r="AA137" s="67" t="n">
        <f aca="false">-AA130*Inputs!$C$30</f>
        <v>-43998.1730397917</v>
      </c>
      <c r="AB137" s="67" t="n">
        <f aca="false">-AB130*Inputs!$C$30</f>
        <v>-43998.1730397917</v>
      </c>
      <c r="AC137" s="67" t="n">
        <f aca="false">-AC130*Inputs!$C$30</f>
        <v>-43998.1730397917</v>
      </c>
      <c r="AD137" s="67" t="n">
        <f aca="false">-AD130*Inputs!$C$30</f>
        <v>-43998.1730397917</v>
      </c>
      <c r="AE137" s="67" t="n">
        <f aca="false">-AE130*Inputs!$C$30</f>
        <v>-43998.1730397917</v>
      </c>
      <c r="AF137" s="67" t="n">
        <f aca="false">-AF130*Inputs!$C$30</f>
        <v>-53797.305408</v>
      </c>
      <c r="AG137" s="67" t="n">
        <f aca="false">-AG130*Inputs!$C$30</f>
        <v>-53797.305408</v>
      </c>
      <c r="AH137" s="67" t="n">
        <f aca="false">-AH130*Inputs!$C$30</f>
        <v>-53797.305408</v>
      </c>
      <c r="AI137" s="67" t="n">
        <f aca="false">-AI130*Inputs!$C$30</f>
        <v>-43998.1730397917</v>
      </c>
      <c r="AJ137" s="67" t="n">
        <f aca="false">-AJ130*Inputs!$C$30</f>
        <v>-43998.1730397917</v>
      </c>
      <c r="AK137" s="67" t="n">
        <f aca="false">-AK130*Inputs!$C$30</f>
        <v>-43998.1730397917</v>
      </c>
      <c r="AL137" s="67" t="n">
        <f aca="false">-AL130*Inputs!$C$30</f>
        <v>-43998.1730397917</v>
      </c>
    </row>
    <row r="138" customFormat="false" ht="15" hidden="false" customHeight="false" outlineLevel="0" collapsed="false">
      <c r="A138" s="6" t="s">
        <v>385</v>
      </c>
      <c r="C138" s="67" t="n">
        <f aca="false">-C119*Inputs!$C$31*1</f>
        <v>-9100</v>
      </c>
      <c r="D138" s="67" t="n">
        <f aca="false">-D119*Inputs!$C$31*1</f>
        <v>-9100</v>
      </c>
      <c r="E138" s="67" t="n">
        <f aca="false">-E119*Inputs!$C$31*1</f>
        <v>-9100</v>
      </c>
      <c r="F138" s="67" t="n">
        <f aca="false">-F119*Inputs!$C$31*1</f>
        <v>-9100</v>
      </c>
      <c r="G138" s="67" t="n">
        <f aca="false">-G119*Inputs!$C$31*1</f>
        <v>-9100</v>
      </c>
      <c r="H138" s="67" t="n">
        <f aca="false">-H119*Inputs!$C$31*1</f>
        <v>-9100</v>
      </c>
      <c r="I138" s="67" t="n">
        <f aca="false">-I119*Inputs!$C$31*1</f>
        <v>-9100</v>
      </c>
      <c r="J138" s="67" t="n">
        <f aca="false">-J119*Inputs!$C$31*1</f>
        <v>-9100</v>
      </c>
      <c r="K138" s="67" t="n">
        <f aca="false">-K119*Inputs!$C$31*1</f>
        <v>-9100</v>
      </c>
      <c r="L138" s="67" t="n">
        <f aca="false">-L119*Inputs!$C$31*1</f>
        <v>-9100</v>
      </c>
      <c r="M138" s="67" t="n">
        <f aca="false">-M119*Inputs!$C$31*1</f>
        <v>-9100</v>
      </c>
      <c r="N138" s="67" t="n">
        <f aca="false">-N119*Inputs!$C$31*1</f>
        <v>-9100</v>
      </c>
      <c r="O138" s="67" t="n">
        <f aca="false">-O119*Inputs!$C$31*1</f>
        <v>-10192</v>
      </c>
      <c r="P138" s="67" t="n">
        <f aca="false">-P119*Inputs!$C$31*1</f>
        <v>-10192</v>
      </c>
      <c r="Q138" s="67" t="n">
        <f aca="false">-Q119*Inputs!$C$31*1</f>
        <v>-10192</v>
      </c>
      <c r="R138" s="67" t="n">
        <f aca="false">-R119*Inputs!$C$31*1</f>
        <v>-10192</v>
      </c>
      <c r="S138" s="67" t="n">
        <f aca="false">-S119*Inputs!$C$31*1</f>
        <v>-10192</v>
      </c>
      <c r="T138" s="67" t="n">
        <f aca="false">-T119*Inputs!$C$31*1</f>
        <v>-10192</v>
      </c>
      <c r="U138" s="67" t="n">
        <f aca="false">-U119*Inputs!$C$31*1</f>
        <v>-10192</v>
      </c>
      <c r="V138" s="67" t="n">
        <f aca="false">-V119*Inputs!$C$31*1</f>
        <v>-10192</v>
      </c>
      <c r="W138" s="67" t="n">
        <f aca="false">-W119*Inputs!$C$31*1</f>
        <v>-10192</v>
      </c>
      <c r="X138" s="67" t="n">
        <f aca="false">-X119*Inputs!$C$31*1</f>
        <v>-10192</v>
      </c>
      <c r="Y138" s="67" t="n">
        <f aca="false">-Y119*Inputs!$C$31*1</f>
        <v>-10192</v>
      </c>
      <c r="Z138" s="67" t="n">
        <f aca="false">-Z119*Inputs!$C$31*1</f>
        <v>-10192</v>
      </c>
      <c r="AA138" s="67" t="n">
        <f aca="false">-AA119*Inputs!$C$31*1</f>
        <v>-11415.04</v>
      </c>
      <c r="AB138" s="67" t="n">
        <f aca="false">-AB119*Inputs!$C$31*1</f>
        <v>-11415.04</v>
      </c>
      <c r="AC138" s="67" t="n">
        <f aca="false">-AC119*Inputs!$C$31*1</f>
        <v>-11415.04</v>
      </c>
      <c r="AD138" s="67" t="n">
        <f aca="false">-AD119*Inputs!$C$31*1</f>
        <v>-11415.04</v>
      </c>
      <c r="AE138" s="67" t="n">
        <f aca="false">-AE119*Inputs!$C$31*1</f>
        <v>-11415.04</v>
      </c>
      <c r="AF138" s="67" t="n">
        <f aca="false">-AF119*Inputs!$C$31*1</f>
        <v>-11415.04</v>
      </c>
      <c r="AG138" s="67" t="n">
        <f aca="false">-AG119*Inputs!$C$31*1</f>
        <v>-11415.04</v>
      </c>
      <c r="AH138" s="67" t="n">
        <f aca="false">-AH119*Inputs!$C$31*1</f>
        <v>-11415.04</v>
      </c>
      <c r="AI138" s="67" t="n">
        <f aca="false">-AI119*Inputs!$C$31*1</f>
        <v>-11415.04</v>
      </c>
      <c r="AJ138" s="67" t="n">
        <f aca="false">-AJ119*Inputs!$C$31*1</f>
        <v>-11415.04</v>
      </c>
      <c r="AK138" s="67" t="n">
        <f aca="false">-AK119*Inputs!$C$31*1</f>
        <v>-11415.04</v>
      </c>
      <c r="AL138" s="67" t="n">
        <f aca="false">-AL119*Inputs!$C$31*1</f>
        <v>-11415.04</v>
      </c>
    </row>
    <row r="139" customFormat="false" ht="15" hidden="false" customHeight="false" outlineLevel="0" collapsed="false">
      <c r="A139" s="6" t="s">
        <v>386</v>
      </c>
      <c r="C139" s="67" t="n">
        <f aca="false">-C132*Inputs!$C$27</f>
        <v>-3200</v>
      </c>
      <c r="D139" s="67" t="n">
        <f aca="false">-D132*Inputs!$C$27</f>
        <v>-3200</v>
      </c>
      <c r="E139" s="67" t="n">
        <f aca="false">-E132*Inputs!$C$27</f>
        <v>-3200</v>
      </c>
      <c r="F139" s="67" t="n">
        <f aca="false">-F132*Inputs!$C$27</f>
        <v>-3200</v>
      </c>
      <c r="G139" s="67" t="n">
        <f aca="false">-G132*Inputs!$C$27</f>
        <v>-3200</v>
      </c>
      <c r="H139" s="67" t="n">
        <f aca="false">-H132*Inputs!$C$27</f>
        <v>-3200</v>
      </c>
      <c r="I139" s="67" t="n">
        <f aca="false">-I132*Inputs!$C$27</f>
        <v>-3200</v>
      </c>
      <c r="J139" s="67" t="n">
        <f aca="false">-J132*Inputs!$C$27</f>
        <v>-3200</v>
      </c>
      <c r="K139" s="67" t="n">
        <f aca="false">-K132*Inputs!$C$27</f>
        <v>-3200</v>
      </c>
      <c r="L139" s="67" t="n">
        <f aca="false">-L132*Inputs!$C$27</f>
        <v>-3200</v>
      </c>
      <c r="M139" s="67" t="n">
        <f aca="false">-M132*Inputs!$C$27</f>
        <v>-3200</v>
      </c>
      <c r="N139" s="67" t="n">
        <f aca="false">-N132*Inputs!$C$27</f>
        <v>-3200</v>
      </c>
      <c r="O139" s="67" t="n">
        <f aca="false">-O132*Inputs!$C$27</f>
        <v>-3955.2</v>
      </c>
      <c r="P139" s="67" t="n">
        <f aca="false">-P132*Inputs!$C$27</f>
        <v>-3955.2</v>
      </c>
      <c r="Q139" s="67" t="n">
        <f aca="false">-Q132*Inputs!$C$27</f>
        <v>-3955.2</v>
      </c>
      <c r="R139" s="67" t="n">
        <f aca="false">-R132*Inputs!$C$27</f>
        <v>-3955.2</v>
      </c>
      <c r="S139" s="67" t="n">
        <f aca="false">-S132*Inputs!$C$27</f>
        <v>-3955.2</v>
      </c>
      <c r="T139" s="67" t="n">
        <f aca="false">-T132*Inputs!$C$27</f>
        <v>-3955.2</v>
      </c>
      <c r="U139" s="67" t="n">
        <f aca="false">-U132*Inputs!$C$27</f>
        <v>-3955.2</v>
      </c>
      <c r="V139" s="67" t="n">
        <f aca="false">-V132*Inputs!$C$27</f>
        <v>-3955.2</v>
      </c>
      <c r="W139" s="67" t="n">
        <f aca="false">-W132*Inputs!$C$27</f>
        <v>-3955.2</v>
      </c>
      <c r="X139" s="67" t="n">
        <f aca="false">-X132*Inputs!$C$27</f>
        <v>-3955.2</v>
      </c>
      <c r="Y139" s="67" t="n">
        <f aca="false">-Y132*Inputs!$C$27</f>
        <v>-3955.2</v>
      </c>
      <c r="Z139" s="67" t="n">
        <f aca="false">-Z132*Inputs!$C$27</f>
        <v>-3955.2</v>
      </c>
      <c r="AA139" s="67" t="n">
        <f aca="false">-AA132*Inputs!$C$27</f>
        <v>-4888.6272</v>
      </c>
      <c r="AB139" s="67" t="n">
        <f aca="false">-AB132*Inputs!$C$27</f>
        <v>-4888.6272</v>
      </c>
      <c r="AC139" s="67" t="n">
        <f aca="false">-AC132*Inputs!$C$27</f>
        <v>-4888.6272</v>
      </c>
      <c r="AD139" s="67" t="n">
        <f aca="false">-AD132*Inputs!$C$27</f>
        <v>-4888.6272</v>
      </c>
      <c r="AE139" s="67" t="n">
        <f aca="false">-AE132*Inputs!$C$27</f>
        <v>-4888.6272</v>
      </c>
      <c r="AF139" s="67" t="n">
        <f aca="false">-AF132*Inputs!$C$27</f>
        <v>-4888.6272</v>
      </c>
      <c r="AG139" s="67" t="n">
        <f aca="false">-AG132*Inputs!$C$27</f>
        <v>-4888.6272</v>
      </c>
      <c r="AH139" s="67" t="n">
        <f aca="false">-AH132*Inputs!$C$27</f>
        <v>-4888.6272</v>
      </c>
      <c r="AI139" s="67" t="n">
        <f aca="false">-AI132*Inputs!$C$27</f>
        <v>-4888.6272</v>
      </c>
      <c r="AJ139" s="67" t="n">
        <f aca="false">-AJ132*Inputs!$C$27</f>
        <v>-4888.6272</v>
      </c>
      <c r="AK139" s="67" t="n">
        <f aca="false">-AK132*Inputs!$C$27</f>
        <v>-4888.6272</v>
      </c>
      <c r="AL139" s="67" t="n">
        <f aca="false">-AL132*Inputs!$C$27</f>
        <v>-4888.6272</v>
      </c>
    </row>
    <row r="140" customFormat="false" ht="15" hidden="false" customHeight="false" outlineLevel="0" collapsed="false">
      <c r="A140" s="4" t="s">
        <v>75</v>
      </c>
      <c r="C140" s="73" t="n">
        <f aca="false">C136+C137+C138+C139</f>
        <v>-85250.8333333333</v>
      </c>
      <c r="D140" s="73" t="n">
        <f aca="false">D136+D137+D138+D139</f>
        <v>-85250.8333333333</v>
      </c>
      <c r="E140" s="73" t="n">
        <f aca="false">E136+E137+E138+E139</f>
        <v>-85250.8333333333</v>
      </c>
      <c r="F140" s="73" t="n">
        <f aca="false">F136+F137+F138+F139</f>
        <v>-85250.8333333333</v>
      </c>
      <c r="G140" s="73" t="n">
        <f aca="false">G136+G137+G138+G139</f>
        <v>-85250.8333333333</v>
      </c>
      <c r="H140" s="73" t="n">
        <f aca="false">H136+H137+H138+H139</f>
        <v>-94316.6666666667</v>
      </c>
      <c r="I140" s="73" t="n">
        <f aca="false">I136+I137+I138+I139</f>
        <v>-94316.6666666667</v>
      </c>
      <c r="J140" s="73" t="n">
        <f aca="false">J136+J137+J138+J139</f>
        <v>-94316.6666666667</v>
      </c>
      <c r="K140" s="73" t="n">
        <f aca="false">K136+K137+K138+K139</f>
        <v>-85250.8333333333</v>
      </c>
      <c r="L140" s="73" t="n">
        <f aca="false">L136+L137+L138+L139</f>
        <v>-85250.8333333333</v>
      </c>
      <c r="M140" s="73" t="n">
        <f aca="false">M136+M137+M138+M139</f>
        <v>-85250.8333333333</v>
      </c>
      <c r="N140" s="73" t="n">
        <f aca="false">N136+N137+N138+N139</f>
        <v>-85250.8333333333</v>
      </c>
      <c r="O140" s="73" t="n">
        <f aca="false">O136+O137+O138+O139</f>
        <v>-99272.2795833333</v>
      </c>
      <c r="P140" s="73" t="n">
        <f aca="false">P136+P137+P138+P139</f>
        <v>-99272.2795833333</v>
      </c>
      <c r="Q140" s="73" t="n">
        <f aca="false">Q136+Q137+Q138+Q139</f>
        <v>-99272.2795833333</v>
      </c>
      <c r="R140" s="73" t="n">
        <f aca="false">R136+R137+R138+R139</f>
        <v>-99272.2795833333</v>
      </c>
      <c r="S140" s="73" t="n">
        <f aca="false">S136+S137+S138+S139</f>
        <v>-99272.2795833333</v>
      </c>
      <c r="T140" s="73" t="n">
        <f aca="false">T136+T137+T138+T139</f>
        <v>-108761.626666667</v>
      </c>
      <c r="U140" s="73" t="n">
        <f aca="false">U136+U137+U138+U139</f>
        <v>-108761.626666667</v>
      </c>
      <c r="V140" s="73" t="n">
        <f aca="false">V136+V137+V138+V139</f>
        <v>-108761.626666667</v>
      </c>
      <c r="W140" s="73" t="n">
        <f aca="false">W136+W137+W138+W139</f>
        <v>-99272.2795833333</v>
      </c>
      <c r="X140" s="73" t="n">
        <f aca="false">X136+X137+X138+X139</f>
        <v>-99272.2795833333</v>
      </c>
      <c r="Y140" s="73" t="n">
        <f aca="false">Y136+Y137+Y138+Y139</f>
        <v>-99272.2795833333</v>
      </c>
      <c r="Z140" s="73" t="n">
        <f aca="false">Z136+Z137+Z138+Z139</f>
        <v>-99272.2795833333</v>
      </c>
      <c r="AA140" s="73" t="n">
        <f aca="false">AA136+AA137+AA138+AA139</f>
        <v>-115651.737434458</v>
      </c>
      <c r="AB140" s="73" t="n">
        <f aca="false">AB136+AB137+AB138+AB139</f>
        <v>-115651.737434458</v>
      </c>
      <c r="AC140" s="73" t="n">
        <f aca="false">AC136+AC137+AC138+AC139</f>
        <v>-115651.737434458</v>
      </c>
      <c r="AD140" s="73" t="n">
        <f aca="false">AD136+AD137+AD138+AD139</f>
        <v>-115651.737434458</v>
      </c>
      <c r="AE140" s="73" t="n">
        <f aca="false">AE136+AE137+AE138+AE139</f>
        <v>-115651.737434458</v>
      </c>
      <c r="AF140" s="73" t="n">
        <f aca="false">AF136+AF137+AF138+AF139</f>
        <v>-125450.869802667</v>
      </c>
      <c r="AG140" s="73" t="n">
        <f aca="false">AG136+AG137+AG138+AG139</f>
        <v>-125450.869802667</v>
      </c>
      <c r="AH140" s="73" t="n">
        <f aca="false">AH136+AH137+AH138+AH139</f>
        <v>-125450.869802667</v>
      </c>
      <c r="AI140" s="73" t="n">
        <f aca="false">AI136+AI137+AI138+AI139</f>
        <v>-115651.737434458</v>
      </c>
      <c r="AJ140" s="73" t="n">
        <f aca="false">AJ136+AJ137+AJ138+AJ139</f>
        <v>-115651.737434458</v>
      </c>
      <c r="AK140" s="73" t="n">
        <f aca="false">AK136+AK137+AK138+AK139</f>
        <v>-115651.737434458</v>
      </c>
      <c r="AL140" s="73" t="n">
        <f aca="false">AL136+AL137+AL138+AL139</f>
        <v>-115651.737434458</v>
      </c>
    </row>
    <row r="141" customFormat="false" ht="15" hidden="false" customHeight="false" outlineLevel="0" collapsed="false">
      <c r="A141" s="113" t="s">
        <v>45</v>
      </c>
      <c r="C141" s="68" t="n">
        <f aca="false">C133+C140</f>
        <v>48185.8333333333</v>
      </c>
      <c r="D141" s="68" t="n">
        <f aca="false">D133+D140</f>
        <v>48185.8333333333</v>
      </c>
      <c r="E141" s="68" t="n">
        <f aca="false">E133+E140</f>
        <v>48185.8333333333</v>
      </c>
      <c r="F141" s="68" t="n">
        <f aca="false">F133+F140</f>
        <v>48185.8333333333</v>
      </c>
      <c r="G141" s="68" t="n">
        <f aca="false">G133+G140</f>
        <v>48185.8333333333</v>
      </c>
      <c r="H141" s="68" t="n">
        <f aca="false">H133+H140</f>
        <v>75383.3333333333</v>
      </c>
      <c r="I141" s="68" t="n">
        <f aca="false">I133+I140</f>
        <v>75383.3333333333</v>
      </c>
      <c r="J141" s="68" t="n">
        <f aca="false">J133+J140</f>
        <v>75383.3333333333</v>
      </c>
      <c r="K141" s="68" t="n">
        <f aca="false">K133+K140</f>
        <v>48185.8333333333</v>
      </c>
      <c r="L141" s="68" t="n">
        <f aca="false">L133+L140</f>
        <v>48185.8333333333</v>
      </c>
      <c r="M141" s="68" t="n">
        <f aca="false">M133+M140</f>
        <v>48185.8333333333</v>
      </c>
      <c r="N141" s="68" t="n">
        <f aca="false">N133+N140</f>
        <v>48185.8333333333</v>
      </c>
      <c r="O141" s="68" t="n">
        <f aca="false">O133+O140</f>
        <v>59195.4520833333</v>
      </c>
      <c r="P141" s="68" t="n">
        <f aca="false">P133+P140</f>
        <v>59195.4520833333</v>
      </c>
      <c r="Q141" s="68" t="n">
        <f aca="false">Q133+Q140</f>
        <v>59195.4520833333</v>
      </c>
      <c r="R141" s="68" t="n">
        <f aca="false">R133+R140</f>
        <v>59195.4520833333</v>
      </c>
      <c r="S141" s="68" t="n">
        <f aca="false">S133+S140</f>
        <v>59195.4520833333</v>
      </c>
      <c r="T141" s="68" t="n">
        <f aca="false">T133+T140</f>
        <v>87663.4933333333</v>
      </c>
      <c r="U141" s="68" t="n">
        <f aca="false">U133+U140</f>
        <v>87663.4933333333</v>
      </c>
      <c r="V141" s="68" t="n">
        <f aca="false">V133+V140</f>
        <v>87663.4933333333</v>
      </c>
      <c r="W141" s="68" t="n">
        <f aca="false">W133+W140</f>
        <v>59195.4520833333</v>
      </c>
      <c r="X141" s="68" t="n">
        <f aca="false">X133+X140</f>
        <v>59195.4520833333</v>
      </c>
      <c r="Y141" s="68" t="n">
        <f aca="false">Y133+Y140</f>
        <v>59195.4520833333</v>
      </c>
      <c r="Z141" s="68" t="n">
        <f aca="false">Z133+Z140</f>
        <v>59195.4520833333</v>
      </c>
      <c r="AA141" s="68" t="n">
        <f aca="false">AA133+AA140</f>
        <v>72562.5227247083</v>
      </c>
      <c r="AB141" s="68" t="n">
        <f aca="false">AB133+AB140</f>
        <v>72562.5227247083</v>
      </c>
      <c r="AC141" s="68" t="n">
        <f aca="false">AC133+AC140</f>
        <v>72562.5227247083</v>
      </c>
      <c r="AD141" s="68" t="n">
        <f aca="false">AD133+AD140</f>
        <v>72562.5227247083</v>
      </c>
      <c r="AE141" s="68" t="n">
        <f aca="false">AE133+AE140</f>
        <v>72562.5227247083</v>
      </c>
      <c r="AF141" s="68" t="n">
        <f aca="false">AF133+AF140</f>
        <v>101959.919829333</v>
      </c>
      <c r="AG141" s="68" t="n">
        <f aca="false">AG133+AG140</f>
        <v>101959.919829333</v>
      </c>
      <c r="AH141" s="68" t="n">
        <f aca="false">AH133+AH140</f>
        <v>101959.919829333</v>
      </c>
      <c r="AI141" s="68" t="n">
        <f aca="false">AI133+AI140</f>
        <v>72562.5227247083</v>
      </c>
      <c r="AJ141" s="68" t="n">
        <f aca="false">AJ133+AJ140</f>
        <v>72562.5227247083</v>
      </c>
      <c r="AK141" s="68" t="n">
        <f aca="false">AK133+AK140</f>
        <v>72562.5227247083</v>
      </c>
      <c r="AL141" s="68" t="n">
        <f aca="false">AL133+AL140</f>
        <v>72562.5227247083</v>
      </c>
    </row>
    <row r="143" customFormat="false" ht="15.75" hidden="false" customHeight="true" outlineLevel="0" collapsed="false">
      <c r="A143" s="7" t="s">
        <v>47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customFormat="false" ht="15" hidden="false" customHeight="false" outlineLevel="0" collapsed="false">
      <c r="A144" s="6" t="s">
        <v>321</v>
      </c>
      <c r="C144" s="67" t="n">
        <f aca="false">C219-C217</f>
        <v>-8625</v>
      </c>
      <c r="D144" s="67" t="n">
        <f aca="false">D219-D217</f>
        <v>-8625</v>
      </c>
      <c r="E144" s="67" t="n">
        <f aca="false">E219-E217</f>
        <v>-8625</v>
      </c>
      <c r="F144" s="67" t="n">
        <f aca="false">F219-F217</f>
        <v>-8625</v>
      </c>
      <c r="G144" s="67" t="n">
        <f aca="false">G219-G217</f>
        <v>-8625</v>
      </c>
      <c r="H144" s="67" t="n">
        <f aca="false">H219-H217</f>
        <v>-8625</v>
      </c>
      <c r="I144" s="67" t="n">
        <f aca="false">I219-I217</f>
        <v>-8625</v>
      </c>
      <c r="J144" s="67" t="n">
        <f aca="false">J219-J217</f>
        <v>-8625</v>
      </c>
      <c r="K144" s="67" t="n">
        <f aca="false">K219-K217</f>
        <v>-8625</v>
      </c>
      <c r="L144" s="67" t="n">
        <f aca="false">L219-L217</f>
        <v>-8625</v>
      </c>
      <c r="M144" s="67" t="n">
        <f aca="false">M219-M217</f>
        <v>-8625</v>
      </c>
      <c r="N144" s="67" t="n">
        <f aca="false">N219-N217</f>
        <v>-8625</v>
      </c>
      <c r="O144" s="67" t="n">
        <f aca="false">O219-O217</f>
        <v>-9772.125</v>
      </c>
      <c r="P144" s="67" t="n">
        <f aca="false">P219-P217</f>
        <v>-9772.125</v>
      </c>
      <c r="Q144" s="67" t="n">
        <f aca="false">Q219-Q217</f>
        <v>-9772.125</v>
      </c>
      <c r="R144" s="67" t="n">
        <f aca="false">R219-R217</f>
        <v>-9772.125</v>
      </c>
      <c r="S144" s="67" t="n">
        <f aca="false">S219-S217</f>
        <v>-9772.125</v>
      </c>
      <c r="T144" s="67" t="n">
        <f aca="false">T219-T217</f>
        <v>-9772.125</v>
      </c>
      <c r="U144" s="67" t="n">
        <f aca="false">U219-U217</f>
        <v>-9772.125</v>
      </c>
      <c r="V144" s="67" t="n">
        <f aca="false">V219-V217</f>
        <v>-9772.125</v>
      </c>
      <c r="W144" s="67" t="n">
        <f aca="false">W219-W217</f>
        <v>-9772.125</v>
      </c>
      <c r="X144" s="67" t="n">
        <f aca="false">X219-X217</f>
        <v>-9772.125</v>
      </c>
      <c r="Y144" s="67" t="n">
        <f aca="false">Y219-Y217</f>
        <v>-9772.125</v>
      </c>
      <c r="Z144" s="67" t="n">
        <f aca="false">Z219-Z217</f>
        <v>-9772.125</v>
      </c>
      <c r="AA144" s="67" t="n">
        <f aca="false">AA219-AA217</f>
        <v>-11071.817625</v>
      </c>
      <c r="AB144" s="67" t="n">
        <f aca="false">AB219-AB217</f>
        <v>-11071.817625</v>
      </c>
      <c r="AC144" s="67" t="n">
        <f aca="false">AC219-AC217</f>
        <v>-11071.817625</v>
      </c>
      <c r="AD144" s="67" t="n">
        <f aca="false">AD219-AD217</f>
        <v>-11071.817625</v>
      </c>
      <c r="AE144" s="67" t="n">
        <f aca="false">AE219-AE217</f>
        <v>-11071.817625</v>
      </c>
      <c r="AF144" s="67" t="n">
        <f aca="false">AF219-AF217</f>
        <v>-11071.817625</v>
      </c>
      <c r="AG144" s="67" t="n">
        <f aca="false">AG219-AG217</f>
        <v>-11071.817625</v>
      </c>
      <c r="AH144" s="67" t="n">
        <f aca="false">AH219-AH217</f>
        <v>-11071.817625</v>
      </c>
      <c r="AI144" s="67" t="n">
        <f aca="false">AI219-AI217</f>
        <v>-11071.817625</v>
      </c>
      <c r="AJ144" s="67" t="n">
        <f aca="false">AJ219-AJ217</f>
        <v>-11071.817625</v>
      </c>
      <c r="AK144" s="67" t="n">
        <f aca="false">AK219-AK217</f>
        <v>-11071.817625</v>
      </c>
      <c r="AL144" s="67" t="n">
        <f aca="false">AL219-AL217</f>
        <v>-11071.817625</v>
      </c>
    </row>
    <row r="145" customFormat="false" ht="15" hidden="false" customHeight="false" outlineLevel="0" collapsed="false">
      <c r="A145" s="6" t="s">
        <v>322</v>
      </c>
      <c r="C145" s="67" t="n">
        <f aca="false">-Inputs!$C$11*(1+Inputs!$C$12)^(C$116-1)*1</f>
        <v>-9000</v>
      </c>
      <c r="D145" s="67" t="n">
        <f aca="false">-Inputs!$C$11*(1+Inputs!$C$12)^(D$116-1)*1</f>
        <v>-9000</v>
      </c>
      <c r="E145" s="67" t="n">
        <f aca="false">-Inputs!$C$11*(1+Inputs!$C$12)^(E$116-1)*1</f>
        <v>-9000</v>
      </c>
      <c r="F145" s="67" t="n">
        <f aca="false">-Inputs!$C$11*(1+Inputs!$C$12)^(F$116-1)*1</f>
        <v>-9000</v>
      </c>
      <c r="G145" s="67" t="n">
        <f aca="false">-Inputs!$C$11*(1+Inputs!$C$12)^(G$116-1)*1</f>
        <v>-9000</v>
      </c>
      <c r="H145" s="67" t="n">
        <f aca="false">-Inputs!$C$11*(1+Inputs!$C$12)^(H$116-1)*1</f>
        <v>-9000</v>
      </c>
      <c r="I145" s="67" t="n">
        <f aca="false">-Inputs!$C$11*(1+Inputs!$C$12)^(I$116-1)*1</f>
        <v>-9000</v>
      </c>
      <c r="J145" s="67" t="n">
        <f aca="false">-Inputs!$C$11*(1+Inputs!$C$12)^(J$116-1)*1</f>
        <v>-9000</v>
      </c>
      <c r="K145" s="67" t="n">
        <f aca="false">-Inputs!$C$11*(1+Inputs!$C$12)^(K$116-1)*1</f>
        <v>-9000</v>
      </c>
      <c r="L145" s="67" t="n">
        <f aca="false">-Inputs!$C$11*(1+Inputs!$C$12)^(L$116-1)*1</f>
        <v>-9000</v>
      </c>
      <c r="M145" s="67" t="n">
        <f aca="false">-Inputs!$C$11*(1+Inputs!$C$12)^(M$116-1)*1</f>
        <v>-9000</v>
      </c>
      <c r="N145" s="67" t="n">
        <f aca="false">-Inputs!$C$11*(1+Inputs!$C$12)^(N$116-1)*1</f>
        <v>-9000</v>
      </c>
      <c r="O145" s="67" t="n">
        <f aca="false">-Inputs!$C$11*(1+Inputs!$C$12)^(O$116-1)*1</f>
        <v>-10350</v>
      </c>
      <c r="P145" s="67" t="n">
        <f aca="false">-Inputs!$C$11*(1+Inputs!$C$12)^(P$116-1)*1</f>
        <v>-10350</v>
      </c>
      <c r="Q145" s="67" t="n">
        <f aca="false">-Inputs!$C$11*(1+Inputs!$C$12)^(Q$116-1)*1</f>
        <v>-10350</v>
      </c>
      <c r="R145" s="67" t="n">
        <f aca="false">-Inputs!$C$11*(1+Inputs!$C$12)^(R$116-1)*1</f>
        <v>-10350</v>
      </c>
      <c r="S145" s="67" t="n">
        <f aca="false">-Inputs!$C$11*(1+Inputs!$C$12)^(S$116-1)*1</f>
        <v>-10350</v>
      </c>
      <c r="T145" s="67" t="n">
        <f aca="false">-Inputs!$C$11*(1+Inputs!$C$12)^(T$116-1)*1</f>
        <v>-10350</v>
      </c>
      <c r="U145" s="67" t="n">
        <f aca="false">-Inputs!$C$11*(1+Inputs!$C$12)^(U$116-1)*1</f>
        <v>-10350</v>
      </c>
      <c r="V145" s="67" t="n">
        <f aca="false">-Inputs!$C$11*(1+Inputs!$C$12)^(V$116-1)*1</f>
        <v>-10350</v>
      </c>
      <c r="W145" s="67" t="n">
        <f aca="false">-Inputs!$C$11*(1+Inputs!$C$12)^(W$116-1)*1</f>
        <v>-10350</v>
      </c>
      <c r="X145" s="67" t="n">
        <f aca="false">-Inputs!$C$11*(1+Inputs!$C$12)^(X$116-1)*1</f>
        <v>-10350</v>
      </c>
      <c r="Y145" s="67" t="n">
        <f aca="false">-Inputs!$C$11*(1+Inputs!$C$12)^(Y$116-1)*1</f>
        <v>-10350</v>
      </c>
      <c r="Z145" s="67" t="n">
        <f aca="false">-Inputs!$C$11*(1+Inputs!$C$12)^(Z$116-1)*1</f>
        <v>-10350</v>
      </c>
      <c r="AA145" s="67" t="n">
        <f aca="false">-Inputs!$C$11*(1+Inputs!$C$12)^(AA$116-1)*1</f>
        <v>-11902.5</v>
      </c>
      <c r="AB145" s="67" t="n">
        <f aca="false">-Inputs!$C$11*(1+Inputs!$C$12)^(AB$116-1)*1</f>
        <v>-11902.5</v>
      </c>
      <c r="AC145" s="67" t="n">
        <f aca="false">-Inputs!$C$11*(1+Inputs!$C$12)^(AC$116-1)*1</f>
        <v>-11902.5</v>
      </c>
      <c r="AD145" s="67" t="n">
        <f aca="false">-Inputs!$C$11*(1+Inputs!$C$12)^(AD$116-1)*1</f>
        <v>-11902.5</v>
      </c>
      <c r="AE145" s="67" t="n">
        <f aca="false">-Inputs!$C$11*(1+Inputs!$C$12)^(AE$116-1)*1</f>
        <v>-11902.5</v>
      </c>
      <c r="AF145" s="67" t="n">
        <f aca="false">-Inputs!$C$11*(1+Inputs!$C$12)^(AF$116-1)*1</f>
        <v>-11902.5</v>
      </c>
      <c r="AG145" s="67" t="n">
        <f aca="false">-Inputs!$C$11*(1+Inputs!$C$12)^(AG$116-1)*1</f>
        <v>-11902.5</v>
      </c>
      <c r="AH145" s="67" t="n">
        <f aca="false">-Inputs!$C$11*(1+Inputs!$C$12)^(AH$116-1)*1</f>
        <v>-11902.5</v>
      </c>
      <c r="AI145" s="67" t="n">
        <f aca="false">-Inputs!$C$11*(1+Inputs!$C$12)^(AI$116-1)*1</f>
        <v>-11902.5</v>
      </c>
      <c r="AJ145" s="67" t="n">
        <f aca="false">-Inputs!$C$11*(1+Inputs!$C$12)^(AJ$116-1)*1</f>
        <v>-11902.5</v>
      </c>
      <c r="AK145" s="67" t="n">
        <f aca="false">-Inputs!$C$11*(1+Inputs!$C$12)^(AK$116-1)*1</f>
        <v>-11902.5</v>
      </c>
      <c r="AL145" s="67" t="n">
        <f aca="false">-Inputs!$C$11*(1+Inputs!$C$12)^(AL$116-1)*1</f>
        <v>-11902.5</v>
      </c>
    </row>
    <row r="146" customFormat="false" ht="15" hidden="false" customHeight="false" outlineLevel="0" collapsed="false">
      <c r="A146" s="6" t="s">
        <v>323</v>
      </c>
      <c r="C146" s="67" t="n">
        <f aca="false">-C119*Inputs!$C$32*1</f>
        <v>-840</v>
      </c>
      <c r="D146" s="67" t="n">
        <f aca="false">-D119*Inputs!$C$32*1</f>
        <v>-840</v>
      </c>
      <c r="E146" s="67" t="n">
        <f aca="false">-E119*Inputs!$C$32*1</f>
        <v>-840</v>
      </c>
      <c r="F146" s="67" t="n">
        <f aca="false">-F119*Inputs!$C$32*1</f>
        <v>-840</v>
      </c>
      <c r="G146" s="67" t="n">
        <f aca="false">-G119*Inputs!$C$32*1</f>
        <v>-840</v>
      </c>
      <c r="H146" s="67" t="n">
        <f aca="false">-H119*Inputs!$C$32*1</f>
        <v>-840</v>
      </c>
      <c r="I146" s="67" t="n">
        <f aca="false">-I119*Inputs!$C$32*1</f>
        <v>-840</v>
      </c>
      <c r="J146" s="67" t="n">
        <f aca="false">-J119*Inputs!$C$32*1</f>
        <v>-840</v>
      </c>
      <c r="K146" s="67" t="n">
        <f aca="false">-K119*Inputs!$C$32*1</f>
        <v>-840</v>
      </c>
      <c r="L146" s="67" t="n">
        <f aca="false">-L119*Inputs!$C$32*1</f>
        <v>-840</v>
      </c>
      <c r="M146" s="67" t="n">
        <f aca="false">-M119*Inputs!$C$32*1</f>
        <v>-840</v>
      </c>
      <c r="N146" s="67" t="n">
        <f aca="false">-N119*Inputs!$C$32*1</f>
        <v>-840</v>
      </c>
      <c r="O146" s="67" t="n">
        <f aca="false">-O119*Inputs!$C$32*1</f>
        <v>-940.8</v>
      </c>
      <c r="P146" s="67" t="n">
        <f aca="false">-P119*Inputs!$C$32*1</f>
        <v>-940.8</v>
      </c>
      <c r="Q146" s="67" t="n">
        <f aca="false">-Q119*Inputs!$C$32*1</f>
        <v>-940.8</v>
      </c>
      <c r="R146" s="67" t="n">
        <f aca="false">-R119*Inputs!$C$32*1</f>
        <v>-940.8</v>
      </c>
      <c r="S146" s="67" t="n">
        <f aca="false">-S119*Inputs!$C$32*1</f>
        <v>-940.8</v>
      </c>
      <c r="T146" s="67" t="n">
        <f aca="false">-T119*Inputs!$C$32*1</f>
        <v>-940.8</v>
      </c>
      <c r="U146" s="67" t="n">
        <f aca="false">-U119*Inputs!$C$32*1</f>
        <v>-940.8</v>
      </c>
      <c r="V146" s="67" t="n">
        <f aca="false">-V119*Inputs!$C$32*1</f>
        <v>-940.8</v>
      </c>
      <c r="W146" s="67" t="n">
        <f aca="false">-W119*Inputs!$C$32*1</f>
        <v>-940.8</v>
      </c>
      <c r="X146" s="67" t="n">
        <f aca="false">-X119*Inputs!$C$32*1</f>
        <v>-940.8</v>
      </c>
      <c r="Y146" s="67" t="n">
        <f aca="false">-Y119*Inputs!$C$32*1</f>
        <v>-940.8</v>
      </c>
      <c r="Z146" s="67" t="n">
        <f aca="false">-Z119*Inputs!$C$32*1</f>
        <v>-940.8</v>
      </c>
      <c r="AA146" s="67" t="n">
        <f aca="false">-AA119*Inputs!$C$32*1</f>
        <v>-1053.696</v>
      </c>
      <c r="AB146" s="67" t="n">
        <f aca="false">-AB119*Inputs!$C$32*1</f>
        <v>-1053.696</v>
      </c>
      <c r="AC146" s="67" t="n">
        <f aca="false">-AC119*Inputs!$C$32*1</f>
        <v>-1053.696</v>
      </c>
      <c r="AD146" s="67" t="n">
        <f aca="false">-AD119*Inputs!$C$32*1</f>
        <v>-1053.696</v>
      </c>
      <c r="AE146" s="67" t="n">
        <f aca="false">-AE119*Inputs!$C$32*1</f>
        <v>-1053.696</v>
      </c>
      <c r="AF146" s="67" t="n">
        <f aca="false">-AF119*Inputs!$C$32*1</f>
        <v>-1053.696</v>
      </c>
      <c r="AG146" s="67" t="n">
        <f aca="false">-AG119*Inputs!$C$32*1</f>
        <v>-1053.696</v>
      </c>
      <c r="AH146" s="67" t="n">
        <f aca="false">-AH119*Inputs!$C$32*1</f>
        <v>-1053.696</v>
      </c>
      <c r="AI146" s="67" t="n">
        <f aca="false">-AI119*Inputs!$C$32*1</f>
        <v>-1053.696</v>
      </c>
      <c r="AJ146" s="67" t="n">
        <f aca="false">-AJ119*Inputs!$C$32*1</f>
        <v>-1053.696</v>
      </c>
      <c r="AK146" s="67" t="n">
        <f aca="false">-AK119*Inputs!$C$32*1</f>
        <v>-1053.696</v>
      </c>
      <c r="AL146" s="67" t="n">
        <f aca="false">-AL119*Inputs!$C$32*1</f>
        <v>-1053.696</v>
      </c>
    </row>
    <row r="147" customFormat="false" ht="15" hidden="false" customHeight="false" outlineLevel="0" collapsed="false">
      <c r="A147" s="6" t="s">
        <v>324</v>
      </c>
      <c r="C147" s="67" t="n">
        <f aca="false">-Inputs!$C$33*1</f>
        <v>-3500</v>
      </c>
      <c r="D147" s="67" t="n">
        <f aca="false">-Inputs!$C$33*1</f>
        <v>-3500</v>
      </c>
      <c r="E147" s="67" t="n">
        <f aca="false">-Inputs!$C$33*1</f>
        <v>-3500</v>
      </c>
      <c r="F147" s="67" t="n">
        <f aca="false">-Inputs!$C$33*1</f>
        <v>-3500</v>
      </c>
      <c r="G147" s="67" t="n">
        <f aca="false">-Inputs!$C$33*1</f>
        <v>-3500</v>
      </c>
      <c r="H147" s="67" t="n">
        <f aca="false">-Inputs!$C$33*1</f>
        <v>-3500</v>
      </c>
      <c r="I147" s="67" t="n">
        <f aca="false">-Inputs!$C$33*1</f>
        <v>-3500</v>
      </c>
      <c r="J147" s="67" t="n">
        <f aca="false">-Inputs!$C$33*1</f>
        <v>-3500</v>
      </c>
      <c r="K147" s="67" t="n">
        <f aca="false">-Inputs!$C$33*1</f>
        <v>-3500</v>
      </c>
      <c r="L147" s="67" t="n">
        <f aca="false">-Inputs!$C$33*1</f>
        <v>-3500</v>
      </c>
      <c r="M147" s="67" t="n">
        <f aca="false">-Inputs!$C$33*1</f>
        <v>-3500</v>
      </c>
      <c r="N147" s="67" t="n">
        <f aca="false">-Inputs!$C$33*1</f>
        <v>-3500</v>
      </c>
      <c r="O147" s="67" t="n">
        <f aca="false">-Inputs!$C$33*1</f>
        <v>-3500</v>
      </c>
      <c r="P147" s="67" t="n">
        <f aca="false">-Inputs!$C$33*1</f>
        <v>-3500</v>
      </c>
      <c r="Q147" s="67" t="n">
        <f aca="false">-Inputs!$C$33*1</f>
        <v>-3500</v>
      </c>
      <c r="R147" s="67" t="n">
        <f aca="false">-Inputs!$C$33*1</f>
        <v>-3500</v>
      </c>
      <c r="S147" s="67" t="n">
        <f aca="false">-Inputs!$C$33*1</f>
        <v>-3500</v>
      </c>
      <c r="T147" s="67" t="n">
        <f aca="false">-Inputs!$C$33*1</f>
        <v>-3500</v>
      </c>
      <c r="U147" s="67" t="n">
        <f aca="false">-Inputs!$C$33*1</f>
        <v>-3500</v>
      </c>
      <c r="V147" s="67" t="n">
        <f aca="false">-Inputs!$C$33*1</f>
        <v>-3500</v>
      </c>
      <c r="W147" s="67" t="n">
        <f aca="false">-Inputs!$C$33*1</f>
        <v>-3500</v>
      </c>
      <c r="X147" s="67" t="n">
        <f aca="false">-Inputs!$C$33*1</f>
        <v>-3500</v>
      </c>
      <c r="Y147" s="67" t="n">
        <f aca="false">-Inputs!$C$33*1</f>
        <v>-3500</v>
      </c>
      <c r="Z147" s="67" t="n">
        <f aca="false">-Inputs!$C$33*1</f>
        <v>-3500</v>
      </c>
      <c r="AA147" s="67" t="n">
        <f aca="false">-Inputs!$C$33*1</f>
        <v>-3500</v>
      </c>
      <c r="AB147" s="67" t="n">
        <f aca="false">-Inputs!$C$33*1</f>
        <v>-3500</v>
      </c>
      <c r="AC147" s="67" t="n">
        <f aca="false">-Inputs!$C$33*1</f>
        <v>-3500</v>
      </c>
      <c r="AD147" s="67" t="n">
        <f aca="false">-Inputs!$C$33*1</f>
        <v>-3500</v>
      </c>
      <c r="AE147" s="67" t="n">
        <f aca="false">-Inputs!$C$33*1</f>
        <v>-3500</v>
      </c>
      <c r="AF147" s="67" t="n">
        <f aca="false">-Inputs!$C$33*1</f>
        <v>-3500</v>
      </c>
      <c r="AG147" s="67" t="n">
        <f aca="false">-Inputs!$C$33*1</f>
        <v>-3500</v>
      </c>
      <c r="AH147" s="67" t="n">
        <f aca="false">-Inputs!$C$33*1</f>
        <v>-3500</v>
      </c>
      <c r="AI147" s="67" t="n">
        <f aca="false">-Inputs!$C$33*1</f>
        <v>-3500</v>
      </c>
      <c r="AJ147" s="67" t="n">
        <f aca="false">-Inputs!$C$33*1</f>
        <v>-3500</v>
      </c>
      <c r="AK147" s="67" t="n">
        <f aca="false">-Inputs!$C$33*1</f>
        <v>-3500</v>
      </c>
      <c r="AL147" s="67" t="n">
        <f aca="false">-Inputs!$C$33*1</f>
        <v>-3500</v>
      </c>
    </row>
    <row r="148" customFormat="false" ht="15" hidden="false" customHeight="false" outlineLevel="0" collapsed="false">
      <c r="A148" s="6" t="s">
        <v>325</v>
      </c>
      <c r="C148" s="67" t="n">
        <f aca="false">-Inputs!$C$34*1</f>
        <v>-4500</v>
      </c>
      <c r="D148" s="67" t="n">
        <f aca="false">-Inputs!$C$34*1</f>
        <v>-4500</v>
      </c>
      <c r="E148" s="67" t="n">
        <f aca="false">-Inputs!$C$34*1</f>
        <v>-4500</v>
      </c>
      <c r="F148" s="67" t="n">
        <f aca="false">-Inputs!$C$34*1</f>
        <v>-4500</v>
      </c>
      <c r="G148" s="67" t="n">
        <f aca="false">-Inputs!$C$34*1</f>
        <v>-4500</v>
      </c>
      <c r="H148" s="67" t="n">
        <f aca="false">-Inputs!$C$34*1</f>
        <v>-4500</v>
      </c>
      <c r="I148" s="67" t="n">
        <f aca="false">-Inputs!$C$34*1</f>
        <v>-4500</v>
      </c>
      <c r="J148" s="67" t="n">
        <f aca="false">-Inputs!$C$34*1</f>
        <v>-4500</v>
      </c>
      <c r="K148" s="67" t="n">
        <f aca="false">-Inputs!$C$34*1</f>
        <v>-4500</v>
      </c>
      <c r="L148" s="67" t="n">
        <f aca="false">-Inputs!$C$34*1</f>
        <v>-4500</v>
      </c>
      <c r="M148" s="67" t="n">
        <f aca="false">-Inputs!$C$34*1</f>
        <v>-4500</v>
      </c>
      <c r="N148" s="67" t="n">
        <f aca="false">-Inputs!$C$34*1</f>
        <v>-4500</v>
      </c>
      <c r="O148" s="67" t="n">
        <f aca="false">-Inputs!$C$34*1</f>
        <v>-4500</v>
      </c>
      <c r="P148" s="67" t="n">
        <f aca="false">-Inputs!$C$34*1</f>
        <v>-4500</v>
      </c>
      <c r="Q148" s="67" t="n">
        <f aca="false">-Inputs!$C$34*1</f>
        <v>-4500</v>
      </c>
      <c r="R148" s="67" t="n">
        <f aca="false">-Inputs!$C$34*1</f>
        <v>-4500</v>
      </c>
      <c r="S148" s="67" t="n">
        <f aca="false">-Inputs!$C$34*1</f>
        <v>-4500</v>
      </c>
      <c r="T148" s="67" t="n">
        <f aca="false">-Inputs!$C$34*1</f>
        <v>-4500</v>
      </c>
      <c r="U148" s="67" t="n">
        <f aca="false">-Inputs!$C$34*1</f>
        <v>-4500</v>
      </c>
      <c r="V148" s="67" t="n">
        <f aca="false">-Inputs!$C$34*1</f>
        <v>-4500</v>
      </c>
      <c r="W148" s="67" t="n">
        <f aca="false">-Inputs!$C$34*1</f>
        <v>-4500</v>
      </c>
      <c r="X148" s="67" t="n">
        <f aca="false">-Inputs!$C$34*1</f>
        <v>-4500</v>
      </c>
      <c r="Y148" s="67" t="n">
        <f aca="false">-Inputs!$C$34*1</f>
        <v>-4500</v>
      </c>
      <c r="Z148" s="67" t="n">
        <f aca="false">-Inputs!$C$34*1</f>
        <v>-4500</v>
      </c>
      <c r="AA148" s="67" t="n">
        <f aca="false">-Inputs!$C$34*1</f>
        <v>-4500</v>
      </c>
      <c r="AB148" s="67" t="n">
        <f aca="false">-Inputs!$C$34*1</f>
        <v>-4500</v>
      </c>
      <c r="AC148" s="67" t="n">
        <f aca="false">-Inputs!$C$34*1</f>
        <v>-4500</v>
      </c>
      <c r="AD148" s="67" t="n">
        <f aca="false">-Inputs!$C$34*1</f>
        <v>-4500</v>
      </c>
      <c r="AE148" s="67" t="n">
        <f aca="false">-Inputs!$C$34*1</f>
        <v>-4500</v>
      </c>
      <c r="AF148" s="67" t="n">
        <f aca="false">-Inputs!$C$34*1</f>
        <v>-4500</v>
      </c>
      <c r="AG148" s="67" t="n">
        <f aca="false">-Inputs!$C$34*1</f>
        <v>-4500</v>
      </c>
      <c r="AH148" s="67" t="n">
        <f aca="false">-Inputs!$C$34*1</f>
        <v>-4500</v>
      </c>
      <c r="AI148" s="67" t="n">
        <f aca="false">-Inputs!$C$34*1</f>
        <v>-4500</v>
      </c>
      <c r="AJ148" s="67" t="n">
        <f aca="false">-Inputs!$C$34*1</f>
        <v>-4500</v>
      </c>
      <c r="AK148" s="67" t="n">
        <f aca="false">-Inputs!$C$34*1</f>
        <v>-4500</v>
      </c>
      <c r="AL148" s="67" t="n">
        <f aca="false">-Inputs!$C$34*1</f>
        <v>-4500</v>
      </c>
    </row>
    <row r="149" customFormat="false" ht="15" hidden="false" customHeight="false" outlineLevel="0" collapsed="false">
      <c r="A149" s="6" t="s">
        <v>326</v>
      </c>
      <c r="C149" s="67" t="n">
        <f aca="false">-Inputs!$C$35*1</f>
        <v>-2500</v>
      </c>
      <c r="D149" s="67" t="n">
        <f aca="false">-Inputs!$C$35*1</f>
        <v>-2500</v>
      </c>
      <c r="E149" s="67" t="n">
        <f aca="false">-Inputs!$C$35*1</f>
        <v>-2500</v>
      </c>
      <c r="F149" s="67" t="n">
        <f aca="false">-Inputs!$C$35*1</f>
        <v>-2500</v>
      </c>
      <c r="G149" s="67" t="n">
        <f aca="false">-Inputs!$C$35*1</f>
        <v>-2500</v>
      </c>
      <c r="H149" s="67" t="n">
        <f aca="false">-Inputs!$C$35*1</f>
        <v>-2500</v>
      </c>
      <c r="I149" s="67" t="n">
        <f aca="false">-Inputs!$C$35*1</f>
        <v>-2500</v>
      </c>
      <c r="J149" s="67" t="n">
        <f aca="false">-Inputs!$C$35*1</f>
        <v>-2500</v>
      </c>
      <c r="K149" s="67" t="n">
        <f aca="false">-Inputs!$C$35*1</f>
        <v>-2500</v>
      </c>
      <c r="L149" s="67" t="n">
        <f aca="false">-Inputs!$C$35*1</f>
        <v>-2500</v>
      </c>
      <c r="M149" s="67" t="n">
        <f aca="false">-Inputs!$C$35*1</f>
        <v>-2500</v>
      </c>
      <c r="N149" s="67" t="n">
        <f aca="false">-Inputs!$C$35*1</f>
        <v>-2500</v>
      </c>
      <c r="O149" s="67" t="n">
        <f aca="false">-Inputs!$C$35*1</f>
        <v>-2500</v>
      </c>
      <c r="P149" s="67" t="n">
        <f aca="false">-Inputs!$C$35*1</f>
        <v>-2500</v>
      </c>
      <c r="Q149" s="67" t="n">
        <f aca="false">-Inputs!$C$35*1</f>
        <v>-2500</v>
      </c>
      <c r="R149" s="67" t="n">
        <f aca="false">-Inputs!$C$35*1</f>
        <v>-2500</v>
      </c>
      <c r="S149" s="67" t="n">
        <f aca="false">-Inputs!$C$35*1</f>
        <v>-2500</v>
      </c>
      <c r="T149" s="67" t="n">
        <f aca="false">-Inputs!$C$35*1</f>
        <v>-2500</v>
      </c>
      <c r="U149" s="67" t="n">
        <f aca="false">-Inputs!$C$35*1</f>
        <v>-2500</v>
      </c>
      <c r="V149" s="67" t="n">
        <f aca="false">-Inputs!$C$35*1</f>
        <v>-2500</v>
      </c>
      <c r="W149" s="67" t="n">
        <f aca="false">-Inputs!$C$35*1</f>
        <v>-2500</v>
      </c>
      <c r="X149" s="67" t="n">
        <f aca="false">-Inputs!$C$35*1</f>
        <v>-2500</v>
      </c>
      <c r="Y149" s="67" t="n">
        <f aca="false">-Inputs!$C$35*1</f>
        <v>-2500</v>
      </c>
      <c r="Z149" s="67" t="n">
        <f aca="false">-Inputs!$C$35*1</f>
        <v>-2500</v>
      </c>
      <c r="AA149" s="67" t="n">
        <f aca="false">-Inputs!$C$35*1</f>
        <v>-2500</v>
      </c>
      <c r="AB149" s="67" t="n">
        <f aca="false">-Inputs!$C$35*1</f>
        <v>-2500</v>
      </c>
      <c r="AC149" s="67" t="n">
        <f aca="false">-Inputs!$C$35*1</f>
        <v>-2500</v>
      </c>
      <c r="AD149" s="67" t="n">
        <f aca="false">-Inputs!$C$35*1</f>
        <v>-2500</v>
      </c>
      <c r="AE149" s="67" t="n">
        <f aca="false">-Inputs!$C$35*1</f>
        <v>-2500</v>
      </c>
      <c r="AF149" s="67" t="n">
        <f aca="false">-Inputs!$C$35*1</f>
        <v>-2500</v>
      </c>
      <c r="AG149" s="67" t="n">
        <f aca="false">-Inputs!$C$35*1</f>
        <v>-2500</v>
      </c>
      <c r="AH149" s="67" t="n">
        <f aca="false">-Inputs!$C$35*1</f>
        <v>-2500</v>
      </c>
      <c r="AI149" s="67" t="n">
        <f aca="false">-Inputs!$C$35*1</f>
        <v>-2500</v>
      </c>
      <c r="AJ149" s="67" t="n">
        <f aca="false">-Inputs!$C$35*1</f>
        <v>-2500</v>
      </c>
      <c r="AK149" s="67" t="n">
        <f aca="false">-Inputs!$C$35*1</f>
        <v>-2500</v>
      </c>
      <c r="AL149" s="67" t="n">
        <f aca="false">-Inputs!$C$35*1</f>
        <v>-2500</v>
      </c>
    </row>
    <row r="150" customFormat="false" ht="15" hidden="false" customHeight="false" outlineLevel="0" collapsed="false">
      <c r="A150" s="6" t="s">
        <v>327</v>
      </c>
      <c r="C150" s="67" t="n">
        <f aca="false">-C133*Inputs!$C$36</f>
        <v>-3602.79</v>
      </c>
      <c r="D150" s="67" t="n">
        <f aca="false">-D133*Inputs!$C$36</f>
        <v>-3602.79</v>
      </c>
      <c r="E150" s="67" t="n">
        <f aca="false">-E133*Inputs!$C$36</f>
        <v>-3602.79</v>
      </c>
      <c r="F150" s="67" t="n">
        <f aca="false">-F133*Inputs!$C$36</f>
        <v>-3602.79</v>
      </c>
      <c r="G150" s="67" t="n">
        <f aca="false">-G133*Inputs!$C$36</f>
        <v>-3602.79</v>
      </c>
      <c r="H150" s="67" t="n">
        <f aca="false">-H133*Inputs!$C$36</f>
        <v>-4581.9</v>
      </c>
      <c r="I150" s="67" t="n">
        <f aca="false">-I133*Inputs!$C$36</f>
        <v>-4581.9</v>
      </c>
      <c r="J150" s="67" t="n">
        <f aca="false">-J133*Inputs!$C$36</f>
        <v>-4581.9</v>
      </c>
      <c r="K150" s="67" t="n">
        <f aca="false">-K133*Inputs!$C$36</f>
        <v>-3602.79</v>
      </c>
      <c r="L150" s="67" t="n">
        <f aca="false">-L133*Inputs!$C$36</f>
        <v>-3602.79</v>
      </c>
      <c r="M150" s="67" t="n">
        <f aca="false">-M133*Inputs!$C$36</f>
        <v>-3602.79</v>
      </c>
      <c r="N150" s="67" t="n">
        <f aca="false">-N133*Inputs!$C$36</f>
        <v>-3602.79</v>
      </c>
      <c r="O150" s="67" t="n">
        <f aca="false">-O133*Inputs!$C$36</f>
        <v>-4278.628755</v>
      </c>
      <c r="P150" s="67" t="n">
        <f aca="false">-P133*Inputs!$C$36</f>
        <v>-4278.628755</v>
      </c>
      <c r="Q150" s="67" t="n">
        <f aca="false">-Q133*Inputs!$C$36</f>
        <v>-4278.628755</v>
      </c>
      <c r="R150" s="67" t="n">
        <f aca="false">-R133*Inputs!$C$36</f>
        <v>-4278.628755</v>
      </c>
      <c r="S150" s="67" t="n">
        <f aca="false">-S133*Inputs!$C$36</f>
        <v>-4278.628755</v>
      </c>
      <c r="T150" s="67" t="n">
        <f aca="false">-T133*Inputs!$C$36</f>
        <v>-5303.47824</v>
      </c>
      <c r="U150" s="67" t="n">
        <f aca="false">-U133*Inputs!$C$36</f>
        <v>-5303.47824</v>
      </c>
      <c r="V150" s="67" t="n">
        <f aca="false">-V133*Inputs!$C$36</f>
        <v>-5303.47824</v>
      </c>
      <c r="W150" s="67" t="n">
        <f aca="false">-W133*Inputs!$C$36</f>
        <v>-4278.628755</v>
      </c>
      <c r="X150" s="67" t="n">
        <f aca="false">-X133*Inputs!$C$36</f>
        <v>-4278.628755</v>
      </c>
      <c r="Y150" s="67" t="n">
        <f aca="false">-Y133*Inputs!$C$36</f>
        <v>-4278.628755</v>
      </c>
      <c r="Z150" s="67" t="n">
        <f aca="false">-Z133*Inputs!$C$36</f>
        <v>-4278.628755</v>
      </c>
      <c r="AA150" s="67" t="n">
        <f aca="false">-AA133*Inputs!$C$36</f>
        <v>-5081.7850242975</v>
      </c>
      <c r="AB150" s="67" t="n">
        <f aca="false">-AB133*Inputs!$C$36</f>
        <v>-5081.7850242975</v>
      </c>
      <c r="AC150" s="67" t="n">
        <f aca="false">-AC133*Inputs!$C$36</f>
        <v>-5081.7850242975</v>
      </c>
      <c r="AD150" s="67" t="n">
        <f aca="false">-AD133*Inputs!$C$36</f>
        <v>-5081.7850242975</v>
      </c>
      <c r="AE150" s="67" t="n">
        <f aca="false">-AE133*Inputs!$C$36</f>
        <v>-5081.7850242975</v>
      </c>
      <c r="AF150" s="67" t="n">
        <f aca="false">-AF133*Inputs!$C$36</f>
        <v>-6140.091320064</v>
      </c>
      <c r="AG150" s="67" t="n">
        <f aca="false">-AG133*Inputs!$C$36</f>
        <v>-6140.091320064</v>
      </c>
      <c r="AH150" s="67" t="n">
        <f aca="false">-AH133*Inputs!$C$36</f>
        <v>-6140.091320064</v>
      </c>
      <c r="AI150" s="67" t="n">
        <f aca="false">-AI133*Inputs!$C$36</f>
        <v>-5081.7850242975</v>
      </c>
      <c r="AJ150" s="67" t="n">
        <f aca="false">-AJ133*Inputs!$C$36</f>
        <v>-5081.7850242975</v>
      </c>
      <c r="AK150" s="67" t="n">
        <f aca="false">-AK133*Inputs!$C$36</f>
        <v>-5081.7850242975</v>
      </c>
      <c r="AL150" s="67" t="n">
        <f aca="false">-AL133*Inputs!$C$36</f>
        <v>-5081.7850242975</v>
      </c>
    </row>
    <row r="151" customFormat="false" ht="15" hidden="false" customHeight="false" outlineLevel="0" collapsed="false">
      <c r="A151" s="113" t="s">
        <v>76</v>
      </c>
      <c r="C151" s="68" t="n">
        <f aca="false">C144+C145+C146+C147+C148+C149+C150</f>
        <v>-32567.79</v>
      </c>
      <c r="D151" s="68" t="n">
        <f aca="false">D144+D145+D146+D147+D148+D149+D150</f>
        <v>-32567.79</v>
      </c>
      <c r="E151" s="68" t="n">
        <f aca="false">E144+E145+E146+E147+E148+E149+E150</f>
        <v>-32567.79</v>
      </c>
      <c r="F151" s="68" t="n">
        <f aca="false">F144+F145+F146+F147+F148+F149+F150</f>
        <v>-32567.79</v>
      </c>
      <c r="G151" s="68" t="n">
        <f aca="false">G144+G145+G146+G147+G148+G149+G150</f>
        <v>-32567.79</v>
      </c>
      <c r="H151" s="68" t="n">
        <f aca="false">H144+H145+H146+H147+H148+H149+H150</f>
        <v>-33546.9</v>
      </c>
      <c r="I151" s="68" t="n">
        <f aca="false">I144+I145+I146+I147+I148+I149+I150</f>
        <v>-33546.9</v>
      </c>
      <c r="J151" s="68" t="n">
        <f aca="false">J144+J145+J146+J147+J148+J149+J150</f>
        <v>-33546.9</v>
      </c>
      <c r="K151" s="68" t="n">
        <f aca="false">K144+K145+K146+K147+K148+K149+K150</f>
        <v>-32567.79</v>
      </c>
      <c r="L151" s="68" t="n">
        <f aca="false">L144+L145+L146+L147+L148+L149+L150</f>
        <v>-32567.79</v>
      </c>
      <c r="M151" s="68" t="n">
        <f aca="false">M144+M145+M146+M147+M148+M149+M150</f>
        <v>-32567.79</v>
      </c>
      <c r="N151" s="68" t="n">
        <f aca="false">N144+N145+N146+N147+N148+N149+N150</f>
        <v>-32567.79</v>
      </c>
      <c r="O151" s="68" t="n">
        <f aca="false">O144+O145+O146+O147+O148+O149+O150</f>
        <v>-35841.553755</v>
      </c>
      <c r="P151" s="68" t="n">
        <f aca="false">P144+P145+P146+P147+P148+P149+P150</f>
        <v>-35841.553755</v>
      </c>
      <c r="Q151" s="68" t="n">
        <f aca="false">Q144+Q145+Q146+Q147+Q148+Q149+Q150</f>
        <v>-35841.553755</v>
      </c>
      <c r="R151" s="68" t="n">
        <f aca="false">R144+R145+R146+R147+R148+R149+R150</f>
        <v>-35841.553755</v>
      </c>
      <c r="S151" s="68" t="n">
        <f aca="false">S144+S145+S146+S147+S148+S149+S150</f>
        <v>-35841.553755</v>
      </c>
      <c r="T151" s="68" t="n">
        <f aca="false">T144+T145+T146+T147+T148+T149+T150</f>
        <v>-36866.40324</v>
      </c>
      <c r="U151" s="68" t="n">
        <f aca="false">U144+U145+U146+U147+U148+U149+U150</f>
        <v>-36866.40324</v>
      </c>
      <c r="V151" s="68" t="n">
        <f aca="false">V144+V145+V146+V147+V148+V149+V150</f>
        <v>-36866.40324</v>
      </c>
      <c r="W151" s="68" t="n">
        <f aca="false">W144+W145+W146+W147+W148+W149+W150</f>
        <v>-35841.553755</v>
      </c>
      <c r="X151" s="68" t="n">
        <f aca="false">X144+X145+X146+X147+X148+X149+X150</f>
        <v>-35841.553755</v>
      </c>
      <c r="Y151" s="68" t="n">
        <f aca="false">Y144+Y145+Y146+Y147+Y148+Y149+Y150</f>
        <v>-35841.553755</v>
      </c>
      <c r="Z151" s="68" t="n">
        <f aca="false">Z144+Z145+Z146+Z147+Z148+Z149+Z150</f>
        <v>-35841.553755</v>
      </c>
      <c r="AA151" s="68" t="n">
        <f aca="false">AA144+AA145+AA146+AA147+AA148+AA149+AA150</f>
        <v>-39609.7986492975</v>
      </c>
      <c r="AB151" s="68" t="n">
        <f aca="false">AB144+AB145+AB146+AB147+AB148+AB149+AB150</f>
        <v>-39609.7986492975</v>
      </c>
      <c r="AC151" s="68" t="n">
        <f aca="false">AC144+AC145+AC146+AC147+AC148+AC149+AC150</f>
        <v>-39609.7986492975</v>
      </c>
      <c r="AD151" s="68" t="n">
        <f aca="false">AD144+AD145+AD146+AD147+AD148+AD149+AD150</f>
        <v>-39609.7986492975</v>
      </c>
      <c r="AE151" s="68" t="n">
        <f aca="false">AE144+AE145+AE146+AE147+AE148+AE149+AE150</f>
        <v>-39609.7986492975</v>
      </c>
      <c r="AF151" s="68" t="n">
        <f aca="false">AF144+AF145+AF146+AF147+AF148+AF149+AF150</f>
        <v>-40668.104945064</v>
      </c>
      <c r="AG151" s="68" t="n">
        <f aca="false">AG144+AG145+AG146+AG147+AG148+AG149+AG150</f>
        <v>-40668.104945064</v>
      </c>
      <c r="AH151" s="68" t="n">
        <f aca="false">AH144+AH145+AH146+AH147+AH148+AH149+AH150</f>
        <v>-40668.104945064</v>
      </c>
      <c r="AI151" s="68" t="n">
        <f aca="false">AI144+AI145+AI146+AI147+AI148+AI149+AI150</f>
        <v>-39609.7986492975</v>
      </c>
      <c r="AJ151" s="68" t="n">
        <f aca="false">AJ144+AJ145+AJ146+AJ147+AJ148+AJ149+AJ150</f>
        <v>-39609.7986492975</v>
      </c>
      <c r="AK151" s="68" t="n">
        <f aca="false">AK144+AK145+AK146+AK147+AK148+AK149+AK150</f>
        <v>-39609.7986492975</v>
      </c>
      <c r="AL151" s="68" t="n">
        <f aca="false">AL144+AL145+AL146+AL147+AL148+AL149+AL150</f>
        <v>-39609.7986492975</v>
      </c>
    </row>
    <row r="152" customFormat="false" ht="15" hidden="false" customHeight="false" outlineLevel="0" collapsed="false">
      <c r="A152" s="113" t="s">
        <v>48</v>
      </c>
      <c r="C152" s="68" t="n">
        <f aca="false">C141+C151</f>
        <v>15618.0433333333</v>
      </c>
      <c r="D152" s="68" t="n">
        <f aca="false">D141+D151</f>
        <v>15618.0433333333</v>
      </c>
      <c r="E152" s="68" t="n">
        <f aca="false">E141+E151</f>
        <v>15618.0433333333</v>
      </c>
      <c r="F152" s="68" t="n">
        <f aca="false">F141+F151</f>
        <v>15618.0433333333</v>
      </c>
      <c r="G152" s="68" t="n">
        <f aca="false">G141+G151</f>
        <v>15618.0433333333</v>
      </c>
      <c r="H152" s="68" t="n">
        <f aca="false">H141+H151</f>
        <v>41836.4333333333</v>
      </c>
      <c r="I152" s="68" t="n">
        <f aca="false">I141+I151</f>
        <v>41836.4333333333</v>
      </c>
      <c r="J152" s="68" t="n">
        <f aca="false">J141+J151</f>
        <v>41836.4333333333</v>
      </c>
      <c r="K152" s="68" t="n">
        <f aca="false">K141+K151</f>
        <v>15618.0433333333</v>
      </c>
      <c r="L152" s="68" t="n">
        <f aca="false">L141+L151</f>
        <v>15618.0433333333</v>
      </c>
      <c r="M152" s="68" t="n">
        <f aca="false">M141+M151</f>
        <v>15618.0433333333</v>
      </c>
      <c r="N152" s="68" t="n">
        <f aca="false">N141+N151</f>
        <v>15618.0433333333</v>
      </c>
      <c r="O152" s="68" t="n">
        <f aca="false">O141+O151</f>
        <v>23353.8983283333</v>
      </c>
      <c r="P152" s="68" t="n">
        <f aca="false">P141+P151</f>
        <v>23353.8983283333</v>
      </c>
      <c r="Q152" s="68" t="n">
        <f aca="false">Q141+Q151</f>
        <v>23353.8983283333</v>
      </c>
      <c r="R152" s="68" t="n">
        <f aca="false">R141+R151</f>
        <v>23353.8983283333</v>
      </c>
      <c r="S152" s="68" t="n">
        <f aca="false">S141+S151</f>
        <v>23353.8983283333</v>
      </c>
      <c r="T152" s="68" t="n">
        <f aca="false">T141+T151</f>
        <v>50797.0900933333</v>
      </c>
      <c r="U152" s="68" t="n">
        <f aca="false">U141+U151</f>
        <v>50797.0900933333</v>
      </c>
      <c r="V152" s="68" t="n">
        <f aca="false">V141+V151</f>
        <v>50797.0900933333</v>
      </c>
      <c r="W152" s="68" t="n">
        <f aca="false">W141+W151</f>
        <v>23353.8983283333</v>
      </c>
      <c r="X152" s="68" t="n">
        <f aca="false">X141+X151</f>
        <v>23353.8983283333</v>
      </c>
      <c r="Y152" s="68" t="n">
        <f aca="false">Y141+Y151</f>
        <v>23353.8983283333</v>
      </c>
      <c r="Z152" s="68" t="n">
        <f aca="false">Z141+Z151</f>
        <v>23353.8983283333</v>
      </c>
      <c r="AA152" s="68" t="n">
        <f aca="false">AA141+AA151</f>
        <v>32952.7240754108</v>
      </c>
      <c r="AB152" s="68" t="n">
        <f aca="false">AB141+AB151</f>
        <v>32952.7240754108</v>
      </c>
      <c r="AC152" s="68" t="n">
        <f aca="false">AC141+AC151</f>
        <v>32952.7240754108</v>
      </c>
      <c r="AD152" s="68" t="n">
        <f aca="false">AD141+AD151</f>
        <v>32952.7240754108</v>
      </c>
      <c r="AE152" s="68" t="n">
        <f aca="false">AE141+AE151</f>
        <v>32952.7240754108</v>
      </c>
      <c r="AF152" s="68" t="n">
        <f aca="false">AF141+AF151</f>
        <v>61291.8148842693</v>
      </c>
      <c r="AG152" s="68" t="n">
        <f aca="false">AG141+AG151</f>
        <v>61291.8148842693</v>
      </c>
      <c r="AH152" s="68" t="n">
        <f aca="false">AH141+AH151</f>
        <v>61291.8148842693</v>
      </c>
      <c r="AI152" s="68" t="n">
        <f aca="false">AI141+AI151</f>
        <v>32952.7240754108</v>
      </c>
      <c r="AJ152" s="68" t="n">
        <f aca="false">AJ141+AJ151</f>
        <v>32952.7240754108</v>
      </c>
      <c r="AK152" s="68" t="n">
        <f aca="false">AK141+AK151</f>
        <v>32952.7240754108</v>
      </c>
      <c r="AL152" s="68" t="n">
        <f aca="false">AL141+AL151</f>
        <v>32952.7240754108</v>
      </c>
    </row>
    <row r="154" customFormat="false" ht="15.75" hidden="false" customHeight="true" outlineLevel="0" collapsed="false">
      <c r="A154" s="7" t="s">
        <v>387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customFormat="false" ht="15" hidden="false" customHeight="false" outlineLevel="0" collapsed="false">
      <c r="A155" s="4" t="s">
        <v>78</v>
      </c>
      <c r="C155" s="73" t="n">
        <f aca="false">C152+C166</f>
        <v>15284.71</v>
      </c>
      <c r="D155" s="73" t="n">
        <f aca="false">D152+D166</f>
        <v>15284.71</v>
      </c>
      <c r="E155" s="73" t="n">
        <f aca="false">E152+E166</f>
        <v>15284.71</v>
      </c>
      <c r="F155" s="73" t="n">
        <f aca="false">F152+F166</f>
        <v>15284.71</v>
      </c>
      <c r="G155" s="73" t="n">
        <f aca="false">G152+G166</f>
        <v>15284.71</v>
      </c>
      <c r="H155" s="73" t="n">
        <f aca="false">H152+H166</f>
        <v>41503.1</v>
      </c>
      <c r="I155" s="73" t="n">
        <f aca="false">I152+I166</f>
        <v>41503.1</v>
      </c>
      <c r="J155" s="73" t="n">
        <f aca="false">J152+J166</f>
        <v>41503.1</v>
      </c>
      <c r="K155" s="73" t="n">
        <f aca="false">K152+K166</f>
        <v>15284.71</v>
      </c>
      <c r="L155" s="73" t="n">
        <f aca="false">L152+L166</f>
        <v>15284.71</v>
      </c>
      <c r="M155" s="73" t="n">
        <f aca="false">M152+M166</f>
        <v>15284.71</v>
      </c>
      <c r="N155" s="73" t="n">
        <f aca="false">N152+N166</f>
        <v>15284.71</v>
      </c>
      <c r="O155" s="73" t="n">
        <f aca="false">O152+O166</f>
        <v>22390.564995</v>
      </c>
      <c r="P155" s="73" t="n">
        <f aca="false">P152+P166</f>
        <v>22390.564995</v>
      </c>
      <c r="Q155" s="73" t="n">
        <f aca="false">Q152+Q166</f>
        <v>22390.564995</v>
      </c>
      <c r="R155" s="73" t="n">
        <f aca="false">R152+R166</f>
        <v>22390.564995</v>
      </c>
      <c r="S155" s="73" t="n">
        <f aca="false">S152+S166</f>
        <v>22390.564995</v>
      </c>
      <c r="T155" s="73" t="n">
        <f aca="false">T152+T166</f>
        <v>49833.75676</v>
      </c>
      <c r="U155" s="73" t="n">
        <f aca="false">U152+U166</f>
        <v>49833.75676</v>
      </c>
      <c r="V155" s="73" t="n">
        <f aca="false">V152+V166</f>
        <v>49833.75676</v>
      </c>
      <c r="W155" s="73" t="n">
        <f aca="false">W152+W166</f>
        <v>22390.564995</v>
      </c>
      <c r="X155" s="73" t="n">
        <f aca="false">X152+X166</f>
        <v>22390.564995</v>
      </c>
      <c r="Y155" s="73" t="n">
        <f aca="false">Y152+Y166</f>
        <v>22390.564995</v>
      </c>
      <c r="Z155" s="73" t="n">
        <f aca="false">Z152+Z166</f>
        <v>22390.564995</v>
      </c>
      <c r="AA155" s="73" t="n">
        <f aca="false">AA152+AA166</f>
        <v>31283.7907420775</v>
      </c>
      <c r="AB155" s="73" t="n">
        <f aca="false">AB152+AB166</f>
        <v>31283.7907420775</v>
      </c>
      <c r="AC155" s="73" t="n">
        <f aca="false">AC152+AC166</f>
        <v>31283.7907420775</v>
      </c>
      <c r="AD155" s="73" t="n">
        <f aca="false">AD152+AD166</f>
        <v>31283.7907420775</v>
      </c>
      <c r="AE155" s="73" t="n">
        <f aca="false">AE152+AE166</f>
        <v>31283.7907420775</v>
      </c>
      <c r="AF155" s="73" t="n">
        <f aca="false">AF152+AF166</f>
        <v>59622.881550936</v>
      </c>
      <c r="AG155" s="73" t="n">
        <f aca="false">AG152+AG166</f>
        <v>59622.881550936</v>
      </c>
      <c r="AH155" s="73" t="n">
        <f aca="false">AH152+AH166</f>
        <v>59622.881550936</v>
      </c>
      <c r="AI155" s="73" t="n">
        <f aca="false">AI152+AI166</f>
        <v>31283.7907420775</v>
      </c>
      <c r="AJ155" s="73" t="n">
        <f aca="false">AJ152+AJ166</f>
        <v>31283.7907420775</v>
      </c>
      <c r="AK155" s="73" t="n">
        <f aca="false">AK152+AK166</f>
        <v>31283.7907420775</v>
      </c>
      <c r="AL155" s="73" t="n">
        <f aca="false">AL152+AL166</f>
        <v>31283.7907420775</v>
      </c>
    </row>
    <row r="156" customFormat="false" ht="15" hidden="false" customHeight="false" outlineLevel="0" collapsed="false">
      <c r="A156" s="6" t="s">
        <v>388</v>
      </c>
      <c r="C156" s="67" t="n">
        <f aca="false">-(C171+C172+C174)/2*Inputs!$C$56/12</f>
        <v>-1666.66666666667</v>
      </c>
      <c r="D156" s="67" t="n">
        <f aca="false">-(D171+D172+D174)/2*Inputs!$C$56/12</f>
        <v>-1652.77777777778</v>
      </c>
      <c r="E156" s="67" t="n">
        <f aca="false">-(E171+E172+E174)/2*Inputs!$C$56/12</f>
        <v>-1625</v>
      </c>
      <c r="F156" s="67" t="n">
        <f aca="false">-(F171+F172+F174)/2*Inputs!$C$56/12</f>
        <v>-1597.22222222222</v>
      </c>
      <c r="G156" s="67" t="n">
        <f aca="false">-(G171+G172+G174)/2*Inputs!$C$56/12</f>
        <v>-1569.44444444444</v>
      </c>
      <c r="H156" s="67" t="n">
        <f aca="false">-(H171+H172+H174)/2*Inputs!$C$56/12</f>
        <v>-1541.66666666667</v>
      </c>
      <c r="I156" s="67" t="n">
        <f aca="false">-(I171+I172+I174)/2*Inputs!$C$56/12</f>
        <v>-1513.88888888889</v>
      </c>
      <c r="J156" s="67" t="n">
        <f aca="false">-(J171+J172+J174)/2*Inputs!$C$56/12</f>
        <v>-1486.11111111111</v>
      </c>
      <c r="K156" s="67" t="n">
        <f aca="false">-(K171+K172+K174)/2*Inputs!$C$56/12</f>
        <v>-1458.33333333333</v>
      </c>
      <c r="L156" s="67" t="n">
        <f aca="false">-(L171+L172+L174)/2*Inputs!$C$56/12</f>
        <v>-1430.55555555556</v>
      </c>
      <c r="M156" s="67" t="n">
        <f aca="false">-(M171+M172+M174)/2*Inputs!$C$56/12</f>
        <v>-1402.77777777778</v>
      </c>
      <c r="N156" s="67" t="n">
        <f aca="false">-(N171+N172+N174)/2*Inputs!$C$56/12</f>
        <v>-1375</v>
      </c>
      <c r="O156" s="67" t="n">
        <f aca="false">-(O171+O172+O174)/2*Inputs!$C$56/12</f>
        <v>-1347.22222222222</v>
      </c>
      <c r="P156" s="67" t="n">
        <f aca="false">-(P171+P172+P174)/2*Inputs!$C$56/12</f>
        <v>-1319.44444444445</v>
      </c>
      <c r="Q156" s="67" t="n">
        <f aca="false">-(Q171+Q172+Q174)/2*Inputs!$C$56/12</f>
        <v>-1291.66666666667</v>
      </c>
      <c r="R156" s="67" t="n">
        <f aca="false">-(R171+R172+R174)/2*Inputs!$C$56/12</f>
        <v>-1263.88888888889</v>
      </c>
      <c r="S156" s="67" t="n">
        <f aca="false">-(S171+S172+S174)/2*Inputs!$C$56/12</f>
        <v>-1236.11111111111</v>
      </c>
      <c r="T156" s="67" t="n">
        <f aca="false">-(T171+T172+T174)/2*Inputs!$C$56/12</f>
        <v>-1208.33333333333</v>
      </c>
      <c r="U156" s="67" t="n">
        <f aca="false">-(U171+U172+U174)/2*Inputs!$C$56/12</f>
        <v>-1180.55555555556</v>
      </c>
      <c r="V156" s="67" t="n">
        <f aca="false">-(V171+V172+V174)/2*Inputs!$C$56/12</f>
        <v>-1152.77777777778</v>
      </c>
      <c r="W156" s="67" t="n">
        <f aca="false">-(W171+W172+W174)/2*Inputs!$C$56/12</f>
        <v>-1125</v>
      </c>
      <c r="X156" s="67" t="n">
        <f aca="false">-(X171+X172+X174)/2*Inputs!$C$56/12</f>
        <v>-1097.22222222222</v>
      </c>
      <c r="Y156" s="67" t="n">
        <f aca="false">-(Y171+Y172+Y174)/2*Inputs!$C$56/12</f>
        <v>-1069.44444444445</v>
      </c>
      <c r="Z156" s="67" t="n">
        <f aca="false">-(Z171+Z172+Z174)/2*Inputs!$C$56/12</f>
        <v>-1041.66666666667</v>
      </c>
      <c r="AA156" s="67" t="n">
        <f aca="false">-(AA171+AA172+AA174)/2*Inputs!$C$56/12</f>
        <v>-1013.88888888889</v>
      </c>
      <c r="AB156" s="67" t="n">
        <f aca="false">-(AB171+AB172+AB174)/2*Inputs!$C$56/12</f>
        <v>-986.111111111113</v>
      </c>
      <c r="AC156" s="67" t="n">
        <f aca="false">-(AC171+AC172+AC174)/2*Inputs!$C$56/12</f>
        <v>-958.333333333335</v>
      </c>
      <c r="AD156" s="67" t="n">
        <f aca="false">-(AD171+AD172+AD174)/2*Inputs!$C$56/12</f>
        <v>-930.555555555557</v>
      </c>
      <c r="AE156" s="67" t="n">
        <f aca="false">-(AE171+AE172+AE174)/2*Inputs!$C$56/12</f>
        <v>-902.77777777778</v>
      </c>
      <c r="AF156" s="67" t="n">
        <f aca="false">-(AF171+AF172+AF174)/2*Inputs!$C$56/12</f>
        <v>-875.000000000002</v>
      </c>
      <c r="AG156" s="67" t="n">
        <f aca="false">-(AG171+AG172+AG174)/2*Inputs!$C$56/12</f>
        <v>-847.222222222224</v>
      </c>
      <c r="AH156" s="67" t="n">
        <f aca="false">-(AH171+AH172+AH174)/2*Inputs!$C$56/12</f>
        <v>-819.444444444446</v>
      </c>
      <c r="AI156" s="67" t="n">
        <f aca="false">-(AI171+AI172+AI174)/2*Inputs!$C$56/12</f>
        <v>-791.666666666668</v>
      </c>
      <c r="AJ156" s="67" t="n">
        <f aca="false">-(AJ171+AJ172+AJ174)/2*Inputs!$C$56/12</f>
        <v>-763.888888888891</v>
      </c>
      <c r="AK156" s="67" t="n">
        <f aca="false">-(AK171+AK172+AK174)/2*Inputs!$C$56/12</f>
        <v>-736.111111111113</v>
      </c>
      <c r="AL156" s="67" t="n">
        <f aca="false">-(AL171+AL172+AL174)/2*Inputs!$C$56/12</f>
        <v>-708.333333333335</v>
      </c>
    </row>
    <row r="157" customFormat="false" ht="15" hidden="false" customHeight="false" outlineLevel="0" collapsed="false">
      <c r="A157" s="113" t="s">
        <v>80</v>
      </c>
      <c r="C157" s="68" t="n">
        <f aca="false">C155+C156</f>
        <v>13618.0433333333</v>
      </c>
      <c r="D157" s="68" t="n">
        <f aca="false">D155+D156</f>
        <v>13631.9322222222</v>
      </c>
      <c r="E157" s="68" t="n">
        <f aca="false">E155+E156</f>
        <v>13659.71</v>
      </c>
      <c r="F157" s="68" t="n">
        <f aca="false">F155+F156</f>
        <v>13687.4877777778</v>
      </c>
      <c r="G157" s="68" t="n">
        <f aca="false">G155+G156</f>
        <v>13715.2655555555</v>
      </c>
      <c r="H157" s="68" t="n">
        <f aca="false">H155+H156</f>
        <v>39961.4333333333</v>
      </c>
      <c r="I157" s="68" t="n">
        <f aca="false">I155+I156</f>
        <v>39989.2111111111</v>
      </c>
      <c r="J157" s="68" t="n">
        <f aca="false">J155+J156</f>
        <v>40016.9888888889</v>
      </c>
      <c r="K157" s="68" t="n">
        <f aca="false">K155+K156</f>
        <v>13826.3766666667</v>
      </c>
      <c r="L157" s="68" t="n">
        <f aca="false">L155+L156</f>
        <v>13854.1544444444</v>
      </c>
      <c r="M157" s="68" t="n">
        <f aca="false">M155+M156</f>
        <v>13881.9322222222</v>
      </c>
      <c r="N157" s="68" t="n">
        <f aca="false">N155+N156</f>
        <v>13909.71</v>
      </c>
      <c r="O157" s="68" t="n">
        <f aca="false">O155+O156</f>
        <v>21043.3427727778</v>
      </c>
      <c r="P157" s="68" t="n">
        <f aca="false">P155+P156</f>
        <v>21071.1205505555</v>
      </c>
      <c r="Q157" s="68" t="n">
        <f aca="false">Q155+Q156</f>
        <v>21098.8983283333</v>
      </c>
      <c r="R157" s="68" t="n">
        <f aca="false">R155+R156</f>
        <v>21126.6761061111</v>
      </c>
      <c r="S157" s="68" t="n">
        <f aca="false">S155+S156</f>
        <v>21154.4538838889</v>
      </c>
      <c r="T157" s="68" t="n">
        <f aca="false">T155+T156</f>
        <v>48625.4234266667</v>
      </c>
      <c r="U157" s="68" t="n">
        <f aca="false">U155+U156</f>
        <v>48653.2012044444</v>
      </c>
      <c r="V157" s="68" t="n">
        <f aca="false">V155+V156</f>
        <v>48680.9789822222</v>
      </c>
      <c r="W157" s="68" t="n">
        <f aca="false">W155+W156</f>
        <v>21265.564995</v>
      </c>
      <c r="X157" s="68" t="n">
        <f aca="false">X155+X156</f>
        <v>21293.3427727778</v>
      </c>
      <c r="Y157" s="68" t="n">
        <f aca="false">Y155+Y156</f>
        <v>21321.1205505555</v>
      </c>
      <c r="Z157" s="68" t="n">
        <f aca="false">Z155+Z156</f>
        <v>21348.8983283333</v>
      </c>
      <c r="AA157" s="68" t="n">
        <f aca="false">AA155+AA156</f>
        <v>30269.9018531886</v>
      </c>
      <c r="AB157" s="68" t="n">
        <f aca="false">AB155+AB156</f>
        <v>30297.6796309664</v>
      </c>
      <c r="AC157" s="68" t="n">
        <f aca="false">AC155+AC156</f>
        <v>30325.4574087442</v>
      </c>
      <c r="AD157" s="68" t="n">
        <f aca="false">AD155+AD156</f>
        <v>30353.2351865219</v>
      </c>
      <c r="AE157" s="68" t="n">
        <f aca="false">AE155+AE156</f>
        <v>30381.0129642997</v>
      </c>
      <c r="AF157" s="68" t="n">
        <f aca="false">AF155+AF156</f>
        <v>58747.881550936</v>
      </c>
      <c r="AG157" s="68" t="n">
        <f aca="false">AG155+AG156</f>
        <v>58775.6593287138</v>
      </c>
      <c r="AH157" s="68" t="n">
        <f aca="false">AH155+AH156</f>
        <v>58803.4371064916</v>
      </c>
      <c r="AI157" s="68" t="n">
        <f aca="false">AI155+AI156</f>
        <v>30492.1240754108</v>
      </c>
      <c r="AJ157" s="68" t="n">
        <f aca="false">AJ155+AJ156</f>
        <v>30519.9018531886</v>
      </c>
      <c r="AK157" s="68" t="n">
        <f aca="false">AK155+AK156</f>
        <v>30547.6796309664</v>
      </c>
      <c r="AL157" s="68" t="n">
        <f aca="false">AL155+AL156</f>
        <v>30575.4574087442</v>
      </c>
    </row>
    <row r="158" customFormat="false" ht="15" hidden="false" customHeight="false" outlineLevel="0" collapsed="false">
      <c r="A158" s="121" t="s">
        <v>389</v>
      </c>
      <c r="C158" s="67" t="n">
        <f aca="false">C157</f>
        <v>13618.0433333333</v>
      </c>
      <c r="D158" s="67" t="n">
        <f aca="false">C158+D157</f>
        <v>27249.9755555555</v>
      </c>
      <c r="E158" s="67" t="n">
        <f aca="false">D158+E157</f>
        <v>40909.6855555555</v>
      </c>
      <c r="F158" s="67" t="n">
        <f aca="false">E158+F157</f>
        <v>54597.1733333333</v>
      </c>
      <c r="G158" s="67" t="n">
        <f aca="false">F158+G157</f>
        <v>68312.4388888889</v>
      </c>
      <c r="H158" s="67" t="n">
        <f aca="false">G158+H157</f>
        <v>108273.872222222</v>
      </c>
      <c r="I158" s="67" t="n">
        <f aca="false">H158+I157</f>
        <v>148263.083333333</v>
      </c>
      <c r="J158" s="67" t="n">
        <f aca="false">I158+J157</f>
        <v>188280.072222222</v>
      </c>
      <c r="K158" s="67" t="n">
        <f aca="false">J158+K157</f>
        <v>202106.448888889</v>
      </c>
      <c r="L158" s="67" t="n">
        <f aca="false">K158+L157</f>
        <v>215960.603333333</v>
      </c>
      <c r="M158" s="67" t="n">
        <f aca="false">L158+M157</f>
        <v>229842.535555556</v>
      </c>
      <c r="N158" s="67" t="n">
        <f aca="false">M158+N157</f>
        <v>243752.245555556</v>
      </c>
      <c r="O158" s="67" t="n">
        <f aca="false">N158+O157</f>
        <v>264795.588328333</v>
      </c>
      <c r="P158" s="67" t="n">
        <f aca="false">O158+P157</f>
        <v>285866.708878889</v>
      </c>
      <c r="Q158" s="67" t="n">
        <f aca="false">P158+Q157</f>
        <v>306965.607207222</v>
      </c>
      <c r="R158" s="67" t="n">
        <f aca="false">Q158+R157</f>
        <v>328092.283313333</v>
      </c>
      <c r="S158" s="67" t="n">
        <f aca="false">R158+S157</f>
        <v>349246.737197222</v>
      </c>
      <c r="T158" s="67" t="n">
        <f aca="false">S158+T157</f>
        <v>397872.160623889</v>
      </c>
      <c r="U158" s="67" t="n">
        <f aca="false">T158+U157</f>
        <v>446525.361828333</v>
      </c>
      <c r="V158" s="67" t="n">
        <f aca="false">U158+V157</f>
        <v>495206.340810555</v>
      </c>
      <c r="W158" s="67" t="n">
        <f aca="false">V158+W157</f>
        <v>516471.905805555</v>
      </c>
      <c r="X158" s="67" t="n">
        <f aca="false">W158+X157</f>
        <v>537765.248578333</v>
      </c>
      <c r="Y158" s="67" t="n">
        <f aca="false">X158+Y157</f>
        <v>559086.369128889</v>
      </c>
      <c r="Z158" s="67" t="n">
        <f aca="false">Y158+Z157</f>
        <v>580435.267457222</v>
      </c>
      <c r="AA158" s="67" t="n">
        <f aca="false">Z158+AA157</f>
        <v>610705.169310411</v>
      </c>
      <c r="AB158" s="67" t="n">
        <f aca="false">AA158+AB157</f>
        <v>641002.848941377</v>
      </c>
      <c r="AC158" s="67" t="n">
        <f aca="false">AB158+AC157</f>
        <v>671328.306350121</v>
      </c>
      <c r="AD158" s="67" t="n">
        <f aca="false">AC158+AD157</f>
        <v>701681.541536643</v>
      </c>
      <c r="AE158" s="67" t="n">
        <f aca="false">AD158+AE157</f>
        <v>732062.554500943</v>
      </c>
      <c r="AF158" s="67" t="n">
        <f aca="false">AE158+AF157</f>
        <v>790810.436051879</v>
      </c>
      <c r="AG158" s="67" t="n">
        <f aca="false">AF158+AG157</f>
        <v>849586.095380593</v>
      </c>
      <c r="AH158" s="67" t="n">
        <f aca="false">AG158+AH157</f>
        <v>908389.532487084</v>
      </c>
      <c r="AI158" s="67" t="n">
        <f aca="false">AH158+AI157</f>
        <v>938881.656562495</v>
      </c>
      <c r="AJ158" s="67" t="n">
        <f aca="false">AI158+AJ157</f>
        <v>969401.558415684</v>
      </c>
      <c r="AK158" s="67" t="n">
        <f aca="false">AJ158+AK157</f>
        <v>999949.23804665</v>
      </c>
      <c r="AL158" s="67" t="n">
        <f aca="false">AK158+AL157</f>
        <v>1030524.69545539</v>
      </c>
    </row>
    <row r="159" customFormat="false" ht="15" hidden="false" customHeight="false" outlineLevel="0" collapsed="false">
      <c r="A159" s="121" t="s">
        <v>390</v>
      </c>
      <c r="C159" s="67" t="n">
        <f aca="false">MAX(0,C158)</f>
        <v>13618.0433333333</v>
      </c>
      <c r="D159" s="67" t="n">
        <f aca="false">MAX(C159,D158)</f>
        <v>27249.9755555555</v>
      </c>
      <c r="E159" s="67" t="n">
        <f aca="false">MAX(D159,E158)</f>
        <v>40909.6855555555</v>
      </c>
      <c r="F159" s="67" t="n">
        <f aca="false">MAX(E159,F158)</f>
        <v>54597.1733333333</v>
      </c>
      <c r="G159" s="67" t="n">
        <f aca="false">MAX(F159,G158)</f>
        <v>68312.4388888889</v>
      </c>
      <c r="H159" s="67" t="n">
        <f aca="false">MAX(G159,H158)</f>
        <v>108273.872222222</v>
      </c>
      <c r="I159" s="67" t="n">
        <f aca="false">MAX(H159,I158)</f>
        <v>148263.083333333</v>
      </c>
      <c r="J159" s="67" t="n">
        <f aca="false">MAX(I159,J158)</f>
        <v>188280.072222222</v>
      </c>
      <c r="K159" s="67" t="n">
        <f aca="false">MAX(J159,K158)</f>
        <v>202106.448888889</v>
      </c>
      <c r="L159" s="67" t="n">
        <f aca="false">MAX(K159,L158)</f>
        <v>215960.603333333</v>
      </c>
      <c r="M159" s="67" t="n">
        <f aca="false">MAX(L159,M158)</f>
        <v>229842.535555556</v>
      </c>
      <c r="N159" s="67" t="n">
        <f aca="false">MAX(M159,N158)</f>
        <v>243752.245555556</v>
      </c>
      <c r="O159" s="67" t="n">
        <f aca="false">MAX(N159,O158)</f>
        <v>264795.588328333</v>
      </c>
      <c r="P159" s="67" t="n">
        <f aca="false">MAX(O159,P158)</f>
        <v>285866.708878889</v>
      </c>
      <c r="Q159" s="67" t="n">
        <f aca="false">MAX(P159,Q158)</f>
        <v>306965.607207222</v>
      </c>
      <c r="R159" s="67" t="n">
        <f aca="false">MAX(Q159,R158)</f>
        <v>328092.283313333</v>
      </c>
      <c r="S159" s="67" t="n">
        <f aca="false">MAX(R159,S158)</f>
        <v>349246.737197222</v>
      </c>
      <c r="T159" s="67" t="n">
        <f aca="false">MAX(S159,T158)</f>
        <v>397872.160623889</v>
      </c>
      <c r="U159" s="67" t="n">
        <f aca="false">MAX(T159,U158)</f>
        <v>446525.361828333</v>
      </c>
      <c r="V159" s="67" t="n">
        <f aca="false">MAX(U159,V158)</f>
        <v>495206.340810555</v>
      </c>
      <c r="W159" s="67" t="n">
        <f aca="false">MAX(V159,W158)</f>
        <v>516471.905805555</v>
      </c>
      <c r="X159" s="67" t="n">
        <f aca="false">MAX(W159,X158)</f>
        <v>537765.248578333</v>
      </c>
      <c r="Y159" s="67" t="n">
        <f aca="false">MAX(X159,Y158)</f>
        <v>559086.369128889</v>
      </c>
      <c r="Z159" s="67" t="n">
        <f aca="false">MAX(Y159,Z158)</f>
        <v>580435.267457222</v>
      </c>
      <c r="AA159" s="67" t="n">
        <f aca="false">MAX(Z159,AA158)</f>
        <v>610705.169310411</v>
      </c>
      <c r="AB159" s="67" t="n">
        <f aca="false">MAX(AA159,AB158)</f>
        <v>641002.848941377</v>
      </c>
      <c r="AC159" s="67" t="n">
        <f aca="false">MAX(AB159,AC158)</f>
        <v>671328.306350121</v>
      </c>
      <c r="AD159" s="67" t="n">
        <f aca="false">MAX(AC159,AD158)</f>
        <v>701681.541536643</v>
      </c>
      <c r="AE159" s="67" t="n">
        <f aca="false">MAX(AD159,AE158)</f>
        <v>732062.554500943</v>
      </c>
      <c r="AF159" s="67" t="n">
        <f aca="false">MAX(AE159,AF158)</f>
        <v>790810.436051879</v>
      </c>
      <c r="AG159" s="67" t="n">
        <f aca="false">MAX(AF159,AG158)</f>
        <v>849586.095380593</v>
      </c>
      <c r="AH159" s="67" t="n">
        <f aca="false">MAX(AG159,AH158)</f>
        <v>908389.532487084</v>
      </c>
      <c r="AI159" s="67" t="n">
        <f aca="false">MAX(AH159,AI158)</f>
        <v>938881.656562495</v>
      </c>
      <c r="AJ159" s="67" t="n">
        <f aca="false">MAX(AI159,AJ158)</f>
        <v>969401.558415684</v>
      </c>
      <c r="AK159" s="67" t="n">
        <f aca="false">MAX(AJ159,AK158)</f>
        <v>999949.23804665</v>
      </c>
      <c r="AL159" s="67" t="n">
        <f aca="false">MAX(AK159,AL158)</f>
        <v>1030524.69545539</v>
      </c>
    </row>
    <row r="160" customFormat="false" ht="15" hidden="false" customHeight="false" outlineLevel="0" collapsed="false">
      <c r="A160" s="6" t="s">
        <v>81</v>
      </c>
      <c r="C160" s="67" t="n">
        <f aca="false">-C159*Inputs!$C$66</f>
        <v>-2859.7891</v>
      </c>
      <c r="D160" s="67" t="n">
        <f aca="false">-(D159-C159)*Inputs!$C$66</f>
        <v>-2862.70576666667</v>
      </c>
      <c r="E160" s="67" t="n">
        <f aca="false">-(E159-D159)*Inputs!$C$66</f>
        <v>-2868.5391</v>
      </c>
      <c r="F160" s="67" t="n">
        <f aca="false">-(F159-E159)*Inputs!$C$66</f>
        <v>-2874.37243333333</v>
      </c>
      <c r="G160" s="67" t="n">
        <f aca="false">-(G159-F159)*Inputs!$C$66</f>
        <v>-2880.20576666667</v>
      </c>
      <c r="H160" s="67" t="n">
        <f aca="false">-(H159-G159)*Inputs!$C$66</f>
        <v>-8391.901</v>
      </c>
      <c r="I160" s="67" t="n">
        <f aca="false">-(I159-H159)*Inputs!$C$66</f>
        <v>-8397.73433333333</v>
      </c>
      <c r="J160" s="67" t="n">
        <f aca="false">-(J159-I159)*Inputs!$C$66</f>
        <v>-8403.56766666667</v>
      </c>
      <c r="K160" s="67" t="n">
        <f aca="false">-(K159-J159)*Inputs!$C$66</f>
        <v>-2903.5391</v>
      </c>
      <c r="L160" s="67" t="n">
        <f aca="false">-(L159-K159)*Inputs!$C$66</f>
        <v>-2909.37243333333</v>
      </c>
      <c r="M160" s="67" t="n">
        <f aca="false">-(M159-L159)*Inputs!$C$66</f>
        <v>-2915.20576666666</v>
      </c>
      <c r="N160" s="67" t="n">
        <f aca="false">-(N159-M159)*Inputs!$C$66</f>
        <v>-2921.0391</v>
      </c>
      <c r="O160" s="67" t="n">
        <f aca="false">-(O159-N159)*Inputs!$C$66</f>
        <v>-4419.10198228333</v>
      </c>
      <c r="P160" s="67" t="n">
        <f aca="false">-(P159-O159)*Inputs!$C$66</f>
        <v>-4424.93531561666</v>
      </c>
      <c r="Q160" s="67" t="n">
        <f aca="false">-(Q159-P159)*Inputs!$C$66</f>
        <v>-4430.76864895</v>
      </c>
      <c r="R160" s="67" t="n">
        <f aca="false">-(R159-Q159)*Inputs!$C$66</f>
        <v>-4436.60198228333</v>
      </c>
      <c r="S160" s="67" t="n">
        <f aca="false">-(S159-R159)*Inputs!$C$66</f>
        <v>-4442.43531561667</v>
      </c>
      <c r="T160" s="67" t="n">
        <f aca="false">-(T159-S159)*Inputs!$C$66</f>
        <v>-10211.3389196</v>
      </c>
      <c r="U160" s="67" t="n">
        <f aca="false">-(U159-T159)*Inputs!$C$66</f>
        <v>-10217.1722529333</v>
      </c>
      <c r="V160" s="67" t="n">
        <f aca="false">-(V159-U159)*Inputs!$C$66</f>
        <v>-10223.0055862667</v>
      </c>
      <c r="W160" s="67" t="n">
        <f aca="false">-(W159-V159)*Inputs!$C$66</f>
        <v>-4465.76864894999</v>
      </c>
      <c r="X160" s="67" t="n">
        <f aca="false">-(X159-W159)*Inputs!$C$66</f>
        <v>-4471.60198228333</v>
      </c>
      <c r="Y160" s="67" t="n">
        <f aca="false">-(Y159-X159)*Inputs!$C$66</f>
        <v>-4477.43531561666</v>
      </c>
      <c r="Z160" s="67" t="n">
        <f aca="false">-(Z159-Y159)*Inputs!$C$66</f>
        <v>-4483.26864894999</v>
      </c>
      <c r="AA160" s="67" t="n">
        <f aca="false">-(AA159-Z159)*Inputs!$C$66</f>
        <v>-6356.67938916961</v>
      </c>
      <c r="AB160" s="67" t="n">
        <f aca="false">-(AB159-AA159)*Inputs!$C$66</f>
        <v>-6362.51272250294</v>
      </c>
      <c r="AC160" s="67" t="n">
        <f aca="false">-(AC159-AB159)*Inputs!$C$66</f>
        <v>-6368.34605583627</v>
      </c>
      <c r="AD160" s="67" t="n">
        <f aca="false">-(AD159-AC159)*Inputs!$C$66</f>
        <v>-6374.1793891696</v>
      </c>
      <c r="AE160" s="67" t="n">
        <f aca="false">-(AE159-AD159)*Inputs!$C$66</f>
        <v>-6380.01272250295</v>
      </c>
      <c r="AF160" s="67" t="n">
        <f aca="false">-(AF159-AE159)*Inputs!$C$66</f>
        <v>-12337.0551256966</v>
      </c>
      <c r="AG160" s="67" t="n">
        <f aca="false">-(AG159-AF159)*Inputs!$C$66</f>
        <v>-12342.8884590299</v>
      </c>
      <c r="AH160" s="67" t="n">
        <f aca="false">-(AH159-AG159)*Inputs!$C$66</f>
        <v>-12348.7217923632</v>
      </c>
      <c r="AI160" s="67" t="n">
        <f aca="false">-(AI159-AH159)*Inputs!$C$66</f>
        <v>-6403.34605583626</v>
      </c>
      <c r="AJ160" s="67" t="n">
        <f aca="false">-(AJ159-AI159)*Inputs!$C$66</f>
        <v>-6409.17938916961</v>
      </c>
      <c r="AK160" s="67" t="n">
        <f aca="false">-(AK159-AJ159)*Inputs!$C$66</f>
        <v>-6415.01272250294</v>
      </c>
      <c r="AL160" s="67" t="n">
        <f aca="false">-(AL159-AK159)*Inputs!$C$66</f>
        <v>-6420.84605583627</v>
      </c>
    </row>
    <row r="161" customFormat="false" ht="15" hidden="false" customHeight="false" outlineLevel="0" collapsed="false">
      <c r="A161" s="113" t="s">
        <v>50</v>
      </c>
      <c r="C161" s="68" t="n">
        <f aca="false">C157+C160</f>
        <v>10758.2542333333</v>
      </c>
      <c r="D161" s="68" t="n">
        <f aca="false">D157+D160</f>
        <v>10769.2264555556</v>
      </c>
      <c r="E161" s="68" t="n">
        <f aca="false">E157+E160</f>
        <v>10791.1709</v>
      </c>
      <c r="F161" s="68" t="n">
        <f aca="false">F157+F160</f>
        <v>10813.1153444444</v>
      </c>
      <c r="G161" s="68" t="n">
        <f aca="false">G157+G160</f>
        <v>10835.0597888889</v>
      </c>
      <c r="H161" s="68" t="n">
        <f aca="false">H157+H160</f>
        <v>31569.5323333333</v>
      </c>
      <c r="I161" s="68" t="n">
        <f aca="false">I157+I160</f>
        <v>31591.4767777778</v>
      </c>
      <c r="J161" s="68" t="n">
        <f aca="false">J157+J160</f>
        <v>31613.4212222222</v>
      </c>
      <c r="K161" s="68" t="n">
        <f aca="false">K157+K160</f>
        <v>10922.8375666667</v>
      </c>
      <c r="L161" s="68" t="n">
        <f aca="false">L157+L160</f>
        <v>10944.7820111111</v>
      </c>
      <c r="M161" s="68" t="n">
        <f aca="false">M157+M160</f>
        <v>10966.7264555556</v>
      </c>
      <c r="N161" s="68" t="n">
        <f aca="false">N157+N160</f>
        <v>10988.6709</v>
      </c>
      <c r="O161" s="68" t="n">
        <f aca="false">O157+O160</f>
        <v>16624.2407904944</v>
      </c>
      <c r="P161" s="68" t="n">
        <f aca="false">P157+P160</f>
        <v>16646.1852349389</v>
      </c>
      <c r="Q161" s="68" t="n">
        <f aca="false">Q157+Q160</f>
        <v>16668.1296793833</v>
      </c>
      <c r="R161" s="68" t="n">
        <f aca="false">R157+R160</f>
        <v>16690.0741238278</v>
      </c>
      <c r="S161" s="68" t="n">
        <f aca="false">S157+S160</f>
        <v>16712.0185682722</v>
      </c>
      <c r="T161" s="68" t="n">
        <f aca="false">T157+T160</f>
        <v>38414.0845070667</v>
      </c>
      <c r="U161" s="68" t="n">
        <f aca="false">U157+U160</f>
        <v>38436.0289515111</v>
      </c>
      <c r="V161" s="68" t="n">
        <f aca="false">V157+V160</f>
        <v>38457.9733959556</v>
      </c>
      <c r="W161" s="68" t="n">
        <f aca="false">W157+W160</f>
        <v>16799.79634605</v>
      </c>
      <c r="X161" s="68" t="n">
        <f aca="false">X157+X160</f>
        <v>16821.7407904944</v>
      </c>
      <c r="Y161" s="68" t="n">
        <f aca="false">Y157+Y160</f>
        <v>16843.6852349389</v>
      </c>
      <c r="Z161" s="68" t="n">
        <f aca="false">Z157+Z160</f>
        <v>16865.6296793833</v>
      </c>
      <c r="AA161" s="68" t="n">
        <f aca="false">AA157+AA160</f>
        <v>23913.222464019</v>
      </c>
      <c r="AB161" s="68" t="n">
        <f aca="false">AB157+AB160</f>
        <v>23935.1669084634</v>
      </c>
      <c r="AC161" s="68" t="n">
        <f aca="false">AC157+AC160</f>
        <v>23957.1113529079</v>
      </c>
      <c r="AD161" s="68" t="n">
        <f aca="false">AD157+AD160</f>
        <v>23979.0557973523</v>
      </c>
      <c r="AE161" s="68" t="n">
        <f aca="false">AE157+AE160</f>
        <v>24001.0002417968</v>
      </c>
      <c r="AF161" s="68" t="n">
        <f aca="false">AF157+AF160</f>
        <v>46410.8264252394</v>
      </c>
      <c r="AG161" s="68" t="n">
        <f aca="false">AG157+AG160</f>
        <v>46432.7708696839</v>
      </c>
      <c r="AH161" s="68" t="n">
        <f aca="false">AH157+AH160</f>
        <v>46454.7153141283</v>
      </c>
      <c r="AI161" s="68" t="n">
        <f aca="false">AI157+AI160</f>
        <v>24088.7780195746</v>
      </c>
      <c r="AJ161" s="68" t="n">
        <f aca="false">AJ157+AJ160</f>
        <v>24110.722464019</v>
      </c>
      <c r="AK161" s="68" t="n">
        <f aca="false">AK157+AK160</f>
        <v>24132.6669084634</v>
      </c>
      <c r="AL161" s="68" t="n">
        <f aca="false">AL157+AL160</f>
        <v>24154.6113529079</v>
      </c>
    </row>
    <row r="163" customFormat="false" ht="15.75" hidden="false" customHeight="true" outlineLevel="0" collapsed="false">
      <c r="A163" s="7" t="s">
        <v>391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customFormat="false" ht="15" hidden="false" customHeight="false" outlineLevel="0" collapsed="false">
      <c r="A164" s="6" t="s">
        <v>392</v>
      </c>
      <c r="C164" s="67" t="n">
        <f aca="false">Inputs!$C$37+MAX(0,C119-Inputs!$C$39)*Inputs!$C$38</f>
        <v>20000</v>
      </c>
      <c r="D164" s="67" t="n">
        <f aca="false">MAX(0,D119-C119)*Inputs!$C$38</f>
        <v>0</v>
      </c>
      <c r="E164" s="67" t="n">
        <f aca="false">MAX(0,E119-D119)*Inputs!$C$38</f>
        <v>0</v>
      </c>
      <c r="F164" s="67" t="n">
        <f aca="false">MAX(0,F119-E119)*Inputs!$C$38</f>
        <v>0</v>
      </c>
      <c r="G164" s="67" t="n">
        <f aca="false">MAX(0,G119-F119)*Inputs!$C$38</f>
        <v>0</v>
      </c>
      <c r="H164" s="67" t="n">
        <f aca="false">MAX(0,H119-G119)*Inputs!$C$38</f>
        <v>0</v>
      </c>
      <c r="I164" s="67" t="n">
        <f aca="false">MAX(0,I119-H119)*Inputs!$C$38</f>
        <v>0</v>
      </c>
      <c r="J164" s="67" t="n">
        <f aca="false">MAX(0,J119-I119)*Inputs!$C$38</f>
        <v>0</v>
      </c>
      <c r="K164" s="67" t="n">
        <f aca="false">MAX(0,K119-J119)*Inputs!$C$38</f>
        <v>0</v>
      </c>
      <c r="L164" s="67" t="n">
        <f aca="false">MAX(0,L119-K119)*Inputs!$C$38</f>
        <v>0</v>
      </c>
      <c r="M164" s="67" t="n">
        <f aca="false">MAX(0,M119-L119)*Inputs!$C$38</f>
        <v>0</v>
      </c>
      <c r="N164" s="67" t="n">
        <f aca="false">MAX(0,N119-M119)*Inputs!$C$38</f>
        <v>0</v>
      </c>
      <c r="O164" s="67" t="n">
        <f aca="false">MAX(0,O119-N119)*Inputs!$C$38</f>
        <v>37800</v>
      </c>
      <c r="P164" s="67" t="n">
        <f aca="false">MAX(0,P119-O119)*Inputs!$C$38</f>
        <v>0</v>
      </c>
      <c r="Q164" s="67" t="n">
        <f aca="false">MAX(0,Q119-P119)*Inputs!$C$38</f>
        <v>0</v>
      </c>
      <c r="R164" s="67" t="n">
        <f aca="false">MAX(0,R119-Q119)*Inputs!$C$38</f>
        <v>0</v>
      </c>
      <c r="S164" s="67" t="n">
        <f aca="false">MAX(0,S119-R119)*Inputs!$C$38</f>
        <v>0</v>
      </c>
      <c r="T164" s="67" t="n">
        <f aca="false">MAX(0,T119-S119)*Inputs!$C$38</f>
        <v>0</v>
      </c>
      <c r="U164" s="67" t="n">
        <f aca="false">MAX(0,U119-T119)*Inputs!$C$38</f>
        <v>0</v>
      </c>
      <c r="V164" s="67" t="n">
        <f aca="false">MAX(0,V119-U119)*Inputs!$C$38</f>
        <v>0</v>
      </c>
      <c r="W164" s="67" t="n">
        <f aca="false">MAX(0,W119-V119)*Inputs!$C$38</f>
        <v>0</v>
      </c>
      <c r="X164" s="67" t="n">
        <f aca="false">MAX(0,X119-W119)*Inputs!$C$38</f>
        <v>0</v>
      </c>
      <c r="Y164" s="67" t="n">
        <f aca="false">MAX(0,Y119-X119)*Inputs!$C$38</f>
        <v>0</v>
      </c>
      <c r="Z164" s="67" t="n">
        <f aca="false">MAX(0,Z119-Y119)*Inputs!$C$38</f>
        <v>0</v>
      </c>
      <c r="AA164" s="67" t="n">
        <f aca="false">MAX(0,AA119-Z119)*Inputs!$C$38</f>
        <v>42336</v>
      </c>
      <c r="AB164" s="67" t="n">
        <f aca="false">MAX(0,AB119-AA119)*Inputs!$C$38</f>
        <v>0</v>
      </c>
      <c r="AC164" s="67" t="n">
        <f aca="false">MAX(0,AC119-AB119)*Inputs!$C$38</f>
        <v>0</v>
      </c>
      <c r="AD164" s="67" t="n">
        <f aca="false">MAX(0,AD119-AC119)*Inputs!$C$38</f>
        <v>0</v>
      </c>
      <c r="AE164" s="67" t="n">
        <f aca="false">MAX(0,AE119-AD119)*Inputs!$C$38</f>
        <v>0</v>
      </c>
      <c r="AF164" s="67" t="n">
        <f aca="false">MAX(0,AF119-AE119)*Inputs!$C$38</f>
        <v>0</v>
      </c>
      <c r="AG164" s="67" t="n">
        <f aca="false">MAX(0,AG119-AF119)*Inputs!$C$38</f>
        <v>0</v>
      </c>
      <c r="AH164" s="67" t="n">
        <f aca="false">MAX(0,AH119-AG119)*Inputs!$C$38</f>
        <v>0</v>
      </c>
      <c r="AI164" s="67" t="n">
        <f aca="false">MAX(0,AI119-AH119)*Inputs!$C$38</f>
        <v>0</v>
      </c>
      <c r="AJ164" s="67" t="n">
        <f aca="false">MAX(0,AJ119-AI119)*Inputs!$C$38</f>
        <v>0</v>
      </c>
      <c r="AK164" s="67" t="n">
        <f aca="false">MAX(0,AK119-AJ119)*Inputs!$C$38</f>
        <v>0</v>
      </c>
      <c r="AL164" s="67" t="n">
        <f aca="false">MAX(0,AL119-AK119)*Inputs!$C$38</f>
        <v>0</v>
      </c>
    </row>
    <row r="165" customFormat="false" ht="15" hidden="false" customHeight="false" outlineLevel="0" collapsed="false">
      <c r="A165" s="6" t="s">
        <v>393</v>
      </c>
      <c r="C165" s="67" t="n">
        <f aca="false">C164</f>
        <v>20000</v>
      </c>
      <c r="D165" s="67" t="n">
        <f aca="false">C165+D164</f>
        <v>20000</v>
      </c>
      <c r="E165" s="67" t="n">
        <f aca="false">D165+E164</f>
        <v>20000</v>
      </c>
      <c r="F165" s="67" t="n">
        <f aca="false">E165+F164</f>
        <v>20000</v>
      </c>
      <c r="G165" s="67" t="n">
        <f aca="false">F165+G164</f>
        <v>20000</v>
      </c>
      <c r="H165" s="67" t="n">
        <f aca="false">G165+H164</f>
        <v>20000</v>
      </c>
      <c r="I165" s="67" t="n">
        <f aca="false">H165+I164</f>
        <v>20000</v>
      </c>
      <c r="J165" s="67" t="n">
        <f aca="false">I165+J164</f>
        <v>20000</v>
      </c>
      <c r="K165" s="67" t="n">
        <f aca="false">J165+K164</f>
        <v>20000</v>
      </c>
      <c r="L165" s="67" t="n">
        <f aca="false">K165+L164</f>
        <v>20000</v>
      </c>
      <c r="M165" s="67" t="n">
        <f aca="false">L165+M164</f>
        <v>20000</v>
      </c>
      <c r="N165" s="67" t="n">
        <f aca="false">M165+N164</f>
        <v>20000</v>
      </c>
      <c r="O165" s="67" t="n">
        <f aca="false">N165+O164</f>
        <v>57800</v>
      </c>
      <c r="P165" s="67" t="n">
        <f aca="false">O165+P164</f>
        <v>57800</v>
      </c>
      <c r="Q165" s="67" t="n">
        <f aca="false">P165+Q164</f>
        <v>57800</v>
      </c>
      <c r="R165" s="67" t="n">
        <f aca="false">Q165+R164</f>
        <v>57800</v>
      </c>
      <c r="S165" s="67" t="n">
        <f aca="false">R165+S164</f>
        <v>57800</v>
      </c>
      <c r="T165" s="67" t="n">
        <f aca="false">S165+T164</f>
        <v>57800</v>
      </c>
      <c r="U165" s="67" t="n">
        <f aca="false">T165+U164</f>
        <v>57800</v>
      </c>
      <c r="V165" s="67" t="n">
        <f aca="false">U165+V164</f>
        <v>57800</v>
      </c>
      <c r="W165" s="67" t="n">
        <f aca="false">V165+W164</f>
        <v>57800</v>
      </c>
      <c r="X165" s="67" t="n">
        <f aca="false">W165+X164</f>
        <v>57800</v>
      </c>
      <c r="Y165" s="67" t="n">
        <f aca="false">X165+Y164</f>
        <v>57800</v>
      </c>
      <c r="Z165" s="67" t="n">
        <f aca="false">Y165+Z164</f>
        <v>57800</v>
      </c>
      <c r="AA165" s="67" t="n">
        <f aca="false">Z165+AA164</f>
        <v>100136</v>
      </c>
      <c r="AB165" s="67" t="n">
        <f aca="false">AA165+AB164</f>
        <v>100136</v>
      </c>
      <c r="AC165" s="67" t="n">
        <f aca="false">AB165+AC164</f>
        <v>100136</v>
      </c>
      <c r="AD165" s="67" t="n">
        <f aca="false">AC165+AD164</f>
        <v>100136</v>
      </c>
      <c r="AE165" s="67" t="n">
        <f aca="false">AD165+AE164</f>
        <v>100136</v>
      </c>
      <c r="AF165" s="67" t="n">
        <f aca="false">AE165+AF164</f>
        <v>100136</v>
      </c>
      <c r="AG165" s="67" t="n">
        <f aca="false">AF165+AG164</f>
        <v>100136</v>
      </c>
      <c r="AH165" s="67" t="n">
        <f aca="false">AG165+AH164</f>
        <v>100136</v>
      </c>
      <c r="AI165" s="67" t="n">
        <f aca="false">AH165+AI164</f>
        <v>100136</v>
      </c>
      <c r="AJ165" s="67" t="n">
        <f aca="false">AI165+AJ164</f>
        <v>100136</v>
      </c>
      <c r="AK165" s="67" t="n">
        <f aca="false">AJ165+AK164</f>
        <v>100136</v>
      </c>
      <c r="AL165" s="67" t="n">
        <f aca="false">AK165+AL164</f>
        <v>100136</v>
      </c>
    </row>
    <row r="166" customFormat="false" ht="15" hidden="false" customHeight="false" outlineLevel="0" collapsed="false">
      <c r="A166" s="6" t="s">
        <v>77</v>
      </c>
      <c r="C166" s="67" t="n">
        <f aca="false">-MIN(C165/MAX(1,Inputs!$C$65*12),C164)</f>
        <v>-333.333333333333</v>
      </c>
      <c r="D166" s="67" t="n">
        <f aca="false">-MIN(D165/MAX(1,Inputs!$C$65*12),C168+D164)</f>
        <v>-333.333333333333</v>
      </c>
      <c r="E166" s="67" t="n">
        <f aca="false">-MIN(E165/MAX(1,Inputs!$C$65*12),D168+E164)</f>
        <v>-333.333333333333</v>
      </c>
      <c r="F166" s="67" t="n">
        <f aca="false">-MIN(F165/MAX(1,Inputs!$C$65*12),E168+F164)</f>
        <v>-333.333333333333</v>
      </c>
      <c r="G166" s="67" t="n">
        <f aca="false">-MIN(G165/MAX(1,Inputs!$C$65*12),F168+G164)</f>
        <v>-333.333333333333</v>
      </c>
      <c r="H166" s="67" t="n">
        <f aca="false">-MIN(H165/MAX(1,Inputs!$C$65*12),G168+H164)</f>
        <v>-333.333333333333</v>
      </c>
      <c r="I166" s="67" t="n">
        <f aca="false">-MIN(I165/MAX(1,Inputs!$C$65*12),H168+I164)</f>
        <v>-333.333333333333</v>
      </c>
      <c r="J166" s="67" t="n">
        <f aca="false">-MIN(J165/MAX(1,Inputs!$C$65*12),I168+J164)</f>
        <v>-333.333333333333</v>
      </c>
      <c r="K166" s="67" t="n">
        <f aca="false">-MIN(K165/MAX(1,Inputs!$C$65*12),J168+K164)</f>
        <v>-333.333333333333</v>
      </c>
      <c r="L166" s="67" t="n">
        <f aca="false">-MIN(L165/MAX(1,Inputs!$C$65*12),K168+L164)</f>
        <v>-333.333333333333</v>
      </c>
      <c r="M166" s="67" t="n">
        <f aca="false">-MIN(M165/MAX(1,Inputs!$C$65*12),L168+M164)</f>
        <v>-333.333333333333</v>
      </c>
      <c r="N166" s="67" t="n">
        <f aca="false">-MIN(N165/MAX(1,Inputs!$C$65*12),M168+N164)</f>
        <v>-333.333333333333</v>
      </c>
      <c r="O166" s="67" t="n">
        <f aca="false">-MIN(O165/MAX(1,Inputs!$C$65*12),N168+O164)</f>
        <v>-963.333333333334</v>
      </c>
      <c r="P166" s="67" t="n">
        <f aca="false">-MIN(P165/MAX(1,Inputs!$C$65*12),O168+P164)</f>
        <v>-963.333333333334</v>
      </c>
      <c r="Q166" s="67" t="n">
        <f aca="false">-MIN(Q165/MAX(1,Inputs!$C$65*12),P168+Q164)</f>
        <v>-963.333333333334</v>
      </c>
      <c r="R166" s="67" t="n">
        <f aca="false">-MIN(R165/MAX(1,Inputs!$C$65*12),Q168+R164)</f>
        <v>-963.333333333334</v>
      </c>
      <c r="S166" s="67" t="n">
        <f aca="false">-MIN(S165/MAX(1,Inputs!$C$65*12),R168+S164)</f>
        <v>-963.333333333334</v>
      </c>
      <c r="T166" s="67" t="n">
        <f aca="false">-MIN(T165/MAX(1,Inputs!$C$65*12),S168+T164)</f>
        <v>-963.333333333334</v>
      </c>
      <c r="U166" s="67" t="n">
        <f aca="false">-MIN(U165/MAX(1,Inputs!$C$65*12),T168+U164)</f>
        <v>-963.333333333334</v>
      </c>
      <c r="V166" s="67" t="n">
        <f aca="false">-MIN(V165/MAX(1,Inputs!$C$65*12),U168+V164)</f>
        <v>-963.333333333334</v>
      </c>
      <c r="W166" s="67" t="n">
        <f aca="false">-MIN(W165/MAX(1,Inputs!$C$65*12),V168+W164)</f>
        <v>-963.333333333334</v>
      </c>
      <c r="X166" s="67" t="n">
        <f aca="false">-MIN(X165/MAX(1,Inputs!$C$65*12),W168+X164)</f>
        <v>-963.333333333334</v>
      </c>
      <c r="Y166" s="67" t="n">
        <f aca="false">-MIN(Y165/MAX(1,Inputs!$C$65*12),X168+Y164)</f>
        <v>-963.333333333334</v>
      </c>
      <c r="Z166" s="67" t="n">
        <f aca="false">-MIN(Z165/MAX(1,Inputs!$C$65*12),Y168+Z164)</f>
        <v>-963.333333333334</v>
      </c>
      <c r="AA166" s="67" t="n">
        <f aca="false">-MIN(AA165/MAX(1,Inputs!$C$65*12),Z168+AA164)</f>
        <v>-1668.93333333333</v>
      </c>
      <c r="AB166" s="67" t="n">
        <f aca="false">-MIN(AB165/MAX(1,Inputs!$C$65*12),AA168+AB164)</f>
        <v>-1668.93333333333</v>
      </c>
      <c r="AC166" s="67" t="n">
        <f aca="false">-MIN(AC165/MAX(1,Inputs!$C$65*12),AB168+AC164)</f>
        <v>-1668.93333333333</v>
      </c>
      <c r="AD166" s="67" t="n">
        <f aca="false">-MIN(AD165/MAX(1,Inputs!$C$65*12),AC168+AD164)</f>
        <v>-1668.93333333333</v>
      </c>
      <c r="AE166" s="67" t="n">
        <f aca="false">-MIN(AE165/MAX(1,Inputs!$C$65*12),AD168+AE164)</f>
        <v>-1668.93333333333</v>
      </c>
      <c r="AF166" s="67" t="n">
        <f aca="false">-MIN(AF165/MAX(1,Inputs!$C$65*12),AE168+AF164)</f>
        <v>-1668.93333333333</v>
      </c>
      <c r="AG166" s="67" t="n">
        <f aca="false">-MIN(AG165/MAX(1,Inputs!$C$65*12),AF168+AG164)</f>
        <v>-1668.93333333333</v>
      </c>
      <c r="AH166" s="67" t="n">
        <f aca="false">-MIN(AH165/MAX(1,Inputs!$C$65*12),AG168+AH164)</f>
        <v>-1668.93333333333</v>
      </c>
      <c r="AI166" s="67" t="n">
        <f aca="false">-MIN(AI165/MAX(1,Inputs!$C$65*12),AH168+AI164)</f>
        <v>-1668.93333333333</v>
      </c>
      <c r="AJ166" s="67" t="n">
        <f aca="false">-MIN(AJ165/MAX(1,Inputs!$C$65*12),AI168+AJ164)</f>
        <v>-1668.93333333333</v>
      </c>
      <c r="AK166" s="67" t="n">
        <f aca="false">-MIN(AK165/MAX(1,Inputs!$C$65*12),AJ168+AK164)</f>
        <v>-1668.93333333333</v>
      </c>
      <c r="AL166" s="67" t="n">
        <f aca="false">-MIN(AL165/MAX(1,Inputs!$C$65*12),AK168+AL164)</f>
        <v>-1668.93333333333</v>
      </c>
    </row>
    <row r="167" customFormat="false" ht="15" hidden="false" customHeight="false" outlineLevel="0" collapsed="false">
      <c r="A167" s="6" t="s">
        <v>394</v>
      </c>
      <c r="C167" s="67" t="n">
        <f aca="false">C166</f>
        <v>-333.333333333333</v>
      </c>
      <c r="D167" s="67" t="n">
        <f aca="false">C167+D166</f>
        <v>-666.666666666667</v>
      </c>
      <c r="E167" s="67" t="n">
        <f aca="false">D167+E166</f>
        <v>-1000</v>
      </c>
      <c r="F167" s="67" t="n">
        <f aca="false">E167+F166</f>
        <v>-1333.33333333333</v>
      </c>
      <c r="G167" s="67" t="n">
        <f aca="false">F167+G166</f>
        <v>-1666.66666666667</v>
      </c>
      <c r="H167" s="67" t="n">
        <f aca="false">G167+H166</f>
        <v>-2000</v>
      </c>
      <c r="I167" s="67" t="n">
        <f aca="false">H167+I166</f>
        <v>-2333.33333333333</v>
      </c>
      <c r="J167" s="67" t="n">
        <f aca="false">I167+J166</f>
        <v>-2666.66666666667</v>
      </c>
      <c r="K167" s="67" t="n">
        <f aca="false">J167+K166</f>
        <v>-3000</v>
      </c>
      <c r="L167" s="67" t="n">
        <f aca="false">K167+L166</f>
        <v>-3333.33333333333</v>
      </c>
      <c r="M167" s="67" t="n">
        <f aca="false">L167+M166</f>
        <v>-3666.66666666667</v>
      </c>
      <c r="N167" s="67" t="n">
        <f aca="false">M167+N166</f>
        <v>-4000</v>
      </c>
      <c r="O167" s="67" t="n">
        <f aca="false">N167+O166</f>
        <v>-4963.33333333333</v>
      </c>
      <c r="P167" s="67" t="n">
        <f aca="false">O167+P166</f>
        <v>-5926.66666666667</v>
      </c>
      <c r="Q167" s="67" t="n">
        <f aca="false">P167+Q166</f>
        <v>-6890</v>
      </c>
      <c r="R167" s="67" t="n">
        <f aca="false">Q167+R166</f>
        <v>-7853.33333333334</v>
      </c>
      <c r="S167" s="67" t="n">
        <f aca="false">R167+S166</f>
        <v>-8816.66666666667</v>
      </c>
      <c r="T167" s="67" t="n">
        <f aca="false">S167+T166</f>
        <v>-9780</v>
      </c>
      <c r="U167" s="67" t="n">
        <f aca="false">T167+U166</f>
        <v>-10743.3333333333</v>
      </c>
      <c r="V167" s="67" t="n">
        <f aca="false">U167+V166</f>
        <v>-11706.6666666667</v>
      </c>
      <c r="W167" s="67" t="n">
        <f aca="false">V167+W166</f>
        <v>-12670</v>
      </c>
      <c r="X167" s="67" t="n">
        <f aca="false">W167+X166</f>
        <v>-13633.3333333333</v>
      </c>
      <c r="Y167" s="67" t="n">
        <f aca="false">X167+Y166</f>
        <v>-14596.6666666667</v>
      </c>
      <c r="Z167" s="67" t="n">
        <f aca="false">Y167+Z166</f>
        <v>-15560</v>
      </c>
      <c r="AA167" s="67" t="n">
        <f aca="false">Z167+AA166</f>
        <v>-17228.9333333333</v>
      </c>
      <c r="AB167" s="67" t="n">
        <f aca="false">AA167+AB166</f>
        <v>-18897.8666666667</v>
      </c>
      <c r="AC167" s="67" t="n">
        <f aca="false">AB167+AC166</f>
        <v>-20566.8</v>
      </c>
      <c r="AD167" s="67" t="n">
        <f aca="false">AC167+AD166</f>
        <v>-22235.7333333333</v>
      </c>
      <c r="AE167" s="67" t="n">
        <f aca="false">AD167+AE166</f>
        <v>-23904.6666666667</v>
      </c>
      <c r="AF167" s="67" t="n">
        <f aca="false">AE167+AF166</f>
        <v>-25573.6</v>
      </c>
      <c r="AG167" s="67" t="n">
        <f aca="false">AF167+AG166</f>
        <v>-27242.5333333333</v>
      </c>
      <c r="AH167" s="67" t="n">
        <f aca="false">AG167+AH166</f>
        <v>-28911.4666666667</v>
      </c>
      <c r="AI167" s="67" t="n">
        <f aca="false">AH167+AI166</f>
        <v>-30580.4</v>
      </c>
      <c r="AJ167" s="67" t="n">
        <f aca="false">AI167+AJ166</f>
        <v>-32249.3333333334</v>
      </c>
      <c r="AK167" s="67" t="n">
        <f aca="false">AJ167+AK166</f>
        <v>-33918.2666666667</v>
      </c>
      <c r="AL167" s="67" t="n">
        <f aca="false">AK167+AL166</f>
        <v>-35587.2</v>
      </c>
    </row>
    <row r="168" customFormat="false" ht="15" hidden="false" customHeight="false" outlineLevel="0" collapsed="false">
      <c r="A168" s="4" t="s">
        <v>91</v>
      </c>
      <c r="C168" s="73" t="n">
        <f aca="false">C165+C167</f>
        <v>19666.6666666667</v>
      </c>
      <c r="D168" s="73" t="n">
        <f aca="false">D165+D167</f>
        <v>19333.3333333333</v>
      </c>
      <c r="E168" s="73" t="n">
        <f aca="false">E165+E167</f>
        <v>19000</v>
      </c>
      <c r="F168" s="73" t="n">
        <f aca="false">F165+F167</f>
        <v>18666.6666666667</v>
      </c>
      <c r="G168" s="73" t="n">
        <f aca="false">G165+G167</f>
        <v>18333.3333333333</v>
      </c>
      <c r="H168" s="73" t="n">
        <f aca="false">H165+H167</f>
        <v>18000</v>
      </c>
      <c r="I168" s="73" t="n">
        <f aca="false">I165+I167</f>
        <v>17666.6666666667</v>
      </c>
      <c r="J168" s="73" t="n">
        <f aca="false">J165+J167</f>
        <v>17333.3333333333</v>
      </c>
      <c r="K168" s="73" t="n">
        <f aca="false">K165+K167</f>
        <v>17000</v>
      </c>
      <c r="L168" s="73" t="n">
        <f aca="false">L165+L167</f>
        <v>16666.6666666667</v>
      </c>
      <c r="M168" s="73" t="n">
        <f aca="false">M165+M167</f>
        <v>16333.3333333333</v>
      </c>
      <c r="N168" s="73" t="n">
        <f aca="false">N165+N167</f>
        <v>16000</v>
      </c>
      <c r="O168" s="73" t="n">
        <f aca="false">O165+O167</f>
        <v>52836.6666666667</v>
      </c>
      <c r="P168" s="73" t="n">
        <f aca="false">P165+P167</f>
        <v>51873.3333333334</v>
      </c>
      <c r="Q168" s="73" t="n">
        <f aca="false">Q165+Q167</f>
        <v>50910</v>
      </c>
      <c r="R168" s="73" t="n">
        <f aca="false">R165+R167</f>
        <v>49946.6666666667</v>
      </c>
      <c r="S168" s="73" t="n">
        <f aca="false">S165+S167</f>
        <v>48983.3333333334</v>
      </c>
      <c r="T168" s="73" t="n">
        <f aca="false">T165+T167</f>
        <v>48020</v>
      </c>
      <c r="U168" s="73" t="n">
        <f aca="false">U165+U167</f>
        <v>47056.6666666667</v>
      </c>
      <c r="V168" s="73" t="n">
        <f aca="false">V165+V167</f>
        <v>46093.3333333334</v>
      </c>
      <c r="W168" s="73" t="n">
        <f aca="false">W165+W167</f>
        <v>45130</v>
      </c>
      <c r="X168" s="73" t="n">
        <f aca="false">X165+X167</f>
        <v>44166.6666666667</v>
      </c>
      <c r="Y168" s="73" t="n">
        <f aca="false">Y165+Y167</f>
        <v>43203.3333333334</v>
      </c>
      <c r="Z168" s="73" t="n">
        <f aca="false">Z165+Z167</f>
        <v>42240</v>
      </c>
      <c r="AA168" s="73" t="n">
        <f aca="false">AA165+AA167</f>
        <v>82907.0666666667</v>
      </c>
      <c r="AB168" s="73" t="n">
        <f aca="false">AB165+AB167</f>
        <v>81238.1333333334</v>
      </c>
      <c r="AC168" s="73" t="n">
        <f aca="false">AC165+AC167</f>
        <v>79569.2</v>
      </c>
      <c r="AD168" s="73" t="n">
        <f aca="false">AD165+AD167</f>
        <v>77900.2666666667</v>
      </c>
      <c r="AE168" s="73" t="n">
        <f aca="false">AE165+AE167</f>
        <v>76231.3333333334</v>
      </c>
      <c r="AF168" s="73" t="n">
        <f aca="false">AF165+AF167</f>
        <v>74562.4000000001</v>
      </c>
      <c r="AG168" s="73" t="n">
        <f aca="false">AG165+AG167</f>
        <v>72893.4666666667</v>
      </c>
      <c r="AH168" s="73" t="n">
        <f aca="false">AH165+AH167</f>
        <v>71224.5333333334</v>
      </c>
      <c r="AI168" s="73" t="n">
        <f aca="false">AI165+AI167</f>
        <v>69555.6</v>
      </c>
      <c r="AJ168" s="73" t="n">
        <f aca="false">AJ165+AJ167</f>
        <v>67886.6666666667</v>
      </c>
      <c r="AK168" s="73" t="n">
        <f aca="false">AK165+AK167</f>
        <v>66217.7333333334</v>
      </c>
      <c r="AL168" s="73" t="n">
        <f aca="false">AL165+AL167</f>
        <v>64548.8</v>
      </c>
    </row>
    <row r="170" customFormat="false" ht="15.75" hidden="false" customHeight="true" outlineLevel="0" collapsed="false">
      <c r="A170" s="7" t="s">
        <v>395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customFormat="false" ht="15" hidden="false" customHeight="false" outlineLevel="0" collapsed="false">
      <c r="A171" s="6" t="s">
        <v>396</v>
      </c>
      <c r="C171" s="67" t="n">
        <f aca="false">0</f>
        <v>0</v>
      </c>
      <c r="D171" s="67" t="n">
        <f aca="false">C174</f>
        <v>250000</v>
      </c>
      <c r="E171" s="67" t="n">
        <f aca="false">D174</f>
        <v>245833.333333333</v>
      </c>
      <c r="F171" s="67" t="n">
        <f aca="false">E174</f>
        <v>241666.666666667</v>
      </c>
      <c r="G171" s="67" t="n">
        <f aca="false">F174</f>
        <v>237500</v>
      </c>
      <c r="H171" s="67" t="n">
        <f aca="false">G174</f>
        <v>233333.333333333</v>
      </c>
      <c r="I171" s="67" t="n">
        <f aca="false">H174</f>
        <v>229166.666666667</v>
      </c>
      <c r="J171" s="67" t="n">
        <f aca="false">I174</f>
        <v>225000</v>
      </c>
      <c r="K171" s="67" t="n">
        <f aca="false">J174</f>
        <v>220833.333333333</v>
      </c>
      <c r="L171" s="67" t="n">
        <f aca="false">K174</f>
        <v>216666.666666667</v>
      </c>
      <c r="M171" s="67" t="n">
        <f aca="false">L174</f>
        <v>212500</v>
      </c>
      <c r="N171" s="67" t="n">
        <f aca="false">M174</f>
        <v>208333.333333333</v>
      </c>
      <c r="O171" s="67" t="n">
        <f aca="false">N174</f>
        <v>204166.666666667</v>
      </c>
      <c r="P171" s="67" t="n">
        <f aca="false">O174</f>
        <v>200000</v>
      </c>
      <c r="Q171" s="67" t="n">
        <f aca="false">P174</f>
        <v>195833.333333333</v>
      </c>
      <c r="R171" s="67" t="n">
        <f aca="false">Q174</f>
        <v>191666.666666667</v>
      </c>
      <c r="S171" s="67" t="n">
        <f aca="false">R174</f>
        <v>187500</v>
      </c>
      <c r="T171" s="67" t="n">
        <f aca="false">S174</f>
        <v>183333.333333334</v>
      </c>
      <c r="U171" s="67" t="n">
        <f aca="false">T174</f>
        <v>179166.666666667</v>
      </c>
      <c r="V171" s="67" t="n">
        <f aca="false">U174</f>
        <v>175000</v>
      </c>
      <c r="W171" s="67" t="n">
        <f aca="false">V174</f>
        <v>170833.333333334</v>
      </c>
      <c r="X171" s="67" t="n">
        <f aca="false">W174</f>
        <v>166666.666666667</v>
      </c>
      <c r="Y171" s="67" t="n">
        <f aca="false">X174</f>
        <v>162500</v>
      </c>
      <c r="Z171" s="67" t="n">
        <f aca="false">Y174</f>
        <v>158333.333333334</v>
      </c>
      <c r="AA171" s="67" t="n">
        <f aca="false">Z174</f>
        <v>154166.666666667</v>
      </c>
      <c r="AB171" s="67" t="n">
        <f aca="false">AA174</f>
        <v>150000</v>
      </c>
      <c r="AC171" s="67" t="n">
        <f aca="false">AB174</f>
        <v>145833.333333334</v>
      </c>
      <c r="AD171" s="67" t="n">
        <f aca="false">AC174</f>
        <v>141666.666666667</v>
      </c>
      <c r="AE171" s="67" t="n">
        <f aca="false">AD174</f>
        <v>137500</v>
      </c>
      <c r="AF171" s="67" t="n">
        <f aca="false">AE174</f>
        <v>133333.333333334</v>
      </c>
      <c r="AG171" s="67" t="n">
        <f aca="false">AF174</f>
        <v>129166.666666667</v>
      </c>
      <c r="AH171" s="67" t="n">
        <f aca="false">AG174</f>
        <v>125000</v>
      </c>
      <c r="AI171" s="67" t="n">
        <f aca="false">AH174</f>
        <v>120833.333333334</v>
      </c>
      <c r="AJ171" s="67" t="n">
        <f aca="false">AI174</f>
        <v>116666.666666667</v>
      </c>
      <c r="AK171" s="67" t="n">
        <f aca="false">AJ174</f>
        <v>112500</v>
      </c>
      <c r="AL171" s="67" t="n">
        <f aca="false">AK174</f>
        <v>108333.333333334</v>
      </c>
    </row>
    <row r="172" customFormat="false" ht="15" hidden="false" customHeight="false" outlineLevel="0" collapsed="false">
      <c r="A172" s="6" t="s">
        <v>84</v>
      </c>
      <c r="C172" s="67" t="n">
        <f aca="false">IF(C$115=1,Inputs!$C$55,0)</f>
        <v>250000</v>
      </c>
      <c r="D172" s="67" t="n">
        <f aca="false">IF(D$115=1,Inputs!$C$55,0)</f>
        <v>0</v>
      </c>
      <c r="E172" s="67" t="n">
        <f aca="false">IF(E$115=1,Inputs!$C$55,0)</f>
        <v>0</v>
      </c>
      <c r="F172" s="67" t="n">
        <f aca="false">IF(F$115=1,Inputs!$C$55,0)</f>
        <v>0</v>
      </c>
      <c r="G172" s="67" t="n">
        <f aca="false">IF(G$115=1,Inputs!$C$55,0)</f>
        <v>0</v>
      </c>
      <c r="H172" s="67" t="n">
        <f aca="false">IF(H$115=1,Inputs!$C$55,0)</f>
        <v>0</v>
      </c>
      <c r="I172" s="67" t="n">
        <f aca="false">IF(I$115=1,Inputs!$C$55,0)</f>
        <v>0</v>
      </c>
      <c r="J172" s="67" t="n">
        <f aca="false">IF(J$115=1,Inputs!$C$55,0)</f>
        <v>0</v>
      </c>
      <c r="K172" s="67" t="n">
        <f aca="false">IF(K$115=1,Inputs!$C$55,0)</f>
        <v>0</v>
      </c>
      <c r="L172" s="67" t="n">
        <f aca="false">IF(L$115=1,Inputs!$C$55,0)</f>
        <v>0</v>
      </c>
      <c r="M172" s="67" t="n">
        <f aca="false">IF(M$115=1,Inputs!$C$55,0)</f>
        <v>0</v>
      </c>
      <c r="N172" s="67" t="n">
        <f aca="false">IF(N$115=1,Inputs!$C$55,0)</f>
        <v>0</v>
      </c>
      <c r="O172" s="67" t="n">
        <f aca="false">IF(O$115=1,Inputs!$C$55,0)</f>
        <v>0</v>
      </c>
      <c r="P172" s="67" t="n">
        <f aca="false">IF(P$115=1,Inputs!$C$55,0)</f>
        <v>0</v>
      </c>
      <c r="Q172" s="67" t="n">
        <f aca="false">IF(Q$115=1,Inputs!$C$55,0)</f>
        <v>0</v>
      </c>
      <c r="R172" s="67" t="n">
        <f aca="false">IF(R$115=1,Inputs!$C$55,0)</f>
        <v>0</v>
      </c>
      <c r="S172" s="67" t="n">
        <f aca="false">IF(S$115=1,Inputs!$C$55,0)</f>
        <v>0</v>
      </c>
      <c r="T172" s="67" t="n">
        <f aca="false">IF(T$115=1,Inputs!$C$55,0)</f>
        <v>0</v>
      </c>
      <c r="U172" s="67" t="n">
        <f aca="false">IF(U$115=1,Inputs!$C$55,0)</f>
        <v>0</v>
      </c>
      <c r="V172" s="67" t="n">
        <f aca="false">IF(V$115=1,Inputs!$C$55,0)</f>
        <v>0</v>
      </c>
      <c r="W172" s="67" t="n">
        <f aca="false">IF(W$115=1,Inputs!$C$55,0)</f>
        <v>0</v>
      </c>
      <c r="X172" s="67" t="n">
        <f aca="false">IF(X$115=1,Inputs!$C$55,0)</f>
        <v>0</v>
      </c>
      <c r="Y172" s="67" t="n">
        <f aca="false">IF(Y$115=1,Inputs!$C$55,0)</f>
        <v>0</v>
      </c>
      <c r="Z172" s="67" t="n">
        <f aca="false">IF(Z$115=1,Inputs!$C$55,0)</f>
        <v>0</v>
      </c>
      <c r="AA172" s="67" t="n">
        <f aca="false">IF(AA$115=1,Inputs!$C$55,0)</f>
        <v>0</v>
      </c>
      <c r="AB172" s="67" t="n">
        <f aca="false">IF(AB$115=1,Inputs!$C$55,0)</f>
        <v>0</v>
      </c>
      <c r="AC172" s="67" t="n">
        <f aca="false">IF(AC$115=1,Inputs!$C$55,0)</f>
        <v>0</v>
      </c>
      <c r="AD172" s="67" t="n">
        <f aca="false">IF(AD$115=1,Inputs!$C$55,0)</f>
        <v>0</v>
      </c>
      <c r="AE172" s="67" t="n">
        <f aca="false">IF(AE$115=1,Inputs!$C$55,0)</f>
        <v>0</v>
      </c>
      <c r="AF172" s="67" t="n">
        <f aca="false">IF(AF$115=1,Inputs!$C$55,0)</f>
        <v>0</v>
      </c>
      <c r="AG172" s="67" t="n">
        <f aca="false">IF(AG$115=1,Inputs!$C$55,0)</f>
        <v>0</v>
      </c>
      <c r="AH172" s="67" t="n">
        <f aca="false">IF(AH$115=1,Inputs!$C$55,0)</f>
        <v>0</v>
      </c>
      <c r="AI172" s="67" t="n">
        <f aca="false">IF(AI$115=1,Inputs!$C$55,0)</f>
        <v>0</v>
      </c>
      <c r="AJ172" s="67" t="n">
        <f aca="false">IF(AJ$115=1,Inputs!$C$55,0)</f>
        <v>0</v>
      </c>
      <c r="AK172" s="67" t="n">
        <f aca="false">IF(AK$115=1,Inputs!$C$55,0)</f>
        <v>0</v>
      </c>
      <c r="AL172" s="67" t="n">
        <f aca="false">IF(AL$115=1,Inputs!$C$55,0)</f>
        <v>0</v>
      </c>
    </row>
    <row r="173" customFormat="false" ht="15" hidden="false" customHeight="false" outlineLevel="0" collapsed="false">
      <c r="A173" s="6" t="s">
        <v>85</v>
      </c>
      <c r="C173" s="67" t="n">
        <f aca="false">-MIN(C171,Inputs!$C$55/MAX(1,Inputs!$C$57*12))</f>
        <v>-0</v>
      </c>
      <c r="D173" s="67" t="n">
        <f aca="false">-MIN(D171,Inputs!$C$55/MAX(1,Inputs!$C$57*12))</f>
        <v>-4166.66666666667</v>
      </c>
      <c r="E173" s="67" t="n">
        <f aca="false">-MIN(E171,Inputs!$C$55/MAX(1,Inputs!$C$57*12))</f>
        <v>-4166.66666666667</v>
      </c>
      <c r="F173" s="67" t="n">
        <f aca="false">-MIN(F171,Inputs!$C$55/MAX(1,Inputs!$C$57*12))</f>
        <v>-4166.66666666667</v>
      </c>
      <c r="G173" s="67" t="n">
        <f aca="false">-MIN(G171,Inputs!$C$55/MAX(1,Inputs!$C$57*12))</f>
        <v>-4166.66666666667</v>
      </c>
      <c r="H173" s="67" t="n">
        <f aca="false">-MIN(H171,Inputs!$C$55/MAX(1,Inputs!$C$57*12))</f>
        <v>-4166.66666666667</v>
      </c>
      <c r="I173" s="67" t="n">
        <f aca="false">-MIN(I171,Inputs!$C$55/MAX(1,Inputs!$C$57*12))</f>
        <v>-4166.66666666667</v>
      </c>
      <c r="J173" s="67" t="n">
        <f aca="false">-MIN(J171,Inputs!$C$55/MAX(1,Inputs!$C$57*12))</f>
        <v>-4166.66666666667</v>
      </c>
      <c r="K173" s="67" t="n">
        <f aca="false">-MIN(K171,Inputs!$C$55/MAX(1,Inputs!$C$57*12))</f>
        <v>-4166.66666666667</v>
      </c>
      <c r="L173" s="67" t="n">
        <f aca="false">-MIN(L171,Inputs!$C$55/MAX(1,Inputs!$C$57*12))</f>
        <v>-4166.66666666667</v>
      </c>
      <c r="M173" s="67" t="n">
        <f aca="false">-MIN(M171,Inputs!$C$55/MAX(1,Inputs!$C$57*12))</f>
        <v>-4166.66666666667</v>
      </c>
      <c r="N173" s="67" t="n">
        <f aca="false">-MIN(N171,Inputs!$C$55/MAX(1,Inputs!$C$57*12))</f>
        <v>-4166.66666666667</v>
      </c>
      <c r="O173" s="67" t="n">
        <f aca="false">-MIN(O171,Inputs!$C$55/MAX(1,Inputs!$C$57*12))</f>
        <v>-4166.66666666667</v>
      </c>
      <c r="P173" s="67" t="n">
        <f aca="false">-MIN(P171,Inputs!$C$55/MAX(1,Inputs!$C$57*12))</f>
        <v>-4166.66666666667</v>
      </c>
      <c r="Q173" s="67" t="n">
        <f aca="false">-MIN(Q171,Inputs!$C$55/MAX(1,Inputs!$C$57*12))</f>
        <v>-4166.66666666667</v>
      </c>
      <c r="R173" s="67" t="n">
        <f aca="false">-MIN(R171,Inputs!$C$55/MAX(1,Inputs!$C$57*12))</f>
        <v>-4166.66666666667</v>
      </c>
      <c r="S173" s="67" t="n">
        <f aca="false">-MIN(S171,Inputs!$C$55/MAX(1,Inputs!$C$57*12))</f>
        <v>-4166.66666666667</v>
      </c>
      <c r="T173" s="67" t="n">
        <f aca="false">-MIN(T171,Inputs!$C$55/MAX(1,Inputs!$C$57*12))</f>
        <v>-4166.66666666667</v>
      </c>
      <c r="U173" s="67" t="n">
        <f aca="false">-MIN(U171,Inputs!$C$55/MAX(1,Inputs!$C$57*12))</f>
        <v>-4166.66666666667</v>
      </c>
      <c r="V173" s="67" t="n">
        <f aca="false">-MIN(V171,Inputs!$C$55/MAX(1,Inputs!$C$57*12))</f>
        <v>-4166.66666666667</v>
      </c>
      <c r="W173" s="67" t="n">
        <f aca="false">-MIN(W171,Inputs!$C$55/MAX(1,Inputs!$C$57*12))</f>
        <v>-4166.66666666667</v>
      </c>
      <c r="X173" s="67" t="n">
        <f aca="false">-MIN(X171,Inputs!$C$55/MAX(1,Inputs!$C$57*12))</f>
        <v>-4166.66666666667</v>
      </c>
      <c r="Y173" s="67" t="n">
        <f aca="false">-MIN(Y171,Inputs!$C$55/MAX(1,Inputs!$C$57*12))</f>
        <v>-4166.66666666667</v>
      </c>
      <c r="Z173" s="67" t="n">
        <f aca="false">-MIN(Z171,Inputs!$C$55/MAX(1,Inputs!$C$57*12))</f>
        <v>-4166.66666666667</v>
      </c>
      <c r="AA173" s="67" t="n">
        <f aca="false">-MIN(AA171,Inputs!$C$55/MAX(1,Inputs!$C$57*12))</f>
        <v>-4166.66666666667</v>
      </c>
      <c r="AB173" s="67" t="n">
        <f aca="false">-MIN(AB171,Inputs!$C$55/MAX(1,Inputs!$C$57*12))</f>
        <v>-4166.66666666667</v>
      </c>
      <c r="AC173" s="67" t="n">
        <f aca="false">-MIN(AC171,Inputs!$C$55/MAX(1,Inputs!$C$57*12))</f>
        <v>-4166.66666666667</v>
      </c>
      <c r="AD173" s="67" t="n">
        <f aca="false">-MIN(AD171,Inputs!$C$55/MAX(1,Inputs!$C$57*12))</f>
        <v>-4166.66666666667</v>
      </c>
      <c r="AE173" s="67" t="n">
        <f aca="false">-MIN(AE171,Inputs!$C$55/MAX(1,Inputs!$C$57*12))</f>
        <v>-4166.66666666667</v>
      </c>
      <c r="AF173" s="67" t="n">
        <f aca="false">-MIN(AF171,Inputs!$C$55/MAX(1,Inputs!$C$57*12))</f>
        <v>-4166.66666666667</v>
      </c>
      <c r="AG173" s="67" t="n">
        <f aca="false">-MIN(AG171,Inputs!$C$55/MAX(1,Inputs!$C$57*12))</f>
        <v>-4166.66666666667</v>
      </c>
      <c r="AH173" s="67" t="n">
        <f aca="false">-MIN(AH171,Inputs!$C$55/MAX(1,Inputs!$C$57*12))</f>
        <v>-4166.66666666667</v>
      </c>
      <c r="AI173" s="67" t="n">
        <f aca="false">-MIN(AI171,Inputs!$C$55/MAX(1,Inputs!$C$57*12))</f>
        <v>-4166.66666666667</v>
      </c>
      <c r="AJ173" s="67" t="n">
        <f aca="false">-MIN(AJ171,Inputs!$C$55/MAX(1,Inputs!$C$57*12))</f>
        <v>-4166.66666666667</v>
      </c>
      <c r="AK173" s="67" t="n">
        <f aca="false">-MIN(AK171,Inputs!$C$55/MAX(1,Inputs!$C$57*12))</f>
        <v>-4166.66666666667</v>
      </c>
      <c r="AL173" s="67" t="n">
        <f aca="false">-MIN(AL171,Inputs!$C$55/MAX(1,Inputs!$C$57*12))</f>
        <v>-4166.66666666667</v>
      </c>
    </row>
    <row r="174" customFormat="false" ht="15" hidden="false" customHeight="false" outlineLevel="0" collapsed="false">
      <c r="A174" s="4" t="s">
        <v>397</v>
      </c>
      <c r="C174" s="73" t="n">
        <f aca="false">C171+C172+C173</f>
        <v>250000</v>
      </c>
      <c r="D174" s="73" t="n">
        <f aca="false">D171+D172+D173</f>
        <v>245833.333333333</v>
      </c>
      <c r="E174" s="73" t="n">
        <f aca="false">E171+E172+E173</f>
        <v>241666.666666667</v>
      </c>
      <c r="F174" s="73" t="n">
        <f aca="false">F171+F172+F173</f>
        <v>237500</v>
      </c>
      <c r="G174" s="73" t="n">
        <f aca="false">G171+G172+G173</f>
        <v>233333.333333333</v>
      </c>
      <c r="H174" s="73" t="n">
        <f aca="false">H171+H172+H173</f>
        <v>229166.666666667</v>
      </c>
      <c r="I174" s="73" t="n">
        <f aca="false">I171+I172+I173</f>
        <v>225000</v>
      </c>
      <c r="J174" s="73" t="n">
        <f aca="false">J171+J172+J173</f>
        <v>220833.333333333</v>
      </c>
      <c r="K174" s="73" t="n">
        <f aca="false">K171+K172+K173</f>
        <v>216666.666666667</v>
      </c>
      <c r="L174" s="73" t="n">
        <f aca="false">L171+L172+L173</f>
        <v>212500</v>
      </c>
      <c r="M174" s="73" t="n">
        <f aca="false">M171+M172+M173</f>
        <v>208333.333333333</v>
      </c>
      <c r="N174" s="73" t="n">
        <f aca="false">N171+N172+N173</f>
        <v>204166.666666667</v>
      </c>
      <c r="O174" s="73" t="n">
        <f aca="false">O171+O172+O173</f>
        <v>200000</v>
      </c>
      <c r="P174" s="73" t="n">
        <f aca="false">P171+P172+P173</f>
        <v>195833.333333333</v>
      </c>
      <c r="Q174" s="73" t="n">
        <f aca="false">Q171+Q172+Q173</f>
        <v>191666.666666667</v>
      </c>
      <c r="R174" s="73" t="n">
        <f aca="false">R171+R172+R173</f>
        <v>187500</v>
      </c>
      <c r="S174" s="73" t="n">
        <f aca="false">S171+S172+S173</f>
        <v>183333.333333334</v>
      </c>
      <c r="T174" s="73" t="n">
        <f aca="false">T171+T172+T173</f>
        <v>179166.666666667</v>
      </c>
      <c r="U174" s="73" t="n">
        <f aca="false">U171+U172+U173</f>
        <v>175000</v>
      </c>
      <c r="V174" s="73" t="n">
        <f aca="false">V171+V172+V173</f>
        <v>170833.333333334</v>
      </c>
      <c r="W174" s="73" t="n">
        <f aca="false">W171+W172+W173</f>
        <v>166666.666666667</v>
      </c>
      <c r="X174" s="73" t="n">
        <f aca="false">X171+X172+X173</f>
        <v>162500</v>
      </c>
      <c r="Y174" s="73" t="n">
        <f aca="false">Y171+Y172+Y173</f>
        <v>158333.333333334</v>
      </c>
      <c r="Z174" s="73" t="n">
        <f aca="false">Z171+Z172+Z173</f>
        <v>154166.666666667</v>
      </c>
      <c r="AA174" s="73" t="n">
        <f aca="false">AA171+AA172+AA173</f>
        <v>150000</v>
      </c>
      <c r="AB174" s="73" t="n">
        <f aca="false">AB171+AB172+AB173</f>
        <v>145833.333333334</v>
      </c>
      <c r="AC174" s="73" t="n">
        <f aca="false">AC171+AC172+AC173</f>
        <v>141666.666666667</v>
      </c>
      <c r="AD174" s="73" t="n">
        <f aca="false">AD171+AD172+AD173</f>
        <v>137500</v>
      </c>
      <c r="AE174" s="73" t="n">
        <f aca="false">AE171+AE172+AE173</f>
        <v>133333.333333334</v>
      </c>
      <c r="AF174" s="73" t="n">
        <f aca="false">AF171+AF172+AF173</f>
        <v>129166.666666667</v>
      </c>
      <c r="AG174" s="73" t="n">
        <f aca="false">AG171+AG172+AG173</f>
        <v>125000</v>
      </c>
      <c r="AH174" s="73" t="n">
        <f aca="false">AH171+AH172+AH173</f>
        <v>120833.333333334</v>
      </c>
      <c r="AI174" s="73" t="n">
        <f aca="false">AI171+AI172+AI173</f>
        <v>116666.666666667</v>
      </c>
      <c r="AJ174" s="73" t="n">
        <f aca="false">AJ171+AJ172+AJ173</f>
        <v>112500</v>
      </c>
      <c r="AK174" s="73" t="n">
        <f aca="false">AK171+AK172+AK173</f>
        <v>108333.333333334</v>
      </c>
      <c r="AL174" s="73" t="n">
        <f aca="false">AL171+AL172+AL173</f>
        <v>104166.666666667</v>
      </c>
    </row>
    <row r="176" customFormat="false" ht="15.75" hidden="false" customHeight="true" outlineLevel="0" collapsed="false">
      <c r="A176" s="7" t="s">
        <v>305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customFormat="false" ht="15" hidden="false" customHeight="false" outlineLevel="0" collapsed="false">
      <c r="A177" s="6" t="s">
        <v>89</v>
      </c>
      <c r="C177" s="67" t="n">
        <f aca="false">C133*Inputs!$C$60/30</f>
        <v>44478.8888888889</v>
      </c>
      <c r="D177" s="67" t="n">
        <f aca="false">D133*Inputs!$C$60/30</f>
        <v>44478.8888888889</v>
      </c>
      <c r="E177" s="67" t="n">
        <f aca="false">E133*Inputs!$C$60/30</f>
        <v>44478.8888888889</v>
      </c>
      <c r="F177" s="67" t="n">
        <f aca="false">F133*Inputs!$C$60/30</f>
        <v>44478.8888888889</v>
      </c>
      <c r="G177" s="67" t="n">
        <f aca="false">G133*Inputs!$C$60/30</f>
        <v>44478.8888888889</v>
      </c>
      <c r="H177" s="67" t="n">
        <f aca="false">H133*Inputs!$C$60/30</f>
        <v>56566.6666666667</v>
      </c>
      <c r="I177" s="67" t="n">
        <f aca="false">I133*Inputs!$C$60/30</f>
        <v>56566.6666666667</v>
      </c>
      <c r="J177" s="67" t="n">
        <f aca="false">J133*Inputs!$C$60/30</f>
        <v>56566.6666666667</v>
      </c>
      <c r="K177" s="67" t="n">
        <f aca="false">K133*Inputs!$C$60/30</f>
        <v>44478.8888888889</v>
      </c>
      <c r="L177" s="67" t="n">
        <f aca="false">L133*Inputs!$C$60/30</f>
        <v>44478.8888888889</v>
      </c>
      <c r="M177" s="67" t="n">
        <f aca="false">M133*Inputs!$C$60/30</f>
        <v>44478.8888888889</v>
      </c>
      <c r="N177" s="67" t="n">
        <f aca="false">N133*Inputs!$C$60/30</f>
        <v>44478.8888888889</v>
      </c>
      <c r="O177" s="67" t="n">
        <f aca="false">O133*Inputs!$C$60/30</f>
        <v>52822.5772222222</v>
      </c>
      <c r="P177" s="67" t="n">
        <f aca="false">P133*Inputs!$C$60/30</f>
        <v>52822.5772222222</v>
      </c>
      <c r="Q177" s="67" t="n">
        <f aca="false">Q133*Inputs!$C$60/30</f>
        <v>52822.5772222222</v>
      </c>
      <c r="R177" s="67" t="n">
        <f aca="false">R133*Inputs!$C$60/30</f>
        <v>52822.5772222222</v>
      </c>
      <c r="S177" s="67" t="n">
        <f aca="false">S133*Inputs!$C$60/30</f>
        <v>52822.5772222222</v>
      </c>
      <c r="T177" s="67" t="n">
        <f aca="false">T133*Inputs!$C$60/30</f>
        <v>65475.04</v>
      </c>
      <c r="U177" s="67" t="n">
        <f aca="false">U133*Inputs!$C$60/30</f>
        <v>65475.04</v>
      </c>
      <c r="V177" s="67" t="n">
        <f aca="false">V133*Inputs!$C$60/30</f>
        <v>65475.04</v>
      </c>
      <c r="W177" s="67" t="n">
        <f aca="false">W133*Inputs!$C$60/30</f>
        <v>52822.5772222222</v>
      </c>
      <c r="X177" s="67" t="n">
        <f aca="false">X133*Inputs!$C$60/30</f>
        <v>52822.5772222222</v>
      </c>
      <c r="Y177" s="67" t="n">
        <f aca="false">Y133*Inputs!$C$60/30</f>
        <v>52822.5772222222</v>
      </c>
      <c r="Z177" s="67" t="n">
        <f aca="false">Z133*Inputs!$C$60/30</f>
        <v>52822.5772222222</v>
      </c>
      <c r="AA177" s="67" t="n">
        <f aca="false">AA133*Inputs!$C$60/30</f>
        <v>62738.0867197222</v>
      </c>
      <c r="AB177" s="67" t="n">
        <f aca="false">AB133*Inputs!$C$60/30</f>
        <v>62738.0867197222</v>
      </c>
      <c r="AC177" s="67" t="n">
        <f aca="false">AC133*Inputs!$C$60/30</f>
        <v>62738.0867197222</v>
      </c>
      <c r="AD177" s="67" t="n">
        <f aca="false">AD133*Inputs!$C$60/30</f>
        <v>62738.0867197222</v>
      </c>
      <c r="AE177" s="67" t="n">
        <f aca="false">AE133*Inputs!$C$60/30</f>
        <v>62738.0867197222</v>
      </c>
      <c r="AF177" s="67" t="n">
        <f aca="false">AF133*Inputs!$C$60/30</f>
        <v>75803.596544</v>
      </c>
      <c r="AG177" s="67" t="n">
        <f aca="false">AG133*Inputs!$C$60/30</f>
        <v>75803.596544</v>
      </c>
      <c r="AH177" s="67" t="n">
        <f aca="false">AH133*Inputs!$C$60/30</f>
        <v>75803.596544</v>
      </c>
      <c r="AI177" s="67" t="n">
        <f aca="false">AI133*Inputs!$C$60/30</f>
        <v>62738.0867197222</v>
      </c>
      <c r="AJ177" s="67" t="n">
        <f aca="false">AJ133*Inputs!$C$60/30</f>
        <v>62738.0867197222</v>
      </c>
      <c r="AK177" s="67" t="n">
        <f aca="false">AK133*Inputs!$C$60/30</f>
        <v>62738.0867197222</v>
      </c>
      <c r="AL177" s="67" t="n">
        <f aca="false">AL133*Inputs!$C$60/30</f>
        <v>62738.0867197222</v>
      </c>
    </row>
    <row r="178" customFormat="false" ht="15" hidden="false" customHeight="false" outlineLevel="0" collapsed="false">
      <c r="A178" s="6" t="s">
        <v>90</v>
      </c>
      <c r="C178" s="67" t="n">
        <f aca="false">-C140*Inputs!$C$61/30</f>
        <v>14208.4722222222</v>
      </c>
      <c r="D178" s="67" t="n">
        <f aca="false">-D140*Inputs!$C$61/30</f>
        <v>14208.4722222222</v>
      </c>
      <c r="E178" s="67" t="n">
        <f aca="false">-E140*Inputs!$C$61/30</f>
        <v>14208.4722222222</v>
      </c>
      <c r="F178" s="67" t="n">
        <f aca="false">-F140*Inputs!$C$61/30</f>
        <v>14208.4722222222</v>
      </c>
      <c r="G178" s="67" t="n">
        <f aca="false">-G140*Inputs!$C$61/30</f>
        <v>14208.4722222222</v>
      </c>
      <c r="H178" s="67" t="n">
        <f aca="false">-H140*Inputs!$C$61/30</f>
        <v>15719.4444444444</v>
      </c>
      <c r="I178" s="67" t="n">
        <f aca="false">-I140*Inputs!$C$61/30</f>
        <v>15719.4444444444</v>
      </c>
      <c r="J178" s="67" t="n">
        <f aca="false">-J140*Inputs!$C$61/30</f>
        <v>15719.4444444444</v>
      </c>
      <c r="K178" s="67" t="n">
        <f aca="false">-K140*Inputs!$C$61/30</f>
        <v>14208.4722222222</v>
      </c>
      <c r="L178" s="67" t="n">
        <f aca="false">-L140*Inputs!$C$61/30</f>
        <v>14208.4722222222</v>
      </c>
      <c r="M178" s="67" t="n">
        <f aca="false">-M140*Inputs!$C$61/30</f>
        <v>14208.4722222222</v>
      </c>
      <c r="N178" s="67" t="n">
        <f aca="false">-N140*Inputs!$C$61/30</f>
        <v>14208.4722222222</v>
      </c>
      <c r="O178" s="67" t="n">
        <f aca="false">-O140*Inputs!$C$61/30</f>
        <v>16545.3799305556</v>
      </c>
      <c r="P178" s="67" t="n">
        <f aca="false">-P140*Inputs!$C$61/30</f>
        <v>16545.3799305556</v>
      </c>
      <c r="Q178" s="67" t="n">
        <f aca="false">-Q140*Inputs!$C$61/30</f>
        <v>16545.3799305556</v>
      </c>
      <c r="R178" s="67" t="n">
        <f aca="false">-R140*Inputs!$C$61/30</f>
        <v>16545.3799305556</v>
      </c>
      <c r="S178" s="67" t="n">
        <f aca="false">-S140*Inputs!$C$61/30</f>
        <v>16545.3799305556</v>
      </c>
      <c r="T178" s="67" t="n">
        <f aca="false">-T140*Inputs!$C$61/30</f>
        <v>18126.9377777778</v>
      </c>
      <c r="U178" s="67" t="n">
        <f aca="false">-U140*Inputs!$C$61/30</f>
        <v>18126.9377777778</v>
      </c>
      <c r="V178" s="67" t="n">
        <f aca="false">-V140*Inputs!$C$61/30</f>
        <v>18126.9377777778</v>
      </c>
      <c r="W178" s="67" t="n">
        <f aca="false">-W140*Inputs!$C$61/30</f>
        <v>16545.3799305556</v>
      </c>
      <c r="X178" s="67" t="n">
        <f aca="false">-X140*Inputs!$C$61/30</f>
        <v>16545.3799305556</v>
      </c>
      <c r="Y178" s="67" t="n">
        <f aca="false">-Y140*Inputs!$C$61/30</f>
        <v>16545.3799305556</v>
      </c>
      <c r="Z178" s="67" t="n">
        <f aca="false">-Z140*Inputs!$C$61/30</f>
        <v>16545.3799305556</v>
      </c>
      <c r="AA178" s="67" t="n">
        <f aca="false">-AA140*Inputs!$C$61/30</f>
        <v>19275.2895724097</v>
      </c>
      <c r="AB178" s="67" t="n">
        <f aca="false">-AB140*Inputs!$C$61/30</f>
        <v>19275.2895724097</v>
      </c>
      <c r="AC178" s="67" t="n">
        <f aca="false">-AC140*Inputs!$C$61/30</f>
        <v>19275.2895724097</v>
      </c>
      <c r="AD178" s="67" t="n">
        <f aca="false">-AD140*Inputs!$C$61/30</f>
        <v>19275.2895724097</v>
      </c>
      <c r="AE178" s="67" t="n">
        <f aca="false">-AE140*Inputs!$C$61/30</f>
        <v>19275.2895724097</v>
      </c>
      <c r="AF178" s="67" t="n">
        <f aca="false">-AF140*Inputs!$C$61/30</f>
        <v>20908.4783004444</v>
      </c>
      <c r="AG178" s="67" t="n">
        <f aca="false">-AG140*Inputs!$C$61/30</f>
        <v>20908.4783004444</v>
      </c>
      <c r="AH178" s="67" t="n">
        <f aca="false">-AH140*Inputs!$C$61/30</f>
        <v>20908.4783004444</v>
      </c>
      <c r="AI178" s="67" t="n">
        <f aca="false">-AI140*Inputs!$C$61/30</f>
        <v>19275.2895724097</v>
      </c>
      <c r="AJ178" s="67" t="n">
        <f aca="false">-AJ140*Inputs!$C$61/30</f>
        <v>19275.2895724097</v>
      </c>
      <c r="AK178" s="67" t="n">
        <f aca="false">-AK140*Inputs!$C$61/30</f>
        <v>19275.2895724097</v>
      </c>
      <c r="AL178" s="67" t="n">
        <f aca="false">-AL140*Inputs!$C$61/30</f>
        <v>19275.2895724097</v>
      </c>
    </row>
    <row r="179" customFormat="false" ht="15" hidden="false" customHeight="false" outlineLevel="0" collapsed="false">
      <c r="A179" s="6" t="s">
        <v>93</v>
      </c>
      <c r="C179" s="67" t="n">
        <f aca="false">-C140*Inputs!$C$62/30</f>
        <v>56833.8888888889</v>
      </c>
      <c r="D179" s="67" t="n">
        <f aca="false">-D140*Inputs!$C$62/30</f>
        <v>56833.8888888889</v>
      </c>
      <c r="E179" s="67" t="n">
        <f aca="false">-E140*Inputs!$C$62/30</f>
        <v>56833.8888888889</v>
      </c>
      <c r="F179" s="67" t="n">
        <f aca="false">-F140*Inputs!$C$62/30</f>
        <v>56833.8888888889</v>
      </c>
      <c r="G179" s="67" t="n">
        <f aca="false">-G140*Inputs!$C$62/30</f>
        <v>56833.8888888889</v>
      </c>
      <c r="H179" s="67" t="n">
        <f aca="false">-H140*Inputs!$C$62/30</f>
        <v>62877.7777777778</v>
      </c>
      <c r="I179" s="67" t="n">
        <f aca="false">-I140*Inputs!$C$62/30</f>
        <v>62877.7777777778</v>
      </c>
      <c r="J179" s="67" t="n">
        <f aca="false">-J140*Inputs!$C$62/30</f>
        <v>62877.7777777778</v>
      </c>
      <c r="K179" s="67" t="n">
        <f aca="false">-K140*Inputs!$C$62/30</f>
        <v>56833.8888888889</v>
      </c>
      <c r="L179" s="67" t="n">
        <f aca="false">-L140*Inputs!$C$62/30</f>
        <v>56833.8888888889</v>
      </c>
      <c r="M179" s="67" t="n">
        <f aca="false">-M140*Inputs!$C$62/30</f>
        <v>56833.8888888889</v>
      </c>
      <c r="N179" s="67" t="n">
        <f aca="false">-N140*Inputs!$C$62/30</f>
        <v>56833.8888888889</v>
      </c>
      <c r="O179" s="67" t="n">
        <f aca="false">-O140*Inputs!$C$62/30</f>
        <v>66181.5197222222</v>
      </c>
      <c r="P179" s="67" t="n">
        <f aca="false">-P140*Inputs!$C$62/30</f>
        <v>66181.5197222222</v>
      </c>
      <c r="Q179" s="67" t="n">
        <f aca="false">-Q140*Inputs!$C$62/30</f>
        <v>66181.5197222222</v>
      </c>
      <c r="R179" s="67" t="n">
        <f aca="false">-R140*Inputs!$C$62/30</f>
        <v>66181.5197222222</v>
      </c>
      <c r="S179" s="67" t="n">
        <f aca="false">-S140*Inputs!$C$62/30</f>
        <v>66181.5197222222</v>
      </c>
      <c r="T179" s="67" t="n">
        <f aca="false">-T140*Inputs!$C$62/30</f>
        <v>72507.7511111111</v>
      </c>
      <c r="U179" s="67" t="n">
        <f aca="false">-U140*Inputs!$C$62/30</f>
        <v>72507.7511111111</v>
      </c>
      <c r="V179" s="67" t="n">
        <f aca="false">-V140*Inputs!$C$62/30</f>
        <v>72507.7511111111</v>
      </c>
      <c r="W179" s="67" t="n">
        <f aca="false">-W140*Inputs!$C$62/30</f>
        <v>66181.5197222222</v>
      </c>
      <c r="X179" s="67" t="n">
        <f aca="false">-X140*Inputs!$C$62/30</f>
        <v>66181.5197222222</v>
      </c>
      <c r="Y179" s="67" t="n">
        <f aca="false">-Y140*Inputs!$C$62/30</f>
        <v>66181.5197222222</v>
      </c>
      <c r="Z179" s="67" t="n">
        <f aca="false">-Z140*Inputs!$C$62/30</f>
        <v>66181.5197222222</v>
      </c>
      <c r="AA179" s="67" t="n">
        <f aca="false">-AA140*Inputs!$C$62/30</f>
        <v>77101.1582896389</v>
      </c>
      <c r="AB179" s="67" t="n">
        <f aca="false">-AB140*Inputs!$C$62/30</f>
        <v>77101.1582896389</v>
      </c>
      <c r="AC179" s="67" t="n">
        <f aca="false">-AC140*Inputs!$C$62/30</f>
        <v>77101.1582896389</v>
      </c>
      <c r="AD179" s="67" t="n">
        <f aca="false">-AD140*Inputs!$C$62/30</f>
        <v>77101.1582896389</v>
      </c>
      <c r="AE179" s="67" t="n">
        <f aca="false">-AE140*Inputs!$C$62/30</f>
        <v>77101.1582896389</v>
      </c>
      <c r="AF179" s="67" t="n">
        <f aca="false">-AF140*Inputs!$C$62/30</f>
        <v>83633.9132017778</v>
      </c>
      <c r="AG179" s="67" t="n">
        <f aca="false">-AG140*Inputs!$C$62/30</f>
        <v>83633.9132017778</v>
      </c>
      <c r="AH179" s="67" t="n">
        <f aca="false">-AH140*Inputs!$C$62/30</f>
        <v>83633.9132017778</v>
      </c>
      <c r="AI179" s="67" t="n">
        <f aca="false">-AI140*Inputs!$C$62/30</f>
        <v>77101.1582896389</v>
      </c>
      <c r="AJ179" s="67" t="n">
        <f aca="false">-AJ140*Inputs!$C$62/30</f>
        <v>77101.1582896389</v>
      </c>
      <c r="AK179" s="67" t="n">
        <f aca="false">-AK140*Inputs!$C$62/30</f>
        <v>77101.1582896389</v>
      </c>
      <c r="AL179" s="67" t="n">
        <f aca="false">-AL140*Inputs!$C$62/30</f>
        <v>77101.1582896389</v>
      </c>
    </row>
    <row r="180" customFormat="false" ht="15" hidden="false" customHeight="false" outlineLevel="0" collapsed="false">
      <c r="A180" s="6" t="s">
        <v>329</v>
      </c>
      <c r="C180" s="67" t="n">
        <f aca="false">-C177</f>
        <v>-44478.8888888889</v>
      </c>
      <c r="D180" s="67" t="n">
        <f aca="false">C177-D177</f>
        <v>0</v>
      </c>
      <c r="E180" s="67" t="n">
        <f aca="false">D177-E177</f>
        <v>0</v>
      </c>
      <c r="F180" s="67" t="n">
        <f aca="false">E177-F177</f>
        <v>0</v>
      </c>
      <c r="G180" s="67" t="n">
        <f aca="false">F177-G177</f>
        <v>0</v>
      </c>
      <c r="H180" s="67" t="n">
        <f aca="false">G177-H177</f>
        <v>-12087.7777777778</v>
      </c>
      <c r="I180" s="67" t="n">
        <f aca="false">H177-I177</f>
        <v>0</v>
      </c>
      <c r="J180" s="67" t="n">
        <f aca="false">I177-J177</f>
        <v>0</v>
      </c>
      <c r="K180" s="67" t="n">
        <f aca="false">J177-K177</f>
        <v>12087.7777777778</v>
      </c>
      <c r="L180" s="67" t="n">
        <f aca="false">K177-L177</f>
        <v>0</v>
      </c>
      <c r="M180" s="67" t="n">
        <f aca="false">L177-M177</f>
        <v>0</v>
      </c>
      <c r="N180" s="67" t="n">
        <f aca="false">M177-N177</f>
        <v>0</v>
      </c>
      <c r="O180" s="67" t="n">
        <f aca="false">N177-O177</f>
        <v>-8343.68833333334</v>
      </c>
      <c r="P180" s="67" t="n">
        <f aca="false">O177-P177</f>
        <v>0</v>
      </c>
      <c r="Q180" s="67" t="n">
        <f aca="false">P177-Q177</f>
        <v>0</v>
      </c>
      <c r="R180" s="67" t="n">
        <f aca="false">Q177-R177</f>
        <v>0</v>
      </c>
      <c r="S180" s="67" t="n">
        <f aca="false">R177-S177</f>
        <v>0</v>
      </c>
      <c r="T180" s="67" t="n">
        <f aca="false">S177-T177</f>
        <v>-12652.4627777778</v>
      </c>
      <c r="U180" s="67" t="n">
        <f aca="false">T177-U177</f>
        <v>0</v>
      </c>
      <c r="V180" s="67" t="n">
        <f aca="false">U177-V177</f>
        <v>0</v>
      </c>
      <c r="W180" s="67" t="n">
        <f aca="false">V177-W177</f>
        <v>12652.4627777778</v>
      </c>
      <c r="X180" s="67" t="n">
        <f aca="false">W177-X177</f>
        <v>0</v>
      </c>
      <c r="Y180" s="67" t="n">
        <f aca="false">X177-Y177</f>
        <v>0</v>
      </c>
      <c r="Z180" s="67" t="n">
        <f aca="false">Y177-Z177</f>
        <v>0</v>
      </c>
      <c r="AA180" s="67" t="n">
        <f aca="false">Z177-AA177</f>
        <v>-9915.5094975</v>
      </c>
      <c r="AB180" s="67" t="n">
        <f aca="false">AA177-AB177</f>
        <v>0</v>
      </c>
      <c r="AC180" s="67" t="n">
        <f aca="false">AB177-AC177</f>
        <v>0</v>
      </c>
      <c r="AD180" s="67" t="n">
        <f aca="false">AC177-AD177</f>
        <v>0</v>
      </c>
      <c r="AE180" s="67" t="n">
        <f aca="false">AD177-AE177</f>
        <v>0</v>
      </c>
      <c r="AF180" s="67" t="n">
        <f aca="false">AE177-AF177</f>
        <v>-13065.5098242778</v>
      </c>
      <c r="AG180" s="67" t="n">
        <f aca="false">AF177-AG177</f>
        <v>0</v>
      </c>
      <c r="AH180" s="67" t="n">
        <f aca="false">AG177-AH177</f>
        <v>0</v>
      </c>
      <c r="AI180" s="67" t="n">
        <f aca="false">AH177-AI177</f>
        <v>13065.5098242778</v>
      </c>
      <c r="AJ180" s="67" t="n">
        <f aca="false">AI177-AJ177</f>
        <v>0</v>
      </c>
      <c r="AK180" s="67" t="n">
        <f aca="false">AJ177-AK177</f>
        <v>0</v>
      </c>
      <c r="AL180" s="67" t="n">
        <f aca="false">AK177-AL177</f>
        <v>0</v>
      </c>
    </row>
    <row r="181" customFormat="false" ht="15" hidden="false" customHeight="false" outlineLevel="0" collapsed="false">
      <c r="A181" s="6" t="s">
        <v>330</v>
      </c>
      <c r="C181" s="67" t="n">
        <f aca="false">-C178</f>
        <v>-14208.4722222222</v>
      </c>
      <c r="D181" s="67" t="n">
        <f aca="false">C178-D178</f>
        <v>0</v>
      </c>
      <c r="E181" s="67" t="n">
        <f aca="false">D178-E178</f>
        <v>0</v>
      </c>
      <c r="F181" s="67" t="n">
        <f aca="false">E178-F178</f>
        <v>0</v>
      </c>
      <c r="G181" s="67" t="n">
        <f aca="false">F178-G178</f>
        <v>0</v>
      </c>
      <c r="H181" s="67" t="n">
        <f aca="false">G178-H178</f>
        <v>-1510.97222222222</v>
      </c>
      <c r="I181" s="67" t="n">
        <f aca="false">H178-I178</f>
        <v>0</v>
      </c>
      <c r="J181" s="67" t="n">
        <f aca="false">I178-J178</f>
        <v>0</v>
      </c>
      <c r="K181" s="67" t="n">
        <f aca="false">J178-K178</f>
        <v>1510.97222222222</v>
      </c>
      <c r="L181" s="67" t="n">
        <f aca="false">K178-L178</f>
        <v>0</v>
      </c>
      <c r="M181" s="67" t="n">
        <f aca="false">L178-M178</f>
        <v>0</v>
      </c>
      <c r="N181" s="67" t="n">
        <f aca="false">M178-N178</f>
        <v>0</v>
      </c>
      <c r="O181" s="67" t="n">
        <f aca="false">N178-O178</f>
        <v>-2336.90770833333</v>
      </c>
      <c r="P181" s="67" t="n">
        <f aca="false">O178-P178</f>
        <v>0</v>
      </c>
      <c r="Q181" s="67" t="n">
        <f aca="false">P178-Q178</f>
        <v>0</v>
      </c>
      <c r="R181" s="67" t="n">
        <f aca="false">Q178-R178</f>
        <v>0</v>
      </c>
      <c r="S181" s="67" t="n">
        <f aca="false">R178-S178</f>
        <v>0</v>
      </c>
      <c r="T181" s="67" t="n">
        <f aca="false">S178-T178</f>
        <v>-1581.55784722222</v>
      </c>
      <c r="U181" s="67" t="n">
        <f aca="false">T178-U178</f>
        <v>0</v>
      </c>
      <c r="V181" s="67" t="n">
        <f aca="false">U178-V178</f>
        <v>0</v>
      </c>
      <c r="W181" s="67" t="n">
        <f aca="false">V178-W178</f>
        <v>1581.55784722222</v>
      </c>
      <c r="X181" s="67" t="n">
        <f aca="false">W178-X178</f>
        <v>0</v>
      </c>
      <c r="Y181" s="67" t="n">
        <f aca="false">X178-Y178</f>
        <v>0</v>
      </c>
      <c r="Z181" s="67" t="n">
        <f aca="false">Y178-Z178</f>
        <v>0</v>
      </c>
      <c r="AA181" s="67" t="n">
        <f aca="false">Z178-AA178</f>
        <v>-2729.90964185416</v>
      </c>
      <c r="AB181" s="67" t="n">
        <f aca="false">AA178-AB178</f>
        <v>0</v>
      </c>
      <c r="AC181" s="67" t="n">
        <f aca="false">AB178-AC178</f>
        <v>0</v>
      </c>
      <c r="AD181" s="67" t="n">
        <f aca="false">AC178-AD178</f>
        <v>0</v>
      </c>
      <c r="AE181" s="67" t="n">
        <f aca="false">AD178-AE178</f>
        <v>0</v>
      </c>
      <c r="AF181" s="67" t="n">
        <f aca="false">AE178-AF178</f>
        <v>-1633.18872803473</v>
      </c>
      <c r="AG181" s="67" t="n">
        <f aca="false">AF178-AG178</f>
        <v>0</v>
      </c>
      <c r="AH181" s="67" t="n">
        <f aca="false">AG178-AH178</f>
        <v>0</v>
      </c>
      <c r="AI181" s="67" t="n">
        <f aca="false">AH178-AI178</f>
        <v>1633.18872803473</v>
      </c>
      <c r="AJ181" s="67" t="n">
        <f aca="false">AI178-AJ178</f>
        <v>0</v>
      </c>
      <c r="AK181" s="67" t="n">
        <f aca="false">AJ178-AK178</f>
        <v>0</v>
      </c>
      <c r="AL181" s="67" t="n">
        <f aca="false">AK178-AL178</f>
        <v>0</v>
      </c>
    </row>
    <row r="182" customFormat="false" ht="15" hidden="false" customHeight="false" outlineLevel="0" collapsed="false">
      <c r="A182" s="6" t="s">
        <v>331</v>
      </c>
      <c r="C182" s="67" t="n">
        <f aca="false">C179</f>
        <v>56833.8888888889</v>
      </c>
      <c r="D182" s="67" t="n">
        <f aca="false">D179-C179</f>
        <v>0</v>
      </c>
      <c r="E182" s="67" t="n">
        <f aca="false">E179-D179</f>
        <v>0</v>
      </c>
      <c r="F182" s="67" t="n">
        <f aca="false">F179-E179</f>
        <v>0</v>
      </c>
      <c r="G182" s="67" t="n">
        <f aca="false">G179-F179</f>
        <v>0</v>
      </c>
      <c r="H182" s="67" t="n">
        <f aca="false">H179-G179</f>
        <v>6043.88888888888</v>
      </c>
      <c r="I182" s="67" t="n">
        <f aca="false">I179-H179</f>
        <v>0</v>
      </c>
      <c r="J182" s="67" t="n">
        <f aca="false">J179-I179</f>
        <v>0</v>
      </c>
      <c r="K182" s="67" t="n">
        <f aca="false">K179-J179</f>
        <v>-6043.88888888888</v>
      </c>
      <c r="L182" s="67" t="n">
        <f aca="false">L179-K179</f>
        <v>0</v>
      </c>
      <c r="M182" s="67" t="n">
        <f aca="false">M179-L179</f>
        <v>0</v>
      </c>
      <c r="N182" s="67" t="n">
        <f aca="false">N179-M179</f>
        <v>0</v>
      </c>
      <c r="O182" s="67" t="n">
        <f aca="false">O179-N179</f>
        <v>9347.63083333334</v>
      </c>
      <c r="P182" s="67" t="n">
        <f aca="false">P179-O179</f>
        <v>0</v>
      </c>
      <c r="Q182" s="67" t="n">
        <f aca="false">Q179-P179</f>
        <v>0</v>
      </c>
      <c r="R182" s="67" t="n">
        <f aca="false">R179-Q179</f>
        <v>0</v>
      </c>
      <c r="S182" s="67" t="n">
        <f aca="false">S179-R179</f>
        <v>0</v>
      </c>
      <c r="T182" s="67" t="n">
        <f aca="false">T179-S179</f>
        <v>6326.23138888889</v>
      </c>
      <c r="U182" s="67" t="n">
        <f aca="false">U179-T179</f>
        <v>0</v>
      </c>
      <c r="V182" s="67" t="n">
        <f aca="false">V179-U179</f>
        <v>0</v>
      </c>
      <c r="W182" s="67" t="n">
        <f aca="false">W179-V179</f>
        <v>-6326.23138888889</v>
      </c>
      <c r="X182" s="67" t="n">
        <f aca="false">X179-W179</f>
        <v>0</v>
      </c>
      <c r="Y182" s="67" t="n">
        <f aca="false">Y179-X179</f>
        <v>0</v>
      </c>
      <c r="Z182" s="67" t="n">
        <f aca="false">Z179-Y179</f>
        <v>0</v>
      </c>
      <c r="AA182" s="67" t="n">
        <f aca="false">AA179-Z179</f>
        <v>10919.6385674167</v>
      </c>
      <c r="AB182" s="67" t="n">
        <f aca="false">AB179-AA179</f>
        <v>0</v>
      </c>
      <c r="AC182" s="67" t="n">
        <f aca="false">AC179-AB179</f>
        <v>0</v>
      </c>
      <c r="AD182" s="67" t="n">
        <f aca="false">AD179-AC179</f>
        <v>0</v>
      </c>
      <c r="AE182" s="67" t="n">
        <f aca="false">AE179-AD179</f>
        <v>0</v>
      </c>
      <c r="AF182" s="67" t="n">
        <f aca="false">AF179-AE179</f>
        <v>6532.7549121389</v>
      </c>
      <c r="AG182" s="67" t="n">
        <f aca="false">AG179-AF179</f>
        <v>0</v>
      </c>
      <c r="AH182" s="67" t="n">
        <f aca="false">AH179-AG179</f>
        <v>0</v>
      </c>
      <c r="AI182" s="67" t="n">
        <f aca="false">AI179-AH179</f>
        <v>-6532.7549121389</v>
      </c>
      <c r="AJ182" s="67" t="n">
        <f aca="false">AJ179-AI179</f>
        <v>0</v>
      </c>
      <c r="AK182" s="67" t="n">
        <f aca="false">AK179-AJ179</f>
        <v>0</v>
      </c>
      <c r="AL182" s="67" t="n">
        <f aca="false">AL179-AK179</f>
        <v>0</v>
      </c>
    </row>
    <row r="184" customFormat="false" ht="15.75" hidden="false" customHeight="true" outlineLevel="0" collapsed="false">
      <c r="A184" s="7" t="s">
        <v>398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customFormat="false" ht="15" hidden="false" customHeight="false" outlineLevel="0" collapsed="false">
      <c r="A185" s="4" t="s">
        <v>52</v>
      </c>
      <c r="C185" s="73" t="n">
        <f aca="false">C161-C166+C180+C181+C182</f>
        <v>9238.11534444444</v>
      </c>
      <c r="D185" s="73" t="n">
        <f aca="false">D161-D166+D180+D181+D182</f>
        <v>11102.5597888889</v>
      </c>
      <c r="E185" s="73" t="n">
        <f aca="false">E161-E166+E180+E181+E182</f>
        <v>11124.5042333333</v>
      </c>
      <c r="F185" s="73" t="n">
        <f aca="false">F161-F166+F180+F181+F182</f>
        <v>11146.4486777778</v>
      </c>
      <c r="G185" s="73" t="n">
        <f aca="false">G161-G166+G180+G181+G182</f>
        <v>11168.3931222222</v>
      </c>
      <c r="H185" s="73" t="n">
        <f aca="false">H161-H166+H180+H181+H182</f>
        <v>24348.0045555555</v>
      </c>
      <c r="I185" s="73" t="n">
        <f aca="false">I161-I166+I180+I181+I182</f>
        <v>31924.8101111111</v>
      </c>
      <c r="J185" s="73" t="n">
        <f aca="false">J161-J166+J180+J181+J182</f>
        <v>31946.7545555556</v>
      </c>
      <c r="K185" s="73" t="n">
        <f aca="false">K161-K166+K180+K181+K182</f>
        <v>18811.0320111111</v>
      </c>
      <c r="L185" s="73" t="n">
        <f aca="false">L161-L166+L180+L181+L182</f>
        <v>11278.1153444444</v>
      </c>
      <c r="M185" s="73" t="n">
        <f aca="false">M161-M166+M180+M181+M182</f>
        <v>11300.0597888889</v>
      </c>
      <c r="N185" s="73" t="n">
        <f aca="false">N161-N166+N180+N181+N182</f>
        <v>11322.0042333333</v>
      </c>
      <c r="O185" s="73" t="n">
        <f aca="false">O161-O166+O180+O181+O182</f>
        <v>16254.6089154944</v>
      </c>
      <c r="P185" s="73" t="n">
        <f aca="false">P161-P166+P180+P181+P182</f>
        <v>17609.5185682722</v>
      </c>
      <c r="Q185" s="73" t="n">
        <f aca="false">Q161-Q166+Q180+Q181+Q182</f>
        <v>17631.4630127167</v>
      </c>
      <c r="R185" s="73" t="n">
        <f aca="false">R161-R166+R180+R181+R182</f>
        <v>17653.4074571611</v>
      </c>
      <c r="S185" s="73" t="n">
        <f aca="false">S161-S166+S180+S181+S182</f>
        <v>17675.3519016055</v>
      </c>
      <c r="T185" s="73" t="n">
        <f aca="false">T161-T166+T180+T181+T182</f>
        <v>31469.6286042889</v>
      </c>
      <c r="U185" s="73" t="n">
        <f aca="false">U161-U166+U180+U181+U182</f>
        <v>39399.3622848444</v>
      </c>
      <c r="V185" s="73" t="n">
        <f aca="false">V161-V166+V180+V181+V182</f>
        <v>39421.3067292889</v>
      </c>
      <c r="W185" s="73" t="n">
        <f aca="false">W161-W166+W180+W181+W182</f>
        <v>25670.9189154944</v>
      </c>
      <c r="X185" s="73" t="n">
        <f aca="false">X161-X166+X180+X181+X182</f>
        <v>17785.0741238278</v>
      </c>
      <c r="Y185" s="73" t="n">
        <f aca="false">Y161-Y166+Y180+Y181+Y182</f>
        <v>17807.0185682722</v>
      </c>
      <c r="Z185" s="73" t="n">
        <f aca="false">Z161-Z166+Z180+Z181+Z182</f>
        <v>17828.9630127167</v>
      </c>
      <c r="AA185" s="73" t="n">
        <f aca="false">AA161-AA166+AA180+AA181+AA182</f>
        <v>23856.3752254148</v>
      </c>
      <c r="AB185" s="73" t="n">
        <f aca="false">AB161-AB166+AB180+AB181+AB182</f>
        <v>25604.1002417968</v>
      </c>
      <c r="AC185" s="73" t="n">
        <f aca="false">AC161-AC166+AC180+AC181+AC182</f>
        <v>25626.0446862412</v>
      </c>
      <c r="AD185" s="73" t="n">
        <f aca="false">AD161-AD166+AD180+AD181+AD182</f>
        <v>25647.9891306857</v>
      </c>
      <c r="AE185" s="73" t="n">
        <f aca="false">AE161-AE166+AE180+AE181+AE182</f>
        <v>25669.9335751301</v>
      </c>
      <c r="AF185" s="73" t="n">
        <f aca="false">AF161-AF166+AF180+AF181+AF182</f>
        <v>39913.8161183992</v>
      </c>
      <c r="AG185" s="73" t="n">
        <f aca="false">AG161-AG166+AG180+AG181+AG182</f>
        <v>48101.7042030172</v>
      </c>
      <c r="AH185" s="73" t="n">
        <f aca="false">AH161-AH166+AH180+AH181+AH182</f>
        <v>48123.6486474617</v>
      </c>
      <c r="AI185" s="73" t="n">
        <f aca="false">AI161-AI166+AI180+AI181+AI182</f>
        <v>33923.6549930815</v>
      </c>
      <c r="AJ185" s="73" t="n">
        <f aca="false">AJ161-AJ166+AJ180+AJ181+AJ182</f>
        <v>25779.6557973523</v>
      </c>
      <c r="AK185" s="73" t="n">
        <f aca="false">AK161-AK166+AK180+AK181+AK182</f>
        <v>25801.6002417968</v>
      </c>
      <c r="AL185" s="73" t="n">
        <f aca="false">AL161-AL166+AL180+AL181+AL182</f>
        <v>25823.5446862412</v>
      </c>
    </row>
    <row r="186" customFormat="false" ht="15" hidden="false" customHeight="false" outlineLevel="0" collapsed="false">
      <c r="A186" s="6" t="s">
        <v>399</v>
      </c>
      <c r="C186" s="67" t="n">
        <f aca="false">-C164</f>
        <v>-20000</v>
      </c>
      <c r="D186" s="67" t="n">
        <f aca="false">-D164</f>
        <v>-0</v>
      </c>
      <c r="E186" s="67" t="n">
        <f aca="false">-E164</f>
        <v>-0</v>
      </c>
      <c r="F186" s="67" t="n">
        <f aca="false">-F164</f>
        <v>-0</v>
      </c>
      <c r="G186" s="67" t="n">
        <f aca="false">-G164</f>
        <v>-0</v>
      </c>
      <c r="H186" s="67" t="n">
        <f aca="false">-H164</f>
        <v>-0</v>
      </c>
      <c r="I186" s="67" t="n">
        <f aca="false">-I164</f>
        <v>-0</v>
      </c>
      <c r="J186" s="67" t="n">
        <f aca="false">-J164</f>
        <v>-0</v>
      </c>
      <c r="K186" s="67" t="n">
        <f aca="false">-K164</f>
        <v>-0</v>
      </c>
      <c r="L186" s="67" t="n">
        <f aca="false">-L164</f>
        <v>-0</v>
      </c>
      <c r="M186" s="67" t="n">
        <f aca="false">-M164</f>
        <v>-0</v>
      </c>
      <c r="N186" s="67" t="n">
        <f aca="false">-N164</f>
        <v>-0</v>
      </c>
      <c r="O186" s="67" t="n">
        <f aca="false">-O164</f>
        <v>-37800</v>
      </c>
      <c r="P186" s="67" t="n">
        <f aca="false">-P164</f>
        <v>-0</v>
      </c>
      <c r="Q186" s="67" t="n">
        <f aca="false">-Q164</f>
        <v>-0</v>
      </c>
      <c r="R186" s="67" t="n">
        <f aca="false">-R164</f>
        <v>-0</v>
      </c>
      <c r="S186" s="67" t="n">
        <f aca="false">-S164</f>
        <v>-0</v>
      </c>
      <c r="T186" s="67" t="n">
        <f aca="false">-T164</f>
        <v>-0</v>
      </c>
      <c r="U186" s="67" t="n">
        <f aca="false">-U164</f>
        <v>-0</v>
      </c>
      <c r="V186" s="67" t="n">
        <f aca="false">-V164</f>
        <v>-0</v>
      </c>
      <c r="W186" s="67" t="n">
        <f aca="false">-W164</f>
        <v>-0</v>
      </c>
      <c r="X186" s="67" t="n">
        <f aca="false">-X164</f>
        <v>-0</v>
      </c>
      <c r="Y186" s="67" t="n">
        <f aca="false">-Y164</f>
        <v>-0</v>
      </c>
      <c r="Z186" s="67" t="n">
        <f aca="false">-Z164</f>
        <v>-0</v>
      </c>
      <c r="AA186" s="67" t="n">
        <f aca="false">-AA164</f>
        <v>-42336</v>
      </c>
      <c r="AB186" s="67" t="n">
        <f aca="false">-AB164</f>
        <v>-0</v>
      </c>
      <c r="AC186" s="67" t="n">
        <f aca="false">-AC164</f>
        <v>-0</v>
      </c>
      <c r="AD186" s="67" t="n">
        <f aca="false">-AD164</f>
        <v>-0</v>
      </c>
      <c r="AE186" s="67" t="n">
        <f aca="false">-AE164</f>
        <v>-0</v>
      </c>
      <c r="AF186" s="67" t="n">
        <f aca="false">-AF164</f>
        <v>-0</v>
      </c>
      <c r="AG186" s="67" t="n">
        <f aca="false">-AG164</f>
        <v>-0</v>
      </c>
      <c r="AH186" s="67" t="n">
        <f aca="false">-AH164</f>
        <v>-0</v>
      </c>
      <c r="AI186" s="67" t="n">
        <f aca="false">-AI164</f>
        <v>-0</v>
      </c>
      <c r="AJ186" s="67" t="n">
        <f aca="false">-AJ164</f>
        <v>-0</v>
      </c>
      <c r="AK186" s="67" t="n">
        <f aca="false">-AK164</f>
        <v>-0</v>
      </c>
      <c r="AL186" s="67" t="n">
        <f aca="false">-AL164</f>
        <v>-0</v>
      </c>
    </row>
    <row r="187" customFormat="false" ht="15" hidden="false" customHeight="false" outlineLevel="0" collapsed="false">
      <c r="A187" s="6" t="s">
        <v>63</v>
      </c>
      <c r="C187" s="67" t="n">
        <f aca="false">IF(C$115=1,Inputs!$C$54,0)</f>
        <v>100000</v>
      </c>
      <c r="D187" s="67" t="n">
        <f aca="false">IF(D$115=1,Inputs!$C$54,0)</f>
        <v>0</v>
      </c>
      <c r="E187" s="67" t="n">
        <f aca="false">IF(E$115=1,Inputs!$C$54,0)</f>
        <v>0</v>
      </c>
      <c r="F187" s="67" t="n">
        <f aca="false">IF(F$115=1,Inputs!$C$54,0)</f>
        <v>0</v>
      </c>
      <c r="G187" s="67" t="n">
        <f aca="false">IF(G$115=1,Inputs!$C$54,0)</f>
        <v>0</v>
      </c>
      <c r="H187" s="67" t="n">
        <f aca="false">IF(H$115=1,Inputs!$C$54,0)</f>
        <v>0</v>
      </c>
      <c r="I187" s="67" t="n">
        <f aca="false">IF(I$115=1,Inputs!$C$54,0)</f>
        <v>0</v>
      </c>
      <c r="J187" s="67" t="n">
        <f aca="false">IF(J$115=1,Inputs!$C$54,0)</f>
        <v>0</v>
      </c>
      <c r="K187" s="67" t="n">
        <f aca="false">IF(K$115=1,Inputs!$C$54,0)</f>
        <v>0</v>
      </c>
      <c r="L187" s="67" t="n">
        <f aca="false">IF(L$115=1,Inputs!$C$54,0)</f>
        <v>0</v>
      </c>
      <c r="M187" s="67" t="n">
        <f aca="false">IF(M$115=1,Inputs!$C$54,0)</f>
        <v>0</v>
      </c>
      <c r="N187" s="67" t="n">
        <f aca="false">IF(N$115=1,Inputs!$C$54,0)</f>
        <v>0</v>
      </c>
      <c r="O187" s="67" t="n">
        <f aca="false">IF(O$115=1,Inputs!$C$54,0)</f>
        <v>0</v>
      </c>
      <c r="P187" s="67" t="n">
        <f aca="false">IF(P$115=1,Inputs!$C$54,0)</f>
        <v>0</v>
      </c>
      <c r="Q187" s="67" t="n">
        <f aca="false">IF(Q$115=1,Inputs!$C$54,0)</f>
        <v>0</v>
      </c>
      <c r="R187" s="67" t="n">
        <f aca="false">IF(R$115=1,Inputs!$C$54,0)</f>
        <v>0</v>
      </c>
      <c r="S187" s="67" t="n">
        <f aca="false">IF(S$115=1,Inputs!$C$54,0)</f>
        <v>0</v>
      </c>
      <c r="T187" s="67" t="n">
        <f aca="false">IF(T$115=1,Inputs!$C$54,0)</f>
        <v>0</v>
      </c>
      <c r="U187" s="67" t="n">
        <f aca="false">IF(U$115=1,Inputs!$C$54,0)</f>
        <v>0</v>
      </c>
      <c r="V187" s="67" t="n">
        <f aca="false">IF(V$115=1,Inputs!$C$54,0)</f>
        <v>0</v>
      </c>
      <c r="W187" s="67" t="n">
        <f aca="false">IF(W$115=1,Inputs!$C$54,0)</f>
        <v>0</v>
      </c>
      <c r="X187" s="67" t="n">
        <f aca="false">IF(X$115=1,Inputs!$C$54,0)</f>
        <v>0</v>
      </c>
      <c r="Y187" s="67" t="n">
        <f aca="false">IF(Y$115=1,Inputs!$C$54,0)</f>
        <v>0</v>
      </c>
      <c r="Z187" s="67" t="n">
        <f aca="false">IF(Z$115=1,Inputs!$C$54,0)</f>
        <v>0</v>
      </c>
      <c r="AA187" s="67" t="n">
        <f aca="false">IF(AA$115=1,Inputs!$C$54,0)</f>
        <v>0</v>
      </c>
      <c r="AB187" s="67" t="n">
        <f aca="false">IF(AB$115=1,Inputs!$C$54,0)</f>
        <v>0</v>
      </c>
      <c r="AC187" s="67" t="n">
        <f aca="false">IF(AC$115=1,Inputs!$C$54,0)</f>
        <v>0</v>
      </c>
      <c r="AD187" s="67" t="n">
        <f aca="false">IF(AD$115=1,Inputs!$C$54,0)</f>
        <v>0</v>
      </c>
      <c r="AE187" s="67" t="n">
        <f aca="false">IF(AE$115=1,Inputs!$C$54,0)</f>
        <v>0</v>
      </c>
      <c r="AF187" s="67" t="n">
        <f aca="false">IF(AF$115=1,Inputs!$C$54,0)</f>
        <v>0</v>
      </c>
      <c r="AG187" s="67" t="n">
        <f aca="false">IF(AG$115=1,Inputs!$C$54,0)</f>
        <v>0</v>
      </c>
      <c r="AH187" s="67" t="n">
        <f aca="false">IF(AH$115=1,Inputs!$C$54,0)</f>
        <v>0</v>
      </c>
      <c r="AI187" s="67" t="n">
        <f aca="false">IF(AI$115=1,Inputs!$C$54,0)</f>
        <v>0</v>
      </c>
      <c r="AJ187" s="67" t="n">
        <f aca="false">IF(AJ$115=1,Inputs!$C$54,0)</f>
        <v>0</v>
      </c>
      <c r="AK187" s="67" t="n">
        <f aca="false">IF(AK$115=1,Inputs!$C$54,0)</f>
        <v>0</v>
      </c>
      <c r="AL187" s="67" t="n">
        <f aca="false">IF(AL$115=1,Inputs!$C$54,0)</f>
        <v>0</v>
      </c>
    </row>
    <row r="188" customFormat="false" ht="15" hidden="false" customHeight="false" outlineLevel="0" collapsed="false">
      <c r="A188" s="6" t="s">
        <v>54</v>
      </c>
      <c r="C188" s="67" t="n">
        <f aca="false">C187+C172+C173</f>
        <v>350000</v>
      </c>
      <c r="D188" s="67" t="n">
        <f aca="false">D187+D172+D173</f>
        <v>-4166.66666666667</v>
      </c>
      <c r="E188" s="67" t="n">
        <f aca="false">E187+E172+E173</f>
        <v>-4166.66666666667</v>
      </c>
      <c r="F188" s="67" t="n">
        <f aca="false">F187+F172+F173</f>
        <v>-4166.66666666667</v>
      </c>
      <c r="G188" s="67" t="n">
        <f aca="false">G187+G172+G173</f>
        <v>-4166.66666666667</v>
      </c>
      <c r="H188" s="67" t="n">
        <f aca="false">H187+H172+H173</f>
        <v>-4166.66666666667</v>
      </c>
      <c r="I188" s="67" t="n">
        <f aca="false">I187+I172+I173</f>
        <v>-4166.66666666667</v>
      </c>
      <c r="J188" s="67" t="n">
        <f aca="false">J187+J172+J173</f>
        <v>-4166.66666666667</v>
      </c>
      <c r="K188" s="67" t="n">
        <f aca="false">K187+K172+K173</f>
        <v>-4166.66666666667</v>
      </c>
      <c r="L188" s="67" t="n">
        <f aca="false">L187+L172+L173</f>
        <v>-4166.66666666667</v>
      </c>
      <c r="M188" s="67" t="n">
        <f aca="false">M187+M172+M173</f>
        <v>-4166.66666666667</v>
      </c>
      <c r="N188" s="67" t="n">
        <f aca="false">N187+N172+N173</f>
        <v>-4166.66666666667</v>
      </c>
      <c r="O188" s="67" t="n">
        <f aca="false">O187+O172+O173</f>
        <v>-4166.66666666667</v>
      </c>
      <c r="P188" s="67" t="n">
        <f aca="false">P187+P172+P173</f>
        <v>-4166.66666666667</v>
      </c>
      <c r="Q188" s="67" t="n">
        <f aca="false">Q187+Q172+Q173</f>
        <v>-4166.66666666667</v>
      </c>
      <c r="R188" s="67" t="n">
        <f aca="false">R187+R172+R173</f>
        <v>-4166.66666666667</v>
      </c>
      <c r="S188" s="67" t="n">
        <f aca="false">S187+S172+S173</f>
        <v>-4166.66666666667</v>
      </c>
      <c r="T188" s="67" t="n">
        <f aca="false">T187+T172+T173</f>
        <v>-4166.66666666667</v>
      </c>
      <c r="U188" s="67" t="n">
        <f aca="false">U187+U172+U173</f>
        <v>-4166.66666666667</v>
      </c>
      <c r="V188" s="67" t="n">
        <f aca="false">V187+V172+V173</f>
        <v>-4166.66666666667</v>
      </c>
      <c r="W188" s="67" t="n">
        <f aca="false">W187+W172+W173</f>
        <v>-4166.66666666667</v>
      </c>
      <c r="X188" s="67" t="n">
        <f aca="false">X187+X172+X173</f>
        <v>-4166.66666666667</v>
      </c>
      <c r="Y188" s="67" t="n">
        <f aca="false">Y187+Y172+Y173</f>
        <v>-4166.66666666667</v>
      </c>
      <c r="Z188" s="67" t="n">
        <f aca="false">Z187+Z172+Z173</f>
        <v>-4166.66666666667</v>
      </c>
      <c r="AA188" s="67" t="n">
        <f aca="false">AA187+AA172+AA173</f>
        <v>-4166.66666666667</v>
      </c>
      <c r="AB188" s="67" t="n">
        <f aca="false">AB187+AB172+AB173</f>
        <v>-4166.66666666667</v>
      </c>
      <c r="AC188" s="67" t="n">
        <f aca="false">AC187+AC172+AC173</f>
        <v>-4166.66666666667</v>
      </c>
      <c r="AD188" s="67" t="n">
        <f aca="false">AD187+AD172+AD173</f>
        <v>-4166.66666666667</v>
      </c>
      <c r="AE188" s="67" t="n">
        <f aca="false">AE187+AE172+AE173</f>
        <v>-4166.66666666667</v>
      </c>
      <c r="AF188" s="67" t="n">
        <f aca="false">AF187+AF172+AF173</f>
        <v>-4166.66666666667</v>
      </c>
      <c r="AG188" s="67" t="n">
        <f aca="false">AG187+AG172+AG173</f>
        <v>-4166.66666666667</v>
      </c>
      <c r="AH188" s="67" t="n">
        <f aca="false">AH187+AH172+AH173</f>
        <v>-4166.66666666667</v>
      </c>
      <c r="AI188" s="67" t="n">
        <f aca="false">AI187+AI172+AI173</f>
        <v>-4166.66666666667</v>
      </c>
      <c r="AJ188" s="67" t="n">
        <f aca="false">AJ187+AJ172+AJ173</f>
        <v>-4166.66666666667</v>
      </c>
      <c r="AK188" s="67" t="n">
        <f aca="false">AK187+AK172+AK173</f>
        <v>-4166.66666666667</v>
      </c>
      <c r="AL188" s="67" t="n">
        <f aca="false">AL187+AL172+AL173</f>
        <v>-4166.66666666667</v>
      </c>
    </row>
    <row r="189" customFormat="false" ht="15" hidden="false" customHeight="false" outlineLevel="0" collapsed="false">
      <c r="A189" s="113" t="s">
        <v>400</v>
      </c>
      <c r="C189" s="68" t="n">
        <f aca="false">C185+C186+C188</f>
        <v>339238.115344444</v>
      </c>
      <c r="D189" s="68" t="n">
        <f aca="false">D185+D186+D188</f>
        <v>6935.89312222222</v>
      </c>
      <c r="E189" s="68" t="n">
        <f aca="false">E185+E186+E188</f>
        <v>6957.83756666666</v>
      </c>
      <c r="F189" s="68" t="n">
        <f aca="false">F185+F186+F188</f>
        <v>6979.78201111111</v>
      </c>
      <c r="G189" s="68" t="n">
        <f aca="false">G185+G186+G188</f>
        <v>7001.72645555555</v>
      </c>
      <c r="H189" s="68" t="n">
        <f aca="false">H185+H186+H188</f>
        <v>20181.3378888889</v>
      </c>
      <c r="I189" s="68" t="n">
        <f aca="false">I185+I186+I188</f>
        <v>27758.1434444445</v>
      </c>
      <c r="J189" s="68" t="n">
        <f aca="false">J185+J186+J188</f>
        <v>27780.0878888889</v>
      </c>
      <c r="K189" s="68" t="n">
        <f aca="false">K185+K186+K188</f>
        <v>14644.3653444444</v>
      </c>
      <c r="L189" s="68" t="n">
        <f aca="false">L185+L186+L188</f>
        <v>7111.44867777777</v>
      </c>
      <c r="M189" s="68" t="n">
        <f aca="false">M185+M186+M188</f>
        <v>7133.39312222222</v>
      </c>
      <c r="N189" s="68" t="n">
        <f aca="false">N185+N186+N188</f>
        <v>7155.33756666666</v>
      </c>
      <c r="O189" s="68" t="n">
        <f aca="false">O185+O186+O188</f>
        <v>-25712.0577511723</v>
      </c>
      <c r="P189" s="68" t="n">
        <f aca="false">P185+P186+P188</f>
        <v>13442.8519016055</v>
      </c>
      <c r="Q189" s="68" t="n">
        <f aca="false">Q185+Q186+Q188</f>
        <v>13464.79634605</v>
      </c>
      <c r="R189" s="68" t="n">
        <f aca="false">R185+R186+R188</f>
        <v>13486.7407904944</v>
      </c>
      <c r="S189" s="68" t="n">
        <f aca="false">S185+S186+S188</f>
        <v>13508.6852349389</v>
      </c>
      <c r="T189" s="68" t="n">
        <f aca="false">T185+T186+T188</f>
        <v>27302.9619376222</v>
      </c>
      <c r="U189" s="68" t="n">
        <f aca="false">U185+U186+U188</f>
        <v>35232.6956181778</v>
      </c>
      <c r="V189" s="68" t="n">
        <f aca="false">V185+V186+V188</f>
        <v>35254.6400626222</v>
      </c>
      <c r="W189" s="68" t="n">
        <f aca="false">W185+W186+W188</f>
        <v>21504.2522488278</v>
      </c>
      <c r="X189" s="68" t="n">
        <f aca="false">X185+X186+X188</f>
        <v>13618.4074571611</v>
      </c>
      <c r="Y189" s="68" t="n">
        <f aca="false">Y185+Y186+Y188</f>
        <v>13640.3519016055</v>
      </c>
      <c r="Z189" s="68" t="n">
        <f aca="false">Z185+Z186+Z188</f>
        <v>13662.29634605</v>
      </c>
      <c r="AA189" s="68" t="n">
        <f aca="false">AA185+AA186+AA188</f>
        <v>-22646.2914412519</v>
      </c>
      <c r="AB189" s="68" t="n">
        <f aca="false">AB185+AB186+AB188</f>
        <v>21437.4335751301</v>
      </c>
      <c r="AC189" s="68" t="n">
        <f aca="false">AC185+AC186+AC188</f>
        <v>21459.3780195745</v>
      </c>
      <c r="AD189" s="68" t="n">
        <f aca="false">AD185+AD186+AD188</f>
        <v>21481.322464019</v>
      </c>
      <c r="AE189" s="68" t="n">
        <f aca="false">AE185+AE186+AE188</f>
        <v>21503.2669084634</v>
      </c>
      <c r="AF189" s="68" t="n">
        <f aca="false">AF185+AF186+AF188</f>
        <v>35747.1494517325</v>
      </c>
      <c r="AG189" s="68" t="n">
        <f aca="false">AG185+AG186+AG188</f>
        <v>43935.0375363505</v>
      </c>
      <c r="AH189" s="68" t="n">
        <f aca="false">AH185+AH186+AH188</f>
        <v>43956.981980795</v>
      </c>
      <c r="AI189" s="68" t="n">
        <f aca="false">AI185+AI186+AI188</f>
        <v>29756.9883264148</v>
      </c>
      <c r="AJ189" s="68" t="n">
        <f aca="false">AJ185+AJ186+AJ188</f>
        <v>21612.9891306856</v>
      </c>
      <c r="AK189" s="68" t="n">
        <f aca="false">AK185+AK186+AK188</f>
        <v>21634.9335751301</v>
      </c>
      <c r="AL189" s="68" t="n">
        <f aca="false">AL185+AL186+AL188</f>
        <v>21656.8780195745</v>
      </c>
    </row>
    <row r="190" customFormat="false" ht="15" hidden="false" customHeight="false" outlineLevel="0" collapsed="false">
      <c r="A190" s="6" t="s">
        <v>332</v>
      </c>
      <c r="C190" s="67" t="n">
        <f aca="false">0</f>
        <v>0</v>
      </c>
      <c r="D190" s="67" t="n">
        <f aca="false">C191</f>
        <v>339238.115344444</v>
      </c>
      <c r="E190" s="67" t="n">
        <f aca="false">D191</f>
        <v>346174.008466667</v>
      </c>
      <c r="F190" s="67" t="n">
        <f aca="false">E191</f>
        <v>353131.846033333</v>
      </c>
      <c r="G190" s="67" t="n">
        <f aca="false">F191</f>
        <v>360111.628044444</v>
      </c>
      <c r="H190" s="67" t="n">
        <f aca="false">G191</f>
        <v>367113.3545</v>
      </c>
      <c r="I190" s="67" t="n">
        <f aca="false">H191</f>
        <v>387294.692388889</v>
      </c>
      <c r="J190" s="67" t="n">
        <f aca="false">I191</f>
        <v>415052.835833333</v>
      </c>
      <c r="K190" s="67" t="n">
        <f aca="false">J191</f>
        <v>442832.923722222</v>
      </c>
      <c r="L190" s="67" t="n">
        <f aca="false">K191</f>
        <v>457477.289066667</v>
      </c>
      <c r="M190" s="67" t="n">
        <f aca="false">L191</f>
        <v>464588.737744444</v>
      </c>
      <c r="N190" s="67" t="n">
        <f aca="false">M191</f>
        <v>471722.130866667</v>
      </c>
      <c r="O190" s="67" t="n">
        <f aca="false">N191</f>
        <v>478877.468433333</v>
      </c>
      <c r="P190" s="67" t="n">
        <f aca="false">O191</f>
        <v>453165.410682161</v>
      </c>
      <c r="Q190" s="67" t="n">
        <f aca="false">P191</f>
        <v>466608.262583767</v>
      </c>
      <c r="R190" s="67" t="n">
        <f aca="false">Q191</f>
        <v>480073.058929817</v>
      </c>
      <c r="S190" s="67" t="n">
        <f aca="false">R191</f>
        <v>493559.799720311</v>
      </c>
      <c r="T190" s="67" t="n">
        <f aca="false">S191</f>
        <v>507068.48495525</v>
      </c>
      <c r="U190" s="67" t="n">
        <f aca="false">T191</f>
        <v>534371.446892872</v>
      </c>
      <c r="V190" s="67" t="n">
        <f aca="false">U191</f>
        <v>569604.14251105</v>
      </c>
      <c r="W190" s="67" t="n">
        <f aca="false">V191</f>
        <v>604858.782573672</v>
      </c>
      <c r="X190" s="67" t="n">
        <f aca="false">W191</f>
        <v>626363.0348225</v>
      </c>
      <c r="Y190" s="67" t="n">
        <f aca="false">X191</f>
        <v>639981.442279661</v>
      </c>
      <c r="Z190" s="67" t="n">
        <f aca="false">Y191</f>
        <v>653621.794181267</v>
      </c>
      <c r="AA190" s="67" t="n">
        <f aca="false">Z191</f>
        <v>667284.090527316</v>
      </c>
      <c r="AB190" s="67" t="n">
        <f aca="false">AA191</f>
        <v>644637.799086065</v>
      </c>
      <c r="AC190" s="67" t="n">
        <f aca="false">AB191</f>
        <v>666075.232661195</v>
      </c>
      <c r="AD190" s="67" t="n">
        <f aca="false">AC191</f>
        <v>687534.610680769</v>
      </c>
      <c r="AE190" s="67" t="n">
        <f aca="false">AD191</f>
        <v>709015.933144788</v>
      </c>
      <c r="AF190" s="67" t="n">
        <f aca="false">AE191</f>
        <v>730519.200053252</v>
      </c>
      <c r="AG190" s="67" t="n">
        <f aca="false">AF191</f>
        <v>766266.349504984</v>
      </c>
      <c r="AH190" s="67" t="n">
        <f aca="false">AG191</f>
        <v>810201.387041335</v>
      </c>
      <c r="AI190" s="67" t="n">
        <f aca="false">AH191</f>
        <v>854158.36902213</v>
      </c>
      <c r="AJ190" s="67" t="n">
        <f aca="false">AI191</f>
        <v>883915.357348545</v>
      </c>
      <c r="AK190" s="67" t="n">
        <f aca="false">AJ191</f>
        <v>905528.34647923</v>
      </c>
      <c r="AL190" s="67" t="n">
        <f aca="false">AK191</f>
        <v>927163.28005436</v>
      </c>
    </row>
    <row r="191" customFormat="false" ht="15" hidden="false" customHeight="false" outlineLevel="0" collapsed="false">
      <c r="A191" s="113" t="s">
        <v>86</v>
      </c>
      <c r="C191" s="68" t="n">
        <f aca="false">C190+C189</f>
        <v>339238.115344444</v>
      </c>
      <c r="D191" s="68" t="n">
        <f aca="false">D190+D189</f>
        <v>346174.008466667</v>
      </c>
      <c r="E191" s="68" t="n">
        <f aca="false">E190+E189</f>
        <v>353131.846033333</v>
      </c>
      <c r="F191" s="68" t="n">
        <f aca="false">F190+F189</f>
        <v>360111.628044444</v>
      </c>
      <c r="G191" s="68" t="n">
        <f aca="false">G190+G189</f>
        <v>367113.3545</v>
      </c>
      <c r="H191" s="68" t="n">
        <f aca="false">H190+H189</f>
        <v>387294.692388889</v>
      </c>
      <c r="I191" s="68" t="n">
        <f aca="false">I190+I189</f>
        <v>415052.835833333</v>
      </c>
      <c r="J191" s="68" t="n">
        <f aca="false">J190+J189</f>
        <v>442832.923722222</v>
      </c>
      <c r="K191" s="68" t="n">
        <f aca="false">K190+K189</f>
        <v>457477.289066667</v>
      </c>
      <c r="L191" s="68" t="n">
        <f aca="false">L190+L189</f>
        <v>464588.737744444</v>
      </c>
      <c r="M191" s="68" t="n">
        <f aca="false">M190+M189</f>
        <v>471722.130866667</v>
      </c>
      <c r="N191" s="68" t="n">
        <f aca="false">N190+N189</f>
        <v>478877.468433333</v>
      </c>
      <c r="O191" s="68" t="n">
        <f aca="false">O190+O189</f>
        <v>453165.410682161</v>
      </c>
      <c r="P191" s="68" t="n">
        <f aca="false">P190+P189</f>
        <v>466608.262583767</v>
      </c>
      <c r="Q191" s="68" t="n">
        <f aca="false">Q190+Q189</f>
        <v>480073.058929817</v>
      </c>
      <c r="R191" s="68" t="n">
        <f aca="false">R190+R189</f>
        <v>493559.799720311</v>
      </c>
      <c r="S191" s="68" t="n">
        <f aca="false">S190+S189</f>
        <v>507068.48495525</v>
      </c>
      <c r="T191" s="68" t="n">
        <f aca="false">T190+T189</f>
        <v>534371.446892872</v>
      </c>
      <c r="U191" s="68" t="n">
        <f aca="false">U190+U189</f>
        <v>569604.14251105</v>
      </c>
      <c r="V191" s="68" t="n">
        <f aca="false">V190+V189</f>
        <v>604858.782573672</v>
      </c>
      <c r="W191" s="68" t="n">
        <f aca="false">W190+W189</f>
        <v>626363.0348225</v>
      </c>
      <c r="X191" s="68" t="n">
        <f aca="false">X190+X189</f>
        <v>639981.442279661</v>
      </c>
      <c r="Y191" s="68" t="n">
        <f aca="false">Y190+Y189</f>
        <v>653621.794181267</v>
      </c>
      <c r="Z191" s="68" t="n">
        <f aca="false">Z190+Z189</f>
        <v>667284.090527316</v>
      </c>
      <c r="AA191" s="68" t="n">
        <f aca="false">AA190+AA189</f>
        <v>644637.799086065</v>
      </c>
      <c r="AB191" s="68" t="n">
        <f aca="false">AB190+AB189</f>
        <v>666075.232661195</v>
      </c>
      <c r="AC191" s="68" t="n">
        <f aca="false">AC190+AC189</f>
        <v>687534.610680769</v>
      </c>
      <c r="AD191" s="68" t="n">
        <f aca="false">AD190+AD189</f>
        <v>709015.933144788</v>
      </c>
      <c r="AE191" s="68" t="n">
        <f aca="false">AE190+AE189</f>
        <v>730519.200053252</v>
      </c>
      <c r="AF191" s="68" t="n">
        <f aca="false">AF190+AF189</f>
        <v>766266.349504984</v>
      </c>
      <c r="AG191" s="68" t="n">
        <f aca="false">AG190+AG189</f>
        <v>810201.387041335</v>
      </c>
      <c r="AH191" s="68" t="n">
        <f aca="false">AH190+AH189</f>
        <v>854158.36902213</v>
      </c>
      <c r="AI191" s="68" t="n">
        <f aca="false">AI190+AI189</f>
        <v>883915.357348545</v>
      </c>
      <c r="AJ191" s="68" t="n">
        <f aca="false">AJ190+AJ189</f>
        <v>905528.34647923</v>
      </c>
      <c r="AK191" s="68" t="n">
        <f aca="false">AK190+AK189</f>
        <v>927163.28005436</v>
      </c>
      <c r="AL191" s="68" t="n">
        <f aca="false">AL190+AL189</f>
        <v>948820.158073935</v>
      </c>
    </row>
    <row r="192" customFormat="false" ht="15" hidden="false" customHeight="false" outlineLevel="0" collapsed="false">
      <c r="A192" s="121" t="s">
        <v>401</v>
      </c>
      <c r="C192" s="117" t="n">
        <f aca="false">IF(C152&gt;0,1,0)</f>
        <v>1</v>
      </c>
      <c r="D192" s="117" t="n">
        <f aca="false">IF(D152&gt;0,1,0)</f>
        <v>1</v>
      </c>
      <c r="E192" s="117" t="n">
        <f aca="false">IF(E152&gt;0,1,0)</f>
        <v>1</v>
      </c>
      <c r="F192" s="117" t="n">
        <f aca="false">IF(F152&gt;0,1,0)</f>
        <v>1</v>
      </c>
      <c r="G192" s="117" t="n">
        <f aca="false">IF(G152&gt;0,1,0)</f>
        <v>1</v>
      </c>
      <c r="H192" s="117" t="n">
        <f aca="false">IF(H152&gt;0,1,0)</f>
        <v>1</v>
      </c>
      <c r="I192" s="117" t="n">
        <f aca="false">IF(I152&gt;0,1,0)</f>
        <v>1</v>
      </c>
      <c r="J192" s="117" t="n">
        <f aca="false">IF(J152&gt;0,1,0)</f>
        <v>1</v>
      </c>
      <c r="K192" s="117" t="n">
        <f aca="false">IF(K152&gt;0,1,0)</f>
        <v>1</v>
      </c>
      <c r="L192" s="117" t="n">
        <f aca="false">IF(L152&gt;0,1,0)</f>
        <v>1</v>
      </c>
      <c r="M192" s="117" t="n">
        <f aca="false">IF(M152&gt;0,1,0)</f>
        <v>1</v>
      </c>
      <c r="N192" s="117" t="n">
        <f aca="false">IF(N152&gt;0,1,0)</f>
        <v>1</v>
      </c>
      <c r="O192" s="117" t="n">
        <f aca="false">IF(O152&gt;0,1,0)</f>
        <v>1</v>
      </c>
      <c r="P192" s="117" t="n">
        <f aca="false">IF(P152&gt;0,1,0)</f>
        <v>1</v>
      </c>
      <c r="Q192" s="117" t="n">
        <f aca="false">IF(Q152&gt;0,1,0)</f>
        <v>1</v>
      </c>
      <c r="R192" s="117" t="n">
        <f aca="false">IF(R152&gt;0,1,0)</f>
        <v>1</v>
      </c>
      <c r="S192" s="117" t="n">
        <f aca="false">IF(S152&gt;0,1,0)</f>
        <v>1</v>
      </c>
      <c r="T192" s="117" t="n">
        <f aca="false">IF(T152&gt;0,1,0)</f>
        <v>1</v>
      </c>
      <c r="U192" s="117" t="n">
        <f aca="false">IF(U152&gt;0,1,0)</f>
        <v>1</v>
      </c>
      <c r="V192" s="117" t="n">
        <f aca="false">IF(V152&gt;0,1,0)</f>
        <v>1</v>
      </c>
      <c r="W192" s="117" t="n">
        <f aca="false">IF(W152&gt;0,1,0)</f>
        <v>1</v>
      </c>
      <c r="X192" s="117" t="n">
        <f aca="false">IF(X152&gt;0,1,0)</f>
        <v>1</v>
      </c>
      <c r="Y192" s="117" t="n">
        <f aca="false">IF(Y152&gt;0,1,0)</f>
        <v>1</v>
      </c>
      <c r="Z192" s="117" t="n">
        <f aca="false">IF(Z152&gt;0,1,0)</f>
        <v>1</v>
      </c>
      <c r="AA192" s="117" t="n">
        <f aca="false">IF(AA152&gt;0,1,0)</f>
        <v>1</v>
      </c>
      <c r="AB192" s="117" t="n">
        <f aca="false">IF(AB152&gt;0,1,0)</f>
        <v>1</v>
      </c>
      <c r="AC192" s="117" t="n">
        <f aca="false">IF(AC152&gt;0,1,0)</f>
        <v>1</v>
      </c>
      <c r="AD192" s="117" t="n">
        <f aca="false">IF(AD152&gt;0,1,0)</f>
        <v>1</v>
      </c>
      <c r="AE192" s="117" t="n">
        <f aca="false">IF(AE152&gt;0,1,0)</f>
        <v>1</v>
      </c>
      <c r="AF192" s="117" t="n">
        <f aca="false">IF(AF152&gt;0,1,0)</f>
        <v>1</v>
      </c>
      <c r="AG192" s="117" t="n">
        <f aca="false">IF(AG152&gt;0,1,0)</f>
        <v>1</v>
      </c>
      <c r="AH192" s="117" t="n">
        <f aca="false">IF(AH152&gt;0,1,0)</f>
        <v>1</v>
      </c>
      <c r="AI192" s="117" t="n">
        <f aca="false">IF(AI152&gt;0,1,0)</f>
        <v>1</v>
      </c>
      <c r="AJ192" s="117" t="n">
        <f aca="false">IF(AJ152&gt;0,1,0)</f>
        <v>1</v>
      </c>
      <c r="AK192" s="117" t="n">
        <f aca="false">IF(AK152&gt;0,1,0)</f>
        <v>1</v>
      </c>
      <c r="AL192" s="117" t="n">
        <f aca="false">IF(AL152&gt;0,1,0)</f>
        <v>1</v>
      </c>
    </row>
    <row r="194" customFormat="false" ht="15.75" hidden="false" customHeight="true" outlineLevel="0" collapsed="false">
      <c r="A194" s="7" t="s">
        <v>402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121" t="s">
        <v>403</v>
      </c>
      <c r="C195" s="117" t="n">
        <f aca="false">IF(C161&gt;0,1,0)</f>
        <v>1</v>
      </c>
      <c r="D195" s="117" t="n">
        <f aca="false">IF(D161&gt;0,1,0)</f>
        <v>1</v>
      </c>
      <c r="E195" s="117" t="n">
        <f aca="false">IF(E161&gt;0,1,0)</f>
        <v>1</v>
      </c>
      <c r="F195" s="117" t="n">
        <f aca="false">IF(F161&gt;0,1,0)</f>
        <v>1</v>
      </c>
      <c r="G195" s="117" t="n">
        <f aca="false">IF(G161&gt;0,1,0)</f>
        <v>1</v>
      </c>
      <c r="H195" s="117" t="n">
        <f aca="false">IF(H161&gt;0,1,0)</f>
        <v>1</v>
      </c>
      <c r="I195" s="117" t="n">
        <f aca="false">IF(I161&gt;0,1,0)</f>
        <v>1</v>
      </c>
      <c r="J195" s="117" t="n">
        <f aca="false">IF(J161&gt;0,1,0)</f>
        <v>1</v>
      </c>
      <c r="K195" s="117" t="n">
        <f aca="false">IF(K161&gt;0,1,0)</f>
        <v>1</v>
      </c>
      <c r="L195" s="117" t="n">
        <f aca="false">IF(L161&gt;0,1,0)</f>
        <v>1</v>
      </c>
      <c r="M195" s="117" t="n">
        <f aca="false">IF(M161&gt;0,1,0)</f>
        <v>1</v>
      </c>
      <c r="N195" s="117" t="n">
        <f aca="false">IF(N161&gt;0,1,0)</f>
        <v>1</v>
      </c>
      <c r="O195" s="117" t="n">
        <f aca="false">IF(O161&gt;0,1,0)</f>
        <v>1</v>
      </c>
      <c r="P195" s="117" t="n">
        <f aca="false">IF(P161&gt;0,1,0)</f>
        <v>1</v>
      </c>
      <c r="Q195" s="117" t="n">
        <f aca="false">IF(Q161&gt;0,1,0)</f>
        <v>1</v>
      </c>
      <c r="R195" s="117" t="n">
        <f aca="false">IF(R161&gt;0,1,0)</f>
        <v>1</v>
      </c>
      <c r="S195" s="117" t="n">
        <f aca="false">IF(S161&gt;0,1,0)</f>
        <v>1</v>
      </c>
      <c r="T195" s="117" t="n">
        <f aca="false">IF(T161&gt;0,1,0)</f>
        <v>1</v>
      </c>
      <c r="U195" s="117" t="n">
        <f aca="false">IF(U161&gt;0,1,0)</f>
        <v>1</v>
      </c>
      <c r="V195" s="117" t="n">
        <f aca="false">IF(V161&gt;0,1,0)</f>
        <v>1</v>
      </c>
      <c r="W195" s="117" t="n">
        <f aca="false">IF(W161&gt;0,1,0)</f>
        <v>1</v>
      </c>
      <c r="X195" s="117" t="n">
        <f aca="false">IF(X161&gt;0,1,0)</f>
        <v>1</v>
      </c>
      <c r="Y195" s="117" t="n">
        <f aca="false">IF(Y161&gt;0,1,0)</f>
        <v>1</v>
      </c>
      <c r="Z195" s="117" t="n">
        <f aca="false">IF(Z161&gt;0,1,0)</f>
        <v>1</v>
      </c>
      <c r="AA195" s="117" t="n">
        <f aca="false">IF(AA161&gt;0,1,0)</f>
        <v>1</v>
      </c>
      <c r="AB195" s="117" t="n">
        <f aca="false">IF(AB161&gt;0,1,0)</f>
        <v>1</v>
      </c>
      <c r="AC195" s="117" t="n">
        <f aca="false">IF(AC161&gt;0,1,0)</f>
        <v>1</v>
      </c>
      <c r="AD195" s="117" t="n">
        <f aca="false">IF(AD161&gt;0,1,0)</f>
        <v>1</v>
      </c>
      <c r="AE195" s="117" t="n">
        <f aca="false">IF(AE161&gt;0,1,0)</f>
        <v>1</v>
      </c>
      <c r="AF195" s="117" t="n">
        <f aca="false">IF(AF161&gt;0,1,0)</f>
        <v>1</v>
      </c>
      <c r="AG195" s="117" t="n">
        <f aca="false">IF(AG161&gt;0,1,0)</f>
        <v>1</v>
      </c>
      <c r="AH195" s="117" t="n">
        <f aca="false">IF(AH161&gt;0,1,0)</f>
        <v>1</v>
      </c>
      <c r="AI195" s="117" t="n">
        <f aca="false">IF(AI161&gt;0,1,0)</f>
        <v>1</v>
      </c>
      <c r="AJ195" s="117" t="n">
        <f aca="false">IF(AJ161&gt;0,1,0)</f>
        <v>1</v>
      </c>
      <c r="AK195" s="117" t="n">
        <f aca="false">IF(AK161&gt;0,1,0)</f>
        <v>1</v>
      </c>
      <c r="AL195" s="117" t="n">
        <f aca="false">IF(AL161&gt;0,1,0)</f>
        <v>1</v>
      </c>
    </row>
    <row r="196" customFormat="false" ht="15" hidden="false" customHeight="false" outlineLevel="0" collapsed="false">
      <c r="A196" s="6" t="s">
        <v>404</v>
      </c>
      <c r="C196" s="67" t="n">
        <f aca="false">C185+C186</f>
        <v>-10761.8846555556</v>
      </c>
      <c r="D196" s="67" t="n">
        <f aca="false">D185+D186</f>
        <v>11102.5597888889</v>
      </c>
      <c r="E196" s="67" t="n">
        <f aca="false">E185+E186</f>
        <v>11124.5042333333</v>
      </c>
      <c r="F196" s="67" t="n">
        <f aca="false">F185+F186</f>
        <v>11146.4486777778</v>
      </c>
      <c r="G196" s="67" t="n">
        <f aca="false">G185+G186</f>
        <v>11168.3931222222</v>
      </c>
      <c r="H196" s="67" t="n">
        <f aca="false">H185+H186</f>
        <v>24348.0045555555</v>
      </c>
      <c r="I196" s="67" t="n">
        <f aca="false">I185+I186</f>
        <v>31924.8101111111</v>
      </c>
      <c r="J196" s="67" t="n">
        <f aca="false">J185+J186</f>
        <v>31946.7545555556</v>
      </c>
      <c r="K196" s="67" t="n">
        <f aca="false">K185+K186</f>
        <v>18811.0320111111</v>
      </c>
      <c r="L196" s="67" t="n">
        <f aca="false">L185+L186</f>
        <v>11278.1153444444</v>
      </c>
      <c r="M196" s="67" t="n">
        <f aca="false">M185+M186</f>
        <v>11300.0597888889</v>
      </c>
      <c r="N196" s="67" t="n">
        <f aca="false">N185+N186</f>
        <v>11322.0042333333</v>
      </c>
      <c r="O196" s="67" t="n">
        <f aca="false">O185+O186</f>
        <v>-21545.3910845056</v>
      </c>
      <c r="P196" s="67" t="n">
        <f aca="false">P185+P186</f>
        <v>17609.5185682722</v>
      </c>
      <c r="Q196" s="67" t="n">
        <f aca="false">Q185+Q186</f>
        <v>17631.4630127167</v>
      </c>
      <c r="R196" s="67" t="n">
        <f aca="false">R185+R186</f>
        <v>17653.4074571611</v>
      </c>
      <c r="S196" s="67" t="n">
        <f aca="false">S185+S186</f>
        <v>17675.3519016055</v>
      </c>
      <c r="T196" s="67" t="n">
        <f aca="false">T185+T186</f>
        <v>31469.6286042889</v>
      </c>
      <c r="U196" s="67" t="n">
        <f aca="false">U185+U186</f>
        <v>39399.3622848444</v>
      </c>
      <c r="V196" s="67" t="n">
        <f aca="false">V185+V186</f>
        <v>39421.3067292889</v>
      </c>
      <c r="W196" s="67" t="n">
        <f aca="false">W185+W186</f>
        <v>25670.9189154944</v>
      </c>
      <c r="X196" s="67" t="n">
        <f aca="false">X185+X186</f>
        <v>17785.0741238278</v>
      </c>
      <c r="Y196" s="67" t="n">
        <f aca="false">Y185+Y186</f>
        <v>17807.0185682722</v>
      </c>
      <c r="Z196" s="67" t="n">
        <f aca="false">Z185+Z186</f>
        <v>17828.9630127167</v>
      </c>
      <c r="AA196" s="67" t="n">
        <f aca="false">AA185+AA186</f>
        <v>-18479.6247745852</v>
      </c>
      <c r="AB196" s="67" t="n">
        <f aca="false">AB185+AB186</f>
        <v>25604.1002417968</v>
      </c>
      <c r="AC196" s="67" t="n">
        <f aca="false">AC185+AC186</f>
        <v>25626.0446862412</v>
      </c>
      <c r="AD196" s="67" t="n">
        <f aca="false">AD185+AD186</f>
        <v>25647.9891306857</v>
      </c>
      <c r="AE196" s="67" t="n">
        <f aca="false">AE185+AE186</f>
        <v>25669.9335751301</v>
      </c>
      <c r="AF196" s="67" t="n">
        <f aca="false">AF185+AF186</f>
        <v>39913.8161183992</v>
      </c>
      <c r="AG196" s="67" t="n">
        <f aca="false">AG185+AG186</f>
        <v>48101.7042030172</v>
      </c>
      <c r="AH196" s="67" t="n">
        <f aca="false">AH185+AH186</f>
        <v>48123.6486474617</v>
      </c>
      <c r="AI196" s="67" t="n">
        <f aca="false">AI185+AI186</f>
        <v>33923.6549930815</v>
      </c>
      <c r="AJ196" s="67" t="n">
        <f aca="false">AJ185+AJ186</f>
        <v>25779.6557973523</v>
      </c>
      <c r="AK196" s="67" t="n">
        <f aca="false">AK185+AK186</f>
        <v>25801.6002417968</v>
      </c>
      <c r="AL196" s="67" t="n">
        <f aca="false">AL185+AL186</f>
        <v>25823.5446862412</v>
      </c>
    </row>
    <row r="197" customFormat="false" ht="15" hidden="false" customHeight="false" outlineLevel="0" collapsed="false">
      <c r="A197" s="6" t="s">
        <v>405</v>
      </c>
      <c r="C197" s="67" t="n">
        <f aca="false">C196</f>
        <v>-10761.8846555556</v>
      </c>
      <c r="D197" s="67" t="n">
        <f aca="false">C197+D196</f>
        <v>340.675133333327</v>
      </c>
      <c r="E197" s="67" t="n">
        <f aca="false">D197+E196</f>
        <v>11465.1793666667</v>
      </c>
      <c r="F197" s="67" t="n">
        <f aca="false">E197+F196</f>
        <v>22611.6280444444</v>
      </c>
      <c r="G197" s="67" t="n">
        <f aca="false">F197+G196</f>
        <v>33780.0211666666</v>
      </c>
      <c r="H197" s="67" t="n">
        <f aca="false">G197+H196</f>
        <v>58128.0257222222</v>
      </c>
      <c r="I197" s="67" t="n">
        <f aca="false">H197+I196</f>
        <v>90052.8358333333</v>
      </c>
      <c r="J197" s="67" t="n">
        <f aca="false">I197+J196</f>
        <v>121999.590388889</v>
      </c>
      <c r="K197" s="67" t="n">
        <f aca="false">J197+K196</f>
        <v>140810.6224</v>
      </c>
      <c r="L197" s="67" t="n">
        <f aca="false">K197+L196</f>
        <v>152088.737744444</v>
      </c>
      <c r="M197" s="67" t="n">
        <f aca="false">L197+M196</f>
        <v>163388.797533333</v>
      </c>
      <c r="N197" s="67" t="n">
        <f aca="false">M197+N196</f>
        <v>174710.801766667</v>
      </c>
      <c r="O197" s="67" t="n">
        <f aca="false">N197+O196</f>
        <v>153165.410682161</v>
      </c>
      <c r="P197" s="67" t="n">
        <f aca="false">O197+P196</f>
        <v>170774.929250433</v>
      </c>
      <c r="Q197" s="67" t="n">
        <f aca="false">P197+Q196</f>
        <v>188406.39226315</v>
      </c>
      <c r="R197" s="67" t="n">
        <f aca="false">Q197+R196</f>
        <v>206059.799720311</v>
      </c>
      <c r="S197" s="67" t="n">
        <f aca="false">R197+S196</f>
        <v>223735.151621917</v>
      </c>
      <c r="T197" s="67" t="n">
        <f aca="false">S197+T196</f>
        <v>255204.780226205</v>
      </c>
      <c r="U197" s="67" t="n">
        <f aca="false">T197+U196</f>
        <v>294604.14251105</v>
      </c>
      <c r="V197" s="67" t="n">
        <f aca="false">U197+V196</f>
        <v>334025.449240339</v>
      </c>
      <c r="W197" s="67" t="n">
        <f aca="false">V197+W196</f>
        <v>359696.368155833</v>
      </c>
      <c r="X197" s="67" t="n">
        <f aca="false">W197+X196</f>
        <v>377481.442279661</v>
      </c>
      <c r="Y197" s="67" t="n">
        <f aca="false">X197+Y196</f>
        <v>395288.460847933</v>
      </c>
      <c r="Z197" s="67" t="n">
        <f aca="false">Y197+Z196</f>
        <v>413117.42386065</v>
      </c>
      <c r="AA197" s="67" t="n">
        <f aca="false">Z197+AA196</f>
        <v>394637.799086065</v>
      </c>
      <c r="AB197" s="67" t="n">
        <f aca="false">AA197+AB196</f>
        <v>420241.899327861</v>
      </c>
      <c r="AC197" s="67" t="n">
        <f aca="false">AB197+AC196</f>
        <v>445867.944014103</v>
      </c>
      <c r="AD197" s="67" t="n">
        <f aca="false">AC197+AD196</f>
        <v>471515.933144788</v>
      </c>
      <c r="AE197" s="67" t="n">
        <f aca="false">AD197+AE196</f>
        <v>497185.866719918</v>
      </c>
      <c r="AF197" s="67" t="n">
        <f aca="false">AE197+AF196</f>
        <v>537099.682838318</v>
      </c>
      <c r="AG197" s="67" t="n">
        <f aca="false">AF197+AG196</f>
        <v>585201.387041335</v>
      </c>
      <c r="AH197" s="67" t="n">
        <f aca="false">AG197+AH196</f>
        <v>633325.035688796</v>
      </c>
      <c r="AI197" s="67" t="n">
        <f aca="false">AH197+AI196</f>
        <v>667248.690681878</v>
      </c>
      <c r="AJ197" s="67" t="n">
        <f aca="false">AI197+AJ196</f>
        <v>693028.34647923</v>
      </c>
      <c r="AK197" s="67" t="n">
        <f aca="false">AJ197+AK196</f>
        <v>718829.946721027</v>
      </c>
      <c r="AL197" s="67" t="n">
        <f aca="false">AK197+AL196</f>
        <v>744653.491407268</v>
      </c>
    </row>
    <row r="198" customFormat="false" ht="15" hidden="false" customHeight="false" outlineLevel="0" collapsed="false">
      <c r="A198" s="121" t="s">
        <v>406</v>
      </c>
      <c r="C198" s="67" t="n">
        <f aca="false">C197</f>
        <v>-10761.8846555556</v>
      </c>
      <c r="D198" s="67" t="n">
        <f aca="false">MIN(C198,D197)</f>
        <v>-10761.8846555556</v>
      </c>
      <c r="E198" s="67" t="n">
        <f aca="false">MIN(D198,E197)</f>
        <v>-10761.8846555556</v>
      </c>
      <c r="F198" s="67" t="n">
        <f aca="false">MIN(E198,F197)</f>
        <v>-10761.8846555556</v>
      </c>
      <c r="G198" s="67" t="n">
        <f aca="false">MIN(F198,G197)</f>
        <v>-10761.8846555556</v>
      </c>
      <c r="H198" s="67" t="n">
        <f aca="false">MIN(G198,H197)</f>
        <v>-10761.8846555556</v>
      </c>
      <c r="I198" s="67" t="n">
        <f aca="false">MIN(H198,I197)</f>
        <v>-10761.8846555556</v>
      </c>
      <c r="J198" s="67" t="n">
        <f aca="false">MIN(I198,J197)</f>
        <v>-10761.8846555556</v>
      </c>
      <c r="K198" s="67" t="n">
        <f aca="false">MIN(J198,K197)</f>
        <v>-10761.8846555556</v>
      </c>
      <c r="L198" s="67" t="n">
        <f aca="false">MIN(K198,L197)</f>
        <v>-10761.8846555556</v>
      </c>
      <c r="M198" s="67" t="n">
        <f aca="false">MIN(L198,M197)</f>
        <v>-10761.8846555556</v>
      </c>
      <c r="N198" s="67" t="n">
        <f aca="false">MIN(M198,N197)</f>
        <v>-10761.8846555556</v>
      </c>
      <c r="O198" s="67" t="n">
        <f aca="false">MIN(N198,O197)</f>
        <v>-10761.8846555556</v>
      </c>
      <c r="P198" s="67" t="n">
        <f aca="false">MIN(O198,P197)</f>
        <v>-10761.8846555556</v>
      </c>
      <c r="Q198" s="67" t="n">
        <f aca="false">MIN(P198,Q197)</f>
        <v>-10761.8846555556</v>
      </c>
      <c r="R198" s="67" t="n">
        <f aca="false">MIN(Q198,R197)</f>
        <v>-10761.8846555556</v>
      </c>
      <c r="S198" s="67" t="n">
        <f aca="false">MIN(R198,S197)</f>
        <v>-10761.8846555556</v>
      </c>
      <c r="T198" s="67" t="n">
        <f aca="false">MIN(S198,T197)</f>
        <v>-10761.8846555556</v>
      </c>
      <c r="U198" s="67" t="n">
        <f aca="false">MIN(T198,U197)</f>
        <v>-10761.8846555556</v>
      </c>
      <c r="V198" s="67" t="n">
        <f aca="false">MIN(U198,V197)</f>
        <v>-10761.8846555556</v>
      </c>
      <c r="W198" s="67" t="n">
        <f aca="false">MIN(V198,W197)</f>
        <v>-10761.8846555556</v>
      </c>
      <c r="X198" s="67" t="n">
        <f aca="false">MIN(W198,X197)</f>
        <v>-10761.8846555556</v>
      </c>
      <c r="Y198" s="67" t="n">
        <f aca="false">MIN(X198,Y197)</f>
        <v>-10761.8846555556</v>
      </c>
      <c r="Z198" s="67" t="n">
        <f aca="false">MIN(Y198,Z197)</f>
        <v>-10761.8846555556</v>
      </c>
      <c r="AA198" s="67" t="n">
        <f aca="false">MIN(Z198,AA197)</f>
        <v>-10761.8846555556</v>
      </c>
      <c r="AB198" s="67" t="n">
        <f aca="false">MIN(AA198,AB197)</f>
        <v>-10761.8846555556</v>
      </c>
      <c r="AC198" s="67" t="n">
        <f aca="false">MIN(AB198,AC197)</f>
        <v>-10761.8846555556</v>
      </c>
      <c r="AD198" s="67" t="n">
        <f aca="false">MIN(AC198,AD197)</f>
        <v>-10761.8846555556</v>
      </c>
      <c r="AE198" s="67" t="n">
        <f aca="false">MIN(AD198,AE197)</f>
        <v>-10761.8846555556</v>
      </c>
      <c r="AF198" s="67" t="n">
        <f aca="false">MIN(AE198,AF197)</f>
        <v>-10761.8846555556</v>
      </c>
      <c r="AG198" s="67" t="n">
        <f aca="false">MIN(AF198,AG197)</f>
        <v>-10761.8846555556</v>
      </c>
      <c r="AH198" s="67" t="n">
        <f aca="false">MIN(AG198,AH197)</f>
        <v>-10761.8846555556</v>
      </c>
      <c r="AI198" s="67" t="n">
        <f aca="false">MIN(AH198,AI197)</f>
        <v>-10761.8846555556</v>
      </c>
      <c r="AJ198" s="67" t="n">
        <f aca="false">MIN(AI198,AJ197)</f>
        <v>-10761.8846555556</v>
      </c>
      <c r="AK198" s="67" t="n">
        <f aca="false">MIN(AJ198,AK197)</f>
        <v>-10761.8846555556</v>
      </c>
      <c r="AL198" s="67" t="n">
        <f aca="false">MIN(AK198,AL197)</f>
        <v>-10761.8846555556</v>
      </c>
    </row>
    <row r="199" customFormat="false" ht="15" hidden="false" customHeight="false" outlineLevel="0" collapsed="false">
      <c r="A199" s="121" t="s">
        <v>407</v>
      </c>
      <c r="C199" s="117" t="n">
        <f aca="false">IF(AND(C197&gt;=0,C198&lt;0),1,0)</f>
        <v>0</v>
      </c>
      <c r="D199" s="117" t="n">
        <f aca="false">IF(AND(D197&gt;=0,D198&lt;0),1,0)</f>
        <v>1</v>
      </c>
      <c r="E199" s="117" t="n">
        <f aca="false">IF(AND(E197&gt;=0,E198&lt;0),1,0)</f>
        <v>1</v>
      </c>
      <c r="F199" s="117" t="n">
        <f aca="false">IF(AND(F197&gt;=0,F198&lt;0),1,0)</f>
        <v>1</v>
      </c>
      <c r="G199" s="117" t="n">
        <f aca="false">IF(AND(G197&gt;=0,G198&lt;0),1,0)</f>
        <v>1</v>
      </c>
      <c r="H199" s="117" t="n">
        <f aca="false">IF(AND(H197&gt;=0,H198&lt;0),1,0)</f>
        <v>1</v>
      </c>
      <c r="I199" s="117" t="n">
        <f aca="false">IF(AND(I197&gt;=0,I198&lt;0),1,0)</f>
        <v>1</v>
      </c>
      <c r="J199" s="117" t="n">
        <f aca="false">IF(AND(J197&gt;=0,J198&lt;0),1,0)</f>
        <v>1</v>
      </c>
      <c r="K199" s="117" t="n">
        <f aca="false">IF(AND(K197&gt;=0,K198&lt;0),1,0)</f>
        <v>1</v>
      </c>
      <c r="L199" s="117" t="n">
        <f aca="false">IF(AND(L197&gt;=0,L198&lt;0),1,0)</f>
        <v>1</v>
      </c>
      <c r="M199" s="117" t="n">
        <f aca="false">IF(AND(M197&gt;=0,M198&lt;0),1,0)</f>
        <v>1</v>
      </c>
      <c r="N199" s="117" t="n">
        <f aca="false">IF(AND(N197&gt;=0,N198&lt;0),1,0)</f>
        <v>1</v>
      </c>
      <c r="O199" s="117" t="n">
        <f aca="false">IF(AND(O197&gt;=0,O198&lt;0),1,0)</f>
        <v>1</v>
      </c>
      <c r="P199" s="117" t="n">
        <f aca="false">IF(AND(P197&gt;=0,P198&lt;0),1,0)</f>
        <v>1</v>
      </c>
      <c r="Q199" s="117" t="n">
        <f aca="false">IF(AND(Q197&gt;=0,Q198&lt;0),1,0)</f>
        <v>1</v>
      </c>
      <c r="R199" s="117" t="n">
        <f aca="false">IF(AND(R197&gt;=0,R198&lt;0),1,0)</f>
        <v>1</v>
      </c>
      <c r="S199" s="117" t="n">
        <f aca="false">IF(AND(S197&gt;=0,S198&lt;0),1,0)</f>
        <v>1</v>
      </c>
      <c r="T199" s="117" t="n">
        <f aca="false">IF(AND(T197&gt;=0,T198&lt;0),1,0)</f>
        <v>1</v>
      </c>
      <c r="U199" s="117" t="n">
        <f aca="false">IF(AND(U197&gt;=0,U198&lt;0),1,0)</f>
        <v>1</v>
      </c>
      <c r="V199" s="117" t="n">
        <f aca="false">IF(AND(V197&gt;=0,V198&lt;0),1,0)</f>
        <v>1</v>
      </c>
      <c r="W199" s="117" t="n">
        <f aca="false">IF(AND(W197&gt;=0,W198&lt;0),1,0)</f>
        <v>1</v>
      </c>
      <c r="X199" s="117" t="n">
        <f aca="false">IF(AND(X197&gt;=0,X198&lt;0),1,0)</f>
        <v>1</v>
      </c>
      <c r="Y199" s="117" t="n">
        <f aca="false">IF(AND(Y197&gt;=0,Y198&lt;0),1,0)</f>
        <v>1</v>
      </c>
      <c r="Z199" s="117" t="n">
        <f aca="false">IF(AND(Z197&gt;=0,Z198&lt;0),1,0)</f>
        <v>1</v>
      </c>
      <c r="AA199" s="117" t="n">
        <f aca="false">IF(AND(AA197&gt;=0,AA198&lt;0),1,0)</f>
        <v>1</v>
      </c>
      <c r="AB199" s="117" t="n">
        <f aca="false">IF(AND(AB197&gt;=0,AB198&lt;0),1,0)</f>
        <v>1</v>
      </c>
      <c r="AC199" s="117" t="n">
        <f aca="false">IF(AND(AC197&gt;=0,AC198&lt;0),1,0)</f>
        <v>1</v>
      </c>
      <c r="AD199" s="117" t="n">
        <f aca="false">IF(AND(AD197&gt;=0,AD198&lt;0),1,0)</f>
        <v>1</v>
      </c>
      <c r="AE199" s="117" t="n">
        <f aca="false">IF(AND(AE197&gt;=0,AE198&lt;0),1,0)</f>
        <v>1</v>
      </c>
      <c r="AF199" s="117" t="n">
        <f aca="false">IF(AND(AF197&gt;=0,AF198&lt;0),1,0)</f>
        <v>1</v>
      </c>
      <c r="AG199" s="117" t="n">
        <f aca="false">IF(AND(AG197&gt;=0,AG198&lt;0),1,0)</f>
        <v>1</v>
      </c>
      <c r="AH199" s="117" t="n">
        <f aca="false">IF(AND(AH197&gt;=0,AH198&lt;0),1,0)</f>
        <v>1</v>
      </c>
      <c r="AI199" s="117" t="n">
        <f aca="false">IF(AND(AI197&gt;=0,AI198&lt;0),1,0)</f>
        <v>1</v>
      </c>
      <c r="AJ199" s="117" t="n">
        <f aca="false">IF(AND(AJ197&gt;=0,AJ198&lt;0),1,0)</f>
        <v>1</v>
      </c>
      <c r="AK199" s="117" t="n">
        <f aca="false">IF(AND(AK197&gt;=0,AK198&lt;0),1,0)</f>
        <v>1</v>
      </c>
      <c r="AL199" s="117" t="n">
        <f aca="false">IF(AND(AL197&gt;=0,AL198&lt;0),1,0)</f>
        <v>1</v>
      </c>
    </row>
    <row r="200" customFormat="false" ht="15" hidden="false" customHeight="false" outlineLevel="0" collapsed="false">
      <c r="A200" s="6" t="s">
        <v>408</v>
      </c>
      <c r="C200" s="67" t="n">
        <f aca="false">C185-C156*(1-Inputs!$C$66)+C186</f>
        <v>-9445.21798888889</v>
      </c>
      <c r="D200" s="67" t="n">
        <f aca="false">D185-D156*(1-Inputs!$C$66)+D186</f>
        <v>12408.2542333333</v>
      </c>
      <c r="E200" s="67" t="n">
        <f aca="false">E185-E156*(1-Inputs!$C$66)+E186</f>
        <v>12408.2542333333</v>
      </c>
      <c r="F200" s="67" t="n">
        <f aca="false">F185-F156*(1-Inputs!$C$66)+F186</f>
        <v>12408.2542333333</v>
      </c>
      <c r="G200" s="67" t="n">
        <f aca="false">G185-G156*(1-Inputs!$C$66)+G186</f>
        <v>12408.2542333333</v>
      </c>
      <c r="H200" s="67" t="n">
        <f aca="false">H185-H156*(1-Inputs!$C$66)+H186</f>
        <v>25565.9212222222</v>
      </c>
      <c r="I200" s="67" t="n">
        <f aca="false">I185-I156*(1-Inputs!$C$66)+I186</f>
        <v>33120.7823333333</v>
      </c>
      <c r="J200" s="67" t="n">
        <f aca="false">J185-J156*(1-Inputs!$C$66)+J186</f>
        <v>33120.7823333333</v>
      </c>
      <c r="K200" s="67" t="n">
        <f aca="false">K185-K156*(1-Inputs!$C$66)+K186</f>
        <v>19963.1153444444</v>
      </c>
      <c r="L200" s="67" t="n">
        <f aca="false">L185-L156*(1-Inputs!$C$66)+L186</f>
        <v>12408.2542333333</v>
      </c>
      <c r="M200" s="67" t="n">
        <f aca="false">M185-M156*(1-Inputs!$C$66)+M186</f>
        <v>12408.2542333333</v>
      </c>
      <c r="N200" s="67" t="n">
        <f aca="false">N185-N156*(1-Inputs!$C$66)+N186</f>
        <v>12408.2542333333</v>
      </c>
      <c r="O200" s="67" t="n">
        <f aca="false">O185-O156*(1-Inputs!$C$66)+O186</f>
        <v>-20481.0855289501</v>
      </c>
      <c r="P200" s="67" t="n">
        <f aca="false">P185-P156*(1-Inputs!$C$66)+P186</f>
        <v>18651.8796793833</v>
      </c>
      <c r="Q200" s="67" t="n">
        <f aca="false">Q185-Q156*(1-Inputs!$C$66)+Q186</f>
        <v>18651.8796793833</v>
      </c>
      <c r="R200" s="67" t="n">
        <f aca="false">R185-R156*(1-Inputs!$C$66)+R186</f>
        <v>18651.8796793833</v>
      </c>
      <c r="S200" s="67" t="n">
        <f aca="false">S185-S156*(1-Inputs!$C$66)+S186</f>
        <v>18651.8796793833</v>
      </c>
      <c r="T200" s="67" t="n">
        <f aca="false">T185-T156*(1-Inputs!$C$66)+T186</f>
        <v>32424.2119376222</v>
      </c>
      <c r="U200" s="67" t="n">
        <f aca="false">U185-U156*(1-Inputs!$C$66)+U186</f>
        <v>40332.0011737333</v>
      </c>
      <c r="V200" s="67" t="n">
        <f aca="false">V185-V156*(1-Inputs!$C$66)+V186</f>
        <v>40332.0011737333</v>
      </c>
      <c r="W200" s="67" t="n">
        <f aca="false">W185-W156*(1-Inputs!$C$66)+W186</f>
        <v>26559.6689154944</v>
      </c>
      <c r="X200" s="67" t="n">
        <f aca="false">X185-X156*(1-Inputs!$C$66)+X186</f>
        <v>18651.8796793833</v>
      </c>
      <c r="Y200" s="67" t="n">
        <f aca="false">Y185-Y156*(1-Inputs!$C$66)+Y186</f>
        <v>18651.8796793833</v>
      </c>
      <c r="Z200" s="67" t="n">
        <f aca="false">Z185-Z156*(1-Inputs!$C$66)+Z186</f>
        <v>18651.8796793833</v>
      </c>
      <c r="AA200" s="67" t="n">
        <f aca="false">AA185-AA156*(1-Inputs!$C$66)+AA186</f>
        <v>-17678.652552363</v>
      </c>
      <c r="AB200" s="67" t="n">
        <f aca="false">AB185-AB156*(1-Inputs!$C$66)+AB186</f>
        <v>26383.1280195745</v>
      </c>
      <c r="AC200" s="67" t="n">
        <f aca="false">AC185-AC156*(1-Inputs!$C$66)+AC186</f>
        <v>26383.1280195746</v>
      </c>
      <c r="AD200" s="67" t="n">
        <f aca="false">AD185-AD156*(1-Inputs!$C$66)+AD186</f>
        <v>26383.1280195746</v>
      </c>
      <c r="AE200" s="67" t="n">
        <f aca="false">AE185-AE156*(1-Inputs!$C$66)+AE186</f>
        <v>26383.1280195745</v>
      </c>
      <c r="AF200" s="67" t="n">
        <f aca="false">AF185-AF156*(1-Inputs!$C$66)+AF186</f>
        <v>40605.0661183992</v>
      </c>
      <c r="AG200" s="67" t="n">
        <f aca="false">AG185-AG156*(1-Inputs!$C$66)+AG186</f>
        <v>48771.0097585728</v>
      </c>
      <c r="AH200" s="67" t="n">
        <f aca="false">AH185-AH156*(1-Inputs!$C$66)+AH186</f>
        <v>48771.0097585728</v>
      </c>
      <c r="AI200" s="67" t="n">
        <f aca="false">AI185-AI156*(1-Inputs!$C$66)+AI186</f>
        <v>34549.0716597482</v>
      </c>
      <c r="AJ200" s="67" t="n">
        <f aca="false">AJ185-AJ156*(1-Inputs!$C$66)+AJ186</f>
        <v>26383.1280195745</v>
      </c>
      <c r="AK200" s="67" t="n">
        <f aca="false">AK185-AK156*(1-Inputs!$C$66)+AK186</f>
        <v>26383.1280195745</v>
      </c>
      <c r="AL200" s="67" t="n">
        <f aca="false">AL185-AL156*(1-Inputs!$C$66)+AL186</f>
        <v>26383.1280195746</v>
      </c>
    </row>
    <row r="202" customFormat="false" ht="15.75" hidden="false" customHeight="true" outlineLevel="0" collapsed="false">
      <c r="A202" s="7" t="s">
        <v>409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customFormat="false" ht="15" hidden="false" customHeight="false" outlineLevel="0" collapsed="false">
      <c r="A203" s="6" t="s">
        <v>96</v>
      </c>
      <c r="C203" s="67" t="n">
        <f aca="false">C187</f>
        <v>100000</v>
      </c>
      <c r="D203" s="67" t="n">
        <f aca="false">C203+D187</f>
        <v>100000</v>
      </c>
      <c r="E203" s="67" t="n">
        <f aca="false">D203+E187</f>
        <v>100000</v>
      </c>
      <c r="F203" s="67" t="n">
        <f aca="false">E203+F187</f>
        <v>100000</v>
      </c>
      <c r="G203" s="67" t="n">
        <f aca="false">F203+G187</f>
        <v>100000</v>
      </c>
      <c r="H203" s="67" t="n">
        <f aca="false">G203+H187</f>
        <v>100000</v>
      </c>
      <c r="I203" s="67" t="n">
        <f aca="false">H203+I187</f>
        <v>100000</v>
      </c>
      <c r="J203" s="67" t="n">
        <f aca="false">I203+J187</f>
        <v>100000</v>
      </c>
      <c r="K203" s="67" t="n">
        <f aca="false">J203+K187</f>
        <v>100000</v>
      </c>
      <c r="L203" s="67" t="n">
        <f aca="false">K203+L187</f>
        <v>100000</v>
      </c>
      <c r="M203" s="67" t="n">
        <f aca="false">L203+M187</f>
        <v>100000</v>
      </c>
      <c r="N203" s="67" t="n">
        <f aca="false">M203+N187</f>
        <v>100000</v>
      </c>
      <c r="O203" s="67" t="n">
        <f aca="false">N203+O187</f>
        <v>100000</v>
      </c>
      <c r="P203" s="67" t="n">
        <f aca="false">O203+P187</f>
        <v>100000</v>
      </c>
      <c r="Q203" s="67" t="n">
        <f aca="false">P203+Q187</f>
        <v>100000</v>
      </c>
      <c r="R203" s="67" t="n">
        <f aca="false">Q203+R187</f>
        <v>100000</v>
      </c>
      <c r="S203" s="67" t="n">
        <f aca="false">R203+S187</f>
        <v>100000</v>
      </c>
      <c r="T203" s="67" t="n">
        <f aca="false">S203+T187</f>
        <v>100000</v>
      </c>
      <c r="U203" s="67" t="n">
        <f aca="false">T203+U187</f>
        <v>100000</v>
      </c>
      <c r="V203" s="67" t="n">
        <f aca="false">U203+V187</f>
        <v>100000</v>
      </c>
      <c r="W203" s="67" t="n">
        <f aca="false">V203+W187</f>
        <v>100000</v>
      </c>
      <c r="X203" s="67" t="n">
        <f aca="false">W203+X187</f>
        <v>100000</v>
      </c>
      <c r="Y203" s="67" t="n">
        <f aca="false">X203+Y187</f>
        <v>100000</v>
      </c>
      <c r="Z203" s="67" t="n">
        <f aca="false">Y203+Z187</f>
        <v>100000</v>
      </c>
      <c r="AA203" s="67" t="n">
        <f aca="false">Z203+AA187</f>
        <v>100000</v>
      </c>
      <c r="AB203" s="67" t="n">
        <f aca="false">AA203+AB187</f>
        <v>100000</v>
      </c>
      <c r="AC203" s="67" t="n">
        <f aca="false">AB203+AC187</f>
        <v>100000</v>
      </c>
      <c r="AD203" s="67" t="n">
        <f aca="false">AC203+AD187</f>
        <v>100000</v>
      </c>
      <c r="AE203" s="67" t="n">
        <f aca="false">AD203+AE187</f>
        <v>100000</v>
      </c>
      <c r="AF203" s="67" t="n">
        <f aca="false">AE203+AF187</f>
        <v>100000</v>
      </c>
      <c r="AG203" s="67" t="n">
        <f aca="false">AF203+AG187</f>
        <v>100000</v>
      </c>
      <c r="AH203" s="67" t="n">
        <f aca="false">AG203+AH187</f>
        <v>100000</v>
      </c>
      <c r="AI203" s="67" t="n">
        <f aca="false">AH203+AI187</f>
        <v>100000</v>
      </c>
      <c r="AJ203" s="67" t="n">
        <f aca="false">AI203+AJ187</f>
        <v>100000</v>
      </c>
      <c r="AK203" s="67" t="n">
        <f aca="false">AJ203+AK187</f>
        <v>100000</v>
      </c>
      <c r="AL203" s="67" t="n">
        <f aca="false">AK203+AL187</f>
        <v>100000</v>
      </c>
    </row>
    <row r="204" customFormat="false" ht="15" hidden="false" customHeight="false" outlineLevel="0" collapsed="false">
      <c r="A204" s="6" t="s">
        <v>97</v>
      </c>
      <c r="C204" s="67" t="n">
        <f aca="false">C161</f>
        <v>10758.2542333333</v>
      </c>
      <c r="D204" s="67" t="n">
        <f aca="false">C204+D161</f>
        <v>21527.4806888889</v>
      </c>
      <c r="E204" s="67" t="n">
        <f aca="false">D204+E161</f>
        <v>32318.6515888889</v>
      </c>
      <c r="F204" s="67" t="n">
        <f aca="false">E204+F161</f>
        <v>43131.7669333333</v>
      </c>
      <c r="G204" s="67" t="n">
        <f aca="false">F204+G161</f>
        <v>53966.8267222222</v>
      </c>
      <c r="H204" s="67" t="n">
        <f aca="false">G204+H161</f>
        <v>85536.3590555555</v>
      </c>
      <c r="I204" s="67" t="n">
        <f aca="false">H204+I161</f>
        <v>117127.835833333</v>
      </c>
      <c r="J204" s="67" t="n">
        <f aca="false">I204+J161</f>
        <v>148741.257055556</v>
      </c>
      <c r="K204" s="67" t="n">
        <f aca="false">J204+K161</f>
        <v>159664.094622222</v>
      </c>
      <c r="L204" s="67" t="n">
        <f aca="false">K204+L161</f>
        <v>170608.876633333</v>
      </c>
      <c r="M204" s="67" t="n">
        <f aca="false">L204+M161</f>
        <v>181575.603088889</v>
      </c>
      <c r="N204" s="67" t="n">
        <f aca="false">M204+N161</f>
        <v>192564.273988889</v>
      </c>
      <c r="O204" s="67" t="n">
        <f aca="false">N204+O161</f>
        <v>209188.514779383</v>
      </c>
      <c r="P204" s="67" t="n">
        <f aca="false">O204+P161</f>
        <v>225834.700014322</v>
      </c>
      <c r="Q204" s="67" t="n">
        <f aca="false">P204+Q161</f>
        <v>242502.829693705</v>
      </c>
      <c r="R204" s="67" t="n">
        <f aca="false">Q204+R161</f>
        <v>259192.903817533</v>
      </c>
      <c r="S204" s="67" t="n">
        <f aca="false">R204+S161</f>
        <v>275904.922385805</v>
      </c>
      <c r="T204" s="67" t="n">
        <f aca="false">S204+T161</f>
        <v>314319.006892872</v>
      </c>
      <c r="U204" s="67" t="n">
        <f aca="false">T204+U161</f>
        <v>352755.035844383</v>
      </c>
      <c r="V204" s="67" t="n">
        <f aca="false">U204+V161</f>
        <v>391213.009240339</v>
      </c>
      <c r="W204" s="67" t="n">
        <f aca="false">V204+W161</f>
        <v>408012.805586389</v>
      </c>
      <c r="X204" s="67" t="n">
        <f aca="false">W204+X161</f>
        <v>424834.546376883</v>
      </c>
      <c r="Y204" s="67" t="n">
        <f aca="false">X204+Y161</f>
        <v>441678.231611822</v>
      </c>
      <c r="Z204" s="67" t="n">
        <f aca="false">Y204+Z161</f>
        <v>458543.861291206</v>
      </c>
      <c r="AA204" s="67" t="n">
        <f aca="false">Z204+AA161</f>
        <v>482457.083755225</v>
      </c>
      <c r="AB204" s="67" t="n">
        <f aca="false">AA204+AB161</f>
        <v>506392.250663688</v>
      </c>
      <c r="AC204" s="67" t="n">
        <f aca="false">AB204+AC161</f>
        <v>530349.362016596</v>
      </c>
      <c r="AD204" s="67" t="n">
        <f aca="false">AC204+AD161</f>
        <v>554328.417813948</v>
      </c>
      <c r="AE204" s="67" t="n">
        <f aca="false">AD204+AE161</f>
        <v>578329.418055745</v>
      </c>
      <c r="AF204" s="67" t="n">
        <f aca="false">AE204+AF161</f>
        <v>624740.244480984</v>
      </c>
      <c r="AG204" s="67" t="n">
        <f aca="false">AF204+AG161</f>
        <v>671173.015350668</v>
      </c>
      <c r="AH204" s="67" t="n">
        <f aca="false">AG204+AH161</f>
        <v>717627.730664796</v>
      </c>
      <c r="AI204" s="67" t="n">
        <f aca="false">AH204+AI161</f>
        <v>741716.508684371</v>
      </c>
      <c r="AJ204" s="67" t="n">
        <f aca="false">AI204+AJ161</f>
        <v>765827.23114839</v>
      </c>
      <c r="AK204" s="67" t="n">
        <f aca="false">AJ204+AK161</f>
        <v>789959.898056853</v>
      </c>
      <c r="AL204" s="67" t="n">
        <f aca="false">AK204+AL161</f>
        <v>814114.509409761</v>
      </c>
    </row>
    <row r="205" customFormat="false" ht="15" hidden="false" customHeight="false" outlineLevel="0" collapsed="false">
      <c r="A205" s="4" t="s">
        <v>92</v>
      </c>
      <c r="C205" s="73" t="n">
        <f aca="false">C191+C177+C178+C168</f>
        <v>417592.143122222</v>
      </c>
      <c r="D205" s="73" t="n">
        <f aca="false">D191+D177+D178+D168</f>
        <v>424194.702911111</v>
      </c>
      <c r="E205" s="73" t="n">
        <f aca="false">E191+E177+E178+E168</f>
        <v>430819.207144444</v>
      </c>
      <c r="F205" s="73" t="n">
        <f aca="false">F191+F177+F178+F168</f>
        <v>437465.655822222</v>
      </c>
      <c r="G205" s="73" t="n">
        <f aca="false">G191+G177+G178+G168</f>
        <v>444134.048944444</v>
      </c>
      <c r="H205" s="73" t="n">
        <f aca="false">H191+H177+H178+H168</f>
        <v>477580.8035</v>
      </c>
      <c r="I205" s="73" t="n">
        <f aca="false">I191+I177+I178+I168</f>
        <v>505005.613611111</v>
      </c>
      <c r="J205" s="73" t="n">
        <f aca="false">J191+J177+J178+J168</f>
        <v>532452.368166667</v>
      </c>
      <c r="K205" s="73" t="n">
        <f aca="false">K191+K177+K178+K168</f>
        <v>533164.650177778</v>
      </c>
      <c r="L205" s="73" t="n">
        <f aca="false">L191+L177+L178+L168</f>
        <v>539942.765522222</v>
      </c>
      <c r="M205" s="73" t="n">
        <f aca="false">M191+M177+M178+M168</f>
        <v>546742.825311111</v>
      </c>
      <c r="N205" s="73" t="n">
        <f aca="false">N191+N177+N178+N168</f>
        <v>553564.829544445</v>
      </c>
      <c r="O205" s="73" t="n">
        <f aca="false">O191+O177+O178+O168</f>
        <v>575370.034501606</v>
      </c>
      <c r="P205" s="73" t="n">
        <f aca="false">P191+P177+P178+P168</f>
        <v>587849.553069878</v>
      </c>
      <c r="Q205" s="73" t="n">
        <f aca="false">Q191+Q177+Q178+Q168</f>
        <v>600351.016082594</v>
      </c>
      <c r="R205" s="73" t="n">
        <f aca="false">R191+R177+R178+R168</f>
        <v>612874.423539756</v>
      </c>
      <c r="S205" s="73" t="n">
        <f aca="false">S191+S177+S178+S168</f>
        <v>625419.775441361</v>
      </c>
      <c r="T205" s="73" t="n">
        <f aca="false">T191+T177+T178+T168</f>
        <v>665993.42467065</v>
      </c>
      <c r="U205" s="73" t="n">
        <f aca="false">U191+U177+U178+U168</f>
        <v>700262.786955494</v>
      </c>
      <c r="V205" s="73" t="n">
        <f aca="false">V191+V177+V178+V168</f>
        <v>734554.093684783</v>
      </c>
      <c r="W205" s="73" t="n">
        <f aca="false">W191+W177+W178+W168</f>
        <v>740860.991975278</v>
      </c>
      <c r="X205" s="73" t="n">
        <f aca="false">X191+X177+X178+X168</f>
        <v>753516.066099106</v>
      </c>
      <c r="Y205" s="73" t="n">
        <f aca="false">Y191+Y177+Y178+Y168</f>
        <v>766193.084667378</v>
      </c>
      <c r="Z205" s="73" t="n">
        <f aca="false">Z191+Z177+Z178+Z168</f>
        <v>778892.047680094</v>
      </c>
      <c r="AA205" s="73" t="n">
        <f aca="false">AA191+AA177+AA178+AA168</f>
        <v>809558.242044863</v>
      </c>
      <c r="AB205" s="73" t="n">
        <f aca="false">AB191+AB177+AB178+AB168</f>
        <v>829326.74228666</v>
      </c>
      <c r="AC205" s="73" t="n">
        <f aca="false">AC191+AC177+AC178+AC168</f>
        <v>849117.186972901</v>
      </c>
      <c r="AD205" s="73" t="n">
        <f aca="false">AD191+AD177+AD178+AD168</f>
        <v>868929.576103587</v>
      </c>
      <c r="AE205" s="73" t="n">
        <f aca="false">AE191+AE177+AE178+AE168</f>
        <v>888763.909678717</v>
      </c>
      <c r="AF205" s="73" t="n">
        <f aca="false">AF191+AF177+AF178+AF168</f>
        <v>937540.824349429</v>
      </c>
      <c r="AG205" s="73" t="n">
        <f aca="false">AG191+AG177+AG178+AG168</f>
        <v>979806.928552446</v>
      </c>
      <c r="AH205" s="73" t="n">
        <f aca="false">AH191+AH177+AH178+AH168</f>
        <v>1022094.97719991</v>
      </c>
      <c r="AI205" s="73" t="n">
        <f aca="false">AI191+AI177+AI178+AI168</f>
        <v>1035484.33364068</v>
      </c>
      <c r="AJ205" s="73" t="n">
        <f aca="false">AJ191+AJ177+AJ178+AJ168</f>
        <v>1055428.38943803</v>
      </c>
      <c r="AK205" s="73" t="n">
        <f aca="false">AK191+AK177+AK178+AK168</f>
        <v>1075394.38967983</v>
      </c>
      <c r="AL205" s="73" t="n">
        <f aca="false">AL191+AL177+AL178+AL168</f>
        <v>1095382.33436607</v>
      </c>
    </row>
    <row r="206" customFormat="false" ht="15" hidden="false" customHeight="false" outlineLevel="0" collapsed="false">
      <c r="A206" s="6" t="s">
        <v>95</v>
      </c>
      <c r="C206" s="67" t="n">
        <f aca="false">C179+C174</f>
        <v>306833.888888889</v>
      </c>
      <c r="D206" s="67" t="n">
        <f aca="false">D179+D174</f>
        <v>302667.222222222</v>
      </c>
      <c r="E206" s="67" t="n">
        <f aca="false">E179+E174</f>
        <v>298500.555555556</v>
      </c>
      <c r="F206" s="67" t="n">
        <f aca="false">F179+F174</f>
        <v>294333.888888889</v>
      </c>
      <c r="G206" s="67" t="n">
        <f aca="false">G179+G174</f>
        <v>290167.222222222</v>
      </c>
      <c r="H206" s="67" t="n">
        <f aca="false">H179+H174</f>
        <v>292044.444444445</v>
      </c>
      <c r="I206" s="67" t="n">
        <f aca="false">I179+I174</f>
        <v>287877.777777778</v>
      </c>
      <c r="J206" s="67" t="n">
        <f aca="false">J179+J174</f>
        <v>283711.111111111</v>
      </c>
      <c r="K206" s="67" t="n">
        <f aca="false">K179+K174</f>
        <v>273500.555555556</v>
      </c>
      <c r="L206" s="67" t="n">
        <f aca="false">L179+L174</f>
        <v>269333.888888889</v>
      </c>
      <c r="M206" s="67" t="n">
        <f aca="false">M179+M174</f>
        <v>265167.222222222</v>
      </c>
      <c r="N206" s="67" t="n">
        <f aca="false">N179+N174</f>
        <v>261000.555555556</v>
      </c>
      <c r="O206" s="67" t="n">
        <f aca="false">O179+O174</f>
        <v>266181.519722222</v>
      </c>
      <c r="P206" s="67" t="n">
        <f aca="false">P179+P174</f>
        <v>262014.853055556</v>
      </c>
      <c r="Q206" s="67" t="n">
        <f aca="false">Q179+Q174</f>
        <v>257848.186388889</v>
      </c>
      <c r="R206" s="67" t="n">
        <f aca="false">R179+R174</f>
        <v>253681.519722222</v>
      </c>
      <c r="S206" s="67" t="n">
        <f aca="false">S179+S174</f>
        <v>249514.853055556</v>
      </c>
      <c r="T206" s="67" t="n">
        <f aca="false">T179+T174</f>
        <v>251674.417777778</v>
      </c>
      <c r="U206" s="67" t="n">
        <f aca="false">U179+U174</f>
        <v>247507.751111111</v>
      </c>
      <c r="V206" s="67" t="n">
        <f aca="false">V179+V174</f>
        <v>243341.084444445</v>
      </c>
      <c r="W206" s="67" t="n">
        <f aca="false">W179+W174</f>
        <v>232848.186388889</v>
      </c>
      <c r="X206" s="67" t="n">
        <f aca="false">X179+X174</f>
        <v>228681.519722222</v>
      </c>
      <c r="Y206" s="67" t="n">
        <f aca="false">Y179+Y174</f>
        <v>224514.853055556</v>
      </c>
      <c r="Z206" s="67" t="n">
        <f aca="false">Z179+Z174</f>
        <v>220348.186388889</v>
      </c>
      <c r="AA206" s="67" t="n">
        <f aca="false">AA179+AA174</f>
        <v>227101.158289639</v>
      </c>
      <c r="AB206" s="67" t="n">
        <f aca="false">AB179+AB174</f>
        <v>222934.491622972</v>
      </c>
      <c r="AC206" s="67" t="n">
        <f aca="false">AC179+AC174</f>
        <v>218767.824956306</v>
      </c>
      <c r="AD206" s="67" t="n">
        <f aca="false">AD179+AD174</f>
        <v>214601.158289639</v>
      </c>
      <c r="AE206" s="67" t="n">
        <f aca="false">AE179+AE174</f>
        <v>210434.491622972</v>
      </c>
      <c r="AF206" s="67" t="n">
        <f aca="false">AF179+AF174</f>
        <v>212800.579868445</v>
      </c>
      <c r="AG206" s="67" t="n">
        <f aca="false">AG179+AG174</f>
        <v>208633.913201778</v>
      </c>
      <c r="AH206" s="67" t="n">
        <f aca="false">AH179+AH174</f>
        <v>204467.246535111</v>
      </c>
      <c r="AI206" s="67" t="n">
        <f aca="false">AI179+AI174</f>
        <v>193767.824956306</v>
      </c>
      <c r="AJ206" s="67" t="n">
        <f aca="false">AJ179+AJ174</f>
        <v>189601.158289639</v>
      </c>
      <c r="AK206" s="67" t="n">
        <f aca="false">AK179+AK174</f>
        <v>185434.491622972</v>
      </c>
      <c r="AL206" s="67" t="n">
        <f aca="false">AL179+AL174</f>
        <v>181267.824956306</v>
      </c>
    </row>
    <row r="207" customFormat="false" ht="15" hidden="false" customHeight="false" outlineLevel="0" collapsed="false">
      <c r="A207" s="6" t="s">
        <v>98</v>
      </c>
      <c r="C207" s="67" t="n">
        <f aca="false">C203+C204</f>
        <v>110758.254233333</v>
      </c>
      <c r="D207" s="67" t="n">
        <f aca="false">D203+D204</f>
        <v>121527.480688889</v>
      </c>
      <c r="E207" s="67" t="n">
        <f aca="false">E203+E204</f>
        <v>132318.651588889</v>
      </c>
      <c r="F207" s="67" t="n">
        <f aca="false">F203+F204</f>
        <v>143131.766933333</v>
      </c>
      <c r="G207" s="67" t="n">
        <f aca="false">G203+G204</f>
        <v>153966.826722222</v>
      </c>
      <c r="H207" s="67" t="n">
        <f aca="false">H203+H204</f>
        <v>185536.359055556</v>
      </c>
      <c r="I207" s="67" t="n">
        <f aca="false">I203+I204</f>
        <v>217127.835833333</v>
      </c>
      <c r="J207" s="67" t="n">
        <f aca="false">J203+J204</f>
        <v>248741.257055556</v>
      </c>
      <c r="K207" s="67" t="n">
        <f aca="false">K203+K204</f>
        <v>259664.094622222</v>
      </c>
      <c r="L207" s="67" t="n">
        <f aca="false">L203+L204</f>
        <v>270608.876633333</v>
      </c>
      <c r="M207" s="67" t="n">
        <f aca="false">M203+M204</f>
        <v>281575.603088889</v>
      </c>
      <c r="N207" s="67" t="n">
        <f aca="false">N203+N204</f>
        <v>292564.273988889</v>
      </c>
      <c r="O207" s="67" t="n">
        <f aca="false">O203+O204</f>
        <v>309188.514779383</v>
      </c>
      <c r="P207" s="67" t="n">
        <f aca="false">P203+P204</f>
        <v>325834.700014322</v>
      </c>
      <c r="Q207" s="67" t="n">
        <f aca="false">Q203+Q204</f>
        <v>342502.829693706</v>
      </c>
      <c r="R207" s="67" t="n">
        <f aca="false">R203+R204</f>
        <v>359192.903817533</v>
      </c>
      <c r="S207" s="67" t="n">
        <f aca="false">S203+S204</f>
        <v>375904.922385805</v>
      </c>
      <c r="T207" s="67" t="n">
        <f aca="false">T203+T204</f>
        <v>414319.006892872</v>
      </c>
      <c r="U207" s="67" t="n">
        <f aca="false">U203+U204</f>
        <v>452755.035844383</v>
      </c>
      <c r="V207" s="67" t="n">
        <f aca="false">V203+V204</f>
        <v>491213.009240339</v>
      </c>
      <c r="W207" s="67" t="n">
        <f aca="false">W203+W204</f>
        <v>508012.805586389</v>
      </c>
      <c r="X207" s="67" t="n">
        <f aca="false">X203+X204</f>
        <v>524834.546376883</v>
      </c>
      <c r="Y207" s="67" t="n">
        <f aca="false">Y203+Y204</f>
        <v>541678.231611822</v>
      </c>
      <c r="Z207" s="67" t="n">
        <f aca="false">Z203+Z204</f>
        <v>558543.861291206</v>
      </c>
      <c r="AA207" s="67" t="n">
        <f aca="false">AA203+AA204</f>
        <v>582457.083755225</v>
      </c>
      <c r="AB207" s="67" t="n">
        <f aca="false">AB203+AB204</f>
        <v>606392.250663688</v>
      </c>
      <c r="AC207" s="67" t="n">
        <f aca="false">AC203+AC204</f>
        <v>630349.362016596</v>
      </c>
      <c r="AD207" s="67" t="n">
        <f aca="false">AD203+AD204</f>
        <v>654328.417813948</v>
      </c>
      <c r="AE207" s="67" t="n">
        <f aca="false">AE203+AE204</f>
        <v>678329.418055745</v>
      </c>
      <c r="AF207" s="67" t="n">
        <f aca="false">AF203+AF204</f>
        <v>724740.244480984</v>
      </c>
      <c r="AG207" s="67" t="n">
        <f aca="false">AG203+AG204</f>
        <v>771173.015350668</v>
      </c>
      <c r="AH207" s="67" t="n">
        <f aca="false">AH203+AH204</f>
        <v>817627.730664796</v>
      </c>
      <c r="AI207" s="67" t="n">
        <f aca="false">AI203+AI204</f>
        <v>841716.508684371</v>
      </c>
      <c r="AJ207" s="67" t="n">
        <f aca="false">AJ203+AJ204</f>
        <v>865827.23114839</v>
      </c>
      <c r="AK207" s="67" t="n">
        <f aca="false">AK203+AK204</f>
        <v>889959.898056853</v>
      </c>
      <c r="AL207" s="67" t="n">
        <f aca="false">AL203+AL204</f>
        <v>914114.509409761</v>
      </c>
    </row>
    <row r="208" customFormat="false" ht="15" hidden="false" customHeight="false" outlineLevel="0" collapsed="false">
      <c r="A208" s="4" t="s">
        <v>99</v>
      </c>
      <c r="C208" s="73" t="n">
        <f aca="false">C206+C207</f>
        <v>417592.143122222</v>
      </c>
      <c r="D208" s="73" t="n">
        <f aca="false">D206+D207</f>
        <v>424194.702911111</v>
      </c>
      <c r="E208" s="73" t="n">
        <f aca="false">E206+E207</f>
        <v>430819.207144444</v>
      </c>
      <c r="F208" s="73" t="n">
        <f aca="false">F206+F207</f>
        <v>437465.655822222</v>
      </c>
      <c r="G208" s="73" t="n">
        <f aca="false">G206+G207</f>
        <v>444134.048944444</v>
      </c>
      <c r="H208" s="73" t="n">
        <f aca="false">H206+H207</f>
        <v>477580.8035</v>
      </c>
      <c r="I208" s="73" t="n">
        <f aca="false">I206+I207</f>
        <v>505005.613611111</v>
      </c>
      <c r="J208" s="73" t="n">
        <f aca="false">J206+J207</f>
        <v>532452.368166667</v>
      </c>
      <c r="K208" s="73" t="n">
        <f aca="false">K206+K207</f>
        <v>533164.650177778</v>
      </c>
      <c r="L208" s="73" t="n">
        <f aca="false">L206+L207</f>
        <v>539942.765522222</v>
      </c>
      <c r="M208" s="73" t="n">
        <f aca="false">M206+M207</f>
        <v>546742.825311111</v>
      </c>
      <c r="N208" s="73" t="n">
        <f aca="false">N206+N207</f>
        <v>553564.829544445</v>
      </c>
      <c r="O208" s="73" t="n">
        <f aca="false">O206+O207</f>
        <v>575370.034501606</v>
      </c>
      <c r="P208" s="73" t="n">
        <f aca="false">P206+P207</f>
        <v>587849.553069878</v>
      </c>
      <c r="Q208" s="73" t="n">
        <f aca="false">Q206+Q207</f>
        <v>600351.016082595</v>
      </c>
      <c r="R208" s="73" t="n">
        <f aca="false">R206+R207</f>
        <v>612874.423539756</v>
      </c>
      <c r="S208" s="73" t="n">
        <f aca="false">S206+S207</f>
        <v>625419.775441361</v>
      </c>
      <c r="T208" s="73" t="n">
        <f aca="false">T206+T207</f>
        <v>665993.42467065</v>
      </c>
      <c r="U208" s="73" t="n">
        <f aca="false">U206+U207</f>
        <v>700262.786955495</v>
      </c>
      <c r="V208" s="73" t="n">
        <f aca="false">V206+V207</f>
        <v>734554.093684783</v>
      </c>
      <c r="W208" s="73" t="n">
        <f aca="false">W206+W207</f>
        <v>740860.991975278</v>
      </c>
      <c r="X208" s="73" t="n">
        <f aca="false">X206+X207</f>
        <v>753516.066099106</v>
      </c>
      <c r="Y208" s="73" t="n">
        <f aca="false">Y206+Y207</f>
        <v>766193.084667378</v>
      </c>
      <c r="Z208" s="73" t="n">
        <f aca="false">Z206+Z207</f>
        <v>778892.047680095</v>
      </c>
      <c r="AA208" s="73" t="n">
        <f aca="false">AA206+AA207</f>
        <v>809558.242044864</v>
      </c>
      <c r="AB208" s="73" t="n">
        <f aca="false">AB206+AB207</f>
        <v>829326.74228666</v>
      </c>
      <c r="AC208" s="73" t="n">
        <f aca="false">AC206+AC207</f>
        <v>849117.186972902</v>
      </c>
      <c r="AD208" s="73" t="n">
        <f aca="false">AD206+AD207</f>
        <v>868929.576103587</v>
      </c>
      <c r="AE208" s="73" t="n">
        <f aca="false">AE206+AE207</f>
        <v>888763.909678717</v>
      </c>
      <c r="AF208" s="73" t="n">
        <f aca="false">AF206+AF207</f>
        <v>937540.824349429</v>
      </c>
      <c r="AG208" s="73" t="n">
        <f aca="false">AG206+AG207</f>
        <v>979806.928552446</v>
      </c>
      <c r="AH208" s="73" t="n">
        <f aca="false">AH206+AH207</f>
        <v>1022094.97719991</v>
      </c>
      <c r="AI208" s="73" t="n">
        <f aca="false">AI206+AI207</f>
        <v>1035484.33364068</v>
      </c>
      <c r="AJ208" s="73" t="n">
        <f aca="false">AJ206+AJ207</f>
        <v>1055428.38943803</v>
      </c>
      <c r="AK208" s="73" t="n">
        <f aca="false">AK206+AK207</f>
        <v>1075394.38967983</v>
      </c>
      <c r="AL208" s="73" t="n">
        <f aca="false">AL206+AL207</f>
        <v>1095382.33436607</v>
      </c>
    </row>
    <row r="209" customFormat="false" ht="15" hidden="false" customHeight="false" outlineLevel="0" collapsed="false">
      <c r="A209" s="6" t="s">
        <v>410</v>
      </c>
      <c r="C209" s="67" t="n">
        <f aca="false">C205-C208</f>
        <v>0</v>
      </c>
      <c r="D209" s="67" t="n">
        <f aca="false">D205-D208</f>
        <v>0</v>
      </c>
      <c r="E209" s="67" t="n">
        <f aca="false">E205-E208</f>
        <v>0</v>
      </c>
      <c r="F209" s="67" t="n">
        <f aca="false">F205-F208</f>
        <v>0</v>
      </c>
      <c r="G209" s="67" t="n">
        <f aca="false">G205-G208</f>
        <v>0</v>
      </c>
      <c r="H209" s="67" t="n">
        <f aca="false">H205-H208</f>
        <v>0</v>
      </c>
      <c r="I209" s="67" t="n">
        <f aca="false">I205-I208</f>
        <v>0</v>
      </c>
      <c r="J209" s="67" t="n">
        <f aca="false">J205-J208</f>
        <v>0</v>
      </c>
      <c r="K209" s="67" t="n">
        <f aca="false">K205-K208</f>
        <v>0</v>
      </c>
      <c r="L209" s="67" t="n">
        <f aca="false">L205-L208</f>
        <v>0</v>
      </c>
      <c r="M209" s="67" t="n">
        <f aca="false">M205-M208</f>
        <v>0</v>
      </c>
      <c r="N209" s="67" t="n">
        <f aca="false">N205-N208</f>
        <v>0</v>
      </c>
      <c r="O209" s="67" t="n">
        <f aca="false">O205-O208</f>
        <v>0</v>
      </c>
      <c r="P209" s="67" t="n">
        <f aca="false">P205-P208</f>
        <v>0</v>
      </c>
      <c r="Q209" s="67" t="n">
        <f aca="false">Q205-Q208</f>
        <v>0</v>
      </c>
      <c r="R209" s="67" t="n">
        <f aca="false">R205-R208</f>
        <v>0</v>
      </c>
      <c r="S209" s="67" t="n">
        <f aca="false">S205-S208</f>
        <v>0</v>
      </c>
      <c r="T209" s="67" t="n">
        <f aca="false">T205-T208</f>
        <v>0</v>
      </c>
      <c r="U209" s="67" t="n">
        <f aca="false">U205-U208</f>
        <v>0</v>
      </c>
      <c r="V209" s="67" t="n">
        <f aca="false">V205-V208</f>
        <v>0</v>
      </c>
      <c r="W209" s="67" t="n">
        <f aca="false">W205-W208</f>
        <v>0</v>
      </c>
      <c r="X209" s="67" t="n">
        <f aca="false">X205-X208</f>
        <v>0</v>
      </c>
      <c r="Y209" s="67" t="n">
        <f aca="false">Y205-Y208</f>
        <v>0</v>
      </c>
      <c r="Z209" s="67" t="n">
        <f aca="false">Z205-Z208</f>
        <v>0</v>
      </c>
      <c r="AA209" s="67" t="n">
        <f aca="false">AA205-AA208</f>
        <v>0</v>
      </c>
      <c r="AB209" s="67" t="n">
        <f aca="false">AB205-AB208</f>
        <v>0</v>
      </c>
      <c r="AC209" s="67" t="n">
        <f aca="false">AC205-AC208</f>
        <v>0</v>
      </c>
      <c r="AD209" s="67" t="n">
        <f aca="false">AD205-AD208</f>
        <v>0</v>
      </c>
      <c r="AE209" s="67" t="n">
        <f aca="false">AE205-AE208</f>
        <v>0</v>
      </c>
      <c r="AF209" s="67" t="n">
        <f aca="false">AF205-AF208</f>
        <v>0</v>
      </c>
      <c r="AG209" s="67" t="n">
        <f aca="false">AG205-AG208</f>
        <v>0</v>
      </c>
      <c r="AH209" s="67" t="n">
        <f aca="false">AH205-AH208</f>
        <v>0</v>
      </c>
      <c r="AI209" s="67" t="n">
        <f aca="false">AI205-AI208</f>
        <v>0</v>
      </c>
      <c r="AJ209" s="67" t="n">
        <f aca="false">AJ205-AJ208</f>
        <v>0</v>
      </c>
      <c r="AK209" s="67" t="n">
        <f aca="false">AK205-AK208</f>
        <v>0</v>
      </c>
      <c r="AL209" s="67" t="n">
        <f aca="false">AL205-AL208</f>
        <v>0</v>
      </c>
    </row>
    <row r="211" customFormat="false" ht="15.75" hidden="false" customHeight="true" outlineLevel="0" collapsed="false">
      <c r="A211" s="7" t="s">
        <v>412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customFormat="false" ht="15" hidden="false" customHeight="false" outlineLevel="0" collapsed="false">
      <c r="A212" s="6" t="s">
        <v>413</v>
      </c>
      <c r="C212" s="118" t="n">
        <f aca="false">Inputs!$C$42*(1+Inputs!$C$44)^(C$116-1)*MAX(0,MIN(1,C$115*1-Inputs!$C$45+1))/1</f>
        <v>7</v>
      </c>
      <c r="D212" s="118" t="n">
        <f aca="false">Inputs!$C$42*(1+Inputs!$C$44)^(D$116-1)*MAX(0,MIN(1,D$115*1-Inputs!$C$45+1))/1</f>
        <v>7</v>
      </c>
      <c r="E212" s="118" t="n">
        <f aca="false">Inputs!$C$42*(1+Inputs!$C$44)^(E$116-1)*MAX(0,MIN(1,E$115*1-Inputs!$C$45+1))/1</f>
        <v>7</v>
      </c>
      <c r="F212" s="118" t="n">
        <f aca="false">Inputs!$C$42*(1+Inputs!$C$44)^(F$116-1)*MAX(0,MIN(1,F$115*1-Inputs!$C$45+1))/1</f>
        <v>7</v>
      </c>
      <c r="G212" s="118" t="n">
        <f aca="false">Inputs!$C$42*(1+Inputs!$C$44)^(G$116-1)*MAX(0,MIN(1,G$115*1-Inputs!$C$45+1))/1</f>
        <v>7</v>
      </c>
      <c r="H212" s="118" t="n">
        <f aca="false">Inputs!$C$42*(1+Inputs!$C$44)^(H$116-1)*MAX(0,MIN(1,H$115*1-Inputs!$C$45+1))/1</f>
        <v>7</v>
      </c>
      <c r="I212" s="118" t="n">
        <f aca="false">Inputs!$C$42*(1+Inputs!$C$44)^(I$116-1)*MAX(0,MIN(1,I$115*1-Inputs!$C$45+1))/1</f>
        <v>7</v>
      </c>
      <c r="J212" s="118" t="n">
        <f aca="false">Inputs!$C$42*(1+Inputs!$C$44)^(J$116-1)*MAX(0,MIN(1,J$115*1-Inputs!$C$45+1))/1</f>
        <v>7</v>
      </c>
      <c r="K212" s="118" t="n">
        <f aca="false">Inputs!$C$42*(1+Inputs!$C$44)^(K$116-1)*MAX(0,MIN(1,K$115*1-Inputs!$C$45+1))/1</f>
        <v>7</v>
      </c>
      <c r="L212" s="118" t="n">
        <f aca="false">Inputs!$C$42*(1+Inputs!$C$44)^(L$116-1)*MAX(0,MIN(1,L$115*1-Inputs!$C$45+1))/1</f>
        <v>7</v>
      </c>
      <c r="M212" s="118" t="n">
        <f aca="false">Inputs!$C$42*(1+Inputs!$C$44)^(M$116-1)*MAX(0,MIN(1,M$115*1-Inputs!$C$45+1))/1</f>
        <v>7</v>
      </c>
      <c r="N212" s="118" t="n">
        <f aca="false">Inputs!$C$42*(1+Inputs!$C$44)^(N$116-1)*MAX(0,MIN(1,N$115*1-Inputs!$C$45+1))/1</f>
        <v>7</v>
      </c>
      <c r="O212" s="118" t="n">
        <f aca="false">Inputs!$C$42*(1+Inputs!$C$44)^(O$116-1)*MAX(0,MIN(1,O$115*1-Inputs!$C$45+1))/1</f>
        <v>7.84</v>
      </c>
      <c r="P212" s="118" t="n">
        <f aca="false">Inputs!$C$42*(1+Inputs!$C$44)^(P$116-1)*MAX(0,MIN(1,P$115*1-Inputs!$C$45+1))/1</f>
        <v>7.84</v>
      </c>
      <c r="Q212" s="118" t="n">
        <f aca="false">Inputs!$C$42*(1+Inputs!$C$44)^(Q$116-1)*MAX(0,MIN(1,Q$115*1-Inputs!$C$45+1))/1</f>
        <v>7.84</v>
      </c>
      <c r="R212" s="118" t="n">
        <f aca="false">Inputs!$C$42*(1+Inputs!$C$44)^(R$116-1)*MAX(0,MIN(1,R$115*1-Inputs!$C$45+1))/1</f>
        <v>7.84</v>
      </c>
      <c r="S212" s="118" t="n">
        <f aca="false">Inputs!$C$42*(1+Inputs!$C$44)^(S$116-1)*MAX(0,MIN(1,S$115*1-Inputs!$C$45+1))/1</f>
        <v>7.84</v>
      </c>
      <c r="T212" s="118" t="n">
        <f aca="false">Inputs!$C$42*(1+Inputs!$C$44)^(T$116-1)*MAX(0,MIN(1,T$115*1-Inputs!$C$45+1))/1</f>
        <v>7.84</v>
      </c>
      <c r="U212" s="118" t="n">
        <f aca="false">Inputs!$C$42*(1+Inputs!$C$44)^(U$116-1)*MAX(0,MIN(1,U$115*1-Inputs!$C$45+1))/1</f>
        <v>7.84</v>
      </c>
      <c r="V212" s="118" t="n">
        <f aca="false">Inputs!$C$42*(1+Inputs!$C$44)^(V$116-1)*MAX(0,MIN(1,V$115*1-Inputs!$C$45+1))/1</f>
        <v>7.84</v>
      </c>
      <c r="W212" s="118" t="n">
        <f aca="false">Inputs!$C$42*(1+Inputs!$C$44)^(W$116-1)*MAX(0,MIN(1,W$115*1-Inputs!$C$45+1))/1</f>
        <v>7.84</v>
      </c>
      <c r="X212" s="118" t="n">
        <f aca="false">Inputs!$C$42*(1+Inputs!$C$44)^(X$116-1)*MAX(0,MIN(1,X$115*1-Inputs!$C$45+1))/1</f>
        <v>7.84</v>
      </c>
      <c r="Y212" s="118" t="n">
        <f aca="false">Inputs!$C$42*(1+Inputs!$C$44)^(Y$116-1)*MAX(0,MIN(1,Y$115*1-Inputs!$C$45+1))/1</f>
        <v>7.84</v>
      </c>
      <c r="Z212" s="118" t="n">
        <f aca="false">Inputs!$C$42*(1+Inputs!$C$44)^(Z$116-1)*MAX(0,MIN(1,Z$115*1-Inputs!$C$45+1))/1</f>
        <v>7.84</v>
      </c>
      <c r="AA212" s="118" t="n">
        <f aca="false">Inputs!$C$42*(1+Inputs!$C$44)^(AA$116-1)*MAX(0,MIN(1,AA$115*1-Inputs!$C$45+1))/1</f>
        <v>8.7808</v>
      </c>
      <c r="AB212" s="118" t="n">
        <f aca="false">Inputs!$C$42*(1+Inputs!$C$44)^(AB$116-1)*MAX(0,MIN(1,AB$115*1-Inputs!$C$45+1))/1</f>
        <v>8.7808</v>
      </c>
      <c r="AC212" s="118" t="n">
        <f aca="false">Inputs!$C$42*(1+Inputs!$C$44)^(AC$116-1)*MAX(0,MIN(1,AC$115*1-Inputs!$C$45+1))/1</f>
        <v>8.7808</v>
      </c>
      <c r="AD212" s="118" t="n">
        <f aca="false">Inputs!$C$42*(1+Inputs!$C$44)^(AD$116-1)*MAX(0,MIN(1,AD$115*1-Inputs!$C$45+1))/1</f>
        <v>8.7808</v>
      </c>
      <c r="AE212" s="118" t="n">
        <f aca="false">Inputs!$C$42*(1+Inputs!$C$44)^(AE$116-1)*MAX(0,MIN(1,AE$115*1-Inputs!$C$45+1))/1</f>
        <v>8.7808</v>
      </c>
      <c r="AF212" s="118" t="n">
        <f aca="false">Inputs!$C$42*(1+Inputs!$C$44)^(AF$116-1)*MAX(0,MIN(1,AF$115*1-Inputs!$C$45+1))/1</f>
        <v>8.7808</v>
      </c>
      <c r="AG212" s="118" t="n">
        <f aca="false">Inputs!$C$42*(1+Inputs!$C$44)^(AG$116-1)*MAX(0,MIN(1,AG$115*1-Inputs!$C$45+1))/1</f>
        <v>8.7808</v>
      </c>
      <c r="AH212" s="118" t="n">
        <f aca="false">Inputs!$C$42*(1+Inputs!$C$44)^(AH$116-1)*MAX(0,MIN(1,AH$115*1-Inputs!$C$45+1))/1</f>
        <v>8.7808</v>
      </c>
      <c r="AI212" s="118" t="n">
        <f aca="false">Inputs!$C$42*(1+Inputs!$C$44)^(AI$116-1)*MAX(0,MIN(1,AI$115*1-Inputs!$C$45+1))/1</f>
        <v>8.7808</v>
      </c>
      <c r="AJ212" s="118" t="n">
        <f aca="false">Inputs!$C$42*(1+Inputs!$C$44)^(AJ$116-1)*MAX(0,MIN(1,AJ$115*1-Inputs!$C$45+1))/1</f>
        <v>8.7808</v>
      </c>
      <c r="AK212" s="118" t="n">
        <f aca="false">Inputs!$C$42*(1+Inputs!$C$44)^(AK$116-1)*MAX(0,MIN(1,AK$115*1-Inputs!$C$45+1))/1</f>
        <v>8.7808</v>
      </c>
      <c r="AL212" s="118" t="n">
        <f aca="false">Inputs!$C$42*(1+Inputs!$C$44)^(AL$116-1)*MAX(0,MIN(1,AL$115*1-Inputs!$C$45+1))/1</f>
        <v>8.7808</v>
      </c>
    </row>
    <row r="213" customFormat="false" ht="15" hidden="false" customHeight="false" outlineLevel="0" collapsed="false">
      <c r="A213" s="6" t="s">
        <v>414</v>
      </c>
      <c r="C213" s="118" t="n">
        <f aca="false">Inputs!$C$46*(1+Inputs!$C$48)^(C$116-1)*MAX(0,MIN(1,C$115*1-Inputs!$C$49+1))/1</f>
        <v>2</v>
      </c>
      <c r="D213" s="118" t="n">
        <f aca="false">Inputs!$C$46*(1+Inputs!$C$48)^(D$116-1)*MAX(0,MIN(1,D$115*1-Inputs!$C$49+1))/1</f>
        <v>2</v>
      </c>
      <c r="E213" s="118" t="n">
        <f aca="false">Inputs!$C$46*(1+Inputs!$C$48)^(E$116-1)*MAX(0,MIN(1,E$115*1-Inputs!$C$49+1))/1</f>
        <v>2</v>
      </c>
      <c r="F213" s="118" t="n">
        <f aca="false">Inputs!$C$46*(1+Inputs!$C$48)^(F$116-1)*MAX(0,MIN(1,F$115*1-Inputs!$C$49+1))/1</f>
        <v>2</v>
      </c>
      <c r="G213" s="118" t="n">
        <f aca="false">Inputs!$C$46*(1+Inputs!$C$48)^(G$116-1)*MAX(0,MIN(1,G$115*1-Inputs!$C$49+1))/1</f>
        <v>2</v>
      </c>
      <c r="H213" s="118" t="n">
        <f aca="false">Inputs!$C$46*(1+Inputs!$C$48)^(H$116-1)*MAX(0,MIN(1,H$115*1-Inputs!$C$49+1))/1</f>
        <v>2</v>
      </c>
      <c r="I213" s="118" t="n">
        <f aca="false">Inputs!$C$46*(1+Inputs!$C$48)^(I$116-1)*MAX(0,MIN(1,I$115*1-Inputs!$C$49+1))/1</f>
        <v>2</v>
      </c>
      <c r="J213" s="118" t="n">
        <f aca="false">Inputs!$C$46*(1+Inputs!$C$48)^(J$116-1)*MAX(0,MIN(1,J$115*1-Inputs!$C$49+1))/1</f>
        <v>2</v>
      </c>
      <c r="K213" s="118" t="n">
        <f aca="false">Inputs!$C$46*(1+Inputs!$C$48)^(K$116-1)*MAX(0,MIN(1,K$115*1-Inputs!$C$49+1))/1</f>
        <v>2</v>
      </c>
      <c r="L213" s="118" t="n">
        <f aca="false">Inputs!$C$46*(1+Inputs!$C$48)^(L$116-1)*MAX(0,MIN(1,L$115*1-Inputs!$C$49+1))/1</f>
        <v>2</v>
      </c>
      <c r="M213" s="118" t="n">
        <f aca="false">Inputs!$C$46*(1+Inputs!$C$48)^(M$116-1)*MAX(0,MIN(1,M$115*1-Inputs!$C$49+1))/1</f>
        <v>2</v>
      </c>
      <c r="N213" s="118" t="n">
        <f aca="false">Inputs!$C$46*(1+Inputs!$C$48)^(N$116-1)*MAX(0,MIN(1,N$115*1-Inputs!$C$49+1))/1</f>
        <v>2</v>
      </c>
      <c r="O213" s="118" t="n">
        <f aca="false">Inputs!$C$46*(1+Inputs!$C$48)^(O$116-1)*MAX(0,MIN(1,O$115*1-Inputs!$C$49+1))/1</f>
        <v>2.2</v>
      </c>
      <c r="P213" s="118" t="n">
        <f aca="false">Inputs!$C$46*(1+Inputs!$C$48)^(P$116-1)*MAX(0,MIN(1,P$115*1-Inputs!$C$49+1))/1</f>
        <v>2.2</v>
      </c>
      <c r="Q213" s="118" t="n">
        <f aca="false">Inputs!$C$46*(1+Inputs!$C$48)^(Q$116-1)*MAX(0,MIN(1,Q$115*1-Inputs!$C$49+1))/1</f>
        <v>2.2</v>
      </c>
      <c r="R213" s="118" t="n">
        <f aca="false">Inputs!$C$46*(1+Inputs!$C$48)^(R$116-1)*MAX(0,MIN(1,R$115*1-Inputs!$C$49+1))/1</f>
        <v>2.2</v>
      </c>
      <c r="S213" s="118" t="n">
        <f aca="false">Inputs!$C$46*(1+Inputs!$C$48)^(S$116-1)*MAX(0,MIN(1,S$115*1-Inputs!$C$49+1))/1</f>
        <v>2.2</v>
      </c>
      <c r="T213" s="118" t="n">
        <f aca="false">Inputs!$C$46*(1+Inputs!$C$48)^(T$116-1)*MAX(0,MIN(1,T$115*1-Inputs!$C$49+1))/1</f>
        <v>2.2</v>
      </c>
      <c r="U213" s="118" t="n">
        <f aca="false">Inputs!$C$46*(1+Inputs!$C$48)^(U$116-1)*MAX(0,MIN(1,U$115*1-Inputs!$C$49+1))/1</f>
        <v>2.2</v>
      </c>
      <c r="V213" s="118" t="n">
        <f aca="false">Inputs!$C$46*(1+Inputs!$C$48)^(V$116-1)*MAX(0,MIN(1,V$115*1-Inputs!$C$49+1))/1</f>
        <v>2.2</v>
      </c>
      <c r="W213" s="118" t="n">
        <f aca="false">Inputs!$C$46*(1+Inputs!$C$48)^(W$116-1)*MAX(0,MIN(1,W$115*1-Inputs!$C$49+1))/1</f>
        <v>2.2</v>
      </c>
      <c r="X213" s="118" t="n">
        <f aca="false">Inputs!$C$46*(1+Inputs!$C$48)^(X$116-1)*MAX(0,MIN(1,X$115*1-Inputs!$C$49+1))/1</f>
        <v>2.2</v>
      </c>
      <c r="Y213" s="118" t="n">
        <f aca="false">Inputs!$C$46*(1+Inputs!$C$48)^(Y$116-1)*MAX(0,MIN(1,Y$115*1-Inputs!$C$49+1))/1</f>
        <v>2.2</v>
      </c>
      <c r="Z213" s="118" t="n">
        <f aca="false">Inputs!$C$46*(1+Inputs!$C$48)^(Z$116-1)*MAX(0,MIN(1,Z$115*1-Inputs!$C$49+1))/1</f>
        <v>2.2</v>
      </c>
      <c r="AA213" s="118" t="n">
        <f aca="false">Inputs!$C$46*(1+Inputs!$C$48)^(AA$116-1)*MAX(0,MIN(1,AA$115*1-Inputs!$C$49+1))/1</f>
        <v>2.42</v>
      </c>
      <c r="AB213" s="118" t="n">
        <f aca="false">Inputs!$C$46*(1+Inputs!$C$48)^(AB$116-1)*MAX(0,MIN(1,AB$115*1-Inputs!$C$49+1))/1</f>
        <v>2.42</v>
      </c>
      <c r="AC213" s="118" t="n">
        <f aca="false">Inputs!$C$46*(1+Inputs!$C$48)^(AC$116-1)*MAX(0,MIN(1,AC$115*1-Inputs!$C$49+1))/1</f>
        <v>2.42</v>
      </c>
      <c r="AD213" s="118" t="n">
        <f aca="false">Inputs!$C$46*(1+Inputs!$C$48)^(AD$116-1)*MAX(0,MIN(1,AD$115*1-Inputs!$C$49+1))/1</f>
        <v>2.42</v>
      </c>
      <c r="AE213" s="118" t="n">
        <f aca="false">Inputs!$C$46*(1+Inputs!$C$48)^(AE$116-1)*MAX(0,MIN(1,AE$115*1-Inputs!$C$49+1))/1</f>
        <v>2.42</v>
      </c>
      <c r="AF213" s="118" t="n">
        <f aca="false">Inputs!$C$46*(1+Inputs!$C$48)^(AF$116-1)*MAX(0,MIN(1,AF$115*1-Inputs!$C$49+1))/1</f>
        <v>2.42</v>
      </c>
      <c r="AG213" s="118" t="n">
        <f aca="false">Inputs!$C$46*(1+Inputs!$C$48)^(AG$116-1)*MAX(0,MIN(1,AG$115*1-Inputs!$C$49+1))/1</f>
        <v>2.42</v>
      </c>
      <c r="AH213" s="118" t="n">
        <f aca="false">Inputs!$C$46*(1+Inputs!$C$48)^(AH$116-1)*MAX(0,MIN(1,AH$115*1-Inputs!$C$49+1))/1</f>
        <v>2.42</v>
      </c>
      <c r="AI213" s="118" t="n">
        <f aca="false">Inputs!$C$46*(1+Inputs!$C$48)^(AI$116-1)*MAX(0,MIN(1,AI$115*1-Inputs!$C$49+1))/1</f>
        <v>2.42</v>
      </c>
      <c r="AJ213" s="118" t="n">
        <f aca="false">Inputs!$C$46*(1+Inputs!$C$48)^(AJ$116-1)*MAX(0,MIN(1,AJ$115*1-Inputs!$C$49+1))/1</f>
        <v>2.42</v>
      </c>
      <c r="AK213" s="118" t="n">
        <f aca="false">Inputs!$C$46*(1+Inputs!$C$48)^(AK$116-1)*MAX(0,MIN(1,AK$115*1-Inputs!$C$49+1))/1</f>
        <v>2.42</v>
      </c>
      <c r="AL213" s="118" t="n">
        <f aca="false">Inputs!$C$46*(1+Inputs!$C$48)^(AL$116-1)*MAX(0,MIN(1,AL$115*1-Inputs!$C$49+1))/1</f>
        <v>2.42</v>
      </c>
    </row>
    <row r="214" customFormat="false" ht="15" hidden="false" customHeight="false" outlineLevel="0" collapsed="false">
      <c r="A214" s="113" t="s">
        <v>415</v>
      </c>
      <c r="C214" s="122" t="n">
        <f aca="false">C212+C213</f>
        <v>9</v>
      </c>
      <c r="D214" s="122" t="n">
        <f aca="false">D212+D213</f>
        <v>9</v>
      </c>
      <c r="E214" s="122" t="n">
        <f aca="false">E212+E213</f>
        <v>9</v>
      </c>
      <c r="F214" s="122" t="n">
        <f aca="false">F212+F213</f>
        <v>9</v>
      </c>
      <c r="G214" s="122" t="n">
        <f aca="false">G212+G213</f>
        <v>9</v>
      </c>
      <c r="H214" s="122" t="n">
        <f aca="false">H212+H213</f>
        <v>9</v>
      </c>
      <c r="I214" s="122" t="n">
        <f aca="false">I212+I213</f>
        <v>9</v>
      </c>
      <c r="J214" s="122" t="n">
        <f aca="false">J212+J213</f>
        <v>9</v>
      </c>
      <c r="K214" s="122" t="n">
        <f aca="false">K212+K213</f>
        <v>9</v>
      </c>
      <c r="L214" s="122" t="n">
        <f aca="false">L212+L213</f>
        <v>9</v>
      </c>
      <c r="M214" s="122" t="n">
        <f aca="false">M212+M213</f>
        <v>9</v>
      </c>
      <c r="N214" s="122" t="n">
        <f aca="false">N212+N213</f>
        <v>9</v>
      </c>
      <c r="O214" s="122" t="n">
        <f aca="false">O212+O213</f>
        <v>10.04</v>
      </c>
      <c r="P214" s="122" t="n">
        <f aca="false">P212+P213</f>
        <v>10.04</v>
      </c>
      <c r="Q214" s="122" t="n">
        <f aca="false">Q212+Q213</f>
        <v>10.04</v>
      </c>
      <c r="R214" s="122" t="n">
        <f aca="false">R212+R213</f>
        <v>10.04</v>
      </c>
      <c r="S214" s="122" t="n">
        <f aca="false">S212+S213</f>
        <v>10.04</v>
      </c>
      <c r="T214" s="122" t="n">
        <f aca="false">T212+T213</f>
        <v>10.04</v>
      </c>
      <c r="U214" s="122" t="n">
        <f aca="false">U212+U213</f>
        <v>10.04</v>
      </c>
      <c r="V214" s="122" t="n">
        <f aca="false">V212+V213</f>
        <v>10.04</v>
      </c>
      <c r="W214" s="122" t="n">
        <f aca="false">W212+W213</f>
        <v>10.04</v>
      </c>
      <c r="X214" s="122" t="n">
        <f aca="false">X212+X213</f>
        <v>10.04</v>
      </c>
      <c r="Y214" s="122" t="n">
        <f aca="false">Y212+Y213</f>
        <v>10.04</v>
      </c>
      <c r="Z214" s="122" t="n">
        <f aca="false">Z212+Z213</f>
        <v>10.04</v>
      </c>
      <c r="AA214" s="122" t="n">
        <f aca="false">AA212+AA213</f>
        <v>11.2008</v>
      </c>
      <c r="AB214" s="122" t="n">
        <f aca="false">AB212+AB213</f>
        <v>11.2008</v>
      </c>
      <c r="AC214" s="122" t="n">
        <f aca="false">AC212+AC213</f>
        <v>11.2008</v>
      </c>
      <c r="AD214" s="122" t="n">
        <f aca="false">AD212+AD213</f>
        <v>11.2008</v>
      </c>
      <c r="AE214" s="122" t="n">
        <f aca="false">AE212+AE213</f>
        <v>11.2008</v>
      </c>
      <c r="AF214" s="122" t="n">
        <f aca="false">AF212+AF213</f>
        <v>11.2008</v>
      </c>
      <c r="AG214" s="122" t="n">
        <f aca="false">AG212+AG213</f>
        <v>11.2008</v>
      </c>
      <c r="AH214" s="122" t="n">
        <f aca="false">AH212+AH213</f>
        <v>11.2008</v>
      </c>
      <c r="AI214" s="122" t="n">
        <f aca="false">AI212+AI213</f>
        <v>11.2008</v>
      </c>
      <c r="AJ214" s="122" t="n">
        <f aca="false">AJ212+AJ213</f>
        <v>11.2008</v>
      </c>
      <c r="AK214" s="122" t="n">
        <f aca="false">AK212+AK213</f>
        <v>11.2008</v>
      </c>
      <c r="AL214" s="122" t="n">
        <f aca="false">AL212+AL213</f>
        <v>11.2008</v>
      </c>
    </row>
    <row r="216" customFormat="false" ht="15.75" hidden="false" customHeight="true" outlineLevel="0" collapsed="false">
      <c r="A216" s="7" t="s">
        <v>416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customFormat="false" ht="15" hidden="false" customHeight="false" outlineLevel="0" collapsed="false">
      <c r="A217" s="6" t="s">
        <v>417</v>
      </c>
      <c r="C217" s="67" t="n">
        <f aca="false">-C212*Inputs!$C$43/12*1*(1+Inputs!$C$50)*(1+Inputs!$C$51)^(C$116-1)</f>
        <v>-41591.6666666667</v>
      </c>
      <c r="D217" s="67" t="n">
        <f aca="false">-D212*Inputs!$C$43/12*1*(1+Inputs!$C$50)*(1+Inputs!$C$51)^(D$116-1)</f>
        <v>-41591.6666666667</v>
      </c>
      <c r="E217" s="67" t="n">
        <f aca="false">-E212*Inputs!$C$43/12*1*(1+Inputs!$C$50)*(1+Inputs!$C$51)^(E$116-1)</f>
        <v>-41591.6666666667</v>
      </c>
      <c r="F217" s="67" t="n">
        <f aca="false">-F212*Inputs!$C$43/12*1*(1+Inputs!$C$50)*(1+Inputs!$C$51)^(F$116-1)</f>
        <v>-41591.6666666667</v>
      </c>
      <c r="G217" s="67" t="n">
        <f aca="false">-G212*Inputs!$C$43/12*1*(1+Inputs!$C$50)*(1+Inputs!$C$51)^(G$116-1)</f>
        <v>-41591.6666666667</v>
      </c>
      <c r="H217" s="67" t="n">
        <f aca="false">-H212*Inputs!$C$43/12*1*(1+Inputs!$C$50)*(1+Inputs!$C$51)^(H$116-1)</f>
        <v>-41591.6666666667</v>
      </c>
      <c r="I217" s="67" t="n">
        <f aca="false">-I212*Inputs!$C$43/12*1*(1+Inputs!$C$50)*(1+Inputs!$C$51)^(I$116-1)</f>
        <v>-41591.6666666667</v>
      </c>
      <c r="J217" s="67" t="n">
        <f aca="false">-J212*Inputs!$C$43/12*1*(1+Inputs!$C$50)*(1+Inputs!$C$51)^(J$116-1)</f>
        <v>-41591.6666666667</v>
      </c>
      <c r="K217" s="67" t="n">
        <f aca="false">-K212*Inputs!$C$43/12*1*(1+Inputs!$C$50)*(1+Inputs!$C$51)^(K$116-1)</f>
        <v>-41591.6666666667</v>
      </c>
      <c r="L217" s="67" t="n">
        <f aca="false">-L212*Inputs!$C$43/12*1*(1+Inputs!$C$50)*(1+Inputs!$C$51)^(L$116-1)</f>
        <v>-41591.6666666667</v>
      </c>
      <c r="M217" s="67" t="n">
        <f aca="false">-M212*Inputs!$C$43/12*1*(1+Inputs!$C$50)*(1+Inputs!$C$51)^(M$116-1)</f>
        <v>-41591.6666666667</v>
      </c>
      <c r="N217" s="67" t="n">
        <f aca="false">-N212*Inputs!$C$43/12*1*(1+Inputs!$C$50)*(1+Inputs!$C$51)^(N$116-1)</f>
        <v>-41591.6666666667</v>
      </c>
      <c r="O217" s="67" t="n">
        <f aca="false">-O212*Inputs!$C$43/12*1*(1+Inputs!$C$50)*(1+Inputs!$C$51)^(O$116-1)</f>
        <v>-47980.1466666667</v>
      </c>
      <c r="P217" s="67" t="n">
        <f aca="false">-P212*Inputs!$C$43/12*1*(1+Inputs!$C$50)*(1+Inputs!$C$51)^(P$116-1)</f>
        <v>-47980.1466666667</v>
      </c>
      <c r="Q217" s="67" t="n">
        <f aca="false">-Q212*Inputs!$C$43/12*1*(1+Inputs!$C$50)*(1+Inputs!$C$51)^(Q$116-1)</f>
        <v>-47980.1466666667</v>
      </c>
      <c r="R217" s="67" t="n">
        <f aca="false">-R212*Inputs!$C$43/12*1*(1+Inputs!$C$50)*(1+Inputs!$C$51)^(R$116-1)</f>
        <v>-47980.1466666667</v>
      </c>
      <c r="S217" s="67" t="n">
        <f aca="false">-S212*Inputs!$C$43/12*1*(1+Inputs!$C$50)*(1+Inputs!$C$51)^(S$116-1)</f>
        <v>-47980.1466666667</v>
      </c>
      <c r="T217" s="67" t="n">
        <f aca="false">-T212*Inputs!$C$43/12*1*(1+Inputs!$C$50)*(1+Inputs!$C$51)^(T$116-1)</f>
        <v>-47980.1466666667</v>
      </c>
      <c r="U217" s="67" t="n">
        <f aca="false">-U212*Inputs!$C$43/12*1*(1+Inputs!$C$50)*(1+Inputs!$C$51)^(U$116-1)</f>
        <v>-47980.1466666667</v>
      </c>
      <c r="V217" s="67" t="n">
        <f aca="false">-V212*Inputs!$C$43/12*1*(1+Inputs!$C$50)*(1+Inputs!$C$51)^(V$116-1)</f>
        <v>-47980.1466666667</v>
      </c>
      <c r="W217" s="67" t="n">
        <f aca="false">-W212*Inputs!$C$43/12*1*(1+Inputs!$C$50)*(1+Inputs!$C$51)^(W$116-1)</f>
        <v>-47980.1466666667</v>
      </c>
      <c r="X217" s="67" t="n">
        <f aca="false">-X212*Inputs!$C$43/12*1*(1+Inputs!$C$50)*(1+Inputs!$C$51)^(X$116-1)</f>
        <v>-47980.1466666667</v>
      </c>
      <c r="Y217" s="67" t="n">
        <f aca="false">-Y212*Inputs!$C$43/12*1*(1+Inputs!$C$50)*(1+Inputs!$C$51)^(Y$116-1)</f>
        <v>-47980.1466666667</v>
      </c>
      <c r="Z217" s="67" t="n">
        <f aca="false">-Z212*Inputs!$C$43/12*1*(1+Inputs!$C$50)*(1+Inputs!$C$51)^(Z$116-1)</f>
        <v>-47980.1466666667</v>
      </c>
      <c r="AA217" s="67" t="n">
        <f aca="false">-AA212*Inputs!$C$43/12*1*(1+Inputs!$C$50)*(1+Inputs!$C$51)^(AA$116-1)</f>
        <v>-55349.8971946667</v>
      </c>
      <c r="AB217" s="67" t="n">
        <f aca="false">-AB212*Inputs!$C$43/12*1*(1+Inputs!$C$50)*(1+Inputs!$C$51)^(AB$116-1)</f>
        <v>-55349.8971946667</v>
      </c>
      <c r="AC217" s="67" t="n">
        <f aca="false">-AC212*Inputs!$C$43/12*1*(1+Inputs!$C$50)*(1+Inputs!$C$51)^(AC$116-1)</f>
        <v>-55349.8971946667</v>
      </c>
      <c r="AD217" s="67" t="n">
        <f aca="false">-AD212*Inputs!$C$43/12*1*(1+Inputs!$C$50)*(1+Inputs!$C$51)^(AD$116-1)</f>
        <v>-55349.8971946667</v>
      </c>
      <c r="AE217" s="67" t="n">
        <f aca="false">-AE212*Inputs!$C$43/12*1*(1+Inputs!$C$50)*(1+Inputs!$C$51)^(AE$116-1)</f>
        <v>-55349.8971946667</v>
      </c>
      <c r="AF217" s="67" t="n">
        <f aca="false">-AF212*Inputs!$C$43/12*1*(1+Inputs!$C$50)*(1+Inputs!$C$51)^(AF$116-1)</f>
        <v>-55349.8971946667</v>
      </c>
      <c r="AG217" s="67" t="n">
        <f aca="false">-AG212*Inputs!$C$43/12*1*(1+Inputs!$C$50)*(1+Inputs!$C$51)^(AG$116-1)</f>
        <v>-55349.8971946667</v>
      </c>
      <c r="AH217" s="67" t="n">
        <f aca="false">-AH212*Inputs!$C$43/12*1*(1+Inputs!$C$50)*(1+Inputs!$C$51)^(AH$116-1)</f>
        <v>-55349.8971946667</v>
      </c>
      <c r="AI217" s="67" t="n">
        <f aca="false">-AI212*Inputs!$C$43/12*1*(1+Inputs!$C$50)*(1+Inputs!$C$51)^(AI$116-1)</f>
        <v>-55349.8971946667</v>
      </c>
      <c r="AJ217" s="67" t="n">
        <f aca="false">-AJ212*Inputs!$C$43/12*1*(1+Inputs!$C$50)*(1+Inputs!$C$51)^(AJ$116-1)</f>
        <v>-55349.8971946667</v>
      </c>
      <c r="AK217" s="67" t="n">
        <f aca="false">-AK212*Inputs!$C$43/12*1*(1+Inputs!$C$50)*(1+Inputs!$C$51)^(AK$116-1)</f>
        <v>-55349.8971946667</v>
      </c>
      <c r="AL217" s="67" t="n">
        <f aca="false">-AL212*Inputs!$C$43/12*1*(1+Inputs!$C$50)*(1+Inputs!$C$51)^(AL$116-1)</f>
        <v>-55349.8971946667</v>
      </c>
    </row>
    <row r="218" customFormat="false" ht="15" hidden="false" customHeight="false" outlineLevel="0" collapsed="false">
      <c r="A218" s="6" t="s">
        <v>418</v>
      </c>
      <c r="C218" s="67" t="n">
        <f aca="false">-C213*Inputs!$C$47/12*1*(1+Inputs!$C$50)*(1+Inputs!$C$51)^(C$116-1)</f>
        <v>-8625</v>
      </c>
      <c r="D218" s="67" t="n">
        <f aca="false">-D213*Inputs!$C$47/12*1*(1+Inputs!$C$50)*(1+Inputs!$C$51)^(D$116-1)</f>
        <v>-8625</v>
      </c>
      <c r="E218" s="67" t="n">
        <f aca="false">-E213*Inputs!$C$47/12*1*(1+Inputs!$C$50)*(1+Inputs!$C$51)^(E$116-1)</f>
        <v>-8625</v>
      </c>
      <c r="F218" s="67" t="n">
        <f aca="false">-F213*Inputs!$C$47/12*1*(1+Inputs!$C$50)*(1+Inputs!$C$51)^(F$116-1)</f>
        <v>-8625</v>
      </c>
      <c r="G218" s="67" t="n">
        <f aca="false">-G213*Inputs!$C$47/12*1*(1+Inputs!$C$50)*(1+Inputs!$C$51)^(G$116-1)</f>
        <v>-8625</v>
      </c>
      <c r="H218" s="67" t="n">
        <f aca="false">-H213*Inputs!$C$47/12*1*(1+Inputs!$C$50)*(1+Inputs!$C$51)^(H$116-1)</f>
        <v>-8625</v>
      </c>
      <c r="I218" s="67" t="n">
        <f aca="false">-I213*Inputs!$C$47/12*1*(1+Inputs!$C$50)*(1+Inputs!$C$51)^(I$116-1)</f>
        <v>-8625</v>
      </c>
      <c r="J218" s="67" t="n">
        <f aca="false">-J213*Inputs!$C$47/12*1*(1+Inputs!$C$50)*(1+Inputs!$C$51)^(J$116-1)</f>
        <v>-8625</v>
      </c>
      <c r="K218" s="67" t="n">
        <f aca="false">-K213*Inputs!$C$47/12*1*(1+Inputs!$C$50)*(1+Inputs!$C$51)^(K$116-1)</f>
        <v>-8625</v>
      </c>
      <c r="L218" s="67" t="n">
        <f aca="false">-L213*Inputs!$C$47/12*1*(1+Inputs!$C$50)*(1+Inputs!$C$51)^(L$116-1)</f>
        <v>-8625</v>
      </c>
      <c r="M218" s="67" t="n">
        <f aca="false">-M213*Inputs!$C$47/12*1*(1+Inputs!$C$50)*(1+Inputs!$C$51)^(M$116-1)</f>
        <v>-8625</v>
      </c>
      <c r="N218" s="67" t="n">
        <f aca="false">-N213*Inputs!$C$47/12*1*(1+Inputs!$C$50)*(1+Inputs!$C$51)^(N$116-1)</f>
        <v>-8625</v>
      </c>
      <c r="O218" s="67" t="n">
        <f aca="false">-O213*Inputs!$C$47/12*1*(1+Inputs!$C$50)*(1+Inputs!$C$51)^(O$116-1)</f>
        <v>-9772.125</v>
      </c>
      <c r="P218" s="67" t="n">
        <f aca="false">-P213*Inputs!$C$47/12*1*(1+Inputs!$C$50)*(1+Inputs!$C$51)^(P$116-1)</f>
        <v>-9772.125</v>
      </c>
      <c r="Q218" s="67" t="n">
        <f aca="false">-Q213*Inputs!$C$47/12*1*(1+Inputs!$C$50)*(1+Inputs!$C$51)^(Q$116-1)</f>
        <v>-9772.125</v>
      </c>
      <c r="R218" s="67" t="n">
        <f aca="false">-R213*Inputs!$C$47/12*1*(1+Inputs!$C$50)*(1+Inputs!$C$51)^(R$116-1)</f>
        <v>-9772.125</v>
      </c>
      <c r="S218" s="67" t="n">
        <f aca="false">-S213*Inputs!$C$47/12*1*(1+Inputs!$C$50)*(1+Inputs!$C$51)^(S$116-1)</f>
        <v>-9772.125</v>
      </c>
      <c r="T218" s="67" t="n">
        <f aca="false">-T213*Inputs!$C$47/12*1*(1+Inputs!$C$50)*(1+Inputs!$C$51)^(T$116-1)</f>
        <v>-9772.125</v>
      </c>
      <c r="U218" s="67" t="n">
        <f aca="false">-U213*Inputs!$C$47/12*1*(1+Inputs!$C$50)*(1+Inputs!$C$51)^(U$116-1)</f>
        <v>-9772.125</v>
      </c>
      <c r="V218" s="67" t="n">
        <f aca="false">-V213*Inputs!$C$47/12*1*(1+Inputs!$C$50)*(1+Inputs!$C$51)^(V$116-1)</f>
        <v>-9772.125</v>
      </c>
      <c r="W218" s="67" t="n">
        <f aca="false">-W213*Inputs!$C$47/12*1*(1+Inputs!$C$50)*(1+Inputs!$C$51)^(W$116-1)</f>
        <v>-9772.125</v>
      </c>
      <c r="X218" s="67" t="n">
        <f aca="false">-X213*Inputs!$C$47/12*1*(1+Inputs!$C$50)*(1+Inputs!$C$51)^(X$116-1)</f>
        <v>-9772.125</v>
      </c>
      <c r="Y218" s="67" t="n">
        <f aca="false">-Y213*Inputs!$C$47/12*1*(1+Inputs!$C$50)*(1+Inputs!$C$51)^(Y$116-1)</f>
        <v>-9772.125</v>
      </c>
      <c r="Z218" s="67" t="n">
        <f aca="false">-Z213*Inputs!$C$47/12*1*(1+Inputs!$C$50)*(1+Inputs!$C$51)^(Z$116-1)</f>
        <v>-9772.125</v>
      </c>
      <c r="AA218" s="67" t="n">
        <f aca="false">-AA213*Inputs!$C$47/12*1*(1+Inputs!$C$50)*(1+Inputs!$C$51)^(AA$116-1)</f>
        <v>-11071.817625</v>
      </c>
      <c r="AB218" s="67" t="n">
        <f aca="false">-AB213*Inputs!$C$47/12*1*(1+Inputs!$C$50)*(1+Inputs!$C$51)^(AB$116-1)</f>
        <v>-11071.817625</v>
      </c>
      <c r="AC218" s="67" t="n">
        <f aca="false">-AC213*Inputs!$C$47/12*1*(1+Inputs!$C$50)*(1+Inputs!$C$51)^(AC$116-1)</f>
        <v>-11071.817625</v>
      </c>
      <c r="AD218" s="67" t="n">
        <f aca="false">-AD213*Inputs!$C$47/12*1*(1+Inputs!$C$50)*(1+Inputs!$C$51)^(AD$116-1)</f>
        <v>-11071.817625</v>
      </c>
      <c r="AE218" s="67" t="n">
        <f aca="false">-AE213*Inputs!$C$47/12*1*(1+Inputs!$C$50)*(1+Inputs!$C$51)^(AE$116-1)</f>
        <v>-11071.817625</v>
      </c>
      <c r="AF218" s="67" t="n">
        <f aca="false">-AF213*Inputs!$C$47/12*1*(1+Inputs!$C$50)*(1+Inputs!$C$51)^(AF$116-1)</f>
        <v>-11071.817625</v>
      </c>
      <c r="AG218" s="67" t="n">
        <f aca="false">-AG213*Inputs!$C$47/12*1*(1+Inputs!$C$50)*(1+Inputs!$C$51)^(AG$116-1)</f>
        <v>-11071.817625</v>
      </c>
      <c r="AH218" s="67" t="n">
        <f aca="false">-AH213*Inputs!$C$47/12*1*(1+Inputs!$C$50)*(1+Inputs!$C$51)^(AH$116-1)</f>
        <v>-11071.817625</v>
      </c>
      <c r="AI218" s="67" t="n">
        <f aca="false">-AI213*Inputs!$C$47/12*1*(1+Inputs!$C$50)*(1+Inputs!$C$51)^(AI$116-1)</f>
        <v>-11071.817625</v>
      </c>
      <c r="AJ218" s="67" t="n">
        <f aca="false">-AJ213*Inputs!$C$47/12*1*(1+Inputs!$C$50)*(1+Inputs!$C$51)^(AJ$116-1)</f>
        <v>-11071.817625</v>
      </c>
      <c r="AK218" s="67" t="n">
        <f aca="false">-AK213*Inputs!$C$47/12*1*(1+Inputs!$C$50)*(1+Inputs!$C$51)^(AK$116-1)</f>
        <v>-11071.817625</v>
      </c>
      <c r="AL218" s="67" t="n">
        <f aca="false">-AL213*Inputs!$C$47/12*1*(1+Inputs!$C$50)*(1+Inputs!$C$51)^(AL$116-1)</f>
        <v>-11071.817625</v>
      </c>
    </row>
    <row r="219" customFormat="false" ht="15" hidden="false" customHeight="false" outlineLevel="0" collapsed="false">
      <c r="A219" s="113" t="s">
        <v>419</v>
      </c>
      <c r="C219" s="68" t="n">
        <f aca="false">C217+C218</f>
        <v>-50216.6666666667</v>
      </c>
      <c r="D219" s="68" t="n">
        <f aca="false">D217+D218</f>
        <v>-50216.6666666667</v>
      </c>
      <c r="E219" s="68" t="n">
        <f aca="false">E217+E218</f>
        <v>-50216.6666666667</v>
      </c>
      <c r="F219" s="68" t="n">
        <f aca="false">F217+F218</f>
        <v>-50216.6666666667</v>
      </c>
      <c r="G219" s="68" t="n">
        <f aca="false">G217+G218</f>
        <v>-50216.6666666667</v>
      </c>
      <c r="H219" s="68" t="n">
        <f aca="false">H217+H218</f>
        <v>-50216.6666666667</v>
      </c>
      <c r="I219" s="68" t="n">
        <f aca="false">I217+I218</f>
        <v>-50216.6666666667</v>
      </c>
      <c r="J219" s="68" t="n">
        <f aca="false">J217+J218</f>
        <v>-50216.6666666667</v>
      </c>
      <c r="K219" s="68" t="n">
        <f aca="false">K217+K218</f>
        <v>-50216.6666666667</v>
      </c>
      <c r="L219" s="68" t="n">
        <f aca="false">L217+L218</f>
        <v>-50216.6666666667</v>
      </c>
      <c r="M219" s="68" t="n">
        <f aca="false">M217+M218</f>
        <v>-50216.6666666667</v>
      </c>
      <c r="N219" s="68" t="n">
        <f aca="false">N217+N218</f>
        <v>-50216.6666666667</v>
      </c>
      <c r="O219" s="68" t="n">
        <f aca="false">O217+O218</f>
        <v>-57752.2716666667</v>
      </c>
      <c r="P219" s="68" t="n">
        <f aca="false">P217+P218</f>
        <v>-57752.2716666667</v>
      </c>
      <c r="Q219" s="68" t="n">
        <f aca="false">Q217+Q218</f>
        <v>-57752.2716666667</v>
      </c>
      <c r="R219" s="68" t="n">
        <f aca="false">R217+R218</f>
        <v>-57752.2716666667</v>
      </c>
      <c r="S219" s="68" t="n">
        <f aca="false">S217+S218</f>
        <v>-57752.2716666667</v>
      </c>
      <c r="T219" s="68" t="n">
        <f aca="false">T217+T218</f>
        <v>-57752.2716666667</v>
      </c>
      <c r="U219" s="68" t="n">
        <f aca="false">U217+U218</f>
        <v>-57752.2716666667</v>
      </c>
      <c r="V219" s="68" t="n">
        <f aca="false">V217+V218</f>
        <v>-57752.2716666667</v>
      </c>
      <c r="W219" s="68" t="n">
        <f aca="false">W217+W218</f>
        <v>-57752.2716666667</v>
      </c>
      <c r="X219" s="68" t="n">
        <f aca="false">X217+X218</f>
        <v>-57752.2716666667</v>
      </c>
      <c r="Y219" s="68" t="n">
        <f aca="false">Y217+Y218</f>
        <v>-57752.2716666667</v>
      </c>
      <c r="Z219" s="68" t="n">
        <f aca="false">Z217+Z218</f>
        <v>-57752.2716666667</v>
      </c>
      <c r="AA219" s="68" t="n">
        <f aca="false">AA217+AA218</f>
        <v>-66421.7148196667</v>
      </c>
      <c r="AB219" s="68" t="n">
        <f aca="false">AB217+AB218</f>
        <v>-66421.7148196667</v>
      </c>
      <c r="AC219" s="68" t="n">
        <f aca="false">AC217+AC218</f>
        <v>-66421.7148196667</v>
      </c>
      <c r="AD219" s="68" t="n">
        <f aca="false">AD217+AD218</f>
        <v>-66421.7148196667</v>
      </c>
      <c r="AE219" s="68" t="n">
        <f aca="false">AE217+AE218</f>
        <v>-66421.7148196667</v>
      </c>
      <c r="AF219" s="68" t="n">
        <f aca="false">AF217+AF218</f>
        <v>-66421.7148196667</v>
      </c>
      <c r="AG219" s="68" t="n">
        <f aca="false">AG217+AG218</f>
        <v>-66421.7148196667</v>
      </c>
      <c r="AH219" s="68" t="n">
        <f aca="false">AH217+AH218</f>
        <v>-66421.7148196667</v>
      </c>
      <c r="AI219" s="68" t="n">
        <f aca="false">AI217+AI218</f>
        <v>-66421.7148196667</v>
      </c>
      <c r="AJ219" s="68" t="n">
        <f aca="false">AJ217+AJ218</f>
        <v>-66421.7148196667</v>
      </c>
      <c r="AK219" s="68" t="n">
        <f aca="false">AK217+AK218</f>
        <v>-66421.7148196667</v>
      </c>
      <c r="AL219" s="68" t="n">
        <f aca="false">AL217+AL218</f>
        <v>-66421.7148196667</v>
      </c>
    </row>
    <row r="222" customFormat="false" ht="15.75" hidden="false" customHeight="true" outlineLevel="0" collapsed="false">
      <c r="A222" s="7" t="s">
        <v>424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33" t="s">
        <v>336</v>
      </c>
      <c r="C223" s="35" t="s">
        <v>337</v>
      </c>
      <c r="D223" s="35" t="s">
        <v>338</v>
      </c>
      <c r="E223" s="35" t="s">
        <v>339</v>
      </c>
      <c r="F223" s="35" t="s">
        <v>340</v>
      </c>
      <c r="G223" s="35" t="s">
        <v>341</v>
      </c>
      <c r="H223" s="35" t="s">
        <v>342</v>
      </c>
      <c r="I223" s="35" t="s">
        <v>343</v>
      </c>
      <c r="J223" s="35" t="s">
        <v>344</v>
      </c>
      <c r="K223" s="35" t="s">
        <v>345</v>
      </c>
      <c r="L223" s="35" t="s">
        <v>346</v>
      </c>
      <c r="M223" s="35" t="s">
        <v>347</v>
      </c>
      <c r="N223" s="35" t="s">
        <v>348</v>
      </c>
      <c r="O223" s="35" t="s">
        <v>349</v>
      </c>
      <c r="P223" s="35" t="s">
        <v>350</v>
      </c>
      <c r="Q223" s="35" t="s">
        <v>351</v>
      </c>
      <c r="R223" s="35" t="s">
        <v>352</v>
      </c>
      <c r="S223" s="35" t="s">
        <v>353</v>
      </c>
      <c r="T223" s="35" t="s">
        <v>354</v>
      </c>
      <c r="U223" s="35" t="s">
        <v>355</v>
      </c>
      <c r="V223" s="35" t="s">
        <v>356</v>
      </c>
      <c r="W223" s="35" t="s">
        <v>357</v>
      </c>
      <c r="X223" s="35" t="s">
        <v>358</v>
      </c>
      <c r="Y223" s="35" t="s">
        <v>359</v>
      </c>
      <c r="Z223" s="35" t="s">
        <v>360</v>
      </c>
      <c r="AA223" s="35" t="s">
        <v>361</v>
      </c>
      <c r="AB223" s="35" t="s">
        <v>362</v>
      </c>
      <c r="AC223" s="35" t="s">
        <v>363</v>
      </c>
      <c r="AD223" s="35" t="s">
        <v>364</v>
      </c>
      <c r="AE223" s="35" t="s">
        <v>365</v>
      </c>
      <c r="AF223" s="35" t="s">
        <v>366</v>
      </c>
      <c r="AG223" s="35" t="s">
        <v>367</v>
      </c>
      <c r="AH223" s="35" t="s">
        <v>368</v>
      </c>
      <c r="AI223" s="35" t="s">
        <v>369</v>
      </c>
      <c r="AJ223" s="35" t="s">
        <v>370</v>
      </c>
      <c r="AK223" s="35" t="s">
        <v>371</v>
      </c>
      <c r="AL223" s="35" t="s">
        <v>372</v>
      </c>
    </row>
    <row r="224" customFormat="false" ht="15" hidden="false" customHeight="false" outlineLevel="0" collapsed="false">
      <c r="A224" s="72" t="s">
        <v>373</v>
      </c>
      <c r="C224" s="72" t="n">
        <v>1</v>
      </c>
      <c r="D224" s="72" t="n">
        <v>2</v>
      </c>
      <c r="E224" s="72" t="n">
        <v>3</v>
      </c>
      <c r="F224" s="72" t="n">
        <v>4</v>
      </c>
      <c r="G224" s="72" t="n">
        <v>5</v>
      </c>
      <c r="H224" s="72" t="n">
        <v>6</v>
      </c>
      <c r="I224" s="72" t="n">
        <v>7</v>
      </c>
      <c r="J224" s="72" t="n">
        <v>8</v>
      </c>
      <c r="K224" s="72" t="n">
        <v>9</v>
      </c>
      <c r="L224" s="72" t="n">
        <v>10</v>
      </c>
      <c r="M224" s="72" t="n">
        <v>11</v>
      </c>
      <c r="N224" s="72" t="n">
        <v>12</v>
      </c>
      <c r="O224" s="72" t="n">
        <v>13</v>
      </c>
      <c r="P224" s="72" t="n">
        <v>14</v>
      </c>
      <c r="Q224" s="72" t="n">
        <v>15</v>
      </c>
      <c r="R224" s="72" t="n">
        <v>16</v>
      </c>
      <c r="S224" s="72" t="n">
        <v>17</v>
      </c>
      <c r="T224" s="72" t="n">
        <v>18</v>
      </c>
      <c r="U224" s="72" t="n">
        <v>19</v>
      </c>
      <c r="V224" s="72" t="n">
        <v>20</v>
      </c>
      <c r="W224" s="72" t="n">
        <v>21</v>
      </c>
      <c r="X224" s="72" t="n">
        <v>22</v>
      </c>
      <c r="Y224" s="72" t="n">
        <v>23</v>
      </c>
      <c r="Z224" s="72" t="n">
        <v>24</v>
      </c>
      <c r="AA224" s="72" t="n">
        <v>25</v>
      </c>
      <c r="AB224" s="72" t="n">
        <v>26</v>
      </c>
      <c r="AC224" s="72" t="n">
        <v>27</v>
      </c>
      <c r="AD224" s="72" t="n">
        <v>28</v>
      </c>
      <c r="AE224" s="72" t="n">
        <v>29</v>
      </c>
      <c r="AF224" s="72" t="n">
        <v>30</v>
      </c>
      <c r="AG224" s="72" t="n">
        <v>31</v>
      </c>
      <c r="AH224" s="72" t="n">
        <v>32</v>
      </c>
      <c r="AI224" s="72" t="n">
        <v>33</v>
      </c>
      <c r="AJ224" s="72" t="n">
        <v>34</v>
      </c>
      <c r="AK224" s="72" t="n">
        <v>35</v>
      </c>
      <c r="AL224" s="72" t="n">
        <v>36</v>
      </c>
    </row>
    <row r="225" customFormat="false" ht="15" hidden="false" customHeight="false" outlineLevel="0" collapsed="false">
      <c r="A225" s="72" t="s">
        <v>153</v>
      </c>
      <c r="C225" s="72" t="n">
        <f aca="false">ROUNDUP(C224*1/12,0)</f>
        <v>1</v>
      </c>
      <c r="D225" s="72" t="n">
        <f aca="false">ROUNDUP(D224*1/12,0)</f>
        <v>1</v>
      </c>
      <c r="E225" s="72" t="n">
        <f aca="false">ROUNDUP(E224*1/12,0)</f>
        <v>1</v>
      </c>
      <c r="F225" s="72" t="n">
        <f aca="false">ROUNDUP(F224*1/12,0)</f>
        <v>1</v>
      </c>
      <c r="G225" s="72" t="n">
        <f aca="false">ROUNDUP(G224*1/12,0)</f>
        <v>1</v>
      </c>
      <c r="H225" s="72" t="n">
        <f aca="false">ROUNDUP(H224*1/12,0)</f>
        <v>1</v>
      </c>
      <c r="I225" s="72" t="n">
        <f aca="false">ROUNDUP(I224*1/12,0)</f>
        <v>1</v>
      </c>
      <c r="J225" s="72" t="n">
        <f aca="false">ROUNDUP(J224*1/12,0)</f>
        <v>1</v>
      </c>
      <c r="K225" s="72" t="n">
        <f aca="false">ROUNDUP(K224*1/12,0)</f>
        <v>1</v>
      </c>
      <c r="L225" s="72" t="n">
        <f aca="false">ROUNDUP(L224*1/12,0)</f>
        <v>1</v>
      </c>
      <c r="M225" s="72" t="n">
        <f aca="false">ROUNDUP(M224*1/12,0)</f>
        <v>1</v>
      </c>
      <c r="N225" s="72" t="n">
        <f aca="false">ROUNDUP(N224*1/12,0)</f>
        <v>1</v>
      </c>
      <c r="O225" s="72" t="n">
        <f aca="false">ROUNDUP(O224*1/12,0)</f>
        <v>2</v>
      </c>
      <c r="P225" s="72" t="n">
        <f aca="false">ROUNDUP(P224*1/12,0)</f>
        <v>2</v>
      </c>
      <c r="Q225" s="72" t="n">
        <f aca="false">ROUNDUP(Q224*1/12,0)</f>
        <v>2</v>
      </c>
      <c r="R225" s="72" t="n">
        <f aca="false">ROUNDUP(R224*1/12,0)</f>
        <v>2</v>
      </c>
      <c r="S225" s="72" t="n">
        <f aca="false">ROUNDUP(S224*1/12,0)</f>
        <v>2</v>
      </c>
      <c r="T225" s="72" t="n">
        <f aca="false">ROUNDUP(T224*1/12,0)</f>
        <v>2</v>
      </c>
      <c r="U225" s="72" t="n">
        <f aca="false">ROUNDUP(U224*1/12,0)</f>
        <v>2</v>
      </c>
      <c r="V225" s="72" t="n">
        <f aca="false">ROUNDUP(V224*1/12,0)</f>
        <v>2</v>
      </c>
      <c r="W225" s="72" t="n">
        <f aca="false">ROUNDUP(W224*1/12,0)</f>
        <v>2</v>
      </c>
      <c r="X225" s="72" t="n">
        <f aca="false">ROUNDUP(X224*1/12,0)</f>
        <v>2</v>
      </c>
      <c r="Y225" s="72" t="n">
        <f aca="false">ROUNDUP(Y224*1/12,0)</f>
        <v>2</v>
      </c>
      <c r="Z225" s="72" t="n">
        <f aca="false">ROUNDUP(Z224*1/12,0)</f>
        <v>2</v>
      </c>
      <c r="AA225" s="72" t="n">
        <f aca="false">ROUNDUP(AA224*1/12,0)</f>
        <v>3</v>
      </c>
      <c r="AB225" s="72" t="n">
        <f aca="false">ROUNDUP(AB224*1/12,0)</f>
        <v>3</v>
      </c>
      <c r="AC225" s="72" t="n">
        <f aca="false">ROUNDUP(AC224*1/12,0)</f>
        <v>3</v>
      </c>
      <c r="AD225" s="72" t="n">
        <f aca="false">ROUNDUP(AD224*1/12,0)</f>
        <v>3</v>
      </c>
      <c r="AE225" s="72" t="n">
        <f aca="false">ROUNDUP(AE224*1/12,0)</f>
        <v>3</v>
      </c>
      <c r="AF225" s="72" t="n">
        <f aca="false">ROUNDUP(AF224*1/12,0)</f>
        <v>3</v>
      </c>
      <c r="AG225" s="72" t="n">
        <f aca="false">ROUNDUP(AG224*1/12,0)</f>
        <v>3</v>
      </c>
      <c r="AH225" s="72" t="n">
        <f aca="false">ROUNDUP(AH224*1/12,0)</f>
        <v>3</v>
      </c>
      <c r="AI225" s="72" t="n">
        <f aca="false">ROUNDUP(AI224*1/12,0)</f>
        <v>3</v>
      </c>
      <c r="AJ225" s="72" t="n">
        <f aca="false">ROUNDUP(AJ224*1/12,0)</f>
        <v>3</v>
      </c>
      <c r="AK225" s="72" t="n">
        <f aca="false">ROUNDUP(AK224*1/12,0)</f>
        <v>3</v>
      </c>
      <c r="AL225" s="72" t="n">
        <f aca="false">ROUNDUP(AL224*1/12,0)</f>
        <v>3</v>
      </c>
    </row>
    <row r="227" customFormat="false" ht="15.75" hidden="false" customHeight="true" outlineLevel="0" collapsed="false">
      <c r="A227" s="7" t="s">
        <v>374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</row>
    <row r="228" customFormat="false" ht="15" hidden="false" customHeight="false" outlineLevel="0" collapsed="false">
      <c r="A228" s="6" t="s">
        <v>375</v>
      </c>
      <c r="C228" s="118" t="n">
        <f aca="false">C321</f>
        <v>7</v>
      </c>
      <c r="D228" s="118" t="n">
        <f aca="false">D321</f>
        <v>7</v>
      </c>
      <c r="E228" s="118" t="n">
        <f aca="false">E321</f>
        <v>7</v>
      </c>
      <c r="F228" s="118" t="n">
        <f aca="false">F321</f>
        <v>7</v>
      </c>
      <c r="G228" s="118" t="n">
        <f aca="false">G321</f>
        <v>7</v>
      </c>
      <c r="H228" s="118" t="n">
        <f aca="false">H321</f>
        <v>7</v>
      </c>
      <c r="I228" s="118" t="n">
        <f aca="false">I321</f>
        <v>7</v>
      </c>
      <c r="J228" s="118" t="n">
        <f aca="false">J321</f>
        <v>7</v>
      </c>
      <c r="K228" s="118" t="n">
        <f aca="false">K321</f>
        <v>7</v>
      </c>
      <c r="L228" s="118" t="n">
        <f aca="false">L321</f>
        <v>7</v>
      </c>
      <c r="M228" s="118" t="n">
        <f aca="false">M321</f>
        <v>7</v>
      </c>
      <c r="N228" s="118" t="n">
        <f aca="false">N321</f>
        <v>7</v>
      </c>
      <c r="O228" s="118" t="n">
        <f aca="false">O321</f>
        <v>7.84</v>
      </c>
      <c r="P228" s="118" t="n">
        <f aca="false">P321</f>
        <v>7.84</v>
      </c>
      <c r="Q228" s="118" t="n">
        <f aca="false">Q321</f>
        <v>7.84</v>
      </c>
      <c r="R228" s="118" t="n">
        <f aca="false">R321</f>
        <v>7.84</v>
      </c>
      <c r="S228" s="118" t="n">
        <f aca="false">S321</f>
        <v>7.84</v>
      </c>
      <c r="T228" s="118" t="n">
        <f aca="false">T321</f>
        <v>7.84</v>
      </c>
      <c r="U228" s="118" t="n">
        <f aca="false">U321</f>
        <v>7.84</v>
      </c>
      <c r="V228" s="118" t="n">
        <f aca="false">V321</f>
        <v>7.84</v>
      </c>
      <c r="W228" s="118" t="n">
        <f aca="false">W321</f>
        <v>7.84</v>
      </c>
      <c r="X228" s="118" t="n">
        <f aca="false">X321</f>
        <v>7.84</v>
      </c>
      <c r="Y228" s="118" t="n">
        <f aca="false">Y321</f>
        <v>7.84</v>
      </c>
      <c r="Z228" s="118" t="n">
        <f aca="false">Z321</f>
        <v>7.84</v>
      </c>
      <c r="AA228" s="118" t="n">
        <f aca="false">AA321</f>
        <v>8.7808</v>
      </c>
      <c r="AB228" s="118" t="n">
        <f aca="false">AB321</f>
        <v>8.7808</v>
      </c>
      <c r="AC228" s="118" t="n">
        <f aca="false">AC321</f>
        <v>8.7808</v>
      </c>
      <c r="AD228" s="118" t="n">
        <f aca="false">AD321</f>
        <v>8.7808</v>
      </c>
      <c r="AE228" s="118" t="n">
        <f aca="false">AE321</f>
        <v>8.7808</v>
      </c>
      <c r="AF228" s="118" t="n">
        <f aca="false">AF321</f>
        <v>8.7808</v>
      </c>
      <c r="AG228" s="118" t="n">
        <f aca="false">AG321</f>
        <v>8.7808</v>
      </c>
      <c r="AH228" s="118" t="n">
        <f aca="false">AH321</f>
        <v>8.7808</v>
      </c>
      <c r="AI228" s="118" t="n">
        <f aca="false">AI321</f>
        <v>8.7808</v>
      </c>
      <c r="AJ228" s="118" t="n">
        <f aca="false">AJ321</f>
        <v>8.7808</v>
      </c>
      <c r="AK228" s="118" t="n">
        <f aca="false">AK321</f>
        <v>8.7808</v>
      </c>
      <c r="AL228" s="118" t="n">
        <f aca="false">AL321</f>
        <v>8.7808</v>
      </c>
    </row>
    <row r="229" customFormat="false" ht="15" hidden="false" customHeight="false" outlineLevel="0" collapsed="false">
      <c r="A229" s="6" t="s">
        <v>376</v>
      </c>
      <c r="C229" s="117" t="n">
        <f aca="false">C228*Inputs!$D$7*Inputs!$D$8*1</f>
        <v>389.55</v>
      </c>
      <c r="D229" s="117" t="n">
        <f aca="false">D228*Inputs!$D$7*Inputs!$D$8*1</f>
        <v>389.55</v>
      </c>
      <c r="E229" s="117" t="n">
        <f aca="false">E228*Inputs!$D$7*Inputs!$D$8*1</f>
        <v>389.55</v>
      </c>
      <c r="F229" s="117" t="n">
        <f aca="false">F228*Inputs!$D$7*Inputs!$D$8*1</f>
        <v>389.55</v>
      </c>
      <c r="G229" s="117" t="n">
        <f aca="false">G228*Inputs!$D$7*Inputs!$D$8*1</f>
        <v>389.55</v>
      </c>
      <c r="H229" s="117" t="n">
        <f aca="false">H228*Inputs!$D$7*Inputs!$D$8*1</f>
        <v>389.55</v>
      </c>
      <c r="I229" s="117" t="n">
        <f aca="false">I228*Inputs!$D$7*Inputs!$D$8*1</f>
        <v>389.55</v>
      </c>
      <c r="J229" s="117" t="n">
        <f aca="false">J228*Inputs!$D$7*Inputs!$D$8*1</f>
        <v>389.55</v>
      </c>
      <c r="K229" s="117" t="n">
        <f aca="false">K228*Inputs!$D$7*Inputs!$D$8*1</f>
        <v>389.55</v>
      </c>
      <c r="L229" s="117" t="n">
        <f aca="false">L228*Inputs!$D$7*Inputs!$D$8*1</f>
        <v>389.55</v>
      </c>
      <c r="M229" s="117" t="n">
        <f aca="false">M228*Inputs!$D$7*Inputs!$D$8*1</f>
        <v>389.55</v>
      </c>
      <c r="N229" s="117" t="n">
        <f aca="false">N228*Inputs!$D$7*Inputs!$D$8*1</f>
        <v>389.55</v>
      </c>
      <c r="O229" s="117" t="n">
        <f aca="false">O228*Inputs!$D$7*Inputs!$D$8*1</f>
        <v>436.296</v>
      </c>
      <c r="P229" s="117" t="n">
        <f aca="false">P228*Inputs!$D$7*Inputs!$D$8*1</f>
        <v>436.296</v>
      </c>
      <c r="Q229" s="117" t="n">
        <f aca="false">Q228*Inputs!$D$7*Inputs!$D$8*1</f>
        <v>436.296</v>
      </c>
      <c r="R229" s="117" t="n">
        <f aca="false">R228*Inputs!$D$7*Inputs!$D$8*1</f>
        <v>436.296</v>
      </c>
      <c r="S229" s="117" t="n">
        <f aca="false">S228*Inputs!$D$7*Inputs!$D$8*1</f>
        <v>436.296</v>
      </c>
      <c r="T229" s="117" t="n">
        <f aca="false">T228*Inputs!$D$7*Inputs!$D$8*1</f>
        <v>436.296</v>
      </c>
      <c r="U229" s="117" t="n">
        <f aca="false">U228*Inputs!$D$7*Inputs!$D$8*1</f>
        <v>436.296</v>
      </c>
      <c r="V229" s="117" t="n">
        <f aca="false">V228*Inputs!$D$7*Inputs!$D$8*1</f>
        <v>436.296</v>
      </c>
      <c r="W229" s="117" t="n">
        <f aca="false">W228*Inputs!$D$7*Inputs!$D$8*1</f>
        <v>436.296</v>
      </c>
      <c r="X229" s="117" t="n">
        <f aca="false">X228*Inputs!$D$7*Inputs!$D$8*1</f>
        <v>436.296</v>
      </c>
      <c r="Y229" s="117" t="n">
        <f aca="false">Y228*Inputs!$D$7*Inputs!$D$8*1</f>
        <v>436.296</v>
      </c>
      <c r="Z229" s="117" t="n">
        <f aca="false">Z228*Inputs!$D$7*Inputs!$D$8*1</f>
        <v>436.296</v>
      </c>
      <c r="AA229" s="117" t="n">
        <f aca="false">AA228*Inputs!$D$7*Inputs!$D$8*1</f>
        <v>488.65152</v>
      </c>
      <c r="AB229" s="117" t="n">
        <f aca="false">AB228*Inputs!$D$7*Inputs!$D$8*1</f>
        <v>488.65152</v>
      </c>
      <c r="AC229" s="117" t="n">
        <f aca="false">AC228*Inputs!$D$7*Inputs!$D$8*1</f>
        <v>488.65152</v>
      </c>
      <c r="AD229" s="117" t="n">
        <f aca="false">AD228*Inputs!$D$7*Inputs!$D$8*1</f>
        <v>488.65152</v>
      </c>
      <c r="AE229" s="117" t="n">
        <f aca="false">AE228*Inputs!$D$7*Inputs!$D$8*1</f>
        <v>488.65152</v>
      </c>
      <c r="AF229" s="117" t="n">
        <f aca="false">AF228*Inputs!$D$7*Inputs!$D$8*1</f>
        <v>488.65152</v>
      </c>
      <c r="AG229" s="117" t="n">
        <f aca="false">AG228*Inputs!$D$7*Inputs!$D$8*1</f>
        <v>488.65152</v>
      </c>
      <c r="AH229" s="117" t="n">
        <f aca="false">AH228*Inputs!$D$7*Inputs!$D$8*1</f>
        <v>488.65152</v>
      </c>
      <c r="AI229" s="117" t="n">
        <f aca="false">AI228*Inputs!$D$7*Inputs!$D$8*1</f>
        <v>488.65152</v>
      </c>
      <c r="AJ229" s="117" t="n">
        <f aca="false">AJ228*Inputs!$D$7*Inputs!$D$8*1</f>
        <v>488.65152</v>
      </c>
      <c r="AK229" s="117" t="n">
        <f aca="false">AK228*Inputs!$D$7*Inputs!$D$8*1</f>
        <v>488.65152</v>
      </c>
      <c r="AL229" s="117" t="n">
        <f aca="false">AL228*Inputs!$D$7*Inputs!$D$8*1</f>
        <v>488.65152</v>
      </c>
    </row>
    <row r="230" customFormat="false" ht="15" hidden="false" customHeight="false" outlineLevel="0" collapsed="false">
      <c r="A230" s="6" t="s">
        <v>377</v>
      </c>
      <c r="C230" s="118" t="n">
        <f aca="false">IF(AND(MOD(C$224-1,12)&gt;=5,MOD(C$224-1,12)&lt;=7),1+Inputs!$D$17,1-Inputs!$D$17/3)</f>
        <v>0.916666666666667</v>
      </c>
      <c r="D230" s="118" t="n">
        <f aca="false">IF(AND(MOD(D$224-1,12)&gt;=5,MOD(D$224-1,12)&lt;=7),1+Inputs!$D$17,1-Inputs!$D$17/3)</f>
        <v>0.916666666666667</v>
      </c>
      <c r="E230" s="118" t="n">
        <f aca="false">IF(AND(MOD(E$224-1,12)&gt;=5,MOD(E$224-1,12)&lt;=7),1+Inputs!$D$17,1-Inputs!$D$17/3)</f>
        <v>0.916666666666667</v>
      </c>
      <c r="F230" s="118" t="n">
        <f aca="false">IF(AND(MOD(F$224-1,12)&gt;=5,MOD(F$224-1,12)&lt;=7),1+Inputs!$D$17,1-Inputs!$D$17/3)</f>
        <v>0.916666666666667</v>
      </c>
      <c r="G230" s="118" t="n">
        <f aca="false">IF(AND(MOD(G$224-1,12)&gt;=5,MOD(G$224-1,12)&lt;=7),1+Inputs!$D$17,1-Inputs!$D$17/3)</f>
        <v>0.916666666666667</v>
      </c>
      <c r="H230" s="118" t="n">
        <f aca="false">IF(AND(MOD(H$224-1,12)&gt;=5,MOD(H$224-1,12)&lt;=7),1+Inputs!$D$17,1-Inputs!$D$17/3)</f>
        <v>1.25</v>
      </c>
      <c r="I230" s="118" t="n">
        <f aca="false">IF(AND(MOD(I$224-1,12)&gt;=5,MOD(I$224-1,12)&lt;=7),1+Inputs!$D$17,1-Inputs!$D$17/3)</f>
        <v>1.25</v>
      </c>
      <c r="J230" s="118" t="n">
        <f aca="false">IF(AND(MOD(J$224-1,12)&gt;=5,MOD(J$224-1,12)&lt;=7),1+Inputs!$D$17,1-Inputs!$D$17/3)</f>
        <v>1.25</v>
      </c>
      <c r="K230" s="118" t="n">
        <f aca="false">IF(AND(MOD(K$224-1,12)&gt;=5,MOD(K$224-1,12)&lt;=7),1+Inputs!$D$17,1-Inputs!$D$17/3)</f>
        <v>0.916666666666667</v>
      </c>
      <c r="L230" s="118" t="n">
        <f aca="false">IF(AND(MOD(L$224-1,12)&gt;=5,MOD(L$224-1,12)&lt;=7),1+Inputs!$D$17,1-Inputs!$D$17/3)</f>
        <v>0.916666666666667</v>
      </c>
      <c r="M230" s="118" t="n">
        <f aca="false">IF(AND(MOD(M$224-1,12)&gt;=5,MOD(M$224-1,12)&lt;=7),1+Inputs!$D$17,1-Inputs!$D$17/3)</f>
        <v>0.916666666666667</v>
      </c>
      <c r="N230" s="118" t="n">
        <f aca="false">IF(AND(MOD(N$224-1,12)&gt;=5,MOD(N$224-1,12)&lt;=7),1+Inputs!$D$17,1-Inputs!$D$17/3)</f>
        <v>0.916666666666667</v>
      </c>
      <c r="O230" s="118" t="n">
        <f aca="false">IF(AND(MOD(O$224-1,12)&gt;=5,MOD(O$224-1,12)&lt;=7),1+Inputs!$D$17,1-Inputs!$D$17/3)</f>
        <v>0.916666666666667</v>
      </c>
      <c r="P230" s="118" t="n">
        <f aca="false">IF(AND(MOD(P$224-1,12)&gt;=5,MOD(P$224-1,12)&lt;=7),1+Inputs!$D$17,1-Inputs!$D$17/3)</f>
        <v>0.916666666666667</v>
      </c>
      <c r="Q230" s="118" t="n">
        <f aca="false">IF(AND(MOD(Q$224-1,12)&gt;=5,MOD(Q$224-1,12)&lt;=7),1+Inputs!$D$17,1-Inputs!$D$17/3)</f>
        <v>0.916666666666667</v>
      </c>
      <c r="R230" s="118" t="n">
        <f aca="false">IF(AND(MOD(R$224-1,12)&gt;=5,MOD(R$224-1,12)&lt;=7),1+Inputs!$D$17,1-Inputs!$D$17/3)</f>
        <v>0.916666666666667</v>
      </c>
      <c r="S230" s="118" t="n">
        <f aca="false">IF(AND(MOD(S$224-1,12)&gt;=5,MOD(S$224-1,12)&lt;=7),1+Inputs!$D$17,1-Inputs!$D$17/3)</f>
        <v>0.916666666666667</v>
      </c>
      <c r="T230" s="118" t="n">
        <f aca="false">IF(AND(MOD(T$224-1,12)&gt;=5,MOD(T$224-1,12)&lt;=7),1+Inputs!$D$17,1-Inputs!$D$17/3)</f>
        <v>1.25</v>
      </c>
      <c r="U230" s="118" t="n">
        <f aca="false">IF(AND(MOD(U$224-1,12)&gt;=5,MOD(U$224-1,12)&lt;=7),1+Inputs!$D$17,1-Inputs!$D$17/3)</f>
        <v>1.25</v>
      </c>
      <c r="V230" s="118" t="n">
        <f aca="false">IF(AND(MOD(V$224-1,12)&gt;=5,MOD(V$224-1,12)&lt;=7),1+Inputs!$D$17,1-Inputs!$D$17/3)</f>
        <v>1.25</v>
      </c>
      <c r="W230" s="118" t="n">
        <f aca="false">IF(AND(MOD(W$224-1,12)&gt;=5,MOD(W$224-1,12)&lt;=7),1+Inputs!$D$17,1-Inputs!$D$17/3)</f>
        <v>0.916666666666667</v>
      </c>
      <c r="X230" s="118" t="n">
        <f aca="false">IF(AND(MOD(X$224-1,12)&gt;=5,MOD(X$224-1,12)&lt;=7),1+Inputs!$D$17,1-Inputs!$D$17/3)</f>
        <v>0.916666666666667</v>
      </c>
      <c r="Y230" s="118" t="n">
        <f aca="false">IF(AND(MOD(Y$224-1,12)&gt;=5,MOD(Y$224-1,12)&lt;=7),1+Inputs!$D$17,1-Inputs!$D$17/3)</f>
        <v>0.916666666666667</v>
      </c>
      <c r="Z230" s="118" t="n">
        <f aca="false">IF(AND(MOD(Z$224-1,12)&gt;=5,MOD(Z$224-1,12)&lt;=7),1+Inputs!$D$17,1-Inputs!$D$17/3)</f>
        <v>0.916666666666667</v>
      </c>
      <c r="AA230" s="118" t="n">
        <f aca="false">IF(AND(MOD(AA$224-1,12)&gt;=5,MOD(AA$224-1,12)&lt;=7),1+Inputs!$D$17,1-Inputs!$D$17/3)</f>
        <v>0.916666666666667</v>
      </c>
      <c r="AB230" s="118" t="n">
        <f aca="false">IF(AND(MOD(AB$224-1,12)&gt;=5,MOD(AB$224-1,12)&lt;=7),1+Inputs!$D$17,1-Inputs!$D$17/3)</f>
        <v>0.916666666666667</v>
      </c>
      <c r="AC230" s="118" t="n">
        <f aca="false">IF(AND(MOD(AC$224-1,12)&gt;=5,MOD(AC$224-1,12)&lt;=7),1+Inputs!$D$17,1-Inputs!$D$17/3)</f>
        <v>0.916666666666667</v>
      </c>
      <c r="AD230" s="118" t="n">
        <f aca="false">IF(AND(MOD(AD$224-1,12)&gt;=5,MOD(AD$224-1,12)&lt;=7),1+Inputs!$D$17,1-Inputs!$D$17/3)</f>
        <v>0.916666666666667</v>
      </c>
      <c r="AE230" s="118" t="n">
        <f aca="false">IF(AND(MOD(AE$224-1,12)&gt;=5,MOD(AE$224-1,12)&lt;=7),1+Inputs!$D$17,1-Inputs!$D$17/3)</f>
        <v>0.916666666666667</v>
      </c>
      <c r="AF230" s="118" t="n">
        <f aca="false">IF(AND(MOD(AF$224-1,12)&gt;=5,MOD(AF$224-1,12)&lt;=7),1+Inputs!$D$17,1-Inputs!$D$17/3)</f>
        <v>1.25</v>
      </c>
      <c r="AG230" s="118" t="n">
        <f aca="false">IF(AND(MOD(AG$224-1,12)&gt;=5,MOD(AG$224-1,12)&lt;=7),1+Inputs!$D$17,1-Inputs!$D$17/3)</f>
        <v>1.25</v>
      </c>
      <c r="AH230" s="118" t="n">
        <f aca="false">IF(AND(MOD(AH$224-1,12)&gt;=5,MOD(AH$224-1,12)&lt;=7),1+Inputs!$D$17,1-Inputs!$D$17/3)</f>
        <v>1.25</v>
      </c>
      <c r="AI230" s="118" t="n">
        <f aca="false">IF(AND(MOD(AI$224-1,12)&gt;=5,MOD(AI$224-1,12)&lt;=7),1+Inputs!$D$17,1-Inputs!$D$17/3)</f>
        <v>0.916666666666667</v>
      </c>
      <c r="AJ230" s="118" t="n">
        <f aca="false">IF(AND(MOD(AJ$224-1,12)&gt;=5,MOD(AJ$224-1,12)&lt;=7),1+Inputs!$D$17,1-Inputs!$D$17/3)</f>
        <v>0.916666666666667</v>
      </c>
      <c r="AK230" s="118" t="n">
        <f aca="false">IF(AND(MOD(AK$224-1,12)&gt;=5,MOD(AK$224-1,12)&lt;=7),1+Inputs!$D$17,1-Inputs!$D$17/3)</f>
        <v>0.916666666666667</v>
      </c>
      <c r="AL230" s="118" t="n">
        <f aca="false">IF(AND(MOD(AL$224-1,12)&gt;=5,MOD(AL$224-1,12)&lt;=7),1+Inputs!$D$17,1-Inputs!$D$17/3)</f>
        <v>0.916666666666667</v>
      </c>
    </row>
    <row r="231" customFormat="false" ht="15" hidden="false" customHeight="false" outlineLevel="0" collapsed="false">
      <c r="A231" s="6" t="s">
        <v>378</v>
      </c>
      <c r="C231" s="117" t="n">
        <f aca="false">-C254/MAX(1,Inputs!$D$13)</f>
        <v>187.5</v>
      </c>
      <c r="D231" s="117" t="n">
        <f aca="false">-D254/MAX(1,Inputs!$D$13)</f>
        <v>187.5</v>
      </c>
      <c r="E231" s="117" t="n">
        <f aca="false">-E254/MAX(1,Inputs!$D$13)</f>
        <v>187.5</v>
      </c>
      <c r="F231" s="117" t="n">
        <f aca="false">-F254/MAX(1,Inputs!$D$13)</f>
        <v>187.5</v>
      </c>
      <c r="G231" s="117" t="n">
        <f aca="false">-G254/MAX(1,Inputs!$D$13)</f>
        <v>187.5</v>
      </c>
      <c r="H231" s="117" t="n">
        <f aca="false">-H254/MAX(1,Inputs!$D$13)</f>
        <v>187.5</v>
      </c>
      <c r="I231" s="117" t="n">
        <f aca="false">-I254/MAX(1,Inputs!$D$13)</f>
        <v>187.5</v>
      </c>
      <c r="J231" s="117" t="n">
        <f aca="false">-J254/MAX(1,Inputs!$D$13)</f>
        <v>187.5</v>
      </c>
      <c r="K231" s="117" t="n">
        <f aca="false">-K254/MAX(1,Inputs!$D$13)</f>
        <v>187.5</v>
      </c>
      <c r="L231" s="117" t="n">
        <f aca="false">-L254/MAX(1,Inputs!$D$13)</f>
        <v>187.5</v>
      </c>
      <c r="M231" s="117" t="n">
        <f aca="false">-M254/MAX(1,Inputs!$D$13)</f>
        <v>187.5</v>
      </c>
      <c r="N231" s="117" t="n">
        <f aca="false">-N254/MAX(1,Inputs!$D$13)</f>
        <v>187.5</v>
      </c>
      <c r="O231" s="117" t="n">
        <f aca="false">-O254/MAX(1,Inputs!$D$13)</f>
        <v>221.25</v>
      </c>
      <c r="P231" s="117" t="n">
        <f aca="false">-P254/MAX(1,Inputs!$D$13)</f>
        <v>221.25</v>
      </c>
      <c r="Q231" s="117" t="n">
        <f aca="false">-Q254/MAX(1,Inputs!$D$13)</f>
        <v>221.25</v>
      </c>
      <c r="R231" s="117" t="n">
        <f aca="false">-R254/MAX(1,Inputs!$D$13)</f>
        <v>221.25</v>
      </c>
      <c r="S231" s="117" t="n">
        <f aca="false">-S254/MAX(1,Inputs!$D$13)</f>
        <v>221.25</v>
      </c>
      <c r="T231" s="117" t="n">
        <f aca="false">-T254/MAX(1,Inputs!$D$13)</f>
        <v>221.25</v>
      </c>
      <c r="U231" s="117" t="n">
        <f aca="false">-U254/MAX(1,Inputs!$D$13)</f>
        <v>221.25</v>
      </c>
      <c r="V231" s="117" t="n">
        <f aca="false">-V254/MAX(1,Inputs!$D$13)</f>
        <v>221.25</v>
      </c>
      <c r="W231" s="117" t="n">
        <f aca="false">-W254/MAX(1,Inputs!$D$13)</f>
        <v>221.25</v>
      </c>
      <c r="X231" s="117" t="n">
        <f aca="false">-X254/MAX(1,Inputs!$D$13)</f>
        <v>221.25</v>
      </c>
      <c r="Y231" s="117" t="n">
        <f aca="false">-Y254/MAX(1,Inputs!$D$13)</f>
        <v>221.25</v>
      </c>
      <c r="Z231" s="117" t="n">
        <f aca="false">-Z254/MAX(1,Inputs!$D$13)</f>
        <v>221.25</v>
      </c>
      <c r="AA231" s="117" t="n">
        <f aca="false">-AA254/MAX(1,Inputs!$D$13)</f>
        <v>261.075</v>
      </c>
      <c r="AB231" s="117" t="n">
        <f aca="false">-AB254/MAX(1,Inputs!$D$13)</f>
        <v>261.075</v>
      </c>
      <c r="AC231" s="117" t="n">
        <f aca="false">-AC254/MAX(1,Inputs!$D$13)</f>
        <v>261.075</v>
      </c>
      <c r="AD231" s="117" t="n">
        <f aca="false">-AD254/MAX(1,Inputs!$D$13)</f>
        <v>261.075</v>
      </c>
      <c r="AE231" s="117" t="n">
        <f aca="false">-AE254/MAX(1,Inputs!$D$13)</f>
        <v>261.075</v>
      </c>
      <c r="AF231" s="117" t="n">
        <f aca="false">-AF254/MAX(1,Inputs!$D$13)</f>
        <v>261.075</v>
      </c>
      <c r="AG231" s="117" t="n">
        <f aca="false">-AG254/MAX(1,Inputs!$D$13)</f>
        <v>261.075</v>
      </c>
      <c r="AH231" s="117" t="n">
        <f aca="false">-AH254/MAX(1,Inputs!$D$13)</f>
        <v>261.075</v>
      </c>
      <c r="AI231" s="117" t="n">
        <f aca="false">-AI254/MAX(1,Inputs!$D$13)</f>
        <v>261.075</v>
      </c>
      <c r="AJ231" s="117" t="n">
        <f aca="false">-AJ254/MAX(1,Inputs!$D$13)</f>
        <v>261.075</v>
      </c>
      <c r="AK231" s="117" t="n">
        <f aca="false">-AK254/MAX(1,Inputs!$D$13)</f>
        <v>261.075</v>
      </c>
      <c r="AL231" s="117" t="n">
        <f aca="false">-AL254/MAX(1,Inputs!$D$13)</f>
        <v>261.075</v>
      </c>
    </row>
    <row r="232" customFormat="false" ht="15" hidden="false" customHeight="false" outlineLevel="0" collapsed="false">
      <c r="A232" s="6" t="s">
        <v>379</v>
      </c>
      <c r="C232" s="117" t="n">
        <f aca="false">C231*Inputs!$D$14*C230</f>
        <v>82.5</v>
      </c>
      <c r="D232" s="117" t="n">
        <f aca="false">D231*Inputs!$D$14*D230</f>
        <v>82.5</v>
      </c>
      <c r="E232" s="117" t="n">
        <f aca="false">E231*Inputs!$D$14*E230</f>
        <v>82.5</v>
      </c>
      <c r="F232" s="117" t="n">
        <f aca="false">F231*Inputs!$D$14*F230</f>
        <v>82.5</v>
      </c>
      <c r="G232" s="117" t="n">
        <f aca="false">G231*Inputs!$D$14*G230</f>
        <v>82.5</v>
      </c>
      <c r="H232" s="117" t="n">
        <f aca="false">H231*Inputs!$D$14*H230</f>
        <v>112.5</v>
      </c>
      <c r="I232" s="117" t="n">
        <f aca="false">I231*Inputs!$D$14*I230</f>
        <v>112.5</v>
      </c>
      <c r="J232" s="117" t="n">
        <f aca="false">J231*Inputs!$D$14*J230</f>
        <v>112.5</v>
      </c>
      <c r="K232" s="117" t="n">
        <f aca="false">K231*Inputs!$D$14*K230</f>
        <v>82.5</v>
      </c>
      <c r="L232" s="117" t="n">
        <f aca="false">L231*Inputs!$D$14*L230</f>
        <v>82.5</v>
      </c>
      <c r="M232" s="117" t="n">
        <f aca="false">M231*Inputs!$D$14*M230</f>
        <v>82.5</v>
      </c>
      <c r="N232" s="117" t="n">
        <f aca="false">N231*Inputs!$D$14*N230</f>
        <v>82.5</v>
      </c>
      <c r="O232" s="117" t="n">
        <f aca="false">O231*Inputs!$D$14*O230</f>
        <v>97.35</v>
      </c>
      <c r="P232" s="117" t="n">
        <f aca="false">P231*Inputs!$D$14*P230</f>
        <v>97.35</v>
      </c>
      <c r="Q232" s="117" t="n">
        <f aca="false">Q231*Inputs!$D$14*Q230</f>
        <v>97.35</v>
      </c>
      <c r="R232" s="117" t="n">
        <f aca="false">R231*Inputs!$D$14*R230</f>
        <v>97.35</v>
      </c>
      <c r="S232" s="117" t="n">
        <f aca="false">S231*Inputs!$D$14*S230</f>
        <v>97.35</v>
      </c>
      <c r="T232" s="117" t="n">
        <f aca="false">T231*Inputs!$D$14*T230</f>
        <v>132.75</v>
      </c>
      <c r="U232" s="117" t="n">
        <f aca="false">U231*Inputs!$D$14*U230</f>
        <v>132.75</v>
      </c>
      <c r="V232" s="117" t="n">
        <f aca="false">V231*Inputs!$D$14*V230</f>
        <v>132.75</v>
      </c>
      <c r="W232" s="117" t="n">
        <f aca="false">W231*Inputs!$D$14*W230</f>
        <v>97.35</v>
      </c>
      <c r="X232" s="117" t="n">
        <f aca="false">X231*Inputs!$D$14*X230</f>
        <v>97.35</v>
      </c>
      <c r="Y232" s="117" t="n">
        <f aca="false">Y231*Inputs!$D$14*Y230</f>
        <v>97.35</v>
      </c>
      <c r="Z232" s="117" t="n">
        <f aca="false">Z231*Inputs!$D$14*Z230</f>
        <v>97.35</v>
      </c>
      <c r="AA232" s="117" t="n">
        <f aca="false">AA231*Inputs!$D$14*AA230</f>
        <v>114.873</v>
      </c>
      <c r="AB232" s="117" t="n">
        <f aca="false">AB231*Inputs!$D$14*AB230</f>
        <v>114.873</v>
      </c>
      <c r="AC232" s="117" t="n">
        <f aca="false">AC231*Inputs!$D$14*AC230</f>
        <v>114.873</v>
      </c>
      <c r="AD232" s="117" t="n">
        <f aca="false">AD231*Inputs!$D$14*AD230</f>
        <v>114.873</v>
      </c>
      <c r="AE232" s="117" t="n">
        <f aca="false">AE231*Inputs!$D$14*AE230</f>
        <v>114.873</v>
      </c>
      <c r="AF232" s="117" t="n">
        <f aca="false">AF231*Inputs!$D$14*AF230</f>
        <v>156.645</v>
      </c>
      <c r="AG232" s="117" t="n">
        <f aca="false">AG231*Inputs!$D$14*AG230</f>
        <v>156.645</v>
      </c>
      <c r="AH232" s="117" t="n">
        <f aca="false">AH231*Inputs!$D$14*AH230</f>
        <v>156.645</v>
      </c>
      <c r="AI232" s="117" t="n">
        <f aca="false">AI231*Inputs!$D$14*AI230</f>
        <v>114.873</v>
      </c>
      <c r="AJ232" s="117" t="n">
        <f aca="false">AJ231*Inputs!$D$14*AJ230</f>
        <v>114.873</v>
      </c>
      <c r="AK232" s="117" t="n">
        <f aca="false">AK231*Inputs!$D$14*AK230</f>
        <v>114.873</v>
      </c>
      <c r="AL232" s="117" t="n">
        <f aca="false">AL231*Inputs!$D$14*AL230</f>
        <v>114.873</v>
      </c>
    </row>
    <row r="233" customFormat="false" ht="15" hidden="false" customHeight="false" outlineLevel="0" collapsed="false">
      <c r="A233" s="6" t="s">
        <v>380</v>
      </c>
      <c r="C233" s="117" t="n">
        <f aca="false">Inputs!$D$15*(1+Inputs!$D$16)^(C$225-1)*1*C230</f>
        <v>247.5</v>
      </c>
      <c r="D233" s="117" t="n">
        <f aca="false">Inputs!$D$15*(1+Inputs!$D$16)^(D$225-1)*1*D230</f>
        <v>247.5</v>
      </c>
      <c r="E233" s="117" t="n">
        <f aca="false">Inputs!$D$15*(1+Inputs!$D$16)^(E$225-1)*1*E230</f>
        <v>247.5</v>
      </c>
      <c r="F233" s="117" t="n">
        <f aca="false">Inputs!$D$15*(1+Inputs!$D$16)^(F$225-1)*1*F230</f>
        <v>247.5</v>
      </c>
      <c r="G233" s="117" t="n">
        <f aca="false">Inputs!$D$15*(1+Inputs!$D$16)^(G$225-1)*1*G230</f>
        <v>247.5</v>
      </c>
      <c r="H233" s="117" t="n">
        <f aca="false">Inputs!$D$15*(1+Inputs!$D$16)^(H$225-1)*1*H230</f>
        <v>337.5</v>
      </c>
      <c r="I233" s="117" t="n">
        <f aca="false">Inputs!$D$15*(1+Inputs!$D$16)^(I$225-1)*1*I230</f>
        <v>337.5</v>
      </c>
      <c r="J233" s="117" t="n">
        <f aca="false">Inputs!$D$15*(1+Inputs!$D$16)^(J$225-1)*1*J230</f>
        <v>337.5</v>
      </c>
      <c r="K233" s="117" t="n">
        <f aca="false">Inputs!$D$15*(1+Inputs!$D$16)^(K$225-1)*1*K230</f>
        <v>247.5</v>
      </c>
      <c r="L233" s="117" t="n">
        <f aca="false">Inputs!$D$15*(1+Inputs!$D$16)^(L$225-1)*1*L230</f>
        <v>247.5</v>
      </c>
      <c r="M233" s="117" t="n">
        <f aca="false">Inputs!$D$15*(1+Inputs!$D$16)^(M$225-1)*1*M230</f>
        <v>247.5</v>
      </c>
      <c r="N233" s="117" t="n">
        <f aca="false">Inputs!$D$15*(1+Inputs!$D$16)^(N$225-1)*1*N230</f>
        <v>247.5</v>
      </c>
      <c r="O233" s="117" t="n">
        <f aca="false">Inputs!$D$15*(1+Inputs!$D$16)^(O$225-1)*1*O230</f>
        <v>292.05</v>
      </c>
      <c r="P233" s="117" t="n">
        <f aca="false">Inputs!$D$15*(1+Inputs!$D$16)^(P$225-1)*1*P230</f>
        <v>292.05</v>
      </c>
      <c r="Q233" s="117" t="n">
        <f aca="false">Inputs!$D$15*(1+Inputs!$D$16)^(Q$225-1)*1*Q230</f>
        <v>292.05</v>
      </c>
      <c r="R233" s="117" t="n">
        <f aca="false">Inputs!$D$15*(1+Inputs!$D$16)^(R$225-1)*1*R230</f>
        <v>292.05</v>
      </c>
      <c r="S233" s="117" t="n">
        <f aca="false">Inputs!$D$15*(1+Inputs!$D$16)^(S$225-1)*1*S230</f>
        <v>292.05</v>
      </c>
      <c r="T233" s="117" t="n">
        <f aca="false">Inputs!$D$15*(1+Inputs!$D$16)^(T$225-1)*1*T230</f>
        <v>398.25</v>
      </c>
      <c r="U233" s="117" t="n">
        <f aca="false">Inputs!$D$15*(1+Inputs!$D$16)^(U$225-1)*1*U230</f>
        <v>398.25</v>
      </c>
      <c r="V233" s="117" t="n">
        <f aca="false">Inputs!$D$15*(1+Inputs!$D$16)^(V$225-1)*1*V230</f>
        <v>398.25</v>
      </c>
      <c r="W233" s="117" t="n">
        <f aca="false">Inputs!$D$15*(1+Inputs!$D$16)^(W$225-1)*1*W230</f>
        <v>292.05</v>
      </c>
      <c r="X233" s="117" t="n">
        <f aca="false">Inputs!$D$15*(1+Inputs!$D$16)^(X$225-1)*1*X230</f>
        <v>292.05</v>
      </c>
      <c r="Y233" s="117" t="n">
        <f aca="false">Inputs!$D$15*(1+Inputs!$D$16)^(Y$225-1)*1*Y230</f>
        <v>292.05</v>
      </c>
      <c r="Z233" s="117" t="n">
        <f aca="false">Inputs!$D$15*(1+Inputs!$D$16)^(Z$225-1)*1*Z230</f>
        <v>292.05</v>
      </c>
      <c r="AA233" s="117" t="n">
        <f aca="false">Inputs!$D$15*(1+Inputs!$D$16)^(AA$225-1)*1*AA230</f>
        <v>344.619</v>
      </c>
      <c r="AB233" s="117" t="n">
        <f aca="false">Inputs!$D$15*(1+Inputs!$D$16)^(AB$225-1)*1*AB230</f>
        <v>344.619</v>
      </c>
      <c r="AC233" s="117" t="n">
        <f aca="false">Inputs!$D$15*(1+Inputs!$D$16)^(AC$225-1)*1*AC230</f>
        <v>344.619</v>
      </c>
      <c r="AD233" s="117" t="n">
        <f aca="false">Inputs!$D$15*(1+Inputs!$D$16)^(AD$225-1)*1*AD230</f>
        <v>344.619</v>
      </c>
      <c r="AE233" s="117" t="n">
        <f aca="false">Inputs!$D$15*(1+Inputs!$D$16)^(AE$225-1)*1*AE230</f>
        <v>344.619</v>
      </c>
      <c r="AF233" s="117" t="n">
        <f aca="false">Inputs!$D$15*(1+Inputs!$D$16)^(AF$225-1)*1*AF230</f>
        <v>469.935</v>
      </c>
      <c r="AG233" s="117" t="n">
        <f aca="false">Inputs!$D$15*(1+Inputs!$D$16)^(AG$225-1)*1*AG230</f>
        <v>469.935</v>
      </c>
      <c r="AH233" s="117" t="n">
        <f aca="false">Inputs!$D$15*(1+Inputs!$D$16)^(AH$225-1)*1*AH230</f>
        <v>469.935</v>
      </c>
      <c r="AI233" s="117" t="n">
        <f aca="false">Inputs!$D$15*(1+Inputs!$D$16)^(AI$225-1)*1*AI230</f>
        <v>344.619</v>
      </c>
      <c r="AJ233" s="117" t="n">
        <f aca="false">Inputs!$D$15*(1+Inputs!$D$16)^(AJ$225-1)*1*AJ230</f>
        <v>344.619</v>
      </c>
      <c r="AK233" s="117" t="n">
        <f aca="false">Inputs!$D$15*(1+Inputs!$D$16)^(AK$225-1)*1*AK230</f>
        <v>344.619</v>
      </c>
      <c r="AL233" s="117" t="n">
        <f aca="false">Inputs!$D$15*(1+Inputs!$D$16)^(AL$225-1)*1*AL230</f>
        <v>344.619</v>
      </c>
    </row>
    <row r="234" customFormat="false" ht="15" hidden="false" customHeight="false" outlineLevel="0" collapsed="false">
      <c r="A234" s="6" t="s">
        <v>232</v>
      </c>
      <c r="C234" s="117" t="n">
        <f aca="false">C232+C233</f>
        <v>330</v>
      </c>
      <c r="D234" s="117" t="n">
        <f aca="false">D232+D233</f>
        <v>330</v>
      </c>
      <c r="E234" s="117" t="n">
        <f aca="false">E232+E233</f>
        <v>330</v>
      </c>
      <c r="F234" s="117" t="n">
        <f aca="false">F232+F233</f>
        <v>330</v>
      </c>
      <c r="G234" s="117" t="n">
        <f aca="false">G232+G233</f>
        <v>330</v>
      </c>
      <c r="H234" s="117" t="n">
        <f aca="false">H232+H233</f>
        <v>450</v>
      </c>
      <c r="I234" s="117" t="n">
        <f aca="false">I232+I233</f>
        <v>450</v>
      </c>
      <c r="J234" s="117" t="n">
        <f aca="false">J232+J233</f>
        <v>450</v>
      </c>
      <c r="K234" s="117" t="n">
        <f aca="false">K232+K233</f>
        <v>330</v>
      </c>
      <c r="L234" s="117" t="n">
        <f aca="false">L232+L233</f>
        <v>330</v>
      </c>
      <c r="M234" s="117" t="n">
        <f aca="false">M232+M233</f>
        <v>330</v>
      </c>
      <c r="N234" s="117" t="n">
        <f aca="false">N232+N233</f>
        <v>330</v>
      </c>
      <c r="O234" s="117" t="n">
        <f aca="false">O232+O233</f>
        <v>389.4</v>
      </c>
      <c r="P234" s="117" t="n">
        <f aca="false">P232+P233</f>
        <v>389.4</v>
      </c>
      <c r="Q234" s="117" t="n">
        <f aca="false">Q232+Q233</f>
        <v>389.4</v>
      </c>
      <c r="R234" s="117" t="n">
        <f aca="false">R232+R233</f>
        <v>389.4</v>
      </c>
      <c r="S234" s="117" t="n">
        <f aca="false">S232+S233</f>
        <v>389.4</v>
      </c>
      <c r="T234" s="117" t="n">
        <f aca="false">T232+T233</f>
        <v>531</v>
      </c>
      <c r="U234" s="117" t="n">
        <f aca="false">U232+U233</f>
        <v>531</v>
      </c>
      <c r="V234" s="117" t="n">
        <f aca="false">V232+V233</f>
        <v>531</v>
      </c>
      <c r="W234" s="117" t="n">
        <f aca="false">W232+W233</f>
        <v>389.4</v>
      </c>
      <c r="X234" s="117" t="n">
        <f aca="false">X232+X233</f>
        <v>389.4</v>
      </c>
      <c r="Y234" s="117" t="n">
        <f aca="false">Y232+Y233</f>
        <v>389.4</v>
      </c>
      <c r="Z234" s="117" t="n">
        <f aca="false">Z232+Z233</f>
        <v>389.4</v>
      </c>
      <c r="AA234" s="117" t="n">
        <f aca="false">AA232+AA233</f>
        <v>459.492</v>
      </c>
      <c r="AB234" s="117" t="n">
        <f aca="false">AB232+AB233</f>
        <v>459.492</v>
      </c>
      <c r="AC234" s="117" t="n">
        <f aca="false">AC232+AC233</f>
        <v>459.492</v>
      </c>
      <c r="AD234" s="117" t="n">
        <f aca="false">AD232+AD233</f>
        <v>459.492</v>
      </c>
      <c r="AE234" s="117" t="n">
        <f aca="false">AE232+AE233</f>
        <v>459.492</v>
      </c>
      <c r="AF234" s="117" t="n">
        <f aca="false">AF232+AF233</f>
        <v>626.58</v>
      </c>
      <c r="AG234" s="117" t="n">
        <f aca="false">AG232+AG233</f>
        <v>626.58</v>
      </c>
      <c r="AH234" s="117" t="n">
        <f aca="false">AH232+AH233</f>
        <v>626.58</v>
      </c>
      <c r="AI234" s="117" t="n">
        <f aca="false">AI232+AI233</f>
        <v>459.492</v>
      </c>
      <c r="AJ234" s="117" t="n">
        <f aca="false">AJ232+AJ233</f>
        <v>459.492</v>
      </c>
      <c r="AK234" s="117" t="n">
        <f aca="false">AK232+AK233</f>
        <v>459.492</v>
      </c>
      <c r="AL234" s="117" t="n">
        <f aca="false">AL232+AL233</f>
        <v>459.492</v>
      </c>
    </row>
    <row r="235" customFormat="false" ht="15" hidden="false" customHeight="false" outlineLevel="0" collapsed="false">
      <c r="A235" s="4" t="s">
        <v>381</v>
      </c>
      <c r="C235" s="119" t="n">
        <f aca="false">MIN(C229,C234)</f>
        <v>330</v>
      </c>
      <c r="D235" s="119" t="n">
        <f aca="false">MIN(D229,D234)</f>
        <v>330</v>
      </c>
      <c r="E235" s="119" t="n">
        <f aca="false">MIN(E229,E234)</f>
        <v>330</v>
      </c>
      <c r="F235" s="119" t="n">
        <f aca="false">MIN(F229,F234)</f>
        <v>330</v>
      </c>
      <c r="G235" s="119" t="n">
        <f aca="false">MIN(G229,G234)</f>
        <v>330</v>
      </c>
      <c r="H235" s="119" t="n">
        <f aca="false">MIN(H229,H234)</f>
        <v>389.55</v>
      </c>
      <c r="I235" s="119" t="n">
        <f aca="false">MIN(I229,I234)</f>
        <v>389.55</v>
      </c>
      <c r="J235" s="119" t="n">
        <f aca="false">MIN(J229,J234)</f>
        <v>389.55</v>
      </c>
      <c r="K235" s="119" t="n">
        <f aca="false">MIN(K229,K234)</f>
        <v>330</v>
      </c>
      <c r="L235" s="119" t="n">
        <f aca="false">MIN(L229,L234)</f>
        <v>330</v>
      </c>
      <c r="M235" s="119" t="n">
        <f aca="false">MIN(M229,M234)</f>
        <v>330</v>
      </c>
      <c r="N235" s="119" t="n">
        <f aca="false">MIN(N229,N234)</f>
        <v>330</v>
      </c>
      <c r="O235" s="119" t="n">
        <f aca="false">MIN(O229,O234)</f>
        <v>389.4</v>
      </c>
      <c r="P235" s="119" t="n">
        <f aca="false">MIN(P229,P234)</f>
        <v>389.4</v>
      </c>
      <c r="Q235" s="119" t="n">
        <f aca="false">MIN(Q229,Q234)</f>
        <v>389.4</v>
      </c>
      <c r="R235" s="119" t="n">
        <f aca="false">MIN(R229,R234)</f>
        <v>389.4</v>
      </c>
      <c r="S235" s="119" t="n">
        <f aca="false">MIN(S229,S234)</f>
        <v>389.4</v>
      </c>
      <c r="T235" s="119" t="n">
        <f aca="false">MIN(T229,T234)</f>
        <v>436.296</v>
      </c>
      <c r="U235" s="119" t="n">
        <f aca="false">MIN(U229,U234)</f>
        <v>436.296</v>
      </c>
      <c r="V235" s="119" t="n">
        <f aca="false">MIN(V229,V234)</f>
        <v>436.296</v>
      </c>
      <c r="W235" s="119" t="n">
        <f aca="false">MIN(W229,W234)</f>
        <v>389.4</v>
      </c>
      <c r="X235" s="119" t="n">
        <f aca="false">MIN(X229,X234)</f>
        <v>389.4</v>
      </c>
      <c r="Y235" s="119" t="n">
        <f aca="false">MIN(Y229,Y234)</f>
        <v>389.4</v>
      </c>
      <c r="Z235" s="119" t="n">
        <f aca="false">MIN(Z229,Z234)</f>
        <v>389.4</v>
      </c>
      <c r="AA235" s="119" t="n">
        <f aca="false">MIN(AA229,AA234)</f>
        <v>459.492</v>
      </c>
      <c r="AB235" s="119" t="n">
        <f aca="false">MIN(AB229,AB234)</f>
        <v>459.492</v>
      </c>
      <c r="AC235" s="119" t="n">
        <f aca="false">MIN(AC229,AC234)</f>
        <v>459.492</v>
      </c>
      <c r="AD235" s="119" t="n">
        <f aca="false">MIN(AD229,AD234)</f>
        <v>459.492</v>
      </c>
      <c r="AE235" s="119" t="n">
        <f aca="false">MIN(AE229,AE234)</f>
        <v>459.492</v>
      </c>
      <c r="AF235" s="119" t="n">
        <f aca="false">MIN(AF229,AF234)</f>
        <v>488.65152</v>
      </c>
      <c r="AG235" s="119" t="n">
        <f aca="false">MIN(AG229,AG234)</f>
        <v>488.65152</v>
      </c>
      <c r="AH235" s="119" t="n">
        <f aca="false">MIN(AH229,AH234)</f>
        <v>488.65152</v>
      </c>
      <c r="AI235" s="119" t="n">
        <f aca="false">MIN(AI229,AI234)</f>
        <v>459.492</v>
      </c>
      <c r="AJ235" s="119" t="n">
        <f aca="false">MIN(AJ229,AJ234)</f>
        <v>459.492</v>
      </c>
      <c r="AK235" s="119" t="n">
        <f aca="false">MIN(AK229,AK234)</f>
        <v>459.492</v>
      </c>
      <c r="AL235" s="119" t="n">
        <f aca="false">MIN(AL229,AL234)</f>
        <v>459.492</v>
      </c>
    </row>
    <row r="237" customFormat="false" ht="15.75" hidden="false" customHeight="true" outlineLevel="0" collapsed="false">
      <c r="A237" s="7" t="s">
        <v>44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</row>
    <row r="238" customFormat="false" ht="15" hidden="false" customHeight="false" outlineLevel="0" collapsed="false">
      <c r="A238" s="6" t="s">
        <v>60</v>
      </c>
      <c r="C238" s="120" t="n">
        <f aca="false">Inputs!$D$20*(1+Inputs!$D$21)^(C$225-1)</f>
        <v>465</v>
      </c>
      <c r="D238" s="120" t="n">
        <f aca="false">Inputs!$D$20*(1+Inputs!$D$21)^(D$225-1)</f>
        <v>465</v>
      </c>
      <c r="E238" s="120" t="n">
        <f aca="false">Inputs!$D$20*(1+Inputs!$D$21)^(E$225-1)</f>
        <v>465</v>
      </c>
      <c r="F238" s="120" t="n">
        <f aca="false">Inputs!$D$20*(1+Inputs!$D$21)^(F$225-1)</f>
        <v>465</v>
      </c>
      <c r="G238" s="120" t="n">
        <f aca="false">Inputs!$D$20*(1+Inputs!$D$21)^(G$225-1)</f>
        <v>465</v>
      </c>
      <c r="H238" s="120" t="n">
        <f aca="false">Inputs!$D$20*(1+Inputs!$D$21)^(H$225-1)</f>
        <v>465</v>
      </c>
      <c r="I238" s="120" t="n">
        <f aca="false">Inputs!$D$20*(1+Inputs!$D$21)^(I$225-1)</f>
        <v>465</v>
      </c>
      <c r="J238" s="120" t="n">
        <f aca="false">Inputs!$D$20*(1+Inputs!$D$21)^(J$225-1)</f>
        <v>465</v>
      </c>
      <c r="K238" s="120" t="n">
        <f aca="false">Inputs!$D$20*(1+Inputs!$D$21)^(K$225-1)</f>
        <v>465</v>
      </c>
      <c r="L238" s="120" t="n">
        <f aca="false">Inputs!$D$20*(1+Inputs!$D$21)^(L$225-1)</f>
        <v>465</v>
      </c>
      <c r="M238" s="120" t="n">
        <f aca="false">Inputs!$D$20*(1+Inputs!$D$21)^(M$225-1)</f>
        <v>465</v>
      </c>
      <c r="N238" s="120" t="n">
        <f aca="false">Inputs!$D$20*(1+Inputs!$D$21)^(N$225-1)</f>
        <v>465</v>
      </c>
      <c r="O238" s="120" t="n">
        <f aca="false">Inputs!$D$20*(1+Inputs!$D$21)^(O$225-1)</f>
        <v>483.6</v>
      </c>
      <c r="P238" s="120" t="n">
        <f aca="false">Inputs!$D$20*(1+Inputs!$D$21)^(P$225-1)</f>
        <v>483.6</v>
      </c>
      <c r="Q238" s="120" t="n">
        <f aca="false">Inputs!$D$20*(1+Inputs!$D$21)^(Q$225-1)</f>
        <v>483.6</v>
      </c>
      <c r="R238" s="120" t="n">
        <f aca="false">Inputs!$D$20*(1+Inputs!$D$21)^(R$225-1)</f>
        <v>483.6</v>
      </c>
      <c r="S238" s="120" t="n">
        <f aca="false">Inputs!$D$20*(1+Inputs!$D$21)^(S$225-1)</f>
        <v>483.6</v>
      </c>
      <c r="T238" s="120" t="n">
        <f aca="false">Inputs!$D$20*(1+Inputs!$D$21)^(T$225-1)</f>
        <v>483.6</v>
      </c>
      <c r="U238" s="120" t="n">
        <f aca="false">Inputs!$D$20*(1+Inputs!$D$21)^(U$225-1)</f>
        <v>483.6</v>
      </c>
      <c r="V238" s="120" t="n">
        <f aca="false">Inputs!$D$20*(1+Inputs!$D$21)^(V$225-1)</f>
        <v>483.6</v>
      </c>
      <c r="W238" s="120" t="n">
        <f aca="false">Inputs!$D$20*(1+Inputs!$D$21)^(W$225-1)</f>
        <v>483.6</v>
      </c>
      <c r="X238" s="120" t="n">
        <f aca="false">Inputs!$D$20*(1+Inputs!$D$21)^(X$225-1)</f>
        <v>483.6</v>
      </c>
      <c r="Y238" s="120" t="n">
        <f aca="false">Inputs!$D$20*(1+Inputs!$D$21)^(Y$225-1)</f>
        <v>483.6</v>
      </c>
      <c r="Z238" s="120" t="n">
        <f aca="false">Inputs!$D$20*(1+Inputs!$D$21)^(Z$225-1)</f>
        <v>483.6</v>
      </c>
      <c r="AA238" s="120" t="n">
        <f aca="false">Inputs!$D$20*(1+Inputs!$D$21)^(AA$225-1)</f>
        <v>502.944</v>
      </c>
      <c r="AB238" s="120" t="n">
        <f aca="false">Inputs!$D$20*(1+Inputs!$D$21)^(AB$225-1)</f>
        <v>502.944</v>
      </c>
      <c r="AC238" s="120" t="n">
        <f aca="false">Inputs!$D$20*(1+Inputs!$D$21)^(AC$225-1)</f>
        <v>502.944</v>
      </c>
      <c r="AD238" s="120" t="n">
        <f aca="false">Inputs!$D$20*(1+Inputs!$D$21)^(AD$225-1)</f>
        <v>502.944</v>
      </c>
      <c r="AE238" s="120" t="n">
        <f aca="false">Inputs!$D$20*(1+Inputs!$D$21)^(AE$225-1)</f>
        <v>502.944</v>
      </c>
      <c r="AF238" s="120" t="n">
        <f aca="false">Inputs!$D$20*(1+Inputs!$D$21)^(AF$225-1)</f>
        <v>502.944</v>
      </c>
      <c r="AG238" s="120" t="n">
        <f aca="false">Inputs!$D$20*(1+Inputs!$D$21)^(AG$225-1)</f>
        <v>502.944</v>
      </c>
      <c r="AH238" s="120" t="n">
        <f aca="false">Inputs!$D$20*(1+Inputs!$D$21)^(AH$225-1)</f>
        <v>502.944</v>
      </c>
      <c r="AI238" s="120" t="n">
        <f aca="false">Inputs!$D$20*(1+Inputs!$D$21)^(AI$225-1)</f>
        <v>502.944</v>
      </c>
      <c r="AJ238" s="120" t="n">
        <f aca="false">Inputs!$D$20*(1+Inputs!$D$21)^(AJ$225-1)</f>
        <v>502.944</v>
      </c>
      <c r="AK238" s="120" t="n">
        <f aca="false">Inputs!$D$20*(1+Inputs!$D$21)^(AK$225-1)</f>
        <v>502.944</v>
      </c>
      <c r="AL238" s="120" t="n">
        <f aca="false">Inputs!$D$20*(1+Inputs!$D$21)^(AL$225-1)</f>
        <v>502.944</v>
      </c>
    </row>
    <row r="239" customFormat="false" ht="15" hidden="false" customHeight="false" outlineLevel="0" collapsed="false">
      <c r="A239" s="6" t="s">
        <v>238</v>
      </c>
      <c r="C239" s="67" t="n">
        <f aca="false">C235*C238</f>
        <v>153450</v>
      </c>
      <c r="D239" s="67" t="n">
        <f aca="false">D235*D238</f>
        <v>153450</v>
      </c>
      <c r="E239" s="67" t="n">
        <f aca="false">E235*E238</f>
        <v>153450</v>
      </c>
      <c r="F239" s="67" t="n">
        <f aca="false">F235*F238</f>
        <v>153450</v>
      </c>
      <c r="G239" s="67" t="n">
        <f aca="false">G235*G238</f>
        <v>153450</v>
      </c>
      <c r="H239" s="67" t="n">
        <f aca="false">H235*H238</f>
        <v>181140.75</v>
      </c>
      <c r="I239" s="67" t="n">
        <f aca="false">I235*I238</f>
        <v>181140.75</v>
      </c>
      <c r="J239" s="67" t="n">
        <f aca="false">J235*J238</f>
        <v>181140.75</v>
      </c>
      <c r="K239" s="67" t="n">
        <f aca="false">K235*K238</f>
        <v>153450</v>
      </c>
      <c r="L239" s="67" t="n">
        <f aca="false">L235*L238</f>
        <v>153450</v>
      </c>
      <c r="M239" s="67" t="n">
        <f aca="false">M235*M238</f>
        <v>153450</v>
      </c>
      <c r="N239" s="67" t="n">
        <f aca="false">N235*N238</f>
        <v>153450</v>
      </c>
      <c r="O239" s="67" t="n">
        <f aca="false">O235*O238</f>
        <v>188313.84</v>
      </c>
      <c r="P239" s="67" t="n">
        <f aca="false">P235*P238</f>
        <v>188313.84</v>
      </c>
      <c r="Q239" s="67" t="n">
        <f aca="false">Q235*Q238</f>
        <v>188313.84</v>
      </c>
      <c r="R239" s="67" t="n">
        <f aca="false">R235*R238</f>
        <v>188313.84</v>
      </c>
      <c r="S239" s="67" t="n">
        <f aca="false">S235*S238</f>
        <v>188313.84</v>
      </c>
      <c r="T239" s="67" t="n">
        <f aca="false">T235*T238</f>
        <v>210992.7456</v>
      </c>
      <c r="U239" s="67" t="n">
        <f aca="false">U235*U238</f>
        <v>210992.7456</v>
      </c>
      <c r="V239" s="67" t="n">
        <f aca="false">V235*V238</f>
        <v>210992.7456</v>
      </c>
      <c r="W239" s="67" t="n">
        <f aca="false">W235*W238</f>
        <v>188313.84</v>
      </c>
      <c r="X239" s="67" t="n">
        <f aca="false">X235*X238</f>
        <v>188313.84</v>
      </c>
      <c r="Y239" s="67" t="n">
        <f aca="false">Y235*Y238</f>
        <v>188313.84</v>
      </c>
      <c r="Z239" s="67" t="n">
        <f aca="false">Z235*Z238</f>
        <v>188313.84</v>
      </c>
      <c r="AA239" s="67" t="n">
        <f aca="false">AA235*AA238</f>
        <v>231098.744448</v>
      </c>
      <c r="AB239" s="67" t="n">
        <f aca="false">AB235*AB238</f>
        <v>231098.744448</v>
      </c>
      <c r="AC239" s="67" t="n">
        <f aca="false">AC235*AC238</f>
        <v>231098.744448</v>
      </c>
      <c r="AD239" s="67" t="n">
        <f aca="false">AD235*AD238</f>
        <v>231098.744448</v>
      </c>
      <c r="AE239" s="67" t="n">
        <f aca="false">AE235*AE238</f>
        <v>231098.744448</v>
      </c>
      <c r="AF239" s="67" t="n">
        <f aca="false">AF235*AF238</f>
        <v>245764.35007488</v>
      </c>
      <c r="AG239" s="67" t="n">
        <f aca="false">AG235*AG238</f>
        <v>245764.35007488</v>
      </c>
      <c r="AH239" s="67" t="n">
        <f aca="false">AH235*AH238</f>
        <v>245764.35007488</v>
      </c>
      <c r="AI239" s="67" t="n">
        <f aca="false">AI235*AI238</f>
        <v>231098.744448</v>
      </c>
      <c r="AJ239" s="67" t="n">
        <f aca="false">AJ235*AJ238</f>
        <v>231098.744448</v>
      </c>
      <c r="AK239" s="67" t="n">
        <f aca="false">AK235*AK238</f>
        <v>231098.744448</v>
      </c>
      <c r="AL239" s="67" t="n">
        <f aca="false">AL235*AL238</f>
        <v>231098.744448</v>
      </c>
    </row>
    <row r="240" customFormat="false" ht="15" hidden="false" customHeight="false" outlineLevel="0" collapsed="false">
      <c r="A240" s="6" t="s">
        <v>382</v>
      </c>
      <c r="C240" s="117" t="n">
        <f aca="false">Inputs!$D$24*(1+Inputs!$D$25)^(C$225-1)</f>
        <v>500</v>
      </c>
      <c r="D240" s="117" t="n">
        <f aca="false">Inputs!$D$24*(1+Inputs!$D$25)^(D$225-1)</f>
        <v>500</v>
      </c>
      <c r="E240" s="117" t="n">
        <f aca="false">Inputs!$D$24*(1+Inputs!$D$25)^(E$225-1)</f>
        <v>500</v>
      </c>
      <c r="F240" s="117" t="n">
        <f aca="false">Inputs!$D$24*(1+Inputs!$D$25)^(F$225-1)</f>
        <v>500</v>
      </c>
      <c r="G240" s="117" t="n">
        <f aca="false">Inputs!$D$24*(1+Inputs!$D$25)^(G$225-1)</f>
        <v>500</v>
      </c>
      <c r="H240" s="117" t="n">
        <f aca="false">Inputs!$D$24*(1+Inputs!$D$25)^(H$225-1)</f>
        <v>500</v>
      </c>
      <c r="I240" s="117" t="n">
        <f aca="false">Inputs!$D$24*(1+Inputs!$D$25)^(I$225-1)</f>
        <v>500</v>
      </c>
      <c r="J240" s="117" t="n">
        <f aca="false">Inputs!$D$24*(1+Inputs!$D$25)^(J$225-1)</f>
        <v>500</v>
      </c>
      <c r="K240" s="117" t="n">
        <f aca="false">Inputs!$D$24*(1+Inputs!$D$25)^(K$225-1)</f>
        <v>500</v>
      </c>
      <c r="L240" s="117" t="n">
        <f aca="false">Inputs!$D$24*(1+Inputs!$D$25)^(L$225-1)</f>
        <v>500</v>
      </c>
      <c r="M240" s="117" t="n">
        <f aca="false">Inputs!$D$24*(1+Inputs!$D$25)^(M$225-1)</f>
        <v>500</v>
      </c>
      <c r="N240" s="117" t="n">
        <f aca="false">Inputs!$D$24*(1+Inputs!$D$25)^(N$225-1)</f>
        <v>500</v>
      </c>
      <c r="O240" s="117" t="n">
        <f aca="false">Inputs!$D$24*(1+Inputs!$D$25)^(O$225-1)</f>
        <v>625</v>
      </c>
      <c r="P240" s="117" t="n">
        <f aca="false">Inputs!$D$24*(1+Inputs!$D$25)^(P$225-1)</f>
        <v>625</v>
      </c>
      <c r="Q240" s="117" t="n">
        <f aca="false">Inputs!$D$24*(1+Inputs!$D$25)^(Q$225-1)</f>
        <v>625</v>
      </c>
      <c r="R240" s="117" t="n">
        <f aca="false">Inputs!$D$24*(1+Inputs!$D$25)^(R$225-1)</f>
        <v>625</v>
      </c>
      <c r="S240" s="117" t="n">
        <f aca="false">Inputs!$D$24*(1+Inputs!$D$25)^(S$225-1)</f>
        <v>625</v>
      </c>
      <c r="T240" s="117" t="n">
        <f aca="false">Inputs!$D$24*(1+Inputs!$D$25)^(T$225-1)</f>
        <v>625</v>
      </c>
      <c r="U240" s="117" t="n">
        <f aca="false">Inputs!$D$24*(1+Inputs!$D$25)^(U$225-1)</f>
        <v>625</v>
      </c>
      <c r="V240" s="117" t="n">
        <f aca="false">Inputs!$D$24*(1+Inputs!$D$25)^(V$225-1)</f>
        <v>625</v>
      </c>
      <c r="W240" s="117" t="n">
        <f aca="false">Inputs!$D$24*(1+Inputs!$D$25)^(W$225-1)</f>
        <v>625</v>
      </c>
      <c r="X240" s="117" t="n">
        <f aca="false">Inputs!$D$24*(1+Inputs!$D$25)^(X$225-1)</f>
        <v>625</v>
      </c>
      <c r="Y240" s="117" t="n">
        <f aca="false">Inputs!$D$24*(1+Inputs!$D$25)^(Y$225-1)</f>
        <v>625</v>
      </c>
      <c r="Z240" s="117" t="n">
        <f aca="false">Inputs!$D$24*(1+Inputs!$D$25)^(Z$225-1)</f>
        <v>625</v>
      </c>
      <c r="AA240" s="117" t="n">
        <f aca="false">Inputs!$D$24*(1+Inputs!$D$25)^(AA$225-1)</f>
        <v>781.25</v>
      </c>
      <c r="AB240" s="117" t="n">
        <f aca="false">Inputs!$D$24*(1+Inputs!$D$25)^(AB$225-1)</f>
        <v>781.25</v>
      </c>
      <c r="AC240" s="117" t="n">
        <f aca="false">Inputs!$D$24*(1+Inputs!$D$25)^(AC$225-1)</f>
        <v>781.25</v>
      </c>
      <c r="AD240" s="117" t="n">
        <f aca="false">Inputs!$D$24*(1+Inputs!$D$25)^(AD$225-1)</f>
        <v>781.25</v>
      </c>
      <c r="AE240" s="117" t="n">
        <f aca="false">Inputs!$D$24*(1+Inputs!$D$25)^(AE$225-1)</f>
        <v>781.25</v>
      </c>
      <c r="AF240" s="117" t="n">
        <f aca="false">Inputs!$D$24*(1+Inputs!$D$25)^(AF$225-1)</f>
        <v>781.25</v>
      </c>
      <c r="AG240" s="117" t="n">
        <f aca="false">Inputs!$D$24*(1+Inputs!$D$25)^(AG$225-1)</f>
        <v>781.25</v>
      </c>
      <c r="AH240" s="117" t="n">
        <f aca="false">Inputs!$D$24*(1+Inputs!$D$25)^(AH$225-1)</f>
        <v>781.25</v>
      </c>
      <c r="AI240" s="117" t="n">
        <f aca="false">Inputs!$D$24*(1+Inputs!$D$25)^(AI$225-1)</f>
        <v>781.25</v>
      </c>
      <c r="AJ240" s="117" t="n">
        <f aca="false">Inputs!$D$24*(1+Inputs!$D$25)^(AJ$225-1)</f>
        <v>781.25</v>
      </c>
      <c r="AK240" s="117" t="n">
        <f aca="false">Inputs!$D$24*(1+Inputs!$D$25)^(AK$225-1)</f>
        <v>781.25</v>
      </c>
      <c r="AL240" s="117" t="n">
        <f aca="false">Inputs!$D$24*(1+Inputs!$D$25)^(AL$225-1)</f>
        <v>781.25</v>
      </c>
    </row>
    <row r="241" customFormat="false" ht="15" hidden="false" customHeight="false" outlineLevel="0" collapsed="false">
      <c r="A241" s="6" t="s">
        <v>242</v>
      </c>
      <c r="C241" s="67" t="n">
        <f aca="false">C240*Inputs!$D$26*(1+Inputs!$D$21)^(C$225-1)*1</f>
        <v>11000</v>
      </c>
      <c r="D241" s="67" t="n">
        <f aca="false">D240*Inputs!$D$26*(1+Inputs!$D$21)^(D$225-1)*1</f>
        <v>11000</v>
      </c>
      <c r="E241" s="67" t="n">
        <f aca="false">E240*Inputs!$D$26*(1+Inputs!$D$21)^(E$225-1)*1</f>
        <v>11000</v>
      </c>
      <c r="F241" s="67" t="n">
        <f aca="false">F240*Inputs!$D$26*(1+Inputs!$D$21)^(F$225-1)*1</f>
        <v>11000</v>
      </c>
      <c r="G241" s="67" t="n">
        <f aca="false">G240*Inputs!$D$26*(1+Inputs!$D$21)^(G$225-1)*1</f>
        <v>11000</v>
      </c>
      <c r="H241" s="67" t="n">
        <f aca="false">H240*Inputs!$D$26*(1+Inputs!$D$21)^(H$225-1)*1</f>
        <v>11000</v>
      </c>
      <c r="I241" s="67" t="n">
        <f aca="false">I240*Inputs!$D$26*(1+Inputs!$D$21)^(I$225-1)*1</f>
        <v>11000</v>
      </c>
      <c r="J241" s="67" t="n">
        <f aca="false">J240*Inputs!$D$26*(1+Inputs!$D$21)^(J$225-1)*1</f>
        <v>11000</v>
      </c>
      <c r="K241" s="67" t="n">
        <f aca="false">K240*Inputs!$D$26*(1+Inputs!$D$21)^(K$225-1)*1</f>
        <v>11000</v>
      </c>
      <c r="L241" s="67" t="n">
        <f aca="false">L240*Inputs!$D$26*(1+Inputs!$D$21)^(L$225-1)*1</f>
        <v>11000</v>
      </c>
      <c r="M241" s="67" t="n">
        <f aca="false">M240*Inputs!$D$26*(1+Inputs!$D$21)^(M$225-1)*1</f>
        <v>11000</v>
      </c>
      <c r="N241" s="67" t="n">
        <f aca="false">N240*Inputs!$D$26*(1+Inputs!$D$21)^(N$225-1)*1</f>
        <v>11000</v>
      </c>
      <c r="O241" s="67" t="n">
        <f aca="false">O240*Inputs!$D$26*(1+Inputs!$D$21)^(O$225-1)*1</f>
        <v>14300</v>
      </c>
      <c r="P241" s="67" t="n">
        <f aca="false">P240*Inputs!$D$26*(1+Inputs!$D$21)^(P$225-1)*1</f>
        <v>14300</v>
      </c>
      <c r="Q241" s="67" t="n">
        <f aca="false">Q240*Inputs!$D$26*(1+Inputs!$D$21)^(Q$225-1)*1</f>
        <v>14300</v>
      </c>
      <c r="R241" s="67" t="n">
        <f aca="false">R240*Inputs!$D$26*(1+Inputs!$D$21)^(R$225-1)*1</f>
        <v>14300</v>
      </c>
      <c r="S241" s="67" t="n">
        <f aca="false">S240*Inputs!$D$26*(1+Inputs!$D$21)^(S$225-1)*1</f>
        <v>14300</v>
      </c>
      <c r="T241" s="67" t="n">
        <f aca="false">T240*Inputs!$D$26*(1+Inputs!$D$21)^(T$225-1)*1</f>
        <v>14300</v>
      </c>
      <c r="U241" s="67" t="n">
        <f aca="false">U240*Inputs!$D$26*(1+Inputs!$D$21)^(U$225-1)*1</f>
        <v>14300</v>
      </c>
      <c r="V241" s="67" t="n">
        <f aca="false">V240*Inputs!$D$26*(1+Inputs!$D$21)^(V$225-1)*1</f>
        <v>14300</v>
      </c>
      <c r="W241" s="67" t="n">
        <f aca="false">W240*Inputs!$D$26*(1+Inputs!$D$21)^(W$225-1)*1</f>
        <v>14300</v>
      </c>
      <c r="X241" s="67" t="n">
        <f aca="false">X240*Inputs!$D$26*(1+Inputs!$D$21)^(X$225-1)*1</f>
        <v>14300</v>
      </c>
      <c r="Y241" s="67" t="n">
        <f aca="false">Y240*Inputs!$D$26*(1+Inputs!$D$21)^(Y$225-1)*1</f>
        <v>14300</v>
      </c>
      <c r="Z241" s="67" t="n">
        <f aca="false">Z240*Inputs!$D$26*(1+Inputs!$D$21)^(Z$225-1)*1</f>
        <v>14300</v>
      </c>
      <c r="AA241" s="67" t="n">
        <f aca="false">AA240*Inputs!$D$26*(1+Inputs!$D$21)^(AA$225-1)*1</f>
        <v>18590</v>
      </c>
      <c r="AB241" s="67" t="n">
        <f aca="false">AB240*Inputs!$D$26*(1+Inputs!$D$21)^(AB$225-1)*1</f>
        <v>18590</v>
      </c>
      <c r="AC241" s="67" t="n">
        <f aca="false">AC240*Inputs!$D$26*(1+Inputs!$D$21)^(AC$225-1)*1</f>
        <v>18590</v>
      </c>
      <c r="AD241" s="67" t="n">
        <f aca="false">AD240*Inputs!$D$26*(1+Inputs!$D$21)^(AD$225-1)*1</f>
        <v>18590</v>
      </c>
      <c r="AE241" s="67" t="n">
        <f aca="false">AE240*Inputs!$D$26*(1+Inputs!$D$21)^(AE$225-1)*1</f>
        <v>18590</v>
      </c>
      <c r="AF241" s="67" t="n">
        <f aca="false">AF240*Inputs!$D$26*(1+Inputs!$D$21)^(AF$225-1)*1</f>
        <v>18590</v>
      </c>
      <c r="AG241" s="67" t="n">
        <f aca="false">AG240*Inputs!$D$26*(1+Inputs!$D$21)^(AG$225-1)*1</f>
        <v>18590</v>
      </c>
      <c r="AH241" s="67" t="n">
        <f aca="false">AH240*Inputs!$D$26*(1+Inputs!$D$21)^(AH$225-1)*1</f>
        <v>18590</v>
      </c>
      <c r="AI241" s="67" t="n">
        <f aca="false">AI240*Inputs!$D$26*(1+Inputs!$D$21)^(AI$225-1)*1</f>
        <v>18590</v>
      </c>
      <c r="AJ241" s="67" t="n">
        <f aca="false">AJ240*Inputs!$D$26*(1+Inputs!$D$21)^(AJ$225-1)*1</f>
        <v>18590</v>
      </c>
      <c r="AK241" s="67" t="n">
        <f aca="false">AK240*Inputs!$D$26*(1+Inputs!$D$21)^(AK$225-1)*1</f>
        <v>18590</v>
      </c>
      <c r="AL241" s="67" t="n">
        <f aca="false">AL240*Inputs!$D$26*(1+Inputs!$D$21)^(AL$225-1)*1</f>
        <v>18590</v>
      </c>
    </row>
    <row r="242" customFormat="false" ht="15" hidden="false" customHeight="false" outlineLevel="0" collapsed="false">
      <c r="A242" s="113" t="s">
        <v>44</v>
      </c>
      <c r="C242" s="68" t="n">
        <f aca="false">C239+C241</f>
        <v>164450</v>
      </c>
      <c r="D242" s="68" t="n">
        <f aca="false">D239+D241</f>
        <v>164450</v>
      </c>
      <c r="E242" s="68" t="n">
        <f aca="false">E239+E241</f>
        <v>164450</v>
      </c>
      <c r="F242" s="68" t="n">
        <f aca="false">F239+F241</f>
        <v>164450</v>
      </c>
      <c r="G242" s="68" t="n">
        <f aca="false">G239+G241</f>
        <v>164450</v>
      </c>
      <c r="H242" s="68" t="n">
        <f aca="false">H239+H241</f>
        <v>192140.75</v>
      </c>
      <c r="I242" s="68" t="n">
        <f aca="false">I239+I241</f>
        <v>192140.75</v>
      </c>
      <c r="J242" s="68" t="n">
        <f aca="false">J239+J241</f>
        <v>192140.75</v>
      </c>
      <c r="K242" s="68" t="n">
        <f aca="false">K239+K241</f>
        <v>164450</v>
      </c>
      <c r="L242" s="68" t="n">
        <f aca="false">L239+L241</f>
        <v>164450</v>
      </c>
      <c r="M242" s="68" t="n">
        <f aca="false">M239+M241</f>
        <v>164450</v>
      </c>
      <c r="N242" s="68" t="n">
        <f aca="false">N239+N241</f>
        <v>164450</v>
      </c>
      <c r="O242" s="68" t="n">
        <f aca="false">O239+O241</f>
        <v>202613.84</v>
      </c>
      <c r="P242" s="68" t="n">
        <f aca="false">P239+P241</f>
        <v>202613.84</v>
      </c>
      <c r="Q242" s="68" t="n">
        <f aca="false">Q239+Q241</f>
        <v>202613.84</v>
      </c>
      <c r="R242" s="68" t="n">
        <f aca="false">R239+R241</f>
        <v>202613.84</v>
      </c>
      <c r="S242" s="68" t="n">
        <f aca="false">S239+S241</f>
        <v>202613.84</v>
      </c>
      <c r="T242" s="68" t="n">
        <f aca="false">T239+T241</f>
        <v>225292.7456</v>
      </c>
      <c r="U242" s="68" t="n">
        <f aca="false">U239+U241</f>
        <v>225292.7456</v>
      </c>
      <c r="V242" s="68" t="n">
        <f aca="false">V239+V241</f>
        <v>225292.7456</v>
      </c>
      <c r="W242" s="68" t="n">
        <f aca="false">W239+W241</f>
        <v>202613.84</v>
      </c>
      <c r="X242" s="68" t="n">
        <f aca="false">X239+X241</f>
        <v>202613.84</v>
      </c>
      <c r="Y242" s="68" t="n">
        <f aca="false">Y239+Y241</f>
        <v>202613.84</v>
      </c>
      <c r="Z242" s="68" t="n">
        <f aca="false">Z239+Z241</f>
        <v>202613.84</v>
      </c>
      <c r="AA242" s="68" t="n">
        <f aca="false">AA239+AA241</f>
        <v>249688.744448</v>
      </c>
      <c r="AB242" s="68" t="n">
        <f aca="false">AB239+AB241</f>
        <v>249688.744448</v>
      </c>
      <c r="AC242" s="68" t="n">
        <f aca="false">AC239+AC241</f>
        <v>249688.744448</v>
      </c>
      <c r="AD242" s="68" t="n">
        <f aca="false">AD239+AD241</f>
        <v>249688.744448</v>
      </c>
      <c r="AE242" s="68" t="n">
        <f aca="false">AE239+AE241</f>
        <v>249688.744448</v>
      </c>
      <c r="AF242" s="68" t="n">
        <f aca="false">AF239+AF241</f>
        <v>264354.35007488</v>
      </c>
      <c r="AG242" s="68" t="n">
        <f aca="false">AG239+AG241</f>
        <v>264354.35007488</v>
      </c>
      <c r="AH242" s="68" t="n">
        <f aca="false">AH239+AH241</f>
        <v>264354.35007488</v>
      </c>
      <c r="AI242" s="68" t="n">
        <f aca="false">AI239+AI241</f>
        <v>249688.744448</v>
      </c>
      <c r="AJ242" s="68" t="n">
        <f aca="false">AJ239+AJ241</f>
        <v>249688.744448</v>
      </c>
      <c r="AK242" s="68" t="n">
        <f aca="false">AK239+AK241</f>
        <v>249688.744448</v>
      </c>
      <c r="AL242" s="68" t="n">
        <f aca="false">AL239+AL241</f>
        <v>249688.744448</v>
      </c>
    </row>
    <row r="244" customFormat="false" ht="15.75" hidden="false" customHeight="true" outlineLevel="0" collapsed="false">
      <c r="A244" s="7" t="s">
        <v>75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6" t="s">
        <v>383</v>
      </c>
      <c r="C245" s="67" t="n">
        <f aca="false">C326</f>
        <v>-41591.6666666667</v>
      </c>
      <c r="D245" s="67" t="n">
        <f aca="false">D326</f>
        <v>-41591.6666666667</v>
      </c>
      <c r="E245" s="67" t="n">
        <f aca="false">E326</f>
        <v>-41591.6666666667</v>
      </c>
      <c r="F245" s="67" t="n">
        <f aca="false">F326</f>
        <v>-41591.6666666667</v>
      </c>
      <c r="G245" s="67" t="n">
        <f aca="false">G326</f>
        <v>-41591.6666666667</v>
      </c>
      <c r="H245" s="67" t="n">
        <f aca="false">H326</f>
        <v>-41591.6666666667</v>
      </c>
      <c r="I245" s="67" t="n">
        <f aca="false">I326</f>
        <v>-41591.6666666667</v>
      </c>
      <c r="J245" s="67" t="n">
        <f aca="false">J326</f>
        <v>-41591.6666666667</v>
      </c>
      <c r="K245" s="67" t="n">
        <f aca="false">K326</f>
        <v>-41591.6666666667</v>
      </c>
      <c r="L245" s="67" t="n">
        <f aca="false">L326</f>
        <v>-41591.6666666667</v>
      </c>
      <c r="M245" s="67" t="n">
        <f aca="false">M326</f>
        <v>-41591.6666666667</v>
      </c>
      <c r="N245" s="67" t="n">
        <f aca="false">N326</f>
        <v>-41591.6666666667</v>
      </c>
      <c r="O245" s="67" t="n">
        <f aca="false">O326</f>
        <v>-47980.1466666667</v>
      </c>
      <c r="P245" s="67" t="n">
        <f aca="false">P326</f>
        <v>-47980.1466666667</v>
      </c>
      <c r="Q245" s="67" t="n">
        <f aca="false">Q326</f>
        <v>-47980.1466666667</v>
      </c>
      <c r="R245" s="67" t="n">
        <f aca="false">R326</f>
        <v>-47980.1466666667</v>
      </c>
      <c r="S245" s="67" t="n">
        <f aca="false">S326</f>
        <v>-47980.1466666667</v>
      </c>
      <c r="T245" s="67" t="n">
        <f aca="false">T326</f>
        <v>-47980.1466666667</v>
      </c>
      <c r="U245" s="67" t="n">
        <f aca="false">U326</f>
        <v>-47980.1466666667</v>
      </c>
      <c r="V245" s="67" t="n">
        <f aca="false">V326</f>
        <v>-47980.1466666667</v>
      </c>
      <c r="W245" s="67" t="n">
        <f aca="false">W326</f>
        <v>-47980.1466666667</v>
      </c>
      <c r="X245" s="67" t="n">
        <f aca="false">X326</f>
        <v>-47980.1466666667</v>
      </c>
      <c r="Y245" s="67" t="n">
        <f aca="false">Y326</f>
        <v>-47980.1466666667</v>
      </c>
      <c r="Z245" s="67" t="n">
        <f aca="false">Z326</f>
        <v>-47980.1466666667</v>
      </c>
      <c r="AA245" s="67" t="n">
        <f aca="false">AA326</f>
        <v>-55349.8971946667</v>
      </c>
      <c r="AB245" s="67" t="n">
        <f aca="false">AB326</f>
        <v>-55349.8971946667</v>
      </c>
      <c r="AC245" s="67" t="n">
        <f aca="false">AC326</f>
        <v>-55349.8971946667</v>
      </c>
      <c r="AD245" s="67" t="n">
        <f aca="false">AD326</f>
        <v>-55349.8971946667</v>
      </c>
      <c r="AE245" s="67" t="n">
        <f aca="false">AE326</f>
        <v>-55349.8971946667</v>
      </c>
      <c r="AF245" s="67" t="n">
        <f aca="false">AF326</f>
        <v>-55349.8971946667</v>
      </c>
      <c r="AG245" s="67" t="n">
        <f aca="false">AG326</f>
        <v>-55349.8971946667</v>
      </c>
      <c r="AH245" s="67" t="n">
        <f aca="false">AH326</f>
        <v>-55349.8971946667</v>
      </c>
      <c r="AI245" s="67" t="n">
        <f aca="false">AI326</f>
        <v>-55349.8971946667</v>
      </c>
      <c r="AJ245" s="67" t="n">
        <f aca="false">AJ326</f>
        <v>-55349.8971946667</v>
      </c>
      <c r="AK245" s="67" t="n">
        <f aca="false">AK326</f>
        <v>-55349.8971946667</v>
      </c>
      <c r="AL245" s="67" t="n">
        <f aca="false">AL326</f>
        <v>-55349.8971946667</v>
      </c>
    </row>
    <row r="246" customFormat="false" ht="15" hidden="false" customHeight="false" outlineLevel="0" collapsed="false">
      <c r="A246" s="6" t="s">
        <v>384</v>
      </c>
      <c r="C246" s="67" t="n">
        <f aca="false">-C239*Inputs!$D$30</f>
        <v>-36828</v>
      </c>
      <c r="D246" s="67" t="n">
        <f aca="false">-D239*Inputs!$D$30</f>
        <v>-36828</v>
      </c>
      <c r="E246" s="67" t="n">
        <f aca="false">-E239*Inputs!$D$30</f>
        <v>-36828</v>
      </c>
      <c r="F246" s="67" t="n">
        <f aca="false">-F239*Inputs!$D$30</f>
        <v>-36828</v>
      </c>
      <c r="G246" s="67" t="n">
        <f aca="false">-G239*Inputs!$D$30</f>
        <v>-36828</v>
      </c>
      <c r="H246" s="67" t="n">
        <f aca="false">-H239*Inputs!$D$30</f>
        <v>-43473.78</v>
      </c>
      <c r="I246" s="67" t="n">
        <f aca="false">-I239*Inputs!$D$30</f>
        <v>-43473.78</v>
      </c>
      <c r="J246" s="67" t="n">
        <f aca="false">-J239*Inputs!$D$30</f>
        <v>-43473.78</v>
      </c>
      <c r="K246" s="67" t="n">
        <f aca="false">-K239*Inputs!$D$30</f>
        <v>-36828</v>
      </c>
      <c r="L246" s="67" t="n">
        <f aca="false">-L239*Inputs!$D$30</f>
        <v>-36828</v>
      </c>
      <c r="M246" s="67" t="n">
        <f aca="false">-M239*Inputs!$D$30</f>
        <v>-36828</v>
      </c>
      <c r="N246" s="67" t="n">
        <f aca="false">-N239*Inputs!$D$30</f>
        <v>-36828</v>
      </c>
      <c r="O246" s="67" t="n">
        <f aca="false">-O239*Inputs!$D$30</f>
        <v>-45195.3216</v>
      </c>
      <c r="P246" s="67" t="n">
        <f aca="false">-P239*Inputs!$D$30</f>
        <v>-45195.3216</v>
      </c>
      <c r="Q246" s="67" t="n">
        <f aca="false">-Q239*Inputs!$D$30</f>
        <v>-45195.3216</v>
      </c>
      <c r="R246" s="67" t="n">
        <f aca="false">-R239*Inputs!$D$30</f>
        <v>-45195.3216</v>
      </c>
      <c r="S246" s="67" t="n">
        <f aca="false">-S239*Inputs!$D$30</f>
        <v>-45195.3216</v>
      </c>
      <c r="T246" s="67" t="n">
        <f aca="false">-T239*Inputs!$D$30</f>
        <v>-50638.258944</v>
      </c>
      <c r="U246" s="67" t="n">
        <f aca="false">-U239*Inputs!$D$30</f>
        <v>-50638.258944</v>
      </c>
      <c r="V246" s="67" t="n">
        <f aca="false">-V239*Inputs!$D$30</f>
        <v>-50638.258944</v>
      </c>
      <c r="W246" s="67" t="n">
        <f aca="false">-W239*Inputs!$D$30</f>
        <v>-45195.3216</v>
      </c>
      <c r="X246" s="67" t="n">
        <f aca="false">-X239*Inputs!$D$30</f>
        <v>-45195.3216</v>
      </c>
      <c r="Y246" s="67" t="n">
        <f aca="false">-Y239*Inputs!$D$30</f>
        <v>-45195.3216</v>
      </c>
      <c r="Z246" s="67" t="n">
        <f aca="false">-Z239*Inputs!$D$30</f>
        <v>-45195.3216</v>
      </c>
      <c r="AA246" s="67" t="n">
        <f aca="false">-AA239*Inputs!$D$30</f>
        <v>-55463.69866752</v>
      </c>
      <c r="AB246" s="67" t="n">
        <f aca="false">-AB239*Inputs!$D$30</f>
        <v>-55463.69866752</v>
      </c>
      <c r="AC246" s="67" t="n">
        <f aca="false">-AC239*Inputs!$D$30</f>
        <v>-55463.69866752</v>
      </c>
      <c r="AD246" s="67" t="n">
        <f aca="false">-AD239*Inputs!$D$30</f>
        <v>-55463.69866752</v>
      </c>
      <c r="AE246" s="67" t="n">
        <f aca="false">-AE239*Inputs!$D$30</f>
        <v>-55463.69866752</v>
      </c>
      <c r="AF246" s="67" t="n">
        <f aca="false">-AF239*Inputs!$D$30</f>
        <v>-58983.4440179712</v>
      </c>
      <c r="AG246" s="67" t="n">
        <f aca="false">-AG239*Inputs!$D$30</f>
        <v>-58983.4440179712</v>
      </c>
      <c r="AH246" s="67" t="n">
        <f aca="false">-AH239*Inputs!$D$30</f>
        <v>-58983.4440179712</v>
      </c>
      <c r="AI246" s="67" t="n">
        <f aca="false">-AI239*Inputs!$D$30</f>
        <v>-55463.69866752</v>
      </c>
      <c r="AJ246" s="67" t="n">
        <f aca="false">-AJ239*Inputs!$D$30</f>
        <v>-55463.69866752</v>
      </c>
      <c r="AK246" s="67" t="n">
        <f aca="false">-AK239*Inputs!$D$30</f>
        <v>-55463.69866752</v>
      </c>
      <c r="AL246" s="67" t="n">
        <f aca="false">-AL239*Inputs!$D$30</f>
        <v>-55463.69866752</v>
      </c>
    </row>
    <row r="247" customFormat="false" ht="15" hidden="false" customHeight="false" outlineLevel="0" collapsed="false">
      <c r="A247" s="6" t="s">
        <v>385</v>
      </c>
      <c r="C247" s="67" t="n">
        <f aca="false">-C228*Inputs!$D$31*1</f>
        <v>-8750</v>
      </c>
      <c r="D247" s="67" t="n">
        <f aca="false">-D228*Inputs!$D$31*1</f>
        <v>-8750</v>
      </c>
      <c r="E247" s="67" t="n">
        <f aca="false">-E228*Inputs!$D$31*1</f>
        <v>-8750</v>
      </c>
      <c r="F247" s="67" t="n">
        <f aca="false">-F228*Inputs!$D$31*1</f>
        <v>-8750</v>
      </c>
      <c r="G247" s="67" t="n">
        <f aca="false">-G228*Inputs!$D$31*1</f>
        <v>-8750</v>
      </c>
      <c r="H247" s="67" t="n">
        <f aca="false">-H228*Inputs!$D$31*1</f>
        <v>-8750</v>
      </c>
      <c r="I247" s="67" t="n">
        <f aca="false">-I228*Inputs!$D$31*1</f>
        <v>-8750</v>
      </c>
      <c r="J247" s="67" t="n">
        <f aca="false">-J228*Inputs!$D$31*1</f>
        <v>-8750</v>
      </c>
      <c r="K247" s="67" t="n">
        <f aca="false">-K228*Inputs!$D$31*1</f>
        <v>-8750</v>
      </c>
      <c r="L247" s="67" t="n">
        <f aca="false">-L228*Inputs!$D$31*1</f>
        <v>-8750</v>
      </c>
      <c r="M247" s="67" t="n">
        <f aca="false">-M228*Inputs!$D$31*1</f>
        <v>-8750</v>
      </c>
      <c r="N247" s="67" t="n">
        <f aca="false">-N228*Inputs!$D$31*1</f>
        <v>-8750</v>
      </c>
      <c r="O247" s="67" t="n">
        <f aca="false">-O228*Inputs!$D$31*1</f>
        <v>-9800</v>
      </c>
      <c r="P247" s="67" t="n">
        <f aca="false">-P228*Inputs!$D$31*1</f>
        <v>-9800</v>
      </c>
      <c r="Q247" s="67" t="n">
        <f aca="false">-Q228*Inputs!$D$31*1</f>
        <v>-9800</v>
      </c>
      <c r="R247" s="67" t="n">
        <f aca="false">-R228*Inputs!$D$31*1</f>
        <v>-9800</v>
      </c>
      <c r="S247" s="67" t="n">
        <f aca="false">-S228*Inputs!$D$31*1</f>
        <v>-9800</v>
      </c>
      <c r="T247" s="67" t="n">
        <f aca="false">-T228*Inputs!$D$31*1</f>
        <v>-9800</v>
      </c>
      <c r="U247" s="67" t="n">
        <f aca="false">-U228*Inputs!$D$31*1</f>
        <v>-9800</v>
      </c>
      <c r="V247" s="67" t="n">
        <f aca="false">-V228*Inputs!$D$31*1</f>
        <v>-9800</v>
      </c>
      <c r="W247" s="67" t="n">
        <f aca="false">-W228*Inputs!$D$31*1</f>
        <v>-9800</v>
      </c>
      <c r="X247" s="67" t="n">
        <f aca="false">-X228*Inputs!$D$31*1</f>
        <v>-9800</v>
      </c>
      <c r="Y247" s="67" t="n">
        <f aca="false">-Y228*Inputs!$D$31*1</f>
        <v>-9800</v>
      </c>
      <c r="Z247" s="67" t="n">
        <f aca="false">-Z228*Inputs!$D$31*1</f>
        <v>-9800</v>
      </c>
      <c r="AA247" s="67" t="n">
        <f aca="false">-AA228*Inputs!$D$31*1</f>
        <v>-10976</v>
      </c>
      <c r="AB247" s="67" t="n">
        <f aca="false">-AB228*Inputs!$D$31*1</f>
        <v>-10976</v>
      </c>
      <c r="AC247" s="67" t="n">
        <f aca="false">-AC228*Inputs!$D$31*1</f>
        <v>-10976</v>
      </c>
      <c r="AD247" s="67" t="n">
        <f aca="false">-AD228*Inputs!$D$31*1</f>
        <v>-10976</v>
      </c>
      <c r="AE247" s="67" t="n">
        <f aca="false">-AE228*Inputs!$D$31*1</f>
        <v>-10976</v>
      </c>
      <c r="AF247" s="67" t="n">
        <f aca="false">-AF228*Inputs!$D$31*1</f>
        <v>-10976</v>
      </c>
      <c r="AG247" s="67" t="n">
        <f aca="false">-AG228*Inputs!$D$31*1</f>
        <v>-10976</v>
      </c>
      <c r="AH247" s="67" t="n">
        <f aca="false">-AH228*Inputs!$D$31*1</f>
        <v>-10976</v>
      </c>
      <c r="AI247" s="67" t="n">
        <f aca="false">-AI228*Inputs!$D$31*1</f>
        <v>-10976</v>
      </c>
      <c r="AJ247" s="67" t="n">
        <f aca="false">-AJ228*Inputs!$D$31*1</f>
        <v>-10976</v>
      </c>
      <c r="AK247" s="67" t="n">
        <f aca="false">-AK228*Inputs!$D$31*1</f>
        <v>-10976</v>
      </c>
      <c r="AL247" s="67" t="n">
        <f aca="false">-AL228*Inputs!$D$31*1</f>
        <v>-10976</v>
      </c>
    </row>
    <row r="248" customFormat="false" ht="15" hidden="false" customHeight="false" outlineLevel="0" collapsed="false">
      <c r="A248" s="6" t="s">
        <v>386</v>
      </c>
      <c r="C248" s="67" t="n">
        <f aca="false">-C241*Inputs!$D$27</f>
        <v>-4180</v>
      </c>
      <c r="D248" s="67" t="n">
        <f aca="false">-D241*Inputs!$D$27</f>
        <v>-4180</v>
      </c>
      <c r="E248" s="67" t="n">
        <f aca="false">-E241*Inputs!$D$27</f>
        <v>-4180</v>
      </c>
      <c r="F248" s="67" t="n">
        <f aca="false">-F241*Inputs!$D$27</f>
        <v>-4180</v>
      </c>
      <c r="G248" s="67" t="n">
        <f aca="false">-G241*Inputs!$D$27</f>
        <v>-4180</v>
      </c>
      <c r="H248" s="67" t="n">
        <f aca="false">-H241*Inputs!$D$27</f>
        <v>-4180</v>
      </c>
      <c r="I248" s="67" t="n">
        <f aca="false">-I241*Inputs!$D$27</f>
        <v>-4180</v>
      </c>
      <c r="J248" s="67" t="n">
        <f aca="false">-J241*Inputs!$D$27</f>
        <v>-4180</v>
      </c>
      <c r="K248" s="67" t="n">
        <f aca="false">-K241*Inputs!$D$27</f>
        <v>-4180</v>
      </c>
      <c r="L248" s="67" t="n">
        <f aca="false">-L241*Inputs!$D$27</f>
        <v>-4180</v>
      </c>
      <c r="M248" s="67" t="n">
        <f aca="false">-M241*Inputs!$D$27</f>
        <v>-4180</v>
      </c>
      <c r="N248" s="67" t="n">
        <f aca="false">-N241*Inputs!$D$27</f>
        <v>-4180</v>
      </c>
      <c r="O248" s="67" t="n">
        <f aca="false">-O241*Inputs!$D$27</f>
        <v>-5434</v>
      </c>
      <c r="P248" s="67" t="n">
        <f aca="false">-P241*Inputs!$D$27</f>
        <v>-5434</v>
      </c>
      <c r="Q248" s="67" t="n">
        <f aca="false">-Q241*Inputs!$D$27</f>
        <v>-5434</v>
      </c>
      <c r="R248" s="67" t="n">
        <f aca="false">-R241*Inputs!$D$27</f>
        <v>-5434</v>
      </c>
      <c r="S248" s="67" t="n">
        <f aca="false">-S241*Inputs!$D$27</f>
        <v>-5434</v>
      </c>
      <c r="T248" s="67" t="n">
        <f aca="false">-T241*Inputs!$D$27</f>
        <v>-5434</v>
      </c>
      <c r="U248" s="67" t="n">
        <f aca="false">-U241*Inputs!$D$27</f>
        <v>-5434</v>
      </c>
      <c r="V248" s="67" t="n">
        <f aca="false">-V241*Inputs!$D$27</f>
        <v>-5434</v>
      </c>
      <c r="W248" s="67" t="n">
        <f aca="false">-W241*Inputs!$D$27</f>
        <v>-5434</v>
      </c>
      <c r="X248" s="67" t="n">
        <f aca="false">-X241*Inputs!$D$27</f>
        <v>-5434</v>
      </c>
      <c r="Y248" s="67" t="n">
        <f aca="false">-Y241*Inputs!$D$27</f>
        <v>-5434</v>
      </c>
      <c r="Z248" s="67" t="n">
        <f aca="false">-Z241*Inputs!$D$27</f>
        <v>-5434</v>
      </c>
      <c r="AA248" s="67" t="n">
        <f aca="false">-AA241*Inputs!$D$27</f>
        <v>-7064.2</v>
      </c>
      <c r="AB248" s="67" t="n">
        <f aca="false">-AB241*Inputs!$D$27</f>
        <v>-7064.2</v>
      </c>
      <c r="AC248" s="67" t="n">
        <f aca="false">-AC241*Inputs!$D$27</f>
        <v>-7064.2</v>
      </c>
      <c r="AD248" s="67" t="n">
        <f aca="false">-AD241*Inputs!$D$27</f>
        <v>-7064.2</v>
      </c>
      <c r="AE248" s="67" t="n">
        <f aca="false">-AE241*Inputs!$D$27</f>
        <v>-7064.2</v>
      </c>
      <c r="AF248" s="67" t="n">
        <f aca="false">-AF241*Inputs!$D$27</f>
        <v>-7064.2</v>
      </c>
      <c r="AG248" s="67" t="n">
        <f aca="false">-AG241*Inputs!$D$27</f>
        <v>-7064.2</v>
      </c>
      <c r="AH248" s="67" t="n">
        <f aca="false">-AH241*Inputs!$D$27</f>
        <v>-7064.2</v>
      </c>
      <c r="AI248" s="67" t="n">
        <f aca="false">-AI241*Inputs!$D$27</f>
        <v>-7064.2</v>
      </c>
      <c r="AJ248" s="67" t="n">
        <f aca="false">-AJ241*Inputs!$D$27</f>
        <v>-7064.2</v>
      </c>
      <c r="AK248" s="67" t="n">
        <f aca="false">-AK241*Inputs!$D$27</f>
        <v>-7064.2</v>
      </c>
      <c r="AL248" s="67" t="n">
        <f aca="false">-AL241*Inputs!$D$27</f>
        <v>-7064.2</v>
      </c>
    </row>
    <row r="249" customFormat="false" ht="15" hidden="false" customHeight="false" outlineLevel="0" collapsed="false">
      <c r="A249" s="4" t="s">
        <v>75</v>
      </c>
      <c r="C249" s="73" t="n">
        <f aca="false">C245+C246+C247+C248</f>
        <v>-91349.6666666667</v>
      </c>
      <c r="D249" s="73" t="n">
        <f aca="false">D245+D246+D247+D248</f>
        <v>-91349.6666666667</v>
      </c>
      <c r="E249" s="73" t="n">
        <f aca="false">E245+E246+E247+E248</f>
        <v>-91349.6666666667</v>
      </c>
      <c r="F249" s="73" t="n">
        <f aca="false">F245+F246+F247+F248</f>
        <v>-91349.6666666667</v>
      </c>
      <c r="G249" s="73" t="n">
        <f aca="false">G245+G246+G247+G248</f>
        <v>-91349.6666666667</v>
      </c>
      <c r="H249" s="73" t="n">
        <f aca="false">H245+H246+H247+H248</f>
        <v>-97995.4466666667</v>
      </c>
      <c r="I249" s="73" t="n">
        <f aca="false">I245+I246+I247+I248</f>
        <v>-97995.4466666667</v>
      </c>
      <c r="J249" s="73" t="n">
        <f aca="false">J245+J246+J247+J248</f>
        <v>-97995.4466666667</v>
      </c>
      <c r="K249" s="73" t="n">
        <f aca="false">K245+K246+K247+K248</f>
        <v>-91349.6666666667</v>
      </c>
      <c r="L249" s="73" t="n">
        <f aca="false">L245+L246+L247+L248</f>
        <v>-91349.6666666667</v>
      </c>
      <c r="M249" s="73" t="n">
        <f aca="false">M245+M246+M247+M248</f>
        <v>-91349.6666666667</v>
      </c>
      <c r="N249" s="73" t="n">
        <f aca="false">N245+N246+N247+N248</f>
        <v>-91349.6666666667</v>
      </c>
      <c r="O249" s="73" t="n">
        <f aca="false">O245+O246+O247+O248</f>
        <v>-108409.468266667</v>
      </c>
      <c r="P249" s="73" t="n">
        <f aca="false">P245+P246+P247+P248</f>
        <v>-108409.468266667</v>
      </c>
      <c r="Q249" s="73" t="n">
        <f aca="false">Q245+Q246+Q247+Q248</f>
        <v>-108409.468266667</v>
      </c>
      <c r="R249" s="73" t="n">
        <f aca="false">R245+R246+R247+R248</f>
        <v>-108409.468266667</v>
      </c>
      <c r="S249" s="73" t="n">
        <f aca="false">S245+S246+S247+S248</f>
        <v>-108409.468266667</v>
      </c>
      <c r="T249" s="73" t="n">
        <f aca="false">T245+T246+T247+T248</f>
        <v>-113852.405610667</v>
      </c>
      <c r="U249" s="73" t="n">
        <f aca="false">U245+U246+U247+U248</f>
        <v>-113852.405610667</v>
      </c>
      <c r="V249" s="73" t="n">
        <f aca="false">V245+V246+V247+V248</f>
        <v>-113852.405610667</v>
      </c>
      <c r="W249" s="73" t="n">
        <f aca="false">W245+W246+W247+W248</f>
        <v>-108409.468266667</v>
      </c>
      <c r="X249" s="73" t="n">
        <f aca="false">X245+X246+X247+X248</f>
        <v>-108409.468266667</v>
      </c>
      <c r="Y249" s="73" t="n">
        <f aca="false">Y245+Y246+Y247+Y248</f>
        <v>-108409.468266667</v>
      </c>
      <c r="Z249" s="73" t="n">
        <f aca="false">Z245+Z246+Z247+Z248</f>
        <v>-108409.468266667</v>
      </c>
      <c r="AA249" s="73" t="n">
        <f aca="false">AA245+AA246+AA247+AA248</f>
        <v>-128853.795862187</v>
      </c>
      <c r="AB249" s="73" t="n">
        <f aca="false">AB245+AB246+AB247+AB248</f>
        <v>-128853.795862187</v>
      </c>
      <c r="AC249" s="73" t="n">
        <f aca="false">AC245+AC246+AC247+AC248</f>
        <v>-128853.795862187</v>
      </c>
      <c r="AD249" s="73" t="n">
        <f aca="false">AD245+AD246+AD247+AD248</f>
        <v>-128853.795862187</v>
      </c>
      <c r="AE249" s="73" t="n">
        <f aca="false">AE245+AE246+AE247+AE248</f>
        <v>-128853.795862187</v>
      </c>
      <c r="AF249" s="73" t="n">
        <f aca="false">AF245+AF246+AF247+AF248</f>
        <v>-132373.541212638</v>
      </c>
      <c r="AG249" s="73" t="n">
        <f aca="false">AG245+AG246+AG247+AG248</f>
        <v>-132373.541212638</v>
      </c>
      <c r="AH249" s="73" t="n">
        <f aca="false">AH245+AH246+AH247+AH248</f>
        <v>-132373.541212638</v>
      </c>
      <c r="AI249" s="73" t="n">
        <f aca="false">AI245+AI246+AI247+AI248</f>
        <v>-128853.795862187</v>
      </c>
      <c r="AJ249" s="73" t="n">
        <f aca="false">AJ245+AJ246+AJ247+AJ248</f>
        <v>-128853.795862187</v>
      </c>
      <c r="AK249" s="73" t="n">
        <f aca="false">AK245+AK246+AK247+AK248</f>
        <v>-128853.795862187</v>
      </c>
      <c r="AL249" s="73" t="n">
        <f aca="false">AL245+AL246+AL247+AL248</f>
        <v>-128853.795862187</v>
      </c>
    </row>
    <row r="250" customFormat="false" ht="15" hidden="false" customHeight="false" outlineLevel="0" collapsed="false">
      <c r="A250" s="113" t="s">
        <v>45</v>
      </c>
      <c r="C250" s="68" t="n">
        <f aca="false">C242+C249</f>
        <v>73100.3333333333</v>
      </c>
      <c r="D250" s="68" t="n">
        <f aca="false">D242+D249</f>
        <v>73100.3333333333</v>
      </c>
      <c r="E250" s="68" t="n">
        <f aca="false">E242+E249</f>
        <v>73100.3333333333</v>
      </c>
      <c r="F250" s="68" t="n">
        <f aca="false">F242+F249</f>
        <v>73100.3333333333</v>
      </c>
      <c r="G250" s="68" t="n">
        <f aca="false">G242+G249</f>
        <v>73100.3333333333</v>
      </c>
      <c r="H250" s="68" t="n">
        <f aca="false">H242+H249</f>
        <v>94145.3033333333</v>
      </c>
      <c r="I250" s="68" t="n">
        <f aca="false">I242+I249</f>
        <v>94145.3033333333</v>
      </c>
      <c r="J250" s="68" t="n">
        <f aca="false">J242+J249</f>
        <v>94145.3033333333</v>
      </c>
      <c r="K250" s="68" t="n">
        <f aca="false">K242+K249</f>
        <v>73100.3333333333</v>
      </c>
      <c r="L250" s="68" t="n">
        <f aca="false">L242+L249</f>
        <v>73100.3333333333</v>
      </c>
      <c r="M250" s="68" t="n">
        <f aca="false">M242+M249</f>
        <v>73100.3333333333</v>
      </c>
      <c r="N250" s="68" t="n">
        <f aca="false">N242+N249</f>
        <v>73100.3333333333</v>
      </c>
      <c r="O250" s="68" t="n">
        <f aca="false">O242+O249</f>
        <v>94204.3717333333</v>
      </c>
      <c r="P250" s="68" t="n">
        <f aca="false">P242+P249</f>
        <v>94204.3717333333</v>
      </c>
      <c r="Q250" s="68" t="n">
        <f aca="false">Q242+Q249</f>
        <v>94204.3717333333</v>
      </c>
      <c r="R250" s="68" t="n">
        <f aca="false">R242+R249</f>
        <v>94204.3717333333</v>
      </c>
      <c r="S250" s="68" t="n">
        <f aca="false">S242+S249</f>
        <v>94204.3717333333</v>
      </c>
      <c r="T250" s="68" t="n">
        <f aca="false">T242+T249</f>
        <v>111440.339989333</v>
      </c>
      <c r="U250" s="68" t="n">
        <f aca="false">U242+U249</f>
        <v>111440.339989333</v>
      </c>
      <c r="V250" s="68" t="n">
        <f aca="false">V242+V249</f>
        <v>111440.339989333</v>
      </c>
      <c r="W250" s="68" t="n">
        <f aca="false">W242+W249</f>
        <v>94204.3717333333</v>
      </c>
      <c r="X250" s="68" t="n">
        <f aca="false">X242+X249</f>
        <v>94204.3717333333</v>
      </c>
      <c r="Y250" s="68" t="n">
        <f aca="false">Y242+Y249</f>
        <v>94204.3717333333</v>
      </c>
      <c r="Z250" s="68" t="n">
        <f aca="false">Z242+Z249</f>
        <v>94204.3717333333</v>
      </c>
      <c r="AA250" s="68" t="n">
        <f aca="false">AA242+AA249</f>
        <v>120834.948585813</v>
      </c>
      <c r="AB250" s="68" t="n">
        <f aca="false">AB242+AB249</f>
        <v>120834.948585813</v>
      </c>
      <c r="AC250" s="68" t="n">
        <f aca="false">AC242+AC249</f>
        <v>120834.948585813</v>
      </c>
      <c r="AD250" s="68" t="n">
        <f aca="false">AD242+AD249</f>
        <v>120834.948585813</v>
      </c>
      <c r="AE250" s="68" t="n">
        <f aca="false">AE242+AE249</f>
        <v>120834.948585813</v>
      </c>
      <c r="AF250" s="68" t="n">
        <f aca="false">AF242+AF249</f>
        <v>131980.808862242</v>
      </c>
      <c r="AG250" s="68" t="n">
        <f aca="false">AG242+AG249</f>
        <v>131980.808862242</v>
      </c>
      <c r="AH250" s="68" t="n">
        <f aca="false">AH242+AH249</f>
        <v>131980.808862242</v>
      </c>
      <c r="AI250" s="68" t="n">
        <f aca="false">AI242+AI249</f>
        <v>120834.948585813</v>
      </c>
      <c r="AJ250" s="68" t="n">
        <f aca="false">AJ242+AJ249</f>
        <v>120834.948585813</v>
      </c>
      <c r="AK250" s="68" t="n">
        <f aca="false">AK242+AK249</f>
        <v>120834.948585813</v>
      </c>
      <c r="AL250" s="68" t="n">
        <f aca="false">AL242+AL249</f>
        <v>120834.948585813</v>
      </c>
    </row>
    <row r="252" customFormat="false" ht="15.75" hidden="false" customHeight="true" outlineLevel="0" collapsed="false">
      <c r="A252" s="7" t="s">
        <v>47</v>
      </c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</row>
    <row r="253" customFormat="false" ht="15" hidden="false" customHeight="false" outlineLevel="0" collapsed="false">
      <c r="A253" s="6" t="s">
        <v>321</v>
      </c>
      <c r="C253" s="67" t="n">
        <f aca="false">C328-C326</f>
        <v>-8625</v>
      </c>
      <c r="D253" s="67" t="n">
        <f aca="false">D328-D326</f>
        <v>-8625</v>
      </c>
      <c r="E253" s="67" t="n">
        <f aca="false">E328-E326</f>
        <v>-8625</v>
      </c>
      <c r="F253" s="67" t="n">
        <f aca="false">F328-F326</f>
        <v>-8625</v>
      </c>
      <c r="G253" s="67" t="n">
        <f aca="false">G328-G326</f>
        <v>-8625</v>
      </c>
      <c r="H253" s="67" t="n">
        <f aca="false">H328-H326</f>
        <v>-8625</v>
      </c>
      <c r="I253" s="67" t="n">
        <f aca="false">I328-I326</f>
        <v>-8625</v>
      </c>
      <c r="J253" s="67" t="n">
        <f aca="false">J328-J326</f>
        <v>-8625</v>
      </c>
      <c r="K253" s="67" t="n">
        <f aca="false">K328-K326</f>
        <v>-8625</v>
      </c>
      <c r="L253" s="67" t="n">
        <f aca="false">L328-L326</f>
        <v>-8625</v>
      </c>
      <c r="M253" s="67" t="n">
        <f aca="false">M328-M326</f>
        <v>-8625</v>
      </c>
      <c r="N253" s="67" t="n">
        <f aca="false">N328-N326</f>
        <v>-8625</v>
      </c>
      <c r="O253" s="67" t="n">
        <f aca="false">O328-O326</f>
        <v>-9772.125</v>
      </c>
      <c r="P253" s="67" t="n">
        <f aca="false">P328-P326</f>
        <v>-9772.125</v>
      </c>
      <c r="Q253" s="67" t="n">
        <f aca="false">Q328-Q326</f>
        <v>-9772.125</v>
      </c>
      <c r="R253" s="67" t="n">
        <f aca="false">R328-R326</f>
        <v>-9772.125</v>
      </c>
      <c r="S253" s="67" t="n">
        <f aca="false">S328-S326</f>
        <v>-9772.125</v>
      </c>
      <c r="T253" s="67" t="n">
        <f aca="false">T328-T326</f>
        <v>-9772.125</v>
      </c>
      <c r="U253" s="67" t="n">
        <f aca="false">U328-U326</f>
        <v>-9772.125</v>
      </c>
      <c r="V253" s="67" t="n">
        <f aca="false">V328-V326</f>
        <v>-9772.125</v>
      </c>
      <c r="W253" s="67" t="n">
        <f aca="false">W328-W326</f>
        <v>-9772.125</v>
      </c>
      <c r="X253" s="67" t="n">
        <f aca="false">X328-X326</f>
        <v>-9772.125</v>
      </c>
      <c r="Y253" s="67" t="n">
        <f aca="false">Y328-Y326</f>
        <v>-9772.125</v>
      </c>
      <c r="Z253" s="67" t="n">
        <f aca="false">Z328-Z326</f>
        <v>-9772.125</v>
      </c>
      <c r="AA253" s="67" t="n">
        <f aca="false">AA328-AA326</f>
        <v>-11071.817625</v>
      </c>
      <c r="AB253" s="67" t="n">
        <f aca="false">AB328-AB326</f>
        <v>-11071.817625</v>
      </c>
      <c r="AC253" s="67" t="n">
        <f aca="false">AC328-AC326</f>
        <v>-11071.817625</v>
      </c>
      <c r="AD253" s="67" t="n">
        <f aca="false">AD328-AD326</f>
        <v>-11071.817625</v>
      </c>
      <c r="AE253" s="67" t="n">
        <f aca="false">AE328-AE326</f>
        <v>-11071.817625</v>
      </c>
      <c r="AF253" s="67" t="n">
        <f aca="false">AF328-AF326</f>
        <v>-11071.817625</v>
      </c>
      <c r="AG253" s="67" t="n">
        <f aca="false">AG328-AG326</f>
        <v>-11071.817625</v>
      </c>
      <c r="AH253" s="67" t="n">
        <f aca="false">AH328-AH326</f>
        <v>-11071.817625</v>
      </c>
      <c r="AI253" s="67" t="n">
        <f aca="false">AI328-AI326</f>
        <v>-11071.817625</v>
      </c>
      <c r="AJ253" s="67" t="n">
        <f aca="false">AJ328-AJ326</f>
        <v>-11071.817625</v>
      </c>
      <c r="AK253" s="67" t="n">
        <f aca="false">AK328-AK326</f>
        <v>-11071.817625</v>
      </c>
      <c r="AL253" s="67" t="n">
        <f aca="false">AL328-AL326</f>
        <v>-11071.817625</v>
      </c>
    </row>
    <row r="254" customFormat="false" ht="15" hidden="false" customHeight="false" outlineLevel="0" collapsed="false">
      <c r="A254" s="6" t="s">
        <v>322</v>
      </c>
      <c r="C254" s="67" t="n">
        <f aca="false">-Inputs!$D$11*(1+Inputs!$D$12)^(C$225-1)*1</f>
        <v>-9000</v>
      </c>
      <c r="D254" s="67" t="n">
        <f aca="false">-Inputs!$D$11*(1+Inputs!$D$12)^(D$225-1)*1</f>
        <v>-9000</v>
      </c>
      <c r="E254" s="67" t="n">
        <f aca="false">-Inputs!$D$11*(1+Inputs!$D$12)^(E$225-1)*1</f>
        <v>-9000</v>
      </c>
      <c r="F254" s="67" t="n">
        <f aca="false">-Inputs!$D$11*(1+Inputs!$D$12)^(F$225-1)*1</f>
        <v>-9000</v>
      </c>
      <c r="G254" s="67" t="n">
        <f aca="false">-Inputs!$D$11*(1+Inputs!$D$12)^(G$225-1)*1</f>
        <v>-9000</v>
      </c>
      <c r="H254" s="67" t="n">
        <f aca="false">-Inputs!$D$11*(1+Inputs!$D$12)^(H$225-1)*1</f>
        <v>-9000</v>
      </c>
      <c r="I254" s="67" t="n">
        <f aca="false">-Inputs!$D$11*(1+Inputs!$D$12)^(I$225-1)*1</f>
        <v>-9000</v>
      </c>
      <c r="J254" s="67" t="n">
        <f aca="false">-Inputs!$D$11*(1+Inputs!$D$12)^(J$225-1)*1</f>
        <v>-9000</v>
      </c>
      <c r="K254" s="67" t="n">
        <f aca="false">-Inputs!$D$11*(1+Inputs!$D$12)^(K$225-1)*1</f>
        <v>-9000</v>
      </c>
      <c r="L254" s="67" t="n">
        <f aca="false">-Inputs!$D$11*(1+Inputs!$D$12)^(L$225-1)*1</f>
        <v>-9000</v>
      </c>
      <c r="M254" s="67" t="n">
        <f aca="false">-Inputs!$D$11*(1+Inputs!$D$12)^(M$225-1)*1</f>
        <v>-9000</v>
      </c>
      <c r="N254" s="67" t="n">
        <f aca="false">-Inputs!$D$11*(1+Inputs!$D$12)^(N$225-1)*1</f>
        <v>-9000</v>
      </c>
      <c r="O254" s="67" t="n">
        <f aca="false">-Inputs!$D$11*(1+Inputs!$D$12)^(O$225-1)*1</f>
        <v>-10620</v>
      </c>
      <c r="P254" s="67" t="n">
        <f aca="false">-Inputs!$D$11*(1+Inputs!$D$12)^(P$225-1)*1</f>
        <v>-10620</v>
      </c>
      <c r="Q254" s="67" t="n">
        <f aca="false">-Inputs!$D$11*(1+Inputs!$D$12)^(Q$225-1)*1</f>
        <v>-10620</v>
      </c>
      <c r="R254" s="67" t="n">
        <f aca="false">-Inputs!$D$11*(1+Inputs!$D$12)^(R$225-1)*1</f>
        <v>-10620</v>
      </c>
      <c r="S254" s="67" t="n">
        <f aca="false">-Inputs!$D$11*(1+Inputs!$D$12)^(S$225-1)*1</f>
        <v>-10620</v>
      </c>
      <c r="T254" s="67" t="n">
        <f aca="false">-Inputs!$D$11*(1+Inputs!$D$12)^(T$225-1)*1</f>
        <v>-10620</v>
      </c>
      <c r="U254" s="67" t="n">
        <f aca="false">-Inputs!$D$11*(1+Inputs!$D$12)^(U$225-1)*1</f>
        <v>-10620</v>
      </c>
      <c r="V254" s="67" t="n">
        <f aca="false">-Inputs!$D$11*(1+Inputs!$D$12)^(V$225-1)*1</f>
        <v>-10620</v>
      </c>
      <c r="W254" s="67" t="n">
        <f aca="false">-Inputs!$D$11*(1+Inputs!$D$12)^(W$225-1)*1</f>
        <v>-10620</v>
      </c>
      <c r="X254" s="67" t="n">
        <f aca="false">-Inputs!$D$11*(1+Inputs!$D$12)^(X$225-1)*1</f>
        <v>-10620</v>
      </c>
      <c r="Y254" s="67" t="n">
        <f aca="false">-Inputs!$D$11*(1+Inputs!$D$12)^(Y$225-1)*1</f>
        <v>-10620</v>
      </c>
      <c r="Z254" s="67" t="n">
        <f aca="false">-Inputs!$D$11*(1+Inputs!$D$12)^(Z$225-1)*1</f>
        <v>-10620</v>
      </c>
      <c r="AA254" s="67" t="n">
        <f aca="false">-Inputs!$D$11*(1+Inputs!$D$12)^(AA$225-1)*1</f>
        <v>-12531.6</v>
      </c>
      <c r="AB254" s="67" t="n">
        <f aca="false">-Inputs!$D$11*(1+Inputs!$D$12)^(AB$225-1)*1</f>
        <v>-12531.6</v>
      </c>
      <c r="AC254" s="67" t="n">
        <f aca="false">-Inputs!$D$11*(1+Inputs!$D$12)^(AC$225-1)*1</f>
        <v>-12531.6</v>
      </c>
      <c r="AD254" s="67" t="n">
        <f aca="false">-Inputs!$D$11*(1+Inputs!$D$12)^(AD$225-1)*1</f>
        <v>-12531.6</v>
      </c>
      <c r="AE254" s="67" t="n">
        <f aca="false">-Inputs!$D$11*(1+Inputs!$D$12)^(AE$225-1)*1</f>
        <v>-12531.6</v>
      </c>
      <c r="AF254" s="67" t="n">
        <f aca="false">-Inputs!$D$11*(1+Inputs!$D$12)^(AF$225-1)*1</f>
        <v>-12531.6</v>
      </c>
      <c r="AG254" s="67" t="n">
        <f aca="false">-Inputs!$D$11*(1+Inputs!$D$12)^(AG$225-1)*1</f>
        <v>-12531.6</v>
      </c>
      <c r="AH254" s="67" t="n">
        <f aca="false">-Inputs!$D$11*(1+Inputs!$D$12)^(AH$225-1)*1</f>
        <v>-12531.6</v>
      </c>
      <c r="AI254" s="67" t="n">
        <f aca="false">-Inputs!$D$11*(1+Inputs!$D$12)^(AI$225-1)*1</f>
        <v>-12531.6</v>
      </c>
      <c r="AJ254" s="67" t="n">
        <f aca="false">-Inputs!$D$11*(1+Inputs!$D$12)^(AJ$225-1)*1</f>
        <v>-12531.6</v>
      </c>
      <c r="AK254" s="67" t="n">
        <f aca="false">-Inputs!$D$11*(1+Inputs!$D$12)^(AK$225-1)*1</f>
        <v>-12531.6</v>
      </c>
      <c r="AL254" s="67" t="n">
        <f aca="false">-Inputs!$D$11*(1+Inputs!$D$12)^(AL$225-1)*1</f>
        <v>-12531.6</v>
      </c>
    </row>
    <row r="255" customFormat="false" ht="15" hidden="false" customHeight="false" outlineLevel="0" collapsed="false">
      <c r="A255" s="6" t="s">
        <v>323</v>
      </c>
      <c r="C255" s="67" t="n">
        <f aca="false">-C228*Inputs!$D$32*1</f>
        <v>-840</v>
      </c>
      <c r="D255" s="67" t="n">
        <f aca="false">-D228*Inputs!$D$32*1</f>
        <v>-840</v>
      </c>
      <c r="E255" s="67" t="n">
        <f aca="false">-E228*Inputs!$D$32*1</f>
        <v>-840</v>
      </c>
      <c r="F255" s="67" t="n">
        <f aca="false">-F228*Inputs!$D$32*1</f>
        <v>-840</v>
      </c>
      <c r="G255" s="67" t="n">
        <f aca="false">-G228*Inputs!$D$32*1</f>
        <v>-840</v>
      </c>
      <c r="H255" s="67" t="n">
        <f aca="false">-H228*Inputs!$D$32*1</f>
        <v>-840</v>
      </c>
      <c r="I255" s="67" t="n">
        <f aca="false">-I228*Inputs!$D$32*1</f>
        <v>-840</v>
      </c>
      <c r="J255" s="67" t="n">
        <f aca="false">-J228*Inputs!$D$32*1</f>
        <v>-840</v>
      </c>
      <c r="K255" s="67" t="n">
        <f aca="false">-K228*Inputs!$D$32*1</f>
        <v>-840</v>
      </c>
      <c r="L255" s="67" t="n">
        <f aca="false">-L228*Inputs!$D$32*1</f>
        <v>-840</v>
      </c>
      <c r="M255" s="67" t="n">
        <f aca="false">-M228*Inputs!$D$32*1</f>
        <v>-840</v>
      </c>
      <c r="N255" s="67" t="n">
        <f aca="false">-N228*Inputs!$D$32*1</f>
        <v>-840</v>
      </c>
      <c r="O255" s="67" t="n">
        <f aca="false">-O228*Inputs!$D$32*1</f>
        <v>-940.8</v>
      </c>
      <c r="P255" s="67" t="n">
        <f aca="false">-P228*Inputs!$D$32*1</f>
        <v>-940.8</v>
      </c>
      <c r="Q255" s="67" t="n">
        <f aca="false">-Q228*Inputs!$D$32*1</f>
        <v>-940.8</v>
      </c>
      <c r="R255" s="67" t="n">
        <f aca="false">-R228*Inputs!$D$32*1</f>
        <v>-940.8</v>
      </c>
      <c r="S255" s="67" t="n">
        <f aca="false">-S228*Inputs!$D$32*1</f>
        <v>-940.8</v>
      </c>
      <c r="T255" s="67" t="n">
        <f aca="false">-T228*Inputs!$D$32*1</f>
        <v>-940.8</v>
      </c>
      <c r="U255" s="67" t="n">
        <f aca="false">-U228*Inputs!$D$32*1</f>
        <v>-940.8</v>
      </c>
      <c r="V255" s="67" t="n">
        <f aca="false">-V228*Inputs!$D$32*1</f>
        <v>-940.8</v>
      </c>
      <c r="W255" s="67" t="n">
        <f aca="false">-W228*Inputs!$D$32*1</f>
        <v>-940.8</v>
      </c>
      <c r="X255" s="67" t="n">
        <f aca="false">-X228*Inputs!$D$32*1</f>
        <v>-940.8</v>
      </c>
      <c r="Y255" s="67" t="n">
        <f aca="false">-Y228*Inputs!$D$32*1</f>
        <v>-940.8</v>
      </c>
      <c r="Z255" s="67" t="n">
        <f aca="false">-Z228*Inputs!$D$32*1</f>
        <v>-940.8</v>
      </c>
      <c r="AA255" s="67" t="n">
        <f aca="false">-AA228*Inputs!$D$32*1</f>
        <v>-1053.696</v>
      </c>
      <c r="AB255" s="67" t="n">
        <f aca="false">-AB228*Inputs!$D$32*1</f>
        <v>-1053.696</v>
      </c>
      <c r="AC255" s="67" t="n">
        <f aca="false">-AC228*Inputs!$D$32*1</f>
        <v>-1053.696</v>
      </c>
      <c r="AD255" s="67" t="n">
        <f aca="false">-AD228*Inputs!$D$32*1</f>
        <v>-1053.696</v>
      </c>
      <c r="AE255" s="67" t="n">
        <f aca="false">-AE228*Inputs!$D$32*1</f>
        <v>-1053.696</v>
      </c>
      <c r="AF255" s="67" t="n">
        <f aca="false">-AF228*Inputs!$D$32*1</f>
        <v>-1053.696</v>
      </c>
      <c r="AG255" s="67" t="n">
        <f aca="false">-AG228*Inputs!$D$32*1</f>
        <v>-1053.696</v>
      </c>
      <c r="AH255" s="67" t="n">
        <f aca="false">-AH228*Inputs!$D$32*1</f>
        <v>-1053.696</v>
      </c>
      <c r="AI255" s="67" t="n">
        <f aca="false">-AI228*Inputs!$D$32*1</f>
        <v>-1053.696</v>
      </c>
      <c r="AJ255" s="67" t="n">
        <f aca="false">-AJ228*Inputs!$D$32*1</f>
        <v>-1053.696</v>
      </c>
      <c r="AK255" s="67" t="n">
        <f aca="false">-AK228*Inputs!$D$32*1</f>
        <v>-1053.696</v>
      </c>
      <c r="AL255" s="67" t="n">
        <f aca="false">-AL228*Inputs!$D$32*1</f>
        <v>-1053.696</v>
      </c>
    </row>
    <row r="256" customFormat="false" ht="15" hidden="false" customHeight="false" outlineLevel="0" collapsed="false">
      <c r="A256" s="6" t="s">
        <v>324</v>
      </c>
      <c r="C256" s="67" t="n">
        <f aca="false">-Inputs!$D$33*1</f>
        <v>-3500</v>
      </c>
      <c r="D256" s="67" t="n">
        <f aca="false">-Inputs!$D$33*1</f>
        <v>-3500</v>
      </c>
      <c r="E256" s="67" t="n">
        <f aca="false">-Inputs!$D$33*1</f>
        <v>-3500</v>
      </c>
      <c r="F256" s="67" t="n">
        <f aca="false">-Inputs!$D$33*1</f>
        <v>-3500</v>
      </c>
      <c r="G256" s="67" t="n">
        <f aca="false">-Inputs!$D$33*1</f>
        <v>-3500</v>
      </c>
      <c r="H256" s="67" t="n">
        <f aca="false">-Inputs!$D$33*1</f>
        <v>-3500</v>
      </c>
      <c r="I256" s="67" t="n">
        <f aca="false">-Inputs!$D$33*1</f>
        <v>-3500</v>
      </c>
      <c r="J256" s="67" t="n">
        <f aca="false">-Inputs!$D$33*1</f>
        <v>-3500</v>
      </c>
      <c r="K256" s="67" t="n">
        <f aca="false">-Inputs!$D$33*1</f>
        <v>-3500</v>
      </c>
      <c r="L256" s="67" t="n">
        <f aca="false">-Inputs!$D$33*1</f>
        <v>-3500</v>
      </c>
      <c r="M256" s="67" t="n">
        <f aca="false">-Inputs!$D$33*1</f>
        <v>-3500</v>
      </c>
      <c r="N256" s="67" t="n">
        <f aca="false">-Inputs!$D$33*1</f>
        <v>-3500</v>
      </c>
      <c r="O256" s="67" t="n">
        <f aca="false">-Inputs!$D$33*1</f>
        <v>-3500</v>
      </c>
      <c r="P256" s="67" t="n">
        <f aca="false">-Inputs!$D$33*1</f>
        <v>-3500</v>
      </c>
      <c r="Q256" s="67" t="n">
        <f aca="false">-Inputs!$D$33*1</f>
        <v>-3500</v>
      </c>
      <c r="R256" s="67" t="n">
        <f aca="false">-Inputs!$D$33*1</f>
        <v>-3500</v>
      </c>
      <c r="S256" s="67" t="n">
        <f aca="false">-Inputs!$D$33*1</f>
        <v>-3500</v>
      </c>
      <c r="T256" s="67" t="n">
        <f aca="false">-Inputs!$D$33*1</f>
        <v>-3500</v>
      </c>
      <c r="U256" s="67" t="n">
        <f aca="false">-Inputs!$D$33*1</f>
        <v>-3500</v>
      </c>
      <c r="V256" s="67" t="n">
        <f aca="false">-Inputs!$D$33*1</f>
        <v>-3500</v>
      </c>
      <c r="W256" s="67" t="n">
        <f aca="false">-Inputs!$D$33*1</f>
        <v>-3500</v>
      </c>
      <c r="X256" s="67" t="n">
        <f aca="false">-Inputs!$D$33*1</f>
        <v>-3500</v>
      </c>
      <c r="Y256" s="67" t="n">
        <f aca="false">-Inputs!$D$33*1</f>
        <v>-3500</v>
      </c>
      <c r="Z256" s="67" t="n">
        <f aca="false">-Inputs!$D$33*1</f>
        <v>-3500</v>
      </c>
      <c r="AA256" s="67" t="n">
        <f aca="false">-Inputs!$D$33*1</f>
        <v>-3500</v>
      </c>
      <c r="AB256" s="67" t="n">
        <f aca="false">-Inputs!$D$33*1</f>
        <v>-3500</v>
      </c>
      <c r="AC256" s="67" t="n">
        <f aca="false">-Inputs!$D$33*1</f>
        <v>-3500</v>
      </c>
      <c r="AD256" s="67" t="n">
        <f aca="false">-Inputs!$D$33*1</f>
        <v>-3500</v>
      </c>
      <c r="AE256" s="67" t="n">
        <f aca="false">-Inputs!$D$33*1</f>
        <v>-3500</v>
      </c>
      <c r="AF256" s="67" t="n">
        <f aca="false">-Inputs!$D$33*1</f>
        <v>-3500</v>
      </c>
      <c r="AG256" s="67" t="n">
        <f aca="false">-Inputs!$D$33*1</f>
        <v>-3500</v>
      </c>
      <c r="AH256" s="67" t="n">
        <f aca="false">-Inputs!$D$33*1</f>
        <v>-3500</v>
      </c>
      <c r="AI256" s="67" t="n">
        <f aca="false">-Inputs!$D$33*1</f>
        <v>-3500</v>
      </c>
      <c r="AJ256" s="67" t="n">
        <f aca="false">-Inputs!$D$33*1</f>
        <v>-3500</v>
      </c>
      <c r="AK256" s="67" t="n">
        <f aca="false">-Inputs!$D$33*1</f>
        <v>-3500</v>
      </c>
      <c r="AL256" s="67" t="n">
        <f aca="false">-Inputs!$D$33*1</f>
        <v>-3500</v>
      </c>
    </row>
    <row r="257" customFormat="false" ht="15" hidden="false" customHeight="false" outlineLevel="0" collapsed="false">
      <c r="A257" s="6" t="s">
        <v>325</v>
      </c>
      <c r="C257" s="67" t="n">
        <f aca="false">-Inputs!$D$34*1</f>
        <v>-4500</v>
      </c>
      <c r="D257" s="67" t="n">
        <f aca="false">-Inputs!$D$34*1</f>
        <v>-4500</v>
      </c>
      <c r="E257" s="67" t="n">
        <f aca="false">-Inputs!$D$34*1</f>
        <v>-4500</v>
      </c>
      <c r="F257" s="67" t="n">
        <f aca="false">-Inputs!$D$34*1</f>
        <v>-4500</v>
      </c>
      <c r="G257" s="67" t="n">
        <f aca="false">-Inputs!$D$34*1</f>
        <v>-4500</v>
      </c>
      <c r="H257" s="67" t="n">
        <f aca="false">-Inputs!$D$34*1</f>
        <v>-4500</v>
      </c>
      <c r="I257" s="67" t="n">
        <f aca="false">-Inputs!$D$34*1</f>
        <v>-4500</v>
      </c>
      <c r="J257" s="67" t="n">
        <f aca="false">-Inputs!$D$34*1</f>
        <v>-4500</v>
      </c>
      <c r="K257" s="67" t="n">
        <f aca="false">-Inputs!$D$34*1</f>
        <v>-4500</v>
      </c>
      <c r="L257" s="67" t="n">
        <f aca="false">-Inputs!$D$34*1</f>
        <v>-4500</v>
      </c>
      <c r="M257" s="67" t="n">
        <f aca="false">-Inputs!$D$34*1</f>
        <v>-4500</v>
      </c>
      <c r="N257" s="67" t="n">
        <f aca="false">-Inputs!$D$34*1</f>
        <v>-4500</v>
      </c>
      <c r="O257" s="67" t="n">
        <f aca="false">-Inputs!$D$34*1</f>
        <v>-4500</v>
      </c>
      <c r="P257" s="67" t="n">
        <f aca="false">-Inputs!$D$34*1</f>
        <v>-4500</v>
      </c>
      <c r="Q257" s="67" t="n">
        <f aca="false">-Inputs!$D$34*1</f>
        <v>-4500</v>
      </c>
      <c r="R257" s="67" t="n">
        <f aca="false">-Inputs!$D$34*1</f>
        <v>-4500</v>
      </c>
      <c r="S257" s="67" t="n">
        <f aca="false">-Inputs!$D$34*1</f>
        <v>-4500</v>
      </c>
      <c r="T257" s="67" t="n">
        <f aca="false">-Inputs!$D$34*1</f>
        <v>-4500</v>
      </c>
      <c r="U257" s="67" t="n">
        <f aca="false">-Inputs!$D$34*1</f>
        <v>-4500</v>
      </c>
      <c r="V257" s="67" t="n">
        <f aca="false">-Inputs!$D$34*1</f>
        <v>-4500</v>
      </c>
      <c r="W257" s="67" t="n">
        <f aca="false">-Inputs!$D$34*1</f>
        <v>-4500</v>
      </c>
      <c r="X257" s="67" t="n">
        <f aca="false">-Inputs!$D$34*1</f>
        <v>-4500</v>
      </c>
      <c r="Y257" s="67" t="n">
        <f aca="false">-Inputs!$D$34*1</f>
        <v>-4500</v>
      </c>
      <c r="Z257" s="67" t="n">
        <f aca="false">-Inputs!$D$34*1</f>
        <v>-4500</v>
      </c>
      <c r="AA257" s="67" t="n">
        <f aca="false">-Inputs!$D$34*1</f>
        <v>-4500</v>
      </c>
      <c r="AB257" s="67" t="n">
        <f aca="false">-Inputs!$D$34*1</f>
        <v>-4500</v>
      </c>
      <c r="AC257" s="67" t="n">
        <f aca="false">-Inputs!$D$34*1</f>
        <v>-4500</v>
      </c>
      <c r="AD257" s="67" t="n">
        <f aca="false">-Inputs!$D$34*1</f>
        <v>-4500</v>
      </c>
      <c r="AE257" s="67" t="n">
        <f aca="false">-Inputs!$D$34*1</f>
        <v>-4500</v>
      </c>
      <c r="AF257" s="67" t="n">
        <f aca="false">-Inputs!$D$34*1</f>
        <v>-4500</v>
      </c>
      <c r="AG257" s="67" t="n">
        <f aca="false">-Inputs!$D$34*1</f>
        <v>-4500</v>
      </c>
      <c r="AH257" s="67" t="n">
        <f aca="false">-Inputs!$D$34*1</f>
        <v>-4500</v>
      </c>
      <c r="AI257" s="67" t="n">
        <f aca="false">-Inputs!$D$34*1</f>
        <v>-4500</v>
      </c>
      <c r="AJ257" s="67" t="n">
        <f aca="false">-Inputs!$D$34*1</f>
        <v>-4500</v>
      </c>
      <c r="AK257" s="67" t="n">
        <f aca="false">-Inputs!$D$34*1</f>
        <v>-4500</v>
      </c>
      <c r="AL257" s="67" t="n">
        <f aca="false">-Inputs!$D$34*1</f>
        <v>-4500</v>
      </c>
    </row>
    <row r="258" customFormat="false" ht="15" hidden="false" customHeight="false" outlineLevel="0" collapsed="false">
      <c r="A258" s="6" t="s">
        <v>326</v>
      </c>
      <c r="C258" s="67" t="n">
        <f aca="false">-Inputs!$D$35*1</f>
        <v>-2500</v>
      </c>
      <c r="D258" s="67" t="n">
        <f aca="false">-Inputs!$D$35*1</f>
        <v>-2500</v>
      </c>
      <c r="E258" s="67" t="n">
        <f aca="false">-Inputs!$D$35*1</f>
        <v>-2500</v>
      </c>
      <c r="F258" s="67" t="n">
        <f aca="false">-Inputs!$D$35*1</f>
        <v>-2500</v>
      </c>
      <c r="G258" s="67" t="n">
        <f aca="false">-Inputs!$D$35*1</f>
        <v>-2500</v>
      </c>
      <c r="H258" s="67" t="n">
        <f aca="false">-Inputs!$D$35*1</f>
        <v>-2500</v>
      </c>
      <c r="I258" s="67" t="n">
        <f aca="false">-Inputs!$D$35*1</f>
        <v>-2500</v>
      </c>
      <c r="J258" s="67" t="n">
        <f aca="false">-Inputs!$D$35*1</f>
        <v>-2500</v>
      </c>
      <c r="K258" s="67" t="n">
        <f aca="false">-Inputs!$D$35*1</f>
        <v>-2500</v>
      </c>
      <c r="L258" s="67" t="n">
        <f aca="false">-Inputs!$D$35*1</f>
        <v>-2500</v>
      </c>
      <c r="M258" s="67" t="n">
        <f aca="false">-Inputs!$D$35*1</f>
        <v>-2500</v>
      </c>
      <c r="N258" s="67" t="n">
        <f aca="false">-Inputs!$D$35*1</f>
        <v>-2500</v>
      </c>
      <c r="O258" s="67" t="n">
        <f aca="false">-Inputs!$D$35*1</f>
        <v>-2500</v>
      </c>
      <c r="P258" s="67" t="n">
        <f aca="false">-Inputs!$D$35*1</f>
        <v>-2500</v>
      </c>
      <c r="Q258" s="67" t="n">
        <f aca="false">-Inputs!$D$35*1</f>
        <v>-2500</v>
      </c>
      <c r="R258" s="67" t="n">
        <f aca="false">-Inputs!$D$35*1</f>
        <v>-2500</v>
      </c>
      <c r="S258" s="67" t="n">
        <f aca="false">-Inputs!$D$35*1</f>
        <v>-2500</v>
      </c>
      <c r="T258" s="67" t="n">
        <f aca="false">-Inputs!$D$35*1</f>
        <v>-2500</v>
      </c>
      <c r="U258" s="67" t="n">
        <f aca="false">-Inputs!$D$35*1</f>
        <v>-2500</v>
      </c>
      <c r="V258" s="67" t="n">
        <f aca="false">-Inputs!$D$35*1</f>
        <v>-2500</v>
      </c>
      <c r="W258" s="67" t="n">
        <f aca="false">-Inputs!$D$35*1</f>
        <v>-2500</v>
      </c>
      <c r="X258" s="67" t="n">
        <f aca="false">-Inputs!$D$35*1</f>
        <v>-2500</v>
      </c>
      <c r="Y258" s="67" t="n">
        <f aca="false">-Inputs!$D$35*1</f>
        <v>-2500</v>
      </c>
      <c r="Z258" s="67" t="n">
        <f aca="false">-Inputs!$D$35*1</f>
        <v>-2500</v>
      </c>
      <c r="AA258" s="67" t="n">
        <f aca="false">-Inputs!$D$35*1</f>
        <v>-2500</v>
      </c>
      <c r="AB258" s="67" t="n">
        <f aca="false">-Inputs!$D$35*1</f>
        <v>-2500</v>
      </c>
      <c r="AC258" s="67" t="n">
        <f aca="false">-Inputs!$D$35*1</f>
        <v>-2500</v>
      </c>
      <c r="AD258" s="67" t="n">
        <f aca="false">-Inputs!$D$35*1</f>
        <v>-2500</v>
      </c>
      <c r="AE258" s="67" t="n">
        <f aca="false">-Inputs!$D$35*1</f>
        <v>-2500</v>
      </c>
      <c r="AF258" s="67" t="n">
        <f aca="false">-Inputs!$D$35*1</f>
        <v>-2500</v>
      </c>
      <c r="AG258" s="67" t="n">
        <f aca="false">-Inputs!$D$35*1</f>
        <v>-2500</v>
      </c>
      <c r="AH258" s="67" t="n">
        <f aca="false">-Inputs!$D$35*1</f>
        <v>-2500</v>
      </c>
      <c r="AI258" s="67" t="n">
        <f aca="false">-Inputs!$D$35*1</f>
        <v>-2500</v>
      </c>
      <c r="AJ258" s="67" t="n">
        <f aca="false">-Inputs!$D$35*1</f>
        <v>-2500</v>
      </c>
      <c r="AK258" s="67" t="n">
        <f aca="false">-Inputs!$D$35*1</f>
        <v>-2500</v>
      </c>
      <c r="AL258" s="67" t="n">
        <f aca="false">-Inputs!$D$35*1</f>
        <v>-2500</v>
      </c>
    </row>
    <row r="259" customFormat="false" ht="15" hidden="false" customHeight="false" outlineLevel="0" collapsed="false">
      <c r="A259" s="6" t="s">
        <v>327</v>
      </c>
      <c r="C259" s="67" t="n">
        <f aca="false">-C242*Inputs!$D$36</f>
        <v>-4111.25</v>
      </c>
      <c r="D259" s="67" t="n">
        <f aca="false">-D242*Inputs!$D$36</f>
        <v>-4111.25</v>
      </c>
      <c r="E259" s="67" t="n">
        <f aca="false">-E242*Inputs!$D$36</f>
        <v>-4111.25</v>
      </c>
      <c r="F259" s="67" t="n">
        <f aca="false">-F242*Inputs!$D$36</f>
        <v>-4111.25</v>
      </c>
      <c r="G259" s="67" t="n">
        <f aca="false">-G242*Inputs!$D$36</f>
        <v>-4111.25</v>
      </c>
      <c r="H259" s="67" t="n">
        <f aca="false">-H242*Inputs!$D$36</f>
        <v>-4803.51875</v>
      </c>
      <c r="I259" s="67" t="n">
        <f aca="false">-I242*Inputs!$D$36</f>
        <v>-4803.51875</v>
      </c>
      <c r="J259" s="67" t="n">
        <f aca="false">-J242*Inputs!$D$36</f>
        <v>-4803.51875</v>
      </c>
      <c r="K259" s="67" t="n">
        <f aca="false">-K242*Inputs!$D$36</f>
        <v>-4111.25</v>
      </c>
      <c r="L259" s="67" t="n">
        <f aca="false">-L242*Inputs!$D$36</f>
        <v>-4111.25</v>
      </c>
      <c r="M259" s="67" t="n">
        <f aca="false">-M242*Inputs!$D$36</f>
        <v>-4111.25</v>
      </c>
      <c r="N259" s="67" t="n">
        <f aca="false">-N242*Inputs!$D$36</f>
        <v>-4111.25</v>
      </c>
      <c r="O259" s="67" t="n">
        <f aca="false">-O242*Inputs!$D$36</f>
        <v>-5065.346</v>
      </c>
      <c r="P259" s="67" t="n">
        <f aca="false">-P242*Inputs!$D$36</f>
        <v>-5065.346</v>
      </c>
      <c r="Q259" s="67" t="n">
        <f aca="false">-Q242*Inputs!$D$36</f>
        <v>-5065.346</v>
      </c>
      <c r="R259" s="67" t="n">
        <f aca="false">-R242*Inputs!$D$36</f>
        <v>-5065.346</v>
      </c>
      <c r="S259" s="67" t="n">
        <f aca="false">-S242*Inputs!$D$36</f>
        <v>-5065.346</v>
      </c>
      <c r="T259" s="67" t="n">
        <f aca="false">-T242*Inputs!$D$36</f>
        <v>-5632.31864</v>
      </c>
      <c r="U259" s="67" t="n">
        <f aca="false">-U242*Inputs!$D$36</f>
        <v>-5632.31864</v>
      </c>
      <c r="V259" s="67" t="n">
        <f aca="false">-V242*Inputs!$D$36</f>
        <v>-5632.31864</v>
      </c>
      <c r="W259" s="67" t="n">
        <f aca="false">-W242*Inputs!$D$36</f>
        <v>-5065.346</v>
      </c>
      <c r="X259" s="67" t="n">
        <f aca="false">-X242*Inputs!$D$36</f>
        <v>-5065.346</v>
      </c>
      <c r="Y259" s="67" t="n">
        <f aca="false">-Y242*Inputs!$D$36</f>
        <v>-5065.346</v>
      </c>
      <c r="Z259" s="67" t="n">
        <f aca="false">-Z242*Inputs!$D$36</f>
        <v>-5065.346</v>
      </c>
      <c r="AA259" s="67" t="n">
        <f aca="false">-AA242*Inputs!$D$36</f>
        <v>-6242.2186112</v>
      </c>
      <c r="AB259" s="67" t="n">
        <f aca="false">-AB242*Inputs!$D$36</f>
        <v>-6242.2186112</v>
      </c>
      <c r="AC259" s="67" t="n">
        <f aca="false">-AC242*Inputs!$D$36</f>
        <v>-6242.2186112</v>
      </c>
      <c r="AD259" s="67" t="n">
        <f aca="false">-AD242*Inputs!$D$36</f>
        <v>-6242.2186112</v>
      </c>
      <c r="AE259" s="67" t="n">
        <f aca="false">-AE242*Inputs!$D$36</f>
        <v>-6242.2186112</v>
      </c>
      <c r="AF259" s="67" t="n">
        <f aca="false">-AF242*Inputs!$D$36</f>
        <v>-6608.858751872</v>
      </c>
      <c r="AG259" s="67" t="n">
        <f aca="false">-AG242*Inputs!$D$36</f>
        <v>-6608.858751872</v>
      </c>
      <c r="AH259" s="67" t="n">
        <f aca="false">-AH242*Inputs!$D$36</f>
        <v>-6608.858751872</v>
      </c>
      <c r="AI259" s="67" t="n">
        <f aca="false">-AI242*Inputs!$D$36</f>
        <v>-6242.2186112</v>
      </c>
      <c r="AJ259" s="67" t="n">
        <f aca="false">-AJ242*Inputs!$D$36</f>
        <v>-6242.2186112</v>
      </c>
      <c r="AK259" s="67" t="n">
        <f aca="false">-AK242*Inputs!$D$36</f>
        <v>-6242.2186112</v>
      </c>
      <c r="AL259" s="67" t="n">
        <f aca="false">-AL242*Inputs!$D$36</f>
        <v>-6242.2186112</v>
      </c>
    </row>
    <row r="260" customFormat="false" ht="15" hidden="false" customHeight="false" outlineLevel="0" collapsed="false">
      <c r="A260" s="113" t="s">
        <v>76</v>
      </c>
      <c r="C260" s="68" t="n">
        <f aca="false">C253+C254+C255+C256+C257+C258+C259</f>
        <v>-33076.25</v>
      </c>
      <c r="D260" s="68" t="n">
        <f aca="false">D253+D254+D255+D256+D257+D258+D259</f>
        <v>-33076.25</v>
      </c>
      <c r="E260" s="68" t="n">
        <f aca="false">E253+E254+E255+E256+E257+E258+E259</f>
        <v>-33076.25</v>
      </c>
      <c r="F260" s="68" t="n">
        <f aca="false">F253+F254+F255+F256+F257+F258+F259</f>
        <v>-33076.25</v>
      </c>
      <c r="G260" s="68" t="n">
        <f aca="false">G253+G254+G255+G256+G257+G258+G259</f>
        <v>-33076.25</v>
      </c>
      <c r="H260" s="68" t="n">
        <f aca="false">H253+H254+H255+H256+H257+H258+H259</f>
        <v>-33768.51875</v>
      </c>
      <c r="I260" s="68" t="n">
        <f aca="false">I253+I254+I255+I256+I257+I258+I259</f>
        <v>-33768.51875</v>
      </c>
      <c r="J260" s="68" t="n">
        <f aca="false">J253+J254+J255+J256+J257+J258+J259</f>
        <v>-33768.51875</v>
      </c>
      <c r="K260" s="68" t="n">
        <f aca="false">K253+K254+K255+K256+K257+K258+K259</f>
        <v>-33076.25</v>
      </c>
      <c r="L260" s="68" t="n">
        <f aca="false">L253+L254+L255+L256+L257+L258+L259</f>
        <v>-33076.25</v>
      </c>
      <c r="M260" s="68" t="n">
        <f aca="false">M253+M254+M255+M256+M257+M258+M259</f>
        <v>-33076.25</v>
      </c>
      <c r="N260" s="68" t="n">
        <f aca="false">N253+N254+N255+N256+N257+N258+N259</f>
        <v>-33076.25</v>
      </c>
      <c r="O260" s="68" t="n">
        <f aca="false">O253+O254+O255+O256+O257+O258+O259</f>
        <v>-36898.271</v>
      </c>
      <c r="P260" s="68" t="n">
        <f aca="false">P253+P254+P255+P256+P257+P258+P259</f>
        <v>-36898.271</v>
      </c>
      <c r="Q260" s="68" t="n">
        <f aca="false">Q253+Q254+Q255+Q256+Q257+Q258+Q259</f>
        <v>-36898.271</v>
      </c>
      <c r="R260" s="68" t="n">
        <f aca="false">R253+R254+R255+R256+R257+R258+R259</f>
        <v>-36898.271</v>
      </c>
      <c r="S260" s="68" t="n">
        <f aca="false">S253+S254+S255+S256+S257+S258+S259</f>
        <v>-36898.271</v>
      </c>
      <c r="T260" s="68" t="n">
        <f aca="false">T253+T254+T255+T256+T257+T258+T259</f>
        <v>-37465.24364</v>
      </c>
      <c r="U260" s="68" t="n">
        <f aca="false">U253+U254+U255+U256+U257+U258+U259</f>
        <v>-37465.24364</v>
      </c>
      <c r="V260" s="68" t="n">
        <f aca="false">V253+V254+V255+V256+V257+V258+V259</f>
        <v>-37465.24364</v>
      </c>
      <c r="W260" s="68" t="n">
        <f aca="false">W253+W254+W255+W256+W257+W258+W259</f>
        <v>-36898.271</v>
      </c>
      <c r="X260" s="68" t="n">
        <f aca="false">X253+X254+X255+X256+X257+X258+X259</f>
        <v>-36898.271</v>
      </c>
      <c r="Y260" s="68" t="n">
        <f aca="false">Y253+Y254+Y255+Y256+Y257+Y258+Y259</f>
        <v>-36898.271</v>
      </c>
      <c r="Z260" s="68" t="n">
        <f aca="false">Z253+Z254+Z255+Z256+Z257+Z258+Z259</f>
        <v>-36898.271</v>
      </c>
      <c r="AA260" s="68" t="n">
        <f aca="false">AA253+AA254+AA255+AA256+AA257+AA258+AA259</f>
        <v>-41399.3322362</v>
      </c>
      <c r="AB260" s="68" t="n">
        <f aca="false">AB253+AB254+AB255+AB256+AB257+AB258+AB259</f>
        <v>-41399.3322362</v>
      </c>
      <c r="AC260" s="68" t="n">
        <f aca="false">AC253+AC254+AC255+AC256+AC257+AC258+AC259</f>
        <v>-41399.3322362</v>
      </c>
      <c r="AD260" s="68" t="n">
        <f aca="false">AD253+AD254+AD255+AD256+AD257+AD258+AD259</f>
        <v>-41399.3322362</v>
      </c>
      <c r="AE260" s="68" t="n">
        <f aca="false">AE253+AE254+AE255+AE256+AE257+AE258+AE259</f>
        <v>-41399.3322362</v>
      </c>
      <c r="AF260" s="68" t="n">
        <f aca="false">AF253+AF254+AF255+AF256+AF257+AF258+AF259</f>
        <v>-41765.972376872</v>
      </c>
      <c r="AG260" s="68" t="n">
        <f aca="false">AG253+AG254+AG255+AG256+AG257+AG258+AG259</f>
        <v>-41765.972376872</v>
      </c>
      <c r="AH260" s="68" t="n">
        <f aca="false">AH253+AH254+AH255+AH256+AH257+AH258+AH259</f>
        <v>-41765.972376872</v>
      </c>
      <c r="AI260" s="68" t="n">
        <f aca="false">AI253+AI254+AI255+AI256+AI257+AI258+AI259</f>
        <v>-41399.3322362</v>
      </c>
      <c r="AJ260" s="68" t="n">
        <f aca="false">AJ253+AJ254+AJ255+AJ256+AJ257+AJ258+AJ259</f>
        <v>-41399.3322362</v>
      </c>
      <c r="AK260" s="68" t="n">
        <f aca="false">AK253+AK254+AK255+AK256+AK257+AK258+AK259</f>
        <v>-41399.3322362</v>
      </c>
      <c r="AL260" s="68" t="n">
        <f aca="false">AL253+AL254+AL255+AL256+AL257+AL258+AL259</f>
        <v>-41399.3322362</v>
      </c>
    </row>
    <row r="261" customFormat="false" ht="15" hidden="false" customHeight="false" outlineLevel="0" collapsed="false">
      <c r="A261" s="113" t="s">
        <v>48</v>
      </c>
      <c r="C261" s="68" t="n">
        <f aca="false">C250+C260</f>
        <v>40024.0833333333</v>
      </c>
      <c r="D261" s="68" t="n">
        <f aca="false">D250+D260</f>
        <v>40024.0833333333</v>
      </c>
      <c r="E261" s="68" t="n">
        <f aca="false">E250+E260</f>
        <v>40024.0833333333</v>
      </c>
      <c r="F261" s="68" t="n">
        <f aca="false">F250+F260</f>
        <v>40024.0833333333</v>
      </c>
      <c r="G261" s="68" t="n">
        <f aca="false">G250+G260</f>
        <v>40024.0833333333</v>
      </c>
      <c r="H261" s="68" t="n">
        <f aca="false">H250+H260</f>
        <v>60376.7845833333</v>
      </c>
      <c r="I261" s="68" t="n">
        <f aca="false">I250+I260</f>
        <v>60376.7845833333</v>
      </c>
      <c r="J261" s="68" t="n">
        <f aca="false">J250+J260</f>
        <v>60376.7845833333</v>
      </c>
      <c r="K261" s="68" t="n">
        <f aca="false">K250+K260</f>
        <v>40024.0833333333</v>
      </c>
      <c r="L261" s="68" t="n">
        <f aca="false">L250+L260</f>
        <v>40024.0833333333</v>
      </c>
      <c r="M261" s="68" t="n">
        <f aca="false">M250+M260</f>
        <v>40024.0833333333</v>
      </c>
      <c r="N261" s="68" t="n">
        <f aca="false">N250+N260</f>
        <v>40024.0833333333</v>
      </c>
      <c r="O261" s="68" t="n">
        <f aca="false">O250+O260</f>
        <v>57306.1007333333</v>
      </c>
      <c r="P261" s="68" t="n">
        <f aca="false">P250+P260</f>
        <v>57306.1007333333</v>
      </c>
      <c r="Q261" s="68" t="n">
        <f aca="false">Q250+Q260</f>
        <v>57306.1007333333</v>
      </c>
      <c r="R261" s="68" t="n">
        <f aca="false">R250+R260</f>
        <v>57306.1007333333</v>
      </c>
      <c r="S261" s="68" t="n">
        <f aca="false">S250+S260</f>
        <v>57306.1007333333</v>
      </c>
      <c r="T261" s="68" t="n">
        <f aca="false">T250+T260</f>
        <v>73975.0963493333</v>
      </c>
      <c r="U261" s="68" t="n">
        <f aca="false">U250+U260</f>
        <v>73975.0963493333</v>
      </c>
      <c r="V261" s="68" t="n">
        <f aca="false">V250+V260</f>
        <v>73975.0963493333</v>
      </c>
      <c r="W261" s="68" t="n">
        <f aca="false">W250+W260</f>
        <v>57306.1007333333</v>
      </c>
      <c r="X261" s="68" t="n">
        <f aca="false">X250+X260</f>
        <v>57306.1007333333</v>
      </c>
      <c r="Y261" s="68" t="n">
        <f aca="false">Y250+Y260</f>
        <v>57306.1007333333</v>
      </c>
      <c r="Z261" s="68" t="n">
        <f aca="false">Z250+Z260</f>
        <v>57306.1007333333</v>
      </c>
      <c r="AA261" s="68" t="n">
        <f aca="false">AA250+AA260</f>
        <v>79435.6163496134</v>
      </c>
      <c r="AB261" s="68" t="n">
        <f aca="false">AB250+AB260</f>
        <v>79435.6163496134</v>
      </c>
      <c r="AC261" s="68" t="n">
        <f aca="false">AC250+AC260</f>
        <v>79435.6163496134</v>
      </c>
      <c r="AD261" s="68" t="n">
        <f aca="false">AD250+AD260</f>
        <v>79435.6163496134</v>
      </c>
      <c r="AE261" s="68" t="n">
        <f aca="false">AE250+AE260</f>
        <v>79435.6163496134</v>
      </c>
      <c r="AF261" s="68" t="n">
        <f aca="false">AF250+AF260</f>
        <v>90214.8364853702</v>
      </c>
      <c r="AG261" s="68" t="n">
        <f aca="false">AG250+AG260</f>
        <v>90214.8364853702</v>
      </c>
      <c r="AH261" s="68" t="n">
        <f aca="false">AH250+AH260</f>
        <v>90214.8364853702</v>
      </c>
      <c r="AI261" s="68" t="n">
        <f aca="false">AI250+AI260</f>
        <v>79435.6163496134</v>
      </c>
      <c r="AJ261" s="68" t="n">
        <f aca="false">AJ250+AJ260</f>
        <v>79435.6163496134</v>
      </c>
      <c r="AK261" s="68" t="n">
        <f aca="false">AK250+AK260</f>
        <v>79435.6163496134</v>
      </c>
      <c r="AL261" s="68" t="n">
        <f aca="false">AL250+AL260</f>
        <v>79435.6163496134</v>
      </c>
    </row>
    <row r="263" customFormat="false" ht="15.75" hidden="false" customHeight="true" outlineLevel="0" collapsed="false">
      <c r="A263" s="7" t="s">
        <v>387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</row>
    <row r="264" customFormat="false" ht="15" hidden="false" customHeight="false" outlineLevel="0" collapsed="false">
      <c r="A264" s="4" t="s">
        <v>78</v>
      </c>
      <c r="C264" s="73" t="n">
        <f aca="false">C261+C275</f>
        <v>39690.75</v>
      </c>
      <c r="D264" s="73" t="n">
        <f aca="false">D261+D275</f>
        <v>39690.75</v>
      </c>
      <c r="E264" s="73" t="n">
        <f aca="false">E261+E275</f>
        <v>39690.75</v>
      </c>
      <c r="F264" s="73" t="n">
        <f aca="false">F261+F275</f>
        <v>39690.75</v>
      </c>
      <c r="G264" s="73" t="n">
        <f aca="false">G261+G275</f>
        <v>39690.75</v>
      </c>
      <c r="H264" s="73" t="n">
        <f aca="false">H261+H275</f>
        <v>60043.45125</v>
      </c>
      <c r="I264" s="73" t="n">
        <f aca="false">I261+I275</f>
        <v>60043.45125</v>
      </c>
      <c r="J264" s="73" t="n">
        <f aca="false">J261+J275</f>
        <v>60043.45125</v>
      </c>
      <c r="K264" s="73" t="n">
        <f aca="false">K261+K275</f>
        <v>39690.75</v>
      </c>
      <c r="L264" s="73" t="n">
        <f aca="false">L261+L275</f>
        <v>39690.75</v>
      </c>
      <c r="M264" s="73" t="n">
        <f aca="false">M261+M275</f>
        <v>39690.75</v>
      </c>
      <c r="N264" s="73" t="n">
        <f aca="false">N261+N275</f>
        <v>39690.75</v>
      </c>
      <c r="O264" s="73" t="n">
        <f aca="false">O261+O275</f>
        <v>56370.7674</v>
      </c>
      <c r="P264" s="73" t="n">
        <f aca="false">P261+P275</f>
        <v>56370.7674</v>
      </c>
      <c r="Q264" s="73" t="n">
        <f aca="false">Q261+Q275</f>
        <v>56370.7674</v>
      </c>
      <c r="R264" s="73" t="n">
        <f aca="false">R261+R275</f>
        <v>56370.7674</v>
      </c>
      <c r="S264" s="73" t="n">
        <f aca="false">S261+S275</f>
        <v>56370.7674</v>
      </c>
      <c r="T264" s="73" t="n">
        <f aca="false">T261+T275</f>
        <v>73039.763016</v>
      </c>
      <c r="U264" s="73" t="n">
        <f aca="false">U261+U275</f>
        <v>73039.763016</v>
      </c>
      <c r="V264" s="73" t="n">
        <f aca="false">V261+V275</f>
        <v>73039.763016</v>
      </c>
      <c r="W264" s="73" t="n">
        <f aca="false">W261+W275</f>
        <v>56370.7674</v>
      </c>
      <c r="X264" s="73" t="n">
        <f aca="false">X261+X275</f>
        <v>56370.7674</v>
      </c>
      <c r="Y264" s="73" t="n">
        <f aca="false">Y261+Y275</f>
        <v>56370.7674</v>
      </c>
      <c r="Z264" s="73" t="n">
        <f aca="false">Z261+Z275</f>
        <v>56370.7674</v>
      </c>
      <c r="AA264" s="73" t="n">
        <f aca="false">AA261+AA275</f>
        <v>77826.04301628</v>
      </c>
      <c r="AB264" s="73" t="n">
        <f aca="false">AB261+AB275</f>
        <v>77826.04301628</v>
      </c>
      <c r="AC264" s="73" t="n">
        <f aca="false">AC261+AC275</f>
        <v>77826.04301628</v>
      </c>
      <c r="AD264" s="73" t="n">
        <f aca="false">AD261+AD275</f>
        <v>77826.04301628</v>
      </c>
      <c r="AE264" s="73" t="n">
        <f aca="false">AE261+AE275</f>
        <v>77826.04301628</v>
      </c>
      <c r="AF264" s="73" t="n">
        <f aca="false">AF261+AF275</f>
        <v>88605.2631520368</v>
      </c>
      <c r="AG264" s="73" t="n">
        <f aca="false">AG261+AG275</f>
        <v>88605.2631520368</v>
      </c>
      <c r="AH264" s="73" t="n">
        <f aca="false">AH261+AH275</f>
        <v>88605.2631520368</v>
      </c>
      <c r="AI264" s="73" t="n">
        <f aca="false">AI261+AI275</f>
        <v>77826.04301628</v>
      </c>
      <c r="AJ264" s="73" t="n">
        <f aca="false">AJ261+AJ275</f>
        <v>77826.04301628</v>
      </c>
      <c r="AK264" s="73" t="n">
        <f aca="false">AK261+AK275</f>
        <v>77826.04301628</v>
      </c>
      <c r="AL264" s="73" t="n">
        <f aca="false">AL261+AL275</f>
        <v>77826.04301628</v>
      </c>
    </row>
    <row r="265" customFormat="false" ht="15" hidden="false" customHeight="false" outlineLevel="0" collapsed="false">
      <c r="A265" s="6" t="s">
        <v>388</v>
      </c>
      <c r="C265" s="67" t="n">
        <f aca="false">-(C280+C281+C283)/2*Inputs!$D$56/12</f>
        <v>-1666.66666666667</v>
      </c>
      <c r="D265" s="67" t="n">
        <f aca="false">-(D280+D281+D283)/2*Inputs!$D$56/12</f>
        <v>-1652.77777777778</v>
      </c>
      <c r="E265" s="67" t="n">
        <f aca="false">-(E280+E281+E283)/2*Inputs!$D$56/12</f>
        <v>-1625</v>
      </c>
      <c r="F265" s="67" t="n">
        <f aca="false">-(F280+F281+F283)/2*Inputs!$D$56/12</f>
        <v>-1597.22222222222</v>
      </c>
      <c r="G265" s="67" t="n">
        <f aca="false">-(G280+G281+G283)/2*Inputs!$D$56/12</f>
        <v>-1569.44444444444</v>
      </c>
      <c r="H265" s="67" t="n">
        <f aca="false">-(H280+H281+H283)/2*Inputs!$D$56/12</f>
        <v>-1541.66666666667</v>
      </c>
      <c r="I265" s="67" t="n">
        <f aca="false">-(I280+I281+I283)/2*Inputs!$D$56/12</f>
        <v>-1513.88888888889</v>
      </c>
      <c r="J265" s="67" t="n">
        <f aca="false">-(J280+J281+J283)/2*Inputs!$D$56/12</f>
        <v>-1486.11111111111</v>
      </c>
      <c r="K265" s="67" t="n">
        <f aca="false">-(K280+K281+K283)/2*Inputs!$D$56/12</f>
        <v>-1458.33333333333</v>
      </c>
      <c r="L265" s="67" t="n">
        <f aca="false">-(L280+L281+L283)/2*Inputs!$D$56/12</f>
        <v>-1430.55555555556</v>
      </c>
      <c r="M265" s="67" t="n">
        <f aca="false">-(M280+M281+M283)/2*Inputs!$D$56/12</f>
        <v>-1402.77777777778</v>
      </c>
      <c r="N265" s="67" t="n">
        <f aca="false">-(N280+N281+N283)/2*Inputs!$D$56/12</f>
        <v>-1375</v>
      </c>
      <c r="O265" s="67" t="n">
        <f aca="false">-(O280+O281+O283)/2*Inputs!$D$56/12</f>
        <v>-1347.22222222222</v>
      </c>
      <c r="P265" s="67" t="n">
        <f aca="false">-(P280+P281+P283)/2*Inputs!$D$56/12</f>
        <v>-1319.44444444445</v>
      </c>
      <c r="Q265" s="67" t="n">
        <f aca="false">-(Q280+Q281+Q283)/2*Inputs!$D$56/12</f>
        <v>-1291.66666666667</v>
      </c>
      <c r="R265" s="67" t="n">
        <f aca="false">-(R280+R281+R283)/2*Inputs!$D$56/12</f>
        <v>-1263.88888888889</v>
      </c>
      <c r="S265" s="67" t="n">
        <f aca="false">-(S280+S281+S283)/2*Inputs!$D$56/12</f>
        <v>-1236.11111111111</v>
      </c>
      <c r="T265" s="67" t="n">
        <f aca="false">-(T280+T281+T283)/2*Inputs!$D$56/12</f>
        <v>-1208.33333333333</v>
      </c>
      <c r="U265" s="67" t="n">
        <f aca="false">-(U280+U281+U283)/2*Inputs!$D$56/12</f>
        <v>-1180.55555555556</v>
      </c>
      <c r="V265" s="67" t="n">
        <f aca="false">-(V280+V281+V283)/2*Inputs!$D$56/12</f>
        <v>-1152.77777777778</v>
      </c>
      <c r="W265" s="67" t="n">
        <f aca="false">-(W280+W281+W283)/2*Inputs!$D$56/12</f>
        <v>-1125</v>
      </c>
      <c r="X265" s="67" t="n">
        <f aca="false">-(X280+X281+X283)/2*Inputs!$D$56/12</f>
        <v>-1097.22222222222</v>
      </c>
      <c r="Y265" s="67" t="n">
        <f aca="false">-(Y280+Y281+Y283)/2*Inputs!$D$56/12</f>
        <v>-1069.44444444445</v>
      </c>
      <c r="Z265" s="67" t="n">
        <f aca="false">-(Z280+Z281+Z283)/2*Inputs!$D$56/12</f>
        <v>-1041.66666666667</v>
      </c>
      <c r="AA265" s="67" t="n">
        <f aca="false">-(AA280+AA281+AA283)/2*Inputs!$D$56/12</f>
        <v>-1013.88888888889</v>
      </c>
      <c r="AB265" s="67" t="n">
        <f aca="false">-(AB280+AB281+AB283)/2*Inputs!$D$56/12</f>
        <v>-986.111111111113</v>
      </c>
      <c r="AC265" s="67" t="n">
        <f aca="false">-(AC280+AC281+AC283)/2*Inputs!$D$56/12</f>
        <v>-958.333333333335</v>
      </c>
      <c r="AD265" s="67" t="n">
        <f aca="false">-(AD280+AD281+AD283)/2*Inputs!$D$56/12</f>
        <v>-930.555555555557</v>
      </c>
      <c r="AE265" s="67" t="n">
        <f aca="false">-(AE280+AE281+AE283)/2*Inputs!$D$56/12</f>
        <v>-902.77777777778</v>
      </c>
      <c r="AF265" s="67" t="n">
        <f aca="false">-(AF280+AF281+AF283)/2*Inputs!$D$56/12</f>
        <v>-875.000000000002</v>
      </c>
      <c r="AG265" s="67" t="n">
        <f aca="false">-(AG280+AG281+AG283)/2*Inputs!$D$56/12</f>
        <v>-847.222222222224</v>
      </c>
      <c r="AH265" s="67" t="n">
        <f aca="false">-(AH280+AH281+AH283)/2*Inputs!$D$56/12</f>
        <v>-819.444444444446</v>
      </c>
      <c r="AI265" s="67" t="n">
        <f aca="false">-(AI280+AI281+AI283)/2*Inputs!$D$56/12</f>
        <v>-791.666666666668</v>
      </c>
      <c r="AJ265" s="67" t="n">
        <f aca="false">-(AJ280+AJ281+AJ283)/2*Inputs!$D$56/12</f>
        <v>-763.888888888891</v>
      </c>
      <c r="AK265" s="67" t="n">
        <f aca="false">-(AK280+AK281+AK283)/2*Inputs!$D$56/12</f>
        <v>-736.111111111113</v>
      </c>
      <c r="AL265" s="67" t="n">
        <f aca="false">-(AL280+AL281+AL283)/2*Inputs!$D$56/12</f>
        <v>-708.333333333335</v>
      </c>
    </row>
    <row r="266" customFormat="false" ht="15" hidden="false" customHeight="false" outlineLevel="0" collapsed="false">
      <c r="A266" s="113" t="s">
        <v>80</v>
      </c>
      <c r="C266" s="68" t="n">
        <f aca="false">C264+C265</f>
        <v>38024.0833333333</v>
      </c>
      <c r="D266" s="68" t="n">
        <f aca="false">D264+D265</f>
        <v>38037.9722222222</v>
      </c>
      <c r="E266" s="68" t="n">
        <f aca="false">E264+E265</f>
        <v>38065.75</v>
      </c>
      <c r="F266" s="68" t="n">
        <f aca="false">F264+F265</f>
        <v>38093.5277777778</v>
      </c>
      <c r="G266" s="68" t="n">
        <f aca="false">G264+G265</f>
        <v>38121.3055555556</v>
      </c>
      <c r="H266" s="68" t="n">
        <f aca="false">H264+H265</f>
        <v>58501.7845833333</v>
      </c>
      <c r="I266" s="68" t="n">
        <f aca="false">I264+I265</f>
        <v>58529.5623611111</v>
      </c>
      <c r="J266" s="68" t="n">
        <f aca="false">J264+J265</f>
        <v>58557.3401388889</v>
      </c>
      <c r="K266" s="68" t="n">
        <f aca="false">K264+K265</f>
        <v>38232.4166666667</v>
      </c>
      <c r="L266" s="68" t="n">
        <f aca="false">L264+L265</f>
        <v>38260.1944444445</v>
      </c>
      <c r="M266" s="68" t="n">
        <f aca="false">M264+M265</f>
        <v>38287.9722222222</v>
      </c>
      <c r="N266" s="68" t="n">
        <f aca="false">N264+N265</f>
        <v>38315.75</v>
      </c>
      <c r="O266" s="68" t="n">
        <f aca="false">O264+O265</f>
        <v>55023.5451777778</v>
      </c>
      <c r="P266" s="68" t="n">
        <f aca="false">P264+P265</f>
        <v>55051.3229555556</v>
      </c>
      <c r="Q266" s="68" t="n">
        <f aca="false">Q264+Q265</f>
        <v>55079.1007333333</v>
      </c>
      <c r="R266" s="68" t="n">
        <f aca="false">R264+R265</f>
        <v>55106.8785111111</v>
      </c>
      <c r="S266" s="68" t="n">
        <f aca="false">S264+S265</f>
        <v>55134.6562888889</v>
      </c>
      <c r="T266" s="68" t="n">
        <f aca="false">T264+T265</f>
        <v>71831.4296826667</v>
      </c>
      <c r="U266" s="68" t="n">
        <f aca="false">U264+U265</f>
        <v>71859.2074604444</v>
      </c>
      <c r="V266" s="68" t="n">
        <f aca="false">V264+V265</f>
        <v>71886.9852382222</v>
      </c>
      <c r="W266" s="68" t="n">
        <f aca="false">W264+W265</f>
        <v>55245.7674</v>
      </c>
      <c r="X266" s="68" t="n">
        <f aca="false">X264+X265</f>
        <v>55273.5451777778</v>
      </c>
      <c r="Y266" s="68" t="n">
        <f aca="false">Y264+Y265</f>
        <v>55301.3229555556</v>
      </c>
      <c r="Z266" s="68" t="n">
        <f aca="false">Z264+Z265</f>
        <v>55329.1007333333</v>
      </c>
      <c r="AA266" s="68" t="n">
        <f aca="false">AA264+AA265</f>
        <v>76812.1541273911</v>
      </c>
      <c r="AB266" s="68" t="n">
        <f aca="false">AB264+AB265</f>
        <v>76839.9319051689</v>
      </c>
      <c r="AC266" s="68" t="n">
        <f aca="false">AC264+AC265</f>
        <v>76867.7096829467</v>
      </c>
      <c r="AD266" s="68" t="n">
        <f aca="false">AD264+AD265</f>
        <v>76895.4874607245</v>
      </c>
      <c r="AE266" s="68" t="n">
        <f aca="false">AE264+AE265</f>
        <v>76923.2652385022</v>
      </c>
      <c r="AF266" s="68" t="n">
        <f aca="false">AF264+AF265</f>
        <v>87730.2631520368</v>
      </c>
      <c r="AG266" s="68" t="n">
        <f aca="false">AG264+AG265</f>
        <v>87758.0409298146</v>
      </c>
      <c r="AH266" s="68" t="n">
        <f aca="false">AH264+AH265</f>
        <v>87785.8187075924</v>
      </c>
      <c r="AI266" s="68" t="n">
        <f aca="false">AI264+AI265</f>
        <v>77034.3763496134</v>
      </c>
      <c r="AJ266" s="68" t="n">
        <f aca="false">AJ264+AJ265</f>
        <v>77062.1541273911</v>
      </c>
      <c r="AK266" s="68" t="n">
        <f aca="false">AK264+AK265</f>
        <v>77089.9319051689</v>
      </c>
      <c r="AL266" s="68" t="n">
        <f aca="false">AL264+AL265</f>
        <v>77117.7096829467</v>
      </c>
    </row>
    <row r="267" customFormat="false" ht="15" hidden="false" customHeight="false" outlineLevel="0" collapsed="false">
      <c r="A267" s="121" t="s">
        <v>389</v>
      </c>
      <c r="C267" s="67" t="n">
        <f aca="false">C266</f>
        <v>38024.0833333333</v>
      </c>
      <c r="D267" s="67" t="n">
        <f aca="false">C267+D266</f>
        <v>76062.0555555556</v>
      </c>
      <c r="E267" s="67" t="n">
        <f aca="false">D267+E266</f>
        <v>114127.805555556</v>
      </c>
      <c r="F267" s="67" t="n">
        <f aca="false">E267+F266</f>
        <v>152221.333333333</v>
      </c>
      <c r="G267" s="67" t="n">
        <f aca="false">F267+G266</f>
        <v>190342.638888889</v>
      </c>
      <c r="H267" s="67" t="n">
        <f aca="false">G267+H266</f>
        <v>248844.423472222</v>
      </c>
      <c r="I267" s="67" t="n">
        <f aca="false">H267+I266</f>
        <v>307373.985833333</v>
      </c>
      <c r="J267" s="67" t="n">
        <f aca="false">I267+J266</f>
        <v>365931.325972222</v>
      </c>
      <c r="K267" s="67" t="n">
        <f aca="false">J267+K266</f>
        <v>404163.742638889</v>
      </c>
      <c r="L267" s="67" t="n">
        <f aca="false">K267+L266</f>
        <v>442423.937083333</v>
      </c>
      <c r="M267" s="67" t="n">
        <f aca="false">L267+M266</f>
        <v>480711.909305556</v>
      </c>
      <c r="N267" s="67" t="n">
        <f aca="false">M267+N266</f>
        <v>519027.659305556</v>
      </c>
      <c r="O267" s="67" t="n">
        <f aca="false">N267+O266</f>
        <v>574051.204483333</v>
      </c>
      <c r="P267" s="67" t="n">
        <f aca="false">O267+P266</f>
        <v>629102.527438889</v>
      </c>
      <c r="Q267" s="67" t="n">
        <f aca="false">P267+Q266</f>
        <v>684181.628172222</v>
      </c>
      <c r="R267" s="67" t="n">
        <f aca="false">Q267+R266</f>
        <v>739288.506683333</v>
      </c>
      <c r="S267" s="67" t="n">
        <f aca="false">R267+S266</f>
        <v>794423.162972222</v>
      </c>
      <c r="T267" s="67" t="n">
        <f aca="false">S267+T266</f>
        <v>866254.592654889</v>
      </c>
      <c r="U267" s="67" t="n">
        <f aca="false">T267+U266</f>
        <v>938113.800115333</v>
      </c>
      <c r="V267" s="67" t="n">
        <f aca="false">U267+V266</f>
        <v>1010000.78535356</v>
      </c>
      <c r="W267" s="67" t="n">
        <f aca="false">V267+W266</f>
        <v>1065246.55275356</v>
      </c>
      <c r="X267" s="67" t="n">
        <f aca="false">W267+X266</f>
        <v>1120520.09793133</v>
      </c>
      <c r="Y267" s="67" t="n">
        <f aca="false">X267+Y266</f>
        <v>1175821.42088689</v>
      </c>
      <c r="Z267" s="67" t="n">
        <f aca="false">Y267+Z266</f>
        <v>1231150.52162022</v>
      </c>
      <c r="AA267" s="67" t="n">
        <f aca="false">Z267+AA266</f>
        <v>1307962.67574761</v>
      </c>
      <c r="AB267" s="67" t="n">
        <f aca="false">AA267+AB266</f>
        <v>1384802.60765278</v>
      </c>
      <c r="AC267" s="67" t="n">
        <f aca="false">AB267+AC266</f>
        <v>1461670.31733573</v>
      </c>
      <c r="AD267" s="67" t="n">
        <f aca="false">AC267+AD266</f>
        <v>1538565.80479645</v>
      </c>
      <c r="AE267" s="67" t="n">
        <f aca="false">AD267+AE266</f>
        <v>1615489.07003496</v>
      </c>
      <c r="AF267" s="67" t="n">
        <f aca="false">AE267+AF266</f>
        <v>1703219.33318699</v>
      </c>
      <c r="AG267" s="67" t="n">
        <f aca="false">AF267+AG266</f>
        <v>1790977.37411681</v>
      </c>
      <c r="AH267" s="67" t="n">
        <f aca="false">AG267+AH266</f>
        <v>1878763.1928244</v>
      </c>
      <c r="AI267" s="67" t="n">
        <f aca="false">AH267+AI266</f>
        <v>1955797.56917401</v>
      </c>
      <c r="AJ267" s="67" t="n">
        <f aca="false">AI267+AJ266</f>
        <v>2032859.7233014</v>
      </c>
      <c r="AK267" s="67" t="n">
        <f aca="false">AJ267+AK266</f>
        <v>2109949.65520657</v>
      </c>
      <c r="AL267" s="67" t="n">
        <f aca="false">AK267+AL266</f>
        <v>2187067.36488952</v>
      </c>
    </row>
    <row r="268" customFormat="false" ht="15" hidden="false" customHeight="false" outlineLevel="0" collapsed="false">
      <c r="A268" s="121" t="s">
        <v>390</v>
      </c>
      <c r="C268" s="67" t="n">
        <f aca="false">MAX(0,C267)</f>
        <v>38024.0833333333</v>
      </c>
      <c r="D268" s="67" t="n">
        <f aca="false">MAX(C268,D267)</f>
        <v>76062.0555555556</v>
      </c>
      <c r="E268" s="67" t="n">
        <f aca="false">MAX(D268,E267)</f>
        <v>114127.805555556</v>
      </c>
      <c r="F268" s="67" t="n">
        <f aca="false">MAX(E268,F267)</f>
        <v>152221.333333333</v>
      </c>
      <c r="G268" s="67" t="n">
        <f aca="false">MAX(F268,G267)</f>
        <v>190342.638888889</v>
      </c>
      <c r="H268" s="67" t="n">
        <f aca="false">MAX(G268,H267)</f>
        <v>248844.423472222</v>
      </c>
      <c r="I268" s="67" t="n">
        <f aca="false">MAX(H268,I267)</f>
        <v>307373.985833333</v>
      </c>
      <c r="J268" s="67" t="n">
        <f aca="false">MAX(I268,J267)</f>
        <v>365931.325972222</v>
      </c>
      <c r="K268" s="67" t="n">
        <f aca="false">MAX(J268,K267)</f>
        <v>404163.742638889</v>
      </c>
      <c r="L268" s="67" t="n">
        <f aca="false">MAX(K268,L267)</f>
        <v>442423.937083333</v>
      </c>
      <c r="M268" s="67" t="n">
        <f aca="false">MAX(L268,M267)</f>
        <v>480711.909305556</v>
      </c>
      <c r="N268" s="67" t="n">
        <f aca="false">MAX(M268,N267)</f>
        <v>519027.659305556</v>
      </c>
      <c r="O268" s="67" t="n">
        <f aca="false">MAX(N268,O267)</f>
        <v>574051.204483333</v>
      </c>
      <c r="P268" s="67" t="n">
        <f aca="false">MAX(O268,P267)</f>
        <v>629102.527438889</v>
      </c>
      <c r="Q268" s="67" t="n">
        <f aca="false">MAX(P268,Q267)</f>
        <v>684181.628172222</v>
      </c>
      <c r="R268" s="67" t="n">
        <f aca="false">MAX(Q268,R267)</f>
        <v>739288.506683333</v>
      </c>
      <c r="S268" s="67" t="n">
        <f aca="false">MAX(R268,S267)</f>
        <v>794423.162972222</v>
      </c>
      <c r="T268" s="67" t="n">
        <f aca="false">MAX(S268,T267)</f>
        <v>866254.592654889</v>
      </c>
      <c r="U268" s="67" t="n">
        <f aca="false">MAX(T268,U267)</f>
        <v>938113.800115333</v>
      </c>
      <c r="V268" s="67" t="n">
        <f aca="false">MAX(U268,V267)</f>
        <v>1010000.78535356</v>
      </c>
      <c r="W268" s="67" t="n">
        <f aca="false">MAX(V268,W267)</f>
        <v>1065246.55275356</v>
      </c>
      <c r="X268" s="67" t="n">
        <f aca="false">MAX(W268,X267)</f>
        <v>1120520.09793133</v>
      </c>
      <c r="Y268" s="67" t="n">
        <f aca="false">MAX(X268,Y267)</f>
        <v>1175821.42088689</v>
      </c>
      <c r="Z268" s="67" t="n">
        <f aca="false">MAX(Y268,Z267)</f>
        <v>1231150.52162022</v>
      </c>
      <c r="AA268" s="67" t="n">
        <f aca="false">MAX(Z268,AA267)</f>
        <v>1307962.67574761</v>
      </c>
      <c r="AB268" s="67" t="n">
        <f aca="false">MAX(AA268,AB267)</f>
        <v>1384802.60765278</v>
      </c>
      <c r="AC268" s="67" t="n">
        <f aca="false">MAX(AB268,AC267)</f>
        <v>1461670.31733573</v>
      </c>
      <c r="AD268" s="67" t="n">
        <f aca="false">MAX(AC268,AD267)</f>
        <v>1538565.80479645</v>
      </c>
      <c r="AE268" s="67" t="n">
        <f aca="false">MAX(AD268,AE267)</f>
        <v>1615489.07003496</v>
      </c>
      <c r="AF268" s="67" t="n">
        <f aca="false">MAX(AE268,AF267)</f>
        <v>1703219.33318699</v>
      </c>
      <c r="AG268" s="67" t="n">
        <f aca="false">MAX(AF268,AG267)</f>
        <v>1790977.37411681</v>
      </c>
      <c r="AH268" s="67" t="n">
        <f aca="false">MAX(AG268,AH267)</f>
        <v>1878763.1928244</v>
      </c>
      <c r="AI268" s="67" t="n">
        <f aca="false">MAX(AH268,AI267)</f>
        <v>1955797.56917401</v>
      </c>
      <c r="AJ268" s="67" t="n">
        <f aca="false">MAX(AI268,AJ267)</f>
        <v>2032859.7233014</v>
      </c>
      <c r="AK268" s="67" t="n">
        <f aca="false">MAX(AJ268,AK267)</f>
        <v>2109949.65520657</v>
      </c>
      <c r="AL268" s="67" t="n">
        <f aca="false">MAX(AK268,AL267)</f>
        <v>2187067.36488952</v>
      </c>
    </row>
    <row r="269" customFormat="false" ht="15" hidden="false" customHeight="false" outlineLevel="0" collapsed="false">
      <c r="A269" s="6" t="s">
        <v>81</v>
      </c>
      <c r="C269" s="67" t="n">
        <f aca="false">-C268*Inputs!$D$66</f>
        <v>-7985.0575</v>
      </c>
      <c r="D269" s="67" t="n">
        <f aca="false">-(D268-C268)*Inputs!$D$66</f>
        <v>-7987.97416666667</v>
      </c>
      <c r="E269" s="67" t="n">
        <f aca="false">-(E268-D268)*Inputs!$D$66</f>
        <v>-7993.8075</v>
      </c>
      <c r="F269" s="67" t="n">
        <f aca="false">-(F268-E268)*Inputs!$D$66</f>
        <v>-7999.64083333333</v>
      </c>
      <c r="G269" s="67" t="n">
        <f aca="false">-(G268-F268)*Inputs!$D$66</f>
        <v>-8005.47416666667</v>
      </c>
      <c r="H269" s="67" t="n">
        <f aca="false">-(H268-G268)*Inputs!$D$66</f>
        <v>-12285.3747625</v>
      </c>
      <c r="I269" s="67" t="n">
        <f aca="false">-(I268-H268)*Inputs!$D$66</f>
        <v>-12291.2080958333</v>
      </c>
      <c r="J269" s="67" t="n">
        <f aca="false">-(J268-I268)*Inputs!$D$66</f>
        <v>-12297.0414291667</v>
      </c>
      <c r="K269" s="67" t="n">
        <f aca="false">-(K268-J268)*Inputs!$D$66</f>
        <v>-8028.8075</v>
      </c>
      <c r="L269" s="67" t="n">
        <f aca="false">-(L268-K268)*Inputs!$D$66</f>
        <v>-8034.64083333333</v>
      </c>
      <c r="M269" s="67" t="n">
        <f aca="false">-(M268-L268)*Inputs!$D$66</f>
        <v>-8040.47416666667</v>
      </c>
      <c r="N269" s="67" t="n">
        <f aca="false">-(N268-M268)*Inputs!$D$66</f>
        <v>-8046.3075</v>
      </c>
      <c r="O269" s="67" t="n">
        <f aca="false">-(O268-N268)*Inputs!$D$66</f>
        <v>-11554.9444873333</v>
      </c>
      <c r="P269" s="67" t="n">
        <f aca="false">-(P268-O268)*Inputs!$D$66</f>
        <v>-11560.7778206667</v>
      </c>
      <c r="Q269" s="67" t="n">
        <f aca="false">-(Q268-P268)*Inputs!$D$66</f>
        <v>-11566.611154</v>
      </c>
      <c r="R269" s="67" t="n">
        <f aca="false">-(R268-Q268)*Inputs!$D$66</f>
        <v>-11572.4444873333</v>
      </c>
      <c r="S269" s="67" t="n">
        <f aca="false">-(S268-R268)*Inputs!$D$66</f>
        <v>-11578.2778206667</v>
      </c>
      <c r="T269" s="67" t="n">
        <f aca="false">-(T268-S268)*Inputs!$D$66</f>
        <v>-15084.60023336</v>
      </c>
      <c r="U269" s="67" t="n">
        <f aca="false">-(U268-T268)*Inputs!$D$66</f>
        <v>-15090.4335666933</v>
      </c>
      <c r="V269" s="67" t="n">
        <f aca="false">-(V268-U268)*Inputs!$D$66</f>
        <v>-15096.2669000267</v>
      </c>
      <c r="W269" s="67" t="n">
        <f aca="false">-(W268-V268)*Inputs!$D$66</f>
        <v>-11601.611154</v>
      </c>
      <c r="X269" s="67" t="n">
        <f aca="false">-(X268-W268)*Inputs!$D$66</f>
        <v>-11607.4444873333</v>
      </c>
      <c r="Y269" s="67" t="n">
        <f aca="false">-(Y268-X268)*Inputs!$D$66</f>
        <v>-11613.2778206667</v>
      </c>
      <c r="Z269" s="67" t="n">
        <f aca="false">-(Z268-Y268)*Inputs!$D$66</f>
        <v>-11619.111154</v>
      </c>
      <c r="AA269" s="67" t="n">
        <f aca="false">-(AA268-Z268)*Inputs!$D$66</f>
        <v>-16130.5523667521</v>
      </c>
      <c r="AB269" s="67" t="n">
        <f aca="false">-(AB268-AA268)*Inputs!$D$66</f>
        <v>-16136.3857000855</v>
      </c>
      <c r="AC269" s="67" t="n">
        <f aca="false">-(AC268-AB268)*Inputs!$D$66</f>
        <v>-16142.2190334188</v>
      </c>
      <c r="AD269" s="67" t="n">
        <f aca="false">-(AD268-AC268)*Inputs!$D$66</f>
        <v>-16148.0523667522</v>
      </c>
      <c r="AE269" s="67" t="n">
        <f aca="false">-(AE268-AD268)*Inputs!$D$66</f>
        <v>-16153.8857000855</v>
      </c>
      <c r="AF269" s="67" t="n">
        <f aca="false">-(AF268-AE268)*Inputs!$D$66</f>
        <v>-18423.3552619277</v>
      </c>
      <c r="AG269" s="67" t="n">
        <f aca="false">-(AG268-AF268)*Inputs!$D$66</f>
        <v>-18429.1885952611</v>
      </c>
      <c r="AH269" s="67" t="n">
        <f aca="false">-(AH268-AG268)*Inputs!$D$66</f>
        <v>-18435.0219285944</v>
      </c>
      <c r="AI269" s="67" t="n">
        <f aca="false">-(AI268-AH268)*Inputs!$D$66</f>
        <v>-16177.2190334188</v>
      </c>
      <c r="AJ269" s="67" t="n">
        <f aca="false">-(AJ268-AI268)*Inputs!$D$66</f>
        <v>-16183.0523667521</v>
      </c>
      <c r="AK269" s="67" t="n">
        <f aca="false">-(AK268-AJ268)*Inputs!$D$66</f>
        <v>-16188.8857000855</v>
      </c>
      <c r="AL269" s="67" t="n">
        <f aca="false">-(AL268-AK268)*Inputs!$D$66</f>
        <v>-16194.7190334188</v>
      </c>
    </row>
    <row r="270" customFormat="false" ht="15" hidden="false" customHeight="false" outlineLevel="0" collapsed="false">
      <c r="A270" s="113" t="s">
        <v>50</v>
      </c>
      <c r="C270" s="68" t="n">
        <f aca="false">C266+C269</f>
        <v>30039.0258333333</v>
      </c>
      <c r="D270" s="68" t="n">
        <f aca="false">D266+D269</f>
        <v>30049.9980555556</v>
      </c>
      <c r="E270" s="68" t="n">
        <f aca="false">E266+E269</f>
        <v>30071.9425</v>
      </c>
      <c r="F270" s="68" t="n">
        <f aca="false">F266+F269</f>
        <v>30093.8869444444</v>
      </c>
      <c r="G270" s="68" t="n">
        <f aca="false">G266+G269</f>
        <v>30115.8313888889</v>
      </c>
      <c r="H270" s="68" t="n">
        <f aca="false">H266+H269</f>
        <v>46216.4098208333</v>
      </c>
      <c r="I270" s="68" t="n">
        <f aca="false">I266+I269</f>
        <v>46238.3542652778</v>
      </c>
      <c r="J270" s="68" t="n">
        <f aca="false">J266+J269</f>
        <v>46260.2987097222</v>
      </c>
      <c r="K270" s="68" t="n">
        <f aca="false">K266+K269</f>
        <v>30203.6091666667</v>
      </c>
      <c r="L270" s="68" t="n">
        <f aca="false">L266+L269</f>
        <v>30225.5536111111</v>
      </c>
      <c r="M270" s="68" t="n">
        <f aca="false">M266+M269</f>
        <v>30247.4980555556</v>
      </c>
      <c r="N270" s="68" t="n">
        <f aca="false">N266+N269</f>
        <v>30269.4425</v>
      </c>
      <c r="O270" s="68" t="n">
        <f aca="false">O266+O269</f>
        <v>43468.6006904444</v>
      </c>
      <c r="P270" s="68" t="n">
        <f aca="false">P266+P269</f>
        <v>43490.5451348889</v>
      </c>
      <c r="Q270" s="68" t="n">
        <f aca="false">Q266+Q269</f>
        <v>43512.4895793333</v>
      </c>
      <c r="R270" s="68" t="n">
        <f aca="false">R266+R269</f>
        <v>43534.4340237778</v>
      </c>
      <c r="S270" s="68" t="n">
        <f aca="false">S266+S269</f>
        <v>43556.3784682222</v>
      </c>
      <c r="T270" s="68" t="n">
        <f aca="false">T266+T269</f>
        <v>56746.8294493067</v>
      </c>
      <c r="U270" s="68" t="n">
        <f aca="false">U266+U269</f>
        <v>56768.7738937511</v>
      </c>
      <c r="V270" s="68" t="n">
        <f aca="false">V266+V269</f>
        <v>56790.7183381956</v>
      </c>
      <c r="W270" s="68" t="n">
        <f aca="false">W266+W269</f>
        <v>43644.156246</v>
      </c>
      <c r="X270" s="68" t="n">
        <f aca="false">X266+X269</f>
        <v>43666.1006904444</v>
      </c>
      <c r="Y270" s="68" t="n">
        <f aca="false">Y266+Y269</f>
        <v>43688.0451348889</v>
      </c>
      <c r="Z270" s="68" t="n">
        <f aca="false">Z266+Z269</f>
        <v>43709.9895793333</v>
      </c>
      <c r="AA270" s="68" t="n">
        <f aca="false">AA266+AA269</f>
        <v>60681.601760639</v>
      </c>
      <c r="AB270" s="68" t="n">
        <f aca="false">AB266+AB269</f>
        <v>60703.5462050835</v>
      </c>
      <c r="AC270" s="68" t="n">
        <f aca="false">AC266+AC269</f>
        <v>60725.4906495279</v>
      </c>
      <c r="AD270" s="68" t="n">
        <f aca="false">AD266+AD269</f>
        <v>60747.4350939723</v>
      </c>
      <c r="AE270" s="68" t="n">
        <f aca="false">AE266+AE269</f>
        <v>60769.3795384168</v>
      </c>
      <c r="AF270" s="68" t="n">
        <f aca="false">AF266+AF269</f>
        <v>69306.9078901091</v>
      </c>
      <c r="AG270" s="68" t="n">
        <f aca="false">AG266+AG269</f>
        <v>69328.8523345536</v>
      </c>
      <c r="AH270" s="68" t="n">
        <f aca="false">AH266+AH269</f>
        <v>69350.796778998</v>
      </c>
      <c r="AI270" s="68" t="n">
        <f aca="false">AI266+AI269</f>
        <v>60857.1573161946</v>
      </c>
      <c r="AJ270" s="68" t="n">
        <f aca="false">AJ266+AJ269</f>
        <v>60879.101760639</v>
      </c>
      <c r="AK270" s="68" t="n">
        <f aca="false">AK266+AK269</f>
        <v>60901.0462050834</v>
      </c>
      <c r="AL270" s="68" t="n">
        <f aca="false">AL266+AL269</f>
        <v>60922.9906495279</v>
      </c>
    </row>
    <row r="272" customFormat="false" ht="15.75" hidden="false" customHeight="true" outlineLevel="0" collapsed="false">
      <c r="A272" s="7" t="s">
        <v>391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</row>
    <row r="273" customFormat="false" ht="15" hidden="false" customHeight="false" outlineLevel="0" collapsed="false">
      <c r="A273" s="6" t="s">
        <v>392</v>
      </c>
      <c r="C273" s="67" t="n">
        <f aca="false">Inputs!$D$37+MAX(0,C228-Inputs!$D$39)*Inputs!$D$38</f>
        <v>20000</v>
      </c>
      <c r="D273" s="67" t="n">
        <f aca="false">MAX(0,D228-C228)*Inputs!$D$38</f>
        <v>0</v>
      </c>
      <c r="E273" s="67" t="n">
        <f aca="false">MAX(0,E228-D228)*Inputs!$D$38</f>
        <v>0</v>
      </c>
      <c r="F273" s="67" t="n">
        <f aca="false">MAX(0,F228-E228)*Inputs!$D$38</f>
        <v>0</v>
      </c>
      <c r="G273" s="67" t="n">
        <f aca="false">MAX(0,G228-F228)*Inputs!$D$38</f>
        <v>0</v>
      </c>
      <c r="H273" s="67" t="n">
        <f aca="false">MAX(0,H228-G228)*Inputs!$D$38</f>
        <v>0</v>
      </c>
      <c r="I273" s="67" t="n">
        <f aca="false">MAX(0,I228-H228)*Inputs!$D$38</f>
        <v>0</v>
      </c>
      <c r="J273" s="67" t="n">
        <f aca="false">MAX(0,J228-I228)*Inputs!$D$38</f>
        <v>0</v>
      </c>
      <c r="K273" s="67" t="n">
        <f aca="false">MAX(0,K228-J228)*Inputs!$D$38</f>
        <v>0</v>
      </c>
      <c r="L273" s="67" t="n">
        <f aca="false">MAX(0,L228-K228)*Inputs!$D$38</f>
        <v>0</v>
      </c>
      <c r="M273" s="67" t="n">
        <f aca="false">MAX(0,M228-L228)*Inputs!$D$38</f>
        <v>0</v>
      </c>
      <c r="N273" s="67" t="n">
        <f aca="false">MAX(0,N228-M228)*Inputs!$D$38</f>
        <v>0</v>
      </c>
      <c r="O273" s="67" t="n">
        <f aca="false">MAX(0,O228-N228)*Inputs!$D$38</f>
        <v>36120</v>
      </c>
      <c r="P273" s="67" t="n">
        <f aca="false">MAX(0,P228-O228)*Inputs!$D$38</f>
        <v>0</v>
      </c>
      <c r="Q273" s="67" t="n">
        <f aca="false">MAX(0,Q228-P228)*Inputs!$D$38</f>
        <v>0</v>
      </c>
      <c r="R273" s="67" t="n">
        <f aca="false">MAX(0,R228-Q228)*Inputs!$D$38</f>
        <v>0</v>
      </c>
      <c r="S273" s="67" t="n">
        <f aca="false">MAX(0,S228-R228)*Inputs!$D$38</f>
        <v>0</v>
      </c>
      <c r="T273" s="67" t="n">
        <f aca="false">MAX(0,T228-S228)*Inputs!$D$38</f>
        <v>0</v>
      </c>
      <c r="U273" s="67" t="n">
        <f aca="false">MAX(0,U228-T228)*Inputs!$D$38</f>
        <v>0</v>
      </c>
      <c r="V273" s="67" t="n">
        <f aca="false">MAX(0,V228-U228)*Inputs!$D$38</f>
        <v>0</v>
      </c>
      <c r="W273" s="67" t="n">
        <f aca="false">MAX(0,W228-V228)*Inputs!$D$38</f>
        <v>0</v>
      </c>
      <c r="X273" s="67" t="n">
        <f aca="false">MAX(0,X228-W228)*Inputs!$D$38</f>
        <v>0</v>
      </c>
      <c r="Y273" s="67" t="n">
        <f aca="false">MAX(0,Y228-X228)*Inputs!$D$38</f>
        <v>0</v>
      </c>
      <c r="Z273" s="67" t="n">
        <f aca="false">MAX(0,Z228-Y228)*Inputs!$D$38</f>
        <v>0</v>
      </c>
      <c r="AA273" s="67" t="n">
        <f aca="false">MAX(0,AA228-Z228)*Inputs!$D$38</f>
        <v>40454.4</v>
      </c>
      <c r="AB273" s="67" t="n">
        <f aca="false">MAX(0,AB228-AA228)*Inputs!$D$38</f>
        <v>0</v>
      </c>
      <c r="AC273" s="67" t="n">
        <f aca="false">MAX(0,AC228-AB228)*Inputs!$D$38</f>
        <v>0</v>
      </c>
      <c r="AD273" s="67" t="n">
        <f aca="false">MAX(0,AD228-AC228)*Inputs!$D$38</f>
        <v>0</v>
      </c>
      <c r="AE273" s="67" t="n">
        <f aca="false">MAX(0,AE228-AD228)*Inputs!$D$38</f>
        <v>0</v>
      </c>
      <c r="AF273" s="67" t="n">
        <f aca="false">MAX(0,AF228-AE228)*Inputs!$D$38</f>
        <v>0</v>
      </c>
      <c r="AG273" s="67" t="n">
        <f aca="false">MAX(0,AG228-AF228)*Inputs!$D$38</f>
        <v>0</v>
      </c>
      <c r="AH273" s="67" t="n">
        <f aca="false">MAX(0,AH228-AG228)*Inputs!$D$38</f>
        <v>0</v>
      </c>
      <c r="AI273" s="67" t="n">
        <f aca="false">MAX(0,AI228-AH228)*Inputs!$D$38</f>
        <v>0</v>
      </c>
      <c r="AJ273" s="67" t="n">
        <f aca="false">MAX(0,AJ228-AI228)*Inputs!$D$38</f>
        <v>0</v>
      </c>
      <c r="AK273" s="67" t="n">
        <f aca="false">MAX(0,AK228-AJ228)*Inputs!$D$38</f>
        <v>0</v>
      </c>
      <c r="AL273" s="67" t="n">
        <f aca="false">MAX(0,AL228-AK228)*Inputs!$D$38</f>
        <v>0</v>
      </c>
    </row>
    <row r="274" customFormat="false" ht="15" hidden="false" customHeight="false" outlineLevel="0" collapsed="false">
      <c r="A274" s="6" t="s">
        <v>393</v>
      </c>
      <c r="C274" s="67" t="n">
        <f aca="false">C273</f>
        <v>20000</v>
      </c>
      <c r="D274" s="67" t="n">
        <f aca="false">C274+D273</f>
        <v>20000</v>
      </c>
      <c r="E274" s="67" t="n">
        <f aca="false">D274+E273</f>
        <v>20000</v>
      </c>
      <c r="F274" s="67" t="n">
        <f aca="false">E274+F273</f>
        <v>20000</v>
      </c>
      <c r="G274" s="67" t="n">
        <f aca="false">F274+G273</f>
        <v>20000</v>
      </c>
      <c r="H274" s="67" t="n">
        <f aca="false">G274+H273</f>
        <v>20000</v>
      </c>
      <c r="I274" s="67" t="n">
        <f aca="false">H274+I273</f>
        <v>20000</v>
      </c>
      <c r="J274" s="67" t="n">
        <f aca="false">I274+J273</f>
        <v>20000</v>
      </c>
      <c r="K274" s="67" t="n">
        <f aca="false">J274+K273</f>
        <v>20000</v>
      </c>
      <c r="L274" s="67" t="n">
        <f aca="false">K274+L273</f>
        <v>20000</v>
      </c>
      <c r="M274" s="67" t="n">
        <f aca="false">L274+M273</f>
        <v>20000</v>
      </c>
      <c r="N274" s="67" t="n">
        <f aca="false">M274+N273</f>
        <v>20000</v>
      </c>
      <c r="O274" s="67" t="n">
        <f aca="false">N274+O273</f>
        <v>56120</v>
      </c>
      <c r="P274" s="67" t="n">
        <f aca="false">O274+P273</f>
        <v>56120</v>
      </c>
      <c r="Q274" s="67" t="n">
        <f aca="false">P274+Q273</f>
        <v>56120</v>
      </c>
      <c r="R274" s="67" t="n">
        <f aca="false">Q274+R273</f>
        <v>56120</v>
      </c>
      <c r="S274" s="67" t="n">
        <f aca="false">R274+S273</f>
        <v>56120</v>
      </c>
      <c r="T274" s="67" t="n">
        <f aca="false">S274+T273</f>
        <v>56120</v>
      </c>
      <c r="U274" s="67" t="n">
        <f aca="false">T274+U273</f>
        <v>56120</v>
      </c>
      <c r="V274" s="67" t="n">
        <f aca="false">U274+V273</f>
        <v>56120</v>
      </c>
      <c r="W274" s="67" t="n">
        <f aca="false">V274+W273</f>
        <v>56120</v>
      </c>
      <c r="X274" s="67" t="n">
        <f aca="false">W274+X273</f>
        <v>56120</v>
      </c>
      <c r="Y274" s="67" t="n">
        <f aca="false">X274+Y273</f>
        <v>56120</v>
      </c>
      <c r="Z274" s="67" t="n">
        <f aca="false">Y274+Z273</f>
        <v>56120</v>
      </c>
      <c r="AA274" s="67" t="n">
        <f aca="false">Z274+AA273</f>
        <v>96574.4000000001</v>
      </c>
      <c r="AB274" s="67" t="n">
        <f aca="false">AA274+AB273</f>
        <v>96574.4000000001</v>
      </c>
      <c r="AC274" s="67" t="n">
        <f aca="false">AB274+AC273</f>
        <v>96574.4000000001</v>
      </c>
      <c r="AD274" s="67" t="n">
        <f aca="false">AC274+AD273</f>
        <v>96574.4000000001</v>
      </c>
      <c r="AE274" s="67" t="n">
        <f aca="false">AD274+AE273</f>
        <v>96574.4000000001</v>
      </c>
      <c r="AF274" s="67" t="n">
        <f aca="false">AE274+AF273</f>
        <v>96574.4000000001</v>
      </c>
      <c r="AG274" s="67" t="n">
        <f aca="false">AF274+AG273</f>
        <v>96574.4000000001</v>
      </c>
      <c r="AH274" s="67" t="n">
        <f aca="false">AG274+AH273</f>
        <v>96574.4000000001</v>
      </c>
      <c r="AI274" s="67" t="n">
        <f aca="false">AH274+AI273</f>
        <v>96574.4000000001</v>
      </c>
      <c r="AJ274" s="67" t="n">
        <f aca="false">AI274+AJ273</f>
        <v>96574.4000000001</v>
      </c>
      <c r="AK274" s="67" t="n">
        <f aca="false">AJ274+AK273</f>
        <v>96574.4000000001</v>
      </c>
      <c r="AL274" s="67" t="n">
        <f aca="false">AK274+AL273</f>
        <v>96574.4000000001</v>
      </c>
    </row>
    <row r="275" customFormat="false" ht="15" hidden="false" customHeight="false" outlineLevel="0" collapsed="false">
      <c r="A275" s="6" t="s">
        <v>77</v>
      </c>
      <c r="C275" s="67" t="n">
        <f aca="false">-MIN(C274/MAX(1,Inputs!$D$65*12),C273)</f>
        <v>-333.333333333333</v>
      </c>
      <c r="D275" s="67" t="n">
        <f aca="false">-MIN(D274/MAX(1,Inputs!$D$65*12),C277+D273)</f>
        <v>-333.333333333333</v>
      </c>
      <c r="E275" s="67" t="n">
        <f aca="false">-MIN(E274/MAX(1,Inputs!$D$65*12),D277+E273)</f>
        <v>-333.333333333333</v>
      </c>
      <c r="F275" s="67" t="n">
        <f aca="false">-MIN(F274/MAX(1,Inputs!$D$65*12),E277+F273)</f>
        <v>-333.333333333333</v>
      </c>
      <c r="G275" s="67" t="n">
        <f aca="false">-MIN(G274/MAX(1,Inputs!$D$65*12),F277+G273)</f>
        <v>-333.333333333333</v>
      </c>
      <c r="H275" s="67" t="n">
        <f aca="false">-MIN(H274/MAX(1,Inputs!$D$65*12),G277+H273)</f>
        <v>-333.333333333333</v>
      </c>
      <c r="I275" s="67" t="n">
        <f aca="false">-MIN(I274/MAX(1,Inputs!$D$65*12),H277+I273)</f>
        <v>-333.333333333333</v>
      </c>
      <c r="J275" s="67" t="n">
        <f aca="false">-MIN(J274/MAX(1,Inputs!$D$65*12),I277+J273)</f>
        <v>-333.333333333333</v>
      </c>
      <c r="K275" s="67" t="n">
        <f aca="false">-MIN(K274/MAX(1,Inputs!$D$65*12),J277+K273)</f>
        <v>-333.333333333333</v>
      </c>
      <c r="L275" s="67" t="n">
        <f aca="false">-MIN(L274/MAX(1,Inputs!$D$65*12),K277+L273)</f>
        <v>-333.333333333333</v>
      </c>
      <c r="M275" s="67" t="n">
        <f aca="false">-MIN(M274/MAX(1,Inputs!$D$65*12),L277+M273)</f>
        <v>-333.333333333333</v>
      </c>
      <c r="N275" s="67" t="n">
        <f aca="false">-MIN(N274/MAX(1,Inputs!$D$65*12),M277+N273)</f>
        <v>-333.333333333333</v>
      </c>
      <c r="O275" s="67" t="n">
        <f aca="false">-MIN(O274/MAX(1,Inputs!$D$65*12),N277+O273)</f>
        <v>-935.333333333334</v>
      </c>
      <c r="P275" s="67" t="n">
        <f aca="false">-MIN(P274/MAX(1,Inputs!$D$65*12),O277+P273)</f>
        <v>-935.333333333334</v>
      </c>
      <c r="Q275" s="67" t="n">
        <f aca="false">-MIN(Q274/MAX(1,Inputs!$D$65*12),P277+Q273)</f>
        <v>-935.333333333334</v>
      </c>
      <c r="R275" s="67" t="n">
        <f aca="false">-MIN(R274/MAX(1,Inputs!$D$65*12),Q277+R273)</f>
        <v>-935.333333333334</v>
      </c>
      <c r="S275" s="67" t="n">
        <f aca="false">-MIN(S274/MAX(1,Inputs!$D$65*12),R277+S273)</f>
        <v>-935.333333333334</v>
      </c>
      <c r="T275" s="67" t="n">
        <f aca="false">-MIN(T274/MAX(1,Inputs!$D$65*12),S277+T273)</f>
        <v>-935.333333333334</v>
      </c>
      <c r="U275" s="67" t="n">
        <f aca="false">-MIN(U274/MAX(1,Inputs!$D$65*12),T277+U273)</f>
        <v>-935.333333333334</v>
      </c>
      <c r="V275" s="67" t="n">
        <f aca="false">-MIN(V274/MAX(1,Inputs!$D$65*12),U277+V273)</f>
        <v>-935.333333333334</v>
      </c>
      <c r="W275" s="67" t="n">
        <f aca="false">-MIN(W274/MAX(1,Inputs!$D$65*12),V277+W273)</f>
        <v>-935.333333333334</v>
      </c>
      <c r="X275" s="67" t="n">
        <f aca="false">-MIN(X274/MAX(1,Inputs!$D$65*12),W277+X273)</f>
        <v>-935.333333333334</v>
      </c>
      <c r="Y275" s="67" t="n">
        <f aca="false">-MIN(Y274/MAX(1,Inputs!$D$65*12),X277+Y273)</f>
        <v>-935.333333333334</v>
      </c>
      <c r="Z275" s="67" t="n">
        <f aca="false">-MIN(Z274/MAX(1,Inputs!$D$65*12),Y277+Z273)</f>
        <v>-935.333333333334</v>
      </c>
      <c r="AA275" s="67" t="n">
        <f aca="false">-MIN(AA274/MAX(1,Inputs!$D$65*12),Z277+AA273)</f>
        <v>-1609.57333333333</v>
      </c>
      <c r="AB275" s="67" t="n">
        <f aca="false">-MIN(AB274/MAX(1,Inputs!$D$65*12),AA277+AB273)</f>
        <v>-1609.57333333333</v>
      </c>
      <c r="AC275" s="67" t="n">
        <f aca="false">-MIN(AC274/MAX(1,Inputs!$D$65*12),AB277+AC273)</f>
        <v>-1609.57333333333</v>
      </c>
      <c r="AD275" s="67" t="n">
        <f aca="false">-MIN(AD274/MAX(1,Inputs!$D$65*12),AC277+AD273)</f>
        <v>-1609.57333333333</v>
      </c>
      <c r="AE275" s="67" t="n">
        <f aca="false">-MIN(AE274/MAX(1,Inputs!$D$65*12),AD277+AE273)</f>
        <v>-1609.57333333333</v>
      </c>
      <c r="AF275" s="67" t="n">
        <f aca="false">-MIN(AF274/MAX(1,Inputs!$D$65*12),AE277+AF273)</f>
        <v>-1609.57333333333</v>
      </c>
      <c r="AG275" s="67" t="n">
        <f aca="false">-MIN(AG274/MAX(1,Inputs!$D$65*12),AF277+AG273)</f>
        <v>-1609.57333333333</v>
      </c>
      <c r="AH275" s="67" t="n">
        <f aca="false">-MIN(AH274/MAX(1,Inputs!$D$65*12),AG277+AH273)</f>
        <v>-1609.57333333333</v>
      </c>
      <c r="AI275" s="67" t="n">
        <f aca="false">-MIN(AI274/MAX(1,Inputs!$D$65*12),AH277+AI273)</f>
        <v>-1609.57333333333</v>
      </c>
      <c r="AJ275" s="67" t="n">
        <f aca="false">-MIN(AJ274/MAX(1,Inputs!$D$65*12),AI277+AJ273)</f>
        <v>-1609.57333333333</v>
      </c>
      <c r="AK275" s="67" t="n">
        <f aca="false">-MIN(AK274/MAX(1,Inputs!$D$65*12),AJ277+AK273)</f>
        <v>-1609.57333333333</v>
      </c>
      <c r="AL275" s="67" t="n">
        <f aca="false">-MIN(AL274/MAX(1,Inputs!$D$65*12),AK277+AL273)</f>
        <v>-1609.57333333333</v>
      </c>
    </row>
    <row r="276" customFormat="false" ht="15" hidden="false" customHeight="false" outlineLevel="0" collapsed="false">
      <c r="A276" s="6" t="s">
        <v>394</v>
      </c>
      <c r="C276" s="67" t="n">
        <f aca="false">C275</f>
        <v>-333.333333333333</v>
      </c>
      <c r="D276" s="67" t="n">
        <f aca="false">C276+D275</f>
        <v>-666.666666666667</v>
      </c>
      <c r="E276" s="67" t="n">
        <f aca="false">D276+E275</f>
        <v>-1000</v>
      </c>
      <c r="F276" s="67" t="n">
        <f aca="false">E276+F275</f>
        <v>-1333.33333333333</v>
      </c>
      <c r="G276" s="67" t="n">
        <f aca="false">F276+G275</f>
        <v>-1666.66666666667</v>
      </c>
      <c r="H276" s="67" t="n">
        <f aca="false">G276+H275</f>
        <v>-2000</v>
      </c>
      <c r="I276" s="67" t="n">
        <f aca="false">H276+I275</f>
        <v>-2333.33333333333</v>
      </c>
      <c r="J276" s="67" t="n">
        <f aca="false">I276+J275</f>
        <v>-2666.66666666667</v>
      </c>
      <c r="K276" s="67" t="n">
        <f aca="false">J276+K275</f>
        <v>-3000</v>
      </c>
      <c r="L276" s="67" t="n">
        <f aca="false">K276+L275</f>
        <v>-3333.33333333333</v>
      </c>
      <c r="M276" s="67" t="n">
        <f aca="false">L276+M275</f>
        <v>-3666.66666666667</v>
      </c>
      <c r="N276" s="67" t="n">
        <f aca="false">M276+N275</f>
        <v>-4000</v>
      </c>
      <c r="O276" s="67" t="n">
        <f aca="false">N276+O275</f>
        <v>-4935.33333333333</v>
      </c>
      <c r="P276" s="67" t="n">
        <f aca="false">O276+P275</f>
        <v>-5870.66666666667</v>
      </c>
      <c r="Q276" s="67" t="n">
        <f aca="false">P276+Q275</f>
        <v>-6806</v>
      </c>
      <c r="R276" s="67" t="n">
        <f aca="false">Q276+R275</f>
        <v>-7741.33333333334</v>
      </c>
      <c r="S276" s="67" t="n">
        <f aca="false">R276+S275</f>
        <v>-8676.66666666667</v>
      </c>
      <c r="T276" s="67" t="n">
        <f aca="false">S276+T275</f>
        <v>-9612</v>
      </c>
      <c r="U276" s="67" t="n">
        <f aca="false">T276+U275</f>
        <v>-10547.3333333333</v>
      </c>
      <c r="V276" s="67" t="n">
        <f aca="false">U276+V275</f>
        <v>-11482.6666666667</v>
      </c>
      <c r="W276" s="67" t="n">
        <f aca="false">V276+W275</f>
        <v>-12418</v>
      </c>
      <c r="X276" s="67" t="n">
        <f aca="false">W276+X275</f>
        <v>-13353.3333333333</v>
      </c>
      <c r="Y276" s="67" t="n">
        <f aca="false">X276+Y275</f>
        <v>-14288.6666666667</v>
      </c>
      <c r="Z276" s="67" t="n">
        <f aca="false">Y276+Z275</f>
        <v>-15224</v>
      </c>
      <c r="AA276" s="67" t="n">
        <f aca="false">Z276+AA275</f>
        <v>-16833.5733333333</v>
      </c>
      <c r="AB276" s="67" t="n">
        <f aca="false">AA276+AB275</f>
        <v>-18443.1466666667</v>
      </c>
      <c r="AC276" s="67" t="n">
        <f aca="false">AB276+AC275</f>
        <v>-20052.72</v>
      </c>
      <c r="AD276" s="67" t="n">
        <f aca="false">AC276+AD275</f>
        <v>-21662.2933333333</v>
      </c>
      <c r="AE276" s="67" t="n">
        <f aca="false">AD276+AE275</f>
        <v>-23271.8666666667</v>
      </c>
      <c r="AF276" s="67" t="n">
        <f aca="false">AE276+AF275</f>
        <v>-24881.44</v>
      </c>
      <c r="AG276" s="67" t="n">
        <f aca="false">AF276+AG275</f>
        <v>-26491.0133333333</v>
      </c>
      <c r="AH276" s="67" t="n">
        <f aca="false">AG276+AH275</f>
        <v>-28100.5866666667</v>
      </c>
      <c r="AI276" s="67" t="n">
        <f aca="false">AH276+AI275</f>
        <v>-29710.16</v>
      </c>
      <c r="AJ276" s="67" t="n">
        <f aca="false">AI276+AJ275</f>
        <v>-31319.7333333333</v>
      </c>
      <c r="AK276" s="67" t="n">
        <f aca="false">AJ276+AK275</f>
        <v>-32929.3066666667</v>
      </c>
      <c r="AL276" s="67" t="n">
        <f aca="false">AK276+AL275</f>
        <v>-34538.88</v>
      </c>
    </row>
    <row r="277" customFormat="false" ht="15" hidden="false" customHeight="false" outlineLevel="0" collapsed="false">
      <c r="A277" s="4" t="s">
        <v>91</v>
      </c>
      <c r="C277" s="73" t="n">
        <f aca="false">C274+C276</f>
        <v>19666.6666666667</v>
      </c>
      <c r="D277" s="73" t="n">
        <f aca="false">D274+D276</f>
        <v>19333.3333333333</v>
      </c>
      <c r="E277" s="73" t="n">
        <f aca="false">E274+E276</f>
        <v>19000</v>
      </c>
      <c r="F277" s="73" t="n">
        <f aca="false">F274+F276</f>
        <v>18666.6666666667</v>
      </c>
      <c r="G277" s="73" t="n">
        <f aca="false">G274+G276</f>
        <v>18333.3333333333</v>
      </c>
      <c r="H277" s="73" t="n">
        <f aca="false">H274+H276</f>
        <v>18000</v>
      </c>
      <c r="I277" s="73" t="n">
        <f aca="false">I274+I276</f>
        <v>17666.6666666667</v>
      </c>
      <c r="J277" s="73" t="n">
        <f aca="false">J274+J276</f>
        <v>17333.3333333333</v>
      </c>
      <c r="K277" s="73" t="n">
        <f aca="false">K274+K276</f>
        <v>17000</v>
      </c>
      <c r="L277" s="73" t="n">
        <f aca="false">L274+L276</f>
        <v>16666.6666666667</v>
      </c>
      <c r="M277" s="73" t="n">
        <f aca="false">M274+M276</f>
        <v>16333.3333333333</v>
      </c>
      <c r="N277" s="73" t="n">
        <f aca="false">N274+N276</f>
        <v>16000</v>
      </c>
      <c r="O277" s="73" t="n">
        <f aca="false">O274+O276</f>
        <v>51184.6666666667</v>
      </c>
      <c r="P277" s="73" t="n">
        <f aca="false">P274+P276</f>
        <v>50249.3333333334</v>
      </c>
      <c r="Q277" s="73" t="n">
        <f aca="false">Q274+Q276</f>
        <v>49314</v>
      </c>
      <c r="R277" s="73" t="n">
        <f aca="false">R274+R276</f>
        <v>48378.6666666667</v>
      </c>
      <c r="S277" s="73" t="n">
        <f aca="false">S274+S276</f>
        <v>47443.3333333334</v>
      </c>
      <c r="T277" s="73" t="n">
        <f aca="false">T274+T276</f>
        <v>46508</v>
      </c>
      <c r="U277" s="73" t="n">
        <f aca="false">U274+U276</f>
        <v>45572.6666666667</v>
      </c>
      <c r="V277" s="73" t="n">
        <f aca="false">V274+V276</f>
        <v>44637.3333333334</v>
      </c>
      <c r="W277" s="73" t="n">
        <f aca="false">W274+W276</f>
        <v>43702</v>
      </c>
      <c r="X277" s="73" t="n">
        <f aca="false">X274+X276</f>
        <v>42766.6666666667</v>
      </c>
      <c r="Y277" s="73" t="n">
        <f aca="false">Y274+Y276</f>
        <v>41831.3333333334</v>
      </c>
      <c r="Z277" s="73" t="n">
        <f aca="false">Z274+Z276</f>
        <v>40896</v>
      </c>
      <c r="AA277" s="73" t="n">
        <f aca="false">AA274+AA276</f>
        <v>79740.8266666667</v>
      </c>
      <c r="AB277" s="73" t="n">
        <f aca="false">AB274+AB276</f>
        <v>78131.2533333334</v>
      </c>
      <c r="AC277" s="73" t="n">
        <f aca="false">AC274+AC276</f>
        <v>76521.6800000001</v>
      </c>
      <c r="AD277" s="73" t="n">
        <f aca="false">AD274+AD276</f>
        <v>74912.1066666667</v>
      </c>
      <c r="AE277" s="73" t="n">
        <f aca="false">AE274+AE276</f>
        <v>73302.5333333334</v>
      </c>
      <c r="AF277" s="73" t="n">
        <f aca="false">AF274+AF276</f>
        <v>71692.9600000001</v>
      </c>
      <c r="AG277" s="73" t="n">
        <f aca="false">AG274+AG276</f>
        <v>70083.3866666667</v>
      </c>
      <c r="AH277" s="73" t="n">
        <f aca="false">AH274+AH276</f>
        <v>68473.8133333334</v>
      </c>
      <c r="AI277" s="73" t="n">
        <f aca="false">AI274+AI276</f>
        <v>66864.2400000001</v>
      </c>
      <c r="AJ277" s="73" t="n">
        <f aca="false">AJ274+AJ276</f>
        <v>65254.6666666667</v>
      </c>
      <c r="AK277" s="73" t="n">
        <f aca="false">AK274+AK276</f>
        <v>63645.0933333334</v>
      </c>
      <c r="AL277" s="73" t="n">
        <f aca="false">AL274+AL276</f>
        <v>62035.52</v>
      </c>
    </row>
    <row r="279" customFormat="false" ht="15.75" hidden="false" customHeight="true" outlineLevel="0" collapsed="false">
      <c r="A279" s="7" t="s">
        <v>395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</row>
    <row r="280" customFormat="false" ht="15" hidden="false" customHeight="false" outlineLevel="0" collapsed="false">
      <c r="A280" s="6" t="s">
        <v>396</v>
      </c>
      <c r="C280" s="67" t="n">
        <f aca="false">0</f>
        <v>0</v>
      </c>
      <c r="D280" s="67" t="n">
        <f aca="false">C283</f>
        <v>250000</v>
      </c>
      <c r="E280" s="67" t="n">
        <f aca="false">D283</f>
        <v>245833.333333333</v>
      </c>
      <c r="F280" s="67" t="n">
        <f aca="false">E283</f>
        <v>241666.666666667</v>
      </c>
      <c r="G280" s="67" t="n">
        <f aca="false">F283</f>
        <v>237500</v>
      </c>
      <c r="H280" s="67" t="n">
        <f aca="false">G283</f>
        <v>233333.333333333</v>
      </c>
      <c r="I280" s="67" t="n">
        <f aca="false">H283</f>
        <v>229166.666666667</v>
      </c>
      <c r="J280" s="67" t="n">
        <f aca="false">I283</f>
        <v>225000</v>
      </c>
      <c r="K280" s="67" t="n">
        <f aca="false">J283</f>
        <v>220833.333333333</v>
      </c>
      <c r="L280" s="67" t="n">
        <f aca="false">K283</f>
        <v>216666.666666667</v>
      </c>
      <c r="M280" s="67" t="n">
        <f aca="false">L283</f>
        <v>212500</v>
      </c>
      <c r="N280" s="67" t="n">
        <f aca="false">M283</f>
        <v>208333.333333333</v>
      </c>
      <c r="O280" s="67" t="n">
        <f aca="false">N283</f>
        <v>204166.666666667</v>
      </c>
      <c r="P280" s="67" t="n">
        <f aca="false">O283</f>
        <v>200000</v>
      </c>
      <c r="Q280" s="67" t="n">
        <f aca="false">P283</f>
        <v>195833.333333333</v>
      </c>
      <c r="R280" s="67" t="n">
        <f aca="false">Q283</f>
        <v>191666.666666667</v>
      </c>
      <c r="S280" s="67" t="n">
        <f aca="false">R283</f>
        <v>187500</v>
      </c>
      <c r="T280" s="67" t="n">
        <f aca="false">S283</f>
        <v>183333.333333334</v>
      </c>
      <c r="U280" s="67" t="n">
        <f aca="false">T283</f>
        <v>179166.666666667</v>
      </c>
      <c r="V280" s="67" t="n">
        <f aca="false">U283</f>
        <v>175000</v>
      </c>
      <c r="W280" s="67" t="n">
        <f aca="false">V283</f>
        <v>170833.333333334</v>
      </c>
      <c r="X280" s="67" t="n">
        <f aca="false">W283</f>
        <v>166666.666666667</v>
      </c>
      <c r="Y280" s="67" t="n">
        <f aca="false">X283</f>
        <v>162500</v>
      </c>
      <c r="Z280" s="67" t="n">
        <f aca="false">Y283</f>
        <v>158333.333333334</v>
      </c>
      <c r="AA280" s="67" t="n">
        <f aca="false">Z283</f>
        <v>154166.666666667</v>
      </c>
      <c r="AB280" s="67" t="n">
        <f aca="false">AA283</f>
        <v>150000</v>
      </c>
      <c r="AC280" s="67" t="n">
        <f aca="false">AB283</f>
        <v>145833.333333334</v>
      </c>
      <c r="AD280" s="67" t="n">
        <f aca="false">AC283</f>
        <v>141666.666666667</v>
      </c>
      <c r="AE280" s="67" t="n">
        <f aca="false">AD283</f>
        <v>137500</v>
      </c>
      <c r="AF280" s="67" t="n">
        <f aca="false">AE283</f>
        <v>133333.333333334</v>
      </c>
      <c r="AG280" s="67" t="n">
        <f aca="false">AF283</f>
        <v>129166.666666667</v>
      </c>
      <c r="AH280" s="67" t="n">
        <f aca="false">AG283</f>
        <v>125000</v>
      </c>
      <c r="AI280" s="67" t="n">
        <f aca="false">AH283</f>
        <v>120833.333333334</v>
      </c>
      <c r="AJ280" s="67" t="n">
        <f aca="false">AI283</f>
        <v>116666.666666667</v>
      </c>
      <c r="AK280" s="67" t="n">
        <f aca="false">AJ283</f>
        <v>112500</v>
      </c>
      <c r="AL280" s="67" t="n">
        <f aca="false">AK283</f>
        <v>108333.333333334</v>
      </c>
    </row>
    <row r="281" customFormat="false" ht="15" hidden="false" customHeight="false" outlineLevel="0" collapsed="false">
      <c r="A281" s="6" t="s">
        <v>84</v>
      </c>
      <c r="C281" s="67" t="n">
        <f aca="false">IF(C$224=1,Inputs!$D$55,0)</f>
        <v>250000</v>
      </c>
      <c r="D281" s="67" t="n">
        <f aca="false">IF(D$224=1,Inputs!$D$55,0)</f>
        <v>0</v>
      </c>
      <c r="E281" s="67" t="n">
        <f aca="false">IF(E$224=1,Inputs!$D$55,0)</f>
        <v>0</v>
      </c>
      <c r="F281" s="67" t="n">
        <f aca="false">IF(F$224=1,Inputs!$D$55,0)</f>
        <v>0</v>
      </c>
      <c r="G281" s="67" t="n">
        <f aca="false">IF(G$224=1,Inputs!$D$55,0)</f>
        <v>0</v>
      </c>
      <c r="H281" s="67" t="n">
        <f aca="false">IF(H$224=1,Inputs!$D$55,0)</f>
        <v>0</v>
      </c>
      <c r="I281" s="67" t="n">
        <f aca="false">IF(I$224=1,Inputs!$D$55,0)</f>
        <v>0</v>
      </c>
      <c r="J281" s="67" t="n">
        <f aca="false">IF(J$224=1,Inputs!$D$55,0)</f>
        <v>0</v>
      </c>
      <c r="K281" s="67" t="n">
        <f aca="false">IF(K$224=1,Inputs!$D$55,0)</f>
        <v>0</v>
      </c>
      <c r="L281" s="67" t="n">
        <f aca="false">IF(L$224=1,Inputs!$D$55,0)</f>
        <v>0</v>
      </c>
      <c r="M281" s="67" t="n">
        <f aca="false">IF(M$224=1,Inputs!$D$55,0)</f>
        <v>0</v>
      </c>
      <c r="N281" s="67" t="n">
        <f aca="false">IF(N$224=1,Inputs!$D$55,0)</f>
        <v>0</v>
      </c>
      <c r="O281" s="67" t="n">
        <f aca="false">IF(O$224=1,Inputs!$D$55,0)</f>
        <v>0</v>
      </c>
      <c r="P281" s="67" t="n">
        <f aca="false">IF(P$224=1,Inputs!$D$55,0)</f>
        <v>0</v>
      </c>
      <c r="Q281" s="67" t="n">
        <f aca="false">IF(Q$224=1,Inputs!$D$55,0)</f>
        <v>0</v>
      </c>
      <c r="R281" s="67" t="n">
        <f aca="false">IF(R$224=1,Inputs!$D$55,0)</f>
        <v>0</v>
      </c>
      <c r="S281" s="67" t="n">
        <f aca="false">IF(S$224=1,Inputs!$D$55,0)</f>
        <v>0</v>
      </c>
      <c r="T281" s="67" t="n">
        <f aca="false">IF(T$224=1,Inputs!$D$55,0)</f>
        <v>0</v>
      </c>
      <c r="U281" s="67" t="n">
        <f aca="false">IF(U$224=1,Inputs!$D$55,0)</f>
        <v>0</v>
      </c>
      <c r="V281" s="67" t="n">
        <f aca="false">IF(V$224=1,Inputs!$D$55,0)</f>
        <v>0</v>
      </c>
      <c r="W281" s="67" t="n">
        <f aca="false">IF(W$224=1,Inputs!$D$55,0)</f>
        <v>0</v>
      </c>
      <c r="X281" s="67" t="n">
        <f aca="false">IF(X$224=1,Inputs!$D$55,0)</f>
        <v>0</v>
      </c>
      <c r="Y281" s="67" t="n">
        <f aca="false">IF(Y$224=1,Inputs!$D$55,0)</f>
        <v>0</v>
      </c>
      <c r="Z281" s="67" t="n">
        <f aca="false">IF(Z$224=1,Inputs!$D$55,0)</f>
        <v>0</v>
      </c>
      <c r="AA281" s="67" t="n">
        <f aca="false">IF(AA$224=1,Inputs!$D$55,0)</f>
        <v>0</v>
      </c>
      <c r="AB281" s="67" t="n">
        <f aca="false">IF(AB$224=1,Inputs!$D$55,0)</f>
        <v>0</v>
      </c>
      <c r="AC281" s="67" t="n">
        <f aca="false">IF(AC$224=1,Inputs!$D$55,0)</f>
        <v>0</v>
      </c>
      <c r="AD281" s="67" t="n">
        <f aca="false">IF(AD$224=1,Inputs!$D$55,0)</f>
        <v>0</v>
      </c>
      <c r="AE281" s="67" t="n">
        <f aca="false">IF(AE$224=1,Inputs!$D$55,0)</f>
        <v>0</v>
      </c>
      <c r="AF281" s="67" t="n">
        <f aca="false">IF(AF$224=1,Inputs!$D$55,0)</f>
        <v>0</v>
      </c>
      <c r="AG281" s="67" t="n">
        <f aca="false">IF(AG$224=1,Inputs!$D$55,0)</f>
        <v>0</v>
      </c>
      <c r="AH281" s="67" t="n">
        <f aca="false">IF(AH$224=1,Inputs!$D$55,0)</f>
        <v>0</v>
      </c>
      <c r="AI281" s="67" t="n">
        <f aca="false">IF(AI$224=1,Inputs!$D$55,0)</f>
        <v>0</v>
      </c>
      <c r="AJ281" s="67" t="n">
        <f aca="false">IF(AJ$224=1,Inputs!$D$55,0)</f>
        <v>0</v>
      </c>
      <c r="AK281" s="67" t="n">
        <f aca="false">IF(AK$224=1,Inputs!$D$55,0)</f>
        <v>0</v>
      </c>
      <c r="AL281" s="67" t="n">
        <f aca="false">IF(AL$224=1,Inputs!$D$55,0)</f>
        <v>0</v>
      </c>
    </row>
    <row r="282" customFormat="false" ht="15" hidden="false" customHeight="false" outlineLevel="0" collapsed="false">
      <c r="A282" s="6" t="s">
        <v>85</v>
      </c>
      <c r="C282" s="67" t="n">
        <f aca="false">-MIN(C280,Inputs!$D$55/MAX(1,Inputs!$D$57*12))</f>
        <v>-0</v>
      </c>
      <c r="D282" s="67" t="n">
        <f aca="false">-MIN(D280,Inputs!$D$55/MAX(1,Inputs!$D$57*12))</f>
        <v>-4166.66666666667</v>
      </c>
      <c r="E282" s="67" t="n">
        <f aca="false">-MIN(E280,Inputs!$D$55/MAX(1,Inputs!$D$57*12))</f>
        <v>-4166.66666666667</v>
      </c>
      <c r="F282" s="67" t="n">
        <f aca="false">-MIN(F280,Inputs!$D$55/MAX(1,Inputs!$D$57*12))</f>
        <v>-4166.66666666667</v>
      </c>
      <c r="G282" s="67" t="n">
        <f aca="false">-MIN(G280,Inputs!$D$55/MAX(1,Inputs!$D$57*12))</f>
        <v>-4166.66666666667</v>
      </c>
      <c r="H282" s="67" t="n">
        <f aca="false">-MIN(H280,Inputs!$D$55/MAX(1,Inputs!$D$57*12))</f>
        <v>-4166.66666666667</v>
      </c>
      <c r="I282" s="67" t="n">
        <f aca="false">-MIN(I280,Inputs!$D$55/MAX(1,Inputs!$D$57*12))</f>
        <v>-4166.66666666667</v>
      </c>
      <c r="J282" s="67" t="n">
        <f aca="false">-MIN(J280,Inputs!$D$55/MAX(1,Inputs!$D$57*12))</f>
        <v>-4166.66666666667</v>
      </c>
      <c r="K282" s="67" t="n">
        <f aca="false">-MIN(K280,Inputs!$D$55/MAX(1,Inputs!$D$57*12))</f>
        <v>-4166.66666666667</v>
      </c>
      <c r="L282" s="67" t="n">
        <f aca="false">-MIN(L280,Inputs!$D$55/MAX(1,Inputs!$D$57*12))</f>
        <v>-4166.66666666667</v>
      </c>
      <c r="M282" s="67" t="n">
        <f aca="false">-MIN(M280,Inputs!$D$55/MAX(1,Inputs!$D$57*12))</f>
        <v>-4166.66666666667</v>
      </c>
      <c r="N282" s="67" t="n">
        <f aca="false">-MIN(N280,Inputs!$D$55/MAX(1,Inputs!$D$57*12))</f>
        <v>-4166.66666666667</v>
      </c>
      <c r="O282" s="67" t="n">
        <f aca="false">-MIN(O280,Inputs!$D$55/MAX(1,Inputs!$D$57*12))</f>
        <v>-4166.66666666667</v>
      </c>
      <c r="P282" s="67" t="n">
        <f aca="false">-MIN(P280,Inputs!$D$55/MAX(1,Inputs!$D$57*12))</f>
        <v>-4166.66666666667</v>
      </c>
      <c r="Q282" s="67" t="n">
        <f aca="false">-MIN(Q280,Inputs!$D$55/MAX(1,Inputs!$D$57*12))</f>
        <v>-4166.66666666667</v>
      </c>
      <c r="R282" s="67" t="n">
        <f aca="false">-MIN(R280,Inputs!$D$55/MAX(1,Inputs!$D$57*12))</f>
        <v>-4166.66666666667</v>
      </c>
      <c r="S282" s="67" t="n">
        <f aca="false">-MIN(S280,Inputs!$D$55/MAX(1,Inputs!$D$57*12))</f>
        <v>-4166.66666666667</v>
      </c>
      <c r="T282" s="67" t="n">
        <f aca="false">-MIN(T280,Inputs!$D$55/MAX(1,Inputs!$D$57*12))</f>
        <v>-4166.66666666667</v>
      </c>
      <c r="U282" s="67" t="n">
        <f aca="false">-MIN(U280,Inputs!$D$55/MAX(1,Inputs!$D$57*12))</f>
        <v>-4166.66666666667</v>
      </c>
      <c r="V282" s="67" t="n">
        <f aca="false">-MIN(V280,Inputs!$D$55/MAX(1,Inputs!$D$57*12))</f>
        <v>-4166.66666666667</v>
      </c>
      <c r="W282" s="67" t="n">
        <f aca="false">-MIN(W280,Inputs!$D$55/MAX(1,Inputs!$D$57*12))</f>
        <v>-4166.66666666667</v>
      </c>
      <c r="X282" s="67" t="n">
        <f aca="false">-MIN(X280,Inputs!$D$55/MAX(1,Inputs!$D$57*12))</f>
        <v>-4166.66666666667</v>
      </c>
      <c r="Y282" s="67" t="n">
        <f aca="false">-MIN(Y280,Inputs!$D$55/MAX(1,Inputs!$D$57*12))</f>
        <v>-4166.66666666667</v>
      </c>
      <c r="Z282" s="67" t="n">
        <f aca="false">-MIN(Z280,Inputs!$D$55/MAX(1,Inputs!$D$57*12))</f>
        <v>-4166.66666666667</v>
      </c>
      <c r="AA282" s="67" t="n">
        <f aca="false">-MIN(AA280,Inputs!$D$55/MAX(1,Inputs!$D$57*12))</f>
        <v>-4166.66666666667</v>
      </c>
      <c r="AB282" s="67" t="n">
        <f aca="false">-MIN(AB280,Inputs!$D$55/MAX(1,Inputs!$D$57*12))</f>
        <v>-4166.66666666667</v>
      </c>
      <c r="AC282" s="67" t="n">
        <f aca="false">-MIN(AC280,Inputs!$D$55/MAX(1,Inputs!$D$57*12))</f>
        <v>-4166.66666666667</v>
      </c>
      <c r="AD282" s="67" t="n">
        <f aca="false">-MIN(AD280,Inputs!$D$55/MAX(1,Inputs!$D$57*12))</f>
        <v>-4166.66666666667</v>
      </c>
      <c r="AE282" s="67" t="n">
        <f aca="false">-MIN(AE280,Inputs!$D$55/MAX(1,Inputs!$D$57*12))</f>
        <v>-4166.66666666667</v>
      </c>
      <c r="AF282" s="67" t="n">
        <f aca="false">-MIN(AF280,Inputs!$D$55/MAX(1,Inputs!$D$57*12))</f>
        <v>-4166.66666666667</v>
      </c>
      <c r="AG282" s="67" t="n">
        <f aca="false">-MIN(AG280,Inputs!$D$55/MAX(1,Inputs!$D$57*12))</f>
        <v>-4166.66666666667</v>
      </c>
      <c r="AH282" s="67" t="n">
        <f aca="false">-MIN(AH280,Inputs!$D$55/MAX(1,Inputs!$D$57*12))</f>
        <v>-4166.66666666667</v>
      </c>
      <c r="AI282" s="67" t="n">
        <f aca="false">-MIN(AI280,Inputs!$D$55/MAX(1,Inputs!$D$57*12))</f>
        <v>-4166.66666666667</v>
      </c>
      <c r="AJ282" s="67" t="n">
        <f aca="false">-MIN(AJ280,Inputs!$D$55/MAX(1,Inputs!$D$57*12))</f>
        <v>-4166.66666666667</v>
      </c>
      <c r="AK282" s="67" t="n">
        <f aca="false">-MIN(AK280,Inputs!$D$55/MAX(1,Inputs!$D$57*12))</f>
        <v>-4166.66666666667</v>
      </c>
      <c r="AL282" s="67" t="n">
        <f aca="false">-MIN(AL280,Inputs!$D$55/MAX(1,Inputs!$D$57*12))</f>
        <v>-4166.66666666667</v>
      </c>
    </row>
    <row r="283" customFormat="false" ht="15" hidden="false" customHeight="false" outlineLevel="0" collapsed="false">
      <c r="A283" s="4" t="s">
        <v>397</v>
      </c>
      <c r="C283" s="73" t="n">
        <f aca="false">C280+C281+C282</f>
        <v>250000</v>
      </c>
      <c r="D283" s="73" t="n">
        <f aca="false">D280+D281+D282</f>
        <v>245833.333333333</v>
      </c>
      <c r="E283" s="73" t="n">
        <f aca="false">E280+E281+E282</f>
        <v>241666.666666667</v>
      </c>
      <c r="F283" s="73" t="n">
        <f aca="false">F280+F281+F282</f>
        <v>237500</v>
      </c>
      <c r="G283" s="73" t="n">
        <f aca="false">G280+G281+G282</f>
        <v>233333.333333333</v>
      </c>
      <c r="H283" s="73" t="n">
        <f aca="false">H280+H281+H282</f>
        <v>229166.666666667</v>
      </c>
      <c r="I283" s="73" t="n">
        <f aca="false">I280+I281+I282</f>
        <v>225000</v>
      </c>
      <c r="J283" s="73" t="n">
        <f aca="false">J280+J281+J282</f>
        <v>220833.333333333</v>
      </c>
      <c r="K283" s="73" t="n">
        <f aca="false">K280+K281+K282</f>
        <v>216666.666666667</v>
      </c>
      <c r="L283" s="73" t="n">
        <f aca="false">L280+L281+L282</f>
        <v>212500</v>
      </c>
      <c r="M283" s="73" t="n">
        <f aca="false">M280+M281+M282</f>
        <v>208333.333333333</v>
      </c>
      <c r="N283" s="73" t="n">
        <f aca="false">N280+N281+N282</f>
        <v>204166.666666667</v>
      </c>
      <c r="O283" s="73" t="n">
        <f aca="false">O280+O281+O282</f>
        <v>200000</v>
      </c>
      <c r="P283" s="73" t="n">
        <f aca="false">P280+P281+P282</f>
        <v>195833.333333333</v>
      </c>
      <c r="Q283" s="73" t="n">
        <f aca="false">Q280+Q281+Q282</f>
        <v>191666.666666667</v>
      </c>
      <c r="R283" s="73" t="n">
        <f aca="false">R280+R281+R282</f>
        <v>187500</v>
      </c>
      <c r="S283" s="73" t="n">
        <f aca="false">S280+S281+S282</f>
        <v>183333.333333334</v>
      </c>
      <c r="T283" s="73" t="n">
        <f aca="false">T280+T281+T282</f>
        <v>179166.666666667</v>
      </c>
      <c r="U283" s="73" t="n">
        <f aca="false">U280+U281+U282</f>
        <v>175000</v>
      </c>
      <c r="V283" s="73" t="n">
        <f aca="false">V280+V281+V282</f>
        <v>170833.333333334</v>
      </c>
      <c r="W283" s="73" t="n">
        <f aca="false">W280+W281+W282</f>
        <v>166666.666666667</v>
      </c>
      <c r="X283" s="73" t="n">
        <f aca="false">X280+X281+X282</f>
        <v>162500</v>
      </c>
      <c r="Y283" s="73" t="n">
        <f aca="false">Y280+Y281+Y282</f>
        <v>158333.333333334</v>
      </c>
      <c r="Z283" s="73" t="n">
        <f aca="false">Z280+Z281+Z282</f>
        <v>154166.666666667</v>
      </c>
      <c r="AA283" s="73" t="n">
        <f aca="false">AA280+AA281+AA282</f>
        <v>150000</v>
      </c>
      <c r="AB283" s="73" t="n">
        <f aca="false">AB280+AB281+AB282</f>
        <v>145833.333333334</v>
      </c>
      <c r="AC283" s="73" t="n">
        <f aca="false">AC280+AC281+AC282</f>
        <v>141666.666666667</v>
      </c>
      <c r="AD283" s="73" t="n">
        <f aca="false">AD280+AD281+AD282</f>
        <v>137500</v>
      </c>
      <c r="AE283" s="73" t="n">
        <f aca="false">AE280+AE281+AE282</f>
        <v>133333.333333334</v>
      </c>
      <c r="AF283" s="73" t="n">
        <f aca="false">AF280+AF281+AF282</f>
        <v>129166.666666667</v>
      </c>
      <c r="AG283" s="73" t="n">
        <f aca="false">AG280+AG281+AG282</f>
        <v>125000</v>
      </c>
      <c r="AH283" s="73" t="n">
        <f aca="false">AH280+AH281+AH282</f>
        <v>120833.333333334</v>
      </c>
      <c r="AI283" s="73" t="n">
        <f aca="false">AI280+AI281+AI282</f>
        <v>116666.666666667</v>
      </c>
      <c r="AJ283" s="73" t="n">
        <f aca="false">AJ280+AJ281+AJ282</f>
        <v>112500</v>
      </c>
      <c r="AK283" s="73" t="n">
        <f aca="false">AK280+AK281+AK282</f>
        <v>108333.333333334</v>
      </c>
      <c r="AL283" s="73" t="n">
        <f aca="false">AL280+AL281+AL282</f>
        <v>104166.666666667</v>
      </c>
    </row>
    <row r="285" customFormat="false" ht="15.75" hidden="false" customHeight="true" outlineLevel="0" collapsed="false">
      <c r="A285" s="7" t="s">
        <v>305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</row>
    <row r="286" customFormat="false" ht="15" hidden="false" customHeight="false" outlineLevel="0" collapsed="false">
      <c r="A286" s="6" t="s">
        <v>89</v>
      </c>
      <c r="C286" s="67" t="n">
        <f aca="false">C242*Inputs!$D$60/30</f>
        <v>54816.6666666667</v>
      </c>
      <c r="D286" s="67" t="n">
        <f aca="false">D242*Inputs!$D$60/30</f>
        <v>54816.6666666667</v>
      </c>
      <c r="E286" s="67" t="n">
        <f aca="false">E242*Inputs!$D$60/30</f>
        <v>54816.6666666667</v>
      </c>
      <c r="F286" s="67" t="n">
        <f aca="false">F242*Inputs!$D$60/30</f>
        <v>54816.6666666667</v>
      </c>
      <c r="G286" s="67" t="n">
        <f aca="false">G242*Inputs!$D$60/30</f>
        <v>54816.6666666667</v>
      </c>
      <c r="H286" s="67" t="n">
        <f aca="false">H242*Inputs!$D$60/30</f>
        <v>64046.9166666667</v>
      </c>
      <c r="I286" s="67" t="n">
        <f aca="false">I242*Inputs!$D$60/30</f>
        <v>64046.9166666667</v>
      </c>
      <c r="J286" s="67" t="n">
        <f aca="false">J242*Inputs!$D$60/30</f>
        <v>64046.9166666667</v>
      </c>
      <c r="K286" s="67" t="n">
        <f aca="false">K242*Inputs!$D$60/30</f>
        <v>54816.6666666667</v>
      </c>
      <c r="L286" s="67" t="n">
        <f aca="false">L242*Inputs!$D$60/30</f>
        <v>54816.6666666667</v>
      </c>
      <c r="M286" s="67" t="n">
        <f aca="false">M242*Inputs!$D$60/30</f>
        <v>54816.6666666667</v>
      </c>
      <c r="N286" s="67" t="n">
        <f aca="false">N242*Inputs!$D$60/30</f>
        <v>54816.6666666667</v>
      </c>
      <c r="O286" s="67" t="n">
        <f aca="false">O242*Inputs!$D$60/30</f>
        <v>67537.9466666667</v>
      </c>
      <c r="P286" s="67" t="n">
        <f aca="false">P242*Inputs!$D$60/30</f>
        <v>67537.9466666667</v>
      </c>
      <c r="Q286" s="67" t="n">
        <f aca="false">Q242*Inputs!$D$60/30</f>
        <v>67537.9466666667</v>
      </c>
      <c r="R286" s="67" t="n">
        <f aca="false">R242*Inputs!$D$60/30</f>
        <v>67537.9466666667</v>
      </c>
      <c r="S286" s="67" t="n">
        <f aca="false">S242*Inputs!$D$60/30</f>
        <v>67537.9466666667</v>
      </c>
      <c r="T286" s="67" t="n">
        <f aca="false">T242*Inputs!$D$60/30</f>
        <v>75097.5818666667</v>
      </c>
      <c r="U286" s="67" t="n">
        <f aca="false">U242*Inputs!$D$60/30</f>
        <v>75097.5818666667</v>
      </c>
      <c r="V286" s="67" t="n">
        <f aca="false">V242*Inputs!$D$60/30</f>
        <v>75097.5818666667</v>
      </c>
      <c r="W286" s="67" t="n">
        <f aca="false">W242*Inputs!$D$60/30</f>
        <v>67537.9466666667</v>
      </c>
      <c r="X286" s="67" t="n">
        <f aca="false">X242*Inputs!$D$60/30</f>
        <v>67537.9466666667</v>
      </c>
      <c r="Y286" s="67" t="n">
        <f aca="false">Y242*Inputs!$D$60/30</f>
        <v>67537.9466666667</v>
      </c>
      <c r="Z286" s="67" t="n">
        <f aca="false">Z242*Inputs!$D$60/30</f>
        <v>67537.9466666667</v>
      </c>
      <c r="AA286" s="67" t="n">
        <f aca="false">AA242*Inputs!$D$60/30</f>
        <v>83229.5814826667</v>
      </c>
      <c r="AB286" s="67" t="n">
        <f aca="false">AB242*Inputs!$D$60/30</f>
        <v>83229.5814826667</v>
      </c>
      <c r="AC286" s="67" t="n">
        <f aca="false">AC242*Inputs!$D$60/30</f>
        <v>83229.5814826667</v>
      </c>
      <c r="AD286" s="67" t="n">
        <f aca="false">AD242*Inputs!$D$60/30</f>
        <v>83229.5814826667</v>
      </c>
      <c r="AE286" s="67" t="n">
        <f aca="false">AE242*Inputs!$D$60/30</f>
        <v>83229.5814826667</v>
      </c>
      <c r="AF286" s="67" t="n">
        <f aca="false">AF242*Inputs!$D$60/30</f>
        <v>88118.1166916267</v>
      </c>
      <c r="AG286" s="67" t="n">
        <f aca="false">AG242*Inputs!$D$60/30</f>
        <v>88118.1166916267</v>
      </c>
      <c r="AH286" s="67" t="n">
        <f aca="false">AH242*Inputs!$D$60/30</f>
        <v>88118.1166916267</v>
      </c>
      <c r="AI286" s="67" t="n">
        <f aca="false">AI242*Inputs!$D$60/30</f>
        <v>83229.5814826667</v>
      </c>
      <c r="AJ286" s="67" t="n">
        <f aca="false">AJ242*Inputs!$D$60/30</f>
        <v>83229.5814826667</v>
      </c>
      <c r="AK286" s="67" t="n">
        <f aca="false">AK242*Inputs!$D$60/30</f>
        <v>83229.5814826667</v>
      </c>
      <c r="AL286" s="67" t="n">
        <f aca="false">AL242*Inputs!$D$60/30</f>
        <v>83229.5814826667</v>
      </c>
    </row>
    <row r="287" customFormat="false" ht="15" hidden="false" customHeight="false" outlineLevel="0" collapsed="false">
      <c r="A287" s="6" t="s">
        <v>90</v>
      </c>
      <c r="C287" s="67" t="n">
        <f aca="false">-C249*Inputs!$D$61/30</f>
        <v>15224.9444444444</v>
      </c>
      <c r="D287" s="67" t="n">
        <f aca="false">-D249*Inputs!$D$61/30</f>
        <v>15224.9444444444</v>
      </c>
      <c r="E287" s="67" t="n">
        <f aca="false">-E249*Inputs!$D$61/30</f>
        <v>15224.9444444444</v>
      </c>
      <c r="F287" s="67" t="n">
        <f aca="false">-F249*Inputs!$D$61/30</f>
        <v>15224.9444444444</v>
      </c>
      <c r="G287" s="67" t="n">
        <f aca="false">-G249*Inputs!$D$61/30</f>
        <v>15224.9444444444</v>
      </c>
      <c r="H287" s="67" t="n">
        <f aca="false">-H249*Inputs!$D$61/30</f>
        <v>16332.5744444444</v>
      </c>
      <c r="I287" s="67" t="n">
        <f aca="false">-I249*Inputs!$D$61/30</f>
        <v>16332.5744444444</v>
      </c>
      <c r="J287" s="67" t="n">
        <f aca="false">-J249*Inputs!$D$61/30</f>
        <v>16332.5744444444</v>
      </c>
      <c r="K287" s="67" t="n">
        <f aca="false">-K249*Inputs!$D$61/30</f>
        <v>15224.9444444444</v>
      </c>
      <c r="L287" s="67" t="n">
        <f aca="false">-L249*Inputs!$D$61/30</f>
        <v>15224.9444444444</v>
      </c>
      <c r="M287" s="67" t="n">
        <f aca="false">-M249*Inputs!$D$61/30</f>
        <v>15224.9444444444</v>
      </c>
      <c r="N287" s="67" t="n">
        <f aca="false">-N249*Inputs!$D$61/30</f>
        <v>15224.9444444444</v>
      </c>
      <c r="O287" s="67" t="n">
        <f aca="false">-O249*Inputs!$D$61/30</f>
        <v>18068.2447111111</v>
      </c>
      <c r="P287" s="67" t="n">
        <f aca="false">-P249*Inputs!$D$61/30</f>
        <v>18068.2447111111</v>
      </c>
      <c r="Q287" s="67" t="n">
        <f aca="false">-Q249*Inputs!$D$61/30</f>
        <v>18068.2447111111</v>
      </c>
      <c r="R287" s="67" t="n">
        <f aca="false">-R249*Inputs!$D$61/30</f>
        <v>18068.2447111111</v>
      </c>
      <c r="S287" s="67" t="n">
        <f aca="false">-S249*Inputs!$D$61/30</f>
        <v>18068.2447111111</v>
      </c>
      <c r="T287" s="67" t="n">
        <f aca="false">-T249*Inputs!$D$61/30</f>
        <v>18975.4009351111</v>
      </c>
      <c r="U287" s="67" t="n">
        <f aca="false">-U249*Inputs!$D$61/30</f>
        <v>18975.4009351111</v>
      </c>
      <c r="V287" s="67" t="n">
        <f aca="false">-V249*Inputs!$D$61/30</f>
        <v>18975.4009351111</v>
      </c>
      <c r="W287" s="67" t="n">
        <f aca="false">-W249*Inputs!$D$61/30</f>
        <v>18068.2447111111</v>
      </c>
      <c r="X287" s="67" t="n">
        <f aca="false">-X249*Inputs!$D$61/30</f>
        <v>18068.2447111111</v>
      </c>
      <c r="Y287" s="67" t="n">
        <f aca="false">-Y249*Inputs!$D$61/30</f>
        <v>18068.2447111111</v>
      </c>
      <c r="Z287" s="67" t="n">
        <f aca="false">-Z249*Inputs!$D$61/30</f>
        <v>18068.2447111111</v>
      </c>
      <c r="AA287" s="67" t="n">
        <f aca="false">-AA249*Inputs!$D$61/30</f>
        <v>21475.6326436978</v>
      </c>
      <c r="AB287" s="67" t="n">
        <f aca="false">-AB249*Inputs!$D$61/30</f>
        <v>21475.6326436978</v>
      </c>
      <c r="AC287" s="67" t="n">
        <f aca="false">-AC249*Inputs!$D$61/30</f>
        <v>21475.6326436978</v>
      </c>
      <c r="AD287" s="67" t="n">
        <f aca="false">-AD249*Inputs!$D$61/30</f>
        <v>21475.6326436978</v>
      </c>
      <c r="AE287" s="67" t="n">
        <f aca="false">-AE249*Inputs!$D$61/30</f>
        <v>21475.6326436978</v>
      </c>
      <c r="AF287" s="67" t="n">
        <f aca="false">-AF249*Inputs!$D$61/30</f>
        <v>22062.256868773</v>
      </c>
      <c r="AG287" s="67" t="n">
        <f aca="false">-AG249*Inputs!$D$61/30</f>
        <v>22062.256868773</v>
      </c>
      <c r="AH287" s="67" t="n">
        <f aca="false">-AH249*Inputs!$D$61/30</f>
        <v>22062.256868773</v>
      </c>
      <c r="AI287" s="67" t="n">
        <f aca="false">-AI249*Inputs!$D$61/30</f>
        <v>21475.6326436978</v>
      </c>
      <c r="AJ287" s="67" t="n">
        <f aca="false">-AJ249*Inputs!$D$61/30</f>
        <v>21475.6326436978</v>
      </c>
      <c r="AK287" s="67" t="n">
        <f aca="false">-AK249*Inputs!$D$61/30</f>
        <v>21475.6326436978</v>
      </c>
      <c r="AL287" s="67" t="n">
        <f aca="false">-AL249*Inputs!$D$61/30</f>
        <v>21475.6326436978</v>
      </c>
    </row>
    <row r="288" customFormat="false" ht="15" hidden="false" customHeight="false" outlineLevel="0" collapsed="false">
      <c r="A288" s="6" t="s">
        <v>93</v>
      </c>
      <c r="C288" s="67" t="n">
        <f aca="false">-C249*Inputs!$D$62/30</f>
        <v>60899.7777777778</v>
      </c>
      <c r="D288" s="67" t="n">
        <f aca="false">-D249*Inputs!$D$62/30</f>
        <v>60899.7777777778</v>
      </c>
      <c r="E288" s="67" t="n">
        <f aca="false">-E249*Inputs!$D$62/30</f>
        <v>60899.7777777778</v>
      </c>
      <c r="F288" s="67" t="n">
        <f aca="false">-F249*Inputs!$D$62/30</f>
        <v>60899.7777777778</v>
      </c>
      <c r="G288" s="67" t="n">
        <f aca="false">-G249*Inputs!$D$62/30</f>
        <v>60899.7777777778</v>
      </c>
      <c r="H288" s="67" t="n">
        <f aca="false">-H249*Inputs!$D$62/30</f>
        <v>65330.2977777778</v>
      </c>
      <c r="I288" s="67" t="n">
        <f aca="false">-I249*Inputs!$D$62/30</f>
        <v>65330.2977777778</v>
      </c>
      <c r="J288" s="67" t="n">
        <f aca="false">-J249*Inputs!$D$62/30</f>
        <v>65330.2977777778</v>
      </c>
      <c r="K288" s="67" t="n">
        <f aca="false">-K249*Inputs!$D$62/30</f>
        <v>60899.7777777778</v>
      </c>
      <c r="L288" s="67" t="n">
        <f aca="false">-L249*Inputs!$D$62/30</f>
        <v>60899.7777777778</v>
      </c>
      <c r="M288" s="67" t="n">
        <f aca="false">-M249*Inputs!$D$62/30</f>
        <v>60899.7777777778</v>
      </c>
      <c r="N288" s="67" t="n">
        <f aca="false">-N249*Inputs!$D$62/30</f>
        <v>60899.7777777778</v>
      </c>
      <c r="O288" s="67" t="n">
        <f aca="false">-O249*Inputs!$D$62/30</f>
        <v>72272.9788444444</v>
      </c>
      <c r="P288" s="67" t="n">
        <f aca="false">-P249*Inputs!$D$62/30</f>
        <v>72272.9788444444</v>
      </c>
      <c r="Q288" s="67" t="n">
        <f aca="false">-Q249*Inputs!$D$62/30</f>
        <v>72272.9788444444</v>
      </c>
      <c r="R288" s="67" t="n">
        <f aca="false">-R249*Inputs!$D$62/30</f>
        <v>72272.9788444444</v>
      </c>
      <c r="S288" s="67" t="n">
        <f aca="false">-S249*Inputs!$D$62/30</f>
        <v>72272.9788444444</v>
      </c>
      <c r="T288" s="67" t="n">
        <f aca="false">-T249*Inputs!$D$62/30</f>
        <v>75901.6037404444</v>
      </c>
      <c r="U288" s="67" t="n">
        <f aca="false">-U249*Inputs!$D$62/30</f>
        <v>75901.6037404444</v>
      </c>
      <c r="V288" s="67" t="n">
        <f aca="false">-V249*Inputs!$D$62/30</f>
        <v>75901.6037404444</v>
      </c>
      <c r="W288" s="67" t="n">
        <f aca="false">-W249*Inputs!$D$62/30</f>
        <v>72272.9788444444</v>
      </c>
      <c r="X288" s="67" t="n">
        <f aca="false">-X249*Inputs!$D$62/30</f>
        <v>72272.9788444444</v>
      </c>
      <c r="Y288" s="67" t="n">
        <f aca="false">-Y249*Inputs!$D$62/30</f>
        <v>72272.9788444444</v>
      </c>
      <c r="Z288" s="67" t="n">
        <f aca="false">-Z249*Inputs!$D$62/30</f>
        <v>72272.9788444444</v>
      </c>
      <c r="AA288" s="67" t="n">
        <f aca="false">-AA249*Inputs!$D$62/30</f>
        <v>85902.5305747911</v>
      </c>
      <c r="AB288" s="67" t="n">
        <f aca="false">-AB249*Inputs!$D$62/30</f>
        <v>85902.5305747911</v>
      </c>
      <c r="AC288" s="67" t="n">
        <f aca="false">-AC249*Inputs!$D$62/30</f>
        <v>85902.5305747911</v>
      </c>
      <c r="AD288" s="67" t="n">
        <f aca="false">-AD249*Inputs!$D$62/30</f>
        <v>85902.5305747911</v>
      </c>
      <c r="AE288" s="67" t="n">
        <f aca="false">-AE249*Inputs!$D$62/30</f>
        <v>85902.5305747911</v>
      </c>
      <c r="AF288" s="67" t="n">
        <f aca="false">-AF249*Inputs!$D$62/30</f>
        <v>88249.0274750919</v>
      </c>
      <c r="AG288" s="67" t="n">
        <f aca="false">-AG249*Inputs!$D$62/30</f>
        <v>88249.0274750919</v>
      </c>
      <c r="AH288" s="67" t="n">
        <f aca="false">-AH249*Inputs!$D$62/30</f>
        <v>88249.0274750919</v>
      </c>
      <c r="AI288" s="67" t="n">
        <f aca="false">-AI249*Inputs!$D$62/30</f>
        <v>85902.5305747911</v>
      </c>
      <c r="AJ288" s="67" t="n">
        <f aca="false">-AJ249*Inputs!$D$62/30</f>
        <v>85902.5305747911</v>
      </c>
      <c r="AK288" s="67" t="n">
        <f aca="false">-AK249*Inputs!$D$62/30</f>
        <v>85902.5305747911</v>
      </c>
      <c r="AL288" s="67" t="n">
        <f aca="false">-AL249*Inputs!$D$62/30</f>
        <v>85902.5305747911</v>
      </c>
    </row>
    <row r="289" customFormat="false" ht="15" hidden="false" customHeight="false" outlineLevel="0" collapsed="false">
      <c r="A289" s="6" t="s">
        <v>329</v>
      </c>
      <c r="C289" s="67" t="n">
        <f aca="false">-C286</f>
        <v>-54816.6666666667</v>
      </c>
      <c r="D289" s="67" t="n">
        <f aca="false">C286-D286</f>
        <v>0</v>
      </c>
      <c r="E289" s="67" t="n">
        <f aca="false">D286-E286</f>
        <v>0</v>
      </c>
      <c r="F289" s="67" t="n">
        <f aca="false">E286-F286</f>
        <v>0</v>
      </c>
      <c r="G289" s="67" t="n">
        <f aca="false">F286-G286</f>
        <v>0</v>
      </c>
      <c r="H289" s="67" t="n">
        <f aca="false">G286-H286</f>
        <v>-9230.25</v>
      </c>
      <c r="I289" s="67" t="n">
        <f aca="false">H286-I286</f>
        <v>0</v>
      </c>
      <c r="J289" s="67" t="n">
        <f aca="false">I286-J286</f>
        <v>0</v>
      </c>
      <c r="K289" s="67" t="n">
        <f aca="false">J286-K286</f>
        <v>9230.25</v>
      </c>
      <c r="L289" s="67" t="n">
        <f aca="false">K286-L286</f>
        <v>0</v>
      </c>
      <c r="M289" s="67" t="n">
        <f aca="false">L286-M286</f>
        <v>0</v>
      </c>
      <c r="N289" s="67" t="n">
        <f aca="false">M286-N286</f>
        <v>0</v>
      </c>
      <c r="O289" s="67" t="n">
        <f aca="false">N286-O286</f>
        <v>-12721.28</v>
      </c>
      <c r="P289" s="67" t="n">
        <f aca="false">O286-P286</f>
        <v>0</v>
      </c>
      <c r="Q289" s="67" t="n">
        <f aca="false">P286-Q286</f>
        <v>0</v>
      </c>
      <c r="R289" s="67" t="n">
        <f aca="false">Q286-R286</f>
        <v>0</v>
      </c>
      <c r="S289" s="67" t="n">
        <f aca="false">R286-S286</f>
        <v>0</v>
      </c>
      <c r="T289" s="67" t="n">
        <f aca="false">S286-T286</f>
        <v>-7559.63519999999</v>
      </c>
      <c r="U289" s="67" t="n">
        <f aca="false">T286-U286</f>
        <v>0</v>
      </c>
      <c r="V289" s="67" t="n">
        <f aca="false">U286-V286</f>
        <v>0</v>
      </c>
      <c r="W289" s="67" t="n">
        <f aca="false">V286-W286</f>
        <v>7559.63519999999</v>
      </c>
      <c r="X289" s="67" t="n">
        <f aca="false">W286-X286</f>
        <v>0</v>
      </c>
      <c r="Y289" s="67" t="n">
        <f aca="false">X286-Y286</f>
        <v>0</v>
      </c>
      <c r="Z289" s="67" t="n">
        <f aca="false">Y286-Z286</f>
        <v>0</v>
      </c>
      <c r="AA289" s="67" t="n">
        <f aca="false">Z286-AA286</f>
        <v>-15691.634816</v>
      </c>
      <c r="AB289" s="67" t="n">
        <f aca="false">AA286-AB286</f>
        <v>0</v>
      </c>
      <c r="AC289" s="67" t="n">
        <f aca="false">AB286-AC286</f>
        <v>0</v>
      </c>
      <c r="AD289" s="67" t="n">
        <f aca="false">AC286-AD286</f>
        <v>0</v>
      </c>
      <c r="AE289" s="67" t="n">
        <f aca="false">AD286-AE286</f>
        <v>0</v>
      </c>
      <c r="AF289" s="67" t="n">
        <f aca="false">AE286-AF286</f>
        <v>-4888.53520896001</v>
      </c>
      <c r="AG289" s="67" t="n">
        <f aca="false">AF286-AG286</f>
        <v>0</v>
      </c>
      <c r="AH289" s="67" t="n">
        <f aca="false">AG286-AH286</f>
        <v>0</v>
      </c>
      <c r="AI289" s="67" t="n">
        <f aca="false">AH286-AI286</f>
        <v>4888.53520896001</v>
      </c>
      <c r="AJ289" s="67" t="n">
        <f aca="false">AI286-AJ286</f>
        <v>0</v>
      </c>
      <c r="AK289" s="67" t="n">
        <f aca="false">AJ286-AK286</f>
        <v>0</v>
      </c>
      <c r="AL289" s="67" t="n">
        <f aca="false">AK286-AL286</f>
        <v>0</v>
      </c>
    </row>
    <row r="290" customFormat="false" ht="15" hidden="false" customHeight="false" outlineLevel="0" collapsed="false">
      <c r="A290" s="6" t="s">
        <v>330</v>
      </c>
      <c r="C290" s="67" t="n">
        <f aca="false">-C287</f>
        <v>-15224.9444444444</v>
      </c>
      <c r="D290" s="67" t="n">
        <f aca="false">C287-D287</f>
        <v>0</v>
      </c>
      <c r="E290" s="67" t="n">
        <f aca="false">D287-E287</f>
        <v>0</v>
      </c>
      <c r="F290" s="67" t="n">
        <f aca="false">E287-F287</f>
        <v>0</v>
      </c>
      <c r="G290" s="67" t="n">
        <f aca="false">F287-G287</f>
        <v>0</v>
      </c>
      <c r="H290" s="67" t="n">
        <f aca="false">G287-H287</f>
        <v>-1107.63</v>
      </c>
      <c r="I290" s="67" t="n">
        <f aca="false">H287-I287</f>
        <v>0</v>
      </c>
      <c r="J290" s="67" t="n">
        <f aca="false">I287-J287</f>
        <v>0</v>
      </c>
      <c r="K290" s="67" t="n">
        <f aca="false">J287-K287</f>
        <v>1107.63</v>
      </c>
      <c r="L290" s="67" t="n">
        <f aca="false">K287-L287</f>
        <v>0</v>
      </c>
      <c r="M290" s="67" t="n">
        <f aca="false">L287-M287</f>
        <v>0</v>
      </c>
      <c r="N290" s="67" t="n">
        <f aca="false">M287-N287</f>
        <v>0</v>
      </c>
      <c r="O290" s="67" t="n">
        <f aca="false">N287-O287</f>
        <v>-2843.30026666667</v>
      </c>
      <c r="P290" s="67" t="n">
        <f aca="false">O287-P287</f>
        <v>0</v>
      </c>
      <c r="Q290" s="67" t="n">
        <f aca="false">P287-Q287</f>
        <v>0</v>
      </c>
      <c r="R290" s="67" t="n">
        <f aca="false">Q287-R287</f>
        <v>0</v>
      </c>
      <c r="S290" s="67" t="n">
        <f aca="false">R287-S287</f>
        <v>0</v>
      </c>
      <c r="T290" s="67" t="n">
        <f aca="false">S287-T287</f>
        <v>-907.156223999999</v>
      </c>
      <c r="U290" s="67" t="n">
        <f aca="false">T287-U287</f>
        <v>0</v>
      </c>
      <c r="V290" s="67" t="n">
        <f aca="false">U287-V287</f>
        <v>0</v>
      </c>
      <c r="W290" s="67" t="n">
        <f aca="false">V287-W287</f>
        <v>907.156223999999</v>
      </c>
      <c r="X290" s="67" t="n">
        <f aca="false">W287-X287</f>
        <v>0</v>
      </c>
      <c r="Y290" s="67" t="n">
        <f aca="false">X287-Y287</f>
        <v>0</v>
      </c>
      <c r="Z290" s="67" t="n">
        <f aca="false">Y287-Z287</f>
        <v>0</v>
      </c>
      <c r="AA290" s="67" t="n">
        <f aca="false">Z287-AA287</f>
        <v>-3407.38793258667</v>
      </c>
      <c r="AB290" s="67" t="n">
        <f aca="false">AA287-AB287</f>
        <v>0</v>
      </c>
      <c r="AC290" s="67" t="n">
        <f aca="false">AB287-AC287</f>
        <v>0</v>
      </c>
      <c r="AD290" s="67" t="n">
        <f aca="false">AC287-AD287</f>
        <v>0</v>
      </c>
      <c r="AE290" s="67" t="n">
        <f aca="false">AD287-AE287</f>
        <v>0</v>
      </c>
      <c r="AF290" s="67" t="n">
        <f aca="false">AE287-AF287</f>
        <v>-586.624225075204</v>
      </c>
      <c r="AG290" s="67" t="n">
        <f aca="false">AF287-AG287</f>
        <v>0</v>
      </c>
      <c r="AH290" s="67" t="n">
        <f aca="false">AG287-AH287</f>
        <v>0</v>
      </c>
      <c r="AI290" s="67" t="n">
        <f aca="false">AH287-AI287</f>
        <v>586.624225075204</v>
      </c>
      <c r="AJ290" s="67" t="n">
        <f aca="false">AI287-AJ287</f>
        <v>0</v>
      </c>
      <c r="AK290" s="67" t="n">
        <f aca="false">AJ287-AK287</f>
        <v>0</v>
      </c>
      <c r="AL290" s="67" t="n">
        <f aca="false">AK287-AL287</f>
        <v>0</v>
      </c>
    </row>
    <row r="291" customFormat="false" ht="15" hidden="false" customHeight="false" outlineLevel="0" collapsed="false">
      <c r="A291" s="6" t="s">
        <v>331</v>
      </c>
      <c r="C291" s="67" t="n">
        <f aca="false">C288</f>
        <v>60899.7777777778</v>
      </c>
      <c r="D291" s="67" t="n">
        <f aca="false">D288-C288</f>
        <v>0</v>
      </c>
      <c r="E291" s="67" t="n">
        <f aca="false">E288-D288</f>
        <v>0</v>
      </c>
      <c r="F291" s="67" t="n">
        <f aca="false">F288-E288</f>
        <v>0</v>
      </c>
      <c r="G291" s="67" t="n">
        <f aca="false">G288-F288</f>
        <v>0</v>
      </c>
      <c r="H291" s="67" t="n">
        <f aca="false">H288-G288</f>
        <v>4430.52</v>
      </c>
      <c r="I291" s="67" t="n">
        <f aca="false">I288-H288</f>
        <v>0</v>
      </c>
      <c r="J291" s="67" t="n">
        <f aca="false">J288-I288</f>
        <v>0</v>
      </c>
      <c r="K291" s="67" t="n">
        <f aca="false">K288-J288</f>
        <v>-4430.52</v>
      </c>
      <c r="L291" s="67" t="n">
        <f aca="false">L288-K288</f>
        <v>0</v>
      </c>
      <c r="M291" s="67" t="n">
        <f aca="false">M288-L288</f>
        <v>0</v>
      </c>
      <c r="N291" s="67" t="n">
        <f aca="false">N288-M288</f>
        <v>0</v>
      </c>
      <c r="O291" s="67" t="n">
        <f aca="false">O288-N288</f>
        <v>11373.2010666667</v>
      </c>
      <c r="P291" s="67" t="n">
        <f aca="false">P288-O288</f>
        <v>0</v>
      </c>
      <c r="Q291" s="67" t="n">
        <f aca="false">Q288-P288</f>
        <v>0</v>
      </c>
      <c r="R291" s="67" t="n">
        <f aca="false">R288-Q288</f>
        <v>0</v>
      </c>
      <c r="S291" s="67" t="n">
        <f aca="false">S288-R288</f>
        <v>0</v>
      </c>
      <c r="T291" s="67" t="n">
        <f aca="false">T288-S288</f>
        <v>3628.62489599999</v>
      </c>
      <c r="U291" s="67" t="n">
        <f aca="false">U288-T288</f>
        <v>0</v>
      </c>
      <c r="V291" s="67" t="n">
        <f aca="false">V288-U288</f>
        <v>0</v>
      </c>
      <c r="W291" s="67" t="n">
        <f aca="false">W288-V288</f>
        <v>-3628.62489599999</v>
      </c>
      <c r="X291" s="67" t="n">
        <f aca="false">X288-W288</f>
        <v>0</v>
      </c>
      <c r="Y291" s="67" t="n">
        <f aca="false">Y288-X288</f>
        <v>0</v>
      </c>
      <c r="Z291" s="67" t="n">
        <f aca="false">Z288-Y288</f>
        <v>0</v>
      </c>
      <c r="AA291" s="67" t="n">
        <f aca="false">AA288-Z288</f>
        <v>13629.5517303467</v>
      </c>
      <c r="AB291" s="67" t="n">
        <f aca="false">AB288-AA288</f>
        <v>0</v>
      </c>
      <c r="AC291" s="67" t="n">
        <f aca="false">AC288-AB288</f>
        <v>0</v>
      </c>
      <c r="AD291" s="67" t="n">
        <f aca="false">AD288-AC288</f>
        <v>0</v>
      </c>
      <c r="AE291" s="67" t="n">
        <f aca="false">AE288-AD288</f>
        <v>0</v>
      </c>
      <c r="AF291" s="67" t="n">
        <f aca="false">AF288-AE288</f>
        <v>2346.49690030082</v>
      </c>
      <c r="AG291" s="67" t="n">
        <f aca="false">AG288-AF288</f>
        <v>0</v>
      </c>
      <c r="AH291" s="67" t="n">
        <f aca="false">AH288-AG288</f>
        <v>0</v>
      </c>
      <c r="AI291" s="67" t="n">
        <f aca="false">AI288-AH288</f>
        <v>-2346.49690030082</v>
      </c>
      <c r="AJ291" s="67" t="n">
        <f aca="false">AJ288-AI288</f>
        <v>0</v>
      </c>
      <c r="AK291" s="67" t="n">
        <f aca="false">AK288-AJ288</f>
        <v>0</v>
      </c>
      <c r="AL291" s="67" t="n">
        <f aca="false">AL288-AK288</f>
        <v>0</v>
      </c>
    </row>
    <row r="293" customFormat="false" ht="15.75" hidden="false" customHeight="true" outlineLevel="0" collapsed="false">
      <c r="A293" s="7" t="s">
        <v>398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</row>
    <row r="294" customFormat="false" ht="15" hidden="false" customHeight="false" outlineLevel="0" collapsed="false">
      <c r="A294" s="4" t="s">
        <v>52</v>
      </c>
      <c r="C294" s="73" t="n">
        <f aca="false">C270-C275+C289+C290+C291</f>
        <v>21230.5258333333</v>
      </c>
      <c r="D294" s="73" t="n">
        <f aca="false">D270-D275+D289+D290+D291</f>
        <v>30383.3313888889</v>
      </c>
      <c r="E294" s="73" t="n">
        <f aca="false">E270-E275+E289+E290+E291</f>
        <v>30405.2758333333</v>
      </c>
      <c r="F294" s="73" t="n">
        <f aca="false">F270-F275+F289+F290+F291</f>
        <v>30427.2202777778</v>
      </c>
      <c r="G294" s="73" t="n">
        <f aca="false">G270-G275+G289+G290+G291</f>
        <v>30449.1647222222</v>
      </c>
      <c r="H294" s="73" t="n">
        <f aca="false">H270-H275+H289+H290+H291</f>
        <v>40642.3831541667</v>
      </c>
      <c r="I294" s="73" t="n">
        <f aca="false">I270-I275+I289+I290+I291</f>
        <v>46571.6875986111</v>
      </c>
      <c r="J294" s="73" t="n">
        <f aca="false">J270-J275+J289+J290+J291</f>
        <v>46593.6320430556</v>
      </c>
      <c r="K294" s="73" t="n">
        <f aca="false">K270-K275+K289+K290+K291</f>
        <v>36444.3025</v>
      </c>
      <c r="L294" s="73" t="n">
        <f aca="false">L270-L275+L289+L290+L291</f>
        <v>30558.8869444445</v>
      </c>
      <c r="M294" s="73" t="n">
        <f aca="false">M270-M275+M289+M290+M291</f>
        <v>30580.8313888889</v>
      </c>
      <c r="N294" s="73" t="n">
        <f aca="false">N270-N275+N289+N290+N291</f>
        <v>30602.7758333333</v>
      </c>
      <c r="O294" s="73" t="n">
        <f aca="false">O270-O275+O289+O290+O291</f>
        <v>40212.5548237778</v>
      </c>
      <c r="P294" s="73" t="n">
        <f aca="false">P270-P275+P289+P290+P291</f>
        <v>44425.8784682222</v>
      </c>
      <c r="Q294" s="73" t="n">
        <f aca="false">Q270-Q275+Q289+Q290+Q291</f>
        <v>44447.8229126667</v>
      </c>
      <c r="R294" s="73" t="n">
        <f aca="false">R270-R275+R289+R290+R291</f>
        <v>44469.7673571111</v>
      </c>
      <c r="S294" s="73" t="n">
        <f aca="false">S270-S275+S289+S290+S291</f>
        <v>44491.7118015556</v>
      </c>
      <c r="T294" s="73" t="n">
        <f aca="false">T270-T275+T289+T290+T291</f>
        <v>52843.99625464</v>
      </c>
      <c r="U294" s="73" t="n">
        <f aca="false">U270-U275+U289+U290+U291</f>
        <v>57704.1072270844</v>
      </c>
      <c r="V294" s="73" t="n">
        <f aca="false">V270-V275+V289+V290+V291</f>
        <v>57726.0516715289</v>
      </c>
      <c r="W294" s="73" t="n">
        <f aca="false">W270-W275+W289+W290+W291</f>
        <v>49417.6561073333</v>
      </c>
      <c r="X294" s="73" t="n">
        <f aca="false">X270-X275+X289+X290+X291</f>
        <v>44601.4340237778</v>
      </c>
      <c r="Y294" s="73" t="n">
        <f aca="false">Y270-Y275+Y289+Y290+Y291</f>
        <v>44623.3784682222</v>
      </c>
      <c r="Z294" s="73" t="n">
        <f aca="false">Z270-Z275+Z289+Z290+Z291</f>
        <v>44645.3229126667</v>
      </c>
      <c r="AA294" s="73" t="n">
        <f aca="false">AA270-AA275+AA289+AA290+AA291</f>
        <v>56821.7040757323</v>
      </c>
      <c r="AB294" s="73" t="n">
        <f aca="false">AB270-AB275+AB289+AB290+AB291</f>
        <v>62313.1195384168</v>
      </c>
      <c r="AC294" s="73" t="n">
        <f aca="false">AC270-AC275+AC289+AC290+AC291</f>
        <v>62335.0639828612</v>
      </c>
      <c r="AD294" s="73" t="n">
        <f aca="false">AD270-AD275+AD289+AD290+AD291</f>
        <v>62357.0084273056</v>
      </c>
      <c r="AE294" s="73" t="n">
        <f aca="false">AE270-AE275+AE289+AE290+AE291</f>
        <v>62378.9528717501</v>
      </c>
      <c r="AF294" s="73" t="n">
        <f aca="false">AF270-AF275+AF289+AF290+AF291</f>
        <v>67787.818689708</v>
      </c>
      <c r="AG294" s="73" t="n">
        <f aca="false">AG270-AG275+AG289+AG290+AG291</f>
        <v>70938.4256678869</v>
      </c>
      <c r="AH294" s="73" t="n">
        <f aca="false">AH270-AH275+AH289+AH290+AH291</f>
        <v>70960.3701123313</v>
      </c>
      <c r="AI294" s="73" t="n">
        <f aca="false">AI270-AI275+AI289+AI290+AI291</f>
        <v>65595.3931832623</v>
      </c>
      <c r="AJ294" s="73" t="n">
        <f aca="false">AJ270-AJ275+AJ289+AJ290+AJ291</f>
        <v>62488.6750939723</v>
      </c>
      <c r="AK294" s="73" t="n">
        <f aca="false">AK270-AK275+AK289+AK290+AK291</f>
        <v>62510.6195384167</v>
      </c>
      <c r="AL294" s="73" t="n">
        <f aca="false">AL270-AL275+AL289+AL290+AL291</f>
        <v>62532.5639828613</v>
      </c>
    </row>
    <row r="295" customFormat="false" ht="15" hidden="false" customHeight="false" outlineLevel="0" collapsed="false">
      <c r="A295" s="6" t="s">
        <v>399</v>
      </c>
      <c r="C295" s="67" t="n">
        <f aca="false">-C273</f>
        <v>-20000</v>
      </c>
      <c r="D295" s="67" t="n">
        <f aca="false">-D273</f>
        <v>-0</v>
      </c>
      <c r="E295" s="67" t="n">
        <f aca="false">-E273</f>
        <v>-0</v>
      </c>
      <c r="F295" s="67" t="n">
        <f aca="false">-F273</f>
        <v>-0</v>
      </c>
      <c r="G295" s="67" t="n">
        <f aca="false">-G273</f>
        <v>-0</v>
      </c>
      <c r="H295" s="67" t="n">
        <f aca="false">-H273</f>
        <v>-0</v>
      </c>
      <c r="I295" s="67" t="n">
        <f aca="false">-I273</f>
        <v>-0</v>
      </c>
      <c r="J295" s="67" t="n">
        <f aca="false">-J273</f>
        <v>-0</v>
      </c>
      <c r="K295" s="67" t="n">
        <f aca="false">-K273</f>
        <v>-0</v>
      </c>
      <c r="L295" s="67" t="n">
        <f aca="false">-L273</f>
        <v>-0</v>
      </c>
      <c r="M295" s="67" t="n">
        <f aca="false">-M273</f>
        <v>-0</v>
      </c>
      <c r="N295" s="67" t="n">
        <f aca="false">-N273</f>
        <v>-0</v>
      </c>
      <c r="O295" s="67" t="n">
        <f aca="false">-O273</f>
        <v>-36120</v>
      </c>
      <c r="P295" s="67" t="n">
        <f aca="false">-P273</f>
        <v>-0</v>
      </c>
      <c r="Q295" s="67" t="n">
        <f aca="false">-Q273</f>
        <v>-0</v>
      </c>
      <c r="R295" s="67" t="n">
        <f aca="false">-R273</f>
        <v>-0</v>
      </c>
      <c r="S295" s="67" t="n">
        <f aca="false">-S273</f>
        <v>-0</v>
      </c>
      <c r="T295" s="67" t="n">
        <f aca="false">-T273</f>
        <v>-0</v>
      </c>
      <c r="U295" s="67" t="n">
        <f aca="false">-U273</f>
        <v>-0</v>
      </c>
      <c r="V295" s="67" t="n">
        <f aca="false">-V273</f>
        <v>-0</v>
      </c>
      <c r="W295" s="67" t="n">
        <f aca="false">-W273</f>
        <v>-0</v>
      </c>
      <c r="X295" s="67" t="n">
        <f aca="false">-X273</f>
        <v>-0</v>
      </c>
      <c r="Y295" s="67" t="n">
        <f aca="false">-Y273</f>
        <v>-0</v>
      </c>
      <c r="Z295" s="67" t="n">
        <f aca="false">-Z273</f>
        <v>-0</v>
      </c>
      <c r="AA295" s="67" t="n">
        <f aca="false">-AA273</f>
        <v>-40454.4</v>
      </c>
      <c r="AB295" s="67" t="n">
        <f aca="false">-AB273</f>
        <v>-0</v>
      </c>
      <c r="AC295" s="67" t="n">
        <f aca="false">-AC273</f>
        <v>-0</v>
      </c>
      <c r="AD295" s="67" t="n">
        <f aca="false">-AD273</f>
        <v>-0</v>
      </c>
      <c r="AE295" s="67" t="n">
        <f aca="false">-AE273</f>
        <v>-0</v>
      </c>
      <c r="AF295" s="67" t="n">
        <f aca="false">-AF273</f>
        <v>-0</v>
      </c>
      <c r="AG295" s="67" t="n">
        <f aca="false">-AG273</f>
        <v>-0</v>
      </c>
      <c r="AH295" s="67" t="n">
        <f aca="false">-AH273</f>
        <v>-0</v>
      </c>
      <c r="AI295" s="67" t="n">
        <f aca="false">-AI273</f>
        <v>-0</v>
      </c>
      <c r="AJ295" s="67" t="n">
        <f aca="false">-AJ273</f>
        <v>-0</v>
      </c>
      <c r="AK295" s="67" t="n">
        <f aca="false">-AK273</f>
        <v>-0</v>
      </c>
      <c r="AL295" s="67" t="n">
        <f aca="false">-AL273</f>
        <v>-0</v>
      </c>
    </row>
    <row r="296" customFormat="false" ht="15" hidden="false" customHeight="false" outlineLevel="0" collapsed="false">
      <c r="A296" s="6" t="s">
        <v>63</v>
      </c>
      <c r="C296" s="67" t="n">
        <f aca="false">IF(C$224=1,Inputs!$D$54,0)</f>
        <v>100000</v>
      </c>
      <c r="D296" s="67" t="n">
        <f aca="false">IF(D$224=1,Inputs!$D$54,0)</f>
        <v>0</v>
      </c>
      <c r="E296" s="67" t="n">
        <f aca="false">IF(E$224=1,Inputs!$D$54,0)</f>
        <v>0</v>
      </c>
      <c r="F296" s="67" t="n">
        <f aca="false">IF(F$224=1,Inputs!$D$54,0)</f>
        <v>0</v>
      </c>
      <c r="G296" s="67" t="n">
        <f aca="false">IF(G$224=1,Inputs!$D$54,0)</f>
        <v>0</v>
      </c>
      <c r="H296" s="67" t="n">
        <f aca="false">IF(H$224=1,Inputs!$D$54,0)</f>
        <v>0</v>
      </c>
      <c r="I296" s="67" t="n">
        <f aca="false">IF(I$224=1,Inputs!$D$54,0)</f>
        <v>0</v>
      </c>
      <c r="J296" s="67" t="n">
        <f aca="false">IF(J$224=1,Inputs!$D$54,0)</f>
        <v>0</v>
      </c>
      <c r="K296" s="67" t="n">
        <f aca="false">IF(K$224=1,Inputs!$D$54,0)</f>
        <v>0</v>
      </c>
      <c r="L296" s="67" t="n">
        <f aca="false">IF(L$224=1,Inputs!$D$54,0)</f>
        <v>0</v>
      </c>
      <c r="M296" s="67" t="n">
        <f aca="false">IF(M$224=1,Inputs!$D$54,0)</f>
        <v>0</v>
      </c>
      <c r="N296" s="67" t="n">
        <f aca="false">IF(N$224=1,Inputs!$D$54,0)</f>
        <v>0</v>
      </c>
      <c r="O296" s="67" t="n">
        <f aca="false">IF(O$224=1,Inputs!$D$54,0)</f>
        <v>0</v>
      </c>
      <c r="P296" s="67" t="n">
        <f aca="false">IF(P$224=1,Inputs!$D$54,0)</f>
        <v>0</v>
      </c>
      <c r="Q296" s="67" t="n">
        <f aca="false">IF(Q$224=1,Inputs!$D$54,0)</f>
        <v>0</v>
      </c>
      <c r="R296" s="67" t="n">
        <f aca="false">IF(R$224=1,Inputs!$D$54,0)</f>
        <v>0</v>
      </c>
      <c r="S296" s="67" t="n">
        <f aca="false">IF(S$224=1,Inputs!$D$54,0)</f>
        <v>0</v>
      </c>
      <c r="T296" s="67" t="n">
        <f aca="false">IF(T$224=1,Inputs!$D$54,0)</f>
        <v>0</v>
      </c>
      <c r="U296" s="67" t="n">
        <f aca="false">IF(U$224=1,Inputs!$D$54,0)</f>
        <v>0</v>
      </c>
      <c r="V296" s="67" t="n">
        <f aca="false">IF(V$224=1,Inputs!$D$54,0)</f>
        <v>0</v>
      </c>
      <c r="W296" s="67" t="n">
        <f aca="false">IF(W$224=1,Inputs!$D$54,0)</f>
        <v>0</v>
      </c>
      <c r="X296" s="67" t="n">
        <f aca="false">IF(X$224=1,Inputs!$D$54,0)</f>
        <v>0</v>
      </c>
      <c r="Y296" s="67" t="n">
        <f aca="false">IF(Y$224=1,Inputs!$D$54,0)</f>
        <v>0</v>
      </c>
      <c r="Z296" s="67" t="n">
        <f aca="false">IF(Z$224=1,Inputs!$D$54,0)</f>
        <v>0</v>
      </c>
      <c r="AA296" s="67" t="n">
        <f aca="false">IF(AA$224=1,Inputs!$D$54,0)</f>
        <v>0</v>
      </c>
      <c r="AB296" s="67" t="n">
        <f aca="false">IF(AB$224=1,Inputs!$D$54,0)</f>
        <v>0</v>
      </c>
      <c r="AC296" s="67" t="n">
        <f aca="false">IF(AC$224=1,Inputs!$D$54,0)</f>
        <v>0</v>
      </c>
      <c r="AD296" s="67" t="n">
        <f aca="false">IF(AD$224=1,Inputs!$D$54,0)</f>
        <v>0</v>
      </c>
      <c r="AE296" s="67" t="n">
        <f aca="false">IF(AE$224=1,Inputs!$D$54,0)</f>
        <v>0</v>
      </c>
      <c r="AF296" s="67" t="n">
        <f aca="false">IF(AF$224=1,Inputs!$D$54,0)</f>
        <v>0</v>
      </c>
      <c r="AG296" s="67" t="n">
        <f aca="false">IF(AG$224=1,Inputs!$D$54,0)</f>
        <v>0</v>
      </c>
      <c r="AH296" s="67" t="n">
        <f aca="false">IF(AH$224=1,Inputs!$D$54,0)</f>
        <v>0</v>
      </c>
      <c r="AI296" s="67" t="n">
        <f aca="false">IF(AI$224=1,Inputs!$D$54,0)</f>
        <v>0</v>
      </c>
      <c r="AJ296" s="67" t="n">
        <f aca="false">IF(AJ$224=1,Inputs!$D$54,0)</f>
        <v>0</v>
      </c>
      <c r="AK296" s="67" t="n">
        <f aca="false">IF(AK$224=1,Inputs!$D$54,0)</f>
        <v>0</v>
      </c>
      <c r="AL296" s="67" t="n">
        <f aca="false">IF(AL$224=1,Inputs!$D$54,0)</f>
        <v>0</v>
      </c>
    </row>
    <row r="297" customFormat="false" ht="15" hidden="false" customHeight="false" outlineLevel="0" collapsed="false">
      <c r="A297" s="6" t="s">
        <v>54</v>
      </c>
      <c r="C297" s="67" t="n">
        <f aca="false">C296+C281+C282</f>
        <v>350000</v>
      </c>
      <c r="D297" s="67" t="n">
        <f aca="false">D296+D281+D282</f>
        <v>-4166.66666666667</v>
      </c>
      <c r="E297" s="67" t="n">
        <f aca="false">E296+E281+E282</f>
        <v>-4166.66666666667</v>
      </c>
      <c r="F297" s="67" t="n">
        <f aca="false">F296+F281+F282</f>
        <v>-4166.66666666667</v>
      </c>
      <c r="G297" s="67" t="n">
        <f aca="false">G296+G281+G282</f>
        <v>-4166.66666666667</v>
      </c>
      <c r="H297" s="67" t="n">
        <f aca="false">H296+H281+H282</f>
        <v>-4166.66666666667</v>
      </c>
      <c r="I297" s="67" t="n">
        <f aca="false">I296+I281+I282</f>
        <v>-4166.66666666667</v>
      </c>
      <c r="J297" s="67" t="n">
        <f aca="false">J296+J281+J282</f>
        <v>-4166.66666666667</v>
      </c>
      <c r="K297" s="67" t="n">
        <f aca="false">K296+K281+K282</f>
        <v>-4166.66666666667</v>
      </c>
      <c r="L297" s="67" t="n">
        <f aca="false">L296+L281+L282</f>
        <v>-4166.66666666667</v>
      </c>
      <c r="M297" s="67" t="n">
        <f aca="false">M296+M281+M282</f>
        <v>-4166.66666666667</v>
      </c>
      <c r="N297" s="67" t="n">
        <f aca="false">N296+N281+N282</f>
        <v>-4166.66666666667</v>
      </c>
      <c r="O297" s="67" t="n">
        <f aca="false">O296+O281+O282</f>
        <v>-4166.66666666667</v>
      </c>
      <c r="P297" s="67" t="n">
        <f aca="false">P296+P281+P282</f>
        <v>-4166.66666666667</v>
      </c>
      <c r="Q297" s="67" t="n">
        <f aca="false">Q296+Q281+Q282</f>
        <v>-4166.66666666667</v>
      </c>
      <c r="R297" s="67" t="n">
        <f aca="false">R296+R281+R282</f>
        <v>-4166.66666666667</v>
      </c>
      <c r="S297" s="67" t="n">
        <f aca="false">S296+S281+S282</f>
        <v>-4166.66666666667</v>
      </c>
      <c r="T297" s="67" t="n">
        <f aca="false">T296+T281+T282</f>
        <v>-4166.66666666667</v>
      </c>
      <c r="U297" s="67" t="n">
        <f aca="false">U296+U281+U282</f>
        <v>-4166.66666666667</v>
      </c>
      <c r="V297" s="67" t="n">
        <f aca="false">V296+V281+V282</f>
        <v>-4166.66666666667</v>
      </c>
      <c r="W297" s="67" t="n">
        <f aca="false">W296+W281+W282</f>
        <v>-4166.66666666667</v>
      </c>
      <c r="X297" s="67" t="n">
        <f aca="false">X296+X281+X282</f>
        <v>-4166.66666666667</v>
      </c>
      <c r="Y297" s="67" t="n">
        <f aca="false">Y296+Y281+Y282</f>
        <v>-4166.66666666667</v>
      </c>
      <c r="Z297" s="67" t="n">
        <f aca="false">Z296+Z281+Z282</f>
        <v>-4166.66666666667</v>
      </c>
      <c r="AA297" s="67" t="n">
        <f aca="false">AA296+AA281+AA282</f>
        <v>-4166.66666666667</v>
      </c>
      <c r="AB297" s="67" t="n">
        <f aca="false">AB296+AB281+AB282</f>
        <v>-4166.66666666667</v>
      </c>
      <c r="AC297" s="67" t="n">
        <f aca="false">AC296+AC281+AC282</f>
        <v>-4166.66666666667</v>
      </c>
      <c r="AD297" s="67" t="n">
        <f aca="false">AD296+AD281+AD282</f>
        <v>-4166.66666666667</v>
      </c>
      <c r="AE297" s="67" t="n">
        <f aca="false">AE296+AE281+AE282</f>
        <v>-4166.66666666667</v>
      </c>
      <c r="AF297" s="67" t="n">
        <f aca="false">AF296+AF281+AF282</f>
        <v>-4166.66666666667</v>
      </c>
      <c r="AG297" s="67" t="n">
        <f aca="false">AG296+AG281+AG282</f>
        <v>-4166.66666666667</v>
      </c>
      <c r="AH297" s="67" t="n">
        <f aca="false">AH296+AH281+AH282</f>
        <v>-4166.66666666667</v>
      </c>
      <c r="AI297" s="67" t="n">
        <f aca="false">AI296+AI281+AI282</f>
        <v>-4166.66666666667</v>
      </c>
      <c r="AJ297" s="67" t="n">
        <f aca="false">AJ296+AJ281+AJ282</f>
        <v>-4166.66666666667</v>
      </c>
      <c r="AK297" s="67" t="n">
        <f aca="false">AK296+AK281+AK282</f>
        <v>-4166.66666666667</v>
      </c>
      <c r="AL297" s="67" t="n">
        <f aca="false">AL296+AL281+AL282</f>
        <v>-4166.66666666667</v>
      </c>
    </row>
    <row r="298" customFormat="false" ht="15" hidden="false" customHeight="false" outlineLevel="0" collapsed="false">
      <c r="A298" s="113" t="s">
        <v>400</v>
      </c>
      <c r="C298" s="68" t="n">
        <f aca="false">C294+C295+C297</f>
        <v>351230.525833333</v>
      </c>
      <c r="D298" s="68" t="n">
        <f aca="false">D294+D295+D297</f>
        <v>26216.6647222222</v>
      </c>
      <c r="E298" s="68" t="n">
        <f aca="false">E294+E295+E297</f>
        <v>26238.6091666667</v>
      </c>
      <c r="F298" s="68" t="n">
        <f aca="false">F294+F295+F297</f>
        <v>26260.5536111111</v>
      </c>
      <c r="G298" s="68" t="n">
        <f aca="false">G294+G295+G297</f>
        <v>26282.4980555556</v>
      </c>
      <c r="H298" s="68" t="n">
        <f aca="false">H294+H295+H297</f>
        <v>36475.7164875</v>
      </c>
      <c r="I298" s="68" t="n">
        <f aca="false">I294+I295+I297</f>
        <v>42405.0209319445</v>
      </c>
      <c r="J298" s="68" t="n">
        <f aca="false">J294+J295+J297</f>
        <v>42426.9653763889</v>
      </c>
      <c r="K298" s="68" t="n">
        <f aca="false">K294+K295+K297</f>
        <v>32277.6358333333</v>
      </c>
      <c r="L298" s="68" t="n">
        <f aca="false">L294+L295+L297</f>
        <v>26392.2202777778</v>
      </c>
      <c r="M298" s="68" t="n">
        <f aca="false">M294+M295+M297</f>
        <v>26414.1647222222</v>
      </c>
      <c r="N298" s="68" t="n">
        <f aca="false">N294+N295+N297</f>
        <v>26436.1091666667</v>
      </c>
      <c r="O298" s="68" t="n">
        <f aca="false">O294+O295+O297</f>
        <v>-74.1118428889267</v>
      </c>
      <c r="P298" s="68" t="n">
        <f aca="false">P294+P295+P297</f>
        <v>40259.2118015556</v>
      </c>
      <c r="Q298" s="68" t="n">
        <f aca="false">Q294+Q295+Q297</f>
        <v>40281.156246</v>
      </c>
      <c r="R298" s="68" t="n">
        <f aca="false">R294+R295+R297</f>
        <v>40303.1006904444</v>
      </c>
      <c r="S298" s="68" t="n">
        <f aca="false">S294+S295+S297</f>
        <v>40325.0451348889</v>
      </c>
      <c r="T298" s="68" t="n">
        <f aca="false">T294+T295+T297</f>
        <v>48677.3295879734</v>
      </c>
      <c r="U298" s="68" t="n">
        <f aca="false">U294+U295+U297</f>
        <v>53537.4405604178</v>
      </c>
      <c r="V298" s="68" t="n">
        <f aca="false">V294+V295+V297</f>
        <v>53559.3850048622</v>
      </c>
      <c r="W298" s="68" t="n">
        <f aca="false">W294+W295+W297</f>
        <v>45250.9894406667</v>
      </c>
      <c r="X298" s="68" t="n">
        <f aca="false">X294+X295+X297</f>
        <v>40434.7673571111</v>
      </c>
      <c r="Y298" s="68" t="n">
        <f aca="false">Y294+Y295+Y297</f>
        <v>40456.7118015556</v>
      </c>
      <c r="Z298" s="68" t="n">
        <f aca="false">Z294+Z295+Z297</f>
        <v>40478.656246</v>
      </c>
      <c r="AA298" s="68" t="n">
        <f aca="false">AA294+AA295+AA297</f>
        <v>12200.6374090657</v>
      </c>
      <c r="AB298" s="68" t="n">
        <f aca="false">AB294+AB295+AB297</f>
        <v>58146.4528717501</v>
      </c>
      <c r="AC298" s="68" t="n">
        <f aca="false">AC294+AC295+AC297</f>
        <v>58168.3973161945</v>
      </c>
      <c r="AD298" s="68" t="n">
        <f aca="false">AD294+AD295+AD297</f>
        <v>58190.341760639</v>
      </c>
      <c r="AE298" s="68" t="n">
        <f aca="false">AE294+AE295+AE297</f>
        <v>58212.2862050834</v>
      </c>
      <c r="AF298" s="68" t="n">
        <f aca="false">AF294+AF295+AF297</f>
        <v>63621.1520230414</v>
      </c>
      <c r="AG298" s="68" t="n">
        <f aca="false">AG294+AG295+AG297</f>
        <v>66771.7590012202</v>
      </c>
      <c r="AH298" s="68" t="n">
        <f aca="false">AH294+AH295+AH297</f>
        <v>66793.7034456647</v>
      </c>
      <c r="AI298" s="68" t="n">
        <f aca="false">AI294+AI295+AI297</f>
        <v>61428.7265165956</v>
      </c>
      <c r="AJ298" s="68" t="n">
        <f aca="false">AJ294+AJ295+AJ297</f>
        <v>58322.0084273057</v>
      </c>
      <c r="AK298" s="68" t="n">
        <f aca="false">AK294+AK295+AK297</f>
        <v>58343.9528717501</v>
      </c>
      <c r="AL298" s="68" t="n">
        <f aca="false">AL294+AL295+AL297</f>
        <v>58365.8973161946</v>
      </c>
    </row>
    <row r="299" customFormat="false" ht="15" hidden="false" customHeight="false" outlineLevel="0" collapsed="false">
      <c r="A299" s="6" t="s">
        <v>332</v>
      </c>
      <c r="C299" s="67" t="n">
        <f aca="false">0</f>
        <v>0</v>
      </c>
      <c r="D299" s="67" t="n">
        <f aca="false">C300</f>
        <v>351230.525833333</v>
      </c>
      <c r="E299" s="67" t="n">
        <f aca="false">D300</f>
        <v>377447.190555556</v>
      </c>
      <c r="F299" s="67" t="n">
        <f aca="false">E300</f>
        <v>403685.799722222</v>
      </c>
      <c r="G299" s="67" t="n">
        <f aca="false">F300</f>
        <v>429946.353333333</v>
      </c>
      <c r="H299" s="67" t="n">
        <f aca="false">G300</f>
        <v>456228.851388889</v>
      </c>
      <c r="I299" s="67" t="n">
        <f aca="false">H300</f>
        <v>492704.567876389</v>
      </c>
      <c r="J299" s="67" t="n">
        <f aca="false">I300</f>
        <v>535109.588808333</v>
      </c>
      <c r="K299" s="67" t="n">
        <f aca="false">J300</f>
        <v>577536.554184722</v>
      </c>
      <c r="L299" s="67" t="n">
        <f aca="false">K300</f>
        <v>609814.190018056</v>
      </c>
      <c r="M299" s="67" t="n">
        <f aca="false">L300</f>
        <v>636206.410295833</v>
      </c>
      <c r="N299" s="67" t="n">
        <f aca="false">M300</f>
        <v>662620.575018056</v>
      </c>
      <c r="O299" s="67" t="n">
        <f aca="false">N300</f>
        <v>689056.684184722</v>
      </c>
      <c r="P299" s="67" t="n">
        <f aca="false">O300</f>
        <v>688982.572341833</v>
      </c>
      <c r="Q299" s="67" t="n">
        <f aca="false">P300</f>
        <v>729241.784143389</v>
      </c>
      <c r="R299" s="67" t="n">
        <f aca="false">Q300</f>
        <v>769522.940389389</v>
      </c>
      <c r="S299" s="67" t="n">
        <f aca="false">R300</f>
        <v>809826.041079833</v>
      </c>
      <c r="T299" s="67" t="n">
        <f aca="false">S300</f>
        <v>850151.086214722</v>
      </c>
      <c r="U299" s="67" t="n">
        <f aca="false">T300</f>
        <v>898828.415802696</v>
      </c>
      <c r="V299" s="67" t="n">
        <f aca="false">U300</f>
        <v>952365.856363113</v>
      </c>
      <c r="W299" s="67" t="n">
        <f aca="false">V300</f>
        <v>1005925.24136798</v>
      </c>
      <c r="X299" s="67" t="n">
        <f aca="false">W300</f>
        <v>1051176.23080864</v>
      </c>
      <c r="Y299" s="67" t="n">
        <f aca="false">X300</f>
        <v>1091610.99816575</v>
      </c>
      <c r="Z299" s="67" t="n">
        <f aca="false">Y300</f>
        <v>1132067.70996731</v>
      </c>
      <c r="AA299" s="67" t="n">
        <f aca="false">Z300</f>
        <v>1172546.36621331</v>
      </c>
      <c r="AB299" s="67" t="n">
        <f aca="false">AA300</f>
        <v>1184747.00362237</v>
      </c>
      <c r="AC299" s="67" t="n">
        <f aca="false">AB300</f>
        <v>1242893.45649412</v>
      </c>
      <c r="AD299" s="67" t="n">
        <f aca="false">AC300</f>
        <v>1301061.85381032</v>
      </c>
      <c r="AE299" s="67" t="n">
        <f aca="false">AD300</f>
        <v>1359252.19557096</v>
      </c>
      <c r="AF299" s="67" t="n">
        <f aca="false">AE300</f>
        <v>1417464.48177604</v>
      </c>
      <c r="AG299" s="67" t="n">
        <f aca="false">AF300</f>
        <v>1481085.63379908</v>
      </c>
      <c r="AH299" s="67" t="n">
        <f aca="false">AG300</f>
        <v>1547857.3928003</v>
      </c>
      <c r="AI299" s="67" t="n">
        <f aca="false">AH300</f>
        <v>1614651.09624597</v>
      </c>
      <c r="AJ299" s="67" t="n">
        <f aca="false">AI300</f>
        <v>1676079.82276256</v>
      </c>
      <c r="AK299" s="67" t="n">
        <f aca="false">AJ300</f>
        <v>1734401.83118987</v>
      </c>
      <c r="AL299" s="67" t="n">
        <f aca="false">AK300</f>
        <v>1792745.78406162</v>
      </c>
    </row>
    <row r="300" customFormat="false" ht="15" hidden="false" customHeight="false" outlineLevel="0" collapsed="false">
      <c r="A300" s="113" t="s">
        <v>86</v>
      </c>
      <c r="C300" s="68" t="n">
        <f aca="false">C299+C298</f>
        <v>351230.525833333</v>
      </c>
      <c r="D300" s="68" t="n">
        <f aca="false">D299+D298</f>
        <v>377447.190555556</v>
      </c>
      <c r="E300" s="68" t="n">
        <f aca="false">E299+E298</f>
        <v>403685.799722222</v>
      </c>
      <c r="F300" s="68" t="n">
        <f aca="false">F299+F298</f>
        <v>429946.353333333</v>
      </c>
      <c r="G300" s="68" t="n">
        <f aca="false">G299+G298</f>
        <v>456228.851388889</v>
      </c>
      <c r="H300" s="68" t="n">
        <f aca="false">H299+H298</f>
        <v>492704.567876389</v>
      </c>
      <c r="I300" s="68" t="n">
        <f aca="false">I299+I298</f>
        <v>535109.588808333</v>
      </c>
      <c r="J300" s="68" t="n">
        <f aca="false">J299+J298</f>
        <v>577536.554184722</v>
      </c>
      <c r="K300" s="68" t="n">
        <f aca="false">K299+K298</f>
        <v>609814.190018056</v>
      </c>
      <c r="L300" s="68" t="n">
        <f aca="false">L299+L298</f>
        <v>636206.410295833</v>
      </c>
      <c r="M300" s="68" t="n">
        <f aca="false">M299+M298</f>
        <v>662620.575018056</v>
      </c>
      <c r="N300" s="68" t="n">
        <f aca="false">N299+N298</f>
        <v>689056.684184722</v>
      </c>
      <c r="O300" s="68" t="n">
        <f aca="false">O299+O298</f>
        <v>688982.572341833</v>
      </c>
      <c r="P300" s="68" t="n">
        <f aca="false">P299+P298</f>
        <v>729241.784143389</v>
      </c>
      <c r="Q300" s="68" t="n">
        <f aca="false">Q299+Q298</f>
        <v>769522.940389389</v>
      </c>
      <c r="R300" s="68" t="n">
        <f aca="false">R299+R298</f>
        <v>809826.041079833</v>
      </c>
      <c r="S300" s="68" t="n">
        <f aca="false">S299+S298</f>
        <v>850151.086214722</v>
      </c>
      <c r="T300" s="68" t="n">
        <f aca="false">T299+T298</f>
        <v>898828.415802696</v>
      </c>
      <c r="U300" s="68" t="n">
        <f aca="false">U299+U298</f>
        <v>952365.856363113</v>
      </c>
      <c r="V300" s="68" t="n">
        <f aca="false">V299+V298</f>
        <v>1005925.24136798</v>
      </c>
      <c r="W300" s="68" t="n">
        <f aca="false">W299+W298</f>
        <v>1051176.23080864</v>
      </c>
      <c r="X300" s="68" t="n">
        <f aca="false">X299+X298</f>
        <v>1091610.99816575</v>
      </c>
      <c r="Y300" s="68" t="n">
        <f aca="false">Y299+Y298</f>
        <v>1132067.70996731</v>
      </c>
      <c r="Z300" s="68" t="n">
        <f aca="false">Z299+Z298</f>
        <v>1172546.36621331</v>
      </c>
      <c r="AA300" s="68" t="n">
        <f aca="false">AA299+AA298</f>
        <v>1184747.00362237</v>
      </c>
      <c r="AB300" s="68" t="n">
        <f aca="false">AB299+AB298</f>
        <v>1242893.45649412</v>
      </c>
      <c r="AC300" s="68" t="n">
        <f aca="false">AC299+AC298</f>
        <v>1301061.85381032</v>
      </c>
      <c r="AD300" s="68" t="n">
        <f aca="false">AD299+AD298</f>
        <v>1359252.19557096</v>
      </c>
      <c r="AE300" s="68" t="n">
        <f aca="false">AE299+AE298</f>
        <v>1417464.48177604</v>
      </c>
      <c r="AF300" s="68" t="n">
        <f aca="false">AF299+AF298</f>
        <v>1481085.63379908</v>
      </c>
      <c r="AG300" s="68" t="n">
        <f aca="false">AG299+AG298</f>
        <v>1547857.3928003</v>
      </c>
      <c r="AH300" s="68" t="n">
        <f aca="false">AH299+AH298</f>
        <v>1614651.09624597</v>
      </c>
      <c r="AI300" s="68" t="n">
        <f aca="false">AI299+AI298</f>
        <v>1676079.82276256</v>
      </c>
      <c r="AJ300" s="68" t="n">
        <f aca="false">AJ299+AJ298</f>
        <v>1734401.83118987</v>
      </c>
      <c r="AK300" s="68" t="n">
        <f aca="false">AK299+AK298</f>
        <v>1792745.78406162</v>
      </c>
      <c r="AL300" s="68" t="n">
        <f aca="false">AL299+AL298</f>
        <v>1851111.68137781</v>
      </c>
    </row>
    <row r="301" customFormat="false" ht="15" hidden="false" customHeight="false" outlineLevel="0" collapsed="false">
      <c r="A301" s="121" t="s">
        <v>401</v>
      </c>
      <c r="C301" s="117" t="n">
        <f aca="false">IF(C261&gt;0,1,0)</f>
        <v>1</v>
      </c>
      <c r="D301" s="117" t="n">
        <f aca="false">IF(D261&gt;0,1,0)</f>
        <v>1</v>
      </c>
      <c r="E301" s="117" t="n">
        <f aca="false">IF(E261&gt;0,1,0)</f>
        <v>1</v>
      </c>
      <c r="F301" s="117" t="n">
        <f aca="false">IF(F261&gt;0,1,0)</f>
        <v>1</v>
      </c>
      <c r="G301" s="117" t="n">
        <f aca="false">IF(G261&gt;0,1,0)</f>
        <v>1</v>
      </c>
      <c r="H301" s="117" t="n">
        <f aca="false">IF(H261&gt;0,1,0)</f>
        <v>1</v>
      </c>
      <c r="I301" s="117" t="n">
        <f aca="false">IF(I261&gt;0,1,0)</f>
        <v>1</v>
      </c>
      <c r="J301" s="117" t="n">
        <f aca="false">IF(J261&gt;0,1,0)</f>
        <v>1</v>
      </c>
      <c r="K301" s="117" t="n">
        <f aca="false">IF(K261&gt;0,1,0)</f>
        <v>1</v>
      </c>
      <c r="L301" s="117" t="n">
        <f aca="false">IF(L261&gt;0,1,0)</f>
        <v>1</v>
      </c>
      <c r="M301" s="117" t="n">
        <f aca="false">IF(M261&gt;0,1,0)</f>
        <v>1</v>
      </c>
      <c r="N301" s="117" t="n">
        <f aca="false">IF(N261&gt;0,1,0)</f>
        <v>1</v>
      </c>
      <c r="O301" s="117" t="n">
        <f aca="false">IF(O261&gt;0,1,0)</f>
        <v>1</v>
      </c>
      <c r="P301" s="117" t="n">
        <f aca="false">IF(P261&gt;0,1,0)</f>
        <v>1</v>
      </c>
      <c r="Q301" s="117" t="n">
        <f aca="false">IF(Q261&gt;0,1,0)</f>
        <v>1</v>
      </c>
      <c r="R301" s="117" t="n">
        <f aca="false">IF(R261&gt;0,1,0)</f>
        <v>1</v>
      </c>
      <c r="S301" s="117" t="n">
        <f aca="false">IF(S261&gt;0,1,0)</f>
        <v>1</v>
      </c>
      <c r="T301" s="117" t="n">
        <f aca="false">IF(T261&gt;0,1,0)</f>
        <v>1</v>
      </c>
      <c r="U301" s="117" t="n">
        <f aca="false">IF(U261&gt;0,1,0)</f>
        <v>1</v>
      </c>
      <c r="V301" s="117" t="n">
        <f aca="false">IF(V261&gt;0,1,0)</f>
        <v>1</v>
      </c>
      <c r="W301" s="117" t="n">
        <f aca="false">IF(W261&gt;0,1,0)</f>
        <v>1</v>
      </c>
      <c r="X301" s="117" t="n">
        <f aca="false">IF(X261&gt;0,1,0)</f>
        <v>1</v>
      </c>
      <c r="Y301" s="117" t="n">
        <f aca="false">IF(Y261&gt;0,1,0)</f>
        <v>1</v>
      </c>
      <c r="Z301" s="117" t="n">
        <f aca="false">IF(Z261&gt;0,1,0)</f>
        <v>1</v>
      </c>
      <c r="AA301" s="117" t="n">
        <f aca="false">IF(AA261&gt;0,1,0)</f>
        <v>1</v>
      </c>
      <c r="AB301" s="117" t="n">
        <f aca="false">IF(AB261&gt;0,1,0)</f>
        <v>1</v>
      </c>
      <c r="AC301" s="117" t="n">
        <f aca="false">IF(AC261&gt;0,1,0)</f>
        <v>1</v>
      </c>
      <c r="AD301" s="117" t="n">
        <f aca="false">IF(AD261&gt;0,1,0)</f>
        <v>1</v>
      </c>
      <c r="AE301" s="117" t="n">
        <f aca="false">IF(AE261&gt;0,1,0)</f>
        <v>1</v>
      </c>
      <c r="AF301" s="117" t="n">
        <f aca="false">IF(AF261&gt;0,1,0)</f>
        <v>1</v>
      </c>
      <c r="AG301" s="117" t="n">
        <f aca="false">IF(AG261&gt;0,1,0)</f>
        <v>1</v>
      </c>
      <c r="AH301" s="117" t="n">
        <f aca="false">IF(AH261&gt;0,1,0)</f>
        <v>1</v>
      </c>
      <c r="AI301" s="117" t="n">
        <f aca="false">IF(AI261&gt;0,1,0)</f>
        <v>1</v>
      </c>
      <c r="AJ301" s="117" t="n">
        <f aca="false">IF(AJ261&gt;0,1,0)</f>
        <v>1</v>
      </c>
      <c r="AK301" s="117" t="n">
        <f aca="false">IF(AK261&gt;0,1,0)</f>
        <v>1</v>
      </c>
      <c r="AL301" s="117" t="n">
        <f aca="false">IF(AL261&gt;0,1,0)</f>
        <v>1</v>
      </c>
    </row>
    <row r="303" customFormat="false" ht="15.75" hidden="false" customHeight="true" outlineLevel="0" collapsed="false">
      <c r="A303" s="7" t="s">
        <v>402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</row>
    <row r="304" customFormat="false" ht="15" hidden="false" customHeight="false" outlineLevel="0" collapsed="false">
      <c r="A304" s="121" t="s">
        <v>403</v>
      </c>
      <c r="C304" s="117" t="n">
        <f aca="false">IF(C270&gt;0,1,0)</f>
        <v>1</v>
      </c>
      <c r="D304" s="117" t="n">
        <f aca="false">IF(D270&gt;0,1,0)</f>
        <v>1</v>
      </c>
      <c r="E304" s="117" t="n">
        <f aca="false">IF(E270&gt;0,1,0)</f>
        <v>1</v>
      </c>
      <c r="F304" s="117" t="n">
        <f aca="false">IF(F270&gt;0,1,0)</f>
        <v>1</v>
      </c>
      <c r="G304" s="117" t="n">
        <f aca="false">IF(G270&gt;0,1,0)</f>
        <v>1</v>
      </c>
      <c r="H304" s="117" t="n">
        <f aca="false">IF(H270&gt;0,1,0)</f>
        <v>1</v>
      </c>
      <c r="I304" s="117" t="n">
        <f aca="false">IF(I270&gt;0,1,0)</f>
        <v>1</v>
      </c>
      <c r="J304" s="117" t="n">
        <f aca="false">IF(J270&gt;0,1,0)</f>
        <v>1</v>
      </c>
      <c r="K304" s="117" t="n">
        <f aca="false">IF(K270&gt;0,1,0)</f>
        <v>1</v>
      </c>
      <c r="L304" s="117" t="n">
        <f aca="false">IF(L270&gt;0,1,0)</f>
        <v>1</v>
      </c>
      <c r="M304" s="117" t="n">
        <f aca="false">IF(M270&gt;0,1,0)</f>
        <v>1</v>
      </c>
      <c r="N304" s="117" t="n">
        <f aca="false">IF(N270&gt;0,1,0)</f>
        <v>1</v>
      </c>
      <c r="O304" s="117" t="n">
        <f aca="false">IF(O270&gt;0,1,0)</f>
        <v>1</v>
      </c>
      <c r="P304" s="117" t="n">
        <f aca="false">IF(P270&gt;0,1,0)</f>
        <v>1</v>
      </c>
      <c r="Q304" s="117" t="n">
        <f aca="false">IF(Q270&gt;0,1,0)</f>
        <v>1</v>
      </c>
      <c r="R304" s="117" t="n">
        <f aca="false">IF(R270&gt;0,1,0)</f>
        <v>1</v>
      </c>
      <c r="S304" s="117" t="n">
        <f aca="false">IF(S270&gt;0,1,0)</f>
        <v>1</v>
      </c>
      <c r="T304" s="117" t="n">
        <f aca="false">IF(T270&gt;0,1,0)</f>
        <v>1</v>
      </c>
      <c r="U304" s="117" t="n">
        <f aca="false">IF(U270&gt;0,1,0)</f>
        <v>1</v>
      </c>
      <c r="V304" s="117" t="n">
        <f aca="false">IF(V270&gt;0,1,0)</f>
        <v>1</v>
      </c>
      <c r="W304" s="117" t="n">
        <f aca="false">IF(W270&gt;0,1,0)</f>
        <v>1</v>
      </c>
      <c r="X304" s="117" t="n">
        <f aca="false">IF(X270&gt;0,1,0)</f>
        <v>1</v>
      </c>
      <c r="Y304" s="117" t="n">
        <f aca="false">IF(Y270&gt;0,1,0)</f>
        <v>1</v>
      </c>
      <c r="Z304" s="117" t="n">
        <f aca="false">IF(Z270&gt;0,1,0)</f>
        <v>1</v>
      </c>
      <c r="AA304" s="117" t="n">
        <f aca="false">IF(AA270&gt;0,1,0)</f>
        <v>1</v>
      </c>
      <c r="AB304" s="117" t="n">
        <f aca="false">IF(AB270&gt;0,1,0)</f>
        <v>1</v>
      </c>
      <c r="AC304" s="117" t="n">
        <f aca="false">IF(AC270&gt;0,1,0)</f>
        <v>1</v>
      </c>
      <c r="AD304" s="117" t="n">
        <f aca="false">IF(AD270&gt;0,1,0)</f>
        <v>1</v>
      </c>
      <c r="AE304" s="117" t="n">
        <f aca="false">IF(AE270&gt;0,1,0)</f>
        <v>1</v>
      </c>
      <c r="AF304" s="117" t="n">
        <f aca="false">IF(AF270&gt;0,1,0)</f>
        <v>1</v>
      </c>
      <c r="AG304" s="117" t="n">
        <f aca="false">IF(AG270&gt;0,1,0)</f>
        <v>1</v>
      </c>
      <c r="AH304" s="117" t="n">
        <f aca="false">IF(AH270&gt;0,1,0)</f>
        <v>1</v>
      </c>
      <c r="AI304" s="117" t="n">
        <f aca="false">IF(AI270&gt;0,1,0)</f>
        <v>1</v>
      </c>
      <c r="AJ304" s="117" t="n">
        <f aca="false">IF(AJ270&gt;0,1,0)</f>
        <v>1</v>
      </c>
      <c r="AK304" s="117" t="n">
        <f aca="false">IF(AK270&gt;0,1,0)</f>
        <v>1</v>
      </c>
      <c r="AL304" s="117" t="n">
        <f aca="false">IF(AL270&gt;0,1,0)</f>
        <v>1</v>
      </c>
    </row>
    <row r="305" customFormat="false" ht="15" hidden="false" customHeight="false" outlineLevel="0" collapsed="false">
      <c r="A305" s="6" t="s">
        <v>404</v>
      </c>
      <c r="C305" s="67" t="n">
        <f aca="false">C294+C295</f>
        <v>1230.52583333333</v>
      </c>
      <c r="D305" s="67" t="n">
        <f aca="false">D294+D295</f>
        <v>30383.3313888889</v>
      </c>
      <c r="E305" s="67" t="n">
        <f aca="false">E294+E295</f>
        <v>30405.2758333333</v>
      </c>
      <c r="F305" s="67" t="n">
        <f aca="false">F294+F295</f>
        <v>30427.2202777778</v>
      </c>
      <c r="G305" s="67" t="n">
        <f aca="false">G294+G295</f>
        <v>30449.1647222222</v>
      </c>
      <c r="H305" s="67" t="n">
        <f aca="false">H294+H295</f>
        <v>40642.3831541667</v>
      </c>
      <c r="I305" s="67" t="n">
        <f aca="false">I294+I295</f>
        <v>46571.6875986111</v>
      </c>
      <c r="J305" s="67" t="n">
        <f aca="false">J294+J295</f>
        <v>46593.6320430556</v>
      </c>
      <c r="K305" s="67" t="n">
        <f aca="false">K294+K295</f>
        <v>36444.3025</v>
      </c>
      <c r="L305" s="67" t="n">
        <f aca="false">L294+L295</f>
        <v>30558.8869444445</v>
      </c>
      <c r="M305" s="67" t="n">
        <f aca="false">M294+M295</f>
        <v>30580.8313888889</v>
      </c>
      <c r="N305" s="67" t="n">
        <f aca="false">N294+N295</f>
        <v>30602.7758333333</v>
      </c>
      <c r="O305" s="67" t="n">
        <f aca="false">O294+O295</f>
        <v>4092.55482377774</v>
      </c>
      <c r="P305" s="67" t="n">
        <f aca="false">P294+P295</f>
        <v>44425.8784682222</v>
      </c>
      <c r="Q305" s="67" t="n">
        <f aca="false">Q294+Q295</f>
        <v>44447.8229126667</v>
      </c>
      <c r="R305" s="67" t="n">
        <f aca="false">R294+R295</f>
        <v>44469.7673571111</v>
      </c>
      <c r="S305" s="67" t="n">
        <f aca="false">S294+S295</f>
        <v>44491.7118015556</v>
      </c>
      <c r="T305" s="67" t="n">
        <f aca="false">T294+T295</f>
        <v>52843.99625464</v>
      </c>
      <c r="U305" s="67" t="n">
        <f aca="false">U294+U295</f>
        <v>57704.1072270844</v>
      </c>
      <c r="V305" s="67" t="n">
        <f aca="false">V294+V295</f>
        <v>57726.0516715289</v>
      </c>
      <c r="W305" s="67" t="n">
        <f aca="false">W294+W295</f>
        <v>49417.6561073333</v>
      </c>
      <c r="X305" s="67" t="n">
        <f aca="false">X294+X295</f>
        <v>44601.4340237778</v>
      </c>
      <c r="Y305" s="67" t="n">
        <f aca="false">Y294+Y295</f>
        <v>44623.3784682222</v>
      </c>
      <c r="Z305" s="67" t="n">
        <f aca="false">Z294+Z295</f>
        <v>44645.3229126667</v>
      </c>
      <c r="AA305" s="67" t="n">
        <f aca="false">AA294+AA295</f>
        <v>16367.3040757323</v>
      </c>
      <c r="AB305" s="67" t="n">
        <f aca="false">AB294+AB295</f>
        <v>62313.1195384168</v>
      </c>
      <c r="AC305" s="67" t="n">
        <f aca="false">AC294+AC295</f>
        <v>62335.0639828612</v>
      </c>
      <c r="AD305" s="67" t="n">
        <f aca="false">AD294+AD295</f>
        <v>62357.0084273056</v>
      </c>
      <c r="AE305" s="67" t="n">
        <f aca="false">AE294+AE295</f>
        <v>62378.9528717501</v>
      </c>
      <c r="AF305" s="67" t="n">
        <f aca="false">AF294+AF295</f>
        <v>67787.818689708</v>
      </c>
      <c r="AG305" s="67" t="n">
        <f aca="false">AG294+AG295</f>
        <v>70938.4256678869</v>
      </c>
      <c r="AH305" s="67" t="n">
        <f aca="false">AH294+AH295</f>
        <v>70960.3701123313</v>
      </c>
      <c r="AI305" s="67" t="n">
        <f aca="false">AI294+AI295</f>
        <v>65595.3931832623</v>
      </c>
      <c r="AJ305" s="67" t="n">
        <f aca="false">AJ294+AJ295</f>
        <v>62488.6750939723</v>
      </c>
      <c r="AK305" s="67" t="n">
        <f aca="false">AK294+AK295</f>
        <v>62510.6195384167</v>
      </c>
      <c r="AL305" s="67" t="n">
        <f aca="false">AL294+AL295</f>
        <v>62532.5639828613</v>
      </c>
    </row>
    <row r="306" customFormat="false" ht="15" hidden="false" customHeight="false" outlineLevel="0" collapsed="false">
      <c r="A306" s="6" t="s">
        <v>405</v>
      </c>
      <c r="C306" s="67" t="n">
        <f aca="false">C305</f>
        <v>1230.52583333333</v>
      </c>
      <c r="D306" s="67" t="n">
        <f aca="false">C306+D305</f>
        <v>31613.8572222222</v>
      </c>
      <c r="E306" s="67" t="n">
        <f aca="false">D306+E305</f>
        <v>62019.1330555556</v>
      </c>
      <c r="F306" s="67" t="n">
        <f aca="false">E306+F305</f>
        <v>92446.3533333333</v>
      </c>
      <c r="G306" s="67" t="n">
        <f aca="false">F306+G305</f>
        <v>122895.518055556</v>
      </c>
      <c r="H306" s="67" t="n">
        <f aca="false">G306+H305</f>
        <v>163537.901209722</v>
      </c>
      <c r="I306" s="67" t="n">
        <f aca="false">H306+I305</f>
        <v>210109.588808333</v>
      </c>
      <c r="J306" s="67" t="n">
        <f aca="false">I306+J305</f>
        <v>256703.220851389</v>
      </c>
      <c r="K306" s="67" t="n">
        <f aca="false">J306+K305</f>
        <v>293147.523351389</v>
      </c>
      <c r="L306" s="67" t="n">
        <f aca="false">K306+L305</f>
        <v>323706.410295833</v>
      </c>
      <c r="M306" s="67" t="n">
        <f aca="false">L306+M305</f>
        <v>354287.241684722</v>
      </c>
      <c r="N306" s="67" t="n">
        <f aca="false">M306+N305</f>
        <v>384890.017518056</v>
      </c>
      <c r="O306" s="67" t="n">
        <f aca="false">N306+O305</f>
        <v>388982.572341833</v>
      </c>
      <c r="P306" s="67" t="n">
        <f aca="false">O306+P305</f>
        <v>433408.450810056</v>
      </c>
      <c r="Q306" s="67" t="n">
        <f aca="false">P306+Q305</f>
        <v>477856.273722722</v>
      </c>
      <c r="R306" s="67" t="n">
        <f aca="false">Q306+R305</f>
        <v>522326.041079833</v>
      </c>
      <c r="S306" s="67" t="n">
        <f aca="false">R306+S305</f>
        <v>566817.752881389</v>
      </c>
      <c r="T306" s="67" t="n">
        <f aca="false">S306+T305</f>
        <v>619661.749136029</v>
      </c>
      <c r="U306" s="67" t="n">
        <f aca="false">T306+U305</f>
        <v>677365.856363113</v>
      </c>
      <c r="V306" s="67" t="n">
        <f aca="false">U306+V305</f>
        <v>735091.908034642</v>
      </c>
      <c r="W306" s="67" t="n">
        <f aca="false">V306+W305</f>
        <v>784509.564141976</v>
      </c>
      <c r="X306" s="67" t="n">
        <f aca="false">W306+X305</f>
        <v>829110.998165753</v>
      </c>
      <c r="Y306" s="67" t="n">
        <f aca="false">X306+Y305</f>
        <v>873734.376633976</v>
      </c>
      <c r="Z306" s="67" t="n">
        <f aca="false">Y306+Z305</f>
        <v>918379.699546642</v>
      </c>
      <c r="AA306" s="67" t="n">
        <f aca="false">Z306+AA305</f>
        <v>934747.003622375</v>
      </c>
      <c r="AB306" s="67" t="n">
        <f aca="false">AA306+AB305</f>
        <v>997060.123160791</v>
      </c>
      <c r="AC306" s="67" t="n">
        <f aca="false">AB306+AC305</f>
        <v>1059395.18714365</v>
      </c>
      <c r="AD306" s="67" t="n">
        <f aca="false">AC306+AD305</f>
        <v>1121752.19557096</v>
      </c>
      <c r="AE306" s="67" t="n">
        <f aca="false">AD306+AE305</f>
        <v>1184131.14844271</v>
      </c>
      <c r="AF306" s="67" t="n">
        <f aca="false">AE306+AF305</f>
        <v>1251918.96713242</v>
      </c>
      <c r="AG306" s="67" t="n">
        <f aca="false">AF306+AG305</f>
        <v>1322857.3928003</v>
      </c>
      <c r="AH306" s="67" t="n">
        <f aca="false">AG306+AH305</f>
        <v>1393817.76291263</v>
      </c>
      <c r="AI306" s="67" t="n">
        <f aca="false">AH306+AI305</f>
        <v>1459413.1560959</v>
      </c>
      <c r="AJ306" s="67" t="n">
        <f aca="false">AI306+AJ305</f>
        <v>1521901.83118987</v>
      </c>
      <c r="AK306" s="67" t="n">
        <f aca="false">AJ306+AK305</f>
        <v>1584412.45072829</v>
      </c>
      <c r="AL306" s="67" t="n">
        <f aca="false">AK306+AL305</f>
        <v>1646945.01471115</v>
      </c>
    </row>
    <row r="307" customFormat="false" ht="15" hidden="false" customHeight="false" outlineLevel="0" collapsed="false">
      <c r="A307" s="121" t="s">
        <v>406</v>
      </c>
      <c r="C307" s="67" t="n">
        <f aca="false">C306</f>
        <v>1230.52583333333</v>
      </c>
      <c r="D307" s="67" t="n">
        <f aca="false">MIN(C307,D306)</f>
        <v>1230.52583333333</v>
      </c>
      <c r="E307" s="67" t="n">
        <f aca="false">MIN(D307,E306)</f>
        <v>1230.52583333333</v>
      </c>
      <c r="F307" s="67" t="n">
        <f aca="false">MIN(E307,F306)</f>
        <v>1230.52583333333</v>
      </c>
      <c r="G307" s="67" t="n">
        <f aca="false">MIN(F307,G306)</f>
        <v>1230.52583333333</v>
      </c>
      <c r="H307" s="67" t="n">
        <f aca="false">MIN(G307,H306)</f>
        <v>1230.52583333333</v>
      </c>
      <c r="I307" s="67" t="n">
        <f aca="false">MIN(H307,I306)</f>
        <v>1230.52583333333</v>
      </c>
      <c r="J307" s="67" t="n">
        <f aca="false">MIN(I307,J306)</f>
        <v>1230.52583333333</v>
      </c>
      <c r="K307" s="67" t="n">
        <f aca="false">MIN(J307,K306)</f>
        <v>1230.52583333333</v>
      </c>
      <c r="L307" s="67" t="n">
        <f aca="false">MIN(K307,L306)</f>
        <v>1230.52583333333</v>
      </c>
      <c r="M307" s="67" t="n">
        <f aca="false">MIN(L307,M306)</f>
        <v>1230.52583333333</v>
      </c>
      <c r="N307" s="67" t="n">
        <f aca="false">MIN(M307,N306)</f>
        <v>1230.52583333333</v>
      </c>
      <c r="O307" s="67" t="n">
        <f aca="false">MIN(N307,O306)</f>
        <v>1230.52583333333</v>
      </c>
      <c r="P307" s="67" t="n">
        <f aca="false">MIN(O307,P306)</f>
        <v>1230.52583333333</v>
      </c>
      <c r="Q307" s="67" t="n">
        <f aca="false">MIN(P307,Q306)</f>
        <v>1230.52583333333</v>
      </c>
      <c r="R307" s="67" t="n">
        <f aca="false">MIN(Q307,R306)</f>
        <v>1230.52583333333</v>
      </c>
      <c r="S307" s="67" t="n">
        <f aca="false">MIN(R307,S306)</f>
        <v>1230.52583333333</v>
      </c>
      <c r="T307" s="67" t="n">
        <f aca="false">MIN(S307,T306)</f>
        <v>1230.52583333333</v>
      </c>
      <c r="U307" s="67" t="n">
        <f aca="false">MIN(T307,U306)</f>
        <v>1230.52583333333</v>
      </c>
      <c r="V307" s="67" t="n">
        <f aca="false">MIN(U307,V306)</f>
        <v>1230.52583333333</v>
      </c>
      <c r="W307" s="67" t="n">
        <f aca="false">MIN(V307,W306)</f>
        <v>1230.52583333333</v>
      </c>
      <c r="X307" s="67" t="n">
        <f aca="false">MIN(W307,X306)</f>
        <v>1230.52583333333</v>
      </c>
      <c r="Y307" s="67" t="n">
        <f aca="false">MIN(X307,Y306)</f>
        <v>1230.52583333333</v>
      </c>
      <c r="Z307" s="67" t="n">
        <f aca="false">MIN(Y307,Z306)</f>
        <v>1230.52583333333</v>
      </c>
      <c r="AA307" s="67" t="n">
        <f aca="false">MIN(Z307,AA306)</f>
        <v>1230.52583333333</v>
      </c>
      <c r="AB307" s="67" t="n">
        <f aca="false">MIN(AA307,AB306)</f>
        <v>1230.52583333333</v>
      </c>
      <c r="AC307" s="67" t="n">
        <f aca="false">MIN(AB307,AC306)</f>
        <v>1230.52583333333</v>
      </c>
      <c r="AD307" s="67" t="n">
        <f aca="false">MIN(AC307,AD306)</f>
        <v>1230.52583333333</v>
      </c>
      <c r="AE307" s="67" t="n">
        <f aca="false">MIN(AD307,AE306)</f>
        <v>1230.52583333333</v>
      </c>
      <c r="AF307" s="67" t="n">
        <f aca="false">MIN(AE307,AF306)</f>
        <v>1230.52583333333</v>
      </c>
      <c r="AG307" s="67" t="n">
        <f aca="false">MIN(AF307,AG306)</f>
        <v>1230.52583333333</v>
      </c>
      <c r="AH307" s="67" t="n">
        <f aca="false">MIN(AG307,AH306)</f>
        <v>1230.52583333333</v>
      </c>
      <c r="AI307" s="67" t="n">
        <f aca="false">MIN(AH307,AI306)</f>
        <v>1230.52583333333</v>
      </c>
      <c r="AJ307" s="67" t="n">
        <f aca="false">MIN(AI307,AJ306)</f>
        <v>1230.52583333333</v>
      </c>
      <c r="AK307" s="67" t="n">
        <f aca="false">MIN(AJ307,AK306)</f>
        <v>1230.52583333333</v>
      </c>
      <c r="AL307" s="67" t="n">
        <f aca="false">MIN(AK307,AL306)</f>
        <v>1230.52583333333</v>
      </c>
    </row>
    <row r="308" customFormat="false" ht="15" hidden="false" customHeight="false" outlineLevel="0" collapsed="false">
      <c r="A308" s="121" t="s">
        <v>407</v>
      </c>
      <c r="C308" s="117" t="n">
        <f aca="false">IF(AND(C306&gt;=0,C307&lt;0),1,0)</f>
        <v>0</v>
      </c>
      <c r="D308" s="117" t="n">
        <f aca="false">IF(AND(D306&gt;=0,D307&lt;0),1,0)</f>
        <v>0</v>
      </c>
      <c r="E308" s="117" t="n">
        <f aca="false">IF(AND(E306&gt;=0,E307&lt;0),1,0)</f>
        <v>0</v>
      </c>
      <c r="F308" s="117" t="n">
        <f aca="false">IF(AND(F306&gt;=0,F307&lt;0),1,0)</f>
        <v>0</v>
      </c>
      <c r="G308" s="117" t="n">
        <f aca="false">IF(AND(G306&gt;=0,G307&lt;0),1,0)</f>
        <v>0</v>
      </c>
      <c r="H308" s="117" t="n">
        <f aca="false">IF(AND(H306&gt;=0,H307&lt;0),1,0)</f>
        <v>0</v>
      </c>
      <c r="I308" s="117" t="n">
        <f aca="false">IF(AND(I306&gt;=0,I307&lt;0),1,0)</f>
        <v>0</v>
      </c>
      <c r="J308" s="117" t="n">
        <f aca="false">IF(AND(J306&gt;=0,J307&lt;0),1,0)</f>
        <v>0</v>
      </c>
      <c r="K308" s="117" t="n">
        <f aca="false">IF(AND(K306&gt;=0,K307&lt;0),1,0)</f>
        <v>0</v>
      </c>
      <c r="L308" s="117" t="n">
        <f aca="false">IF(AND(L306&gt;=0,L307&lt;0),1,0)</f>
        <v>0</v>
      </c>
      <c r="M308" s="117" t="n">
        <f aca="false">IF(AND(M306&gt;=0,M307&lt;0),1,0)</f>
        <v>0</v>
      </c>
      <c r="N308" s="117" t="n">
        <f aca="false">IF(AND(N306&gt;=0,N307&lt;0),1,0)</f>
        <v>0</v>
      </c>
      <c r="O308" s="117" t="n">
        <f aca="false">IF(AND(O306&gt;=0,O307&lt;0),1,0)</f>
        <v>0</v>
      </c>
      <c r="P308" s="117" t="n">
        <f aca="false">IF(AND(P306&gt;=0,P307&lt;0),1,0)</f>
        <v>0</v>
      </c>
      <c r="Q308" s="117" t="n">
        <f aca="false">IF(AND(Q306&gt;=0,Q307&lt;0),1,0)</f>
        <v>0</v>
      </c>
      <c r="R308" s="117" t="n">
        <f aca="false">IF(AND(R306&gt;=0,R307&lt;0),1,0)</f>
        <v>0</v>
      </c>
      <c r="S308" s="117" t="n">
        <f aca="false">IF(AND(S306&gt;=0,S307&lt;0),1,0)</f>
        <v>0</v>
      </c>
      <c r="T308" s="117" t="n">
        <f aca="false">IF(AND(T306&gt;=0,T307&lt;0),1,0)</f>
        <v>0</v>
      </c>
      <c r="U308" s="117" t="n">
        <f aca="false">IF(AND(U306&gt;=0,U307&lt;0),1,0)</f>
        <v>0</v>
      </c>
      <c r="V308" s="117" t="n">
        <f aca="false">IF(AND(V306&gt;=0,V307&lt;0),1,0)</f>
        <v>0</v>
      </c>
      <c r="W308" s="117" t="n">
        <f aca="false">IF(AND(W306&gt;=0,W307&lt;0),1,0)</f>
        <v>0</v>
      </c>
      <c r="X308" s="117" t="n">
        <f aca="false">IF(AND(X306&gt;=0,X307&lt;0),1,0)</f>
        <v>0</v>
      </c>
      <c r="Y308" s="117" t="n">
        <f aca="false">IF(AND(Y306&gt;=0,Y307&lt;0),1,0)</f>
        <v>0</v>
      </c>
      <c r="Z308" s="117" t="n">
        <f aca="false">IF(AND(Z306&gt;=0,Z307&lt;0),1,0)</f>
        <v>0</v>
      </c>
      <c r="AA308" s="117" t="n">
        <f aca="false">IF(AND(AA306&gt;=0,AA307&lt;0),1,0)</f>
        <v>0</v>
      </c>
      <c r="AB308" s="117" t="n">
        <f aca="false">IF(AND(AB306&gt;=0,AB307&lt;0),1,0)</f>
        <v>0</v>
      </c>
      <c r="AC308" s="117" t="n">
        <f aca="false">IF(AND(AC306&gt;=0,AC307&lt;0),1,0)</f>
        <v>0</v>
      </c>
      <c r="AD308" s="117" t="n">
        <f aca="false">IF(AND(AD306&gt;=0,AD307&lt;0),1,0)</f>
        <v>0</v>
      </c>
      <c r="AE308" s="117" t="n">
        <f aca="false">IF(AND(AE306&gt;=0,AE307&lt;0),1,0)</f>
        <v>0</v>
      </c>
      <c r="AF308" s="117" t="n">
        <f aca="false">IF(AND(AF306&gt;=0,AF307&lt;0),1,0)</f>
        <v>0</v>
      </c>
      <c r="AG308" s="117" t="n">
        <f aca="false">IF(AND(AG306&gt;=0,AG307&lt;0),1,0)</f>
        <v>0</v>
      </c>
      <c r="AH308" s="117" t="n">
        <f aca="false">IF(AND(AH306&gt;=0,AH307&lt;0),1,0)</f>
        <v>0</v>
      </c>
      <c r="AI308" s="117" t="n">
        <f aca="false">IF(AND(AI306&gt;=0,AI307&lt;0),1,0)</f>
        <v>0</v>
      </c>
      <c r="AJ308" s="117" t="n">
        <f aca="false">IF(AND(AJ306&gt;=0,AJ307&lt;0),1,0)</f>
        <v>0</v>
      </c>
      <c r="AK308" s="117" t="n">
        <f aca="false">IF(AND(AK306&gt;=0,AK307&lt;0),1,0)</f>
        <v>0</v>
      </c>
      <c r="AL308" s="117" t="n">
        <f aca="false">IF(AND(AL306&gt;=0,AL307&lt;0),1,0)</f>
        <v>0</v>
      </c>
    </row>
    <row r="309" customFormat="false" ht="15" hidden="false" customHeight="false" outlineLevel="0" collapsed="false">
      <c r="A309" s="6" t="s">
        <v>408</v>
      </c>
      <c r="C309" s="67" t="n">
        <f aca="false">C294-C265*(1-Inputs!$D$66)+C295</f>
        <v>2547.1925</v>
      </c>
      <c r="D309" s="67" t="n">
        <f aca="false">D294-D265*(1-Inputs!$D$66)+D295</f>
        <v>31689.0258333333</v>
      </c>
      <c r="E309" s="67" t="n">
        <f aca="false">E294-E265*(1-Inputs!$D$66)+E295</f>
        <v>31689.0258333333</v>
      </c>
      <c r="F309" s="67" t="n">
        <f aca="false">F294-F265*(1-Inputs!$D$66)+F295</f>
        <v>31689.0258333333</v>
      </c>
      <c r="G309" s="67" t="n">
        <f aca="false">G294-G265*(1-Inputs!$D$66)+G295</f>
        <v>31689.0258333333</v>
      </c>
      <c r="H309" s="67" t="n">
        <f aca="false">H294-H265*(1-Inputs!$D$66)+H295</f>
        <v>41860.2998208334</v>
      </c>
      <c r="I309" s="67" t="n">
        <f aca="false">I294-I265*(1-Inputs!$D$66)+I295</f>
        <v>47767.6598208333</v>
      </c>
      <c r="J309" s="67" t="n">
        <f aca="false">J294-J265*(1-Inputs!$D$66)+J295</f>
        <v>47767.6598208333</v>
      </c>
      <c r="K309" s="67" t="n">
        <f aca="false">K294-K265*(1-Inputs!$D$66)+K295</f>
        <v>37596.3858333333</v>
      </c>
      <c r="L309" s="67" t="n">
        <f aca="false">L294-L265*(1-Inputs!$D$66)+L295</f>
        <v>31689.0258333333</v>
      </c>
      <c r="M309" s="67" t="n">
        <f aca="false">M294-M265*(1-Inputs!$D$66)+M295</f>
        <v>31689.0258333333</v>
      </c>
      <c r="N309" s="67" t="n">
        <f aca="false">N294-N265*(1-Inputs!$D$66)+N295</f>
        <v>31689.0258333333</v>
      </c>
      <c r="O309" s="67" t="n">
        <f aca="false">O294-O265*(1-Inputs!$D$66)+O295</f>
        <v>5156.8603793333</v>
      </c>
      <c r="P309" s="67" t="n">
        <f aca="false">P294-P265*(1-Inputs!$D$66)+P295</f>
        <v>45468.2395793333</v>
      </c>
      <c r="Q309" s="67" t="n">
        <f aca="false">Q294-Q265*(1-Inputs!$D$66)+Q295</f>
        <v>45468.2395793333</v>
      </c>
      <c r="R309" s="67" t="n">
        <f aca="false">R294-R265*(1-Inputs!$D$66)+R295</f>
        <v>45468.2395793333</v>
      </c>
      <c r="S309" s="67" t="n">
        <f aca="false">S294-S265*(1-Inputs!$D$66)+S295</f>
        <v>45468.2395793333</v>
      </c>
      <c r="T309" s="67" t="n">
        <f aca="false">T294-T265*(1-Inputs!$D$66)+T295</f>
        <v>53798.5795879734</v>
      </c>
      <c r="U309" s="67" t="n">
        <f aca="false">U294-U265*(1-Inputs!$D$66)+U295</f>
        <v>58636.7461159733</v>
      </c>
      <c r="V309" s="67" t="n">
        <f aca="false">V294-V265*(1-Inputs!$D$66)+V295</f>
        <v>58636.7461159733</v>
      </c>
      <c r="W309" s="67" t="n">
        <f aca="false">W294-W265*(1-Inputs!$D$66)+W295</f>
        <v>50306.4061073333</v>
      </c>
      <c r="X309" s="67" t="n">
        <f aca="false">X294-X265*(1-Inputs!$D$66)+X295</f>
        <v>45468.2395793333</v>
      </c>
      <c r="Y309" s="67" t="n">
        <f aca="false">Y294-Y265*(1-Inputs!$D$66)+Y295</f>
        <v>45468.2395793333</v>
      </c>
      <c r="Z309" s="67" t="n">
        <f aca="false">Z294-Z265*(1-Inputs!$D$66)+Z295</f>
        <v>45468.2395793333</v>
      </c>
      <c r="AA309" s="67" t="n">
        <f aca="false">AA294-AA265*(1-Inputs!$D$66)+AA295</f>
        <v>17168.2762979545</v>
      </c>
      <c r="AB309" s="67" t="n">
        <f aca="false">AB294-AB265*(1-Inputs!$D$66)+AB295</f>
        <v>63092.1473161946</v>
      </c>
      <c r="AC309" s="67" t="n">
        <f aca="false">AC294-AC265*(1-Inputs!$D$66)+AC295</f>
        <v>63092.1473161945</v>
      </c>
      <c r="AD309" s="67" t="n">
        <f aca="false">AD294-AD265*(1-Inputs!$D$66)+AD295</f>
        <v>63092.1473161945</v>
      </c>
      <c r="AE309" s="67" t="n">
        <f aca="false">AE294-AE265*(1-Inputs!$D$66)+AE295</f>
        <v>63092.1473161945</v>
      </c>
      <c r="AF309" s="67" t="n">
        <f aca="false">AF294-AF265*(1-Inputs!$D$66)+AF295</f>
        <v>68479.068689708</v>
      </c>
      <c r="AG309" s="67" t="n">
        <f aca="false">AG294-AG265*(1-Inputs!$D$66)+AG295</f>
        <v>71607.7312234425</v>
      </c>
      <c r="AH309" s="67" t="n">
        <f aca="false">AH294-AH265*(1-Inputs!$D$66)+AH295</f>
        <v>71607.7312234425</v>
      </c>
      <c r="AI309" s="67" t="n">
        <f aca="false">AI294-AI265*(1-Inputs!$D$66)+AI295</f>
        <v>66220.809849929</v>
      </c>
      <c r="AJ309" s="67" t="n">
        <f aca="false">AJ294-AJ265*(1-Inputs!$D$66)+AJ295</f>
        <v>63092.1473161946</v>
      </c>
      <c r="AK309" s="67" t="n">
        <f aca="false">AK294-AK265*(1-Inputs!$D$66)+AK295</f>
        <v>63092.1473161945</v>
      </c>
      <c r="AL309" s="67" t="n">
        <f aca="false">AL294-AL265*(1-Inputs!$D$66)+AL295</f>
        <v>63092.1473161946</v>
      </c>
    </row>
    <row r="311" customFormat="false" ht="15.75" hidden="false" customHeight="true" outlineLevel="0" collapsed="false">
      <c r="A311" s="7" t="s">
        <v>409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customFormat="false" ht="15" hidden="false" customHeight="false" outlineLevel="0" collapsed="false">
      <c r="A312" s="6" t="s">
        <v>96</v>
      </c>
      <c r="C312" s="67" t="n">
        <f aca="false">C296</f>
        <v>100000</v>
      </c>
      <c r="D312" s="67" t="n">
        <f aca="false">C312+D296</f>
        <v>100000</v>
      </c>
      <c r="E312" s="67" t="n">
        <f aca="false">D312+E296</f>
        <v>100000</v>
      </c>
      <c r="F312" s="67" t="n">
        <f aca="false">E312+F296</f>
        <v>100000</v>
      </c>
      <c r="G312" s="67" t="n">
        <f aca="false">F312+G296</f>
        <v>100000</v>
      </c>
      <c r="H312" s="67" t="n">
        <f aca="false">G312+H296</f>
        <v>100000</v>
      </c>
      <c r="I312" s="67" t="n">
        <f aca="false">H312+I296</f>
        <v>100000</v>
      </c>
      <c r="J312" s="67" t="n">
        <f aca="false">I312+J296</f>
        <v>100000</v>
      </c>
      <c r="K312" s="67" t="n">
        <f aca="false">J312+K296</f>
        <v>100000</v>
      </c>
      <c r="L312" s="67" t="n">
        <f aca="false">K312+L296</f>
        <v>100000</v>
      </c>
      <c r="M312" s="67" t="n">
        <f aca="false">L312+M296</f>
        <v>100000</v>
      </c>
      <c r="N312" s="67" t="n">
        <f aca="false">M312+N296</f>
        <v>100000</v>
      </c>
      <c r="O312" s="67" t="n">
        <f aca="false">N312+O296</f>
        <v>100000</v>
      </c>
      <c r="P312" s="67" t="n">
        <f aca="false">O312+P296</f>
        <v>100000</v>
      </c>
      <c r="Q312" s="67" t="n">
        <f aca="false">P312+Q296</f>
        <v>100000</v>
      </c>
      <c r="R312" s="67" t="n">
        <f aca="false">Q312+R296</f>
        <v>100000</v>
      </c>
      <c r="S312" s="67" t="n">
        <f aca="false">R312+S296</f>
        <v>100000</v>
      </c>
      <c r="T312" s="67" t="n">
        <f aca="false">S312+T296</f>
        <v>100000</v>
      </c>
      <c r="U312" s="67" t="n">
        <f aca="false">T312+U296</f>
        <v>100000</v>
      </c>
      <c r="V312" s="67" t="n">
        <f aca="false">U312+V296</f>
        <v>100000</v>
      </c>
      <c r="W312" s="67" t="n">
        <f aca="false">V312+W296</f>
        <v>100000</v>
      </c>
      <c r="X312" s="67" t="n">
        <f aca="false">W312+X296</f>
        <v>100000</v>
      </c>
      <c r="Y312" s="67" t="n">
        <f aca="false">X312+Y296</f>
        <v>100000</v>
      </c>
      <c r="Z312" s="67" t="n">
        <f aca="false">Y312+Z296</f>
        <v>100000</v>
      </c>
      <c r="AA312" s="67" t="n">
        <f aca="false">Z312+AA296</f>
        <v>100000</v>
      </c>
      <c r="AB312" s="67" t="n">
        <f aca="false">AA312+AB296</f>
        <v>100000</v>
      </c>
      <c r="AC312" s="67" t="n">
        <f aca="false">AB312+AC296</f>
        <v>100000</v>
      </c>
      <c r="AD312" s="67" t="n">
        <f aca="false">AC312+AD296</f>
        <v>100000</v>
      </c>
      <c r="AE312" s="67" t="n">
        <f aca="false">AD312+AE296</f>
        <v>100000</v>
      </c>
      <c r="AF312" s="67" t="n">
        <f aca="false">AE312+AF296</f>
        <v>100000</v>
      </c>
      <c r="AG312" s="67" t="n">
        <f aca="false">AF312+AG296</f>
        <v>100000</v>
      </c>
      <c r="AH312" s="67" t="n">
        <f aca="false">AG312+AH296</f>
        <v>100000</v>
      </c>
      <c r="AI312" s="67" t="n">
        <f aca="false">AH312+AI296</f>
        <v>100000</v>
      </c>
      <c r="AJ312" s="67" t="n">
        <f aca="false">AI312+AJ296</f>
        <v>100000</v>
      </c>
      <c r="AK312" s="67" t="n">
        <f aca="false">AJ312+AK296</f>
        <v>100000</v>
      </c>
      <c r="AL312" s="67" t="n">
        <f aca="false">AK312+AL296</f>
        <v>100000</v>
      </c>
    </row>
    <row r="313" customFormat="false" ht="15" hidden="false" customHeight="false" outlineLevel="0" collapsed="false">
      <c r="A313" s="6" t="s">
        <v>97</v>
      </c>
      <c r="C313" s="67" t="n">
        <f aca="false">C270</f>
        <v>30039.0258333333</v>
      </c>
      <c r="D313" s="67" t="n">
        <f aca="false">C313+D270</f>
        <v>60089.0238888889</v>
      </c>
      <c r="E313" s="67" t="n">
        <f aca="false">D313+E270</f>
        <v>90160.9663888889</v>
      </c>
      <c r="F313" s="67" t="n">
        <f aca="false">E313+F270</f>
        <v>120254.853333333</v>
      </c>
      <c r="G313" s="67" t="n">
        <f aca="false">F313+G270</f>
        <v>150370.684722222</v>
      </c>
      <c r="H313" s="67" t="n">
        <f aca="false">G313+H270</f>
        <v>196587.094543056</v>
      </c>
      <c r="I313" s="67" t="n">
        <f aca="false">H313+I270</f>
        <v>242825.448808333</v>
      </c>
      <c r="J313" s="67" t="n">
        <f aca="false">I313+J270</f>
        <v>289085.747518056</v>
      </c>
      <c r="K313" s="67" t="n">
        <f aca="false">J313+K270</f>
        <v>319289.356684722</v>
      </c>
      <c r="L313" s="67" t="n">
        <f aca="false">K313+L270</f>
        <v>349514.910295833</v>
      </c>
      <c r="M313" s="67" t="n">
        <f aca="false">L313+M270</f>
        <v>379762.408351389</v>
      </c>
      <c r="N313" s="67" t="n">
        <f aca="false">M313+N270</f>
        <v>410031.850851389</v>
      </c>
      <c r="O313" s="67" t="n">
        <f aca="false">N313+O270</f>
        <v>453500.451541833</v>
      </c>
      <c r="P313" s="67" t="n">
        <f aca="false">O313+P270</f>
        <v>496990.996676722</v>
      </c>
      <c r="Q313" s="67" t="n">
        <f aca="false">P313+Q270</f>
        <v>540503.486256056</v>
      </c>
      <c r="R313" s="67" t="n">
        <f aca="false">Q313+R270</f>
        <v>584037.920279833</v>
      </c>
      <c r="S313" s="67" t="n">
        <f aca="false">R313+S270</f>
        <v>627594.298748056</v>
      </c>
      <c r="T313" s="67" t="n">
        <f aca="false">S313+T270</f>
        <v>684341.128197362</v>
      </c>
      <c r="U313" s="67" t="n">
        <f aca="false">T313+U270</f>
        <v>741109.902091113</v>
      </c>
      <c r="V313" s="67" t="n">
        <f aca="false">U313+V270</f>
        <v>797900.620429309</v>
      </c>
      <c r="W313" s="67" t="n">
        <f aca="false">V313+W270</f>
        <v>841544.776675309</v>
      </c>
      <c r="X313" s="67" t="n">
        <f aca="false">W313+X270</f>
        <v>885210.877365753</v>
      </c>
      <c r="Y313" s="67" t="n">
        <f aca="false">X313+Y270</f>
        <v>928898.922500642</v>
      </c>
      <c r="Z313" s="67" t="n">
        <f aca="false">Y313+Z270</f>
        <v>972608.912079976</v>
      </c>
      <c r="AA313" s="67" t="n">
        <f aca="false">Z313+AA270</f>
        <v>1033290.51384061</v>
      </c>
      <c r="AB313" s="67" t="n">
        <f aca="false">AA313+AB270</f>
        <v>1093994.0600457</v>
      </c>
      <c r="AC313" s="67" t="n">
        <f aca="false">AB313+AC270</f>
        <v>1154719.55069523</v>
      </c>
      <c r="AD313" s="67" t="n">
        <f aca="false">AC313+AD270</f>
        <v>1215466.9857892</v>
      </c>
      <c r="AE313" s="67" t="n">
        <f aca="false">AD313+AE270</f>
        <v>1276236.36532762</v>
      </c>
      <c r="AF313" s="67" t="n">
        <f aca="false">AE313+AF270</f>
        <v>1345543.27321772</v>
      </c>
      <c r="AG313" s="67" t="n">
        <f aca="false">AF313+AG270</f>
        <v>1414872.12555228</v>
      </c>
      <c r="AH313" s="67" t="n">
        <f aca="false">AG313+AH270</f>
        <v>1484222.92233128</v>
      </c>
      <c r="AI313" s="67" t="n">
        <f aca="false">AH313+AI270</f>
        <v>1545080.07964747</v>
      </c>
      <c r="AJ313" s="67" t="n">
        <f aca="false">AI313+AJ270</f>
        <v>1605959.18140811</v>
      </c>
      <c r="AK313" s="67" t="n">
        <f aca="false">AJ313+AK270</f>
        <v>1666860.22761319</v>
      </c>
      <c r="AL313" s="67" t="n">
        <f aca="false">AK313+AL270</f>
        <v>1727783.21826272</v>
      </c>
    </row>
    <row r="314" customFormat="false" ht="15" hidden="false" customHeight="false" outlineLevel="0" collapsed="false">
      <c r="A314" s="4" t="s">
        <v>92</v>
      </c>
      <c r="C314" s="73" t="n">
        <f aca="false">C300+C286+C287+C277</f>
        <v>440938.803611111</v>
      </c>
      <c r="D314" s="73" t="n">
        <f aca="false">D300+D286+D287+D277</f>
        <v>466822.135</v>
      </c>
      <c r="E314" s="73" t="n">
        <f aca="false">E300+E286+E287+E277</f>
        <v>492727.410833333</v>
      </c>
      <c r="F314" s="73" t="n">
        <f aca="false">F300+F286+F287+F277</f>
        <v>518654.631111111</v>
      </c>
      <c r="G314" s="73" t="n">
        <f aca="false">G300+G286+G287+G277</f>
        <v>544603.795833333</v>
      </c>
      <c r="H314" s="73" t="n">
        <f aca="false">H300+H286+H287+H277</f>
        <v>591084.0589875</v>
      </c>
      <c r="I314" s="73" t="n">
        <f aca="false">I300+I286+I287+I277</f>
        <v>633155.746586111</v>
      </c>
      <c r="J314" s="73" t="n">
        <f aca="false">J300+J286+J287+J277</f>
        <v>675249.378629167</v>
      </c>
      <c r="K314" s="73" t="n">
        <f aca="false">K300+K286+K287+K277</f>
        <v>696855.801129167</v>
      </c>
      <c r="L314" s="73" t="n">
        <f aca="false">L300+L286+L287+L277</f>
        <v>722914.688073611</v>
      </c>
      <c r="M314" s="73" t="n">
        <f aca="false">M300+M286+M287+M277</f>
        <v>748995.5194625</v>
      </c>
      <c r="N314" s="73" t="n">
        <f aca="false">N300+N286+N287+N277</f>
        <v>775098.295295833</v>
      </c>
      <c r="O314" s="73" t="n">
        <f aca="false">O300+O286+O287+O277</f>
        <v>825773.430386278</v>
      </c>
      <c r="P314" s="73" t="n">
        <f aca="false">P300+P286+P287+P277</f>
        <v>865097.3088545</v>
      </c>
      <c r="Q314" s="73" t="n">
        <f aca="false">Q300+Q286+Q287+Q277</f>
        <v>904443.131767167</v>
      </c>
      <c r="R314" s="73" t="n">
        <f aca="false">R300+R286+R287+R277</f>
        <v>943810.899124278</v>
      </c>
      <c r="S314" s="73" t="n">
        <f aca="false">S300+S286+S287+S277</f>
        <v>983200.610925833</v>
      </c>
      <c r="T314" s="73" t="n">
        <f aca="false">T300+T286+T287+T277</f>
        <v>1039409.39860447</v>
      </c>
      <c r="U314" s="73" t="n">
        <f aca="false">U300+U286+U287+U277</f>
        <v>1092011.50583156</v>
      </c>
      <c r="V314" s="73" t="n">
        <f aca="false">V300+V286+V287+V277</f>
        <v>1144635.55750309</v>
      </c>
      <c r="W314" s="73" t="n">
        <f aca="false">W300+W286+W287+W277</f>
        <v>1180484.42218642</v>
      </c>
      <c r="X314" s="73" t="n">
        <f aca="false">X300+X286+X287+X277</f>
        <v>1219983.8562102</v>
      </c>
      <c r="Y314" s="73" t="n">
        <f aca="false">Y300+Y286+Y287+Y277</f>
        <v>1259505.23467842</v>
      </c>
      <c r="Z314" s="73" t="n">
        <f aca="false">Z300+Z286+Z287+Z277</f>
        <v>1299048.55759109</v>
      </c>
      <c r="AA314" s="73" t="n">
        <f aca="false">AA300+AA286+AA287+AA277</f>
        <v>1369193.04441541</v>
      </c>
      <c r="AB314" s="73" t="n">
        <f aca="false">AB300+AB286+AB287+AB277</f>
        <v>1425729.92395382</v>
      </c>
      <c r="AC314" s="73" t="n">
        <f aca="false">AC300+AC286+AC287+AC277</f>
        <v>1482288.74793668</v>
      </c>
      <c r="AD314" s="73" t="n">
        <f aca="false">AD300+AD286+AD287+AD277</f>
        <v>1538869.51636399</v>
      </c>
      <c r="AE314" s="73" t="n">
        <f aca="false">AE300+AE286+AE287+AE277</f>
        <v>1595472.22923574</v>
      </c>
      <c r="AF314" s="73" t="n">
        <f aca="false">AF300+AF286+AF287+AF277</f>
        <v>1662958.96735948</v>
      </c>
      <c r="AG314" s="73" t="n">
        <f aca="false">AG300+AG286+AG287+AG277</f>
        <v>1728121.15302737</v>
      </c>
      <c r="AH314" s="73" t="n">
        <f aca="false">AH300+AH286+AH287+AH277</f>
        <v>1793305.2831397</v>
      </c>
      <c r="AI314" s="73" t="n">
        <f aca="false">AI300+AI286+AI287+AI277</f>
        <v>1847649.27688893</v>
      </c>
      <c r="AJ314" s="73" t="n">
        <f aca="false">AJ300+AJ286+AJ287+AJ277</f>
        <v>1904361.7119829</v>
      </c>
      <c r="AK314" s="73" t="n">
        <f aca="false">AK300+AK286+AK287+AK277</f>
        <v>1961096.09152132</v>
      </c>
      <c r="AL314" s="73" t="n">
        <f aca="false">AL300+AL286+AL287+AL277</f>
        <v>2017852.41550418</v>
      </c>
    </row>
    <row r="315" customFormat="false" ht="15" hidden="false" customHeight="false" outlineLevel="0" collapsed="false">
      <c r="A315" s="6" t="s">
        <v>95</v>
      </c>
      <c r="C315" s="67" t="n">
        <f aca="false">C288+C283</f>
        <v>310899.777777778</v>
      </c>
      <c r="D315" s="67" t="n">
        <f aca="false">D288+D283</f>
        <v>306733.111111111</v>
      </c>
      <c r="E315" s="67" t="n">
        <f aca="false">E288+E283</f>
        <v>302566.444444444</v>
      </c>
      <c r="F315" s="67" t="n">
        <f aca="false">F288+F283</f>
        <v>298399.777777778</v>
      </c>
      <c r="G315" s="67" t="n">
        <f aca="false">G288+G283</f>
        <v>294233.111111111</v>
      </c>
      <c r="H315" s="67" t="n">
        <f aca="false">H288+H283</f>
        <v>294496.964444445</v>
      </c>
      <c r="I315" s="67" t="n">
        <f aca="false">I288+I283</f>
        <v>290330.297777778</v>
      </c>
      <c r="J315" s="67" t="n">
        <f aca="false">J288+J283</f>
        <v>286163.631111111</v>
      </c>
      <c r="K315" s="67" t="n">
        <f aca="false">K288+K283</f>
        <v>277566.444444445</v>
      </c>
      <c r="L315" s="67" t="n">
        <f aca="false">L288+L283</f>
        <v>273399.777777778</v>
      </c>
      <c r="M315" s="67" t="n">
        <f aca="false">M288+M283</f>
        <v>269233.111111111</v>
      </c>
      <c r="N315" s="67" t="n">
        <f aca="false">N288+N283</f>
        <v>265066.444444445</v>
      </c>
      <c r="O315" s="67" t="n">
        <f aca="false">O288+O283</f>
        <v>272272.978844445</v>
      </c>
      <c r="P315" s="67" t="n">
        <f aca="false">P288+P283</f>
        <v>268106.312177778</v>
      </c>
      <c r="Q315" s="67" t="n">
        <f aca="false">Q288+Q283</f>
        <v>263939.645511111</v>
      </c>
      <c r="R315" s="67" t="n">
        <f aca="false">R288+R283</f>
        <v>259772.978844445</v>
      </c>
      <c r="S315" s="67" t="n">
        <f aca="false">S288+S283</f>
        <v>255606.312177778</v>
      </c>
      <c r="T315" s="67" t="n">
        <f aca="false">T288+T283</f>
        <v>255068.270407111</v>
      </c>
      <c r="U315" s="67" t="n">
        <f aca="false">U288+U283</f>
        <v>250901.603740445</v>
      </c>
      <c r="V315" s="67" t="n">
        <f aca="false">V288+V283</f>
        <v>246734.937073778</v>
      </c>
      <c r="W315" s="67" t="n">
        <f aca="false">W288+W283</f>
        <v>238939.645511111</v>
      </c>
      <c r="X315" s="67" t="n">
        <f aca="false">X288+X283</f>
        <v>234772.978844445</v>
      </c>
      <c r="Y315" s="67" t="n">
        <f aca="false">Y288+Y283</f>
        <v>230606.312177778</v>
      </c>
      <c r="Z315" s="67" t="n">
        <f aca="false">Z288+Z283</f>
        <v>226439.645511111</v>
      </c>
      <c r="AA315" s="67" t="n">
        <f aca="false">AA288+AA283</f>
        <v>235902.530574791</v>
      </c>
      <c r="AB315" s="67" t="n">
        <f aca="false">AB288+AB283</f>
        <v>231735.863908125</v>
      </c>
      <c r="AC315" s="67" t="n">
        <f aca="false">AC288+AC283</f>
        <v>227569.197241458</v>
      </c>
      <c r="AD315" s="67" t="n">
        <f aca="false">AD288+AD283</f>
        <v>223402.530574791</v>
      </c>
      <c r="AE315" s="67" t="n">
        <f aca="false">AE288+AE283</f>
        <v>219235.863908125</v>
      </c>
      <c r="AF315" s="67" t="n">
        <f aca="false">AF288+AF283</f>
        <v>217415.694141759</v>
      </c>
      <c r="AG315" s="67" t="n">
        <f aca="false">AG288+AG283</f>
        <v>213249.027475092</v>
      </c>
      <c r="AH315" s="67" t="n">
        <f aca="false">AH288+AH283</f>
        <v>209082.360808426</v>
      </c>
      <c r="AI315" s="67" t="n">
        <f aca="false">AI288+AI283</f>
        <v>202569.197241458</v>
      </c>
      <c r="AJ315" s="67" t="n">
        <f aca="false">AJ288+AJ283</f>
        <v>198402.530574791</v>
      </c>
      <c r="AK315" s="67" t="n">
        <f aca="false">AK288+AK283</f>
        <v>194235.863908125</v>
      </c>
      <c r="AL315" s="67" t="n">
        <f aca="false">AL288+AL283</f>
        <v>190069.197241458</v>
      </c>
    </row>
    <row r="316" customFormat="false" ht="15" hidden="false" customHeight="false" outlineLevel="0" collapsed="false">
      <c r="A316" s="6" t="s">
        <v>98</v>
      </c>
      <c r="C316" s="67" t="n">
        <f aca="false">C312+C313</f>
        <v>130039.025833333</v>
      </c>
      <c r="D316" s="67" t="n">
        <f aca="false">D312+D313</f>
        <v>160089.023888889</v>
      </c>
      <c r="E316" s="67" t="n">
        <f aca="false">E312+E313</f>
        <v>190160.966388889</v>
      </c>
      <c r="F316" s="67" t="n">
        <f aca="false">F312+F313</f>
        <v>220254.853333333</v>
      </c>
      <c r="G316" s="67" t="n">
        <f aca="false">G312+G313</f>
        <v>250370.684722222</v>
      </c>
      <c r="H316" s="67" t="n">
        <f aca="false">H312+H313</f>
        <v>296587.094543056</v>
      </c>
      <c r="I316" s="67" t="n">
        <f aca="false">I312+I313</f>
        <v>342825.448808333</v>
      </c>
      <c r="J316" s="67" t="n">
        <f aca="false">J312+J313</f>
        <v>389085.747518056</v>
      </c>
      <c r="K316" s="67" t="n">
        <f aca="false">K312+K313</f>
        <v>419289.356684722</v>
      </c>
      <c r="L316" s="67" t="n">
        <f aca="false">L312+L313</f>
        <v>449514.910295833</v>
      </c>
      <c r="M316" s="67" t="n">
        <f aca="false">M312+M313</f>
        <v>479762.408351389</v>
      </c>
      <c r="N316" s="67" t="n">
        <f aca="false">N312+N313</f>
        <v>510031.850851389</v>
      </c>
      <c r="O316" s="67" t="n">
        <f aca="false">O312+O313</f>
        <v>553500.451541834</v>
      </c>
      <c r="P316" s="67" t="n">
        <f aca="false">P312+P313</f>
        <v>596990.996676722</v>
      </c>
      <c r="Q316" s="67" t="n">
        <f aca="false">Q312+Q313</f>
        <v>640503.486256056</v>
      </c>
      <c r="R316" s="67" t="n">
        <f aca="false">R312+R313</f>
        <v>684037.920279833</v>
      </c>
      <c r="S316" s="67" t="n">
        <f aca="false">S312+S313</f>
        <v>727594.298748056</v>
      </c>
      <c r="T316" s="67" t="n">
        <f aca="false">T312+T313</f>
        <v>784341.128197362</v>
      </c>
      <c r="U316" s="67" t="n">
        <f aca="false">U312+U313</f>
        <v>841109.902091113</v>
      </c>
      <c r="V316" s="67" t="n">
        <f aca="false">V312+V313</f>
        <v>897900.620429309</v>
      </c>
      <c r="W316" s="67" t="n">
        <f aca="false">W312+W313</f>
        <v>941544.776675309</v>
      </c>
      <c r="X316" s="67" t="n">
        <f aca="false">X312+X313</f>
        <v>985210.877365753</v>
      </c>
      <c r="Y316" s="67" t="n">
        <f aca="false">Y312+Y313</f>
        <v>1028898.92250064</v>
      </c>
      <c r="Z316" s="67" t="n">
        <f aca="false">Z312+Z313</f>
        <v>1072608.91207998</v>
      </c>
      <c r="AA316" s="67" t="n">
        <f aca="false">AA312+AA313</f>
        <v>1133290.51384061</v>
      </c>
      <c r="AB316" s="67" t="n">
        <f aca="false">AB312+AB313</f>
        <v>1193994.0600457</v>
      </c>
      <c r="AC316" s="67" t="n">
        <f aca="false">AC312+AC313</f>
        <v>1254719.55069523</v>
      </c>
      <c r="AD316" s="67" t="n">
        <f aca="false">AD312+AD313</f>
        <v>1315466.9857892</v>
      </c>
      <c r="AE316" s="67" t="n">
        <f aca="false">AE312+AE313</f>
        <v>1376236.36532762</v>
      </c>
      <c r="AF316" s="67" t="n">
        <f aca="false">AF312+AF313</f>
        <v>1445543.27321772</v>
      </c>
      <c r="AG316" s="67" t="n">
        <f aca="false">AG312+AG313</f>
        <v>1514872.12555228</v>
      </c>
      <c r="AH316" s="67" t="n">
        <f aca="false">AH312+AH313</f>
        <v>1584222.92233128</v>
      </c>
      <c r="AI316" s="67" t="n">
        <f aca="false">AI312+AI313</f>
        <v>1645080.07964747</v>
      </c>
      <c r="AJ316" s="67" t="n">
        <f aca="false">AJ312+AJ313</f>
        <v>1705959.18140811</v>
      </c>
      <c r="AK316" s="67" t="n">
        <f aca="false">AK312+AK313</f>
        <v>1766860.22761319</v>
      </c>
      <c r="AL316" s="67" t="n">
        <f aca="false">AL312+AL313</f>
        <v>1827783.21826272</v>
      </c>
    </row>
    <row r="317" customFormat="false" ht="15" hidden="false" customHeight="false" outlineLevel="0" collapsed="false">
      <c r="A317" s="4" t="s">
        <v>99</v>
      </c>
      <c r="C317" s="73" t="n">
        <f aca="false">C315+C316</f>
        <v>440938.803611111</v>
      </c>
      <c r="D317" s="73" t="n">
        <f aca="false">D315+D316</f>
        <v>466822.135</v>
      </c>
      <c r="E317" s="73" t="n">
        <f aca="false">E315+E316</f>
        <v>492727.410833333</v>
      </c>
      <c r="F317" s="73" t="n">
        <f aca="false">F315+F316</f>
        <v>518654.631111111</v>
      </c>
      <c r="G317" s="73" t="n">
        <f aca="false">G315+G316</f>
        <v>544603.795833333</v>
      </c>
      <c r="H317" s="73" t="n">
        <f aca="false">H315+H316</f>
        <v>591084.0589875</v>
      </c>
      <c r="I317" s="73" t="n">
        <f aca="false">I315+I316</f>
        <v>633155.746586111</v>
      </c>
      <c r="J317" s="73" t="n">
        <f aca="false">J315+J316</f>
        <v>675249.378629167</v>
      </c>
      <c r="K317" s="73" t="n">
        <f aca="false">K315+K316</f>
        <v>696855.801129167</v>
      </c>
      <c r="L317" s="73" t="n">
        <f aca="false">L315+L316</f>
        <v>722914.688073611</v>
      </c>
      <c r="M317" s="73" t="n">
        <f aca="false">M315+M316</f>
        <v>748995.5194625</v>
      </c>
      <c r="N317" s="73" t="n">
        <f aca="false">N315+N316</f>
        <v>775098.295295834</v>
      </c>
      <c r="O317" s="73" t="n">
        <f aca="false">O315+O316</f>
        <v>825773.430386278</v>
      </c>
      <c r="P317" s="73" t="n">
        <f aca="false">P315+P316</f>
        <v>865097.3088545</v>
      </c>
      <c r="Q317" s="73" t="n">
        <f aca="false">Q315+Q316</f>
        <v>904443.131767167</v>
      </c>
      <c r="R317" s="73" t="n">
        <f aca="false">R315+R316</f>
        <v>943810.899124278</v>
      </c>
      <c r="S317" s="73" t="n">
        <f aca="false">S315+S316</f>
        <v>983200.610925834</v>
      </c>
      <c r="T317" s="73" t="n">
        <f aca="false">T315+T316</f>
        <v>1039409.39860447</v>
      </c>
      <c r="U317" s="73" t="n">
        <f aca="false">U315+U316</f>
        <v>1092011.50583156</v>
      </c>
      <c r="V317" s="73" t="n">
        <f aca="false">V315+V316</f>
        <v>1144635.55750309</v>
      </c>
      <c r="W317" s="73" t="n">
        <f aca="false">W315+W316</f>
        <v>1180484.42218642</v>
      </c>
      <c r="X317" s="73" t="n">
        <f aca="false">X315+X316</f>
        <v>1219983.8562102</v>
      </c>
      <c r="Y317" s="73" t="n">
        <f aca="false">Y315+Y316</f>
        <v>1259505.23467842</v>
      </c>
      <c r="Z317" s="73" t="n">
        <f aca="false">Z315+Z316</f>
        <v>1299048.55759109</v>
      </c>
      <c r="AA317" s="73" t="n">
        <f aca="false">AA315+AA316</f>
        <v>1369193.04441541</v>
      </c>
      <c r="AB317" s="73" t="n">
        <f aca="false">AB315+AB316</f>
        <v>1425729.92395382</v>
      </c>
      <c r="AC317" s="73" t="n">
        <f aca="false">AC315+AC316</f>
        <v>1482288.74793668</v>
      </c>
      <c r="AD317" s="73" t="n">
        <f aca="false">AD315+AD316</f>
        <v>1538869.51636399</v>
      </c>
      <c r="AE317" s="73" t="n">
        <f aca="false">AE315+AE316</f>
        <v>1595472.22923574</v>
      </c>
      <c r="AF317" s="73" t="n">
        <f aca="false">AF315+AF316</f>
        <v>1662958.96735948</v>
      </c>
      <c r="AG317" s="73" t="n">
        <f aca="false">AG315+AG316</f>
        <v>1728121.15302737</v>
      </c>
      <c r="AH317" s="73" t="n">
        <f aca="false">AH315+AH316</f>
        <v>1793305.2831397</v>
      </c>
      <c r="AI317" s="73" t="n">
        <f aca="false">AI315+AI316</f>
        <v>1847649.27688893</v>
      </c>
      <c r="AJ317" s="73" t="n">
        <f aca="false">AJ315+AJ316</f>
        <v>1904361.7119829</v>
      </c>
      <c r="AK317" s="73" t="n">
        <f aca="false">AK315+AK316</f>
        <v>1961096.09152132</v>
      </c>
      <c r="AL317" s="73" t="n">
        <f aca="false">AL315+AL316</f>
        <v>2017852.41550418</v>
      </c>
    </row>
    <row r="318" customFormat="false" ht="15" hidden="false" customHeight="false" outlineLevel="0" collapsed="false">
      <c r="A318" s="6" t="s">
        <v>410</v>
      </c>
      <c r="C318" s="67" t="n">
        <f aca="false">C314-C317</f>
        <v>0</v>
      </c>
      <c r="D318" s="67" t="n">
        <f aca="false">D314-D317</f>
        <v>0</v>
      </c>
      <c r="E318" s="67" t="n">
        <f aca="false">E314-E317</f>
        <v>0</v>
      </c>
      <c r="F318" s="67" t="n">
        <f aca="false">F314-F317</f>
        <v>0</v>
      </c>
      <c r="G318" s="67" t="n">
        <f aca="false">G314-G317</f>
        <v>0</v>
      </c>
      <c r="H318" s="67" t="n">
        <f aca="false">H314-H317</f>
        <v>0</v>
      </c>
      <c r="I318" s="67" t="n">
        <f aca="false">I314-I317</f>
        <v>0</v>
      </c>
      <c r="J318" s="67" t="n">
        <f aca="false">J314-J317</f>
        <v>0</v>
      </c>
      <c r="K318" s="67" t="n">
        <f aca="false">K314-K317</f>
        <v>0</v>
      </c>
      <c r="L318" s="67" t="n">
        <f aca="false">L314-L317</f>
        <v>0</v>
      </c>
      <c r="M318" s="67" t="n">
        <f aca="false">M314-M317</f>
        <v>0</v>
      </c>
      <c r="N318" s="67" t="n">
        <f aca="false">N314-N317</f>
        <v>0</v>
      </c>
      <c r="O318" s="67" t="n">
        <f aca="false">O314-O317</f>
        <v>0</v>
      </c>
      <c r="P318" s="67" t="n">
        <f aca="false">P314-P317</f>
        <v>0</v>
      </c>
      <c r="Q318" s="67" t="n">
        <f aca="false">Q314-Q317</f>
        <v>0</v>
      </c>
      <c r="R318" s="67" t="n">
        <f aca="false">R314-R317</f>
        <v>0</v>
      </c>
      <c r="S318" s="67" t="n">
        <f aca="false">S314-S317</f>
        <v>0</v>
      </c>
      <c r="T318" s="67" t="n">
        <f aca="false">T314-T317</f>
        <v>0</v>
      </c>
      <c r="U318" s="67" t="n">
        <f aca="false">U314-U317</f>
        <v>0</v>
      </c>
      <c r="V318" s="67" t="n">
        <f aca="false">V314-V317</f>
        <v>0</v>
      </c>
      <c r="W318" s="67" t="n">
        <f aca="false">W314-W317</f>
        <v>0</v>
      </c>
      <c r="X318" s="67" t="n">
        <f aca="false">X314-X317</f>
        <v>0</v>
      </c>
      <c r="Y318" s="67" t="n">
        <f aca="false">Y314-Y317</f>
        <v>0</v>
      </c>
      <c r="Z318" s="67" t="n">
        <f aca="false">Z314-Z317</f>
        <v>0</v>
      </c>
      <c r="AA318" s="67" t="n">
        <f aca="false">AA314-AA317</f>
        <v>0</v>
      </c>
      <c r="AB318" s="67" t="n">
        <f aca="false">AB314-AB317</f>
        <v>0</v>
      </c>
      <c r="AC318" s="67" t="n">
        <f aca="false">AC314-AC317</f>
        <v>0</v>
      </c>
      <c r="AD318" s="67" t="n">
        <f aca="false">AD314-AD317</f>
        <v>0</v>
      </c>
      <c r="AE318" s="67" t="n">
        <f aca="false">AE314-AE317</f>
        <v>0</v>
      </c>
      <c r="AF318" s="67" t="n">
        <f aca="false">AF314-AF317</f>
        <v>0</v>
      </c>
      <c r="AG318" s="67" t="n">
        <f aca="false">AG314-AG317</f>
        <v>0</v>
      </c>
      <c r="AH318" s="67" t="n">
        <f aca="false">AH314-AH317</f>
        <v>0</v>
      </c>
      <c r="AI318" s="67" t="n">
        <f aca="false">AI314-AI317</f>
        <v>0</v>
      </c>
      <c r="AJ318" s="67" t="n">
        <f aca="false">AJ314-AJ317</f>
        <v>0</v>
      </c>
      <c r="AK318" s="67" t="n">
        <f aca="false">AK314-AK317</f>
        <v>0</v>
      </c>
      <c r="AL318" s="67" t="n">
        <f aca="false">AL314-AL317</f>
        <v>0</v>
      </c>
    </row>
    <row r="320" customFormat="false" ht="15.75" hidden="false" customHeight="true" outlineLevel="0" collapsed="false">
      <c r="A320" s="7" t="s">
        <v>412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</row>
    <row r="321" customFormat="false" ht="15" hidden="false" customHeight="false" outlineLevel="0" collapsed="false">
      <c r="A321" s="6" t="s">
        <v>413</v>
      </c>
      <c r="C321" s="118" t="n">
        <f aca="false">Inputs!$D$42*(1+Inputs!$D$44)^(C$225-1)*MAX(0,MIN(1,C$224*1-Inputs!$D$45+1))/1</f>
        <v>7</v>
      </c>
      <c r="D321" s="118" t="n">
        <f aca="false">Inputs!$D$42*(1+Inputs!$D$44)^(D$225-1)*MAX(0,MIN(1,D$224*1-Inputs!$D$45+1))/1</f>
        <v>7</v>
      </c>
      <c r="E321" s="118" t="n">
        <f aca="false">Inputs!$D$42*(1+Inputs!$D$44)^(E$225-1)*MAX(0,MIN(1,E$224*1-Inputs!$D$45+1))/1</f>
        <v>7</v>
      </c>
      <c r="F321" s="118" t="n">
        <f aca="false">Inputs!$D$42*(1+Inputs!$D$44)^(F$225-1)*MAX(0,MIN(1,F$224*1-Inputs!$D$45+1))/1</f>
        <v>7</v>
      </c>
      <c r="G321" s="118" t="n">
        <f aca="false">Inputs!$D$42*(1+Inputs!$D$44)^(G$225-1)*MAX(0,MIN(1,G$224*1-Inputs!$D$45+1))/1</f>
        <v>7</v>
      </c>
      <c r="H321" s="118" t="n">
        <f aca="false">Inputs!$D$42*(1+Inputs!$D$44)^(H$225-1)*MAX(0,MIN(1,H$224*1-Inputs!$D$45+1))/1</f>
        <v>7</v>
      </c>
      <c r="I321" s="118" t="n">
        <f aca="false">Inputs!$D$42*(1+Inputs!$D$44)^(I$225-1)*MAX(0,MIN(1,I$224*1-Inputs!$D$45+1))/1</f>
        <v>7</v>
      </c>
      <c r="J321" s="118" t="n">
        <f aca="false">Inputs!$D$42*(1+Inputs!$D$44)^(J$225-1)*MAX(0,MIN(1,J$224*1-Inputs!$D$45+1))/1</f>
        <v>7</v>
      </c>
      <c r="K321" s="118" t="n">
        <f aca="false">Inputs!$D$42*(1+Inputs!$D$44)^(K$225-1)*MAX(0,MIN(1,K$224*1-Inputs!$D$45+1))/1</f>
        <v>7</v>
      </c>
      <c r="L321" s="118" t="n">
        <f aca="false">Inputs!$D$42*(1+Inputs!$D$44)^(L$225-1)*MAX(0,MIN(1,L$224*1-Inputs!$D$45+1))/1</f>
        <v>7</v>
      </c>
      <c r="M321" s="118" t="n">
        <f aca="false">Inputs!$D$42*(1+Inputs!$D$44)^(M$225-1)*MAX(0,MIN(1,M$224*1-Inputs!$D$45+1))/1</f>
        <v>7</v>
      </c>
      <c r="N321" s="118" t="n">
        <f aca="false">Inputs!$D$42*(1+Inputs!$D$44)^(N$225-1)*MAX(0,MIN(1,N$224*1-Inputs!$D$45+1))/1</f>
        <v>7</v>
      </c>
      <c r="O321" s="118" t="n">
        <f aca="false">Inputs!$D$42*(1+Inputs!$D$44)^(O$225-1)*MAX(0,MIN(1,O$224*1-Inputs!$D$45+1))/1</f>
        <v>7.84</v>
      </c>
      <c r="P321" s="118" t="n">
        <f aca="false">Inputs!$D$42*(1+Inputs!$D$44)^(P$225-1)*MAX(0,MIN(1,P$224*1-Inputs!$D$45+1))/1</f>
        <v>7.84</v>
      </c>
      <c r="Q321" s="118" t="n">
        <f aca="false">Inputs!$D$42*(1+Inputs!$D$44)^(Q$225-1)*MAX(0,MIN(1,Q$224*1-Inputs!$D$45+1))/1</f>
        <v>7.84</v>
      </c>
      <c r="R321" s="118" t="n">
        <f aca="false">Inputs!$D$42*(1+Inputs!$D$44)^(R$225-1)*MAX(0,MIN(1,R$224*1-Inputs!$D$45+1))/1</f>
        <v>7.84</v>
      </c>
      <c r="S321" s="118" t="n">
        <f aca="false">Inputs!$D$42*(1+Inputs!$D$44)^(S$225-1)*MAX(0,MIN(1,S$224*1-Inputs!$D$45+1))/1</f>
        <v>7.84</v>
      </c>
      <c r="T321" s="118" t="n">
        <f aca="false">Inputs!$D$42*(1+Inputs!$D$44)^(T$225-1)*MAX(0,MIN(1,T$224*1-Inputs!$D$45+1))/1</f>
        <v>7.84</v>
      </c>
      <c r="U321" s="118" t="n">
        <f aca="false">Inputs!$D$42*(1+Inputs!$D$44)^(U$225-1)*MAX(0,MIN(1,U$224*1-Inputs!$D$45+1))/1</f>
        <v>7.84</v>
      </c>
      <c r="V321" s="118" t="n">
        <f aca="false">Inputs!$D$42*(1+Inputs!$D$44)^(V$225-1)*MAX(0,MIN(1,V$224*1-Inputs!$D$45+1))/1</f>
        <v>7.84</v>
      </c>
      <c r="W321" s="118" t="n">
        <f aca="false">Inputs!$D$42*(1+Inputs!$D$44)^(W$225-1)*MAX(0,MIN(1,W$224*1-Inputs!$D$45+1))/1</f>
        <v>7.84</v>
      </c>
      <c r="X321" s="118" t="n">
        <f aca="false">Inputs!$D$42*(1+Inputs!$D$44)^(X$225-1)*MAX(0,MIN(1,X$224*1-Inputs!$D$45+1))/1</f>
        <v>7.84</v>
      </c>
      <c r="Y321" s="118" t="n">
        <f aca="false">Inputs!$D$42*(1+Inputs!$D$44)^(Y$225-1)*MAX(0,MIN(1,Y$224*1-Inputs!$D$45+1))/1</f>
        <v>7.84</v>
      </c>
      <c r="Z321" s="118" t="n">
        <f aca="false">Inputs!$D$42*(1+Inputs!$D$44)^(Z$225-1)*MAX(0,MIN(1,Z$224*1-Inputs!$D$45+1))/1</f>
        <v>7.84</v>
      </c>
      <c r="AA321" s="118" t="n">
        <f aca="false">Inputs!$D$42*(1+Inputs!$D$44)^(AA$225-1)*MAX(0,MIN(1,AA$224*1-Inputs!$D$45+1))/1</f>
        <v>8.7808</v>
      </c>
      <c r="AB321" s="118" t="n">
        <f aca="false">Inputs!$D$42*(1+Inputs!$D$44)^(AB$225-1)*MAX(0,MIN(1,AB$224*1-Inputs!$D$45+1))/1</f>
        <v>8.7808</v>
      </c>
      <c r="AC321" s="118" t="n">
        <f aca="false">Inputs!$D$42*(1+Inputs!$D$44)^(AC$225-1)*MAX(0,MIN(1,AC$224*1-Inputs!$D$45+1))/1</f>
        <v>8.7808</v>
      </c>
      <c r="AD321" s="118" t="n">
        <f aca="false">Inputs!$D$42*(1+Inputs!$D$44)^(AD$225-1)*MAX(0,MIN(1,AD$224*1-Inputs!$D$45+1))/1</f>
        <v>8.7808</v>
      </c>
      <c r="AE321" s="118" t="n">
        <f aca="false">Inputs!$D$42*(1+Inputs!$D$44)^(AE$225-1)*MAX(0,MIN(1,AE$224*1-Inputs!$D$45+1))/1</f>
        <v>8.7808</v>
      </c>
      <c r="AF321" s="118" t="n">
        <f aca="false">Inputs!$D$42*(1+Inputs!$D$44)^(AF$225-1)*MAX(0,MIN(1,AF$224*1-Inputs!$D$45+1))/1</f>
        <v>8.7808</v>
      </c>
      <c r="AG321" s="118" t="n">
        <f aca="false">Inputs!$D$42*(1+Inputs!$D$44)^(AG$225-1)*MAX(0,MIN(1,AG$224*1-Inputs!$D$45+1))/1</f>
        <v>8.7808</v>
      </c>
      <c r="AH321" s="118" t="n">
        <f aca="false">Inputs!$D$42*(1+Inputs!$D$44)^(AH$225-1)*MAX(0,MIN(1,AH$224*1-Inputs!$D$45+1))/1</f>
        <v>8.7808</v>
      </c>
      <c r="AI321" s="118" t="n">
        <f aca="false">Inputs!$D$42*(1+Inputs!$D$44)^(AI$225-1)*MAX(0,MIN(1,AI$224*1-Inputs!$D$45+1))/1</f>
        <v>8.7808</v>
      </c>
      <c r="AJ321" s="118" t="n">
        <f aca="false">Inputs!$D$42*(1+Inputs!$D$44)^(AJ$225-1)*MAX(0,MIN(1,AJ$224*1-Inputs!$D$45+1))/1</f>
        <v>8.7808</v>
      </c>
      <c r="AK321" s="118" t="n">
        <f aca="false">Inputs!$D$42*(1+Inputs!$D$44)^(AK$225-1)*MAX(0,MIN(1,AK$224*1-Inputs!$D$45+1))/1</f>
        <v>8.7808</v>
      </c>
      <c r="AL321" s="118" t="n">
        <f aca="false">Inputs!$D$42*(1+Inputs!$D$44)^(AL$225-1)*MAX(0,MIN(1,AL$224*1-Inputs!$D$45+1))/1</f>
        <v>8.7808</v>
      </c>
    </row>
    <row r="322" customFormat="false" ht="15" hidden="false" customHeight="false" outlineLevel="0" collapsed="false">
      <c r="A322" s="6" t="s">
        <v>414</v>
      </c>
      <c r="C322" s="118" t="n">
        <f aca="false">Inputs!$D$46*(1+Inputs!$D$48)^(C$225-1)*MAX(0,MIN(1,C$224*1-Inputs!$D$49+1))/1</f>
        <v>2</v>
      </c>
      <c r="D322" s="118" t="n">
        <f aca="false">Inputs!$D$46*(1+Inputs!$D$48)^(D$225-1)*MAX(0,MIN(1,D$224*1-Inputs!$D$49+1))/1</f>
        <v>2</v>
      </c>
      <c r="E322" s="118" t="n">
        <f aca="false">Inputs!$D$46*(1+Inputs!$D$48)^(E$225-1)*MAX(0,MIN(1,E$224*1-Inputs!$D$49+1))/1</f>
        <v>2</v>
      </c>
      <c r="F322" s="118" t="n">
        <f aca="false">Inputs!$D$46*(1+Inputs!$D$48)^(F$225-1)*MAX(0,MIN(1,F$224*1-Inputs!$D$49+1))/1</f>
        <v>2</v>
      </c>
      <c r="G322" s="118" t="n">
        <f aca="false">Inputs!$D$46*(1+Inputs!$D$48)^(G$225-1)*MAX(0,MIN(1,G$224*1-Inputs!$D$49+1))/1</f>
        <v>2</v>
      </c>
      <c r="H322" s="118" t="n">
        <f aca="false">Inputs!$D$46*(1+Inputs!$D$48)^(H$225-1)*MAX(0,MIN(1,H$224*1-Inputs!$D$49+1))/1</f>
        <v>2</v>
      </c>
      <c r="I322" s="118" t="n">
        <f aca="false">Inputs!$D$46*(1+Inputs!$D$48)^(I$225-1)*MAX(0,MIN(1,I$224*1-Inputs!$D$49+1))/1</f>
        <v>2</v>
      </c>
      <c r="J322" s="118" t="n">
        <f aca="false">Inputs!$D$46*(1+Inputs!$D$48)^(J$225-1)*MAX(0,MIN(1,J$224*1-Inputs!$D$49+1))/1</f>
        <v>2</v>
      </c>
      <c r="K322" s="118" t="n">
        <f aca="false">Inputs!$D$46*(1+Inputs!$D$48)^(K$225-1)*MAX(0,MIN(1,K$224*1-Inputs!$D$49+1))/1</f>
        <v>2</v>
      </c>
      <c r="L322" s="118" t="n">
        <f aca="false">Inputs!$D$46*(1+Inputs!$D$48)^(L$225-1)*MAX(0,MIN(1,L$224*1-Inputs!$D$49+1))/1</f>
        <v>2</v>
      </c>
      <c r="M322" s="118" t="n">
        <f aca="false">Inputs!$D$46*(1+Inputs!$D$48)^(M$225-1)*MAX(0,MIN(1,M$224*1-Inputs!$D$49+1))/1</f>
        <v>2</v>
      </c>
      <c r="N322" s="118" t="n">
        <f aca="false">Inputs!$D$46*(1+Inputs!$D$48)^(N$225-1)*MAX(0,MIN(1,N$224*1-Inputs!$D$49+1))/1</f>
        <v>2</v>
      </c>
      <c r="O322" s="118" t="n">
        <f aca="false">Inputs!$D$46*(1+Inputs!$D$48)^(O$225-1)*MAX(0,MIN(1,O$224*1-Inputs!$D$49+1))/1</f>
        <v>2.2</v>
      </c>
      <c r="P322" s="118" t="n">
        <f aca="false">Inputs!$D$46*(1+Inputs!$D$48)^(P$225-1)*MAX(0,MIN(1,P$224*1-Inputs!$D$49+1))/1</f>
        <v>2.2</v>
      </c>
      <c r="Q322" s="118" t="n">
        <f aca="false">Inputs!$D$46*(1+Inputs!$D$48)^(Q$225-1)*MAX(0,MIN(1,Q$224*1-Inputs!$D$49+1))/1</f>
        <v>2.2</v>
      </c>
      <c r="R322" s="118" t="n">
        <f aca="false">Inputs!$D$46*(1+Inputs!$D$48)^(R$225-1)*MAX(0,MIN(1,R$224*1-Inputs!$D$49+1))/1</f>
        <v>2.2</v>
      </c>
      <c r="S322" s="118" t="n">
        <f aca="false">Inputs!$D$46*(1+Inputs!$D$48)^(S$225-1)*MAX(0,MIN(1,S$224*1-Inputs!$D$49+1))/1</f>
        <v>2.2</v>
      </c>
      <c r="T322" s="118" t="n">
        <f aca="false">Inputs!$D$46*(1+Inputs!$D$48)^(T$225-1)*MAX(0,MIN(1,T$224*1-Inputs!$D$49+1))/1</f>
        <v>2.2</v>
      </c>
      <c r="U322" s="118" t="n">
        <f aca="false">Inputs!$D$46*(1+Inputs!$D$48)^(U$225-1)*MAX(0,MIN(1,U$224*1-Inputs!$D$49+1))/1</f>
        <v>2.2</v>
      </c>
      <c r="V322" s="118" t="n">
        <f aca="false">Inputs!$D$46*(1+Inputs!$D$48)^(V$225-1)*MAX(0,MIN(1,V$224*1-Inputs!$D$49+1))/1</f>
        <v>2.2</v>
      </c>
      <c r="W322" s="118" t="n">
        <f aca="false">Inputs!$D$46*(1+Inputs!$D$48)^(W$225-1)*MAX(0,MIN(1,W$224*1-Inputs!$D$49+1))/1</f>
        <v>2.2</v>
      </c>
      <c r="X322" s="118" t="n">
        <f aca="false">Inputs!$D$46*(1+Inputs!$D$48)^(X$225-1)*MAX(0,MIN(1,X$224*1-Inputs!$D$49+1))/1</f>
        <v>2.2</v>
      </c>
      <c r="Y322" s="118" t="n">
        <f aca="false">Inputs!$D$46*(1+Inputs!$D$48)^(Y$225-1)*MAX(0,MIN(1,Y$224*1-Inputs!$D$49+1))/1</f>
        <v>2.2</v>
      </c>
      <c r="Z322" s="118" t="n">
        <f aca="false">Inputs!$D$46*(1+Inputs!$D$48)^(Z$225-1)*MAX(0,MIN(1,Z$224*1-Inputs!$D$49+1))/1</f>
        <v>2.2</v>
      </c>
      <c r="AA322" s="118" t="n">
        <f aca="false">Inputs!$D$46*(1+Inputs!$D$48)^(AA$225-1)*MAX(0,MIN(1,AA$224*1-Inputs!$D$49+1))/1</f>
        <v>2.42</v>
      </c>
      <c r="AB322" s="118" t="n">
        <f aca="false">Inputs!$D$46*(1+Inputs!$D$48)^(AB$225-1)*MAX(0,MIN(1,AB$224*1-Inputs!$D$49+1))/1</f>
        <v>2.42</v>
      </c>
      <c r="AC322" s="118" t="n">
        <f aca="false">Inputs!$D$46*(1+Inputs!$D$48)^(AC$225-1)*MAX(0,MIN(1,AC$224*1-Inputs!$D$49+1))/1</f>
        <v>2.42</v>
      </c>
      <c r="AD322" s="118" t="n">
        <f aca="false">Inputs!$D$46*(1+Inputs!$D$48)^(AD$225-1)*MAX(0,MIN(1,AD$224*1-Inputs!$D$49+1))/1</f>
        <v>2.42</v>
      </c>
      <c r="AE322" s="118" t="n">
        <f aca="false">Inputs!$D$46*(1+Inputs!$D$48)^(AE$225-1)*MAX(0,MIN(1,AE$224*1-Inputs!$D$49+1))/1</f>
        <v>2.42</v>
      </c>
      <c r="AF322" s="118" t="n">
        <f aca="false">Inputs!$D$46*(1+Inputs!$D$48)^(AF$225-1)*MAX(0,MIN(1,AF$224*1-Inputs!$D$49+1))/1</f>
        <v>2.42</v>
      </c>
      <c r="AG322" s="118" t="n">
        <f aca="false">Inputs!$D$46*(1+Inputs!$D$48)^(AG$225-1)*MAX(0,MIN(1,AG$224*1-Inputs!$D$49+1))/1</f>
        <v>2.42</v>
      </c>
      <c r="AH322" s="118" t="n">
        <f aca="false">Inputs!$D$46*(1+Inputs!$D$48)^(AH$225-1)*MAX(0,MIN(1,AH$224*1-Inputs!$D$49+1))/1</f>
        <v>2.42</v>
      </c>
      <c r="AI322" s="118" t="n">
        <f aca="false">Inputs!$D$46*(1+Inputs!$D$48)^(AI$225-1)*MAX(0,MIN(1,AI$224*1-Inputs!$D$49+1))/1</f>
        <v>2.42</v>
      </c>
      <c r="AJ322" s="118" t="n">
        <f aca="false">Inputs!$D$46*(1+Inputs!$D$48)^(AJ$225-1)*MAX(0,MIN(1,AJ$224*1-Inputs!$D$49+1))/1</f>
        <v>2.42</v>
      </c>
      <c r="AK322" s="118" t="n">
        <f aca="false">Inputs!$D$46*(1+Inputs!$D$48)^(AK$225-1)*MAX(0,MIN(1,AK$224*1-Inputs!$D$49+1))/1</f>
        <v>2.42</v>
      </c>
      <c r="AL322" s="118" t="n">
        <f aca="false">Inputs!$D$46*(1+Inputs!$D$48)^(AL$225-1)*MAX(0,MIN(1,AL$224*1-Inputs!$D$49+1))/1</f>
        <v>2.42</v>
      </c>
    </row>
    <row r="323" customFormat="false" ht="15" hidden="false" customHeight="false" outlineLevel="0" collapsed="false">
      <c r="A323" s="113" t="s">
        <v>415</v>
      </c>
      <c r="C323" s="122" t="n">
        <f aca="false">C321+C322</f>
        <v>9</v>
      </c>
      <c r="D323" s="122" t="n">
        <f aca="false">D321+D322</f>
        <v>9</v>
      </c>
      <c r="E323" s="122" t="n">
        <f aca="false">E321+E322</f>
        <v>9</v>
      </c>
      <c r="F323" s="122" t="n">
        <f aca="false">F321+F322</f>
        <v>9</v>
      </c>
      <c r="G323" s="122" t="n">
        <f aca="false">G321+G322</f>
        <v>9</v>
      </c>
      <c r="H323" s="122" t="n">
        <f aca="false">H321+H322</f>
        <v>9</v>
      </c>
      <c r="I323" s="122" t="n">
        <f aca="false">I321+I322</f>
        <v>9</v>
      </c>
      <c r="J323" s="122" t="n">
        <f aca="false">J321+J322</f>
        <v>9</v>
      </c>
      <c r="K323" s="122" t="n">
        <f aca="false">K321+K322</f>
        <v>9</v>
      </c>
      <c r="L323" s="122" t="n">
        <f aca="false">L321+L322</f>
        <v>9</v>
      </c>
      <c r="M323" s="122" t="n">
        <f aca="false">M321+M322</f>
        <v>9</v>
      </c>
      <c r="N323" s="122" t="n">
        <f aca="false">N321+N322</f>
        <v>9</v>
      </c>
      <c r="O323" s="122" t="n">
        <f aca="false">O321+O322</f>
        <v>10.04</v>
      </c>
      <c r="P323" s="122" t="n">
        <f aca="false">P321+P322</f>
        <v>10.04</v>
      </c>
      <c r="Q323" s="122" t="n">
        <f aca="false">Q321+Q322</f>
        <v>10.04</v>
      </c>
      <c r="R323" s="122" t="n">
        <f aca="false">R321+R322</f>
        <v>10.04</v>
      </c>
      <c r="S323" s="122" t="n">
        <f aca="false">S321+S322</f>
        <v>10.04</v>
      </c>
      <c r="T323" s="122" t="n">
        <f aca="false">T321+T322</f>
        <v>10.04</v>
      </c>
      <c r="U323" s="122" t="n">
        <f aca="false">U321+U322</f>
        <v>10.04</v>
      </c>
      <c r="V323" s="122" t="n">
        <f aca="false">V321+V322</f>
        <v>10.04</v>
      </c>
      <c r="W323" s="122" t="n">
        <f aca="false">W321+W322</f>
        <v>10.04</v>
      </c>
      <c r="X323" s="122" t="n">
        <f aca="false">X321+X322</f>
        <v>10.04</v>
      </c>
      <c r="Y323" s="122" t="n">
        <f aca="false">Y321+Y322</f>
        <v>10.04</v>
      </c>
      <c r="Z323" s="122" t="n">
        <f aca="false">Z321+Z322</f>
        <v>10.04</v>
      </c>
      <c r="AA323" s="122" t="n">
        <f aca="false">AA321+AA322</f>
        <v>11.2008</v>
      </c>
      <c r="AB323" s="122" t="n">
        <f aca="false">AB321+AB322</f>
        <v>11.2008</v>
      </c>
      <c r="AC323" s="122" t="n">
        <f aca="false">AC321+AC322</f>
        <v>11.2008</v>
      </c>
      <c r="AD323" s="122" t="n">
        <f aca="false">AD321+AD322</f>
        <v>11.2008</v>
      </c>
      <c r="AE323" s="122" t="n">
        <f aca="false">AE321+AE322</f>
        <v>11.2008</v>
      </c>
      <c r="AF323" s="122" t="n">
        <f aca="false">AF321+AF322</f>
        <v>11.2008</v>
      </c>
      <c r="AG323" s="122" t="n">
        <f aca="false">AG321+AG322</f>
        <v>11.2008</v>
      </c>
      <c r="AH323" s="122" t="n">
        <f aca="false">AH321+AH322</f>
        <v>11.2008</v>
      </c>
      <c r="AI323" s="122" t="n">
        <f aca="false">AI321+AI322</f>
        <v>11.2008</v>
      </c>
      <c r="AJ323" s="122" t="n">
        <f aca="false">AJ321+AJ322</f>
        <v>11.2008</v>
      </c>
      <c r="AK323" s="122" t="n">
        <f aca="false">AK321+AK322</f>
        <v>11.2008</v>
      </c>
      <c r="AL323" s="122" t="n">
        <f aca="false">AL321+AL322</f>
        <v>11.2008</v>
      </c>
    </row>
    <row r="325" customFormat="false" ht="15.75" hidden="false" customHeight="true" outlineLevel="0" collapsed="false">
      <c r="A325" s="7" t="s">
        <v>416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</row>
    <row r="326" customFormat="false" ht="15" hidden="false" customHeight="false" outlineLevel="0" collapsed="false">
      <c r="A326" s="6" t="s">
        <v>417</v>
      </c>
      <c r="C326" s="67" t="n">
        <f aca="false">-C321*Inputs!$D$43/12*1*(1+Inputs!$D$50)*(1+Inputs!$D$51)^(C$225-1)</f>
        <v>-41591.6666666667</v>
      </c>
      <c r="D326" s="67" t="n">
        <f aca="false">-D321*Inputs!$D$43/12*1*(1+Inputs!$D$50)*(1+Inputs!$D$51)^(D$225-1)</f>
        <v>-41591.6666666667</v>
      </c>
      <c r="E326" s="67" t="n">
        <f aca="false">-E321*Inputs!$D$43/12*1*(1+Inputs!$D$50)*(1+Inputs!$D$51)^(E$225-1)</f>
        <v>-41591.6666666667</v>
      </c>
      <c r="F326" s="67" t="n">
        <f aca="false">-F321*Inputs!$D$43/12*1*(1+Inputs!$D$50)*(1+Inputs!$D$51)^(F$225-1)</f>
        <v>-41591.6666666667</v>
      </c>
      <c r="G326" s="67" t="n">
        <f aca="false">-G321*Inputs!$D$43/12*1*(1+Inputs!$D$50)*(1+Inputs!$D$51)^(G$225-1)</f>
        <v>-41591.6666666667</v>
      </c>
      <c r="H326" s="67" t="n">
        <f aca="false">-H321*Inputs!$D$43/12*1*(1+Inputs!$D$50)*(1+Inputs!$D$51)^(H$225-1)</f>
        <v>-41591.6666666667</v>
      </c>
      <c r="I326" s="67" t="n">
        <f aca="false">-I321*Inputs!$D$43/12*1*(1+Inputs!$D$50)*(1+Inputs!$D$51)^(I$225-1)</f>
        <v>-41591.6666666667</v>
      </c>
      <c r="J326" s="67" t="n">
        <f aca="false">-J321*Inputs!$D$43/12*1*(1+Inputs!$D$50)*(1+Inputs!$D$51)^(J$225-1)</f>
        <v>-41591.6666666667</v>
      </c>
      <c r="K326" s="67" t="n">
        <f aca="false">-K321*Inputs!$D$43/12*1*(1+Inputs!$D$50)*(1+Inputs!$D$51)^(K$225-1)</f>
        <v>-41591.6666666667</v>
      </c>
      <c r="L326" s="67" t="n">
        <f aca="false">-L321*Inputs!$D$43/12*1*(1+Inputs!$D$50)*(1+Inputs!$D$51)^(L$225-1)</f>
        <v>-41591.6666666667</v>
      </c>
      <c r="M326" s="67" t="n">
        <f aca="false">-M321*Inputs!$D$43/12*1*(1+Inputs!$D$50)*(1+Inputs!$D$51)^(M$225-1)</f>
        <v>-41591.6666666667</v>
      </c>
      <c r="N326" s="67" t="n">
        <f aca="false">-N321*Inputs!$D$43/12*1*(1+Inputs!$D$50)*(1+Inputs!$D$51)^(N$225-1)</f>
        <v>-41591.6666666667</v>
      </c>
      <c r="O326" s="67" t="n">
        <f aca="false">-O321*Inputs!$D$43/12*1*(1+Inputs!$D$50)*(1+Inputs!$D$51)^(O$225-1)</f>
        <v>-47980.1466666667</v>
      </c>
      <c r="P326" s="67" t="n">
        <f aca="false">-P321*Inputs!$D$43/12*1*(1+Inputs!$D$50)*(1+Inputs!$D$51)^(P$225-1)</f>
        <v>-47980.1466666667</v>
      </c>
      <c r="Q326" s="67" t="n">
        <f aca="false">-Q321*Inputs!$D$43/12*1*(1+Inputs!$D$50)*(1+Inputs!$D$51)^(Q$225-1)</f>
        <v>-47980.1466666667</v>
      </c>
      <c r="R326" s="67" t="n">
        <f aca="false">-R321*Inputs!$D$43/12*1*(1+Inputs!$D$50)*(1+Inputs!$D$51)^(R$225-1)</f>
        <v>-47980.1466666667</v>
      </c>
      <c r="S326" s="67" t="n">
        <f aca="false">-S321*Inputs!$D$43/12*1*(1+Inputs!$D$50)*(1+Inputs!$D$51)^(S$225-1)</f>
        <v>-47980.1466666667</v>
      </c>
      <c r="T326" s="67" t="n">
        <f aca="false">-T321*Inputs!$D$43/12*1*(1+Inputs!$D$50)*(1+Inputs!$D$51)^(T$225-1)</f>
        <v>-47980.1466666667</v>
      </c>
      <c r="U326" s="67" t="n">
        <f aca="false">-U321*Inputs!$D$43/12*1*(1+Inputs!$D$50)*(1+Inputs!$D$51)^(U$225-1)</f>
        <v>-47980.1466666667</v>
      </c>
      <c r="V326" s="67" t="n">
        <f aca="false">-V321*Inputs!$D$43/12*1*(1+Inputs!$D$50)*(1+Inputs!$D$51)^(V$225-1)</f>
        <v>-47980.1466666667</v>
      </c>
      <c r="W326" s="67" t="n">
        <f aca="false">-W321*Inputs!$D$43/12*1*(1+Inputs!$D$50)*(1+Inputs!$D$51)^(W$225-1)</f>
        <v>-47980.1466666667</v>
      </c>
      <c r="X326" s="67" t="n">
        <f aca="false">-X321*Inputs!$D$43/12*1*(1+Inputs!$D$50)*(1+Inputs!$D$51)^(X$225-1)</f>
        <v>-47980.1466666667</v>
      </c>
      <c r="Y326" s="67" t="n">
        <f aca="false">-Y321*Inputs!$D$43/12*1*(1+Inputs!$D$50)*(1+Inputs!$D$51)^(Y$225-1)</f>
        <v>-47980.1466666667</v>
      </c>
      <c r="Z326" s="67" t="n">
        <f aca="false">-Z321*Inputs!$D$43/12*1*(1+Inputs!$D$50)*(1+Inputs!$D$51)^(Z$225-1)</f>
        <v>-47980.1466666667</v>
      </c>
      <c r="AA326" s="67" t="n">
        <f aca="false">-AA321*Inputs!$D$43/12*1*(1+Inputs!$D$50)*(1+Inputs!$D$51)^(AA$225-1)</f>
        <v>-55349.8971946667</v>
      </c>
      <c r="AB326" s="67" t="n">
        <f aca="false">-AB321*Inputs!$D$43/12*1*(1+Inputs!$D$50)*(1+Inputs!$D$51)^(AB$225-1)</f>
        <v>-55349.8971946667</v>
      </c>
      <c r="AC326" s="67" t="n">
        <f aca="false">-AC321*Inputs!$D$43/12*1*(1+Inputs!$D$50)*(1+Inputs!$D$51)^(AC$225-1)</f>
        <v>-55349.8971946667</v>
      </c>
      <c r="AD326" s="67" t="n">
        <f aca="false">-AD321*Inputs!$D$43/12*1*(1+Inputs!$D$50)*(1+Inputs!$D$51)^(AD$225-1)</f>
        <v>-55349.8971946667</v>
      </c>
      <c r="AE326" s="67" t="n">
        <f aca="false">-AE321*Inputs!$D$43/12*1*(1+Inputs!$D$50)*(1+Inputs!$D$51)^(AE$225-1)</f>
        <v>-55349.8971946667</v>
      </c>
      <c r="AF326" s="67" t="n">
        <f aca="false">-AF321*Inputs!$D$43/12*1*(1+Inputs!$D$50)*(1+Inputs!$D$51)^(AF$225-1)</f>
        <v>-55349.8971946667</v>
      </c>
      <c r="AG326" s="67" t="n">
        <f aca="false">-AG321*Inputs!$D$43/12*1*(1+Inputs!$D$50)*(1+Inputs!$D$51)^(AG$225-1)</f>
        <v>-55349.8971946667</v>
      </c>
      <c r="AH326" s="67" t="n">
        <f aca="false">-AH321*Inputs!$D$43/12*1*(1+Inputs!$D$50)*(1+Inputs!$D$51)^(AH$225-1)</f>
        <v>-55349.8971946667</v>
      </c>
      <c r="AI326" s="67" t="n">
        <f aca="false">-AI321*Inputs!$D$43/12*1*(1+Inputs!$D$50)*(1+Inputs!$D$51)^(AI$225-1)</f>
        <v>-55349.8971946667</v>
      </c>
      <c r="AJ326" s="67" t="n">
        <f aca="false">-AJ321*Inputs!$D$43/12*1*(1+Inputs!$D$50)*(1+Inputs!$D$51)^(AJ$225-1)</f>
        <v>-55349.8971946667</v>
      </c>
      <c r="AK326" s="67" t="n">
        <f aca="false">-AK321*Inputs!$D$43/12*1*(1+Inputs!$D$50)*(1+Inputs!$D$51)^(AK$225-1)</f>
        <v>-55349.8971946667</v>
      </c>
      <c r="AL326" s="67" t="n">
        <f aca="false">-AL321*Inputs!$D$43/12*1*(1+Inputs!$D$50)*(1+Inputs!$D$51)^(AL$225-1)</f>
        <v>-55349.8971946667</v>
      </c>
    </row>
    <row r="327" customFormat="false" ht="15" hidden="false" customHeight="false" outlineLevel="0" collapsed="false">
      <c r="A327" s="6" t="s">
        <v>418</v>
      </c>
      <c r="C327" s="67" t="n">
        <f aca="false">-C322*Inputs!$D$47/12*1*(1+Inputs!$D$50)*(1+Inputs!$D$51)^(C$225-1)</f>
        <v>-8625</v>
      </c>
      <c r="D327" s="67" t="n">
        <f aca="false">-D322*Inputs!$D$47/12*1*(1+Inputs!$D$50)*(1+Inputs!$D$51)^(D$225-1)</f>
        <v>-8625</v>
      </c>
      <c r="E327" s="67" t="n">
        <f aca="false">-E322*Inputs!$D$47/12*1*(1+Inputs!$D$50)*(1+Inputs!$D$51)^(E$225-1)</f>
        <v>-8625</v>
      </c>
      <c r="F327" s="67" t="n">
        <f aca="false">-F322*Inputs!$D$47/12*1*(1+Inputs!$D$50)*(1+Inputs!$D$51)^(F$225-1)</f>
        <v>-8625</v>
      </c>
      <c r="G327" s="67" t="n">
        <f aca="false">-G322*Inputs!$D$47/12*1*(1+Inputs!$D$50)*(1+Inputs!$D$51)^(G$225-1)</f>
        <v>-8625</v>
      </c>
      <c r="H327" s="67" t="n">
        <f aca="false">-H322*Inputs!$D$47/12*1*(1+Inputs!$D$50)*(1+Inputs!$D$51)^(H$225-1)</f>
        <v>-8625</v>
      </c>
      <c r="I327" s="67" t="n">
        <f aca="false">-I322*Inputs!$D$47/12*1*(1+Inputs!$D$50)*(1+Inputs!$D$51)^(I$225-1)</f>
        <v>-8625</v>
      </c>
      <c r="J327" s="67" t="n">
        <f aca="false">-J322*Inputs!$D$47/12*1*(1+Inputs!$D$50)*(1+Inputs!$D$51)^(J$225-1)</f>
        <v>-8625</v>
      </c>
      <c r="K327" s="67" t="n">
        <f aca="false">-K322*Inputs!$D$47/12*1*(1+Inputs!$D$50)*(1+Inputs!$D$51)^(K$225-1)</f>
        <v>-8625</v>
      </c>
      <c r="L327" s="67" t="n">
        <f aca="false">-L322*Inputs!$D$47/12*1*(1+Inputs!$D$50)*(1+Inputs!$D$51)^(L$225-1)</f>
        <v>-8625</v>
      </c>
      <c r="M327" s="67" t="n">
        <f aca="false">-M322*Inputs!$D$47/12*1*(1+Inputs!$D$50)*(1+Inputs!$D$51)^(M$225-1)</f>
        <v>-8625</v>
      </c>
      <c r="N327" s="67" t="n">
        <f aca="false">-N322*Inputs!$D$47/12*1*(1+Inputs!$D$50)*(1+Inputs!$D$51)^(N$225-1)</f>
        <v>-8625</v>
      </c>
      <c r="O327" s="67" t="n">
        <f aca="false">-O322*Inputs!$D$47/12*1*(1+Inputs!$D$50)*(1+Inputs!$D$51)^(O$225-1)</f>
        <v>-9772.125</v>
      </c>
      <c r="P327" s="67" t="n">
        <f aca="false">-P322*Inputs!$D$47/12*1*(1+Inputs!$D$50)*(1+Inputs!$D$51)^(P$225-1)</f>
        <v>-9772.125</v>
      </c>
      <c r="Q327" s="67" t="n">
        <f aca="false">-Q322*Inputs!$D$47/12*1*(1+Inputs!$D$50)*(1+Inputs!$D$51)^(Q$225-1)</f>
        <v>-9772.125</v>
      </c>
      <c r="R327" s="67" t="n">
        <f aca="false">-R322*Inputs!$D$47/12*1*(1+Inputs!$D$50)*(1+Inputs!$D$51)^(R$225-1)</f>
        <v>-9772.125</v>
      </c>
      <c r="S327" s="67" t="n">
        <f aca="false">-S322*Inputs!$D$47/12*1*(1+Inputs!$D$50)*(1+Inputs!$D$51)^(S$225-1)</f>
        <v>-9772.125</v>
      </c>
      <c r="T327" s="67" t="n">
        <f aca="false">-T322*Inputs!$D$47/12*1*(1+Inputs!$D$50)*(1+Inputs!$D$51)^(T$225-1)</f>
        <v>-9772.125</v>
      </c>
      <c r="U327" s="67" t="n">
        <f aca="false">-U322*Inputs!$D$47/12*1*(1+Inputs!$D$50)*(1+Inputs!$D$51)^(U$225-1)</f>
        <v>-9772.125</v>
      </c>
      <c r="V327" s="67" t="n">
        <f aca="false">-V322*Inputs!$D$47/12*1*(1+Inputs!$D$50)*(1+Inputs!$D$51)^(V$225-1)</f>
        <v>-9772.125</v>
      </c>
      <c r="W327" s="67" t="n">
        <f aca="false">-W322*Inputs!$D$47/12*1*(1+Inputs!$D$50)*(1+Inputs!$D$51)^(W$225-1)</f>
        <v>-9772.125</v>
      </c>
      <c r="X327" s="67" t="n">
        <f aca="false">-X322*Inputs!$D$47/12*1*(1+Inputs!$D$50)*(1+Inputs!$D$51)^(X$225-1)</f>
        <v>-9772.125</v>
      </c>
      <c r="Y327" s="67" t="n">
        <f aca="false">-Y322*Inputs!$D$47/12*1*(1+Inputs!$D$50)*(1+Inputs!$D$51)^(Y$225-1)</f>
        <v>-9772.125</v>
      </c>
      <c r="Z327" s="67" t="n">
        <f aca="false">-Z322*Inputs!$D$47/12*1*(1+Inputs!$D$50)*(1+Inputs!$D$51)^(Z$225-1)</f>
        <v>-9772.125</v>
      </c>
      <c r="AA327" s="67" t="n">
        <f aca="false">-AA322*Inputs!$D$47/12*1*(1+Inputs!$D$50)*(1+Inputs!$D$51)^(AA$225-1)</f>
        <v>-11071.817625</v>
      </c>
      <c r="AB327" s="67" t="n">
        <f aca="false">-AB322*Inputs!$D$47/12*1*(1+Inputs!$D$50)*(1+Inputs!$D$51)^(AB$225-1)</f>
        <v>-11071.817625</v>
      </c>
      <c r="AC327" s="67" t="n">
        <f aca="false">-AC322*Inputs!$D$47/12*1*(1+Inputs!$D$50)*(1+Inputs!$D$51)^(AC$225-1)</f>
        <v>-11071.817625</v>
      </c>
      <c r="AD327" s="67" t="n">
        <f aca="false">-AD322*Inputs!$D$47/12*1*(1+Inputs!$D$50)*(1+Inputs!$D$51)^(AD$225-1)</f>
        <v>-11071.817625</v>
      </c>
      <c r="AE327" s="67" t="n">
        <f aca="false">-AE322*Inputs!$D$47/12*1*(1+Inputs!$D$50)*(1+Inputs!$D$51)^(AE$225-1)</f>
        <v>-11071.817625</v>
      </c>
      <c r="AF327" s="67" t="n">
        <f aca="false">-AF322*Inputs!$D$47/12*1*(1+Inputs!$D$50)*(1+Inputs!$D$51)^(AF$225-1)</f>
        <v>-11071.817625</v>
      </c>
      <c r="AG327" s="67" t="n">
        <f aca="false">-AG322*Inputs!$D$47/12*1*(1+Inputs!$D$50)*(1+Inputs!$D$51)^(AG$225-1)</f>
        <v>-11071.817625</v>
      </c>
      <c r="AH327" s="67" t="n">
        <f aca="false">-AH322*Inputs!$D$47/12*1*(1+Inputs!$D$50)*(1+Inputs!$D$51)^(AH$225-1)</f>
        <v>-11071.817625</v>
      </c>
      <c r="AI327" s="67" t="n">
        <f aca="false">-AI322*Inputs!$D$47/12*1*(1+Inputs!$D$50)*(1+Inputs!$D$51)^(AI$225-1)</f>
        <v>-11071.817625</v>
      </c>
      <c r="AJ327" s="67" t="n">
        <f aca="false">-AJ322*Inputs!$D$47/12*1*(1+Inputs!$D$50)*(1+Inputs!$D$51)^(AJ$225-1)</f>
        <v>-11071.817625</v>
      </c>
      <c r="AK327" s="67" t="n">
        <f aca="false">-AK322*Inputs!$D$47/12*1*(1+Inputs!$D$50)*(1+Inputs!$D$51)^(AK$225-1)</f>
        <v>-11071.817625</v>
      </c>
      <c r="AL327" s="67" t="n">
        <f aca="false">-AL322*Inputs!$D$47/12*1*(1+Inputs!$D$50)*(1+Inputs!$D$51)^(AL$225-1)</f>
        <v>-11071.817625</v>
      </c>
    </row>
    <row r="328" customFormat="false" ht="15" hidden="false" customHeight="false" outlineLevel="0" collapsed="false">
      <c r="A328" s="113" t="s">
        <v>419</v>
      </c>
      <c r="C328" s="68" t="n">
        <f aca="false">C326+C327</f>
        <v>-50216.6666666667</v>
      </c>
      <c r="D328" s="68" t="n">
        <f aca="false">D326+D327</f>
        <v>-50216.6666666667</v>
      </c>
      <c r="E328" s="68" t="n">
        <f aca="false">E326+E327</f>
        <v>-50216.6666666667</v>
      </c>
      <c r="F328" s="68" t="n">
        <f aca="false">F326+F327</f>
        <v>-50216.6666666667</v>
      </c>
      <c r="G328" s="68" t="n">
        <f aca="false">G326+G327</f>
        <v>-50216.6666666667</v>
      </c>
      <c r="H328" s="68" t="n">
        <f aca="false">H326+H327</f>
        <v>-50216.6666666667</v>
      </c>
      <c r="I328" s="68" t="n">
        <f aca="false">I326+I327</f>
        <v>-50216.6666666667</v>
      </c>
      <c r="J328" s="68" t="n">
        <f aca="false">J326+J327</f>
        <v>-50216.6666666667</v>
      </c>
      <c r="K328" s="68" t="n">
        <f aca="false">K326+K327</f>
        <v>-50216.6666666667</v>
      </c>
      <c r="L328" s="68" t="n">
        <f aca="false">L326+L327</f>
        <v>-50216.6666666667</v>
      </c>
      <c r="M328" s="68" t="n">
        <f aca="false">M326+M327</f>
        <v>-50216.6666666667</v>
      </c>
      <c r="N328" s="68" t="n">
        <f aca="false">N326+N327</f>
        <v>-50216.6666666667</v>
      </c>
      <c r="O328" s="68" t="n">
        <f aca="false">O326+O327</f>
        <v>-57752.2716666667</v>
      </c>
      <c r="P328" s="68" t="n">
        <f aca="false">P326+P327</f>
        <v>-57752.2716666667</v>
      </c>
      <c r="Q328" s="68" t="n">
        <f aca="false">Q326+Q327</f>
        <v>-57752.2716666667</v>
      </c>
      <c r="R328" s="68" t="n">
        <f aca="false">R326+R327</f>
        <v>-57752.2716666667</v>
      </c>
      <c r="S328" s="68" t="n">
        <f aca="false">S326+S327</f>
        <v>-57752.2716666667</v>
      </c>
      <c r="T328" s="68" t="n">
        <f aca="false">T326+T327</f>
        <v>-57752.2716666667</v>
      </c>
      <c r="U328" s="68" t="n">
        <f aca="false">U326+U327</f>
        <v>-57752.2716666667</v>
      </c>
      <c r="V328" s="68" t="n">
        <f aca="false">V326+V327</f>
        <v>-57752.2716666667</v>
      </c>
      <c r="W328" s="68" t="n">
        <f aca="false">W326+W327</f>
        <v>-57752.2716666667</v>
      </c>
      <c r="X328" s="68" t="n">
        <f aca="false">X326+X327</f>
        <v>-57752.2716666667</v>
      </c>
      <c r="Y328" s="68" t="n">
        <f aca="false">Y326+Y327</f>
        <v>-57752.2716666667</v>
      </c>
      <c r="Z328" s="68" t="n">
        <f aca="false">Z326+Z327</f>
        <v>-57752.2716666667</v>
      </c>
      <c r="AA328" s="68" t="n">
        <f aca="false">AA326+AA327</f>
        <v>-66421.7148196667</v>
      </c>
      <c r="AB328" s="68" t="n">
        <f aca="false">AB326+AB327</f>
        <v>-66421.7148196667</v>
      </c>
      <c r="AC328" s="68" t="n">
        <f aca="false">AC326+AC327</f>
        <v>-66421.7148196667</v>
      </c>
      <c r="AD328" s="68" t="n">
        <f aca="false">AD326+AD327</f>
        <v>-66421.7148196667</v>
      </c>
      <c r="AE328" s="68" t="n">
        <f aca="false">AE326+AE327</f>
        <v>-66421.7148196667</v>
      </c>
      <c r="AF328" s="68" t="n">
        <f aca="false">AF326+AF327</f>
        <v>-66421.7148196667</v>
      </c>
      <c r="AG328" s="68" t="n">
        <f aca="false">AG326+AG327</f>
        <v>-66421.7148196667</v>
      </c>
      <c r="AH328" s="68" t="n">
        <f aca="false">AH326+AH327</f>
        <v>-66421.7148196667</v>
      </c>
      <c r="AI328" s="68" t="n">
        <f aca="false">AI326+AI327</f>
        <v>-66421.7148196667</v>
      </c>
      <c r="AJ328" s="68" t="n">
        <f aca="false">AJ326+AJ327</f>
        <v>-66421.7148196667</v>
      </c>
      <c r="AK328" s="68" t="n">
        <f aca="false">AK326+AK327</f>
        <v>-66421.7148196667</v>
      </c>
      <c r="AL328" s="68" t="n">
        <f aca="false">AL326+AL327</f>
        <v>-66421.7148196667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425</v>
      </c>
    </row>
    <row r="3" customFormat="false" ht="15" hidden="false" customHeight="false" outlineLevel="0" collapsed="false">
      <c r="A3" s="33" t="s">
        <v>426</v>
      </c>
      <c r="B3" s="33" t="s">
        <v>427</v>
      </c>
      <c r="C3" s="33" t="s">
        <v>428</v>
      </c>
    </row>
    <row r="4" customFormat="false" ht="15" hidden="false" customHeight="false" outlineLevel="0" collapsed="false">
      <c r="A4" s="6" t="s">
        <v>429</v>
      </c>
      <c r="B4" s="4" t="str">
        <f aca="false">IF(ABS(SUM('P&amp;L'!$B$5:$D$5)-SUM(Monthly!$C$22:$AL$22))&lt;0.5,"PASS","FAIL")</f>
        <v>PASS</v>
      </c>
      <c r="C4" s="18" t="s">
        <v>430</v>
      </c>
    </row>
    <row r="5" customFormat="false" ht="15" hidden="false" customHeight="false" outlineLevel="0" collapsed="false">
      <c r="A5" s="6" t="s">
        <v>431</v>
      </c>
      <c r="B5" s="4" t="str">
        <f aca="false">IF(ABS(SUM('P&amp;L'!$B$24:$D$24)-SUM(Monthly!$C$50:$AL$50))&lt;0.5,"PASS","FAIL")</f>
        <v>PASS</v>
      </c>
      <c r="C5" s="18" t="s">
        <v>432</v>
      </c>
    </row>
    <row r="6" customFormat="false" ht="15" hidden="false" customHeight="false" outlineLevel="0" collapsed="false">
      <c r="A6" s="6" t="s">
        <v>433</v>
      </c>
      <c r="B6" s="4" t="str">
        <f aca="false">IF(ABS(SUM(Monthly!$C$41:$AL$41)-SUM(Monthly!$C$30:$AL$30)-SUM(Monthly!$C$40:$AL$40))&lt;0.5,"PASS","FAIL")</f>
        <v>PASS</v>
      </c>
      <c r="C6" s="18" t="s">
        <v>434</v>
      </c>
    </row>
    <row r="7" customFormat="false" ht="15" hidden="false" customHeight="false" outlineLevel="0" collapsed="false">
      <c r="A7" s="6" t="s">
        <v>435</v>
      </c>
      <c r="B7" s="4" t="str">
        <f aca="false">IF(ABS(INDEX(Monthly!$C$80:$AL$80,36)-SUM(Monthly!$C$78:$AL$78))&lt;0.5,"PASS","FAIL")</f>
        <v>PASS</v>
      </c>
      <c r="C7" s="18" t="s">
        <v>436</v>
      </c>
    </row>
    <row r="8" customFormat="false" ht="15" hidden="false" customHeight="false" outlineLevel="0" collapsed="false">
      <c r="A8" s="6" t="s">
        <v>437</v>
      </c>
      <c r="B8" s="4" t="str">
        <f aca="false">IF(AND(ISNUMBER(Dashboard!B4),Dashboard!B4&gt;=1,Dashboard!B4&lt;=3,INT(Dashboard!B4)=Dashboard!B4),"PASS","FAIL")</f>
        <v>PASS</v>
      </c>
      <c r="C8" s="18" t="s">
        <v>438</v>
      </c>
    </row>
    <row r="9" customFormat="false" ht="15" hidden="false" customHeight="false" outlineLevel="0" collapsed="false">
      <c r="A9" s="6" t="s">
        <v>439</v>
      </c>
      <c r="B9" s="4" t="str">
        <f aca="false">IF(AND(Inputs!$B$7&lt;=Inputs!$C$7,Inputs!$C$7&lt;=Inputs!$D$7,Inputs!$B$12&lt;=Inputs!$C$12,Inputs!$C$12&lt;=Inputs!$D$12,Inputs!$B$13&gt;=Inputs!$C$13,Inputs!$C$13&gt;=Inputs!$D$13,Inputs!$B$14&lt;=Inputs!$C$14,Inputs!$C$14&lt;=Inputs!$D$14,Inputs!$B$15&lt;=Inputs!$C$15,Inputs!$C$15&lt;=Inputs!$D$15,Inputs!$B$16&lt;=Inputs!$C$16,Inputs!$C$16&lt;=Inputs!$D$16,Inputs!$B$20&lt;=Inputs!$C$20,Inputs!$C$20&lt;=Inputs!$D$20,Inputs!$B$21&lt;=Inputs!$C$21,Inputs!$C$21&lt;=Inputs!$D$21,Inputs!$B$24&lt;=Inputs!$C$24,Inputs!$C$24&lt;=Inputs!$D$24,Inputs!$B$25&lt;=Inputs!$C$25,Inputs!$C$25&lt;=Inputs!$D$25,Inputs!$B$26&lt;=Inputs!$C$26,Inputs!$C$26&lt;=Inputs!$D$26,Inputs!$B$27&gt;=Inputs!$C$27,Inputs!$C$27&gt;=Inputs!$D$27,Inputs!$B$30&gt;=Inputs!$C$30,Inputs!$C$30&gt;=Inputs!$D$30,Inputs!$B$31&gt;=Inputs!$C$31,Inputs!$C$31&gt;=Inputs!$D$31,Inputs!$B$36&gt;=Inputs!$C$36,Inputs!$C$36&gt;=Inputs!$D$36,Inputs!$B$38&gt;=Inputs!$C$38,Inputs!$C$38&gt;=Inputs!$D$38,Inputs!$B$42&lt;=Inputs!$C$42,Inputs!$C$42&lt;=Inputs!$D$42,Inputs!$B$44&lt;=Inputs!$C$44,Inputs!$C$44&lt;=Inputs!$D$44,Inputs!$B$46&lt;=Inputs!$C$46,Inputs!$C$46&lt;=Inputs!$D$46,Inputs!$B$48&lt;=Inputs!$C$48,Inputs!$C$48&lt;=Inputs!$D$48,Inputs!$B$72&gt;=Inputs!$C$72,Inputs!$C$72&gt;=Inputs!$D$72,Inputs!$B$73&lt;=Inputs!$C$73,Inputs!$C$73&lt;=Inputs!$D$73,Inputs!$B$74&lt;=Inputs!$C$74,Inputs!$C$74&lt;=Inputs!$D$74),"PASS","FAIL")</f>
        <v>PASS</v>
      </c>
      <c r="C9" s="18" t="s">
        <v>440</v>
      </c>
    </row>
    <row r="10" customFormat="false" ht="15" hidden="false" customHeight="false" outlineLevel="0" collapsed="false">
      <c r="A10" s="6" t="s">
        <v>441</v>
      </c>
      <c r="B10" s="4" t="str">
        <f aca="false">IF(AND(MIN('P&amp;L'!$B$8:$D$8)&gt;=0,MAX('P&amp;L'!$B$8:$D$8)&lt;=1),"PASS","FAIL")</f>
        <v>PASS</v>
      </c>
      <c r="C10" s="18" t="s">
        <v>442</v>
      </c>
    </row>
    <row r="11" customFormat="false" ht="15" hidden="false" customHeight="false" outlineLevel="0" collapsed="false">
      <c r="A11" s="6" t="s">
        <v>443</v>
      </c>
      <c r="B11" s="4" t="str">
        <f aca="false">IF(MIN(Monthly!$C$63:$AL$63)&gt;=-0.5,"PASS","FAIL")</f>
        <v>PASS</v>
      </c>
      <c r="C11" s="18" t="s">
        <v>444</v>
      </c>
    </row>
    <row r="12" customFormat="false" ht="15" hidden="false" customHeight="false" outlineLevel="0" collapsed="false">
      <c r="A12" s="6" t="s">
        <v>445</v>
      </c>
      <c r="B12" s="4" t="str">
        <f aca="false">IF(ABS('Break-even'!B18-('Break-even'!B16-'Break-even'!B10))&lt;0.5,"PASS","FAIL")</f>
        <v>PASS</v>
      </c>
      <c r="C12" s="18" t="s">
        <v>446</v>
      </c>
    </row>
    <row r="13" customFormat="false" ht="15" hidden="false" customHeight="false" outlineLevel="0" collapsed="false">
      <c r="A13" s="6" t="s">
        <v>447</v>
      </c>
      <c r="B13" s="4" t="str">
        <f aca="false">IF(ABS(Valuation!B23-NPV(Valuation!B6,Valuation!$B$17:$D$17))&lt;0.5,"PASS","FAIL")</f>
        <v>PASS</v>
      </c>
      <c r="C13" s="18" t="s">
        <v>448</v>
      </c>
    </row>
    <row r="14" customFormat="false" ht="15" hidden="false" customHeight="false" outlineLevel="0" collapsed="false">
      <c r="A14" s="6" t="s">
        <v>449</v>
      </c>
      <c r="B14" s="4" t="str">
        <f aca="false">IF(Valuation!B6&gt;Valuation!B7,"PASS","FAIL")</f>
        <v>PASS</v>
      </c>
      <c r="C14" s="18" t="s">
        <v>450</v>
      </c>
    </row>
    <row r="15" customFormat="false" ht="15" hidden="false" customHeight="false" outlineLevel="0" collapsed="false">
      <c r="A15" s="6" t="s">
        <v>451</v>
      </c>
      <c r="B15" s="4" t="str">
        <f aca="false">IF(ABS(Valuation!D36-Valuation!B27)&lt;0.5,"PASS","FAIL")</f>
        <v>PASS</v>
      </c>
      <c r="C15" s="18" t="s">
        <v>452</v>
      </c>
    </row>
    <row r="16" customFormat="false" ht="15" hidden="false" customHeight="false" outlineLevel="0" collapsed="false">
      <c r="A16" s="6" t="s">
        <v>453</v>
      </c>
      <c r="B16" s="4" t="str">
        <f aca="false">IF(Valuation!$D$17&gt;0,"PASS","WARN")</f>
        <v>PASS</v>
      </c>
      <c r="C16" s="18" t="s">
        <v>454</v>
      </c>
    </row>
    <row r="17" customFormat="false" ht="15" hidden="false" customHeight="false" outlineLevel="0" collapsed="false">
      <c r="A17" s="6" t="s">
        <v>455</v>
      </c>
      <c r="B17" s="4" t="str">
        <f aca="false">IF(ABS('Sources &amp; Uses'!B21-'Sources &amp; Uses'!B28)&lt;0.5,"PASS","FAIL")</f>
        <v>PASS</v>
      </c>
      <c r="C17" s="18" t="s">
        <v>456</v>
      </c>
    </row>
    <row r="18" customFormat="false" ht="15" hidden="false" customHeight="false" outlineLevel="0" collapsed="false">
      <c r="A18" s="6" t="s">
        <v>457</v>
      </c>
      <c r="B18" s="4" t="str">
        <f aca="false">IF(SUMPRODUCT(--ISERROR(Monthly!$C$4:$AL$98))+SUMPRODUCT(--ISERROR(Headcount!$C$4:$AL$15))+SUMPRODUCT(--ISERROR('P&amp;L'!$B$3:$D$25))+SUMPRODUCT(--ISERROR('Cash Flow'!$B$3:$D$18))+SUMPRODUCT(--ISERROR('Balance Sheet'!$B$3:$D$17))+SUMPRODUCT(--ISERROR(KPIs!$B$27:$D$49))+SUMPRODUCT(--ISERROR('Break-even'!$B$26:$D$33))+SUMPRODUCT(--ISERROR(Valuation!$B$14:$D$19))+SUMPRODUCT(--ISERROR('Break-even'!$B$3:$D$35))+SUMPRODUCT(--ISERROR(Valuation!$A$3:$F$40))+SUMPRODUCT(--ISERROR('Sources &amp; Uses'!$B$3:$C$30))+SUMPRODUCT(--ISERROR(Dashboard!$A$6:$W$43))+SUMPRODUCT(--ISERROR(Summary!$A$5:$S$52))+SUMPRODUCT(--ISERROR(KPIs!$A$4:$E$49))+SUMPRODUCT(--ISERROR('Scenario calc'!$C$6:$AL$110))+SUMPRODUCT(--ISERROR('Scenario calc'!$C$115:$AL$219))+SUMPRODUCT(--ISERROR('Scenario calc'!$C$224:$AL$328))+SUMPRODUCT(--ISERROR(Scenarios!$B$5:$E$50))=0,"PASS","FAIL")</f>
        <v>PASS</v>
      </c>
      <c r="C18" s="18" t="s">
        <v>458</v>
      </c>
    </row>
    <row r="19" customFormat="false" ht="15" hidden="false" customHeight="false" outlineLevel="0" collapsed="false">
      <c r="A19" s="6" t="s">
        <v>459</v>
      </c>
      <c r="B19" s="4" t="str">
        <f aca="false">IF(IFERROR(AND(SUMPRODUCT(--(ABS(Summary!$B$7:$D$7-'P&amp;L'!$B$5:$D$5)&gt;0.5))=0,SUMPRODUCT(--(ABS(Summary!$B$19:$D$19-'P&amp;L'!$B$24:$D$24)&gt;0.5))=0,SUMPRODUCT(--(ABS(Summary!$B$31:$D$31-'Cash Flow'!$B$18:$D$18)&gt;0.5))=0,SUMPRODUCT(--(ABS(Summary!$B$41:$D$41-'Balance Sheet'!$B$5:$D$5)&gt;0.5))=0,ABS(SUM(Summary!$H$7:$S$7)-INDEX(Summary!$B$7:$D$7,Summary!$R$2))&lt;0.5,ABS(SUM(Summary!$H$19:$S$19)-INDEX(Summary!$B$19:$D$19,Summary!$R$2))&lt;0.5,ABS(Summary!$S$31-INDEX(Summary!$B$31:$D$31,Summary!$R$2))&lt;0.5),FALSE()),"PASS","FAIL")</f>
        <v>PASS</v>
      </c>
      <c r="C19" s="18" t="s">
        <v>460</v>
      </c>
    </row>
    <row r="20" customFormat="false" ht="15" hidden="false" customHeight="false" outlineLevel="0" collapsed="false">
      <c r="A20" s="6" t="s">
        <v>461</v>
      </c>
      <c r="B20" s="4" t="str">
        <f aca="false">IF(SUMPRODUCT(--(ABS(KPIs!$B$24:$D$24)&gt;0.000000001))&gt;0,"FAIL",IF(SUMPRODUCT(ISNUMBER(KPIs!$B$23:$D$23)*ISNUMBER(KPIs!$B$16:$D$16))=0,"n/a","PASS"))</f>
        <v>PASS</v>
      </c>
      <c r="C20" s="18" t="s">
        <v>462</v>
      </c>
    </row>
    <row r="21" customFormat="false" ht="15" hidden="false" customHeight="false" outlineLevel="0" collapsed="false">
      <c r="A21" s="6" t="s">
        <v>463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464</v>
      </c>
    </row>
    <row r="22" customFormat="false" ht="15" hidden="false" customHeight="false" outlineLevel="0" collapsed="false">
      <c r="A22" s="6" t="s">
        <v>465</v>
      </c>
      <c r="B22" s="4" t="str">
        <f aca="false">IF(SUMPRODUCT(--(ABS(Monthly!$C$98:$AL$98)&gt;0.5))=0,"PASS","FAIL")</f>
        <v>PASS</v>
      </c>
      <c r="C22" s="18" t="s">
        <v>466</v>
      </c>
    </row>
    <row r="23" customFormat="false" ht="15" hidden="false" customHeight="false" outlineLevel="0" collapsed="false">
      <c r="A23" s="6" t="s">
        <v>467</v>
      </c>
      <c r="B23" s="4" t="str">
        <f aca="false">IF(MIN(Monthly!$C$80:$AL$80)&gt;=0,"PASS","WARN")</f>
        <v>PASS</v>
      </c>
      <c r="C23" s="18" t="s">
        <v>468</v>
      </c>
    </row>
    <row r="25" customFormat="false" ht="15" hidden="false" customHeight="false" outlineLevel="0" collapsed="false">
      <c r="A25" s="70" t="s">
        <v>469</v>
      </c>
      <c r="B25" s="70" t="str">
        <f aca="false">IF(COUNTIF(B4:B23,"FAIL")&gt;0,"FAIL",IF(COUNTIF(B4:B23,"WARN")&gt;0,"PASS WITH WARNINGS","PASS"))</f>
        <v>PASS</v>
      </c>
      <c r="C25" s="123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2026-10-22T13:58:40Z</dcterms:created>
  <dc:creator/>
  <dc:description/>
  <dc:language>en-US</dc:language>
  <cp:lastModifiedBy/>
  <dcterms:modified xsi:type="dcterms:W3CDTF">2026-10-22T13:58:41Z</dcterms:modified>
  <cp:revision>0</cp:revision>
  <dc:subject/>
  <dc:title>Home services financial model (growing)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