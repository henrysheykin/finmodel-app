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KPIs" sheetId="6" state="visible" r:id="rId8"/>
    <sheet name="Inputs" sheetId="7" state="visible" r:id="rId9"/>
    <sheet name="P&amp;L" sheetId="8" state="visible" r:id="rId10"/>
    <sheet name="Cash Flow" sheetId="9" state="visible" r:id="rId11"/>
    <sheet name="Balance Sheet" sheetId="10" state="visible" r:id="rId12"/>
    <sheet name="Monthly" sheetId="11" state="visible" r:id="rId13"/>
    <sheet name="Headcount" sheetId="12" state="visible" r:id="rId14"/>
    <sheet name="Check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<sst xmlns="http://schemas.openxmlformats.org/spreadsheetml/2006/main" count="715" uniqueCount="435">
  <si>
    <t xml:space="preserve">Home services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</si>
  <si>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</si>
  <si>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</si>
  <si>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</si>
  <si>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</si>
  <si>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</si>
  <si>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</si>
  <si>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</si>
  <si>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</si>
  <si>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</si>
  <si>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</si>
  <si>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</si>
  <si>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</si>
  <si>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</si>
  <si>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</si>
  <si>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</si>
  <si>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</si>
  <si>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</si>
  <si>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</si>
  <si>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</si>
  <si>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</si>
  <si>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</si>
  <si>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</si>
  <si>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</si>
  <si>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</si>
  <si>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</si>
  <si>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</si>
  <si>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</si>
  <si>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</si>
  <si>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</si>
  <si>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</si>
  <si>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</si>
  <si>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</si>
  <si>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</si>
  <si>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</si>
  <si>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</si>
  <si>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</si>
  <si>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</si>
  <si>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</si>
  <si>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</si>
  <si>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</si>
  <si>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</si>
  <si>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</si>
  <si>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</si>
  <si>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</si>
  <si>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</si>
  <si>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</si>
  <si>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</si>
  <si>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</si>
  <si>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</si>
  <si>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</si>
  <si>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</si>
  <si>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</si>
  <si>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</si>
  <si>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Home services metrics</t>
  </si>
  <si>
    <t xml:space="preserve">Jobs completed</t>
  </si>
  <si>
    <t xml:space="preserve">Technician utilisation</t>
  </si>
  <si>
    <t xml:space="preserve">Average revenue per job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</si>
  <si>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</si>
  <si>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</si>
  <si>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</si>
  <si>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</si>
  <si>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</si>
  <si>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</si>
  <si>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</si>
  <si>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</si>
  <si>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</si>
  <si>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</si>
  <si>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</si>
  <si>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</si>
  <si>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</si>
  <si>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</si>
  <si>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delivery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</si>
  <si>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</si>
  <si>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</si>
  <si>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</si>
  <si>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</si>
  <si>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</si>
  <si>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</si>
  <si>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</si>
  <si>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</si>
  <si>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</si>
  <si>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</si>
  <si>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</si>
  <si>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</si>
  <si>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</si>
  <si>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</si>
  <si>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</si>
  <si>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</si>
  <si>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</si>
  <si>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</si>
  <si>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</si>
  <si>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</si>
  <si>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</si>
  <si>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</si>
  <si>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</si>
  <si>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</si>
  <si>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</si>
  <si>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</si>
  <si>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</si>
  <si>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</si>
  <si>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</si>
  <si>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</si>
  <si>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</si>
  <si>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</si>
  <si>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</si>
  <si>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</si>
  <si>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</si>
  <si>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</si>
  <si>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</si>
  <si>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</si>
  <si>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</si>
  <si>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</si>
  <si>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</si>
  <si>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</si>
  <si>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</si>
  <si>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</si>
  <si>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</si>
  <si>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</si>
  <si>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</si>
  <si>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</si>
  <si>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</si>
  <si>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</si>
  <si>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</si>
  <si>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</si>
  <si>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</si>
  <si>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</si>
  <si>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</si>
  <si>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</si>
  <si>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</si>
  <si>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</si>
  <si>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</si>
  <si>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</si>
  <si>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</si>
  <si>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</si>
  <si>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</si>
  <si>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</si>
  <si>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</si>
  <si>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</si>
  <si>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</si>
  <si>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</si>
  <si>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</si>
  <si>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</si>
  <si>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</si>
  <si>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</si>
  <si>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</si>
  <si>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</si>
  <si>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</si>
  <si>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</si>
  <si>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</si>
  <si>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</si>
  <si>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</si>
  <si>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</si>
  <si>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</si>
  <si>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</si>
  <si>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</si>
  <si>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</si>
  <si>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KPIs &amp; ratios</t>
  </si>
  <si>
    <t xml:space="preserve">Home services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</si>
  <si>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</si>
  <si>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</si>
  <si>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</si>
  <si>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</si>
  <si>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</si>
  <si>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</si>
  <si>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</si>
  <si>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</si>
  <si>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</si>
  <si>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</si>
  <si>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</si>
  <si>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</si>
  <si>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</si>
  <si>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</si>
  <si>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</si>
  <si>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Home services metrics ($'000; per-unit rows in $)</t>
  </si>
  <si>
    <t xml:space="preserve">Field technicians (FTE, year end)</t>
  </si>
  <si>
    <t xml:space="preserve">Job capacity</t>
  </si>
  <si>
    <t xml:space="preserve">Jobs demanded</t>
  </si>
  <si>
    <t xml:space="preserve">Technician utilisation (jobs ÷ capacity)</t>
  </si>
  <si>
    <t xml:space="preserve">Jobs turned away (demand above capacity)</t>
  </si>
  <si>
    <t xml:space="preserve">Jobs booked from marketing leads</t>
  </si>
  <si>
    <t xml:space="preserve">Marketing spend</t>
  </si>
  <si>
    <t xml:space="preserve">Marketing cost per booked job ($)</t>
  </si>
  <si>
    <t xml:space="preserve">Job revenue</t>
  </si>
  <si>
    <t xml:space="preserve">Average revenue per job ($)</t>
  </si>
  <si>
    <t xml:space="preserve">Revenue per technician (year-end FTE)</t>
  </si>
  <si>
    <t xml:space="preserve">Maintenance plan members (year end)</t>
  </si>
  <si>
    <t xml:space="preserve">Maintenance plan revenue</t>
  </si>
  <si>
    <t xml:space="preserve">Plans share of revenue</t>
  </si>
  <si>
    <t xml:space="preserve">Gross profit per job (all gross profit ÷ jobs) ($)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</si>
  <si>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</si>
  <si>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</si>
  <si>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</si>
  <si>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</si>
  <si>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</si>
  <si>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</si>
  <si>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</si>
  <si>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</si>
  <si>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</si>
  <si>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Technician capacity</t>
  </si>
  <si>
    <t xml:space="preserve">Jobs per technician per working day</t>
  </si>
  <si>
    <t xml:space="preserve">jobs</t>
  </si>
  <si>
    <t xml:space="preserve">Low ≤ Base ≤ High</t>
  </si>
  <si>
    <t xml:space="preserve">Working days per month</t>
  </si>
  <si>
    <t xml:space="preserve">days</t>
  </si>
  <si>
    <t xml:space="preserve">Demand</t>
  </si>
  <si>
    <t xml:space="preserve">Marketing budget per month</t>
  </si>
  <si>
    <t xml:space="preserve">$</t>
  </si>
  <si>
    <t xml:space="preserve">Marketing budget growth per year</t>
  </si>
  <si>
    <t xml:space="preserve">%</t>
  </si>
  <si>
    <t xml:space="preserve">Cost per lead</t>
  </si>
  <si>
    <t xml:space="preserve">Low ≥ Base ≥ High (lower is better)</t>
  </si>
  <si>
    <t xml:space="preserve">Leads booked as jobs</t>
  </si>
  <si>
    <t xml:space="preserve">Repeat &amp; referral jobs per month (year 1)</t>
  </si>
  <si>
    <t xml:space="preserve">Repeat &amp; referral jobs growth per year</t>
  </si>
  <si>
    <t xml:space="preserve">Busy-season uplift, June–August (monthly models)</t>
  </si>
  <si>
    <t xml:space="preserve">Prices</t>
  </si>
  <si>
    <t xml:space="preserve">Average revenue per job (year 1)</t>
  </si>
  <si>
    <t xml:space="preserve">Price increase per year</t>
  </si>
  <si>
    <t xml:space="preserve">Maintenance plans</t>
  </si>
  <si>
    <t xml:space="preserve">Maintenance plan members (year-1 average)</t>
  </si>
  <si>
    <t xml:space="preserve">#</t>
  </si>
  <si>
    <t xml:space="preserve">Plan members growth per year</t>
  </si>
  <si>
    <t xml:space="preserve">Plan fee per member per month (year 1)</t>
  </si>
  <si>
    <t xml:space="preserve">Cost of plan visits, % of plan fees</t>
  </si>
  <si>
    <t xml:space="preserve">Costs</t>
  </si>
  <si>
    <t xml:space="preserve">Materials &amp; parts, % of job revenue</t>
  </si>
  <si>
    <t xml:space="preserve">Vehicle per technician per month (lease, fuel, upkeep)</t>
  </si>
  <si>
    <t xml:space="preserve">Field software &amp; phone per technician per month</t>
  </si>
  <si>
    <t xml:space="preserve">Insurance &amp; licences per month</t>
  </si>
  <si>
    <t xml:space="preserve">Shop / office rent per month</t>
  </si>
  <si>
    <t xml:space="preserve">Other G&amp;A per month (accounting, legal, bank)</t>
  </si>
  <si>
    <t xml:space="preserve">Card processing fees, % of revenue</t>
  </si>
  <si>
    <t xml:space="preserve">Start-up capex (shop, equipment)</t>
  </si>
  <si>
    <t xml:space="preserve">Van &amp; tools per technician added</t>
  </si>
  <si>
    <t xml:space="preserve">Technicians already equipped at start (own vans &amp; tools)</t>
  </si>
  <si>
    <t xml:space="preserve">FTE</t>
  </si>
  <si>
    <t xml:space="preserve">Headcount</t>
  </si>
  <si>
    <t xml:space="preserve">Field technicians: headcount (FTE)</t>
  </si>
  <si>
    <t xml:space="preserve">Field technicians: salary per FTE per year</t>
  </si>
  <si>
    <t xml:space="preserve">Field technicians: headcount growth per year</t>
  </si>
  <si>
    <t xml:space="preserve">Field technicians: first month on payroll</t>
  </si>
  <si>
    <t xml:space="preserve">month #</t>
  </si>
  <si>
    <t xml:space="preserve">Dispatch &amp; office: headcount (FTE)</t>
  </si>
  <si>
    <t xml:space="preserve">Dispatch &amp; office: salary per FTE per year</t>
  </si>
  <si>
    <t xml:space="preserve">Dispatch &amp; office: headcount growth per year</t>
  </si>
  <si>
    <t xml:space="preserve">Dispatch &amp; office: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</si>
  <si>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</si>
  <si>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</si>
  <si>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</si>
  <si>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</si>
  <si>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</si>
  <si>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</si>
  <si>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</si>
  <si>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</si>
  <si>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</si>
  <si>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</si>
  <si>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</si>
  <si>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</si>
  <si>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</si>
  <si>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</si>
  <si>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</si>
  <si>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</si>
  <si>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</si>
  <si>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</si>
  <si>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</si>
  <si>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</si>
  <si>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</si>
  <si>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</si>
  <si>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</si>
  <si>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</si>
  <si>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Dispatch, office &amp; other payroll</t>
  </si>
  <si>
    <t xml:space="preserve">Marketing</t>
  </si>
  <si>
    <t xml:space="preserve">Field software &amp; phones</t>
  </si>
  <si>
    <t xml:space="preserve">Insurance &amp; licences</t>
  </si>
  <si>
    <t xml:space="preserve">Shop / office rent</t>
  </si>
  <si>
    <t xml:space="preserve">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</si>
  <si>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</si>
  <si>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</si>
  <si>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</si>
  <si>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</si>
  <si>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</si>
  <si>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</si>
  <si>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</si>
  <si>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</si>
  <si>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</si>
  <si>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</si>
  <si>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</si>
  <si>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</si>
  <si>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</si>
  <si>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</si>
  <si>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</si>
  <si>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</si>
  <si>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</si>
  <si>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</si>
  <si>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</si>
  <si>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</si>
  <si>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</si>
  <si>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</si>
  <si>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</si>
  <si>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</si>
  <si>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</si>
  <si>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</si>
  <si>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</si>
  <si>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</si>
  <si>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</si>
  <si>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</si>
  <si>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</si>
  <si>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</si>
  <si>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</si>
  <si>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</si>
  <si>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</si>
  <si>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</si>
  <si>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</si>
  <si>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</si>
  <si>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</si>
  <si>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</si>
  <si>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</si>
  <si>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</si>
  <si>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</si>
  <si>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</si>
  <si>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</si>
  <si>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</si>
  <si>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</si>
  <si>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</si>
  <si>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</si>
  <si>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</si>
  <si>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</si>
  <si>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</si>
  <si>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</si>
  <si>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</si>
  <si>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</si>
  <si>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</si>
  <si>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</si>
  <si>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</si>
  <si>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</si>
  <si>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</si>
  <si>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</si>
  <si>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</si>
  <si>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</si>
  <si>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</si>
  <si>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</si>
  <si>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</si>
  <si>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</si>
  <si>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</si>
  <si>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</si>
  <si>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</si>
  <si>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</si>
  <si>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Jobs</t>
  </si>
  <si>
    <t xml:space="preserve">Field technicians (FTE)</t>
  </si>
  <si>
    <t xml:space="preserve">Job capacity (technicians × jobs per day × working days)</t>
  </si>
  <si>
    <t xml:space="preserve">Season factor (June–August busy season)</t>
  </si>
  <si>
    <t xml:space="preserve">Leads from marketing</t>
  </si>
  <si>
    <t xml:space="preserve">Jobs booked from leads</t>
  </si>
  <si>
    <t xml:space="preserve">Repeat &amp; referral jobs</t>
  </si>
  <si>
    <t xml:space="preserve">Jobs completed (demand capped by capacity)</t>
  </si>
  <si>
    <t xml:space="preserve">Maintenance plan members (average)</t>
  </si>
  <si>
    <t xml:space="preserve">Technician payroll</t>
  </si>
  <si>
    <t xml:space="preserve">Materials &amp; parts</t>
  </si>
  <si>
    <t xml:space="preserve">Vehicles</t>
  </si>
  <si>
    <t xml:space="preserve">Plan visits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</si>
  <si>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</si>
  <si>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</si>
  <si>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</si>
  <si>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</si>
  <si>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</si>
  <si>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(start-up + van &amp; tools per technician added)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</si>
  <si>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</si>
  <si>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</si>
  <si>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</si>
  <si>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</si>
  <si>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</si>
  <si>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</si>
  <si>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</si>
  <si>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</si>
  <si>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</si>
  <si>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</si>
  <si>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</si>
  <si>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</si>
  <si>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</si>
  <si>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</si>
  <si>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</si>
  <si>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</si>
  <si>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</si>
  <si>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</si>
  <si>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</si>
  <si>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</si>
  <si>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Field technicians — FTE</t>
  </si>
  <si>
    <t xml:space="preserve">Dispatch &amp; office — FTE</t>
  </si>
  <si>
    <t xml:space="preserve">Total FTE</t>
  </si>
  <si>
    <t xml:space="preserve">Payroll cost (salary + taxes &amp; benefits)</t>
  </si>
  <si>
    <t xml:space="preserve">Field technicians — payroll cost</t>
  </si>
  <si>
    <t xml:space="preserve">Dispatch &amp; office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</si>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</sst>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0"/>
    <numFmt numFmtId="184" formatCode="\$#,##0;&quot;($&quot;#,##0\);\-"/>
    <numFmt numFmtId="185" formatCode="0.0%;\(0.0%\);\-"/>
    <numFmt numFmtId="186" formatCode="0.0\x"/>
    <numFmt numFmtId="187" formatCode="0.000"/>
    <numFmt numFmtId="188" formatCode="0.0\x;\(0.0&quot;x)&quot;;\-"/>
    <numFmt numFmtId="189" formatCode="#,##0.0;\(#,##0.0\);\-"/>
    <numFmt numFmtId="190" formatCode="#,##0;\(#,##0\);\-"/>
    <numFmt numFmtId="191" formatCode="\$#,##0.00;&quot;($&quot;#,##0.00\);\-"/>
    <numFmt numFmtId="192" formatCode="\$#,##0.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1710030</c:v>
                </c:pt>
                <c:pt idx="1">
                  <c:v>2015484.945</c:v>
                </c:pt>
                <c:pt idx="2">
                  <c:v>2376160.7103285</c:v>
                </c:pt>
                <c:pt idx="3">
                  <c:v>2802167.24956282</c:v>
                </c:pt>
                <c:pt idx="4">
                  <c:v>3305490.4674617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266071.69</c:v>
                </c:pt>
                <c:pt idx="1">
                  <c:v>362576.355235</c:v>
                </c:pt>
                <c:pt idx="2">
                  <c:v>480449.961331505</c:v>
                </c:pt>
                <c:pt idx="3">
                  <c:v>624189.93583281</c:v>
                </c:pt>
                <c:pt idx="4">
                  <c:v>799215.742505564</c:v>
                </c:pt>
              </c:numCache>
            </c:numRef>
          </c:val>
        </c:ser>
        <c:gapWidth val="60"/>
        <c:overlap val="0"/>
        <c:axId val="87864853"/>
        <c:axId val="50672112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0.155594749799711</c:v>
                </c:pt>
                <c:pt idx="1">
                  <c:v>0.179895342872432</c:v>
                </c:pt>
                <c:pt idx="2">
                  <c:v>0.202195903350781</c:v>
                </c:pt>
                <c:pt idx="3">
                  <c:v>0.222752562656705</c:v>
                </c:pt>
                <c:pt idx="4">
                  <c:v>0.241784313212461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211879"/>
        <c:axId val="1800461"/>
      </c:lineChart>
      <c:catAx>
        <c:axId val="8786485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672112"/>
        <c:crosses val="autoZero"/>
        <c:auto val="1"/>
        <c:lblAlgn val="ctr"/>
        <c:lblOffset val="100"/>
        <c:noMultiLvlLbl val="0"/>
      </c:catAx>
      <c:valAx>
        <c:axId val="506721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864853"/>
        <c:crosses val="autoZero"/>
        <c:crossBetween val="between"/>
      </c:valAx>
      <c:catAx>
        <c:axId val="4821187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00461"/>
        <c:crosses val="autoZero"/>
        <c:auto val="1"/>
        <c:lblAlgn val="ctr"/>
        <c:lblOffset val="100"/>
        <c:noMultiLvlLbl val="0"/>
      </c:catAx>
      <c:valAx>
        <c:axId val="180046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21187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194710.801766667</c:v>
                </c:pt>
                <c:pt idx="1">
                  <c:v>276206.622093983</c:v>
                </c:pt>
                <c:pt idx="2">
                  <c:v>373872.067546618</c:v>
                </c:pt>
                <c:pt idx="3">
                  <c:v>492090.396807869</c:v>
                </c:pt>
                <c:pt idx="4">
                  <c:v>635147.520347045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-20000</c:v>
                </c:pt>
                <c:pt idx="1">
                  <c:v>-37800</c:v>
                </c:pt>
                <c:pt idx="2">
                  <c:v>-42336</c:v>
                </c:pt>
                <c:pt idx="3">
                  <c:v>-47416.3200000001</c:v>
                </c:pt>
                <c:pt idx="4">
                  <c:v>-53106.2784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304166.666666667</c:v>
                </c:pt>
                <c:pt idx="1">
                  <c:v>-50000</c:v>
                </c:pt>
                <c:pt idx="2">
                  <c:v>-50000</c:v>
                </c:pt>
                <c:pt idx="3">
                  <c:v>-50000</c:v>
                </c:pt>
                <c:pt idx="4">
                  <c:v>-50000</c:v>
                </c:pt>
              </c:numCache>
            </c:numRef>
          </c:val>
        </c:ser>
        <c:gapWidth val="60"/>
        <c:overlap val="0"/>
        <c:axId val="98640101"/>
        <c:axId val="9262237"/>
      </c:barChart>
      <c:catAx>
        <c:axId val="9864010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62237"/>
        <c:crosses val="autoZero"/>
        <c:auto val="1"/>
        <c:lblAlgn val="ctr"/>
        <c:lblOffset val="100"/>
        <c:noMultiLvlLbl val="0"/>
      </c:catAx>
      <c:valAx>
        <c:axId val="926223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64010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478877.468433333</c:v>
                </c:pt>
                <c:pt idx="1">
                  <c:v>667284.090527316</c:v>
                </c:pt>
                <c:pt idx="2">
                  <c:v>948820.158073935</c:v>
                </c:pt>
                <c:pt idx="3">
                  <c:v>1343494.2348818</c:v>
                </c:pt>
                <c:pt idx="4">
                  <c:v>1875535.47682885</c:v>
                </c:pt>
              </c:numCache>
            </c:numRef>
          </c:val>
        </c:ser>
        <c:gapWidth val="60"/>
        <c:overlap val="0"/>
        <c:axId val="51017754"/>
        <c:axId val="18309425"/>
      </c:barChart>
      <c:catAx>
        <c:axId val="5101775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309425"/>
        <c:crosses val="autoZero"/>
        <c:auto val="1"/>
        <c:lblAlgn val="ctr"/>
        <c:lblOffset val="100"/>
        <c:noMultiLvlLbl val="0"/>
      </c:catAx>
      <c:valAx>
        <c:axId val="183094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0177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Jobs completed &amp; technician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Jobs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3668.25</c:v>
                </c:pt>
                <c:pt idx="1">
                  <c:v>4185.4125</c:v>
                </c:pt>
                <c:pt idx="2">
                  <c:v>4776.180375</c:v>
                </c:pt>
                <c:pt idx="3">
                  <c:v>5451.11815125</c:v>
                </c:pt>
                <c:pt idx="4">
                  <c:v>6222.3178803375</c:v>
                </c:pt>
              </c:numCache>
            </c:numRef>
          </c:val>
        </c:ser>
        <c:gapWidth val="60"/>
        <c:overlap val="0"/>
        <c:axId val="44131266"/>
        <c:axId val="65525327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Technician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0.831802721088435</c:v>
                </c:pt>
                <c:pt idx="1">
                  <c:v>0.847386722546161</c:v>
                </c:pt>
                <c:pt idx="2">
                  <c:v>0.863388152614362</c:v>
                </c:pt>
                <c:pt idx="3">
                  <c:v>0.879818192416532</c:v>
                </c:pt>
                <c:pt idx="4">
                  <c:v>0.896688322570546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010637"/>
        <c:axId val="50641282"/>
      </c:lineChart>
      <c:catAx>
        <c:axId val="4413126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525327"/>
        <c:crosses val="autoZero"/>
        <c:auto val="1"/>
        <c:lblAlgn val="ctr"/>
        <c:lblOffset val="100"/>
        <c:noMultiLvlLbl val="0"/>
      </c:catAx>
      <c:valAx>
        <c:axId val="6552532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131266"/>
        <c:crosses val="autoZero"/>
        <c:crossBetween val="between"/>
      </c:valAx>
      <c:catAx>
        <c:axId val="901063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641282"/>
        <c:crosses val="autoZero"/>
        <c:auto val="1"/>
        <c:lblAlgn val="ctr"/>
        <c:lblOffset val="100"/>
        <c:noMultiLvlLbl val="0"/>
      </c:catAx>
      <c:valAx>
        <c:axId val="5064128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1063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133436.666666667</c:v>
                </c:pt>
                <c:pt idx="1">
                  <c:v>133436.666666667</c:v>
                </c:pt>
                <c:pt idx="2">
                  <c:v>133436.666666667</c:v>
                </c:pt>
                <c:pt idx="3">
                  <c:v>133436.666666667</c:v>
                </c:pt>
                <c:pt idx="4">
                  <c:v>133436.666666667</c:v>
                </c:pt>
                <c:pt idx="5">
                  <c:v>169700</c:v>
                </c:pt>
                <c:pt idx="6">
                  <c:v>169700</c:v>
                </c:pt>
                <c:pt idx="7">
                  <c:v>169700</c:v>
                </c:pt>
                <c:pt idx="8">
                  <c:v>133436.666666667</c:v>
                </c:pt>
                <c:pt idx="9">
                  <c:v>133436.666666667</c:v>
                </c:pt>
                <c:pt idx="10">
                  <c:v>133436.666666667</c:v>
                </c:pt>
                <c:pt idx="11">
                  <c:v>133436.666666667</c:v>
                </c:pt>
              </c:numCache>
            </c:numRef>
          </c:val>
        </c:ser>
        <c:gapWidth val="60"/>
        <c:overlap val="0"/>
        <c:axId val="93431640"/>
        <c:axId val="97317936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15618.0433333333</c:v>
                </c:pt>
                <c:pt idx="1">
                  <c:v>15618.0433333333</c:v>
                </c:pt>
                <c:pt idx="2">
                  <c:v>15618.0433333333</c:v>
                </c:pt>
                <c:pt idx="3">
                  <c:v>15618.0433333333</c:v>
                </c:pt>
                <c:pt idx="4">
                  <c:v>15618.0433333333</c:v>
                </c:pt>
                <c:pt idx="5">
                  <c:v>41836.4333333333</c:v>
                </c:pt>
                <c:pt idx="6">
                  <c:v>41836.4333333333</c:v>
                </c:pt>
                <c:pt idx="7">
                  <c:v>41836.4333333333</c:v>
                </c:pt>
                <c:pt idx="8">
                  <c:v>15618.0433333333</c:v>
                </c:pt>
                <c:pt idx="9">
                  <c:v>15618.0433333333</c:v>
                </c:pt>
                <c:pt idx="10">
                  <c:v>15618.0433333333</c:v>
                </c:pt>
                <c:pt idx="11">
                  <c:v>15618.0433333333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10758.2542333333</c:v>
                </c:pt>
                <c:pt idx="1">
                  <c:v>10769.2264555556</c:v>
                </c:pt>
                <c:pt idx="2">
                  <c:v>10791.1709</c:v>
                </c:pt>
                <c:pt idx="3">
                  <c:v>10813.1153444444</c:v>
                </c:pt>
                <c:pt idx="4">
                  <c:v>10835.0597888889</c:v>
                </c:pt>
                <c:pt idx="5">
                  <c:v>31569.5323333333</c:v>
                </c:pt>
                <c:pt idx="6">
                  <c:v>31591.4767777778</c:v>
                </c:pt>
                <c:pt idx="7">
                  <c:v>31613.4212222222</c:v>
                </c:pt>
                <c:pt idx="8">
                  <c:v>10922.8375666667</c:v>
                </c:pt>
                <c:pt idx="9">
                  <c:v>10944.7820111111</c:v>
                </c:pt>
                <c:pt idx="10">
                  <c:v>10966.7264555556</c:v>
                </c:pt>
                <c:pt idx="11">
                  <c:v>10988.6709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3431640"/>
        <c:axId val="97317936"/>
      </c:lineChart>
      <c:catAx>
        <c:axId val="9343164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317936"/>
        <c:crosses val="autoZero"/>
        <c:auto val="1"/>
        <c:lblAlgn val="ctr"/>
        <c:lblOffset val="100"/>
        <c:noMultiLvlLbl val="0"/>
      </c:catAx>
      <c:valAx>
        <c:axId val="9731793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4316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9238.11534444444</c:v>
                </c:pt>
                <c:pt idx="1">
                  <c:v>11102.5597888889</c:v>
                </c:pt>
                <c:pt idx="2">
                  <c:v>11124.5042333333</c:v>
                </c:pt>
                <c:pt idx="3">
                  <c:v>11146.4486777778</c:v>
                </c:pt>
                <c:pt idx="4">
                  <c:v>11168.3931222222</c:v>
                </c:pt>
                <c:pt idx="5">
                  <c:v>24348.0045555555</c:v>
                </c:pt>
                <c:pt idx="6">
                  <c:v>31924.8101111111</c:v>
                </c:pt>
                <c:pt idx="7">
                  <c:v>31946.7545555556</c:v>
                </c:pt>
                <c:pt idx="8">
                  <c:v>18811.0320111111</c:v>
                </c:pt>
                <c:pt idx="9">
                  <c:v>11278.1153444444</c:v>
                </c:pt>
                <c:pt idx="10">
                  <c:v>11300.0597888889</c:v>
                </c:pt>
                <c:pt idx="11">
                  <c:v>11322.0042333333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350000</c:v>
                </c:pt>
                <c:pt idx="1">
                  <c:v>-4166.66666666667</c:v>
                </c:pt>
                <c:pt idx="2">
                  <c:v>-4166.66666666667</c:v>
                </c:pt>
                <c:pt idx="3">
                  <c:v>-4166.66666666667</c:v>
                </c:pt>
                <c:pt idx="4">
                  <c:v>-4166.66666666667</c:v>
                </c:pt>
                <c:pt idx="5">
                  <c:v>-4166.66666666667</c:v>
                </c:pt>
                <c:pt idx="6">
                  <c:v>-4166.66666666667</c:v>
                </c:pt>
                <c:pt idx="7">
                  <c:v>-4166.66666666667</c:v>
                </c:pt>
                <c:pt idx="8">
                  <c:v>-4166.66666666667</c:v>
                </c:pt>
                <c:pt idx="9">
                  <c:v>-4166.66666666667</c:v>
                </c:pt>
                <c:pt idx="10">
                  <c:v>-4166.66666666667</c:v>
                </c:pt>
                <c:pt idx="11">
                  <c:v>-4166.66666666667</c:v>
                </c:pt>
              </c:numCache>
            </c:numRef>
          </c:val>
        </c:ser>
        <c:gapWidth val="60"/>
        <c:overlap val="0"/>
        <c:axId val="67051642"/>
        <c:axId val="93072161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339238.115344444</c:v>
                </c:pt>
                <c:pt idx="1">
                  <c:v>346174.008466667</c:v>
                </c:pt>
                <c:pt idx="2">
                  <c:v>353131.846033333</c:v>
                </c:pt>
                <c:pt idx="3">
                  <c:v>360111.628044444</c:v>
                </c:pt>
                <c:pt idx="4">
                  <c:v>367113.3545</c:v>
                </c:pt>
                <c:pt idx="5">
                  <c:v>387294.692388889</c:v>
                </c:pt>
                <c:pt idx="6">
                  <c:v>415052.835833333</c:v>
                </c:pt>
                <c:pt idx="7">
                  <c:v>442832.923722222</c:v>
                </c:pt>
                <c:pt idx="8">
                  <c:v>457477.289066667</c:v>
                </c:pt>
                <c:pt idx="9">
                  <c:v>464588.737744444</c:v>
                </c:pt>
                <c:pt idx="10">
                  <c:v>471722.130866667</c:v>
                </c:pt>
                <c:pt idx="11">
                  <c:v>478877.468433333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9269480"/>
        <c:axId val="11650758"/>
      </c:lineChart>
      <c:catAx>
        <c:axId val="6705164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072161"/>
        <c:crosses val="autoZero"/>
        <c:auto val="1"/>
        <c:lblAlgn val="ctr"/>
        <c:lblOffset val="100"/>
        <c:noMultiLvlLbl val="0"/>
      </c:catAx>
      <c:valAx>
        <c:axId val="9307216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051642"/>
        <c:crosses val="autoZero"/>
        <c:crossBetween val="between"/>
      </c:valAx>
      <c:catAx>
        <c:axId val="79269480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650758"/>
        <c:crosses val="autoZero"/>
        <c:auto val="1"/>
        <c:lblAlgn val="ctr"/>
        <c:lblOffset val="100"/>
        <c:noMultiLvlLbl val="0"/>
      </c:catAx>
      <c:valAx>
        <c:axId val="11650758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26948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339238.115344444</c:v>
                </c:pt>
                <c:pt idx="1">
                  <c:v>346174.008466667</c:v>
                </c:pt>
                <c:pt idx="2">
                  <c:v>353131.846033333</c:v>
                </c:pt>
                <c:pt idx="3">
                  <c:v>360111.628044444</c:v>
                </c:pt>
                <c:pt idx="4">
                  <c:v>367113.3545</c:v>
                </c:pt>
                <c:pt idx="5">
                  <c:v>387294.692388889</c:v>
                </c:pt>
                <c:pt idx="6">
                  <c:v>415052.835833333</c:v>
                </c:pt>
                <c:pt idx="7">
                  <c:v>442832.923722222</c:v>
                </c:pt>
                <c:pt idx="8">
                  <c:v>457477.289066667</c:v>
                </c:pt>
                <c:pt idx="9">
                  <c:v>464588.737744444</c:v>
                </c:pt>
                <c:pt idx="10">
                  <c:v>471722.130866667</c:v>
                </c:pt>
                <c:pt idx="11">
                  <c:v>478877.468433333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44478.8888888889</c:v>
                </c:pt>
                <c:pt idx="1">
                  <c:v>44478.8888888889</c:v>
                </c:pt>
                <c:pt idx="2">
                  <c:v>44478.8888888889</c:v>
                </c:pt>
                <c:pt idx="3">
                  <c:v>44478.8888888889</c:v>
                </c:pt>
                <c:pt idx="4">
                  <c:v>44478.8888888889</c:v>
                </c:pt>
                <c:pt idx="5">
                  <c:v>56566.6666666667</c:v>
                </c:pt>
                <c:pt idx="6">
                  <c:v>56566.6666666667</c:v>
                </c:pt>
                <c:pt idx="7">
                  <c:v>56566.6666666667</c:v>
                </c:pt>
                <c:pt idx="8">
                  <c:v>44478.8888888889</c:v>
                </c:pt>
                <c:pt idx="9">
                  <c:v>44478.8888888889</c:v>
                </c:pt>
                <c:pt idx="10">
                  <c:v>44478.8888888889</c:v>
                </c:pt>
                <c:pt idx="11">
                  <c:v>44478.8888888889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19666.6666666667</c:v>
                </c:pt>
                <c:pt idx="1">
                  <c:v>19333.3333333333</c:v>
                </c:pt>
                <c:pt idx="2">
                  <c:v>19000</c:v>
                </c:pt>
                <c:pt idx="3">
                  <c:v>18666.6666666667</c:v>
                </c:pt>
                <c:pt idx="4">
                  <c:v>18333.3333333333</c:v>
                </c:pt>
                <c:pt idx="5">
                  <c:v>18000</c:v>
                </c:pt>
                <c:pt idx="6">
                  <c:v>17666.6666666667</c:v>
                </c:pt>
                <c:pt idx="7">
                  <c:v>17333.3333333333</c:v>
                </c:pt>
                <c:pt idx="8">
                  <c:v>17000</c:v>
                </c:pt>
                <c:pt idx="9">
                  <c:v>16666.6666666667</c:v>
                </c:pt>
                <c:pt idx="10">
                  <c:v>16333.3333333333</c:v>
                </c:pt>
                <c:pt idx="11">
                  <c:v>16000</c:v>
                </c:pt>
              </c:numCache>
            </c:numRef>
          </c:val>
        </c:ser>
        <c:gapWidth val="60"/>
        <c:overlap val="100"/>
        <c:axId val="11702885"/>
        <c:axId val="22765746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110758.254233333</c:v>
                </c:pt>
                <c:pt idx="1">
                  <c:v>121527.480688889</c:v>
                </c:pt>
                <c:pt idx="2">
                  <c:v>132318.651588889</c:v>
                </c:pt>
                <c:pt idx="3">
                  <c:v>143131.766933333</c:v>
                </c:pt>
                <c:pt idx="4">
                  <c:v>153966.826722222</c:v>
                </c:pt>
                <c:pt idx="5">
                  <c:v>185536.359055556</c:v>
                </c:pt>
                <c:pt idx="6">
                  <c:v>217127.835833333</c:v>
                </c:pt>
                <c:pt idx="7">
                  <c:v>248741.257055556</c:v>
                </c:pt>
                <c:pt idx="8">
                  <c:v>259664.094622222</c:v>
                </c:pt>
                <c:pt idx="9">
                  <c:v>270608.876633333</c:v>
                </c:pt>
                <c:pt idx="10">
                  <c:v>281575.603088889</c:v>
                </c:pt>
                <c:pt idx="11">
                  <c:v>292564.273988889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702885"/>
        <c:axId val="22765746"/>
      </c:lineChart>
      <c:catAx>
        <c:axId val="1170288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765746"/>
        <c:crosses val="autoZero"/>
        <c:auto val="1"/>
        <c:lblAlgn val="ctr"/>
        <c:lblOffset val="100"/>
        <c:noMultiLvlLbl val="0"/>
      </c:catAx>
      <c:valAx>
        <c:axId val="227657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7028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0.385854341736695</c:v>
                </c:pt>
                <c:pt idx="1">
                  <c:v>0.394817907583031</c:v>
                </c:pt>
                <c:pt idx="2">
                  <c:v>0.403568016187677</c:v>
                </c:pt>
                <c:pt idx="3">
                  <c:v>0.412108541494328</c:v>
                </c:pt>
                <c:pt idx="4">
                  <c:v>0.420443197431352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0.155594749799711</c:v>
                </c:pt>
                <c:pt idx="1">
                  <c:v>0.179895342872432</c:v>
                </c:pt>
                <c:pt idx="2">
                  <c:v>0.202195903350781</c:v>
                </c:pt>
                <c:pt idx="3">
                  <c:v>0.222752562656705</c:v>
                </c:pt>
                <c:pt idx="4">
                  <c:v>0.241784313212461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0.11260871095179</c:v>
                </c:pt>
                <c:pt idx="1">
                  <c:v>0.131968034771064</c:v>
                </c:pt>
                <c:pt idx="2">
                  <c:v>0.149640824618045</c:v>
                </c:pt>
                <c:pt idx="3">
                  <c:v>0.165869274750499</c:v>
                </c:pt>
                <c:pt idx="4">
                  <c:v>0.180860616777981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6597416"/>
        <c:axId val="4719614"/>
      </c:lineChart>
      <c:catAx>
        <c:axId val="4659741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19614"/>
        <c:crosses val="autoZero"/>
        <c:auto val="1"/>
        <c:lblAlgn val="ctr"/>
        <c:lblOffset val="100"/>
        <c:noMultiLvlLbl val="0"/>
      </c:catAx>
      <c:valAx>
        <c:axId val="471961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5974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0.347862190138343</c:v>
                </c:pt>
                <c:pt idx="1">
                  <c:v>0.341484533183422</c:v>
                </c:pt>
                <c:pt idx="2">
                  <c:v>0.324608711463597</c:v>
                </c:pt>
                <c:pt idx="3">
                  <c:v>0.305195306744215</c:v>
                </c:pt>
                <c:pt idx="4">
                  <c:v>0.28663522263034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0.658194766447123</c:v>
                </c:pt>
                <c:pt idx="1">
                  <c:v>0.476201791364141</c:v>
                </c:pt>
                <c:pt idx="2">
                  <c:v>0.388978234628554</c:v>
                </c:pt>
                <c:pt idx="3">
                  <c:v>0.337073585252831</c:v>
                </c:pt>
                <c:pt idx="4">
                  <c:v>0.302433674231133</c:v>
                </c:pt>
              </c:numCache>
            </c:numRef>
          </c:val>
        </c:ser>
        <c:gapWidth val="60"/>
        <c:overlap val="0"/>
        <c:axId val="97879181"/>
        <c:axId val="53638769"/>
      </c:barChart>
      <c:catAx>
        <c:axId val="9787918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638769"/>
        <c:crosses val="autoZero"/>
        <c:auto val="1"/>
        <c:lblAlgn val="ctr"/>
        <c:lblOffset val="100"/>
        <c:noMultiLvlLbl val="0"/>
      </c:catAx>
      <c:valAx>
        <c:axId val="536387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8791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and gross profit per job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KPIs!$A$40</c:f>
              <c:strCache>
                <c:ptCount val="1"/>
                <c:pt idx="0">
                  <c:v>Average revenue per job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\$#,##0.00;"($"#,##0.00\);\-</c:formatCode>
                <c:ptCount val="5"/>
                <c:pt idx="0">
                  <c:v>440</c:v>
                </c:pt>
                <c:pt idx="1">
                  <c:v>453.2</c:v>
                </c:pt>
                <c:pt idx="2">
                  <c:v>466.796</c:v>
                </c:pt>
                <c:pt idx="3">
                  <c:v>480.79988</c:v>
                </c:pt>
                <c:pt idx="4">
                  <c:v>495.2238764</c:v>
                </c:pt>
              </c:numCache>
            </c:numRef>
          </c:val>
        </c:ser>
        <c:ser>
          <c:idx val="1"/>
          <c:order val="1"/>
          <c:tx>
            <c:strRef>
              <c:f>KPIs!$A$47</c:f>
              <c:strCache>
                <c:ptCount val="1"/>
                <c:pt idx="0">
                  <c:v>Gross profit per job (all gross profit ÷ jobs) ($)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KPIs!$B$47:$F$47</c:f>
              <c:numCache>
                <c:formatCode>\$#,##0.00;"($"#,##0.00\);\-</c:formatCode>
                <c:ptCount val="5"/>
                <c:pt idx="0">
                  <c:v>179.873918080829</c:v>
                </c:pt>
                <c:pt idx="1">
                  <c:v>190.124521477871</c:v>
                </c:pt>
                <c:pt idx="2">
                  <c:v>200.776015292424</c:v>
                </c:pt>
                <c:pt idx="3">
                  <c:v>211.845905041647</c:v>
                </c:pt>
                <c:pt idx="4">
                  <c:v>223.352616813443</c:v>
                </c:pt>
              </c:numCache>
            </c:numRef>
          </c:val>
        </c:ser>
        <c:gapWidth val="60"/>
        <c:overlap val="0"/>
        <c:axId val="89188819"/>
        <c:axId val="58559923"/>
      </c:barChart>
      <c:catAx>
        <c:axId val="891888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559923"/>
        <c:crosses val="autoZero"/>
        <c:auto val="1"/>
        <c:lblAlgn val="ctr"/>
        <c:lblOffset val="100"/>
        <c:noMultiLvlLbl val="0"/>
      </c:catAx>
      <c:valAx>
        <c:axId val="585599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1888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Plan members and plans share of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KPIs!$A$42</c:f>
              <c:strCache>
                <c:ptCount val="1"/>
                <c:pt idx="0">
                  <c:v>Maintenance plan members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#,##0;\(#,##0\);\-</c:formatCode>
                <c:ptCount val="5"/>
                <c:pt idx="0">
                  <c:v>400</c:v>
                </c:pt>
                <c:pt idx="1">
                  <c:v>480</c:v>
                </c:pt>
                <c:pt idx="2">
                  <c:v>576</c:v>
                </c:pt>
                <c:pt idx="3">
                  <c:v>691.2</c:v>
                </c:pt>
                <c:pt idx="4">
                  <c:v>829.44</c:v>
                </c:pt>
              </c:numCache>
            </c:numRef>
          </c:val>
        </c:ser>
        <c:gapWidth val="60"/>
        <c:overlap val="0"/>
        <c:axId val="25778340"/>
        <c:axId val="38155782"/>
      </c:barChart>
      <c:lineChart>
        <c:grouping val="standard"/>
        <c:varyColors val="0"/>
        <c:ser>
          <c:idx val="1"/>
          <c:order val="1"/>
          <c:tx>
            <c:strRef>
              <c:f>KPIs!$A$44</c:f>
              <c:strCache>
                <c:ptCount val="1"/>
                <c:pt idx="0">
                  <c:v>Plans share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KPIs!$B$44:$F$44</c:f>
              <c:numCache>
                <c:formatCode>0.0%;\(0.0%\);\-</c:formatCode>
                <c:ptCount val="5"/>
                <c:pt idx="0">
                  <c:v>0.0561393659760355</c:v>
                </c:pt>
                <c:pt idx="1">
                  <c:v>0.0588721837364059</c:v>
                </c:pt>
                <c:pt idx="2">
                  <c:v>0.0617209161663668</c:v>
                </c:pt>
                <c:pt idx="3">
                  <c:v>0.0646893209548005</c:v>
                </c:pt>
                <c:pt idx="4">
                  <c:v>0.0677811927680387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491601"/>
        <c:axId val="64429344"/>
      </c:lineChart>
      <c:catAx>
        <c:axId val="2577834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155782"/>
        <c:crosses val="autoZero"/>
        <c:auto val="1"/>
        <c:lblAlgn val="ctr"/>
        <c:lblOffset val="100"/>
        <c:noMultiLvlLbl val="0"/>
      </c:catAx>
      <c:valAx>
        <c:axId val="381557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778340"/>
        <c:crosses val="autoZero"/>
        <c:crossBetween val="between"/>
      </c:valAx>
      <c:catAx>
        <c:axId val="4449160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429344"/>
        <c:crosses val="autoZero"/>
        <c:auto val="1"/>
        <c:lblAlgn val="ctr"/>
        <c:lblOffset val="100"/>
        <c:noMultiLvlLbl val="0"/>
      </c:catAx>
      <c:valAx>
        <c:axId val="6442934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49160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7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8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9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0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Checks!B23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HYPERLINK("#KPIs!A1","KPIs")</f>
        <v>KPIs</v>
      </c>
      <c r="D16" s="11" t="s">
        <v>14</v>
      </c>
    </row>
    <row r="17" customFormat="false" ht="15" hidden="false" customHeight="false" outlineLevel="0" collapsed="false">
      <c r="C17" s="8" t="s">
        <v>15</v>
      </c>
    </row>
    <row r="18" customFormat="false" ht="15" hidden="false" customHeight="false" outlineLevel="0" collapsed="false">
      <c r="B18" s="9" t="n">
        <v>6</v>
      </c>
      <c r="C18" s="10" t="str">
        <f aca="false">HYPERLINK("#Inputs!A1","Inputs")</f>
        <v>Inputs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HYPERLINK("#'P&amp;L'!A1","P&amp;L")</f>
        <v>P&amp;L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HYPERLINK("#'Cash Flow'!A1","Cash Flow")</f>
        <v>Cash Flow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HYPERLINK("#'Balance Sheet'!A1","Balance Sheet")</f>
        <v>Balance Sheet</v>
      </c>
      <c r="D22" s="11" t="s">
        <v>20</v>
      </c>
    </row>
    <row r="23" customFormat="false" ht="15" hidden="false" customHeight="false" outlineLevel="0" collapsed="false">
      <c r="C23" s="8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HYPERLINK("#Monthly!A1","Monthly")</f>
        <v>Monthly</v>
      </c>
      <c r="D24" s="11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HYPERLINK("#Headcount!A1","Headcount")</f>
        <v>Headcount</v>
      </c>
      <c r="D25" s="11" t="s">
        <v>23</v>
      </c>
    </row>
    <row r="26" customFormat="false" ht="15" hidden="false" customHeight="false" outlineLevel="0" collapsed="false">
      <c r="C26" s="8" t="s">
        <v>24</v>
      </c>
    </row>
    <row r="27" customFormat="false" ht="15" hidden="false" customHeight="false" outlineLevel="0" collapsed="false">
      <c r="B27" s="9" t="n">
        <v>12</v>
      </c>
      <c r="C27" s="10" t="str">
        <f aca="false">HYPERLINK("#Checks!A1","Checks")</f>
        <v>Checks</v>
      </c>
      <c r="D27" s="11" t="s">
        <v>25</v>
      </c>
    </row>
    <row r="29" customFormat="false" ht="15" hidden="false" customHeight="false" outlineLevel="0" collapsed="false">
      <c r="B29" s="3" t="s">
        <v>26</v>
      </c>
    </row>
    <row r="30" customFormat="false" ht="15" hidden="false" customHeight="false" outlineLevel="0" collapsed="false">
      <c r="C30" s="12" t="n">
        <v>1000</v>
      </c>
      <c r="D30" s="6" t="s">
        <v>27</v>
      </c>
    </row>
    <row r="31" customFormat="false" ht="15" hidden="false" customHeight="false" outlineLevel="0" collapsed="false">
      <c r="C31" s="13" t="n">
        <v>1000</v>
      </c>
      <c r="D31" s="6" t="s">
        <v>28</v>
      </c>
    </row>
    <row r="32" customFormat="false" ht="15" hidden="false" customHeight="false" outlineLevel="0" collapsed="false">
      <c r="C32" s="14" t="n">
        <v>1000</v>
      </c>
      <c r="D32" s="6" t="s">
        <v>29</v>
      </c>
    </row>
    <row r="33" customFormat="false" ht="15" hidden="false" customHeight="false" outlineLevel="0" collapsed="false">
      <c r="C33" s="15" t="n">
        <v>1000</v>
      </c>
      <c r="D33" s="6" t="s">
        <v>30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31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32</v>
      </c>
      <c r="S4" s="22" t="s">
        <v>5</v>
      </c>
      <c r="T4" s="23" t="str">
        <f aca="false">Checks!B23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33</v>
      </c>
      <c r="B6" s="24"/>
      <c r="C6" s="24" t="s">
        <v>34</v>
      </c>
      <c r="D6" s="24"/>
      <c r="E6" s="24"/>
      <c r="F6" s="24"/>
      <c r="H6" s="24" t="s">
        <v>35</v>
      </c>
      <c r="I6" s="24"/>
      <c r="J6" s="24"/>
      <c r="K6" s="24"/>
      <c r="L6" s="24" t="s">
        <v>36</v>
      </c>
      <c r="M6" s="24"/>
      <c r="N6" s="24"/>
      <c r="O6" s="24"/>
      <c r="P6" s="24" t="s">
        <v>37</v>
      </c>
      <c r="Q6" s="24"/>
      <c r="R6" s="24"/>
      <c r="S6" s="24"/>
      <c r="T6" s="24" t="s">
        <v>38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3305490.4674617</v>
      </c>
      <c r="B7" s="25"/>
      <c r="C7" s="26" t="n">
        <f aca="false">F17</f>
        <v>0.241784313212461</v>
      </c>
      <c r="D7" s="26"/>
      <c r="E7" s="26"/>
      <c r="F7" s="26"/>
      <c r="H7" s="25" t="n">
        <f aca="false">F18</f>
        <v>597833.044698862</v>
      </c>
      <c r="I7" s="25"/>
      <c r="J7" s="25"/>
      <c r="K7" s="25"/>
      <c r="L7" s="25" t="n">
        <f aca="false">F38</f>
        <v>339238.115344444</v>
      </c>
      <c r="M7" s="25"/>
      <c r="N7" s="25"/>
      <c r="O7" s="25"/>
      <c r="P7" s="25" t="n">
        <f aca="false">F36</f>
        <v>108761.884655556</v>
      </c>
      <c r="Q7" s="25"/>
      <c r="R7" s="25"/>
      <c r="S7" s="25"/>
      <c r="T7" s="25" t="n">
        <f aca="false">F43</f>
        <v>3151775.91128174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0.179120105985201</v>
      </c>
      <c r="B8" s="27"/>
      <c r="C8" s="28" t="n">
        <f aca="false">F16</f>
        <v>799215.742505564</v>
      </c>
      <c r="D8" s="28"/>
      <c r="E8" s="28"/>
      <c r="F8" s="28"/>
      <c r="H8" s="29" t="n">
        <f aca="false">F19</f>
        <v>0.180860616777981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IF(F37&gt;=0,"Covered by funding raised",-F37)</f>
        <v>Covered by funding raised</v>
      </c>
      <c r="Q8" s="31"/>
      <c r="R8" s="31"/>
      <c r="S8" s="31"/>
      <c r="T8" s="32" t="s">
        <v>39</v>
      </c>
      <c r="U8" s="32"/>
      <c r="V8" s="32"/>
      <c r="W8" s="32"/>
    </row>
    <row r="10" customFormat="false" ht="15.75" hidden="false" customHeight="true" outlineLevel="0" collapsed="false">
      <c r="A10" s="7" t="s">
        <v>40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41</v>
      </c>
      <c r="B12" s="35" t="n">
        <f aca="false">SUMIF(Monthly!$C$5:$BJ$5,B$11,Monthly!$C$22:$BJ$22)</f>
        <v>1710030</v>
      </c>
      <c r="C12" s="35" t="n">
        <f aca="false">SUMIF(Monthly!$C$5:$BJ$5,C$11,Monthly!$C$22:$BJ$22)</f>
        <v>2015484.945</v>
      </c>
      <c r="D12" s="35" t="n">
        <f aca="false">SUMIF(Monthly!$C$5:$BJ$5,D$11,Monthly!$C$22:$BJ$22)</f>
        <v>2376160.7103285</v>
      </c>
      <c r="E12" s="35" t="n">
        <f aca="false">SUMIF(Monthly!$C$5:$BJ$5,E$11,Monthly!$C$22:$BJ$22)</f>
        <v>2802167.24956282</v>
      </c>
      <c r="F12" s="35" t="n">
        <f aca="false">SUMIF(Monthly!$C$5:$BJ$5,F$11,Monthly!$C$22:$BJ$22)</f>
        <v>3305490.4674617</v>
      </c>
    </row>
    <row r="13" customFormat="false" ht="15" hidden="false" customHeight="false" outlineLevel="0" collapsed="false">
      <c r="A13" s="36" t="s">
        <v>42</v>
      </c>
      <c r="B13" s="37" t="n">
        <f aca="false">SUMIF(Monthly!$C$5:$BJ$5,B$11,Monthly!$C$30:$BJ$30)</f>
        <v>659822.5</v>
      </c>
      <c r="C13" s="37" t="n">
        <f aca="false">SUMIF(Monthly!$C$5:$BJ$5,C$11,Monthly!$C$30:$BJ$30)</f>
        <v>795749.54875</v>
      </c>
      <c r="D13" s="37" t="n">
        <f aca="false">SUMIF(Monthly!$C$5:$BJ$5,D$11,Monthly!$C$30:$BJ$30)</f>
        <v>958942.464010375</v>
      </c>
      <c r="E13" s="37" t="n">
        <f aca="false">SUMIF(Monthly!$C$5:$BJ$5,E$11,Monthly!$C$30:$BJ$30)</f>
        <v>1154797.05824051</v>
      </c>
      <c r="F13" s="37" t="n">
        <f aca="false">SUMIF(Monthly!$C$5:$BJ$5,F$11,Monthly!$C$30:$BJ$30)</f>
        <v>1389770.98121845</v>
      </c>
    </row>
    <row r="14" customFormat="false" ht="15" hidden="false" customHeight="false" outlineLevel="0" collapsed="false">
      <c r="A14" s="38" t="s">
        <v>43</v>
      </c>
      <c r="B14" s="39" t="n">
        <f aca="false">IF(B12=0,0,B13/B12)</f>
        <v>0.385854341736695</v>
      </c>
      <c r="C14" s="39" t="n">
        <f aca="false">IF(C12=0,0,C13/C12)</f>
        <v>0.394817907583031</v>
      </c>
      <c r="D14" s="39" t="n">
        <f aca="false">IF(D12=0,0,D13/D12)</f>
        <v>0.403568016187677</v>
      </c>
      <c r="E14" s="39" t="n">
        <f aca="false">IF(E12=0,0,E13/E12)</f>
        <v>0.412108541494328</v>
      </c>
      <c r="F14" s="39" t="n">
        <f aca="false">IF(F12=0,0,F13/F12)</f>
        <v>0.420443197431352</v>
      </c>
    </row>
    <row r="15" customFormat="false" ht="15" hidden="false" customHeight="false" outlineLevel="0" collapsed="false">
      <c r="A15" s="6" t="s">
        <v>44</v>
      </c>
      <c r="B15" s="35" t="n">
        <f aca="false">SUMIF(Monthly!$C$5:$BJ$5,B$11,Monthly!$C$40:$BJ$40)</f>
        <v>-393750.81</v>
      </c>
      <c r="C15" s="35" t="n">
        <f aca="false">SUMIF(Monthly!$C$5:$BJ$5,C$11,Monthly!$C$40:$BJ$40)</f>
        <v>-433173.193515</v>
      </c>
      <c r="D15" s="35" t="n">
        <f aca="false">SUMIF(Monthly!$C$5:$BJ$5,D$11,Monthly!$C$40:$BJ$40)</f>
        <v>-478492.50267887</v>
      </c>
      <c r="E15" s="35" t="n">
        <f aca="false">SUMIF(Monthly!$C$5:$BJ$5,E$11,Monthly!$C$40:$BJ$40)</f>
        <v>-530607.122407696</v>
      </c>
      <c r="F15" s="35" t="n">
        <f aca="false">SUMIF(Monthly!$C$5:$BJ$5,F$11,Monthly!$C$40:$BJ$40)</f>
        <v>-590555.23871289</v>
      </c>
    </row>
    <row r="16" customFormat="false" ht="15" hidden="false" customHeight="false" outlineLevel="0" collapsed="false">
      <c r="A16" s="36" t="s">
        <v>45</v>
      </c>
      <c r="B16" s="37" t="n">
        <f aca="false">SUMIF(Monthly!$C$5:$BJ$5,B$11,Monthly!$C$41:$BJ$41)</f>
        <v>266071.69</v>
      </c>
      <c r="C16" s="37" t="n">
        <f aca="false">SUMIF(Monthly!$C$5:$BJ$5,C$11,Monthly!$C$41:$BJ$41)</f>
        <v>362576.355235</v>
      </c>
      <c r="D16" s="37" t="n">
        <f aca="false">SUMIF(Monthly!$C$5:$BJ$5,D$11,Monthly!$C$41:$BJ$41)</f>
        <v>480449.961331505</v>
      </c>
      <c r="E16" s="37" t="n">
        <f aca="false">SUMIF(Monthly!$C$5:$BJ$5,E$11,Monthly!$C$41:$BJ$41)</f>
        <v>624189.93583281</v>
      </c>
      <c r="F16" s="37" t="n">
        <f aca="false">SUMIF(Monthly!$C$5:$BJ$5,F$11,Monthly!$C$41:$BJ$41)</f>
        <v>799215.742505564</v>
      </c>
    </row>
    <row r="17" customFormat="false" ht="15" hidden="false" customHeight="false" outlineLevel="0" collapsed="false">
      <c r="A17" s="38" t="s">
        <v>46</v>
      </c>
      <c r="B17" s="39" t="n">
        <f aca="false">IF(B12=0,0,B16/B12)</f>
        <v>0.155594749799711</v>
      </c>
      <c r="C17" s="39" t="n">
        <f aca="false">IF(C12=0,0,C16/C12)</f>
        <v>0.179895342872432</v>
      </c>
      <c r="D17" s="39" t="n">
        <f aca="false">IF(D12=0,0,D16/D12)</f>
        <v>0.202195903350781</v>
      </c>
      <c r="E17" s="39" t="n">
        <f aca="false">IF(E12=0,0,E16/E12)</f>
        <v>0.222752562656705</v>
      </c>
      <c r="F17" s="39" t="n">
        <f aca="false">IF(F12=0,0,F16/F12)</f>
        <v>0.241784313212461</v>
      </c>
    </row>
    <row r="18" customFormat="false" ht="15" hidden="false" customHeight="false" outlineLevel="0" collapsed="false">
      <c r="A18" s="40" t="s">
        <v>47</v>
      </c>
      <c r="B18" s="41" t="n">
        <f aca="false">SUMIF(Monthly!$C$5:$BJ$5,B$11,Monthly!$C$50:$BJ$50)</f>
        <v>192564.273988889</v>
      </c>
      <c r="C18" s="41" t="n">
        <f aca="false">SUMIF(Monthly!$C$5:$BJ$5,C$11,Monthly!$C$50:$BJ$50)</f>
        <v>265979.587302317</v>
      </c>
      <c r="D18" s="41" t="n">
        <f aca="false">SUMIF(Monthly!$C$5:$BJ$5,D$11,Monthly!$C$50:$BJ$50)</f>
        <v>355570.648118556</v>
      </c>
      <c r="E18" s="41" t="n">
        <f aca="false">SUMIF(Monthly!$C$5:$BJ$5,E$11,Monthly!$C$50:$BJ$50)</f>
        <v>464793.449414587</v>
      </c>
      <c r="F18" s="41" t="n">
        <f aca="false">SUMIF(Monthly!$C$5:$BJ$5,F$11,Monthly!$C$50:$BJ$50)</f>
        <v>597833.044698862</v>
      </c>
    </row>
    <row r="19" customFormat="false" ht="15" hidden="false" customHeight="false" outlineLevel="0" collapsed="false">
      <c r="A19" s="38" t="s">
        <v>48</v>
      </c>
      <c r="B19" s="39" t="n">
        <f aca="false">IF(B12=0,0,B18/B12)</f>
        <v>0.11260871095179</v>
      </c>
      <c r="C19" s="39" t="n">
        <f aca="false">IF(C12=0,0,C18/C12)</f>
        <v>0.131968034771064</v>
      </c>
      <c r="D19" s="39" t="n">
        <f aca="false">IF(D12=0,0,D18/D12)</f>
        <v>0.149640824618045</v>
      </c>
      <c r="E19" s="39" t="n">
        <f aca="false">IF(E12=0,0,E18/E12)</f>
        <v>0.165869274750499</v>
      </c>
      <c r="F19" s="39" t="n">
        <f aca="false">IF(F12=0,0,F18/F12)</f>
        <v>0.180860616777981</v>
      </c>
    </row>
    <row r="20" customFormat="false" ht="15" hidden="false" customHeight="false" outlineLevel="0" collapsed="false">
      <c r="A20" s="6" t="s">
        <v>49</v>
      </c>
      <c r="B20" s="35" t="n">
        <f aca="false">SUMIF(Monthly!$C$5:$BJ$5,B$11,Monthly!$C$74:$BJ$74)</f>
        <v>194710.801766667</v>
      </c>
      <c r="C20" s="35" t="n">
        <f aca="false">SUMIF(Monthly!$C$5:$BJ$5,C$11,Monthly!$C$74:$BJ$74)</f>
        <v>276206.622093983</v>
      </c>
      <c r="D20" s="35" t="n">
        <f aca="false">SUMIF(Monthly!$C$5:$BJ$5,D$11,Monthly!$C$74:$BJ$74)</f>
        <v>373872.067546618</v>
      </c>
      <c r="E20" s="35" t="n">
        <f aca="false">SUMIF(Monthly!$C$5:$BJ$5,E$11,Monthly!$C$74:$BJ$74)</f>
        <v>492090.396807869</v>
      </c>
      <c r="F20" s="35" t="n">
        <f aca="false">SUMIF(Monthly!$C$5:$BJ$5,F$11,Monthly!$C$74:$BJ$74)</f>
        <v>635147.520347045</v>
      </c>
    </row>
    <row r="21" customFormat="false" ht="15" hidden="false" customHeight="false" outlineLevel="0" collapsed="false">
      <c r="A21" s="6" t="s">
        <v>50</v>
      </c>
      <c r="B21" s="35" t="n">
        <f aca="false">SUMIF(Monthly!$C$5:$BJ$5,B$11,Monthly!$C$75:$BJ$75)</f>
        <v>-20000</v>
      </c>
      <c r="C21" s="35" t="n">
        <f aca="false">SUMIF(Monthly!$C$5:$BJ$5,C$11,Monthly!$C$75:$BJ$75)</f>
        <v>-37800</v>
      </c>
      <c r="D21" s="35" t="n">
        <f aca="false">SUMIF(Monthly!$C$5:$BJ$5,D$11,Monthly!$C$75:$BJ$75)</f>
        <v>-42336</v>
      </c>
      <c r="E21" s="35" t="n">
        <f aca="false">SUMIF(Monthly!$C$5:$BJ$5,E$11,Monthly!$C$75:$BJ$75)</f>
        <v>-47416.3200000001</v>
      </c>
      <c r="F21" s="35" t="n">
        <f aca="false">SUMIF(Monthly!$C$5:$BJ$5,F$11,Monthly!$C$75:$BJ$75)</f>
        <v>-53106.2784</v>
      </c>
    </row>
    <row r="22" customFormat="false" ht="15" hidden="false" customHeight="false" outlineLevel="0" collapsed="false">
      <c r="A22" s="6" t="s">
        <v>51</v>
      </c>
      <c r="B22" s="35" t="n">
        <f aca="false">SUMIF(Monthly!$C$5:$BJ$5,B$11,Monthly!$C$77:$BJ$77)</f>
        <v>304166.666666667</v>
      </c>
      <c r="C22" s="35" t="n">
        <f aca="false">SUMIF(Monthly!$C$5:$BJ$5,C$11,Monthly!$C$77:$BJ$77)</f>
        <v>-50000</v>
      </c>
      <c r="D22" s="35" t="n">
        <f aca="false">SUMIF(Monthly!$C$5:$BJ$5,D$11,Monthly!$C$77:$BJ$77)</f>
        <v>-50000</v>
      </c>
      <c r="E22" s="35" t="n">
        <f aca="false">SUMIF(Monthly!$C$5:$BJ$5,E$11,Monthly!$C$77:$BJ$77)</f>
        <v>-50000</v>
      </c>
      <c r="F22" s="35" t="n">
        <f aca="false">SUMIF(Monthly!$C$5:$BJ$5,F$11,Monthly!$C$77:$BJ$77)</f>
        <v>-50000</v>
      </c>
    </row>
    <row r="23" customFormat="false" ht="15" hidden="false" customHeight="false" outlineLevel="0" collapsed="false">
      <c r="A23" s="36" t="s">
        <v>52</v>
      </c>
      <c r="B23" s="37" t="n">
        <f aca="false">SUMIF(Monthly!$C$5:$BJ$5,B$11,Monthly!$C$78:$BJ$78)</f>
        <v>478877.468433333</v>
      </c>
      <c r="C23" s="37" t="n">
        <f aca="false">SUMIF(Monthly!$C$5:$BJ$5,C$11,Monthly!$C$78:$BJ$78)</f>
        <v>188406.622093983</v>
      </c>
      <c r="D23" s="37" t="n">
        <f aca="false">SUMIF(Monthly!$C$5:$BJ$5,D$11,Monthly!$C$78:$BJ$78)</f>
        <v>281536.067546618</v>
      </c>
      <c r="E23" s="37" t="n">
        <f aca="false">SUMIF(Monthly!$C$5:$BJ$5,E$11,Monthly!$C$78:$BJ$78)</f>
        <v>394674.076807869</v>
      </c>
      <c r="F23" s="37" t="n">
        <f aca="false">SUMIF(Monthly!$C$5:$BJ$5,F$11,Monthly!$C$78:$BJ$78)</f>
        <v>532041.241947045</v>
      </c>
    </row>
    <row r="24" customFormat="false" ht="15" hidden="false" customHeight="false" outlineLevel="0" collapsed="false">
      <c r="A24" s="40" t="s">
        <v>53</v>
      </c>
      <c r="B24" s="41" t="n">
        <f aca="false">INDEX(Monthly!$C$80:$BJ$80,B$11*12)</f>
        <v>478877.468433333</v>
      </c>
      <c r="C24" s="41" t="n">
        <f aca="false">INDEX(Monthly!$C$80:$BJ$80,C$11*12)</f>
        <v>667284.090527316</v>
      </c>
      <c r="D24" s="41" t="n">
        <f aca="false">INDEX(Monthly!$C$80:$BJ$80,D$11*12)</f>
        <v>948820.158073935</v>
      </c>
      <c r="E24" s="41" t="n">
        <f aca="false">INDEX(Monthly!$C$80:$BJ$80,E$11*12)</f>
        <v>1343494.2348818</v>
      </c>
      <c r="F24" s="41" t="n">
        <f aca="false">INDEX(Monthly!$C$80:$BJ$80,F$11*12)</f>
        <v>1875535.47682885</v>
      </c>
    </row>
    <row r="26" customFormat="false" ht="15.75" hidden="false" customHeight="true" outlineLevel="0" collapsed="false">
      <c r="A26" s="7" t="s">
        <v>54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55</v>
      </c>
      <c r="B28" s="42" t="n">
        <f aca="false">KPIs!B32</f>
        <v>3668.25</v>
      </c>
      <c r="C28" s="42" t="n">
        <f aca="false">KPIs!C32</f>
        <v>4185.4125</v>
      </c>
      <c r="D28" s="42" t="n">
        <f aca="false">KPIs!D32</f>
        <v>4776.180375</v>
      </c>
      <c r="E28" s="42" t="n">
        <f aca="false">KPIs!E32</f>
        <v>5451.11815125</v>
      </c>
      <c r="F28" s="42" t="n">
        <f aca="false">KPIs!F32</f>
        <v>6222.3178803375</v>
      </c>
    </row>
    <row r="29" customFormat="false" ht="15" hidden="false" customHeight="false" outlineLevel="0" collapsed="false">
      <c r="A29" s="6" t="s">
        <v>56</v>
      </c>
      <c r="B29" s="43" t="n">
        <f aca="false">KPIs!B33</f>
        <v>0.831802721088435</v>
      </c>
      <c r="C29" s="43" t="n">
        <f aca="false">KPIs!C33</f>
        <v>0.847386722546161</v>
      </c>
      <c r="D29" s="43" t="n">
        <f aca="false">KPIs!D33</f>
        <v>0.863388152614362</v>
      </c>
      <c r="E29" s="43" t="n">
        <f aca="false">KPIs!E33</f>
        <v>0.879818192416532</v>
      </c>
      <c r="F29" s="43" t="n">
        <f aca="false">KPIs!F33</f>
        <v>0.896688322570546</v>
      </c>
    </row>
    <row r="30" customFormat="false" ht="15" hidden="false" customHeight="false" outlineLevel="0" collapsed="false">
      <c r="A30" s="6" t="s">
        <v>57</v>
      </c>
      <c r="B30" s="44" t="n">
        <f aca="false">KPIs!B40</f>
        <v>440</v>
      </c>
      <c r="C30" s="44" t="n">
        <f aca="false">KPIs!C40</f>
        <v>453.2</v>
      </c>
      <c r="D30" s="44" t="n">
        <f aca="false">KPIs!D40</f>
        <v>466.796</v>
      </c>
      <c r="E30" s="44" t="n">
        <f aca="false">KPIs!E40</f>
        <v>480.79988</v>
      </c>
      <c r="F30" s="44" t="n">
        <f aca="false">KPIs!F40</f>
        <v>495.2238764</v>
      </c>
    </row>
    <row r="31" customFormat="false" ht="15" hidden="false" customHeight="false" outlineLevel="0" collapsed="false">
      <c r="A31" s="6" t="s">
        <v>58</v>
      </c>
      <c r="B31" s="45" t="n">
        <f aca="false">INDEX(Headcount!$C$10:$BJ$10,B$27*12)</f>
        <v>9</v>
      </c>
      <c r="C31" s="45" t="n">
        <f aca="false">INDEX(Headcount!$C$10:$BJ$10,C$27*12)</f>
        <v>10.04</v>
      </c>
      <c r="D31" s="45" t="n">
        <f aca="false">INDEX(Headcount!$C$10:$BJ$10,D$27*12)</f>
        <v>11.2008</v>
      </c>
      <c r="E31" s="45" t="n">
        <f aca="false">INDEX(Headcount!$C$10:$BJ$10,E$27*12)</f>
        <v>12.496496</v>
      </c>
      <c r="F31" s="45" t="n">
        <f aca="false">INDEX(Headcount!$C$10:$BJ$10,F$27*12)</f>
        <v>13.94283552</v>
      </c>
    </row>
    <row r="33" customFormat="false" ht="15.75" hidden="false" customHeight="true" outlineLevel="0" collapsed="false">
      <c r="A33" s="7" t="s">
        <v>59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60</v>
      </c>
      <c r="B34" s="46"/>
      <c r="C34" s="46"/>
      <c r="D34" s="46"/>
      <c r="E34" s="46"/>
      <c r="F34" s="47" t="n">
        <f aca="false">Inputs!$E$54</f>
        <v>100000</v>
      </c>
    </row>
    <row r="35" customFormat="false" ht="15" hidden="false" customHeight="false" outlineLevel="0" collapsed="false">
      <c r="A35" s="6" t="s">
        <v>61</v>
      </c>
      <c r="B35" s="46"/>
      <c r="C35" s="46"/>
      <c r="D35" s="46"/>
      <c r="E35" s="46"/>
      <c r="F35" s="47" t="n">
        <f aca="false">Inputs!$E$55</f>
        <v>250000</v>
      </c>
    </row>
    <row r="36" customFormat="false" ht="15" hidden="false" customHeight="false" outlineLevel="0" collapsed="false">
      <c r="A36" s="6" t="s">
        <v>62</v>
      </c>
      <c r="B36" s="46"/>
      <c r="C36" s="46"/>
      <c r="D36" s="46"/>
      <c r="E36" s="46"/>
      <c r="F36" s="47" t="n">
        <f aca="false">'Break-even'!B12</f>
        <v>108761.884655556</v>
      </c>
    </row>
    <row r="37" customFormat="false" ht="15" hidden="false" customHeight="false" outlineLevel="0" collapsed="false">
      <c r="A37" s="36" t="s">
        <v>63</v>
      </c>
      <c r="B37" s="36"/>
      <c r="C37" s="36"/>
      <c r="D37" s="36"/>
      <c r="E37" s="36"/>
      <c r="F37" s="37" t="n">
        <f aca="false">'Break-even'!B17</f>
        <v>241238.115344444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1)</v>
      </c>
      <c r="B38" s="46"/>
      <c r="C38" s="46"/>
      <c r="D38" s="46"/>
      <c r="E38" s="46"/>
      <c r="F38" s="47" t="n">
        <f aca="false">'Break-even'!B18</f>
        <v>339238.115344444</v>
      </c>
    </row>
    <row r="39" customFormat="false" ht="15" hidden="false" customHeight="false" outlineLevel="0" collapsed="false">
      <c r="A39" s="6" t="s">
        <v>64</v>
      </c>
      <c r="B39" s="46"/>
      <c r="C39" s="46"/>
      <c r="D39" s="46"/>
      <c r="E39" s="46"/>
      <c r="F39" s="48" t="n">
        <f aca="false">'Break-even'!B21</f>
        <v>1</v>
      </c>
    </row>
    <row r="40" customFormat="false" ht="15" hidden="false" customHeight="false" outlineLevel="0" collapsed="false">
      <c r="A40" s="6" t="s">
        <v>65</v>
      </c>
      <c r="B40" s="46"/>
      <c r="C40" s="46"/>
      <c r="D40" s="46"/>
      <c r="E40" s="46"/>
      <c r="F40" s="48" t="n">
        <f aca="false">'Break-even'!B23</f>
        <v>2</v>
      </c>
    </row>
    <row r="41" customFormat="false" ht="15" hidden="false" customHeight="false" outlineLevel="0" collapsed="false">
      <c r="A41" s="6" t="s">
        <v>66</v>
      </c>
      <c r="B41" s="46"/>
      <c r="C41" s="46"/>
      <c r="D41" s="46"/>
      <c r="E41" s="46"/>
      <c r="F41" s="47" t="n">
        <f aca="false">Valuation!B27</f>
        <v>3118050.35240909</v>
      </c>
    </row>
    <row r="42" customFormat="false" ht="15" hidden="false" customHeight="false" outlineLevel="0" collapsed="false">
      <c r="A42" s="6" t="s">
        <v>67</v>
      </c>
      <c r="B42" s="46"/>
      <c r="C42" s="46"/>
      <c r="D42" s="46"/>
      <c r="E42" s="46"/>
      <c r="F42" s="47" t="n">
        <f aca="false">Valuation!C27</f>
        <v>3185501.47015439</v>
      </c>
    </row>
    <row r="43" customFormat="false" ht="15" hidden="false" customHeight="false" outlineLevel="0" collapsed="false">
      <c r="A43" s="40" t="s">
        <v>68</v>
      </c>
      <c r="B43" s="40"/>
      <c r="C43" s="40"/>
      <c r="D43" s="40"/>
      <c r="E43" s="40"/>
      <c r="F43" s="41" t="n">
        <f aca="false">Valuation!B30</f>
        <v>3151775.91128174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69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70</v>
      </c>
      <c r="R2" s="49" t="n">
        <v>1</v>
      </c>
      <c r="S2" s="49"/>
    </row>
    <row r="5" customFormat="false" ht="15.75" hidden="false" customHeight="true" outlineLevel="0" collapsed="false">
      <c r="A5" s="7" t="s">
        <v>71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41</v>
      </c>
      <c r="B7" s="35" t="n">
        <f aca="false">'P&amp;L'!B5</f>
        <v>1710030</v>
      </c>
      <c r="C7" s="35" t="n">
        <f aca="false">'P&amp;L'!C5</f>
        <v>2015484.945</v>
      </c>
      <c r="D7" s="35" t="n">
        <f aca="false">'P&amp;L'!D5</f>
        <v>2376160.7103285</v>
      </c>
      <c r="E7" s="35" t="n">
        <f aca="false">'P&amp;L'!E5</f>
        <v>2802167.24956282</v>
      </c>
      <c r="F7" s="35" t="n">
        <f aca="false">'P&amp;L'!F5</f>
        <v>3305490.4674617</v>
      </c>
      <c r="H7" s="35" t="n">
        <f aca="false">INDEX(Monthly!$C$22:$BJ$22,($R$2-1)*12+1)</f>
        <v>133436.666666667</v>
      </c>
      <c r="I7" s="35" t="n">
        <f aca="false">INDEX(Monthly!$C$22:$BJ$22,($R$2-1)*12+2)</f>
        <v>133436.666666667</v>
      </c>
      <c r="J7" s="35" t="n">
        <f aca="false">INDEX(Monthly!$C$22:$BJ$22,($R$2-1)*12+3)</f>
        <v>133436.666666667</v>
      </c>
      <c r="K7" s="35" t="n">
        <f aca="false">INDEX(Monthly!$C$22:$BJ$22,($R$2-1)*12+4)</f>
        <v>133436.666666667</v>
      </c>
      <c r="L7" s="35" t="n">
        <f aca="false">INDEX(Monthly!$C$22:$BJ$22,($R$2-1)*12+5)</f>
        <v>133436.666666667</v>
      </c>
      <c r="M7" s="35" t="n">
        <f aca="false">INDEX(Monthly!$C$22:$BJ$22,($R$2-1)*12+6)</f>
        <v>169700</v>
      </c>
      <c r="N7" s="35" t="n">
        <f aca="false">INDEX(Monthly!$C$22:$BJ$22,($R$2-1)*12+7)</f>
        <v>169700</v>
      </c>
      <c r="O7" s="35" t="n">
        <f aca="false">INDEX(Monthly!$C$22:$BJ$22,($R$2-1)*12+8)</f>
        <v>169700</v>
      </c>
      <c r="P7" s="35" t="n">
        <f aca="false">INDEX(Monthly!$C$22:$BJ$22,($R$2-1)*12+9)</f>
        <v>133436.666666667</v>
      </c>
      <c r="Q7" s="35" t="n">
        <f aca="false">INDEX(Monthly!$C$22:$BJ$22,($R$2-1)*12+10)</f>
        <v>133436.666666667</v>
      </c>
      <c r="R7" s="35" t="n">
        <f aca="false">INDEX(Monthly!$C$22:$BJ$22,($R$2-1)*12+11)</f>
        <v>133436.666666667</v>
      </c>
      <c r="S7" s="35" t="n">
        <f aca="false">INDEX(Monthly!$C$22:$BJ$22,($R$2-1)*12+12)</f>
        <v>133436.666666667</v>
      </c>
    </row>
    <row r="8" customFormat="false" ht="15" hidden="false" customHeight="false" outlineLevel="0" collapsed="false">
      <c r="A8" s="51" t="s">
        <v>72</v>
      </c>
      <c r="B8" s="35" t="n">
        <f aca="false">'P&amp;L'!B6</f>
        <v>-1050207.5</v>
      </c>
      <c r="C8" s="35" t="n">
        <f aca="false">'P&amp;L'!C6</f>
        <v>-1219735.39625</v>
      </c>
      <c r="D8" s="35" t="n">
        <f aca="false">'P&amp;L'!D6</f>
        <v>-1417218.24631813</v>
      </c>
      <c r="E8" s="35" t="n">
        <f aca="false">'P&amp;L'!E6</f>
        <v>-1647370.19132232</v>
      </c>
      <c r="F8" s="35" t="n">
        <f aca="false">'P&amp;L'!F6</f>
        <v>-1915719.48624325</v>
      </c>
      <c r="H8" s="35" t="n">
        <f aca="false">INDEX(Monthly!$C$29:$BJ$29,($R$2-1)*12+1)</f>
        <v>-85250.8333333333</v>
      </c>
      <c r="I8" s="35" t="n">
        <f aca="false">INDEX(Monthly!$C$29:$BJ$29,($R$2-1)*12+2)</f>
        <v>-85250.8333333333</v>
      </c>
      <c r="J8" s="35" t="n">
        <f aca="false">INDEX(Monthly!$C$29:$BJ$29,($R$2-1)*12+3)</f>
        <v>-85250.8333333333</v>
      </c>
      <c r="K8" s="35" t="n">
        <f aca="false">INDEX(Monthly!$C$29:$BJ$29,($R$2-1)*12+4)</f>
        <v>-85250.8333333333</v>
      </c>
      <c r="L8" s="35" t="n">
        <f aca="false">INDEX(Monthly!$C$29:$BJ$29,($R$2-1)*12+5)</f>
        <v>-85250.8333333333</v>
      </c>
      <c r="M8" s="35" t="n">
        <f aca="false">INDEX(Monthly!$C$29:$BJ$29,($R$2-1)*12+6)</f>
        <v>-94316.6666666667</v>
      </c>
      <c r="N8" s="35" t="n">
        <f aca="false">INDEX(Monthly!$C$29:$BJ$29,($R$2-1)*12+7)</f>
        <v>-94316.6666666667</v>
      </c>
      <c r="O8" s="35" t="n">
        <f aca="false">INDEX(Monthly!$C$29:$BJ$29,($R$2-1)*12+8)</f>
        <v>-94316.6666666667</v>
      </c>
      <c r="P8" s="35" t="n">
        <f aca="false">INDEX(Monthly!$C$29:$BJ$29,($R$2-1)*12+9)</f>
        <v>-85250.8333333333</v>
      </c>
      <c r="Q8" s="35" t="n">
        <f aca="false">INDEX(Monthly!$C$29:$BJ$29,($R$2-1)*12+10)</f>
        <v>-85250.8333333333</v>
      </c>
      <c r="R8" s="35" t="n">
        <f aca="false">INDEX(Monthly!$C$29:$BJ$29,($R$2-1)*12+11)</f>
        <v>-85250.8333333333</v>
      </c>
      <c r="S8" s="35" t="n">
        <f aca="false">INDEX(Monthly!$C$29:$BJ$29,($R$2-1)*12+12)</f>
        <v>-85250.8333333333</v>
      </c>
    </row>
    <row r="9" customFormat="false" ht="15" hidden="false" customHeight="false" outlineLevel="0" collapsed="false">
      <c r="A9" s="36" t="s">
        <v>42</v>
      </c>
      <c r="B9" s="37" t="n">
        <f aca="false">'P&amp;L'!B7</f>
        <v>659822.5</v>
      </c>
      <c r="C9" s="37" t="n">
        <f aca="false">'P&amp;L'!C7</f>
        <v>795749.54875</v>
      </c>
      <c r="D9" s="37" t="n">
        <f aca="false">'P&amp;L'!D7</f>
        <v>958942.464010375</v>
      </c>
      <c r="E9" s="37" t="n">
        <f aca="false">'P&amp;L'!E7</f>
        <v>1154797.05824051</v>
      </c>
      <c r="F9" s="37" t="n">
        <f aca="false">'P&amp;L'!F7</f>
        <v>1389770.98121845</v>
      </c>
      <c r="H9" s="37" t="n">
        <f aca="false">INDEX(Monthly!$C$30:$BJ$30,($R$2-1)*12+1)</f>
        <v>48185.8333333333</v>
      </c>
      <c r="I9" s="37" t="n">
        <f aca="false">INDEX(Monthly!$C$30:$BJ$30,($R$2-1)*12+2)</f>
        <v>48185.8333333333</v>
      </c>
      <c r="J9" s="37" t="n">
        <f aca="false">INDEX(Monthly!$C$30:$BJ$30,($R$2-1)*12+3)</f>
        <v>48185.8333333333</v>
      </c>
      <c r="K9" s="37" t="n">
        <f aca="false">INDEX(Monthly!$C$30:$BJ$30,($R$2-1)*12+4)</f>
        <v>48185.8333333333</v>
      </c>
      <c r="L9" s="37" t="n">
        <f aca="false">INDEX(Monthly!$C$30:$BJ$30,($R$2-1)*12+5)</f>
        <v>48185.8333333333</v>
      </c>
      <c r="M9" s="37" t="n">
        <f aca="false">INDEX(Monthly!$C$30:$BJ$30,($R$2-1)*12+6)</f>
        <v>75383.3333333333</v>
      </c>
      <c r="N9" s="37" t="n">
        <f aca="false">INDEX(Monthly!$C$30:$BJ$30,($R$2-1)*12+7)</f>
        <v>75383.3333333333</v>
      </c>
      <c r="O9" s="37" t="n">
        <f aca="false">INDEX(Monthly!$C$30:$BJ$30,($R$2-1)*12+8)</f>
        <v>75383.3333333333</v>
      </c>
      <c r="P9" s="37" t="n">
        <f aca="false">INDEX(Monthly!$C$30:$BJ$30,($R$2-1)*12+9)</f>
        <v>48185.8333333333</v>
      </c>
      <c r="Q9" s="37" t="n">
        <f aca="false">INDEX(Monthly!$C$30:$BJ$30,($R$2-1)*12+10)</f>
        <v>48185.8333333333</v>
      </c>
      <c r="R9" s="37" t="n">
        <f aca="false">INDEX(Monthly!$C$30:$BJ$30,($R$2-1)*12+11)</f>
        <v>48185.8333333333</v>
      </c>
      <c r="S9" s="37" t="n">
        <f aca="false">INDEX(Monthly!$C$30:$BJ$30,($R$2-1)*12+12)</f>
        <v>48185.8333333333</v>
      </c>
    </row>
    <row r="10" customFormat="false" ht="15" hidden="false" customHeight="false" outlineLevel="0" collapsed="false">
      <c r="A10" s="38" t="s">
        <v>43</v>
      </c>
      <c r="B10" s="39" t="n">
        <f aca="false">'P&amp;L'!B8</f>
        <v>0.385854341736695</v>
      </c>
      <c r="C10" s="39" t="n">
        <f aca="false">'P&amp;L'!C8</f>
        <v>0.394817907583031</v>
      </c>
      <c r="D10" s="39" t="n">
        <f aca="false">'P&amp;L'!D8</f>
        <v>0.403568016187677</v>
      </c>
      <c r="E10" s="39" t="n">
        <f aca="false">'P&amp;L'!E8</f>
        <v>0.412108541494328</v>
      </c>
      <c r="F10" s="39" t="n">
        <f aca="false">'P&amp;L'!F8</f>
        <v>0.420443197431352</v>
      </c>
      <c r="H10" s="39" t="n">
        <f aca="false">IF(H7=0,0,H9/H7)</f>
        <v>0.361113886737778</v>
      </c>
      <c r="I10" s="39" t="n">
        <f aca="false">IF(I7=0,0,I9/I7)</f>
        <v>0.361113886737778</v>
      </c>
      <c r="J10" s="39" t="n">
        <f aca="false">IF(J7=0,0,J9/J7)</f>
        <v>0.361113886737778</v>
      </c>
      <c r="K10" s="39" t="n">
        <f aca="false">IF(K7=0,0,K9/K7)</f>
        <v>0.361113886737778</v>
      </c>
      <c r="L10" s="39" t="n">
        <f aca="false">IF(L7=0,0,L9/L7)</f>
        <v>0.361113886737778</v>
      </c>
      <c r="M10" s="39" t="n">
        <f aca="false">IF(M7=0,0,M9/M7)</f>
        <v>0.444215281869967</v>
      </c>
      <c r="N10" s="39" t="n">
        <f aca="false">IF(N7=0,0,N9/N7)</f>
        <v>0.444215281869967</v>
      </c>
      <c r="O10" s="39" t="n">
        <f aca="false">IF(O7=0,0,O9/O7)</f>
        <v>0.444215281869967</v>
      </c>
      <c r="P10" s="39" t="n">
        <f aca="false">IF(P7=0,0,P9/P7)</f>
        <v>0.361113886737778</v>
      </c>
      <c r="Q10" s="39" t="n">
        <f aca="false">IF(Q7=0,0,Q9/Q7)</f>
        <v>0.361113886737778</v>
      </c>
      <c r="R10" s="39" t="n">
        <f aca="false">IF(R7=0,0,R9/R7)</f>
        <v>0.361113886737778</v>
      </c>
      <c r="S10" s="39" t="n">
        <f aca="false">IF(S7=0,0,S9/S7)</f>
        <v>0.361113886737778</v>
      </c>
    </row>
    <row r="11" customFormat="false" ht="15" hidden="false" customHeight="false" outlineLevel="0" collapsed="false">
      <c r="A11" s="51" t="s">
        <v>73</v>
      </c>
      <c r="B11" s="35" t="n">
        <f aca="false">'P&amp;L'!B16</f>
        <v>-393750.81</v>
      </c>
      <c r="C11" s="35" t="n">
        <f aca="false">'P&amp;L'!C16</f>
        <v>-433173.193515</v>
      </c>
      <c r="D11" s="35" t="n">
        <f aca="false">'P&amp;L'!D16</f>
        <v>-478492.50267887</v>
      </c>
      <c r="E11" s="35" t="n">
        <f aca="false">'P&amp;L'!E16</f>
        <v>-530607.122407696</v>
      </c>
      <c r="F11" s="35" t="n">
        <f aca="false">'P&amp;L'!F16</f>
        <v>-590555.23871289</v>
      </c>
      <c r="H11" s="35" t="n">
        <f aca="false">INDEX(Monthly!$C$40:$BJ$40,($R$2-1)*12+1)</f>
        <v>-32567.79</v>
      </c>
      <c r="I11" s="35" t="n">
        <f aca="false">INDEX(Monthly!$C$40:$BJ$40,($R$2-1)*12+2)</f>
        <v>-32567.79</v>
      </c>
      <c r="J11" s="35" t="n">
        <f aca="false">INDEX(Monthly!$C$40:$BJ$40,($R$2-1)*12+3)</f>
        <v>-32567.79</v>
      </c>
      <c r="K11" s="35" t="n">
        <f aca="false">INDEX(Monthly!$C$40:$BJ$40,($R$2-1)*12+4)</f>
        <v>-32567.79</v>
      </c>
      <c r="L11" s="35" t="n">
        <f aca="false">INDEX(Monthly!$C$40:$BJ$40,($R$2-1)*12+5)</f>
        <v>-32567.79</v>
      </c>
      <c r="M11" s="35" t="n">
        <f aca="false">INDEX(Monthly!$C$40:$BJ$40,($R$2-1)*12+6)</f>
        <v>-33546.9</v>
      </c>
      <c r="N11" s="35" t="n">
        <f aca="false">INDEX(Monthly!$C$40:$BJ$40,($R$2-1)*12+7)</f>
        <v>-33546.9</v>
      </c>
      <c r="O11" s="35" t="n">
        <f aca="false">INDEX(Monthly!$C$40:$BJ$40,($R$2-1)*12+8)</f>
        <v>-33546.9</v>
      </c>
      <c r="P11" s="35" t="n">
        <f aca="false">INDEX(Monthly!$C$40:$BJ$40,($R$2-1)*12+9)</f>
        <v>-32567.79</v>
      </c>
      <c r="Q11" s="35" t="n">
        <f aca="false">INDEX(Monthly!$C$40:$BJ$40,($R$2-1)*12+10)</f>
        <v>-32567.79</v>
      </c>
      <c r="R11" s="35" t="n">
        <f aca="false">INDEX(Monthly!$C$40:$BJ$40,($R$2-1)*12+11)</f>
        <v>-32567.79</v>
      </c>
      <c r="S11" s="35" t="n">
        <f aca="false">INDEX(Monthly!$C$40:$BJ$40,($R$2-1)*12+12)</f>
        <v>-32567.79</v>
      </c>
    </row>
    <row r="12" customFormat="false" ht="15" hidden="false" customHeight="false" outlineLevel="0" collapsed="false">
      <c r="A12" s="36" t="s">
        <v>45</v>
      </c>
      <c r="B12" s="37" t="n">
        <f aca="false">'P&amp;L'!B17</f>
        <v>266071.69</v>
      </c>
      <c r="C12" s="37" t="n">
        <f aca="false">'P&amp;L'!C17</f>
        <v>362576.355235</v>
      </c>
      <c r="D12" s="37" t="n">
        <f aca="false">'P&amp;L'!D17</f>
        <v>480449.961331505</v>
      </c>
      <c r="E12" s="37" t="n">
        <f aca="false">'P&amp;L'!E17</f>
        <v>624189.93583281</v>
      </c>
      <c r="F12" s="37" t="n">
        <f aca="false">'P&amp;L'!F17</f>
        <v>799215.742505564</v>
      </c>
      <c r="H12" s="37" t="n">
        <f aca="false">INDEX(Monthly!$C$41:$BJ$41,($R$2-1)*12+1)</f>
        <v>15618.0433333333</v>
      </c>
      <c r="I12" s="37" t="n">
        <f aca="false">INDEX(Monthly!$C$41:$BJ$41,($R$2-1)*12+2)</f>
        <v>15618.0433333333</v>
      </c>
      <c r="J12" s="37" t="n">
        <f aca="false">INDEX(Monthly!$C$41:$BJ$41,($R$2-1)*12+3)</f>
        <v>15618.0433333333</v>
      </c>
      <c r="K12" s="37" t="n">
        <f aca="false">INDEX(Monthly!$C$41:$BJ$41,($R$2-1)*12+4)</f>
        <v>15618.0433333333</v>
      </c>
      <c r="L12" s="37" t="n">
        <f aca="false">INDEX(Monthly!$C$41:$BJ$41,($R$2-1)*12+5)</f>
        <v>15618.0433333333</v>
      </c>
      <c r="M12" s="37" t="n">
        <f aca="false">INDEX(Monthly!$C$41:$BJ$41,($R$2-1)*12+6)</f>
        <v>41836.4333333333</v>
      </c>
      <c r="N12" s="37" t="n">
        <f aca="false">INDEX(Monthly!$C$41:$BJ$41,($R$2-1)*12+7)</f>
        <v>41836.4333333333</v>
      </c>
      <c r="O12" s="37" t="n">
        <f aca="false">INDEX(Monthly!$C$41:$BJ$41,($R$2-1)*12+8)</f>
        <v>41836.4333333333</v>
      </c>
      <c r="P12" s="37" t="n">
        <f aca="false">INDEX(Monthly!$C$41:$BJ$41,($R$2-1)*12+9)</f>
        <v>15618.0433333333</v>
      </c>
      <c r="Q12" s="37" t="n">
        <f aca="false">INDEX(Monthly!$C$41:$BJ$41,($R$2-1)*12+10)</f>
        <v>15618.0433333333</v>
      </c>
      <c r="R12" s="37" t="n">
        <f aca="false">INDEX(Monthly!$C$41:$BJ$41,($R$2-1)*12+11)</f>
        <v>15618.0433333333</v>
      </c>
      <c r="S12" s="37" t="n">
        <f aca="false">INDEX(Monthly!$C$41:$BJ$41,($R$2-1)*12+12)</f>
        <v>15618.0433333333</v>
      </c>
    </row>
    <row r="13" customFormat="false" ht="15" hidden="false" customHeight="false" outlineLevel="0" collapsed="false">
      <c r="A13" s="38" t="s">
        <v>46</v>
      </c>
      <c r="B13" s="39" t="n">
        <f aca="false">'P&amp;L'!B18</f>
        <v>0.155594749799711</v>
      </c>
      <c r="C13" s="39" t="n">
        <f aca="false">'P&amp;L'!C18</f>
        <v>0.179895342872432</v>
      </c>
      <c r="D13" s="39" t="n">
        <f aca="false">'P&amp;L'!D18</f>
        <v>0.202195903350781</v>
      </c>
      <c r="E13" s="39" t="n">
        <f aca="false">'P&amp;L'!E18</f>
        <v>0.222752562656705</v>
      </c>
      <c r="F13" s="39" t="n">
        <f aca="false">'P&amp;L'!F18</f>
        <v>0.241784313212461</v>
      </c>
      <c r="H13" s="39" t="n">
        <f aca="false">IF(H7=0,0,H12/H7)</f>
        <v>0.117044615423047</v>
      </c>
      <c r="I13" s="39" t="n">
        <f aca="false">IF(I7=0,0,I12/I7)</f>
        <v>0.117044615423047</v>
      </c>
      <c r="J13" s="39" t="n">
        <f aca="false">IF(J7=0,0,J12/J7)</f>
        <v>0.117044615423047</v>
      </c>
      <c r="K13" s="39" t="n">
        <f aca="false">IF(K7=0,0,K12/K7)</f>
        <v>0.117044615423047</v>
      </c>
      <c r="L13" s="39" t="n">
        <f aca="false">IF(L7=0,0,L12/L7)</f>
        <v>0.117044615423047</v>
      </c>
      <c r="M13" s="39" t="n">
        <f aca="false">IF(M7=0,0,M12/M7)</f>
        <v>0.24653172264781</v>
      </c>
      <c r="N13" s="39" t="n">
        <f aca="false">IF(N7=0,0,N12/N7)</f>
        <v>0.24653172264781</v>
      </c>
      <c r="O13" s="39" t="n">
        <f aca="false">IF(O7=0,0,O12/O7)</f>
        <v>0.24653172264781</v>
      </c>
      <c r="P13" s="39" t="n">
        <f aca="false">IF(P7=0,0,P12/P7)</f>
        <v>0.117044615423047</v>
      </c>
      <c r="Q13" s="39" t="n">
        <f aca="false">IF(Q7=0,0,Q12/Q7)</f>
        <v>0.117044615423047</v>
      </c>
      <c r="R13" s="39" t="n">
        <f aca="false">IF(R7=0,0,R12/R7)</f>
        <v>0.117044615423047</v>
      </c>
      <c r="S13" s="39" t="n">
        <f aca="false">IF(S7=0,0,S12/S7)</f>
        <v>0.117044615423047</v>
      </c>
    </row>
    <row r="14" customFormat="false" ht="15" hidden="false" customHeight="false" outlineLevel="0" collapsed="false">
      <c r="A14" s="51" t="s">
        <v>74</v>
      </c>
      <c r="B14" s="35" t="n">
        <f aca="false">'P&amp;L'!B19</f>
        <v>-4000</v>
      </c>
      <c r="C14" s="35" t="n">
        <f aca="false">'P&amp;L'!C19</f>
        <v>-11560</v>
      </c>
      <c r="D14" s="35" t="n">
        <f aca="false">'P&amp;L'!D19</f>
        <v>-20027.2</v>
      </c>
      <c r="E14" s="35" t="n">
        <f aca="false">'P&amp;L'!E19</f>
        <v>-29510.464</v>
      </c>
      <c r="F14" s="35" t="n">
        <f aca="false">'P&amp;L'!F19</f>
        <v>-40131.71968</v>
      </c>
      <c r="H14" s="35" t="n">
        <f aca="false">INDEX(Monthly!$C$55:$BJ$55,($R$2-1)*12+1)</f>
        <v>-333.333333333333</v>
      </c>
      <c r="I14" s="35" t="n">
        <f aca="false">INDEX(Monthly!$C$55:$BJ$55,($R$2-1)*12+2)</f>
        <v>-333.333333333333</v>
      </c>
      <c r="J14" s="35" t="n">
        <f aca="false">INDEX(Monthly!$C$55:$BJ$55,($R$2-1)*12+3)</f>
        <v>-333.333333333333</v>
      </c>
      <c r="K14" s="35" t="n">
        <f aca="false">INDEX(Monthly!$C$55:$BJ$55,($R$2-1)*12+4)</f>
        <v>-333.333333333333</v>
      </c>
      <c r="L14" s="35" t="n">
        <f aca="false">INDEX(Monthly!$C$55:$BJ$55,($R$2-1)*12+5)</f>
        <v>-333.333333333333</v>
      </c>
      <c r="M14" s="35" t="n">
        <f aca="false">INDEX(Monthly!$C$55:$BJ$55,($R$2-1)*12+6)</f>
        <v>-333.333333333333</v>
      </c>
      <c r="N14" s="35" t="n">
        <f aca="false">INDEX(Monthly!$C$55:$BJ$55,($R$2-1)*12+7)</f>
        <v>-333.333333333333</v>
      </c>
      <c r="O14" s="35" t="n">
        <f aca="false">INDEX(Monthly!$C$55:$BJ$55,($R$2-1)*12+8)</f>
        <v>-333.333333333333</v>
      </c>
      <c r="P14" s="35" t="n">
        <f aca="false">INDEX(Monthly!$C$55:$BJ$55,($R$2-1)*12+9)</f>
        <v>-333.333333333333</v>
      </c>
      <c r="Q14" s="35" t="n">
        <f aca="false">INDEX(Monthly!$C$55:$BJ$55,($R$2-1)*12+10)</f>
        <v>-333.333333333333</v>
      </c>
      <c r="R14" s="35" t="n">
        <f aca="false">INDEX(Monthly!$C$55:$BJ$55,($R$2-1)*12+11)</f>
        <v>-333.333333333333</v>
      </c>
      <c r="S14" s="35" t="n">
        <f aca="false">INDEX(Monthly!$C$55:$BJ$55,($R$2-1)*12+12)</f>
        <v>-333.333333333333</v>
      </c>
    </row>
    <row r="15" customFormat="false" ht="15" hidden="false" customHeight="false" outlineLevel="0" collapsed="false">
      <c r="A15" s="36" t="s">
        <v>75</v>
      </c>
      <c r="B15" s="37" t="n">
        <f aca="false">'P&amp;L'!B20</f>
        <v>262071.69</v>
      </c>
      <c r="C15" s="37" t="n">
        <f aca="false">'P&amp;L'!C20</f>
        <v>351016.355235</v>
      </c>
      <c r="D15" s="37" t="n">
        <f aca="false">'P&amp;L'!D20</f>
        <v>460422.761331505</v>
      </c>
      <c r="E15" s="37" t="n">
        <f aca="false">'P&amp;L'!E20</f>
        <v>594679.47183281</v>
      </c>
      <c r="F15" s="37" t="n">
        <f aca="false">'P&amp;L'!F20</f>
        <v>759084.022825564</v>
      </c>
      <c r="H15" s="37" t="n">
        <f aca="false">INDEX(Monthly!$C$44:$BJ$44,($R$2-1)*12+1)</f>
        <v>15284.71</v>
      </c>
      <c r="I15" s="37" t="n">
        <f aca="false">INDEX(Monthly!$C$44:$BJ$44,($R$2-1)*12+2)</f>
        <v>15284.71</v>
      </c>
      <c r="J15" s="37" t="n">
        <f aca="false">INDEX(Monthly!$C$44:$BJ$44,($R$2-1)*12+3)</f>
        <v>15284.71</v>
      </c>
      <c r="K15" s="37" t="n">
        <f aca="false">INDEX(Monthly!$C$44:$BJ$44,($R$2-1)*12+4)</f>
        <v>15284.71</v>
      </c>
      <c r="L15" s="37" t="n">
        <f aca="false">INDEX(Monthly!$C$44:$BJ$44,($R$2-1)*12+5)</f>
        <v>15284.71</v>
      </c>
      <c r="M15" s="37" t="n">
        <f aca="false">INDEX(Monthly!$C$44:$BJ$44,($R$2-1)*12+6)</f>
        <v>41503.1</v>
      </c>
      <c r="N15" s="37" t="n">
        <f aca="false">INDEX(Monthly!$C$44:$BJ$44,($R$2-1)*12+7)</f>
        <v>41503.1</v>
      </c>
      <c r="O15" s="37" t="n">
        <f aca="false">INDEX(Monthly!$C$44:$BJ$44,($R$2-1)*12+8)</f>
        <v>41503.1</v>
      </c>
      <c r="P15" s="37" t="n">
        <f aca="false">INDEX(Monthly!$C$44:$BJ$44,($R$2-1)*12+9)</f>
        <v>15284.71</v>
      </c>
      <c r="Q15" s="37" t="n">
        <f aca="false">INDEX(Monthly!$C$44:$BJ$44,($R$2-1)*12+10)</f>
        <v>15284.71</v>
      </c>
      <c r="R15" s="37" t="n">
        <f aca="false">INDEX(Monthly!$C$44:$BJ$44,($R$2-1)*12+11)</f>
        <v>15284.71</v>
      </c>
      <c r="S15" s="37" t="n">
        <f aca="false">INDEX(Monthly!$C$44:$BJ$44,($R$2-1)*12+12)</f>
        <v>15284.71</v>
      </c>
    </row>
    <row r="16" customFormat="false" ht="15" hidden="false" customHeight="false" outlineLevel="0" collapsed="false">
      <c r="A16" s="51" t="s">
        <v>76</v>
      </c>
      <c r="B16" s="35" t="n">
        <f aca="false">'P&amp;L'!B21</f>
        <v>-18319.4444444445</v>
      </c>
      <c r="C16" s="35" t="n">
        <f aca="false">'P&amp;L'!C21</f>
        <v>-14333.3333333333</v>
      </c>
      <c r="D16" s="35" t="n">
        <f aca="false">'P&amp;L'!D21</f>
        <v>-10333.3333333334</v>
      </c>
      <c r="E16" s="35" t="n">
        <f aca="false">'P&amp;L'!E21</f>
        <v>-6333.33333333335</v>
      </c>
      <c r="F16" s="35" t="n">
        <f aca="false">'P&amp;L'!F21</f>
        <v>-2333.33333333335</v>
      </c>
      <c r="H16" s="35" t="n">
        <f aca="false">INDEX(Monthly!$C$45:$BJ$45,($R$2-1)*12+1)</f>
        <v>-1666.66666666667</v>
      </c>
      <c r="I16" s="35" t="n">
        <f aca="false">INDEX(Monthly!$C$45:$BJ$45,($R$2-1)*12+2)</f>
        <v>-1652.77777777778</v>
      </c>
      <c r="J16" s="35" t="n">
        <f aca="false">INDEX(Monthly!$C$45:$BJ$45,($R$2-1)*12+3)</f>
        <v>-1625</v>
      </c>
      <c r="K16" s="35" t="n">
        <f aca="false">INDEX(Monthly!$C$45:$BJ$45,($R$2-1)*12+4)</f>
        <v>-1597.22222222222</v>
      </c>
      <c r="L16" s="35" t="n">
        <f aca="false">INDEX(Monthly!$C$45:$BJ$45,($R$2-1)*12+5)</f>
        <v>-1569.44444444444</v>
      </c>
      <c r="M16" s="35" t="n">
        <f aca="false">INDEX(Monthly!$C$45:$BJ$45,($R$2-1)*12+6)</f>
        <v>-1541.66666666667</v>
      </c>
      <c r="N16" s="35" t="n">
        <f aca="false">INDEX(Monthly!$C$45:$BJ$45,($R$2-1)*12+7)</f>
        <v>-1513.88888888889</v>
      </c>
      <c r="O16" s="35" t="n">
        <f aca="false">INDEX(Monthly!$C$45:$BJ$45,($R$2-1)*12+8)</f>
        <v>-1486.11111111111</v>
      </c>
      <c r="P16" s="35" t="n">
        <f aca="false">INDEX(Monthly!$C$45:$BJ$45,($R$2-1)*12+9)</f>
        <v>-1458.33333333333</v>
      </c>
      <c r="Q16" s="35" t="n">
        <f aca="false">INDEX(Monthly!$C$45:$BJ$45,($R$2-1)*12+10)</f>
        <v>-1430.55555555556</v>
      </c>
      <c r="R16" s="35" t="n">
        <f aca="false">INDEX(Monthly!$C$45:$BJ$45,($R$2-1)*12+11)</f>
        <v>-1402.77777777778</v>
      </c>
      <c r="S16" s="35" t="n">
        <f aca="false">INDEX(Monthly!$C$45:$BJ$45,($R$2-1)*12+12)</f>
        <v>-1375</v>
      </c>
    </row>
    <row r="17" customFormat="false" ht="15" hidden="false" customHeight="false" outlineLevel="0" collapsed="false">
      <c r="A17" s="51" t="s">
        <v>77</v>
      </c>
      <c r="B17" s="35" t="n">
        <f aca="false">'P&amp;L'!B22</f>
        <v>243752.245555556</v>
      </c>
      <c r="C17" s="35" t="n">
        <f aca="false">'P&amp;L'!C22</f>
        <v>336683.021901667</v>
      </c>
      <c r="D17" s="35" t="n">
        <f aca="false">'P&amp;L'!D22</f>
        <v>450089.427998172</v>
      </c>
      <c r="E17" s="35" t="n">
        <f aca="false">'P&amp;L'!E22</f>
        <v>588346.138499477</v>
      </c>
      <c r="F17" s="35" t="n">
        <f aca="false">'P&amp;L'!F22</f>
        <v>756750.68949223</v>
      </c>
      <c r="H17" s="35" t="n">
        <f aca="false">INDEX(Monthly!$C$46:$BJ$46,($R$2-1)*12+1)</f>
        <v>13618.0433333333</v>
      </c>
      <c r="I17" s="35" t="n">
        <f aca="false">INDEX(Monthly!$C$46:$BJ$46,($R$2-1)*12+2)</f>
        <v>13631.9322222222</v>
      </c>
      <c r="J17" s="35" t="n">
        <f aca="false">INDEX(Monthly!$C$46:$BJ$46,($R$2-1)*12+3)</f>
        <v>13659.71</v>
      </c>
      <c r="K17" s="35" t="n">
        <f aca="false">INDEX(Monthly!$C$46:$BJ$46,($R$2-1)*12+4)</f>
        <v>13687.4877777778</v>
      </c>
      <c r="L17" s="35" t="n">
        <f aca="false">INDEX(Monthly!$C$46:$BJ$46,($R$2-1)*12+5)</f>
        <v>13715.2655555555</v>
      </c>
      <c r="M17" s="35" t="n">
        <f aca="false">INDEX(Monthly!$C$46:$BJ$46,($R$2-1)*12+6)</f>
        <v>39961.4333333333</v>
      </c>
      <c r="N17" s="35" t="n">
        <f aca="false">INDEX(Monthly!$C$46:$BJ$46,($R$2-1)*12+7)</f>
        <v>39989.2111111111</v>
      </c>
      <c r="O17" s="35" t="n">
        <f aca="false">INDEX(Monthly!$C$46:$BJ$46,($R$2-1)*12+8)</f>
        <v>40016.9888888889</v>
      </c>
      <c r="P17" s="35" t="n">
        <f aca="false">INDEX(Monthly!$C$46:$BJ$46,($R$2-1)*12+9)</f>
        <v>13826.3766666667</v>
      </c>
      <c r="Q17" s="35" t="n">
        <f aca="false">INDEX(Monthly!$C$46:$BJ$46,($R$2-1)*12+10)</f>
        <v>13854.1544444444</v>
      </c>
      <c r="R17" s="35" t="n">
        <f aca="false">INDEX(Monthly!$C$46:$BJ$46,($R$2-1)*12+11)</f>
        <v>13881.9322222222</v>
      </c>
      <c r="S17" s="35" t="n">
        <f aca="false">INDEX(Monthly!$C$46:$BJ$46,($R$2-1)*12+12)</f>
        <v>13909.71</v>
      </c>
    </row>
    <row r="18" customFormat="false" ht="15" hidden="false" customHeight="false" outlineLevel="0" collapsed="false">
      <c r="A18" s="51" t="s">
        <v>78</v>
      </c>
      <c r="B18" s="35" t="n">
        <f aca="false">'P&amp;L'!B23</f>
        <v>-51187.9715666667</v>
      </c>
      <c r="C18" s="35" t="n">
        <f aca="false">'P&amp;L'!C23</f>
        <v>-70703.43459935</v>
      </c>
      <c r="D18" s="35" t="n">
        <f aca="false">'P&amp;L'!D23</f>
        <v>-94518.7798796161</v>
      </c>
      <c r="E18" s="35" t="n">
        <f aca="false">'P&amp;L'!E23</f>
        <v>-123552.68908489</v>
      </c>
      <c r="F18" s="35" t="n">
        <f aca="false">'P&amp;L'!F23</f>
        <v>-158917.644793368</v>
      </c>
      <c r="H18" s="35" t="n">
        <f aca="false">INDEX(Monthly!$C$49:$BJ$49,($R$2-1)*12+1)</f>
        <v>-2859.7891</v>
      </c>
      <c r="I18" s="35" t="n">
        <f aca="false">INDEX(Monthly!$C$49:$BJ$49,($R$2-1)*12+2)</f>
        <v>-2862.70576666667</v>
      </c>
      <c r="J18" s="35" t="n">
        <f aca="false">INDEX(Monthly!$C$49:$BJ$49,($R$2-1)*12+3)</f>
        <v>-2868.5391</v>
      </c>
      <c r="K18" s="35" t="n">
        <f aca="false">INDEX(Monthly!$C$49:$BJ$49,($R$2-1)*12+4)</f>
        <v>-2874.37243333333</v>
      </c>
      <c r="L18" s="35" t="n">
        <f aca="false">INDEX(Monthly!$C$49:$BJ$49,($R$2-1)*12+5)</f>
        <v>-2880.20576666667</v>
      </c>
      <c r="M18" s="35" t="n">
        <f aca="false">INDEX(Monthly!$C$49:$BJ$49,($R$2-1)*12+6)</f>
        <v>-8391.901</v>
      </c>
      <c r="N18" s="35" t="n">
        <f aca="false">INDEX(Monthly!$C$49:$BJ$49,($R$2-1)*12+7)</f>
        <v>-8397.73433333333</v>
      </c>
      <c r="O18" s="35" t="n">
        <f aca="false">INDEX(Monthly!$C$49:$BJ$49,($R$2-1)*12+8)</f>
        <v>-8403.56766666667</v>
      </c>
      <c r="P18" s="35" t="n">
        <f aca="false">INDEX(Monthly!$C$49:$BJ$49,($R$2-1)*12+9)</f>
        <v>-2903.5391</v>
      </c>
      <c r="Q18" s="35" t="n">
        <f aca="false">INDEX(Monthly!$C$49:$BJ$49,($R$2-1)*12+10)</f>
        <v>-2909.37243333333</v>
      </c>
      <c r="R18" s="35" t="n">
        <f aca="false">INDEX(Monthly!$C$49:$BJ$49,($R$2-1)*12+11)</f>
        <v>-2915.20576666666</v>
      </c>
      <c r="S18" s="35" t="n">
        <f aca="false">INDEX(Monthly!$C$49:$BJ$49,($R$2-1)*12+12)</f>
        <v>-2921.0391</v>
      </c>
    </row>
    <row r="19" customFormat="false" ht="15" hidden="false" customHeight="false" outlineLevel="0" collapsed="false">
      <c r="A19" s="40" t="s">
        <v>47</v>
      </c>
      <c r="B19" s="41" t="n">
        <f aca="false">'P&amp;L'!B24</f>
        <v>192564.273988889</v>
      </c>
      <c r="C19" s="41" t="n">
        <f aca="false">'P&amp;L'!C24</f>
        <v>265979.587302317</v>
      </c>
      <c r="D19" s="41" t="n">
        <f aca="false">'P&amp;L'!D24</f>
        <v>355570.648118556</v>
      </c>
      <c r="E19" s="41" t="n">
        <f aca="false">'P&amp;L'!E24</f>
        <v>464793.449414587</v>
      </c>
      <c r="F19" s="41" t="n">
        <f aca="false">'P&amp;L'!F24</f>
        <v>597833.044698862</v>
      </c>
      <c r="H19" s="41" t="n">
        <f aca="false">INDEX(Monthly!$C$50:$BJ$50,($R$2-1)*12+1)</f>
        <v>10758.2542333333</v>
      </c>
      <c r="I19" s="41" t="n">
        <f aca="false">INDEX(Monthly!$C$50:$BJ$50,($R$2-1)*12+2)</f>
        <v>10769.2264555556</v>
      </c>
      <c r="J19" s="41" t="n">
        <f aca="false">INDEX(Monthly!$C$50:$BJ$50,($R$2-1)*12+3)</f>
        <v>10791.1709</v>
      </c>
      <c r="K19" s="41" t="n">
        <f aca="false">INDEX(Monthly!$C$50:$BJ$50,($R$2-1)*12+4)</f>
        <v>10813.1153444444</v>
      </c>
      <c r="L19" s="41" t="n">
        <f aca="false">INDEX(Monthly!$C$50:$BJ$50,($R$2-1)*12+5)</f>
        <v>10835.0597888889</v>
      </c>
      <c r="M19" s="41" t="n">
        <f aca="false">INDEX(Monthly!$C$50:$BJ$50,($R$2-1)*12+6)</f>
        <v>31569.5323333333</v>
      </c>
      <c r="N19" s="41" t="n">
        <f aca="false">INDEX(Monthly!$C$50:$BJ$50,($R$2-1)*12+7)</f>
        <v>31591.4767777778</v>
      </c>
      <c r="O19" s="41" t="n">
        <f aca="false">INDEX(Monthly!$C$50:$BJ$50,($R$2-1)*12+8)</f>
        <v>31613.4212222222</v>
      </c>
      <c r="P19" s="41" t="n">
        <f aca="false">INDEX(Monthly!$C$50:$BJ$50,($R$2-1)*12+9)</f>
        <v>10922.8375666667</v>
      </c>
      <c r="Q19" s="41" t="n">
        <f aca="false">INDEX(Monthly!$C$50:$BJ$50,($R$2-1)*12+10)</f>
        <v>10944.7820111111</v>
      </c>
      <c r="R19" s="41" t="n">
        <f aca="false">INDEX(Monthly!$C$50:$BJ$50,($R$2-1)*12+11)</f>
        <v>10966.7264555556</v>
      </c>
      <c r="S19" s="41" t="n">
        <f aca="false">INDEX(Monthly!$C$50:$BJ$50,($R$2-1)*12+12)</f>
        <v>10988.6709</v>
      </c>
    </row>
    <row r="20" customFormat="false" ht="15" hidden="false" customHeight="false" outlineLevel="0" collapsed="false">
      <c r="A20" s="38" t="s">
        <v>48</v>
      </c>
      <c r="B20" s="39" t="n">
        <f aca="false">'P&amp;L'!B25</f>
        <v>0.11260871095179</v>
      </c>
      <c r="C20" s="39" t="n">
        <f aca="false">'P&amp;L'!C25</f>
        <v>0.131968034771064</v>
      </c>
      <c r="D20" s="39" t="n">
        <f aca="false">'P&amp;L'!D25</f>
        <v>0.149640824618045</v>
      </c>
      <c r="E20" s="39" t="n">
        <f aca="false">'P&amp;L'!E25</f>
        <v>0.165869274750499</v>
      </c>
      <c r="F20" s="39" t="n">
        <f aca="false">'P&amp;L'!F25</f>
        <v>0.180860616777981</v>
      </c>
      <c r="H20" s="39" t="n">
        <f aca="false">IF(H7=0,0,H19/H7)</f>
        <v>0.0806244228223127</v>
      </c>
      <c r="I20" s="39" t="n">
        <f aca="false">IF(I7=0,0,I19/I7)</f>
        <v>0.0807066507623258</v>
      </c>
      <c r="J20" s="39" t="n">
        <f aca="false">IF(J7=0,0,J19/J7)</f>
        <v>0.0808711066423522</v>
      </c>
      <c r="K20" s="39" t="n">
        <f aca="false">IF(K7=0,0,K19/K7)</f>
        <v>0.0810355625223785</v>
      </c>
      <c r="L20" s="39" t="n">
        <f aca="false">IF(L7=0,0,L19/L7)</f>
        <v>0.0812000184024048</v>
      </c>
      <c r="M20" s="39" t="n">
        <f aca="false">IF(M7=0,0,M19/M7)</f>
        <v>0.186031422117462</v>
      </c>
      <c r="N20" s="39" t="n">
        <f aca="false">IF(N7=0,0,N19/N7)</f>
        <v>0.186160735284489</v>
      </c>
      <c r="O20" s="39" t="n">
        <f aca="false">IF(O7=0,0,O19/O7)</f>
        <v>0.186290048451516</v>
      </c>
      <c r="P20" s="39" t="n">
        <f aca="false">IF(P7=0,0,P19/P7)</f>
        <v>0.08185784192251</v>
      </c>
      <c r="Q20" s="39" t="n">
        <f aca="false">IF(Q7=0,0,Q19/Q7)</f>
        <v>0.0820222978025363</v>
      </c>
      <c r="R20" s="39" t="n">
        <f aca="false">IF(R7=0,0,R19/R7)</f>
        <v>0.0821867536825627</v>
      </c>
      <c r="S20" s="39" t="n">
        <f aca="false">IF(S7=0,0,S19/S7)</f>
        <v>0.082351209562589</v>
      </c>
    </row>
    <row r="22" customFormat="false" ht="15.75" hidden="false" customHeight="true" outlineLevel="0" collapsed="false">
      <c r="A22" s="7" t="s">
        <v>79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49</v>
      </c>
      <c r="B24" s="37" t="n">
        <f aca="false">'Cash Flow'!B10</f>
        <v>194710.801766667</v>
      </c>
      <c r="C24" s="37" t="n">
        <f aca="false">'Cash Flow'!C10</f>
        <v>276206.622093983</v>
      </c>
      <c r="D24" s="37" t="n">
        <f aca="false">'Cash Flow'!D10</f>
        <v>373872.067546618</v>
      </c>
      <c r="E24" s="37" t="n">
        <f aca="false">'Cash Flow'!E10</f>
        <v>492090.396807869</v>
      </c>
      <c r="F24" s="37" t="n">
        <f aca="false">'Cash Flow'!F10</f>
        <v>635147.520347045</v>
      </c>
      <c r="H24" s="37" t="n">
        <f aca="false">INDEX(Monthly!$C$74:$BJ$74,($R$2-1)*12+1)</f>
        <v>9238.11534444444</v>
      </c>
      <c r="I24" s="37" t="n">
        <f aca="false">INDEX(Monthly!$C$74:$BJ$74,($R$2-1)*12+2)</f>
        <v>11102.5597888889</v>
      </c>
      <c r="J24" s="37" t="n">
        <f aca="false">INDEX(Monthly!$C$74:$BJ$74,($R$2-1)*12+3)</f>
        <v>11124.5042333333</v>
      </c>
      <c r="K24" s="37" t="n">
        <f aca="false">INDEX(Monthly!$C$74:$BJ$74,($R$2-1)*12+4)</f>
        <v>11146.4486777778</v>
      </c>
      <c r="L24" s="37" t="n">
        <f aca="false">INDEX(Monthly!$C$74:$BJ$74,($R$2-1)*12+5)</f>
        <v>11168.3931222222</v>
      </c>
      <c r="M24" s="37" t="n">
        <f aca="false">INDEX(Monthly!$C$74:$BJ$74,($R$2-1)*12+6)</f>
        <v>24348.0045555555</v>
      </c>
      <c r="N24" s="37" t="n">
        <f aca="false">INDEX(Monthly!$C$74:$BJ$74,($R$2-1)*12+7)</f>
        <v>31924.8101111111</v>
      </c>
      <c r="O24" s="37" t="n">
        <f aca="false">INDEX(Monthly!$C$74:$BJ$74,($R$2-1)*12+8)</f>
        <v>31946.7545555556</v>
      </c>
      <c r="P24" s="37" t="n">
        <f aca="false">INDEX(Monthly!$C$74:$BJ$74,($R$2-1)*12+9)</f>
        <v>18811.0320111111</v>
      </c>
      <c r="Q24" s="37" t="n">
        <f aca="false">INDEX(Monthly!$C$74:$BJ$74,($R$2-1)*12+10)</f>
        <v>11278.1153444444</v>
      </c>
      <c r="R24" s="37" t="n">
        <f aca="false">INDEX(Monthly!$C$74:$BJ$74,($R$2-1)*12+11)</f>
        <v>11300.0597888889</v>
      </c>
      <c r="S24" s="37" t="n">
        <f aca="false">INDEX(Monthly!$C$74:$BJ$74,($R$2-1)*12+12)</f>
        <v>11322.0042333333</v>
      </c>
    </row>
    <row r="25" customFormat="false" ht="15" hidden="false" customHeight="false" outlineLevel="0" collapsed="false">
      <c r="A25" s="51" t="s">
        <v>80</v>
      </c>
      <c r="B25" s="35" t="n">
        <f aca="false">'Cash Flow'!B11</f>
        <v>-20000</v>
      </c>
      <c r="C25" s="35" t="n">
        <f aca="false">'Cash Flow'!C11</f>
        <v>-37800</v>
      </c>
      <c r="D25" s="35" t="n">
        <f aca="false">'Cash Flow'!D11</f>
        <v>-42336</v>
      </c>
      <c r="E25" s="35" t="n">
        <f aca="false">'Cash Flow'!E11</f>
        <v>-47416.3200000001</v>
      </c>
      <c r="F25" s="35" t="n">
        <f aca="false">'Cash Flow'!F11</f>
        <v>-53106.2784</v>
      </c>
      <c r="H25" s="35" t="n">
        <f aca="false">INDEX(Monthly!$C$75:$BJ$75,($R$2-1)*12+1)</f>
        <v>-20000</v>
      </c>
      <c r="I25" s="35" t="n">
        <f aca="false">INDEX(Monthly!$C$75:$BJ$75,($R$2-1)*12+2)</f>
        <v>-0</v>
      </c>
      <c r="J25" s="35" t="n">
        <f aca="false">INDEX(Monthly!$C$75:$BJ$75,($R$2-1)*12+3)</f>
        <v>-0</v>
      </c>
      <c r="K25" s="35" t="n">
        <f aca="false">INDEX(Monthly!$C$75:$BJ$75,($R$2-1)*12+4)</f>
        <v>-0</v>
      </c>
      <c r="L25" s="35" t="n">
        <f aca="false">INDEX(Monthly!$C$75:$BJ$75,($R$2-1)*12+5)</f>
        <v>-0</v>
      </c>
      <c r="M25" s="35" t="n">
        <f aca="false">INDEX(Monthly!$C$75:$BJ$75,($R$2-1)*12+6)</f>
        <v>-0</v>
      </c>
      <c r="N25" s="35" t="n">
        <f aca="false">INDEX(Monthly!$C$75:$BJ$75,($R$2-1)*12+7)</f>
        <v>-0</v>
      </c>
      <c r="O25" s="35" t="n">
        <f aca="false">INDEX(Monthly!$C$75:$BJ$75,($R$2-1)*12+8)</f>
        <v>-0</v>
      </c>
      <c r="P25" s="35" t="n">
        <f aca="false">INDEX(Monthly!$C$75:$BJ$75,($R$2-1)*12+9)</f>
        <v>-0</v>
      </c>
      <c r="Q25" s="35" t="n">
        <f aca="false">INDEX(Monthly!$C$75:$BJ$75,($R$2-1)*12+10)</f>
        <v>-0</v>
      </c>
      <c r="R25" s="35" t="n">
        <f aca="false">INDEX(Monthly!$C$75:$BJ$75,($R$2-1)*12+11)</f>
        <v>-0</v>
      </c>
      <c r="S25" s="35" t="n">
        <f aca="false">INDEX(Monthly!$C$75:$BJ$75,($R$2-1)*12+12)</f>
        <v>-0</v>
      </c>
    </row>
    <row r="26" customFormat="false" ht="15" hidden="false" customHeight="false" outlineLevel="0" collapsed="false">
      <c r="A26" s="51" t="s">
        <v>60</v>
      </c>
      <c r="B26" s="35" t="n">
        <f aca="false">'Cash Flow'!B12</f>
        <v>100000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INDEX(Monthly!$C$76:$BJ$76,($R$2-1)*12+1)</f>
        <v>100000</v>
      </c>
      <c r="I26" s="35" t="n">
        <f aca="false">INDEX(Monthly!$C$76:$BJ$76,($R$2-1)*12+2)</f>
        <v>0</v>
      </c>
      <c r="J26" s="35" t="n">
        <f aca="false">INDEX(Monthly!$C$76:$BJ$76,($R$2-1)*12+3)</f>
        <v>0</v>
      </c>
      <c r="K26" s="35" t="n">
        <f aca="false">INDEX(Monthly!$C$76:$BJ$76,($R$2-1)*12+4)</f>
        <v>0</v>
      </c>
      <c r="L26" s="35" t="n">
        <f aca="false">INDEX(Monthly!$C$76:$BJ$76,($R$2-1)*12+5)</f>
        <v>0</v>
      </c>
      <c r="M26" s="35" t="n">
        <f aca="false">INDEX(Monthly!$C$76:$BJ$76,($R$2-1)*12+6)</f>
        <v>0</v>
      </c>
      <c r="N26" s="35" t="n">
        <f aca="false">INDEX(Monthly!$C$76:$BJ$76,($R$2-1)*12+7)</f>
        <v>0</v>
      </c>
      <c r="O26" s="35" t="n">
        <f aca="false">INDEX(Monthly!$C$76:$BJ$76,($R$2-1)*12+8)</f>
        <v>0</v>
      </c>
      <c r="P26" s="35" t="n">
        <f aca="false">INDEX(Monthly!$C$76:$BJ$76,($R$2-1)*12+9)</f>
        <v>0</v>
      </c>
      <c r="Q26" s="35" t="n">
        <f aca="false">INDEX(Monthly!$C$76:$BJ$76,($R$2-1)*12+10)</f>
        <v>0</v>
      </c>
      <c r="R26" s="35" t="n">
        <f aca="false">INDEX(Monthly!$C$76:$BJ$76,($R$2-1)*12+11)</f>
        <v>0</v>
      </c>
      <c r="S26" s="35" t="n">
        <f aca="false">INDEX(Monthly!$C$76:$BJ$76,($R$2-1)*12+12)</f>
        <v>0</v>
      </c>
    </row>
    <row r="27" customFormat="false" ht="15" hidden="false" customHeight="false" outlineLevel="0" collapsed="false">
      <c r="A27" s="51" t="s">
        <v>81</v>
      </c>
      <c r="B27" s="35" t="n">
        <f aca="false">'Cash Flow'!B13</f>
        <v>250000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INDEX(Monthly!$C$61:$BJ$61,($R$2-1)*12+1)</f>
        <v>250000</v>
      </c>
      <c r="I27" s="35" t="n">
        <f aca="false">INDEX(Monthly!$C$61:$BJ$61,($R$2-1)*12+2)</f>
        <v>0</v>
      </c>
      <c r="J27" s="35" t="n">
        <f aca="false">INDEX(Monthly!$C$61:$BJ$61,($R$2-1)*12+3)</f>
        <v>0</v>
      </c>
      <c r="K27" s="35" t="n">
        <f aca="false">INDEX(Monthly!$C$61:$BJ$61,($R$2-1)*12+4)</f>
        <v>0</v>
      </c>
      <c r="L27" s="35" t="n">
        <f aca="false">INDEX(Monthly!$C$61:$BJ$61,($R$2-1)*12+5)</f>
        <v>0</v>
      </c>
      <c r="M27" s="35" t="n">
        <f aca="false">INDEX(Monthly!$C$61:$BJ$61,($R$2-1)*12+6)</f>
        <v>0</v>
      </c>
      <c r="N27" s="35" t="n">
        <f aca="false">INDEX(Monthly!$C$61:$BJ$61,($R$2-1)*12+7)</f>
        <v>0</v>
      </c>
      <c r="O27" s="35" t="n">
        <f aca="false">INDEX(Monthly!$C$61:$BJ$61,($R$2-1)*12+8)</f>
        <v>0</v>
      </c>
      <c r="P27" s="35" t="n">
        <f aca="false">INDEX(Monthly!$C$61:$BJ$61,($R$2-1)*12+9)</f>
        <v>0</v>
      </c>
      <c r="Q27" s="35" t="n">
        <f aca="false">INDEX(Monthly!$C$61:$BJ$61,($R$2-1)*12+10)</f>
        <v>0</v>
      </c>
      <c r="R27" s="35" t="n">
        <f aca="false">INDEX(Monthly!$C$61:$BJ$61,($R$2-1)*12+11)</f>
        <v>0</v>
      </c>
      <c r="S27" s="35" t="n">
        <f aca="false">INDEX(Monthly!$C$61:$BJ$61,($R$2-1)*12+12)</f>
        <v>0</v>
      </c>
    </row>
    <row r="28" customFormat="false" ht="15" hidden="false" customHeight="false" outlineLevel="0" collapsed="false">
      <c r="A28" s="51" t="s">
        <v>82</v>
      </c>
      <c r="B28" s="35" t="n">
        <f aca="false">'Cash Flow'!B14</f>
        <v>-45833.3333333333</v>
      </c>
      <c r="C28" s="35" t="n">
        <f aca="false">'Cash Flow'!C14</f>
        <v>-50000</v>
      </c>
      <c r="D28" s="35" t="n">
        <f aca="false">'Cash Flow'!D14</f>
        <v>-50000</v>
      </c>
      <c r="E28" s="35" t="n">
        <f aca="false">'Cash Flow'!E14</f>
        <v>-50000</v>
      </c>
      <c r="F28" s="35" t="n">
        <f aca="false">'Cash Flow'!F14</f>
        <v>-50000</v>
      </c>
      <c r="H28" s="35" t="n">
        <f aca="false">INDEX(Monthly!$C$62:$BJ$62,($R$2-1)*12+1)</f>
        <v>-0</v>
      </c>
      <c r="I28" s="35" t="n">
        <f aca="false">INDEX(Monthly!$C$62:$BJ$62,($R$2-1)*12+2)</f>
        <v>-4166.66666666667</v>
      </c>
      <c r="J28" s="35" t="n">
        <f aca="false">INDEX(Monthly!$C$62:$BJ$62,($R$2-1)*12+3)</f>
        <v>-4166.66666666667</v>
      </c>
      <c r="K28" s="35" t="n">
        <f aca="false">INDEX(Monthly!$C$62:$BJ$62,($R$2-1)*12+4)</f>
        <v>-4166.66666666667</v>
      </c>
      <c r="L28" s="35" t="n">
        <f aca="false">INDEX(Monthly!$C$62:$BJ$62,($R$2-1)*12+5)</f>
        <v>-4166.66666666667</v>
      </c>
      <c r="M28" s="35" t="n">
        <f aca="false">INDEX(Monthly!$C$62:$BJ$62,($R$2-1)*12+6)</f>
        <v>-4166.66666666667</v>
      </c>
      <c r="N28" s="35" t="n">
        <f aca="false">INDEX(Monthly!$C$62:$BJ$62,($R$2-1)*12+7)</f>
        <v>-4166.66666666667</v>
      </c>
      <c r="O28" s="35" t="n">
        <f aca="false">INDEX(Monthly!$C$62:$BJ$62,($R$2-1)*12+8)</f>
        <v>-4166.66666666667</v>
      </c>
      <c r="P28" s="35" t="n">
        <f aca="false">INDEX(Monthly!$C$62:$BJ$62,($R$2-1)*12+9)</f>
        <v>-4166.66666666667</v>
      </c>
      <c r="Q28" s="35" t="n">
        <f aca="false">INDEX(Monthly!$C$62:$BJ$62,($R$2-1)*12+10)</f>
        <v>-4166.66666666667</v>
      </c>
      <c r="R28" s="35" t="n">
        <f aca="false">INDEX(Monthly!$C$62:$BJ$62,($R$2-1)*12+11)</f>
        <v>-4166.66666666667</v>
      </c>
      <c r="S28" s="35" t="n">
        <f aca="false">INDEX(Monthly!$C$62:$BJ$62,($R$2-1)*12+12)</f>
        <v>-4166.66666666667</v>
      </c>
    </row>
    <row r="29" customFormat="false" ht="15" hidden="false" customHeight="false" outlineLevel="0" collapsed="false">
      <c r="A29" s="36" t="s">
        <v>51</v>
      </c>
      <c r="B29" s="37" t="n">
        <f aca="false">'Cash Flow'!B15</f>
        <v>304166.666666667</v>
      </c>
      <c r="C29" s="37" t="n">
        <f aca="false">'Cash Flow'!C15</f>
        <v>-50000</v>
      </c>
      <c r="D29" s="37" t="n">
        <f aca="false">'Cash Flow'!D15</f>
        <v>-50000</v>
      </c>
      <c r="E29" s="37" t="n">
        <f aca="false">'Cash Flow'!E15</f>
        <v>-50000</v>
      </c>
      <c r="F29" s="37" t="n">
        <f aca="false">'Cash Flow'!F15</f>
        <v>-50000</v>
      </c>
      <c r="H29" s="37" t="n">
        <f aca="false">INDEX(Monthly!$C$77:$BJ$77,($R$2-1)*12+1)</f>
        <v>350000</v>
      </c>
      <c r="I29" s="37" t="n">
        <f aca="false">INDEX(Monthly!$C$77:$BJ$77,($R$2-1)*12+2)</f>
        <v>-4166.66666666667</v>
      </c>
      <c r="J29" s="37" t="n">
        <f aca="false">INDEX(Monthly!$C$77:$BJ$77,($R$2-1)*12+3)</f>
        <v>-4166.66666666667</v>
      </c>
      <c r="K29" s="37" t="n">
        <f aca="false">INDEX(Monthly!$C$77:$BJ$77,($R$2-1)*12+4)</f>
        <v>-4166.66666666667</v>
      </c>
      <c r="L29" s="37" t="n">
        <f aca="false">INDEX(Monthly!$C$77:$BJ$77,($R$2-1)*12+5)</f>
        <v>-4166.66666666667</v>
      </c>
      <c r="M29" s="37" t="n">
        <f aca="false">INDEX(Monthly!$C$77:$BJ$77,($R$2-1)*12+6)</f>
        <v>-4166.66666666667</v>
      </c>
      <c r="N29" s="37" t="n">
        <f aca="false">INDEX(Monthly!$C$77:$BJ$77,($R$2-1)*12+7)</f>
        <v>-4166.66666666667</v>
      </c>
      <c r="O29" s="37" t="n">
        <f aca="false">INDEX(Monthly!$C$77:$BJ$77,($R$2-1)*12+8)</f>
        <v>-4166.66666666667</v>
      </c>
      <c r="P29" s="37" t="n">
        <f aca="false">INDEX(Monthly!$C$77:$BJ$77,($R$2-1)*12+9)</f>
        <v>-4166.66666666667</v>
      </c>
      <c r="Q29" s="37" t="n">
        <f aca="false">INDEX(Monthly!$C$77:$BJ$77,($R$2-1)*12+10)</f>
        <v>-4166.66666666667</v>
      </c>
      <c r="R29" s="37" t="n">
        <f aca="false">INDEX(Monthly!$C$77:$BJ$77,($R$2-1)*12+11)</f>
        <v>-4166.66666666667</v>
      </c>
      <c r="S29" s="37" t="n">
        <f aca="false">INDEX(Monthly!$C$77:$BJ$77,($R$2-1)*12+12)</f>
        <v>-4166.66666666667</v>
      </c>
    </row>
    <row r="30" customFormat="false" ht="15" hidden="false" customHeight="false" outlineLevel="0" collapsed="false">
      <c r="A30" s="36" t="s">
        <v>52</v>
      </c>
      <c r="B30" s="37" t="n">
        <f aca="false">'Cash Flow'!B16</f>
        <v>478877.468433333</v>
      </c>
      <c r="C30" s="37" t="n">
        <f aca="false">'Cash Flow'!C16</f>
        <v>188406.622093983</v>
      </c>
      <c r="D30" s="37" t="n">
        <f aca="false">'Cash Flow'!D16</f>
        <v>281536.067546618</v>
      </c>
      <c r="E30" s="37" t="n">
        <f aca="false">'Cash Flow'!E16</f>
        <v>394674.076807869</v>
      </c>
      <c r="F30" s="37" t="n">
        <f aca="false">'Cash Flow'!F16</f>
        <v>532041.241947045</v>
      </c>
      <c r="H30" s="37" t="n">
        <f aca="false">INDEX(Monthly!$C$78:$BJ$78,($R$2-1)*12+1)</f>
        <v>339238.115344444</v>
      </c>
      <c r="I30" s="37" t="n">
        <f aca="false">INDEX(Monthly!$C$78:$BJ$78,($R$2-1)*12+2)</f>
        <v>6935.89312222222</v>
      </c>
      <c r="J30" s="37" t="n">
        <f aca="false">INDEX(Monthly!$C$78:$BJ$78,($R$2-1)*12+3)</f>
        <v>6957.83756666666</v>
      </c>
      <c r="K30" s="37" t="n">
        <f aca="false">INDEX(Monthly!$C$78:$BJ$78,($R$2-1)*12+4)</f>
        <v>6979.78201111111</v>
      </c>
      <c r="L30" s="37" t="n">
        <f aca="false">INDEX(Monthly!$C$78:$BJ$78,($R$2-1)*12+5)</f>
        <v>7001.72645555555</v>
      </c>
      <c r="M30" s="37" t="n">
        <f aca="false">INDEX(Monthly!$C$78:$BJ$78,($R$2-1)*12+6)</f>
        <v>20181.3378888889</v>
      </c>
      <c r="N30" s="37" t="n">
        <f aca="false">INDEX(Monthly!$C$78:$BJ$78,($R$2-1)*12+7)</f>
        <v>27758.1434444445</v>
      </c>
      <c r="O30" s="37" t="n">
        <f aca="false">INDEX(Monthly!$C$78:$BJ$78,($R$2-1)*12+8)</f>
        <v>27780.0878888889</v>
      </c>
      <c r="P30" s="37" t="n">
        <f aca="false">INDEX(Monthly!$C$78:$BJ$78,($R$2-1)*12+9)</f>
        <v>14644.3653444444</v>
      </c>
      <c r="Q30" s="37" t="n">
        <f aca="false">INDEX(Monthly!$C$78:$BJ$78,($R$2-1)*12+10)</f>
        <v>7111.44867777777</v>
      </c>
      <c r="R30" s="37" t="n">
        <f aca="false">INDEX(Monthly!$C$78:$BJ$78,($R$2-1)*12+11)</f>
        <v>7133.39312222222</v>
      </c>
      <c r="S30" s="37" t="n">
        <f aca="false">INDEX(Monthly!$C$78:$BJ$78,($R$2-1)*12+12)</f>
        <v>7155.33756666666</v>
      </c>
    </row>
    <row r="31" customFormat="false" ht="15" hidden="false" customHeight="false" outlineLevel="0" collapsed="false">
      <c r="A31" s="40" t="s">
        <v>83</v>
      </c>
      <c r="B31" s="41" t="n">
        <f aca="false">'Cash Flow'!B18</f>
        <v>478877.468433333</v>
      </c>
      <c r="C31" s="41" t="n">
        <f aca="false">'Cash Flow'!C18</f>
        <v>667284.090527316</v>
      </c>
      <c r="D31" s="41" t="n">
        <f aca="false">'Cash Flow'!D18</f>
        <v>948820.158073935</v>
      </c>
      <c r="E31" s="41" t="n">
        <f aca="false">'Cash Flow'!E18</f>
        <v>1343494.2348818</v>
      </c>
      <c r="F31" s="41" t="n">
        <f aca="false">'Cash Flow'!F18</f>
        <v>1875535.47682885</v>
      </c>
      <c r="H31" s="41" t="n">
        <f aca="false">INDEX(Monthly!$C$80:$BJ$80,($R$2-1)*12+1)</f>
        <v>339238.115344444</v>
      </c>
      <c r="I31" s="41" t="n">
        <f aca="false">INDEX(Monthly!$C$80:$BJ$80,($R$2-1)*12+2)</f>
        <v>346174.008466667</v>
      </c>
      <c r="J31" s="41" t="n">
        <f aca="false">INDEX(Monthly!$C$80:$BJ$80,($R$2-1)*12+3)</f>
        <v>353131.846033333</v>
      </c>
      <c r="K31" s="41" t="n">
        <f aca="false">INDEX(Monthly!$C$80:$BJ$80,($R$2-1)*12+4)</f>
        <v>360111.628044444</v>
      </c>
      <c r="L31" s="41" t="n">
        <f aca="false">INDEX(Monthly!$C$80:$BJ$80,($R$2-1)*12+5)</f>
        <v>367113.3545</v>
      </c>
      <c r="M31" s="41" t="n">
        <f aca="false">INDEX(Monthly!$C$80:$BJ$80,($R$2-1)*12+6)</f>
        <v>387294.692388889</v>
      </c>
      <c r="N31" s="41" t="n">
        <f aca="false">INDEX(Monthly!$C$80:$BJ$80,($R$2-1)*12+7)</f>
        <v>415052.835833333</v>
      </c>
      <c r="O31" s="41" t="n">
        <f aca="false">INDEX(Monthly!$C$80:$BJ$80,($R$2-1)*12+8)</f>
        <v>442832.923722222</v>
      </c>
      <c r="P31" s="41" t="n">
        <f aca="false">INDEX(Monthly!$C$80:$BJ$80,($R$2-1)*12+9)</f>
        <v>457477.289066667</v>
      </c>
      <c r="Q31" s="41" t="n">
        <f aca="false">INDEX(Monthly!$C$80:$BJ$80,($R$2-1)*12+10)</f>
        <v>464588.737744444</v>
      </c>
      <c r="R31" s="41" t="n">
        <f aca="false">INDEX(Monthly!$C$80:$BJ$80,($R$2-1)*12+11)</f>
        <v>471722.130866667</v>
      </c>
      <c r="S31" s="41" t="n">
        <f aca="false">INDEX(Monthly!$C$80:$BJ$80,($R$2-1)*12+12)</f>
        <v>478877.468433333</v>
      </c>
    </row>
    <row r="39" customFormat="false" ht="15.75" hidden="false" customHeight="true" outlineLevel="0" collapsed="false">
      <c r="A39" s="7" t="s">
        <v>84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85</v>
      </c>
      <c r="B41" s="35" t="n">
        <f aca="false">'Balance Sheet'!B5</f>
        <v>478877.468433333</v>
      </c>
      <c r="C41" s="35" t="n">
        <f aca="false">'Balance Sheet'!C5</f>
        <v>667284.090527316</v>
      </c>
      <c r="D41" s="35" t="n">
        <f aca="false">'Balance Sheet'!D5</f>
        <v>948820.158073935</v>
      </c>
      <c r="E41" s="35" t="n">
        <f aca="false">'Balance Sheet'!E5</f>
        <v>1343494.2348818</v>
      </c>
      <c r="F41" s="35" t="n">
        <f aca="false">'Balance Sheet'!F5</f>
        <v>1875535.47682885</v>
      </c>
      <c r="H41" s="35" t="n">
        <f aca="false">INDEX(Monthly!$C$80:$BJ$80,($R$2-1)*12+1)</f>
        <v>339238.115344444</v>
      </c>
      <c r="I41" s="35" t="n">
        <f aca="false">INDEX(Monthly!$C$80:$BJ$80,($R$2-1)*12+2)</f>
        <v>346174.008466667</v>
      </c>
      <c r="J41" s="35" t="n">
        <f aca="false">INDEX(Monthly!$C$80:$BJ$80,($R$2-1)*12+3)</f>
        <v>353131.846033333</v>
      </c>
      <c r="K41" s="35" t="n">
        <f aca="false">INDEX(Monthly!$C$80:$BJ$80,($R$2-1)*12+4)</f>
        <v>360111.628044444</v>
      </c>
      <c r="L41" s="35" t="n">
        <f aca="false">INDEX(Monthly!$C$80:$BJ$80,($R$2-1)*12+5)</f>
        <v>367113.3545</v>
      </c>
      <c r="M41" s="35" t="n">
        <f aca="false">INDEX(Monthly!$C$80:$BJ$80,($R$2-1)*12+6)</f>
        <v>387294.692388889</v>
      </c>
      <c r="N41" s="35" t="n">
        <f aca="false">INDEX(Monthly!$C$80:$BJ$80,($R$2-1)*12+7)</f>
        <v>415052.835833333</v>
      </c>
      <c r="O41" s="35" t="n">
        <f aca="false">INDEX(Monthly!$C$80:$BJ$80,($R$2-1)*12+8)</f>
        <v>442832.923722222</v>
      </c>
      <c r="P41" s="35" t="n">
        <f aca="false">INDEX(Monthly!$C$80:$BJ$80,($R$2-1)*12+9)</f>
        <v>457477.289066667</v>
      </c>
      <c r="Q41" s="35" t="n">
        <f aca="false">INDEX(Monthly!$C$80:$BJ$80,($R$2-1)*12+10)</f>
        <v>464588.737744444</v>
      </c>
      <c r="R41" s="35" t="n">
        <f aca="false">INDEX(Monthly!$C$80:$BJ$80,($R$2-1)*12+11)</f>
        <v>471722.130866667</v>
      </c>
      <c r="S41" s="35" t="n">
        <f aca="false">INDEX(Monthly!$C$80:$BJ$80,($R$2-1)*12+12)</f>
        <v>478877.468433333</v>
      </c>
    </row>
    <row r="42" customFormat="false" ht="15" hidden="false" customHeight="false" outlineLevel="0" collapsed="false">
      <c r="A42" s="51" t="s">
        <v>86</v>
      </c>
      <c r="B42" s="35" t="n">
        <f aca="false">'Balance Sheet'!B6</f>
        <v>44478.8888888889</v>
      </c>
      <c r="C42" s="35" t="n">
        <f aca="false">'Balance Sheet'!C6</f>
        <v>52822.5772222222</v>
      </c>
      <c r="D42" s="35" t="n">
        <f aca="false">'Balance Sheet'!D6</f>
        <v>62738.0867197222</v>
      </c>
      <c r="E42" s="35" t="n">
        <f aca="false">'Balance Sheet'!E6</f>
        <v>74523.067303511</v>
      </c>
      <c r="F42" s="35" t="n">
        <f aca="false">'Balance Sheet'!F6</f>
        <v>88531.8904508327</v>
      </c>
      <c r="H42" s="35" t="n">
        <f aca="false">INDEX(Monthly!$C$66:$BJ$66,($R$2-1)*12+1)</f>
        <v>44478.8888888889</v>
      </c>
      <c r="I42" s="35" t="n">
        <f aca="false">INDEX(Monthly!$C$66:$BJ$66,($R$2-1)*12+2)</f>
        <v>44478.8888888889</v>
      </c>
      <c r="J42" s="35" t="n">
        <f aca="false">INDEX(Monthly!$C$66:$BJ$66,($R$2-1)*12+3)</f>
        <v>44478.8888888889</v>
      </c>
      <c r="K42" s="35" t="n">
        <f aca="false">INDEX(Monthly!$C$66:$BJ$66,($R$2-1)*12+4)</f>
        <v>44478.8888888889</v>
      </c>
      <c r="L42" s="35" t="n">
        <f aca="false">INDEX(Monthly!$C$66:$BJ$66,($R$2-1)*12+5)</f>
        <v>44478.8888888889</v>
      </c>
      <c r="M42" s="35" t="n">
        <f aca="false">INDEX(Monthly!$C$66:$BJ$66,($R$2-1)*12+6)</f>
        <v>56566.6666666667</v>
      </c>
      <c r="N42" s="35" t="n">
        <f aca="false">INDEX(Monthly!$C$66:$BJ$66,($R$2-1)*12+7)</f>
        <v>56566.6666666667</v>
      </c>
      <c r="O42" s="35" t="n">
        <f aca="false">INDEX(Monthly!$C$66:$BJ$66,($R$2-1)*12+8)</f>
        <v>56566.6666666667</v>
      </c>
      <c r="P42" s="35" t="n">
        <f aca="false">INDEX(Monthly!$C$66:$BJ$66,($R$2-1)*12+9)</f>
        <v>44478.8888888889</v>
      </c>
      <c r="Q42" s="35" t="n">
        <f aca="false">INDEX(Monthly!$C$66:$BJ$66,($R$2-1)*12+10)</f>
        <v>44478.8888888889</v>
      </c>
      <c r="R42" s="35" t="n">
        <f aca="false">INDEX(Monthly!$C$66:$BJ$66,($R$2-1)*12+11)</f>
        <v>44478.8888888889</v>
      </c>
      <c r="S42" s="35" t="n">
        <f aca="false">INDEX(Monthly!$C$66:$BJ$66,($R$2-1)*12+12)</f>
        <v>44478.8888888889</v>
      </c>
    </row>
    <row r="43" customFormat="false" ht="15" hidden="false" customHeight="false" outlineLevel="0" collapsed="false">
      <c r="A43" s="51" t="s">
        <v>87</v>
      </c>
      <c r="B43" s="35" t="n">
        <f aca="false">'Balance Sheet'!B7</f>
        <v>14208.4722222222</v>
      </c>
      <c r="C43" s="35" t="n">
        <f aca="false">'Balance Sheet'!C7</f>
        <v>16545.3799305556</v>
      </c>
      <c r="D43" s="35" t="n">
        <f aca="false">'Balance Sheet'!D7</f>
        <v>19275.2895724097</v>
      </c>
      <c r="E43" s="35" t="n">
        <f aca="false">'Balance Sheet'!E7</f>
        <v>22465.7775647668</v>
      </c>
      <c r="F43" s="35" t="n">
        <f aca="false">'Balance Sheet'!F7</f>
        <v>26196.3039366017</v>
      </c>
      <c r="H43" s="35" t="n">
        <f aca="false">INDEX(Monthly!$C$67:$BJ$67,($R$2-1)*12+1)</f>
        <v>14208.4722222222</v>
      </c>
      <c r="I43" s="35" t="n">
        <f aca="false">INDEX(Monthly!$C$67:$BJ$67,($R$2-1)*12+2)</f>
        <v>14208.4722222222</v>
      </c>
      <c r="J43" s="35" t="n">
        <f aca="false">INDEX(Monthly!$C$67:$BJ$67,($R$2-1)*12+3)</f>
        <v>14208.4722222222</v>
      </c>
      <c r="K43" s="35" t="n">
        <f aca="false">INDEX(Monthly!$C$67:$BJ$67,($R$2-1)*12+4)</f>
        <v>14208.4722222222</v>
      </c>
      <c r="L43" s="35" t="n">
        <f aca="false">INDEX(Monthly!$C$67:$BJ$67,($R$2-1)*12+5)</f>
        <v>14208.4722222222</v>
      </c>
      <c r="M43" s="35" t="n">
        <f aca="false">INDEX(Monthly!$C$67:$BJ$67,($R$2-1)*12+6)</f>
        <v>15719.4444444444</v>
      </c>
      <c r="N43" s="35" t="n">
        <f aca="false">INDEX(Monthly!$C$67:$BJ$67,($R$2-1)*12+7)</f>
        <v>15719.4444444444</v>
      </c>
      <c r="O43" s="35" t="n">
        <f aca="false">INDEX(Monthly!$C$67:$BJ$67,($R$2-1)*12+8)</f>
        <v>15719.4444444444</v>
      </c>
      <c r="P43" s="35" t="n">
        <f aca="false">INDEX(Monthly!$C$67:$BJ$67,($R$2-1)*12+9)</f>
        <v>14208.4722222222</v>
      </c>
      <c r="Q43" s="35" t="n">
        <f aca="false">INDEX(Monthly!$C$67:$BJ$67,($R$2-1)*12+10)</f>
        <v>14208.4722222222</v>
      </c>
      <c r="R43" s="35" t="n">
        <f aca="false">INDEX(Monthly!$C$67:$BJ$67,($R$2-1)*12+11)</f>
        <v>14208.4722222222</v>
      </c>
      <c r="S43" s="35" t="n">
        <f aca="false">INDEX(Monthly!$C$67:$BJ$67,($R$2-1)*12+12)</f>
        <v>14208.4722222222</v>
      </c>
    </row>
    <row r="44" customFormat="false" ht="15" hidden="false" customHeight="false" outlineLevel="0" collapsed="false">
      <c r="A44" s="51" t="s">
        <v>88</v>
      </c>
      <c r="B44" s="35" t="n">
        <f aca="false">'Balance Sheet'!B8</f>
        <v>16000</v>
      </c>
      <c r="C44" s="35" t="n">
        <f aca="false">'Balance Sheet'!C8</f>
        <v>42240</v>
      </c>
      <c r="D44" s="35" t="n">
        <f aca="false">'Balance Sheet'!D8</f>
        <v>64548.8</v>
      </c>
      <c r="E44" s="35" t="n">
        <f aca="false">'Balance Sheet'!E8</f>
        <v>82454.6560000001</v>
      </c>
      <c r="F44" s="35" t="n">
        <f aca="false">'Balance Sheet'!F8</f>
        <v>95429.2147200001</v>
      </c>
      <c r="H44" s="35" t="n">
        <f aca="false">INDEX(Monthly!$C$57:$BJ$57,($R$2-1)*12+1)</f>
        <v>19666.6666666667</v>
      </c>
      <c r="I44" s="35" t="n">
        <f aca="false">INDEX(Monthly!$C$57:$BJ$57,($R$2-1)*12+2)</f>
        <v>19333.3333333333</v>
      </c>
      <c r="J44" s="35" t="n">
        <f aca="false">INDEX(Monthly!$C$57:$BJ$57,($R$2-1)*12+3)</f>
        <v>19000</v>
      </c>
      <c r="K44" s="35" t="n">
        <f aca="false">INDEX(Monthly!$C$57:$BJ$57,($R$2-1)*12+4)</f>
        <v>18666.6666666667</v>
      </c>
      <c r="L44" s="35" t="n">
        <f aca="false">INDEX(Monthly!$C$57:$BJ$57,($R$2-1)*12+5)</f>
        <v>18333.3333333333</v>
      </c>
      <c r="M44" s="35" t="n">
        <f aca="false">INDEX(Monthly!$C$57:$BJ$57,($R$2-1)*12+6)</f>
        <v>18000</v>
      </c>
      <c r="N44" s="35" t="n">
        <f aca="false">INDEX(Monthly!$C$57:$BJ$57,($R$2-1)*12+7)</f>
        <v>17666.6666666667</v>
      </c>
      <c r="O44" s="35" t="n">
        <f aca="false">INDEX(Monthly!$C$57:$BJ$57,($R$2-1)*12+8)</f>
        <v>17333.3333333333</v>
      </c>
      <c r="P44" s="35" t="n">
        <f aca="false">INDEX(Monthly!$C$57:$BJ$57,($R$2-1)*12+9)</f>
        <v>17000</v>
      </c>
      <c r="Q44" s="35" t="n">
        <f aca="false">INDEX(Monthly!$C$57:$BJ$57,($R$2-1)*12+10)</f>
        <v>16666.6666666667</v>
      </c>
      <c r="R44" s="35" t="n">
        <f aca="false">INDEX(Monthly!$C$57:$BJ$57,($R$2-1)*12+11)</f>
        <v>16333.3333333333</v>
      </c>
      <c r="S44" s="35" t="n">
        <f aca="false">INDEX(Monthly!$C$57:$BJ$57,($R$2-1)*12+12)</f>
        <v>16000</v>
      </c>
    </row>
    <row r="45" customFormat="false" ht="15" hidden="false" customHeight="false" outlineLevel="0" collapsed="false">
      <c r="A45" s="36" t="s">
        <v>89</v>
      </c>
      <c r="B45" s="37" t="n">
        <f aca="false">'Balance Sheet'!B9</f>
        <v>553564.829544445</v>
      </c>
      <c r="C45" s="37" t="n">
        <f aca="false">'Balance Sheet'!C9</f>
        <v>778892.047680094</v>
      </c>
      <c r="D45" s="37" t="n">
        <f aca="false">'Balance Sheet'!D9</f>
        <v>1095382.33436607</v>
      </c>
      <c r="E45" s="37" t="n">
        <f aca="false">'Balance Sheet'!E9</f>
        <v>1522937.73575008</v>
      </c>
      <c r="F45" s="37" t="n">
        <f aca="false">'Balance Sheet'!F9</f>
        <v>2085692.88593628</v>
      </c>
      <c r="H45" s="37" t="n">
        <f aca="false">INDEX(Monthly!$C$94:$BJ$94,($R$2-1)*12+1)</f>
        <v>417592.143122222</v>
      </c>
      <c r="I45" s="37" t="n">
        <f aca="false">INDEX(Monthly!$C$94:$BJ$94,($R$2-1)*12+2)</f>
        <v>424194.702911111</v>
      </c>
      <c r="J45" s="37" t="n">
        <f aca="false">INDEX(Monthly!$C$94:$BJ$94,($R$2-1)*12+3)</f>
        <v>430819.207144444</v>
      </c>
      <c r="K45" s="37" t="n">
        <f aca="false">INDEX(Monthly!$C$94:$BJ$94,($R$2-1)*12+4)</f>
        <v>437465.655822222</v>
      </c>
      <c r="L45" s="37" t="n">
        <f aca="false">INDEX(Monthly!$C$94:$BJ$94,($R$2-1)*12+5)</f>
        <v>444134.048944444</v>
      </c>
      <c r="M45" s="37" t="n">
        <f aca="false">INDEX(Monthly!$C$94:$BJ$94,($R$2-1)*12+6)</f>
        <v>477580.8035</v>
      </c>
      <c r="N45" s="37" t="n">
        <f aca="false">INDEX(Monthly!$C$94:$BJ$94,($R$2-1)*12+7)</f>
        <v>505005.613611111</v>
      </c>
      <c r="O45" s="37" t="n">
        <f aca="false">INDEX(Monthly!$C$94:$BJ$94,($R$2-1)*12+8)</f>
        <v>532452.368166667</v>
      </c>
      <c r="P45" s="37" t="n">
        <f aca="false">INDEX(Monthly!$C$94:$BJ$94,($R$2-1)*12+9)</f>
        <v>533164.650177778</v>
      </c>
      <c r="Q45" s="37" t="n">
        <f aca="false">INDEX(Monthly!$C$94:$BJ$94,($R$2-1)*12+10)</f>
        <v>539942.765522222</v>
      </c>
      <c r="R45" s="37" t="n">
        <f aca="false">INDEX(Monthly!$C$94:$BJ$94,($R$2-1)*12+11)</f>
        <v>546742.825311111</v>
      </c>
      <c r="S45" s="37" t="n">
        <f aca="false">INDEX(Monthly!$C$94:$BJ$94,($R$2-1)*12+12)</f>
        <v>553564.829544445</v>
      </c>
    </row>
    <row r="46" customFormat="false" ht="15" hidden="false" customHeight="false" outlineLevel="0" collapsed="false">
      <c r="A46" s="51" t="s">
        <v>90</v>
      </c>
      <c r="B46" s="35" t="n">
        <f aca="false">'Balance Sheet'!B10</f>
        <v>56833.8888888889</v>
      </c>
      <c r="C46" s="35" t="n">
        <f aca="false">'Balance Sheet'!C10</f>
        <v>66181.5197222222</v>
      </c>
      <c r="D46" s="35" t="n">
        <f aca="false">'Balance Sheet'!D10</f>
        <v>77101.1582896389</v>
      </c>
      <c r="E46" s="35" t="n">
        <f aca="false">'Balance Sheet'!E10</f>
        <v>89863.1102590671</v>
      </c>
      <c r="F46" s="35" t="n">
        <f aca="false">'Balance Sheet'!F10</f>
        <v>104785.215746407</v>
      </c>
      <c r="H46" s="35" t="n">
        <f aca="false">INDEX(Monthly!$C$68:$BJ$68,($R$2-1)*12+1)</f>
        <v>56833.8888888889</v>
      </c>
      <c r="I46" s="35" t="n">
        <f aca="false">INDEX(Monthly!$C$68:$BJ$68,($R$2-1)*12+2)</f>
        <v>56833.8888888889</v>
      </c>
      <c r="J46" s="35" t="n">
        <f aca="false">INDEX(Monthly!$C$68:$BJ$68,($R$2-1)*12+3)</f>
        <v>56833.8888888889</v>
      </c>
      <c r="K46" s="35" t="n">
        <f aca="false">INDEX(Monthly!$C$68:$BJ$68,($R$2-1)*12+4)</f>
        <v>56833.8888888889</v>
      </c>
      <c r="L46" s="35" t="n">
        <f aca="false">INDEX(Monthly!$C$68:$BJ$68,($R$2-1)*12+5)</f>
        <v>56833.8888888889</v>
      </c>
      <c r="M46" s="35" t="n">
        <f aca="false">INDEX(Monthly!$C$68:$BJ$68,($R$2-1)*12+6)</f>
        <v>62877.7777777778</v>
      </c>
      <c r="N46" s="35" t="n">
        <f aca="false">INDEX(Monthly!$C$68:$BJ$68,($R$2-1)*12+7)</f>
        <v>62877.7777777778</v>
      </c>
      <c r="O46" s="35" t="n">
        <f aca="false">INDEX(Monthly!$C$68:$BJ$68,($R$2-1)*12+8)</f>
        <v>62877.7777777778</v>
      </c>
      <c r="P46" s="35" t="n">
        <f aca="false">INDEX(Monthly!$C$68:$BJ$68,($R$2-1)*12+9)</f>
        <v>56833.8888888889</v>
      </c>
      <c r="Q46" s="35" t="n">
        <f aca="false">INDEX(Monthly!$C$68:$BJ$68,($R$2-1)*12+10)</f>
        <v>56833.8888888889</v>
      </c>
      <c r="R46" s="35" t="n">
        <f aca="false">INDEX(Monthly!$C$68:$BJ$68,($R$2-1)*12+11)</f>
        <v>56833.8888888889</v>
      </c>
      <c r="S46" s="35" t="n">
        <f aca="false">INDEX(Monthly!$C$68:$BJ$68,($R$2-1)*12+12)</f>
        <v>56833.8888888889</v>
      </c>
    </row>
    <row r="47" customFormat="false" ht="15" hidden="false" customHeight="false" outlineLevel="0" collapsed="false">
      <c r="A47" s="51" t="s">
        <v>91</v>
      </c>
      <c r="B47" s="35" t="n">
        <f aca="false">'Balance Sheet'!B11</f>
        <v>204166.666666667</v>
      </c>
      <c r="C47" s="35" t="n">
        <f aca="false">'Balance Sheet'!C11</f>
        <v>154166.666666667</v>
      </c>
      <c r="D47" s="35" t="n">
        <f aca="false">'Balance Sheet'!D11</f>
        <v>104166.666666667</v>
      </c>
      <c r="E47" s="35" t="n">
        <f aca="false">'Balance Sheet'!E11</f>
        <v>54166.6666666669</v>
      </c>
      <c r="F47" s="35" t="n">
        <f aca="false">'Balance Sheet'!F11</f>
        <v>4166.66666666687</v>
      </c>
      <c r="H47" s="35" t="n">
        <f aca="false">INDEX(Monthly!$C$63:$BJ$63,($R$2-1)*12+1)</f>
        <v>250000</v>
      </c>
      <c r="I47" s="35" t="n">
        <f aca="false">INDEX(Monthly!$C$63:$BJ$63,($R$2-1)*12+2)</f>
        <v>245833.333333333</v>
      </c>
      <c r="J47" s="35" t="n">
        <f aca="false">INDEX(Monthly!$C$63:$BJ$63,($R$2-1)*12+3)</f>
        <v>241666.666666667</v>
      </c>
      <c r="K47" s="35" t="n">
        <f aca="false">INDEX(Monthly!$C$63:$BJ$63,($R$2-1)*12+4)</f>
        <v>237500</v>
      </c>
      <c r="L47" s="35" t="n">
        <f aca="false">INDEX(Monthly!$C$63:$BJ$63,($R$2-1)*12+5)</f>
        <v>233333.333333333</v>
      </c>
      <c r="M47" s="35" t="n">
        <f aca="false">INDEX(Monthly!$C$63:$BJ$63,($R$2-1)*12+6)</f>
        <v>229166.666666667</v>
      </c>
      <c r="N47" s="35" t="n">
        <f aca="false">INDEX(Monthly!$C$63:$BJ$63,($R$2-1)*12+7)</f>
        <v>225000</v>
      </c>
      <c r="O47" s="35" t="n">
        <f aca="false">INDEX(Monthly!$C$63:$BJ$63,($R$2-1)*12+8)</f>
        <v>220833.333333333</v>
      </c>
      <c r="P47" s="35" t="n">
        <f aca="false">INDEX(Monthly!$C$63:$BJ$63,($R$2-1)*12+9)</f>
        <v>216666.666666667</v>
      </c>
      <c r="Q47" s="35" t="n">
        <f aca="false">INDEX(Monthly!$C$63:$BJ$63,($R$2-1)*12+10)</f>
        <v>212500</v>
      </c>
      <c r="R47" s="35" t="n">
        <f aca="false">INDEX(Monthly!$C$63:$BJ$63,($R$2-1)*12+11)</f>
        <v>208333.333333333</v>
      </c>
      <c r="S47" s="35" t="n">
        <f aca="false">INDEX(Monthly!$C$63:$BJ$63,($R$2-1)*12+12)</f>
        <v>204166.666666667</v>
      </c>
    </row>
    <row r="48" customFormat="false" ht="15" hidden="false" customHeight="false" outlineLevel="0" collapsed="false">
      <c r="A48" s="36" t="s">
        <v>92</v>
      </c>
      <c r="B48" s="37" t="n">
        <f aca="false">'Balance Sheet'!B12</f>
        <v>261000.555555556</v>
      </c>
      <c r="C48" s="37" t="n">
        <f aca="false">'Balance Sheet'!C12</f>
        <v>220348.186388889</v>
      </c>
      <c r="D48" s="37" t="n">
        <f aca="false">'Balance Sheet'!D12</f>
        <v>181267.824956306</v>
      </c>
      <c r="E48" s="37" t="n">
        <f aca="false">'Balance Sheet'!E12</f>
        <v>144029.776925734</v>
      </c>
      <c r="F48" s="37" t="n">
        <f aca="false">'Balance Sheet'!F12</f>
        <v>108951.882413074</v>
      </c>
      <c r="H48" s="37" t="n">
        <f aca="false">INDEX(Monthly!$C$95:$BJ$95,($R$2-1)*12+1)</f>
        <v>306833.888888889</v>
      </c>
      <c r="I48" s="37" t="n">
        <f aca="false">INDEX(Monthly!$C$95:$BJ$95,($R$2-1)*12+2)</f>
        <v>302667.222222222</v>
      </c>
      <c r="J48" s="37" t="n">
        <f aca="false">INDEX(Monthly!$C$95:$BJ$95,($R$2-1)*12+3)</f>
        <v>298500.555555556</v>
      </c>
      <c r="K48" s="37" t="n">
        <f aca="false">INDEX(Monthly!$C$95:$BJ$95,($R$2-1)*12+4)</f>
        <v>294333.888888889</v>
      </c>
      <c r="L48" s="37" t="n">
        <f aca="false">INDEX(Monthly!$C$95:$BJ$95,($R$2-1)*12+5)</f>
        <v>290167.222222222</v>
      </c>
      <c r="M48" s="37" t="n">
        <f aca="false">INDEX(Monthly!$C$95:$BJ$95,($R$2-1)*12+6)</f>
        <v>292044.444444445</v>
      </c>
      <c r="N48" s="37" t="n">
        <f aca="false">INDEX(Monthly!$C$95:$BJ$95,($R$2-1)*12+7)</f>
        <v>287877.777777778</v>
      </c>
      <c r="O48" s="37" t="n">
        <f aca="false">INDEX(Monthly!$C$95:$BJ$95,($R$2-1)*12+8)</f>
        <v>283711.111111111</v>
      </c>
      <c r="P48" s="37" t="n">
        <f aca="false">INDEX(Monthly!$C$95:$BJ$95,($R$2-1)*12+9)</f>
        <v>273500.555555556</v>
      </c>
      <c r="Q48" s="37" t="n">
        <f aca="false">INDEX(Monthly!$C$95:$BJ$95,($R$2-1)*12+10)</f>
        <v>269333.888888889</v>
      </c>
      <c r="R48" s="37" t="n">
        <f aca="false">INDEX(Monthly!$C$95:$BJ$95,($R$2-1)*12+11)</f>
        <v>265167.222222222</v>
      </c>
      <c r="S48" s="37" t="n">
        <f aca="false">INDEX(Monthly!$C$95:$BJ$95,($R$2-1)*12+12)</f>
        <v>261000.555555556</v>
      </c>
    </row>
    <row r="49" customFormat="false" ht="15" hidden="false" customHeight="false" outlineLevel="0" collapsed="false">
      <c r="A49" s="51" t="s">
        <v>93</v>
      </c>
      <c r="B49" s="35" t="n">
        <f aca="false">'Balance Sheet'!B13</f>
        <v>100000</v>
      </c>
      <c r="C49" s="35" t="n">
        <f aca="false">'Balance Sheet'!C13</f>
        <v>100000</v>
      </c>
      <c r="D49" s="35" t="n">
        <f aca="false">'Balance Sheet'!D13</f>
        <v>100000</v>
      </c>
      <c r="E49" s="35" t="n">
        <f aca="false">'Balance Sheet'!E13</f>
        <v>100000</v>
      </c>
      <c r="F49" s="35" t="n">
        <f aca="false">'Balance Sheet'!F13</f>
        <v>100000</v>
      </c>
      <c r="H49" s="35" t="n">
        <f aca="false">INDEX(Monthly!$C$92:$BJ$92,($R$2-1)*12+1)</f>
        <v>100000</v>
      </c>
      <c r="I49" s="35" t="n">
        <f aca="false">INDEX(Monthly!$C$92:$BJ$92,($R$2-1)*12+2)</f>
        <v>100000</v>
      </c>
      <c r="J49" s="35" t="n">
        <f aca="false">INDEX(Monthly!$C$92:$BJ$92,($R$2-1)*12+3)</f>
        <v>100000</v>
      </c>
      <c r="K49" s="35" t="n">
        <f aca="false">INDEX(Monthly!$C$92:$BJ$92,($R$2-1)*12+4)</f>
        <v>100000</v>
      </c>
      <c r="L49" s="35" t="n">
        <f aca="false">INDEX(Monthly!$C$92:$BJ$92,($R$2-1)*12+5)</f>
        <v>100000</v>
      </c>
      <c r="M49" s="35" t="n">
        <f aca="false">INDEX(Monthly!$C$92:$BJ$92,($R$2-1)*12+6)</f>
        <v>100000</v>
      </c>
      <c r="N49" s="35" t="n">
        <f aca="false">INDEX(Monthly!$C$92:$BJ$92,($R$2-1)*12+7)</f>
        <v>100000</v>
      </c>
      <c r="O49" s="35" t="n">
        <f aca="false">INDEX(Monthly!$C$92:$BJ$92,($R$2-1)*12+8)</f>
        <v>100000</v>
      </c>
      <c r="P49" s="35" t="n">
        <f aca="false">INDEX(Monthly!$C$92:$BJ$92,($R$2-1)*12+9)</f>
        <v>100000</v>
      </c>
      <c r="Q49" s="35" t="n">
        <f aca="false">INDEX(Monthly!$C$92:$BJ$92,($R$2-1)*12+10)</f>
        <v>100000</v>
      </c>
      <c r="R49" s="35" t="n">
        <f aca="false">INDEX(Monthly!$C$92:$BJ$92,($R$2-1)*12+11)</f>
        <v>100000</v>
      </c>
      <c r="S49" s="35" t="n">
        <f aca="false">INDEX(Monthly!$C$92:$BJ$92,($R$2-1)*12+12)</f>
        <v>100000</v>
      </c>
    </row>
    <row r="50" customFormat="false" ht="15" hidden="false" customHeight="false" outlineLevel="0" collapsed="false">
      <c r="A50" s="51" t="s">
        <v>94</v>
      </c>
      <c r="B50" s="35" t="n">
        <f aca="false">'Balance Sheet'!B14</f>
        <v>192564.273988889</v>
      </c>
      <c r="C50" s="35" t="n">
        <f aca="false">'Balance Sheet'!C14</f>
        <v>458543.861291206</v>
      </c>
      <c r="D50" s="35" t="n">
        <f aca="false">'Balance Sheet'!D14</f>
        <v>814114.509409761</v>
      </c>
      <c r="E50" s="35" t="n">
        <f aca="false">'Balance Sheet'!E14</f>
        <v>1278907.95882435</v>
      </c>
      <c r="F50" s="35" t="n">
        <f aca="false">'Balance Sheet'!F14</f>
        <v>1876741.00352321</v>
      </c>
      <c r="H50" s="35" t="n">
        <f aca="false">INDEX(Monthly!$C$93:$BJ$93,($R$2-1)*12+1)</f>
        <v>10758.2542333333</v>
      </c>
      <c r="I50" s="35" t="n">
        <f aca="false">INDEX(Monthly!$C$93:$BJ$93,($R$2-1)*12+2)</f>
        <v>21527.4806888889</v>
      </c>
      <c r="J50" s="35" t="n">
        <f aca="false">INDEX(Monthly!$C$93:$BJ$93,($R$2-1)*12+3)</f>
        <v>32318.6515888889</v>
      </c>
      <c r="K50" s="35" t="n">
        <f aca="false">INDEX(Monthly!$C$93:$BJ$93,($R$2-1)*12+4)</f>
        <v>43131.7669333333</v>
      </c>
      <c r="L50" s="35" t="n">
        <f aca="false">INDEX(Monthly!$C$93:$BJ$93,($R$2-1)*12+5)</f>
        <v>53966.8267222222</v>
      </c>
      <c r="M50" s="35" t="n">
        <f aca="false">INDEX(Monthly!$C$93:$BJ$93,($R$2-1)*12+6)</f>
        <v>85536.3590555555</v>
      </c>
      <c r="N50" s="35" t="n">
        <f aca="false">INDEX(Monthly!$C$93:$BJ$93,($R$2-1)*12+7)</f>
        <v>117127.835833333</v>
      </c>
      <c r="O50" s="35" t="n">
        <f aca="false">INDEX(Monthly!$C$93:$BJ$93,($R$2-1)*12+8)</f>
        <v>148741.257055556</v>
      </c>
      <c r="P50" s="35" t="n">
        <f aca="false">INDEX(Monthly!$C$93:$BJ$93,($R$2-1)*12+9)</f>
        <v>159664.094622222</v>
      </c>
      <c r="Q50" s="35" t="n">
        <f aca="false">INDEX(Monthly!$C$93:$BJ$93,($R$2-1)*12+10)</f>
        <v>170608.876633333</v>
      </c>
      <c r="R50" s="35" t="n">
        <f aca="false">INDEX(Monthly!$C$93:$BJ$93,($R$2-1)*12+11)</f>
        <v>181575.603088889</v>
      </c>
      <c r="S50" s="35" t="n">
        <f aca="false">INDEX(Monthly!$C$93:$BJ$93,($R$2-1)*12+12)</f>
        <v>192564.273988889</v>
      </c>
    </row>
    <row r="51" customFormat="false" ht="15" hidden="false" customHeight="false" outlineLevel="0" collapsed="false">
      <c r="A51" s="36" t="s">
        <v>95</v>
      </c>
      <c r="B51" s="37" t="n">
        <f aca="false">'Balance Sheet'!B15</f>
        <v>292564.273988889</v>
      </c>
      <c r="C51" s="37" t="n">
        <f aca="false">'Balance Sheet'!C15</f>
        <v>558543.861291206</v>
      </c>
      <c r="D51" s="37" t="n">
        <f aca="false">'Balance Sheet'!D15</f>
        <v>914114.509409761</v>
      </c>
      <c r="E51" s="37" t="n">
        <f aca="false">'Balance Sheet'!E15</f>
        <v>1378907.95882435</v>
      </c>
      <c r="F51" s="37" t="n">
        <f aca="false">'Balance Sheet'!F15</f>
        <v>1976741.00352321</v>
      </c>
      <c r="H51" s="37" t="n">
        <f aca="false">INDEX(Monthly!$C$96:$BJ$96,($R$2-1)*12+1)</f>
        <v>110758.254233333</v>
      </c>
      <c r="I51" s="37" t="n">
        <f aca="false">INDEX(Monthly!$C$96:$BJ$96,($R$2-1)*12+2)</f>
        <v>121527.480688889</v>
      </c>
      <c r="J51" s="37" t="n">
        <f aca="false">INDEX(Monthly!$C$96:$BJ$96,($R$2-1)*12+3)</f>
        <v>132318.651588889</v>
      </c>
      <c r="K51" s="37" t="n">
        <f aca="false">INDEX(Monthly!$C$96:$BJ$96,($R$2-1)*12+4)</f>
        <v>143131.766933333</v>
      </c>
      <c r="L51" s="37" t="n">
        <f aca="false">INDEX(Monthly!$C$96:$BJ$96,($R$2-1)*12+5)</f>
        <v>153966.826722222</v>
      </c>
      <c r="M51" s="37" t="n">
        <f aca="false">INDEX(Monthly!$C$96:$BJ$96,($R$2-1)*12+6)</f>
        <v>185536.359055556</v>
      </c>
      <c r="N51" s="37" t="n">
        <f aca="false">INDEX(Monthly!$C$96:$BJ$96,($R$2-1)*12+7)</f>
        <v>217127.835833333</v>
      </c>
      <c r="O51" s="37" t="n">
        <f aca="false">INDEX(Monthly!$C$96:$BJ$96,($R$2-1)*12+8)</f>
        <v>248741.257055556</v>
      </c>
      <c r="P51" s="37" t="n">
        <f aca="false">INDEX(Monthly!$C$96:$BJ$96,($R$2-1)*12+9)</f>
        <v>259664.094622222</v>
      </c>
      <c r="Q51" s="37" t="n">
        <f aca="false">INDEX(Monthly!$C$96:$BJ$96,($R$2-1)*12+10)</f>
        <v>270608.876633333</v>
      </c>
      <c r="R51" s="37" t="n">
        <f aca="false">INDEX(Monthly!$C$96:$BJ$96,($R$2-1)*12+11)</f>
        <v>281575.603088889</v>
      </c>
      <c r="S51" s="37" t="n">
        <f aca="false">INDEX(Monthly!$C$96:$BJ$96,($R$2-1)*12+12)</f>
        <v>292564.273988889</v>
      </c>
    </row>
    <row r="52" customFormat="false" ht="15" hidden="false" customHeight="false" outlineLevel="0" collapsed="false">
      <c r="A52" s="40" t="s">
        <v>96</v>
      </c>
      <c r="B52" s="41" t="n">
        <f aca="false">'Balance Sheet'!B16</f>
        <v>553564.829544445</v>
      </c>
      <c r="C52" s="41" t="n">
        <f aca="false">'Balance Sheet'!C16</f>
        <v>778892.047680095</v>
      </c>
      <c r="D52" s="41" t="n">
        <f aca="false">'Balance Sheet'!D16</f>
        <v>1095382.33436607</v>
      </c>
      <c r="E52" s="41" t="n">
        <f aca="false">'Balance Sheet'!E16</f>
        <v>1522937.73575008</v>
      </c>
      <c r="F52" s="41" t="n">
        <f aca="false">'Balance Sheet'!F16</f>
        <v>2085692.88593628</v>
      </c>
      <c r="H52" s="41" t="n">
        <f aca="false">INDEX(Monthly!$C$97:$BJ$97,($R$2-1)*12+1)</f>
        <v>417592.143122222</v>
      </c>
      <c r="I52" s="41" t="n">
        <f aca="false">INDEX(Monthly!$C$97:$BJ$97,($R$2-1)*12+2)</f>
        <v>424194.702911111</v>
      </c>
      <c r="J52" s="41" t="n">
        <f aca="false">INDEX(Monthly!$C$97:$BJ$97,($R$2-1)*12+3)</f>
        <v>430819.207144444</v>
      </c>
      <c r="K52" s="41" t="n">
        <f aca="false">INDEX(Monthly!$C$97:$BJ$97,($R$2-1)*12+4)</f>
        <v>437465.655822222</v>
      </c>
      <c r="L52" s="41" t="n">
        <f aca="false">INDEX(Monthly!$C$97:$BJ$97,($R$2-1)*12+5)</f>
        <v>444134.048944444</v>
      </c>
      <c r="M52" s="41" t="n">
        <f aca="false">INDEX(Monthly!$C$97:$BJ$97,($R$2-1)*12+6)</f>
        <v>477580.8035</v>
      </c>
      <c r="N52" s="41" t="n">
        <f aca="false">INDEX(Monthly!$C$97:$BJ$97,($R$2-1)*12+7)</f>
        <v>505005.613611111</v>
      </c>
      <c r="O52" s="41" t="n">
        <f aca="false">INDEX(Monthly!$C$97:$BJ$97,($R$2-1)*12+8)</f>
        <v>532452.368166667</v>
      </c>
      <c r="P52" s="41" t="n">
        <f aca="false">INDEX(Monthly!$C$97:$BJ$97,($R$2-1)*12+9)</f>
        <v>533164.650177778</v>
      </c>
      <c r="Q52" s="41" t="n">
        <f aca="false">INDEX(Monthly!$C$97:$BJ$97,($R$2-1)*12+10)</f>
        <v>539942.765522222</v>
      </c>
      <c r="R52" s="41" t="n">
        <f aca="false">INDEX(Monthly!$C$97:$BJ$97,($R$2-1)*12+11)</f>
        <v>546742.825311111</v>
      </c>
      <c r="S52" s="41" t="n">
        <f aca="false">INDEX(Monthly!$C$97:$BJ$97,($R$2-1)*12+12)</f>
        <v>553564.829544445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98</v>
      </c>
    </row>
    <row r="3" customFormat="false" ht="15" hidden="false" customHeight="false" outlineLevel="0" collapsed="false">
      <c r="A3" s="4" t="s">
        <v>99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100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101</v>
      </c>
      <c r="B6" s="52" t="n">
        <f aca="false">MATCH(MIN(Monthly!$C$80:$BJ$80),Monthly!$C$80:$BJ$80,0)</f>
        <v>1</v>
      </c>
    </row>
    <row r="7" customFormat="false" ht="15" hidden="false" customHeight="false" outlineLevel="0" collapsed="false">
      <c r="A7" s="6" t="s">
        <v>102</v>
      </c>
      <c r="B7" s="53" t="n">
        <f aca="false">SUMPRODUCT(--(Monthly!$C$4:$BJ$4&lt;=$B$6),Monthly!$C$53:$BJ$53)</f>
        <v>20000</v>
      </c>
    </row>
    <row r="8" customFormat="false" ht="15" hidden="false" customHeight="false" outlineLevel="0" collapsed="false">
      <c r="A8" s="6" t="s">
        <v>103</v>
      </c>
      <c r="B8" s="53" t="n">
        <f aca="false">-SUMPRODUCT(--(Monthly!$C$4:$BJ$4&lt;=$B$6),Monthly!$C$74:$BJ$74)</f>
        <v>-9238.11534444444</v>
      </c>
      <c r="D8" s="18" t="s">
        <v>104</v>
      </c>
    </row>
    <row r="9" customFormat="false" ht="15" hidden="false" customHeight="false" outlineLevel="0" collapsed="false">
      <c r="A9" s="6" t="s">
        <v>105</v>
      </c>
      <c r="B9" s="53" t="n">
        <f aca="false">-SUMPRODUCT(--(Monthly!$C$4:$BJ$4&lt;=$B$6),Monthly!$C$62:$BJ$62)</f>
        <v>-0</v>
      </c>
    </row>
    <row r="10" customFormat="false" ht="15" hidden="false" customHeight="false" outlineLevel="0" collapsed="false">
      <c r="A10" s="4" t="s">
        <v>106</v>
      </c>
      <c r="B10" s="54" t="n">
        <f aca="false">B7+B8+B9</f>
        <v>10761.8846555556</v>
      </c>
    </row>
    <row r="11" customFormat="false" ht="15" hidden="false" customHeight="false" outlineLevel="0" collapsed="false">
      <c r="A11" s="6" t="s">
        <v>107</v>
      </c>
      <c r="B11" s="55" t="n">
        <f aca="false">Inputs!$E$69</f>
        <v>98000</v>
      </c>
      <c r="D11" s="18" t="s">
        <v>108</v>
      </c>
    </row>
    <row r="12" customFormat="false" ht="15" hidden="false" customHeight="false" outlineLevel="0" collapsed="false">
      <c r="A12" s="4" t="s">
        <v>109</v>
      </c>
      <c r="B12" s="54" t="n">
        <f aca="false">B10+B11</f>
        <v>108761.884655556</v>
      </c>
    </row>
    <row r="14" customFormat="false" ht="15" hidden="false" customHeight="false" outlineLevel="0" collapsed="false">
      <c r="A14" s="6" t="s">
        <v>60</v>
      </c>
      <c r="B14" s="55" t="n">
        <f aca="false">Inputs!$E$54</f>
        <v>100000</v>
      </c>
    </row>
    <row r="15" customFormat="false" ht="15" hidden="false" customHeight="false" outlineLevel="0" collapsed="false">
      <c r="A15" s="6" t="s">
        <v>61</v>
      </c>
      <c r="B15" s="55" t="n">
        <f aca="false">Inputs!$E$55</f>
        <v>250000</v>
      </c>
    </row>
    <row r="16" customFormat="false" ht="15" hidden="false" customHeight="false" outlineLevel="0" collapsed="false">
      <c r="A16" s="4" t="s">
        <v>110</v>
      </c>
      <c r="B16" s="54" t="n">
        <f aca="false">B14+B15</f>
        <v>350000</v>
      </c>
    </row>
    <row r="17" customFormat="false" ht="15" hidden="false" customHeight="false" outlineLevel="0" collapsed="false">
      <c r="A17" s="56" t="s">
        <v>63</v>
      </c>
      <c r="B17" s="57" t="n">
        <f aca="false">B16-B12</f>
        <v>241238.115344444</v>
      </c>
      <c r="D17" s="18" t="s">
        <v>111</v>
      </c>
    </row>
    <row r="18" customFormat="false" ht="15" hidden="false" customHeight="false" outlineLevel="0" collapsed="false">
      <c r="A18" s="6" t="s">
        <v>112</v>
      </c>
      <c r="B18" s="53" t="n">
        <f aca="false">MIN(Monthly!$C$80:$BJ$80)</f>
        <v>339238.115344444</v>
      </c>
      <c r="D18" s="18" t="s">
        <v>113</v>
      </c>
    </row>
    <row r="20" customFormat="false" ht="15.75" hidden="false" customHeight="true" outlineLevel="0" collapsed="false">
      <c r="A20" s="7" t="s">
        <v>114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115</v>
      </c>
      <c r="B21" s="52" t="n">
        <f aca="false">IFERROR(MATCH(1,Monthly!$C$81:$BJ$81,0),"Not within horizon")</f>
        <v>1</v>
      </c>
    </row>
    <row r="22" customFormat="false" ht="15" hidden="false" customHeight="false" outlineLevel="0" collapsed="false">
      <c r="A22" s="6" t="s">
        <v>116</v>
      </c>
      <c r="B22" s="52" t="n">
        <f aca="false">IFERROR(MATCH(1,Monthly!$C$84:$BJ$84,0),"Not within horizon")</f>
        <v>1</v>
      </c>
    </row>
    <row r="23" customFormat="false" ht="15" hidden="false" customHeight="false" outlineLevel="0" collapsed="false">
      <c r="A23" s="6" t="s">
        <v>117</v>
      </c>
      <c r="B23" s="52" t="n">
        <f aca="false">IF(MIN(Monthly!$C$86:$BJ$86)&gt;=0,"No investment to pay back",IFERROR(MATCH(1,Monthly!$C$88:$BJ$88,0),"Not within horizon"))</f>
        <v>2</v>
      </c>
      <c r="D23" s="18" t="s">
        <v>118</v>
      </c>
    </row>
    <row r="25" customFormat="false" ht="15.75" hidden="false" customHeight="true" outlineLevel="0" collapsed="false">
      <c r="A25" s="7" t="s">
        <v>119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8" t="s">
        <v>120</v>
      </c>
      <c r="B26" s="58" t="n">
        <v>1</v>
      </c>
      <c r="C26" s="58" t="n">
        <v>2</v>
      </c>
      <c r="D26" s="58" t="n">
        <v>3</v>
      </c>
      <c r="E26" s="58" t="n">
        <v>4</v>
      </c>
      <c r="F26" s="58" t="n">
        <v>5</v>
      </c>
    </row>
    <row r="27" customFormat="false" ht="15" hidden="false" customHeight="false" outlineLevel="0" collapsed="false">
      <c r="A27" s="33"/>
      <c r="B27" s="59" t="s">
        <v>121</v>
      </c>
      <c r="C27" s="59" t="s">
        <v>122</v>
      </c>
      <c r="D27" s="59" t="s">
        <v>123</v>
      </c>
      <c r="E27" s="59" t="s">
        <v>124</v>
      </c>
      <c r="F27" s="59" t="s">
        <v>125</v>
      </c>
    </row>
    <row r="28" customFormat="false" ht="15" hidden="false" customHeight="false" outlineLevel="0" collapsed="false">
      <c r="A28" s="4" t="s">
        <v>41</v>
      </c>
      <c r="B28" s="60" t="n">
        <f aca="false">SUMIF(Monthly!$C$5:$BJ$5,B$26,Monthly!$C$22:$BJ$22)</f>
        <v>1710030</v>
      </c>
      <c r="C28" s="60" t="n">
        <f aca="false">SUMIF(Monthly!$C$5:$BJ$5,C$26,Monthly!$C$22:$BJ$22)</f>
        <v>2015484.945</v>
      </c>
      <c r="D28" s="60" t="n">
        <f aca="false">SUMIF(Monthly!$C$5:$BJ$5,D$26,Monthly!$C$22:$BJ$22)</f>
        <v>2376160.7103285</v>
      </c>
      <c r="E28" s="60" t="n">
        <f aca="false">SUMIF(Monthly!$C$5:$BJ$5,E$26,Monthly!$C$22:$BJ$22)</f>
        <v>2802167.24956282</v>
      </c>
      <c r="F28" s="60" t="n">
        <f aca="false">SUMIF(Monthly!$C$5:$BJ$5,F$26,Monthly!$C$22:$BJ$22)</f>
        <v>3305490.4674617</v>
      </c>
    </row>
    <row r="29" customFormat="false" ht="15" hidden="false" customHeight="false" outlineLevel="0" collapsed="false">
      <c r="A29" s="6" t="s">
        <v>42</v>
      </c>
      <c r="B29" s="53" t="n">
        <f aca="false">SUMIF(Monthly!$C$5:$BJ$5,B$26,Monthly!$C$30:$BJ$30)</f>
        <v>659822.5</v>
      </c>
      <c r="C29" s="53" t="n">
        <f aca="false">SUMIF(Monthly!$C$5:$BJ$5,C$26,Monthly!$C$30:$BJ$30)</f>
        <v>795749.54875</v>
      </c>
      <c r="D29" s="53" t="n">
        <f aca="false">SUMIF(Monthly!$C$5:$BJ$5,D$26,Monthly!$C$30:$BJ$30)</f>
        <v>958942.464010375</v>
      </c>
      <c r="E29" s="53" t="n">
        <f aca="false">SUMIF(Monthly!$C$5:$BJ$5,E$26,Monthly!$C$30:$BJ$30)</f>
        <v>1154797.05824051</v>
      </c>
      <c r="F29" s="53" t="n">
        <f aca="false">SUMIF(Monthly!$C$5:$BJ$5,F$26,Monthly!$C$30:$BJ$30)</f>
        <v>1389770.98121845</v>
      </c>
    </row>
    <row r="30" customFormat="false" ht="15" hidden="false" customHeight="false" outlineLevel="0" collapsed="false">
      <c r="A30" s="38" t="s">
        <v>126</v>
      </c>
      <c r="B30" s="61" t="n">
        <f aca="false">IF(B28=0,0,B29/B28)</f>
        <v>0.385854341736695</v>
      </c>
      <c r="C30" s="61" t="n">
        <f aca="false">IF(C28=0,0,C29/C28)</f>
        <v>0.394817907583031</v>
      </c>
      <c r="D30" s="61" t="n">
        <f aca="false">IF(D28=0,0,D29/D28)</f>
        <v>0.403568016187677</v>
      </c>
      <c r="E30" s="61" t="n">
        <f aca="false">IF(E28=0,0,E29/E28)</f>
        <v>0.412108541494328</v>
      </c>
      <c r="F30" s="61" t="n">
        <f aca="false">IF(F28=0,0,F29/F28)</f>
        <v>0.420443197431352</v>
      </c>
    </row>
    <row r="31" customFormat="false" ht="15" hidden="false" customHeight="false" outlineLevel="0" collapsed="false">
      <c r="A31" s="6" t="s">
        <v>127</v>
      </c>
      <c r="B31" s="53" t="n">
        <f aca="false">-SUMIF(Monthly!$C$5:$BJ$5,B$26,Monthly!$C$40:$BJ$40)</f>
        <v>393750.81</v>
      </c>
      <c r="C31" s="53" t="n">
        <f aca="false">-SUMIF(Monthly!$C$5:$BJ$5,C$26,Monthly!$C$40:$BJ$40)</f>
        <v>433173.193515</v>
      </c>
      <c r="D31" s="53" t="n">
        <f aca="false">-SUMIF(Monthly!$C$5:$BJ$5,D$26,Monthly!$C$40:$BJ$40)</f>
        <v>478492.50267887</v>
      </c>
      <c r="E31" s="53" t="n">
        <f aca="false">-SUMIF(Monthly!$C$5:$BJ$5,E$26,Monthly!$C$40:$BJ$40)</f>
        <v>530607.122407696</v>
      </c>
      <c r="F31" s="53" t="n">
        <f aca="false">-SUMIF(Monthly!$C$5:$BJ$5,F$26,Monthly!$C$40:$BJ$40)</f>
        <v>590555.23871289</v>
      </c>
    </row>
    <row r="32" customFormat="false" ht="15" hidden="false" customHeight="false" outlineLevel="0" collapsed="false">
      <c r="A32" s="4" t="s">
        <v>128</v>
      </c>
      <c r="B32" s="60" t="n">
        <f aca="false">IF(B30&gt;0,B31/B30,"n/a")</f>
        <v>1020464.89415608</v>
      </c>
      <c r="C32" s="60" t="n">
        <f aca="false">IF(C30&gt;0,C31/C30,"n/a")</f>
        <v>1097146.7737286</v>
      </c>
      <c r="D32" s="60" t="n">
        <f aca="false">IF(D30&gt;0,D31/D30,"n/a")</f>
        <v>1185655.16464602</v>
      </c>
      <c r="E32" s="60" t="n">
        <f aca="false">IF(E30&gt;0,E31/E30,"n/a")</f>
        <v>1287542.16178992</v>
      </c>
      <c r="F32" s="60" t="n">
        <f aca="false">IF(F30&gt;0,F31/F30,"n/a")</f>
        <v>1404601.72104298</v>
      </c>
    </row>
    <row r="33" customFormat="false" ht="15" hidden="false" customHeight="false" outlineLevel="0" collapsed="false">
      <c r="A33" s="38" t="s">
        <v>129</v>
      </c>
      <c r="B33" s="61" t="n">
        <f aca="false">IF(AND(ISNUMBER(B32),B28&gt;0),(B28-B32)/B28,"n/a")</f>
        <v>0.40324737334662</v>
      </c>
      <c r="C33" s="61" t="n">
        <f aca="false">IF(AND(ISNUMBER(C32),C28&gt;0),(C28-C32)/C28,"n/a")</f>
        <v>0.455641295435921</v>
      </c>
      <c r="D33" s="61" t="n">
        <f aca="false">IF(AND(ISNUMBER(D32),D28&gt;0),(D28-D32)/D28,"n/a")</f>
        <v>0.501020634045368</v>
      </c>
      <c r="E33" s="61" t="n">
        <f aca="false">IF(AND(ISNUMBER(E32),E28&gt;0),(E28-E32)/E28,"n/a")</f>
        <v>0.540519159949931</v>
      </c>
      <c r="F33" s="61" t="n">
        <f aca="false">IF(AND(ISNUMBER(F32),F28&gt;0),(F28-F32)/F28,"n/a")</f>
        <v>0.575070103856153</v>
      </c>
    </row>
    <row r="35" customFormat="false" ht="15" hidden="false" customHeight="false" outlineLevel="0" collapsed="false">
      <c r="A35" s="38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99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134</v>
      </c>
      <c r="B6" s="62" t="n">
        <f aca="false">Inputs!$E$72</f>
        <v>0.16</v>
      </c>
    </row>
    <row r="7" customFormat="false" ht="15" hidden="false" customHeight="false" outlineLevel="0" collapsed="false">
      <c r="A7" s="38" t="s">
        <v>135</v>
      </c>
      <c r="B7" s="62" t="n">
        <f aca="false">Inputs!$E$73</f>
        <v>0.02</v>
      </c>
    </row>
    <row r="8" customFormat="false" ht="15" hidden="false" customHeight="false" outlineLevel="0" collapsed="false">
      <c r="A8" s="6" t="s">
        <v>136</v>
      </c>
      <c r="B8" s="63" t="n">
        <f aca="false">Inputs!$E$74</f>
        <v>5.5</v>
      </c>
    </row>
    <row r="9" customFormat="false" ht="15" hidden="false" customHeight="false" outlineLevel="0" collapsed="false">
      <c r="A9" s="38" t="s">
        <v>137</v>
      </c>
      <c r="B9" s="62" t="n">
        <f aca="false">Inputs!$E$66</f>
        <v>0.21</v>
      </c>
    </row>
    <row r="10" customFormat="false" ht="15" hidden="false" customHeight="false" outlineLevel="0" collapsed="false">
      <c r="A10" s="38" t="s">
        <v>138</v>
      </c>
      <c r="B10" s="62" t="n">
        <f aca="false">Inputs!$E$75</f>
        <v>0.01</v>
      </c>
    </row>
    <row r="11" customFormat="false" ht="15" hidden="false" customHeight="false" outlineLevel="0" collapsed="false">
      <c r="A11" s="38" t="s">
        <v>139</v>
      </c>
      <c r="B11" s="62" t="n">
        <f aca="false">Inputs!$E$76</f>
        <v>0.005</v>
      </c>
    </row>
    <row r="13" customFormat="false" ht="15.75" hidden="false" customHeight="true" outlineLevel="0" collapsed="false">
      <c r="A13" s="7" t="s">
        <v>140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8" t="s">
        <v>120</v>
      </c>
      <c r="B14" s="58" t="n">
        <v>1</v>
      </c>
      <c r="C14" s="58" t="n">
        <v>2</v>
      </c>
      <c r="D14" s="58" t="n">
        <v>3</v>
      </c>
      <c r="E14" s="58" t="n">
        <v>4</v>
      </c>
      <c r="F14" s="58" t="n">
        <v>5</v>
      </c>
    </row>
    <row r="15" customFormat="false" ht="15" hidden="false" customHeight="false" outlineLevel="0" collapsed="false">
      <c r="A15" s="33"/>
      <c r="B15" s="59" t="s">
        <v>121</v>
      </c>
      <c r="C15" s="59" t="s">
        <v>122</v>
      </c>
      <c r="D15" s="59" t="s">
        <v>123</v>
      </c>
      <c r="E15" s="59" t="s">
        <v>124</v>
      </c>
      <c r="F15" s="59" t="s">
        <v>125</v>
      </c>
    </row>
    <row r="16" customFormat="false" ht="15" hidden="false" customHeight="false" outlineLevel="0" collapsed="false">
      <c r="A16" s="6" t="s">
        <v>45</v>
      </c>
      <c r="B16" s="53" t="n">
        <f aca="false">SUMIF(Monthly!$C$5:$BJ$5,B$14,Monthly!$C$41:$BJ$41)</f>
        <v>266071.69</v>
      </c>
      <c r="C16" s="53" t="n">
        <f aca="false">SUMIF(Monthly!$C$5:$BJ$5,C$14,Monthly!$C$41:$BJ$41)</f>
        <v>362576.355235</v>
      </c>
      <c r="D16" s="53" t="n">
        <f aca="false">SUMIF(Monthly!$C$5:$BJ$5,D$14,Monthly!$C$41:$BJ$41)</f>
        <v>480449.961331505</v>
      </c>
      <c r="E16" s="53" t="n">
        <f aca="false">SUMIF(Monthly!$C$5:$BJ$5,E$14,Monthly!$C$41:$BJ$41)</f>
        <v>624189.93583281</v>
      </c>
      <c r="F16" s="53" t="n">
        <f aca="false">SUMIF(Monthly!$C$5:$BJ$5,F$14,Monthly!$C$41:$BJ$41)</f>
        <v>799215.742505564</v>
      </c>
    </row>
    <row r="17" customFormat="false" ht="15" hidden="false" customHeight="false" outlineLevel="0" collapsed="false">
      <c r="A17" s="4" t="s">
        <v>141</v>
      </c>
      <c r="B17" s="60" t="n">
        <f aca="false">SUMIF(Monthly!$C$5:$BJ$5,B$14,Monthly!$C$89:$BJ$89)</f>
        <v>189183.162877778</v>
      </c>
      <c r="C17" s="60" t="n">
        <f aca="false">SUMIF(Monthly!$C$5:$BJ$5,C$14,Monthly!$C$89:$BJ$89)</f>
        <v>249729.955427317</v>
      </c>
      <c r="D17" s="60" t="n">
        <f aca="false">SUMIF(Monthly!$C$5:$BJ$5,D$14,Monthly!$C$89:$BJ$89)</f>
        <v>339699.400879952</v>
      </c>
      <c r="E17" s="60" t="n">
        <f aca="false">SUMIF(Monthly!$C$5:$BJ$5,E$14,Monthly!$C$89:$BJ$89)</f>
        <v>449677.410141202</v>
      </c>
      <c r="F17" s="60" t="n">
        <f aca="false">SUMIF(Monthly!$C$5:$BJ$5,F$14,Monthly!$C$89:$BJ$89)</f>
        <v>583884.575280378</v>
      </c>
    </row>
    <row r="18" customFormat="false" ht="15" hidden="false" customHeight="false" outlineLevel="0" collapsed="false">
      <c r="A18" s="6" t="s">
        <v>142</v>
      </c>
      <c r="B18" s="64" t="n">
        <f aca="false">1/(1+Inputs!$E$72)^B$14</f>
        <v>0.862068965517241</v>
      </c>
      <c r="C18" s="64" t="n">
        <f aca="false">1/(1+Inputs!$E$72)^C$14</f>
        <v>0.743162901307967</v>
      </c>
      <c r="D18" s="64" t="n">
        <f aca="false">1/(1+Inputs!$E$72)^D$14</f>
        <v>0.640657673541351</v>
      </c>
      <c r="E18" s="64" t="n">
        <f aca="false">1/(1+Inputs!$E$72)^E$14</f>
        <v>0.552291097880475</v>
      </c>
      <c r="F18" s="64" t="n">
        <f aca="false">1/(1+Inputs!$E$72)^F$14</f>
        <v>0.476113015414203</v>
      </c>
    </row>
    <row r="19" customFormat="false" ht="15" hidden="false" customHeight="false" outlineLevel="0" collapsed="false">
      <c r="A19" s="6" t="s">
        <v>143</v>
      </c>
      <c r="B19" s="53" t="n">
        <f aca="false">B17*B18</f>
        <v>163088.933515326</v>
      </c>
      <c r="C19" s="53" t="n">
        <f aca="false">C17*C18</f>
        <v>185590.038218874</v>
      </c>
      <c r="D19" s="53" t="n">
        <f aca="false">D17*D18</f>
        <v>217631.027871141</v>
      </c>
      <c r="E19" s="53" t="n">
        <f aca="false">E17*E18</f>
        <v>248352.830538933</v>
      </c>
      <c r="F19" s="53" t="n">
        <f aca="false">F17*F18</f>
        <v>277995.045790582</v>
      </c>
    </row>
    <row r="21" customFormat="false" ht="15.75" hidden="false" customHeight="true" outlineLevel="0" collapsed="false">
      <c r="A21" s="7" t="s">
        <v>144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9" t="s">
        <v>145</v>
      </c>
      <c r="C22" s="59" t="s">
        <v>146</v>
      </c>
    </row>
    <row r="23" customFormat="false" ht="15" hidden="false" customHeight="false" outlineLevel="0" collapsed="false">
      <c r="A23" s="6" t="s">
        <v>147</v>
      </c>
      <c r="B23" s="53" t="n">
        <f aca="false">SUM($B$19:$F$19)</f>
        <v>1092657.87593486</v>
      </c>
      <c r="C23" s="53" t="n">
        <f aca="false">B23</f>
        <v>1092657.87593486</v>
      </c>
    </row>
    <row r="24" customFormat="false" ht="15" hidden="false" customHeight="false" outlineLevel="0" collapsed="false">
      <c r="A24" s="6" t="s">
        <v>148</v>
      </c>
      <c r="B24" s="53" t="n">
        <f aca="false">$F$17</f>
        <v>583884.575280378</v>
      </c>
      <c r="C24" s="53" t="n">
        <f aca="false">$F$16</f>
        <v>799215.742505564</v>
      </c>
    </row>
    <row r="25" customFormat="false" ht="15" hidden="false" customHeight="false" outlineLevel="0" collapsed="false">
      <c r="A25" s="6" t="s">
        <v>149</v>
      </c>
      <c r="B25" s="53" t="n">
        <f aca="false">IF($B$6&gt;$B$7,B24*(1+$B$7)/($B$6-$B$7),0)</f>
        <v>4254016.19132847</v>
      </c>
      <c r="C25" s="53" t="n">
        <f aca="false">C24*$B$8</f>
        <v>4395686.5837806</v>
      </c>
    </row>
    <row r="26" customFormat="false" ht="15" hidden="false" customHeight="false" outlineLevel="0" collapsed="false">
      <c r="A26" s="6" t="s">
        <v>150</v>
      </c>
      <c r="B26" s="53" t="n">
        <f aca="false">B25/(1+$B$6)^$F$14</f>
        <v>2025392.47647424</v>
      </c>
      <c r="C26" s="53" t="n">
        <f aca="false">C25/(1+$B$6)^$F$14</f>
        <v>2092843.59421954</v>
      </c>
    </row>
    <row r="27" customFormat="false" ht="15" hidden="false" customHeight="false" outlineLevel="0" collapsed="false">
      <c r="A27" s="4" t="s">
        <v>144</v>
      </c>
      <c r="B27" s="54" t="n">
        <f aca="false">B23+B26</f>
        <v>3118050.35240909</v>
      </c>
      <c r="C27" s="54" t="n">
        <f aca="false">C23+C26</f>
        <v>3185501.47015439</v>
      </c>
    </row>
    <row r="28" customFormat="false" ht="15" hidden="false" customHeight="false" outlineLevel="0" collapsed="false">
      <c r="A28" s="38" t="s">
        <v>151</v>
      </c>
      <c r="B28" s="61" t="n">
        <f aca="false">IF(B27&lt;&gt;0,B26/B27,0)</f>
        <v>0.649570163262233</v>
      </c>
      <c r="C28" s="61" t="n">
        <f aca="false">IF(C27&lt;&gt;0,C26/C27,0)</f>
        <v>0.65699030869325</v>
      </c>
    </row>
    <row r="29" customFormat="false" ht="15" hidden="false" customHeight="false" outlineLevel="0" collapsed="false">
      <c r="A29" s="6" t="s">
        <v>152</v>
      </c>
      <c r="B29" s="65" t="n">
        <f aca="false">IF(C24&gt;0,B25/C24,"n/a")</f>
        <v>5.32273823585107</v>
      </c>
      <c r="C29" s="61" t="n">
        <f aca="false">IF(C25+B24&lt;&gt;0,(C25*$B$6-B24)/(C25+B24),"n/a")</f>
        <v>0.0239830447863383</v>
      </c>
    </row>
    <row r="30" customFormat="false" ht="15" hidden="false" customHeight="false" outlineLevel="0" collapsed="false">
      <c r="A30" s="56" t="s">
        <v>153</v>
      </c>
      <c r="B30" s="57" t="n">
        <f aca="false">AVERAGE(B27,C27)</f>
        <v>3151775.91128174</v>
      </c>
    </row>
    <row r="32" customFormat="false" ht="15.75" hidden="false" customHeight="true" outlineLevel="0" collapsed="false">
      <c r="A32" s="7" t="s">
        <v>154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155</v>
      </c>
      <c r="B33" s="66" t="n">
        <f aca="false">$B$7+(-2)*$B$11</f>
        <v>0.01</v>
      </c>
      <c r="C33" s="66" t="n">
        <f aca="false">$B$7+(-1)*$B$11</f>
        <v>0.015</v>
      </c>
      <c r="D33" s="66" t="n">
        <f aca="false">$B$7+(0)*$B$11</f>
        <v>0.02</v>
      </c>
      <c r="E33" s="66" t="n">
        <f aca="false">$B$7+(1)*$B$11</f>
        <v>0.025</v>
      </c>
      <c r="F33" s="66" t="n">
        <f aca="false">$B$7+(2)*$B$11</f>
        <v>0.03</v>
      </c>
    </row>
    <row r="34" customFormat="false" ht="15" hidden="false" customHeight="false" outlineLevel="0" collapsed="false">
      <c r="A34" s="61" t="n">
        <f aca="false">$B$6+(-2)*$B$10</f>
        <v>0.14</v>
      </c>
      <c r="B34" s="53" t="n">
        <f aca="false">IF($A34&gt;B$33,SUMPRODUCT($B$17:$F$17/(1+$A34)^$B$14:$F$14)+$F$17*(1+B$33)/($A34-B$33)/(1+$A34)^$F$14,"n/a")</f>
        <v>3512922.86665266</v>
      </c>
      <c r="C34" s="53" t="n">
        <f aca="false">IF($A34&gt;C$33,SUMPRODUCT($B$17:$F$17/(1+$A34)^$B$14:$F$14)+$F$17*(1+C$33)/($A34-C$33)/(1+$A34)^$F$14,"n/a")</f>
        <v>3619294.11012472</v>
      </c>
      <c r="D34" s="53" t="n">
        <f aca="false">IF($A34&gt;D$33,SUMPRODUCT($B$17:$F$17/(1+$A34)^$B$14:$F$14)+$F$17*(1+D$33)/($A34-D$33)/(1+$A34)^$F$14,"n/a")</f>
        <v>3734529.62388611</v>
      </c>
      <c r="E34" s="53" t="n">
        <f aca="false">IF($A34&gt;E$33,SUMPRODUCT($B$17:$F$17/(1+$A34)^$B$14:$F$14)+$F$17*(1+E$33)/($A34-E$33)/(1+$A34)^$F$14,"n/a")</f>
        <v>3859785.61710502</v>
      </c>
      <c r="F34" s="53" t="n">
        <f aca="false">IF($A34&gt;F$33,SUMPRODUCT($B$17:$F$17/(1+$A34)^$B$14:$F$14)+$F$17*(1+F$33)/($A34-F$33)/(1+$A34)^$F$14,"n/a")</f>
        <v>3996428.51879837</v>
      </c>
    </row>
    <row r="35" customFormat="false" ht="15" hidden="false" customHeight="false" outlineLevel="0" collapsed="false">
      <c r="A35" s="61" t="n">
        <f aca="false">$B$6+(-1)*$B$10</f>
        <v>0.15</v>
      </c>
      <c r="B35" s="53" t="n">
        <f aca="false">IF($A35&gt;B$33,SUMPRODUCT($B$17:$F$17/(1+$A35)^$B$14:$F$14)+$F$17*(1+B$33)/($A35-B$33)/(1+$A35)^$F$14,"n/a")</f>
        <v>3218357.64691697</v>
      </c>
      <c r="C35" s="53" t="n">
        <f aca="false">IF($A35&gt;C$33,SUMPRODUCT($B$17:$F$17/(1+$A35)^$B$14:$F$14)+$F$17*(1+C$33)/($A35-C$33)/(1+$A35)^$F$14,"n/a")</f>
        <v>3306674.55193503</v>
      </c>
      <c r="D35" s="53" t="n">
        <f aca="false">IF($A35&gt;D$33,SUMPRODUCT($B$17:$F$17/(1+$A35)^$B$14:$F$14)+$F$17*(1+D$33)/($A35-D$33)/(1+$A35)^$F$14,"n/a")</f>
        <v>3401785.0650314</v>
      </c>
      <c r="E35" s="53" t="n">
        <f aca="false">IF($A35&gt;E$33,SUMPRODUCT($B$17:$F$17/(1+$A35)^$B$14:$F$14)+$F$17*(1+E$33)/($A35-E$33)/(1+$A35)^$F$14,"n/a")</f>
        <v>3504504.41917548</v>
      </c>
      <c r="F35" s="53" t="n">
        <f aca="false">IF($A35&gt;F$33,SUMPRODUCT($B$17:$F$17/(1+$A35)^$B$14:$F$14)+$F$17*(1+F$33)/($A35-F$33)/(1+$A35)^$F$14,"n/a")</f>
        <v>3615783.71949824</v>
      </c>
    </row>
    <row r="36" customFormat="false" ht="15" hidden="false" customHeight="false" outlineLevel="0" collapsed="false">
      <c r="A36" s="61" t="n">
        <f aca="false">$B$6+(0)*$B$10</f>
        <v>0.16</v>
      </c>
      <c r="B36" s="53" t="n">
        <f aca="false">IF($A36&gt;B$33,SUMPRODUCT($B$17:$F$17/(1+$A36)^$B$14:$F$14)+$F$17*(1+B$33)/($A36-B$33)/(1+$A36)^$F$14,"n/a")</f>
        <v>2964491.18425811</v>
      </c>
      <c r="C36" s="53" t="n">
        <f aca="false">IF($A36&gt;C$33,SUMPRODUCT($B$17:$F$17/(1+$A36)^$B$14:$F$14)+$F$17*(1+C$33)/($A36-C$33)/(1+$A36)^$F$14,"n/a")</f>
        <v>3038623.19646893</v>
      </c>
      <c r="D36" s="53" t="n">
        <f aca="false">IF($A36&gt;D$33,SUMPRODUCT($B$17:$F$17/(1+$A36)^$B$14:$F$14)+$F$17*(1+D$33)/($A36-D$33)/(1+$A36)^$F$14,"n/a")</f>
        <v>3118050.35240909</v>
      </c>
      <c r="E36" s="53" t="n">
        <f aca="false">IF($A36&gt;E$33,SUMPRODUCT($B$17:$F$17/(1+$A36)^$B$14:$F$14)+$F$17*(1+E$33)/($A36-E$33)/(1+$A36)^$F$14,"n/a")</f>
        <v>3203361.00138186</v>
      </c>
      <c r="F36" s="53" t="n">
        <f aca="false">IF($A36&gt;F$33,SUMPRODUCT($B$17:$F$17/(1+$A36)^$B$14:$F$14)+$F$17*(1+F$33)/($A36-F$33)/(1+$A36)^$F$14,"n/a")</f>
        <v>3295234.00796793</v>
      </c>
    </row>
    <row r="37" customFormat="false" ht="15" hidden="false" customHeight="false" outlineLevel="0" collapsed="false">
      <c r="A37" s="61" t="n">
        <f aca="false">$B$6+(1)*$B$10</f>
        <v>0.17</v>
      </c>
      <c r="B37" s="53" t="n">
        <f aca="false">IF($A37&gt;B$33,SUMPRODUCT($B$17:$F$17/(1+$A37)^$B$14:$F$14)+$F$17*(1+B$33)/($A37-B$33)/(1+$A37)^$F$14,"n/a")</f>
        <v>2743632.5016081</v>
      </c>
      <c r="C37" s="53" t="n">
        <f aca="false">IF($A37&gt;C$33,SUMPRODUCT($B$17:$F$17/(1+$A37)^$B$14:$F$14)+$F$17*(1+C$33)/($A37-C$33)/(1+$A37)^$F$14,"n/a")</f>
        <v>2806453.07252765</v>
      </c>
      <c r="D37" s="53" t="n">
        <f aca="false">IF($A37&gt;D$33,SUMPRODUCT($B$17:$F$17/(1+$A37)^$B$14:$F$14)+$F$17*(1+D$33)/($A37-D$33)/(1+$A37)^$F$14,"n/a")</f>
        <v>2873461.68150851</v>
      </c>
      <c r="E37" s="53" t="n">
        <f aca="false">IF($A37&gt;E$33,SUMPRODUCT($B$17:$F$17/(1+$A37)^$B$14:$F$14)+$F$17*(1+E$33)/($A37-E$33)/(1+$A37)^$F$14,"n/a")</f>
        <v>2945091.57386735</v>
      </c>
      <c r="F37" s="53" t="n">
        <f aca="false">IF($A37&gt;F$33,SUMPRODUCT($B$17:$F$17/(1+$A37)^$B$14:$F$14)+$F$17*(1+F$33)/($A37-F$33)/(1+$A37)^$F$14,"n/a")</f>
        <v>3021837.88710897</v>
      </c>
    </row>
    <row r="38" customFormat="false" ht="15" hidden="false" customHeight="false" outlineLevel="0" collapsed="false">
      <c r="A38" s="61" t="n">
        <f aca="false">$B$6+(2)*$B$10</f>
        <v>0.18</v>
      </c>
      <c r="B38" s="53" t="n">
        <f aca="false">IF($A38&gt;B$33,SUMPRODUCT($B$17:$F$17/(1+$A38)^$B$14:$F$14)+$F$17*(1+B$33)/($A38-B$33)/(1+$A38)^$F$14,"n/a")</f>
        <v>2549903.31243229</v>
      </c>
      <c r="C38" s="53" t="n">
        <f aca="false">IF($A38&gt;C$33,SUMPRODUCT($B$17:$F$17/(1+$A38)^$B$14:$F$14)+$F$17*(1+C$33)/($A38-C$33)/(1+$A38)^$F$14,"n/a")</f>
        <v>2603586.23013326</v>
      </c>
      <c r="D38" s="53" t="n">
        <f aca="false">IF($A38&gt;D$33,SUMPRODUCT($B$17:$F$17/(1+$A38)^$B$14:$F$14)+$F$17*(1+D$33)/($A38-D$33)/(1+$A38)^$F$14,"n/a")</f>
        <v>2660624.33019054</v>
      </c>
      <c r="E38" s="53" t="n">
        <f aca="false">IF($A38&gt;E$33,SUMPRODUCT($B$17:$F$17/(1+$A38)^$B$14:$F$14)+$F$17*(1+E$33)/($A38-E$33)/(1+$A38)^$F$14,"n/a")</f>
        <v>2721342.30767086</v>
      </c>
      <c r="F38" s="53" t="n">
        <f aca="false">IF($A38&gt;F$33,SUMPRODUCT($B$17:$F$17/(1+$A38)^$B$14:$F$14)+$F$17*(1+F$33)/($A38-F$33)/(1+$A38)^$F$14,"n/a")</f>
        <v>2786108.15031655</v>
      </c>
    </row>
    <row r="40" customFormat="false" ht="15" hidden="false" customHeight="false" outlineLevel="0" collapsed="false">
      <c r="A40" s="38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157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158</v>
      </c>
    </row>
    <row r="4" customFormat="false" ht="15.75" hidden="false" customHeight="true" outlineLevel="0" collapsed="false">
      <c r="A4" s="7" t="s">
        <v>159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9" t="s">
        <v>160</v>
      </c>
    </row>
    <row r="6" customFormat="false" ht="15" hidden="false" customHeight="false" outlineLevel="0" collapsed="false">
      <c r="A6" s="38" t="s">
        <v>161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0.178625489026508</v>
      </c>
      <c r="D6" s="39" t="n">
        <f aca="false">IF(N('P&amp;L'!C5)&lt;=0,"n/a",'P&amp;L'!D5/'P&amp;L'!C5-1)</f>
        <v>0.178952349023128</v>
      </c>
      <c r="E6" s="39" t="n">
        <f aca="false">IF(N('P&amp;L'!D5)&lt;=0,"n/a",'P&amp;L'!E5/'P&amp;L'!D5-1)</f>
        <v>0.179283554930688</v>
      </c>
      <c r="F6" s="39" t="n">
        <f aca="false">IF(N('P&amp;L'!E5)&lt;=0,"n/a",'P&amp;L'!F5/'P&amp;L'!E5-1)</f>
        <v>0.179619263617262</v>
      </c>
      <c r="G6" s="67"/>
    </row>
    <row r="7" customFormat="false" ht="15" hidden="false" customHeight="false" outlineLevel="0" collapsed="false">
      <c r="A7" s="38" t="s">
        <v>43</v>
      </c>
      <c r="B7" s="39" t="n">
        <f aca="false">IF('P&amp;L'!B5&lt;=0,"n/a",'P&amp;L'!B7/'P&amp;L'!B5)</f>
        <v>0.385854341736695</v>
      </c>
      <c r="C7" s="39" t="n">
        <f aca="false">IF('P&amp;L'!C5&lt;=0,"n/a",'P&amp;L'!C7/'P&amp;L'!C5)</f>
        <v>0.394817907583031</v>
      </c>
      <c r="D7" s="39" t="n">
        <f aca="false">IF('P&amp;L'!D5&lt;=0,"n/a",'P&amp;L'!D7/'P&amp;L'!D5)</f>
        <v>0.403568016187677</v>
      </c>
      <c r="E7" s="39" t="n">
        <f aca="false">IF('P&amp;L'!E5&lt;=0,"n/a",'P&amp;L'!E7/'P&amp;L'!E5)</f>
        <v>0.412108541494328</v>
      </c>
      <c r="F7" s="39" t="n">
        <f aca="false">IF('P&amp;L'!F5&lt;=0,"n/a",'P&amp;L'!F7/'P&amp;L'!F5)</f>
        <v>0.420443197431352</v>
      </c>
      <c r="G7" s="67"/>
    </row>
    <row r="8" customFormat="false" ht="15" hidden="false" customHeight="false" outlineLevel="0" collapsed="false">
      <c r="A8" s="38" t="s">
        <v>46</v>
      </c>
      <c r="B8" s="39" t="n">
        <f aca="false">IF('P&amp;L'!B5&lt;=0,"n/a",'P&amp;L'!B17/'P&amp;L'!B5)</f>
        <v>0.155594749799711</v>
      </c>
      <c r="C8" s="39" t="n">
        <f aca="false">IF('P&amp;L'!C5&lt;=0,"n/a",'P&amp;L'!C17/'P&amp;L'!C5)</f>
        <v>0.179895342872432</v>
      </c>
      <c r="D8" s="39" t="n">
        <f aca="false">IF('P&amp;L'!D5&lt;=0,"n/a",'P&amp;L'!D17/'P&amp;L'!D5)</f>
        <v>0.202195903350781</v>
      </c>
      <c r="E8" s="39" t="n">
        <f aca="false">IF('P&amp;L'!E5&lt;=0,"n/a",'P&amp;L'!E17/'P&amp;L'!E5)</f>
        <v>0.222752562656705</v>
      </c>
      <c r="F8" s="39" t="n">
        <f aca="false">IF('P&amp;L'!F5&lt;=0,"n/a",'P&amp;L'!F17/'P&amp;L'!F5)</f>
        <v>0.241784313212461</v>
      </c>
      <c r="G8" s="67"/>
    </row>
    <row r="9" customFormat="false" ht="15" hidden="false" customHeight="false" outlineLevel="0" collapsed="false">
      <c r="A9" s="38" t="s">
        <v>48</v>
      </c>
      <c r="B9" s="39" t="n">
        <f aca="false">IF('P&amp;L'!B5&lt;=0,"n/a",'P&amp;L'!B24/'P&amp;L'!B5)</f>
        <v>0.11260871095179</v>
      </c>
      <c r="C9" s="39" t="n">
        <f aca="false">IF('P&amp;L'!C5&lt;=0,"n/a",'P&amp;L'!C24/'P&amp;L'!C5)</f>
        <v>0.131968034771064</v>
      </c>
      <c r="D9" s="39" t="n">
        <f aca="false">IF('P&amp;L'!D5&lt;=0,"n/a",'P&amp;L'!D24/'P&amp;L'!D5)</f>
        <v>0.149640824618045</v>
      </c>
      <c r="E9" s="39" t="n">
        <f aca="false">IF('P&amp;L'!E5&lt;=0,"n/a",'P&amp;L'!E24/'P&amp;L'!E5)</f>
        <v>0.165869274750499</v>
      </c>
      <c r="F9" s="39" t="n">
        <f aca="false">IF('P&amp;L'!F5&lt;=0,"n/a",'P&amp;L'!F24/'P&amp;L'!F5)</f>
        <v>0.180860616777981</v>
      </c>
      <c r="G9" s="67"/>
    </row>
    <row r="10" customFormat="false" ht="15" hidden="false" customHeight="false" outlineLevel="0" collapsed="false">
      <c r="A10" s="38" t="s">
        <v>162</v>
      </c>
      <c r="B10" s="39" t="n">
        <f aca="false">IF('P&amp;L'!B5&lt;=0,"n/a",-SUMIF(Headcount!$C$5:$BJ$5,B$5,Headcount!$C$15:$BJ$15)/'P&amp;L'!B5)</f>
        <v>0.352391478512073</v>
      </c>
      <c r="C10" s="39" t="n">
        <f aca="false">IF('P&amp;L'!C5&lt;=0,"n/a",-SUMIF(Headcount!$C$5:$BJ$5,C$5,Headcount!$C$15:$BJ$15)/'P&amp;L'!C5)</f>
        <v>0.343851370221969</v>
      </c>
      <c r="D10" s="39" t="n">
        <f aca="false">IF('P&amp;L'!D5&lt;=0,"n/a",-SUMIF(Headcount!$C$5:$BJ$5,D$5,Headcount!$C$15:$BJ$15)/'P&amp;L'!D5)</f>
        <v>0.335440517289678</v>
      </c>
      <c r="E10" s="39" t="n">
        <f aca="false">IF('P&amp;L'!E5&lt;=0,"n/a",-SUMIF(Headcount!$C$5:$BJ$5,E$5,Headcount!$C$15:$BJ$15)/'P&amp;L'!E5)</f>
        <v>0.327158248465625</v>
      </c>
      <c r="F10" s="39" t="n">
        <f aca="false">IF('P&amp;L'!F5&lt;=0,"n/a",-SUMIF(Headcount!$C$5:$BJ$5,F$5,Headcount!$C$15:$BJ$15)/'P&amp;L'!F5)</f>
        <v>0.319003881149591</v>
      </c>
      <c r="G10" s="67"/>
    </row>
    <row r="11" customFormat="false" ht="15" hidden="false" customHeight="false" outlineLevel="0" collapsed="false">
      <c r="A11" s="38" t="s">
        <v>163</v>
      </c>
      <c r="B11" s="39" t="n">
        <f aca="false">IF('P&amp;L'!B5&lt;=0,"n/a",-'P&amp;L'!B10/'P&amp;L'!B5)</f>
        <v>0.0631567867230399</v>
      </c>
      <c r="C11" s="39" t="n">
        <f aca="false">IF('P&amp;L'!C5&lt;=0,"n/a",-'P&amp;L'!C10/'P&amp;L'!C5)</f>
        <v>0.0616228864959346</v>
      </c>
      <c r="D11" s="39" t="n">
        <f aca="false">IF('P&amp;L'!D5&lt;=0,"n/a",-'P&amp;L'!D10/'P&amp;L'!D5)</f>
        <v>0.0601095706107581</v>
      </c>
      <c r="E11" s="39" t="n">
        <f aca="false">IF('P&amp;L'!E5&lt;=0,"n/a",-'P&amp;L'!E10/'P&amp;L'!E5)</f>
        <v>0.0586169508710182</v>
      </c>
      <c r="F11" s="39" t="n">
        <f aca="false">IF('P&amp;L'!F5&lt;=0,"n/a",-'P&amp;L'!F10/'P&amp;L'!F5)</f>
        <v>0.0571451277380483</v>
      </c>
      <c r="G11" s="67"/>
    </row>
    <row r="12" customFormat="false" ht="15" hidden="false" customHeight="false" outlineLevel="0" collapsed="false">
      <c r="A12" s="38" t="s">
        <v>164</v>
      </c>
      <c r="B12" s="39" t="n">
        <f aca="false">IF('P&amp;L'!B5&lt;=0,"n/a",-'P&amp;L'!B16/'P&amp;L'!B5)</f>
        <v>0.230259591936984</v>
      </c>
      <c r="C12" s="39" t="n">
        <f aca="false">IF('P&amp;L'!C5&lt;=0,"n/a",-'P&amp;L'!C16/'P&amp;L'!C5)</f>
        <v>0.214922564710599</v>
      </c>
      <c r="D12" s="39" t="n">
        <f aca="false">IF('P&amp;L'!D5&lt;=0,"n/a",-'P&amp;L'!D16/'P&amp;L'!D5)</f>
        <v>0.201372112836896</v>
      </c>
      <c r="E12" s="39" t="n">
        <f aca="false">IF('P&amp;L'!E5&lt;=0,"n/a",-'P&amp;L'!E16/'P&amp;L'!E5)</f>
        <v>0.189355978837622</v>
      </c>
      <c r="F12" s="39" t="n">
        <f aca="false">IF('P&amp;L'!F5&lt;=0,"n/a",-'P&amp;L'!F16/'P&amp;L'!F5)</f>
        <v>0.178658884218891</v>
      </c>
      <c r="G12" s="67"/>
    </row>
    <row r="13" customFormat="false" ht="15" hidden="false" customHeight="false" outlineLevel="0" collapsed="false">
      <c r="A13" s="6" t="s">
        <v>165</v>
      </c>
      <c r="B13" s="68" t="n">
        <f aca="false">IF(('Balance Sheet'!B12-'Balance Sheet'!B11)&lt;=0,"n/a",('Balance Sheet'!B5+'Balance Sheet'!B6+'Balance Sheet'!B7)/('Balance Sheet'!B12-'Balance Sheet'!B11))</f>
        <v>9.45852624294973</v>
      </c>
      <c r="C13" s="68" t="n">
        <f aca="false">IF(('Balance Sheet'!C12-'Balance Sheet'!C11)&lt;=0,"n/a",('Balance Sheet'!C5+'Balance Sheet'!C6+'Balance Sheet'!C7)/('Balance Sheet'!C12-'Balance Sheet'!C11))</f>
        <v>11.1307816860655</v>
      </c>
      <c r="D13" s="68" t="n">
        <f aca="false">IF(('Balance Sheet'!D12-'Balance Sheet'!D11)&lt;=0,"n/a",('Balance Sheet'!D5+'Balance Sheet'!D6+'Balance Sheet'!D7)/('Balance Sheet'!D12-'Balance Sheet'!D11))</f>
        <v>13.3698838932306</v>
      </c>
      <c r="E13" s="68" t="n">
        <f aca="false">IF(('Balance Sheet'!E12-'Balance Sheet'!E11)&lt;=0,"n/a",('Balance Sheet'!E5+'Balance Sheet'!E6+'Balance Sheet'!E7)/('Balance Sheet'!E12-'Balance Sheet'!E11))</f>
        <v>16.0297487544923</v>
      </c>
      <c r="F13" s="68" t="n">
        <f aca="false">IF(('Balance Sheet'!F12-'Balance Sheet'!F11)&lt;=0,"n/a",('Balance Sheet'!F5+'Balance Sheet'!F6+'Balance Sheet'!F7)/('Balance Sheet'!F12-'Balance Sheet'!F11))</f>
        <v>18.9937450339652</v>
      </c>
      <c r="G13" s="69"/>
    </row>
    <row r="14" customFormat="false" ht="15" hidden="false" customHeight="false" outlineLevel="0" collapsed="false">
      <c r="A14" s="6" t="s">
        <v>166</v>
      </c>
      <c r="B14" s="68" t="n">
        <f aca="false">IF('Balance Sheet'!B15&lt;=0,"n/a",'Balance Sheet'!B11/'Balance Sheet'!B15)</f>
        <v>0.697852351837124</v>
      </c>
      <c r="C14" s="68" t="n">
        <f aca="false">IF('Balance Sheet'!C15&lt;=0,"n/a",'Balance Sheet'!C11/'Balance Sheet'!C15)</f>
        <v>0.276015327265928</v>
      </c>
      <c r="D14" s="68" t="n">
        <f aca="false">IF('Balance Sheet'!D15&lt;=0,"n/a",'Balance Sheet'!D11/'Balance Sheet'!D15)</f>
        <v>0.113953630091625</v>
      </c>
      <c r="E14" s="68" t="n">
        <f aca="false">IF('Balance Sheet'!E15&lt;=0,"n/a",'Balance Sheet'!E11/'Balance Sheet'!E15)</f>
        <v>0.0392822931509143</v>
      </c>
      <c r="F14" s="68" t="n">
        <f aca="false">IF('Balance Sheet'!F15&lt;=0,"n/a",'Balance Sheet'!F11/'Balance Sheet'!F15)</f>
        <v>0.00210784653085077</v>
      </c>
      <c r="G14" s="69"/>
    </row>
    <row r="15" customFormat="false" ht="15" hidden="false" customHeight="false" outlineLevel="0" collapsed="false">
      <c r="A15" s="38" t="s">
        <v>167</v>
      </c>
      <c r="B15" s="39" t="n">
        <f aca="false">IF('Balance Sheet'!B9&lt;=0,"n/a",'P&amp;L'!B24/'Balance Sheet'!B9)</f>
        <v>0.347862190138343</v>
      </c>
      <c r="C15" s="39" t="n">
        <f aca="false">IF('Balance Sheet'!C9&lt;=0,"n/a",'P&amp;L'!C24/'Balance Sheet'!C9)</f>
        <v>0.341484533183422</v>
      </c>
      <c r="D15" s="39" t="n">
        <f aca="false">IF('Balance Sheet'!D9&lt;=0,"n/a",'P&amp;L'!D24/'Balance Sheet'!D9)</f>
        <v>0.324608711463597</v>
      </c>
      <c r="E15" s="39" t="n">
        <f aca="false">IF('Balance Sheet'!E9&lt;=0,"n/a",'P&amp;L'!E24/'Balance Sheet'!E9)</f>
        <v>0.305195306744215</v>
      </c>
      <c r="F15" s="39" t="n">
        <f aca="false">IF('Balance Sheet'!F9&lt;=0,"n/a",'P&amp;L'!F24/'Balance Sheet'!F9)</f>
        <v>0.28663522263034</v>
      </c>
      <c r="G15" s="67"/>
    </row>
    <row r="16" customFormat="false" ht="15" hidden="false" customHeight="false" outlineLevel="0" collapsed="false">
      <c r="A16" s="38" t="s">
        <v>168</v>
      </c>
      <c r="B16" s="39" t="n">
        <f aca="false">IF('Balance Sheet'!B15&lt;=0,"n/a",'P&amp;L'!B24/'Balance Sheet'!B15)</f>
        <v>0.658194766447123</v>
      </c>
      <c r="C16" s="39" t="n">
        <f aca="false">IF('Balance Sheet'!C15&lt;=0,"n/a",'P&amp;L'!C24/'Balance Sheet'!C15)</f>
        <v>0.476201791364141</v>
      </c>
      <c r="D16" s="39" t="n">
        <f aca="false">IF('Balance Sheet'!D15&lt;=0,"n/a",'P&amp;L'!D24/'Balance Sheet'!D15)</f>
        <v>0.388978234628554</v>
      </c>
      <c r="E16" s="39" t="n">
        <f aca="false">IF('Balance Sheet'!E15&lt;=0,"n/a",'P&amp;L'!E24/'Balance Sheet'!E15)</f>
        <v>0.337073585252831</v>
      </c>
      <c r="F16" s="39" t="n">
        <f aca="false">IF('Balance Sheet'!F15&lt;=0,"n/a",'P&amp;L'!F24/'Balance Sheet'!F15)</f>
        <v>0.302433674231133</v>
      </c>
      <c r="G16" s="67"/>
    </row>
    <row r="18" customFormat="false" ht="15.75" hidden="false" customHeight="true" outlineLevel="0" collapsed="false">
      <c r="A18" s="7" t="s">
        <v>169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48</v>
      </c>
      <c r="B20" s="39" t="n">
        <f aca="false">IF('P&amp;L'!B5&lt;=0,"n/a",'P&amp;L'!B24/'P&amp;L'!B5)</f>
        <v>0.11260871095179</v>
      </c>
      <c r="C20" s="39" t="n">
        <f aca="false">IF('P&amp;L'!C5&lt;=0,"n/a",'P&amp;L'!C24/'P&amp;L'!C5)</f>
        <v>0.131968034771064</v>
      </c>
      <c r="D20" s="39" t="n">
        <f aca="false">IF('P&amp;L'!D5&lt;=0,"n/a",'P&amp;L'!D24/'P&amp;L'!D5)</f>
        <v>0.149640824618045</v>
      </c>
      <c r="E20" s="39" t="n">
        <f aca="false">IF('P&amp;L'!E5&lt;=0,"n/a",'P&amp;L'!E24/'P&amp;L'!E5)</f>
        <v>0.165869274750499</v>
      </c>
      <c r="F20" s="39" t="n">
        <f aca="false">IF('P&amp;L'!F5&lt;=0,"n/a",'P&amp;L'!F24/'P&amp;L'!F5)</f>
        <v>0.180860616777981</v>
      </c>
    </row>
    <row r="21" customFormat="false" ht="15" hidden="false" customHeight="false" outlineLevel="0" collapsed="false">
      <c r="A21" s="51" t="s">
        <v>170</v>
      </c>
      <c r="B21" s="68" t="n">
        <f aca="false">IF('Balance Sheet'!B9&lt;=0,"n/a",'P&amp;L'!B5/'Balance Sheet'!B9)</f>
        <v>3.08912327650452</v>
      </c>
      <c r="C21" s="68" t="n">
        <f aca="false">IF('Balance Sheet'!C9&lt;=0,"n/a",'P&amp;L'!C5/'Balance Sheet'!C9)</f>
        <v>2.58763066204496</v>
      </c>
      <c r="D21" s="68" t="n">
        <f aca="false">IF('Balance Sheet'!D9&lt;=0,"n/a",'P&amp;L'!D5/'Balance Sheet'!D9)</f>
        <v>2.16925235671585</v>
      </c>
      <c r="E21" s="68" t="n">
        <f aca="false">IF('Balance Sheet'!E9&lt;=0,"n/a",'P&amp;L'!E5/'Balance Sheet'!E9)</f>
        <v>1.83997492726299</v>
      </c>
      <c r="F21" s="68" t="n">
        <f aca="false">IF('Balance Sheet'!F9&lt;=0,"n/a",'P&amp;L'!F5/'Balance Sheet'!F9)</f>
        <v>1.58484045745683</v>
      </c>
    </row>
    <row r="22" customFormat="false" ht="15" hidden="false" customHeight="false" outlineLevel="0" collapsed="false">
      <c r="A22" s="51" t="s">
        <v>171</v>
      </c>
      <c r="B22" s="68" t="n">
        <f aca="false">IF('Balance Sheet'!B15&lt;=0,"n/a",'Balance Sheet'!B9/'Balance Sheet'!B15)</f>
        <v>1.89211355849097</v>
      </c>
      <c r="C22" s="68" t="n">
        <f aca="false">IF('Balance Sheet'!C15&lt;=0,"n/a",'Balance Sheet'!C9/'Balance Sheet'!C15)</f>
        <v>1.39450471423945</v>
      </c>
      <c r="D22" s="68" t="n">
        <f aca="false">IF('Balance Sheet'!D15&lt;=0,"n/a",'Balance Sheet'!D9/'Balance Sheet'!D15)</f>
        <v>1.19829881605681</v>
      </c>
      <c r="E22" s="68" t="n">
        <f aca="false">IF('Balance Sheet'!E15&lt;=0,"n/a",'Balance Sheet'!E9/'Balance Sheet'!E15)</f>
        <v>1.10445206005521</v>
      </c>
      <c r="F22" s="68" t="n">
        <f aca="false">IF('Balance Sheet'!F15&lt;=0,"n/a",'Balance Sheet'!F9/'Balance Sheet'!F15)</f>
        <v>1.05511692336977</v>
      </c>
    </row>
    <row r="23" customFormat="false" ht="15" hidden="false" customHeight="false" outlineLevel="0" collapsed="false">
      <c r="A23" s="40" t="s">
        <v>172</v>
      </c>
      <c r="B23" s="70" t="n">
        <f aca="false">IF(AND(ISNUMBER(B20),ISNUMBER(B21),ISNUMBER(B22)),B20*B21*B22,"n/a")</f>
        <v>0.658194766447123</v>
      </c>
      <c r="C23" s="70" t="n">
        <f aca="false">IF(AND(ISNUMBER(C20),ISNUMBER(C21),ISNUMBER(C22)),C20*C21*C22,"n/a")</f>
        <v>0.476201791364141</v>
      </c>
      <c r="D23" s="70" t="n">
        <f aca="false">IF(AND(ISNUMBER(D20),ISNUMBER(D21),ISNUMBER(D22)),D20*D21*D22,"n/a")</f>
        <v>0.388978234628554</v>
      </c>
      <c r="E23" s="70" t="n">
        <f aca="false">IF(AND(ISNUMBER(E20),ISNUMBER(E21),ISNUMBER(E22)),E20*E21*E22,"n/a")</f>
        <v>0.337073585252831</v>
      </c>
      <c r="F23" s="70" t="n">
        <f aca="false">IF(AND(ISNUMBER(F20),ISNUMBER(F21),ISNUMBER(F22)),F20*F21*F22,"n/a")</f>
        <v>0.302433674231133</v>
      </c>
    </row>
    <row r="24" customFormat="false" ht="15" hidden="false" customHeight="false" outlineLevel="0" collapsed="false">
      <c r="A24" s="21" t="s">
        <v>173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174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8" t="s">
        <v>120</v>
      </c>
      <c r="B27" s="58" t="n">
        <v>1</v>
      </c>
      <c r="C27" s="58" t="n">
        <v>2</v>
      </c>
      <c r="D27" s="58" t="n">
        <v>3</v>
      </c>
      <c r="E27" s="58" t="n">
        <v>4</v>
      </c>
      <c r="F27" s="58" t="n">
        <v>5</v>
      </c>
    </row>
    <row r="28" customFormat="false" ht="15" hidden="false" customHeight="false" outlineLevel="0" collapsed="false">
      <c r="A28" s="33"/>
      <c r="B28" s="59" t="s">
        <v>121</v>
      </c>
      <c r="C28" s="59" t="s">
        <v>122</v>
      </c>
      <c r="D28" s="59" t="s">
        <v>123</v>
      </c>
      <c r="E28" s="59" t="s">
        <v>124</v>
      </c>
      <c r="F28" s="59" t="s">
        <v>125</v>
      </c>
      <c r="G28" s="59" t="s">
        <v>160</v>
      </c>
    </row>
    <row r="29" customFormat="false" ht="15" hidden="false" customHeight="false" outlineLevel="0" collapsed="false">
      <c r="A29" s="4" t="s">
        <v>175</v>
      </c>
      <c r="B29" s="71" t="n">
        <f aca="false">INDEX(Monthly!$C$8:$BJ$8,B$27*12)</f>
        <v>7</v>
      </c>
      <c r="C29" s="71" t="n">
        <f aca="false">INDEX(Monthly!$C$8:$BJ$8,C$27*12)</f>
        <v>7.84</v>
      </c>
      <c r="D29" s="71" t="n">
        <f aca="false">INDEX(Monthly!$C$8:$BJ$8,D$27*12)</f>
        <v>8.7808</v>
      </c>
      <c r="E29" s="71" t="n">
        <f aca="false">INDEX(Monthly!$C$8:$BJ$8,E$27*12)</f>
        <v>9.834496</v>
      </c>
      <c r="F29" s="71" t="n">
        <f aca="false">INDEX(Monthly!$C$8:$BJ$8,F$27*12)</f>
        <v>11.01463552</v>
      </c>
      <c r="G29" s="72"/>
    </row>
    <row r="30" customFormat="false" ht="15" hidden="false" customHeight="false" outlineLevel="0" collapsed="false">
      <c r="A30" s="6" t="s">
        <v>176</v>
      </c>
      <c r="B30" s="73" t="n">
        <f aca="false">SUMIF(Monthly!$C$5:$BJ$5,B$27,Monthly!$C$9:$BJ$9)</f>
        <v>4410</v>
      </c>
      <c r="C30" s="73" t="n">
        <f aca="false">SUMIF(Monthly!$C$5:$BJ$5,C$27,Monthly!$C$9:$BJ$9)</f>
        <v>4939.2</v>
      </c>
      <c r="D30" s="73" t="n">
        <f aca="false">SUMIF(Monthly!$C$5:$BJ$5,D$27,Monthly!$C$9:$BJ$9)</f>
        <v>5531.904</v>
      </c>
      <c r="E30" s="73" t="n">
        <f aca="false">SUMIF(Monthly!$C$5:$BJ$5,E$27,Monthly!$C$9:$BJ$9)</f>
        <v>6195.73248</v>
      </c>
      <c r="F30" s="73" t="n">
        <f aca="false">SUMIF(Monthly!$C$5:$BJ$5,F$27,Monthly!$C$9:$BJ$9)</f>
        <v>6939.2203776</v>
      </c>
      <c r="G30" s="74"/>
    </row>
    <row r="31" customFormat="false" ht="15" hidden="false" customHeight="false" outlineLevel="0" collapsed="false">
      <c r="A31" s="6" t="s">
        <v>177</v>
      </c>
      <c r="B31" s="73" t="n">
        <f aca="false">SUMIF(Monthly!$C$5:$BJ$5,B$27,Monthly!$C$14:$BJ$14)</f>
        <v>3732</v>
      </c>
      <c r="C31" s="73" t="n">
        <f aca="false">SUMIF(Monthly!$C$5:$BJ$5,C$27,Monthly!$C$14:$BJ$14)</f>
        <v>4291.8</v>
      </c>
      <c r="D31" s="73" t="n">
        <f aca="false">SUMIF(Monthly!$C$5:$BJ$5,D$27,Monthly!$C$14:$BJ$14)</f>
        <v>4935.57</v>
      </c>
      <c r="E31" s="73" t="n">
        <f aca="false">SUMIF(Monthly!$C$5:$BJ$5,E$27,Monthly!$C$14:$BJ$14)</f>
        <v>5675.9055</v>
      </c>
      <c r="F31" s="73" t="n">
        <f aca="false">SUMIF(Monthly!$C$5:$BJ$5,F$27,Monthly!$C$14:$BJ$14)</f>
        <v>6527.291325</v>
      </c>
      <c r="G31" s="74"/>
    </row>
    <row r="32" customFormat="false" ht="15" hidden="false" customHeight="false" outlineLevel="0" collapsed="false">
      <c r="A32" s="4" t="s">
        <v>55</v>
      </c>
      <c r="B32" s="75" t="n">
        <f aca="false">SUMIF(Monthly!$C$5:$BJ$5,B$27,Monthly!$C$15:$BJ$15)</f>
        <v>3668.25</v>
      </c>
      <c r="C32" s="75" t="n">
        <f aca="false">SUMIF(Monthly!$C$5:$BJ$5,C$27,Monthly!$C$15:$BJ$15)</f>
        <v>4185.4125</v>
      </c>
      <c r="D32" s="75" t="n">
        <f aca="false">SUMIF(Monthly!$C$5:$BJ$5,D$27,Monthly!$C$15:$BJ$15)</f>
        <v>4776.180375</v>
      </c>
      <c r="E32" s="75" t="n">
        <f aca="false">SUMIF(Monthly!$C$5:$BJ$5,E$27,Monthly!$C$15:$BJ$15)</f>
        <v>5451.11815125</v>
      </c>
      <c r="F32" s="75" t="n">
        <f aca="false">SUMIF(Monthly!$C$5:$BJ$5,F$27,Monthly!$C$15:$BJ$15)</f>
        <v>6222.3178803375</v>
      </c>
      <c r="G32" s="74"/>
    </row>
    <row r="33" customFormat="false" ht="15" hidden="false" customHeight="false" outlineLevel="0" collapsed="false">
      <c r="A33" s="38" t="s">
        <v>178</v>
      </c>
      <c r="B33" s="76" t="n">
        <f aca="false">IF(B30=0,0,B32/B30)</f>
        <v>0.831802721088435</v>
      </c>
      <c r="C33" s="76" t="n">
        <f aca="false">IF(C30=0,0,C32/C30)</f>
        <v>0.847386722546161</v>
      </c>
      <c r="D33" s="76" t="n">
        <f aca="false">IF(D30=0,0,D32/D30)</f>
        <v>0.863388152614362</v>
      </c>
      <c r="E33" s="76" t="n">
        <f aca="false">IF(E30=0,0,E32/E30)</f>
        <v>0.879818192416532</v>
      </c>
      <c r="F33" s="76" t="n">
        <f aca="false">IF(F30=0,0,F32/F30)</f>
        <v>0.896688322570546</v>
      </c>
      <c r="G33" s="77"/>
    </row>
    <row r="34" customFormat="false" ht="15" hidden="false" customHeight="false" outlineLevel="0" collapsed="false">
      <c r="A34" s="6" t="s">
        <v>179</v>
      </c>
      <c r="B34" s="73" t="n">
        <f aca="false">B31-B32</f>
        <v>63.75</v>
      </c>
      <c r="C34" s="73" t="n">
        <f aca="false">C31-C32</f>
        <v>106.3875</v>
      </c>
      <c r="D34" s="73" t="n">
        <f aca="false">D31-D32</f>
        <v>159.389625</v>
      </c>
      <c r="E34" s="73" t="n">
        <f aca="false">E31-E32</f>
        <v>224.787348749999</v>
      </c>
      <c r="F34" s="73" t="n">
        <f aca="false">F31-F32</f>
        <v>304.973444662499</v>
      </c>
      <c r="G34" s="74"/>
    </row>
    <row r="35" customFormat="false" ht="15" hidden="false" customHeight="false" outlineLevel="0" collapsed="false">
      <c r="A35" s="6" t="s">
        <v>180</v>
      </c>
      <c r="B35" s="73" t="n">
        <f aca="false">SUMIF(Monthly!$C$5:$BJ$5,B$27,Monthly!$C$12:$BJ$12)</f>
        <v>972</v>
      </c>
      <c r="C35" s="73" t="n">
        <f aca="false">SUMIF(Monthly!$C$5:$BJ$5,C$27,Monthly!$C$12:$BJ$12)</f>
        <v>1117.8</v>
      </c>
      <c r="D35" s="73" t="n">
        <f aca="false">SUMIF(Monthly!$C$5:$BJ$5,D$27,Monthly!$C$12:$BJ$12)</f>
        <v>1285.47</v>
      </c>
      <c r="E35" s="73" t="n">
        <f aca="false">SUMIF(Monthly!$C$5:$BJ$5,E$27,Monthly!$C$12:$BJ$12)</f>
        <v>1478.2905</v>
      </c>
      <c r="F35" s="73" t="n">
        <f aca="false">SUMIF(Monthly!$C$5:$BJ$5,F$27,Monthly!$C$12:$BJ$12)</f>
        <v>1700.034075</v>
      </c>
      <c r="G35" s="74"/>
    </row>
    <row r="36" customFormat="false" ht="15" hidden="false" customHeight="false" outlineLevel="0" collapsed="false">
      <c r="A36" s="6" t="s">
        <v>181</v>
      </c>
      <c r="B36" s="35" t="n">
        <f aca="false">-SUMIF(Monthly!$C$5:$BJ$5,B$27,Monthly!$C$34:$BJ$34)</f>
        <v>108000</v>
      </c>
      <c r="C36" s="35" t="n">
        <f aca="false">-SUMIF(Monthly!$C$5:$BJ$5,C$27,Monthly!$C$34:$BJ$34)</f>
        <v>124200</v>
      </c>
      <c r="D36" s="35" t="n">
        <f aca="false">-SUMIF(Monthly!$C$5:$BJ$5,D$27,Monthly!$C$34:$BJ$34)</f>
        <v>142830</v>
      </c>
      <c r="E36" s="35" t="n">
        <f aca="false">-SUMIF(Monthly!$C$5:$BJ$5,E$27,Monthly!$C$34:$BJ$34)</f>
        <v>164254.5</v>
      </c>
      <c r="F36" s="35" t="n">
        <f aca="false">-SUMIF(Monthly!$C$5:$BJ$5,F$27,Monthly!$C$34:$BJ$34)</f>
        <v>188892.675</v>
      </c>
      <c r="G36" s="78"/>
    </row>
    <row r="37" customFormat="false" ht="15" hidden="false" customHeight="false" outlineLevel="0" collapsed="false">
      <c r="A37" s="6" t="s">
        <v>182</v>
      </c>
      <c r="B37" s="79" t="n">
        <f aca="false">IF(B35=0,0,B36/B35)</f>
        <v>111.111111111111</v>
      </c>
      <c r="C37" s="79" t="n">
        <f aca="false">IF(C35=0,0,C36/C35)</f>
        <v>111.111111111111</v>
      </c>
      <c r="D37" s="79" t="n">
        <f aca="false">IF(D35=0,0,D36/D35)</f>
        <v>111.111111111111</v>
      </c>
      <c r="E37" s="79" t="n">
        <f aca="false">IF(E35=0,0,E36/E35)</f>
        <v>111.111111111111</v>
      </c>
      <c r="F37" s="79" t="n">
        <f aca="false">IF(F35=0,0,F36/F35)</f>
        <v>111.111111111111</v>
      </c>
      <c r="G37" s="80"/>
    </row>
    <row r="38" customFormat="false" ht="15" hidden="false" customHeight="false" outlineLevel="0" collapsed="false">
      <c r="A38" s="4" t="s">
        <v>41</v>
      </c>
      <c r="B38" s="81" t="n">
        <f aca="false">SUMIF(Monthly!$C$5:$BJ$5,B$27,Monthly!$C$22:$BJ$22)</f>
        <v>1710030</v>
      </c>
      <c r="C38" s="81" t="n">
        <f aca="false">SUMIF(Monthly!$C$5:$BJ$5,C$27,Monthly!$C$22:$BJ$22)</f>
        <v>2015484.945</v>
      </c>
      <c r="D38" s="81" t="n">
        <f aca="false">SUMIF(Monthly!$C$5:$BJ$5,D$27,Monthly!$C$22:$BJ$22)</f>
        <v>2376160.7103285</v>
      </c>
      <c r="E38" s="81" t="n">
        <f aca="false">SUMIF(Monthly!$C$5:$BJ$5,E$27,Monthly!$C$22:$BJ$22)</f>
        <v>2802167.24956282</v>
      </c>
      <c r="F38" s="81" t="n">
        <f aca="false">SUMIF(Monthly!$C$5:$BJ$5,F$27,Monthly!$C$22:$BJ$22)</f>
        <v>3305490.4674617</v>
      </c>
      <c r="G38" s="78"/>
    </row>
    <row r="39" customFormat="false" ht="15" hidden="false" customHeight="false" outlineLevel="0" collapsed="false">
      <c r="A39" s="6" t="s">
        <v>183</v>
      </c>
      <c r="B39" s="35" t="n">
        <f aca="false">SUMIF(Monthly!$C$5:$BJ$5,B$27,Monthly!$C$19:$BJ$19)</f>
        <v>1614030</v>
      </c>
      <c r="C39" s="35" t="n">
        <f aca="false">SUMIF(Monthly!$C$5:$BJ$5,C$27,Monthly!$C$19:$BJ$19)</f>
        <v>1896828.945</v>
      </c>
      <c r="D39" s="35" t="n">
        <f aca="false">SUMIF(Monthly!$C$5:$BJ$5,D$27,Monthly!$C$19:$BJ$19)</f>
        <v>2229501.8943285</v>
      </c>
      <c r="E39" s="35" t="n">
        <f aca="false">SUMIF(Monthly!$C$5:$BJ$5,E$27,Monthly!$C$19:$BJ$19)</f>
        <v>2620896.95298682</v>
      </c>
      <c r="F39" s="35" t="n">
        <f aca="false">SUMIF(Monthly!$C$5:$BJ$5,F$27,Monthly!$C$19:$BJ$19)</f>
        <v>3081440.38089377</v>
      </c>
      <c r="G39" s="78"/>
    </row>
    <row r="40" customFormat="false" ht="15" hidden="false" customHeight="false" outlineLevel="0" collapsed="false">
      <c r="A40" s="6" t="s">
        <v>184</v>
      </c>
      <c r="B40" s="79" t="n">
        <f aca="false">IF(B32=0,0,B39/B32)</f>
        <v>440</v>
      </c>
      <c r="C40" s="79" t="n">
        <f aca="false">IF(C32=0,0,C39/C32)</f>
        <v>453.2</v>
      </c>
      <c r="D40" s="79" t="n">
        <f aca="false">IF(D32=0,0,D39/D32)</f>
        <v>466.796</v>
      </c>
      <c r="E40" s="79" t="n">
        <f aca="false">IF(E32=0,0,E39/E32)</f>
        <v>480.79988</v>
      </c>
      <c r="F40" s="79" t="n">
        <f aca="false">IF(F32=0,0,F39/F32)</f>
        <v>495.2238764</v>
      </c>
      <c r="G40" s="80"/>
    </row>
    <row r="41" customFormat="false" ht="15" hidden="false" customHeight="false" outlineLevel="0" collapsed="false">
      <c r="A41" s="6" t="s">
        <v>185</v>
      </c>
      <c r="B41" s="35" t="n">
        <f aca="false">IF(B29=0,0,B38/B29)</f>
        <v>244290</v>
      </c>
      <c r="C41" s="35" t="n">
        <f aca="false">IF(C29=0,0,C38/C29)</f>
        <v>257077.161352041</v>
      </c>
      <c r="D41" s="35" t="n">
        <f aca="false">IF(D29=0,0,D38/D29)</f>
        <v>270608.681478738</v>
      </c>
      <c r="E41" s="35" t="n">
        <f aca="false">IF(E29=0,0,E38/E29)</f>
        <v>284932.471329778</v>
      </c>
      <c r="F41" s="35" t="n">
        <f aca="false">IF(F29=0,0,F38/F29)</f>
        <v>300099.850009536</v>
      </c>
      <c r="G41" s="78"/>
    </row>
    <row r="42" customFormat="false" ht="15" hidden="false" customHeight="false" outlineLevel="0" collapsed="false">
      <c r="A42" s="6" t="s">
        <v>186</v>
      </c>
      <c r="B42" s="73" t="n">
        <f aca="false">INDEX(Monthly!$C$20:$BJ$20,B$27*12)</f>
        <v>400</v>
      </c>
      <c r="C42" s="73" t="n">
        <f aca="false">INDEX(Monthly!$C$20:$BJ$20,C$27*12)</f>
        <v>480</v>
      </c>
      <c r="D42" s="73" t="n">
        <f aca="false">INDEX(Monthly!$C$20:$BJ$20,D$27*12)</f>
        <v>576</v>
      </c>
      <c r="E42" s="73" t="n">
        <f aca="false">INDEX(Monthly!$C$20:$BJ$20,E$27*12)</f>
        <v>691.2</v>
      </c>
      <c r="F42" s="73" t="n">
        <f aca="false">INDEX(Monthly!$C$20:$BJ$20,F$27*12)</f>
        <v>829.44</v>
      </c>
      <c r="G42" s="74"/>
    </row>
    <row r="43" customFormat="false" ht="15" hidden="false" customHeight="false" outlineLevel="0" collapsed="false">
      <c r="A43" s="6" t="s">
        <v>187</v>
      </c>
      <c r="B43" s="35" t="n">
        <f aca="false">SUMIF(Monthly!$C$5:$BJ$5,B$27,Monthly!$C$21:$BJ$21)</f>
        <v>96000</v>
      </c>
      <c r="C43" s="35" t="n">
        <f aca="false">SUMIF(Monthly!$C$5:$BJ$5,C$27,Monthly!$C$21:$BJ$21)</f>
        <v>118656</v>
      </c>
      <c r="D43" s="35" t="n">
        <f aca="false">SUMIF(Monthly!$C$5:$BJ$5,D$27,Monthly!$C$21:$BJ$21)</f>
        <v>146658.816</v>
      </c>
      <c r="E43" s="35" t="n">
        <f aca="false">SUMIF(Monthly!$C$5:$BJ$5,E$27,Monthly!$C$21:$BJ$21)</f>
        <v>181270.296576</v>
      </c>
      <c r="F43" s="35" t="n">
        <f aca="false">SUMIF(Monthly!$C$5:$BJ$5,F$27,Monthly!$C$21:$BJ$21)</f>
        <v>224050.086567936</v>
      </c>
      <c r="G43" s="78"/>
    </row>
    <row r="44" customFormat="false" ht="15" hidden="false" customHeight="false" outlineLevel="0" collapsed="false">
      <c r="A44" s="38" t="s">
        <v>188</v>
      </c>
      <c r="B44" s="76" t="n">
        <f aca="false">IF(B38=0,0,B43/B38)</f>
        <v>0.0561393659760355</v>
      </c>
      <c r="C44" s="76" t="n">
        <f aca="false">IF(C38=0,0,C43/C38)</f>
        <v>0.0588721837364059</v>
      </c>
      <c r="D44" s="76" t="n">
        <f aca="false">IF(D38=0,0,D43/D38)</f>
        <v>0.0617209161663668</v>
      </c>
      <c r="E44" s="76" t="n">
        <f aca="false">IF(E38=0,0,E43/E38)</f>
        <v>0.0646893209548005</v>
      </c>
      <c r="F44" s="76" t="n">
        <f aca="false">IF(F38=0,0,F43/F38)</f>
        <v>0.0677811927680387</v>
      </c>
      <c r="G44" s="77"/>
    </row>
    <row r="45" customFormat="false" ht="15" hidden="false" customHeight="false" outlineLevel="0" collapsed="false">
      <c r="A45" s="6" t="s">
        <v>42</v>
      </c>
      <c r="B45" s="35" t="n">
        <f aca="false">SUMIF(Monthly!$C$5:$BJ$5,B$27,Monthly!$C$30:$BJ$30)</f>
        <v>659822.5</v>
      </c>
      <c r="C45" s="35" t="n">
        <f aca="false">SUMIF(Monthly!$C$5:$BJ$5,C$27,Monthly!$C$30:$BJ$30)</f>
        <v>795749.54875</v>
      </c>
      <c r="D45" s="35" t="n">
        <f aca="false">SUMIF(Monthly!$C$5:$BJ$5,D$27,Monthly!$C$30:$BJ$30)</f>
        <v>958942.464010375</v>
      </c>
      <c r="E45" s="35" t="n">
        <f aca="false">SUMIF(Monthly!$C$5:$BJ$5,E$27,Monthly!$C$30:$BJ$30)</f>
        <v>1154797.05824051</v>
      </c>
      <c r="F45" s="35" t="n">
        <f aca="false">SUMIF(Monthly!$C$5:$BJ$5,F$27,Monthly!$C$30:$BJ$30)</f>
        <v>1389770.98121845</v>
      </c>
      <c r="G45" s="78"/>
    </row>
    <row r="46" customFormat="false" ht="15" hidden="false" customHeight="false" outlineLevel="0" collapsed="false">
      <c r="A46" s="38" t="s">
        <v>43</v>
      </c>
      <c r="B46" s="76" t="n">
        <f aca="false">IF(B38=0,0,B45/B38)</f>
        <v>0.385854341736695</v>
      </c>
      <c r="C46" s="76" t="n">
        <f aca="false">IF(C38=0,0,C45/C38)</f>
        <v>0.394817907583031</v>
      </c>
      <c r="D46" s="76" t="n">
        <f aca="false">IF(D38=0,0,D45/D38)</f>
        <v>0.403568016187677</v>
      </c>
      <c r="E46" s="76" t="n">
        <f aca="false">IF(E38=0,0,E45/E38)</f>
        <v>0.412108541494328</v>
      </c>
      <c r="F46" s="76" t="n">
        <f aca="false">IF(F38=0,0,F45/F38)</f>
        <v>0.420443197431352</v>
      </c>
      <c r="G46" s="77"/>
    </row>
    <row r="47" customFormat="false" ht="15" hidden="false" customHeight="false" outlineLevel="0" collapsed="false">
      <c r="A47" s="6" t="s">
        <v>189</v>
      </c>
      <c r="B47" s="79" t="n">
        <f aca="false">IF(B32=0,0,B45/B32)</f>
        <v>179.873918080829</v>
      </c>
      <c r="C47" s="79" t="n">
        <f aca="false">IF(C32=0,0,C45/C32)</f>
        <v>190.124521477871</v>
      </c>
      <c r="D47" s="79" t="n">
        <f aca="false">IF(D32=0,0,D45/D32)</f>
        <v>200.776015292424</v>
      </c>
      <c r="E47" s="79" t="n">
        <f aca="false">IF(E32=0,0,E45/E32)</f>
        <v>211.845905041647</v>
      </c>
      <c r="F47" s="79" t="n">
        <f aca="false">IF(F32=0,0,F45/F32)</f>
        <v>223.352616813443</v>
      </c>
      <c r="G47" s="80"/>
    </row>
    <row r="48" customFormat="false" ht="15" hidden="false" customHeight="false" outlineLevel="0" collapsed="false">
      <c r="A48" s="6" t="s">
        <v>45</v>
      </c>
      <c r="B48" s="35" t="n">
        <f aca="false">SUMIF(Monthly!$C$5:$BJ$5,B$27,Monthly!$C$41:$BJ$41)</f>
        <v>266071.69</v>
      </c>
      <c r="C48" s="35" t="n">
        <f aca="false">SUMIF(Monthly!$C$5:$BJ$5,C$27,Monthly!$C$41:$BJ$41)</f>
        <v>362576.355235</v>
      </c>
      <c r="D48" s="35" t="n">
        <f aca="false">SUMIF(Monthly!$C$5:$BJ$5,D$27,Monthly!$C$41:$BJ$41)</f>
        <v>480449.961331505</v>
      </c>
      <c r="E48" s="35" t="n">
        <f aca="false">SUMIF(Monthly!$C$5:$BJ$5,E$27,Monthly!$C$41:$BJ$41)</f>
        <v>624189.93583281</v>
      </c>
      <c r="F48" s="35" t="n">
        <f aca="false">SUMIF(Monthly!$C$5:$BJ$5,F$27,Monthly!$C$41:$BJ$41)</f>
        <v>799215.742505564</v>
      </c>
      <c r="G48" s="78"/>
    </row>
    <row r="49" customFormat="false" ht="15" hidden="false" customHeight="false" outlineLevel="0" collapsed="false">
      <c r="A49" s="38" t="s">
        <v>46</v>
      </c>
      <c r="B49" s="76" t="n">
        <f aca="false">IF(B38=0,0,B48/B38)</f>
        <v>0.155594749799711</v>
      </c>
      <c r="C49" s="76" t="n">
        <f aca="false">IF(C38=0,0,C48/C38)</f>
        <v>0.179895342872432</v>
      </c>
      <c r="D49" s="76" t="n">
        <f aca="false">IF(D38=0,0,D48/D38)</f>
        <v>0.202195903350781</v>
      </c>
      <c r="E49" s="76" t="n">
        <f aca="false">IF(E38=0,0,E48/E38)</f>
        <v>0.222752562656705</v>
      </c>
      <c r="F49" s="76" t="n">
        <f aca="false">IF(F38=0,0,F48/F38)</f>
        <v>0.241784313212461</v>
      </c>
      <c r="G49" s="7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190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5" customFormat="false" ht="15" hidden="false" customHeight="false" outlineLevel="0" collapsed="false">
      <c r="A5" s="33" t="s">
        <v>192</v>
      </c>
      <c r="B5" s="59" t="s">
        <v>193</v>
      </c>
      <c r="C5" s="59" t="s">
        <v>194</v>
      </c>
      <c r="D5" s="59" t="s">
        <v>195</v>
      </c>
      <c r="E5" s="59" t="s">
        <v>196</v>
      </c>
      <c r="F5" s="33" t="s">
        <v>197</v>
      </c>
      <c r="G5" s="33" t="s">
        <v>198</v>
      </c>
    </row>
    <row r="6" customFormat="false" ht="15.75" hidden="false" customHeight="true" outlineLevel="0" collapsed="false">
      <c r="A6" s="7" t="s">
        <v>199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200</v>
      </c>
      <c r="B7" s="82" t="n">
        <v>2.35</v>
      </c>
      <c r="C7" s="82" t="n">
        <v>2.5</v>
      </c>
      <c r="D7" s="82" t="n">
        <v>2.65</v>
      </c>
      <c r="E7" s="83" t="n">
        <f aca="false">CHOOSE(Dashboard!$B$4,B7,C7,D7)</f>
        <v>2.5</v>
      </c>
      <c r="F7" s="38" t="s">
        <v>201</v>
      </c>
      <c r="G7" s="84" t="s">
        <v>202</v>
      </c>
    </row>
    <row r="8" customFormat="false" ht="15" hidden="false" customHeight="false" outlineLevel="0" collapsed="false">
      <c r="A8" s="6" t="s">
        <v>203</v>
      </c>
      <c r="B8" s="85" t="n">
        <v>21</v>
      </c>
      <c r="C8" s="85" t="n">
        <v>21</v>
      </c>
      <c r="D8" s="85" t="n">
        <v>21</v>
      </c>
      <c r="E8" s="86" t="n">
        <f aca="false">CHOOSE(Dashboard!$B$4,B8,C8,D8)</f>
        <v>21</v>
      </c>
      <c r="F8" s="38" t="s">
        <v>204</v>
      </c>
      <c r="G8" s="84"/>
    </row>
    <row r="10" customFormat="false" ht="15.75" hidden="false" customHeight="true" outlineLevel="0" collapsed="false">
      <c r="A10" s="7" t="s">
        <v>205</v>
      </c>
      <c r="B10" s="7"/>
      <c r="C10" s="7"/>
      <c r="D10" s="7"/>
      <c r="E10" s="7"/>
      <c r="F10" s="7"/>
      <c r="G10" s="7"/>
    </row>
    <row r="11" customFormat="false" ht="15" hidden="false" customHeight="false" outlineLevel="0" collapsed="false">
      <c r="A11" s="6" t="s">
        <v>206</v>
      </c>
      <c r="B11" s="87" t="n">
        <v>9000</v>
      </c>
      <c r="C11" s="87" t="n">
        <v>9000</v>
      </c>
      <c r="D11" s="87" t="n">
        <v>9000</v>
      </c>
      <c r="E11" s="88" t="n">
        <f aca="false">CHOOSE(Dashboard!$B$4,B11,C11,D11)</f>
        <v>9000</v>
      </c>
      <c r="F11" s="38" t="s">
        <v>207</v>
      </c>
      <c r="G11" s="84"/>
    </row>
    <row r="12" customFormat="false" ht="15" hidden="false" customHeight="false" outlineLevel="0" collapsed="false">
      <c r="A12" s="6" t="s">
        <v>208</v>
      </c>
      <c r="B12" s="89" t="n">
        <v>0.12</v>
      </c>
      <c r="C12" s="89" t="n">
        <v>0.15</v>
      </c>
      <c r="D12" s="89" t="n">
        <v>0.18</v>
      </c>
      <c r="E12" s="90" t="n">
        <f aca="false">CHOOSE(Dashboard!$B$4,B12,C12,D12)</f>
        <v>0.15</v>
      </c>
      <c r="F12" s="38" t="s">
        <v>209</v>
      </c>
      <c r="G12" s="84" t="s">
        <v>202</v>
      </c>
    </row>
    <row r="13" customFormat="false" ht="15" hidden="false" customHeight="false" outlineLevel="0" collapsed="false">
      <c r="A13" s="6" t="s">
        <v>210</v>
      </c>
      <c r="B13" s="91" t="n">
        <v>52</v>
      </c>
      <c r="C13" s="91" t="n">
        <v>50</v>
      </c>
      <c r="D13" s="91" t="n">
        <v>48</v>
      </c>
      <c r="E13" s="92" t="n">
        <f aca="false">CHOOSE(Dashboard!$B$4,B13,C13,D13)</f>
        <v>50</v>
      </c>
      <c r="F13" s="38" t="s">
        <v>207</v>
      </c>
      <c r="G13" s="84" t="s">
        <v>211</v>
      </c>
    </row>
    <row r="14" customFormat="false" ht="15" hidden="false" customHeight="false" outlineLevel="0" collapsed="false">
      <c r="A14" s="6" t="s">
        <v>212</v>
      </c>
      <c r="B14" s="89" t="n">
        <v>0.42</v>
      </c>
      <c r="C14" s="89" t="n">
        <v>0.45</v>
      </c>
      <c r="D14" s="89" t="n">
        <v>0.48</v>
      </c>
      <c r="E14" s="90" t="n">
        <f aca="false">CHOOSE(Dashboard!$B$4,B14,C14,D14)</f>
        <v>0.45</v>
      </c>
      <c r="F14" s="38" t="s">
        <v>209</v>
      </c>
      <c r="G14" s="84" t="s">
        <v>202</v>
      </c>
    </row>
    <row r="15" customFormat="false" ht="15" hidden="false" customHeight="false" outlineLevel="0" collapsed="false">
      <c r="A15" s="6" t="s">
        <v>213</v>
      </c>
      <c r="B15" s="82" t="n">
        <v>190</v>
      </c>
      <c r="C15" s="82" t="n">
        <v>230</v>
      </c>
      <c r="D15" s="82" t="n">
        <v>270</v>
      </c>
      <c r="E15" s="83" t="n">
        <f aca="false">CHOOSE(Dashboard!$B$4,B15,C15,D15)</f>
        <v>230</v>
      </c>
      <c r="F15" s="38" t="s">
        <v>201</v>
      </c>
      <c r="G15" s="84" t="s">
        <v>202</v>
      </c>
    </row>
    <row r="16" customFormat="false" ht="15" hidden="false" customHeight="false" outlineLevel="0" collapsed="false">
      <c r="A16" s="6" t="s">
        <v>214</v>
      </c>
      <c r="B16" s="89" t="n">
        <v>0.12</v>
      </c>
      <c r="C16" s="89" t="n">
        <v>0.15</v>
      </c>
      <c r="D16" s="89" t="n">
        <v>0.18</v>
      </c>
      <c r="E16" s="90" t="n">
        <f aca="false">CHOOSE(Dashboard!$B$4,B16,C16,D16)</f>
        <v>0.15</v>
      </c>
      <c r="F16" s="38" t="s">
        <v>209</v>
      </c>
      <c r="G16" s="84" t="s">
        <v>202</v>
      </c>
    </row>
    <row r="17" customFormat="false" ht="15" hidden="false" customHeight="false" outlineLevel="0" collapsed="false">
      <c r="A17" s="6" t="s">
        <v>215</v>
      </c>
      <c r="B17" s="89" t="n">
        <v>0.25</v>
      </c>
      <c r="C17" s="89" t="n">
        <v>0.25</v>
      </c>
      <c r="D17" s="89" t="n">
        <v>0.25</v>
      </c>
      <c r="E17" s="90" t="n">
        <f aca="false">CHOOSE(Dashboard!$B$4,B17,C17,D17)</f>
        <v>0.25</v>
      </c>
      <c r="F17" s="38" t="s">
        <v>209</v>
      </c>
      <c r="G17" s="84"/>
    </row>
    <row r="19" customFormat="false" ht="15.75" hidden="false" customHeight="true" outlineLevel="0" collapsed="false">
      <c r="A19" s="7" t="s">
        <v>216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217</v>
      </c>
      <c r="B20" s="91" t="n">
        <v>415</v>
      </c>
      <c r="C20" s="91" t="n">
        <v>440</v>
      </c>
      <c r="D20" s="91" t="n">
        <v>465</v>
      </c>
      <c r="E20" s="92" t="n">
        <f aca="false">CHOOSE(Dashboard!$B$4,B20,C20,D20)</f>
        <v>440</v>
      </c>
      <c r="F20" s="38" t="s">
        <v>207</v>
      </c>
      <c r="G20" s="84" t="s">
        <v>202</v>
      </c>
    </row>
    <row r="21" customFormat="false" ht="15" hidden="false" customHeight="false" outlineLevel="0" collapsed="false">
      <c r="A21" s="6" t="s">
        <v>218</v>
      </c>
      <c r="B21" s="89" t="n">
        <v>0.02</v>
      </c>
      <c r="C21" s="89" t="n">
        <v>0.03</v>
      </c>
      <c r="D21" s="89" t="n">
        <v>0.04</v>
      </c>
      <c r="E21" s="90" t="n">
        <f aca="false">CHOOSE(Dashboard!$B$4,B21,C21,D21)</f>
        <v>0.03</v>
      </c>
      <c r="F21" s="38" t="s">
        <v>209</v>
      </c>
      <c r="G21" s="84" t="s">
        <v>202</v>
      </c>
    </row>
    <row r="23" customFormat="false" ht="15.75" hidden="false" customHeight="true" outlineLevel="0" collapsed="false">
      <c r="A23" s="7" t="s">
        <v>219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220</v>
      </c>
      <c r="B24" s="85" t="n">
        <v>300</v>
      </c>
      <c r="C24" s="85" t="n">
        <v>400</v>
      </c>
      <c r="D24" s="85" t="n">
        <v>500</v>
      </c>
      <c r="E24" s="86" t="n">
        <f aca="false">CHOOSE(Dashboard!$B$4,B24,C24,D24)</f>
        <v>400</v>
      </c>
      <c r="F24" s="38" t="s">
        <v>221</v>
      </c>
      <c r="G24" s="84" t="s">
        <v>202</v>
      </c>
    </row>
    <row r="25" customFormat="false" ht="15" hidden="false" customHeight="false" outlineLevel="0" collapsed="false">
      <c r="A25" s="6" t="s">
        <v>222</v>
      </c>
      <c r="B25" s="89" t="n">
        <v>0.15</v>
      </c>
      <c r="C25" s="89" t="n">
        <v>0.2</v>
      </c>
      <c r="D25" s="89" t="n">
        <v>0.25</v>
      </c>
      <c r="E25" s="90" t="n">
        <f aca="false">CHOOSE(Dashboard!$B$4,B25,C25,D25)</f>
        <v>0.2</v>
      </c>
      <c r="F25" s="38" t="s">
        <v>209</v>
      </c>
      <c r="G25" s="84" t="s">
        <v>202</v>
      </c>
    </row>
    <row r="26" customFormat="false" ht="15" hidden="false" customHeight="false" outlineLevel="0" collapsed="false">
      <c r="A26" s="6" t="s">
        <v>223</v>
      </c>
      <c r="B26" s="91" t="n">
        <v>18</v>
      </c>
      <c r="C26" s="91" t="n">
        <v>20</v>
      </c>
      <c r="D26" s="91" t="n">
        <v>22</v>
      </c>
      <c r="E26" s="92" t="n">
        <f aca="false">CHOOSE(Dashboard!$B$4,B26,C26,D26)</f>
        <v>20</v>
      </c>
      <c r="F26" s="38" t="s">
        <v>207</v>
      </c>
      <c r="G26" s="84" t="s">
        <v>202</v>
      </c>
    </row>
    <row r="27" customFormat="false" ht="15" hidden="false" customHeight="false" outlineLevel="0" collapsed="false">
      <c r="A27" s="6" t="s">
        <v>224</v>
      </c>
      <c r="B27" s="89" t="n">
        <v>0.42</v>
      </c>
      <c r="C27" s="89" t="n">
        <v>0.4</v>
      </c>
      <c r="D27" s="89" t="n">
        <v>0.38</v>
      </c>
      <c r="E27" s="90" t="n">
        <f aca="false">CHOOSE(Dashboard!$B$4,B27,C27,D27)</f>
        <v>0.4</v>
      </c>
      <c r="F27" s="38" t="s">
        <v>209</v>
      </c>
      <c r="G27" s="84" t="s">
        <v>211</v>
      </c>
    </row>
    <row r="29" customFormat="false" ht="15.75" hidden="false" customHeight="true" outlineLevel="0" collapsed="false">
      <c r="A29" s="7" t="s">
        <v>225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226</v>
      </c>
      <c r="B30" s="89" t="n">
        <v>0.26</v>
      </c>
      <c r="C30" s="89" t="n">
        <v>0.25</v>
      </c>
      <c r="D30" s="89" t="n">
        <v>0.24</v>
      </c>
      <c r="E30" s="90" t="n">
        <f aca="false">CHOOSE(Dashboard!$B$4,B30,C30,D30)</f>
        <v>0.25</v>
      </c>
      <c r="F30" s="38" t="s">
        <v>209</v>
      </c>
      <c r="G30" s="84" t="s">
        <v>211</v>
      </c>
    </row>
    <row r="31" customFormat="false" ht="15" hidden="false" customHeight="false" outlineLevel="0" collapsed="false">
      <c r="A31" s="6" t="s">
        <v>227</v>
      </c>
      <c r="B31" s="87" t="n">
        <v>1350</v>
      </c>
      <c r="C31" s="87" t="n">
        <v>1300</v>
      </c>
      <c r="D31" s="87" t="n">
        <v>1250</v>
      </c>
      <c r="E31" s="88" t="n">
        <f aca="false">CHOOSE(Dashboard!$B$4,B31,C31,D31)</f>
        <v>1300</v>
      </c>
      <c r="F31" s="38" t="s">
        <v>207</v>
      </c>
      <c r="G31" s="84" t="s">
        <v>211</v>
      </c>
    </row>
    <row r="32" customFormat="false" ht="15" hidden="false" customHeight="false" outlineLevel="0" collapsed="false">
      <c r="A32" s="6" t="s">
        <v>228</v>
      </c>
      <c r="B32" s="87" t="n">
        <v>120</v>
      </c>
      <c r="C32" s="87" t="n">
        <v>120</v>
      </c>
      <c r="D32" s="87" t="n">
        <v>120</v>
      </c>
      <c r="E32" s="88" t="n">
        <f aca="false">CHOOSE(Dashboard!$B$4,B32,C32,D32)</f>
        <v>120</v>
      </c>
      <c r="F32" s="38" t="s">
        <v>207</v>
      </c>
      <c r="G32" s="84"/>
    </row>
    <row r="33" customFormat="false" ht="15" hidden="false" customHeight="false" outlineLevel="0" collapsed="false">
      <c r="A33" s="6" t="s">
        <v>229</v>
      </c>
      <c r="B33" s="87" t="n">
        <v>3500</v>
      </c>
      <c r="C33" s="87" t="n">
        <v>3500</v>
      </c>
      <c r="D33" s="87" t="n">
        <v>3500</v>
      </c>
      <c r="E33" s="88" t="n">
        <f aca="false">CHOOSE(Dashboard!$B$4,B33,C33,D33)</f>
        <v>3500</v>
      </c>
      <c r="F33" s="38" t="s">
        <v>207</v>
      </c>
      <c r="G33" s="84"/>
    </row>
    <row r="34" customFormat="false" ht="15" hidden="false" customHeight="false" outlineLevel="0" collapsed="false">
      <c r="A34" s="6" t="s">
        <v>230</v>
      </c>
      <c r="B34" s="87" t="n">
        <v>4500</v>
      </c>
      <c r="C34" s="87" t="n">
        <v>4500</v>
      </c>
      <c r="D34" s="87" t="n">
        <v>4500</v>
      </c>
      <c r="E34" s="88" t="n">
        <f aca="false">CHOOSE(Dashboard!$B$4,B34,C34,D34)</f>
        <v>4500</v>
      </c>
      <c r="F34" s="38" t="s">
        <v>207</v>
      </c>
      <c r="G34" s="84"/>
    </row>
    <row r="35" customFormat="false" ht="15" hidden="false" customHeight="false" outlineLevel="0" collapsed="false">
      <c r="A35" s="6" t="s">
        <v>231</v>
      </c>
      <c r="B35" s="87" t="n">
        <v>2500</v>
      </c>
      <c r="C35" s="87" t="n">
        <v>2500</v>
      </c>
      <c r="D35" s="87" t="n">
        <v>2500</v>
      </c>
      <c r="E35" s="88" t="n">
        <f aca="false">CHOOSE(Dashboard!$B$4,B35,C35,D35)</f>
        <v>2500</v>
      </c>
      <c r="F35" s="38" t="s">
        <v>207</v>
      </c>
      <c r="G35" s="84"/>
    </row>
    <row r="36" customFormat="false" ht="15" hidden="false" customHeight="false" outlineLevel="0" collapsed="false">
      <c r="A36" s="6" t="s">
        <v>232</v>
      </c>
      <c r="B36" s="89" t="n">
        <v>0.029</v>
      </c>
      <c r="C36" s="89" t="n">
        <v>0.027</v>
      </c>
      <c r="D36" s="89" t="n">
        <v>0.025</v>
      </c>
      <c r="E36" s="90" t="n">
        <f aca="false">CHOOSE(Dashboard!$B$4,B36,C36,D36)</f>
        <v>0.027</v>
      </c>
      <c r="F36" s="38" t="s">
        <v>209</v>
      </c>
      <c r="G36" s="84" t="s">
        <v>211</v>
      </c>
    </row>
    <row r="37" customFormat="false" ht="15" hidden="false" customHeight="false" outlineLevel="0" collapsed="false">
      <c r="A37" s="6" t="s">
        <v>233</v>
      </c>
      <c r="B37" s="87" t="n">
        <v>20000</v>
      </c>
      <c r="C37" s="87" t="n">
        <v>20000</v>
      </c>
      <c r="D37" s="87" t="n">
        <v>20000</v>
      </c>
      <c r="E37" s="88" t="n">
        <f aca="false">CHOOSE(Dashboard!$B$4,B37,C37,D37)</f>
        <v>20000</v>
      </c>
      <c r="F37" s="38" t="s">
        <v>207</v>
      </c>
      <c r="G37" s="84"/>
    </row>
    <row r="38" customFormat="false" ht="15" hidden="false" customHeight="false" outlineLevel="0" collapsed="false">
      <c r="A38" s="6" t="s">
        <v>234</v>
      </c>
      <c r="B38" s="87" t="n">
        <v>47000</v>
      </c>
      <c r="C38" s="87" t="n">
        <v>45000</v>
      </c>
      <c r="D38" s="87" t="n">
        <v>43000</v>
      </c>
      <c r="E38" s="88" t="n">
        <f aca="false">CHOOSE(Dashboard!$B$4,B38,C38,D38)</f>
        <v>45000</v>
      </c>
      <c r="F38" s="38" t="s">
        <v>207</v>
      </c>
      <c r="G38" s="84" t="s">
        <v>211</v>
      </c>
    </row>
    <row r="39" customFormat="false" ht="15" hidden="false" customHeight="false" outlineLevel="0" collapsed="false">
      <c r="A39" s="6" t="s">
        <v>235</v>
      </c>
      <c r="B39" s="82" t="n">
        <v>7</v>
      </c>
      <c r="C39" s="82" t="n">
        <v>7</v>
      </c>
      <c r="D39" s="82" t="n">
        <v>7</v>
      </c>
      <c r="E39" s="83" t="n">
        <f aca="false">CHOOSE(Dashboard!$B$4,B39,C39,D39)</f>
        <v>7</v>
      </c>
      <c r="F39" s="38" t="s">
        <v>236</v>
      </c>
      <c r="G39" s="84"/>
    </row>
    <row r="41" customFormat="false" ht="15.75" hidden="false" customHeight="true" outlineLevel="0" collapsed="false">
      <c r="A41" s="7" t="s">
        <v>237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238</v>
      </c>
      <c r="B42" s="82" t="n">
        <v>7</v>
      </c>
      <c r="C42" s="82" t="n">
        <v>7</v>
      </c>
      <c r="D42" s="82" t="n">
        <v>7</v>
      </c>
      <c r="E42" s="83" t="n">
        <f aca="false">CHOOSE(Dashboard!$B$4,B42,C42,D42)</f>
        <v>7</v>
      </c>
      <c r="F42" s="38" t="s">
        <v>236</v>
      </c>
      <c r="G42" s="84" t="s">
        <v>202</v>
      </c>
    </row>
    <row r="43" customFormat="false" ht="15" hidden="false" customHeight="false" outlineLevel="0" collapsed="false">
      <c r="A43" s="6" t="s">
        <v>239</v>
      </c>
      <c r="B43" s="87" t="n">
        <v>62000</v>
      </c>
      <c r="C43" s="87" t="n">
        <v>62000</v>
      </c>
      <c r="D43" s="87" t="n">
        <v>62000</v>
      </c>
      <c r="E43" s="88" t="n">
        <f aca="false">CHOOSE(Dashboard!$B$4,B43,C43,D43)</f>
        <v>62000</v>
      </c>
      <c r="F43" s="38" t="s">
        <v>207</v>
      </c>
      <c r="G43" s="84"/>
    </row>
    <row r="44" customFormat="false" ht="15" hidden="false" customHeight="false" outlineLevel="0" collapsed="false">
      <c r="A44" s="6" t="s">
        <v>240</v>
      </c>
      <c r="B44" s="89" t="n">
        <v>0.12</v>
      </c>
      <c r="C44" s="89" t="n">
        <v>0.12</v>
      </c>
      <c r="D44" s="89" t="n">
        <v>0.12</v>
      </c>
      <c r="E44" s="90" t="n">
        <f aca="false">CHOOSE(Dashboard!$B$4,B44,C44,D44)</f>
        <v>0.12</v>
      </c>
      <c r="F44" s="38" t="s">
        <v>209</v>
      </c>
      <c r="G44" s="84" t="s">
        <v>202</v>
      </c>
    </row>
    <row r="45" customFormat="false" ht="15" hidden="false" customHeight="false" outlineLevel="0" collapsed="false">
      <c r="A45" s="6" t="s">
        <v>241</v>
      </c>
      <c r="B45" s="85" t="n">
        <v>1</v>
      </c>
      <c r="C45" s="85" t="n">
        <v>1</v>
      </c>
      <c r="D45" s="85" t="n">
        <v>1</v>
      </c>
      <c r="E45" s="86" t="n">
        <f aca="false">CHOOSE(Dashboard!$B$4,B45,C45,D45)</f>
        <v>1</v>
      </c>
      <c r="F45" s="38" t="s">
        <v>242</v>
      </c>
      <c r="G45" s="84"/>
    </row>
    <row r="46" customFormat="false" ht="15" hidden="false" customHeight="false" outlineLevel="0" collapsed="false">
      <c r="A46" s="6" t="s">
        <v>243</v>
      </c>
      <c r="B46" s="82" t="n">
        <v>2</v>
      </c>
      <c r="C46" s="82" t="n">
        <v>2</v>
      </c>
      <c r="D46" s="82" t="n">
        <v>2</v>
      </c>
      <c r="E46" s="83" t="n">
        <f aca="false">CHOOSE(Dashboard!$B$4,B46,C46,D46)</f>
        <v>2</v>
      </c>
      <c r="F46" s="38" t="s">
        <v>236</v>
      </c>
      <c r="G46" s="84" t="s">
        <v>202</v>
      </c>
    </row>
    <row r="47" customFormat="false" ht="15" hidden="false" customHeight="false" outlineLevel="0" collapsed="false">
      <c r="A47" s="6" t="s">
        <v>244</v>
      </c>
      <c r="B47" s="87" t="n">
        <v>45000</v>
      </c>
      <c r="C47" s="87" t="n">
        <v>45000</v>
      </c>
      <c r="D47" s="87" t="n">
        <v>45000</v>
      </c>
      <c r="E47" s="88" t="n">
        <f aca="false">CHOOSE(Dashboard!$B$4,B47,C47,D47)</f>
        <v>45000</v>
      </c>
      <c r="F47" s="38" t="s">
        <v>207</v>
      </c>
      <c r="G47" s="84"/>
    </row>
    <row r="48" customFormat="false" ht="15" hidden="false" customHeight="false" outlineLevel="0" collapsed="false">
      <c r="A48" s="6" t="s">
        <v>245</v>
      </c>
      <c r="B48" s="89" t="n">
        <v>0.1</v>
      </c>
      <c r="C48" s="89" t="n">
        <v>0.1</v>
      </c>
      <c r="D48" s="89" t="n">
        <v>0.1</v>
      </c>
      <c r="E48" s="90" t="n">
        <f aca="false">CHOOSE(Dashboard!$B$4,B48,C48,D48)</f>
        <v>0.1</v>
      </c>
      <c r="F48" s="38" t="s">
        <v>209</v>
      </c>
      <c r="G48" s="84" t="s">
        <v>202</v>
      </c>
    </row>
    <row r="49" customFormat="false" ht="15" hidden="false" customHeight="false" outlineLevel="0" collapsed="false">
      <c r="A49" s="6" t="s">
        <v>246</v>
      </c>
      <c r="B49" s="85" t="n">
        <v>1</v>
      </c>
      <c r="C49" s="85" t="n">
        <v>1</v>
      </c>
      <c r="D49" s="85" t="n">
        <v>1</v>
      </c>
      <c r="E49" s="86" t="n">
        <f aca="false">CHOOSE(Dashboard!$B$4,B49,C49,D49)</f>
        <v>1</v>
      </c>
      <c r="F49" s="38" t="s">
        <v>242</v>
      </c>
      <c r="G49" s="84"/>
    </row>
    <row r="50" customFormat="false" ht="15" hidden="false" customHeight="false" outlineLevel="0" collapsed="false">
      <c r="A50" s="6" t="s">
        <v>247</v>
      </c>
      <c r="B50" s="89" t="n">
        <v>0.15</v>
      </c>
      <c r="C50" s="89" t="n">
        <v>0.15</v>
      </c>
      <c r="D50" s="89" t="n">
        <v>0.15</v>
      </c>
      <c r="E50" s="90" t="n">
        <f aca="false">CHOOSE(Dashboard!$B$4,B50,C50,D50)</f>
        <v>0.15</v>
      </c>
      <c r="F50" s="38" t="s">
        <v>209</v>
      </c>
      <c r="G50" s="84"/>
    </row>
    <row r="51" customFormat="false" ht="15" hidden="false" customHeight="false" outlineLevel="0" collapsed="false">
      <c r="A51" s="6" t="s">
        <v>248</v>
      </c>
      <c r="B51" s="89" t="n">
        <v>0.03</v>
      </c>
      <c r="C51" s="89" t="n">
        <v>0.03</v>
      </c>
      <c r="D51" s="89" t="n">
        <v>0.03</v>
      </c>
      <c r="E51" s="90" t="n">
        <f aca="false">CHOOSE(Dashboard!$B$4,B51,C51,D51)</f>
        <v>0.03</v>
      </c>
      <c r="F51" s="38" t="s">
        <v>209</v>
      </c>
      <c r="G51" s="84"/>
    </row>
    <row r="53" customFormat="false" ht="15.75" hidden="false" customHeight="true" outlineLevel="0" collapsed="false">
      <c r="A53" s="7" t="s">
        <v>249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250</v>
      </c>
      <c r="B54" s="87" t="n">
        <v>100000</v>
      </c>
      <c r="C54" s="87" t="n">
        <v>100000</v>
      </c>
      <c r="D54" s="87" t="n">
        <v>100000</v>
      </c>
      <c r="E54" s="88" t="n">
        <f aca="false">CHOOSE(Dashboard!$B$4,B54,C54,D54)</f>
        <v>100000</v>
      </c>
      <c r="F54" s="38" t="s">
        <v>207</v>
      </c>
      <c r="G54" s="84"/>
    </row>
    <row r="55" customFormat="false" ht="15" hidden="false" customHeight="false" outlineLevel="0" collapsed="false">
      <c r="A55" s="6" t="s">
        <v>251</v>
      </c>
      <c r="B55" s="87" t="n">
        <v>250000</v>
      </c>
      <c r="C55" s="87" t="n">
        <v>250000</v>
      </c>
      <c r="D55" s="87" t="n">
        <v>250000</v>
      </c>
      <c r="E55" s="88" t="n">
        <f aca="false">CHOOSE(Dashboard!$B$4,B55,C55,D55)</f>
        <v>250000</v>
      </c>
      <c r="F55" s="38" t="s">
        <v>207</v>
      </c>
      <c r="G55" s="84"/>
    </row>
    <row r="56" customFormat="false" ht="15" hidden="false" customHeight="false" outlineLevel="0" collapsed="false">
      <c r="A56" s="6" t="s">
        <v>252</v>
      </c>
      <c r="B56" s="89" t="n">
        <v>0.08</v>
      </c>
      <c r="C56" s="89" t="n">
        <v>0.08</v>
      </c>
      <c r="D56" s="89" t="n">
        <v>0.08</v>
      </c>
      <c r="E56" s="90" t="n">
        <f aca="false">CHOOSE(Dashboard!$B$4,B56,C56,D56)</f>
        <v>0.08</v>
      </c>
      <c r="F56" s="38" t="s">
        <v>209</v>
      </c>
      <c r="G56" s="84"/>
    </row>
    <row r="57" customFormat="false" ht="15" hidden="false" customHeight="false" outlineLevel="0" collapsed="false">
      <c r="A57" s="6" t="s">
        <v>253</v>
      </c>
      <c r="B57" s="85" t="n">
        <v>5</v>
      </c>
      <c r="C57" s="85" t="n">
        <v>5</v>
      </c>
      <c r="D57" s="85" t="n">
        <v>5</v>
      </c>
      <c r="E57" s="86" t="n">
        <f aca="false">CHOOSE(Dashboard!$B$4,B57,C57,D57)</f>
        <v>5</v>
      </c>
      <c r="F57" s="38" t="s">
        <v>254</v>
      </c>
      <c r="G57" s="84"/>
    </row>
    <row r="59" customFormat="false" ht="15.75" hidden="false" customHeight="true" outlineLevel="0" collapsed="false">
      <c r="A59" s="7" t="s">
        <v>255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256</v>
      </c>
      <c r="B60" s="85" t="n">
        <v>10</v>
      </c>
      <c r="C60" s="85" t="n">
        <v>10</v>
      </c>
      <c r="D60" s="85" t="n">
        <v>10</v>
      </c>
      <c r="E60" s="86" t="n">
        <f aca="false">CHOOSE(Dashboard!$B$4,B60,C60,D60)</f>
        <v>10</v>
      </c>
      <c r="F60" s="38" t="s">
        <v>204</v>
      </c>
      <c r="G60" s="84"/>
    </row>
    <row r="61" customFormat="false" ht="15" hidden="false" customHeight="false" outlineLevel="0" collapsed="false">
      <c r="A61" s="6" t="s">
        <v>257</v>
      </c>
      <c r="B61" s="85" t="n">
        <v>5</v>
      </c>
      <c r="C61" s="85" t="n">
        <v>5</v>
      </c>
      <c r="D61" s="85" t="n">
        <v>5</v>
      </c>
      <c r="E61" s="86" t="n">
        <f aca="false">CHOOSE(Dashboard!$B$4,B61,C61,D61)</f>
        <v>5</v>
      </c>
      <c r="F61" s="38" t="s">
        <v>204</v>
      </c>
      <c r="G61" s="84"/>
    </row>
    <row r="62" customFormat="false" ht="15" hidden="false" customHeight="false" outlineLevel="0" collapsed="false">
      <c r="A62" s="6" t="s">
        <v>258</v>
      </c>
      <c r="B62" s="85" t="n">
        <v>20</v>
      </c>
      <c r="C62" s="85" t="n">
        <v>20</v>
      </c>
      <c r="D62" s="85" t="n">
        <v>20</v>
      </c>
      <c r="E62" s="86" t="n">
        <f aca="false">CHOOSE(Dashboard!$B$4,B62,C62,D62)</f>
        <v>20</v>
      </c>
      <c r="F62" s="38" t="s">
        <v>204</v>
      </c>
      <c r="G62" s="84"/>
    </row>
    <row r="64" customFormat="false" ht="15.75" hidden="false" customHeight="true" outlineLevel="0" collapsed="false">
      <c r="A64" s="7" t="s">
        <v>259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260</v>
      </c>
      <c r="B65" s="85" t="n">
        <v>5</v>
      </c>
      <c r="C65" s="85" t="n">
        <v>5</v>
      </c>
      <c r="D65" s="85" t="n">
        <v>5</v>
      </c>
      <c r="E65" s="86" t="n">
        <f aca="false">CHOOSE(Dashboard!$B$4,B65,C65,D65)</f>
        <v>5</v>
      </c>
      <c r="F65" s="38" t="s">
        <v>254</v>
      </c>
      <c r="G65" s="84"/>
    </row>
    <row r="66" customFormat="false" ht="15" hidden="false" customHeight="false" outlineLevel="0" collapsed="false">
      <c r="A66" s="6" t="s">
        <v>261</v>
      </c>
      <c r="B66" s="89" t="n">
        <v>0.21</v>
      </c>
      <c r="C66" s="89" t="n">
        <v>0.21</v>
      </c>
      <c r="D66" s="89" t="n">
        <v>0.21</v>
      </c>
      <c r="E66" s="90" t="n">
        <f aca="false">CHOOSE(Dashboard!$B$4,B66,C66,D66)</f>
        <v>0.21</v>
      </c>
      <c r="F66" s="38" t="s">
        <v>209</v>
      </c>
      <c r="G66" s="84"/>
    </row>
    <row r="68" customFormat="false" ht="15.75" hidden="false" customHeight="true" outlineLevel="0" collapsed="false">
      <c r="A68" s="7" t="s">
        <v>262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107</v>
      </c>
      <c r="B69" s="87" t="n">
        <v>98000</v>
      </c>
      <c r="C69" s="87" t="n">
        <v>98000</v>
      </c>
      <c r="D69" s="87" t="n">
        <v>98000</v>
      </c>
      <c r="E69" s="88" t="n">
        <f aca="false">CHOOSE(Dashboard!$B$4,B69,C69,D69)</f>
        <v>98000</v>
      </c>
      <c r="F69" s="38" t="s">
        <v>207</v>
      </c>
      <c r="G69" s="84" t="s">
        <v>263</v>
      </c>
    </row>
    <row r="71" customFormat="false" ht="15.75" hidden="false" customHeight="true" outlineLevel="0" collapsed="false">
      <c r="A71" s="7" t="s">
        <v>264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134</v>
      </c>
      <c r="B72" s="89" t="n">
        <v>0.2</v>
      </c>
      <c r="C72" s="89" t="n">
        <v>0.16</v>
      </c>
      <c r="D72" s="89" t="n">
        <v>0.13</v>
      </c>
      <c r="E72" s="90" t="n">
        <f aca="false">CHOOSE(Dashboard!$B$4,B72,C72,D72)</f>
        <v>0.16</v>
      </c>
      <c r="F72" s="38" t="s">
        <v>209</v>
      </c>
      <c r="G72" s="84" t="s">
        <v>211</v>
      </c>
    </row>
    <row r="73" customFormat="false" ht="15" hidden="false" customHeight="false" outlineLevel="0" collapsed="false">
      <c r="A73" s="6" t="s">
        <v>265</v>
      </c>
      <c r="B73" s="89" t="n">
        <v>0.01</v>
      </c>
      <c r="C73" s="89" t="n">
        <v>0.02</v>
      </c>
      <c r="D73" s="89" t="n">
        <v>0.03</v>
      </c>
      <c r="E73" s="90" t="n">
        <f aca="false">CHOOSE(Dashboard!$B$4,B73,C73,D73)</f>
        <v>0.02</v>
      </c>
      <c r="F73" s="38" t="s">
        <v>209</v>
      </c>
      <c r="G73" s="84" t="s">
        <v>202</v>
      </c>
    </row>
    <row r="74" customFormat="false" ht="15" hidden="false" customHeight="false" outlineLevel="0" collapsed="false">
      <c r="A74" s="6" t="s">
        <v>136</v>
      </c>
      <c r="B74" s="93" t="n">
        <v>4</v>
      </c>
      <c r="C74" s="93" t="n">
        <v>5.5</v>
      </c>
      <c r="D74" s="93" t="n">
        <v>7</v>
      </c>
      <c r="E74" s="94" t="n">
        <f aca="false">CHOOSE(Dashboard!$B$4,B74,C74,D74)</f>
        <v>5.5</v>
      </c>
      <c r="F74" s="38" t="s">
        <v>266</v>
      </c>
      <c r="G74" s="84" t="s">
        <v>202</v>
      </c>
    </row>
    <row r="75" customFormat="false" ht="15" hidden="false" customHeight="false" outlineLevel="0" collapsed="false">
      <c r="A75" s="6" t="s">
        <v>267</v>
      </c>
      <c r="B75" s="89" t="n">
        <v>0.01</v>
      </c>
      <c r="C75" s="89" t="n">
        <v>0.01</v>
      </c>
      <c r="D75" s="89" t="n">
        <v>0.01</v>
      </c>
      <c r="E75" s="90" t="n">
        <f aca="false">CHOOSE(Dashboard!$B$4,B75,C75,D75)</f>
        <v>0.01</v>
      </c>
      <c r="F75" s="38" t="s">
        <v>209</v>
      </c>
      <c r="G75" s="84"/>
    </row>
    <row r="76" customFormat="false" ht="15" hidden="false" customHeight="false" outlineLevel="0" collapsed="false">
      <c r="A76" s="6" t="s">
        <v>268</v>
      </c>
      <c r="B76" s="89" t="n">
        <v>0.005</v>
      </c>
      <c r="C76" s="89" t="n">
        <v>0.005</v>
      </c>
      <c r="D76" s="89" t="n">
        <v>0.005</v>
      </c>
      <c r="E76" s="90" t="n">
        <f aca="false">CHOOSE(Dashboard!$B$4,B76,C76,D76)</f>
        <v>0.005</v>
      </c>
      <c r="F76" s="38" t="s">
        <v>209</v>
      </c>
      <c r="G76" s="84"/>
    </row>
    <row r="78" customFormat="false" ht="15" hidden="false" customHeight="false" outlineLevel="0" collapsed="false">
      <c r="A78" s="21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270</v>
      </c>
    </row>
    <row r="3" customFormat="false" ht="15" hidden="false" customHeight="false" outlineLevel="0" collapsed="false">
      <c r="A3" s="58" t="s">
        <v>120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121</v>
      </c>
      <c r="C4" s="59" t="s">
        <v>122</v>
      </c>
      <c r="D4" s="59" t="s">
        <v>123</v>
      </c>
      <c r="E4" s="59" t="s">
        <v>124</v>
      </c>
      <c r="F4" s="59" t="s">
        <v>125</v>
      </c>
    </row>
    <row r="5" customFormat="false" ht="15" hidden="false" customHeight="false" outlineLevel="0" collapsed="false">
      <c r="A5" s="4" t="s">
        <v>41</v>
      </c>
      <c r="B5" s="60" t="n">
        <f aca="false">SUMIF(Monthly!$C$5:$BJ$5,B$3,Monthly!$C$22:$BJ$22)</f>
        <v>1710030</v>
      </c>
      <c r="C5" s="60" t="n">
        <f aca="false">SUMIF(Monthly!$C$5:$BJ$5,C$3,Monthly!$C$22:$BJ$22)</f>
        <v>2015484.945</v>
      </c>
      <c r="D5" s="60" t="n">
        <f aca="false">SUMIF(Monthly!$C$5:$BJ$5,D$3,Monthly!$C$22:$BJ$22)</f>
        <v>2376160.7103285</v>
      </c>
      <c r="E5" s="60" t="n">
        <f aca="false">SUMIF(Monthly!$C$5:$BJ$5,E$3,Monthly!$C$22:$BJ$22)</f>
        <v>2802167.24956282</v>
      </c>
      <c r="F5" s="60" t="n">
        <f aca="false">SUMIF(Monthly!$C$5:$BJ$5,F$3,Monthly!$C$22:$BJ$22)</f>
        <v>3305490.4674617</v>
      </c>
    </row>
    <row r="6" customFormat="false" ht="15" hidden="false" customHeight="false" outlineLevel="0" collapsed="false">
      <c r="A6" s="6" t="s">
        <v>72</v>
      </c>
      <c r="B6" s="53" t="n">
        <f aca="false">SUMIF(Monthly!$C$5:$BJ$5,B$3,Monthly!$C$29:$BJ$29)</f>
        <v>-1050207.5</v>
      </c>
      <c r="C6" s="53" t="n">
        <f aca="false">SUMIF(Monthly!$C$5:$BJ$5,C$3,Monthly!$C$29:$BJ$29)</f>
        <v>-1219735.39625</v>
      </c>
      <c r="D6" s="53" t="n">
        <f aca="false">SUMIF(Monthly!$C$5:$BJ$5,D$3,Monthly!$C$29:$BJ$29)</f>
        <v>-1417218.24631813</v>
      </c>
      <c r="E6" s="53" t="n">
        <f aca="false">SUMIF(Monthly!$C$5:$BJ$5,E$3,Monthly!$C$29:$BJ$29)</f>
        <v>-1647370.19132232</v>
      </c>
      <c r="F6" s="53" t="n">
        <f aca="false">SUMIF(Monthly!$C$5:$BJ$5,F$3,Monthly!$C$29:$BJ$29)</f>
        <v>-1915719.48624325</v>
      </c>
    </row>
    <row r="7" customFormat="false" ht="15" hidden="false" customHeight="false" outlineLevel="0" collapsed="false">
      <c r="A7" s="95" t="s">
        <v>42</v>
      </c>
      <c r="B7" s="54" t="n">
        <f aca="false">SUMIF(Monthly!$C$5:$BJ$5,B$3,Monthly!$C$30:$BJ$30)</f>
        <v>659822.5</v>
      </c>
      <c r="C7" s="54" t="n">
        <f aca="false">SUMIF(Monthly!$C$5:$BJ$5,C$3,Monthly!$C$30:$BJ$30)</f>
        <v>795749.54875</v>
      </c>
      <c r="D7" s="54" t="n">
        <f aca="false">SUMIF(Monthly!$C$5:$BJ$5,D$3,Monthly!$C$30:$BJ$30)</f>
        <v>958942.464010375</v>
      </c>
      <c r="E7" s="54" t="n">
        <f aca="false">SUMIF(Monthly!$C$5:$BJ$5,E$3,Monthly!$C$30:$BJ$30)</f>
        <v>1154797.05824051</v>
      </c>
      <c r="F7" s="54" t="n">
        <f aca="false">SUMIF(Monthly!$C$5:$BJ$5,F$3,Monthly!$C$30:$BJ$30)</f>
        <v>1389770.98121845</v>
      </c>
    </row>
    <row r="8" customFormat="false" ht="15" hidden="false" customHeight="false" outlineLevel="0" collapsed="false">
      <c r="A8" s="38" t="s">
        <v>43</v>
      </c>
      <c r="B8" s="61" t="n">
        <f aca="false">IF(B5=0,0,B7/B5)</f>
        <v>0.385854341736695</v>
      </c>
      <c r="C8" s="61" t="n">
        <f aca="false">IF(C5=0,0,C7/C5)</f>
        <v>0.394817907583031</v>
      </c>
      <c r="D8" s="61" t="n">
        <f aca="false">IF(D5=0,0,D7/D5)</f>
        <v>0.403568016187677</v>
      </c>
      <c r="E8" s="61" t="n">
        <f aca="false">IF(E5=0,0,E7/E5)</f>
        <v>0.412108541494328</v>
      </c>
      <c r="F8" s="61" t="n">
        <f aca="false">IF(F5=0,0,F7/F5)</f>
        <v>0.420443197431352</v>
      </c>
    </row>
    <row r="9" customFormat="false" ht="15" hidden="false" customHeight="false" outlineLevel="0" collapsed="false">
      <c r="A9" s="6" t="s">
        <v>271</v>
      </c>
      <c r="B9" s="53" t="n">
        <f aca="false">SUMIF(Monthly!$C$5:$BJ$5,B$3,Monthly!$C$33:$BJ$33)</f>
        <v>-103500</v>
      </c>
      <c r="C9" s="53" t="n">
        <f aca="false">SUMIF(Monthly!$C$5:$BJ$5,C$3,Monthly!$C$33:$BJ$33)</f>
        <v>-117265.5</v>
      </c>
      <c r="D9" s="53" t="n">
        <f aca="false">SUMIF(Monthly!$C$5:$BJ$5,D$3,Monthly!$C$33:$BJ$33)</f>
        <v>-132861.8115</v>
      </c>
      <c r="E9" s="53" t="n">
        <f aca="false">SUMIF(Monthly!$C$5:$BJ$5,E$3,Monthly!$C$33:$BJ$33)</f>
        <v>-150532.4324295</v>
      </c>
      <c r="F9" s="53" t="n">
        <f aca="false">SUMIF(Monthly!$C$5:$BJ$5,F$3,Monthly!$C$33:$BJ$33)</f>
        <v>-170553.245942624</v>
      </c>
    </row>
    <row r="10" customFormat="false" ht="15" hidden="false" customHeight="false" outlineLevel="0" collapsed="false">
      <c r="A10" s="6" t="s">
        <v>272</v>
      </c>
      <c r="B10" s="53" t="n">
        <f aca="false">SUMIF(Monthly!$C$5:$BJ$5,B$3,Monthly!$C$34:$BJ$34)</f>
        <v>-108000</v>
      </c>
      <c r="C10" s="53" t="n">
        <f aca="false">SUMIF(Monthly!$C$5:$BJ$5,C$3,Monthly!$C$34:$BJ$34)</f>
        <v>-124200</v>
      </c>
      <c r="D10" s="53" t="n">
        <f aca="false">SUMIF(Monthly!$C$5:$BJ$5,D$3,Monthly!$C$34:$BJ$34)</f>
        <v>-142830</v>
      </c>
      <c r="E10" s="53" t="n">
        <f aca="false">SUMIF(Monthly!$C$5:$BJ$5,E$3,Monthly!$C$34:$BJ$34)</f>
        <v>-164254.5</v>
      </c>
      <c r="F10" s="53" t="n">
        <f aca="false">SUMIF(Monthly!$C$5:$BJ$5,F$3,Monthly!$C$34:$BJ$34)</f>
        <v>-188892.675</v>
      </c>
    </row>
    <row r="11" customFormat="false" ht="15" hidden="false" customHeight="false" outlineLevel="0" collapsed="false">
      <c r="A11" s="6" t="s">
        <v>273</v>
      </c>
      <c r="B11" s="53" t="n">
        <f aca="false">SUMIF(Monthly!$C$5:$BJ$5,B$3,Monthly!$C$35:$BJ$35)</f>
        <v>-10080</v>
      </c>
      <c r="C11" s="53" t="n">
        <f aca="false">SUMIF(Monthly!$C$5:$BJ$5,C$3,Monthly!$C$35:$BJ$35)</f>
        <v>-11289.6</v>
      </c>
      <c r="D11" s="53" t="n">
        <f aca="false">SUMIF(Monthly!$C$5:$BJ$5,D$3,Monthly!$C$35:$BJ$35)</f>
        <v>-12644.352</v>
      </c>
      <c r="E11" s="53" t="n">
        <f aca="false">SUMIF(Monthly!$C$5:$BJ$5,E$3,Monthly!$C$35:$BJ$35)</f>
        <v>-14161.67424</v>
      </c>
      <c r="F11" s="53" t="n">
        <f aca="false">SUMIF(Monthly!$C$5:$BJ$5,F$3,Monthly!$C$35:$BJ$35)</f>
        <v>-15861.0751488</v>
      </c>
    </row>
    <row r="12" customFormat="false" ht="15" hidden="false" customHeight="false" outlineLevel="0" collapsed="false">
      <c r="A12" s="6" t="s">
        <v>274</v>
      </c>
      <c r="B12" s="53" t="n">
        <f aca="false">SUMIF(Monthly!$C$5:$BJ$5,B$3,Monthly!$C$36:$BJ$36)</f>
        <v>-42000</v>
      </c>
      <c r="C12" s="53" t="n">
        <f aca="false">SUMIF(Monthly!$C$5:$BJ$5,C$3,Monthly!$C$36:$BJ$36)</f>
        <v>-42000</v>
      </c>
      <c r="D12" s="53" t="n">
        <f aca="false">SUMIF(Monthly!$C$5:$BJ$5,D$3,Monthly!$C$36:$BJ$36)</f>
        <v>-42000</v>
      </c>
      <c r="E12" s="53" t="n">
        <f aca="false">SUMIF(Monthly!$C$5:$BJ$5,E$3,Monthly!$C$36:$BJ$36)</f>
        <v>-42000</v>
      </c>
      <c r="F12" s="53" t="n">
        <f aca="false">SUMIF(Monthly!$C$5:$BJ$5,F$3,Monthly!$C$36:$BJ$36)</f>
        <v>-42000</v>
      </c>
    </row>
    <row r="13" customFormat="false" ht="15" hidden="false" customHeight="false" outlineLevel="0" collapsed="false">
      <c r="A13" s="6" t="s">
        <v>275</v>
      </c>
      <c r="B13" s="53" t="n">
        <f aca="false">SUMIF(Monthly!$C$5:$BJ$5,B$3,Monthly!$C$37:$BJ$37)</f>
        <v>-54000</v>
      </c>
      <c r="C13" s="53" t="n">
        <f aca="false">SUMIF(Monthly!$C$5:$BJ$5,C$3,Monthly!$C$37:$BJ$37)</f>
        <v>-54000</v>
      </c>
      <c r="D13" s="53" t="n">
        <f aca="false">SUMIF(Monthly!$C$5:$BJ$5,D$3,Monthly!$C$37:$BJ$37)</f>
        <v>-54000</v>
      </c>
      <c r="E13" s="53" t="n">
        <f aca="false">SUMIF(Monthly!$C$5:$BJ$5,E$3,Monthly!$C$37:$BJ$37)</f>
        <v>-54000</v>
      </c>
      <c r="F13" s="53" t="n">
        <f aca="false">SUMIF(Monthly!$C$5:$BJ$5,F$3,Monthly!$C$37:$BJ$37)</f>
        <v>-54000</v>
      </c>
    </row>
    <row r="14" customFormat="false" ht="15" hidden="false" customHeight="false" outlineLevel="0" collapsed="false">
      <c r="A14" s="6" t="s">
        <v>276</v>
      </c>
      <c r="B14" s="53" t="n">
        <f aca="false">SUMIF(Monthly!$C$5:$BJ$5,B$3,Monthly!$C$38:$BJ$38)</f>
        <v>-30000</v>
      </c>
      <c r="C14" s="53" t="n">
        <f aca="false">SUMIF(Monthly!$C$5:$BJ$5,C$3,Monthly!$C$38:$BJ$38)</f>
        <v>-30000</v>
      </c>
      <c r="D14" s="53" t="n">
        <f aca="false">SUMIF(Monthly!$C$5:$BJ$5,D$3,Monthly!$C$38:$BJ$38)</f>
        <v>-30000</v>
      </c>
      <c r="E14" s="53" t="n">
        <f aca="false">SUMIF(Monthly!$C$5:$BJ$5,E$3,Monthly!$C$38:$BJ$38)</f>
        <v>-30000</v>
      </c>
      <c r="F14" s="53" t="n">
        <f aca="false">SUMIF(Monthly!$C$5:$BJ$5,F$3,Monthly!$C$38:$BJ$38)</f>
        <v>-30000</v>
      </c>
    </row>
    <row r="15" customFormat="false" ht="15" hidden="false" customHeight="false" outlineLevel="0" collapsed="false">
      <c r="A15" s="6" t="s">
        <v>277</v>
      </c>
      <c r="B15" s="53" t="n">
        <f aca="false">SUMIF(Monthly!$C$5:$BJ$5,B$3,Monthly!$C$39:$BJ$39)</f>
        <v>-46170.81</v>
      </c>
      <c r="C15" s="53" t="n">
        <f aca="false">SUMIF(Monthly!$C$5:$BJ$5,C$3,Monthly!$C$39:$BJ$39)</f>
        <v>-54418.093515</v>
      </c>
      <c r="D15" s="53" t="n">
        <f aca="false">SUMIF(Monthly!$C$5:$BJ$5,D$3,Monthly!$C$39:$BJ$39)</f>
        <v>-64156.3391788695</v>
      </c>
      <c r="E15" s="53" t="n">
        <f aca="false">SUMIF(Monthly!$C$5:$BJ$5,E$3,Monthly!$C$39:$BJ$39)</f>
        <v>-75658.5157381962</v>
      </c>
      <c r="F15" s="53" t="n">
        <f aca="false">SUMIF(Monthly!$C$5:$BJ$5,F$3,Monthly!$C$39:$BJ$39)</f>
        <v>-89248.242621466</v>
      </c>
    </row>
    <row r="16" customFormat="false" ht="15" hidden="false" customHeight="false" outlineLevel="0" collapsed="false">
      <c r="A16" s="95" t="s">
        <v>73</v>
      </c>
      <c r="B16" s="54" t="n">
        <f aca="false">SUMIF(Monthly!$C$5:$BJ$5,B$3,Monthly!$C$40:$BJ$40)</f>
        <v>-393750.81</v>
      </c>
      <c r="C16" s="54" t="n">
        <f aca="false">SUMIF(Monthly!$C$5:$BJ$5,C$3,Monthly!$C$40:$BJ$40)</f>
        <v>-433173.193515</v>
      </c>
      <c r="D16" s="54" t="n">
        <f aca="false">SUMIF(Monthly!$C$5:$BJ$5,D$3,Monthly!$C$40:$BJ$40)</f>
        <v>-478492.50267887</v>
      </c>
      <c r="E16" s="54" t="n">
        <f aca="false">SUMIF(Monthly!$C$5:$BJ$5,E$3,Monthly!$C$40:$BJ$40)</f>
        <v>-530607.122407696</v>
      </c>
      <c r="F16" s="54" t="n">
        <f aca="false">SUMIF(Monthly!$C$5:$BJ$5,F$3,Monthly!$C$40:$BJ$40)</f>
        <v>-590555.23871289</v>
      </c>
    </row>
    <row r="17" customFormat="false" ht="15" hidden="false" customHeight="false" outlineLevel="0" collapsed="false">
      <c r="A17" s="95" t="s">
        <v>45</v>
      </c>
      <c r="B17" s="54" t="n">
        <f aca="false">SUMIF(Monthly!$C$5:$BJ$5,B$3,Monthly!$C$41:$BJ$41)</f>
        <v>266071.69</v>
      </c>
      <c r="C17" s="54" t="n">
        <f aca="false">SUMIF(Monthly!$C$5:$BJ$5,C$3,Monthly!$C$41:$BJ$41)</f>
        <v>362576.355235</v>
      </c>
      <c r="D17" s="54" t="n">
        <f aca="false">SUMIF(Monthly!$C$5:$BJ$5,D$3,Monthly!$C$41:$BJ$41)</f>
        <v>480449.961331505</v>
      </c>
      <c r="E17" s="54" t="n">
        <f aca="false">SUMIF(Monthly!$C$5:$BJ$5,E$3,Monthly!$C$41:$BJ$41)</f>
        <v>624189.93583281</v>
      </c>
      <c r="F17" s="54" t="n">
        <f aca="false">SUMIF(Monthly!$C$5:$BJ$5,F$3,Monthly!$C$41:$BJ$41)</f>
        <v>799215.742505564</v>
      </c>
    </row>
    <row r="18" customFormat="false" ht="15" hidden="false" customHeight="false" outlineLevel="0" collapsed="false">
      <c r="A18" s="38" t="s">
        <v>46</v>
      </c>
      <c r="B18" s="61" t="n">
        <f aca="false">IF(B5=0,0,B17/B5)</f>
        <v>0.155594749799711</v>
      </c>
      <c r="C18" s="61" t="n">
        <f aca="false">IF(C5=0,0,C17/C5)</f>
        <v>0.179895342872432</v>
      </c>
      <c r="D18" s="61" t="n">
        <f aca="false">IF(D5=0,0,D17/D5)</f>
        <v>0.202195903350781</v>
      </c>
      <c r="E18" s="61" t="n">
        <f aca="false">IF(E5=0,0,E17/E5)</f>
        <v>0.222752562656705</v>
      </c>
      <c r="F18" s="61" t="n">
        <f aca="false">IF(F5=0,0,F17/F5)</f>
        <v>0.241784313212461</v>
      </c>
    </row>
    <row r="19" customFormat="false" ht="15" hidden="false" customHeight="false" outlineLevel="0" collapsed="false">
      <c r="A19" s="6" t="s">
        <v>74</v>
      </c>
      <c r="B19" s="53" t="n">
        <f aca="false">SUMIF(Monthly!$C$5:$BJ$5,B$3,Monthly!$C$55:$BJ$55)</f>
        <v>-4000</v>
      </c>
      <c r="C19" s="53" t="n">
        <f aca="false">SUMIF(Monthly!$C$5:$BJ$5,C$3,Monthly!$C$55:$BJ$55)</f>
        <v>-11560</v>
      </c>
      <c r="D19" s="53" t="n">
        <f aca="false">SUMIF(Monthly!$C$5:$BJ$5,D$3,Monthly!$C$55:$BJ$55)</f>
        <v>-20027.2</v>
      </c>
      <c r="E19" s="53" t="n">
        <f aca="false">SUMIF(Monthly!$C$5:$BJ$5,E$3,Monthly!$C$55:$BJ$55)</f>
        <v>-29510.464</v>
      </c>
      <c r="F19" s="53" t="n">
        <f aca="false">SUMIF(Monthly!$C$5:$BJ$5,F$3,Monthly!$C$55:$BJ$55)</f>
        <v>-40131.71968</v>
      </c>
    </row>
    <row r="20" customFormat="false" ht="15" hidden="false" customHeight="false" outlineLevel="0" collapsed="false">
      <c r="A20" s="4" t="s">
        <v>75</v>
      </c>
      <c r="B20" s="60" t="n">
        <f aca="false">SUMIF(Monthly!$C$5:$BJ$5,B$3,Monthly!$C$44:$BJ$44)</f>
        <v>262071.69</v>
      </c>
      <c r="C20" s="60" t="n">
        <f aca="false">SUMIF(Monthly!$C$5:$BJ$5,C$3,Monthly!$C$44:$BJ$44)</f>
        <v>351016.355235</v>
      </c>
      <c r="D20" s="60" t="n">
        <f aca="false">SUMIF(Monthly!$C$5:$BJ$5,D$3,Monthly!$C$44:$BJ$44)</f>
        <v>460422.761331505</v>
      </c>
      <c r="E20" s="60" t="n">
        <f aca="false">SUMIF(Monthly!$C$5:$BJ$5,E$3,Monthly!$C$44:$BJ$44)</f>
        <v>594679.47183281</v>
      </c>
      <c r="F20" s="60" t="n">
        <f aca="false">SUMIF(Monthly!$C$5:$BJ$5,F$3,Monthly!$C$44:$BJ$44)</f>
        <v>759084.022825564</v>
      </c>
    </row>
    <row r="21" customFormat="false" ht="15" hidden="false" customHeight="false" outlineLevel="0" collapsed="false">
      <c r="A21" s="6" t="s">
        <v>76</v>
      </c>
      <c r="B21" s="53" t="n">
        <f aca="false">SUMIF(Monthly!$C$5:$BJ$5,B$3,Monthly!$C$45:$BJ$45)</f>
        <v>-18319.4444444445</v>
      </c>
      <c r="C21" s="53" t="n">
        <f aca="false">SUMIF(Monthly!$C$5:$BJ$5,C$3,Monthly!$C$45:$BJ$45)</f>
        <v>-14333.3333333333</v>
      </c>
      <c r="D21" s="53" t="n">
        <f aca="false">SUMIF(Monthly!$C$5:$BJ$5,D$3,Monthly!$C$45:$BJ$45)</f>
        <v>-10333.3333333334</v>
      </c>
      <c r="E21" s="53" t="n">
        <f aca="false">SUMIF(Monthly!$C$5:$BJ$5,E$3,Monthly!$C$45:$BJ$45)</f>
        <v>-6333.33333333335</v>
      </c>
      <c r="F21" s="53" t="n">
        <f aca="false">SUMIF(Monthly!$C$5:$BJ$5,F$3,Monthly!$C$45:$BJ$45)</f>
        <v>-2333.33333333335</v>
      </c>
    </row>
    <row r="22" customFormat="false" ht="15" hidden="false" customHeight="false" outlineLevel="0" collapsed="false">
      <c r="A22" s="96" t="s">
        <v>77</v>
      </c>
      <c r="B22" s="97" t="n">
        <f aca="false">SUMIF(Monthly!$C$5:$BJ$5,B$3,Monthly!$C$46:$BJ$46)</f>
        <v>243752.245555556</v>
      </c>
      <c r="C22" s="97" t="n">
        <f aca="false">SUMIF(Monthly!$C$5:$BJ$5,C$3,Monthly!$C$46:$BJ$46)</f>
        <v>336683.021901667</v>
      </c>
      <c r="D22" s="97" t="n">
        <f aca="false">SUMIF(Monthly!$C$5:$BJ$5,D$3,Monthly!$C$46:$BJ$46)</f>
        <v>450089.427998172</v>
      </c>
      <c r="E22" s="97" t="n">
        <f aca="false">SUMIF(Monthly!$C$5:$BJ$5,E$3,Monthly!$C$46:$BJ$46)</f>
        <v>588346.138499477</v>
      </c>
      <c r="F22" s="97" t="n">
        <f aca="false">SUMIF(Monthly!$C$5:$BJ$5,F$3,Monthly!$C$46:$BJ$46)</f>
        <v>756750.68949223</v>
      </c>
    </row>
    <row r="23" customFormat="false" ht="15" hidden="false" customHeight="false" outlineLevel="0" collapsed="false">
      <c r="A23" s="6" t="s">
        <v>78</v>
      </c>
      <c r="B23" s="53" t="n">
        <f aca="false">SUMIF(Monthly!$C$5:$BJ$5,B$3,Monthly!$C$49:$BJ$49)</f>
        <v>-51187.9715666667</v>
      </c>
      <c r="C23" s="53" t="n">
        <f aca="false">SUMIF(Monthly!$C$5:$BJ$5,C$3,Monthly!$C$49:$BJ$49)</f>
        <v>-70703.43459935</v>
      </c>
      <c r="D23" s="53" t="n">
        <f aca="false">SUMIF(Monthly!$C$5:$BJ$5,D$3,Monthly!$C$49:$BJ$49)</f>
        <v>-94518.7798796161</v>
      </c>
      <c r="E23" s="53" t="n">
        <f aca="false">SUMIF(Monthly!$C$5:$BJ$5,E$3,Monthly!$C$49:$BJ$49)</f>
        <v>-123552.68908489</v>
      </c>
      <c r="F23" s="53" t="n">
        <f aca="false">SUMIF(Monthly!$C$5:$BJ$5,F$3,Monthly!$C$49:$BJ$49)</f>
        <v>-158917.644793368</v>
      </c>
    </row>
    <row r="24" customFormat="false" ht="15" hidden="false" customHeight="false" outlineLevel="0" collapsed="false">
      <c r="A24" s="56" t="s">
        <v>47</v>
      </c>
      <c r="B24" s="57" t="n">
        <f aca="false">SUMIF(Monthly!$C$5:$BJ$5,B$3,Monthly!$C$50:$BJ$50)</f>
        <v>192564.273988889</v>
      </c>
      <c r="C24" s="57" t="n">
        <f aca="false">SUMIF(Monthly!$C$5:$BJ$5,C$3,Monthly!$C$50:$BJ$50)</f>
        <v>265979.587302317</v>
      </c>
      <c r="D24" s="57" t="n">
        <f aca="false">SUMIF(Monthly!$C$5:$BJ$5,D$3,Monthly!$C$50:$BJ$50)</f>
        <v>355570.648118556</v>
      </c>
      <c r="E24" s="57" t="n">
        <f aca="false">SUMIF(Monthly!$C$5:$BJ$5,E$3,Monthly!$C$50:$BJ$50)</f>
        <v>464793.449414587</v>
      </c>
      <c r="F24" s="57" t="n">
        <f aca="false">SUMIF(Monthly!$C$5:$BJ$5,F$3,Monthly!$C$50:$BJ$50)</f>
        <v>597833.044698862</v>
      </c>
    </row>
    <row r="25" customFormat="false" ht="15" hidden="false" customHeight="false" outlineLevel="0" collapsed="false">
      <c r="A25" s="38" t="s">
        <v>48</v>
      </c>
      <c r="B25" s="61" t="n">
        <f aca="false">IF(B5=0,0,B24/B5)</f>
        <v>0.11260871095179</v>
      </c>
      <c r="C25" s="61" t="n">
        <f aca="false">IF(C5=0,0,C24/C5)</f>
        <v>0.131968034771064</v>
      </c>
      <c r="D25" s="61" t="n">
        <f aca="false">IF(D5=0,0,D24/D5)</f>
        <v>0.149640824618045</v>
      </c>
      <c r="E25" s="61" t="n">
        <f aca="false">IF(E5=0,0,E24/E5)</f>
        <v>0.165869274750499</v>
      </c>
      <c r="F25" s="61" t="n">
        <f aca="false">IF(F5=0,0,F24/F5)</f>
        <v>0.180860616777981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270</v>
      </c>
    </row>
    <row r="3" customFormat="false" ht="15" hidden="false" customHeight="false" outlineLevel="0" collapsed="false">
      <c r="A3" s="58" t="s">
        <v>120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121</v>
      </c>
      <c r="C4" s="59" t="s">
        <v>122</v>
      </c>
      <c r="D4" s="59" t="s">
        <v>123</v>
      </c>
      <c r="E4" s="59" t="s">
        <v>124</v>
      </c>
      <c r="F4" s="59" t="s">
        <v>125</v>
      </c>
    </row>
    <row r="5" customFormat="false" ht="15" hidden="false" customHeight="false" outlineLevel="0" collapsed="false">
      <c r="A5" s="6" t="s">
        <v>47</v>
      </c>
      <c r="B5" s="53" t="n">
        <f aca="false">SUMIF(Monthly!$C$5:$BJ$5,B$3,Monthly!$C$50:$BJ$50)</f>
        <v>192564.273988889</v>
      </c>
      <c r="C5" s="53" t="n">
        <f aca="false">SUMIF(Monthly!$C$5:$BJ$5,C$3,Monthly!$C$50:$BJ$50)</f>
        <v>265979.587302317</v>
      </c>
      <c r="D5" s="53" t="n">
        <f aca="false">SUMIF(Monthly!$C$5:$BJ$5,D$3,Monthly!$C$50:$BJ$50)</f>
        <v>355570.648118556</v>
      </c>
      <c r="E5" s="53" t="n">
        <f aca="false">SUMIF(Monthly!$C$5:$BJ$5,E$3,Monthly!$C$50:$BJ$50)</f>
        <v>464793.449414587</v>
      </c>
      <c r="F5" s="53" t="n">
        <f aca="false">SUMIF(Monthly!$C$5:$BJ$5,F$3,Monthly!$C$50:$BJ$50)</f>
        <v>597833.044698862</v>
      </c>
    </row>
    <row r="6" customFormat="false" ht="15" hidden="false" customHeight="false" outlineLevel="0" collapsed="false">
      <c r="A6" s="6" t="s">
        <v>278</v>
      </c>
      <c r="B6" s="53" t="n">
        <f aca="false">-SUMIF(Monthly!$C$5:$BJ$5,B$3,Monthly!$C$55:$BJ$55)</f>
        <v>4000</v>
      </c>
      <c r="C6" s="53" t="n">
        <f aca="false">-SUMIF(Monthly!$C$5:$BJ$5,C$3,Monthly!$C$55:$BJ$55)</f>
        <v>11560</v>
      </c>
      <c r="D6" s="53" t="n">
        <f aca="false">-SUMIF(Monthly!$C$5:$BJ$5,D$3,Monthly!$C$55:$BJ$55)</f>
        <v>20027.2</v>
      </c>
      <c r="E6" s="53" t="n">
        <f aca="false">-SUMIF(Monthly!$C$5:$BJ$5,E$3,Monthly!$C$55:$BJ$55)</f>
        <v>29510.464</v>
      </c>
      <c r="F6" s="53" t="n">
        <f aca="false">-SUMIF(Monthly!$C$5:$BJ$5,F$3,Monthly!$C$55:$BJ$55)</f>
        <v>40131.71968</v>
      </c>
    </row>
    <row r="7" customFormat="false" ht="15" hidden="false" customHeight="false" outlineLevel="0" collapsed="false">
      <c r="A7" s="6" t="s">
        <v>279</v>
      </c>
      <c r="B7" s="53" t="n">
        <f aca="false">SUMIF(Monthly!$C$5:$BJ$5,B$3,Monthly!$C$69:$BJ$69)</f>
        <v>-44478.8888888889</v>
      </c>
      <c r="C7" s="53" t="n">
        <f aca="false">SUMIF(Monthly!$C$5:$BJ$5,C$3,Monthly!$C$69:$BJ$69)</f>
        <v>-8343.68833333334</v>
      </c>
      <c r="D7" s="53" t="n">
        <f aca="false">SUMIF(Monthly!$C$5:$BJ$5,D$3,Monthly!$C$69:$BJ$69)</f>
        <v>-9915.5094975</v>
      </c>
      <c r="E7" s="53" t="n">
        <f aca="false">SUMIF(Monthly!$C$5:$BJ$5,E$3,Monthly!$C$69:$BJ$69)</f>
        <v>-11784.9805837888</v>
      </c>
      <c r="F7" s="53" t="n">
        <f aca="false">SUMIF(Monthly!$C$5:$BJ$5,F$3,Monthly!$C$69:$BJ$69)</f>
        <v>-14008.8231473217</v>
      </c>
    </row>
    <row r="8" customFormat="false" ht="15" hidden="false" customHeight="false" outlineLevel="0" collapsed="false">
      <c r="A8" s="6" t="s">
        <v>280</v>
      </c>
      <c r="B8" s="53" t="n">
        <f aca="false">SUMIF(Monthly!$C$5:$BJ$5,B$3,Monthly!$C$70:$BJ$70)</f>
        <v>-14208.4722222222</v>
      </c>
      <c r="C8" s="53" t="n">
        <f aca="false">SUMIF(Monthly!$C$5:$BJ$5,C$3,Monthly!$C$70:$BJ$70)</f>
        <v>-2336.90770833333</v>
      </c>
      <c r="D8" s="53" t="n">
        <f aca="false">SUMIF(Monthly!$C$5:$BJ$5,D$3,Monthly!$C$70:$BJ$70)</f>
        <v>-2729.90964185416</v>
      </c>
      <c r="E8" s="53" t="n">
        <f aca="false">SUMIF(Monthly!$C$5:$BJ$5,E$3,Monthly!$C$70:$BJ$70)</f>
        <v>-3190.48799235707</v>
      </c>
      <c r="F8" s="53" t="n">
        <f aca="false">SUMIF(Monthly!$C$5:$BJ$5,F$3,Monthly!$C$70:$BJ$70)</f>
        <v>-3730.52637183487</v>
      </c>
    </row>
    <row r="9" customFormat="false" ht="15" hidden="false" customHeight="false" outlineLevel="0" collapsed="false">
      <c r="A9" s="6" t="s">
        <v>281</v>
      </c>
      <c r="B9" s="53" t="n">
        <f aca="false">SUMIF(Monthly!$C$5:$BJ$5,B$3,Monthly!$C$71:$BJ$71)</f>
        <v>56833.8888888889</v>
      </c>
      <c r="C9" s="53" t="n">
        <f aca="false">SUMIF(Monthly!$C$5:$BJ$5,C$3,Monthly!$C$71:$BJ$71)</f>
        <v>9347.63083333334</v>
      </c>
      <c r="D9" s="53" t="n">
        <f aca="false">SUMIF(Monthly!$C$5:$BJ$5,D$3,Monthly!$C$71:$BJ$71)</f>
        <v>10919.6385674167</v>
      </c>
      <c r="E9" s="53" t="n">
        <f aca="false">SUMIF(Monthly!$C$5:$BJ$5,E$3,Monthly!$C$71:$BJ$71)</f>
        <v>12761.9519694283</v>
      </c>
      <c r="F9" s="53" t="n">
        <f aca="false">SUMIF(Monthly!$C$5:$BJ$5,F$3,Monthly!$C$71:$BJ$71)</f>
        <v>14922.1054873395</v>
      </c>
    </row>
    <row r="10" customFormat="false" ht="15" hidden="false" customHeight="false" outlineLevel="0" collapsed="false">
      <c r="A10" s="95" t="s">
        <v>49</v>
      </c>
      <c r="B10" s="54" t="n">
        <f aca="false">SUMIF(Monthly!$C$5:$BJ$5,B$3,Monthly!$C$74:$BJ$74)</f>
        <v>194710.801766667</v>
      </c>
      <c r="C10" s="54" t="n">
        <f aca="false">SUMIF(Monthly!$C$5:$BJ$5,C$3,Monthly!$C$74:$BJ$74)</f>
        <v>276206.622093983</v>
      </c>
      <c r="D10" s="54" t="n">
        <f aca="false">SUMIF(Monthly!$C$5:$BJ$5,D$3,Monthly!$C$74:$BJ$74)</f>
        <v>373872.067546618</v>
      </c>
      <c r="E10" s="54" t="n">
        <f aca="false">SUMIF(Monthly!$C$5:$BJ$5,E$3,Monthly!$C$74:$BJ$74)</f>
        <v>492090.396807869</v>
      </c>
      <c r="F10" s="54" t="n">
        <f aca="false">SUMIF(Monthly!$C$5:$BJ$5,F$3,Monthly!$C$74:$BJ$74)</f>
        <v>635147.520347045</v>
      </c>
    </row>
    <row r="11" customFormat="false" ht="15" hidden="false" customHeight="false" outlineLevel="0" collapsed="false">
      <c r="A11" s="6" t="s">
        <v>80</v>
      </c>
      <c r="B11" s="53" t="n">
        <f aca="false">SUMIF(Monthly!$C$5:$BJ$5,B$3,Monthly!$C$75:$BJ$75)</f>
        <v>-20000</v>
      </c>
      <c r="C11" s="53" t="n">
        <f aca="false">SUMIF(Monthly!$C$5:$BJ$5,C$3,Monthly!$C$75:$BJ$75)</f>
        <v>-37800</v>
      </c>
      <c r="D11" s="53" t="n">
        <f aca="false">SUMIF(Monthly!$C$5:$BJ$5,D$3,Monthly!$C$75:$BJ$75)</f>
        <v>-42336</v>
      </c>
      <c r="E11" s="53" t="n">
        <f aca="false">SUMIF(Monthly!$C$5:$BJ$5,E$3,Monthly!$C$75:$BJ$75)</f>
        <v>-47416.3200000001</v>
      </c>
      <c r="F11" s="53" t="n">
        <f aca="false">SUMIF(Monthly!$C$5:$BJ$5,F$3,Monthly!$C$75:$BJ$75)</f>
        <v>-53106.2784</v>
      </c>
    </row>
    <row r="12" customFormat="false" ht="15" hidden="false" customHeight="false" outlineLevel="0" collapsed="false">
      <c r="A12" s="6" t="s">
        <v>60</v>
      </c>
      <c r="B12" s="53" t="n">
        <f aca="false">SUMIF(Monthly!$C$5:$BJ$5,B$3,Monthly!$C$76:$BJ$76)</f>
        <v>100000</v>
      </c>
      <c r="C12" s="53" t="n">
        <f aca="false">SUMIF(Monthly!$C$5:$BJ$5,C$3,Monthly!$C$76:$BJ$76)</f>
        <v>0</v>
      </c>
      <c r="D12" s="53" t="n">
        <f aca="false">SUMIF(Monthly!$C$5:$BJ$5,D$3,Monthly!$C$76:$BJ$76)</f>
        <v>0</v>
      </c>
      <c r="E12" s="53" t="n">
        <f aca="false">SUMIF(Monthly!$C$5:$BJ$5,E$3,Monthly!$C$76:$BJ$76)</f>
        <v>0</v>
      </c>
      <c r="F12" s="53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81</v>
      </c>
      <c r="B13" s="53" t="n">
        <f aca="false">SUMIF(Monthly!$C$5:$BJ$5,B$3,Monthly!$C$61:$BJ$61)</f>
        <v>250000</v>
      </c>
      <c r="C13" s="53" t="n">
        <f aca="false">SUMIF(Monthly!$C$5:$BJ$5,C$3,Monthly!$C$61:$BJ$61)</f>
        <v>0</v>
      </c>
      <c r="D13" s="53" t="n">
        <f aca="false">SUMIF(Monthly!$C$5:$BJ$5,D$3,Monthly!$C$61:$BJ$61)</f>
        <v>0</v>
      </c>
      <c r="E13" s="53" t="n">
        <f aca="false">SUMIF(Monthly!$C$5:$BJ$5,E$3,Monthly!$C$61:$BJ$61)</f>
        <v>0</v>
      </c>
      <c r="F13" s="53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82</v>
      </c>
      <c r="B14" s="53" t="n">
        <f aca="false">SUMIF(Monthly!$C$5:$BJ$5,B$3,Monthly!$C$62:$BJ$62)</f>
        <v>-45833.3333333333</v>
      </c>
      <c r="C14" s="53" t="n">
        <f aca="false">SUMIF(Monthly!$C$5:$BJ$5,C$3,Monthly!$C$62:$BJ$62)</f>
        <v>-50000</v>
      </c>
      <c r="D14" s="53" t="n">
        <f aca="false">SUMIF(Monthly!$C$5:$BJ$5,D$3,Monthly!$C$62:$BJ$62)</f>
        <v>-50000</v>
      </c>
      <c r="E14" s="53" t="n">
        <f aca="false">SUMIF(Monthly!$C$5:$BJ$5,E$3,Monthly!$C$62:$BJ$62)</f>
        <v>-50000</v>
      </c>
      <c r="F14" s="53" t="n">
        <f aca="false">SUMIF(Monthly!$C$5:$BJ$5,F$3,Monthly!$C$62:$BJ$62)</f>
        <v>-50000</v>
      </c>
    </row>
    <row r="15" customFormat="false" ht="15" hidden="false" customHeight="false" outlineLevel="0" collapsed="false">
      <c r="A15" s="95" t="s">
        <v>51</v>
      </c>
      <c r="B15" s="54" t="n">
        <f aca="false">SUMIF(Monthly!$C$5:$BJ$5,B$3,Monthly!$C$77:$BJ$77)</f>
        <v>304166.666666667</v>
      </c>
      <c r="C15" s="54" t="n">
        <f aca="false">SUMIF(Monthly!$C$5:$BJ$5,C$3,Monthly!$C$77:$BJ$77)</f>
        <v>-50000</v>
      </c>
      <c r="D15" s="54" t="n">
        <f aca="false">SUMIF(Monthly!$C$5:$BJ$5,D$3,Monthly!$C$77:$BJ$77)</f>
        <v>-50000</v>
      </c>
      <c r="E15" s="54" t="n">
        <f aca="false">SUMIF(Monthly!$C$5:$BJ$5,E$3,Monthly!$C$77:$BJ$77)</f>
        <v>-50000</v>
      </c>
      <c r="F15" s="54" t="n">
        <f aca="false">SUMIF(Monthly!$C$5:$BJ$5,F$3,Monthly!$C$77:$BJ$77)</f>
        <v>-50000</v>
      </c>
    </row>
    <row r="16" customFormat="false" ht="15" hidden="false" customHeight="false" outlineLevel="0" collapsed="false">
      <c r="A16" s="4" t="s">
        <v>52</v>
      </c>
      <c r="B16" s="60" t="n">
        <f aca="false">SUMIF(Monthly!$C$5:$BJ$5,B$3,Monthly!$C$78:$BJ$78)</f>
        <v>478877.468433333</v>
      </c>
      <c r="C16" s="60" t="n">
        <f aca="false">SUMIF(Monthly!$C$5:$BJ$5,C$3,Monthly!$C$78:$BJ$78)</f>
        <v>188406.622093983</v>
      </c>
      <c r="D16" s="60" t="n">
        <f aca="false">SUMIF(Monthly!$C$5:$BJ$5,D$3,Monthly!$C$78:$BJ$78)</f>
        <v>281536.067546618</v>
      </c>
      <c r="E16" s="60" t="n">
        <f aca="false">SUMIF(Monthly!$C$5:$BJ$5,E$3,Monthly!$C$78:$BJ$78)</f>
        <v>394674.076807869</v>
      </c>
      <c r="F16" s="60" t="n">
        <f aca="false">SUMIF(Monthly!$C$5:$BJ$5,F$3,Monthly!$C$78:$BJ$78)</f>
        <v>532041.241947045</v>
      </c>
    </row>
    <row r="17" customFormat="false" ht="15" hidden="false" customHeight="false" outlineLevel="0" collapsed="false">
      <c r="A17" s="6" t="s">
        <v>282</v>
      </c>
      <c r="B17" s="53" t="n">
        <f aca="false">INDEX(Monthly!$C$79:$BJ$79,(B$3-1)*12+1)</f>
        <v>0</v>
      </c>
      <c r="C17" s="53" t="n">
        <f aca="false">INDEX(Monthly!$C$79:$BJ$79,(C$3-1)*12+1)</f>
        <v>478877.468433333</v>
      </c>
      <c r="D17" s="53" t="n">
        <f aca="false">INDEX(Monthly!$C$79:$BJ$79,(D$3-1)*12+1)</f>
        <v>667284.090527316</v>
      </c>
      <c r="E17" s="53" t="n">
        <f aca="false">INDEX(Monthly!$C$79:$BJ$79,(E$3-1)*12+1)</f>
        <v>948820.158073935</v>
      </c>
      <c r="F17" s="53" t="n">
        <f aca="false">INDEX(Monthly!$C$79:$BJ$79,(F$3-1)*12+1)</f>
        <v>1343494.2348818</v>
      </c>
    </row>
    <row r="18" customFormat="false" ht="15" hidden="false" customHeight="false" outlineLevel="0" collapsed="false">
      <c r="A18" s="56" t="s">
        <v>83</v>
      </c>
      <c r="B18" s="57" t="n">
        <f aca="false">INDEX(Monthly!$C$80:$BJ$80,B$3*12)</f>
        <v>478877.468433333</v>
      </c>
      <c r="C18" s="57" t="n">
        <f aca="false">INDEX(Monthly!$C$80:$BJ$80,C$3*12)</f>
        <v>667284.090527316</v>
      </c>
      <c r="D18" s="57" t="n">
        <f aca="false">INDEX(Monthly!$C$80:$BJ$80,D$3*12)</f>
        <v>948820.158073935</v>
      </c>
      <c r="E18" s="57" t="n">
        <f aca="false">INDEX(Monthly!$C$80:$BJ$80,E$3*12)</f>
        <v>1343494.2348818</v>
      </c>
      <c r="F18" s="57" t="n">
        <f aca="false">INDEX(Monthly!$C$80:$BJ$80,F$3*12)</f>
        <v>1875535.47682885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270</v>
      </c>
    </row>
    <row r="3" customFormat="false" ht="15" hidden="false" customHeight="false" outlineLevel="0" collapsed="false">
      <c r="A3" s="58" t="s">
        <v>120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121</v>
      </c>
      <c r="C4" s="59" t="s">
        <v>122</v>
      </c>
      <c r="D4" s="59" t="s">
        <v>123</v>
      </c>
      <c r="E4" s="59" t="s">
        <v>124</v>
      </c>
      <c r="F4" s="59" t="s">
        <v>125</v>
      </c>
    </row>
    <row r="5" customFormat="false" ht="15" hidden="false" customHeight="false" outlineLevel="0" collapsed="false">
      <c r="A5" s="6" t="s">
        <v>85</v>
      </c>
      <c r="B5" s="53" t="n">
        <f aca="false">INDEX(Monthly!$C$80:$BJ$80,B$3*12)</f>
        <v>478877.468433333</v>
      </c>
      <c r="C5" s="53" t="n">
        <f aca="false">INDEX(Monthly!$C$80:$BJ$80,C$3*12)</f>
        <v>667284.090527316</v>
      </c>
      <c r="D5" s="53" t="n">
        <f aca="false">INDEX(Monthly!$C$80:$BJ$80,D$3*12)</f>
        <v>948820.158073935</v>
      </c>
      <c r="E5" s="53" t="n">
        <f aca="false">INDEX(Monthly!$C$80:$BJ$80,E$3*12)</f>
        <v>1343494.2348818</v>
      </c>
      <c r="F5" s="53" t="n">
        <f aca="false">INDEX(Monthly!$C$80:$BJ$80,F$3*12)</f>
        <v>1875535.47682885</v>
      </c>
    </row>
    <row r="6" customFormat="false" ht="15" hidden="false" customHeight="false" outlineLevel="0" collapsed="false">
      <c r="A6" s="6" t="s">
        <v>86</v>
      </c>
      <c r="B6" s="53" t="n">
        <f aca="false">INDEX(Monthly!$C$66:$BJ$66,B$3*12)</f>
        <v>44478.8888888889</v>
      </c>
      <c r="C6" s="53" t="n">
        <f aca="false">INDEX(Monthly!$C$66:$BJ$66,C$3*12)</f>
        <v>52822.5772222222</v>
      </c>
      <c r="D6" s="53" t="n">
        <f aca="false">INDEX(Monthly!$C$66:$BJ$66,D$3*12)</f>
        <v>62738.0867197222</v>
      </c>
      <c r="E6" s="53" t="n">
        <f aca="false">INDEX(Monthly!$C$66:$BJ$66,E$3*12)</f>
        <v>74523.067303511</v>
      </c>
      <c r="F6" s="53" t="n">
        <f aca="false">INDEX(Monthly!$C$66:$BJ$66,F$3*12)</f>
        <v>88531.8904508327</v>
      </c>
    </row>
    <row r="7" customFormat="false" ht="15" hidden="false" customHeight="false" outlineLevel="0" collapsed="false">
      <c r="A7" s="6" t="s">
        <v>87</v>
      </c>
      <c r="B7" s="53" t="n">
        <f aca="false">INDEX(Monthly!$C$67:$BJ$67,B$3*12)</f>
        <v>14208.4722222222</v>
      </c>
      <c r="C7" s="53" t="n">
        <f aca="false">INDEX(Monthly!$C$67:$BJ$67,C$3*12)</f>
        <v>16545.3799305556</v>
      </c>
      <c r="D7" s="53" t="n">
        <f aca="false">INDEX(Monthly!$C$67:$BJ$67,D$3*12)</f>
        <v>19275.2895724097</v>
      </c>
      <c r="E7" s="53" t="n">
        <f aca="false">INDEX(Monthly!$C$67:$BJ$67,E$3*12)</f>
        <v>22465.7775647668</v>
      </c>
      <c r="F7" s="53" t="n">
        <f aca="false">INDEX(Monthly!$C$67:$BJ$67,F$3*12)</f>
        <v>26196.3039366017</v>
      </c>
    </row>
    <row r="8" customFormat="false" ht="15" hidden="false" customHeight="false" outlineLevel="0" collapsed="false">
      <c r="A8" s="6" t="s">
        <v>88</v>
      </c>
      <c r="B8" s="53" t="n">
        <f aca="false">INDEX(Monthly!$C$57:$BJ$57,B$3*12)</f>
        <v>16000</v>
      </c>
      <c r="C8" s="53" t="n">
        <f aca="false">INDEX(Monthly!$C$57:$BJ$57,C$3*12)</f>
        <v>42240</v>
      </c>
      <c r="D8" s="53" t="n">
        <f aca="false">INDEX(Monthly!$C$57:$BJ$57,D$3*12)</f>
        <v>64548.8</v>
      </c>
      <c r="E8" s="53" t="n">
        <f aca="false">INDEX(Monthly!$C$57:$BJ$57,E$3*12)</f>
        <v>82454.6560000001</v>
      </c>
      <c r="F8" s="53" t="n">
        <f aca="false">INDEX(Monthly!$C$57:$BJ$57,F$3*12)</f>
        <v>95429.2147200001</v>
      </c>
    </row>
    <row r="9" customFormat="false" ht="15" hidden="false" customHeight="false" outlineLevel="0" collapsed="false">
      <c r="A9" s="95" t="s">
        <v>89</v>
      </c>
      <c r="B9" s="54" t="n">
        <f aca="false">INDEX(Monthly!$C$94:$BJ$94,B$3*12)</f>
        <v>553564.829544445</v>
      </c>
      <c r="C9" s="54" t="n">
        <f aca="false">INDEX(Monthly!$C$94:$BJ$94,C$3*12)</f>
        <v>778892.047680094</v>
      </c>
      <c r="D9" s="54" t="n">
        <f aca="false">INDEX(Monthly!$C$94:$BJ$94,D$3*12)</f>
        <v>1095382.33436607</v>
      </c>
      <c r="E9" s="54" t="n">
        <f aca="false">INDEX(Monthly!$C$94:$BJ$94,E$3*12)</f>
        <v>1522937.73575008</v>
      </c>
      <c r="F9" s="54" t="n">
        <f aca="false">INDEX(Monthly!$C$94:$BJ$94,F$3*12)</f>
        <v>2085692.88593628</v>
      </c>
    </row>
    <row r="10" customFormat="false" ht="15" hidden="false" customHeight="false" outlineLevel="0" collapsed="false">
      <c r="A10" s="6" t="s">
        <v>90</v>
      </c>
      <c r="B10" s="53" t="n">
        <f aca="false">INDEX(Monthly!$C$68:$BJ$68,B$3*12)</f>
        <v>56833.8888888889</v>
      </c>
      <c r="C10" s="53" t="n">
        <f aca="false">INDEX(Monthly!$C$68:$BJ$68,C$3*12)</f>
        <v>66181.5197222222</v>
      </c>
      <c r="D10" s="53" t="n">
        <f aca="false">INDEX(Monthly!$C$68:$BJ$68,D$3*12)</f>
        <v>77101.1582896389</v>
      </c>
      <c r="E10" s="53" t="n">
        <f aca="false">INDEX(Monthly!$C$68:$BJ$68,E$3*12)</f>
        <v>89863.1102590671</v>
      </c>
      <c r="F10" s="53" t="n">
        <f aca="false">INDEX(Monthly!$C$68:$BJ$68,F$3*12)</f>
        <v>104785.215746407</v>
      </c>
    </row>
    <row r="11" customFormat="false" ht="15" hidden="false" customHeight="false" outlineLevel="0" collapsed="false">
      <c r="A11" s="6" t="s">
        <v>91</v>
      </c>
      <c r="B11" s="53" t="n">
        <f aca="false">INDEX(Monthly!$C$63:$BJ$63,B$3*12)</f>
        <v>204166.666666667</v>
      </c>
      <c r="C11" s="53" t="n">
        <f aca="false">INDEX(Monthly!$C$63:$BJ$63,C$3*12)</f>
        <v>154166.666666667</v>
      </c>
      <c r="D11" s="53" t="n">
        <f aca="false">INDEX(Monthly!$C$63:$BJ$63,D$3*12)</f>
        <v>104166.666666667</v>
      </c>
      <c r="E11" s="53" t="n">
        <f aca="false">INDEX(Monthly!$C$63:$BJ$63,E$3*12)</f>
        <v>54166.6666666669</v>
      </c>
      <c r="F11" s="53" t="n">
        <f aca="false">INDEX(Monthly!$C$63:$BJ$63,F$3*12)</f>
        <v>4166.66666666687</v>
      </c>
    </row>
    <row r="12" customFormat="false" ht="15" hidden="false" customHeight="false" outlineLevel="0" collapsed="false">
      <c r="A12" s="96" t="s">
        <v>92</v>
      </c>
      <c r="B12" s="97" t="n">
        <f aca="false">INDEX(Monthly!$C$95:$BJ$95,B$3*12)</f>
        <v>261000.555555556</v>
      </c>
      <c r="C12" s="97" t="n">
        <f aca="false">INDEX(Monthly!$C$95:$BJ$95,C$3*12)</f>
        <v>220348.186388889</v>
      </c>
      <c r="D12" s="97" t="n">
        <f aca="false">INDEX(Monthly!$C$95:$BJ$95,D$3*12)</f>
        <v>181267.824956306</v>
      </c>
      <c r="E12" s="97" t="n">
        <f aca="false">INDEX(Monthly!$C$95:$BJ$95,E$3*12)</f>
        <v>144029.776925734</v>
      </c>
      <c r="F12" s="97" t="n">
        <f aca="false">INDEX(Monthly!$C$95:$BJ$95,F$3*12)</f>
        <v>108951.882413074</v>
      </c>
    </row>
    <row r="13" customFormat="false" ht="15" hidden="false" customHeight="false" outlineLevel="0" collapsed="false">
      <c r="A13" s="6" t="s">
        <v>93</v>
      </c>
      <c r="B13" s="53" t="n">
        <f aca="false">INDEX(Monthly!$C$92:$BJ$92,B$3*12)</f>
        <v>100000</v>
      </c>
      <c r="C13" s="53" t="n">
        <f aca="false">INDEX(Monthly!$C$92:$BJ$92,C$3*12)</f>
        <v>100000</v>
      </c>
      <c r="D13" s="53" t="n">
        <f aca="false">INDEX(Monthly!$C$92:$BJ$92,D$3*12)</f>
        <v>100000</v>
      </c>
      <c r="E13" s="53" t="n">
        <f aca="false">INDEX(Monthly!$C$92:$BJ$92,E$3*12)</f>
        <v>100000</v>
      </c>
      <c r="F13" s="53" t="n">
        <f aca="false">INDEX(Monthly!$C$92:$BJ$92,F$3*12)</f>
        <v>100000</v>
      </c>
    </row>
    <row r="14" customFormat="false" ht="15" hidden="false" customHeight="false" outlineLevel="0" collapsed="false">
      <c r="A14" s="6" t="s">
        <v>94</v>
      </c>
      <c r="B14" s="53" t="n">
        <f aca="false">INDEX(Monthly!$C$93:$BJ$93,B$3*12)</f>
        <v>192564.273988889</v>
      </c>
      <c r="C14" s="53" t="n">
        <f aca="false">INDEX(Monthly!$C$93:$BJ$93,C$3*12)</f>
        <v>458543.861291206</v>
      </c>
      <c r="D14" s="53" t="n">
        <f aca="false">INDEX(Monthly!$C$93:$BJ$93,D$3*12)</f>
        <v>814114.509409761</v>
      </c>
      <c r="E14" s="53" t="n">
        <f aca="false">INDEX(Monthly!$C$93:$BJ$93,E$3*12)</f>
        <v>1278907.95882435</v>
      </c>
      <c r="F14" s="53" t="n">
        <f aca="false">INDEX(Monthly!$C$93:$BJ$93,F$3*12)</f>
        <v>1876741.00352321</v>
      </c>
    </row>
    <row r="15" customFormat="false" ht="15" hidden="false" customHeight="false" outlineLevel="0" collapsed="false">
      <c r="A15" s="96" t="s">
        <v>95</v>
      </c>
      <c r="B15" s="97" t="n">
        <f aca="false">INDEX(Monthly!$C$96:$BJ$96,B$3*12)</f>
        <v>292564.273988889</v>
      </c>
      <c r="C15" s="97" t="n">
        <f aca="false">INDEX(Monthly!$C$96:$BJ$96,C$3*12)</f>
        <v>558543.861291206</v>
      </c>
      <c r="D15" s="97" t="n">
        <f aca="false">INDEX(Monthly!$C$96:$BJ$96,D$3*12)</f>
        <v>914114.509409761</v>
      </c>
      <c r="E15" s="97" t="n">
        <f aca="false">INDEX(Monthly!$C$96:$BJ$96,E$3*12)</f>
        <v>1378907.95882435</v>
      </c>
      <c r="F15" s="97" t="n">
        <f aca="false">INDEX(Monthly!$C$96:$BJ$96,F$3*12)</f>
        <v>1976741.00352321</v>
      </c>
    </row>
    <row r="16" customFormat="false" ht="15" hidden="false" customHeight="false" outlineLevel="0" collapsed="false">
      <c r="A16" s="56" t="s">
        <v>96</v>
      </c>
      <c r="B16" s="57" t="n">
        <f aca="false">INDEX(Monthly!$C$97:$BJ$97,B$3*12)</f>
        <v>553564.829544445</v>
      </c>
      <c r="C16" s="57" t="n">
        <f aca="false">INDEX(Monthly!$C$97:$BJ$97,C$3*12)</f>
        <v>778892.047680095</v>
      </c>
      <c r="D16" s="57" t="n">
        <f aca="false">INDEX(Monthly!$C$97:$BJ$97,D$3*12)</f>
        <v>1095382.33436607</v>
      </c>
      <c r="E16" s="57" t="n">
        <f aca="false">INDEX(Monthly!$C$97:$BJ$97,E$3*12)</f>
        <v>1522937.73575008</v>
      </c>
      <c r="F16" s="57" t="n">
        <f aca="false">INDEX(Monthly!$C$97:$BJ$97,F$3*12)</f>
        <v>2085692.88593628</v>
      </c>
    </row>
    <row r="17" customFormat="false" ht="15" hidden="false" customHeight="false" outlineLevel="0" collapsed="false">
      <c r="A17" s="6" t="s">
        <v>283</v>
      </c>
      <c r="B17" s="53" t="n">
        <f aca="false">INDEX(Monthly!$C$98:$BJ$98,B$3*12)</f>
        <v>0</v>
      </c>
      <c r="C17" s="53" t="n">
        <f aca="false">INDEX(Monthly!$C$98:$BJ$98,C$3*12)</f>
        <v>0</v>
      </c>
      <c r="D17" s="53" t="n">
        <f aca="false">INDEX(Monthly!$C$98:$BJ$98,D$3*12)</f>
        <v>0</v>
      </c>
      <c r="E17" s="53" t="n">
        <f aca="false">INDEX(Monthly!$C$98:$BJ$98,E$3*12)</f>
        <v>0</v>
      </c>
      <c r="F17" s="53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284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285</v>
      </c>
    </row>
    <row r="3" customFormat="false" ht="15" hidden="false" customHeight="false" outlineLevel="0" collapsed="false">
      <c r="A3" s="33" t="s">
        <v>286</v>
      </c>
      <c r="C3" s="59" t="s">
        <v>287</v>
      </c>
      <c r="D3" s="59" t="s">
        <v>288</v>
      </c>
      <c r="E3" s="59" t="s">
        <v>289</v>
      </c>
      <c r="F3" s="59" t="s">
        <v>290</v>
      </c>
      <c r="G3" s="59" t="s">
        <v>291</v>
      </c>
      <c r="H3" s="59" t="s">
        <v>292</v>
      </c>
      <c r="I3" s="59" t="s">
        <v>293</v>
      </c>
      <c r="J3" s="59" t="s">
        <v>294</v>
      </c>
      <c r="K3" s="59" t="s">
        <v>295</v>
      </c>
      <c r="L3" s="59" t="s">
        <v>296</v>
      </c>
      <c r="M3" s="59" t="s">
        <v>297</v>
      </c>
      <c r="N3" s="59" t="s">
        <v>298</v>
      </c>
      <c r="O3" s="59" t="s">
        <v>299</v>
      </c>
      <c r="P3" s="59" t="s">
        <v>300</v>
      </c>
      <c r="Q3" s="59" t="s">
        <v>301</v>
      </c>
      <c r="R3" s="59" t="s">
        <v>302</v>
      </c>
      <c r="S3" s="59" t="s">
        <v>303</v>
      </c>
      <c r="T3" s="59" t="s">
        <v>304</v>
      </c>
      <c r="U3" s="59" t="s">
        <v>305</v>
      </c>
      <c r="V3" s="59" t="s">
        <v>306</v>
      </c>
      <c r="W3" s="59" t="s">
        <v>307</v>
      </c>
      <c r="X3" s="59" t="s">
        <v>308</v>
      </c>
      <c r="Y3" s="59" t="s">
        <v>309</v>
      </c>
      <c r="Z3" s="59" t="s">
        <v>310</v>
      </c>
      <c r="AA3" s="59" t="s">
        <v>311</v>
      </c>
      <c r="AB3" s="59" t="s">
        <v>312</v>
      </c>
      <c r="AC3" s="59" t="s">
        <v>313</v>
      </c>
      <c r="AD3" s="59" t="s">
        <v>314</v>
      </c>
      <c r="AE3" s="59" t="s">
        <v>315</v>
      </c>
      <c r="AF3" s="59" t="s">
        <v>316</v>
      </c>
      <c r="AG3" s="59" t="s">
        <v>317</v>
      </c>
      <c r="AH3" s="59" t="s">
        <v>318</v>
      </c>
      <c r="AI3" s="59" t="s">
        <v>319</v>
      </c>
      <c r="AJ3" s="59" t="s">
        <v>320</v>
      </c>
      <c r="AK3" s="59" t="s">
        <v>321</v>
      </c>
      <c r="AL3" s="59" t="s">
        <v>322</v>
      </c>
      <c r="AM3" s="59" t="s">
        <v>323</v>
      </c>
      <c r="AN3" s="59" t="s">
        <v>324</v>
      </c>
      <c r="AO3" s="59" t="s">
        <v>325</v>
      </c>
      <c r="AP3" s="59" t="s">
        <v>326</v>
      </c>
      <c r="AQ3" s="59" t="s">
        <v>327</v>
      </c>
      <c r="AR3" s="59" t="s">
        <v>328</v>
      </c>
      <c r="AS3" s="59" t="s">
        <v>329</v>
      </c>
      <c r="AT3" s="59" t="s">
        <v>330</v>
      </c>
      <c r="AU3" s="59" t="s">
        <v>331</v>
      </c>
      <c r="AV3" s="59" t="s">
        <v>332</v>
      </c>
      <c r="AW3" s="59" t="s">
        <v>333</v>
      </c>
      <c r="AX3" s="59" t="s">
        <v>334</v>
      </c>
      <c r="AY3" s="59" t="s">
        <v>335</v>
      </c>
      <c r="AZ3" s="59" t="s">
        <v>336</v>
      </c>
      <c r="BA3" s="59" t="s">
        <v>337</v>
      </c>
      <c r="BB3" s="59" t="s">
        <v>338</v>
      </c>
      <c r="BC3" s="59" t="s">
        <v>339</v>
      </c>
      <c r="BD3" s="59" t="s">
        <v>340</v>
      </c>
      <c r="BE3" s="59" t="s">
        <v>341</v>
      </c>
      <c r="BF3" s="59" t="s">
        <v>342</v>
      </c>
      <c r="BG3" s="59" t="s">
        <v>343</v>
      </c>
      <c r="BH3" s="59" t="s">
        <v>344</v>
      </c>
      <c r="BI3" s="59" t="s">
        <v>345</v>
      </c>
      <c r="BJ3" s="59" t="s">
        <v>346</v>
      </c>
    </row>
    <row r="4" customFormat="false" ht="15" hidden="false" customHeight="false" outlineLevel="0" collapsed="false">
      <c r="A4" s="58" t="s">
        <v>347</v>
      </c>
      <c r="C4" s="58" t="n">
        <v>1</v>
      </c>
      <c r="D4" s="58" t="n">
        <v>2</v>
      </c>
      <c r="E4" s="58" t="n">
        <v>3</v>
      </c>
      <c r="F4" s="58" t="n">
        <v>4</v>
      </c>
      <c r="G4" s="58" t="n">
        <v>5</v>
      </c>
      <c r="H4" s="58" t="n">
        <v>6</v>
      </c>
      <c r="I4" s="58" t="n">
        <v>7</v>
      </c>
      <c r="J4" s="58" t="n">
        <v>8</v>
      </c>
      <c r="K4" s="58" t="n">
        <v>9</v>
      </c>
      <c r="L4" s="58" t="n">
        <v>10</v>
      </c>
      <c r="M4" s="58" t="n">
        <v>11</v>
      </c>
      <c r="N4" s="58" t="n">
        <v>12</v>
      </c>
      <c r="O4" s="58" t="n">
        <v>13</v>
      </c>
      <c r="P4" s="58" t="n">
        <v>14</v>
      </c>
      <c r="Q4" s="58" t="n">
        <v>15</v>
      </c>
      <c r="R4" s="58" t="n">
        <v>16</v>
      </c>
      <c r="S4" s="58" t="n">
        <v>17</v>
      </c>
      <c r="T4" s="58" t="n">
        <v>18</v>
      </c>
      <c r="U4" s="58" t="n">
        <v>19</v>
      </c>
      <c r="V4" s="58" t="n">
        <v>20</v>
      </c>
      <c r="W4" s="58" t="n">
        <v>21</v>
      </c>
      <c r="X4" s="58" t="n">
        <v>22</v>
      </c>
      <c r="Y4" s="58" t="n">
        <v>23</v>
      </c>
      <c r="Z4" s="58" t="n">
        <v>24</v>
      </c>
      <c r="AA4" s="58" t="n">
        <v>25</v>
      </c>
      <c r="AB4" s="58" t="n">
        <v>26</v>
      </c>
      <c r="AC4" s="58" t="n">
        <v>27</v>
      </c>
      <c r="AD4" s="58" t="n">
        <v>28</v>
      </c>
      <c r="AE4" s="58" t="n">
        <v>29</v>
      </c>
      <c r="AF4" s="58" t="n">
        <v>30</v>
      </c>
      <c r="AG4" s="58" t="n">
        <v>31</v>
      </c>
      <c r="AH4" s="58" t="n">
        <v>32</v>
      </c>
      <c r="AI4" s="58" t="n">
        <v>33</v>
      </c>
      <c r="AJ4" s="58" t="n">
        <v>34</v>
      </c>
      <c r="AK4" s="58" t="n">
        <v>35</v>
      </c>
      <c r="AL4" s="58" t="n">
        <v>36</v>
      </c>
      <c r="AM4" s="58" t="n">
        <v>37</v>
      </c>
      <c r="AN4" s="58" t="n">
        <v>38</v>
      </c>
      <c r="AO4" s="58" t="n">
        <v>39</v>
      </c>
      <c r="AP4" s="58" t="n">
        <v>40</v>
      </c>
      <c r="AQ4" s="58" t="n">
        <v>41</v>
      </c>
      <c r="AR4" s="58" t="n">
        <v>42</v>
      </c>
      <c r="AS4" s="58" t="n">
        <v>43</v>
      </c>
      <c r="AT4" s="58" t="n">
        <v>44</v>
      </c>
      <c r="AU4" s="58" t="n">
        <v>45</v>
      </c>
      <c r="AV4" s="58" t="n">
        <v>46</v>
      </c>
      <c r="AW4" s="58" t="n">
        <v>47</v>
      </c>
      <c r="AX4" s="58" t="n">
        <v>48</v>
      </c>
      <c r="AY4" s="58" t="n">
        <v>49</v>
      </c>
      <c r="AZ4" s="58" t="n">
        <v>50</v>
      </c>
      <c r="BA4" s="58" t="n">
        <v>51</v>
      </c>
      <c r="BB4" s="58" t="n">
        <v>52</v>
      </c>
      <c r="BC4" s="58" t="n">
        <v>53</v>
      </c>
      <c r="BD4" s="58" t="n">
        <v>54</v>
      </c>
      <c r="BE4" s="58" t="n">
        <v>55</v>
      </c>
      <c r="BF4" s="58" t="n">
        <v>56</v>
      </c>
      <c r="BG4" s="58" t="n">
        <v>57</v>
      </c>
      <c r="BH4" s="58" t="n">
        <v>58</v>
      </c>
      <c r="BI4" s="58" t="n">
        <v>59</v>
      </c>
      <c r="BJ4" s="58" t="n">
        <v>60</v>
      </c>
    </row>
    <row r="5" customFormat="false" ht="15" hidden="false" customHeight="false" outlineLevel="0" collapsed="false">
      <c r="A5" s="58" t="s">
        <v>120</v>
      </c>
      <c r="C5" s="58" t="n">
        <f aca="false">ROUNDUP(C4*1/12,0)</f>
        <v>1</v>
      </c>
      <c r="D5" s="58" t="n">
        <f aca="false">ROUNDUP(D4*1/12,0)</f>
        <v>1</v>
      </c>
      <c r="E5" s="58" t="n">
        <f aca="false">ROUNDUP(E4*1/12,0)</f>
        <v>1</v>
      </c>
      <c r="F5" s="58" t="n">
        <f aca="false">ROUNDUP(F4*1/12,0)</f>
        <v>1</v>
      </c>
      <c r="G5" s="58" t="n">
        <f aca="false">ROUNDUP(G4*1/12,0)</f>
        <v>1</v>
      </c>
      <c r="H5" s="58" t="n">
        <f aca="false">ROUNDUP(H4*1/12,0)</f>
        <v>1</v>
      </c>
      <c r="I5" s="58" t="n">
        <f aca="false">ROUNDUP(I4*1/12,0)</f>
        <v>1</v>
      </c>
      <c r="J5" s="58" t="n">
        <f aca="false">ROUNDUP(J4*1/12,0)</f>
        <v>1</v>
      </c>
      <c r="K5" s="58" t="n">
        <f aca="false">ROUNDUP(K4*1/12,0)</f>
        <v>1</v>
      </c>
      <c r="L5" s="58" t="n">
        <f aca="false">ROUNDUP(L4*1/12,0)</f>
        <v>1</v>
      </c>
      <c r="M5" s="58" t="n">
        <f aca="false">ROUNDUP(M4*1/12,0)</f>
        <v>1</v>
      </c>
      <c r="N5" s="58" t="n">
        <f aca="false">ROUNDUP(N4*1/12,0)</f>
        <v>1</v>
      </c>
      <c r="O5" s="58" t="n">
        <f aca="false">ROUNDUP(O4*1/12,0)</f>
        <v>2</v>
      </c>
      <c r="P5" s="58" t="n">
        <f aca="false">ROUNDUP(P4*1/12,0)</f>
        <v>2</v>
      </c>
      <c r="Q5" s="58" t="n">
        <f aca="false">ROUNDUP(Q4*1/12,0)</f>
        <v>2</v>
      </c>
      <c r="R5" s="58" t="n">
        <f aca="false">ROUNDUP(R4*1/12,0)</f>
        <v>2</v>
      </c>
      <c r="S5" s="58" t="n">
        <f aca="false">ROUNDUP(S4*1/12,0)</f>
        <v>2</v>
      </c>
      <c r="T5" s="58" t="n">
        <f aca="false">ROUNDUP(T4*1/12,0)</f>
        <v>2</v>
      </c>
      <c r="U5" s="58" t="n">
        <f aca="false">ROUNDUP(U4*1/12,0)</f>
        <v>2</v>
      </c>
      <c r="V5" s="58" t="n">
        <f aca="false">ROUNDUP(V4*1/12,0)</f>
        <v>2</v>
      </c>
      <c r="W5" s="58" t="n">
        <f aca="false">ROUNDUP(W4*1/12,0)</f>
        <v>2</v>
      </c>
      <c r="X5" s="58" t="n">
        <f aca="false">ROUNDUP(X4*1/12,0)</f>
        <v>2</v>
      </c>
      <c r="Y5" s="58" t="n">
        <f aca="false">ROUNDUP(Y4*1/12,0)</f>
        <v>2</v>
      </c>
      <c r="Z5" s="58" t="n">
        <f aca="false">ROUNDUP(Z4*1/12,0)</f>
        <v>2</v>
      </c>
      <c r="AA5" s="58" t="n">
        <f aca="false">ROUNDUP(AA4*1/12,0)</f>
        <v>3</v>
      </c>
      <c r="AB5" s="58" t="n">
        <f aca="false">ROUNDUP(AB4*1/12,0)</f>
        <v>3</v>
      </c>
      <c r="AC5" s="58" t="n">
        <f aca="false">ROUNDUP(AC4*1/12,0)</f>
        <v>3</v>
      </c>
      <c r="AD5" s="58" t="n">
        <f aca="false">ROUNDUP(AD4*1/12,0)</f>
        <v>3</v>
      </c>
      <c r="AE5" s="58" t="n">
        <f aca="false">ROUNDUP(AE4*1/12,0)</f>
        <v>3</v>
      </c>
      <c r="AF5" s="58" t="n">
        <f aca="false">ROUNDUP(AF4*1/12,0)</f>
        <v>3</v>
      </c>
      <c r="AG5" s="58" t="n">
        <f aca="false">ROUNDUP(AG4*1/12,0)</f>
        <v>3</v>
      </c>
      <c r="AH5" s="58" t="n">
        <f aca="false">ROUNDUP(AH4*1/12,0)</f>
        <v>3</v>
      </c>
      <c r="AI5" s="58" t="n">
        <f aca="false">ROUNDUP(AI4*1/12,0)</f>
        <v>3</v>
      </c>
      <c r="AJ5" s="58" t="n">
        <f aca="false">ROUNDUP(AJ4*1/12,0)</f>
        <v>3</v>
      </c>
      <c r="AK5" s="58" t="n">
        <f aca="false">ROUNDUP(AK4*1/12,0)</f>
        <v>3</v>
      </c>
      <c r="AL5" s="58" t="n">
        <f aca="false">ROUNDUP(AL4*1/12,0)</f>
        <v>3</v>
      </c>
      <c r="AM5" s="58" t="n">
        <f aca="false">ROUNDUP(AM4*1/12,0)</f>
        <v>4</v>
      </c>
      <c r="AN5" s="58" t="n">
        <f aca="false">ROUNDUP(AN4*1/12,0)</f>
        <v>4</v>
      </c>
      <c r="AO5" s="58" t="n">
        <f aca="false">ROUNDUP(AO4*1/12,0)</f>
        <v>4</v>
      </c>
      <c r="AP5" s="58" t="n">
        <f aca="false">ROUNDUP(AP4*1/12,0)</f>
        <v>4</v>
      </c>
      <c r="AQ5" s="58" t="n">
        <f aca="false">ROUNDUP(AQ4*1/12,0)</f>
        <v>4</v>
      </c>
      <c r="AR5" s="58" t="n">
        <f aca="false">ROUNDUP(AR4*1/12,0)</f>
        <v>4</v>
      </c>
      <c r="AS5" s="58" t="n">
        <f aca="false">ROUNDUP(AS4*1/12,0)</f>
        <v>4</v>
      </c>
      <c r="AT5" s="58" t="n">
        <f aca="false">ROUNDUP(AT4*1/12,0)</f>
        <v>4</v>
      </c>
      <c r="AU5" s="58" t="n">
        <f aca="false">ROUNDUP(AU4*1/12,0)</f>
        <v>4</v>
      </c>
      <c r="AV5" s="58" t="n">
        <f aca="false">ROUNDUP(AV4*1/12,0)</f>
        <v>4</v>
      </c>
      <c r="AW5" s="58" t="n">
        <f aca="false">ROUNDUP(AW4*1/12,0)</f>
        <v>4</v>
      </c>
      <c r="AX5" s="58" t="n">
        <f aca="false">ROUNDUP(AX4*1/12,0)</f>
        <v>4</v>
      </c>
      <c r="AY5" s="58" t="n">
        <f aca="false">ROUNDUP(AY4*1/12,0)</f>
        <v>5</v>
      </c>
      <c r="AZ5" s="58" t="n">
        <f aca="false">ROUNDUP(AZ4*1/12,0)</f>
        <v>5</v>
      </c>
      <c r="BA5" s="58" t="n">
        <f aca="false">ROUNDUP(BA4*1/12,0)</f>
        <v>5</v>
      </c>
      <c r="BB5" s="58" t="n">
        <f aca="false">ROUNDUP(BB4*1/12,0)</f>
        <v>5</v>
      </c>
      <c r="BC5" s="58" t="n">
        <f aca="false">ROUNDUP(BC4*1/12,0)</f>
        <v>5</v>
      </c>
      <c r="BD5" s="58" t="n">
        <f aca="false">ROUNDUP(BD4*1/12,0)</f>
        <v>5</v>
      </c>
      <c r="BE5" s="58" t="n">
        <f aca="false">ROUNDUP(BE4*1/12,0)</f>
        <v>5</v>
      </c>
      <c r="BF5" s="58" t="n">
        <f aca="false">ROUNDUP(BF4*1/12,0)</f>
        <v>5</v>
      </c>
      <c r="BG5" s="58" t="n">
        <f aca="false">ROUNDUP(BG4*1/12,0)</f>
        <v>5</v>
      </c>
      <c r="BH5" s="58" t="n">
        <f aca="false">ROUNDUP(BH4*1/12,0)</f>
        <v>5</v>
      </c>
      <c r="BI5" s="58" t="n">
        <f aca="false">ROUNDUP(BI4*1/12,0)</f>
        <v>5</v>
      </c>
      <c r="BJ5" s="58" t="n">
        <f aca="false">ROUNDUP(BJ4*1/12,0)</f>
        <v>5</v>
      </c>
    </row>
    <row r="7" customFormat="false" ht="15.75" hidden="false" customHeight="true" outlineLevel="0" collapsed="false">
      <c r="A7" s="7" t="s">
        <v>348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349</v>
      </c>
      <c r="C8" s="98" t="n">
        <f aca="false">Headcount!C8</f>
        <v>7</v>
      </c>
      <c r="D8" s="98" t="n">
        <f aca="false">Headcount!D8</f>
        <v>7</v>
      </c>
      <c r="E8" s="98" t="n">
        <f aca="false">Headcount!E8</f>
        <v>7</v>
      </c>
      <c r="F8" s="98" t="n">
        <f aca="false">Headcount!F8</f>
        <v>7</v>
      </c>
      <c r="G8" s="98" t="n">
        <f aca="false">Headcount!G8</f>
        <v>7</v>
      </c>
      <c r="H8" s="98" t="n">
        <f aca="false">Headcount!H8</f>
        <v>7</v>
      </c>
      <c r="I8" s="98" t="n">
        <f aca="false">Headcount!I8</f>
        <v>7</v>
      </c>
      <c r="J8" s="98" t="n">
        <f aca="false">Headcount!J8</f>
        <v>7</v>
      </c>
      <c r="K8" s="98" t="n">
        <f aca="false">Headcount!K8</f>
        <v>7</v>
      </c>
      <c r="L8" s="98" t="n">
        <f aca="false">Headcount!L8</f>
        <v>7</v>
      </c>
      <c r="M8" s="98" t="n">
        <f aca="false">Headcount!M8</f>
        <v>7</v>
      </c>
      <c r="N8" s="98" t="n">
        <f aca="false">Headcount!N8</f>
        <v>7</v>
      </c>
      <c r="O8" s="98" t="n">
        <f aca="false">Headcount!O8</f>
        <v>7.84</v>
      </c>
      <c r="P8" s="98" t="n">
        <f aca="false">Headcount!P8</f>
        <v>7.84</v>
      </c>
      <c r="Q8" s="98" t="n">
        <f aca="false">Headcount!Q8</f>
        <v>7.84</v>
      </c>
      <c r="R8" s="98" t="n">
        <f aca="false">Headcount!R8</f>
        <v>7.84</v>
      </c>
      <c r="S8" s="98" t="n">
        <f aca="false">Headcount!S8</f>
        <v>7.84</v>
      </c>
      <c r="T8" s="98" t="n">
        <f aca="false">Headcount!T8</f>
        <v>7.84</v>
      </c>
      <c r="U8" s="98" t="n">
        <f aca="false">Headcount!U8</f>
        <v>7.84</v>
      </c>
      <c r="V8" s="98" t="n">
        <f aca="false">Headcount!V8</f>
        <v>7.84</v>
      </c>
      <c r="W8" s="98" t="n">
        <f aca="false">Headcount!W8</f>
        <v>7.84</v>
      </c>
      <c r="X8" s="98" t="n">
        <f aca="false">Headcount!X8</f>
        <v>7.84</v>
      </c>
      <c r="Y8" s="98" t="n">
        <f aca="false">Headcount!Y8</f>
        <v>7.84</v>
      </c>
      <c r="Z8" s="98" t="n">
        <f aca="false">Headcount!Z8</f>
        <v>7.84</v>
      </c>
      <c r="AA8" s="98" t="n">
        <f aca="false">Headcount!AA8</f>
        <v>8.7808</v>
      </c>
      <c r="AB8" s="98" t="n">
        <f aca="false">Headcount!AB8</f>
        <v>8.7808</v>
      </c>
      <c r="AC8" s="98" t="n">
        <f aca="false">Headcount!AC8</f>
        <v>8.7808</v>
      </c>
      <c r="AD8" s="98" t="n">
        <f aca="false">Headcount!AD8</f>
        <v>8.7808</v>
      </c>
      <c r="AE8" s="98" t="n">
        <f aca="false">Headcount!AE8</f>
        <v>8.7808</v>
      </c>
      <c r="AF8" s="98" t="n">
        <f aca="false">Headcount!AF8</f>
        <v>8.7808</v>
      </c>
      <c r="AG8" s="98" t="n">
        <f aca="false">Headcount!AG8</f>
        <v>8.7808</v>
      </c>
      <c r="AH8" s="98" t="n">
        <f aca="false">Headcount!AH8</f>
        <v>8.7808</v>
      </c>
      <c r="AI8" s="98" t="n">
        <f aca="false">Headcount!AI8</f>
        <v>8.7808</v>
      </c>
      <c r="AJ8" s="98" t="n">
        <f aca="false">Headcount!AJ8</f>
        <v>8.7808</v>
      </c>
      <c r="AK8" s="98" t="n">
        <f aca="false">Headcount!AK8</f>
        <v>8.7808</v>
      </c>
      <c r="AL8" s="98" t="n">
        <f aca="false">Headcount!AL8</f>
        <v>8.7808</v>
      </c>
      <c r="AM8" s="98" t="n">
        <f aca="false">Headcount!AM8</f>
        <v>9.834496</v>
      </c>
      <c r="AN8" s="98" t="n">
        <f aca="false">Headcount!AN8</f>
        <v>9.834496</v>
      </c>
      <c r="AO8" s="98" t="n">
        <f aca="false">Headcount!AO8</f>
        <v>9.834496</v>
      </c>
      <c r="AP8" s="98" t="n">
        <f aca="false">Headcount!AP8</f>
        <v>9.834496</v>
      </c>
      <c r="AQ8" s="98" t="n">
        <f aca="false">Headcount!AQ8</f>
        <v>9.834496</v>
      </c>
      <c r="AR8" s="98" t="n">
        <f aca="false">Headcount!AR8</f>
        <v>9.834496</v>
      </c>
      <c r="AS8" s="98" t="n">
        <f aca="false">Headcount!AS8</f>
        <v>9.834496</v>
      </c>
      <c r="AT8" s="98" t="n">
        <f aca="false">Headcount!AT8</f>
        <v>9.834496</v>
      </c>
      <c r="AU8" s="98" t="n">
        <f aca="false">Headcount!AU8</f>
        <v>9.834496</v>
      </c>
      <c r="AV8" s="98" t="n">
        <f aca="false">Headcount!AV8</f>
        <v>9.834496</v>
      </c>
      <c r="AW8" s="98" t="n">
        <f aca="false">Headcount!AW8</f>
        <v>9.834496</v>
      </c>
      <c r="AX8" s="98" t="n">
        <f aca="false">Headcount!AX8</f>
        <v>9.834496</v>
      </c>
      <c r="AY8" s="98" t="n">
        <f aca="false">Headcount!AY8</f>
        <v>11.01463552</v>
      </c>
      <c r="AZ8" s="98" t="n">
        <f aca="false">Headcount!AZ8</f>
        <v>11.01463552</v>
      </c>
      <c r="BA8" s="98" t="n">
        <f aca="false">Headcount!BA8</f>
        <v>11.01463552</v>
      </c>
      <c r="BB8" s="98" t="n">
        <f aca="false">Headcount!BB8</f>
        <v>11.01463552</v>
      </c>
      <c r="BC8" s="98" t="n">
        <f aca="false">Headcount!BC8</f>
        <v>11.01463552</v>
      </c>
      <c r="BD8" s="98" t="n">
        <f aca="false">Headcount!BD8</f>
        <v>11.01463552</v>
      </c>
      <c r="BE8" s="98" t="n">
        <f aca="false">Headcount!BE8</f>
        <v>11.01463552</v>
      </c>
      <c r="BF8" s="98" t="n">
        <f aca="false">Headcount!BF8</f>
        <v>11.01463552</v>
      </c>
      <c r="BG8" s="98" t="n">
        <f aca="false">Headcount!BG8</f>
        <v>11.01463552</v>
      </c>
      <c r="BH8" s="98" t="n">
        <f aca="false">Headcount!BH8</f>
        <v>11.01463552</v>
      </c>
      <c r="BI8" s="98" t="n">
        <f aca="false">Headcount!BI8</f>
        <v>11.01463552</v>
      </c>
      <c r="BJ8" s="98" t="n">
        <f aca="false">Headcount!BJ8</f>
        <v>11.01463552</v>
      </c>
    </row>
    <row r="9" customFormat="false" ht="15" hidden="false" customHeight="false" outlineLevel="0" collapsed="false">
      <c r="A9" s="6" t="s">
        <v>350</v>
      </c>
      <c r="C9" s="99" t="n">
        <f aca="false">C8*Inputs!$E$7*Inputs!$E$8*1</f>
        <v>367.5</v>
      </c>
      <c r="D9" s="99" t="n">
        <f aca="false">D8*Inputs!$E$7*Inputs!$E$8*1</f>
        <v>367.5</v>
      </c>
      <c r="E9" s="99" t="n">
        <f aca="false">E8*Inputs!$E$7*Inputs!$E$8*1</f>
        <v>367.5</v>
      </c>
      <c r="F9" s="99" t="n">
        <f aca="false">F8*Inputs!$E$7*Inputs!$E$8*1</f>
        <v>367.5</v>
      </c>
      <c r="G9" s="99" t="n">
        <f aca="false">G8*Inputs!$E$7*Inputs!$E$8*1</f>
        <v>367.5</v>
      </c>
      <c r="H9" s="99" t="n">
        <f aca="false">H8*Inputs!$E$7*Inputs!$E$8*1</f>
        <v>367.5</v>
      </c>
      <c r="I9" s="99" t="n">
        <f aca="false">I8*Inputs!$E$7*Inputs!$E$8*1</f>
        <v>367.5</v>
      </c>
      <c r="J9" s="99" t="n">
        <f aca="false">J8*Inputs!$E$7*Inputs!$E$8*1</f>
        <v>367.5</v>
      </c>
      <c r="K9" s="99" t="n">
        <f aca="false">K8*Inputs!$E$7*Inputs!$E$8*1</f>
        <v>367.5</v>
      </c>
      <c r="L9" s="99" t="n">
        <f aca="false">L8*Inputs!$E$7*Inputs!$E$8*1</f>
        <v>367.5</v>
      </c>
      <c r="M9" s="99" t="n">
        <f aca="false">M8*Inputs!$E$7*Inputs!$E$8*1</f>
        <v>367.5</v>
      </c>
      <c r="N9" s="99" t="n">
        <f aca="false">N8*Inputs!$E$7*Inputs!$E$8*1</f>
        <v>367.5</v>
      </c>
      <c r="O9" s="99" t="n">
        <f aca="false">O8*Inputs!$E$7*Inputs!$E$8*1</f>
        <v>411.6</v>
      </c>
      <c r="P9" s="99" t="n">
        <f aca="false">P8*Inputs!$E$7*Inputs!$E$8*1</f>
        <v>411.6</v>
      </c>
      <c r="Q9" s="99" t="n">
        <f aca="false">Q8*Inputs!$E$7*Inputs!$E$8*1</f>
        <v>411.6</v>
      </c>
      <c r="R9" s="99" t="n">
        <f aca="false">R8*Inputs!$E$7*Inputs!$E$8*1</f>
        <v>411.6</v>
      </c>
      <c r="S9" s="99" t="n">
        <f aca="false">S8*Inputs!$E$7*Inputs!$E$8*1</f>
        <v>411.6</v>
      </c>
      <c r="T9" s="99" t="n">
        <f aca="false">T8*Inputs!$E$7*Inputs!$E$8*1</f>
        <v>411.6</v>
      </c>
      <c r="U9" s="99" t="n">
        <f aca="false">U8*Inputs!$E$7*Inputs!$E$8*1</f>
        <v>411.6</v>
      </c>
      <c r="V9" s="99" t="n">
        <f aca="false">V8*Inputs!$E$7*Inputs!$E$8*1</f>
        <v>411.6</v>
      </c>
      <c r="W9" s="99" t="n">
        <f aca="false">W8*Inputs!$E$7*Inputs!$E$8*1</f>
        <v>411.6</v>
      </c>
      <c r="X9" s="99" t="n">
        <f aca="false">X8*Inputs!$E$7*Inputs!$E$8*1</f>
        <v>411.6</v>
      </c>
      <c r="Y9" s="99" t="n">
        <f aca="false">Y8*Inputs!$E$7*Inputs!$E$8*1</f>
        <v>411.6</v>
      </c>
      <c r="Z9" s="99" t="n">
        <f aca="false">Z8*Inputs!$E$7*Inputs!$E$8*1</f>
        <v>411.6</v>
      </c>
      <c r="AA9" s="99" t="n">
        <f aca="false">AA8*Inputs!$E$7*Inputs!$E$8*1</f>
        <v>460.992</v>
      </c>
      <c r="AB9" s="99" t="n">
        <f aca="false">AB8*Inputs!$E$7*Inputs!$E$8*1</f>
        <v>460.992</v>
      </c>
      <c r="AC9" s="99" t="n">
        <f aca="false">AC8*Inputs!$E$7*Inputs!$E$8*1</f>
        <v>460.992</v>
      </c>
      <c r="AD9" s="99" t="n">
        <f aca="false">AD8*Inputs!$E$7*Inputs!$E$8*1</f>
        <v>460.992</v>
      </c>
      <c r="AE9" s="99" t="n">
        <f aca="false">AE8*Inputs!$E$7*Inputs!$E$8*1</f>
        <v>460.992</v>
      </c>
      <c r="AF9" s="99" t="n">
        <f aca="false">AF8*Inputs!$E$7*Inputs!$E$8*1</f>
        <v>460.992</v>
      </c>
      <c r="AG9" s="99" t="n">
        <f aca="false">AG8*Inputs!$E$7*Inputs!$E$8*1</f>
        <v>460.992</v>
      </c>
      <c r="AH9" s="99" t="n">
        <f aca="false">AH8*Inputs!$E$7*Inputs!$E$8*1</f>
        <v>460.992</v>
      </c>
      <c r="AI9" s="99" t="n">
        <f aca="false">AI8*Inputs!$E$7*Inputs!$E$8*1</f>
        <v>460.992</v>
      </c>
      <c r="AJ9" s="99" t="n">
        <f aca="false">AJ8*Inputs!$E$7*Inputs!$E$8*1</f>
        <v>460.992</v>
      </c>
      <c r="AK9" s="99" t="n">
        <f aca="false">AK8*Inputs!$E$7*Inputs!$E$8*1</f>
        <v>460.992</v>
      </c>
      <c r="AL9" s="99" t="n">
        <f aca="false">AL8*Inputs!$E$7*Inputs!$E$8*1</f>
        <v>460.992</v>
      </c>
      <c r="AM9" s="99" t="n">
        <f aca="false">AM8*Inputs!$E$7*Inputs!$E$8*1</f>
        <v>516.31104</v>
      </c>
      <c r="AN9" s="99" t="n">
        <f aca="false">AN8*Inputs!$E$7*Inputs!$E$8*1</f>
        <v>516.31104</v>
      </c>
      <c r="AO9" s="99" t="n">
        <f aca="false">AO8*Inputs!$E$7*Inputs!$E$8*1</f>
        <v>516.31104</v>
      </c>
      <c r="AP9" s="99" t="n">
        <f aca="false">AP8*Inputs!$E$7*Inputs!$E$8*1</f>
        <v>516.31104</v>
      </c>
      <c r="AQ9" s="99" t="n">
        <f aca="false">AQ8*Inputs!$E$7*Inputs!$E$8*1</f>
        <v>516.31104</v>
      </c>
      <c r="AR9" s="99" t="n">
        <f aca="false">AR8*Inputs!$E$7*Inputs!$E$8*1</f>
        <v>516.31104</v>
      </c>
      <c r="AS9" s="99" t="n">
        <f aca="false">AS8*Inputs!$E$7*Inputs!$E$8*1</f>
        <v>516.31104</v>
      </c>
      <c r="AT9" s="99" t="n">
        <f aca="false">AT8*Inputs!$E$7*Inputs!$E$8*1</f>
        <v>516.31104</v>
      </c>
      <c r="AU9" s="99" t="n">
        <f aca="false">AU8*Inputs!$E$7*Inputs!$E$8*1</f>
        <v>516.31104</v>
      </c>
      <c r="AV9" s="99" t="n">
        <f aca="false">AV8*Inputs!$E$7*Inputs!$E$8*1</f>
        <v>516.31104</v>
      </c>
      <c r="AW9" s="99" t="n">
        <f aca="false">AW8*Inputs!$E$7*Inputs!$E$8*1</f>
        <v>516.31104</v>
      </c>
      <c r="AX9" s="99" t="n">
        <f aca="false">AX8*Inputs!$E$7*Inputs!$E$8*1</f>
        <v>516.31104</v>
      </c>
      <c r="AY9" s="99" t="n">
        <f aca="false">AY8*Inputs!$E$7*Inputs!$E$8*1</f>
        <v>578.2683648</v>
      </c>
      <c r="AZ9" s="99" t="n">
        <f aca="false">AZ8*Inputs!$E$7*Inputs!$E$8*1</f>
        <v>578.2683648</v>
      </c>
      <c r="BA9" s="99" t="n">
        <f aca="false">BA8*Inputs!$E$7*Inputs!$E$8*1</f>
        <v>578.2683648</v>
      </c>
      <c r="BB9" s="99" t="n">
        <f aca="false">BB8*Inputs!$E$7*Inputs!$E$8*1</f>
        <v>578.2683648</v>
      </c>
      <c r="BC9" s="99" t="n">
        <f aca="false">BC8*Inputs!$E$7*Inputs!$E$8*1</f>
        <v>578.2683648</v>
      </c>
      <c r="BD9" s="99" t="n">
        <f aca="false">BD8*Inputs!$E$7*Inputs!$E$8*1</f>
        <v>578.2683648</v>
      </c>
      <c r="BE9" s="99" t="n">
        <f aca="false">BE8*Inputs!$E$7*Inputs!$E$8*1</f>
        <v>578.2683648</v>
      </c>
      <c r="BF9" s="99" t="n">
        <f aca="false">BF8*Inputs!$E$7*Inputs!$E$8*1</f>
        <v>578.2683648</v>
      </c>
      <c r="BG9" s="99" t="n">
        <f aca="false">BG8*Inputs!$E$7*Inputs!$E$8*1</f>
        <v>578.2683648</v>
      </c>
      <c r="BH9" s="99" t="n">
        <f aca="false">BH8*Inputs!$E$7*Inputs!$E$8*1</f>
        <v>578.2683648</v>
      </c>
      <c r="BI9" s="99" t="n">
        <f aca="false">BI8*Inputs!$E$7*Inputs!$E$8*1</f>
        <v>578.2683648</v>
      </c>
      <c r="BJ9" s="99" t="n">
        <f aca="false">BJ8*Inputs!$E$7*Inputs!$E$8*1</f>
        <v>578.2683648</v>
      </c>
    </row>
    <row r="10" customFormat="false" ht="15" hidden="false" customHeight="false" outlineLevel="0" collapsed="false">
      <c r="A10" s="6" t="s">
        <v>351</v>
      </c>
      <c r="C10" s="100" t="n">
        <f aca="false">IF(AND(MOD(C$4-1,12)&gt;=5,MOD(C$4-1,12)&lt;=7),1+Inputs!$E$17,1-Inputs!$E$17/3)</f>
        <v>0.916666666666667</v>
      </c>
      <c r="D10" s="100" t="n">
        <f aca="false">IF(AND(MOD(D$4-1,12)&gt;=5,MOD(D$4-1,12)&lt;=7),1+Inputs!$E$17,1-Inputs!$E$17/3)</f>
        <v>0.916666666666667</v>
      </c>
      <c r="E10" s="100" t="n">
        <f aca="false">IF(AND(MOD(E$4-1,12)&gt;=5,MOD(E$4-1,12)&lt;=7),1+Inputs!$E$17,1-Inputs!$E$17/3)</f>
        <v>0.916666666666667</v>
      </c>
      <c r="F10" s="100" t="n">
        <f aca="false">IF(AND(MOD(F$4-1,12)&gt;=5,MOD(F$4-1,12)&lt;=7),1+Inputs!$E$17,1-Inputs!$E$17/3)</f>
        <v>0.916666666666667</v>
      </c>
      <c r="G10" s="100" t="n">
        <f aca="false">IF(AND(MOD(G$4-1,12)&gt;=5,MOD(G$4-1,12)&lt;=7),1+Inputs!$E$17,1-Inputs!$E$17/3)</f>
        <v>0.916666666666667</v>
      </c>
      <c r="H10" s="100" t="n">
        <f aca="false">IF(AND(MOD(H$4-1,12)&gt;=5,MOD(H$4-1,12)&lt;=7),1+Inputs!$E$17,1-Inputs!$E$17/3)</f>
        <v>1.25</v>
      </c>
      <c r="I10" s="100" t="n">
        <f aca="false">IF(AND(MOD(I$4-1,12)&gt;=5,MOD(I$4-1,12)&lt;=7),1+Inputs!$E$17,1-Inputs!$E$17/3)</f>
        <v>1.25</v>
      </c>
      <c r="J10" s="100" t="n">
        <f aca="false">IF(AND(MOD(J$4-1,12)&gt;=5,MOD(J$4-1,12)&lt;=7),1+Inputs!$E$17,1-Inputs!$E$17/3)</f>
        <v>1.25</v>
      </c>
      <c r="K10" s="100" t="n">
        <f aca="false">IF(AND(MOD(K$4-1,12)&gt;=5,MOD(K$4-1,12)&lt;=7),1+Inputs!$E$17,1-Inputs!$E$17/3)</f>
        <v>0.916666666666667</v>
      </c>
      <c r="L10" s="100" t="n">
        <f aca="false">IF(AND(MOD(L$4-1,12)&gt;=5,MOD(L$4-1,12)&lt;=7),1+Inputs!$E$17,1-Inputs!$E$17/3)</f>
        <v>0.916666666666667</v>
      </c>
      <c r="M10" s="100" t="n">
        <f aca="false">IF(AND(MOD(M$4-1,12)&gt;=5,MOD(M$4-1,12)&lt;=7),1+Inputs!$E$17,1-Inputs!$E$17/3)</f>
        <v>0.916666666666667</v>
      </c>
      <c r="N10" s="100" t="n">
        <f aca="false">IF(AND(MOD(N$4-1,12)&gt;=5,MOD(N$4-1,12)&lt;=7),1+Inputs!$E$17,1-Inputs!$E$17/3)</f>
        <v>0.916666666666667</v>
      </c>
      <c r="O10" s="100" t="n">
        <f aca="false">IF(AND(MOD(O$4-1,12)&gt;=5,MOD(O$4-1,12)&lt;=7),1+Inputs!$E$17,1-Inputs!$E$17/3)</f>
        <v>0.916666666666667</v>
      </c>
      <c r="P10" s="100" t="n">
        <f aca="false">IF(AND(MOD(P$4-1,12)&gt;=5,MOD(P$4-1,12)&lt;=7),1+Inputs!$E$17,1-Inputs!$E$17/3)</f>
        <v>0.916666666666667</v>
      </c>
      <c r="Q10" s="100" t="n">
        <f aca="false">IF(AND(MOD(Q$4-1,12)&gt;=5,MOD(Q$4-1,12)&lt;=7),1+Inputs!$E$17,1-Inputs!$E$17/3)</f>
        <v>0.916666666666667</v>
      </c>
      <c r="R10" s="100" t="n">
        <f aca="false">IF(AND(MOD(R$4-1,12)&gt;=5,MOD(R$4-1,12)&lt;=7),1+Inputs!$E$17,1-Inputs!$E$17/3)</f>
        <v>0.916666666666667</v>
      </c>
      <c r="S10" s="100" t="n">
        <f aca="false">IF(AND(MOD(S$4-1,12)&gt;=5,MOD(S$4-1,12)&lt;=7),1+Inputs!$E$17,1-Inputs!$E$17/3)</f>
        <v>0.916666666666667</v>
      </c>
      <c r="T10" s="100" t="n">
        <f aca="false">IF(AND(MOD(T$4-1,12)&gt;=5,MOD(T$4-1,12)&lt;=7),1+Inputs!$E$17,1-Inputs!$E$17/3)</f>
        <v>1.25</v>
      </c>
      <c r="U10" s="100" t="n">
        <f aca="false">IF(AND(MOD(U$4-1,12)&gt;=5,MOD(U$4-1,12)&lt;=7),1+Inputs!$E$17,1-Inputs!$E$17/3)</f>
        <v>1.25</v>
      </c>
      <c r="V10" s="100" t="n">
        <f aca="false">IF(AND(MOD(V$4-1,12)&gt;=5,MOD(V$4-1,12)&lt;=7),1+Inputs!$E$17,1-Inputs!$E$17/3)</f>
        <v>1.25</v>
      </c>
      <c r="W10" s="100" t="n">
        <f aca="false">IF(AND(MOD(W$4-1,12)&gt;=5,MOD(W$4-1,12)&lt;=7),1+Inputs!$E$17,1-Inputs!$E$17/3)</f>
        <v>0.916666666666667</v>
      </c>
      <c r="X10" s="100" t="n">
        <f aca="false">IF(AND(MOD(X$4-1,12)&gt;=5,MOD(X$4-1,12)&lt;=7),1+Inputs!$E$17,1-Inputs!$E$17/3)</f>
        <v>0.916666666666667</v>
      </c>
      <c r="Y10" s="100" t="n">
        <f aca="false">IF(AND(MOD(Y$4-1,12)&gt;=5,MOD(Y$4-1,12)&lt;=7),1+Inputs!$E$17,1-Inputs!$E$17/3)</f>
        <v>0.916666666666667</v>
      </c>
      <c r="Z10" s="100" t="n">
        <f aca="false">IF(AND(MOD(Z$4-1,12)&gt;=5,MOD(Z$4-1,12)&lt;=7),1+Inputs!$E$17,1-Inputs!$E$17/3)</f>
        <v>0.916666666666667</v>
      </c>
      <c r="AA10" s="100" t="n">
        <f aca="false">IF(AND(MOD(AA$4-1,12)&gt;=5,MOD(AA$4-1,12)&lt;=7),1+Inputs!$E$17,1-Inputs!$E$17/3)</f>
        <v>0.916666666666667</v>
      </c>
      <c r="AB10" s="100" t="n">
        <f aca="false">IF(AND(MOD(AB$4-1,12)&gt;=5,MOD(AB$4-1,12)&lt;=7),1+Inputs!$E$17,1-Inputs!$E$17/3)</f>
        <v>0.916666666666667</v>
      </c>
      <c r="AC10" s="100" t="n">
        <f aca="false">IF(AND(MOD(AC$4-1,12)&gt;=5,MOD(AC$4-1,12)&lt;=7),1+Inputs!$E$17,1-Inputs!$E$17/3)</f>
        <v>0.916666666666667</v>
      </c>
      <c r="AD10" s="100" t="n">
        <f aca="false">IF(AND(MOD(AD$4-1,12)&gt;=5,MOD(AD$4-1,12)&lt;=7),1+Inputs!$E$17,1-Inputs!$E$17/3)</f>
        <v>0.916666666666667</v>
      </c>
      <c r="AE10" s="100" t="n">
        <f aca="false">IF(AND(MOD(AE$4-1,12)&gt;=5,MOD(AE$4-1,12)&lt;=7),1+Inputs!$E$17,1-Inputs!$E$17/3)</f>
        <v>0.916666666666667</v>
      </c>
      <c r="AF10" s="100" t="n">
        <f aca="false">IF(AND(MOD(AF$4-1,12)&gt;=5,MOD(AF$4-1,12)&lt;=7),1+Inputs!$E$17,1-Inputs!$E$17/3)</f>
        <v>1.25</v>
      </c>
      <c r="AG10" s="100" t="n">
        <f aca="false">IF(AND(MOD(AG$4-1,12)&gt;=5,MOD(AG$4-1,12)&lt;=7),1+Inputs!$E$17,1-Inputs!$E$17/3)</f>
        <v>1.25</v>
      </c>
      <c r="AH10" s="100" t="n">
        <f aca="false">IF(AND(MOD(AH$4-1,12)&gt;=5,MOD(AH$4-1,12)&lt;=7),1+Inputs!$E$17,1-Inputs!$E$17/3)</f>
        <v>1.25</v>
      </c>
      <c r="AI10" s="100" t="n">
        <f aca="false">IF(AND(MOD(AI$4-1,12)&gt;=5,MOD(AI$4-1,12)&lt;=7),1+Inputs!$E$17,1-Inputs!$E$17/3)</f>
        <v>0.916666666666667</v>
      </c>
      <c r="AJ10" s="100" t="n">
        <f aca="false">IF(AND(MOD(AJ$4-1,12)&gt;=5,MOD(AJ$4-1,12)&lt;=7),1+Inputs!$E$17,1-Inputs!$E$17/3)</f>
        <v>0.916666666666667</v>
      </c>
      <c r="AK10" s="100" t="n">
        <f aca="false">IF(AND(MOD(AK$4-1,12)&gt;=5,MOD(AK$4-1,12)&lt;=7),1+Inputs!$E$17,1-Inputs!$E$17/3)</f>
        <v>0.916666666666667</v>
      </c>
      <c r="AL10" s="100" t="n">
        <f aca="false">IF(AND(MOD(AL$4-1,12)&gt;=5,MOD(AL$4-1,12)&lt;=7),1+Inputs!$E$17,1-Inputs!$E$17/3)</f>
        <v>0.916666666666667</v>
      </c>
      <c r="AM10" s="100" t="n">
        <f aca="false">IF(AND(MOD(AM$4-1,12)&gt;=5,MOD(AM$4-1,12)&lt;=7),1+Inputs!$E$17,1-Inputs!$E$17/3)</f>
        <v>0.916666666666667</v>
      </c>
      <c r="AN10" s="100" t="n">
        <f aca="false">IF(AND(MOD(AN$4-1,12)&gt;=5,MOD(AN$4-1,12)&lt;=7),1+Inputs!$E$17,1-Inputs!$E$17/3)</f>
        <v>0.916666666666667</v>
      </c>
      <c r="AO10" s="100" t="n">
        <f aca="false">IF(AND(MOD(AO$4-1,12)&gt;=5,MOD(AO$4-1,12)&lt;=7),1+Inputs!$E$17,1-Inputs!$E$17/3)</f>
        <v>0.916666666666667</v>
      </c>
      <c r="AP10" s="100" t="n">
        <f aca="false">IF(AND(MOD(AP$4-1,12)&gt;=5,MOD(AP$4-1,12)&lt;=7),1+Inputs!$E$17,1-Inputs!$E$17/3)</f>
        <v>0.916666666666667</v>
      </c>
      <c r="AQ10" s="100" t="n">
        <f aca="false">IF(AND(MOD(AQ$4-1,12)&gt;=5,MOD(AQ$4-1,12)&lt;=7),1+Inputs!$E$17,1-Inputs!$E$17/3)</f>
        <v>0.916666666666667</v>
      </c>
      <c r="AR10" s="100" t="n">
        <f aca="false">IF(AND(MOD(AR$4-1,12)&gt;=5,MOD(AR$4-1,12)&lt;=7),1+Inputs!$E$17,1-Inputs!$E$17/3)</f>
        <v>1.25</v>
      </c>
      <c r="AS10" s="100" t="n">
        <f aca="false">IF(AND(MOD(AS$4-1,12)&gt;=5,MOD(AS$4-1,12)&lt;=7),1+Inputs!$E$17,1-Inputs!$E$17/3)</f>
        <v>1.25</v>
      </c>
      <c r="AT10" s="100" t="n">
        <f aca="false">IF(AND(MOD(AT$4-1,12)&gt;=5,MOD(AT$4-1,12)&lt;=7),1+Inputs!$E$17,1-Inputs!$E$17/3)</f>
        <v>1.25</v>
      </c>
      <c r="AU10" s="100" t="n">
        <f aca="false">IF(AND(MOD(AU$4-1,12)&gt;=5,MOD(AU$4-1,12)&lt;=7),1+Inputs!$E$17,1-Inputs!$E$17/3)</f>
        <v>0.916666666666667</v>
      </c>
      <c r="AV10" s="100" t="n">
        <f aca="false">IF(AND(MOD(AV$4-1,12)&gt;=5,MOD(AV$4-1,12)&lt;=7),1+Inputs!$E$17,1-Inputs!$E$17/3)</f>
        <v>0.916666666666667</v>
      </c>
      <c r="AW10" s="100" t="n">
        <f aca="false">IF(AND(MOD(AW$4-1,12)&gt;=5,MOD(AW$4-1,12)&lt;=7),1+Inputs!$E$17,1-Inputs!$E$17/3)</f>
        <v>0.916666666666667</v>
      </c>
      <c r="AX10" s="100" t="n">
        <f aca="false">IF(AND(MOD(AX$4-1,12)&gt;=5,MOD(AX$4-1,12)&lt;=7),1+Inputs!$E$17,1-Inputs!$E$17/3)</f>
        <v>0.916666666666667</v>
      </c>
      <c r="AY10" s="100" t="n">
        <f aca="false">IF(AND(MOD(AY$4-1,12)&gt;=5,MOD(AY$4-1,12)&lt;=7),1+Inputs!$E$17,1-Inputs!$E$17/3)</f>
        <v>0.916666666666667</v>
      </c>
      <c r="AZ10" s="100" t="n">
        <f aca="false">IF(AND(MOD(AZ$4-1,12)&gt;=5,MOD(AZ$4-1,12)&lt;=7),1+Inputs!$E$17,1-Inputs!$E$17/3)</f>
        <v>0.916666666666667</v>
      </c>
      <c r="BA10" s="100" t="n">
        <f aca="false">IF(AND(MOD(BA$4-1,12)&gt;=5,MOD(BA$4-1,12)&lt;=7),1+Inputs!$E$17,1-Inputs!$E$17/3)</f>
        <v>0.916666666666667</v>
      </c>
      <c r="BB10" s="100" t="n">
        <f aca="false">IF(AND(MOD(BB$4-1,12)&gt;=5,MOD(BB$4-1,12)&lt;=7),1+Inputs!$E$17,1-Inputs!$E$17/3)</f>
        <v>0.916666666666667</v>
      </c>
      <c r="BC10" s="100" t="n">
        <f aca="false">IF(AND(MOD(BC$4-1,12)&gt;=5,MOD(BC$4-1,12)&lt;=7),1+Inputs!$E$17,1-Inputs!$E$17/3)</f>
        <v>0.916666666666667</v>
      </c>
      <c r="BD10" s="100" t="n">
        <f aca="false">IF(AND(MOD(BD$4-1,12)&gt;=5,MOD(BD$4-1,12)&lt;=7),1+Inputs!$E$17,1-Inputs!$E$17/3)</f>
        <v>1.25</v>
      </c>
      <c r="BE10" s="100" t="n">
        <f aca="false">IF(AND(MOD(BE$4-1,12)&gt;=5,MOD(BE$4-1,12)&lt;=7),1+Inputs!$E$17,1-Inputs!$E$17/3)</f>
        <v>1.25</v>
      </c>
      <c r="BF10" s="100" t="n">
        <f aca="false">IF(AND(MOD(BF$4-1,12)&gt;=5,MOD(BF$4-1,12)&lt;=7),1+Inputs!$E$17,1-Inputs!$E$17/3)</f>
        <v>1.25</v>
      </c>
      <c r="BG10" s="100" t="n">
        <f aca="false">IF(AND(MOD(BG$4-1,12)&gt;=5,MOD(BG$4-1,12)&lt;=7),1+Inputs!$E$17,1-Inputs!$E$17/3)</f>
        <v>0.916666666666667</v>
      </c>
      <c r="BH10" s="100" t="n">
        <f aca="false">IF(AND(MOD(BH$4-1,12)&gt;=5,MOD(BH$4-1,12)&lt;=7),1+Inputs!$E$17,1-Inputs!$E$17/3)</f>
        <v>0.916666666666667</v>
      </c>
      <c r="BI10" s="100" t="n">
        <f aca="false">IF(AND(MOD(BI$4-1,12)&gt;=5,MOD(BI$4-1,12)&lt;=7),1+Inputs!$E$17,1-Inputs!$E$17/3)</f>
        <v>0.916666666666667</v>
      </c>
      <c r="BJ10" s="100" t="n">
        <f aca="false">IF(AND(MOD(BJ$4-1,12)&gt;=5,MOD(BJ$4-1,12)&lt;=7),1+Inputs!$E$17,1-Inputs!$E$17/3)</f>
        <v>0.916666666666667</v>
      </c>
    </row>
    <row r="11" customFormat="false" ht="15" hidden="false" customHeight="false" outlineLevel="0" collapsed="false">
      <c r="A11" s="6" t="s">
        <v>352</v>
      </c>
      <c r="C11" s="99" t="n">
        <f aca="false">-C34/MAX(1,Inputs!$E$13)</f>
        <v>180</v>
      </c>
      <c r="D11" s="99" t="n">
        <f aca="false">-D34/MAX(1,Inputs!$E$13)</f>
        <v>180</v>
      </c>
      <c r="E11" s="99" t="n">
        <f aca="false">-E34/MAX(1,Inputs!$E$13)</f>
        <v>180</v>
      </c>
      <c r="F11" s="99" t="n">
        <f aca="false">-F34/MAX(1,Inputs!$E$13)</f>
        <v>180</v>
      </c>
      <c r="G11" s="99" t="n">
        <f aca="false">-G34/MAX(1,Inputs!$E$13)</f>
        <v>180</v>
      </c>
      <c r="H11" s="99" t="n">
        <f aca="false">-H34/MAX(1,Inputs!$E$13)</f>
        <v>180</v>
      </c>
      <c r="I11" s="99" t="n">
        <f aca="false">-I34/MAX(1,Inputs!$E$13)</f>
        <v>180</v>
      </c>
      <c r="J11" s="99" t="n">
        <f aca="false">-J34/MAX(1,Inputs!$E$13)</f>
        <v>180</v>
      </c>
      <c r="K11" s="99" t="n">
        <f aca="false">-K34/MAX(1,Inputs!$E$13)</f>
        <v>180</v>
      </c>
      <c r="L11" s="99" t="n">
        <f aca="false">-L34/MAX(1,Inputs!$E$13)</f>
        <v>180</v>
      </c>
      <c r="M11" s="99" t="n">
        <f aca="false">-M34/MAX(1,Inputs!$E$13)</f>
        <v>180</v>
      </c>
      <c r="N11" s="99" t="n">
        <f aca="false">-N34/MAX(1,Inputs!$E$13)</f>
        <v>180</v>
      </c>
      <c r="O11" s="99" t="n">
        <f aca="false">-O34/MAX(1,Inputs!$E$13)</f>
        <v>207</v>
      </c>
      <c r="P11" s="99" t="n">
        <f aca="false">-P34/MAX(1,Inputs!$E$13)</f>
        <v>207</v>
      </c>
      <c r="Q11" s="99" t="n">
        <f aca="false">-Q34/MAX(1,Inputs!$E$13)</f>
        <v>207</v>
      </c>
      <c r="R11" s="99" t="n">
        <f aca="false">-R34/MAX(1,Inputs!$E$13)</f>
        <v>207</v>
      </c>
      <c r="S11" s="99" t="n">
        <f aca="false">-S34/MAX(1,Inputs!$E$13)</f>
        <v>207</v>
      </c>
      <c r="T11" s="99" t="n">
        <f aca="false">-T34/MAX(1,Inputs!$E$13)</f>
        <v>207</v>
      </c>
      <c r="U11" s="99" t="n">
        <f aca="false">-U34/MAX(1,Inputs!$E$13)</f>
        <v>207</v>
      </c>
      <c r="V11" s="99" t="n">
        <f aca="false">-V34/MAX(1,Inputs!$E$13)</f>
        <v>207</v>
      </c>
      <c r="W11" s="99" t="n">
        <f aca="false">-W34/MAX(1,Inputs!$E$13)</f>
        <v>207</v>
      </c>
      <c r="X11" s="99" t="n">
        <f aca="false">-X34/MAX(1,Inputs!$E$13)</f>
        <v>207</v>
      </c>
      <c r="Y11" s="99" t="n">
        <f aca="false">-Y34/MAX(1,Inputs!$E$13)</f>
        <v>207</v>
      </c>
      <c r="Z11" s="99" t="n">
        <f aca="false">-Z34/MAX(1,Inputs!$E$13)</f>
        <v>207</v>
      </c>
      <c r="AA11" s="99" t="n">
        <f aca="false">-AA34/MAX(1,Inputs!$E$13)</f>
        <v>238.05</v>
      </c>
      <c r="AB11" s="99" t="n">
        <f aca="false">-AB34/MAX(1,Inputs!$E$13)</f>
        <v>238.05</v>
      </c>
      <c r="AC11" s="99" t="n">
        <f aca="false">-AC34/MAX(1,Inputs!$E$13)</f>
        <v>238.05</v>
      </c>
      <c r="AD11" s="99" t="n">
        <f aca="false">-AD34/MAX(1,Inputs!$E$13)</f>
        <v>238.05</v>
      </c>
      <c r="AE11" s="99" t="n">
        <f aca="false">-AE34/MAX(1,Inputs!$E$13)</f>
        <v>238.05</v>
      </c>
      <c r="AF11" s="99" t="n">
        <f aca="false">-AF34/MAX(1,Inputs!$E$13)</f>
        <v>238.05</v>
      </c>
      <c r="AG11" s="99" t="n">
        <f aca="false">-AG34/MAX(1,Inputs!$E$13)</f>
        <v>238.05</v>
      </c>
      <c r="AH11" s="99" t="n">
        <f aca="false">-AH34/MAX(1,Inputs!$E$13)</f>
        <v>238.05</v>
      </c>
      <c r="AI11" s="99" t="n">
        <f aca="false">-AI34/MAX(1,Inputs!$E$13)</f>
        <v>238.05</v>
      </c>
      <c r="AJ11" s="99" t="n">
        <f aca="false">-AJ34/MAX(1,Inputs!$E$13)</f>
        <v>238.05</v>
      </c>
      <c r="AK11" s="99" t="n">
        <f aca="false">-AK34/MAX(1,Inputs!$E$13)</f>
        <v>238.05</v>
      </c>
      <c r="AL11" s="99" t="n">
        <f aca="false">-AL34/MAX(1,Inputs!$E$13)</f>
        <v>238.05</v>
      </c>
      <c r="AM11" s="99" t="n">
        <f aca="false">-AM34/MAX(1,Inputs!$E$13)</f>
        <v>273.7575</v>
      </c>
      <c r="AN11" s="99" t="n">
        <f aca="false">-AN34/MAX(1,Inputs!$E$13)</f>
        <v>273.7575</v>
      </c>
      <c r="AO11" s="99" t="n">
        <f aca="false">-AO34/MAX(1,Inputs!$E$13)</f>
        <v>273.7575</v>
      </c>
      <c r="AP11" s="99" t="n">
        <f aca="false">-AP34/MAX(1,Inputs!$E$13)</f>
        <v>273.7575</v>
      </c>
      <c r="AQ11" s="99" t="n">
        <f aca="false">-AQ34/MAX(1,Inputs!$E$13)</f>
        <v>273.7575</v>
      </c>
      <c r="AR11" s="99" t="n">
        <f aca="false">-AR34/MAX(1,Inputs!$E$13)</f>
        <v>273.7575</v>
      </c>
      <c r="AS11" s="99" t="n">
        <f aca="false">-AS34/MAX(1,Inputs!$E$13)</f>
        <v>273.7575</v>
      </c>
      <c r="AT11" s="99" t="n">
        <f aca="false">-AT34/MAX(1,Inputs!$E$13)</f>
        <v>273.7575</v>
      </c>
      <c r="AU11" s="99" t="n">
        <f aca="false">-AU34/MAX(1,Inputs!$E$13)</f>
        <v>273.7575</v>
      </c>
      <c r="AV11" s="99" t="n">
        <f aca="false">-AV34/MAX(1,Inputs!$E$13)</f>
        <v>273.7575</v>
      </c>
      <c r="AW11" s="99" t="n">
        <f aca="false">-AW34/MAX(1,Inputs!$E$13)</f>
        <v>273.7575</v>
      </c>
      <c r="AX11" s="99" t="n">
        <f aca="false">-AX34/MAX(1,Inputs!$E$13)</f>
        <v>273.7575</v>
      </c>
      <c r="AY11" s="99" t="n">
        <f aca="false">-AY34/MAX(1,Inputs!$E$13)</f>
        <v>314.821125</v>
      </c>
      <c r="AZ11" s="99" t="n">
        <f aca="false">-AZ34/MAX(1,Inputs!$E$13)</f>
        <v>314.821125</v>
      </c>
      <c r="BA11" s="99" t="n">
        <f aca="false">-BA34/MAX(1,Inputs!$E$13)</f>
        <v>314.821125</v>
      </c>
      <c r="BB11" s="99" t="n">
        <f aca="false">-BB34/MAX(1,Inputs!$E$13)</f>
        <v>314.821125</v>
      </c>
      <c r="BC11" s="99" t="n">
        <f aca="false">-BC34/MAX(1,Inputs!$E$13)</f>
        <v>314.821125</v>
      </c>
      <c r="BD11" s="99" t="n">
        <f aca="false">-BD34/MAX(1,Inputs!$E$13)</f>
        <v>314.821125</v>
      </c>
      <c r="BE11" s="99" t="n">
        <f aca="false">-BE34/MAX(1,Inputs!$E$13)</f>
        <v>314.821125</v>
      </c>
      <c r="BF11" s="99" t="n">
        <f aca="false">-BF34/MAX(1,Inputs!$E$13)</f>
        <v>314.821125</v>
      </c>
      <c r="BG11" s="99" t="n">
        <f aca="false">-BG34/MAX(1,Inputs!$E$13)</f>
        <v>314.821125</v>
      </c>
      <c r="BH11" s="99" t="n">
        <f aca="false">-BH34/MAX(1,Inputs!$E$13)</f>
        <v>314.821125</v>
      </c>
      <c r="BI11" s="99" t="n">
        <f aca="false">-BI34/MAX(1,Inputs!$E$13)</f>
        <v>314.821125</v>
      </c>
      <c r="BJ11" s="99" t="n">
        <f aca="false">-BJ34/MAX(1,Inputs!$E$13)</f>
        <v>314.821125</v>
      </c>
    </row>
    <row r="12" customFormat="false" ht="15" hidden="false" customHeight="false" outlineLevel="0" collapsed="false">
      <c r="A12" s="6" t="s">
        <v>353</v>
      </c>
      <c r="C12" s="99" t="n">
        <f aca="false">C11*Inputs!$E$14*C10</f>
        <v>74.25</v>
      </c>
      <c r="D12" s="99" t="n">
        <f aca="false">D11*Inputs!$E$14*D10</f>
        <v>74.25</v>
      </c>
      <c r="E12" s="99" t="n">
        <f aca="false">E11*Inputs!$E$14*E10</f>
        <v>74.25</v>
      </c>
      <c r="F12" s="99" t="n">
        <f aca="false">F11*Inputs!$E$14*F10</f>
        <v>74.25</v>
      </c>
      <c r="G12" s="99" t="n">
        <f aca="false">G11*Inputs!$E$14*G10</f>
        <v>74.25</v>
      </c>
      <c r="H12" s="99" t="n">
        <f aca="false">H11*Inputs!$E$14*H10</f>
        <v>101.25</v>
      </c>
      <c r="I12" s="99" t="n">
        <f aca="false">I11*Inputs!$E$14*I10</f>
        <v>101.25</v>
      </c>
      <c r="J12" s="99" t="n">
        <f aca="false">J11*Inputs!$E$14*J10</f>
        <v>101.25</v>
      </c>
      <c r="K12" s="99" t="n">
        <f aca="false">K11*Inputs!$E$14*K10</f>
        <v>74.25</v>
      </c>
      <c r="L12" s="99" t="n">
        <f aca="false">L11*Inputs!$E$14*L10</f>
        <v>74.25</v>
      </c>
      <c r="M12" s="99" t="n">
        <f aca="false">M11*Inputs!$E$14*M10</f>
        <v>74.25</v>
      </c>
      <c r="N12" s="99" t="n">
        <f aca="false">N11*Inputs!$E$14*N10</f>
        <v>74.25</v>
      </c>
      <c r="O12" s="99" t="n">
        <f aca="false">O11*Inputs!$E$14*O10</f>
        <v>85.3875</v>
      </c>
      <c r="P12" s="99" t="n">
        <f aca="false">P11*Inputs!$E$14*P10</f>
        <v>85.3875</v>
      </c>
      <c r="Q12" s="99" t="n">
        <f aca="false">Q11*Inputs!$E$14*Q10</f>
        <v>85.3875</v>
      </c>
      <c r="R12" s="99" t="n">
        <f aca="false">R11*Inputs!$E$14*R10</f>
        <v>85.3875</v>
      </c>
      <c r="S12" s="99" t="n">
        <f aca="false">S11*Inputs!$E$14*S10</f>
        <v>85.3875</v>
      </c>
      <c r="T12" s="99" t="n">
        <f aca="false">T11*Inputs!$E$14*T10</f>
        <v>116.4375</v>
      </c>
      <c r="U12" s="99" t="n">
        <f aca="false">U11*Inputs!$E$14*U10</f>
        <v>116.4375</v>
      </c>
      <c r="V12" s="99" t="n">
        <f aca="false">V11*Inputs!$E$14*V10</f>
        <v>116.4375</v>
      </c>
      <c r="W12" s="99" t="n">
        <f aca="false">W11*Inputs!$E$14*W10</f>
        <v>85.3875</v>
      </c>
      <c r="X12" s="99" t="n">
        <f aca="false">X11*Inputs!$E$14*X10</f>
        <v>85.3875</v>
      </c>
      <c r="Y12" s="99" t="n">
        <f aca="false">Y11*Inputs!$E$14*Y10</f>
        <v>85.3875</v>
      </c>
      <c r="Z12" s="99" t="n">
        <f aca="false">Z11*Inputs!$E$14*Z10</f>
        <v>85.3875</v>
      </c>
      <c r="AA12" s="99" t="n">
        <f aca="false">AA11*Inputs!$E$14*AA10</f>
        <v>98.195625</v>
      </c>
      <c r="AB12" s="99" t="n">
        <f aca="false">AB11*Inputs!$E$14*AB10</f>
        <v>98.195625</v>
      </c>
      <c r="AC12" s="99" t="n">
        <f aca="false">AC11*Inputs!$E$14*AC10</f>
        <v>98.195625</v>
      </c>
      <c r="AD12" s="99" t="n">
        <f aca="false">AD11*Inputs!$E$14*AD10</f>
        <v>98.195625</v>
      </c>
      <c r="AE12" s="99" t="n">
        <f aca="false">AE11*Inputs!$E$14*AE10</f>
        <v>98.195625</v>
      </c>
      <c r="AF12" s="99" t="n">
        <f aca="false">AF11*Inputs!$E$14*AF10</f>
        <v>133.903125</v>
      </c>
      <c r="AG12" s="99" t="n">
        <f aca="false">AG11*Inputs!$E$14*AG10</f>
        <v>133.903125</v>
      </c>
      <c r="AH12" s="99" t="n">
        <f aca="false">AH11*Inputs!$E$14*AH10</f>
        <v>133.903125</v>
      </c>
      <c r="AI12" s="99" t="n">
        <f aca="false">AI11*Inputs!$E$14*AI10</f>
        <v>98.195625</v>
      </c>
      <c r="AJ12" s="99" t="n">
        <f aca="false">AJ11*Inputs!$E$14*AJ10</f>
        <v>98.195625</v>
      </c>
      <c r="AK12" s="99" t="n">
        <f aca="false">AK11*Inputs!$E$14*AK10</f>
        <v>98.195625</v>
      </c>
      <c r="AL12" s="99" t="n">
        <f aca="false">AL11*Inputs!$E$14*AL10</f>
        <v>98.195625</v>
      </c>
      <c r="AM12" s="99" t="n">
        <f aca="false">AM11*Inputs!$E$14*AM10</f>
        <v>112.92496875</v>
      </c>
      <c r="AN12" s="99" t="n">
        <f aca="false">AN11*Inputs!$E$14*AN10</f>
        <v>112.92496875</v>
      </c>
      <c r="AO12" s="99" t="n">
        <f aca="false">AO11*Inputs!$E$14*AO10</f>
        <v>112.92496875</v>
      </c>
      <c r="AP12" s="99" t="n">
        <f aca="false">AP11*Inputs!$E$14*AP10</f>
        <v>112.92496875</v>
      </c>
      <c r="AQ12" s="99" t="n">
        <f aca="false">AQ11*Inputs!$E$14*AQ10</f>
        <v>112.92496875</v>
      </c>
      <c r="AR12" s="99" t="n">
        <f aca="false">AR11*Inputs!$E$14*AR10</f>
        <v>153.98859375</v>
      </c>
      <c r="AS12" s="99" t="n">
        <f aca="false">AS11*Inputs!$E$14*AS10</f>
        <v>153.98859375</v>
      </c>
      <c r="AT12" s="99" t="n">
        <f aca="false">AT11*Inputs!$E$14*AT10</f>
        <v>153.98859375</v>
      </c>
      <c r="AU12" s="99" t="n">
        <f aca="false">AU11*Inputs!$E$14*AU10</f>
        <v>112.92496875</v>
      </c>
      <c r="AV12" s="99" t="n">
        <f aca="false">AV11*Inputs!$E$14*AV10</f>
        <v>112.92496875</v>
      </c>
      <c r="AW12" s="99" t="n">
        <f aca="false">AW11*Inputs!$E$14*AW10</f>
        <v>112.92496875</v>
      </c>
      <c r="AX12" s="99" t="n">
        <f aca="false">AX11*Inputs!$E$14*AX10</f>
        <v>112.92496875</v>
      </c>
      <c r="AY12" s="99" t="n">
        <f aca="false">AY11*Inputs!$E$14*AY10</f>
        <v>129.8637140625</v>
      </c>
      <c r="AZ12" s="99" t="n">
        <f aca="false">AZ11*Inputs!$E$14*AZ10</f>
        <v>129.8637140625</v>
      </c>
      <c r="BA12" s="99" t="n">
        <f aca="false">BA11*Inputs!$E$14*BA10</f>
        <v>129.8637140625</v>
      </c>
      <c r="BB12" s="99" t="n">
        <f aca="false">BB11*Inputs!$E$14*BB10</f>
        <v>129.8637140625</v>
      </c>
      <c r="BC12" s="99" t="n">
        <f aca="false">BC11*Inputs!$E$14*BC10</f>
        <v>129.8637140625</v>
      </c>
      <c r="BD12" s="99" t="n">
        <f aca="false">BD11*Inputs!$E$14*BD10</f>
        <v>177.0868828125</v>
      </c>
      <c r="BE12" s="99" t="n">
        <f aca="false">BE11*Inputs!$E$14*BE10</f>
        <v>177.0868828125</v>
      </c>
      <c r="BF12" s="99" t="n">
        <f aca="false">BF11*Inputs!$E$14*BF10</f>
        <v>177.0868828125</v>
      </c>
      <c r="BG12" s="99" t="n">
        <f aca="false">BG11*Inputs!$E$14*BG10</f>
        <v>129.8637140625</v>
      </c>
      <c r="BH12" s="99" t="n">
        <f aca="false">BH11*Inputs!$E$14*BH10</f>
        <v>129.8637140625</v>
      </c>
      <c r="BI12" s="99" t="n">
        <f aca="false">BI11*Inputs!$E$14*BI10</f>
        <v>129.8637140625</v>
      </c>
      <c r="BJ12" s="99" t="n">
        <f aca="false">BJ11*Inputs!$E$14*BJ10</f>
        <v>129.8637140625</v>
      </c>
    </row>
    <row r="13" customFormat="false" ht="15" hidden="false" customHeight="false" outlineLevel="0" collapsed="false">
      <c r="A13" s="6" t="s">
        <v>354</v>
      </c>
      <c r="C13" s="99" t="n">
        <f aca="false">Inputs!$E$15*(1+Inputs!$E$16)^(C$5-1)*1*C10</f>
        <v>210.833333333333</v>
      </c>
      <c r="D13" s="99" t="n">
        <f aca="false">Inputs!$E$15*(1+Inputs!$E$16)^(D$5-1)*1*D10</f>
        <v>210.833333333333</v>
      </c>
      <c r="E13" s="99" t="n">
        <f aca="false">Inputs!$E$15*(1+Inputs!$E$16)^(E$5-1)*1*E10</f>
        <v>210.833333333333</v>
      </c>
      <c r="F13" s="99" t="n">
        <f aca="false">Inputs!$E$15*(1+Inputs!$E$16)^(F$5-1)*1*F10</f>
        <v>210.833333333333</v>
      </c>
      <c r="G13" s="99" t="n">
        <f aca="false">Inputs!$E$15*(1+Inputs!$E$16)^(G$5-1)*1*G10</f>
        <v>210.833333333333</v>
      </c>
      <c r="H13" s="99" t="n">
        <f aca="false">Inputs!$E$15*(1+Inputs!$E$16)^(H$5-1)*1*H10</f>
        <v>287.5</v>
      </c>
      <c r="I13" s="99" t="n">
        <f aca="false">Inputs!$E$15*(1+Inputs!$E$16)^(I$5-1)*1*I10</f>
        <v>287.5</v>
      </c>
      <c r="J13" s="99" t="n">
        <f aca="false">Inputs!$E$15*(1+Inputs!$E$16)^(J$5-1)*1*J10</f>
        <v>287.5</v>
      </c>
      <c r="K13" s="99" t="n">
        <f aca="false">Inputs!$E$15*(1+Inputs!$E$16)^(K$5-1)*1*K10</f>
        <v>210.833333333333</v>
      </c>
      <c r="L13" s="99" t="n">
        <f aca="false">Inputs!$E$15*(1+Inputs!$E$16)^(L$5-1)*1*L10</f>
        <v>210.833333333333</v>
      </c>
      <c r="M13" s="99" t="n">
        <f aca="false">Inputs!$E$15*(1+Inputs!$E$16)^(M$5-1)*1*M10</f>
        <v>210.833333333333</v>
      </c>
      <c r="N13" s="99" t="n">
        <f aca="false">Inputs!$E$15*(1+Inputs!$E$16)^(N$5-1)*1*N10</f>
        <v>210.833333333333</v>
      </c>
      <c r="O13" s="99" t="n">
        <f aca="false">Inputs!$E$15*(1+Inputs!$E$16)^(O$5-1)*1*O10</f>
        <v>242.458333333333</v>
      </c>
      <c r="P13" s="99" t="n">
        <f aca="false">Inputs!$E$15*(1+Inputs!$E$16)^(P$5-1)*1*P10</f>
        <v>242.458333333333</v>
      </c>
      <c r="Q13" s="99" t="n">
        <f aca="false">Inputs!$E$15*(1+Inputs!$E$16)^(Q$5-1)*1*Q10</f>
        <v>242.458333333333</v>
      </c>
      <c r="R13" s="99" t="n">
        <f aca="false">Inputs!$E$15*(1+Inputs!$E$16)^(R$5-1)*1*R10</f>
        <v>242.458333333333</v>
      </c>
      <c r="S13" s="99" t="n">
        <f aca="false">Inputs!$E$15*(1+Inputs!$E$16)^(S$5-1)*1*S10</f>
        <v>242.458333333333</v>
      </c>
      <c r="T13" s="99" t="n">
        <f aca="false">Inputs!$E$15*(1+Inputs!$E$16)^(T$5-1)*1*T10</f>
        <v>330.625</v>
      </c>
      <c r="U13" s="99" t="n">
        <f aca="false">Inputs!$E$15*(1+Inputs!$E$16)^(U$5-1)*1*U10</f>
        <v>330.625</v>
      </c>
      <c r="V13" s="99" t="n">
        <f aca="false">Inputs!$E$15*(1+Inputs!$E$16)^(V$5-1)*1*V10</f>
        <v>330.625</v>
      </c>
      <c r="W13" s="99" t="n">
        <f aca="false">Inputs!$E$15*(1+Inputs!$E$16)^(W$5-1)*1*W10</f>
        <v>242.458333333333</v>
      </c>
      <c r="X13" s="99" t="n">
        <f aca="false">Inputs!$E$15*(1+Inputs!$E$16)^(X$5-1)*1*X10</f>
        <v>242.458333333333</v>
      </c>
      <c r="Y13" s="99" t="n">
        <f aca="false">Inputs!$E$15*(1+Inputs!$E$16)^(Y$5-1)*1*Y10</f>
        <v>242.458333333333</v>
      </c>
      <c r="Z13" s="99" t="n">
        <f aca="false">Inputs!$E$15*(1+Inputs!$E$16)^(Z$5-1)*1*Z10</f>
        <v>242.458333333333</v>
      </c>
      <c r="AA13" s="99" t="n">
        <f aca="false">Inputs!$E$15*(1+Inputs!$E$16)^(AA$5-1)*1*AA10</f>
        <v>278.827083333333</v>
      </c>
      <c r="AB13" s="99" t="n">
        <f aca="false">Inputs!$E$15*(1+Inputs!$E$16)^(AB$5-1)*1*AB10</f>
        <v>278.827083333333</v>
      </c>
      <c r="AC13" s="99" t="n">
        <f aca="false">Inputs!$E$15*(1+Inputs!$E$16)^(AC$5-1)*1*AC10</f>
        <v>278.827083333333</v>
      </c>
      <c r="AD13" s="99" t="n">
        <f aca="false">Inputs!$E$15*(1+Inputs!$E$16)^(AD$5-1)*1*AD10</f>
        <v>278.827083333333</v>
      </c>
      <c r="AE13" s="99" t="n">
        <f aca="false">Inputs!$E$15*(1+Inputs!$E$16)^(AE$5-1)*1*AE10</f>
        <v>278.827083333333</v>
      </c>
      <c r="AF13" s="99" t="n">
        <f aca="false">Inputs!$E$15*(1+Inputs!$E$16)^(AF$5-1)*1*AF10</f>
        <v>380.21875</v>
      </c>
      <c r="AG13" s="99" t="n">
        <f aca="false">Inputs!$E$15*(1+Inputs!$E$16)^(AG$5-1)*1*AG10</f>
        <v>380.21875</v>
      </c>
      <c r="AH13" s="99" t="n">
        <f aca="false">Inputs!$E$15*(1+Inputs!$E$16)^(AH$5-1)*1*AH10</f>
        <v>380.21875</v>
      </c>
      <c r="AI13" s="99" t="n">
        <f aca="false">Inputs!$E$15*(1+Inputs!$E$16)^(AI$5-1)*1*AI10</f>
        <v>278.827083333333</v>
      </c>
      <c r="AJ13" s="99" t="n">
        <f aca="false">Inputs!$E$15*(1+Inputs!$E$16)^(AJ$5-1)*1*AJ10</f>
        <v>278.827083333333</v>
      </c>
      <c r="AK13" s="99" t="n">
        <f aca="false">Inputs!$E$15*(1+Inputs!$E$16)^(AK$5-1)*1*AK10</f>
        <v>278.827083333333</v>
      </c>
      <c r="AL13" s="99" t="n">
        <f aca="false">Inputs!$E$15*(1+Inputs!$E$16)^(AL$5-1)*1*AL10</f>
        <v>278.827083333333</v>
      </c>
      <c r="AM13" s="99" t="n">
        <f aca="false">Inputs!$E$15*(1+Inputs!$E$16)^(AM$5-1)*1*AM10</f>
        <v>320.651145833333</v>
      </c>
      <c r="AN13" s="99" t="n">
        <f aca="false">Inputs!$E$15*(1+Inputs!$E$16)^(AN$5-1)*1*AN10</f>
        <v>320.651145833333</v>
      </c>
      <c r="AO13" s="99" t="n">
        <f aca="false">Inputs!$E$15*(1+Inputs!$E$16)^(AO$5-1)*1*AO10</f>
        <v>320.651145833333</v>
      </c>
      <c r="AP13" s="99" t="n">
        <f aca="false">Inputs!$E$15*(1+Inputs!$E$16)^(AP$5-1)*1*AP10</f>
        <v>320.651145833333</v>
      </c>
      <c r="AQ13" s="99" t="n">
        <f aca="false">Inputs!$E$15*(1+Inputs!$E$16)^(AQ$5-1)*1*AQ10</f>
        <v>320.651145833333</v>
      </c>
      <c r="AR13" s="99" t="n">
        <f aca="false">Inputs!$E$15*(1+Inputs!$E$16)^(AR$5-1)*1*AR10</f>
        <v>437.2515625</v>
      </c>
      <c r="AS13" s="99" t="n">
        <f aca="false">Inputs!$E$15*(1+Inputs!$E$16)^(AS$5-1)*1*AS10</f>
        <v>437.2515625</v>
      </c>
      <c r="AT13" s="99" t="n">
        <f aca="false">Inputs!$E$15*(1+Inputs!$E$16)^(AT$5-1)*1*AT10</f>
        <v>437.2515625</v>
      </c>
      <c r="AU13" s="99" t="n">
        <f aca="false">Inputs!$E$15*(1+Inputs!$E$16)^(AU$5-1)*1*AU10</f>
        <v>320.651145833333</v>
      </c>
      <c r="AV13" s="99" t="n">
        <f aca="false">Inputs!$E$15*(1+Inputs!$E$16)^(AV$5-1)*1*AV10</f>
        <v>320.651145833333</v>
      </c>
      <c r="AW13" s="99" t="n">
        <f aca="false">Inputs!$E$15*(1+Inputs!$E$16)^(AW$5-1)*1*AW10</f>
        <v>320.651145833333</v>
      </c>
      <c r="AX13" s="99" t="n">
        <f aca="false">Inputs!$E$15*(1+Inputs!$E$16)^(AX$5-1)*1*AX10</f>
        <v>320.651145833333</v>
      </c>
      <c r="AY13" s="99" t="n">
        <f aca="false">Inputs!$E$15*(1+Inputs!$E$16)^(AY$5-1)*1*AY10</f>
        <v>368.748817708333</v>
      </c>
      <c r="AZ13" s="99" t="n">
        <f aca="false">Inputs!$E$15*(1+Inputs!$E$16)^(AZ$5-1)*1*AZ10</f>
        <v>368.748817708333</v>
      </c>
      <c r="BA13" s="99" t="n">
        <f aca="false">Inputs!$E$15*(1+Inputs!$E$16)^(BA$5-1)*1*BA10</f>
        <v>368.748817708333</v>
      </c>
      <c r="BB13" s="99" t="n">
        <f aca="false">Inputs!$E$15*(1+Inputs!$E$16)^(BB$5-1)*1*BB10</f>
        <v>368.748817708333</v>
      </c>
      <c r="BC13" s="99" t="n">
        <f aca="false">Inputs!$E$15*(1+Inputs!$E$16)^(BC$5-1)*1*BC10</f>
        <v>368.748817708333</v>
      </c>
      <c r="BD13" s="99" t="n">
        <f aca="false">Inputs!$E$15*(1+Inputs!$E$16)^(BD$5-1)*1*BD10</f>
        <v>502.839296875</v>
      </c>
      <c r="BE13" s="99" t="n">
        <f aca="false">Inputs!$E$15*(1+Inputs!$E$16)^(BE$5-1)*1*BE10</f>
        <v>502.839296875</v>
      </c>
      <c r="BF13" s="99" t="n">
        <f aca="false">Inputs!$E$15*(1+Inputs!$E$16)^(BF$5-1)*1*BF10</f>
        <v>502.839296875</v>
      </c>
      <c r="BG13" s="99" t="n">
        <f aca="false">Inputs!$E$15*(1+Inputs!$E$16)^(BG$5-1)*1*BG10</f>
        <v>368.748817708333</v>
      </c>
      <c r="BH13" s="99" t="n">
        <f aca="false">Inputs!$E$15*(1+Inputs!$E$16)^(BH$5-1)*1*BH10</f>
        <v>368.748817708333</v>
      </c>
      <c r="BI13" s="99" t="n">
        <f aca="false">Inputs!$E$15*(1+Inputs!$E$16)^(BI$5-1)*1*BI10</f>
        <v>368.748817708333</v>
      </c>
      <c r="BJ13" s="99" t="n">
        <f aca="false">Inputs!$E$15*(1+Inputs!$E$16)^(BJ$5-1)*1*BJ10</f>
        <v>368.748817708333</v>
      </c>
    </row>
    <row r="14" customFormat="false" ht="15" hidden="false" customHeight="false" outlineLevel="0" collapsed="false">
      <c r="A14" s="6" t="s">
        <v>177</v>
      </c>
      <c r="C14" s="99" t="n">
        <f aca="false">C12+C13</f>
        <v>285.083333333333</v>
      </c>
      <c r="D14" s="99" t="n">
        <f aca="false">D12+D13</f>
        <v>285.083333333333</v>
      </c>
      <c r="E14" s="99" t="n">
        <f aca="false">E12+E13</f>
        <v>285.083333333333</v>
      </c>
      <c r="F14" s="99" t="n">
        <f aca="false">F12+F13</f>
        <v>285.083333333333</v>
      </c>
      <c r="G14" s="99" t="n">
        <f aca="false">G12+G13</f>
        <v>285.083333333333</v>
      </c>
      <c r="H14" s="99" t="n">
        <f aca="false">H12+H13</f>
        <v>388.75</v>
      </c>
      <c r="I14" s="99" t="n">
        <f aca="false">I12+I13</f>
        <v>388.75</v>
      </c>
      <c r="J14" s="99" t="n">
        <f aca="false">J12+J13</f>
        <v>388.75</v>
      </c>
      <c r="K14" s="99" t="n">
        <f aca="false">K12+K13</f>
        <v>285.083333333333</v>
      </c>
      <c r="L14" s="99" t="n">
        <f aca="false">L12+L13</f>
        <v>285.083333333333</v>
      </c>
      <c r="M14" s="99" t="n">
        <f aca="false">M12+M13</f>
        <v>285.083333333333</v>
      </c>
      <c r="N14" s="99" t="n">
        <f aca="false">N12+N13</f>
        <v>285.083333333333</v>
      </c>
      <c r="O14" s="99" t="n">
        <f aca="false">O12+O13</f>
        <v>327.845833333333</v>
      </c>
      <c r="P14" s="99" t="n">
        <f aca="false">P12+P13</f>
        <v>327.845833333333</v>
      </c>
      <c r="Q14" s="99" t="n">
        <f aca="false">Q12+Q13</f>
        <v>327.845833333333</v>
      </c>
      <c r="R14" s="99" t="n">
        <f aca="false">R12+R13</f>
        <v>327.845833333333</v>
      </c>
      <c r="S14" s="99" t="n">
        <f aca="false">S12+S13</f>
        <v>327.845833333333</v>
      </c>
      <c r="T14" s="99" t="n">
        <f aca="false">T12+T13</f>
        <v>447.0625</v>
      </c>
      <c r="U14" s="99" t="n">
        <f aca="false">U12+U13</f>
        <v>447.0625</v>
      </c>
      <c r="V14" s="99" t="n">
        <f aca="false">V12+V13</f>
        <v>447.0625</v>
      </c>
      <c r="W14" s="99" t="n">
        <f aca="false">W12+W13</f>
        <v>327.845833333333</v>
      </c>
      <c r="X14" s="99" t="n">
        <f aca="false">X12+X13</f>
        <v>327.845833333333</v>
      </c>
      <c r="Y14" s="99" t="n">
        <f aca="false">Y12+Y13</f>
        <v>327.845833333333</v>
      </c>
      <c r="Z14" s="99" t="n">
        <f aca="false">Z12+Z13</f>
        <v>327.845833333333</v>
      </c>
      <c r="AA14" s="99" t="n">
        <f aca="false">AA12+AA13</f>
        <v>377.022708333333</v>
      </c>
      <c r="AB14" s="99" t="n">
        <f aca="false">AB12+AB13</f>
        <v>377.022708333333</v>
      </c>
      <c r="AC14" s="99" t="n">
        <f aca="false">AC12+AC13</f>
        <v>377.022708333333</v>
      </c>
      <c r="AD14" s="99" t="n">
        <f aca="false">AD12+AD13</f>
        <v>377.022708333333</v>
      </c>
      <c r="AE14" s="99" t="n">
        <f aca="false">AE12+AE13</f>
        <v>377.022708333333</v>
      </c>
      <c r="AF14" s="99" t="n">
        <f aca="false">AF12+AF13</f>
        <v>514.121875</v>
      </c>
      <c r="AG14" s="99" t="n">
        <f aca="false">AG12+AG13</f>
        <v>514.121875</v>
      </c>
      <c r="AH14" s="99" t="n">
        <f aca="false">AH12+AH13</f>
        <v>514.121875</v>
      </c>
      <c r="AI14" s="99" t="n">
        <f aca="false">AI12+AI13</f>
        <v>377.022708333333</v>
      </c>
      <c r="AJ14" s="99" t="n">
        <f aca="false">AJ12+AJ13</f>
        <v>377.022708333333</v>
      </c>
      <c r="AK14" s="99" t="n">
        <f aca="false">AK12+AK13</f>
        <v>377.022708333333</v>
      </c>
      <c r="AL14" s="99" t="n">
        <f aca="false">AL12+AL13</f>
        <v>377.022708333333</v>
      </c>
      <c r="AM14" s="99" t="n">
        <f aca="false">AM12+AM13</f>
        <v>433.576114583333</v>
      </c>
      <c r="AN14" s="99" t="n">
        <f aca="false">AN12+AN13</f>
        <v>433.576114583333</v>
      </c>
      <c r="AO14" s="99" t="n">
        <f aca="false">AO12+AO13</f>
        <v>433.576114583333</v>
      </c>
      <c r="AP14" s="99" t="n">
        <f aca="false">AP12+AP13</f>
        <v>433.576114583333</v>
      </c>
      <c r="AQ14" s="99" t="n">
        <f aca="false">AQ12+AQ13</f>
        <v>433.576114583333</v>
      </c>
      <c r="AR14" s="99" t="n">
        <f aca="false">AR12+AR13</f>
        <v>591.24015625</v>
      </c>
      <c r="AS14" s="99" t="n">
        <f aca="false">AS12+AS13</f>
        <v>591.24015625</v>
      </c>
      <c r="AT14" s="99" t="n">
        <f aca="false">AT12+AT13</f>
        <v>591.24015625</v>
      </c>
      <c r="AU14" s="99" t="n">
        <f aca="false">AU12+AU13</f>
        <v>433.576114583333</v>
      </c>
      <c r="AV14" s="99" t="n">
        <f aca="false">AV12+AV13</f>
        <v>433.576114583333</v>
      </c>
      <c r="AW14" s="99" t="n">
        <f aca="false">AW12+AW13</f>
        <v>433.576114583333</v>
      </c>
      <c r="AX14" s="99" t="n">
        <f aca="false">AX12+AX13</f>
        <v>433.576114583333</v>
      </c>
      <c r="AY14" s="99" t="n">
        <f aca="false">AY12+AY13</f>
        <v>498.612531770833</v>
      </c>
      <c r="AZ14" s="99" t="n">
        <f aca="false">AZ12+AZ13</f>
        <v>498.612531770833</v>
      </c>
      <c r="BA14" s="99" t="n">
        <f aca="false">BA12+BA13</f>
        <v>498.612531770833</v>
      </c>
      <c r="BB14" s="99" t="n">
        <f aca="false">BB12+BB13</f>
        <v>498.612531770833</v>
      </c>
      <c r="BC14" s="99" t="n">
        <f aca="false">BC12+BC13</f>
        <v>498.612531770833</v>
      </c>
      <c r="BD14" s="99" t="n">
        <f aca="false">BD12+BD13</f>
        <v>679.9261796875</v>
      </c>
      <c r="BE14" s="99" t="n">
        <f aca="false">BE12+BE13</f>
        <v>679.9261796875</v>
      </c>
      <c r="BF14" s="99" t="n">
        <f aca="false">BF12+BF13</f>
        <v>679.9261796875</v>
      </c>
      <c r="BG14" s="99" t="n">
        <f aca="false">BG12+BG13</f>
        <v>498.612531770833</v>
      </c>
      <c r="BH14" s="99" t="n">
        <f aca="false">BH12+BH13</f>
        <v>498.612531770833</v>
      </c>
      <c r="BI14" s="99" t="n">
        <f aca="false">BI12+BI13</f>
        <v>498.612531770833</v>
      </c>
      <c r="BJ14" s="99" t="n">
        <f aca="false">BJ12+BJ13</f>
        <v>498.612531770833</v>
      </c>
    </row>
    <row r="15" customFormat="false" ht="15" hidden="false" customHeight="false" outlineLevel="0" collapsed="false">
      <c r="A15" s="4" t="s">
        <v>355</v>
      </c>
      <c r="C15" s="101" t="n">
        <f aca="false">MIN(C9,C14)</f>
        <v>285.083333333333</v>
      </c>
      <c r="D15" s="101" t="n">
        <f aca="false">MIN(D9,D14)</f>
        <v>285.083333333333</v>
      </c>
      <c r="E15" s="101" t="n">
        <f aca="false">MIN(E9,E14)</f>
        <v>285.083333333333</v>
      </c>
      <c r="F15" s="101" t="n">
        <f aca="false">MIN(F9,F14)</f>
        <v>285.083333333333</v>
      </c>
      <c r="G15" s="101" t="n">
        <f aca="false">MIN(G9,G14)</f>
        <v>285.083333333333</v>
      </c>
      <c r="H15" s="101" t="n">
        <f aca="false">MIN(H9,H14)</f>
        <v>367.5</v>
      </c>
      <c r="I15" s="101" t="n">
        <f aca="false">MIN(I9,I14)</f>
        <v>367.5</v>
      </c>
      <c r="J15" s="101" t="n">
        <f aca="false">MIN(J9,J14)</f>
        <v>367.5</v>
      </c>
      <c r="K15" s="101" t="n">
        <f aca="false">MIN(K9,K14)</f>
        <v>285.083333333333</v>
      </c>
      <c r="L15" s="101" t="n">
        <f aca="false">MIN(L9,L14)</f>
        <v>285.083333333333</v>
      </c>
      <c r="M15" s="101" t="n">
        <f aca="false">MIN(M9,M14)</f>
        <v>285.083333333333</v>
      </c>
      <c r="N15" s="101" t="n">
        <f aca="false">MIN(N9,N14)</f>
        <v>285.083333333333</v>
      </c>
      <c r="O15" s="101" t="n">
        <f aca="false">MIN(O9,O14)</f>
        <v>327.845833333333</v>
      </c>
      <c r="P15" s="101" t="n">
        <f aca="false">MIN(P9,P14)</f>
        <v>327.845833333333</v>
      </c>
      <c r="Q15" s="101" t="n">
        <f aca="false">MIN(Q9,Q14)</f>
        <v>327.845833333333</v>
      </c>
      <c r="R15" s="101" t="n">
        <f aca="false">MIN(R9,R14)</f>
        <v>327.845833333333</v>
      </c>
      <c r="S15" s="101" t="n">
        <f aca="false">MIN(S9,S14)</f>
        <v>327.845833333333</v>
      </c>
      <c r="T15" s="101" t="n">
        <f aca="false">MIN(T9,T14)</f>
        <v>411.6</v>
      </c>
      <c r="U15" s="101" t="n">
        <f aca="false">MIN(U9,U14)</f>
        <v>411.6</v>
      </c>
      <c r="V15" s="101" t="n">
        <f aca="false">MIN(V9,V14)</f>
        <v>411.6</v>
      </c>
      <c r="W15" s="101" t="n">
        <f aca="false">MIN(W9,W14)</f>
        <v>327.845833333333</v>
      </c>
      <c r="X15" s="101" t="n">
        <f aca="false">MIN(X9,X14)</f>
        <v>327.845833333333</v>
      </c>
      <c r="Y15" s="101" t="n">
        <f aca="false">MIN(Y9,Y14)</f>
        <v>327.845833333333</v>
      </c>
      <c r="Z15" s="101" t="n">
        <f aca="false">MIN(Z9,Z14)</f>
        <v>327.845833333333</v>
      </c>
      <c r="AA15" s="101" t="n">
        <f aca="false">MIN(AA9,AA14)</f>
        <v>377.022708333333</v>
      </c>
      <c r="AB15" s="101" t="n">
        <f aca="false">MIN(AB9,AB14)</f>
        <v>377.022708333333</v>
      </c>
      <c r="AC15" s="101" t="n">
        <f aca="false">MIN(AC9,AC14)</f>
        <v>377.022708333333</v>
      </c>
      <c r="AD15" s="101" t="n">
        <f aca="false">MIN(AD9,AD14)</f>
        <v>377.022708333333</v>
      </c>
      <c r="AE15" s="101" t="n">
        <f aca="false">MIN(AE9,AE14)</f>
        <v>377.022708333333</v>
      </c>
      <c r="AF15" s="101" t="n">
        <f aca="false">MIN(AF9,AF14)</f>
        <v>460.992</v>
      </c>
      <c r="AG15" s="101" t="n">
        <f aca="false">MIN(AG9,AG14)</f>
        <v>460.992</v>
      </c>
      <c r="AH15" s="101" t="n">
        <f aca="false">MIN(AH9,AH14)</f>
        <v>460.992</v>
      </c>
      <c r="AI15" s="101" t="n">
        <f aca="false">MIN(AI9,AI14)</f>
        <v>377.022708333333</v>
      </c>
      <c r="AJ15" s="101" t="n">
        <f aca="false">MIN(AJ9,AJ14)</f>
        <v>377.022708333333</v>
      </c>
      <c r="AK15" s="101" t="n">
        <f aca="false">MIN(AK9,AK14)</f>
        <v>377.022708333333</v>
      </c>
      <c r="AL15" s="101" t="n">
        <f aca="false">MIN(AL9,AL14)</f>
        <v>377.022708333333</v>
      </c>
      <c r="AM15" s="101" t="n">
        <f aca="false">MIN(AM9,AM14)</f>
        <v>433.576114583333</v>
      </c>
      <c r="AN15" s="101" t="n">
        <f aca="false">MIN(AN9,AN14)</f>
        <v>433.576114583333</v>
      </c>
      <c r="AO15" s="101" t="n">
        <f aca="false">MIN(AO9,AO14)</f>
        <v>433.576114583333</v>
      </c>
      <c r="AP15" s="101" t="n">
        <f aca="false">MIN(AP9,AP14)</f>
        <v>433.576114583333</v>
      </c>
      <c r="AQ15" s="101" t="n">
        <f aca="false">MIN(AQ9,AQ14)</f>
        <v>433.576114583333</v>
      </c>
      <c r="AR15" s="101" t="n">
        <f aca="false">MIN(AR9,AR14)</f>
        <v>516.31104</v>
      </c>
      <c r="AS15" s="101" t="n">
        <f aca="false">MIN(AS9,AS14)</f>
        <v>516.31104</v>
      </c>
      <c r="AT15" s="101" t="n">
        <f aca="false">MIN(AT9,AT14)</f>
        <v>516.31104</v>
      </c>
      <c r="AU15" s="101" t="n">
        <f aca="false">MIN(AU9,AU14)</f>
        <v>433.576114583333</v>
      </c>
      <c r="AV15" s="101" t="n">
        <f aca="false">MIN(AV9,AV14)</f>
        <v>433.576114583333</v>
      </c>
      <c r="AW15" s="101" t="n">
        <f aca="false">MIN(AW9,AW14)</f>
        <v>433.576114583333</v>
      </c>
      <c r="AX15" s="101" t="n">
        <f aca="false">MIN(AX9,AX14)</f>
        <v>433.576114583333</v>
      </c>
      <c r="AY15" s="101" t="n">
        <f aca="false">MIN(AY9,AY14)</f>
        <v>498.612531770833</v>
      </c>
      <c r="AZ15" s="101" t="n">
        <f aca="false">MIN(AZ9,AZ14)</f>
        <v>498.612531770833</v>
      </c>
      <c r="BA15" s="101" t="n">
        <f aca="false">MIN(BA9,BA14)</f>
        <v>498.612531770833</v>
      </c>
      <c r="BB15" s="101" t="n">
        <f aca="false">MIN(BB9,BB14)</f>
        <v>498.612531770833</v>
      </c>
      <c r="BC15" s="101" t="n">
        <f aca="false">MIN(BC9,BC14)</f>
        <v>498.612531770833</v>
      </c>
      <c r="BD15" s="101" t="n">
        <f aca="false">MIN(BD9,BD14)</f>
        <v>578.2683648</v>
      </c>
      <c r="BE15" s="101" t="n">
        <f aca="false">MIN(BE9,BE14)</f>
        <v>578.2683648</v>
      </c>
      <c r="BF15" s="101" t="n">
        <f aca="false">MIN(BF9,BF14)</f>
        <v>578.2683648</v>
      </c>
      <c r="BG15" s="101" t="n">
        <f aca="false">MIN(BG9,BG14)</f>
        <v>498.612531770833</v>
      </c>
      <c r="BH15" s="101" t="n">
        <f aca="false">MIN(BH9,BH14)</f>
        <v>498.612531770833</v>
      </c>
      <c r="BI15" s="101" t="n">
        <f aca="false">MIN(BI9,BI14)</f>
        <v>498.612531770833</v>
      </c>
      <c r="BJ15" s="101" t="n">
        <f aca="false">MIN(BJ9,BJ14)</f>
        <v>498.612531770833</v>
      </c>
    </row>
    <row r="17" customFormat="false" ht="15.75" hidden="false" customHeight="true" outlineLevel="0" collapsed="false">
      <c r="A17" s="7" t="s">
        <v>41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customFormat="false" ht="15" hidden="false" customHeight="false" outlineLevel="0" collapsed="false">
      <c r="A18" s="6" t="s">
        <v>57</v>
      </c>
      <c r="C18" s="102" t="n">
        <f aca="false">Inputs!$E$20*(1+Inputs!$E$21)^(C$5-1)</f>
        <v>440</v>
      </c>
      <c r="D18" s="102" t="n">
        <f aca="false">Inputs!$E$20*(1+Inputs!$E$21)^(D$5-1)</f>
        <v>440</v>
      </c>
      <c r="E18" s="102" t="n">
        <f aca="false">Inputs!$E$20*(1+Inputs!$E$21)^(E$5-1)</f>
        <v>440</v>
      </c>
      <c r="F18" s="102" t="n">
        <f aca="false">Inputs!$E$20*(1+Inputs!$E$21)^(F$5-1)</f>
        <v>440</v>
      </c>
      <c r="G18" s="102" t="n">
        <f aca="false">Inputs!$E$20*(1+Inputs!$E$21)^(G$5-1)</f>
        <v>440</v>
      </c>
      <c r="H18" s="102" t="n">
        <f aca="false">Inputs!$E$20*(1+Inputs!$E$21)^(H$5-1)</f>
        <v>440</v>
      </c>
      <c r="I18" s="102" t="n">
        <f aca="false">Inputs!$E$20*(1+Inputs!$E$21)^(I$5-1)</f>
        <v>440</v>
      </c>
      <c r="J18" s="102" t="n">
        <f aca="false">Inputs!$E$20*(1+Inputs!$E$21)^(J$5-1)</f>
        <v>440</v>
      </c>
      <c r="K18" s="102" t="n">
        <f aca="false">Inputs!$E$20*(1+Inputs!$E$21)^(K$5-1)</f>
        <v>440</v>
      </c>
      <c r="L18" s="102" t="n">
        <f aca="false">Inputs!$E$20*(1+Inputs!$E$21)^(L$5-1)</f>
        <v>440</v>
      </c>
      <c r="M18" s="102" t="n">
        <f aca="false">Inputs!$E$20*(1+Inputs!$E$21)^(M$5-1)</f>
        <v>440</v>
      </c>
      <c r="N18" s="102" t="n">
        <f aca="false">Inputs!$E$20*(1+Inputs!$E$21)^(N$5-1)</f>
        <v>440</v>
      </c>
      <c r="O18" s="102" t="n">
        <f aca="false">Inputs!$E$20*(1+Inputs!$E$21)^(O$5-1)</f>
        <v>453.2</v>
      </c>
      <c r="P18" s="102" t="n">
        <f aca="false">Inputs!$E$20*(1+Inputs!$E$21)^(P$5-1)</f>
        <v>453.2</v>
      </c>
      <c r="Q18" s="102" t="n">
        <f aca="false">Inputs!$E$20*(1+Inputs!$E$21)^(Q$5-1)</f>
        <v>453.2</v>
      </c>
      <c r="R18" s="102" t="n">
        <f aca="false">Inputs!$E$20*(1+Inputs!$E$21)^(R$5-1)</f>
        <v>453.2</v>
      </c>
      <c r="S18" s="102" t="n">
        <f aca="false">Inputs!$E$20*(1+Inputs!$E$21)^(S$5-1)</f>
        <v>453.2</v>
      </c>
      <c r="T18" s="102" t="n">
        <f aca="false">Inputs!$E$20*(1+Inputs!$E$21)^(T$5-1)</f>
        <v>453.2</v>
      </c>
      <c r="U18" s="102" t="n">
        <f aca="false">Inputs!$E$20*(1+Inputs!$E$21)^(U$5-1)</f>
        <v>453.2</v>
      </c>
      <c r="V18" s="102" t="n">
        <f aca="false">Inputs!$E$20*(1+Inputs!$E$21)^(V$5-1)</f>
        <v>453.2</v>
      </c>
      <c r="W18" s="102" t="n">
        <f aca="false">Inputs!$E$20*(1+Inputs!$E$21)^(W$5-1)</f>
        <v>453.2</v>
      </c>
      <c r="X18" s="102" t="n">
        <f aca="false">Inputs!$E$20*(1+Inputs!$E$21)^(X$5-1)</f>
        <v>453.2</v>
      </c>
      <c r="Y18" s="102" t="n">
        <f aca="false">Inputs!$E$20*(1+Inputs!$E$21)^(Y$5-1)</f>
        <v>453.2</v>
      </c>
      <c r="Z18" s="102" t="n">
        <f aca="false">Inputs!$E$20*(1+Inputs!$E$21)^(Z$5-1)</f>
        <v>453.2</v>
      </c>
      <c r="AA18" s="102" t="n">
        <f aca="false">Inputs!$E$20*(1+Inputs!$E$21)^(AA$5-1)</f>
        <v>466.796</v>
      </c>
      <c r="AB18" s="102" t="n">
        <f aca="false">Inputs!$E$20*(1+Inputs!$E$21)^(AB$5-1)</f>
        <v>466.796</v>
      </c>
      <c r="AC18" s="102" t="n">
        <f aca="false">Inputs!$E$20*(1+Inputs!$E$21)^(AC$5-1)</f>
        <v>466.796</v>
      </c>
      <c r="AD18" s="102" t="n">
        <f aca="false">Inputs!$E$20*(1+Inputs!$E$21)^(AD$5-1)</f>
        <v>466.796</v>
      </c>
      <c r="AE18" s="102" t="n">
        <f aca="false">Inputs!$E$20*(1+Inputs!$E$21)^(AE$5-1)</f>
        <v>466.796</v>
      </c>
      <c r="AF18" s="102" t="n">
        <f aca="false">Inputs!$E$20*(1+Inputs!$E$21)^(AF$5-1)</f>
        <v>466.796</v>
      </c>
      <c r="AG18" s="102" t="n">
        <f aca="false">Inputs!$E$20*(1+Inputs!$E$21)^(AG$5-1)</f>
        <v>466.796</v>
      </c>
      <c r="AH18" s="102" t="n">
        <f aca="false">Inputs!$E$20*(1+Inputs!$E$21)^(AH$5-1)</f>
        <v>466.796</v>
      </c>
      <c r="AI18" s="102" t="n">
        <f aca="false">Inputs!$E$20*(1+Inputs!$E$21)^(AI$5-1)</f>
        <v>466.796</v>
      </c>
      <c r="AJ18" s="102" t="n">
        <f aca="false">Inputs!$E$20*(1+Inputs!$E$21)^(AJ$5-1)</f>
        <v>466.796</v>
      </c>
      <c r="AK18" s="102" t="n">
        <f aca="false">Inputs!$E$20*(1+Inputs!$E$21)^(AK$5-1)</f>
        <v>466.796</v>
      </c>
      <c r="AL18" s="102" t="n">
        <f aca="false">Inputs!$E$20*(1+Inputs!$E$21)^(AL$5-1)</f>
        <v>466.796</v>
      </c>
      <c r="AM18" s="102" t="n">
        <f aca="false">Inputs!$E$20*(1+Inputs!$E$21)^(AM$5-1)</f>
        <v>480.79988</v>
      </c>
      <c r="AN18" s="102" t="n">
        <f aca="false">Inputs!$E$20*(1+Inputs!$E$21)^(AN$5-1)</f>
        <v>480.79988</v>
      </c>
      <c r="AO18" s="102" t="n">
        <f aca="false">Inputs!$E$20*(1+Inputs!$E$21)^(AO$5-1)</f>
        <v>480.79988</v>
      </c>
      <c r="AP18" s="102" t="n">
        <f aca="false">Inputs!$E$20*(1+Inputs!$E$21)^(AP$5-1)</f>
        <v>480.79988</v>
      </c>
      <c r="AQ18" s="102" t="n">
        <f aca="false">Inputs!$E$20*(1+Inputs!$E$21)^(AQ$5-1)</f>
        <v>480.79988</v>
      </c>
      <c r="AR18" s="102" t="n">
        <f aca="false">Inputs!$E$20*(1+Inputs!$E$21)^(AR$5-1)</f>
        <v>480.79988</v>
      </c>
      <c r="AS18" s="102" t="n">
        <f aca="false">Inputs!$E$20*(1+Inputs!$E$21)^(AS$5-1)</f>
        <v>480.79988</v>
      </c>
      <c r="AT18" s="102" t="n">
        <f aca="false">Inputs!$E$20*(1+Inputs!$E$21)^(AT$5-1)</f>
        <v>480.79988</v>
      </c>
      <c r="AU18" s="102" t="n">
        <f aca="false">Inputs!$E$20*(1+Inputs!$E$21)^(AU$5-1)</f>
        <v>480.79988</v>
      </c>
      <c r="AV18" s="102" t="n">
        <f aca="false">Inputs!$E$20*(1+Inputs!$E$21)^(AV$5-1)</f>
        <v>480.79988</v>
      </c>
      <c r="AW18" s="102" t="n">
        <f aca="false">Inputs!$E$20*(1+Inputs!$E$21)^(AW$5-1)</f>
        <v>480.79988</v>
      </c>
      <c r="AX18" s="102" t="n">
        <f aca="false">Inputs!$E$20*(1+Inputs!$E$21)^(AX$5-1)</f>
        <v>480.79988</v>
      </c>
      <c r="AY18" s="102" t="n">
        <f aca="false">Inputs!$E$20*(1+Inputs!$E$21)^(AY$5-1)</f>
        <v>495.2238764</v>
      </c>
      <c r="AZ18" s="102" t="n">
        <f aca="false">Inputs!$E$20*(1+Inputs!$E$21)^(AZ$5-1)</f>
        <v>495.2238764</v>
      </c>
      <c r="BA18" s="102" t="n">
        <f aca="false">Inputs!$E$20*(1+Inputs!$E$21)^(BA$5-1)</f>
        <v>495.2238764</v>
      </c>
      <c r="BB18" s="102" t="n">
        <f aca="false">Inputs!$E$20*(1+Inputs!$E$21)^(BB$5-1)</f>
        <v>495.2238764</v>
      </c>
      <c r="BC18" s="102" t="n">
        <f aca="false">Inputs!$E$20*(1+Inputs!$E$21)^(BC$5-1)</f>
        <v>495.2238764</v>
      </c>
      <c r="BD18" s="102" t="n">
        <f aca="false">Inputs!$E$20*(1+Inputs!$E$21)^(BD$5-1)</f>
        <v>495.2238764</v>
      </c>
      <c r="BE18" s="102" t="n">
        <f aca="false">Inputs!$E$20*(1+Inputs!$E$21)^(BE$5-1)</f>
        <v>495.2238764</v>
      </c>
      <c r="BF18" s="102" t="n">
        <f aca="false">Inputs!$E$20*(1+Inputs!$E$21)^(BF$5-1)</f>
        <v>495.2238764</v>
      </c>
      <c r="BG18" s="102" t="n">
        <f aca="false">Inputs!$E$20*(1+Inputs!$E$21)^(BG$5-1)</f>
        <v>495.2238764</v>
      </c>
      <c r="BH18" s="102" t="n">
        <f aca="false">Inputs!$E$20*(1+Inputs!$E$21)^(BH$5-1)</f>
        <v>495.2238764</v>
      </c>
      <c r="BI18" s="102" t="n">
        <f aca="false">Inputs!$E$20*(1+Inputs!$E$21)^(BI$5-1)</f>
        <v>495.2238764</v>
      </c>
      <c r="BJ18" s="102" t="n">
        <f aca="false">Inputs!$E$20*(1+Inputs!$E$21)^(BJ$5-1)</f>
        <v>495.2238764</v>
      </c>
    </row>
    <row r="19" customFormat="false" ht="15" hidden="false" customHeight="false" outlineLevel="0" collapsed="false">
      <c r="A19" s="6" t="s">
        <v>183</v>
      </c>
      <c r="C19" s="53" t="n">
        <f aca="false">C15*C18</f>
        <v>125436.666666667</v>
      </c>
      <c r="D19" s="53" t="n">
        <f aca="false">D15*D18</f>
        <v>125436.666666667</v>
      </c>
      <c r="E19" s="53" t="n">
        <f aca="false">E15*E18</f>
        <v>125436.666666667</v>
      </c>
      <c r="F19" s="53" t="n">
        <f aca="false">F15*F18</f>
        <v>125436.666666667</v>
      </c>
      <c r="G19" s="53" t="n">
        <f aca="false">G15*G18</f>
        <v>125436.666666667</v>
      </c>
      <c r="H19" s="53" t="n">
        <f aca="false">H15*H18</f>
        <v>161700</v>
      </c>
      <c r="I19" s="53" t="n">
        <f aca="false">I15*I18</f>
        <v>161700</v>
      </c>
      <c r="J19" s="53" t="n">
        <f aca="false">J15*J18</f>
        <v>161700</v>
      </c>
      <c r="K19" s="53" t="n">
        <f aca="false">K15*K18</f>
        <v>125436.666666667</v>
      </c>
      <c r="L19" s="53" t="n">
        <f aca="false">L15*L18</f>
        <v>125436.666666667</v>
      </c>
      <c r="M19" s="53" t="n">
        <f aca="false">M15*M18</f>
        <v>125436.666666667</v>
      </c>
      <c r="N19" s="53" t="n">
        <f aca="false">N15*N18</f>
        <v>125436.666666667</v>
      </c>
      <c r="O19" s="53" t="n">
        <f aca="false">O15*O18</f>
        <v>148579.731666667</v>
      </c>
      <c r="P19" s="53" t="n">
        <f aca="false">P15*P18</f>
        <v>148579.731666667</v>
      </c>
      <c r="Q19" s="53" t="n">
        <f aca="false">Q15*Q18</f>
        <v>148579.731666667</v>
      </c>
      <c r="R19" s="53" t="n">
        <f aca="false">R15*R18</f>
        <v>148579.731666667</v>
      </c>
      <c r="S19" s="53" t="n">
        <f aca="false">S15*S18</f>
        <v>148579.731666667</v>
      </c>
      <c r="T19" s="53" t="n">
        <f aca="false">T15*T18</f>
        <v>186537.12</v>
      </c>
      <c r="U19" s="53" t="n">
        <f aca="false">U15*U18</f>
        <v>186537.12</v>
      </c>
      <c r="V19" s="53" t="n">
        <f aca="false">V15*V18</f>
        <v>186537.12</v>
      </c>
      <c r="W19" s="53" t="n">
        <f aca="false">W15*W18</f>
        <v>148579.731666667</v>
      </c>
      <c r="X19" s="53" t="n">
        <f aca="false">X15*X18</f>
        <v>148579.731666667</v>
      </c>
      <c r="Y19" s="53" t="n">
        <f aca="false">Y15*Y18</f>
        <v>148579.731666667</v>
      </c>
      <c r="Z19" s="53" t="n">
        <f aca="false">Z15*Z18</f>
        <v>148579.731666667</v>
      </c>
      <c r="AA19" s="53" t="n">
        <f aca="false">AA15*AA18</f>
        <v>175992.692159167</v>
      </c>
      <c r="AB19" s="53" t="n">
        <f aca="false">AB15*AB18</f>
        <v>175992.692159167</v>
      </c>
      <c r="AC19" s="53" t="n">
        <f aca="false">AC15*AC18</f>
        <v>175992.692159167</v>
      </c>
      <c r="AD19" s="53" t="n">
        <f aca="false">AD15*AD18</f>
        <v>175992.692159167</v>
      </c>
      <c r="AE19" s="53" t="n">
        <f aca="false">AE15*AE18</f>
        <v>175992.692159167</v>
      </c>
      <c r="AF19" s="53" t="n">
        <f aca="false">AF15*AF18</f>
        <v>215189.221632</v>
      </c>
      <c r="AG19" s="53" t="n">
        <f aca="false">AG15*AG18</f>
        <v>215189.221632</v>
      </c>
      <c r="AH19" s="53" t="n">
        <f aca="false">AH15*AH18</f>
        <v>215189.221632</v>
      </c>
      <c r="AI19" s="53" t="n">
        <f aca="false">AI15*AI18</f>
        <v>175992.692159167</v>
      </c>
      <c r="AJ19" s="53" t="n">
        <f aca="false">AJ15*AJ18</f>
        <v>175992.692159167</v>
      </c>
      <c r="AK19" s="53" t="n">
        <f aca="false">AK15*AK18</f>
        <v>175992.692159167</v>
      </c>
      <c r="AL19" s="53" t="n">
        <f aca="false">AL15*AL18</f>
        <v>175992.692159167</v>
      </c>
      <c r="AM19" s="53" t="n">
        <f aca="false">AM15*AM18</f>
        <v>208463.343862533</v>
      </c>
      <c r="AN19" s="53" t="n">
        <f aca="false">AN15*AN18</f>
        <v>208463.343862533</v>
      </c>
      <c r="AO19" s="53" t="n">
        <f aca="false">AO15*AO18</f>
        <v>208463.343862533</v>
      </c>
      <c r="AP19" s="53" t="n">
        <f aca="false">AP15*AP18</f>
        <v>208463.343862533</v>
      </c>
      <c r="AQ19" s="53" t="n">
        <f aca="false">AQ15*AQ18</f>
        <v>208463.343862533</v>
      </c>
      <c r="AR19" s="53" t="n">
        <f aca="false">AR15*AR18</f>
        <v>248242.286074675</v>
      </c>
      <c r="AS19" s="53" t="n">
        <f aca="false">AS15*AS18</f>
        <v>248242.286074675</v>
      </c>
      <c r="AT19" s="53" t="n">
        <f aca="false">AT15*AT18</f>
        <v>248242.286074675</v>
      </c>
      <c r="AU19" s="53" t="n">
        <f aca="false">AU15*AU18</f>
        <v>208463.343862533</v>
      </c>
      <c r="AV19" s="53" t="n">
        <f aca="false">AV15*AV18</f>
        <v>208463.343862533</v>
      </c>
      <c r="AW19" s="53" t="n">
        <f aca="false">AW15*AW18</f>
        <v>208463.343862533</v>
      </c>
      <c r="AX19" s="53" t="n">
        <f aca="false">AX15*AX18</f>
        <v>208463.343862533</v>
      </c>
      <c r="AY19" s="53" t="n">
        <f aca="false">AY15*AY18</f>
        <v>246924.83080517</v>
      </c>
      <c r="AZ19" s="53" t="n">
        <f aca="false">AZ15*AZ18</f>
        <v>246924.83080517</v>
      </c>
      <c r="BA19" s="53" t="n">
        <f aca="false">BA15*BA18</f>
        <v>246924.83080517</v>
      </c>
      <c r="BB19" s="53" t="n">
        <f aca="false">BB15*BB18</f>
        <v>246924.83080517</v>
      </c>
      <c r="BC19" s="53" t="n">
        <f aca="false">BC15*BC18</f>
        <v>246924.83080517</v>
      </c>
      <c r="BD19" s="53" t="n">
        <f aca="false">BD15*BD18</f>
        <v>286372.301215745</v>
      </c>
      <c r="BE19" s="53" t="n">
        <f aca="false">BE15*BE18</f>
        <v>286372.301215745</v>
      </c>
      <c r="BF19" s="53" t="n">
        <f aca="false">BF15*BF18</f>
        <v>286372.301215745</v>
      </c>
      <c r="BG19" s="53" t="n">
        <f aca="false">BG15*BG18</f>
        <v>246924.83080517</v>
      </c>
      <c r="BH19" s="53" t="n">
        <f aca="false">BH15*BH18</f>
        <v>246924.83080517</v>
      </c>
      <c r="BI19" s="53" t="n">
        <f aca="false">BI15*BI18</f>
        <v>246924.83080517</v>
      </c>
      <c r="BJ19" s="53" t="n">
        <f aca="false">BJ15*BJ18</f>
        <v>246924.83080517</v>
      </c>
    </row>
    <row r="20" customFormat="false" ht="15" hidden="false" customHeight="false" outlineLevel="0" collapsed="false">
      <c r="A20" s="6" t="s">
        <v>356</v>
      </c>
      <c r="C20" s="99" t="n">
        <f aca="false">Inputs!$E$24*(1+Inputs!$E$25)^(C$5-1)</f>
        <v>400</v>
      </c>
      <c r="D20" s="99" t="n">
        <f aca="false">Inputs!$E$24*(1+Inputs!$E$25)^(D$5-1)</f>
        <v>400</v>
      </c>
      <c r="E20" s="99" t="n">
        <f aca="false">Inputs!$E$24*(1+Inputs!$E$25)^(E$5-1)</f>
        <v>400</v>
      </c>
      <c r="F20" s="99" t="n">
        <f aca="false">Inputs!$E$24*(1+Inputs!$E$25)^(F$5-1)</f>
        <v>400</v>
      </c>
      <c r="G20" s="99" t="n">
        <f aca="false">Inputs!$E$24*(1+Inputs!$E$25)^(G$5-1)</f>
        <v>400</v>
      </c>
      <c r="H20" s="99" t="n">
        <f aca="false">Inputs!$E$24*(1+Inputs!$E$25)^(H$5-1)</f>
        <v>400</v>
      </c>
      <c r="I20" s="99" t="n">
        <f aca="false">Inputs!$E$24*(1+Inputs!$E$25)^(I$5-1)</f>
        <v>400</v>
      </c>
      <c r="J20" s="99" t="n">
        <f aca="false">Inputs!$E$24*(1+Inputs!$E$25)^(J$5-1)</f>
        <v>400</v>
      </c>
      <c r="K20" s="99" t="n">
        <f aca="false">Inputs!$E$24*(1+Inputs!$E$25)^(K$5-1)</f>
        <v>400</v>
      </c>
      <c r="L20" s="99" t="n">
        <f aca="false">Inputs!$E$24*(1+Inputs!$E$25)^(L$5-1)</f>
        <v>400</v>
      </c>
      <c r="M20" s="99" t="n">
        <f aca="false">Inputs!$E$24*(1+Inputs!$E$25)^(M$5-1)</f>
        <v>400</v>
      </c>
      <c r="N20" s="99" t="n">
        <f aca="false">Inputs!$E$24*(1+Inputs!$E$25)^(N$5-1)</f>
        <v>400</v>
      </c>
      <c r="O20" s="99" t="n">
        <f aca="false">Inputs!$E$24*(1+Inputs!$E$25)^(O$5-1)</f>
        <v>480</v>
      </c>
      <c r="P20" s="99" t="n">
        <f aca="false">Inputs!$E$24*(1+Inputs!$E$25)^(P$5-1)</f>
        <v>480</v>
      </c>
      <c r="Q20" s="99" t="n">
        <f aca="false">Inputs!$E$24*(1+Inputs!$E$25)^(Q$5-1)</f>
        <v>480</v>
      </c>
      <c r="R20" s="99" t="n">
        <f aca="false">Inputs!$E$24*(1+Inputs!$E$25)^(R$5-1)</f>
        <v>480</v>
      </c>
      <c r="S20" s="99" t="n">
        <f aca="false">Inputs!$E$24*(1+Inputs!$E$25)^(S$5-1)</f>
        <v>480</v>
      </c>
      <c r="T20" s="99" t="n">
        <f aca="false">Inputs!$E$24*(1+Inputs!$E$25)^(T$5-1)</f>
        <v>480</v>
      </c>
      <c r="U20" s="99" t="n">
        <f aca="false">Inputs!$E$24*(1+Inputs!$E$25)^(U$5-1)</f>
        <v>480</v>
      </c>
      <c r="V20" s="99" t="n">
        <f aca="false">Inputs!$E$24*(1+Inputs!$E$25)^(V$5-1)</f>
        <v>480</v>
      </c>
      <c r="W20" s="99" t="n">
        <f aca="false">Inputs!$E$24*(1+Inputs!$E$25)^(W$5-1)</f>
        <v>480</v>
      </c>
      <c r="X20" s="99" t="n">
        <f aca="false">Inputs!$E$24*(1+Inputs!$E$25)^(X$5-1)</f>
        <v>480</v>
      </c>
      <c r="Y20" s="99" t="n">
        <f aca="false">Inputs!$E$24*(1+Inputs!$E$25)^(Y$5-1)</f>
        <v>480</v>
      </c>
      <c r="Z20" s="99" t="n">
        <f aca="false">Inputs!$E$24*(1+Inputs!$E$25)^(Z$5-1)</f>
        <v>480</v>
      </c>
      <c r="AA20" s="99" t="n">
        <f aca="false">Inputs!$E$24*(1+Inputs!$E$25)^(AA$5-1)</f>
        <v>576</v>
      </c>
      <c r="AB20" s="99" t="n">
        <f aca="false">Inputs!$E$24*(1+Inputs!$E$25)^(AB$5-1)</f>
        <v>576</v>
      </c>
      <c r="AC20" s="99" t="n">
        <f aca="false">Inputs!$E$24*(1+Inputs!$E$25)^(AC$5-1)</f>
        <v>576</v>
      </c>
      <c r="AD20" s="99" t="n">
        <f aca="false">Inputs!$E$24*(1+Inputs!$E$25)^(AD$5-1)</f>
        <v>576</v>
      </c>
      <c r="AE20" s="99" t="n">
        <f aca="false">Inputs!$E$24*(1+Inputs!$E$25)^(AE$5-1)</f>
        <v>576</v>
      </c>
      <c r="AF20" s="99" t="n">
        <f aca="false">Inputs!$E$24*(1+Inputs!$E$25)^(AF$5-1)</f>
        <v>576</v>
      </c>
      <c r="AG20" s="99" t="n">
        <f aca="false">Inputs!$E$24*(1+Inputs!$E$25)^(AG$5-1)</f>
        <v>576</v>
      </c>
      <c r="AH20" s="99" t="n">
        <f aca="false">Inputs!$E$24*(1+Inputs!$E$25)^(AH$5-1)</f>
        <v>576</v>
      </c>
      <c r="AI20" s="99" t="n">
        <f aca="false">Inputs!$E$24*(1+Inputs!$E$25)^(AI$5-1)</f>
        <v>576</v>
      </c>
      <c r="AJ20" s="99" t="n">
        <f aca="false">Inputs!$E$24*(1+Inputs!$E$25)^(AJ$5-1)</f>
        <v>576</v>
      </c>
      <c r="AK20" s="99" t="n">
        <f aca="false">Inputs!$E$24*(1+Inputs!$E$25)^(AK$5-1)</f>
        <v>576</v>
      </c>
      <c r="AL20" s="99" t="n">
        <f aca="false">Inputs!$E$24*(1+Inputs!$E$25)^(AL$5-1)</f>
        <v>576</v>
      </c>
      <c r="AM20" s="99" t="n">
        <f aca="false">Inputs!$E$24*(1+Inputs!$E$25)^(AM$5-1)</f>
        <v>691.2</v>
      </c>
      <c r="AN20" s="99" t="n">
        <f aca="false">Inputs!$E$24*(1+Inputs!$E$25)^(AN$5-1)</f>
        <v>691.2</v>
      </c>
      <c r="AO20" s="99" t="n">
        <f aca="false">Inputs!$E$24*(1+Inputs!$E$25)^(AO$5-1)</f>
        <v>691.2</v>
      </c>
      <c r="AP20" s="99" t="n">
        <f aca="false">Inputs!$E$24*(1+Inputs!$E$25)^(AP$5-1)</f>
        <v>691.2</v>
      </c>
      <c r="AQ20" s="99" t="n">
        <f aca="false">Inputs!$E$24*(1+Inputs!$E$25)^(AQ$5-1)</f>
        <v>691.2</v>
      </c>
      <c r="AR20" s="99" t="n">
        <f aca="false">Inputs!$E$24*(1+Inputs!$E$25)^(AR$5-1)</f>
        <v>691.2</v>
      </c>
      <c r="AS20" s="99" t="n">
        <f aca="false">Inputs!$E$24*(1+Inputs!$E$25)^(AS$5-1)</f>
        <v>691.2</v>
      </c>
      <c r="AT20" s="99" t="n">
        <f aca="false">Inputs!$E$24*(1+Inputs!$E$25)^(AT$5-1)</f>
        <v>691.2</v>
      </c>
      <c r="AU20" s="99" t="n">
        <f aca="false">Inputs!$E$24*(1+Inputs!$E$25)^(AU$5-1)</f>
        <v>691.2</v>
      </c>
      <c r="AV20" s="99" t="n">
        <f aca="false">Inputs!$E$24*(1+Inputs!$E$25)^(AV$5-1)</f>
        <v>691.2</v>
      </c>
      <c r="AW20" s="99" t="n">
        <f aca="false">Inputs!$E$24*(1+Inputs!$E$25)^(AW$5-1)</f>
        <v>691.2</v>
      </c>
      <c r="AX20" s="99" t="n">
        <f aca="false">Inputs!$E$24*(1+Inputs!$E$25)^(AX$5-1)</f>
        <v>691.2</v>
      </c>
      <c r="AY20" s="99" t="n">
        <f aca="false">Inputs!$E$24*(1+Inputs!$E$25)^(AY$5-1)</f>
        <v>829.44</v>
      </c>
      <c r="AZ20" s="99" t="n">
        <f aca="false">Inputs!$E$24*(1+Inputs!$E$25)^(AZ$5-1)</f>
        <v>829.44</v>
      </c>
      <c r="BA20" s="99" t="n">
        <f aca="false">Inputs!$E$24*(1+Inputs!$E$25)^(BA$5-1)</f>
        <v>829.44</v>
      </c>
      <c r="BB20" s="99" t="n">
        <f aca="false">Inputs!$E$24*(1+Inputs!$E$25)^(BB$5-1)</f>
        <v>829.44</v>
      </c>
      <c r="BC20" s="99" t="n">
        <f aca="false">Inputs!$E$24*(1+Inputs!$E$25)^(BC$5-1)</f>
        <v>829.44</v>
      </c>
      <c r="BD20" s="99" t="n">
        <f aca="false">Inputs!$E$24*(1+Inputs!$E$25)^(BD$5-1)</f>
        <v>829.44</v>
      </c>
      <c r="BE20" s="99" t="n">
        <f aca="false">Inputs!$E$24*(1+Inputs!$E$25)^(BE$5-1)</f>
        <v>829.44</v>
      </c>
      <c r="BF20" s="99" t="n">
        <f aca="false">Inputs!$E$24*(1+Inputs!$E$25)^(BF$5-1)</f>
        <v>829.44</v>
      </c>
      <c r="BG20" s="99" t="n">
        <f aca="false">Inputs!$E$24*(1+Inputs!$E$25)^(BG$5-1)</f>
        <v>829.44</v>
      </c>
      <c r="BH20" s="99" t="n">
        <f aca="false">Inputs!$E$24*(1+Inputs!$E$25)^(BH$5-1)</f>
        <v>829.44</v>
      </c>
      <c r="BI20" s="99" t="n">
        <f aca="false">Inputs!$E$24*(1+Inputs!$E$25)^(BI$5-1)</f>
        <v>829.44</v>
      </c>
      <c r="BJ20" s="99" t="n">
        <f aca="false">Inputs!$E$24*(1+Inputs!$E$25)^(BJ$5-1)</f>
        <v>829.44</v>
      </c>
    </row>
    <row r="21" customFormat="false" ht="15" hidden="false" customHeight="false" outlineLevel="0" collapsed="false">
      <c r="A21" s="6" t="s">
        <v>187</v>
      </c>
      <c r="C21" s="53" t="n">
        <f aca="false">C20*Inputs!$E$26*(1+Inputs!$E$21)^(C$5-1)*1</f>
        <v>8000</v>
      </c>
      <c r="D21" s="53" t="n">
        <f aca="false">D20*Inputs!$E$26*(1+Inputs!$E$21)^(D$5-1)*1</f>
        <v>8000</v>
      </c>
      <c r="E21" s="53" t="n">
        <f aca="false">E20*Inputs!$E$26*(1+Inputs!$E$21)^(E$5-1)*1</f>
        <v>8000</v>
      </c>
      <c r="F21" s="53" t="n">
        <f aca="false">F20*Inputs!$E$26*(1+Inputs!$E$21)^(F$5-1)*1</f>
        <v>8000</v>
      </c>
      <c r="G21" s="53" t="n">
        <f aca="false">G20*Inputs!$E$26*(1+Inputs!$E$21)^(G$5-1)*1</f>
        <v>8000</v>
      </c>
      <c r="H21" s="53" t="n">
        <f aca="false">H20*Inputs!$E$26*(1+Inputs!$E$21)^(H$5-1)*1</f>
        <v>8000</v>
      </c>
      <c r="I21" s="53" t="n">
        <f aca="false">I20*Inputs!$E$26*(1+Inputs!$E$21)^(I$5-1)*1</f>
        <v>8000</v>
      </c>
      <c r="J21" s="53" t="n">
        <f aca="false">J20*Inputs!$E$26*(1+Inputs!$E$21)^(J$5-1)*1</f>
        <v>8000</v>
      </c>
      <c r="K21" s="53" t="n">
        <f aca="false">K20*Inputs!$E$26*(1+Inputs!$E$21)^(K$5-1)*1</f>
        <v>8000</v>
      </c>
      <c r="L21" s="53" t="n">
        <f aca="false">L20*Inputs!$E$26*(1+Inputs!$E$21)^(L$5-1)*1</f>
        <v>8000</v>
      </c>
      <c r="M21" s="53" t="n">
        <f aca="false">M20*Inputs!$E$26*(1+Inputs!$E$21)^(M$5-1)*1</f>
        <v>8000</v>
      </c>
      <c r="N21" s="53" t="n">
        <f aca="false">N20*Inputs!$E$26*(1+Inputs!$E$21)^(N$5-1)*1</f>
        <v>8000</v>
      </c>
      <c r="O21" s="53" t="n">
        <f aca="false">O20*Inputs!$E$26*(1+Inputs!$E$21)^(O$5-1)*1</f>
        <v>9888</v>
      </c>
      <c r="P21" s="53" t="n">
        <f aca="false">P20*Inputs!$E$26*(1+Inputs!$E$21)^(P$5-1)*1</f>
        <v>9888</v>
      </c>
      <c r="Q21" s="53" t="n">
        <f aca="false">Q20*Inputs!$E$26*(1+Inputs!$E$21)^(Q$5-1)*1</f>
        <v>9888</v>
      </c>
      <c r="R21" s="53" t="n">
        <f aca="false">R20*Inputs!$E$26*(1+Inputs!$E$21)^(R$5-1)*1</f>
        <v>9888</v>
      </c>
      <c r="S21" s="53" t="n">
        <f aca="false">S20*Inputs!$E$26*(1+Inputs!$E$21)^(S$5-1)*1</f>
        <v>9888</v>
      </c>
      <c r="T21" s="53" t="n">
        <f aca="false">T20*Inputs!$E$26*(1+Inputs!$E$21)^(T$5-1)*1</f>
        <v>9888</v>
      </c>
      <c r="U21" s="53" t="n">
        <f aca="false">U20*Inputs!$E$26*(1+Inputs!$E$21)^(U$5-1)*1</f>
        <v>9888</v>
      </c>
      <c r="V21" s="53" t="n">
        <f aca="false">V20*Inputs!$E$26*(1+Inputs!$E$21)^(V$5-1)*1</f>
        <v>9888</v>
      </c>
      <c r="W21" s="53" t="n">
        <f aca="false">W20*Inputs!$E$26*(1+Inputs!$E$21)^(W$5-1)*1</f>
        <v>9888</v>
      </c>
      <c r="X21" s="53" t="n">
        <f aca="false">X20*Inputs!$E$26*(1+Inputs!$E$21)^(X$5-1)*1</f>
        <v>9888</v>
      </c>
      <c r="Y21" s="53" t="n">
        <f aca="false">Y20*Inputs!$E$26*(1+Inputs!$E$21)^(Y$5-1)*1</f>
        <v>9888</v>
      </c>
      <c r="Z21" s="53" t="n">
        <f aca="false">Z20*Inputs!$E$26*(1+Inputs!$E$21)^(Z$5-1)*1</f>
        <v>9888</v>
      </c>
      <c r="AA21" s="53" t="n">
        <f aca="false">AA20*Inputs!$E$26*(1+Inputs!$E$21)^(AA$5-1)*1</f>
        <v>12221.568</v>
      </c>
      <c r="AB21" s="53" t="n">
        <f aca="false">AB20*Inputs!$E$26*(1+Inputs!$E$21)^(AB$5-1)*1</f>
        <v>12221.568</v>
      </c>
      <c r="AC21" s="53" t="n">
        <f aca="false">AC20*Inputs!$E$26*(1+Inputs!$E$21)^(AC$5-1)*1</f>
        <v>12221.568</v>
      </c>
      <c r="AD21" s="53" t="n">
        <f aca="false">AD20*Inputs!$E$26*(1+Inputs!$E$21)^(AD$5-1)*1</f>
        <v>12221.568</v>
      </c>
      <c r="AE21" s="53" t="n">
        <f aca="false">AE20*Inputs!$E$26*(1+Inputs!$E$21)^(AE$5-1)*1</f>
        <v>12221.568</v>
      </c>
      <c r="AF21" s="53" t="n">
        <f aca="false">AF20*Inputs!$E$26*(1+Inputs!$E$21)^(AF$5-1)*1</f>
        <v>12221.568</v>
      </c>
      <c r="AG21" s="53" t="n">
        <f aca="false">AG20*Inputs!$E$26*(1+Inputs!$E$21)^(AG$5-1)*1</f>
        <v>12221.568</v>
      </c>
      <c r="AH21" s="53" t="n">
        <f aca="false">AH20*Inputs!$E$26*(1+Inputs!$E$21)^(AH$5-1)*1</f>
        <v>12221.568</v>
      </c>
      <c r="AI21" s="53" t="n">
        <f aca="false">AI20*Inputs!$E$26*(1+Inputs!$E$21)^(AI$5-1)*1</f>
        <v>12221.568</v>
      </c>
      <c r="AJ21" s="53" t="n">
        <f aca="false">AJ20*Inputs!$E$26*(1+Inputs!$E$21)^(AJ$5-1)*1</f>
        <v>12221.568</v>
      </c>
      <c r="AK21" s="53" t="n">
        <f aca="false">AK20*Inputs!$E$26*(1+Inputs!$E$21)^(AK$5-1)*1</f>
        <v>12221.568</v>
      </c>
      <c r="AL21" s="53" t="n">
        <f aca="false">AL20*Inputs!$E$26*(1+Inputs!$E$21)^(AL$5-1)*1</f>
        <v>12221.568</v>
      </c>
      <c r="AM21" s="53" t="n">
        <f aca="false">AM20*Inputs!$E$26*(1+Inputs!$E$21)^(AM$5-1)*1</f>
        <v>15105.858048</v>
      </c>
      <c r="AN21" s="53" t="n">
        <f aca="false">AN20*Inputs!$E$26*(1+Inputs!$E$21)^(AN$5-1)*1</f>
        <v>15105.858048</v>
      </c>
      <c r="AO21" s="53" t="n">
        <f aca="false">AO20*Inputs!$E$26*(1+Inputs!$E$21)^(AO$5-1)*1</f>
        <v>15105.858048</v>
      </c>
      <c r="AP21" s="53" t="n">
        <f aca="false">AP20*Inputs!$E$26*(1+Inputs!$E$21)^(AP$5-1)*1</f>
        <v>15105.858048</v>
      </c>
      <c r="AQ21" s="53" t="n">
        <f aca="false">AQ20*Inputs!$E$26*(1+Inputs!$E$21)^(AQ$5-1)*1</f>
        <v>15105.858048</v>
      </c>
      <c r="AR21" s="53" t="n">
        <f aca="false">AR20*Inputs!$E$26*(1+Inputs!$E$21)^(AR$5-1)*1</f>
        <v>15105.858048</v>
      </c>
      <c r="AS21" s="53" t="n">
        <f aca="false">AS20*Inputs!$E$26*(1+Inputs!$E$21)^(AS$5-1)*1</f>
        <v>15105.858048</v>
      </c>
      <c r="AT21" s="53" t="n">
        <f aca="false">AT20*Inputs!$E$26*(1+Inputs!$E$21)^(AT$5-1)*1</f>
        <v>15105.858048</v>
      </c>
      <c r="AU21" s="53" t="n">
        <f aca="false">AU20*Inputs!$E$26*(1+Inputs!$E$21)^(AU$5-1)*1</f>
        <v>15105.858048</v>
      </c>
      <c r="AV21" s="53" t="n">
        <f aca="false">AV20*Inputs!$E$26*(1+Inputs!$E$21)^(AV$5-1)*1</f>
        <v>15105.858048</v>
      </c>
      <c r="AW21" s="53" t="n">
        <f aca="false">AW20*Inputs!$E$26*(1+Inputs!$E$21)^(AW$5-1)*1</f>
        <v>15105.858048</v>
      </c>
      <c r="AX21" s="53" t="n">
        <f aca="false">AX20*Inputs!$E$26*(1+Inputs!$E$21)^(AX$5-1)*1</f>
        <v>15105.858048</v>
      </c>
      <c r="AY21" s="53" t="n">
        <f aca="false">AY20*Inputs!$E$26*(1+Inputs!$E$21)^(AY$5-1)*1</f>
        <v>18670.840547328</v>
      </c>
      <c r="AZ21" s="53" t="n">
        <f aca="false">AZ20*Inputs!$E$26*(1+Inputs!$E$21)^(AZ$5-1)*1</f>
        <v>18670.840547328</v>
      </c>
      <c r="BA21" s="53" t="n">
        <f aca="false">BA20*Inputs!$E$26*(1+Inputs!$E$21)^(BA$5-1)*1</f>
        <v>18670.840547328</v>
      </c>
      <c r="BB21" s="53" t="n">
        <f aca="false">BB20*Inputs!$E$26*(1+Inputs!$E$21)^(BB$5-1)*1</f>
        <v>18670.840547328</v>
      </c>
      <c r="BC21" s="53" t="n">
        <f aca="false">BC20*Inputs!$E$26*(1+Inputs!$E$21)^(BC$5-1)*1</f>
        <v>18670.840547328</v>
      </c>
      <c r="BD21" s="53" t="n">
        <f aca="false">BD20*Inputs!$E$26*(1+Inputs!$E$21)^(BD$5-1)*1</f>
        <v>18670.840547328</v>
      </c>
      <c r="BE21" s="53" t="n">
        <f aca="false">BE20*Inputs!$E$26*(1+Inputs!$E$21)^(BE$5-1)*1</f>
        <v>18670.840547328</v>
      </c>
      <c r="BF21" s="53" t="n">
        <f aca="false">BF20*Inputs!$E$26*(1+Inputs!$E$21)^(BF$5-1)*1</f>
        <v>18670.840547328</v>
      </c>
      <c r="BG21" s="53" t="n">
        <f aca="false">BG20*Inputs!$E$26*(1+Inputs!$E$21)^(BG$5-1)*1</f>
        <v>18670.840547328</v>
      </c>
      <c r="BH21" s="53" t="n">
        <f aca="false">BH20*Inputs!$E$26*(1+Inputs!$E$21)^(BH$5-1)*1</f>
        <v>18670.840547328</v>
      </c>
      <c r="BI21" s="53" t="n">
        <f aca="false">BI20*Inputs!$E$26*(1+Inputs!$E$21)^(BI$5-1)*1</f>
        <v>18670.840547328</v>
      </c>
      <c r="BJ21" s="53" t="n">
        <f aca="false">BJ20*Inputs!$E$26*(1+Inputs!$E$21)^(BJ$5-1)*1</f>
        <v>18670.840547328</v>
      </c>
    </row>
    <row r="22" customFormat="false" ht="15" hidden="false" customHeight="false" outlineLevel="0" collapsed="false">
      <c r="A22" s="95" t="s">
        <v>41</v>
      </c>
      <c r="C22" s="54" t="n">
        <f aca="false">C19+C21</f>
        <v>133436.666666667</v>
      </c>
      <c r="D22" s="54" t="n">
        <f aca="false">D19+D21</f>
        <v>133436.666666667</v>
      </c>
      <c r="E22" s="54" t="n">
        <f aca="false">E19+E21</f>
        <v>133436.666666667</v>
      </c>
      <c r="F22" s="54" t="n">
        <f aca="false">F19+F21</f>
        <v>133436.666666667</v>
      </c>
      <c r="G22" s="54" t="n">
        <f aca="false">G19+G21</f>
        <v>133436.666666667</v>
      </c>
      <c r="H22" s="54" t="n">
        <f aca="false">H19+H21</f>
        <v>169700</v>
      </c>
      <c r="I22" s="54" t="n">
        <f aca="false">I19+I21</f>
        <v>169700</v>
      </c>
      <c r="J22" s="54" t="n">
        <f aca="false">J19+J21</f>
        <v>169700</v>
      </c>
      <c r="K22" s="54" t="n">
        <f aca="false">K19+K21</f>
        <v>133436.666666667</v>
      </c>
      <c r="L22" s="54" t="n">
        <f aca="false">L19+L21</f>
        <v>133436.666666667</v>
      </c>
      <c r="M22" s="54" t="n">
        <f aca="false">M19+M21</f>
        <v>133436.666666667</v>
      </c>
      <c r="N22" s="54" t="n">
        <f aca="false">N19+N21</f>
        <v>133436.666666667</v>
      </c>
      <c r="O22" s="54" t="n">
        <f aca="false">O19+O21</f>
        <v>158467.731666667</v>
      </c>
      <c r="P22" s="54" t="n">
        <f aca="false">P19+P21</f>
        <v>158467.731666667</v>
      </c>
      <c r="Q22" s="54" t="n">
        <f aca="false">Q19+Q21</f>
        <v>158467.731666667</v>
      </c>
      <c r="R22" s="54" t="n">
        <f aca="false">R19+R21</f>
        <v>158467.731666667</v>
      </c>
      <c r="S22" s="54" t="n">
        <f aca="false">S19+S21</f>
        <v>158467.731666667</v>
      </c>
      <c r="T22" s="54" t="n">
        <f aca="false">T19+T21</f>
        <v>196425.12</v>
      </c>
      <c r="U22" s="54" t="n">
        <f aca="false">U19+U21</f>
        <v>196425.12</v>
      </c>
      <c r="V22" s="54" t="n">
        <f aca="false">V19+V21</f>
        <v>196425.12</v>
      </c>
      <c r="W22" s="54" t="n">
        <f aca="false">W19+W21</f>
        <v>158467.731666667</v>
      </c>
      <c r="X22" s="54" t="n">
        <f aca="false">X19+X21</f>
        <v>158467.731666667</v>
      </c>
      <c r="Y22" s="54" t="n">
        <f aca="false">Y19+Y21</f>
        <v>158467.731666667</v>
      </c>
      <c r="Z22" s="54" t="n">
        <f aca="false">Z19+Z21</f>
        <v>158467.731666667</v>
      </c>
      <c r="AA22" s="54" t="n">
        <f aca="false">AA19+AA21</f>
        <v>188214.260159167</v>
      </c>
      <c r="AB22" s="54" t="n">
        <f aca="false">AB19+AB21</f>
        <v>188214.260159167</v>
      </c>
      <c r="AC22" s="54" t="n">
        <f aca="false">AC19+AC21</f>
        <v>188214.260159167</v>
      </c>
      <c r="AD22" s="54" t="n">
        <f aca="false">AD19+AD21</f>
        <v>188214.260159167</v>
      </c>
      <c r="AE22" s="54" t="n">
        <f aca="false">AE19+AE21</f>
        <v>188214.260159167</v>
      </c>
      <c r="AF22" s="54" t="n">
        <f aca="false">AF19+AF21</f>
        <v>227410.789632</v>
      </c>
      <c r="AG22" s="54" t="n">
        <f aca="false">AG19+AG21</f>
        <v>227410.789632</v>
      </c>
      <c r="AH22" s="54" t="n">
        <f aca="false">AH19+AH21</f>
        <v>227410.789632</v>
      </c>
      <c r="AI22" s="54" t="n">
        <f aca="false">AI19+AI21</f>
        <v>188214.260159167</v>
      </c>
      <c r="AJ22" s="54" t="n">
        <f aca="false">AJ19+AJ21</f>
        <v>188214.260159167</v>
      </c>
      <c r="AK22" s="54" t="n">
        <f aca="false">AK19+AK21</f>
        <v>188214.260159167</v>
      </c>
      <c r="AL22" s="54" t="n">
        <f aca="false">AL19+AL21</f>
        <v>188214.260159167</v>
      </c>
      <c r="AM22" s="54" t="n">
        <f aca="false">AM19+AM21</f>
        <v>223569.201910533</v>
      </c>
      <c r="AN22" s="54" t="n">
        <f aca="false">AN19+AN21</f>
        <v>223569.201910533</v>
      </c>
      <c r="AO22" s="54" t="n">
        <f aca="false">AO19+AO21</f>
        <v>223569.201910533</v>
      </c>
      <c r="AP22" s="54" t="n">
        <f aca="false">AP19+AP21</f>
        <v>223569.201910533</v>
      </c>
      <c r="AQ22" s="54" t="n">
        <f aca="false">AQ19+AQ21</f>
        <v>223569.201910533</v>
      </c>
      <c r="AR22" s="54" t="n">
        <f aca="false">AR19+AR21</f>
        <v>263348.144122675</v>
      </c>
      <c r="AS22" s="54" t="n">
        <f aca="false">AS19+AS21</f>
        <v>263348.144122675</v>
      </c>
      <c r="AT22" s="54" t="n">
        <f aca="false">AT19+AT21</f>
        <v>263348.144122675</v>
      </c>
      <c r="AU22" s="54" t="n">
        <f aca="false">AU19+AU21</f>
        <v>223569.201910533</v>
      </c>
      <c r="AV22" s="54" t="n">
        <f aca="false">AV19+AV21</f>
        <v>223569.201910533</v>
      </c>
      <c r="AW22" s="54" t="n">
        <f aca="false">AW19+AW21</f>
        <v>223569.201910533</v>
      </c>
      <c r="AX22" s="54" t="n">
        <f aca="false">AX19+AX21</f>
        <v>223569.201910533</v>
      </c>
      <c r="AY22" s="54" t="n">
        <f aca="false">AY19+AY21</f>
        <v>265595.671352498</v>
      </c>
      <c r="AZ22" s="54" t="n">
        <f aca="false">AZ19+AZ21</f>
        <v>265595.671352498</v>
      </c>
      <c r="BA22" s="54" t="n">
        <f aca="false">BA19+BA21</f>
        <v>265595.671352498</v>
      </c>
      <c r="BB22" s="54" t="n">
        <f aca="false">BB19+BB21</f>
        <v>265595.671352498</v>
      </c>
      <c r="BC22" s="54" t="n">
        <f aca="false">BC19+BC21</f>
        <v>265595.671352498</v>
      </c>
      <c r="BD22" s="54" t="n">
        <f aca="false">BD19+BD21</f>
        <v>305043.141763073</v>
      </c>
      <c r="BE22" s="54" t="n">
        <f aca="false">BE19+BE21</f>
        <v>305043.141763073</v>
      </c>
      <c r="BF22" s="54" t="n">
        <f aca="false">BF19+BF21</f>
        <v>305043.141763073</v>
      </c>
      <c r="BG22" s="54" t="n">
        <f aca="false">BG19+BG21</f>
        <v>265595.671352498</v>
      </c>
      <c r="BH22" s="54" t="n">
        <f aca="false">BH19+BH21</f>
        <v>265595.671352498</v>
      </c>
      <c r="BI22" s="54" t="n">
        <f aca="false">BI19+BI21</f>
        <v>265595.671352498</v>
      </c>
      <c r="BJ22" s="54" t="n">
        <f aca="false">BJ19+BJ21</f>
        <v>265595.671352498</v>
      </c>
    </row>
    <row r="24" customFormat="false" ht="15.75" hidden="false" customHeight="true" outlineLevel="0" collapsed="false">
      <c r="A24" s="7" t="s">
        <v>72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357</v>
      </c>
      <c r="C25" s="55" t="n">
        <f aca="false">Headcount!C13</f>
        <v>-41591.6666666667</v>
      </c>
      <c r="D25" s="55" t="n">
        <f aca="false">Headcount!D13</f>
        <v>-41591.6666666667</v>
      </c>
      <c r="E25" s="55" t="n">
        <f aca="false">Headcount!E13</f>
        <v>-41591.6666666667</v>
      </c>
      <c r="F25" s="55" t="n">
        <f aca="false">Headcount!F13</f>
        <v>-41591.6666666667</v>
      </c>
      <c r="G25" s="55" t="n">
        <f aca="false">Headcount!G13</f>
        <v>-41591.6666666667</v>
      </c>
      <c r="H25" s="55" t="n">
        <f aca="false">Headcount!H13</f>
        <v>-41591.6666666667</v>
      </c>
      <c r="I25" s="55" t="n">
        <f aca="false">Headcount!I13</f>
        <v>-41591.6666666667</v>
      </c>
      <c r="J25" s="55" t="n">
        <f aca="false">Headcount!J13</f>
        <v>-41591.6666666667</v>
      </c>
      <c r="K25" s="55" t="n">
        <f aca="false">Headcount!K13</f>
        <v>-41591.6666666667</v>
      </c>
      <c r="L25" s="55" t="n">
        <f aca="false">Headcount!L13</f>
        <v>-41591.6666666667</v>
      </c>
      <c r="M25" s="55" t="n">
        <f aca="false">Headcount!M13</f>
        <v>-41591.6666666667</v>
      </c>
      <c r="N25" s="55" t="n">
        <f aca="false">Headcount!N13</f>
        <v>-41591.6666666667</v>
      </c>
      <c r="O25" s="55" t="n">
        <f aca="false">Headcount!O13</f>
        <v>-47980.1466666667</v>
      </c>
      <c r="P25" s="55" t="n">
        <f aca="false">Headcount!P13</f>
        <v>-47980.1466666667</v>
      </c>
      <c r="Q25" s="55" t="n">
        <f aca="false">Headcount!Q13</f>
        <v>-47980.1466666667</v>
      </c>
      <c r="R25" s="55" t="n">
        <f aca="false">Headcount!R13</f>
        <v>-47980.1466666667</v>
      </c>
      <c r="S25" s="55" t="n">
        <f aca="false">Headcount!S13</f>
        <v>-47980.1466666667</v>
      </c>
      <c r="T25" s="55" t="n">
        <f aca="false">Headcount!T13</f>
        <v>-47980.1466666667</v>
      </c>
      <c r="U25" s="55" t="n">
        <f aca="false">Headcount!U13</f>
        <v>-47980.1466666667</v>
      </c>
      <c r="V25" s="55" t="n">
        <f aca="false">Headcount!V13</f>
        <v>-47980.1466666667</v>
      </c>
      <c r="W25" s="55" t="n">
        <f aca="false">Headcount!W13</f>
        <v>-47980.1466666667</v>
      </c>
      <c r="X25" s="55" t="n">
        <f aca="false">Headcount!X13</f>
        <v>-47980.1466666667</v>
      </c>
      <c r="Y25" s="55" t="n">
        <f aca="false">Headcount!Y13</f>
        <v>-47980.1466666667</v>
      </c>
      <c r="Z25" s="55" t="n">
        <f aca="false">Headcount!Z13</f>
        <v>-47980.1466666667</v>
      </c>
      <c r="AA25" s="55" t="n">
        <f aca="false">Headcount!AA13</f>
        <v>-55349.8971946667</v>
      </c>
      <c r="AB25" s="55" t="n">
        <f aca="false">Headcount!AB13</f>
        <v>-55349.8971946667</v>
      </c>
      <c r="AC25" s="55" t="n">
        <f aca="false">Headcount!AC13</f>
        <v>-55349.8971946667</v>
      </c>
      <c r="AD25" s="55" t="n">
        <f aca="false">Headcount!AD13</f>
        <v>-55349.8971946667</v>
      </c>
      <c r="AE25" s="55" t="n">
        <f aca="false">Headcount!AE13</f>
        <v>-55349.8971946667</v>
      </c>
      <c r="AF25" s="55" t="n">
        <f aca="false">Headcount!AF13</f>
        <v>-55349.8971946667</v>
      </c>
      <c r="AG25" s="55" t="n">
        <f aca="false">Headcount!AG13</f>
        <v>-55349.8971946667</v>
      </c>
      <c r="AH25" s="55" t="n">
        <f aca="false">Headcount!AH13</f>
        <v>-55349.8971946667</v>
      </c>
      <c r="AI25" s="55" t="n">
        <f aca="false">Headcount!AI13</f>
        <v>-55349.8971946667</v>
      </c>
      <c r="AJ25" s="55" t="n">
        <f aca="false">Headcount!AJ13</f>
        <v>-55349.8971946667</v>
      </c>
      <c r="AK25" s="55" t="n">
        <f aca="false">Headcount!AK13</f>
        <v>-55349.8971946667</v>
      </c>
      <c r="AL25" s="55" t="n">
        <f aca="false">Headcount!AL13</f>
        <v>-55349.8971946667</v>
      </c>
      <c r="AM25" s="55" t="n">
        <f aca="false">Headcount!AM13</f>
        <v>-63851.6414037675</v>
      </c>
      <c r="AN25" s="55" t="n">
        <f aca="false">Headcount!AN13</f>
        <v>-63851.6414037675</v>
      </c>
      <c r="AO25" s="55" t="n">
        <f aca="false">Headcount!AO13</f>
        <v>-63851.6414037675</v>
      </c>
      <c r="AP25" s="55" t="n">
        <f aca="false">Headcount!AP13</f>
        <v>-63851.6414037675</v>
      </c>
      <c r="AQ25" s="55" t="n">
        <f aca="false">Headcount!AQ13</f>
        <v>-63851.6414037675</v>
      </c>
      <c r="AR25" s="55" t="n">
        <f aca="false">Headcount!AR13</f>
        <v>-63851.6414037675</v>
      </c>
      <c r="AS25" s="55" t="n">
        <f aca="false">Headcount!AS13</f>
        <v>-63851.6414037675</v>
      </c>
      <c r="AT25" s="55" t="n">
        <f aca="false">Headcount!AT13</f>
        <v>-63851.6414037675</v>
      </c>
      <c r="AU25" s="55" t="n">
        <f aca="false">Headcount!AU13</f>
        <v>-63851.6414037675</v>
      </c>
      <c r="AV25" s="55" t="n">
        <f aca="false">Headcount!AV13</f>
        <v>-63851.6414037675</v>
      </c>
      <c r="AW25" s="55" t="n">
        <f aca="false">Headcount!AW13</f>
        <v>-63851.6414037675</v>
      </c>
      <c r="AX25" s="55" t="n">
        <f aca="false">Headcount!AX13</f>
        <v>-63851.6414037675</v>
      </c>
      <c r="AY25" s="55" t="n">
        <f aca="false">Headcount!AY13</f>
        <v>-73659.2535233862</v>
      </c>
      <c r="AZ25" s="55" t="n">
        <f aca="false">Headcount!AZ13</f>
        <v>-73659.2535233862</v>
      </c>
      <c r="BA25" s="55" t="n">
        <f aca="false">Headcount!BA13</f>
        <v>-73659.2535233862</v>
      </c>
      <c r="BB25" s="55" t="n">
        <f aca="false">Headcount!BB13</f>
        <v>-73659.2535233862</v>
      </c>
      <c r="BC25" s="55" t="n">
        <f aca="false">Headcount!BC13</f>
        <v>-73659.2535233862</v>
      </c>
      <c r="BD25" s="55" t="n">
        <f aca="false">Headcount!BD13</f>
        <v>-73659.2535233862</v>
      </c>
      <c r="BE25" s="55" t="n">
        <f aca="false">Headcount!BE13</f>
        <v>-73659.2535233862</v>
      </c>
      <c r="BF25" s="55" t="n">
        <f aca="false">Headcount!BF13</f>
        <v>-73659.2535233862</v>
      </c>
      <c r="BG25" s="55" t="n">
        <f aca="false">Headcount!BG13</f>
        <v>-73659.2535233862</v>
      </c>
      <c r="BH25" s="55" t="n">
        <f aca="false">Headcount!BH13</f>
        <v>-73659.2535233862</v>
      </c>
      <c r="BI25" s="55" t="n">
        <f aca="false">Headcount!BI13</f>
        <v>-73659.2535233862</v>
      </c>
      <c r="BJ25" s="55" t="n">
        <f aca="false">Headcount!BJ13</f>
        <v>-73659.2535233862</v>
      </c>
    </row>
    <row r="26" customFormat="false" ht="15" hidden="false" customHeight="false" outlineLevel="0" collapsed="false">
      <c r="A26" s="6" t="s">
        <v>358</v>
      </c>
      <c r="C26" s="53" t="n">
        <f aca="false">-C19*Inputs!$E$30</f>
        <v>-31359.1666666667</v>
      </c>
      <c r="D26" s="53" t="n">
        <f aca="false">-D19*Inputs!$E$30</f>
        <v>-31359.1666666667</v>
      </c>
      <c r="E26" s="53" t="n">
        <f aca="false">-E19*Inputs!$E$30</f>
        <v>-31359.1666666667</v>
      </c>
      <c r="F26" s="53" t="n">
        <f aca="false">-F19*Inputs!$E$30</f>
        <v>-31359.1666666667</v>
      </c>
      <c r="G26" s="53" t="n">
        <f aca="false">-G19*Inputs!$E$30</f>
        <v>-31359.1666666667</v>
      </c>
      <c r="H26" s="53" t="n">
        <f aca="false">-H19*Inputs!$E$30</f>
        <v>-40425</v>
      </c>
      <c r="I26" s="53" t="n">
        <f aca="false">-I19*Inputs!$E$30</f>
        <v>-40425</v>
      </c>
      <c r="J26" s="53" t="n">
        <f aca="false">-J19*Inputs!$E$30</f>
        <v>-40425</v>
      </c>
      <c r="K26" s="53" t="n">
        <f aca="false">-K19*Inputs!$E$30</f>
        <v>-31359.1666666667</v>
      </c>
      <c r="L26" s="53" t="n">
        <f aca="false">-L19*Inputs!$E$30</f>
        <v>-31359.1666666667</v>
      </c>
      <c r="M26" s="53" t="n">
        <f aca="false">-M19*Inputs!$E$30</f>
        <v>-31359.1666666667</v>
      </c>
      <c r="N26" s="53" t="n">
        <f aca="false">-N19*Inputs!$E$30</f>
        <v>-31359.1666666667</v>
      </c>
      <c r="O26" s="53" t="n">
        <f aca="false">-O19*Inputs!$E$30</f>
        <v>-37144.9329166667</v>
      </c>
      <c r="P26" s="53" t="n">
        <f aca="false">-P19*Inputs!$E$30</f>
        <v>-37144.9329166667</v>
      </c>
      <c r="Q26" s="53" t="n">
        <f aca="false">-Q19*Inputs!$E$30</f>
        <v>-37144.9329166667</v>
      </c>
      <c r="R26" s="53" t="n">
        <f aca="false">-R19*Inputs!$E$30</f>
        <v>-37144.9329166667</v>
      </c>
      <c r="S26" s="53" t="n">
        <f aca="false">-S19*Inputs!$E$30</f>
        <v>-37144.9329166667</v>
      </c>
      <c r="T26" s="53" t="n">
        <f aca="false">-T19*Inputs!$E$30</f>
        <v>-46634.28</v>
      </c>
      <c r="U26" s="53" t="n">
        <f aca="false">-U19*Inputs!$E$30</f>
        <v>-46634.28</v>
      </c>
      <c r="V26" s="53" t="n">
        <f aca="false">-V19*Inputs!$E$30</f>
        <v>-46634.28</v>
      </c>
      <c r="W26" s="53" t="n">
        <f aca="false">-W19*Inputs!$E$30</f>
        <v>-37144.9329166667</v>
      </c>
      <c r="X26" s="53" t="n">
        <f aca="false">-X19*Inputs!$E$30</f>
        <v>-37144.9329166667</v>
      </c>
      <c r="Y26" s="53" t="n">
        <f aca="false">-Y19*Inputs!$E$30</f>
        <v>-37144.9329166667</v>
      </c>
      <c r="Z26" s="53" t="n">
        <f aca="false">-Z19*Inputs!$E$30</f>
        <v>-37144.9329166667</v>
      </c>
      <c r="AA26" s="53" t="n">
        <f aca="false">-AA19*Inputs!$E$30</f>
        <v>-43998.1730397917</v>
      </c>
      <c r="AB26" s="53" t="n">
        <f aca="false">-AB19*Inputs!$E$30</f>
        <v>-43998.1730397917</v>
      </c>
      <c r="AC26" s="53" t="n">
        <f aca="false">-AC19*Inputs!$E$30</f>
        <v>-43998.1730397917</v>
      </c>
      <c r="AD26" s="53" t="n">
        <f aca="false">-AD19*Inputs!$E$30</f>
        <v>-43998.1730397917</v>
      </c>
      <c r="AE26" s="53" t="n">
        <f aca="false">-AE19*Inputs!$E$30</f>
        <v>-43998.1730397917</v>
      </c>
      <c r="AF26" s="53" t="n">
        <f aca="false">-AF19*Inputs!$E$30</f>
        <v>-53797.305408</v>
      </c>
      <c r="AG26" s="53" t="n">
        <f aca="false">-AG19*Inputs!$E$30</f>
        <v>-53797.305408</v>
      </c>
      <c r="AH26" s="53" t="n">
        <f aca="false">-AH19*Inputs!$E$30</f>
        <v>-53797.305408</v>
      </c>
      <c r="AI26" s="53" t="n">
        <f aca="false">-AI19*Inputs!$E$30</f>
        <v>-43998.1730397917</v>
      </c>
      <c r="AJ26" s="53" t="n">
        <f aca="false">-AJ19*Inputs!$E$30</f>
        <v>-43998.1730397917</v>
      </c>
      <c r="AK26" s="53" t="n">
        <f aca="false">-AK19*Inputs!$E$30</f>
        <v>-43998.1730397917</v>
      </c>
      <c r="AL26" s="53" t="n">
        <f aca="false">-AL19*Inputs!$E$30</f>
        <v>-43998.1730397917</v>
      </c>
      <c r="AM26" s="53" t="n">
        <f aca="false">-AM19*Inputs!$E$30</f>
        <v>-52115.8359656332</v>
      </c>
      <c r="AN26" s="53" t="n">
        <f aca="false">-AN19*Inputs!$E$30</f>
        <v>-52115.8359656332</v>
      </c>
      <c r="AO26" s="53" t="n">
        <f aca="false">-AO19*Inputs!$E$30</f>
        <v>-52115.8359656332</v>
      </c>
      <c r="AP26" s="53" t="n">
        <f aca="false">-AP19*Inputs!$E$30</f>
        <v>-52115.8359656332</v>
      </c>
      <c r="AQ26" s="53" t="n">
        <f aca="false">-AQ19*Inputs!$E$30</f>
        <v>-52115.8359656332</v>
      </c>
      <c r="AR26" s="53" t="n">
        <f aca="false">-AR19*Inputs!$E$30</f>
        <v>-62060.5715186688</v>
      </c>
      <c r="AS26" s="53" t="n">
        <f aca="false">-AS19*Inputs!$E$30</f>
        <v>-62060.5715186688</v>
      </c>
      <c r="AT26" s="53" t="n">
        <f aca="false">-AT19*Inputs!$E$30</f>
        <v>-62060.5715186688</v>
      </c>
      <c r="AU26" s="53" t="n">
        <f aca="false">-AU19*Inputs!$E$30</f>
        <v>-52115.8359656332</v>
      </c>
      <c r="AV26" s="53" t="n">
        <f aca="false">-AV19*Inputs!$E$30</f>
        <v>-52115.8359656332</v>
      </c>
      <c r="AW26" s="53" t="n">
        <f aca="false">-AW19*Inputs!$E$30</f>
        <v>-52115.8359656332</v>
      </c>
      <c r="AX26" s="53" t="n">
        <f aca="false">-AX19*Inputs!$E$30</f>
        <v>-52115.8359656332</v>
      </c>
      <c r="AY26" s="53" t="n">
        <f aca="false">-AY19*Inputs!$E$30</f>
        <v>-61731.2077012925</v>
      </c>
      <c r="AZ26" s="53" t="n">
        <f aca="false">-AZ19*Inputs!$E$30</f>
        <v>-61731.2077012925</v>
      </c>
      <c r="BA26" s="53" t="n">
        <f aca="false">-BA19*Inputs!$E$30</f>
        <v>-61731.2077012925</v>
      </c>
      <c r="BB26" s="53" t="n">
        <f aca="false">-BB19*Inputs!$E$30</f>
        <v>-61731.2077012925</v>
      </c>
      <c r="BC26" s="53" t="n">
        <f aca="false">-BC19*Inputs!$E$30</f>
        <v>-61731.2077012925</v>
      </c>
      <c r="BD26" s="53" t="n">
        <f aca="false">-BD19*Inputs!$E$30</f>
        <v>-71593.0753039364</v>
      </c>
      <c r="BE26" s="53" t="n">
        <f aca="false">-BE19*Inputs!$E$30</f>
        <v>-71593.0753039364</v>
      </c>
      <c r="BF26" s="53" t="n">
        <f aca="false">-BF19*Inputs!$E$30</f>
        <v>-71593.0753039364</v>
      </c>
      <c r="BG26" s="53" t="n">
        <f aca="false">-BG19*Inputs!$E$30</f>
        <v>-61731.2077012925</v>
      </c>
      <c r="BH26" s="53" t="n">
        <f aca="false">-BH19*Inputs!$E$30</f>
        <v>-61731.2077012925</v>
      </c>
      <c r="BI26" s="53" t="n">
        <f aca="false">-BI19*Inputs!$E$30</f>
        <v>-61731.2077012925</v>
      </c>
      <c r="BJ26" s="53" t="n">
        <f aca="false">-BJ19*Inputs!$E$30</f>
        <v>-61731.2077012925</v>
      </c>
    </row>
    <row r="27" customFormat="false" ht="15" hidden="false" customHeight="false" outlineLevel="0" collapsed="false">
      <c r="A27" s="6" t="s">
        <v>359</v>
      </c>
      <c r="C27" s="53" t="n">
        <f aca="false">-C8*Inputs!$E$31*1</f>
        <v>-9100</v>
      </c>
      <c r="D27" s="53" t="n">
        <f aca="false">-D8*Inputs!$E$31*1</f>
        <v>-9100</v>
      </c>
      <c r="E27" s="53" t="n">
        <f aca="false">-E8*Inputs!$E$31*1</f>
        <v>-9100</v>
      </c>
      <c r="F27" s="53" t="n">
        <f aca="false">-F8*Inputs!$E$31*1</f>
        <v>-9100</v>
      </c>
      <c r="G27" s="53" t="n">
        <f aca="false">-G8*Inputs!$E$31*1</f>
        <v>-9100</v>
      </c>
      <c r="H27" s="53" t="n">
        <f aca="false">-H8*Inputs!$E$31*1</f>
        <v>-9100</v>
      </c>
      <c r="I27" s="53" t="n">
        <f aca="false">-I8*Inputs!$E$31*1</f>
        <v>-9100</v>
      </c>
      <c r="J27" s="53" t="n">
        <f aca="false">-J8*Inputs!$E$31*1</f>
        <v>-9100</v>
      </c>
      <c r="K27" s="53" t="n">
        <f aca="false">-K8*Inputs!$E$31*1</f>
        <v>-9100</v>
      </c>
      <c r="L27" s="53" t="n">
        <f aca="false">-L8*Inputs!$E$31*1</f>
        <v>-9100</v>
      </c>
      <c r="M27" s="53" t="n">
        <f aca="false">-M8*Inputs!$E$31*1</f>
        <v>-9100</v>
      </c>
      <c r="N27" s="53" t="n">
        <f aca="false">-N8*Inputs!$E$31*1</f>
        <v>-9100</v>
      </c>
      <c r="O27" s="53" t="n">
        <f aca="false">-O8*Inputs!$E$31*1</f>
        <v>-10192</v>
      </c>
      <c r="P27" s="53" t="n">
        <f aca="false">-P8*Inputs!$E$31*1</f>
        <v>-10192</v>
      </c>
      <c r="Q27" s="53" t="n">
        <f aca="false">-Q8*Inputs!$E$31*1</f>
        <v>-10192</v>
      </c>
      <c r="R27" s="53" t="n">
        <f aca="false">-R8*Inputs!$E$31*1</f>
        <v>-10192</v>
      </c>
      <c r="S27" s="53" t="n">
        <f aca="false">-S8*Inputs!$E$31*1</f>
        <v>-10192</v>
      </c>
      <c r="T27" s="53" t="n">
        <f aca="false">-T8*Inputs!$E$31*1</f>
        <v>-10192</v>
      </c>
      <c r="U27" s="53" t="n">
        <f aca="false">-U8*Inputs!$E$31*1</f>
        <v>-10192</v>
      </c>
      <c r="V27" s="53" t="n">
        <f aca="false">-V8*Inputs!$E$31*1</f>
        <v>-10192</v>
      </c>
      <c r="W27" s="53" t="n">
        <f aca="false">-W8*Inputs!$E$31*1</f>
        <v>-10192</v>
      </c>
      <c r="X27" s="53" t="n">
        <f aca="false">-X8*Inputs!$E$31*1</f>
        <v>-10192</v>
      </c>
      <c r="Y27" s="53" t="n">
        <f aca="false">-Y8*Inputs!$E$31*1</f>
        <v>-10192</v>
      </c>
      <c r="Z27" s="53" t="n">
        <f aca="false">-Z8*Inputs!$E$31*1</f>
        <v>-10192</v>
      </c>
      <c r="AA27" s="53" t="n">
        <f aca="false">-AA8*Inputs!$E$31*1</f>
        <v>-11415.04</v>
      </c>
      <c r="AB27" s="53" t="n">
        <f aca="false">-AB8*Inputs!$E$31*1</f>
        <v>-11415.04</v>
      </c>
      <c r="AC27" s="53" t="n">
        <f aca="false">-AC8*Inputs!$E$31*1</f>
        <v>-11415.04</v>
      </c>
      <c r="AD27" s="53" t="n">
        <f aca="false">-AD8*Inputs!$E$31*1</f>
        <v>-11415.04</v>
      </c>
      <c r="AE27" s="53" t="n">
        <f aca="false">-AE8*Inputs!$E$31*1</f>
        <v>-11415.04</v>
      </c>
      <c r="AF27" s="53" t="n">
        <f aca="false">-AF8*Inputs!$E$31*1</f>
        <v>-11415.04</v>
      </c>
      <c r="AG27" s="53" t="n">
        <f aca="false">-AG8*Inputs!$E$31*1</f>
        <v>-11415.04</v>
      </c>
      <c r="AH27" s="53" t="n">
        <f aca="false">-AH8*Inputs!$E$31*1</f>
        <v>-11415.04</v>
      </c>
      <c r="AI27" s="53" t="n">
        <f aca="false">-AI8*Inputs!$E$31*1</f>
        <v>-11415.04</v>
      </c>
      <c r="AJ27" s="53" t="n">
        <f aca="false">-AJ8*Inputs!$E$31*1</f>
        <v>-11415.04</v>
      </c>
      <c r="AK27" s="53" t="n">
        <f aca="false">-AK8*Inputs!$E$31*1</f>
        <v>-11415.04</v>
      </c>
      <c r="AL27" s="53" t="n">
        <f aca="false">-AL8*Inputs!$E$31*1</f>
        <v>-11415.04</v>
      </c>
      <c r="AM27" s="53" t="n">
        <f aca="false">-AM8*Inputs!$E$31*1</f>
        <v>-12784.8448</v>
      </c>
      <c r="AN27" s="53" t="n">
        <f aca="false">-AN8*Inputs!$E$31*1</f>
        <v>-12784.8448</v>
      </c>
      <c r="AO27" s="53" t="n">
        <f aca="false">-AO8*Inputs!$E$31*1</f>
        <v>-12784.8448</v>
      </c>
      <c r="AP27" s="53" t="n">
        <f aca="false">-AP8*Inputs!$E$31*1</f>
        <v>-12784.8448</v>
      </c>
      <c r="AQ27" s="53" t="n">
        <f aca="false">-AQ8*Inputs!$E$31*1</f>
        <v>-12784.8448</v>
      </c>
      <c r="AR27" s="53" t="n">
        <f aca="false">-AR8*Inputs!$E$31*1</f>
        <v>-12784.8448</v>
      </c>
      <c r="AS27" s="53" t="n">
        <f aca="false">-AS8*Inputs!$E$31*1</f>
        <v>-12784.8448</v>
      </c>
      <c r="AT27" s="53" t="n">
        <f aca="false">-AT8*Inputs!$E$31*1</f>
        <v>-12784.8448</v>
      </c>
      <c r="AU27" s="53" t="n">
        <f aca="false">-AU8*Inputs!$E$31*1</f>
        <v>-12784.8448</v>
      </c>
      <c r="AV27" s="53" t="n">
        <f aca="false">-AV8*Inputs!$E$31*1</f>
        <v>-12784.8448</v>
      </c>
      <c r="AW27" s="53" t="n">
        <f aca="false">-AW8*Inputs!$E$31*1</f>
        <v>-12784.8448</v>
      </c>
      <c r="AX27" s="53" t="n">
        <f aca="false">-AX8*Inputs!$E$31*1</f>
        <v>-12784.8448</v>
      </c>
      <c r="AY27" s="53" t="n">
        <f aca="false">-AY8*Inputs!$E$31*1</f>
        <v>-14319.026176</v>
      </c>
      <c r="AZ27" s="53" t="n">
        <f aca="false">-AZ8*Inputs!$E$31*1</f>
        <v>-14319.026176</v>
      </c>
      <c r="BA27" s="53" t="n">
        <f aca="false">-BA8*Inputs!$E$31*1</f>
        <v>-14319.026176</v>
      </c>
      <c r="BB27" s="53" t="n">
        <f aca="false">-BB8*Inputs!$E$31*1</f>
        <v>-14319.026176</v>
      </c>
      <c r="BC27" s="53" t="n">
        <f aca="false">-BC8*Inputs!$E$31*1</f>
        <v>-14319.026176</v>
      </c>
      <c r="BD27" s="53" t="n">
        <f aca="false">-BD8*Inputs!$E$31*1</f>
        <v>-14319.026176</v>
      </c>
      <c r="BE27" s="53" t="n">
        <f aca="false">-BE8*Inputs!$E$31*1</f>
        <v>-14319.026176</v>
      </c>
      <c r="BF27" s="53" t="n">
        <f aca="false">-BF8*Inputs!$E$31*1</f>
        <v>-14319.026176</v>
      </c>
      <c r="BG27" s="53" t="n">
        <f aca="false">-BG8*Inputs!$E$31*1</f>
        <v>-14319.026176</v>
      </c>
      <c r="BH27" s="53" t="n">
        <f aca="false">-BH8*Inputs!$E$31*1</f>
        <v>-14319.026176</v>
      </c>
      <c r="BI27" s="53" t="n">
        <f aca="false">-BI8*Inputs!$E$31*1</f>
        <v>-14319.026176</v>
      </c>
      <c r="BJ27" s="53" t="n">
        <f aca="false">-BJ8*Inputs!$E$31*1</f>
        <v>-14319.026176</v>
      </c>
    </row>
    <row r="28" customFormat="false" ht="15" hidden="false" customHeight="false" outlineLevel="0" collapsed="false">
      <c r="A28" s="6" t="s">
        <v>360</v>
      </c>
      <c r="C28" s="53" t="n">
        <f aca="false">-C21*Inputs!$E$27</f>
        <v>-3200</v>
      </c>
      <c r="D28" s="53" t="n">
        <f aca="false">-D21*Inputs!$E$27</f>
        <v>-3200</v>
      </c>
      <c r="E28" s="53" t="n">
        <f aca="false">-E21*Inputs!$E$27</f>
        <v>-3200</v>
      </c>
      <c r="F28" s="53" t="n">
        <f aca="false">-F21*Inputs!$E$27</f>
        <v>-3200</v>
      </c>
      <c r="G28" s="53" t="n">
        <f aca="false">-G21*Inputs!$E$27</f>
        <v>-3200</v>
      </c>
      <c r="H28" s="53" t="n">
        <f aca="false">-H21*Inputs!$E$27</f>
        <v>-3200</v>
      </c>
      <c r="I28" s="53" t="n">
        <f aca="false">-I21*Inputs!$E$27</f>
        <v>-3200</v>
      </c>
      <c r="J28" s="53" t="n">
        <f aca="false">-J21*Inputs!$E$27</f>
        <v>-3200</v>
      </c>
      <c r="K28" s="53" t="n">
        <f aca="false">-K21*Inputs!$E$27</f>
        <v>-3200</v>
      </c>
      <c r="L28" s="53" t="n">
        <f aca="false">-L21*Inputs!$E$27</f>
        <v>-3200</v>
      </c>
      <c r="M28" s="53" t="n">
        <f aca="false">-M21*Inputs!$E$27</f>
        <v>-3200</v>
      </c>
      <c r="N28" s="53" t="n">
        <f aca="false">-N21*Inputs!$E$27</f>
        <v>-3200</v>
      </c>
      <c r="O28" s="53" t="n">
        <f aca="false">-O21*Inputs!$E$27</f>
        <v>-3955.2</v>
      </c>
      <c r="P28" s="53" t="n">
        <f aca="false">-P21*Inputs!$E$27</f>
        <v>-3955.2</v>
      </c>
      <c r="Q28" s="53" t="n">
        <f aca="false">-Q21*Inputs!$E$27</f>
        <v>-3955.2</v>
      </c>
      <c r="R28" s="53" t="n">
        <f aca="false">-R21*Inputs!$E$27</f>
        <v>-3955.2</v>
      </c>
      <c r="S28" s="53" t="n">
        <f aca="false">-S21*Inputs!$E$27</f>
        <v>-3955.2</v>
      </c>
      <c r="T28" s="53" t="n">
        <f aca="false">-T21*Inputs!$E$27</f>
        <v>-3955.2</v>
      </c>
      <c r="U28" s="53" t="n">
        <f aca="false">-U21*Inputs!$E$27</f>
        <v>-3955.2</v>
      </c>
      <c r="V28" s="53" t="n">
        <f aca="false">-V21*Inputs!$E$27</f>
        <v>-3955.2</v>
      </c>
      <c r="W28" s="53" t="n">
        <f aca="false">-W21*Inputs!$E$27</f>
        <v>-3955.2</v>
      </c>
      <c r="X28" s="53" t="n">
        <f aca="false">-X21*Inputs!$E$27</f>
        <v>-3955.2</v>
      </c>
      <c r="Y28" s="53" t="n">
        <f aca="false">-Y21*Inputs!$E$27</f>
        <v>-3955.2</v>
      </c>
      <c r="Z28" s="53" t="n">
        <f aca="false">-Z21*Inputs!$E$27</f>
        <v>-3955.2</v>
      </c>
      <c r="AA28" s="53" t="n">
        <f aca="false">-AA21*Inputs!$E$27</f>
        <v>-4888.6272</v>
      </c>
      <c r="AB28" s="53" t="n">
        <f aca="false">-AB21*Inputs!$E$27</f>
        <v>-4888.6272</v>
      </c>
      <c r="AC28" s="53" t="n">
        <f aca="false">-AC21*Inputs!$E$27</f>
        <v>-4888.6272</v>
      </c>
      <c r="AD28" s="53" t="n">
        <f aca="false">-AD21*Inputs!$E$27</f>
        <v>-4888.6272</v>
      </c>
      <c r="AE28" s="53" t="n">
        <f aca="false">-AE21*Inputs!$E$27</f>
        <v>-4888.6272</v>
      </c>
      <c r="AF28" s="53" t="n">
        <f aca="false">-AF21*Inputs!$E$27</f>
        <v>-4888.6272</v>
      </c>
      <c r="AG28" s="53" t="n">
        <f aca="false">-AG21*Inputs!$E$27</f>
        <v>-4888.6272</v>
      </c>
      <c r="AH28" s="53" t="n">
        <f aca="false">-AH21*Inputs!$E$27</f>
        <v>-4888.6272</v>
      </c>
      <c r="AI28" s="53" t="n">
        <f aca="false">-AI21*Inputs!$E$27</f>
        <v>-4888.6272</v>
      </c>
      <c r="AJ28" s="53" t="n">
        <f aca="false">-AJ21*Inputs!$E$27</f>
        <v>-4888.6272</v>
      </c>
      <c r="AK28" s="53" t="n">
        <f aca="false">-AK21*Inputs!$E$27</f>
        <v>-4888.6272</v>
      </c>
      <c r="AL28" s="53" t="n">
        <f aca="false">-AL21*Inputs!$E$27</f>
        <v>-4888.6272</v>
      </c>
      <c r="AM28" s="53" t="n">
        <f aca="false">-AM21*Inputs!$E$27</f>
        <v>-6042.3432192</v>
      </c>
      <c r="AN28" s="53" t="n">
        <f aca="false">-AN21*Inputs!$E$27</f>
        <v>-6042.3432192</v>
      </c>
      <c r="AO28" s="53" t="n">
        <f aca="false">-AO21*Inputs!$E$27</f>
        <v>-6042.3432192</v>
      </c>
      <c r="AP28" s="53" t="n">
        <f aca="false">-AP21*Inputs!$E$27</f>
        <v>-6042.3432192</v>
      </c>
      <c r="AQ28" s="53" t="n">
        <f aca="false">-AQ21*Inputs!$E$27</f>
        <v>-6042.3432192</v>
      </c>
      <c r="AR28" s="53" t="n">
        <f aca="false">-AR21*Inputs!$E$27</f>
        <v>-6042.3432192</v>
      </c>
      <c r="AS28" s="53" t="n">
        <f aca="false">-AS21*Inputs!$E$27</f>
        <v>-6042.3432192</v>
      </c>
      <c r="AT28" s="53" t="n">
        <f aca="false">-AT21*Inputs!$E$27</f>
        <v>-6042.3432192</v>
      </c>
      <c r="AU28" s="53" t="n">
        <f aca="false">-AU21*Inputs!$E$27</f>
        <v>-6042.3432192</v>
      </c>
      <c r="AV28" s="53" t="n">
        <f aca="false">-AV21*Inputs!$E$27</f>
        <v>-6042.3432192</v>
      </c>
      <c r="AW28" s="53" t="n">
        <f aca="false">-AW21*Inputs!$E$27</f>
        <v>-6042.3432192</v>
      </c>
      <c r="AX28" s="53" t="n">
        <f aca="false">-AX21*Inputs!$E$27</f>
        <v>-6042.3432192</v>
      </c>
      <c r="AY28" s="53" t="n">
        <f aca="false">-AY21*Inputs!$E$27</f>
        <v>-7468.3362189312</v>
      </c>
      <c r="AZ28" s="53" t="n">
        <f aca="false">-AZ21*Inputs!$E$27</f>
        <v>-7468.3362189312</v>
      </c>
      <c r="BA28" s="53" t="n">
        <f aca="false">-BA21*Inputs!$E$27</f>
        <v>-7468.3362189312</v>
      </c>
      <c r="BB28" s="53" t="n">
        <f aca="false">-BB21*Inputs!$E$27</f>
        <v>-7468.3362189312</v>
      </c>
      <c r="BC28" s="53" t="n">
        <f aca="false">-BC21*Inputs!$E$27</f>
        <v>-7468.3362189312</v>
      </c>
      <c r="BD28" s="53" t="n">
        <f aca="false">-BD21*Inputs!$E$27</f>
        <v>-7468.3362189312</v>
      </c>
      <c r="BE28" s="53" t="n">
        <f aca="false">-BE21*Inputs!$E$27</f>
        <v>-7468.3362189312</v>
      </c>
      <c r="BF28" s="53" t="n">
        <f aca="false">-BF21*Inputs!$E$27</f>
        <v>-7468.3362189312</v>
      </c>
      <c r="BG28" s="53" t="n">
        <f aca="false">-BG21*Inputs!$E$27</f>
        <v>-7468.3362189312</v>
      </c>
      <c r="BH28" s="53" t="n">
        <f aca="false">-BH21*Inputs!$E$27</f>
        <v>-7468.3362189312</v>
      </c>
      <c r="BI28" s="53" t="n">
        <f aca="false">-BI21*Inputs!$E$27</f>
        <v>-7468.3362189312</v>
      </c>
      <c r="BJ28" s="53" t="n">
        <f aca="false">-BJ21*Inputs!$E$27</f>
        <v>-7468.3362189312</v>
      </c>
    </row>
    <row r="29" customFormat="false" ht="15" hidden="false" customHeight="false" outlineLevel="0" collapsed="false">
      <c r="A29" s="4" t="s">
        <v>72</v>
      </c>
      <c r="C29" s="60" t="n">
        <f aca="false">C25+C26+C27+C28</f>
        <v>-85250.8333333333</v>
      </c>
      <c r="D29" s="60" t="n">
        <f aca="false">D25+D26+D27+D28</f>
        <v>-85250.8333333333</v>
      </c>
      <c r="E29" s="60" t="n">
        <f aca="false">E25+E26+E27+E28</f>
        <v>-85250.8333333333</v>
      </c>
      <c r="F29" s="60" t="n">
        <f aca="false">F25+F26+F27+F28</f>
        <v>-85250.8333333333</v>
      </c>
      <c r="G29" s="60" t="n">
        <f aca="false">G25+G26+G27+G28</f>
        <v>-85250.8333333333</v>
      </c>
      <c r="H29" s="60" t="n">
        <f aca="false">H25+H26+H27+H28</f>
        <v>-94316.6666666667</v>
      </c>
      <c r="I29" s="60" t="n">
        <f aca="false">I25+I26+I27+I28</f>
        <v>-94316.6666666667</v>
      </c>
      <c r="J29" s="60" t="n">
        <f aca="false">J25+J26+J27+J28</f>
        <v>-94316.6666666667</v>
      </c>
      <c r="K29" s="60" t="n">
        <f aca="false">K25+K26+K27+K28</f>
        <v>-85250.8333333333</v>
      </c>
      <c r="L29" s="60" t="n">
        <f aca="false">L25+L26+L27+L28</f>
        <v>-85250.8333333333</v>
      </c>
      <c r="M29" s="60" t="n">
        <f aca="false">M25+M26+M27+M28</f>
        <v>-85250.8333333333</v>
      </c>
      <c r="N29" s="60" t="n">
        <f aca="false">N25+N26+N27+N28</f>
        <v>-85250.8333333333</v>
      </c>
      <c r="O29" s="60" t="n">
        <f aca="false">O25+O26+O27+O28</f>
        <v>-99272.2795833333</v>
      </c>
      <c r="P29" s="60" t="n">
        <f aca="false">P25+P26+P27+P28</f>
        <v>-99272.2795833333</v>
      </c>
      <c r="Q29" s="60" t="n">
        <f aca="false">Q25+Q26+Q27+Q28</f>
        <v>-99272.2795833333</v>
      </c>
      <c r="R29" s="60" t="n">
        <f aca="false">R25+R26+R27+R28</f>
        <v>-99272.2795833333</v>
      </c>
      <c r="S29" s="60" t="n">
        <f aca="false">S25+S26+S27+S28</f>
        <v>-99272.2795833333</v>
      </c>
      <c r="T29" s="60" t="n">
        <f aca="false">T25+T26+T27+T28</f>
        <v>-108761.626666667</v>
      </c>
      <c r="U29" s="60" t="n">
        <f aca="false">U25+U26+U27+U28</f>
        <v>-108761.626666667</v>
      </c>
      <c r="V29" s="60" t="n">
        <f aca="false">V25+V26+V27+V28</f>
        <v>-108761.626666667</v>
      </c>
      <c r="W29" s="60" t="n">
        <f aca="false">W25+W26+W27+W28</f>
        <v>-99272.2795833333</v>
      </c>
      <c r="X29" s="60" t="n">
        <f aca="false">X25+X26+X27+X28</f>
        <v>-99272.2795833333</v>
      </c>
      <c r="Y29" s="60" t="n">
        <f aca="false">Y25+Y26+Y27+Y28</f>
        <v>-99272.2795833333</v>
      </c>
      <c r="Z29" s="60" t="n">
        <f aca="false">Z25+Z26+Z27+Z28</f>
        <v>-99272.2795833333</v>
      </c>
      <c r="AA29" s="60" t="n">
        <f aca="false">AA25+AA26+AA27+AA28</f>
        <v>-115651.737434458</v>
      </c>
      <c r="AB29" s="60" t="n">
        <f aca="false">AB25+AB26+AB27+AB28</f>
        <v>-115651.737434458</v>
      </c>
      <c r="AC29" s="60" t="n">
        <f aca="false">AC25+AC26+AC27+AC28</f>
        <v>-115651.737434458</v>
      </c>
      <c r="AD29" s="60" t="n">
        <f aca="false">AD25+AD26+AD27+AD28</f>
        <v>-115651.737434458</v>
      </c>
      <c r="AE29" s="60" t="n">
        <f aca="false">AE25+AE26+AE27+AE28</f>
        <v>-115651.737434458</v>
      </c>
      <c r="AF29" s="60" t="n">
        <f aca="false">AF25+AF26+AF27+AF28</f>
        <v>-125450.869802667</v>
      </c>
      <c r="AG29" s="60" t="n">
        <f aca="false">AG25+AG26+AG27+AG28</f>
        <v>-125450.869802667</v>
      </c>
      <c r="AH29" s="60" t="n">
        <f aca="false">AH25+AH26+AH27+AH28</f>
        <v>-125450.869802667</v>
      </c>
      <c r="AI29" s="60" t="n">
        <f aca="false">AI25+AI26+AI27+AI28</f>
        <v>-115651.737434458</v>
      </c>
      <c r="AJ29" s="60" t="n">
        <f aca="false">AJ25+AJ26+AJ27+AJ28</f>
        <v>-115651.737434458</v>
      </c>
      <c r="AK29" s="60" t="n">
        <f aca="false">AK25+AK26+AK27+AK28</f>
        <v>-115651.737434458</v>
      </c>
      <c r="AL29" s="60" t="n">
        <f aca="false">AL25+AL26+AL27+AL28</f>
        <v>-115651.737434458</v>
      </c>
      <c r="AM29" s="60" t="n">
        <f aca="false">AM25+AM26+AM27+AM28</f>
        <v>-134794.665388601</v>
      </c>
      <c r="AN29" s="60" t="n">
        <f aca="false">AN25+AN26+AN27+AN28</f>
        <v>-134794.665388601</v>
      </c>
      <c r="AO29" s="60" t="n">
        <f aca="false">AO25+AO26+AO27+AO28</f>
        <v>-134794.665388601</v>
      </c>
      <c r="AP29" s="60" t="n">
        <f aca="false">AP25+AP26+AP27+AP28</f>
        <v>-134794.665388601</v>
      </c>
      <c r="AQ29" s="60" t="n">
        <f aca="false">AQ25+AQ26+AQ27+AQ28</f>
        <v>-134794.665388601</v>
      </c>
      <c r="AR29" s="60" t="n">
        <f aca="false">AR25+AR26+AR27+AR28</f>
        <v>-144739.400941636</v>
      </c>
      <c r="AS29" s="60" t="n">
        <f aca="false">AS25+AS26+AS27+AS28</f>
        <v>-144739.400941636</v>
      </c>
      <c r="AT29" s="60" t="n">
        <f aca="false">AT25+AT26+AT27+AT28</f>
        <v>-144739.400941636</v>
      </c>
      <c r="AU29" s="60" t="n">
        <f aca="false">AU25+AU26+AU27+AU28</f>
        <v>-134794.665388601</v>
      </c>
      <c r="AV29" s="60" t="n">
        <f aca="false">AV25+AV26+AV27+AV28</f>
        <v>-134794.665388601</v>
      </c>
      <c r="AW29" s="60" t="n">
        <f aca="false">AW25+AW26+AW27+AW28</f>
        <v>-134794.665388601</v>
      </c>
      <c r="AX29" s="60" t="n">
        <f aca="false">AX25+AX26+AX27+AX28</f>
        <v>-134794.665388601</v>
      </c>
      <c r="AY29" s="60" t="n">
        <f aca="false">AY25+AY26+AY27+AY28</f>
        <v>-157177.82361961</v>
      </c>
      <c r="AZ29" s="60" t="n">
        <f aca="false">AZ25+AZ26+AZ27+AZ28</f>
        <v>-157177.82361961</v>
      </c>
      <c r="BA29" s="60" t="n">
        <f aca="false">BA25+BA26+BA27+BA28</f>
        <v>-157177.82361961</v>
      </c>
      <c r="BB29" s="60" t="n">
        <f aca="false">BB25+BB26+BB27+BB28</f>
        <v>-157177.82361961</v>
      </c>
      <c r="BC29" s="60" t="n">
        <f aca="false">BC25+BC26+BC27+BC28</f>
        <v>-157177.82361961</v>
      </c>
      <c r="BD29" s="60" t="n">
        <f aca="false">BD25+BD26+BD27+BD28</f>
        <v>-167039.691222254</v>
      </c>
      <c r="BE29" s="60" t="n">
        <f aca="false">BE25+BE26+BE27+BE28</f>
        <v>-167039.691222254</v>
      </c>
      <c r="BF29" s="60" t="n">
        <f aca="false">BF25+BF26+BF27+BF28</f>
        <v>-167039.691222254</v>
      </c>
      <c r="BG29" s="60" t="n">
        <f aca="false">BG25+BG26+BG27+BG28</f>
        <v>-157177.82361961</v>
      </c>
      <c r="BH29" s="60" t="n">
        <f aca="false">BH25+BH26+BH27+BH28</f>
        <v>-157177.82361961</v>
      </c>
      <c r="BI29" s="60" t="n">
        <f aca="false">BI25+BI26+BI27+BI28</f>
        <v>-157177.82361961</v>
      </c>
      <c r="BJ29" s="60" t="n">
        <f aca="false">BJ25+BJ26+BJ27+BJ28</f>
        <v>-157177.82361961</v>
      </c>
    </row>
    <row r="30" customFormat="false" ht="15" hidden="false" customHeight="false" outlineLevel="0" collapsed="false">
      <c r="A30" s="95" t="s">
        <v>42</v>
      </c>
      <c r="C30" s="54" t="n">
        <f aca="false">C22+C29</f>
        <v>48185.8333333333</v>
      </c>
      <c r="D30" s="54" t="n">
        <f aca="false">D22+D29</f>
        <v>48185.8333333333</v>
      </c>
      <c r="E30" s="54" t="n">
        <f aca="false">E22+E29</f>
        <v>48185.8333333333</v>
      </c>
      <c r="F30" s="54" t="n">
        <f aca="false">F22+F29</f>
        <v>48185.8333333333</v>
      </c>
      <c r="G30" s="54" t="n">
        <f aca="false">G22+G29</f>
        <v>48185.8333333333</v>
      </c>
      <c r="H30" s="54" t="n">
        <f aca="false">H22+H29</f>
        <v>75383.3333333333</v>
      </c>
      <c r="I30" s="54" t="n">
        <f aca="false">I22+I29</f>
        <v>75383.3333333333</v>
      </c>
      <c r="J30" s="54" t="n">
        <f aca="false">J22+J29</f>
        <v>75383.3333333333</v>
      </c>
      <c r="K30" s="54" t="n">
        <f aca="false">K22+K29</f>
        <v>48185.8333333333</v>
      </c>
      <c r="L30" s="54" t="n">
        <f aca="false">L22+L29</f>
        <v>48185.8333333333</v>
      </c>
      <c r="M30" s="54" t="n">
        <f aca="false">M22+M29</f>
        <v>48185.8333333333</v>
      </c>
      <c r="N30" s="54" t="n">
        <f aca="false">N22+N29</f>
        <v>48185.8333333333</v>
      </c>
      <c r="O30" s="54" t="n">
        <f aca="false">O22+O29</f>
        <v>59195.4520833333</v>
      </c>
      <c r="P30" s="54" t="n">
        <f aca="false">P22+P29</f>
        <v>59195.4520833333</v>
      </c>
      <c r="Q30" s="54" t="n">
        <f aca="false">Q22+Q29</f>
        <v>59195.4520833333</v>
      </c>
      <c r="R30" s="54" t="n">
        <f aca="false">R22+R29</f>
        <v>59195.4520833333</v>
      </c>
      <c r="S30" s="54" t="n">
        <f aca="false">S22+S29</f>
        <v>59195.4520833333</v>
      </c>
      <c r="T30" s="54" t="n">
        <f aca="false">T22+T29</f>
        <v>87663.4933333333</v>
      </c>
      <c r="U30" s="54" t="n">
        <f aca="false">U22+U29</f>
        <v>87663.4933333333</v>
      </c>
      <c r="V30" s="54" t="n">
        <f aca="false">V22+V29</f>
        <v>87663.4933333333</v>
      </c>
      <c r="W30" s="54" t="n">
        <f aca="false">W22+W29</f>
        <v>59195.4520833333</v>
      </c>
      <c r="X30" s="54" t="n">
        <f aca="false">X22+X29</f>
        <v>59195.4520833333</v>
      </c>
      <c r="Y30" s="54" t="n">
        <f aca="false">Y22+Y29</f>
        <v>59195.4520833333</v>
      </c>
      <c r="Z30" s="54" t="n">
        <f aca="false">Z22+Z29</f>
        <v>59195.4520833333</v>
      </c>
      <c r="AA30" s="54" t="n">
        <f aca="false">AA22+AA29</f>
        <v>72562.5227247083</v>
      </c>
      <c r="AB30" s="54" t="n">
        <f aca="false">AB22+AB29</f>
        <v>72562.5227247083</v>
      </c>
      <c r="AC30" s="54" t="n">
        <f aca="false">AC22+AC29</f>
        <v>72562.5227247083</v>
      </c>
      <c r="AD30" s="54" t="n">
        <f aca="false">AD22+AD29</f>
        <v>72562.5227247083</v>
      </c>
      <c r="AE30" s="54" t="n">
        <f aca="false">AE22+AE29</f>
        <v>72562.5227247083</v>
      </c>
      <c r="AF30" s="54" t="n">
        <f aca="false">AF22+AF29</f>
        <v>101959.919829333</v>
      </c>
      <c r="AG30" s="54" t="n">
        <f aca="false">AG22+AG29</f>
        <v>101959.919829333</v>
      </c>
      <c r="AH30" s="54" t="n">
        <f aca="false">AH22+AH29</f>
        <v>101959.919829333</v>
      </c>
      <c r="AI30" s="54" t="n">
        <f aca="false">AI22+AI29</f>
        <v>72562.5227247083</v>
      </c>
      <c r="AJ30" s="54" t="n">
        <f aca="false">AJ22+AJ29</f>
        <v>72562.5227247083</v>
      </c>
      <c r="AK30" s="54" t="n">
        <f aca="false">AK22+AK29</f>
        <v>72562.5227247083</v>
      </c>
      <c r="AL30" s="54" t="n">
        <f aca="false">AL22+AL29</f>
        <v>72562.5227247083</v>
      </c>
      <c r="AM30" s="54" t="n">
        <f aca="false">AM22+AM29</f>
        <v>88774.5365219322</v>
      </c>
      <c r="AN30" s="54" t="n">
        <f aca="false">AN22+AN29</f>
        <v>88774.5365219322</v>
      </c>
      <c r="AO30" s="54" t="n">
        <f aca="false">AO22+AO29</f>
        <v>88774.5365219322</v>
      </c>
      <c r="AP30" s="54" t="n">
        <f aca="false">AP22+AP29</f>
        <v>88774.5365219322</v>
      </c>
      <c r="AQ30" s="54" t="n">
        <f aca="false">AQ22+AQ29</f>
        <v>88774.5365219322</v>
      </c>
      <c r="AR30" s="54" t="n">
        <f aca="false">AR22+AR29</f>
        <v>118608.743181039</v>
      </c>
      <c r="AS30" s="54" t="n">
        <f aca="false">AS22+AS29</f>
        <v>118608.743181039</v>
      </c>
      <c r="AT30" s="54" t="n">
        <f aca="false">AT22+AT29</f>
        <v>118608.743181039</v>
      </c>
      <c r="AU30" s="54" t="n">
        <f aca="false">AU22+AU29</f>
        <v>88774.5365219322</v>
      </c>
      <c r="AV30" s="54" t="n">
        <f aca="false">AV22+AV29</f>
        <v>88774.5365219322</v>
      </c>
      <c r="AW30" s="54" t="n">
        <f aca="false">AW22+AW29</f>
        <v>88774.5365219322</v>
      </c>
      <c r="AX30" s="54" t="n">
        <f aca="false">AX22+AX29</f>
        <v>88774.5365219322</v>
      </c>
      <c r="AY30" s="54" t="n">
        <f aca="false">AY22+AY29</f>
        <v>108417.847732888</v>
      </c>
      <c r="AZ30" s="54" t="n">
        <f aca="false">AZ22+AZ29</f>
        <v>108417.847732888</v>
      </c>
      <c r="BA30" s="54" t="n">
        <f aca="false">BA22+BA29</f>
        <v>108417.847732888</v>
      </c>
      <c r="BB30" s="54" t="n">
        <f aca="false">BB22+BB29</f>
        <v>108417.847732888</v>
      </c>
      <c r="BC30" s="54" t="n">
        <f aca="false">BC22+BC29</f>
        <v>108417.847732888</v>
      </c>
      <c r="BD30" s="54" t="n">
        <f aca="false">BD22+BD29</f>
        <v>138003.45054082</v>
      </c>
      <c r="BE30" s="54" t="n">
        <f aca="false">BE22+BE29</f>
        <v>138003.45054082</v>
      </c>
      <c r="BF30" s="54" t="n">
        <f aca="false">BF22+BF29</f>
        <v>138003.45054082</v>
      </c>
      <c r="BG30" s="54" t="n">
        <f aca="false">BG22+BG29</f>
        <v>108417.847732888</v>
      </c>
      <c r="BH30" s="54" t="n">
        <f aca="false">BH22+BH29</f>
        <v>108417.847732888</v>
      </c>
      <c r="BI30" s="54" t="n">
        <f aca="false">BI22+BI29</f>
        <v>108417.847732888</v>
      </c>
      <c r="BJ30" s="54" t="n">
        <f aca="false">BJ22+BJ29</f>
        <v>108417.847732888</v>
      </c>
    </row>
    <row r="32" customFormat="false" ht="15.75" hidden="false" customHeight="true" outlineLevel="0" collapsed="false">
      <c r="A32" s="7" t="s">
        <v>44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customFormat="false" ht="15" hidden="false" customHeight="false" outlineLevel="0" collapsed="false">
      <c r="A33" s="6" t="s">
        <v>271</v>
      </c>
      <c r="C33" s="53" t="n">
        <f aca="false">Headcount!C15-Headcount!C13</f>
        <v>-8625</v>
      </c>
      <c r="D33" s="53" t="n">
        <f aca="false">Headcount!D15-Headcount!D13</f>
        <v>-8625</v>
      </c>
      <c r="E33" s="53" t="n">
        <f aca="false">Headcount!E15-Headcount!E13</f>
        <v>-8625</v>
      </c>
      <c r="F33" s="53" t="n">
        <f aca="false">Headcount!F15-Headcount!F13</f>
        <v>-8625</v>
      </c>
      <c r="G33" s="53" t="n">
        <f aca="false">Headcount!G15-Headcount!G13</f>
        <v>-8625</v>
      </c>
      <c r="H33" s="53" t="n">
        <f aca="false">Headcount!H15-Headcount!H13</f>
        <v>-8625</v>
      </c>
      <c r="I33" s="53" t="n">
        <f aca="false">Headcount!I15-Headcount!I13</f>
        <v>-8625</v>
      </c>
      <c r="J33" s="53" t="n">
        <f aca="false">Headcount!J15-Headcount!J13</f>
        <v>-8625</v>
      </c>
      <c r="K33" s="53" t="n">
        <f aca="false">Headcount!K15-Headcount!K13</f>
        <v>-8625</v>
      </c>
      <c r="L33" s="53" t="n">
        <f aca="false">Headcount!L15-Headcount!L13</f>
        <v>-8625</v>
      </c>
      <c r="M33" s="53" t="n">
        <f aca="false">Headcount!M15-Headcount!M13</f>
        <v>-8625</v>
      </c>
      <c r="N33" s="53" t="n">
        <f aca="false">Headcount!N15-Headcount!N13</f>
        <v>-8625</v>
      </c>
      <c r="O33" s="53" t="n">
        <f aca="false">Headcount!O15-Headcount!O13</f>
        <v>-9772.125</v>
      </c>
      <c r="P33" s="53" t="n">
        <f aca="false">Headcount!P15-Headcount!P13</f>
        <v>-9772.125</v>
      </c>
      <c r="Q33" s="53" t="n">
        <f aca="false">Headcount!Q15-Headcount!Q13</f>
        <v>-9772.125</v>
      </c>
      <c r="R33" s="53" t="n">
        <f aca="false">Headcount!R15-Headcount!R13</f>
        <v>-9772.125</v>
      </c>
      <c r="S33" s="53" t="n">
        <f aca="false">Headcount!S15-Headcount!S13</f>
        <v>-9772.125</v>
      </c>
      <c r="T33" s="53" t="n">
        <f aca="false">Headcount!T15-Headcount!T13</f>
        <v>-9772.125</v>
      </c>
      <c r="U33" s="53" t="n">
        <f aca="false">Headcount!U15-Headcount!U13</f>
        <v>-9772.125</v>
      </c>
      <c r="V33" s="53" t="n">
        <f aca="false">Headcount!V15-Headcount!V13</f>
        <v>-9772.125</v>
      </c>
      <c r="W33" s="53" t="n">
        <f aca="false">Headcount!W15-Headcount!W13</f>
        <v>-9772.125</v>
      </c>
      <c r="X33" s="53" t="n">
        <f aca="false">Headcount!X15-Headcount!X13</f>
        <v>-9772.125</v>
      </c>
      <c r="Y33" s="53" t="n">
        <f aca="false">Headcount!Y15-Headcount!Y13</f>
        <v>-9772.125</v>
      </c>
      <c r="Z33" s="53" t="n">
        <f aca="false">Headcount!Z15-Headcount!Z13</f>
        <v>-9772.125</v>
      </c>
      <c r="AA33" s="53" t="n">
        <f aca="false">Headcount!AA15-Headcount!AA13</f>
        <v>-11071.817625</v>
      </c>
      <c r="AB33" s="53" t="n">
        <f aca="false">Headcount!AB15-Headcount!AB13</f>
        <v>-11071.817625</v>
      </c>
      <c r="AC33" s="53" t="n">
        <f aca="false">Headcount!AC15-Headcount!AC13</f>
        <v>-11071.817625</v>
      </c>
      <c r="AD33" s="53" t="n">
        <f aca="false">Headcount!AD15-Headcount!AD13</f>
        <v>-11071.817625</v>
      </c>
      <c r="AE33" s="53" t="n">
        <f aca="false">Headcount!AE15-Headcount!AE13</f>
        <v>-11071.817625</v>
      </c>
      <c r="AF33" s="53" t="n">
        <f aca="false">Headcount!AF15-Headcount!AF13</f>
        <v>-11071.817625</v>
      </c>
      <c r="AG33" s="53" t="n">
        <f aca="false">Headcount!AG15-Headcount!AG13</f>
        <v>-11071.817625</v>
      </c>
      <c r="AH33" s="53" t="n">
        <f aca="false">Headcount!AH15-Headcount!AH13</f>
        <v>-11071.817625</v>
      </c>
      <c r="AI33" s="53" t="n">
        <f aca="false">Headcount!AI15-Headcount!AI13</f>
        <v>-11071.817625</v>
      </c>
      <c r="AJ33" s="53" t="n">
        <f aca="false">Headcount!AJ15-Headcount!AJ13</f>
        <v>-11071.817625</v>
      </c>
      <c r="AK33" s="53" t="n">
        <f aca="false">Headcount!AK15-Headcount!AK13</f>
        <v>-11071.817625</v>
      </c>
      <c r="AL33" s="53" t="n">
        <f aca="false">Headcount!AL15-Headcount!AL13</f>
        <v>-11071.817625</v>
      </c>
      <c r="AM33" s="53" t="n">
        <f aca="false">Headcount!AM15-Headcount!AM13</f>
        <v>-12544.369369125</v>
      </c>
      <c r="AN33" s="53" t="n">
        <f aca="false">Headcount!AN15-Headcount!AN13</f>
        <v>-12544.369369125</v>
      </c>
      <c r="AO33" s="53" t="n">
        <f aca="false">Headcount!AO15-Headcount!AO13</f>
        <v>-12544.369369125</v>
      </c>
      <c r="AP33" s="53" t="n">
        <f aca="false">Headcount!AP15-Headcount!AP13</f>
        <v>-12544.369369125</v>
      </c>
      <c r="AQ33" s="53" t="n">
        <f aca="false">Headcount!AQ15-Headcount!AQ13</f>
        <v>-12544.369369125</v>
      </c>
      <c r="AR33" s="53" t="n">
        <f aca="false">Headcount!AR15-Headcount!AR13</f>
        <v>-12544.369369125</v>
      </c>
      <c r="AS33" s="53" t="n">
        <f aca="false">Headcount!AS15-Headcount!AS13</f>
        <v>-12544.369369125</v>
      </c>
      <c r="AT33" s="53" t="n">
        <f aca="false">Headcount!AT15-Headcount!AT13</f>
        <v>-12544.369369125</v>
      </c>
      <c r="AU33" s="53" t="n">
        <f aca="false">Headcount!AU15-Headcount!AU13</f>
        <v>-12544.369369125</v>
      </c>
      <c r="AV33" s="53" t="n">
        <f aca="false">Headcount!AV15-Headcount!AV13</f>
        <v>-12544.369369125</v>
      </c>
      <c r="AW33" s="53" t="n">
        <f aca="false">Headcount!AW15-Headcount!AW13</f>
        <v>-12544.369369125</v>
      </c>
      <c r="AX33" s="53" t="n">
        <f aca="false">Headcount!AX15-Headcount!AX13</f>
        <v>-12544.369369125</v>
      </c>
      <c r="AY33" s="53" t="n">
        <f aca="false">Headcount!AY15-Headcount!AY13</f>
        <v>-14212.7704952186</v>
      </c>
      <c r="AZ33" s="53" t="n">
        <f aca="false">Headcount!AZ15-Headcount!AZ13</f>
        <v>-14212.7704952186</v>
      </c>
      <c r="BA33" s="53" t="n">
        <f aca="false">Headcount!BA15-Headcount!BA13</f>
        <v>-14212.7704952186</v>
      </c>
      <c r="BB33" s="53" t="n">
        <f aca="false">Headcount!BB15-Headcount!BB13</f>
        <v>-14212.7704952186</v>
      </c>
      <c r="BC33" s="53" t="n">
        <f aca="false">Headcount!BC15-Headcount!BC13</f>
        <v>-14212.7704952186</v>
      </c>
      <c r="BD33" s="53" t="n">
        <f aca="false">Headcount!BD15-Headcount!BD13</f>
        <v>-14212.7704952186</v>
      </c>
      <c r="BE33" s="53" t="n">
        <f aca="false">Headcount!BE15-Headcount!BE13</f>
        <v>-14212.7704952186</v>
      </c>
      <c r="BF33" s="53" t="n">
        <f aca="false">Headcount!BF15-Headcount!BF13</f>
        <v>-14212.7704952186</v>
      </c>
      <c r="BG33" s="53" t="n">
        <f aca="false">Headcount!BG15-Headcount!BG13</f>
        <v>-14212.7704952186</v>
      </c>
      <c r="BH33" s="53" t="n">
        <f aca="false">Headcount!BH15-Headcount!BH13</f>
        <v>-14212.7704952186</v>
      </c>
      <c r="BI33" s="53" t="n">
        <f aca="false">Headcount!BI15-Headcount!BI13</f>
        <v>-14212.7704952186</v>
      </c>
      <c r="BJ33" s="53" t="n">
        <f aca="false">Headcount!BJ15-Headcount!BJ13</f>
        <v>-14212.7704952186</v>
      </c>
    </row>
    <row r="34" customFormat="false" ht="15" hidden="false" customHeight="false" outlineLevel="0" collapsed="false">
      <c r="A34" s="6" t="s">
        <v>272</v>
      </c>
      <c r="C34" s="53" t="n">
        <f aca="false">-Inputs!$E$11*(1+Inputs!$E$12)^(C$5-1)*1</f>
        <v>-9000</v>
      </c>
      <c r="D34" s="53" t="n">
        <f aca="false">-Inputs!$E$11*(1+Inputs!$E$12)^(D$5-1)*1</f>
        <v>-9000</v>
      </c>
      <c r="E34" s="53" t="n">
        <f aca="false">-Inputs!$E$11*(1+Inputs!$E$12)^(E$5-1)*1</f>
        <v>-9000</v>
      </c>
      <c r="F34" s="53" t="n">
        <f aca="false">-Inputs!$E$11*(1+Inputs!$E$12)^(F$5-1)*1</f>
        <v>-9000</v>
      </c>
      <c r="G34" s="53" t="n">
        <f aca="false">-Inputs!$E$11*(1+Inputs!$E$12)^(G$5-1)*1</f>
        <v>-9000</v>
      </c>
      <c r="H34" s="53" t="n">
        <f aca="false">-Inputs!$E$11*(1+Inputs!$E$12)^(H$5-1)*1</f>
        <v>-9000</v>
      </c>
      <c r="I34" s="53" t="n">
        <f aca="false">-Inputs!$E$11*(1+Inputs!$E$12)^(I$5-1)*1</f>
        <v>-9000</v>
      </c>
      <c r="J34" s="53" t="n">
        <f aca="false">-Inputs!$E$11*(1+Inputs!$E$12)^(J$5-1)*1</f>
        <v>-9000</v>
      </c>
      <c r="K34" s="53" t="n">
        <f aca="false">-Inputs!$E$11*(1+Inputs!$E$12)^(K$5-1)*1</f>
        <v>-9000</v>
      </c>
      <c r="L34" s="53" t="n">
        <f aca="false">-Inputs!$E$11*(1+Inputs!$E$12)^(L$5-1)*1</f>
        <v>-9000</v>
      </c>
      <c r="M34" s="53" t="n">
        <f aca="false">-Inputs!$E$11*(1+Inputs!$E$12)^(M$5-1)*1</f>
        <v>-9000</v>
      </c>
      <c r="N34" s="53" t="n">
        <f aca="false">-Inputs!$E$11*(1+Inputs!$E$12)^(N$5-1)*1</f>
        <v>-9000</v>
      </c>
      <c r="O34" s="53" t="n">
        <f aca="false">-Inputs!$E$11*(1+Inputs!$E$12)^(O$5-1)*1</f>
        <v>-10350</v>
      </c>
      <c r="P34" s="53" t="n">
        <f aca="false">-Inputs!$E$11*(1+Inputs!$E$12)^(P$5-1)*1</f>
        <v>-10350</v>
      </c>
      <c r="Q34" s="53" t="n">
        <f aca="false">-Inputs!$E$11*(1+Inputs!$E$12)^(Q$5-1)*1</f>
        <v>-10350</v>
      </c>
      <c r="R34" s="53" t="n">
        <f aca="false">-Inputs!$E$11*(1+Inputs!$E$12)^(R$5-1)*1</f>
        <v>-10350</v>
      </c>
      <c r="S34" s="53" t="n">
        <f aca="false">-Inputs!$E$11*(1+Inputs!$E$12)^(S$5-1)*1</f>
        <v>-10350</v>
      </c>
      <c r="T34" s="53" t="n">
        <f aca="false">-Inputs!$E$11*(1+Inputs!$E$12)^(T$5-1)*1</f>
        <v>-10350</v>
      </c>
      <c r="U34" s="53" t="n">
        <f aca="false">-Inputs!$E$11*(1+Inputs!$E$12)^(U$5-1)*1</f>
        <v>-10350</v>
      </c>
      <c r="V34" s="53" t="n">
        <f aca="false">-Inputs!$E$11*(1+Inputs!$E$12)^(V$5-1)*1</f>
        <v>-10350</v>
      </c>
      <c r="W34" s="53" t="n">
        <f aca="false">-Inputs!$E$11*(1+Inputs!$E$12)^(W$5-1)*1</f>
        <v>-10350</v>
      </c>
      <c r="X34" s="53" t="n">
        <f aca="false">-Inputs!$E$11*(1+Inputs!$E$12)^(X$5-1)*1</f>
        <v>-10350</v>
      </c>
      <c r="Y34" s="53" t="n">
        <f aca="false">-Inputs!$E$11*(1+Inputs!$E$12)^(Y$5-1)*1</f>
        <v>-10350</v>
      </c>
      <c r="Z34" s="53" t="n">
        <f aca="false">-Inputs!$E$11*(1+Inputs!$E$12)^(Z$5-1)*1</f>
        <v>-10350</v>
      </c>
      <c r="AA34" s="53" t="n">
        <f aca="false">-Inputs!$E$11*(1+Inputs!$E$12)^(AA$5-1)*1</f>
        <v>-11902.5</v>
      </c>
      <c r="AB34" s="53" t="n">
        <f aca="false">-Inputs!$E$11*(1+Inputs!$E$12)^(AB$5-1)*1</f>
        <v>-11902.5</v>
      </c>
      <c r="AC34" s="53" t="n">
        <f aca="false">-Inputs!$E$11*(1+Inputs!$E$12)^(AC$5-1)*1</f>
        <v>-11902.5</v>
      </c>
      <c r="AD34" s="53" t="n">
        <f aca="false">-Inputs!$E$11*(1+Inputs!$E$12)^(AD$5-1)*1</f>
        <v>-11902.5</v>
      </c>
      <c r="AE34" s="53" t="n">
        <f aca="false">-Inputs!$E$11*(1+Inputs!$E$12)^(AE$5-1)*1</f>
        <v>-11902.5</v>
      </c>
      <c r="AF34" s="53" t="n">
        <f aca="false">-Inputs!$E$11*(1+Inputs!$E$12)^(AF$5-1)*1</f>
        <v>-11902.5</v>
      </c>
      <c r="AG34" s="53" t="n">
        <f aca="false">-Inputs!$E$11*(1+Inputs!$E$12)^(AG$5-1)*1</f>
        <v>-11902.5</v>
      </c>
      <c r="AH34" s="53" t="n">
        <f aca="false">-Inputs!$E$11*(1+Inputs!$E$12)^(AH$5-1)*1</f>
        <v>-11902.5</v>
      </c>
      <c r="AI34" s="53" t="n">
        <f aca="false">-Inputs!$E$11*(1+Inputs!$E$12)^(AI$5-1)*1</f>
        <v>-11902.5</v>
      </c>
      <c r="AJ34" s="53" t="n">
        <f aca="false">-Inputs!$E$11*(1+Inputs!$E$12)^(AJ$5-1)*1</f>
        <v>-11902.5</v>
      </c>
      <c r="AK34" s="53" t="n">
        <f aca="false">-Inputs!$E$11*(1+Inputs!$E$12)^(AK$5-1)*1</f>
        <v>-11902.5</v>
      </c>
      <c r="AL34" s="53" t="n">
        <f aca="false">-Inputs!$E$11*(1+Inputs!$E$12)^(AL$5-1)*1</f>
        <v>-11902.5</v>
      </c>
      <c r="AM34" s="53" t="n">
        <f aca="false">-Inputs!$E$11*(1+Inputs!$E$12)^(AM$5-1)*1</f>
        <v>-13687.875</v>
      </c>
      <c r="AN34" s="53" t="n">
        <f aca="false">-Inputs!$E$11*(1+Inputs!$E$12)^(AN$5-1)*1</f>
        <v>-13687.875</v>
      </c>
      <c r="AO34" s="53" t="n">
        <f aca="false">-Inputs!$E$11*(1+Inputs!$E$12)^(AO$5-1)*1</f>
        <v>-13687.875</v>
      </c>
      <c r="AP34" s="53" t="n">
        <f aca="false">-Inputs!$E$11*(1+Inputs!$E$12)^(AP$5-1)*1</f>
        <v>-13687.875</v>
      </c>
      <c r="AQ34" s="53" t="n">
        <f aca="false">-Inputs!$E$11*(1+Inputs!$E$12)^(AQ$5-1)*1</f>
        <v>-13687.875</v>
      </c>
      <c r="AR34" s="53" t="n">
        <f aca="false">-Inputs!$E$11*(1+Inputs!$E$12)^(AR$5-1)*1</f>
        <v>-13687.875</v>
      </c>
      <c r="AS34" s="53" t="n">
        <f aca="false">-Inputs!$E$11*(1+Inputs!$E$12)^(AS$5-1)*1</f>
        <v>-13687.875</v>
      </c>
      <c r="AT34" s="53" t="n">
        <f aca="false">-Inputs!$E$11*(1+Inputs!$E$12)^(AT$5-1)*1</f>
        <v>-13687.875</v>
      </c>
      <c r="AU34" s="53" t="n">
        <f aca="false">-Inputs!$E$11*(1+Inputs!$E$12)^(AU$5-1)*1</f>
        <v>-13687.875</v>
      </c>
      <c r="AV34" s="53" t="n">
        <f aca="false">-Inputs!$E$11*(1+Inputs!$E$12)^(AV$5-1)*1</f>
        <v>-13687.875</v>
      </c>
      <c r="AW34" s="53" t="n">
        <f aca="false">-Inputs!$E$11*(1+Inputs!$E$12)^(AW$5-1)*1</f>
        <v>-13687.875</v>
      </c>
      <c r="AX34" s="53" t="n">
        <f aca="false">-Inputs!$E$11*(1+Inputs!$E$12)^(AX$5-1)*1</f>
        <v>-13687.875</v>
      </c>
      <c r="AY34" s="53" t="n">
        <f aca="false">-Inputs!$E$11*(1+Inputs!$E$12)^(AY$5-1)*1</f>
        <v>-15741.05625</v>
      </c>
      <c r="AZ34" s="53" t="n">
        <f aca="false">-Inputs!$E$11*(1+Inputs!$E$12)^(AZ$5-1)*1</f>
        <v>-15741.05625</v>
      </c>
      <c r="BA34" s="53" t="n">
        <f aca="false">-Inputs!$E$11*(1+Inputs!$E$12)^(BA$5-1)*1</f>
        <v>-15741.05625</v>
      </c>
      <c r="BB34" s="53" t="n">
        <f aca="false">-Inputs!$E$11*(1+Inputs!$E$12)^(BB$5-1)*1</f>
        <v>-15741.05625</v>
      </c>
      <c r="BC34" s="53" t="n">
        <f aca="false">-Inputs!$E$11*(1+Inputs!$E$12)^(BC$5-1)*1</f>
        <v>-15741.05625</v>
      </c>
      <c r="BD34" s="53" t="n">
        <f aca="false">-Inputs!$E$11*(1+Inputs!$E$12)^(BD$5-1)*1</f>
        <v>-15741.05625</v>
      </c>
      <c r="BE34" s="53" t="n">
        <f aca="false">-Inputs!$E$11*(1+Inputs!$E$12)^(BE$5-1)*1</f>
        <v>-15741.05625</v>
      </c>
      <c r="BF34" s="53" t="n">
        <f aca="false">-Inputs!$E$11*(1+Inputs!$E$12)^(BF$5-1)*1</f>
        <v>-15741.05625</v>
      </c>
      <c r="BG34" s="53" t="n">
        <f aca="false">-Inputs!$E$11*(1+Inputs!$E$12)^(BG$5-1)*1</f>
        <v>-15741.05625</v>
      </c>
      <c r="BH34" s="53" t="n">
        <f aca="false">-Inputs!$E$11*(1+Inputs!$E$12)^(BH$5-1)*1</f>
        <v>-15741.05625</v>
      </c>
      <c r="BI34" s="53" t="n">
        <f aca="false">-Inputs!$E$11*(1+Inputs!$E$12)^(BI$5-1)*1</f>
        <v>-15741.05625</v>
      </c>
      <c r="BJ34" s="53" t="n">
        <f aca="false">-Inputs!$E$11*(1+Inputs!$E$12)^(BJ$5-1)*1</f>
        <v>-15741.05625</v>
      </c>
    </row>
    <row r="35" customFormat="false" ht="15" hidden="false" customHeight="false" outlineLevel="0" collapsed="false">
      <c r="A35" s="6" t="s">
        <v>273</v>
      </c>
      <c r="C35" s="53" t="n">
        <f aca="false">-C8*Inputs!$E$32*1</f>
        <v>-840</v>
      </c>
      <c r="D35" s="53" t="n">
        <f aca="false">-D8*Inputs!$E$32*1</f>
        <v>-840</v>
      </c>
      <c r="E35" s="53" t="n">
        <f aca="false">-E8*Inputs!$E$32*1</f>
        <v>-840</v>
      </c>
      <c r="F35" s="53" t="n">
        <f aca="false">-F8*Inputs!$E$32*1</f>
        <v>-840</v>
      </c>
      <c r="G35" s="53" t="n">
        <f aca="false">-G8*Inputs!$E$32*1</f>
        <v>-840</v>
      </c>
      <c r="H35" s="53" t="n">
        <f aca="false">-H8*Inputs!$E$32*1</f>
        <v>-840</v>
      </c>
      <c r="I35" s="53" t="n">
        <f aca="false">-I8*Inputs!$E$32*1</f>
        <v>-840</v>
      </c>
      <c r="J35" s="53" t="n">
        <f aca="false">-J8*Inputs!$E$32*1</f>
        <v>-840</v>
      </c>
      <c r="K35" s="53" t="n">
        <f aca="false">-K8*Inputs!$E$32*1</f>
        <v>-840</v>
      </c>
      <c r="L35" s="53" t="n">
        <f aca="false">-L8*Inputs!$E$32*1</f>
        <v>-840</v>
      </c>
      <c r="M35" s="53" t="n">
        <f aca="false">-M8*Inputs!$E$32*1</f>
        <v>-840</v>
      </c>
      <c r="N35" s="53" t="n">
        <f aca="false">-N8*Inputs!$E$32*1</f>
        <v>-840</v>
      </c>
      <c r="O35" s="53" t="n">
        <f aca="false">-O8*Inputs!$E$32*1</f>
        <v>-940.8</v>
      </c>
      <c r="P35" s="53" t="n">
        <f aca="false">-P8*Inputs!$E$32*1</f>
        <v>-940.8</v>
      </c>
      <c r="Q35" s="53" t="n">
        <f aca="false">-Q8*Inputs!$E$32*1</f>
        <v>-940.8</v>
      </c>
      <c r="R35" s="53" t="n">
        <f aca="false">-R8*Inputs!$E$32*1</f>
        <v>-940.8</v>
      </c>
      <c r="S35" s="53" t="n">
        <f aca="false">-S8*Inputs!$E$32*1</f>
        <v>-940.8</v>
      </c>
      <c r="T35" s="53" t="n">
        <f aca="false">-T8*Inputs!$E$32*1</f>
        <v>-940.8</v>
      </c>
      <c r="U35" s="53" t="n">
        <f aca="false">-U8*Inputs!$E$32*1</f>
        <v>-940.8</v>
      </c>
      <c r="V35" s="53" t="n">
        <f aca="false">-V8*Inputs!$E$32*1</f>
        <v>-940.8</v>
      </c>
      <c r="W35" s="53" t="n">
        <f aca="false">-W8*Inputs!$E$32*1</f>
        <v>-940.8</v>
      </c>
      <c r="X35" s="53" t="n">
        <f aca="false">-X8*Inputs!$E$32*1</f>
        <v>-940.8</v>
      </c>
      <c r="Y35" s="53" t="n">
        <f aca="false">-Y8*Inputs!$E$32*1</f>
        <v>-940.8</v>
      </c>
      <c r="Z35" s="53" t="n">
        <f aca="false">-Z8*Inputs!$E$32*1</f>
        <v>-940.8</v>
      </c>
      <c r="AA35" s="53" t="n">
        <f aca="false">-AA8*Inputs!$E$32*1</f>
        <v>-1053.696</v>
      </c>
      <c r="AB35" s="53" t="n">
        <f aca="false">-AB8*Inputs!$E$32*1</f>
        <v>-1053.696</v>
      </c>
      <c r="AC35" s="53" t="n">
        <f aca="false">-AC8*Inputs!$E$32*1</f>
        <v>-1053.696</v>
      </c>
      <c r="AD35" s="53" t="n">
        <f aca="false">-AD8*Inputs!$E$32*1</f>
        <v>-1053.696</v>
      </c>
      <c r="AE35" s="53" t="n">
        <f aca="false">-AE8*Inputs!$E$32*1</f>
        <v>-1053.696</v>
      </c>
      <c r="AF35" s="53" t="n">
        <f aca="false">-AF8*Inputs!$E$32*1</f>
        <v>-1053.696</v>
      </c>
      <c r="AG35" s="53" t="n">
        <f aca="false">-AG8*Inputs!$E$32*1</f>
        <v>-1053.696</v>
      </c>
      <c r="AH35" s="53" t="n">
        <f aca="false">-AH8*Inputs!$E$32*1</f>
        <v>-1053.696</v>
      </c>
      <c r="AI35" s="53" t="n">
        <f aca="false">-AI8*Inputs!$E$32*1</f>
        <v>-1053.696</v>
      </c>
      <c r="AJ35" s="53" t="n">
        <f aca="false">-AJ8*Inputs!$E$32*1</f>
        <v>-1053.696</v>
      </c>
      <c r="AK35" s="53" t="n">
        <f aca="false">-AK8*Inputs!$E$32*1</f>
        <v>-1053.696</v>
      </c>
      <c r="AL35" s="53" t="n">
        <f aca="false">-AL8*Inputs!$E$32*1</f>
        <v>-1053.696</v>
      </c>
      <c r="AM35" s="53" t="n">
        <f aca="false">-AM8*Inputs!$E$32*1</f>
        <v>-1180.13952</v>
      </c>
      <c r="AN35" s="53" t="n">
        <f aca="false">-AN8*Inputs!$E$32*1</f>
        <v>-1180.13952</v>
      </c>
      <c r="AO35" s="53" t="n">
        <f aca="false">-AO8*Inputs!$E$32*1</f>
        <v>-1180.13952</v>
      </c>
      <c r="AP35" s="53" t="n">
        <f aca="false">-AP8*Inputs!$E$32*1</f>
        <v>-1180.13952</v>
      </c>
      <c r="AQ35" s="53" t="n">
        <f aca="false">-AQ8*Inputs!$E$32*1</f>
        <v>-1180.13952</v>
      </c>
      <c r="AR35" s="53" t="n">
        <f aca="false">-AR8*Inputs!$E$32*1</f>
        <v>-1180.13952</v>
      </c>
      <c r="AS35" s="53" t="n">
        <f aca="false">-AS8*Inputs!$E$32*1</f>
        <v>-1180.13952</v>
      </c>
      <c r="AT35" s="53" t="n">
        <f aca="false">-AT8*Inputs!$E$32*1</f>
        <v>-1180.13952</v>
      </c>
      <c r="AU35" s="53" t="n">
        <f aca="false">-AU8*Inputs!$E$32*1</f>
        <v>-1180.13952</v>
      </c>
      <c r="AV35" s="53" t="n">
        <f aca="false">-AV8*Inputs!$E$32*1</f>
        <v>-1180.13952</v>
      </c>
      <c r="AW35" s="53" t="n">
        <f aca="false">-AW8*Inputs!$E$32*1</f>
        <v>-1180.13952</v>
      </c>
      <c r="AX35" s="53" t="n">
        <f aca="false">-AX8*Inputs!$E$32*1</f>
        <v>-1180.13952</v>
      </c>
      <c r="AY35" s="53" t="n">
        <f aca="false">-AY8*Inputs!$E$32*1</f>
        <v>-1321.7562624</v>
      </c>
      <c r="AZ35" s="53" t="n">
        <f aca="false">-AZ8*Inputs!$E$32*1</f>
        <v>-1321.7562624</v>
      </c>
      <c r="BA35" s="53" t="n">
        <f aca="false">-BA8*Inputs!$E$32*1</f>
        <v>-1321.7562624</v>
      </c>
      <c r="BB35" s="53" t="n">
        <f aca="false">-BB8*Inputs!$E$32*1</f>
        <v>-1321.7562624</v>
      </c>
      <c r="BC35" s="53" t="n">
        <f aca="false">-BC8*Inputs!$E$32*1</f>
        <v>-1321.7562624</v>
      </c>
      <c r="BD35" s="53" t="n">
        <f aca="false">-BD8*Inputs!$E$32*1</f>
        <v>-1321.7562624</v>
      </c>
      <c r="BE35" s="53" t="n">
        <f aca="false">-BE8*Inputs!$E$32*1</f>
        <v>-1321.7562624</v>
      </c>
      <c r="BF35" s="53" t="n">
        <f aca="false">-BF8*Inputs!$E$32*1</f>
        <v>-1321.7562624</v>
      </c>
      <c r="BG35" s="53" t="n">
        <f aca="false">-BG8*Inputs!$E$32*1</f>
        <v>-1321.7562624</v>
      </c>
      <c r="BH35" s="53" t="n">
        <f aca="false">-BH8*Inputs!$E$32*1</f>
        <v>-1321.7562624</v>
      </c>
      <c r="BI35" s="53" t="n">
        <f aca="false">-BI8*Inputs!$E$32*1</f>
        <v>-1321.7562624</v>
      </c>
      <c r="BJ35" s="53" t="n">
        <f aca="false">-BJ8*Inputs!$E$32*1</f>
        <v>-1321.7562624</v>
      </c>
    </row>
    <row r="36" customFormat="false" ht="15" hidden="false" customHeight="false" outlineLevel="0" collapsed="false">
      <c r="A36" s="6" t="s">
        <v>274</v>
      </c>
      <c r="C36" s="53" t="n">
        <f aca="false">-Inputs!$E$33*1</f>
        <v>-3500</v>
      </c>
      <c r="D36" s="53" t="n">
        <f aca="false">-Inputs!$E$33*1</f>
        <v>-3500</v>
      </c>
      <c r="E36" s="53" t="n">
        <f aca="false">-Inputs!$E$33*1</f>
        <v>-3500</v>
      </c>
      <c r="F36" s="53" t="n">
        <f aca="false">-Inputs!$E$33*1</f>
        <v>-3500</v>
      </c>
      <c r="G36" s="53" t="n">
        <f aca="false">-Inputs!$E$33*1</f>
        <v>-3500</v>
      </c>
      <c r="H36" s="53" t="n">
        <f aca="false">-Inputs!$E$33*1</f>
        <v>-3500</v>
      </c>
      <c r="I36" s="53" t="n">
        <f aca="false">-Inputs!$E$33*1</f>
        <v>-3500</v>
      </c>
      <c r="J36" s="53" t="n">
        <f aca="false">-Inputs!$E$33*1</f>
        <v>-3500</v>
      </c>
      <c r="K36" s="53" t="n">
        <f aca="false">-Inputs!$E$33*1</f>
        <v>-3500</v>
      </c>
      <c r="L36" s="53" t="n">
        <f aca="false">-Inputs!$E$33*1</f>
        <v>-3500</v>
      </c>
      <c r="M36" s="53" t="n">
        <f aca="false">-Inputs!$E$33*1</f>
        <v>-3500</v>
      </c>
      <c r="N36" s="53" t="n">
        <f aca="false">-Inputs!$E$33*1</f>
        <v>-3500</v>
      </c>
      <c r="O36" s="53" t="n">
        <f aca="false">-Inputs!$E$33*1</f>
        <v>-3500</v>
      </c>
      <c r="P36" s="53" t="n">
        <f aca="false">-Inputs!$E$33*1</f>
        <v>-3500</v>
      </c>
      <c r="Q36" s="53" t="n">
        <f aca="false">-Inputs!$E$33*1</f>
        <v>-3500</v>
      </c>
      <c r="R36" s="53" t="n">
        <f aca="false">-Inputs!$E$33*1</f>
        <v>-3500</v>
      </c>
      <c r="S36" s="53" t="n">
        <f aca="false">-Inputs!$E$33*1</f>
        <v>-3500</v>
      </c>
      <c r="T36" s="53" t="n">
        <f aca="false">-Inputs!$E$33*1</f>
        <v>-3500</v>
      </c>
      <c r="U36" s="53" t="n">
        <f aca="false">-Inputs!$E$33*1</f>
        <v>-3500</v>
      </c>
      <c r="V36" s="53" t="n">
        <f aca="false">-Inputs!$E$33*1</f>
        <v>-3500</v>
      </c>
      <c r="W36" s="53" t="n">
        <f aca="false">-Inputs!$E$33*1</f>
        <v>-3500</v>
      </c>
      <c r="X36" s="53" t="n">
        <f aca="false">-Inputs!$E$33*1</f>
        <v>-3500</v>
      </c>
      <c r="Y36" s="53" t="n">
        <f aca="false">-Inputs!$E$33*1</f>
        <v>-3500</v>
      </c>
      <c r="Z36" s="53" t="n">
        <f aca="false">-Inputs!$E$33*1</f>
        <v>-3500</v>
      </c>
      <c r="AA36" s="53" t="n">
        <f aca="false">-Inputs!$E$33*1</f>
        <v>-3500</v>
      </c>
      <c r="AB36" s="53" t="n">
        <f aca="false">-Inputs!$E$33*1</f>
        <v>-3500</v>
      </c>
      <c r="AC36" s="53" t="n">
        <f aca="false">-Inputs!$E$33*1</f>
        <v>-3500</v>
      </c>
      <c r="AD36" s="53" t="n">
        <f aca="false">-Inputs!$E$33*1</f>
        <v>-3500</v>
      </c>
      <c r="AE36" s="53" t="n">
        <f aca="false">-Inputs!$E$33*1</f>
        <v>-3500</v>
      </c>
      <c r="AF36" s="53" t="n">
        <f aca="false">-Inputs!$E$33*1</f>
        <v>-3500</v>
      </c>
      <c r="AG36" s="53" t="n">
        <f aca="false">-Inputs!$E$33*1</f>
        <v>-3500</v>
      </c>
      <c r="AH36" s="53" t="n">
        <f aca="false">-Inputs!$E$33*1</f>
        <v>-3500</v>
      </c>
      <c r="AI36" s="53" t="n">
        <f aca="false">-Inputs!$E$33*1</f>
        <v>-3500</v>
      </c>
      <c r="AJ36" s="53" t="n">
        <f aca="false">-Inputs!$E$33*1</f>
        <v>-3500</v>
      </c>
      <c r="AK36" s="53" t="n">
        <f aca="false">-Inputs!$E$33*1</f>
        <v>-3500</v>
      </c>
      <c r="AL36" s="53" t="n">
        <f aca="false">-Inputs!$E$33*1</f>
        <v>-3500</v>
      </c>
      <c r="AM36" s="53" t="n">
        <f aca="false">-Inputs!$E$33*1</f>
        <v>-3500</v>
      </c>
      <c r="AN36" s="53" t="n">
        <f aca="false">-Inputs!$E$33*1</f>
        <v>-3500</v>
      </c>
      <c r="AO36" s="53" t="n">
        <f aca="false">-Inputs!$E$33*1</f>
        <v>-3500</v>
      </c>
      <c r="AP36" s="53" t="n">
        <f aca="false">-Inputs!$E$33*1</f>
        <v>-3500</v>
      </c>
      <c r="AQ36" s="53" t="n">
        <f aca="false">-Inputs!$E$33*1</f>
        <v>-3500</v>
      </c>
      <c r="AR36" s="53" t="n">
        <f aca="false">-Inputs!$E$33*1</f>
        <v>-3500</v>
      </c>
      <c r="AS36" s="53" t="n">
        <f aca="false">-Inputs!$E$33*1</f>
        <v>-3500</v>
      </c>
      <c r="AT36" s="53" t="n">
        <f aca="false">-Inputs!$E$33*1</f>
        <v>-3500</v>
      </c>
      <c r="AU36" s="53" t="n">
        <f aca="false">-Inputs!$E$33*1</f>
        <v>-3500</v>
      </c>
      <c r="AV36" s="53" t="n">
        <f aca="false">-Inputs!$E$33*1</f>
        <v>-3500</v>
      </c>
      <c r="AW36" s="53" t="n">
        <f aca="false">-Inputs!$E$33*1</f>
        <v>-3500</v>
      </c>
      <c r="AX36" s="53" t="n">
        <f aca="false">-Inputs!$E$33*1</f>
        <v>-3500</v>
      </c>
      <c r="AY36" s="53" t="n">
        <f aca="false">-Inputs!$E$33*1</f>
        <v>-3500</v>
      </c>
      <c r="AZ36" s="53" t="n">
        <f aca="false">-Inputs!$E$33*1</f>
        <v>-3500</v>
      </c>
      <c r="BA36" s="53" t="n">
        <f aca="false">-Inputs!$E$33*1</f>
        <v>-3500</v>
      </c>
      <c r="BB36" s="53" t="n">
        <f aca="false">-Inputs!$E$33*1</f>
        <v>-3500</v>
      </c>
      <c r="BC36" s="53" t="n">
        <f aca="false">-Inputs!$E$33*1</f>
        <v>-3500</v>
      </c>
      <c r="BD36" s="53" t="n">
        <f aca="false">-Inputs!$E$33*1</f>
        <v>-3500</v>
      </c>
      <c r="BE36" s="53" t="n">
        <f aca="false">-Inputs!$E$33*1</f>
        <v>-3500</v>
      </c>
      <c r="BF36" s="53" t="n">
        <f aca="false">-Inputs!$E$33*1</f>
        <v>-3500</v>
      </c>
      <c r="BG36" s="53" t="n">
        <f aca="false">-Inputs!$E$33*1</f>
        <v>-3500</v>
      </c>
      <c r="BH36" s="53" t="n">
        <f aca="false">-Inputs!$E$33*1</f>
        <v>-3500</v>
      </c>
      <c r="BI36" s="53" t="n">
        <f aca="false">-Inputs!$E$33*1</f>
        <v>-3500</v>
      </c>
      <c r="BJ36" s="53" t="n">
        <f aca="false">-Inputs!$E$33*1</f>
        <v>-3500</v>
      </c>
    </row>
    <row r="37" customFormat="false" ht="15" hidden="false" customHeight="false" outlineLevel="0" collapsed="false">
      <c r="A37" s="6" t="s">
        <v>275</v>
      </c>
      <c r="C37" s="53" t="n">
        <f aca="false">-Inputs!$E$34*1</f>
        <v>-4500</v>
      </c>
      <c r="D37" s="53" t="n">
        <f aca="false">-Inputs!$E$34*1</f>
        <v>-4500</v>
      </c>
      <c r="E37" s="53" t="n">
        <f aca="false">-Inputs!$E$34*1</f>
        <v>-4500</v>
      </c>
      <c r="F37" s="53" t="n">
        <f aca="false">-Inputs!$E$34*1</f>
        <v>-4500</v>
      </c>
      <c r="G37" s="53" t="n">
        <f aca="false">-Inputs!$E$34*1</f>
        <v>-4500</v>
      </c>
      <c r="H37" s="53" t="n">
        <f aca="false">-Inputs!$E$34*1</f>
        <v>-4500</v>
      </c>
      <c r="I37" s="53" t="n">
        <f aca="false">-Inputs!$E$34*1</f>
        <v>-4500</v>
      </c>
      <c r="J37" s="53" t="n">
        <f aca="false">-Inputs!$E$34*1</f>
        <v>-4500</v>
      </c>
      <c r="K37" s="53" t="n">
        <f aca="false">-Inputs!$E$34*1</f>
        <v>-4500</v>
      </c>
      <c r="L37" s="53" t="n">
        <f aca="false">-Inputs!$E$34*1</f>
        <v>-4500</v>
      </c>
      <c r="M37" s="53" t="n">
        <f aca="false">-Inputs!$E$34*1</f>
        <v>-4500</v>
      </c>
      <c r="N37" s="53" t="n">
        <f aca="false">-Inputs!$E$34*1</f>
        <v>-4500</v>
      </c>
      <c r="O37" s="53" t="n">
        <f aca="false">-Inputs!$E$34*1</f>
        <v>-4500</v>
      </c>
      <c r="P37" s="53" t="n">
        <f aca="false">-Inputs!$E$34*1</f>
        <v>-4500</v>
      </c>
      <c r="Q37" s="53" t="n">
        <f aca="false">-Inputs!$E$34*1</f>
        <v>-4500</v>
      </c>
      <c r="R37" s="53" t="n">
        <f aca="false">-Inputs!$E$34*1</f>
        <v>-4500</v>
      </c>
      <c r="S37" s="53" t="n">
        <f aca="false">-Inputs!$E$34*1</f>
        <v>-4500</v>
      </c>
      <c r="T37" s="53" t="n">
        <f aca="false">-Inputs!$E$34*1</f>
        <v>-4500</v>
      </c>
      <c r="U37" s="53" t="n">
        <f aca="false">-Inputs!$E$34*1</f>
        <v>-4500</v>
      </c>
      <c r="V37" s="53" t="n">
        <f aca="false">-Inputs!$E$34*1</f>
        <v>-4500</v>
      </c>
      <c r="W37" s="53" t="n">
        <f aca="false">-Inputs!$E$34*1</f>
        <v>-4500</v>
      </c>
      <c r="X37" s="53" t="n">
        <f aca="false">-Inputs!$E$34*1</f>
        <v>-4500</v>
      </c>
      <c r="Y37" s="53" t="n">
        <f aca="false">-Inputs!$E$34*1</f>
        <v>-4500</v>
      </c>
      <c r="Z37" s="53" t="n">
        <f aca="false">-Inputs!$E$34*1</f>
        <v>-4500</v>
      </c>
      <c r="AA37" s="53" t="n">
        <f aca="false">-Inputs!$E$34*1</f>
        <v>-4500</v>
      </c>
      <c r="AB37" s="53" t="n">
        <f aca="false">-Inputs!$E$34*1</f>
        <v>-4500</v>
      </c>
      <c r="AC37" s="53" t="n">
        <f aca="false">-Inputs!$E$34*1</f>
        <v>-4500</v>
      </c>
      <c r="AD37" s="53" t="n">
        <f aca="false">-Inputs!$E$34*1</f>
        <v>-4500</v>
      </c>
      <c r="AE37" s="53" t="n">
        <f aca="false">-Inputs!$E$34*1</f>
        <v>-4500</v>
      </c>
      <c r="AF37" s="53" t="n">
        <f aca="false">-Inputs!$E$34*1</f>
        <v>-4500</v>
      </c>
      <c r="AG37" s="53" t="n">
        <f aca="false">-Inputs!$E$34*1</f>
        <v>-4500</v>
      </c>
      <c r="AH37" s="53" t="n">
        <f aca="false">-Inputs!$E$34*1</f>
        <v>-4500</v>
      </c>
      <c r="AI37" s="53" t="n">
        <f aca="false">-Inputs!$E$34*1</f>
        <v>-4500</v>
      </c>
      <c r="AJ37" s="53" t="n">
        <f aca="false">-Inputs!$E$34*1</f>
        <v>-4500</v>
      </c>
      <c r="AK37" s="53" t="n">
        <f aca="false">-Inputs!$E$34*1</f>
        <v>-4500</v>
      </c>
      <c r="AL37" s="53" t="n">
        <f aca="false">-Inputs!$E$34*1</f>
        <v>-4500</v>
      </c>
      <c r="AM37" s="53" t="n">
        <f aca="false">-Inputs!$E$34*1</f>
        <v>-4500</v>
      </c>
      <c r="AN37" s="53" t="n">
        <f aca="false">-Inputs!$E$34*1</f>
        <v>-4500</v>
      </c>
      <c r="AO37" s="53" t="n">
        <f aca="false">-Inputs!$E$34*1</f>
        <v>-4500</v>
      </c>
      <c r="AP37" s="53" t="n">
        <f aca="false">-Inputs!$E$34*1</f>
        <v>-4500</v>
      </c>
      <c r="AQ37" s="53" t="n">
        <f aca="false">-Inputs!$E$34*1</f>
        <v>-4500</v>
      </c>
      <c r="AR37" s="53" t="n">
        <f aca="false">-Inputs!$E$34*1</f>
        <v>-4500</v>
      </c>
      <c r="AS37" s="53" t="n">
        <f aca="false">-Inputs!$E$34*1</f>
        <v>-4500</v>
      </c>
      <c r="AT37" s="53" t="n">
        <f aca="false">-Inputs!$E$34*1</f>
        <v>-4500</v>
      </c>
      <c r="AU37" s="53" t="n">
        <f aca="false">-Inputs!$E$34*1</f>
        <v>-4500</v>
      </c>
      <c r="AV37" s="53" t="n">
        <f aca="false">-Inputs!$E$34*1</f>
        <v>-4500</v>
      </c>
      <c r="AW37" s="53" t="n">
        <f aca="false">-Inputs!$E$34*1</f>
        <v>-4500</v>
      </c>
      <c r="AX37" s="53" t="n">
        <f aca="false">-Inputs!$E$34*1</f>
        <v>-4500</v>
      </c>
      <c r="AY37" s="53" t="n">
        <f aca="false">-Inputs!$E$34*1</f>
        <v>-4500</v>
      </c>
      <c r="AZ37" s="53" t="n">
        <f aca="false">-Inputs!$E$34*1</f>
        <v>-4500</v>
      </c>
      <c r="BA37" s="53" t="n">
        <f aca="false">-Inputs!$E$34*1</f>
        <v>-4500</v>
      </c>
      <c r="BB37" s="53" t="n">
        <f aca="false">-Inputs!$E$34*1</f>
        <v>-4500</v>
      </c>
      <c r="BC37" s="53" t="n">
        <f aca="false">-Inputs!$E$34*1</f>
        <v>-4500</v>
      </c>
      <c r="BD37" s="53" t="n">
        <f aca="false">-Inputs!$E$34*1</f>
        <v>-4500</v>
      </c>
      <c r="BE37" s="53" t="n">
        <f aca="false">-Inputs!$E$34*1</f>
        <v>-4500</v>
      </c>
      <c r="BF37" s="53" t="n">
        <f aca="false">-Inputs!$E$34*1</f>
        <v>-4500</v>
      </c>
      <c r="BG37" s="53" t="n">
        <f aca="false">-Inputs!$E$34*1</f>
        <v>-4500</v>
      </c>
      <c r="BH37" s="53" t="n">
        <f aca="false">-Inputs!$E$34*1</f>
        <v>-4500</v>
      </c>
      <c r="BI37" s="53" t="n">
        <f aca="false">-Inputs!$E$34*1</f>
        <v>-4500</v>
      </c>
      <c r="BJ37" s="53" t="n">
        <f aca="false">-Inputs!$E$34*1</f>
        <v>-4500</v>
      </c>
    </row>
    <row r="38" customFormat="false" ht="15" hidden="false" customHeight="false" outlineLevel="0" collapsed="false">
      <c r="A38" s="6" t="s">
        <v>276</v>
      </c>
      <c r="C38" s="53" t="n">
        <f aca="false">-Inputs!$E$35*1</f>
        <v>-2500</v>
      </c>
      <c r="D38" s="53" t="n">
        <f aca="false">-Inputs!$E$35*1</f>
        <v>-2500</v>
      </c>
      <c r="E38" s="53" t="n">
        <f aca="false">-Inputs!$E$35*1</f>
        <v>-2500</v>
      </c>
      <c r="F38" s="53" t="n">
        <f aca="false">-Inputs!$E$35*1</f>
        <v>-2500</v>
      </c>
      <c r="G38" s="53" t="n">
        <f aca="false">-Inputs!$E$35*1</f>
        <v>-2500</v>
      </c>
      <c r="H38" s="53" t="n">
        <f aca="false">-Inputs!$E$35*1</f>
        <v>-2500</v>
      </c>
      <c r="I38" s="53" t="n">
        <f aca="false">-Inputs!$E$35*1</f>
        <v>-2500</v>
      </c>
      <c r="J38" s="53" t="n">
        <f aca="false">-Inputs!$E$35*1</f>
        <v>-2500</v>
      </c>
      <c r="K38" s="53" t="n">
        <f aca="false">-Inputs!$E$35*1</f>
        <v>-2500</v>
      </c>
      <c r="L38" s="53" t="n">
        <f aca="false">-Inputs!$E$35*1</f>
        <v>-2500</v>
      </c>
      <c r="M38" s="53" t="n">
        <f aca="false">-Inputs!$E$35*1</f>
        <v>-2500</v>
      </c>
      <c r="N38" s="53" t="n">
        <f aca="false">-Inputs!$E$35*1</f>
        <v>-2500</v>
      </c>
      <c r="O38" s="53" t="n">
        <f aca="false">-Inputs!$E$35*1</f>
        <v>-2500</v>
      </c>
      <c r="P38" s="53" t="n">
        <f aca="false">-Inputs!$E$35*1</f>
        <v>-2500</v>
      </c>
      <c r="Q38" s="53" t="n">
        <f aca="false">-Inputs!$E$35*1</f>
        <v>-2500</v>
      </c>
      <c r="R38" s="53" t="n">
        <f aca="false">-Inputs!$E$35*1</f>
        <v>-2500</v>
      </c>
      <c r="S38" s="53" t="n">
        <f aca="false">-Inputs!$E$35*1</f>
        <v>-2500</v>
      </c>
      <c r="T38" s="53" t="n">
        <f aca="false">-Inputs!$E$35*1</f>
        <v>-2500</v>
      </c>
      <c r="U38" s="53" t="n">
        <f aca="false">-Inputs!$E$35*1</f>
        <v>-2500</v>
      </c>
      <c r="V38" s="53" t="n">
        <f aca="false">-Inputs!$E$35*1</f>
        <v>-2500</v>
      </c>
      <c r="W38" s="53" t="n">
        <f aca="false">-Inputs!$E$35*1</f>
        <v>-2500</v>
      </c>
      <c r="X38" s="53" t="n">
        <f aca="false">-Inputs!$E$35*1</f>
        <v>-2500</v>
      </c>
      <c r="Y38" s="53" t="n">
        <f aca="false">-Inputs!$E$35*1</f>
        <v>-2500</v>
      </c>
      <c r="Z38" s="53" t="n">
        <f aca="false">-Inputs!$E$35*1</f>
        <v>-2500</v>
      </c>
      <c r="AA38" s="53" t="n">
        <f aca="false">-Inputs!$E$35*1</f>
        <v>-2500</v>
      </c>
      <c r="AB38" s="53" t="n">
        <f aca="false">-Inputs!$E$35*1</f>
        <v>-2500</v>
      </c>
      <c r="AC38" s="53" t="n">
        <f aca="false">-Inputs!$E$35*1</f>
        <v>-2500</v>
      </c>
      <c r="AD38" s="53" t="n">
        <f aca="false">-Inputs!$E$35*1</f>
        <v>-2500</v>
      </c>
      <c r="AE38" s="53" t="n">
        <f aca="false">-Inputs!$E$35*1</f>
        <v>-2500</v>
      </c>
      <c r="AF38" s="53" t="n">
        <f aca="false">-Inputs!$E$35*1</f>
        <v>-2500</v>
      </c>
      <c r="AG38" s="53" t="n">
        <f aca="false">-Inputs!$E$35*1</f>
        <v>-2500</v>
      </c>
      <c r="AH38" s="53" t="n">
        <f aca="false">-Inputs!$E$35*1</f>
        <v>-2500</v>
      </c>
      <c r="AI38" s="53" t="n">
        <f aca="false">-Inputs!$E$35*1</f>
        <v>-2500</v>
      </c>
      <c r="AJ38" s="53" t="n">
        <f aca="false">-Inputs!$E$35*1</f>
        <v>-2500</v>
      </c>
      <c r="AK38" s="53" t="n">
        <f aca="false">-Inputs!$E$35*1</f>
        <v>-2500</v>
      </c>
      <c r="AL38" s="53" t="n">
        <f aca="false">-Inputs!$E$35*1</f>
        <v>-2500</v>
      </c>
      <c r="AM38" s="53" t="n">
        <f aca="false">-Inputs!$E$35*1</f>
        <v>-2500</v>
      </c>
      <c r="AN38" s="53" t="n">
        <f aca="false">-Inputs!$E$35*1</f>
        <v>-2500</v>
      </c>
      <c r="AO38" s="53" t="n">
        <f aca="false">-Inputs!$E$35*1</f>
        <v>-2500</v>
      </c>
      <c r="AP38" s="53" t="n">
        <f aca="false">-Inputs!$E$35*1</f>
        <v>-2500</v>
      </c>
      <c r="AQ38" s="53" t="n">
        <f aca="false">-Inputs!$E$35*1</f>
        <v>-2500</v>
      </c>
      <c r="AR38" s="53" t="n">
        <f aca="false">-Inputs!$E$35*1</f>
        <v>-2500</v>
      </c>
      <c r="AS38" s="53" t="n">
        <f aca="false">-Inputs!$E$35*1</f>
        <v>-2500</v>
      </c>
      <c r="AT38" s="53" t="n">
        <f aca="false">-Inputs!$E$35*1</f>
        <v>-2500</v>
      </c>
      <c r="AU38" s="53" t="n">
        <f aca="false">-Inputs!$E$35*1</f>
        <v>-2500</v>
      </c>
      <c r="AV38" s="53" t="n">
        <f aca="false">-Inputs!$E$35*1</f>
        <v>-2500</v>
      </c>
      <c r="AW38" s="53" t="n">
        <f aca="false">-Inputs!$E$35*1</f>
        <v>-2500</v>
      </c>
      <c r="AX38" s="53" t="n">
        <f aca="false">-Inputs!$E$35*1</f>
        <v>-2500</v>
      </c>
      <c r="AY38" s="53" t="n">
        <f aca="false">-Inputs!$E$35*1</f>
        <v>-2500</v>
      </c>
      <c r="AZ38" s="53" t="n">
        <f aca="false">-Inputs!$E$35*1</f>
        <v>-2500</v>
      </c>
      <c r="BA38" s="53" t="n">
        <f aca="false">-Inputs!$E$35*1</f>
        <v>-2500</v>
      </c>
      <c r="BB38" s="53" t="n">
        <f aca="false">-Inputs!$E$35*1</f>
        <v>-2500</v>
      </c>
      <c r="BC38" s="53" t="n">
        <f aca="false">-Inputs!$E$35*1</f>
        <v>-2500</v>
      </c>
      <c r="BD38" s="53" t="n">
        <f aca="false">-Inputs!$E$35*1</f>
        <v>-2500</v>
      </c>
      <c r="BE38" s="53" t="n">
        <f aca="false">-Inputs!$E$35*1</f>
        <v>-2500</v>
      </c>
      <c r="BF38" s="53" t="n">
        <f aca="false">-Inputs!$E$35*1</f>
        <v>-2500</v>
      </c>
      <c r="BG38" s="53" t="n">
        <f aca="false">-Inputs!$E$35*1</f>
        <v>-2500</v>
      </c>
      <c r="BH38" s="53" t="n">
        <f aca="false">-Inputs!$E$35*1</f>
        <v>-2500</v>
      </c>
      <c r="BI38" s="53" t="n">
        <f aca="false">-Inputs!$E$35*1</f>
        <v>-2500</v>
      </c>
      <c r="BJ38" s="53" t="n">
        <f aca="false">-Inputs!$E$35*1</f>
        <v>-2500</v>
      </c>
    </row>
    <row r="39" customFormat="false" ht="15" hidden="false" customHeight="false" outlineLevel="0" collapsed="false">
      <c r="A39" s="6" t="s">
        <v>277</v>
      </c>
      <c r="C39" s="53" t="n">
        <f aca="false">-C22*Inputs!$E$36</f>
        <v>-3602.79</v>
      </c>
      <c r="D39" s="53" t="n">
        <f aca="false">-D22*Inputs!$E$36</f>
        <v>-3602.79</v>
      </c>
      <c r="E39" s="53" t="n">
        <f aca="false">-E22*Inputs!$E$36</f>
        <v>-3602.79</v>
      </c>
      <c r="F39" s="53" t="n">
        <f aca="false">-F22*Inputs!$E$36</f>
        <v>-3602.79</v>
      </c>
      <c r="G39" s="53" t="n">
        <f aca="false">-G22*Inputs!$E$36</f>
        <v>-3602.79</v>
      </c>
      <c r="H39" s="53" t="n">
        <f aca="false">-H22*Inputs!$E$36</f>
        <v>-4581.9</v>
      </c>
      <c r="I39" s="53" t="n">
        <f aca="false">-I22*Inputs!$E$36</f>
        <v>-4581.9</v>
      </c>
      <c r="J39" s="53" t="n">
        <f aca="false">-J22*Inputs!$E$36</f>
        <v>-4581.9</v>
      </c>
      <c r="K39" s="53" t="n">
        <f aca="false">-K22*Inputs!$E$36</f>
        <v>-3602.79</v>
      </c>
      <c r="L39" s="53" t="n">
        <f aca="false">-L22*Inputs!$E$36</f>
        <v>-3602.79</v>
      </c>
      <c r="M39" s="53" t="n">
        <f aca="false">-M22*Inputs!$E$36</f>
        <v>-3602.79</v>
      </c>
      <c r="N39" s="53" t="n">
        <f aca="false">-N22*Inputs!$E$36</f>
        <v>-3602.79</v>
      </c>
      <c r="O39" s="53" t="n">
        <f aca="false">-O22*Inputs!$E$36</f>
        <v>-4278.628755</v>
      </c>
      <c r="P39" s="53" t="n">
        <f aca="false">-P22*Inputs!$E$36</f>
        <v>-4278.628755</v>
      </c>
      <c r="Q39" s="53" t="n">
        <f aca="false">-Q22*Inputs!$E$36</f>
        <v>-4278.628755</v>
      </c>
      <c r="R39" s="53" t="n">
        <f aca="false">-R22*Inputs!$E$36</f>
        <v>-4278.628755</v>
      </c>
      <c r="S39" s="53" t="n">
        <f aca="false">-S22*Inputs!$E$36</f>
        <v>-4278.628755</v>
      </c>
      <c r="T39" s="53" t="n">
        <f aca="false">-T22*Inputs!$E$36</f>
        <v>-5303.47824</v>
      </c>
      <c r="U39" s="53" t="n">
        <f aca="false">-U22*Inputs!$E$36</f>
        <v>-5303.47824</v>
      </c>
      <c r="V39" s="53" t="n">
        <f aca="false">-V22*Inputs!$E$36</f>
        <v>-5303.47824</v>
      </c>
      <c r="W39" s="53" t="n">
        <f aca="false">-W22*Inputs!$E$36</f>
        <v>-4278.628755</v>
      </c>
      <c r="X39" s="53" t="n">
        <f aca="false">-X22*Inputs!$E$36</f>
        <v>-4278.628755</v>
      </c>
      <c r="Y39" s="53" t="n">
        <f aca="false">-Y22*Inputs!$E$36</f>
        <v>-4278.628755</v>
      </c>
      <c r="Z39" s="53" t="n">
        <f aca="false">-Z22*Inputs!$E$36</f>
        <v>-4278.628755</v>
      </c>
      <c r="AA39" s="53" t="n">
        <f aca="false">-AA22*Inputs!$E$36</f>
        <v>-5081.7850242975</v>
      </c>
      <c r="AB39" s="53" t="n">
        <f aca="false">-AB22*Inputs!$E$36</f>
        <v>-5081.7850242975</v>
      </c>
      <c r="AC39" s="53" t="n">
        <f aca="false">-AC22*Inputs!$E$36</f>
        <v>-5081.7850242975</v>
      </c>
      <c r="AD39" s="53" t="n">
        <f aca="false">-AD22*Inputs!$E$36</f>
        <v>-5081.7850242975</v>
      </c>
      <c r="AE39" s="53" t="n">
        <f aca="false">-AE22*Inputs!$E$36</f>
        <v>-5081.7850242975</v>
      </c>
      <c r="AF39" s="53" t="n">
        <f aca="false">-AF22*Inputs!$E$36</f>
        <v>-6140.091320064</v>
      </c>
      <c r="AG39" s="53" t="n">
        <f aca="false">-AG22*Inputs!$E$36</f>
        <v>-6140.091320064</v>
      </c>
      <c r="AH39" s="53" t="n">
        <f aca="false">-AH22*Inputs!$E$36</f>
        <v>-6140.091320064</v>
      </c>
      <c r="AI39" s="53" t="n">
        <f aca="false">-AI22*Inputs!$E$36</f>
        <v>-5081.7850242975</v>
      </c>
      <c r="AJ39" s="53" t="n">
        <f aca="false">-AJ22*Inputs!$E$36</f>
        <v>-5081.7850242975</v>
      </c>
      <c r="AK39" s="53" t="n">
        <f aca="false">-AK22*Inputs!$E$36</f>
        <v>-5081.7850242975</v>
      </c>
      <c r="AL39" s="53" t="n">
        <f aca="false">-AL22*Inputs!$E$36</f>
        <v>-5081.7850242975</v>
      </c>
      <c r="AM39" s="53" t="n">
        <f aca="false">-AM22*Inputs!$E$36</f>
        <v>-6036.36845158439</v>
      </c>
      <c r="AN39" s="53" t="n">
        <f aca="false">-AN22*Inputs!$E$36</f>
        <v>-6036.36845158439</v>
      </c>
      <c r="AO39" s="53" t="n">
        <f aca="false">-AO22*Inputs!$E$36</f>
        <v>-6036.36845158439</v>
      </c>
      <c r="AP39" s="53" t="n">
        <f aca="false">-AP22*Inputs!$E$36</f>
        <v>-6036.36845158439</v>
      </c>
      <c r="AQ39" s="53" t="n">
        <f aca="false">-AQ22*Inputs!$E$36</f>
        <v>-6036.36845158439</v>
      </c>
      <c r="AR39" s="53" t="n">
        <f aca="false">-AR22*Inputs!$E$36</f>
        <v>-7110.39989131223</v>
      </c>
      <c r="AS39" s="53" t="n">
        <f aca="false">-AS22*Inputs!$E$36</f>
        <v>-7110.39989131223</v>
      </c>
      <c r="AT39" s="53" t="n">
        <f aca="false">-AT22*Inputs!$E$36</f>
        <v>-7110.39989131223</v>
      </c>
      <c r="AU39" s="53" t="n">
        <f aca="false">-AU22*Inputs!$E$36</f>
        <v>-6036.36845158439</v>
      </c>
      <c r="AV39" s="53" t="n">
        <f aca="false">-AV22*Inputs!$E$36</f>
        <v>-6036.36845158439</v>
      </c>
      <c r="AW39" s="53" t="n">
        <f aca="false">-AW22*Inputs!$E$36</f>
        <v>-6036.36845158439</v>
      </c>
      <c r="AX39" s="53" t="n">
        <f aca="false">-AX22*Inputs!$E$36</f>
        <v>-6036.36845158439</v>
      </c>
      <c r="AY39" s="53" t="n">
        <f aca="false">-AY22*Inputs!$E$36</f>
        <v>-7171.08312651745</v>
      </c>
      <c r="AZ39" s="53" t="n">
        <f aca="false">-AZ22*Inputs!$E$36</f>
        <v>-7171.08312651745</v>
      </c>
      <c r="BA39" s="53" t="n">
        <f aca="false">-BA22*Inputs!$E$36</f>
        <v>-7171.08312651745</v>
      </c>
      <c r="BB39" s="53" t="n">
        <f aca="false">-BB22*Inputs!$E$36</f>
        <v>-7171.08312651745</v>
      </c>
      <c r="BC39" s="53" t="n">
        <f aca="false">-BC22*Inputs!$E$36</f>
        <v>-7171.08312651745</v>
      </c>
      <c r="BD39" s="53" t="n">
        <f aca="false">-BD22*Inputs!$E$36</f>
        <v>-8236.16482760298</v>
      </c>
      <c r="BE39" s="53" t="n">
        <f aca="false">-BE22*Inputs!$E$36</f>
        <v>-8236.16482760298</v>
      </c>
      <c r="BF39" s="53" t="n">
        <f aca="false">-BF22*Inputs!$E$36</f>
        <v>-8236.16482760298</v>
      </c>
      <c r="BG39" s="53" t="n">
        <f aca="false">-BG22*Inputs!$E$36</f>
        <v>-7171.08312651745</v>
      </c>
      <c r="BH39" s="53" t="n">
        <f aca="false">-BH22*Inputs!$E$36</f>
        <v>-7171.08312651745</v>
      </c>
      <c r="BI39" s="53" t="n">
        <f aca="false">-BI22*Inputs!$E$36</f>
        <v>-7171.08312651745</v>
      </c>
      <c r="BJ39" s="53" t="n">
        <f aca="false">-BJ22*Inputs!$E$36</f>
        <v>-7171.08312651745</v>
      </c>
    </row>
    <row r="40" customFormat="false" ht="15" hidden="false" customHeight="false" outlineLevel="0" collapsed="false">
      <c r="A40" s="95" t="s">
        <v>73</v>
      </c>
      <c r="C40" s="54" t="n">
        <f aca="false">C33+C34+C35+C36+C37+C38+C39</f>
        <v>-32567.79</v>
      </c>
      <c r="D40" s="54" t="n">
        <f aca="false">D33+D34+D35+D36+D37+D38+D39</f>
        <v>-32567.79</v>
      </c>
      <c r="E40" s="54" t="n">
        <f aca="false">E33+E34+E35+E36+E37+E38+E39</f>
        <v>-32567.79</v>
      </c>
      <c r="F40" s="54" t="n">
        <f aca="false">F33+F34+F35+F36+F37+F38+F39</f>
        <v>-32567.79</v>
      </c>
      <c r="G40" s="54" t="n">
        <f aca="false">G33+G34+G35+G36+G37+G38+G39</f>
        <v>-32567.79</v>
      </c>
      <c r="H40" s="54" t="n">
        <f aca="false">H33+H34+H35+H36+H37+H38+H39</f>
        <v>-33546.9</v>
      </c>
      <c r="I40" s="54" t="n">
        <f aca="false">I33+I34+I35+I36+I37+I38+I39</f>
        <v>-33546.9</v>
      </c>
      <c r="J40" s="54" t="n">
        <f aca="false">J33+J34+J35+J36+J37+J38+J39</f>
        <v>-33546.9</v>
      </c>
      <c r="K40" s="54" t="n">
        <f aca="false">K33+K34+K35+K36+K37+K38+K39</f>
        <v>-32567.79</v>
      </c>
      <c r="L40" s="54" t="n">
        <f aca="false">L33+L34+L35+L36+L37+L38+L39</f>
        <v>-32567.79</v>
      </c>
      <c r="M40" s="54" t="n">
        <f aca="false">M33+M34+M35+M36+M37+M38+M39</f>
        <v>-32567.79</v>
      </c>
      <c r="N40" s="54" t="n">
        <f aca="false">N33+N34+N35+N36+N37+N38+N39</f>
        <v>-32567.79</v>
      </c>
      <c r="O40" s="54" t="n">
        <f aca="false">O33+O34+O35+O36+O37+O38+O39</f>
        <v>-35841.553755</v>
      </c>
      <c r="P40" s="54" t="n">
        <f aca="false">P33+P34+P35+P36+P37+P38+P39</f>
        <v>-35841.553755</v>
      </c>
      <c r="Q40" s="54" t="n">
        <f aca="false">Q33+Q34+Q35+Q36+Q37+Q38+Q39</f>
        <v>-35841.553755</v>
      </c>
      <c r="R40" s="54" t="n">
        <f aca="false">R33+R34+R35+R36+R37+R38+R39</f>
        <v>-35841.553755</v>
      </c>
      <c r="S40" s="54" t="n">
        <f aca="false">S33+S34+S35+S36+S37+S38+S39</f>
        <v>-35841.553755</v>
      </c>
      <c r="T40" s="54" t="n">
        <f aca="false">T33+T34+T35+T36+T37+T38+T39</f>
        <v>-36866.40324</v>
      </c>
      <c r="U40" s="54" t="n">
        <f aca="false">U33+U34+U35+U36+U37+U38+U39</f>
        <v>-36866.40324</v>
      </c>
      <c r="V40" s="54" t="n">
        <f aca="false">V33+V34+V35+V36+V37+V38+V39</f>
        <v>-36866.40324</v>
      </c>
      <c r="W40" s="54" t="n">
        <f aca="false">W33+W34+W35+W36+W37+W38+W39</f>
        <v>-35841.553755</v>
      </c>
      <c r="X40" s="54" t="n">
        <f aca="false">X33+X34+X35+X36+X37+X38+X39</f>
        <v>-35841.553755</v>
      </c>
      <c r="Y40" s="54" t="n">
        <f aca="false">Y33+Y34+Y35+Y36+Y37+Y38+Y39</f>
        <v>-35841.553755</v>
      </c>
      <c r="Z40" s="54" t="n">
        <f aca="false">Z33+Z34+Z35+Z36+Z37+Z38+Z39</f>
        <v>-35841.553755</v>
      </c>
      <c r="AA40" s="54" t="n">
        <f aca="false">AA33+AA34+AA35+AA36+AA37+AA38+AA39</f>
        <v>-39609.7986492975</v>
      </c>
      <c r="AB40" s="54" t="n">
        <f aca="false">AB33+AB34+AB35+AB36+AB37+AB38+AB39</f>
        <v>-39609.7986492975</v>
      </c>
      <c r="AC40" s="54" t="n">
        <f aca="false">AC33+AC34+AC35+AC36+AC37+AC38+AC39</f>
        <v>-39609.7986492975</v>
      </c>
      <c r="AD40" s="54" t="n">
        <f aca="false">AD33+AD34+AD35+AD36+AD37+AD38+AD39</f>
        <v>-39609.7986492975</v>
      </c>
      <c r="AE40" s="54" t="n">
        <f aca="false">AE33+AE34+AE35+AE36+AE37+AE38+AE39</f>
        <v>-39609.7986492975</v>
      </c>
      <c r="AF40" s="54" t="n">
        <f aca="false">AF33+AF34+AF35+AF36+AF37+AF38+AF39</f>
        <v>-40668.104945064</v>
      </c>
      <c r="AG40" s="54" t="n">
        <f aca="false">AG33+AG34+AG35+AG36+AG37+AG38+AG39</f>
        <v>-40668.104945064</v>
      </c>
      <c r="AH40" s="54" t="n">
        <f aca="false">AH33+AH34+AH35+AH36+AH37+AH38+AH39</f>
        <v>-40668.104945064</v>
      </c>
      <c r="AI40" s="54" t="n">
        <f aca="false">AI33+AI34+AI35+AI36+AI37+AI38+AI39</f>
        <v>-39609.7986492975</v>
      </c>
      <c r="AJ40" s="54" t="n">
        <f aca="false">AJ33+AJ34+AJ35+AJ36+AJ37+AJ38+AJ39</f>
        <v>-39609.7986492975</v>
      </c>
      <c r="AK40" s="54" t="n">
        <f aca="false">AK33+AK34+AK35+AK36+AK37+AK38+AK39</f>
        <v>-39609.7986492975</v>
      </c>
      <c r="AL40" s="54" t="n">
        <f aca="false">AL33+AL34+AL35+AL36+AL37+AL38+AL39</f>
        <v>-39609.7986492975</v>
      </c>
      <c r="AM40" s="54" t="n">
        <f aca="false">AM33+AM34+AM35+AM36+AM37+AM38+AM39</f>
        <v>-43948.7523407094</v>
      </c>
      <c r="AN40" s="54" t="n">
        <f aca="false">AN33+AN34+AN35+AN36+AN37+AN38+AN39</f>
        <v>-43948.7523407094</v>
      </c>
      <c r="AO40" s="54" t="n">
        <f aca="false">AO33+AO34+AO35+AO36+AO37+AO38+AO39</f>
        <v>-43948.7523407094</v>
      </c>
      <c r="AP40" s="54" t="n">
        <f aca="false">AP33+AP34+AP35+AP36+AP37+AP38+AP39</f>
        <v>-43948.7523407094</v>
      </c>
      <c r="AQ40" s="54" t="n">
        <f aca="false">AQ33+AQ34+AQ35+AQ36+AQ37+AQ38+AQ39</f>
        <v>-43948.7523407094</v>
      </c>
      <c r="AR40" s="54" t="n">
        <f aca="false">AR33+AR34+AR35+AR36+AR37+AR38+AR39</f>
        <v>-45022.7837804372</v>
      </c>
      <c r="AS40" s="54" t="n">
        <f aca="false">AS33+AS34+AS35+AS36+AS37+AS38+AS39</f>
        <v>-45022.7837804372</v>
      </c>
      <c r="AT40" s="54" t="n">
        <f aca="false">AT33+AT34+AT35+AT36+AT37+AT38+AT39</f>
        <v>-45022.7837804372</v>
      </c>
      <c r="AU40" s="54" t="n">
        <f aca="false">AU33+AU34+AU35+AU36+AU37+AU38+AU39</f>
        <v>-43948.7523407094</v>
      </c>
      <c r="AV40" s="54" t="n">
        <f aca="false">AV33+AV34+AV35+AV36+AV37+AV38+AV39</f>
        <v>-43948.7523407094</v>
      </c>
      <c r="AW40" s="54" t="n">
        <f aca="false">AW33+AW34+AW35+AW36+AW37+AW38+AW39</f>
        <v>-43948.7523407094</v>
      </c>
      <c r="AX40" s="54" t="n">
        <f aca="false">AX33+AX34+AX35+AX36+AX37+AX38+AX39</f>
        <v>-43948.7523407094</v>
      </c>
      <c r="AY40" s="54" t="n">
        <f aca="false">AY33+AY34+AY35+AY36+AY37+AY38+AY39</f>
        <v>-48946.6661341361</v>
      </c>
      <c r="AZ40" s="54" t="n">
        <f aca="false">AZ33+AZ34+AZ35+AZ36+AZ37+AZ38+AZ39</f>
        <v>-48946.6661341361</v>
      </c>
      <c r="BA40" s="54" t="n">
        <f aca="false">BA33+BA34+BA35+BA36+BA37+BA38+BA39</f>
        <v>-48946.6661341361</v>
      </c>
      <c r="BB40" s="54" t="n">
        <f aca="false">BB33+BB34+BB35+BB36+BB37+BB38+BB39</f>
        <v>-48946.6661341361</v>
      </c>
      <c r="BC40" s="54" t="n">
        <f aca="false">BC33+BC34+BC35+BC36+BC37+BC38+BC39</f>
        <v>-48946.6661341361</v>
      </c>
      <c r="BD40" s="54" t="n">
        <f aca="false">BD33+BD34+BD35+BD36+BD37+BD38+BD39</f>
        <v>-50011.7478352216</v>
      </c>
      <c r="BE40" s="54" t="n">
        <f aca="false">BE33+BE34+BE35+BE36+BE37+BE38+BE39</f>
        <v>-50011.7478352216</v>
      </c>
      <c r="BF40" s="54" t="n">
        <f aca="false">BF33+BF34+BF35+BF36+BF37+BF38+BF39</f>
        <v>-50011.7478352216</v>
      </c>
      <c r="BG40" s="54" t="n">
        <f aca="false">BG33+BG34+BG35+BG36+BG37+BG38+BG39</f>
        <v>-48946.6661341361</v>
      </c>
      <c r="BH40" s="54" t="n">
        <f aca="false">BH33+BH34+BH35+BH36+BH37+BH38+BH39</f>
        <v>-48946.6661341361</v>
      </c>
      <c r="BI40" s="54" t="n">
        <f aca="false">BI33+BI34+BI35+BI36+BI37+BI38+BI39</f>
        <v>-48946.6661341361</v>
      </c>
      <c r="BJ40" s="54" t="n">
        <f aca="false">BJ33+BJ34+BJ35+BJ36+BJ37+BJ38+BJ39</f>
        <v>-48946.6661341361</v>
      </c>
    </row>
    <row r="41" customFormat="false" ht="15" hidden="false" customHeight="false" outlineLevel="0" collapsed="false">
      <c r="A41" s="95" t="s">
        <v>45</v>
      </c>
      <c r="C41" s="54" t="n">
        <f aca="false">C30+C40</f>
        <v>15618.0433333333</v>
      </c>
      <c r="D41" s="54" t="n">
        <f aca="false">D30+D40</f>
        <v>15618.0433333333</v>
      </c>
      <c r="E41" s="54" t="n">
        <f aca="false">E30+E40</f>
        <v>15618.0433333333</v>
      </c>
      <c r="F41" s="54" t="n">
        <f aca="false">F30+F40</f>
        <v>15618.0433333333</v>
      </c>
      <c r="G41" s="54" t="n">
        <f aca="false">G30+G40</f>
        <v>15618.0433333333</v>
      </c>
      <c r="H41" s="54" t="n">
        <f aca="false">H30+H40</f>
        <v>41836.4333333333</v>
      </c>
      <c r="I41" s="54" t="n">
        <f aca="false">I30+I40</f>
        <v>41836.4333333333</v>
      </c>
      <c r="J41" s="54" t="n">
        <f aca="false">J30+J40</f>
        <v>41836.4333333333</v>
      </c>
      <c r="K41" s="54" t="n">
        <f aca="false">K30+K40</f>
        <v>15618.0433333333</v>
      </c>
      <c r="L41" s="54" t="n">
        <f aca="false">L30+L40</f>
        <v>15618.0433333333</v>
      </c>
      <c r="M41" s="54" t="n">
        <f aca="false">M30+M40</f>
        <v>15618.0433333333</v>
      </c>
      <c r="N41" s="54" t="n">
        <f aca="false">N30+N40</f>
        <v>15618.0433333333</v>
      </c>
      <c r="O41" s="54" t="n">
        <f aca="false">O30+O40</f>
        <v>23353.8983283333</v>
      </c>
      <c r="P41" s="54" t="n">
        <f aca="false">P30+P40</f>
        <v>23353.8983283333</v>
      </c>
      <c r="Q41" s="54" t="n">
        <f aca="false">Q30+Q40</f>
        <v>23353.8983283333</v>
      </c>
      <c r="R41" s="54" t="n">
        <f aca="false">R30+R40</f>
        <v>23353.8983283333</v>
      </c>
      <c r="S41" s="54" t="n">
        <f aca="false">S30+S40</f>
        <v>23353.8983283333</v>
      </c>
      <c r="T41" s="54" t="n">
        <f aca="false">T30+T40</f>
        <v>50797.0900933333</v>
      </c>
      <c r="U41" s="54" t="n">
        <f aca="false">U30+U40</f>
        <v>50797.0900933333</v>
      </c>
      <c r="V41" s="54" t="n">
        <f aca="false">V30+V40</f>
        <v>50797.0900933333</v>
      </c>
      <c r="W41" s="54" t="n">
        <f aca="false">W30+W40</f>
        <v>23353.8983283333</v>
      </c>
      <c r="X41" s="54" t="n">
        <f aca="false">X30+X40</f>
        <v>23353.8983283333</v>
      </c>
      <c r="Y41" s="54" t="n">
        <f aca="false">Y30+Y40</f>
        <v>23353.8983283333</v>
      </c>
      <c r="Z41" s="54" t="n">
        <f aca="false">Z30+Z40</f>
        <v>23353.8983283333</v>
      </c>
      <c r="AA41" s="54" t="n">
        <f aca="false">AA30+AA40</f>
        <v>32952.7240754108</v>
      </c>
      <c r="AB41" s="54" t="n">
        <f aca="false">AB30+AB40</f>
        <v>32952.7240754108</v>
      </c>
      <c r="AC41" s="54" t="n">
        <f aca="false">AC30+AC40</f>
        <v>32952.7240754108</v>
      </c>
      <c r="AD41" s="54" t="n">
        <f aca="false">AD30+AD40</f>
        <v>32952.7240754108</v>
      </c>
      <c r="AE41" s="54" t="n">
        <f aca="false">AE30+AE40</f>
        <v>32952.7240754108</v>
      </c>
      <c r="AF41" s="54" t="n">
        <f aca="false">AF30+AF40</f>
        <v>61291.8148842693</v>
      </c>
      <c r="AG41" s="54" t="n">
        <f aca="false">AG30+AG40</f>
        <v>61291.8148842693</v>
      </c>
      <c r="AH41" s="54" t="n">
        <f aca="false">AH30+AH40</f>
        <v>61291.8148842693</v>
      </c>
      <c r="AI41" s="54" t="n">
        <f aca="false">AI30+AI40</f>
        <v>32952.7240754108</v>
      </c>
      <c r="AJ41" s="54" t="n">
        <f aca="false">AJ30+AJ40</f>
        <v>32952.7240754108</v>
      </c>
      <c r="AK41" s="54" t="n">
        <f aca="false">AK30+AK40</f>
        <v>32952.7240754108</v>
      </c>
      <c r="AL41" s="54" t="n">
        <f aca="false">AL30+AL40</f>
        <v>32952.7240754108</v>
      </c>
      <c r="AM41" s="54" t="n">
        <f aca="false">AM30+AM40</f>
        <v>44825.7841812228</v>
      </c>
      <c r="AN41" s="54" t="n">
        <f aca="false">AN30+AN40</f>
        <v>44825.7841812228</v>
      </c>
      <c r="AO41" s="54" t="n">
        <f aca="false">AO30+AO40</f>
        <v>44825.7841812228</v>
      </c>
      <c r="AP41" s="54" t="n">
        <f aca="false">AP30+AP40</f>
        <v>44825.7841812228</v>
      </c>
      <c r="AQ41" s="54" t="n">
        <f aca="false">AQ30+AQ40</f>
        <v>44825.7841812228</v>
      </c>
      <c r="AR41" s="54" t="n">
        <f aca="false">AR30+AR40</f>
        <v>73585.9594006017</v>
      </c>
      <c r="AS41" s="54" t="n">
        <f aca="false">AS30+AS40</f>
        <v>73585.9594006017</v>
      </c>
      <c r="AT41" s="54" t="n">
        <f aca="false">AT30+AT40</f>
        <v>73585.9594006017</v>
      </c>
      <c r="AU41" s="54" t="n">
        <f aca="false">AU30+AU40</f>
        <v>44825.7841812228</v>
      </c>
      <c r="AV41" s="54" t="n">
        <f aca="false">AV30+AV40</f>
        <v>44825.7841812228</v>
      </c>
      <c r="AW41" s="54" t="n">
        <f aca="false">AW30+AW40</f>
        <v>44825.7841812228</v>
      </c>
      <c r="AX41" s="54" t="n">
        <f aca="false">AX30+AX40</f>
        <v>44825.7841812228</v>
      </c>
      <c r="AY41" s="54" t="n">
        <f aca="false">AY30+AY40</f>
        <v>59471.1815987522</v>
      </c>
      <c r="AZ41" s="54" t="n">
        <f aca="false">AZ30+AZ40</f>
        <v>59471.1815987522</v>
      </c>
      <c r="BA41" s="54" t="n">
        <f aca="false">BA30+BA40</f>
        <v>59471.1815987522</v>
      </c>
      <c r="BB41" s="54" t="n">
        <f aca="false">BB30+BB40</f>
        <v>59471.1815987522</v>
      </c>
      <c r="BC41" s="54" t="n">
        <f aca="false">BC30+BC40</f>
        <v>59471.1815987522</v>
      </c>
      <c r="BD41" s="54" t="n">
        <f aca="false">BD30+BD40</f>
        <v>87991.7027055981</v>
      </c>
      <c r="BE41" s="54" t="n">
        <f aca="false">BE30+BE40</f>
        <v>87991.7027055981</v>
      </c>
      <c r="BF41" s="54" t="n">
        <f aca="false">BF30+BF40</f>
        <v>87991.7027055981</v>
      </c>
      <c r="BG41" s="54" t="n">
        <f aca="false">BG30+BG40</f>
        <v>59471.1815987522</v>
      </c>
      <c r="BH41" s="54" t="n">
        <f aca="false">BH30+BH40</f>
        <v>59471.1815987522</v>
      </c>
      <c r="BI41" s="54" t="n">
        <f aca="false">BI30+BI40</f>
        <v>59471.1815987522</v>
      </c>
      <c r="BJ41" s="54" t="n">
        <f aca="false">BJ30+BJ40</f>
        <v>59471.1815987522</v>
      </c>
    </row>
    <row r="43" customFormat="false" ht="15.75" hidden="false" customHeight="true" outlineLevel="0" collapsed="false">
      <c r="A43" s="7" t="s">
        <v>361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75</v>
      </c>
      <c r="C44" s="60" t="n">
        <f aca="false">C41+C55</f>
        <v>15284.71</v>
      </c>
      <c r="D44" s="60" t="n">
        <f aca="false">D41+D55</f>
        <v>15284.71</v>
      </c>
      <c r="E44" s="60" t="n">
        <f aca="false">E41+E55</f>
        <v>15284.71</v>
      </c>
      <c r="F44" s="60" t="n">
        <f aca="false">F41+F55</f>
        <v>15284.71</v>
      </c>
      <c r="G44" s="60" t="n">
        <f aca="false">G41+G55</f>
        <v>15284.71</v>
      </c>
      <c r="H44" s="60" t="n">
        <f aca="false">H41+H55</f>
        <v>41503.1</v>
      </c>
      <c r="I44" s="60" t="n">
        <f aca="false">I41+I55</f>
        <v>41503.1</v>
      </c>
      <c r="J44" s="60" t="n">
        <f aca="false">J41+J55</f>
        <v>41503.1</v>
      </c>
      <c r="K44" s="60" t="n">
        <f aca="false">K41+K55</f>
        <v>15284.71</v>
      </c>
      <c r="L44" s="60" t="n">
        <f aca="false">L41+L55</f>
        <v>15284.71</v>
      </c>
      <c r="M44" s="60" t="n">
        <f aca="false">M41+M55</f>
        <v>15284.71</v>
      </c>
      <c r="N44" s="60" t="n">
        <f aca="false">N41+N55</f>
        <v>15284.71</v>
      </c>
      <c r="O44" s="60" t="n">
        <f aca="false">O41+O55</f>
        <v>22390.564995</v>
      </c>
      <c r="P44" s="60" t="n">
        <f aca="false">P41+P55</f>
        <v>22390.564995</v>
      </c>
      <c r="Q44" s="60" t="n">
        <f aca="false">Q41+Q55</f>
        <v>22390.564995</v>
      </c>
      <c r="R44" s="60" t="n">
        <f aca="false">R41+R55</f>
        <v>22390.564995</v>
      </c>
      <c r="S44" s="60" t="n">
        <f aca="false">S41+S55</f>
        <v>22390.564995</v>
      </c>
      <c r="T44" s="60" t="n">
        <f aca="false">T41+T55</f>
        <v>49833.75676</v>
      </c>
      <c r="U44" s="60" t="n">
        <f aca="false">U41+U55</f>
        <v>49833.75676</v>
      </c>
      <c r="V44" s="60" t="n">
        <f aca="false">V41+V55</f>
        <v>49833.75676</v>
      </c>
      <c r="W44" s="60" t="n">
        <f aca="false">W41+W55</f>
        <v>22390.564995</v>
      </c>
      <c r="X44" s="60" t="n">
        <f aca="false">X41+X55</f>
        <v>22390.564995</v>
      </c>
      <c r="Y44" s="60" t="n">
        <f aca="false">Y41+Y55</f>
        <v>22390.564995</v>
      </c>
      <c r="Z44" s="60" t="n">
        <f aca="false">Z41+Z55</f>
        <v>22390.564995</v>
      </c>
      <c r="AA44" s="60" t="n">
        <f aca="false">AA41+AA55</f>
        <v>31283.7907420775</v>
      </c>
      <c r="AB44" s="60" t="n">
        <f aca="false">AB41+AB55</f>
        <v>31283.7907420775</v>
      </c>
      <c r="AC44" s="60" t="n">
        <f aca="false">AC41+AC55</f>
        <v>31283.7907420775</v>
      </c>
      <c r="AD44" s="60" t="n">
        <f aca="false">AD41+AD55</f>
        <v>31283.7907420775</v>
      </c>
      <c r="AE44" s="60" t="n">
        <f aca="false">AE41+AE55</f>
        <v>31283.7907420775</v>
      </c>
      <c r="AF44" s="60" t="n">
        <f aca="false">AF41+AF55</f>
        <v>59622.881550936</v>
      </c>
      <c r="AG44" s="60" t="n">
        <f aca="false">AG41+AG55</f>
        <v>59622.881550936</v>
      </c>
      <c r="AH44" s="60" t="n">
        <f aca="false">AH41+AH55</f>
        <v>59622.881550936</v>
      </c>
      <c r="AI44" s="60" t="n">
        <f aca="false">AI41+AI55</f>
        <v>31283.7907420775</v>
      </c>
      <c r="AJ44" s="60" t="n">
        <f aca="false">AJ41+AJ55</f>
        <v>31283.7907420775</v>
      </c>
      <c r="AK44" s="60" t="n">
        <f aca="false">AK41+AK55</f>
        <v>31283.7907420775</v>
      </c>
      <c r="AL44" s="60" t="n">
        <f aca="false">AL41+AL55</f>
        <v>31283.7907420775</v>
      </c>
      <c r="AM44" s="60" t="n">
        <f aca="false">AM41+AM55</f>
        <v>42366.5788478894</v>
      </c>
      <c r="AN44" s="60" t="n">
        <f aca="false">AN41+AN55</f>
        <v>42366.5788478894</v>
      </c>
      <c r="AO44" s="60" t="n">
        <f aca="false">AO41+AO55</f>
        <v>42366.5788478894</v>
      </c>
      <c r="AP44" s="60" t="n">
        <f aca="false">AP41+AP55</f>
        <v>42366.5788478894</v>
      </c>
      <c r="AQ44" s="60" t="n">
        <f aca="false">AQ41+AQ55</f>
        <v>42366.5788478894</v>
      </c>
      <c r="AR44" s="60" t="n">
        <f aca="false">AR41+AR55</f>
        <v>71126.7540672684</v>
      </c>
      <c r="AS44" s="60" t="n">
        <f aca="false">AS41+AS55</f>
        <v>71126.7540672684</v>
      </c>
      <c r="AT44" s="60" t="n">
        <f aca="false">AT41+AT55</f>
        <v>71126.7540672684</v>
      </c>
      <c r="AU44" s="60" t="n">
        <f aca="false">AU41+AU55</f>
        <v>42366.5788478894</v>
      </c>
      <c r="AV44" s="60" t="n">
        <f aca="false">AV41+AV55</f>
        <v>42366.5788478894</v>
      </c>
      <c r="AW44" s="60" t="n">
        <f aca="false">AW41+AW55</f>
        <v>42366.5788478894</v>
      </c>
      <c r="AX44" s="60" t="n">
        <f aca="false">AX41+AX55</f>
        <v>42366.5788478894</v>
      </c>
      <c r="AY44" s="60" t="n">
        <f aca="false">AY41+AY55</f>
        <v>56126.8716254188</v>
      </c>
      <c r="AZ44" s="60" t="n">
        <f aca="false">AZ41+AZ55</f>
        <v>56126.8716254188</v>
      </c>
      <c r="BA44" s="60" t="n">
        <f aca="false">BA41+BA55</f>
        <v>56126.8716254188</v>
      </c>
      <c r="BB44" s="60" t="n">
        <f aca="false">BB41+BB55</f>
        <v>56126.8716254188</v>
      </c>
      <c r="BC44" s="60" t="n">
        <f aca="false">BC41+BC55</f>
        <v>56126.8716254188</v>
      </c>
      <c r="BD44" s="60" t="n">
        <f aca="false">BD41+BD55</f>
        <v>84647.3927322648</v>
      </c>
      <c r="BE44" s="60" t="n">
        <f aca="false">BE41+BE55</f>
        <v>84647.3927322648</v>
      </c>
      <c r="BF44" s="60" t="n">
        <f aca="false">BF41+BF55</f>
        <v>84647.3927322648</v>
      </c>
      <c r="BG44" s="60" t="n">
        <f aca="false">BG41+BG55</f>
        <v>56126.8716254188</v>
      </c>
      <c r="BH44" s="60" t="n">
        <f aca="false">BH41+BH55</f>
        <v>56126.8716254188</v>
      </c>
      <c r="BI44" s="60" t="n">
        <f aca="false">BI41+BI55</f>
        <v>56126.8716254188</v>
      </c>
      <c r="BJ44" s="60" t="n">
        <f aca="false">BJ41+BJ55</f>
        <v>56126.8716254188</v>
      </c>
    </row>
    <row r="45" customFormat="false" ht="15" hidden="false" customHeight="false" outlineLevel="0" collapsed="false">
      <c r="A45" s="6" t="s">
        <v>362</v>
      </c>
      <c r="C45" s="53" t="n">
        <f aca="false">-(C60+C61+C63)/2*Inputs!$E$56/12</f>
        <v>-1666.66666666667</v>
      </c>
      <c r="D45" s="53" t="n">
        <f aca="false">-(D60+D61+D63)/2*Inputs!$E$56/12</f>
        <v>-1652.77777777778</v>
      </c>
      <c r="E45" s="53" t="n">
        <f aca="false">-(E60+E61+E63)/2*Inputs!$E$56/12</f>
        <v>-1625</v>
      </c>
      <c r="F45" s="53" t="n">
        <f aca="false">-(F60+F61+F63)/2*Inputs!$E$56/12</f>
        <v>-1597.22222222222</v>
      </c>
      <c r="G45" s="53" t="n">
        <f aca="false">-(G60+G61+G63)/2*Inputs!$E$56/12</f>
        <v>-1569.44444444444</v>
      </c>
      <c r="H45" s="53" t="n">
        <f aca="false">-(H60+H61+H63)/2*Inputs!$E$56/12</f>
        <v>-1541.66666666667</v>
      </c>
      <c r="I45" s="53" t="n">
        <f aca="false">-(I60+I61+I63)/2*Inputs!$E$56/12</f>
        <v>-1513.88888888889</v>
      </c>
      <c r="J45" s="53" t="n">
        <f aca="false">-(J60+J61+J63)/2*Inputs!$E$56/12</f>
        <v>-1486.11111111111</v>
      </c>
      <c r="K45" s="53" t="n">
        <f aca="false">-(K60+K61+K63)/2*Inputs!$E$56/12</f>
        <v>-1458.33333333333</v>
      </c>
      <c r="L45" s="53" t="n">
        <f aca="false">-(L60+L61+L63)/2*Inputs!$E$56/12</f>
        <v>-1430.55555555556</v>
      </c>
      <c r="M45" s="53" t="n">
        <f aca="false">-(M60+M61+M63)/2*Inputs!$E$56/12</f>
        <v>-1402.77777777778</v>
      </c>
      <c r="N45" s="53" t="n">
        <f aca="false">-(N60+N61+N63)/2*Inputs!$E$56/12</f>
        <v>-1375</v>
      </c>
      <c r="O45" s="53" t="n">
        <f aca="false">-(O60+O61+O63)/2*Inputs!$E$56/12</f>
        <v>-1347.22222222222</v>
      </c>
      <c r="P45" s="53" t="n">
        <f aca="false">-(P60+P61+P63)/2*Inputs!$E$56/12</f>
        <v>-1319.44444444445</v>
      </c>
      <c r="Q45" s="53" t="n">
        <f aca="false">-(Q60+Q61+Q63)/2*Inputs!$E$56/12</f>
        <v>-1291.66666666667</v>
      </c>
      <c r="R45" s="53" t="n">
        <f aca="false">-(R60+R61+R63)/2*Inputs!$E$56/12</f>
        <v>-1263.88888888889</v>
      </c>
      <c r="S45" s="53" t="n">
        <f aca="false">-(S60+S61+S63)/2*Inputs!$E$56/12</f>
        <v>-1236.11111111111</v>
      </c>
      <c r="T45" s="53" t="n">
        <f aca="false">-(T60+T61+T63)/2*Inputs!$E$56/12</f>
        <v>-1208.33333333333</v>
      </c>
      <c r="U45" s="53" t="n">
        <f aca="false">-(U60+U61+U63)/2*Inputs!$E$56/12</f>
        <v>-1180.55555555556</v>
      </c>
      <c r="V45" s="53" t="n">
        <f aca="false">-(V60+V61+V63)/2*Inputs!$E$56/12</f>
        <v>-1152.77777777778</v>
      </c>
      <c r="W45" s="53" t="n">
        <f aca="false">-(W60+W61+W63)/2*Inputs!$E$56/12</f>
        <v>-1125</v>
      </c>
      <c r="X45" s="53" t="n">
        <f aca="false">-(X60+X61+X63)/2*Inputs!$E$56/12</f>
        <v>-1097.22222222222</v>
      </c>
      <c r="Y45" s="53" t="n">
        <f aca="false">-(Y60+Y61+Y63)/2*Inputs!$E$56/12</f>
        <v>-1069.44444444445</v>
      </c>
      <c r="Z45" s="53" t="n">
        <f aca="false">-(Z60+Z61+Z63)/2*Inputs!$E$56/12</f>
        <v>-1041.66666666667</v>
      </c>
      <c r="AA45" s="53" t="n">
        <f aca="false">-(AA60+AA61+AA63)/2*Inputs!$E$56/12</f>
        <v>-1013.88888888889</v>
      </c>
      <c r="AB45" s="53" t="n">
        <f aca="false">-(AB60+AB61+AB63)/2*Inputs!$E$56/12</f>
        <v>-986.111111111113</v>
      </c>
      <c r="AC45" s="53" t="n">
        <f aca="false">-(AC60+AC61+AC63)/2*Inputs!$E$56/12</f>
        <v>-958.333333333335</v>
      </c>
      <c r="AD45" s="53" t="n">
        <f aca="false">-(AD60+AD61+AD63)/2*Inputs!$E$56/12</f>
        <v>-930.555555555557</v>
      </c>
      <c r="AE45" s="53" t="n">
        <f aca="false">-(AE60+AE61+AE63)/2*Inputs!$E$56/12</f>
        <v>-902.77777777778</v>
      </c>
      <c r="AF45" s="53" t="n">
        <f aca="false">-(AF60+AF61+AF63)/2*Inputs!$E$56/12</f>
        <v>-875.000000000002</v>
      </c>
      <c r="AG45" s="53" t="n">
        <f aca="false">-(AG60+AG61+AG63)/2*Inputs!$E$56/12</f>
        <v>-847.222222222224</v>
      </c>
      <c r="AH45" s="53" t="n">
        <f aca="false">-(AH60+AH61+AH63)/2*Inputs!$E$56/12</f>
        <v>-819.444444444446</v>
      </c>
      <c r="AI45" s="53" t="n">
        <f aca="false">-(AI60+AI61+AI63)/2*Inputs!$E$56/12</f>
        <v>-791.666666666668</v>
      </c>
      <c r="AJ45" s="53" t="n">
        <f aca="false">-(AJ60+AJ61+AJ63)/2*Inputs!$E$56/12</f>
        <v>-763.888888888891</v>
      </c>
      <c r="AK45" s="53" t="n">
        <f aca="false">-(AK60+AK61+AK63)/2*Inputs!$E$56/12</f>
        <v>-736.111111111113</v>
      </c>
      <c r="AL45" s="53" t="n">
        <f aca="false">-(AL60+AL61+AL63)/2*Inputs!$E$56/12</f>
        <v>-708.333333333335</v>
      </c>
      <c r="AM45" s="53" t="n">
        <f aca="false">-(AM60+AM61+AM63)/2*Inputs!$E$56/12</f>
        <v>-680.555555555557</v>
      </c>
      <c r="AN45" s="53" t="n">
        <f aca="false">-(AN60+AN61+AN63)/2*Inputs!$E$56/12</f>
        <v>-652.777777777779</v>
      </c>
      <c r="AO45" s="53" t="n">
        <f aca="false">-(AO60+AO61+AO63)/2*Inputs!$E$56/12</f>
        <v>-625.000000000002</v>
      </c>
      <c r="AP45" s="53" t="n">
        <f aca="false">-(AP60+AP61+AP63)/2*Inputs!$E$56/12</f>
        <v>-597.222222222224</v>
      </c>
      <c r="AQ45" s="53" t="n">
        <f aca="false">-(AQ60+AQ61+AQ63)/2*Inputs!$E$56/12</f>
        <v>-569.444444444446</v>
      </c>
      <c r="AR45" s="53" t="n">
        <f aca="false">-(AR60+AR61+AR63)/2*Inputs!$E$56/12</f>
        <v>-541.666666666668</v>
      </c>
      <c r="AS45" s="53" t="n">
        <f aca="false">-(AS60+AS61+AS63)/2*Inputs!$E$56/12</f>
        <v>-513.88888888889</v>
      </c>
      <c r="AT45" s="53" t="n">
        <f aca="false">-(AT60+AT61+AT63)/2*Inputs!$E$56/12</f>
        <v>-486.111111111112</v>
      </c>
      <c r="AU45" s="53" t="n">
        <f aca="false">-(AU60+AU61+AU63)/2*Inputs!$E$56/12</f>
        <v>-458.333333333335</v>
      </c>
      <c r="AV45" s="53" t="n">
        <f aca="false">-(AV60+AV61+AV63)/2*Inputs!$E$56/12</f>
        <v>-430.555555555557</v>
      </c>
      <c r="AW45" s="53" t="n">
        <f aca="false">-(AW60+AW61+AW63)/2*Inputs!$E$56/12</f>
        <v>-402.777777777779</v>
      </c>
      <c r="AX45" s="53" t="n">
        <f aca="false">-(AX60+AX61+AX63)/2*Inputs!$E$56/12</f>
        <v>-375.000000000001</v>
      </c>
      <c r="AY45" s="53" t="n">
        <f aca="false">-(AY60+AY61+AY63)/2*Inputs!$E$56/12</f>
        <v>-347.222222222224</v>
      </c>
      <c r="AZ45" s="53" t="n">
        <f aca="false">-(AZ60+AZ61+AZ63)/2*Inputs!$E$56/12</f>
        <v>-319.444444444446</v>
      </c>
      <c r="BA45" s="53" t="n">
        <f aca="false">-(BA60+BA61+BA63)/2*Inputs!$E$56/12</f>
        <v>-291.666666666668</v>
      </c>
      <c r="BB45" s="53" t="n">
        <f aca="false">-(BB60+BB61+BB63)/2*Inputs!$E$56/12</f>
        <v>-263.88888888889</v>
      </c>
      <c r="BC45" s="53" t="n">
        <f aca="false">-(BC60+BC61+BC63)/2*Inputs!$E$56/12</f>
        <v>-236.111111111112</v>
      </c>
      <c r="BD45" s="53" t="n">
        <f aca="false">-(BD60+BD61+BD63)/2*Inputs!$E$56/12</f>
        <v>-208.333333333335</v>
      </c>
      <c r="BE45" s="53" t="n">
        <f aca="false">-(BE60+BE61+BE63)/2*Inputs!$E$56/12</f>
        <v>-180.555555555557</v>
      </c>
      <c r="BF45" s="53" t="n">
        <f aca="false">-(BF60+BF61+BF63)/2*Inputs!$E$56/12</f>
        <v>-152.777777777779</v>
      </c>
      <c r="BG45" s="53" t="n">
        <f aca="false">-(BG60+BG61+BG63)/2*Inputs!$E$56/12</f>
        <v>-125.000000000001</v>
      </c>
      <c r="BH45" s="53" t="n">
        <f aca="false">-(BH60+BH61+BH63)/2*Inputs!$E$56/12</f>
        <v>-97.2222222222236</v>
      </c>
      <c r="BI45" s="53" t="n">
        <f aca="false">-(BI60+BI61+BI63)/2*Inputs!$E$56/12</f>
        <v>-69.4444444444458</v>
      </c>
      <c r="BJ45" s="53" t="n">
        <f aca="false">-(BJ60+BJ61+BJ63)/2*Inputs!$E$56/12</f>
        <v>-41.666666666668</v>
      </c>
    </row>
    <row r="46" customFormat="false" ht="15" hidden="false" customHeight="false" outlineLevel="0" collapsed="false">
      <c r="A46" s="95" t="s">
        <v>77</v>
      </c>
      <c r="C46" s="54" t="n">
        <f aca="false">C44+C45</f>
        <v>13618.0433333333</v>
      </c>
      <c r="D46" s="54" t="n">
        <f aca="false">D44+D45</f>
        <v>13631.9322222222</v>
      </c>
      <c r="E46" s="54" t="n">
        <f aca="false">E44+E45</f>
        <v>13659.71</v>
      </c>
      <c r="F46" s="54" t="n">
        <f aca="false">F44+F45</f>
        <v>13687.4877777778</v>
      </c>
      <c r="G46" s="54" t="n">
        <f aca="false">G44+G45</f>
        <v>13715.2655555555</v>
      </c>
      <c r="H46" s="54" t="n">
        <f aca="false">H44+H45</f>
        <v>39961.4333333333</v>
      </c>
      <c r="I46" s="54" t="n">
        <f aca="false">I44+I45</f>
        <v>39989.2111111111</v>
      </c>
      <c r="J46" s="54" t="n">
        <f aca="false">J44+J45</f>
        <v>40016.9888888889</v>
      </c>
      <c r="K46" s="54" t="n">
        <f aca="false">K44+K45</f>
        <v>13826.3766666667</v>
      </c>
      <c r="L46" s="54" t="n">
        <f aca="false">L44+L45</f>
        <v>13854.1544444444</v>
      </c>
      <c r="M46" s="54" t="n">
        <f aca="false">M44+M45</f>
        <v>13881.9322222222</v>
      </c>
      <c r="N46" s="54" t="n">
        <f aca="false">N44+N45</f>
        <v>13909.71</v>
      </c>
      <c r="O46" s="54" t="n">
        <f aca="false">O44+O45</f>
        <v>21043.3427727778</v>
      </c>
      <c r="P46" s="54" t="n">
        <f aca="false">P44+P45</f>
        <v>21071.1205505555</v>
      </c>
      <c r="Q46" s="54" t="n">
        <f aca="false">Q44+Q45</f>
        <v>21098.8983283333</v>
      </c>
      <c r="R46" s="54" t="n">
        <f aca="false">R44+R45</f>
        <v>21126.6761061111</v>
      </c>
      <c r="S46" s="54" t="n">
        <f aca="false">S44+S45</f>
        <v>21154.4538838889</v>
      </c>
      <c r="T46" s="54" t="n">
        <f aca="false">T44+T45</f>
        <v>48625.4234266667</v>
      </c>
      <c r="U46" s="54" t="n">
        <f aca="false">U44+U45</f>
        <v>48653.2012044444</v>
      </c>
      <c r="V46" s="54" t="n">
        <f aca="false">V44+V45</f>
        <v>48680.9789822222</v>
      </c>
      <c r="W46" s="54" t="n">
        <f aca="false">W44+W45</f>
        <v>21265.564995</v>
      </c>
      <c r="X46" s="54" t="n">
        <f aca="false">X44+X45</f>
        <v>21293.3427727778</v>
      </c>
      <c r="Y46" s="54" t="n">
        <f aca="false">Y44+Y45</f>
        <v>21321.1205505555</v>
      </c>
      <c r="Z46" s="54" t="n">
        <f aca="false">Z44+Z45</f>
        <v>21348.8983283333</v>
      </c>
      <c r="AA46" s="54" t="n">
        <f aca="false">AA44+AA45</f>
        <v>30269.9018531886</v>
      </c>
      <c r="AB46" s="54" t="n">
        <f aca="false">AB44+AB45</f>
        <v>30297.6796309664</v>
      </c>
      <c r="AC46" s="54" t="n">
        <f aca="false">AC44+AC45</f>
        <v>30325.4574087442</v>
      </c>
      <c r="AD46" s="54" t="n">
        <f aca="false">AD44+AD45</f>
        <v>30353.2351865219</v>
      </c>
      <c r="AE46" s="54" t="n">
        <f aca="false">AE44+AE45</f>
        <v>30381.0129642997</v>
      </c>
      <c r="AF46" s="54" t="n">
        <f aca="false">AF44+AF45</f>
        <v>58747.881550936</v>
      </c>
      <c r="AG46" s="54" t="n">
        <f aca="false">AG44+AG45</f>
        <v>58775.6593287138</v>
      </c>
      <c r="AH46" s="54" t="n">
        <f aca="false">AH44+AH45</f>
        <v>58803.4371064916</v>
      </c>
      <c r="AI46" s="54" t="n">
        <f aca="false">AI44+AI45</f>
        <v>30492.1240754108</v>
      </c>
      <c r="AJ46" s="54" t="n">
        <f aca="false">AJ44+AJ45</f>
        <v>30519.9018531886</v>
      </c>
      <c r="AK46" s="54" t="n">
        <f aca="false">AK44+AK45</f>
        <v>30547.6796309664</v>
      </c>
      <c r="AL46" s="54" t="n">
        <f aca="false">AL44+AL45</f>
        <v>30575.4574087442</v>
      </c>
      <c r="AM46" s="54" t="n">
        <f aca="false">AM44+AM45</f>
        <v>41686.0232923339</v>
      </c>
      <c r="AN46" s="54" t="n">
        <f aca="false">AN44+AN45</f>
        <v>41713.8010701117</v>
      </c>
      <c r="AO46" s="54" t="n">
        <f aca="false">AO44+AO45</f>
        <v>41741.5788478894</v>
      </c>
      <c r="AP46" s="54" t="n">
        <f aca="false">AP44+AP45</f>
        <v>41769.3566256672</v>
      </c>
      <c r="AQ46" s="54" t="n">
        <f aca="false">AQ44+AQ45</f>
        <v>41797.134403445</v>
      </c>
      <c r="AR46" s="54" t="n">
        <f aca="false">AR44+AR45</f>
        <v>70585.0874006017</v>
      </c>
      <c r="AS46" s="54" t="n">
        <f aca="false">AS44+AS45</f>
        <v>70612.8651783795</v>
      </c>
      <c r="AT46" s="54" t="n">
        <f aca="false">AT44+AT45</f>
        <v>70640.6429561573</v>
      </c>
      <c r="AU46" s="54" t="n">
        <f aca="false">AU44+AU45</f>
        <v>41908.2455145561</v>
      </c>
      <c r="AV46" s="54" t="n">
        <f aca="false">AV44+AV45</f>
        <v>41936.0232923339</v>
      </c>
      <c r="AW46" s="54" t="n">
        <f aca="false">AW44+AW45</f>
        <v>41963.8010701117</v>
      </c>
      <c r="AX46" s="54" t="n">
        <f aca="false">AX44+AX45</f>
        <v>41991.5788478894</v>
      </c>
      <c r="AY46" s="54" t="n">
        <f aca="false">AY44+AY45</f>
        <v>55779.6494031966</v>
      </c>
      <c r="AZ46" s="54" t="n">
        <f aca="false">AZ44+AZ45</f>
        <v>55807.4271809744</v>
      </c>
      <c r="BA46" s="54" t="n">
        <f aca="false">BA44+BA45</f>
        <v>55835.2049587522</v>
      </c>
      <c r="BB46" s="54" t="n">
        <f aca="false">BB44+BB45</f>
        <v>55862.9827365299</v>
      </c>
      <c r="BC46" s="54" t="n">
        <f aca="false">BC44+BC45</f>
        <v>55890.7605143077</v>
      </c>
      <c r="BD46" s="54" t="n">
        <f aca="false">BD44+BD45</f>
        <v>84439.0593989314</v>
      </c>
      <c r="BE46" s="54" t="n">
        <f aca="false">BE44+BE45</f>
        <v>84466.8371767092</v>
      </c>
      <c r="BF46" s="54" t="n">
        <f aca="false">BF44+BF45</f>
        <v>84494.614954487</v>
      </c>
      <c r="BG46" s="54" t="n">
        <f aca="false">BG44+BG45</f>
        <v>56001.8716254188</v>
      </c>
      <c r="BH46" s="54" t="n">
        <f aca="false">BH44+BH45</f>
        <v>56029.6494031966</v>
      </c>
      <c r="BI46" s="54" t="n">
        <f aca="false">BI44+BI45</f>
        <v>56057.4271809744</v>
      </c>
      <c r="BJ46" s="54" t="n">
        <f aca="false">BJ44+BJ45</f>
        <v>56085.2049587522</v>
      </c>
    </row>
    <row r="47" customFormat="false" ht="15" hidden="false" customHeight="false" outlineLevel="0" collapsed="false">
      <c r="A47" s="103" t="s">
        <v>363</v>
      </c>
      <c r="C47" s="53" t="n">
        <f aca="false">C46</f>
        <v>13618.0433333333</v>
      </c>
      <c r="D47" s="53" t="n">
        <f aca="false">C47+D46</f>
        <v>27249.9755555555</v>
      </c>
      <c r="E47" s="53" t="n">
        <f aca="false">D47+E46</f>
        <v>40909.6855555555</v>
      </c>
      <c r="F47" s="53" t="n">
        <f aca="false">E47+F46</f>
        <v>54597.1733333333</v>
      </c>
      <c r="G47" s="53" t="n">
        <f aca="false">F47+G46</f>
        <v>68312.4388888889</v>
      </c>
      <c r="H47" s="53" t="n">
        <f aca="false">G47+H46</f>
        <v>108273.872222222</v>
      </c>
      <c r="I47" s="53" t="n">
        <f aca="false">H47+I46</f>
        <v>148263.083333333</v>
      </c>
      <c r="J47" s="53" t="n">
        <f aca="false">I47+J46</f>
        <v>188280.072222222</v>
      </c>
      <c r="K47" s="53" t="n">
        <f aca="false">J47+K46</f>
        <v>202106.448888889</v>
      </c>
      <c r="L47" s="53" t="n">
        <f aca="false">K47+L46</f>
        <v>215960.603333333</v>
      </c>
      <c r="M47" s="53" t="n">
        <f aca="false">L47+M46</f>
        <v>229842.535555556</v>
      </c>
      <c r="N47" s="53" t="n">
        <f aca="false">M47+N46</f>
        <v>243752.245555556</v>
      </c>
      <c r="O47" s="53" t="n">
        <f aca="false">N47+O46</f>
        <v>264795.588328333</v>
      </c>
      <c r="P47" s="53" t="n">
        <f aca="false">O47+P46</f>
        <v>285866.708878889</v>
      </c>
      <c r="Q47" s="53" t="n">
        <f aca="false">P47+Q46</f>
        <v>306965.607207222</v>
      </c>
      <c r="R47" s="53" t="n">
        <f aca="false">Q47+R46</f>
        <v>328092.283313333</v>
      </c>
      <c r="S47" s="53" t="n">
        <f aca="false">R47+S46</f>
        <v>349246.737197222</v>
      </c>
      <c r="T47" s="53" t="n">
        <f aca="false">S47+T46</f>
        <v>397872.160623889</v>
      </c>
      <c r="U47" s="53" t="n">
        <f aca="false">T47+U46</f>
        <v>446525.361828333</v>
      </c>
      <c r="V47" s="53" t="n">
        <f aca="false">U47+V46</f>
        <v>495206.340810555</v>
      </c>
      <c r="W47" s="53" t="n">
        <f aca="false">V47+W46</f>
        <v>516471.905805555</v>
      </c>
      <c r="X47" s="53" t="n">
        <f aca="false">W47+X46</f>
        <v>537765.248578333</v>
      </c>
      <c r="Y47" s="53" t="n">
        <f aca="false">X47+Y46</f>
        <v>559086.369128889</v>
      </c>
      <c r="Z47" s="53" t="n">
        <f aca="false">Y47+Z46</f>
        <v>580435.267457222</v>
      </c>
      <c r="AA47" s="53" t="n">
        <f aca="false">Z47+AA46</f>
        <v>610705.169310411</v>
      </c>
      <c r="AB47" s="53" t="n">
        <f aca="false">AA47+AB46</f>
        <v>641002.848941377</v>
      </c>
      <c r="AC47" s="53" t="n">
        <f aca="false">AB47+AC46</f>
        <v>671328.306350121</v>
      </c>
      <c r="AD47" s="53" t="n">
        <f aca="false">AC47+AD46</f>
        <v>701681.541536643</v>
      </c>
      <c r="AE47" s="53" t="n">
        <f aca="false">AD47+AE46</f>
        <v>732062.554500943</v>
      </c>
      <c r="AF47" s="53" t="n">
        <f aca="false">AE47+AF46</f>
        <v>790810.436051879</v>
      </c>
      <c r="AG47" s="53" t="n">
        <f aca="false">AF47+AG46</f>
        <v>849586.095380593</v>
      </c>
      <c r="AH47" s="53" t="n">
        <f aca="false">AG47+AH46</f>
        <v>908389.532487084</v>
      </c>
      <c r="AI47" s="53" t="n">
        <f aca="false">AH47+AI46</f>
        <v>938881.656562495</v>
      </c>
      <c r="AJ47" s="53" t="n">
        <f aca="false">AI47+AJ46</f>
        <v>969401.558415684</v>
      </c>
      <c r="AK47" s="53" t="n">
        <f aca="false">AJ47+AK46</f>
        <v>999949.23804665</v>
      </c>
      <c r="AL47" s="53" t="n">
        <f aca="false">AK47+AL46</f>
        <v>1030524.69545539</v>
      </c>
      <c r="AM47" s="53" t="n">
        <f aca="false">AL47+AM46</f>
        <v>1072210.71874773</v>
      </c>
      <c r="AN47" s="53" t="n">
        <f aca="false">AM47+AN46</f>
        <v>1113924.51981784</v>
      </c>
      <c r="AO47" s="53" t="n">
        <f aca="false">AN47+AO46</f>
        <v>1155666.09866573</v>
      </c>
      <c r="AP47" s="53" t="n">
        <f aca="false">AO47+AP46</f>
        <v>1197435.4552914</v>
      </c>
      <c r="AQ47" s="53" t="n">
        <f aca="false">AP47+AQ46</f>
        <v>1239232.58969484</v>
      </c>
      <c r="AR47" s="53" t="n">
        <f aca="false">AQ47+AR46</f>
        <v>1309817.67709544</v>
      </c>
      <c r="AS47" s="53" t="n">
        <f aca="false">AR47+AS46</f>
        <v>1380430.54227382</v>
      </c>
      <c r="AT47" s="53" t="n">
        <f aca="false">AS47+AT46</f>
        <v>1451071.18522998</v>
      </c>
      <c r="AU47" s="53" t="n">
        <f aca="false">AT47+AU46</f>
        <v>1492979.43074454</v>
      </c>
      <c r="AV47" s="53" t="n">
        <f aca="false">AU47+AV46</f>
        <v>1534915.45403687</v>
      </c>
      <c r="AW47" s="53" t="n">
        <f aca="false">AV47+AW46</f>
        <v>1576879.25510698</v>
      </c>
      <c r="AX47" s="53" t="n">
        <f aca="false">AW47+AX46</f>
        <v>1618870.83395487</v>
      </c>
      <c r="AY47" s="53" t="n">
        <f aca="false">AX47+AY46</f>
        <v>1674650.48335807</v>
      </c>
      <c r="AZ47" s="53" t="n">
        <f aca="false">AY47+AZ46</f>
        <v>1730457.91053904</v>
      </c>
      <c r="BA47" s="53" t="n">
        <f aca="false">AZ47+BA46</f>
        <v>1786293.11549779</v>
      </c>
      <c r="BB47" s="53" t="n">
        <f aca="false">BA47+BB46</f>
        <v>1842156.09823432</v>
      </c>
      <c r="BC47" s="53" t="n">
        <f aca="false">BB47+BC46</f>
        <v>1898046.85874863</v>
      </c>
      <c r="BD47" s="53" t="n">
        <f aca="false">BC47+BD46</f>
        <v>1982485.91814756</v>
      </c>
      <c r="BE47" s="53" t="n">
        <f aca="false">BD47+BE46</f>
        <v>2066952.75532427</v>
      </c>
      <c r="BF47" s="53" t="n">
        <f aca="false">BE47+BF46</f>
        <v>2151447.37027876</v>
      </c>
      <c r="BG47" s="53" t="n">
        <f aca="false">BF47+BG46</f>
        <v>2207449.24190418</v>
      </c>
      <c r="BH47" s="53" t="n">
        <f aca="false">BG47+BH46</f>
        <v>2263478.89130738</v>
      </c>
      <c r="BI47" s="53" t="n">
        <f aca="false">BH47+BI46</f>
        <v>2319536.31848835</v>
      </c>
      <c r="BJ47" s="53" t="n">
        <f aca="false">BI47+BJ46</f>
        <v>2375621.5234471</v>
      </c>
    </row>
    <row r="48" customFormat="false" ht="15" hidden="false" customHeight="false" outlineLevel="0" collapsed="false">
      <c r="A48" s="103" t="s">
        <v>364</v>
      </c>
      <c r="C48" s="53" t="n">
        <f aca="false">MAX(0,C47)</f>
        <v>13618.0433333333</v>
      </c>
      <c r="D48" s="53" t="n">
        <f aca="false">MAX(C48,D47)</f>
        <v>27249.9755555555</v>
      </c>
      <c r="E48" s="53" t="n">
        <f aca="false">MAX(D48,E47)</f>
        <v>40909.6855555555</v>
      </c>
      <c r="F48" s="53" t="n">
        <f aca="false">MAX(E48,F47)</f>
        <v>54597.1733333333</v>
      </c>
      <c r="G48" s="53" t="n">
        <f aca="false">MAX(F48,G47)</f>
        <v>68312.4388888889</v>
      </c>
      <c r="H48" s="53" t="n">
        <f aca="false">MAX(G48,H47)</f>
        <v>108273.872222222</v>
      </c>
      <c r="I48" s="53" t="n">
        <f aca="false">MAX(H48,I47)</f>
        <v>148263.083333333</v>
      </c>
      <c r="J48" s="53" t="n">
        <f aca="false">MAX(I48,J47)</f>
        <v>188280.072222222</v>
      </c>
      <c r="K48" s="53" t="n">
        <f aca="false">MAX(J48,K47)</f>
        <v>202106.448888889</v>
      </c>
      <c r="L48" s="53" t="n">
        <f aca="false">MAX(K48,L47)</f>
        <v>215960.603333333</v>
      </c>
      <c r="M48" s="53" t="n">
        <f aca="false">MAX(L48,M47)</f>
        <v>229842.535555556</v>
      </c>
      <c r="N48" s="53" t="n">
        <f aca="false">MAX(M48,N47)</f>
        <v>243752.245555556</v>
      </c>
      <c r="O48" s="53" t="n">
        <f aca="false">MAX(N48,O47)</f>
        <v>264795.588328333</v>
      </c>
      <c r="P48" s="53" t="n">
        <f aca="false">MAX(O48,P47)</f>
        <v>285866.708878889</v>
      </c>
      <c r="Q48" s="53" t="n">
        <f aca="false">MAX(P48,Q47)</f>
        <v>306965.607207222</v>
      </c>
      <c r="R48" s="53" t="n">
        <f aca="false">MAX(Q48,R47)</f>
        <v>328092.283313333</v>
      </c>
      <c r="S48" s="53" t="n">
        <f aca="false">MAX(R48,S47)</f>
        <v>349246.737197222</v>
      </c>
      <c r="T48" s="53" t="n">
        <f aca="false">MAX(S48,T47)</f>
        <v>397872.160623889</v>
      </c>
      <c r="U48" s="53" t="n">
        <f aca="false">MAX(T48,U47)</f>
        <v>446525.361828333</v>
      </c>
      <c r="V48" s="53" t="n">
        <f aca="false">MAX(U48,V47)</f>
        <v>495206.340810555</v>
      </c>
      <c r="W48" s="53" t="n">
        <f aca="false">MAX(V48,W47)</f>
        <v>516471.905805555</v>
      </c>
      <c r="X48" s="53" t="n">
        <f aca="false">MAX(W48,X47)</f>
        <v>537765.248578333</v>
      </c>
      <c r="Y48" s="53" t="n">
        <f aca="false">MAX(X48,Y47)</f>
        <v>559086.369128889</v>
      </c>
      <c r="Z48" s="53" t="n">
        <f aca="false">MAX(Y48,Z47)</f>
        <v>580435.267457222</v>
      </c>
      <c r="AA48" s="53" t="n">
        <f aca="false">MAX(Z48,AA47)</f>
        <v>610705.169310411</v>
      </c>
      <c r="AB48" s="53" t="n">
        <f aca="false">MAX(AA48,AB47)</f>
        <v>641002.848941377</v>
      </c>
      <c r="AC48" s="53" t="n">
        <f aca="false">MAX(AB48,AC47)</f>
        <v>671328.306350121</v>
      </c>
      <c r="AD48" s="53" t="n">
        <f aca="false">MAX(AC48,AD47)</f>
        <v>701681.541536643</v>
      </c>
      <c r="AE48" s="53" t="n">
        <f aca="false">MAX(AD48,AE47)</f>
        <v>732062.554500943</v>
      </c>
      <c r="AF48" s="53" t="n">
        <f aca="false">MAX(AE48,AF47)</f>
        <v>790810.436051879</v>
      </c>
      <c r="AG48" s="53" t="n">
        <f aca="false">MAX(AF48,AG47)</f>
        <v>849586.095380593</v>
      </c>
      <c r="AH48" s="53" t="n">
        <f aca="false">MAX(AG48,AH47)</f>
        <v>908389.532487084</v>
      </c>
      <c r="AI48" s="53" t="n">
        <f aca="false">MAX(AH48,AI47)</f>
        <v>938881.656562495</v>
      </c>
      <c r="AJ48" s="53" t="n">
        <f aca="false">MAX(AI48,AJ47)</f>
        <v>969401.558415684</v>
      </c>
      <c r="AK48" s="53" t="n">
        <f aca="false">MAX(AJ48,AK47)</f>
        <v>999949.23804665</v>
      </c>
      <c r="AL48" s="53" t="n">
        <f aca="false">MAX(AK48,AL47)</f>
        <v>1030524.69545539</v>
      </c>
      <c r="AM48" s="53" t="n">
        <f aca="false">MAX(AL48,AM47)</f>
        <v>1072210.71874773</v>
      </c>
      <c r="AN48" s="53" t="n">
        <f aca="false">MAX(AM48,AN47)</f>
        <v>1113924.51981784</v>
      </c>
      <c r="AO48" s="53" t="n">
        <f aca="false">MAX(AN48,AO47)</f>
        <v>1155666.09866573</v>
      </c>
      <c r="AP48" s="53" t="n">
        <f aca="false">MAX(AO48,AP47)</f>
        <v>1197435.4552914</v>
      </c>
      <c r="AQ48" s="53" t="n">
        <f aca="false">MAX(AP48,AQ47)</f>
        <v>1239232.58969484</v>
      </c>
      <c r="AR48" s="53" t="n">
        <f aca="false">MAX(AQ48,AR47)</f>
        <v>1309817.67709544</v>
      </c>
      <c r="AS48" s="53" t="n">
        <f aca="false">MAX(AR48,AS47)</f>
        <v>1380430.54227382</v>
      </c>
      <c r="AT48" s="53" t="n">
        <f aca="false">MAX(AS48,AT47)</f>
        <v>1451071.18522998</v>
      </c>
      <c r="AU48" s="53" t="n">
        <f aca="false">MAX(AT48,AU47)</f>
        <v>1492979.43074454</v>
      </c>
      <c r="AV48" s="53" t="n">
        <f aca="false">MAX(AU48,AV47)</f>
        <v>1534915.45403687</v>
      </c>
      <c r="AW48" s="53" t="n">
        <f aca="false">MAX(AV48,AW47)</f>
        <v>1576879.25510698</v>
      </c>
      <c r="AX48" s="53" t="n">
        <f aca="false">MAX(AW48,AX47)</f>
        <v>1618870.83395487</v>
      </c>
      <c r="AY48" s="53" t="n">
        <f aca="false">MAX(AX48,AY47)</f>
        <v>1674650.48335807</v>
      </c>
      <c r="AZ48" s="53" t="n">
        <f aca="false">MAX(AY48,AZ47)</f>
        <v>1730457.91053904</v>
      </c>
      <c r="BA48" s="53" t="n">
        <f aca="false">MAX(AZ48,BA47)</f>
        <v>1786293.11549779</v>
      </c>
      <c r="BB48" s="53" t="n">
        <f aca="false">MAX(BA48,BB47)</f>
        <v>1842156.09823432</v>
      </c>
      <c r="BC48" s="53" t="n">
        <f aca="false">MAX(BB48,BC47)</f>
        <v>1898046.85874863</v>
      </c>
      <c r="BD48" s="53" t="n">
        <f aca="false">MAX(BC48,BD47)</f>
        <v>1982485.91814756</v>
      </c>
      <c r="BE48" s="53" t="n">
        <f aca="false">MAX(BD48,BE47)</f>
        <v>2066952.75532427</v>
      </c>
      <c r="BF48" s="53" t="n">
        <f aca="false">MAX(BE48,BF47)</f>
        <v>2151447.37027876</v>
      </c>
      <c r="BG48" s="53" t="n">
        <f aca="false">MAX(BF48,BG47)</f>
        <v>2207449.24190418</v>
      </c>
      <c r="BH48" s="53" t="n">
        <f aca="false">MAX(BG48,BH47)</f>
        <v>2263478.89130738</v>
      </c>
      <c r="BI48" s="53" t="n">
        <f aca="false">MAX(BH48,BI47)</f>
        <v>2319536.31848835</v>
      </c>
      <c r="BJ48" s="53" t="n">
        <f aca="false">MAX(BI48,BJ47)</f>
        <v>2375621.5234471</v>
      </c>
    </row>
    <row r="49" customFormat="false" ht="15" hidden="false" customHeight="false" outlineLevel="0" collapsed="false">
      <c r="A49" s="6" t="s">
        <v>78</v>
      </c>
      <c r="C49" s="53" t="n">
        <f aca="false">-C48*Inputs!$E$66</f>
        <v>-2859.7891</v>
      </c>
      <c r="D49" s="53" t="n">
        <f aca="false">-(D48-C48)*Inputs!$E$66</f>
        <v>-2862.70576666667</v>
      </c>
      <c r="E49" s="53" t="n">
        <f aca="false">-(E48-D48)*Inputs!$E$66</f>
        <v>-2868.5391</v>
      </c>
      <c r="F49" s="53" t="n">
        <f aca="false">-(F48-E48)*Inputs!$E$66</f>
        <v>-2874.37243333333</v>
      </c>
      <c r="G49" s="53" t="n">
        <f aca="false">-(G48-F48)*Inputs!$E$66</f>
        <v>-2880.20576666667</v>
      </c>
      <c r="H49" s="53" t="n">
        <f aca="false">-(H48-G48)*Inputs!$E$66</f>
        <v>-8391.901</v>
      </c>
      <c r="I49" s="53" t="n">
        <f aca="false">-(I48-H48)*Inputs!$E$66</f>
        <v>-8397.73433333333</v>
      </c>
      <c r="J49" s="53" t="n">
        <f aca="false">-(J48-I48)*Inputs!$E$66</f>
        <v>-8403.56766666667</v>
      </c>
      <c r="K49" s="53" t="n">
        <f aca="false">-(K48-J48)*Inputs!$E$66</f>
        <v>-2903.5391</v>
      </c>
      <c r="L49" s="53" t="n">
        <f aca="false">-(L48-K48)*Inputs!$E$66</f>
        <v>-2909.37243333333</v>
      </c>
      <c r="M49" s="53" t="n">
        <f aca="false">-(M48-L48)*Inputs!$E$66</f>
        <v>-2915.20576666666</v>
      </c>
      <c r="N49" s="53" t="n">
        <f aca="false">-(N48-M48)*Inputs!$E$66</f>
        <v>-2921.0391</v>
      </c>
      <c r="O49" s="53" t="n">
        <f aca="false">-(O48-N48)*Inputs!$E$66</f>
        <v>-4419.10198228333</v>
      </c>
      <c r="P49" s="53" t="n">
        <f aca="false">-(P48-O48)*Inputs!$E$66</f>
        <v>-4424.93531561666</v>
      </c>
      <c r="Q49" s="53" t="n">
        <f aca="false">-(Q48-P48)*Inputs!$E$66</f>
        <v>-4430.76864895</v>
      </c>
      <c r="R49" s="53" t="n">
        <f aca="false">-(R48-Q48)*Inputs!$E$66</f>
        <v>-4436.60198228333</v>
      </c>
      <c r="S49" s="53" t="n">
        <f aca="false">-(S48-R48)*Inputs!$E$66</f>
        <v>-4442.43531561667</v>
      </c>
      <c r="T49" s="53" t="n">
        <f aca="false">-(T48-S48)*Inputs!$E$66</f>
        <v>-10211.3389196</v>
      </c>
      <c r="U49" s="53" t="n">
        <f aca="false">-(U48-T48)*Inputs!$E$66</f>
        <v>-10217.1722529333</v>
      </c>
      <c r="V49" s="53" t="n">
        <f aca="false">-(V48-U48)*Inputs!$E$66</f>
        <v>-10223.0055862667</v>
      </c>
      <c r="W49" s="53" t="n">
        <f aca="false">-(W48-V48)*Inputs!$E$66</f>
        <v>-4465.76864894999</v>
      </c>
      <c r="X49" s="53" t="n">
        <f aca="false">-(X48-W48)*Inputs!$E$66</f>
        <v>-4471.60198228333</v>
      </c>
      <c r="Y49" s="53" t="n">
        <f aca="false">-(Y48-X48)*Inputs!$E$66</f>
        <v>-4477.43531561666</v>
      </c>
      <c r="Z49" s="53" t="n">
        <f aca="false">-(Z48-Y48)*Inputs!$E$66</f>
        <v>-4483.26864894999</v>
      </c>
      <c r="AA49" s="53" t="n">
        <f aca="false">-(AA48-Z48)*Inputs!$E$66</f>
        <v>-6356.67938916961</v>
      </c>
      <c r="AB49" s="53" t="n">
        <f aca="false">-(AB48-AA48)*Inputs!$E$66</f>
        <v>-6362.51272250294</v>
      </c>
      <c r="AC49" s="53" t="n">
        <f aca="false">-(AC48-AB48)*Inputs!$E$66</f>
        <v>-6368.34605583627</v>
      </c>
      <c r="AD49" s="53" t="n">
        <f aca="false">-(AD48-AC48)*Inputs!$E$66</f>
        <v>-6374.1793891696</v>
      </c>
      <c r="AE49" s="53" t="n">
        <f aca="false">-(AE48-AD48)*Inputs!$E$66</f>
        <v>-6380.01272250295</v>
      </c>
      <c r="AF49" s="53" t="n">
        <f aca="false">-(AF48-AE48)*Inputs!$E$66</f>
        <v>-12337.0551256966</v>
      </c>
      <c r="AG49" s="53" t="n">
        <f aca="false">-(AG48-AF48)*Inputs!$E$66</f>
        <v>-12342.8884590299</v>
      </c>
      <c r="AH49" s="53" t="n">
        <f aca="false">-(AH48-AG48)*Inputs!$E$66</f>
        <v>-12348.7217923632</v>
      </c>
      <c r="AI49" s="53" t="n">
        <f aca="false">-(AI48-AH48)*Inputs!$E$66</f>
        <v>-6403.34605583626</v>
      </c>
      <c r="AJ49" s="53" t="n">
        <f aca="false">-(AJ48-AI48)*Inputs!$E$66</f>
        <v>-6409.17938916961</v>
      </c>
      <c r="AK49" s="53" t="n">
        <f aca="false">-(AK48-AJ48)*Inputs!$E$66</f>
        <v>-6415.01272250294</v>
      </c>
      <c r="AL49" s="53" t="n">
        <f aca="false">-(AL48-AK48)*Inputs!$E$66</f>
        <v>-6420.84605583627</v>
      </c>
      <c r="AM49" s="53" t="n">
        <f aca="false">-(AM48-AL48)*Inputs!$E$66</f>
        <v>-8754.06489139013</v>
      </c>
      <c r="AN49" s="53" t="n">
        <f aca="false">-(AN48-AM48)*Inputs!$E$66</f>
        <v>-8759.89822472343</v>
      </c>
      <c r="AO49" s="53" t="n">
        <f aca="false">-(AO48-AN48)*Inputs!$E$66</f>
        <v>-8765.73155805681</v>
      </c>
      <c r="AP49" s="53" t="n">
        <f aca="false">-(AP48-AO48)*Inputs!$E$66</f>
        <v>-8771.56489139014</v>
      </c>
      <c r="AQ49" s="53" t="n">
        <f aca="false">-(AQ48-AP48)*Inputs!$E$66</f>
        <v>-8777.39822472346</v>
      </c>
      <c r="AR49" s="53" t="n">
        <f aca="false">-(AR48-AQ48)*Inputs!$E$66</f>
        <v>-14822.8683541264</v>
      </c>
      <c r="AS49" s="53" t="n">
        <f aca="false">-(AS48-AR48)*Inputs!$E$66</f>
        <v>-14828.7016874597</v>
      </c>
      <c r="AT49" s="53" t="n">
        <f aca="false">-(AT48-AS48)*Inputs!$E$66</f>
        <v>-14834.535020793</v>
      </c>
      <c r="AU49" s="53" t="n">
        <f aca="false">-(AU48-AT48)*Inputs!$E$66</f>
        <v>-8800.73155805677</v>
      </c>
      <c r="AV49" s="53" t="n">
        <f aca="false">-(AV48-AU48)*Inputs!$E$66</f>
        <v>-8806.5648913901</v>
      </c>
      <c r="AW49" s="53" t="n">
        <f aca="false">-(AW48-AV48)*Inputs!$E$66</f>
        <v>-8812.39822472343</v>
      </c>
      <c r="AX49" s="53" t="n">
        <f aca="false">-(AX48-AW48)*Inputs!$E$66</f>
        <v>-8818.23155805676</v>
      </c>
      <c r="AY49" s="53" t="n">
        <f aca="false">-(AY48-AX48)*Inputs!$E$66</f>
        <v>-11713.7263746713</v>
      </c>
      <c r="AZ49" s="53" t="n">
        <f aca="false">-(AZ48-AY48)*Inputs!$E$66</f>
        <v>-11719.5597080046</v>
      </c>
      <c r="BA49" s="53" t="n">
        <f aca="false">-(BA48-AZ48)*Inputs!$E$66</f>
        <v>-11725.393041338</v>
      </c>
      <c r="BB49" s="53" t="n">
        <f aca="false">-(BB48-BA48)*Inputs!$E$66</f>
        <v>-11731.2263746713</v>
      </c>
      <c r="BC49" s="53" t="n">
        <f aca="false">-(BC48-BB48)*Inputs!$E$66</f>
        <v>-11737.0597080046</v>
      </c>
      <c r="BD49" s="53" t="n">
        <f aca="false">-(BD48-BC48)*Inputs!$E$66</f>
        <v>-17732.2024737756</v>
      </c>
      <c r="BE49" s="53" t="n">
        <f aca="false">-(BE48-BD48)*Inputs!$E$66</f>
        <v>-17738.0358071089</v>
      </c>
      <c r="BF49" s="53" t="n">
        <f aca="false">-(BF48-BE48)*Inputs!$E$66</f>
        <v>-17743.8691404423</v>
      </c>
      <c r="BG49" s="53" t="n">
        <f aca="false">-(BG48-BF48)*Inputs!$E$66</f>
        <v>-11760.3930413379</v>
      </c>
      <c r="BH49" s="53" t="n">
        <f aca="false">-(BH48-BG48)*Inputs!$E$66</f>
        <v>-11766.2263746713</v>
      </c>
      <c r="BI49" s="53" t="n">
        <f aca="false">-(BI48-BH48)*Inputs!$E$66</f>
        <v>-11772.0597080046</v>
      </c>
      <c r="BJ49" s="53" t="n">
        <f aca="false">-(BJ48-BI48)*Inputs!$E$66</f>
        <v>-11777.893041338</v>
      </c>
    </row>
    <row r="50" customFormat="false" ht="15" hidden="false" customHeight="false" outlineLevel="0" collapsed="false">
      <c r="A50" s="95" t="s">
        <v>47</v>
      </c>
      <c r="C50" s="54" t="n">
        <f aca="false">C46+C49</f>
        <v>10758.2542333333</v>
      </c>
      <c r="D50" s="54" t="n">
        <f aca="false">D46+D49</f>
        <v>10769.2264555556</v>
      </c>
      <c r="E50" s="54" t="n">
        <f aca="false">E46+E49</f>
        <v>10791.1709</v>
      </c>
      <c r="F50" s="54" t="n">
        <f aca="false">F46+F49</f>
        <v>10813.1153444444</v>
      </c>
      <c r="G50" s="54" t="n">
        <f aca="false">G46+G49</f>
        <v>10835.0597888889</v>
      </c>
      <c r="H50" s="54" t="n">
        <f aca="false">H46+H49</f>
        <v>31569.5323333333</v>
      </c>
      <c r="I50" s="54" t="n">
        <f aca="false">I46+I49</f>
        <v>31591.4767777778</v>
      </c>
      <c r="J50" s="54" t="n">
        <f aca="false">J46+J49</f>
        <v>31613.4212222222</v>
      </c>
      <c r="K50" s="54" t="n">
        <f aca="false">K46+K49</f>
        <v>10922.8375666667</v>
      </c>
      <c r="L50" s="54" t="n">
        <f aca="false">L46+L49</f>
        <v>10944.7820111111</v>
      </c>
      <c r="M50" s="54" t="n">
        <f aca="false">M46+M49</f>
        <v>10966.7264555556</v>
      </c>
      <c r="N50" s="54" t="n">
        <f aca="false">N46+N49</f>
        <v>10988.6709</v>
      </c>
      <c r="O50" s="54" t="n">
        <f aca="false">O46+O49</f>
        <v>16624.2407904944</v>
      </c>
      <c r="P50" s="54" t="n">
        <f aca="false">P46+P49</f>
        <v>16646.1852349389</v>
      </c>
      <c r="Q50" s="54" t="n">
        <f aca="false">Q46+Q49</f>
        <v>16668.1296793833</v>
      </c>
      <c r="R50" s="54" t="n">
        <f aca="false">R46+R49</f>
        <v>16690.0741238278</v>
      </c>
      <c r="S50" s="54" t="n">
        <f aca="false">S46+S49</f>
        <v>16712.0185682722</v>
      </c>
      <c r="T50" s="54" t="n">
        <f aca="false">T46+T49</f>
        <v>38414.0845070667</v>
      </c>
      <c r="U50" s="54" t="n">
        <f aca="false">U46+U49</f>
        <v>38436.0289515111</v>
      </c>
      <c r="V50" s="54" t="n">
        <f aca="false">V46+V49</f>
        <v>38457.9733959556</v>
      </c>
      <c r="W50" s="54" t="n">
        <f aca="false">W46+W49</f>
        <v>16799.79634605</v>
      </c>
      <c r="X50" s="54" t="n">
        <f aca="false">X46+X49</f>
        <v>16821.7407904944</v>
      </c>
      <c r="Y50" s="54" t="n">
        <f aca="false">Y46+Y49</f>
        <v>16843.6852349389</v>
      </c>
      <c r="Z50" s="54" t="n">
        <f aca="false">Z46+Z49</f>
        <v>16865.6296793833</v>
      </c>
      <c r="AA50" s="54" t="n">
        <f aca="false">AA46+AA49</f>
        <v>23913.222464019</v>
      </c>
      <c r="AB50" s="54" t="n">
        <f aca="false">AB46+AB49</f>
        <v>23935.1669084634</v>
      </c>
      <c r="AC50" s="54" t="n">
        <f aca="false">AC46+AC49</f>
        <v>23957.1113529079</v>
      </c>
      <c r="AD50" s="54" t="n">
        <f aca="false">AD46+AD49</f>
        <v>23979.0557973523</v>
      </c>
      <c r="AE50" s="54" t="n">
        <f aca="false">AE46+AE49</f>
        <v>24001.0002417968</v>
      </c>
      <c r="AF50" s="54" t="n">
        <f aca="false">AF46+AF49</f>
        <v>46410.8264252394</v>
      </c>
      <c r="AG50" s="54" t="n">
        <f aca="false">AG46+AG49</f>
        <v>46432.7708696839</v>
      </c>
      <c r="AH50" s="54" t="n">
        <f aca="false">AH46+AH49</f>
        <v>46454.7153141283</v>
      </c>
      <c r="AI50" s="54" t="n">
        <f aca="false">AI46+AI49</f>
        <v>24088.7780195746</v>
      </c>
      <c r="AJ50" s="54" t="n">
        <f aca="false">AJ46+AJ49</f>
        <v>24110.722464019</v>
      </c>
      <c r="AK50" s="54" t="n">
        <f aca="false">AK46+AK49</f>
        <v>24132.6669084634</v>
      </c>
      <c r="AL50" s="54" t="n">
        <f aca="false">AL46+AL49</f>
        <v>24154.6113529079</v>
      </c>
      <c r="AM50" s="54" t="n">
        <f aca="false">AM46+AM49</f>
        <v>32931.9584009438</v>
      </c>
      <c r="AN50" s="54" t="n">
        <f aca="false">AN46+AN49</f>
        <v>32953.9028453882</v>
      </c>
      <c r="AO50" s="54" t="n">
        <f aca="false">AO46+AO49</f>
        <v>32975.8472898326</v>
      </c>
      <c r="AP50" s="54" t="n">
        <f aca="false">AP46+AP49</f>
        <v>32997.7917342771</v>
      </c>
      <c r="AQ50" s="54" t="n">
        <f aca="false">AQ46+AQ49</f>
        <v>33019.7361787215</v>
      </c>
      <c r="AR50" s="54" t="n">
        <f aca="false">AR46+AR49</f>
        <v>55762.2190464754</v>
      </c>
      <c r="AS50" s="54" t="n">
        <f aca="false">AS46+AS49</f>
        <v>55784.1634909198</v>
      </c>
      <c r="AT50" s="54" t="n">
        <f aca="false">AT46+AT49</f>
        <v>55806.1079353643</v>
      </c>
      <c r="AU50" s="54" t="n">
        <f aca="false">AU46+AU49</f>
        <v>33107.5139564993</v>
      </c>
      <c r="AV50" s="54" t="n">
        <f aca="false">AV46+AV49</f>
        <v>33129.4584009438</v>
      </c>
      <c r="AW50" s="54" t="n">
        <f aca="false">AW46+AW49</f>
        <v>33151.4028453882</v>
      </c>
      <c r="AX50" s="54" t="n">
        <f aca="false">AX46+AX49</f>
        <v>33173.3472898327</v>
      </c>
      <c r="AY50" s="54" t="n">
        <f aca="false">AY46+AY49</f>
        <v>44065.9230285253</v>
      </c>
      <c r="AZ50" s="54" t="n">
        <f aca="false">AZ46+AZ49</f>
        <v>44087.8674729698</v>
      </c>
      <c r="BA50" s="54" t="n">
        <f aca="false">BA46+BA49</f>
        <v>44109.8119174142</v>
      </c>
      <c r="BB50" s="54" t="n">
        <f aca="false">BB46+BB49</f>
        <v>44131.7563618586</v>
      </c>
      <c r="BC50" s="54" t="n">
        <f aca="false">BC46+BC49</f>
        <v>44153.7008063031</v>
      </c>
      <c r="BD50" s="54" t="n">
        <f aca="false">BD46+BD49</f>
        <v>66706.8569251558</v>
      </c>
      <c r="BE50" s="54" t="n">
        <f aca="false">BE46+BE49</f>
        <v>66728.8013696003</v>
      </c>
      <c r="BF50" s="54" t="n">
        <f aca="false">BF46+BF49</f>
        <v>66750.7458140447</v>
      </c>
      <c r="BG50" s="54" t="n">
        <f aca="false">BG46+BG49</f>
        <v>44241.4785840809</v>
      </c>
      <c r="BH50" s="54" t="n">
        <f aca="false">BH46+BH49</f>
        <v>44263.4230285253</v>
      </c>
      <c r="BI50" s="54" t="n">
        <f aca="false">BI46+BI49</f>
        <v>44285.3674729698</v>
      </c>
      <c r="BJ50" s="54" t="n">
        <f aca="false">BJ46+BJ49</f>
        <v>44307.3119174142</v>
      </c>
    </row>
    <row r="52" customFormat="false" ht="15.75" hidden="false" customHeight="true" outlineLevel="0" collapsed="false">
      <c r="A52" s="7" t="s">
        <v>365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366</v>
      </c>
      <c r="C53" s="53" t="n">
        <f aca="false">Inputs!$E$37+MAX(0,C8-Inputs!$E$39)*Inputs!$E$38</f>
        <v>20000</v>
      </c>
      <c r="D53" s="53" t="n">
        <f aca="false">MAX(0,D8-C8)*Inputs!$E$38</f>
        <v>0</v>
      </c>
      <c r="E53" s="53" t="n">
        <f aca="false">MAX(0,E8-D8)*Inputs!$E$38</f>
        <v>0</v>
      </c>
      <c r="F53" s="53" t="n">
        <f aca="false">MAX(0,F8-E8)*Inputs!$E$38</f>
        <v>0</v>
      </c>
      <c r="G53" s="53" t="n">
        <f aca="false">MAX(0,G8-F8)*Inputs!$E$38</f>
        <v>0</v>
      </c>
      <c r="H53" s="53" t="n">
        <f aca="false">MAX(0,H8-G8)*Inputs!$E$38</f>
        <v>0</v>
      </c>
      <c r="I53" s="53" t="n">
        <f aca="false">MAX(0,I8-H8)*Inputs!$E$38</f>
        <v>0</v>
      </c>
      <c r="J53" s="53" t="n">
        <f aca="false">MAX(0,J8-I8)*Inputs!$E$38</f>
        <v>0</v>
      </c>
      <c r="K53" s="53" t="n">
        <f aca="false">MAX(0,K8-J8)*Inputs!$E$38</f>
        <v>0</v>
      </c>
      <c r="L53" s="53" t="n">
        <f aca="false">MAX(0,L8-K8)*Inputs!$E$38</f>
        <v>0</v>
      </c>
      <c r="M53" s="53" t="n">
        <f aca="false">MAX(0,M8-L8)*Inputs!$E$38</f>
        <v>0</v>
      </c>
      <c r="N53" s="53" t="n">
        <f aca="false">MAX(0,N8-M8)*Inputs!$E$38</f>
        <v>0</v>
      </c>
      <c r="O53" s="53" t="n">
        <f aca="false">MAX(0,O8-N8)*Inputs!$E$38</f>
        <v>37800</v>
      </c>
      <c r="P53" s="53" t="n">
        <f aca="false">MAX(0,P8-O8)*Inputs!$E$38</f>
        <v>0</v>
      </c>
      <c r="Q53" s="53" t="n">
        <f aca="false">MAX(0,Q8-P8)*Inputs!$E$38</f>
        <v>0</v>
      </c>
      <c r="R53" s="53" t="n">
        <f aca="false">MAX(0,R8-Q8)*Inputs!$E$38</f>
        <v>0</v>
      </c>
      <c r="S53" s="53" t="n">
        <f aca="false">MAX(0,S8-R8)*Inputs!$E$38</f>
        <v>0</v>
      </c>
      <c r="T53" s="53" t="n">
        <f aca="false">MAX(0,T8-S8)*Inputs!$E$38</f>
        <v>0</v>
      </c>
      <c r="U53" s="53" t="n">
        <f aca="false">MAX(0,U8-T8)*Inputs!$E$38</f>
        <v>0</v>
      </c>
      <c r="V53" s="53" t="n">
        <f aca="false">MAX(0,V8-U8)*Inputs!$E$38</f>
        <v>0</v>
      </c>
      <c r="W53" s="53" t="n">
        <f aca="false">MAX(0,W8-V8)*Inputs!$E$38</f>
        <v>0</v>
      </c>
      <c r="X53" s="53" t="n">
        <f aca="false">MAX(0,X8-W8)*Inputs!$E$38</f>
        <v>0</v>
      </c>
      <c r="Y53" s="53" t="n">
        <f aca="false">MAX(0,Y8-X8)*Inputs!$E$38</f>
        <v>0</v>
      </c>
      <c r="Z53" s="53" t="n">
        <f aca="false">MAX(0,Z8-Y8)*Inputs!$E$38</f>
        <v>0</v>
      </c>
      <c r="AA53" s="53" t="n">
        <f aca="false">MAX(0,AA8-Z8)*Inputs!$E$38</f>
        <v>42336</v>
      </c>
      <c r="AB53" s="53" t="n">
        <f aca="false">MAX(0,AB8-AA8)*Inputs!$E$38</f>
        <v>0</v>
      </c>
      <c r="AC53" s="53" t="n">
        <f aca="false">MAX(0,AC8-AB8)*Inputs!$E$38</f>
        <v>0</v>
      </c>
      <c r="AD53" s="53" t="n">
        <f aca="false">MAX(0,AD8-AC8)*Inputs!$E$38</f>
        <v>0</v>
      </c>
      <c r="AE53" s="53" t="n">
        <f aca="false">MAX(0,AE8-AD8)*Inputs!$E$38</f>
        <v>0</v>
      </c>
      <c r="AF53" s="53" t="n">
        <f aca="false">MAX(0,AF8-AE8)*Inputs!$E$38</f>
        <v>0</v>
      </c>
      <c r="AG53" s="53" t="n">
        <f aca="false">MAX(0,AG8-AF8)*Inputs!$E$38</f>
        <v>0</v>
      </c>
      <c r="AH53" s="53" t="n">
        <f aca="false">MAX(0,AH8-AG8)*Inputs!$E$38</f>
        <v>0</v>
      </c>
      <c r="AI53" s="53" t="n">
        <f aca="false">MAX(0,AI8-AH8)*Inputs!$E$38</f>
        <v>0</v>
      </c>
      <c r="AJ53" s="53" t="n">
        <f aca="false">MAX(0,AJ8-AI8)*Inputs!$E$38</f>
        <v>0</v>
      </c>
      <c r="AK53" s="53" t="n">
        <f aca="false">MAX(0,AK8-AJ8)*Inputs!$E$38</f>
        <v>0</v>
      </c>
      <c r="AL53" s="53" t="n">
        <f aca="false">MAX(0,AL8-AK8)*Inputs!$E$38</f>
        <v>0</v>
      </c>
      <c r="AM53" s="53" t="n">
        <f aca="false">MAX(0,AM8-AL8)*Inputs!$E$38</f>
        <v>47416.3200000001</v>
      </c>
      <c r="AN53" s="53" t="n">
        <f aca="false">MAX(0,AN8-AM8)*Inputs!$E$38</f>
        <v>0</v>
      </c>
      <c r="AO53" s="53" t="n">
        <f aca="false">MAX(0,AO8-AN8)*Inputs!$E$38</f>
        <v>0</v>
      </c>
      <c r="AP53" s="53" t="n">
        <f aca="false">MAX(0,AP8-AO8)*Inputs!$E$38</f>
        <v>0</v>
      </c>
      <c r="AQ53" s="53" t="n">
        <f aca="false">MAX(0,AQ8-AP8)*Inputs!$E$38</f>
        <v>0</v>
      </c>
      <c r="AR53" s="53" t="n">
        <f aca="false">MAX(0,AR8-AQ8)*Inputs!$E$38</f>
        <v>0</v>
      </c>
      <c r="AS53" s="53" t="n">
        <f aca="false">MAX(0,AS8-AR8)*Inputs!$E$38</f>
        <v>0</v>
      </c>
      <c r="AT53" s="53" t="n">
        <f aca="false">MAX(0,AT8-AS8)*Inputs!$E$38</f>
        <v>0</v>
      </c>
      <c r="AU53" s="53" t="n">
        <f aca="false">MAX(0,AU8-AT8)*Inputs!$E$38</f>
        <v>0</v>
      </c>
      <c r="AV53" s="53" t="n">
        <f aca="false">MAX(0,AV8-AU8)*Inputs!$E$38</f>
        <v>0</v>
      </c>
      <c r="AW53" s="53" t="n">
        <f aca="false">MAX(0,AW8-AV8)*Inputs!$E$38</f>
        <v>0</v>
      </c>
      <c r="AX53" s="53" t="n">
        <f aca="false">MAX(0,AX8-AW8)*Inputs!$E$38</f>
        <v>0</v>
      </c>
      <c r="AY53" s="53" t="n">
        <f aca="false">MAX(0,AY8-AX8)*Inputs!$E$38</f>
        <v>53106.2784</v>
      </c>
      <c r="AZ53" s="53" t="n">
        <f aca="false">MAX(0,AZ8-AY8)*Inputs!$E$38</f>
        <v>0</v>
      </c>
      <c r="BA53" s="53" t="n">
        <f aca="false">MAX(0,BA8-AZ8)*Inputs!$E$38</f>
        <v>0</v>
      </c>
      <c r="BB53" s="53" t="n">
        <f aca="false">MAX(0,BB8-BA8)*Inputs!$E$38</f>
        <v>0</v>
      </c>
      <c r="BC53" s="53" t="n">
        <f aca="false">MAX(0,BC8-BB8)*Inputs!$E$38</f>
        <v>0</v>
      </c>
      <c r="BD53" s="53" t="n">
        <f aca="false">MAX(0,BD8-BC8)*Inputs!$E$38</f>
        <v>0</v>
      </c>
      <c r="BE53" s="53" t="n">
        <f aca="false">MAX(0,BE8-BD8)*Inputs!$E$38</f>
        <v>0</v>
      </c>
      <c r="BF53" s="53" t="n">
        <f aca="false">MAX(0,BF8-BE8)*Inputs!$E$38</f>
        <v>0</v>
      </c>
      <c r="BG53" s="53" t="n">
        <f aca="false">MAX(0,BG8-BF8)*Inputs!$E$38</f>
        <v>0</v>
      </c>
      <c r="BH53" s="53" t="n">
        <f aca="false">MAX(0,BH8-BG8)*Inputs!$E$38</f>
        <v>0</v>
      </c>
      <c r="BI53" s="53" t="n">
        <f aca="false">MAX(0,BI8-BH8)*Inputs!$E$38</f>
        <v>0</v>
      </c>
      <c r="BJ53" s="53" t="n">
        <f aca="false">MAX(0,BJ8-BI8)*Inputs!$E$38</f>
        <v>0</v>
      </c>
    </row>
    <row r="54" customFormat="false" ht="15" hidden="false" customHeight="false" outlineLevel="0" collapsed="false">
      <c r="A54" s="6" t="s">
        <v>367</v>
      </c>
      <c r="C54" s="53" t="n">
        <f aca="false">C53</f>
        <v>20000</v>
      </c>
      <c r="D54" s="53" t="n">
        <f aca="false">C54+D53</f>
        <v>20000</v>
      </c>
      <c r="E54" s="53" t="n">
        <f aca="false">D54+E53</f>
        <v>20000</v>
      </c>
      <c r="F54" s="53" t="n">
        <f aca="false">E54+F53</f>
        <v>20000</v>
      </c>
      <c r="G54" s="53" t="n">
        <f aca="false">F54+G53</f>
        <v>20000</v>
      </c>
      <c r="H54" s="53" t="n">
        <f aca="false">G54+H53</f>
        <v>20000</v>
      </c>
      <c r="I54" s="53" t="n">
        <f aca="false">H54+I53</f>
        <v>20000</v>
      </c>
      <c r="J54" s="53" t="n">
        <f aca="false">I54+J53</f>
        <v>20000</v>
      </c>
      <c r="K54" s="53" t="n">
        <f aca="false">J54+K53</f>
        <v>20000</v>
      </c>
      <c r="L54" s="53" t="n">
        <f aca="false">K54+L53</f>
        <v>20000</v>
      </c>
      <c r="M54" s="53" t="n">
        <f aca="false">L54+M53</f>
        <v>20000</v>
      </c>
      <c r="N54" s="53" t="n">
        <f aca="false">M54+N53</f>
        <v>20000</v>
      </c>
      <c r="O54" s="53" t="n">
        <f aca="false">N54+O53</f>
        <v>57800</v>
      </c>
      <c r="P54" s="53" t="n">
        <f aca="false">O54+P53</f>
        <v>57800</v>
      </c>
      <c r="Q54" s="53" t="n">
        <f aca="false">P54+Q53</f>
        <v>57800</v>
      </c>
      <c r="R54" s="53" t="n">
        <f aca="false">Q54+R53</f>
        <v>57800</v>
      </c>
      <c r="S54" s="53" t="n">
        <f aca="false">R54+S53</f>
        <v>57800</v>
      </c>
      <c r="T54" s="53" t="n">
        <f aca="false">S54+T53</f>
        <v>57800</v>
      </c>
      <c r="U54" s="53" t="n">
        <f aca="false">T54+U53</f>
        <v>57800</v>
      </c>
      <c r="V54" s="53" t="n">
        <f aca="false">U54+V53</f>
        <v>57800</v>
      </c>
      <c r="W54" s="53" t="n">
        <f aca="false">V54+W53</f>
        <v>57800</v>
      </c>
      <c r="X54" s="53" t="n">
        <f aca="false">W54+X53</f>
        <v>57800</v>
      </c>
      <c r="Y54" s="53" t="n">
        <f aca="false">X54+Y53</f>
        <v>57800</v>
      </c>
      <c r="Z54" s="53" t="n">
        <f aca="false">Y54+Z53</f>
        <v>57800</v>
      </c>
      <c r="AA54" s="53" t="n">
        <f aca="false">Z54+AA53</f>
        <v>100136</v>
      </c>
      <c r="AB54" s="53" t="n">
        <f aca="false">AA54+AB53</f>
        <v>100136</v>
      </c>
      <c r="AC54" s="53" t="n">
        <f aca="false">AB54+AC53</f>
        <v>100136</v>
      </c>
      <c r="AD54" s="53" t="n">
        <f aca="false">AC54+AD53</f>
        <v>100136</v>
      </c>
      <c r="AE54" s="53" t="n">
        <f aca="false">AD54+AE53</f>
        <v>100136</v>
      </c>
      <c r="AF54" s="53" t="n">
        <f aca="false">AE54+AF53</f>
        <v>100136</v>
      </c>
      <c r="AG54" s="53" t="n">
        <f aca="false">AF54+AG53</f>
        <v>100136</v>
      </c>
      <c r="AH54" s="53" t="n">
        <f aca="false">AG54+AH53</f>
        <v>100136</v>
      </c>
      <c r="AI54" s="53" t="n">
        <f aca="false">AH54+AI53</f>
        <v>100136</v>
      </c>
      <c r="AJ54" s="53" t="n">
        <f aca="false">AI54+AJ53</f>
        <v>100136</v>
      </c>
      <c r="AK54" s="53" t="n">
        <f aca="false">AJ54+AK53</f>
        <v>100136</v>
      </c>
      <c r="AL54" s="53" t="n">
        <f aca="false">AK54+AL53</f>
        <v>100136</v>
      </c>
      <c r="AM54" s="53" t="n">
        <f aca="false">AL54+AM53</f>
        <v>147552.32</v>
      </c>
      <c r="AN54" s="53" t="n">
        <f aca="false">AM54+AN53</f>
        <v>147552.32</v>
      </c>
      <c r="AO54" s="53" t="n">
        <f aca="false">AN54+AO53</f>
        <v>147552.32</v>
      </c>
      <c r="AP54" s="53" t="n">
        <f aca="false">AO54+AP53</f>
        <v>147552.32</v>
      </c>
      <c r="AQ54" s="53" t="n">
        <f aca="false">AP54+AQ53</f>
        <v>147552.32</v>
      </c>
      <c r="AR54" s="53" t="n">
        <f aca="false">AQ54+AR53</f>
        <v>147552.32</v>
      </c>
      <c r="AS54" s="53" t="n">
        <f aca="false">AR54+AS53</f>
        <v>147552.32</v>
      </c>
      <c r="AT54" s="53" t="n">
        <f aca="false">AS54+AT53</f>
        <v>147552.32</v>
      </c>
      <c r="AU54" s="53" t="n">
        <f aca="false">AT54+AU53</f>
        <v>147552.32</v>
      </c>
      <c r="AV54" s="53" t="n">
        <f aca="false">AU54+AV53</f>
        <v>147552.32</v>
      </c>
      <c r="AW54" s="53" t="n">
        <f aca="false">AV54+AW53</f>
        <v>147552.32</v>
      </c>
      <c r="AX54" s="53" t="n">
        <f aca="false">AW54+AX53</f>
        <v>147552.32</v>
      </c>
      <c r="AY54" s="53" t="n">
        <f aca="false">AX54+AY53</f>
        <v>200658.5984</v>
      </c>
      <c r="AZ54" s="53" t="n">
        <f aca="false">AY54+AZ53</f>
        <v>200658.5984</v>
      </c>
      <c r="BA54" s="53" t="n">
        <f aca="false">AZ54+BA53</f>
        <v>200658.5984</v>
      </c>
      <c r="BB54" s="53" t="n">
        <f aca="false">BA54+BB53</f>
        <v>200658.5984</v>
      </c>
      <c r="BC54" s="53" t="n">
        <f aca="false">BB54+BC53</f>
        <v>200658.5984</v>
      </c>
      <c r="BD54" s="53" t="n">
        <f aca="false">BC54+BD53</f>
        <v>200658.5984</v>
      </c>
      <c r="BE54" s="53" t="n">
        <f aca="false">BD54+BE53</f>
        <v>200658.5984</v>
      </c>
      <c r="BF54" s="53" t="n">
        <f aca="false">BE54+BF53</f>
        <v>200658.5984</v>
      </c>
      <c r="BG54" s="53" t="n">
        <f aca="false">BF54+BG53</f>
        <v>200658.5984</v>
      </c>
      <c r="BH54" s="53" t="n">
        <f aca="false">BG54+BH53</f>
        <v>200658.5984</v>
      </c>
      <c r="BI54" s="53" t="n">
        <f aca="false">BH54+BI53</f>
        <v>200658.5984</v>
      </c>
      <c r="BJ54" s="53" t="n">
        <f aca="false">BI54+BJ53</f>
        <v>200658.5984</v>
      </c>
    </row>
    <row r="55" customFormat="false" ht="15" hidden="false" customHeight="false" outlineLevel="0" collapsed="false">
      <c r="A55" s="6" t="s">
        <v>74</v>
      </c>
      <c r="C55" s="53" t="n">
        <f aca="false">-MIN(C54/MAX(1,Inputs!$E$65*12),C53)</f>
        <v>-333.333333333333</v>
      </c>
      <c r="D55" s="53" t="n">
        <f aca="false">-MIN(D54/MAX(1,Inputs!$E$65*12),C57+D53)</f>
        <v>-333.333333333333</v>
      </c>
      <c r="E55" s="53" t="n">
        <f aca="false">-MIN(E54/MAX(1,Inputs!$E$65*12),D57+E53)</f>
        <v>-333.333333333333</v>
      </c>
      <c r="F55" s="53" t="n">
        <f aca="false">-MIN(F54/MAX(1,Inputs!$E$65*12),E57+F53)</f>
        <v>-333.333333333333</v>
      </c>
      <c r="G55" s="53" t="n">
        <f aca="false">-MIN(G54/MAX(1,Inputs!$E$65*12),F57+G53)</f>
        <v>-333.333333333333</v>
      </c>
      <c r="H55" s="53" t="n">
        <f aca="false">-MIN(H54/MAX(1,Inputs!$E$65*12),G57+H53)</f>
        <v>-333.333333333333</v>
      </c>
      <c r="I55" s="53" t="n">
        <f aca="false">-MIN(I54/MAX(1,Inputs!$E$65*12),H57+I53)</f>
        <v>-333.333333333333</v>
      </c>
      <c r="J55" s="53" t="n">
        <f aca="false">-MIN(J54/MAX(1,Inputs!$E$65*12),I57+J53)</f>
        <v>-333.333333333333</v>
      </c>
      <c r="K55" s="53" t="n">
        <f aca="false">-MIN(K54/MAX(1,Inputs!$E$65*12),J57+K53)</f>
        <v>-333.333333333333</v>
      </c>
      <c r="L55" s="53" t="n">
        <f aca="false">-MIN(L54/MAX(1,Inputs!$E$65*12),K57+L53)</f>
        <v>-333.333333333333</v>
      </c>
      <c r="M55" s="53" t="n">
        <f aca="false">-MIN(M54/MAX(1,Inputs!$E$65*12),L57+M53)</f>
        <v>-333.333333333333</v>
      </c>
      <c r="N55" s="53" t="n">
        <f aca="false">-MIN(N54/MAX(1,Inputs!$E$65*12),M57+N53)</f>
        <v>-333.333333333333</v>
      </c>
      <c r="O55" s="53" t="n">
        <f aca="false">-MIN(O54/MAX(1,Inputs!$E$65*12),N57+O53)</f>
        <v>-963.333333333334</v>
      </c>
      <c r="P55" s="53" t="n">
        <f aca="false">-MIN(P54/MAX(1,Inputs!$E$65*12),O57+P53)</f>
        <v>-963.333333333334</v>
      </c>
      <c r="Q55" s="53" t="n">
        <f aca="false">-MIN(Q54/MAX(1,Inputs!$E$65*12),P57+Q53)</f>
        <v>-963.333333333334</v>
      </c>
      <c r="R55" s="53" t="n">
        <f aca="false">-MIN(R54/MAX(1,Inputs!$E$65*12),Q57+R53)</f>
        <v>-963.333333333334</v>
      </c>
      <c r="S55" s="53" t="n">
        <f aca="false">-MIN(S54/MAX(1,Inputs!$E$65*12),R57+S53)</f>
        <v>-963.333333333334</v>
      </c>
      <c r="T55" s="53" t="n">
        <f aca="false">-MIN(T54/MAX(1,Inputs!$E$65*12),S57+T53)</f>
        <v>-963.333333333334</v>
      </c>
      <c r="U55" s="53" t="n">
        <f aca="false">-MIN(U54/MAX(1,Inputs!$E$65*12),T57+U53)</f>
        <v>-963.333333333334</v>
      </c>
      <c r="V55" s="53" t="n">
        <f aca="false">-MIN(V54/MAX(1,Inputs!$E$65*12),U57+V53)</f>
        <v>-963.333333333334</v>
      </c>
      <c r="W55" s="53" t="n">
        <f aca="false">-MIN(W54/MAX(1,Inputs!$E$65*12),V57+W53)</f>
        <v>-963.333333333334</v>
      </c>
      <c r="X55" s="53" t="n">
        <f aca="false">-MIN(X54/MAX(1,Inputs!$E$65*12),W57+X53)</f>
        <v>-963.333333333334</v>
      </c>
      <c r="Y55" s="53" t="n">
        <f aca="false">-MIN(Y54/MAX(1,Inputs!$E$65*12),X57+Y53)</f>
        <v>-963.333333333334</v>
      </c>
      <c r="Z55" s="53" t="n">
        <f aca="false">-MIN(Z54/MAX(1,Inputs!$E$65*12),Y57+Z53)</f>
        <v>-963.333333333334</v>
      </c>
      <c r="AA55" s="53" t="n">
        <f aca="false">-MIN(AA54/MAX(1,Inputs!$E$65*12),Z57+AA53)</f>
        <v>-1668.93333333333</v>
      </c>
      <c r="AB55" s="53" t="n">
        <f aca="false">-MIN(AB54/MAX(1,Inputs!$E$65*12),AA57+AB53)</f>
        <v>-1668.93333333333</v>
      </c>
      <c r="AC55" s="53" t="n">
        <f aca="false">-MIN(AC54/MAX(1,Inputs!$E$65*12),AB57+AC53)</f>
        <v>-1668.93333333333</v>
      </c>
      <c r="AD55" s="53" t="n">
        <f aca="false">-MIN(AD54/MAX(1,Inputs!$E$65*12),AC57+AD53)</f>
        <v>-1668.93333333333</v>
      </c>
      <c r="AE55" s="53" t="n">
        <f aca="false">-MIN(AE54/MAX(1,Inputs!$E$65*12),AD57+AE53)</f>
        <v>-1668.93333333333</v>
      </c>
      <c r="AF55" s="53" t="n">
        <f aca="false">-MIN(AF54/MAX(1,Inputs!$E$65*12),AE57+AF53)</f>
        <v>-1668.93333333333</v>
      </c>
      <c r="AG55" s="53" t="n">
        <f aca="false">-MIN(AG54/MAX(1,Inputs!$E$65*12),AF57+AG53)</f>
        <v>-1668.93333333333</v>
      </c>
      <c r="AH55" s="53" t="n">
        <f aca="false">-MIN(AH54/MAX(1,Inputs!$E$65*12),AG57+AH53)</f>
        <v>-1668.93333333333</v>
      </c>
      <c r="AI55" s="53" t="n">
        <f aca="false">-MIN(AI54/MAX(1,Inputs!$E$65*12),AH57+AI53)</f>
        <v>-1668.93333333333</v>
      </c>
      <c r="AJ55" s="53" t="n">
        <f aca="false">-MIN(AJ54/MAX(1,Inputs!$E$65*12),AI57+AJ53)</f>
        <v>-1668.93333333333</v>
      </c>
      <c r="AK55" s="53" t="n">
        <f aca="false">-MIN(AK54/MAX(1,Inputs!$E$65*12),AJ57+AK53)</f>
        <v>-1668.93333333333</v>
      </c>
      <c r="AL55" s="53" t="n">
        <f aca="false">-MIN(AL54/MAX(1,Inputs!$E$65*12),AK57+AL53)</f>
        <v>-1668.93333333333</v>
      </c>
      <c r="AM55" s="53" t="n">
        <f aca="false">-MIN(AM54/MAX(1,Inputs!$E$65*12),AL57+AM53)</f>
        <v>-2459.20533333334</v>
      </c>
      <c r="AN55" s="53" t="n">
        <f aca="false">-MIN(AN54/MAX(1,Inputs!$E$65*12),AM57+AN53)</f>
        <v>-2459.20533333334</v>
      </c>
      <c r="AO55" s="53" t="n">
        <f aca="false">-MIN(AO54/MAX(1,Inputs!$E$65*12),AN57+AO53)</f>
        <v>-2459.20533333334</v>
      </c>
      <c r="AP55" s="53" t="n">
        <f aca="false">-MIN(AP54/MAX(1,Inputs!$E$65*12),AO57+AP53)</f>
        <v>-2459.20533333334</v>
      </c>
      <c r="AQ55" s="53" t="n">
        <f aca="false">-MIN(AQ54/MAX(1,Inputs!$E$65*12),AP57+AQ53)</f>
        <v>-2459.20533333334</v>
      </c>
      <c r="AR55" s="53" t="n">
        <f aca="false">-MIN(AR54/MAX(1,Inputs!$E$65*12),AQ57+AR53)</f>
        <v>-2459.20533333334</v>
      </c>
      <c r="AS55" s="53" t="n">
        <f aca="false">-MIN(AS54/MAX(1,Inputs!$E$65*12),AR57+AS53)</f>
        <v>-2459.20533333334</v>
      </c>
      <c r="AT55" s="53" t="n">
        <f aca="false">-MIN(AT54/MAX(1,Inputs!$E$65*12),AS57+AT53)</f>
        <v>-2459.20533333334</v>
      </c>
      <c r="AU55" s="53" t="n">
        <f aca="false">-MIN(AU54/MAX(1,Inputs!$E$65*12),AT57+AU53)</f>
        <v>-2459.20533333334</v>
      </c>
      <c r="AV55" s="53" t="n">
        <f aca="false">-MIN(AV54/MAX(1,Inputs!$E$65*12),AU57+AV53)</f>
        <v>-2459.20533333334</v>
      </c>
      <c r="AW55" s="53" t="n">
        <f aca="false">-MIN(AW54/MAX(1,Inputs!$E$65*12),AV57+AW53)</f>
        <v>-2459.20533333334</v>
      </c>
      <c r="AX55" s="53" t="n">
        <f aca="false">-MIN(AX54/MAX(1,Inputs!$E$65*12),AW57+AX53)</f>
        <v>-2459.20533333334</v>
      </c>
      <c r="AY55" s="53" t="n">
        <f aca="false">-MIN(AY54/MAX(1,Inputs!$E$65*12),AX57+AY53)</f>
        <v>-3344.30997333334</v>
      </c>
      <c r="AZ55" s="53" t="n">
        <f aca="false">-MIN(AZ54/MAX(1,Inputs!$E$65*12),AY57+AZ53)</f>
        <v>-3344.30997333334</v>
      </c>
      <c r="BA55" s="53" t="n">
        <f aca="false">-MIN(BA54/MAX(1,Inputs!$E$65*12),AZ57+BA53)</f>
        <v>-3344.30997333334</v>
      </c>
      <c r="BB55" s="53" t="n">
        <f aca="false">-MIN(BB54/MAX(1,Inputs!$E$65*12),BA57+BB53)</f>
        <v>-3344.30997333334</v>
      </c>
      <c r="BC55" s="53" t="n">
        <f aca="false">-MIN(BC54/MAX(1,Inputs!$E$65*12),BB57+BC53)</f>
        <v>-3344.30997333334</v>
      </c>
      <c r="BD55" s="53" t="n">
        <f aca="false">-MIN(BD54/MAX(1,Inputs!$E$65*12),BC57+BD53)</f>
        <v>-3344.30997333334</v>
      </c>
      <c r="BE55" s="53" t="n">
        <f aca="false">-MIN(BE54/MAX(1,Inputs!$E$65*12),BD57+BE53)</f>
        <v>-3344.30997333334</v>
      </c>
      <c r="BF55" s="53" t="n">
        <f aca="false">-MIN(BF54/MAX(1,Inputs!$E$65*12),BE57+BF53)</f>
        <v>-3344.30997333334</v>
      </c>
      <c r="BG55" s="53" t="n">
        <f aca="false">-MIN(BG54/MAX(1,Inputs!$E$65*12),BF57+BG53)</f>
        <v>-3344.30997333334</v>
      </c>
      <c r="BH55" s="53" t="n">
        <f aca="false">-MIN(BH54/MAX(1,Inputs!$E$65*12),BG57+BH53)</f>
        <v>-3344.30997333334</v>
      </c>
      <c r="BI55" s="53" t="n">
        <f aca="false">-MIN(BI54/MAX(1,Inputs!$E$65*12),BH57+BI53)</f>
        <v>-3344.30997333334</v>
      </c>
      <c r="BJ55" s="53" t="n">
        <f aca="false">-MIN(BJ54/MAX(1,Inputs!$E$65*12),BI57+BJ53)</f>
        <v>-3344.30997333334</v>
      </c>
    </row>
    <row r="56" customFormat="false" ht="15" hidden="false" customHeight="false" outlineLevel="0" collapsed="false">
      <c r="A56" s="6" t="s">
        <v>368</v>
      </c>
      <c r="C56" s="53" t="n">
        <f aca="false">C55</f>
        <v>-333.333333333333</v>
      </c>
      <c r="D56" s="53" t="n">
        <f aca="false">C56+D55</f>
        <v>-666.666666666667</v>
      </c>
      <c r="E56" s="53" t="n">
        <f aca="false">D56+E55</f>
        <v>-1000</v>
      </c>
      <c r="F56" s="53" t="n">
        <f aca="false">E56+F55</f>
        <v>-1333.33333333333</v>
      </c>
      <c r="G56" s="53" t="n">
        <f aca="false">F56+G55</f>
        <v>-1666.66666666667</v>
      </c>
      <c r="H56" s="53" t="n">
        <f aca="false">G56+H55</f>
        <v>-2000</v>
      </c>
      <c r="I56" s="53" t="n">
        <f aca="false">H56+I55</f>
        <v>-2333.33333333333</v>
      </c>
      <c r="J56" s="53" t="n">
        <f aca="false">I56+J55</f>
        <v>-2666.66666666667</v>
      </c>
      <c r="K56" s="53" t="n">
        <f aca="false">J56+K55</f>
        <v>-3000</v>
      </c>
      <c r="L56" s="53" t="n">
        <f aca="false">K56+L55</f>
        <v>-3333.33333333333</v>
      </c>
      <c r="M56" s="53" t="n">
        <f aca="false">L56+M55</f>
        <v>-3666.66666666667</v>
      </c>
      <c r="N56" s="53" t="n">
        <f aca="false">M56+N55</f>
        <v>-4000</v>
      </c>
      <c r="O56" s="53" t="n">
        <f aca="false">N56+O55</f>
        <v>-4963.33333333333</v>
      </c>
      <c r="P56" s="53" t="n">
        <f aca="false">O56+P55</f>
        <v>-5926.66666666667</v>
      </c>
      <c r="Q56" s="53" t="n">
        <f aca="false">P56+Q55</f>
        <v>-6890</v>
      </c>
      <c r="R56" s="53" t="n">
        <f aca="false">Q56+R55</f>
        <v>-7853.33333333334</v>
      </c>
      <c r="S56" s="53" t="n">
        <f aca="false">R56+S55</f>
        <v>-8816.66666666667</v>
      </c>
      <c r="T56" s="53" t="n">
        <f aca="false">S56+T55</f>
        <v>-9780</v>
      </c>
      <c r="U56" s="53" t="n">
        <f aca="false">T56+U55</f>
        <v>-10743.3333333333</v>
      </c>
      <c r="V56" s="53" t="n">
        <f aca="false">U56+V55</f>
        <v>-11706.6666666667</v>
      </c>
      <c r="W56" s="53" t="n">
        <f aca="false">V56+W55</f>
        <v>-12670</v>
      </c>
      <c r="X56" s="53" t="n">
        <f aca="false">W56+X55</f>
        <v>-13633.3333333333</v>
      </c>
      <c r="Y56" s="53" t="n">
        <f aca="false">X56+Y55</f>
        <v>-14596.6666666667</v>
      </c>
      <c r="Z56" s="53" t="n">
        <f aca="false">Y56+Z55</f>
        <v>-15560</v>
      </c>
      <c r="AA56" s="53" t="n">
        <f aca="false">Z56+AA55</f>
        <v>-17228.9333333333</v>
      </c>
      <c r="AB56" s="53" t="n">
        <f aca="false">AA56+AB55</f>
        <v>-18897.8666666667</v>
      </c>
      <c r="AC56" s="53" t="n">
        <f aca="false">AB56+AC55</f>
        <v>-20566.8</v>
      </c>
      <c r="AD56" s="53" t="n">
        <f aca="false">AC56+AD55</f>
        <v>-22235.7333333333</v>
      </c>
      <c r="AE56" s="53" t="n">
        <f aca="false">AD56+AE55</f>
        <v>-23904.6666666667</v>
      </c>
      <c r="AF56" s="53" t="n">
        <f aca="false">AE56+AF55</f>
        <v>-25573.6</v>
      </c>
      <c r="AG56" s="53" t="n">
        <f aca="false">AF56+AG55</f>
        <v>-27242.5333333333</v>
      </c>
      <c r="AH56" s="53" t="n">
        <f aca="false">AG56+AH55</f>
        <v>-28911.4666666667</v>
      </c>
      <c r="AI56" s="53" t="n">
        <f aca="false">AH56+AI55</f>
        <v>-30580.4</v>
      </c>
      <c r="AJ56" s="53" t="n">
        <f aca="false">AI56+AJ55</f>
        <v>-32249.3333333334</v>
      </c>
      <c r="AK56" s="53" t="n">
        <f aca="false">AJ56+AK55</f>
        <v>-33918.2666666667</v>
      </c>
      <c r="AL56" s="53" t="n">
        <f aca="false">AK56+AL55</f>
        <v>-35587.2</v>
      </c>
      <c r="AM56" s="53" t="n">
        <f aca="false">AL56+AM55</f>
        <v>-38046.4053333334</v>
      </c>
      <c r="AN56" s="53" t="n">
        <f aca="false">AM56+AN55</f>
        <v>-40505.6106666667</v>
      </c>
      <c r="AO56" s="53" t="n">
        <f aca="false">AN56+AO55</f>
        <v>-42964.816</v>
      </c>
      <c r="AP56" s="53" t="n">
        <f aca="false">AO56+AP55</f>
        <v>-45424.0213333334</v>
      </c>
      <c r="AQ56" s="53" t="n">
        <f aca="false">AP56+AQ55</f>
        <v>-47883.2266666667</v>
      </c>
      <c r="AR56" s="53" t="n">
        <f aca="false">AQ56+AR55</f>
        <v>-50342.4320000001</v>
      </c>
      <c r="AS56" s="53" t="n">
        <f aca="false">AR56+AS55</f>
        <v>-52801.6373333334</v>
      </c>
      <c r="AT56" s="53" t="n">
        <f aca="false">AS56+AT55</f>
        <v>-55260.8426666667</v>
      </c>
      <c r="AU56" s="53" t="n">
        <f aca="false">AT56+AU55</f>
        <v>-57720.0480000001</v>
      </c>
      <c r="AV56" s="53" t="n">
        <f aca="false">AU56+AV55</f>
        <v>-60179.2533333334</v>
      </c>
      <c r="AW56" s="53" t="n">
        <f aca="false">AV56+AW55</f>
        <v>-62638.4586666667</v>
      </c>
      <c r="AX56" s="53" t="n">
        <f aca="false">AW56+AX55</f>
        <v>-65097.6640000001</v>
      </c>
      <c r="AY56" s="53" t="n">
        <f aca="false">AX56+AY55</f>
        <v>-68441.9739733334</v>
      </c>
      <c r="AZ56" s="53" t="n">
        <f aca="false">AY56+AZ55</f>
        <v>-71786.2839466668</v>
      </c>
      <c r="BA56" s="53" t="n">
        <f aca="false">AZ56+BA55</f>
        <v>-75130.5939200001</v>
      </c>
      <c r="BB56" s="53" t="n">
        <f aca="false">BA56+BB55</f>
        <v>-78474.9038933334</v>
      </c>
      <c r="BC56" s="53" t="n">
        <f aca="false">BB56+BC55</f>
        <v>-81819.2138666668</v>
      </c>
      <c r="BD56" s="53" t="n">
        <f aca="false">BC56+BD55</f>
        <v>-85163.5238400001</v>
      </c>
      <c r="BE56" s="53" t="n">
        <f aca="false">BD56+BE55</f>
        <v>-88507.8338133335</v>
      </c>
      <c r="BF56" s="53" t="n">
        <f aca="false">BE56+BF55</f>
        <v>-91852.1437866668</v>
      </c>
      <c r="BG56" s="53" t="n">
        <f aca="false">BF56+BG55</f>
        <v>-95196.4537600001</v>
      </c>
      <c r="BH56" s="53" t="n">
        <f aca="false">BG56+BH55</f>
        <v>-98540.7637333335</v>
      </c>
      <c r="BI56" s="53" t="n">
        <f aca="false">BH56+BI55</f>
        <v>-101885.073706667</v>
      </c>
      <c r="BJ56" s="53" t="n">
        <f aca="false">BI56+BJ55</f>
        <v>-105229.38368</v>
      </c>
    </row>
    <row r="57" customFormat="false" ht="15" hidden="false" customHeight="false" outlineLevel="0" collapsed="false">
      <c r="A57" s="4" t="s">
        <v>88</v>
      </c>
      <c r="C57" s="60" t="n">
        <f aca="false">C54+C56</f>
        <v>19666.6666666667</v>
      </c>
      <c r="D57" s="60" t="n">
        <f aca="false">D54+D56</f>
        <v>19333.3333333333</v>
      </c>
      <c r="E57" s="60" t="n">
        <f aca="false">E54+E56</f>
        <v>19000</v>
      </c>
      <c r="F57" s="60" t="n">
        <f aca="false">F54+F56</f>
        <v>18666.6666666667</v>
      </c>
      <c r="G57" s="60" t="n">
        <f aca="false">G54+G56</f>
        <v>18333.3333333333</v>
      </c>
      <c r="H57" s="60" t="n">
        <f aca="false">H54+H56</f>
        <v>18000</v>
      </c>
      <c r="I57" s="60" t="n">
        <f aca="false">I54+I56</f>
        <v>17666.6666666667</v>
      </c>
      <c r="J57" s="60" t="n">
        <f aca="false">J54+J56</f>
        <v>17333.3333333333</v>
      </c>
      <c r="K57" s="60" t="n">
        <f aca="false">K54+K56</f>
        <v>17000</v>
      </c>
      <c r="L57" s="60" t="n">
        <f aca="false">L54+L56</f>
        <v>16666.6666666667</v>
      </c>
      <c r="M57" s="60" t="n">
        <f aca="false">M54+M56</f>
        <v>16333.3333333333</v>
      </c>
      <c r="N57" s="60" t="n">
        <f aca="false">N54+N56</f>
        <v>16000</v>
      </c>
      <c r="O57" s="60" t="n">
        <f aca="false">O54+O56</f>
        <v>52836.6666666667</v>
      </c>
      <c r="P57" s="60" t="n">
        <f aca="false">P54+P56</f>
        <v>51873.3333333334</v>
      </c>
      <c r="Q57" s="60" t="n">
        <f aca="false">Q54+Q56</f>
        <v>50910</v>
      </c>
      <c r="R57" s="60" t="n">
        <f aca="false">R54+R56</f>
        <v>49946.6666666667</v>
      </c>
      <c r="S57" s="60" t="n">
        <f aca="false">S54+S56</f>
        <v>48983.3333333334</v>
      </c>
      <c r="T57" s="60" t="n">
        <f aca="false">T54+T56</f>
        <v>48020</v>
      </c>
      <c r="U57" s="60" t="n">
        <f aca="false">U54+U56</f>
        <v>47056.6666666667</v>
      </c>
      <c r="V57" s="60" t="n">
        <f aca="false">V54+V56</f>
        <v>46093.3333333334</v>
      </c>
      <c r="W57" s="60" t="n">
        <f aca="false">W54+W56</f>
        <v>45130</v>
      </c>
      <c r="X57" s="60" t="n">
        <f aca="false">X54+X56</f>
        <v>44166.6666666667</v>
      </c>
      <c r="Y57" s="60" t="n">
        <f aca="false">Y54+Y56</f>
        <v>43203.3333333334</v>
      </c>
      <c r="Z57" s="60" t="n">
        <f aca="false">Z54+Z56</f>
        <v>42240</v>
      </c>
      <c r="AA57" s="60" t="n">
        <f aca="false">AA54+AA56</f>
        <v>82907.0666666667</v>
      </c>
      <c r="AB57" s="60" t="n">
        <f aca="false">AB54+AB56</f>
        <v>81238.1333333334</v>
      </c>
      <c r="AC57" s="60" t="n">
        <f aca="false">AC54+AC56</f>
        <v>79569.2</v>
      </c>
      <c r="AD57" s="60" t="n">
        <f aca="false">AD54+AD56</f>
        <v>77900.2666666667</v>
      </c>
      <c r="AE57" s="60" t="n">
        <f aca="false">AE54+AE56</f>
        <v>76231.3333333334</v>
      </c>
      <c r="AF57" s="60" t="n">
        <f aca="false">AF54+AF56</f>
        <v>74562.4000000001</v>
      </c>
      <c r="AG57" s="60" t="n">
        <f aca="false">AG54+AG56</f>
        <v>72893.4666666667</v>
      </c>
      <c r="AH57" s="60" t="n">
        <f aca="false">AH54+AH56</f>
        <v>71224.5333333334</v>
      </c>
      <c r="AI57" s="60" t="n">
        <f aca="false">AI54+AI56</f>
        <v>69555.6</v>
      </c>
      <c r="AJ57" s="60" t="n">
        <f aca="false">AJ54+AJ56</f>
        <v>67886.6666666667</v>
      </c>
      <c r="AK57" s="60" t="n">
        <f aca="false">AK54+AK56</f>
        <v>66217.7333333334</v>
      </c>
      <c r="AL57" s="60" t="n">
        <f aca="false">AL54+AL56</f>
        <v>64548.8</v>
      </c>
      <c r="AM57" s="60" t="n">
        <f aca="false">AM54+AM56</f>
        <v>109505.914666667</v>
      </c>
      <c r="AN57" s="60" t="n">
        <f aca="false">AN54+AN56</f>
        <v>107046.709333333</v>
      </c>
      <c r="AO57" s="60" t="n">
        <f aca="false">AO54+AO56</f>
        <v>104587.504</v>
      </c>
      <c r="AP57" s="60" t="n">
        <f aca="false">AP54+AP56</f>
        <v>102128.298666667</v>
      </c>
      <c r="AQ57" s="60" t="n">
        <f aca="false">AQ54+AQ56</f>
        <v>99669.0933333334</v>
      </c>
      <c r="AR57" s="60" t="n">
        <f aca="false">AR54+AR56</f>
        <v>97209.8880000001</v>
      </c>
      <c r="AS57" s="60" t="n">
        <f aca="false">AS54+AS56</f>
        <v>94750.6826666668</v>
      </c>
      <c r="AT57" s="60" t="n">
        <f aca="false">AT54+AT56</f>
        <v>92291.4773333334</v>
      </c>
      <c r="AU57" s="60" t="n">
        <f aca="false">AU54+AU56</f>
        <v>89832.2720000001</v>
      </c>
      <c r="AV57" s="60" t="n">
        <f aca="false">AV54+AV56</f>
        <v>87373.0666666667</v>
      </c>
      <c r="AW57" s="60" t="n">
        <f aca="false">AW54+AW56</f>
        <v>84913.8613333334</v>
      </c>
      <c r="AX57" s="60" t="n">
        <f aca="false">AX54+AX56</f>
        <v>82454.6560000001</v>
      </c>
      <c r="AY57" s="60" t="n">
        <f aca="false">AY54+AY56</f>
        <v>132216.624426667</v>
      </c>
      <c r="AZ57" s="60" t="n">
        <f aca="false">AZ54+AZ56</f>
        <v>128872.314453333</v>
      </c>
      <c r="BA57" s="60" t="n">
        <f aca="false">BA54+BA56</f>
        <v>125528.00448</v>
      </c>
      <c r="BB57" s="60" t="n">
        <f aca="false">BB54+BB56</f>
        <v>122183.694506667</v>
      </c>
      <c r="BC57" s="60" t="n">
        <f aca="false">BC54+BC56</f>
        <v>118839.384533333</v>
      </c>
      <c r="BD57" s="60" t="n">
        <f aca="false">BD54+BD56</f>
        <v>115495.07456</v>
      </c>
      <c r="BE57" s="60" t="n">
        <f aca="false">BE54+BE56</f>
        <v>112150.764586667</v>
      </c>
      <c r="BF57" s="60" t="n">
        <f aca="false">BF54+BF56</f>
        <v>108806.454613333</v>
      </c>
      <c r="BG57" s="60" t="n">
        <f aca="false">BG54+BG56</f>
        <v>105462.14464</v>
      </c>
      <c r="BH57" s="60" t="n">
        <f aca="false">BH54+BH56</f>
        <v>102117.834666667</v>
      </c>
      <c r="BI57" s="60" t="n">
        <f aca="false">BI54+BI56</f>
        <v>98773.5246933334</v>
      </c>
      <c r="BJ57" s="60" t="n">
        <f aca="false">BJ54+BJ56</f>
        <v>95429.2147200001</v>
      </c>
    </row>
    <row r="59" customFormat="false" ht="15.75" hidden="false" customHeight="true" outlineLevel="0" collapsed="false">
      <c r="A59" s="7" t="s">
        <v>369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370</v>
      </c>
      <c r="C60" s="53" t="n">
        <f aca="false">0</f>
        <v>0</v>
      </c>
      <c r="D60" s="53" t="n">
        <f aca="false">C63</f>
        <v>250000</v>
      </c>
      <c r="E60" s="53" t="n">
        <f aca="false">D63</f>
        <v>245833.333333333</v>
      </c>
      <c r="F60" s="53" t="n">
        <f aca="false">E63</f>
        <v>241666.666666667</v>
      </c>
      <c r="G60" s="53" t="n">
        <f aca="false">F63</f>
        <v>237500</v>
      </c>
      <c r="H60" s="53" t="n">
        <f aca="false">G63</f>
        <v>233333.333333333</v>
      </c>
      <c r="I60" s="53" t="n">
        <f aca="false">H63</f>
        <v>229166.666666667</v>
      </c>
      <c r="J60" s="53" t="n">
        <f aca="false">I63</f>
        <v>225000</v>
      </c>
      <c r="K60" s="53" t="n">
        <f aca="false">J63</f>
        <v>220833.333333333</v>
      </c>
      <c r="L60" s="53" t="n">
        <f aca="false">K63</f>
        <v>216666.666666667</v>
      </c>
      <c r="M60" s="53" t="n">
        <f aca="false">L63</f>
        <v>212500</v>
      </c>
      <c r="N60" s="53" t="n">
        <f aca="false">M63</f>
        <v>208333.333333333</v>
      </c>
      <c r="O60" s="53" t="n">
        <f aca="false">N63</f>
        <v>204166.666666667</v>
      </c>
      <c r="P60" s="53" t="n">
        <f aca="false">O63</f>
        <v>200000</v>
      </c>
      <c r="Q60" s="53" t="n">
        <f aca="false">P63</f>
        <v>195833.333333333</v>
      </c>
      <c r="R60" s="53" t="n">
        <f aca="false">Q63</f>
        <v>191666.666666667</v>
      </c>
      <c r="S60" s="53" t="n">
        <f aca="false">R63</f>
        <v>187500</v>
      </c>
      <c r="T60" s="53" t="n">
        <f aca="false">S63</f>
        <v>183333.333333334</v>
      </c>
      <c r="U60" s="53" t="n">
        <f aca="false">T63</f>
        <v>179166.666666667</v>
      </c>
      <c r="V60" s="53" t="n">
        <f aca="false">U63</f>
        <v>175000</v>
      </c>
      <c r="W60" s="53" t="n">
        <f aca="false">V63</f>
        <v>170833.333333334</v>
      </c>
      <c r="X60" s="53" t="n">
        <f aca="false">W63</f>
        <v>166666.666666667</v>
      </c>
      <c r="Y60" s="53" t="n">
        <f aca="false">X63</f>
        <v>162500</v>
      </c>
      <c r="Z60" s="53" t="n">
        <f aca="false">Y63</f>
        <v>158333.333333334</v>
      </c>
      <c r="AA60" s="53" t="n">
        <f aca="false">Z63</f>
        <v>154166.666666667</v>
      </c>
      <c r="AB60" s="53" t="n">
        <f aca="false">AA63</f>
        <v>150000</v>
      </c>
      <c r="AC60" s="53" t="n">
        <f aca="false">AB63</f>
        <v>145833.333333334</v>
      </c>
      <c r="AD60" s="53" t="n">
        <f aca="false">AC63</f>
        <v>141666.666666667</v>
      </c>
      <c r="AE60" s="53" t="n">
        <f aca="false">AD63</f>
        <v>137500</v>
      </c>
      <c r="AF60" s="53" t="n">
        <f aca="false">AE63</f>
        <v>133333.333333334</v>
      </c>
      <c r="AG60" s="53" t="n">
        <f aca="false">AF63</f>
        <v>129166.666666667</v>
      </c>
      <c r="AH60" s="53" t="n">
        <f aca="false">AG63</f>
        <v>125000</v>
      </c>
      <c r="AI60" s="53" t="n">
        <f aca="false">AH63</f>
        <v>120833.333333334</v>
      </c>
      <c r="AJ60" s="53" t="n">
        <f aca="false">AI63</f>
        <v>116666.666666667</v>
      </c>
      <c r="AK60" s="53" t="n">
        <f aca="false">AJ63</f>
        <v>112500</v>
      </c>
      <c r="AL60" s="53" t="n">
        <f aca="false">AK63</f>
        <v>108333.333333334</v>
      </c>
      <c r="AM60" s="53" t="n">
        <f aca="false">AL63</f>
        <v>104166.666666667</v>
      </c>
      <c r="AN60" s="53" t="n">
        <f aca="false">AM63</f>
        <v>100000</v>
      </c>
      <c r="AO60" s="53" t="n">
        <f aca="false">AN63</f>
        <v>95833.3333333336</v>
      </c>
      <c r="AP60" s="53" t="n">
        <f aca="false">AO63</f>
        <v>91666.6666666669</v>
      </c>
      <c r="AQ60" s="53" t="n">
        <f aca="false">AP63</f>
        <v>87500.0000000002</v>
      </c>
      <c r="AR60" s="53" t="n">
        <f aca="false">AQ63</f>
        <v>83333.3333333336</v>
      </c>
      <c r="AS60" s="53" t="n">
        <f aca="false">AR63</f>
        <v>79166.6666666669</v>
      </c>
      <c r="AT60" s="53" t="n">
        <f aca="false">AS63</f>
        <v>75000.0000000002</v>
      </c>
      <c r="AU60" s="53" t="n">
        <f aca="false">AT63</f>
        <v>70833.3333333335</v>
      </c>
      <c r="AV60" s="53" t="n">
        <f aca="false">AU63</f>
        <v>66666.6666666669</v>
      </c>
      <c r="AW60" s="53" t="n">
        <f aca="false">AV63</f>
        <v>62500.0000000002</v>
      </c>
      <c r="AX60" s="53" t="n">
        <f aca="false">AW63</f>
        <v>58333.3333333335</v>
      </c>
      <c r="AY60" s="53" t="n">
        <f aca="false">AX63</f>
        <v>54166.6666666669</v>
      </c>
      <c r="AZ60" s="53" t="n">
        <f aca="false">AY63</f>
        <v>50000.0000000002</v>
      </c>
      <c r="BA60" s="53" t="n">
        <f aca="false">AZ63</f>
        <v>45833.3333333335</v>
      </c>
      <c r="BB60" s="53" t="n">
        <f aca="false">BA63</f>
        <v>41666.6666666669</v>
      </c>
      <c r="BC60" s="53" t="n">
        <f aca="false">BB63</f>
        <v>37500.0000000002</v>
      </c>
      <c r="BD60" s="53" t="n">
        <f aca="false">BC63</f>
        <v>33333.3333333336</v>
      </c>
      <c r="BE60" s="53" t="n">
        <f aca="false">BD63</f>
        <v>29166.6666666669</v>
      </c>
      <c r="BF60" s="53" t="n">
        <f aca="false">BE63</f>
        <v>25000.0000000002</v>
      </c>
      <c r="BG60" s="53" t="n">
        <f aca="false">BF63</f>
        <v>20833.3333333335</v>
      </c>
      <c r="BH60" s="53" t="n">
        <f aca="false">BG63</f>
        <v>16666.6666666669</v>
      </c>
      <c r="BI60" s="53" t="n">
        <f aca="false">BH63</f>
        <v>12500.0000000002</v>
      </c>
      <c r="BJ60" s="53" t="n">
        <f aca="false">BI63</f>
        <v>8333.33333333354</v>
      </c>
    </row>
    <row r="61" customFormat="false" ht="15" hidden="false" customHeight="false" outlineLevel="0" collapsed="false">
      <c r="A61" s="6" t="s">
        <v>81</v>
      </c>
      <c r="C61" s="53" t="n">
        <f aca="false">IF(C$4=1,Inputs!$E$55,0)</f>
        <v>250000</v>
      </c>
      <c r="D61" s="53" t="n">
        <f aca="false">IF(D$4=1,Inputs!$E$55,0)</f>
        <v>0</v>
      </c>
      <c r="E61" s="53" t="n">
        <f aca="false">IF(E$4=1,Inputs!$E$55,0)</f>
        <v>0</v>
      </c>
      <c r="F61" s="53" t="n">
        <f aca="false">IF(F$4=1,Inputs!$E$55,0)</f>
        <v>0</v>
      </c>
      <c r="G61" s="53" t="n">
        <f aca="false">IF(G$4=1,Inputs!$E$55,0)</f>
        <v>0</v>
      </c>
      <c r="H61" s="53" t="n">
        <f aca="false">IF(H$4=1,Inputs!$E$55,0)</f>
        <v>0</v>
      </c>
      <c r="I61" s="53" t="n">
        <f aca="false">IF(I$4=1,Inputs!$E$55,0)</f>
        <v>0</v>
      </c>
      <c r="J61" s="53" t="n">
        <f aca="false">IF(J$4=1,Inputs!$E$55,0)</f>
        <v>0</v>
      </c>
      <c r="K61" s="53" t="n">
        <f aca="false">IF(K$4=1,Inputs!$E$55,0)</f>
        <v>0</v>
      </c>
      <c r="L61" s="53" t="n">
        <f aca="false">IF(L$4=1,Inputs!$E$55,0)</f>
        <v>0</v>
      </c>
      <c r="M61" s="53" t="n">
        <f aca="false">IF(M$4=1,Inputs!$E$55,0)</f>
        <v>0</v>
      </c>
      <c r="N61" s="53" t="n">
        <f aca="false">IF(N$4=1,Inputs!$E$55,0)</f>
        <v>0</v>
      </c>
      <c r="O61" s="53" t="n">
        <f aca="false">IF(O$4=1,Inputs!$E$55,0)</f>
        <v>0</v>
      </c>
      <c r="P61" s="53" t="n">
        <f aca="false">IF(P$4=1,Inputs!$E$55,0)</f>
        <v>0</v>
      </c>
      <c r="Q61" s="53" t="n">
        <f aca="false">IF(Q$4=1,Inputs!$E$55,0)</f>
        <v>0</v>
      </c>
      <c r="R61" s="53" t="n">
        <f aca="false">IF(R$4=1,Inputs!$E$55,0)</f>
        <v>0</v>
      </c>
      <c r="S61" s="53" t="n">
        <f aca="false">IF(S$4=1,Inputs!$E$55,0)</f>
        <v>0</v>
      </c>
      <c r="T61" s="53" t="n">
        <f aca="false">IF(T$4=1,Inputs!$E$55,0)</f>
        <v>0</v>
      </c>
      <c r="U61" s="53" t="n">
        <f aca="false">IF(U$4=1,Inputs!$E$55,0)</f>
        <v>0</v>
      </c>
      <c r="V61" s="53" t="n">
        <f aca="false">IF(V$4=1,Inputs!$E$55,0)</f>
        <v>0</v>
      </c>
      <c r="W61" s="53" t="n">
        <f aca="false">IF(W$4=1,Inputs!$E$55,0)</f>
        <v>0</v>
      </c>
      <c r="X61" s="53" t="n">
        <f aca="false">IF(X$4=1,Inputs!$E$55,0)</f>
        <v>0</v>
      </c>
      <c r="Y61" s="53" t="n">
        <f aca="false">IF(Y$4=1,Inputs!$E$55,0)</f>
        <v>0</v>
      </c>
      <c r="Z61" s="53" t="n">
        <f aca="false">IF(Z$4=1,Inputs!$E$55,0)</f>
        <v>0</v>
      </c>
      <c r="AA61" s="53" t="n">
        <f aca="false">IF(AA$4=1,Inputs!$E$55,0)</f>
        <v>0</v>
      </c>
      <c r="AB61" s="53" t="n">
        <f aca="false">IF(AB$4=1,Inputs!$E$55,0)</f>
        <v>0</v>
      </c>
      <c r="AC61" s="53" t="n">
        <f aca="false">IF(AC$4=1,Inputs!$E$55,0)</f>
        <v>0</v>
      </c>
      <c r="AD61" s="53" t="n">
        <f aca="false">IF(AD$4=1,Inputs!$E$55,0)</f>
        <v>0</v>
      </c>
      <c r="AE61" s="53" t="n">
        <f aca="false">IF(AE$4=1,Inputs!$E$55,0)</f>
        <v>0</v>
      </c>
      <c r="AF61" s="53" t="n">
        <f aca="false">IF(AF$4=1,Inputs!$E$55,0)</f>
        <v>0</v>
      </c>
      <c r="AG61" s="53" t="n">
        <f aca="false">IF(AG$4=1,Inputs!$E$55,0)</f>
        <v>0</v>
      </c>
      <c r="AH61" s="53" t="n">
        <f aca="false">IF(AH$4=1,Inputs!$E$55,0)</f>
        <v>0</v>
      </c>
      <c r="AI61" s="53" t="n">
        <f aca="false">IF(AI$4=1,Inputs!$E$55,0)</f>
        <v>0</v>
      </c>
      <c r="AJ61" s="53" t="n">
        <f aca="false">IF(AJ$4=1,Inputs!$E$55,0)</f>
        <v>0</v>
      </c>
      <c r="AK61" s="53" t="n">
        <f aca="false">IF(AK$4=1,Inputs!$E$55,0)</f>
        <v>0</v>
      </c>
      <c r="AL61" s="53" t="n">
        <f aca="false">IF(AL$4=1,Inputs!$E$55,0)</f>
        <v>0</v>
      </c>
      <c r="AM61" s="53" t="n">
        <f aca="false">IF(AM$4=1,Inputs!$E$55,0)</f>
        <v>0</v>
      </c>
      <c r="AN61" s="53" t="n">
        <f aca="false">IF(AN$4=1,Inputs!$E$55,0)</f>
        <v>0</v>
      </c>
      <c r="AO61" s="53" t="n">
        <f aca="false">IF(AO$4=1,Inputs!$E$55,0)</f>
        <v>0</v>
      </c>
      <c r="AP61" s="53" t="n">
        <f aca="false">IF(AP$4=1,Inputs!$E$55,0)</f>
        <v>0</v>
      </c>
      <c r="AQ61" s="53" t="n">
        <f aca="false">IF(AQ$4=1,Inputs!$E$55,0)</f>
        <v>0</v>
      </c>
      <c r="AR61" s="53" t="n">
        <f aca="false">IF(AR$4=1,Inputs!$E$55,0)</f>
        <v>0</v>
      </c>
      <c r="AS61" s="53" t="n">
        <f aca="false">IF(AS$4=1,Inputs!$E$55,0)</f>
        <v>0</v>
      </c>
      <c r="AT61" s="53" t="n">
        <f aca="false">IF(AT$4=1,Inputs!$E$55,0)</f>
        <v>0</v>
      </c>
      <c r="AU61" s="53" t="n">
        <f aca="false">IF(AU$4=1,Inputs!$E$55,0)</f>
        <v>0</v>
      </c>
      <c r="AV61" s="53" t="n">
        <f aca="false">IF(AV$4=1,Inputs!$E$55,0)</f>
        <v>0</v>
      </c>
      <c r="AW61" s="53" t="n">
        <f aca="false">IF(AW$4=1,Inputs!$E$55,0)</f>
        <v>0</v>
      </c>
      <c r="AX61" s="53" t="n">
        <f aca="false">IF(AX$4=1,Inputs!$E$55,0)</f>
        <v>0</v>
      </c>
      <c r="AY61" s="53" t="n">
        <f aca="false">IF(AY$4=1,Inputs!$E$55,0)</f>
        <v>0</v>
      </c>
      <c r="AZ61" s="53" t="n">
        <f aca="false">IF(AZ$4=1,Inputs!$E$55,0)</f>
        <v>0</v>
      </c>
      <c r="BA61" s="53" t="n">
        <f aca="false">IF(BA$4=1,Inputs!$E$55,0)</f>
        <v>0</v>
      </c>
      <c r="BB61" s="53" t="n">
        <f aca="false">IF(BB$4=1,Inputs!$E$55,0)</f>
        <v>0</v>
      </c>
      <c r="BC61" s="53" t="n">
        <f aca="false">IF(BC$4=1,Inputs!$E$55,0)</f>
        <v>0</v>
      </c>
      <c r="BD61" s="53" t="n">
        <f aca="false">IF(BD$4=1,Inputs!$E$55,0)</f>
        <v>0</v>
      </c>
      <c r="BE61" s="53" t="n">
        <f aca="false">IF(BE$4=1,Inputs!$E$55,0)</f>
        <v>0</v>
      </c>
      <c r="BF61" s="53" t="n">
        <f aca="false">IF(BF$4=1,Inputs!$E$55,0)</f>
        <v>0</v>
      </c>
      <c r="BG61" s="53" t="n">
        <f aca="false">IF(BG$4=1,Inputs!$E$55,0)</f>
        <v>0</v>
      </c>
      <c r="BH61" s="53" t="n">
        <f aca="false">IF(BH$4=1,Inputs!$E$55,0)</f>
        <v>0</v>
      </c>
      <c r="BI61" s="53" t="n">
        <f aca="false">IF(BI$4=1,Inputs!$E$55,0)</f>
        <v>0</v>
      </c>
      <c r="BJ61" s="53" t="n">
        <f aca="false">IF(BJ$4=1,Inputs!$E$55,0)</f>
        <v>0</v>
      </c>
    </row>
    <row r="62" customFormat="false" ht="15" hidden="false" customHeight="false" outlineLevel="0" collapsed="false">
      <c r="A62" s="6" t="s">
        <v>82</v>
      </c>
      <c r="C62" s="53" t="n">
        <f aca="false">-MIN(C60,Inputs!$E$55/MAX(1,Inputs!$E$57*12))</f>
        <v>-0</v>
      </c>
      <c r="D62" s="53" t="n">
        <f aca="false">-MIN(D60,Inputs!$E$55/MAX(1,Inputs!$E$57*12))</f>
        <v>-4166.66666666667</v>
      </c>
      <c r="E62" s="53" t="n">
        <f aca="false">-MIN(E60,Inputs!$E$55/MAX(1,Inputs!$E$57*12))</f>
        <v>-4166.66666666667</v>
      </c>
      <c r="F62" s="53" t="n">
        <f aca="false">-MIN(F60,Inputs!$E$55/MAX(1,Inputs!$E$57*12))</f>
        <v>-4166.66666666667</v>
      </c>
      <c r="G62" s="53" t="n">
        <f aca="false">-MIN(G60,Inputs!$E$55/MAX(1,Inputs!$E$57*12))</f>
        <v>-4166.66666666667</v>
      </c>
      <c r="H62" s="53" t="n">
        <f aca="false">-MIN(H60,Inputs!$E$55/MAX(1,Inputs!$E$57*12))</f>
        <v>-4166.66666666667</v>
      </c>
      <c r="I62" s="53" t="n">
        <f aca="false">-MIN(I60,Inputs!$E$55/MAX(1,Inputs!$E$57*12))</f>
        <v>-4166.66666666667</v>
      </c>
      <c r="J62" s="53" t="n">
        <f aca="false">-MIN(J60,Inputs!$E$55/MAX(1,Inputs!$E$57*12))</f>
        <v>-4166.66666666667</v>
      </c>
      <c r="K62" s="53" t="n">
        <f aca="false">-MIN(K60,Inputs!$E$55/MAX(1,Inputs!$E$57*12))</f>
        <v>-4166.66666666667</v>
      </c>
      <c r="L62" s="53" t="n">
        <f aca="false">-MIN(L60,Inputs!$E$55/MAX(1,Inputs!$E$57*12))</f>
        <v>-4166.66666666667</v>
      </c>
      <c r="M62" s="53" t="n">
        <f aca="false">-MIN(M60,Inputs!$E$55/MAX(1,Inputs!$E$57*12))</f>
        <v>-4166.66666666667</v>
      </c>
      <c r="N62" s="53" t="n">
        <f aca="false">-MIN(N60,Inputs!$E$55/MAX(1,Inputs!$E$57*12))</f>
        <v>-4166.66666666667</v>
      </c>
      <c r="O62" s="53" t="n">
        <f aca="false">-MIN(O60,Inputs!$E$55/MAX(1,Inputs!$E$57*12))</f>
        <v>-4166.66666666667</v>
      </c>
      <c r="P62" s="53" t="n">
        <f aca="false">-MIN(P60,Inputs!$E$55/MAX(1,Inputs!$E$57*12))</f>
        <v>-4166.66666666667</v>
      </c>
      <c r="Q62" s="53" t="n">
        <f aca="false">-MIN(Q60,Inputs!$E$55/MAX(1,Inputs!$E$57*12))</f>
        <v>-4166.66666666667</v>
      </c>
      <c r="R62" s="53" t="n">
        <f aca="false">-MIN(R60,Inputs!$E$55/MAX(1,Inputs!$E$57*12))</f>
        <v>-4166.66666666667</v>
      </c>
      <c r="S62" s="53" t="n">
        <f aca="false">-MIN(S60,Inputs!$E$55/MAX(1,Inputs!$E$57*12))</f>
        <v>-4166.66666666667</v>
      </c>
      <c r="T62" s="53" t="n">
        <f aca="false">-MIN(T60,Inputs!$E$55/MAX(1,Inputs!$E$57*12))</f>
        <v>-4166.66666666667</v>
      </c>
      <c r="U62" s="53" t="n">
        <f aca="false">-MIN(U60,Inputs!$E$55/MAX(1,Inputs!$E$57*12))</f>
        <v>-4166.66666666667</v>
      </c>
      <c r="V62" s="53" t="n">
        <f aca="false">-MIN(V60,Inputs!$E$55/MAX(1,Inputs!$E$57*12))</f>
        <v>-4166.66666666667</v>
      </c>
      <c r="W62" s="53" t="n">
        <f aca="false">-MIN(W60,Inputs!$E$55/MAX(1,Inputs!$E$57*12))</f>
        <v>-4166.66666666667</v>
      </c>
      <c r="X62" s="53" t="n">
        <f aca="false">-MIN(X60,Inputs!$E$55/MAX(1,Inputs!$E$57*12))</f>
        <v>-4166.66666666667</v>
      </c>
      <c r="Y62" s="53" t="n">
        <f aca="false">-MIN(Y60,Inputs!$E$55/MAX(1,Inputs!$E$57*12))</f>
        <v>-4166.66666666667</v>
      </c>
      <c r="Z62" s="53" t="n">
        <f aca="false">-MIN(Z60,Inputs!$E$55/MAX(1,Inputs!$E$57*12))</f>
        <v>-4166.66666666667</v>
      </c>
      <c r="AA62" s="53" t="n">
        <f aca="false">-MIN(AA60,Inputs!$E$55/MAX(1,Inputs!$E$57*12))</f>
        <v>-4166.66666666667</v>
      </c>
      <c r="AB62" s="53" t="n">
        <f aca="false">-MIN(AB60,Inputs!$E$55/MAX(1,Inputs!$E$57*12))</f>
        <v>-4166.66666666667</v>
      </c>
      <c r="AC62" s="53" t="n">
        <f aca="false">-MIN(AC60,Inputs!$E$55/MAX(1,Inputs!$E$57*12))</f>
        <v>-4166.66666666667</v>
      </c>
      <c r="AD62" s="53" t="n">
        <f aca="false">-MIN(AD60,Inputs!$E$55/MAX(1,Inputs!$E$57*12))</f>
        <v>-4166.66666666667</v>
      </c>
      <c r="AE62" s="53" t="n">
        <f aca="false">-MIN(AE60,Inputs!$E$55/MAX(1,Inputs!$E$57*12))</f>
        <v>-4166.66666666667</v>
      </c>
      <c r="AF62" s="53" t="n">
        <f aca="false">-MIN(AF60,Inputs!$E$55/MAX(1,Inputs!$E$57*12))</f>
        <v>-4166.66666666667</v>
      </c>
      <c r="AG62" s="53" t="n">
        <f aca="false">-MIN(AG60,Inputs!$E$55/MAX(1,Inputs!$E$57*12))</f>
        <v>-4166.66666666667</v>
      </c>
      <c r="AH62" s="53" t="n">
        <f aca="false">-MIN(AH60,Inputs!$E$55/MAX(1,Inputs!$E$57*12))</f>
        <v>-4166.66666666667</v>
      </c>
      <c r="AI62" s="53" t="n">
        <f aca="false">-MIN(AI60,Inputs!$E$55/MAX(1,Inputs!$E$57*12))</f>
        <v>-4166.66666666667</v>
      </c>
      <c r="AJ62" s="53" t="n">
        <f aca="false">-MIN(AJ60,Inputs!$E$55/MAX(1,Inputs!$E$57*12))</f>
        <v>-4166.66666666667</v>
      </c>
      <c r="AK62" s="53" t="n">
        <f aca="false">-MIN(AK60,Inputs!$E$55/MAX(1,Inputs!$E$57*12))</f>
        <v>-4166.66666666667</v>
      </c>
      <c r="AL62" s="53" t="n">
        <f aca="false">-MIN(AL60,Inputs!$E$55/MAX(1,Inputs!$E$57*12))</f>
        <v>-4166.66666666667</v>
      </c>
      <c r="AM62" s="53" t="n">
        <f aca="false">-MIN(AM60,Inputs!$E$55/MAX(1,Inputs!$E$57*12))</f>
        <v>-4166.66666666667</v>
      </c>
      <c r="AN62" s="53" t="n">
        <f aca="false">-MIN(AN60,Inputs!$E$55/MAX(1,Inputs!$E$57*12))</f>
        <v>-4166.66666666667</v>
      </c>
      <c r="AO62" s="53" t="n">
        <f aca="false">-MIN(AO60,Inputs!$E$55/MAX(1,Inputs!$E$57*12))</f>
        <v>-4166.66666666667</v>
      </c>
      <c r="AP62" s="53" t="n">
        <f aca="false">-MIN(AP60,Inputs!$E$55/MAX(1,Inputs!$E$57*12))</f>
        <v>-4166.66666666667</v>
      </c>
      <c r="AQ62" s="53" t="n">
        <f aca="false">-MIN(AQ60,Inputs!$E$55/MAX(1,Inputs!$E$57*12))</f>
        <v>-4166.66666666667</v>
      </c>
      <c r="AR62" s="53" t="n">
        <f aca="false">-MIN(AR60,Inputs!$E$55/MAX(1,Inputs!$E$57*12))</f>
        <v>-4166.66666666667</v>
      </c>
      <c r="AS62" s="53" t="n">
        <f aca="false">-MIN(AS60,Inputs!$E$55/MAX(1,Inputs!$E$57*12))</f>
        <v>-4166.66666666667</v>
      </c>
      <c r="AT62" s="53" t="n">
        <f aca="false">-MIN(AT60,Inputs!$E$55/MAX(1,Inputs!$E$57*12))</f>
        <v>-4166.66666666667</v>
      </c>
      <c r="AU62" s="53" t="n">
        <f aca="false">-MIN(AU60,Inputs!$E$55/MAX(1,Inputs!$E$57*12))</f>
        <v>-4166.66666666667</v>
      </c>
      <c r="AV62" s="53" t="n">
        <f aca="false">-MIN(AV60,Inputs!$E$55/MAX(1,Inputs!$E$57*12))</f>
        <v>-4166.66666666667</v>
      </c>
      <c r="AW62" s="53" t="n">
        <f aca="false">-MIN(AW60,Inputs!$E$55/MAX(1,Inputs!$E$57*12))</f>
        <v>-4166.66666666667</v>
      </c>
      <c r="AX62" s="53" t="n">
        <f aca="false">-MIN(AX60,Inputs!$E$55/MAX(1,Inputs!$E$57*12))</f>
        <v>-4166.66666666667</v>
      </c>
      <c r="AY62" s="53" t="n">
        <f aca="false">-MIN(AY60,Inputs!$E$55/MAX(1,Inputs!$E$57*12))</f>
        <v>-4166.66666666667</v>
      </c>
      <c r="AZ62" s="53" t="n">
        <f aca="false">-MIN(AZ60,Inputs!$E$55/MAX(1,Inputs!$E$57*12))</f>
        <v>-4166.66666666667</v>
      </c>
      <c r="BA62" s="53" t="n">
        <f aca="false">-MIN(BA60,Inputs!$E$55/MAX(1,Inputs!$E$57*12))</f>
        <v>-4166.66666666667</v>
      </c>
      <c r="BB62" s="53" t="n">
        <f aca="false">-MIN(BB60,Inputs!$E$55/MAX(1,Inputs!$E$57*12))</f>
        <v>-4166.66666666667</v>
      </c>
      <c r="BC62" s="53" t="n">
        <f aca="false">-MIN(BC60,Inputs!$E$55/MAX(1,Inputs!$E$57*12))</f>
        <v>-4166.66666666667</v>
      </c>
      <c r="BD62" s="53" t="n">
        <f aca="false">-MIN(BD60,Inputs!$E$55/MAX(1,Inputs!$E$57*12))</f>
        <v>-4166.66666666667</v>
      </c>
      <c r="BE62" s="53" t="n">
        <f aca="false">-MIN(BE60,Inputs!$E$55/MAX(1,Inputs!$E$57*12))</f>
        <v>-4166.66666666667</v>
      </c>
      <c r="BF62" s="53" t="n">
        <f aca="false">-MIN(BF60,Inputs!$E$55/MAX(1,Inputs!$E$57*12))</f>
        <v>-4166.66666666667</v>
      </c>
      <c r="BG62" s="53" t="n">
        <f aca="false">-MIN(BG60,Inputs!$E$55/MAX(1,Inputs!$E$57*12))</f>
        <v>-4166.66666666667</v>
      </c>
      <c r="BH62" s="53" t="n">
        <f aca="false">-MIN(BH60,Inputs!$E$55/MAX(1,Inputs!$E$57*12))</f>
        <v>-4166.66666666667</v>
      </c>
      <c r="BI62" s="53" t="n">
        <f aca="false">-MIN(BI60,Inputs!$E$55/MAX(1,Inputs!$E$57*12))</f>
        <v>-4166.66666666667</v>
      </c>
      <c r="BJ62" s="53" t="n">
        <f aca="false">-MIN(BJ60,Inputs!$E$55/MAX(1,Inputs!$E$57*12))</f>
        <v>-4166.66666666667</v>
      </c>
    </row>
    <row r="63" customFormat="false" ht="15" hidden="false" customHeight="false" outlineLevel="0" collapsed="false">
      <c r="A63" s="4" t="s">
        <v>371</v>
      </c>
      <c r="C63" s="60" t="n">
        <f aca="false">C60+C61+C62</f>
        <v>250000</v>
      </c>
      <c r="D63" s="60" t="n">
        <f aca="false">D60+D61+D62</f>
        <v>245833.333333333</v>
      </c>
      <c r="E63" s="60" t="n">
        <f aca="false">E60+E61+E62</f>
        <v>241666.666666667</v>
      </c>
      <c r="F63" s="60" t="n">
        <f aca="false">F60+F61+F62</f>
        <v>237500</v>
      </c>
      <c r="G63" s="60" t="n">
        <f aca="false">G60+G61+G62</f>
        <v>233333.333333333</v>
      </c>
      <c r="H63" s="60" t="n">
        <f aca="false">H60+H61+H62</f>
        <v>229166.666666667</v>
      </c>
      <c r="I63" s="60" t="n">
        <f aca="false">I60+I61+I62</f>
        <v>225000</v>
      </c>
      <c r="J63" s="60" t="n">
        <f aca="false">J60+J61+J62</f>
        <v>220833.333333333</v>
      </c>
      <c r="K63" s="60" t="n">
        <f aca="false">K60+K61+K62</f>
        <v>216666.666666667</v>
      </c>
      <c r="L63" s="60" t="n">
        <f aca="false">L60+L61+L62</f>
        <v>212500</v>
      </c>
      <c r="M63" s="60" t="n">
        <f aca="false">M60+M61+M62</f>
        <v>208333.333333333</v>
      </c>
      <c r="N63" s="60" t="n">
        <f aca="false">N60+N61+N62</f>
        <v>204166.666666667</v>
      </c>
      <c r="O63" s="60" t="n">
        <f aca="false">O60+O61+O62</f>
        <v>200000</v>
      </c>
      <c r="P63" s="60" t="n">
        <f aca="false">P60+P61+P62</f>
        <v>195833.333333333</v>
      </c>
      <c r="Q63" s="60" t="n">
        <f aca="false">Q60+Q61+Q62</f>
        <v>191666.666666667</v>
      </c>
      <c r="R63" s="60" t="n">
        <f aca="false">R60+R61+R62</f>
        <v>187500</v>
      </c>
      <c r="S63" s="60" t="n">
        <f aca="false">S60+S61+S62</f>
        <v>183333.333333334</v>
      </c>
      <c r="T63" s="60" t="n">
        <f aca="false">T60+T61+T62</f>
        <v>179166.666666667</v>
      </c>
      <c r="U63" s="60" t="n">
        <f aca="false">U60+U61+U62</f>
        <v>175000</v>
      </c>
      <c r="V63" s="60" t="n">
        <f aca="false">V60+V61+V62</f>
        <v>170833.333333334</v>
      </c>
      <c r="W63" s="60" t="n">
        <f aca="false">W60+W61+W62</f>
        <v>166666.666666667</v>
      </c>
      <c r="X63" s="60" t="n">
        <f aca="false">X60+X61+X62</f>
        <v>162500</v>
      </c>
      <c r="Y63" s="60" t="n">
        <f aca="false">Y60+Y61+Y62</f>
        <v>158333.333333334</v>
      </c>
      <c r="Z63" s="60" t="n">
        <f aca="false">Z60+Z61+Z62</f>
        <v>154166.666666667</v>
      </c>
      <c r="AA63" s="60" t="n">
        <f aca="false">AA60+AA61+AA62</f>
        <v>150000</v>
      </c>
      <c r="AB63" s="60" t="n">
        <f aca="false">AB60+AB61+AB62</f>
        <v>145833.333333334</v>
      </c>
      <c r="AC63" s="60" t="n">
        <f aca="false">AC60+AC61+AC62</f>
        <v>141666.666666667</v>
      </c>
      <c r="AD63" s="60" t="n">
        <f aca="false">AD60+AD61+AD62</f>
        <v>137500</v>
      </c>
      <c r="AE63" s="60" t="n">
        <f aca="false">AE60+AE61+AE62</f>
        <v>133333.333333334</v>
      </c>
      <c r="AF63" s="60" t="n">
        <f aca="false">AF60+AF61+AF62</f>
        <v>129166.666666667</v>
      </c>
      <c r="AG63" s="60" t="n">
        <f aca="false">AG60+AG61+AG62</f>
        <v>125000</v>
      </c>
      <c r="AH63" s="60" t="n">
        <f aca="false">AH60+AH61+AH62</f>
        <v>120833.333333334</v>
      </c>
      <c r="AI63" s="60" t="n">
        <f aca="false">AI60+AI61+AI62</f>
        <v>116666.666666667</v>
      </c>
      <c r="AJ63" s="60" t="n">
        <f aca="false">AJ60+AJ61+AJ62</f>
        <v>112500</v>
      </c>
      <c r="AK63" s="60" t="n">
        <f aca="false">AK60+AK61+AK62</f>
        <v>108333.333333334</v>
      </c>
      <c r="AL63" s="60" t="n">
        <f aca="false">AL60+AL61+AL62</f>
        <v>104166.666666667</v>
      </c>
      <c r="AM63" s="60" t="n">
        <f aca="false">AM60+AM61+AM62</f>
        <v>100000</v>
      </c>
      <c r="AN63" s="60" t="n">
        <f aca="false">AN60+AN61+AN62</f>
        <v>95833.3333333336</v>
      </c>
      <c r="AO63" s="60" t="n">
        <f aca="false">AO60+AO61+AO62</f>
        <v>91666.6666666669</v>
      </c>
      <c r="AP63" s="60" t="n">
        <f aca="false">AP60+AP61+AP62</f>
        <v>87500.0000000002</v>
      </c>
      <c r="AQ63" s="60" t="n">
        <f aca="false">AQ60+AQ61+AQ62</f>
        <v>83333.3333333336</v>
      </c>
      <c r="AR63" s="60" t="n">
        <f aca="false">AR60+AR61+AR62</f>
        <v>79166.6666666669</v>
      </c>
      <c r="AS63" s="60" t="n">
        <f aca="false">AS60+AS61+AS62</f>
        <v>75000.0000000002</v>
      </c>
      <c r="AT63" s="60" t="n">
        <f aca="false">AT60+AT61+AT62</f>
        <v>70833.3333333335</v>
      </c>
      <c r="AU63" s="60" t="n">
        <f aca="false">AU60+AU61+AU62</f>
        <v>66666.6666666669</v>
      </c>
      <c r="AV63" s="60" t="n">
        <f aca="false">AV60+AV61+AV62</f>
        <v>62500.0000000002</v>
      </c>
      <c r="AW63" s="60" t="n">
        <f aca="false">AW60+AW61+AW62</f>
        <v>58333.3333333335</v>
      </c>
      <c r="AX63" s="60" t="n">
        <f aca="false">AX60+AX61+AX62</f>
        <v>54166.6666666669</v>
      </c>
      <c r="AY63" s="60" t="n">
        <f aca="false">AY60+AY61+AY62</f>
        <v>50000.0000000002</v>
      </c>
      <c r="AZ63" s="60" t="n">
        <f aca="false">AZ60+AZ61+AZ62</f>
        <v>45833.3333333335</v>
      </c>
      <c r="BA63" s="60" t="n">
        <f aca="false">BA60+BA61+BA62</f>
        <v>41666.6666666669</v>
      </c>
      <c r="BB63" s="60" t="n">
        <f aca="false">BB60+BB61+BB62</f>
        <v>37500.0000000002</v>
      </c>
      <c r="BC63" s="60" t="n">
        <f aca="false">BC60+BC61+BC62</f>
        <v>33333.3333333336</v>
      </c>
      <c r="BD63" s="60" t="n">
        <f aca="false">BD60+BD61+BD62</f>
        <v>29166.6666666669</v>
      </c>
      <c r="BE63" s="60" t="n">
        <f aca="false">BE60+BE61+BE62</f>
        <v>25000.0000000002</v>
      </c>
      <c r="BF63" s="60" t="n">
        <f aca="false">BF60+BF61+BF62</f>
        <v>20833.3333333335</v>
      </c>
      <c r="BG63" s="60" t="n">
        <f aca="false">BG60+BG61+BG62</f>
        <v>16666.6666666669</v>
      </c>
      <c r="BH63" s="60" t="n">
        <f aca="false">BH60+BH61+BH62</f>
        <v>12500.0000000002</v>
      </c>
      <c r="BI63" s="60" t="n">
        <f aca="false">BI60+BI61+BI62</f>
        <v>8333.33333333354</v>
      </c>
      <c r="BJ63" s="60" t="n">
        <f aca="false">BJ60+BJ61+BJ62</f>
        <v>4166.66666666687</v>
      </c>
    </row>
    <row r="65" customFormat="false" ht="15.75" hidden="false" customHeight="true" outlineLevel="0" collapsed="false">
      <c r="A65" s="7" t="s">
        <v>255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86</v>
      </c>
      <c r="C66" s="53" t="n">
        <f aca="false">C22*Inputs!$E$60/30</f>
        <v>44478.8888888889</v>
      </c>
      <c r="D66" s="53" t="n">
        <f aca="false">D22*Inputs!$E$60/30</f>
        <v>44478.8888888889</v>
      </c>
      <c r="E66" s="53" t="n">
        <f aca="false">E22*Inputs!$E$60/30</f>
        <v>44478.8888888889</v>
      </c>
      <c r="F66" s="53" t="n">
        <f aca="false">F22*Inputs!$E$60/30</f>
        <v>44478.8888888889</v>
      </c>
      <c r="G66" s="53" t="n">
        <f aca="false">G22*Inputs!$E$60/30</f>
        <v>44478.8888888889</v>
      </c>
      <c r="H66" s="53" t="n">
        <f aca="false">H22*Inputs!$E$60/30</f>
        <v>56566.6666666667</v>
      </c>
      <c r="I66" s="53" t="n">
        <f aca="false">I22*Inputs!$E$60/30</f>
        <v>56566.6666666667</v>
      </c>
      <c r="J66" s="53" t="n">
        <f aca="false">J22*Inputs!$E$60/30</f>
        <v>56566.6666666667</v>
      </c>
      <c r="K66" s="53" t="n">
        <f aca="false">K22*Inputs!$E$60/30</f>
        <v>44478.8888888889</v>
      </c>
      <c r="L66" s="53" t="n">
        <f aca="false">L22*Inputs!$E$60/30</f>
        <v>44478.8888888889</v>
      </c>
      <c r="M66" s="53" t="n">
        <f aca="false">M22*Inputs!$E$60/30</f>
        <v>44478.8888888889</v>
      </c>
      <c r="N66" s="53" t="n">
        <f aca="false">N22*Inputs!$E$60/30</f>
        <v>44478.8888888889</v>
      </c>
      <c r="O66" s="53" t="n">
        <f aca="false">O22*Inputs!$E$60/30</f>
        <v>52822.5772222222</v>
      </c>
      <c r="P66" s="53" t="n">
        <f aca="false">P22*Inputs!$E$60/30</f>
        <v>52822.5772222222</v>
      </c>
      <c r="Q66" s="53" t="n">
        <f aca="false">Q22*Inputs!$E$60/30</f>
        <v>52822.5772222222</v>
      </c>
      <c r="R66" s="53" t="n">
        <f aca="false">R22*Inputs!$E$60/30</f>
        <v>52822.5772222222</v>
      </c>
      <c r="S66" s="53" t="n">
        <f aca="false">S22*Inputs!$E$60/30</f>
        <v>52822.5772222222</v>
      </c>
      <c r="T66" s="53" t="n">
        <f aca="false">T22*Inputs!$E$60/30</f>
        <v>65475.04</v>
      </c>
      <c r="U66" s="53" t="n">
        <f aca="false">U22*Inputs!$E$60/30</f>
        <v>65475.04</v>
      </c>
      <c r="V66" s="53" t="n">
        <f aca="false">V22*Inputs!$E$60/30</f>
        <v>65475.04</v>
      </c>
      <c r="W66" s="53" t="n">
        <f aca="false">W22*Inputs!$E$60/30</f>
        <v>52822.5772222222</v>
      </c>
      <c r="X66" s="53" t="n">
        <f aca="false">X22*Inputs!$E$60/30</f>
        <v>52822.5772222222</v>
      </c>
      <c r="Y66" s="53" t="n">
        <f aca="false">Y22*Inputs!$E$60/30</f>
        <v>52822.5772222222</v>
      </c>
      <c r="Z66" s="53" t="n">
        <f aca="false">Z22*Inputs!$E$60/30</f>
        <v>52822.5772222222</v>
      </c>
      <c r="AA66" s="53" t="n">
        <f aca="false">AA22*Inputs!$E$60/30</f>
        <v>62738.0867197222</v>
      </c>
      <c r="AB66" s="53" t="n">
        <f aca="false">AB22*Inputs!$E$60/30</f>
        <v>62738.0867197222</v>
      </c>
      <c r="AC66" s="53" t="n">
        <f aca="false">AC22*Inputs!$E$60/30</f>
        <v>62738.0867197222</v>
      </c>
      <c r="AD66" s="53" t="n">
        <f aca="false">AD22*Inputs!$E$60/30</f>
        <v>62738.0867197222</v>
      </c>
      <c r="AE66" s="53" t="n">
        <f aca="false">AE22*Inputs!$E$60/30</f>
        <v>62738.0867197222</v>
      </c>
      <c r="AF66" s="53" t="n">
        <f aca="false">AF22*Inputs!$E$60/30</f>
        <v>75803.596544</v>
      </c>
      <c r="AG66" s="53" t="n">
        <f aca="false">AG22*Inputs!$E$60/30</f>
        <v>75803.596544</v>
      </c>
      <c r="AH66" s="53" t="n">
        <f aca="false">AH22*Inputs!$E$60/30</f>
        <v>75803.596544</v>
      </c>
      <c r="AI66" s="53" t="n">
        <f aca="false">AI22*Inputs!$E$60/30</f>
        <v>62738.0867197222</v>
      </c>
      <c r="AJ66" s="53" t="n">
        <f aca="false">AJ22*Inputs!$E$60/30</f>
        <v>62738.0867197222</v>
      </c>
      <c r="AK66" s="53" t="n">
        <f aca="false">AK22*Inputs!$E$60/30</f>
        <v>62738.0867197222</v>
      </c>
      <c r="AL66" s="53" t="n">
        <f aca="false">AL22*Inputs!$E$60/30</f>
        <v>62738.0867197222</v>
      </c>
      <c r="AM66" s="53" t="n">
        <f aca="false">AM22*Inputs!$E$60/30</f>
        <v>74523.067303511</v>
      </c>
      <c r="AN66" s="53" t="n">
        <f aca="false">AN22*Inputs!$E$60/30</f>
        <v>74523.067303511</v>
      </c>
      <c r="AO66" s="53" t="n">
        <f aca="false">AO22*Inputs!$E$60/30</f>
        <v>74523.067303511</v>
      </c>
      <c r="AP66" s="53" t="n">
        <f aca="false">AP22*Inputs!$E$60/30</f>
        <v>74523.067303511</v>
      </c>
      <c r="AQ66" s="53" t="n">
        <f aca="false">AQ22*Inputs!$E$60/30</f>
        <v>74523.067303511</v>
      </c>
      <c r="AR66" s="53" t="n">
        <f aca="false">AR22*Inputs!$E$60/30</f>
        <v>87782.7147075584</v>
      </c>
      <c r="AS66" s="53" t="n">
        <f aca="false">AS22*Inputs!$E$60/30</f>
        <v>87782.7147075584</v>
      </c>
      <c r="AT66" s="53" t="n">
        <f aca="false">AT22*Inputs!$E$60/30</f>
        <v>87782.7147075584</v>
      </c>
      <c r="AU66" s="53" t="n">
        <f aca="false">AU22*Inputs!$E$60/30</f>
        <v>74523.067303511</v>
      </c>
      <c r="AV66" s="53" t="n">
        <f aca="false">AV22*Inputs!$E$60/30</f>
        <v>74523.067303511</v>
      </c>
      <c r="AW66" s="53" t="n">
        <f aca="false">AW22*Inputs!$E$60/30</f>
        <v>74523.067303511</v>
      </c>
      <c r="AX66" s="53" t="n">
        <f aca="false">AX22*Inputs!$E$60/30</f>
        <v>74523.067303511</v>
      </c>
      <c r="AY66" s="53" t="n">
        <f aca="false">AY22*Inputs!$E$60/30</f>
        <v>88531.8904508327</v>
      </c>
      <c r="AZ66" s="53" t="n">
        <f aca="false">AZ22*Inputs!$E$60/30</f>
        <v>88531.8904508327</v>
      </c>
      <c r="BA66" s="53" t="n">
        <f aca="false">BA22*Inputs!$E$60/30</f>
        <v>88531.8904508327</v>
      </c>
      <c r="BB66" s="53" t="n">
        <f aca="false">BB22*Inputs!$E$60/30</f>
        <v>88531.8904508327</v>
      </c>
      <c r="BC66" s="53" t="n">
        <f aca="false">BC22*Inputs!$E$60/30</f>
        <v>88531.8904508327</v>
      </c>
      <c r="BD66" s="53" t="n">
        <f aca="false">BD22*Inputs!$E$60/30</f>
        <v>101681.047254358</v>
      </c>
      <c r="BE66" s="53" t="n">
        <f aca="false">BE22*Inputs!$E$60/30</f>
        <v>101681.047254358</v>
      </c>
      <c r="BF66" s="53" t="n">
        <f aca="false">BF22*Inputs!$E$60/30</f>
        <v>101681.047254358</v>
      </c>
      <c r="BG66" s="53" t="n">
        <f aca="false">BG22*Inputs!$E$60/30</f>
        <v>88531.8904508327</v>
      </c>
      <c r="BH66" s="53" t="n">
        <f aca="false">BH22*Inputs!$E$60/30</f>
        <v>88531.8904508327</v>
      </c>
      <c r="BI66" s="53" t="n">
        <f aca="false">BI22*Inputs!$E$60/30</f>
        <v>88531.8904508327</v>
      </c>
      <c r="BJ66" s="53" t="n">
        <f aca="false">BJ22*Inputs!$E$60/30</f>
        <v>88531.8904508327</v>
      </c>
    </row>
    <row r="67" customFormat="false" ht="15" hidden="false" customHeight="false" outlineLevel="0" collapsed="false">
      <c r="A67" s="6" t="s">
        <v>87</v>
      </c>
      <c r="C67" s="53" t="n">
        <f aca="false">-C29*Inputs!$E$61/30</f>
        <v>14208.4722222222</v>
      </c>
      <c r="D67" s="53" t="n">
        <f aca="false">-D29*Inputs!$E$61/30</f>
        <v>14208.4722222222</v>
      </c>
      <c r="E67" s="53" t="n">
        <f aca="false">-E29*Inputs!$E$61/30</f>
        <v>14208.4722222222</v>
      </c>
      <c r="F67" s="53" t="n">
        <f aca="false">-F29*Inputs!$E$61/30</f>
        <v>14208.4722222222</v>
      </c>
      <c r="G67" s="53" t="n">
        <f aca="false">-G29*Inputs!$E$61/30</f>
        <v>14208.4722222222</v>
      </c>
      <c r="H67" s="53" t="n">
        <f aca="false">-H29*Inputs!$E$61/30</f>
        <v>15719.4444444444</v>
      </c>
      <c r="I67" s="53" t="n">
        <f aca="false">-I29*Inputs!$E$61/30</f>
        <v>15719.4444444444</v>
      </c>
      <c r="J67" s="53" t="n">
        <f aca="false">-J29*Inputs!$E$61/30</f>
        <v>15719.4444444444</v>
      </c>
      <c r="K67" s="53" t="n">
        <f aca="false">-K29*Inputs!$E$61/30</f>
        <v>14208.4722222222</v>
      </c>
      <c r="L67" s="53" t="n">
        <f aca="false">-L29*Inputs!$E$61/30</f>
        <v>14208.4722222222</v>
      </c>
      <c r="M67" s="53" t="n">
        <f aca="false">-M29*Inputs!$E$61/30</f>
        <v>14208.4722222222</v>
      </c>
      <c r="N67" s="53" t="n">
        <f aca="false">-N29*Inputs!$E$61/30</f>
        <v>14208.4722222222</v>
      </c>
      <c r="O67" s="53" t="n">
        <f aca="false">-O29*Inputs!$E$61/30</f>
        <v>16545.3799305556</v>
      </c>
      <c r="P67" s="53" t="n">
        <f aca="false">-P29*Inputs!$E$61/30</f>
        <v>16545.3799305556</v>
      </c>
      <c r="Q67" s="53" t="n">
        <f aca="false">-Q29*Inputs!$E$61/30</f>
        <v>16545.3799305556</v>
      </c>
      <c r="R67" s="53" t="n">
        <f aca="false">-R29*Inputs!$E$61/30</f>
        <v>16545.3799305556</v>
      </c>
      <c r="S67" s="53" t="n">
        <f aca="false">-S29*Inputs!$E$61/30</f>
        <v>16545.3799305556</v>
      </c>
      <c r="T67" s="53" t="n">
        <f aca="false">-T29*Inputs!$E$61/30</f>
        <v>18126.9377777778</v>
      </c>
      <c r="U67" s="53" t="n">
        <f aca="false">-U29*Inputs!$E$61/30</f>
        <v>18126.9377777778</v>
      </c>
      <c r="V67" s="53" t="n">
        <f aca="false">-V29*Inputs!$E$61/30</f>
        <v>18126.9377777778</v>
      </c>
      <c r="W67" s="53" t="n">
        <f aca="false">-W29*Inputs!$E$61/30</f>
        <v>16545.3799305556</v>
      </c>
      <c r="X67" s="53" t="n">
        <f aca="false">-X29*Inputs!$E$61/30</f>
        <v>16545.3799305556</v>
      </c>
      <c r="Y67" s="53" t="n">
        <f aca="false">-Y29*Inputs!$E$61/30</f>
        <v>16545.3799305556</v>
      </c>
      <c r="Z67" s="53" t="n">
        <f aca="false">-Z29*Inputs!$E$61/30</f>
        <v>16545.3799305556</v>
      </c>
      <c r="AA67" s="53" t="n">
        <f aca="false">-AA29*Inputs!$E$61/30</f>
        <v>19275.2895724097</v>
      </c>
      <c r="AB67" s="53" t="n">
        <f aca="false">-AB29*Inputs!$E$61/30</f>
        <v>19275.2895724097</v>
      </c>
      <c r="AC67" s="53" t="n">
        <f aca="false">-AC29*Inputs!$E$61/30</f>
        <v>19275.2895724097</v>
      </c>
      <c r="AD67" s="53" t="n">
        <f aca="false">-AD29*Inputs!$E$61/30</f>
        <v>19275.2895724097</v>
      </c>
      <c r="AE67" s="53" t="n">
        <f aca="false">-AE29*Inputs!$E$61/30</f>
        <v>19275.2895724097</v>
      </c>
      <c r="AF67" s="53" t="n">
        <f aca="false">-AF29*Inputs!$E$61/30</f>
        <v>20908.4783004444</v>
      </c>
      <c r="AG67" s="53" t="n">
        <f aca="false">-AG29*Inputs!$E$61/30</f>
        <v>20908.4783004444</v>
      </c>
      <c r="AH67" s="53" t="n">
        <f aca="false">-AH29*Inputs!$E$61/30</f>
        <v>20908.4783004444</v>
      </c>
      <c r="AI67" s="53" t="n">
        <f aca="false">-AI29*Inputs!$E$61/30</f>
        <v>19275.2895724097</v>
      </c>
      <c r="AJ67" s="53" t="n">
        <f aca="false">-AJ29*Inputs!$E$61/30</f>
        <v>19275.2895724097</v>
      </c>
      <c r="AK67" s="53" t="n">
        <f aca="false">-AK29*Inputs!$E$61/30</f>
        <v>19275.2895724097</v>
      </c>
      <c r="AL67" s="53" t="n">
        <f aca="false">-AL29*Inputs!$E$61/30</f>
        <v>19275.2895724097</v>
      </c>
      <c r="AM67" s="53" t="n">
        <f aca="false">-AM29*Inputs!$E$61/30</f>
        <v>22465.7775647668</v>
      </c>
      <c r="AN67" s="53" t="n">
        <f aca="false">-AN29*Inputs!$E$61/30</f>
        <v>22465.7775647668</v>
      </c>
      <c r="AO67" s="53" t="n">
        <f aca="false">-AO29*Inputs!$E$61/30</f>
        <v>22465.7775647668</v>
      </c>
      <c r="AP67" s="53" t="n">
        <f aca="false">-AP29*Inputs!$E$61/30</f>
        <v>22465.7775647668</v>
      </c>
      <c r="AQ67" s="53" t="n">
        <f aca="false">-AQ29*Inputs!$E$61/30</f>
        <v>22465.7775647668</v>
      </c>
      <c r="AR67" s="53" t="n">
        <f aca="false">-AR29*Inputs!$E$61/30</f>
        <v>24123.2334902727</v>
      </c>
      <c r="AS67" s="53" t="n">
        <f aca="false">-AS29*Inputs!$E$61/30</f>
        <v>24123.2334902727</v>
      </c>
      <c r="AT67" s="53" t="n">
        <f aca="false">-AT29*Inputs!$E$61/30</f>
        <v>24123.2334902727</v>
      </c>
      <c r="AU67" s="53" t="n">
        <f aca="false">-AU29*Inputs!$E$61/30</f>
        <v>22465.7775647668</v>
      </c>
      <c r="AV67" s="53" t="n">
        <f aca="false">-AV29*Inputs!$E$61/30</f>
        <v>22465.7775647668</v>
      </c>
      <c r="AW67" s="53" t="n">
        <f aca="false">-AW29*Inputs!$E$61/30</f>
        <v>22465.7775647668</v>
      </c>
      <c r="AX67" s="53" t="n">
        <f aca="false">-AX29*Inputs!$E$61/30</f>
        <v>22465.7775647668</v>
      </c>
      <c r="AY67" s="53" t="n">
        <f aca="false">-AY29*Inputs!$E$61/30</f>
        <v>26196.3039366017</v>
      </c>
      <c r="AZ67" s="53" t="n">
        <f aca="false">-AZ29*Inputs!$E$61/30</f>
        <v>26196.3039366017</v>
      </c>
      <c r="BA67" s="53" t="n">
        <f aca="false">-BA29*Inputs!$E$61/30</f>
        <v>26196.3039366017</v>
      </c>
      <c r="BB67" s="53" t="n">
        <f aca="false">-BB29*Inputs!$E$61/30</f>
        <v>26196.3039366017</v>
      </c>
      <c r="BC67" s="53" t="n">
        <f aca="false">-BC29*Inputs!$E$61/30</f>
        <v>26196.3039366017</v>
      </c>
      <c r="BD67" s="53" t="n">
        <f aca="false">-BD29*Inputs!$E$61/30</f>
        <v>27839.9485370423</v>
      </c>
      <c r="BE67" s="53" t="n">
        <f aca="false">-BE29*Inputs!$E$61/30</f>
        <v>27839.9485370423</v>
      </c>
      <c r="BF67" s="53" t="n">
        <f aca="false">-BF29*Inputs!$E$61/30</f>
        <v>27839.9485370423</v>
      </c>
      <c r="BG67" s="53" t="n">
        <f aca="false">-BG29*Inputs!$E$61/30</f>
        <v>26196.3039366017</v>
      </c>
      <c r="BH67" s="53" t="n">
        <f aca="false">-BH29*Inputs!$E$61/30</f>
        <v>26196.3039366017</v>
      </c>
      <c r="BI67" s="53" t="n">
        <f aca="false">-BI29*Inputs!$E$61/30</f>
        <v>26196.3039366017</v>
      </c>
      <c r="BJ67" s="53" t="n">
        <f aca="false">-BJ29*Inputs!$E$61/30</f>
        <v>26196.3039366017</v>
      </c>
    </row>
    <row r="68" customFormat="false" ht="15" hidden="false" customHeight="false" outlineLevel="0" collapsed="false">
      <c r="A68" s="6" t="s">
        <v>90</v>
      </c>
      <c r="C68" s="53" t="n">
        <f aca="false">-C29*Inputs!$E$62/30</f>
        <v>56833.8888888889</v>
      </c>
      <c r="D68" s="53" t="n">
        <f aca="false">-D29*Inputs!$E$62/30</f>
        <v>56833.8888888889</v>
      </c>
      <c r="E68" s="53" t="n">
        <f aca="false">-E29*Inputs!$E$62/30</f>
        <v>56833.8888888889</v>
      </c>
      <c r="F68" s="53" t="n">
        <f aca="false">-F29*Inputs!$E$62/30</f>
        <v>56833.8888888889</v>
      </c>
      <c r="G68" s="53" t="n">
        <f aca="false">-G29*Inputs!$E$62/30</f>
        <v>56833.8888888889</v>
      </c>
      <c r="H68" s="53" t="n">
        <f aca="false">-H29*Inputs!$E$62/30</f>
        <v>62877.7777777778</v>
      </c>
      <c r="I68" s="53" t="n">
        <f aca="false">-I29*Inputs!$E$62/30</f>
        <v>62877.7777777778</v>
      </c>
      <c r="J68" s="53" t="n">
        <f aca="false">-J29*Inputs!$E$62/30</f>
        <v>62877.7777777778</v>
      </c>
      <c r="K68" s="53" t="n">
        <f aca="false">-K29*Inputs!$E$62/30</f>
        <v>56833.8888888889</v>
      </c>
      <c r="L68" s="53" t="n">
        <f aca="false">-L29*Inputs!$E$62/30</f>
        <v>56833.8888888889</v>
      </c>
      <c r="M68" s="53" t="n">
        <f aca="false">-M29*Inputs!$E$62/30</f>
        <v>56833.8888888889</v>
      </c>
      <c r="N68" s="53" t="n">
        <f aca="false">-N29*Inputs!$E$62/30</f>
        <v>56833.8888888889</v>
      </c>
      <c r="O68" s="53" t="n">
        <f aca="false">-O29*Inputs!$E$62/30</f>
        <v>66181.5197222222</v>
      </c>
      <c r="P68" s="53" t="n">
        <f aca="false">-P29*Inputs!$E$62/30</f>
        <v>66181.5197222222</v>
      </c>
      <c r="Q68" s="53" t="n">
        <f aca="false">-Q29*Inputs!$E$62/30</f>
        <v>66181.5197222222</v>
      </c>
      <c r="R68" s="53" t="n">
        <f aca="false">-R29*Inputs!$E$62/30</f>
        <v>66181.5197222222</v>
      </c>
      <c r="S68" s="53" t="n">
        <f aca="false">-S29*Inputs!$E$62/30</f>
        <v>66181.5197222222</v>
      </c>
      <c r="T68" s="53" t="n">
        <f aca="false">-T29*Inputs!$E$62/30</f>
        <v>72507.7511111111</v>
      </c>
      <c r="U68" s="53" t="n">
        <f aca="false">-U29*Inputs!$E$62/30</f>
        <v>72507.7511111111</v>
      </c>
      <c r="V68" s="53" t="n">
        <f aca="false">-V29*Inputs!$E$62/30</f>
        <v>72507.7511111111</v>
      </c>
      <c r="W68" s="53" t="n">
        <f aca="false">-W29*Inputs!$E$62/30</f>
        <v>66181.5197222222</v>
      </c>
      <c r="X68" s="53" t="n">
        <f aca="false">-X29*Inputs!$E$62/30</f>
        <v>66181.5197222222</v>
      </c>
      <c r="Y68" s="53" t="n">
        <f aca="false">-Y29*Inputs!$E$62/30</f>
        <v>66181.5197222222</v>
      </c>
      <c r="Z68" s="53" t="n">
        <f aca="false">-Z29*Inputs!$E$62/30</f>
        <v>66181.5197222222</v>
      </c>
      <c r="AA68" s="53" t="n">
        <f aca="false">-AA29*Inputs!$E$62/30</f>
        <v>77101.1582896389</v>
      </c>
      <c r="AB68" s="53" t="n">
        <f aca="false">-AB29*Inputs!$E$62/30</f>
        <v>77101.1582896389</v>
      </c>
      <c r="AC68" s="53" t="n">
        <f aca="false">-AC29*Inputs!$E$62/30</f>
        <v>77101.1582896389</v>
      </c>
      <c r="AD68" s="53" t="n">
        <f aca="false">-AD29*Inputs!$E$62/30</f>
        <v>77101.1582896389</v>
      </c>
      <c r="AE68" s="53" t="n">
        <f aca="false">-AE29*Inputs!$E$62/30</f>
        <v>77101.1582896389</v>
      </c>
      <c r="AF68" s="53" t="n">
        <f aca="false">-AF29*Inputs!$E$62/30</f>
        <v>83633.9132017778</v>
      </c>
      <c r="AG68" s="53" t="n">
        <f aca="false">-AG29*Inputs!$E$62/30</f>
        <v>83633.9132017778</v>
      </c>
      <c r="AH68" s="53" t="n">
        <f aca="false">-AH29*Inputs!$E$62/30</f>
        <v>83633.9132017778</v>
      </c>
      <c r="AI68" s="53" t="n">
        <f aca="false">-AI29*Inputs!$E$62/30</f>
        <v>77101.1582896389</v>
      </c>
      <c r="AJ68" s="53" t="n">
        <f aca="false">-AJ29*Inputs!$E$62/30</f>
        <v>77101.1582896389</v>
      </c>
      <c r="AK68" s="53" t="n">
        <f aca="false">-AK29*Inputs!$E$62/30</f>
        <v>77101.1582896389</v>
      </c>
      <c r="AL68" s="53" t="n">
        <f aca="false">-AL29*Inputs!$E$62/30</f>
        <v>77101.1582896389</v>
      </c>
      <c r="AM68" s="53" t="n">
        <f aca="false">-AM29*Inputs!$E$62/30</f>
        <v>89863.1102590671</v>
      </c>
      <c r="AN68" s="53" t="n">
        <f aca="false">-AN29*Inputs!$E$62/30</f>
        <v>89863.1102590671</v>
      </c>
      <c r="AO68" s="53" t="n">
        <f aca="false">-AO29*Inputs!$E$62/30</f>
        <v>89863.1102590671</v>
      </c>
      <c r="AP68" s="53" t="n">
        <f aca="false">-AP29*Inputs!$E$62/30</f>
        <v>89863.1102590671</v>
      </c>
      <c r="AQ68" s="53" t="n">
        <f aca="false">-AQ29*Inputs!$E$62/30</f>
        <v>89863.1102590671</v>
      </c>
      <c r="AR68" s="53" t="n">
        <f aca="false">-AR29*Inputs!$E$62/30</f>
        <v>96492.9339610909</v>
      </c>
      <c r="AS68" s="53" t="n">
        <f aca="false">-AS29*Inputs!$E$62/30</f>
        <v>96492.9339610909</v>
      </c>
      <c r="AT68" s="53" t="n">
        <f aca="false">-AT29*Inputs!$E$62/30</f>
        <v>96492.9339610909</v>
      </c>
      <c r="AU68" s="53" t="n">
        <f aca="false">-AU29*Inputs!$E$62/30</f>
        <v>89863.1102590671</v>
      </c>
      <c r="AV68" s="53" t="n">
        <f aca="false">-AV29*Inputs!$E$62/30</f>
        <v>89863.1102590671</v>
      </c>
      <c r="AW68" s="53" t="n">
        <f aca="false">-AW29*Inputs!$E$62/30</f>
        <v>89863.1102590671</v>
      </c>
      <c r="AX68" s="53" t="n">
        <f aca="false">-AX29*Inputs!$E$62/30</f>
        <v>89863.1102590671</v>
      </c>
      <c r="AY68" s="53" t="n">
        <f aca="false">-AY29*Inputs!$E$62/30</f>
        <v>104785.215746407</v>
      </c>
      <c r="AZ68" s="53" t="n">
        <f aca="false">-AZ29*Inputs!$E$62/30</f>
        <v>104785.215746407</v>
      </c>
      <c r="BA68" s="53" t="n">
        <f aca="false">-BA29*Inputs!$E$62/30</f>
        <v>104785.215746407</v>
      </c>
      <c r="BB68" s="53" t="n">
        <f aca="false">-BB29*Inputs!$E$62/30</f>
        <v>104785.215746407</v>
      </c>
      <c r="BC68" s="53" t="n">
        <f aca="false">-BC29*Inputs!$E$62/30</f>
        <v>104785.215746407</v>
      </c>
      <c r="BD68" s="53" t="n">
        <f aca="false">-BD29*Inputs!$E$62/30</f>
        <v>111359.794148169</v>
      </c>
      <c r="BE68" s="53" t="n">
        <f aca="false">-BE29*Inputs!$E$62/30</f>
        <v>111359.794148169</v>
      </c>
      <c r="BF68" s="53" t="n">
        <f aca="false">-BF29*Inputs!$E$62/30</f>
        <v>111359.794148169</v>
      </c>
      <c r="BG68" s="53" t="n">
        <f aca="false">-BG29*Inputs!$E$62/30</f>
        <v>104785.215746407</v>
      </c>
      <c r="BH68" s="53" t="n">
        <f aca="false">-BH29*Inputs!$E$62/30</f>
        <v>104785.215746407</v>
      </c>
      <c r="BI68" s="53" t="n">
        <f aca="false">-BI29*Inputs!$E$62/30</f>
        <v>104785.215746407</v>
      </c>
      <c r="BJ68" s="53" t="n">
        <f aca="false">-BJ29*Inputs!$E$62/30</f>
        <v>104785.215746407</v>
      </c>
    </row>
    <row r="69" customFormat="false" ht="15" hidden="false" customHeight="false" outlineLevel="0" collapsed="false">
      <c r="A69" s="6" t="s">
        <v>279</v>
      </c>
      <c r="C69" s="53" t="n">
        <f aca="false">-C66</f>
        <v>-44478.8888888889</v>
      </c>
      <c r="D69" s="53" t="n">
        <f aca="false">C66-D66</f>
        <v>0</v>
      </c>
      <c r="E69" s="53" t="n">
        <f aca="false">D66-E66</f>
        <v>0</v>
      </c>
      <c r="F69" s="53" t="n">
        <f aca="false">E66-F66</f>
        <v>0</v>
      </c>
      <c r="G69" s="53" t="n">
        <f aca="false">F66-G66</f>
        <v>0</v>
      </c>
      <c r="H69" s="53" t="n">
        <f aca="false">G66-H66</f>
        <v>-12087.7777777778</v>
      </c>
      <c r="I69" s="53" t="n">
        <f aca="false">H66-I66</f>
        <v>0</v>
      </c>
      <c r="J69" s="53" t="n">
        <f aca="false">I66-J66</f>
        <v>0</v>
      </c>
      <c r="K69" s="53" t="n">
        <f aca="false">J66-K66</f>
        <v>12087.7777777778</v>
      </c>
      <c r="L69" s="53" t="n">
        <f aca="false">K66-L66</f>
        <v>0</v>
      </c>
      <c r="M69" s="53" t="n">
        <f aca="false">L66-M66</f>
        <v>0</v>
      </c>
      <c r="N69" s="53" t="n">
        <f aca="false">M66-N66</f>
        <v>0</v>
      </c>
      <c r="O69" s="53" t="n">
        <f aca="false">N66-O66</f>
        <v>-8343.68833333334</v>
      </c>
      <c r="P69" s="53" t="n">
        <f aca="false">O66-P66</f>
        <v>0</v>
      </c>
      <c r="Q69" s="53" t="n">
        <f aca="false">P66-Q66</f>
        <v>0</v>
      </c>
      <c r="R69" s="53" t="n">
        <f aca="false">Q66-R66</f>
        <v>0</v>
      </c>
      <c r="S69" s="53" t="n">
        <f aca="false">R66-S66</f>
        <v>0</v>
      </c>
      <c r="T69" s="53" t="n">
        <f aca="false">S66-T66</f>
        <v>-12652.4627777778</v>
      </c>
      <c r="U69" s="53" t="n">
        <f aca="false">T66-U66</f>
        <v>0</v>
      </c>
      <c r="V69" s="53" t="n">
        <f aca="false">U66-V66</f>
        <v>0</v>
      </c>
      <c r="W69" s="53" t="n">
        <f aca="false">V66-W66</f>
        <v>12652.4627777778</v>
      </c>
      <c r="X69" s="53" t="n">
        <f aca="false">W66-X66</f>
        <v>0</v>
      </c>
      <c r="Y69" s="53" t="n">
        <f aca="false">X66-Y66</f>
        <v>0</v>
      </c>
      <c r="Z69" s="53" t="n">
        <f aca="false">Y66-Z66</f>
        <v>0</v>
      </c>
      <c r="AA69" s="53" t="n">
        <f aca="false">Z66-AA66</f>
        <v>-9915.5094975</v>
      </c>
      <c r="AB69" s="53" t="n">
        <f aca="false">AA66-AB66</f>
        <v>0</v>
      </c>
      <c r="AC69" s="53" t="n">
        <f aca="false">AB66-AC66</f>
        <v>0</v>
      </c>
      <c r="AD69" s="53" t="n">
        <f aca="false">AC66-AD66</f>
        <v>0</v>
      </c>
      <c r="AE69" s="53" t="n">
        <f aca="false">AD66-AE66</f>
        <v>0</v>
      </c>
      <c r="AF69" s="53" t="n">
        <f aca="false">AE66-AF66</f>
        <v>-13065.5098242778</v>
      </c>
      <c r="AG69" s="53" t="n">
        <f aca="false">AF66-AG66</f>
        <v>0</v>
      </c>
      <c r="AH69" s="53" t="n">
        <f aca="false">AG66-AH66</f>
        <v>0</v>
      </c>
      <c r="AI69" s="53" t="n">
        <f aca="false">AH66-AI66</f>
        <v>13065.5098242778</v>
      </c>
      <c r="AJ69" s="53" t="n">
        <f aca="false">AI66-AJ66</f>
        <v>0</v>
      </c>
      <c r="AK69" s="53" t="n">
        <f aca="false">AJ66-AK66</f>
        <v>0</v>
      </c>
      <c r="AL69" s="53" t="n">
        <f aca="false">AK66-AL66</f>
        <v>0</v>
      </c>
      <c r="AM69" s="53" t="n">
        <f aca="false">AL66-AM66</f>
        <v>-11784.9805837888</v>
      </c>
      <c r="AN69" s="53" t="n">
        <f aca="false">AM66-AN66</f>
        <v>0</v>
      </c>
      <c r="AO69" s="53" t="n">
        <f aca="false">AN66-AO66</f>
        <v>0</v>
      </c>
      <c r="AP69" s="53" t="n">
        <f aca="false">AO66-AP66</f>
        <v>0</v>
      </c>
      <c r="AQ69" s="53" t="n">
        <f aca="false">AP66-AQ66</f>
        <v>0</v>
      </c>
      <c r="AR69" s="53" t="n">
        <f aca="false">AQ66-AR66</f>
        <v>-13259.6474040475</v>
      </c>
      <c r="AS69" s="53" t="n">
        <f aca="false">AR66-AS66</f>
        <v>0</v>
      </c>
      <c r="AT69" s="53" t="n">
        <f aca="false">AS66-AT66</f>
        <v>0</v>
      </c>
      <c r="AU69" s="53" t="n">
        <f aca="false">AT66-AU66</f>
        <v>13259.6474040475</v>
      </c>
      <c r="AV69" s="53" t="n">
        <f aca="false">AU66-AV66</f>
        <v>0</v>
      </c>
      <c r="AW69" s="53" t="n">
        <f aca="false">AV66-AW66</f>
        <v>0</v>
      </c>
      <c r="AX69" s="53" t="n">
        <f aca="false">AW66-AX66</f>
        <v>0</v>
      </c>
      <c r="AY69" s="53" t="n">
        <f aca="false">AX66-AY66</f>
        <v>-14008.8231473217</v>
      </c>
      <c r="AZ69" s="53" t="n">
        <f aca="false">AY66-AZ66</f>
        <v>0</v>
      </c>
      <c r="BA69" s="53" t="n">
        <f aca="false">AZ66-BA66</f>
        <v>0</v>
      </c>
      <c r="BB69" s="53" t="n">
        <f aca="false">BA66-BB66</f>
        <v>0</v>
      </c>
      <c r="BC69" s="53" t="n">
        <f aca="false">BB66-BC66</f>
        <v>0</v>
      </c>
      <c r="BD69" s="53" t="n">
        <f aca="false">BC66-BD66</f>
        <v>-13149.1568035251</v>
      </c>
      <c r="BE69" s="53" t="n">
        <f aca="false">BD66-BE66</f>
        <v>0</v>
      </c>
      <c r="BF69" s="53" t="n">
        <f aca="false">BE66-BF66</f>
        <v>0</v>
      </c>
      <c r="BG69" s="53" t="n">
        <f aca="false">BF66-BG66</f>
        <v>13149.1568035251</v>
      </c>
      <c r="BH69" s="53" t="n">
        <f aca="false">BG66-BH66</f>
        <v>0</v>
      </c>
      <c r="BI69" s="53" t="n">
        <f aca="false">BH66-BI66</f>
        <v>0</v>
      </c>
      <c r="BJ69" s="53" t="n">
        <f aca="false">BI66-BJ66</f>
        <v>0</v>
      </c>
    </row>
    <row r="70" customFormat="false" ht="15" hidden="false" customHeight="false" outlineLevel="0" collapsed="false">
      <c r="A70" s="6" t="s">
        <v>280</v>
      </c>
      <c r="C70" s="53" t="n">
        <f aca="false">-C67</f>
        <v>-14208.4722222222</v>
      </c>
      <c r="D70" s="53" t="n">
        <f aca="false">C67-D67</f>
        <v>0</v>
      </c>
      <c r="E70" s="53" t="n">
        <f aca="false">D67-E67</f>
        <v>0</v>
      </c>
      <c r="F70" s="53" t="n">
        <f aca="false">E67-F67</f>
        <v>0</v>
      </c>
      <c r="G70" s="53" t="n">
        <f aca="false">F67-G67</f>
        <v>0</v>
      </c>
      <c r="H70" s="53" t="n">
        <f aca="false">G67-H67</f>
        <v>-1510.97222222222</v>
      </c>
      <c r="I70" s="53" t="n">
        <f aca="false">H67-I67</f>
        <v>0</v>
      </c>
      <c r="J70" s="53" t="n">
        <f aca="false">I67-J67</f>
        <v>0</v>
      </c>
      <c r="K70" s="53" t="n">
        <f aca="false">J67-K67</f>
        <v>1510.97222222222</v>
      </c>
      <c r="L70" s="53" t="n">
        <f aca="false">K67-L67</f>
        <v>0</v>
      </c>
      <c r="M70" s="53" t="n">
        <f aca="false">L67-M67</f>
        <v>0</v>
      </c>
      <c r="N70" s="53" t="n">
        <f aca="false">M67-N67</f>
        <v>0</v>
      </c>
      <c r="O70" s="53" t="n">
        <f aca="false">N67-O67</f>
        <v>-2336.90770833333</v>
      </c>
      <c r="P70" s="53" t="n">
        <f aca="false">O67-P67</f>
        <v>0</v>
      </c>
      <c r="Q70" s="53" t="n">
        <f aca="false">P67-Q67</f>
        <v>0</v>
      </c>
      <c r="R70" s="53" t="n">
        <f aca="false">Q67-R67</f>
        <v>0</v>
      </c>
      <c r="S70" s="53" t="n">
        <f aca="false">R67-S67</f>
        <v>0</v>
      </c>
      <c r="T70" s="53" t="n">
        <f aca="false">S67-T67</f>
        <v>-1581.55784722222</v>
      </c>
      <c r="U70" s="53" t="n">
        <f aca="false">T67-U67</f>
        <v>0</v>
      </c>
      <c r="V70" s="53" t="n">
        <f aca="false">U67-V67</f>
        <v>0</v>
      </c>
      <c r="W70" s="53" t="n">
        <f aca="false">V67-W67</f>
        <v>1581.55784722222</v>
      </c>
      <c r="X70" s="53" t="n">
        <f aca="false">W67-X67</f>
        <v>0</v>
      </c>
      <c r="Y70" s="53" t="n">
        <f aca="false">X67-Y67</f>
        <v>0</v>
      </c>
      <c r="Z70" s="53" t="n">
        <f aca="false">Y67-Z67</f>
        <v>0</v>
      </c>
      <c r="AA70" s="53" t="n">
        <f aca="false">Z67-AA67</f>
        <v>-2729.90964185416</v>
      </c>
      <c r="AB70" s="53" t="n">
        <f aca="false">AA67-AB67</f>
        <v>0</v>
      </c>
      <c r="AC70" s="53" t="n">
        <f aca="false">AB67-AC67</f>
        <v>0</v>
      </c>
      <c r="AD70" s="53" t="n">
        <f aca="false">AC67-AD67</f>
        <v>0</v>
      </c>
      <c r="AE70" s="53" t="n">
        <f aca="false">AD67-AE67</f>
        <v>0</v>
      </c>
      <c r="AF70" s="53" t="n">
        <f aca="false">AE67-AF67</f>
        <v>-1633.18872803473</v>
      </c>
      <c r="AG70" s="53" t="n">
        <f aca="false">AF67-AG67</f>
        <v>0</v>
      </c>
      <c r="AH70" s="53" t="n">
        <f aca="false">AG67-AH67</f>
        <v>0</v>
      </c>
      <c r="AI70" s="53" t="n">
        <f aca="false">AH67-AI67</f>
        <v>1633.18872803473</v>
      </c>
      <c r="AJ70" s="53" t="n">
        <f aca="false">AI67-AJ67</f>
        <v>0</v>
      </c>
      <c r="AK70" s="53" t="n">
        <f aca="false">AJ67-AK67</f>
        <v>0</v>
      </c>
      <c r="AL70" s="53" t="n">
        <f aca="false">AK67-AL67</f>
        <v>0</v>
      </c>
      <c r="AM70" s="53" t="n">
        <f aca="false">AL67-AM67</f>
        <v>-3190.48799235707</v>
      </c>
      <c r="AN70" s="53" t="n">
        <f aca="false">AM67-AN67</f>
        <v>0</v>
      </c>
      <c r="AO70" s="53" t="n">
        <f aca="false">AN67-AO67</f>
        <v>0</v>
      </c>
      <c r="AP70" s="53" t="n">
        <f aca="false">AO67-AP67</f>
        <v>0</v>
      </c>
      <c r="AQ70" s="53" t="n">
        <f aca="false">AP67-AQ67</f>
        <v>0</v>
      </c>
      <c r="AR70" s="53" t="n">
        <f aca="false">AQ67-AR67</f>
        <v>-1657.45592550594</v>
      </c>
      <c r="AS70" s="53" t="n">
        <f aca="false">AR67-AS67</f>
        <v>0</v>
      </c>
      <c r="AT70" s="53" t="n">
        <f aca="false">AS67-AT67</f>
        <v>0</v>
      </c>
      <c r="AU70" s="53" t="n">
        <f aca="false">AT67-AU67</f>
        <v>1657.45592550594</v>
      </c>
      <c r="AV70" s="53" t="n">
        <f aca="false">AU67-AV67</f>
        <v>0</v>
      </c>
      <c r="AW70" s="53" t="n">
        <f aca="false">AV67-AW67</f>
        <v>0</v>
      </c>
      <c r="AX70" s="53" t="n">
        <f aca="false">AW67-AX67</f>
        <v>0</v>
      </c>
      <c r="AY70" s="53" t="n">
        <f aca="false">AX67-AY67</f>
        <v>-3730.52637183487</v>
      </c>
      <c r="AZ70" s="53" t="n">
        <f aca="false">AY67-AZ67</f>
        <v>0</v>
      </c>
      <c r="BA70" s="53" t="n">
        <f aca="false">AZ67-BA67</f>
        <v>0</v>
      </c>
      <c r="BB70" s="53" t="n">
        <f aca="false">BA67-BB67</f>
        <v>0</v>
      </c>
      <c r="BC70" s="53" t="n">
        <f aca="false">BB67-BC67</f>
        <v>0</v>
      </c>
      <c r="BD70" s="53" t="n">
        <f aca="false">BC67-BD67</f>
        <v>-1643.64460044064</v>
      </c>
      <c r="BE70" s="53" t="n">
        <f aca="false">BD67-BE67</f>
        <v>0</v>
      </c>
      <c r="BF70" s="53" t="n">
        <f aca="false">BE67-BF67</f>
        <v>0</v>
      </c>
      <c r="BG70" s="53" t="n">
        <f aca="false">BF67-BG67</f>
        <v>1643.64460044064</v>
      </c>
      <c r="BH70" s="53" t="n">
        <f aca="false">BG67-BH67</f>
        <v>0</v>
      </c>
      <c r="BI70" s="53" t="n">
        <f aca="false">BH67-BI67</f>
        <v>0</v>
      </c>
      <c r="BJ70" s="53" t="n">
        <f aca="false">BI67-BJ67</f>
        <v>0</v>
      </c>
    </row>
    <row r="71" customFormat="false" ht="15" hidden="false" customHeight="false" outlineLevel="0" collapsed="false">
      <c r="A71" s="6" t="s">
        <v>281</v>
      </c>
      <c r="C71" s="53" t="n">
        <f aca="false">C68</f>
        <v>56833.8888888889</v>
      </c>
      <c r="D71" s="53" t="n">
        <f aca="false">D68-C68</f>
        <v>0</v>
      </c>
      <c r="E71" s="53" t="n">
        <f aca="false">E68-D68</f>
        <v>0</v>
      </c>
      <c r="F71" s="53" t="n">
        <f aca="false">F68-E68</f>
        <v>0</v>
      </c>
      <c r="G71" s="53" t="n">
        <f aca="false">G68-F68</f>
        <v>0</v>
      </c>
      <c r="H71" s="53" t="n">
        <f aca="false">H68-G68</f>
        <v>6043.88888888888</v>
      </c>
      <c r="I71" s="53" t="n">
        <f aca="false">I68-H68</f>
        <v>0</v>
      </c>
      <c r="J71" s="53" t="n">
        <f aca="false">J68-I68</f>
        <v>0</v>
      </c>
      <c r="K71" s="53" t="n">
        <f aca="false">K68-J68</f>
        <v>-6043.88888888888</v>
      </c>
      <c r="L71" s="53" t="n">
        <f aca="false">L68-K68</f>
        <v>0</v>
      </c>
      <c r="M71" s="53" t="n">
        <f aca="false">M68-L68</f>
        <v>0</v>
      </c>
      <c r="N71" s="53" t="n">
        <f aca="false">N68-M68</f>
        <v>0</v>
      </c>
      <c r="O71" s="53" t="n">
        <f aca="false">O68-N68</f>
        <v>9347.63083333334</v>
      </c>
      <c r="P71" s="53" t="n">
        <f aca="false">P68-O68</f>
        <v>0</v>
      </c>
      <c r="Q71" s="53" t="n">
        <f aca="false">Q68-P68</f>
        <v>0</v>
      </c>
      <c r="R71" s="53" t="n">
        <f aca="false">R68-Q68</f>
        <v>0</v>
      </c>
      <c r="S71" s="53" t="n">
        <f aca="false">S68-R68</f>
        <v>0</v>
      </c>
      <c r="T71" s="53" t="n">
        <f aca="false">T68-S68</f>
        <v>6326.23138888889</v>
      </c>
      <c r="U71" s="53" t="n">
        <f aca="false">U68-T68</f>
        <v>0</v>
      </c>
      <c r="V71" s="53" t="n">
        <f aca="false">V68-U68</f>
        <v>0</v>
      </c>
      <c r="W71" s="53" t="n">
        <f aca="false">W68-V68</f>
        <v>-6326.23138888889</v>
      </c>
      <c r="X71" s="53" t="n">
        <f aca="false">X68-W68</f>
        <v>0</v>
      </c>
      <c r="Y71" s="53" t="n">
        <f aca="false">Y68-X68</f>
        <v>0</v>
      </c>
      <c r="Z71" s="53" t="n">
        <f aca="false">Z68-Y68</f>
        <v>0</v>
      </c>
      <c r="AA71" s="53" t="n">
        <f aca="false">AA68-Z68</f>
        <v>10919.6385674167</v>
      </c>
      <c r="AB71" s="53" t="n">
        <f aca="false">AB68-AA68</f>
        <v>0</v>
      </c>
      <c r="AC71" s="53" t="n">
        <f aca="false">AC68-AB68</f>
        <v>0</v>
      </c>
      <c r="AD71" s="53" t="n">
        <f aca="false">AD68-AC68</f>
        <v>0</v>
      </c>
      <c r="AE71" s="53" t="n">
        <f aca="false">AE68-AD68</f>
        <v>0</v>
      </c>
      <c r="AF71" s="53" t="n">
        <f aca="false">AF68-AE68</f>
        <v>6532.7549121389</v>
      </c>
      <c r="AG71" s="53" t="n">
        <f aca="false">AG68-AF68</f>
        <v>0</v>
      </c>
      <c r="AH71" s="53" t="n">
        <f aca="false">AH68-AG68</f>
        <v>0</v>
      </c>
      <c r="AI71" s="53" t="n">
        <f aca="false">AI68-AH68</f>
        <v>-6532.7549121389</v>
      </c>
      <c r="AJ71" s="53" t="n">
        <f aca="false">AJ68-AI68</f>
        <v>0</v>
      </c>
      <c r="AK71" s="53" t="n">
        <f aca="false">AK68-AJ68</f>
        <v>0</v>
      </c>
      <c r="AL71" s="53" t="n">
        <f aca="false">AL68-AK68</f>
        <v>0</v>
      </c>
      <c r="AM71" s="53" t="n">
        <f aca="false">AM68-AL68</f>
        <v>12761.9519694283</v>
      </c>
      <c r="AN71" s="53" t="n">
        <f aca="false">AN68-AM68</f>
        <v>0</v>
      </c>
      <c r="AO71" s="53" t="n">
        <f aca="false">AO68-AN68</f>
        <v>0</v>
      </c>
      <c r="AP71" s="53" t="n">
        <f aca="false">AP68-AO68</f>
        <v>0</v>
      </c>
      <c r="AQ71" s="53" t="n">
        <f aca="false">AQ68-AP68</f>
        <v>0</v>
      </c>
      <c r="AR71" s="53" t="n">
        <f aca="false">AR68-AQ68</f>
        <v>6629.82370202374</v>
      </c>
      <c r="AS71" s="53" t="n">
        <f aca="false">AS68-AR68</f>
        <v>0</v>
      </c>
      <c r="AT71" s="53" t="n">
        <f aca="false">AT68-AS68</f>
        <v>0</v>
      </c>
      <c r="AU71" s="53" t="n">
        <f aca="false">AU68-AT68</f>
        <v>-6629.82370202374</v>
      </c>
      <c r="AV71" s="53" t="n">
        <f aca="false">AV68-AU68</f>
        <v>0</v>
      </c>
      <c r="AW71" s="53" t="n">
        <f aca="false">AW68-AV68</f>
        <v>0</v>
      </c>
      <c r="AX71" s="53" t="n">
        <f aca="false">AX68-AW68</f>
        <v>0</v>
      </c>
      <c r="AY71" s="53" t="n">
        <f aca="false">AY68-AX68</f>
        <v>14922.1054873395</v>
      </c>
      <c r="AZ71" s="53" t="n">
        <f aca="false">AZ68-AY68</f>
        <v>0</v>
      </c>
      <c r="BA71" s="53" t="n">
        <f aca="false">BA68-AZ68</f>
        <v>0</v>
      </c>
      <c r="BB71" s="53" t="n">
        <f aca="false">BB68-BA68</f>
        <v>0</v>
      </c>
      <c r="BC71" s="53" t="n">
        <f aca="false">BC68-BB68</f>
        <v>0</v>
      </c>
      <c r="BD71" s="53" t="n">
        <f aca="false">BD68-BC68</f>
        <v>6574.57840176254</v>
      </c>
      <c r="BE71" s="53" t="n">
        <f aca="false">BE68-BD68</f>
        <v>0</v>
      </c>
      <c r="BF71" s="53" t="n">
        <f aca="false">BF68-BE68</f>
        <v>0</v>
      </c>
      <c r="BG71" s="53" t="n">
        <f aca="false">BG68-BF68</f>
        <v>-6574.57840176254</v>
      </c>
      <c r="BH71" s="53" t="n">
        <f aca="false">BH68-BG68</f>
        <v>0</v>
      </c>
      <c r="BI71" s="53" t="n">
        <f aca="false">BI68-BH68</f>
        <v>0</v>
      </c>
      <c r="BJ71" s="53" t="n">
        <f aca="false">BJ68-BI68</f>
        <v>0</v>
      </c>
    </row>
    <row r="73" customFormat="false" ht="15.75" hidden="false" customHeight="true" outlineLevel="0" collapsed="false">
      <c r="A73" s="7" t="s">
        <v>372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49</v>
      </c>
      <c r="C74" s="60" t="n">
        <f aca="false">C50-C55+C69+C70+C71</f>
        <v>9238.11534444444</v>
      </c>
      <c r="D74" s="60" t="n">
        <f aca="false">D50-D55+D69+D70+D71</f>
        <v>11102.5597888889</v>
      </c>
      <c r="E74" s="60" t="n">
        <f aca="false">E50-E55+E69+E70+E71</f>
        <v>11124.5042333333</v>
      </c>
      <c r="F74" s="60" t="n">
        <f aca="false">F50-F55+F69+F70+F71</f>
        <v>11146.4486777778</v>
      </c>
      <c r="G74" s="60" t="n">
        <f aca="false">G50-G55+G69+G70+G71</f>
        <v>11168.3931222222</v>
      </c>
      <c r="H74" s="60" t="n">
        <f aca="false">H50-H55+H69+H70+H71</f>
        <v>24348.0045555555</v>
      </c>
      <c r="I74" s="60" t="n">
        <f aca="false">I50-I55+I69+I70+I71</f>
        <v>31924.8101111111</v>
      </c>
      <c r="J74" s="60" t="n">
        <f aca="false">J50-J55+J69+J70+J71</f>
        <v>31946.7545555556</v>
      </c>
      <c r="K74" s="60" t="n">
        <f aca="false">K50-K55+K69+K70+K71</f>
        <v>18811.0320111111</v>
      </c>
      <c r="L74" s="60" t="n">
        <f aca="false">L50-L55+L69+L70+L71</f>
        <v>11278.1153444444</v>
      </c>
      <c r="M74" s="60" t="n">
        <f aca="false">M50-M55+M69+M70+M71</f>
        <v>11300.0597888889</v>
      </c>
      <c r="N74" s="60" t="n">
        <f aca="false">N50-N55+N69+N70+N71</f>
        <v>11322.0042333333</v>
      </c>
      <c r="O74" s="60" t="n">
        <f aca="false">O50-O55+O69+O70+O71</f>
        <v>16254.6089154944</v>
      </c>
      <c r="P74" s="60" t="n">
        <f aca="false">P50-P55+P69+P70+P71</f>
        <v>17609.5185682722</v>
      </c>
      <c r="Q74" s="60" t="n">
        <f aca="false">Q50-Q55+Q69+Q70+Q71</f>
        <v>17631.4630127167</v>
      </c>
      <c r="R74" s="60" t="n">
        <f aca="false">R50-R55+R69+R70+R71</f>
        <v>17653.4074571611</v>
      </c>
      <c r="S74" s="60" t="n">
        <f aca="false">S50-S55+S69+S70+S71</f>
        <v>17675.3519016055</v>
      </c>
      <c r="T74" s="60" t="n">
        <f aca="false">T50-T55+T69+T70+T71</f>
        <v>31469.6286042889</v>
      </c>
      <c r="U74" s="60" t="n">
        <f aca="false">U50-U55+U69+U70+U71</f>
        <v>39399.3622848444</v>
      </c>
      <c r="V74" s="60" t="n">
        <f aca="false">V50-V55+V69+V70+V71</f>
        <v>39421.3067292889</v>
      </c>
      <c r="W74" s="60" t="n">
        <f aca="false">W50-W55+W69+W70+W71</f>
        <v>25670.9189154944</v>
      </c>
      <c r="X74" s="60" t="n">
        <f aca="false">X50-X55+X69+X70+X71</f>
        <v>17785.0741238278</v>
      </c>
      <c r="Y74" s="60" t="n">
        <f aca="false">Y50-Y55+Y69+Y70+Y71</f>
        <v>17807.0185682722</v>
      </c>
      <c r="Z74" s="60" t="n">
        <f aca="false">Z50-Z55+Z69+Z70+Z71</f>
        <v>17828.9630127167</v>
      </c>
      <c r="AA74" s="60" t="n">
        <f aca="false">AA50-AA55+AA69+AA70+AA71</f>
        <v>23856.3752254148</v>
      </c>
      <c r="AB74" s="60" t="n">
        <f aca="false">AB50-AB55+AB69+AB70+AB71</f>
        <v>25604.1002417968</v>
      </c>
      <c r="AC74" s="60" t="n">
        <f aca="false">AC50-AC55+AC69+AC70+AC71</f>
        <v>25626.0446862412</v>
      </c>
      <c r="AD74" s="60" t="n">
        <f aca="false">AD50-AD55+AD69+AD70+AD71</f>
        <v>25647.9891306857</v>
      </c>
      <c r="AE74" s="60" t="n">
        <f aca="false">AE50-AE55+AE69+AE70+AE71</f>
        <v>25669.9335751301</v>
      </c>
      <c r="AF74" s="60" t="n">
        <f aca="false">AF50-AF55+AF69+AF70+AF71</f>
        <v>39913.8161183992</v>
      </c>
      <c r="AG74" s="60" t="n">
        <f aca="false">AG50-AG55+AG69+AG70+AG71</f>
        <v>48101.7042030172</v>
      </c>
      <c r="AH74" s="60" t="n">
        <f aca="false">AH50-AH55+AH69+AH70+AH71</f>
        <v>48123.6486474617</v>
      </c>
      <c r="AI74" s="60" t="n">
        <f aca="false">AI50-AI55+AI69+AI70+AI71</f>
        <v>33923.6549930815</v>
      </c>
      <c r="AJ74" s="60" t="n">
        <f aca="false">AJ50-AJ55+AJ69+AJ70+AJ71</f>
        <v>25779.6557973523</v>
      </c>
      <c r="AK74" s="60" t="n">
        <f aca="false">AK50-AK55+AK69+AK70+AK71</f>
        <v>25801.6002417968</v>
      </c>
      <c r="AL74" s="60" t="n">
        <f aca="false">AL50-AL55+AL69+AL70+AL71</f>
        <v>25823.5446862412</v>
      </c>
      <c r="AM74" s="60" t="n">
        <f aca="false">AM50-AM55+AM69+AM70+AM71</f>
        <v>33177.6471275595</v>
      </c>
      <c r="AN74" s="60" t="n">
        <f aca="false">AN50-AN55+AN69+AN70+AN71</f>
        <v>35413.1081787216</v>
      </c>
      <c r="AO74" s="60" t="n">
        <f aca="false">AO50-AO55+AO69+AO70+AO71</f>
        <v>35435.052623166</v>
      </c>
      <c r="AP74" s="60" t="n">
        <f aca="false">AP50-AP55+AP69+AP70+AP71</f>
        <v>35456.9970676104</v>
      </c>
      <c r="AQ74" s="60" t="n">
        <f aca="false">AQ50-AQ55+AQ69+AQ70+AQ71</f>
        <v>35478.9415120549</v>
      </c>
      <c r="AR74" s="60" t="n">
        <f aca="false">AR50-AR55+AR69+AR70+AR71</f>
        <v>49934.1447522791</v>
      </c>
      <c r="AS74" s="60" t="n">
        <f aca="false">AS50-AS55+AS69+AS70+AS71</f>
        <v>58243.3688242532</v>
      </c>
      <c r="AT74" s="60" t="n">
        <f aca="false">AT50-AT55+AT69+AT70+AT71</f>
        <v>58265.3132686976</v>
      </c>
      <c r="AU74" s="60" t="n">
        <f aca="false">AU50-AU55+AU69+AU70+AU71</f>
        <v>43853.9989173623</v>
      </c>
      <c r="AV74" s="60" t="n">
        <f aca="false">AV50-AV55+AV69+AV70+AV71</f>
        <v>35588.6637342771</v>
      </c>
      <c r="AW74" s="60" t="n">
        <f aca="false">AW50-AW55+AW69+AW70+AW71</f>
        <v>35610.6081787216</v>
      </c>
      <c r="AX74" s="60" t="n">
        <f aca="false">AX50-AX55+AX69+AX70+AX71</f>
        <v>35632.552623166</v>
      </c>
      <c r="AY74" s="60" t="n">
        <f aca="false">AY50-AY55+AY69+AY70+AY71</f>
        <v>44592.9889700415</v>
      </c>
      <c r="AZ74" s="60" t="n">
        <f aca="false">AZ50-AZ55+AZ69+AZ70+AZ71</f>
        <v>47432.1774463031</v>
      </c>
      <c r="BA74" s="60" t="n">
        <f aca="false">BA50-BA55+BA69+BA70+BA71</f>
        <v>47454.1218907475</v>
      </c>
      <c r="BB74" s="60" t="n">
        <f aca="false">BB50-BB55+BB69+BB70+BB71</f>
        <v>47476.066335192</v>
      </c>
      <c r="BC74" s="60" t="n">
        <f aca="false">BC50-BC55+BC69+BC70+BC71</f>
        <v>47498.0107796364</v>
      </c>
      <c r="BD74" s="60" t="n">
        <f aca="false">BD50-BD55+BD69+BD70+BD71</f>
        <v>61832.943896286</v>
      </c>
      <c r="BE74" s="60" t="n">
        <f aca="false">BE50-BE55+BE69+BE70+BE71</f>
        <v>70073.1113429336</v>
      </c>
      <c r="BF74" s="60" t="n">
        <f aca="false">BF50-BF55+BF69+BF70+BF71</f>
        <v>70095.055787378</v>
      </c>
      <c r="BG74" s="60" t="n">
        <f aca="false">BG50-BG55+BG69+BG70+BG71</f>
        <v>55804.0115596174</v>
      </c>
      <c r="BH74" s="60" t="n">
        <f aca="false">BH50-BH55+BH69+BH70+BH71</f>
        <v>47607.7330018586</v>
      </c>
      <c r="BI74" s="60" t="n">
        <f aca="false">BI50-BI55+BI69+BI70+BI71</f>
        <v>47629.6774463031</v>
      </c>
      <c r="BJ74" s="60" t="n">
        <f aca="false">BJ50-BJ55+BJ69+BJ70+BJ71</f>
        <v>47651.6218907475</v>
      </c>
    </row>
    <row r="75" customFormat="false" ht="15" hidden="false" customHeight="false" outlineLevel="0" collapsed="false">
      <c r="A75" s="6" t="s">
        <v>373</v>
      </c>
      <c r="C75" s="53" t="n">
        <f aca="false">-C53</f>
        <v>-20000</v>
      </c>
      <c r="D75" s="53" t="n">
        <f aca="false">-D53</f>
        <v>-0</v>
      </c>
      <c r="E75" s="53" t="n">
        <f aca="false">-E53</f>
        <v>-0</v>
      </c>
      <c r="F75" s="53" t="n">
        <f aca="false">-F53</f>
        <v>-0</v>
      </c>
      <c r="G75" s="53" t="n">
        <f aca="false">-G53</f>
        <v>-0</v>
      </c>
      <c r="H75" s="53" t="n">
        <f aca="false">-H53</f>
        <v>-0</v>
      </c>
      <c r="I75" s="53" t="n">
        <f aca="false">-I53</f>
        <v>-0</v>
      </c>
      <c r="J75" s="53" t="n">
        <f aca="false">-J53</f>
        <v>-0</v>
      </c>
      <c r="K75" s="53" t="n">
        <f aca="false">-K53</f>
        <v>-0</v>
      </c>
      <c r="L75" s="53" t="n">
        <f aca="false">-L53</f>
        <v>-0</v>
      </c>
      <c r="M75" s="53" t="n">
        <f aca="false">-M53</f>
        <v>-0</v>
      </c>
      <c r="N75" s="53" t="n">
        <f aca="false">-N53</f>
        <v>-0</v>
      </c>
      <c r="O75" s="53" t="n">
        <f aca="false">-O53</f>
        <v>-37800</v>
      </c>
      <c r="P75" s="53" t="n">
        <f aca="false">-P53</f>
        <v>-0</v>
      </c>
      <c r="Q75" s="53" t="n">
        <f aca="false">-Q53</f>
        <v>-0</v>
      </c>
      <c r="R75" s="53" t="n">
        <f aca="false">-R53</f>
        <v>-0</v>
      </c>
      <c r="S75" s="53" t="n">
        <f aca="false">-S53</f>
        <v>-0</v>
      </c>
      <c r="T75" s="53" t="n">
        <f aca="false">-T53</f>
        <v>-0</v>
      </c>
      <c r="U75" s="53" t="n">
        <f aca="false">-U53</f>
        <v>-0</v>
      </c>
      <c r="V75" s="53" t="n">
        <f aca="false">-V53</f>
        <v>-0</v>
      </c>
      <c r="W75" s="53" t="n">
        <f aca="false">-W53</f>
        <v>-0</v>
      </c>
      <c r="X75" s="53" t="n">
        <f aca="false">-X53</f>
        <v>-0</v>
      </c>
      <c r="Y75" s="53" t="n">
        <f aca="false">-Y53</f>
        <v>-0</v>
      </c>
      <c r="Z75" s="53" t="n">
        <f aca="false">-Z53</f>
        <v>-0</v>
      </c>
      <c r="AA75" s="53" t="n">
        <f aca="false">-AA53</f>
        <v>-42336</v>
      </c>
      <c r="AB75" s="53" t="n">
        <f aca="false">-AB53</f>
        <v>-0</v>
      </c>
      <c r="AC75" s="53" t="n">
        <f aca="false">-AC53</f>
        <v>-0</v>
      </c>
      <c r="AD75" s="53" t="n">
        <f aca="false">-AD53</f>
        <v>-0</v>
      </c>
      <c r="AE75" s="53" t="n">
        <f aca="false">-AE53</f>
        <v>-0</v>
      </c>
      <c r="AF75" s="53" t="n">
        <f aca="false">-AF53</f>
        <v>-0</v>
      </c>
      <c r="AG75" s="53" t="n">
        <f aca="false">-AG53</f>
        <v>-0</v>
      </c>
      <c r="AH75" s="53" t="n">
        <f aca="false">-AH53</f>
        <v>-0</v>
      </c>
      <c r="AI75" s="53" t="n">
        <f aca="false">-AI53</f>
        <v>-0</v>
      </c>
      <c r="AJ75" s="53" t="n">
        <f aca="false">-AJ53</f>
        <v>-0</v>
      </c>
      <c r="AK75" s="53" t="n">
        <f aca="false">-AK53</f>
        <v>-0</v>
      </c>
      <c r="AL75" s="53" t="n">
        <f aca="false">-AL53</f>
        <v>-0</v>
      </c>
      <c r="AM75" s="53" t="n">
        <f aca="false">-AM53</f>
        <v>-47416.3200000001</v>
      </c>
      <c r="AN75" s="53" t="n">
        <f aca="false">-AN53</f>
        <v>-0</v>
      </c>
      <c r="AO75" s="53" t="n">
        <f aca="false">-AO53</f>
        <v>-0</v>
      </c>
      <c r="AP75" s="53" t="n">
        <f aca="false">-AP53</f>
        <v>-0</v>
      </c>
      <c r="AQ75" s="53" t="n">
        <f aca="false">-AQ53</f>
        <v>-0</v>
      </c>
      <c r="AR75" s="53" t="n">
        <f aca="false">-AR53</f>
        <v>-0</v>
      </c>
      <c r="AS75" s="53" t="n">
        <f aca="false">-AS53</f>
        <v>-0</v>
      </c>
      <c r="AT75" s="53" t="n">
        <f aca="false">-AT53</f>
        <v>-0</v>
      </c>
      <c r="AU75" s="53" t="n">
        <f aca="false">-AU53</f>
        <v>-0</v>
      </c>
      <c r="AV75" s="53" t="n">
        <f aca="false">-AV53</f>
        <v>-0</v>
      </c>
      <c r="AW75" s="53" t="n">
        <f aca="false">-AW53</f>
        <v>-0</v>
      </c>
      <c r="AX75" s="53" t="n">
        <f aca="false">-AX53</f>
        <v>-0</v>
      </c>
      <c r="AY75" s="53" t="n">
        <f aca="false">-AY53</f>
        <v>-53106.2784</v>
      </c>
      <c r="AZ75" s="53" t="n">
        <f aca="false">-AZ53</f>
        <v>-0</v>
      </c>
      <c r="BA75" s="53" t="n">
        <f aca="false">-BA53</f>
        <v>-0</v>
      </c>
      <c r="BB75" s="53" t="n">
        <f aca="false">-BB53</f>
        <v>-0</v>
      </c>
      <c r="BC75" s="53" t="n">
        <f aca="false">-BC53</f>
        <v>-0</v>
      </c>
      <c r="BD75" s="53" t="n">
        <f aca="false">-BD53</f>
        <v>-0</v>
      </c>
      <c r="BE75" s="53" t="n">
        <f aca="false">-BE53</f>
        <v>-0</v>
      </c>
      <c r="BF75" s="53" t="n">
        <f aca="false">-BF53</f>
        <v>-0</v>
      </c>
      <c r="BG75" s="53" t="n">
        <f aca="false">-BG53</f>
        <v>-0</v>
      </c>
      <c r="BH75" s="53" t="n">
        <f aca="false">-BH53</f>
        <v>-0</v>
      </c>
      <c r="BI75" s="53" t="n">
        <f aca="false">-BI53</f>
        <v>-0</v>
      </c>
      <c r="BJ75" s="53" t="n">
        <f aca="false">-BJ53</f>
        <v>-0</v>
      </c>
    </row>
    <row r="76" customFormat="false" ht="15" hidden="false" customHeight="false" outlineLevel="0" collapsed="false">
      <c r="A76" s="6" t="s">
        <v>60</v>
      </c>
      <c r="C76" s="53" t="n">
        <f aca="false">IF(C$4=1,Inputs!$E$54,0)</f>
        <v>100000</v>
      </c>
      <c r="D76" s="53" t="n">
        <f aca="false">IF(D$4=1,Inputs!$E$54,0)</f>
        <v>0</v>
      </c>
      <c r="E76" s="53" t="n">
        <f aca="false">IF(E$4=1,Inputs!$E$54,0)</f>
        <v>0</v>
      </c>
      <c r="F76" s="53" t="n">
        <f aca="false">IF(F$4=1,Inputs!$E$54,0)</f>
        <v>0</v>
      </c>
      <c r="G76" s="53" t="n">
        <f aca="false">IF(G$4=1,Inputs!$E$54,0)</f>
        <v>0</v>
      </c>
      <c r="H76" s="53" t="n">
        <f aca="false">IF(H$4=1,Inputs!$E$54,0)</f>
        <v>0</v>
      </c>
      <c r="I76" s="53" t="n">
        <f aca="false">IF(I$4=1,Inputs!$E$54,0)</f>
        <v>0</v>
      </c>
      <c r="J76" s="53" t="n">
        <f aca="false">IF(J$4=1,Inputs!$E$54,0)</f>
        <v>0</v>
      </c>
      <c r="K76" s="53" t="n">
        <f aca="false">IF(K$4=1,Inputs!$E$54,0)</f>
        <v>0</v>
      </c>
      <c r="L76" s="53" t="n">
        <f aca="false">IF(L$4=1,Inputs!$E$54,0)</f>
        <v>0</v>
      </c>
      <c r="M76" s="53" t="n">
        <f aca="false">IF(M$4=1,Inputs!$E$54,0)</f>
        <v>0</v>
      </c>
      <c r="N76" s="53" t="n">
        <f aca="false">IF(N$4=1,Inputs!$E$54,0)</f>
        <v>0</v>
      </c>
      <c r="O76" s="53" t="n">
        <f aca="false">IF(O$4=1,Inputs!$E$54,0)</f>
        <v>0</v>
      </c>
      <c r="P76" s="53" t="n">
        <f aca="false">IF(P$4=1,Inputs!$E$54,0)</f>
        <v>0</v>
      </c>
      <c r="Q76" s="53" t="n">
        <f aca="false">IF(Q$4=1,Inputs!$E$54,0)</f>
        <v>0</v>
      </c>
      <c r="R76" s="53" t="n">
        <f aca="false">IF(R$4=1,Inputs!$E$54,0)</f>
        <v>0</v>
      </c>
      <c r="S76" s="53" t="n">
        <f aca="false">IF(S$4=1,Inputs!$E$54,0)</f>
        <v>0</v>
      </c>
      <c r="T76" s="53" t="n">
        <f aca="false">IF(T$4=1,Inputs!$E$54,0)</f>
        <v>0</v>
      </c>
      <c r="U76" s="53" t="n">
        <f aca="false">IF(U$4=1,Inputs!$E$54,0)</f>
        <v>0</v>
      </c>
      <c r="V76" s="53" t="n">
        <f aca="false">IF(V$4=1,Inputs!$E$54,0)</f>
        <v>0</v>
      </c>
      <c r="W76" s="53" t="n">
        <f aca="false">IF(W$4=1,Inputs!$E$54,0)</f>
        <v>0</v>
      </c>
      <c r="X76" s="53" t="n">
        <f aca="false">IF(X$4=1,Inputs!$E$54,0)</f>
        <v>0</v>
      </c>
      <c r="Y76" s="53" t="n">
        <f aca="false">IF(Y$4=1,Inputs!$E$54,0)</f>
        <v>0</v>
      </c>
      <c r="Z76" s="53" t="n">
        <f aca="false">IF(Z$4=1,Inputs!$E$54,0)</f>
        <v>0</v>
      </c>
      <c r="AA76" s="53" t="n">
        <f aca="false">IF(AA$4=1,Inputs!$E$54,0)</f>
        <v>0</v>
      </c>
      <c r="AB76" s="53" t="n">
        <f aca="false">IF(AB$4=1,Inputs!$E$54,0)</f>
        <v>0</v>
      </c>
      <c r="AC76" s="53" t="n">
        <f aca="false">IF(AC$4=1,Inputs!$E$54,0)</f>
        <v>0</v>
      </c>
      <c r="AD76" s="53" t="n">
        <f aca="false">IF(AD$4=1,Inputs!$E$54,0)</f>
        <v>0</v>
      </c>
      <c r="AE76" s="53" t="n">
        <f aca="false">IF(AE$4=1,Inputs!$E$54,0)</f>
        <v>0</v>
      </c>
      <c r="AF76" s="53" t="n">
        <f aca="false">IF(AF$4=1,Inputs!$E$54,0)</f>
        <v>0</v>
      </c>
      <c r="AG76" s="53" t="n">
        <f aca="false">IF(AG$4=1,Inputs!$E$54,0)</f>
        <v>0</v>
      </c>
      <c r="AH76" s="53" t="n">
        <f aca="false">IF(AH$4=1,Inputs!$E$54,0)</f>
        <v>0</v>
      </c>
      <c r="AI76" s="53" t="n">
        <f aca="false">IF(AI$4=1,Inputs!$E$54,0)</f>
        <v>0</v>
      </c>
      <c r="AJ76" s="53" t="n">
        <f aca="false">IF(AJ$4=1,Inputs!$E$54,0)</f>
        <v>0</v>
      </c>
      <c r="AK76" s="53" t="n">
        <f aca="false">IF(AK$4=1,Inputs!$E$54,0)</f>
        <v>0</v>
      </c>
      <c r="AL76" s="53" t="n">
        <f aca="false">IF(AL$4=1,Inputs!$E$54,0)</f>
        <v>0</v>
      </c>
      <c r="AM76" s="53" t="n">
        <f aca="false">IF(AM$4=1,Inputs!$E$54,0)</f>
        <v>0</v>
      </c>
      <c r="AN76" s="53" t="n">
        <f aca="false">IF(AN$4=1,Inputs!$E$54,0)</f>
        <v>0</v>
      </c>
      <c r="AO76" s="53" t="n">
        <f aca="false">IF(AO$4=1,Inputs!$E$54,0)</f>
        <v>0</v>
      </c>
      <c r="AP76" s="53" t="n">
        <f aca="false">IF(AP$4=1,Inputs!$E$54,0)</f>
        <v>0</v>
      </c>
      <c r="AQ76" s="53" t="n">
        <f aca="false">IF(AQ$4=1,Inputs!$E$54,0)</f>
        <v>0</v>
      </c>
      <c r="AR76" s="53" t="n">
        <f aca="false">IF(AR$4=1,Inputs!$E$54,0)</f>
        <v>0</v>
      </c>
      <c r="AS76" s="53" t="n">
        <f aca="false">IF(AS$4=1,Inputs!$E$54,0)</f>
        <v>0</v>
      </c>
      <c r="AT76" s="53" t="n">
        <f aca="false">IF(AT$4=1,Inputs!$E$54,0)</f>
        <v>0</v>
      </c>
      <c r="AU76" s="53" t="n">
        <f aca="false">IF(AU$4=1,Inputs!$E$54,0)</f>
        <v>0</v>
      </c>
      <c r="AV76" s="53" t="n">
        <f aca="false">IF(AV$4=1,Inputs!$E$54,0)</f>
        <v>0</v>
      </c>
      <c r="AW76" s="53" t="n">
        <f aca="false">IF(AW$4=1,Inputs!$E$54,0)</f>
        <v>0</v>
      </c>
      <c r="AX76" s="53" t="n">
        <f aca="false">IF(AX$4=1,Inputs!$E$54,0)</f>
        <v>0</v>
      </c>
      <c r="AY76" s="53" t="n">
        <f aca="false">IF(AY$4=1,Inputs!$E$54,0)</f>
        <v>0</v>
      </c>
      <c r="AZ76" s="53" t="n">
        <f aca="false">IF(AZ$4=1,Inputs!$E$54,0)</f>
        <v>0</v>
      </c>
      <c r="BA76" s="53" t="n">
        <f aca="false">IF(BA$4=1,Inputs!$E$54,0)</f>
        <v>0</v>
      </c>
      <c r="BB76" s="53" t="n">
        <f aca="false">IF(BB$4=1,Inputs!$E$54,0)</f>
        <v>0</v>
      </c>
      <c r="BC76" s="53" t="n">
        <f aca="false">IF(BC$4=1,Inputs!$E$54,0)</f>
        <v>0</v>
      </c>
      <c r="BD76" s="53" t="n">
        <f aca="false">IF(BD$4=1,Inputs!$E$54,0)</f>
        <v>0</v>
      </c>
      <c r="BE76" s="53" t="n">
        <f aca="false">IF(BE$4=1,Inputs!$E$54,0)</f>
        <v>0</v>
      </c>
      <c r="BF76" s="53" t="n">
        <f aca="false">IF(BF$4=1,Inputs!$E$54,0)</f>
        <v>0</v>
      </c>
      <c r="BG76" s="53" t="n">
        <f aca="false">IF(BG$4=1,Inputs!$E$54,0)</f>
        <v>0</v>
      </c>
      <c r="BH76" s="53" t="n">
        <f aca="false">IF(BH$4=1,Inputs!$E$54,0)</f>
        <v>0</v>
      </c>
      <c r="BI76" s="53" t="n">
        <f aca="false">IF(BI$4=1,Inputs!$E$54,0)</f>
        <v>0</v>
      </c>
      <c r="BJ76" s="53" t="n">
        <f aca="false">IF(BJ$4=1,Inputs!$E$54,0)</f>
        <v>0</v>
      </c>
    </row>
    <row r="77" customFormat="false" ht="15" hidden="false" customHeight="false" outlineLevel="0" collapsed="false">
      <c r="A77" s="6" t="s">
        <v>51</v>
      </c>
      <c r="C77" s="53" t="n">
        <f aca="false">C76+C61+C62</f>
        <v>350000</v>
      </c>
      <c r="D77" s="53" t="n">
        <f aca="false">D76+D61+D62</f>
        <v>-4166.66666666667</v>
      </c>
      <c r="E77" s="53" t="n">
        <f aca="false">E76+E61+E62</f>
        <v>-4166.66666666667</v>
      </c>
      <c r="F77" s="53" t="n">
        <f aca="false">F76+F61+F62</f>
        <v>-4166.66666666667</v>
      </c>
      <c r="G77" s="53" t="n">
        <f aca="false">G76+G61+G62</f>
        <v>-4166.66666666667</v>
      </c>
      <c r="H77" s="53" t="n">
        <f aca="false">H76+H61+H62</f>
        <v>-4166.66666666667</v>
      </c>
      <c r="I77" s="53" t="n">
        <f aca="false">I76+I61+I62</f>
        <v>-4166.66666666667</v>
      </c>
      <c r="J77" s="53" t="n">
        <f aca="false">J76+J61+J62</f>
        <v>-4166.66666666667</v>
      </c>
      <c r="K77" s="53" t="n">
        <f aca="false">K76+K61+K62</f>
        <v>-4166.66666666667</v>
      </c>
      <c r="L77" s="53" t="n">
        <f aca="false">L76+L61+L62</f>
        <v>-4166.66666666667</v>
      </c>
      <c r="M77" s="53" t="n">
        <f aca="false">M76+M61+M62</f>
        <v>-4166.66666666667</v>
      </c>
      <c r="N77" s="53" t="n">
        <f aca="false">N76+N61+N62</f>
        <v>-4166.66666666667</v>
      </c>
      <c r="O77" s="53" t="n">
        <f aca="false">O76+O61+O62</f>
        <v>-4166.66666666667</v>
      </c>
      <c r="P77" s="53" t="n">
        <f aca="false">P76+P61+P62</f>
        <v>-4166.66666666667</v>
      </c>
      <c r="Q77" s="53" t="n">
        <f aca="false">Q76+Q61+Q62</f>
        <v>-4166.66666666667</v>
      </c>
      <c r="R77" s="53" t="n">
        <f aca="false">R76+R61+R62</f>
        <v>-4166.66666666667</v>
      </c>
      <c r="S77" s="53" t="n">
        <f aca="false">S76+S61+S62</f>
        <v>-4166.66666666667</v>
      </c>
      <c r="T77" s="53" t="n">
        <f aca="false">T76+T61+T62</f>
        <v>-4166.66666666667</v>
      </c>
      <c r="U77" s="53" t="n">
        <f aca="false">U76+U61+U62</f>
        <v>-4166.66666666667</v>
      </c>
      <c r="V77" s="53" t="n">
        <f aca="false">V76+V61+V62</f>
        <v>-4166.66666666667</v>
      </c>
      <c r="W77" s="53" t="n">
        <f aca="false">W76+W61+W62</f>
        <v>-4166.66666666667</v>
      </c>
      <c r="X77" s="53" t="n">
        <f aca="false">X76+X61+X62</f>
        <v>-4166.66666666667</v>
      </c>
      <c r="Y77" s="53" t="n">
        <f aca="false">Y76+Y61+Y62</f>
        <v>-4166.66666666667</v>
      </c>
      <c r="Z77" s="53" t="n">
        <f aca="false">Z76+Z61+Z62</f>
        <v>-4166.66666666667</v>
      </c>
      <c r="AA77" s="53" t="n">
        <f aca="false">AA76+AA61+AA62</f>
        <v>-4166.66666666667</v>
      </c>
      <c r="AB77" s="53" t="n">
        <f aca="false">AB76+AB61+AB62</f>
        <v>-4166.66666666667</v>
      </c>
      <c r="AC77" s="53" t="n">
        <f aca="false">AC76+AC61+AC62</f>
        <v>-4166.66666666667</v>
      </c>
      <c r="AD77" s="53" t="n">
        <f aca="false">AD76+AD61+AD62</f>
        <v>-4166.66666666667</v>
      </c>
      <c r="AE77" s="53" t="n">
        <f aca="false">AE76+AE61+AE62</f>
        <v>-4166.66666666667</v>
      </c>
      <c r="AF77" s="53" t="n">
        <f aca="false">AF76+AF61+AF62</f>
        <v>-4166.66666666667</v>
      </c>
      <c r="AG77" s="53" t="n">
        <f aca="false">AG76+AG61+AG62</f>
        <v>-4166.66666666667</v>
      </c>
      <c r="AH77" s="53" t="n">
        <f aca="false">AH76+AH61+AH62</f>
        <v>-4166.66666666667</v>
      </c>
      <c r="AI77" s="53" t="n">
        <f aca="false">AI76+AI61+AI62</f>
        <v>-4166.66666666667</v>
      </c>
      <c r="AJ77" s="53" t="n">
        <f aca="false">AJ76+AJ61+AJ62</f>
        <v>-4166.66666666667</v>
      </c>
      <c r="AK77" s="53" t="n">
        <f aca="false">AK76+AK61+AK62</f>
        <v>-4166.66666666667</v>
      </c>
      <c r="AL77" s="53" t="n">
        <f aca="false">AL76+AL61+AL62</f>
        <v>-4166.66666666667</v>
      </c>
      <c r="AM77" s="53" t="n">
        <f aca="false">AM76+AM61+AM62</f>
        <v>-4166.66666666667</v>
      </c>
      <c r="AN77" s="53" t="n">
        <f aca="false">AN76+AN61+AN62</f>
        <v>-4166.66666666667</v>
      </c>
      <c r="AO77" s="53" t="n">
        <f aca="false">AO76+AO61+AO62</f>
        <v>-4166.66666666667</v>
      </c>
      <c r="AP77" s="53" t="n">
        <f aca="false">AP76+AP61+AP62</f>
        <v>-4166.66666666667</v>
      </c>
      <c r="AQ77" s="53" t="n">
        <f aca="false">AQ76+AQ61+AQ62</f>
        <v>-4166.66666666667</v>
      </c>
      <c r="AR77" s="53" t="n">
        <f aca="false">AR76+AR61+AR62</f>
        <v>-4166.66666666667</v>
      </c>
      <c r="AS77" s="53" t="n">
        <f aca="false">AS76+AS61+AS62</f>
        <v>-4166.66666666667</v>
      </c>
      <c r="AT77" s="53" t="n">
        <f aca="false">AT76+AT61+AT62</f>
        <v>-4166.66666666667</v>
      </c>
      <c r="AU77" s="53" t="n">
        <f aca="false">AU76+AU61+AU62</f>
        <v>-4166.66666666667</v>
      </c>
      <c r="AV77" s="53" t="n">
        <f aca="false">AV76+AV61+AV62</f>
        <v>-4166.66666666667</v>
      </c>
      <c r="AW77" s="53" t="n">
        <f aca="false">AW76+AW61+AW62</f>
        <v>-4166.66666666667</v>
      </c>
      <c r="AX77" s="53" t="n">
        <f aca="false">AX76+AX61+AX62</f>
        <v>-4166.66666666667</v>
      </c>
      <c r="AY77" s="53" t="n">
        <f aca="false">AY76+AY61+AY62</f>
        <v>-4166.66666666667</v>
      </c>
      <c r="AZ77" s="53" t="n">
        <f aca="false">AZ76+AZ61+AZ62</f>
        <v>-4166.66666666667</v>
      </c>
      <c r="BA77" s="53" t="n">
        <f aca="false">BA76+BA61+BA62</f>
        <v>-4166.66666666667</v>
      </c>
      <c r="BB77" s="53" t="n">
        <f aca="false">BB76+BB61+BB62</f>
        <v>-4166.66666666667</v>
      </c>
      <c r="BC77" s="53" t="n">
        <f aca="false">BC76+BC61+BC62</f>
        <v>-4166.66666666667</v>
      </c>
      <c r="BD77" s="53" t="n">
        <f aca="false">BD76+BD61+BD62</f>
        <v>-4166.66666666667</v>
      </c>
      <c r="BE77" s="53" t="n">
        <f aca="false">BE76+BE61+BE62</f>
        <v>-4166.66666666667</v>
      </c>
      <c r="BF77" s="53" t="n">
        <f aca="false">BF76+BF61+BF62</f>
        <v>-4166.66666666667</v>
      </c>
      <c r="BG77" s="53" t="n">
        <f aca="false">BG76+BG61+BG62</f>
        <v>-4166.66666666667</v>
      </c>
      <c r="BH77" s="53" t="n">
        <f aca="false">BH76+BH61+BH62</f>
        <v>-4166.66666666667</v>
      </c>
      <c r="BI77" s="53" t="n">
        <f aca="false">BI76+BI61+BI62</f>
        <v>-4166.66666666667</v>
      </c>
      <c r="BJ77" s="53" t="n">
        <f aca="false">BJ76+BJ61+BJ62</f>
        <v>-4166.66666666667</v>
      </c>
    </row>
    <row r="78" customFormat="false" ht="15" hidden="false" customHeight="false" outlineLevel="0" collapsed="false">
      <c r="A78" s="95" t="s">
        <v>374</v>
      </c>
      <c r="C78" s="54" t="n">
        <f aca="false">C74+C75+C77</f>
        <v>339238.115344444</v>
      </c>
      <c r="D78" s="54" t="n">
        <f aca="false">D74+D75+D77</f>
        <v>6935.89312222222</v>
      </c>
      <c r="E78" s="54" t="n">
        <f aca="false">E74+E75+E77</f>
        <v>6957.83756666666</v>
      </c>
      <c r="F78" s="54" t="n">
        <f aca="false">F74+F75+F77</f>
        <v>6979.78201111111</v>
      </c>
      <c r="G78" s="54" t="n">
        <f aca="false">G74+G75+G77</f>
        <v>7001.72645555555</v>
      </c>
      <c r="H78" s="54" t="n">
        <f aca="false">H74+H75+H77</f>
        <v>20181.3378888889</v>
      </c>
      <c r="I78" s="54" t="n">
        <f aca="false">I74+I75+I77</f>
        <v>27758.1434444445</v>
      </c>
      <c r="J78" s="54" t="n">
        <f aca="false">J74+J75+J77</f>
        <v>27780.0878888889</v>
      </c>
      <c r="K78" s="54" t="n">
        <f aca="false">K74+K75+K77</f>
        <v>14644.3653444444</v>
      </c>
      <c r="L78" s="54" t="n">
        <f aca="false">L74+L75+L77</f>
        <v>7111.44867777777</v>
      </c>
      <c r="M78" s="54" t="n">
        <f aca="false">M74+M75+M77</f>
        <v>7133.39312222222</v>
      </c>
      <c r="N78" s="54" t="n">
        <f aca="false">N74+N75+N77</f>
        <v>7155.33756666666</v>
      </c>
      <c r="O78" s="54" t="n">
        <f aca="false">O74+O75+O77</f>
        <v>-25712.0577511723</v>
      </c>
      <c r="P78" s="54" t="n">
        <f aca="false">P74+P75+P77</f>
        <v>13442.8519016055</v>
      </c>
      <c r="Q78" s="54" t="n">
        <f aca="false">Q74+Q75+Q77</f>
        <v>13464.79634605</v>
      </c>
      <c r="R78" s="54" t="n">
        <f aca="false">R74+R75+R77</f>
        <v>13486.7407904944</v>
      </c>
      <c r="S78" s="54" t="n">
        <f aca="false">S74+S75+S77</f>
        <v>13508.6852349389</v>
      </c>
      <c r="T78" s="54" t="n">
        <f aca="false">T74+T75+T77</f>
        <v>27302.9619376222</v>
      </c>
      <c r="U78" s="54" t="n">
        <f aca="false">U74+U75+U77</f>
        <v>35232.6956181778</v>
      </c>
      <c r="V78" s="54" t="n">
        <f aca="false">V74+V75+V77</f>
        <v>35254.6400626222</v>
      </c>
      <c r="W78" s="54" t="n">
        <f aca="false">W74+W75+W77</f>
        <v>21504.2522488278</v>
      </c>
      <c r="X78" s="54" t="n">
        <f aca="false">X74+X75+X77</f>
        <v>13618.4074571611</v>
      </c>
      <c r="Y78" s="54" t="n">
        <f aca="false">Y74+Y75+Y77</f>
        <v>13640.3519016055</v>
      </c>
      <c r="Z78" s="54" t="n">
        <f aca="false">Z74+Z75+Z77</f>
        <v>13662.29634605</v>
      </c>
      <c r="AA78" s="54" t="n">
        <f aca="false">AA74+AA75+AA77</f>
        <v>-22646.2914412519</v>
      </c>
      <c r="AB78" s="54" t="n">
        <f aca="false">AB74+AB75+AB77</f>
        <v>21437.4335751301</v>
      </c>
      <c r="AC78" s="54" t="n">
        <f aca="false">AC74+AC75+AC77</f>
        <v>21459.3780195745</v>
      </c>
      <c r="AD78" s="54" t="n">
        <f aca="false">AD74+AD75+AD77</f>
        <v>21481.322464019</v>
      </c>
      <c r="AE78" s="54" t="n">
        <f aca="false">AE74+AE75+AE77</f>
        <v>21503.2669084634</v>
      </c>
      <c r="AF78" s="54" t="n">
        <f aca="false">AF74+AF75+AF77</f>
        <v>35747.1494517325</v>
      </c>
      <c r="AG78" s="54" t="n">
        <f aca="false">AG74+AG75+AG77</f>
        <v>43935.0375363505</v>
      </c>
      <c r="AH78" s="54" t="n">
        <f aca="false">AH74+AH75+AH77</f>
        <v>43956.981980795</v>
      </c>
      <c r="AI78" s="54" t="n">
        <f aca="false">AI74+AI75+AI77</f>
        <v>29756.9883264148</v>
      </c>
      <c r="AJ78" s="54" t="n">
        <f aca="false">AJ74+AJ75+AJ77</f>
        <v>21612.9891306856</v>
      </c>
      <c r="AK78" s="54" t="n">
        <f aca="false">AK74+AK75+AK77</f>
        <v>21634.9335751301</v>
      </c>
      <c r="AL78" s="54" t="n">
        <f aca="false">AL74+AL75+AL77</f>
        <v>21656.8780195745</v>
      </c>
      <c r="AM78" s="54" t="n">
        <f aca="false">AM74+AM75+AM77</f>
        <v>-18405.3395391072</v>
      </c>
      <c r="AN78" s="54" t="n">
        <f aca="false">AN74+AN75+AN77</f>
        <v>31246.4415120549</v>
      </c>
      <c r="AO78" s="54" t="n">
        <f aca="false">AO74+AO75+AO77</f>
        <v>31268.3859564993</v>
      </c>
      <c r="AP78" s="54" t="n">
        <f aca="false">AP74+AP75+AP77</f>
        <v>31290.3304009438</v>
      </c>
      <c r="AQ78" s="54" t="n">
        <f aca="false">AQ74+AQ75+AQ77</f>
        <v>31312.2748453882</v>
      </c>
      <c r="AR78" s="54" t="n">
        <f aca="false">AR74+AR75+AR77</f>
        <v>45767.4780856124</v>
      </c>
      <c r="AS78" s="54" t="n">
        <f aca="false">AS74+AS75+AS77</f>
        <v>54076.7021575865</v>
      </c>
      <c r="AT78" s="54" t="n">
        <f aca="false">AT74+AT75+AT77</f>
        <v>54098.6466020309</v>
      </c>
      <c r="AU78" s="54" t="n">
        <f aca="false">AU74+AU75+AU77</f>
        <v>39687.3322506957</v>
      </c>
      <c r="AV78" s="54" t="n">
        <f aca="false">AV74+AV75+AV77</f>
        <v>31421.9970676105</v>
      </c>
      <c r="AW78" s="54" t="n">
        <f aca="false">AW74+AW75+AW77</f>
        <v>31443.9415120549</v>
      </c>
      <c r="AX78" s="54" t="n">
        <f aca="false">AX74+AX75+AX77</f>
        <v>31465.8859564994</v>
      </c>
      <c r="AY78" s="54" t="n">
        <f aca="false">AY74+AY75+AY77</f>
        <v>-12679.9560966252</v>
      </c>
      <c r="AZ78" s="54" t="n">
        <f aca="false">AZ74+AZ75+AZ77</f>
        <v>43265.5107796365</v>
      </c>
      <c r="BA78" s="54" t="n">
        <f aca="false">BA74+BA75+BA77</f>
        <v>43287.4552240809</v>
      </c>
      <c r="BB78" s="54" t="n">
        <f aca="false">BB74+BB75+BB77</f>
        <v>43309.3996685253</v>
      </c>
      <c r="BC78" s="54" t="n">
        <f aca="false">BC74+BC75+BC77</f>
        <v>43331.3441129698</v>
      </c>
      <c r="BD78" s="54" t="n">
        <f aca="false">BD74+BD75+BD77</f>
        <v>57666.2772296193</v>
      </c>
      <c r="BE78" s="54" t="n">
        <f aca="false">BE74+BE75+BE77</f>
        <v>65906.4446762669</v>
      </c>
      <c r="BF78" s="54" t="n">
        <f aca="false">BF74+BF75+BF77</f>
        <v>65928.3891207113</v>
      </c>
      <c r="BG78" s="54" t="n">
        <f aca="false">BG74+BG75+BG77</f>
        <v>51637.3448929507</v>
      </c>
      <c r="BH78" s="54" t="n">
        <f aca="false">BH74+BH75+BH77</f>
        <v>43441.066335192</v>
      </c>
      <c r="BI78" s="54" t="n">
        <f aca="false">BI74+BI75+BI77</f>
        <v>43463.0107796365</v>
      </c>
      <c r="BJ78" s="54" t="n">
        <f aca="false">BJ74+BJ75+BJ77</f>
        <v>43484.9552240809</v>
      </c>
    </row>
    <row r="79" customFormat="false" ht="15" hidden="false" customHeight="false" outlineLevel="0" collapsed="false">
      <c r="A79" s="6" t="s">
        <v>282</v>
      </c>
      <c r="C79" s="53" t="n">
        <f aca="false">0</f>
        <v>0</v>
      </c>
      <c r="D79" s="53" t="n">
        <f aca="false">C80</f>
        <v>339238.115344444</v>
      </c>
      <c r="E79" s="53" t="n">
        <f aca="false">D80</f>
        <v>346174.008466667</v>
      </c>
      <c r="F79" s="53" t="n">
        <f aca="false">E80</f>
        <v>353131.846033333</v>
      </c>
      <c r="G79" s="53" t="n">
        <f aca="false">F80</f>
        <v>360111.628044444</v>
      </c>
      <c r="H79" s="53" t="n">
        <f aca="false">G80</f>
        <v>367113.3545</v>
      </c>
      <c r="I79" s="53" t="n">
        <f aca="false">H80</f>
        <v>387294.692388889</v>
      </c>
      <c r="J79" s="53" t="n">
        <f aca="false">I80</f>
        <v>415052.835833333</v>
      </c>
      <c r="K79" s="53" t="n">
        <f aca="false">J80</f>
        <v>442832.923722222</v>
      </c>
      <c r="L79" s="53" t="n">
        <f aca="false">K80</f>
        <v>457477.289066667</v>
      </c>
      <c r="M79" s="53" t="n">
        <f aca="false">L80</f>
        <v>464588.737744444</v>
      </c>
      <c r="N79" s="53" t="n">
        <f aca="false">M80</f>
        <v>471722.130866667</v>
      </c>
      <c r="O79" s="53" t="n">
        <f aca="false">N80</f>
        <v>478877.468433333</v>
      </c>
      <c r="P79" s="53" t="n">
        <f aca="false">O80</f>
        <v>453165.410682161</v>
      </c>
      <c r="Q79" s="53" t="n">
        <f aca="false">P80</f>
        <v>466608.262583767</v>
      </c>
      <c r="R79" s="53" t="n">
        <f aca="false">Q80</f>
        <v>480073.058929817</v>
      </c>
      <c r="S79" s="53" t="n">
        <f aca="false">R80</f>
        <v>493559.799720311</v>
      </c>
      <c r="T79" s="53" t="n">
        <f aca="false">S80</f>
        <v>507068.48495525</v>
      </c>
      <c r="U79" s="53" t="n">
        <f aca="false">T80</f>
        <v>534371.446892872</v>
      </c>
      <c r="V79" s="53" t="n">
        <f aca="false">U80</f>
        <v>569604.14251105</v>
      </c>
      <c r="W79" s="53" t="n">
        <f aca="false">V80</f>
        <v>604858.782573672</v>
      </c>
      <c r="X79" s="53" t="n">
        <f aca="false">W80</f>
        <v>626363.0348225</v>
      </c>
      <c r="Y79" s="53" t="n">
        <f aca="false">X80</f>
        <v>639981.442279661</v>
      </c>
      <c r="Z79" s="53" t="n">
        <f aca="false">Y80</f>
        <v>653621.794181267</v>
      </c>
      <c r="AA79" s="53" t="n">
        <f aca="false">Z80</f>
        <v>667284.090527316</v>
      </c>
      <c r="AB79" s="53" t="n">
        <f aca="false">AA80</f>
        <v>644637.799086065</v>
      </c>
      <c r="AC79" s="53" t="n">
        <f aca="false">AB80</f>
        <v>666075.232661195</v>
      </c>
      <c r="AD79" s="53" t="n">
        <f aca="false">AC80</f>
        <v>687534.610680769</v>
      </c>
      <c r="AE79" s="53" t="n">
        <f aca="false">AD80</f>
        <v>709015.933144788</v>
      </c>
      <c r="AF79" s="53" t="n">
        <f aca="false">AE80</f>
        <v>730519.200053252</v>
      </c>
      <c r="AG79" s="53" t="n">
        <f aca="false">AF80</f>
        <v>766266.349504984</v>
      </c>
      <c r="AH79" s="53" t="n">
        <f aca="false">AG80</f>
        <v>810201.387041335</v>
      </c>
      <c r="AI79" s="53" t="n">
        <f aca="false">AH80</f>
        <v>854158.36902213</v>
      </c>
      <c r="AJ79" s="53" t="n">
        <f aca="false">AI80</f>
        <v>883915.357348545</v>
      </c>
      <c r="AK79" s="53" t="n">
        <f aca="false">AJ80</f>
        <v>905528.34647923</v>
      </c>
      <c r="AL79" s="53" t="n">
        <f aca="false">AK80</f>
        <v>927163.28005436</v>
      </c>
      <c r="AM79" s="53" t="n">
        <f aca="false">AL80</f>
        <v>948820.158073935</v>
      </c>
      <c r="AN79" s="53" t="n">
        <f aca="false">AM80</f>
        <v>930414.818534828</v>
      </c>
      <c r="AO79" s="53" t="n">
        <f aca="false">AN80</f>
        <v>961661.260046882</v>
      </c>
      <c r="AP79" s="53" t="n">
        <f aca="false">AO80</f>
        <v>992929.646003382</v>
      </c>
      <c r="AQ79" s="53" t="n">
        <f aca="false">AP80</f>
        <v>1024219.97640433</v>
      </c>
      <c r="AR79" s="53" t="n">
        <f aca="false">AQ80</f>
        <v>1055532.25124971</v>
      </c>
      <c r="AS79" s="53" t="n">
        <f aca="false">AR80</f>
        <v>1101299.72933533</v>
      </c>
      <c r="AT79" s="53" t="n">
        <f aca="false">AS80</f>
        <v>1155376.43149291</v>
      </c>
      <c r="AU79" s="53" t="n">
        <f aca="false">AT80</f>
        <v>1209475.07809494</v>
      </c>
      <c r="AV79" s="53" t="n">
        <f aca="false">AU80</f>
        <v>1249162.41034564</v>
      </c>
      <c r="AW79" s="53" t="n">
        <f aca="false">AV80</f>
        <v>1280584.40741325</v>
      </c>
      <c r="AX79" s="53" t="n">
        <f aca="false">AW80</f>
        <v>1312028.3489253</v>
      </c>
      <c r="AY79" s="53" t="n">
        <f aca="false">AX80</f>
        <v>1343494.2348818</v>
      </c>
      <c r="AZ79" s="53" t="n">
        <f aca="false">AY80</f>
        <v>1330814.27878518</v>
      </c>
      <c r="BA79" s="53" t="n">
        <f aca="false">AZ80</f>
        <v>1374079.78956482</v>
      </c>
      <c r="BB79" s="53" t="n">
        <f aca="false">BA80</f>
        <v>1417367.2447889</v>
      </c>
      <c r="BC79" s="53" t="n">
        <f aca="false">BB80</f>
        <v>1460676.64445742</v>
      </c>
      <c r="BD79" s="53" t="n">
        <f aca="false">BC80</f>
        <v>1504007.98857039</v>
      </c>
      <c r="BE79" s="53" t="n">
        <f aca="false">BD80</f>
        <v>1561674.26580001</v>
      </c>
      <c r="BF79" s="53" t="n">
        <f aca="false">BE80</f>
        <v>1627580.71047628</v>
      </c>
      <c r="BG79" s="53" t="n">
        <f aca="false">BF80</f>
        <v>1693509.09959699</v>
      </c>
      <c r="BH79" s="53" t="n">
        <f aca="false">BG80</f>
        <v>1745146.44448994</v>
      </c>
      <c r="BI79" s="53" t="n">
        <f aca="false">BH80</f>
        <v>1788587.51082513</v>
      </c>
      <c r="BJ79" s="53" t="n">
        <f aca="false">BI80</f>
        <v>1832050.52160477</v>
      </c>
    </row>
    <row r="80" customFormat="false" ht="15" hidden="false" customHeight="false" outlineLevel="0" collapsed="false">
      <c r="A80" s="95" t="s">
        <v>83</v>
      </c>
      <c r="C80" s="54" t="n">
        <f aca="false">C79+C78</f>
        <v>339238.115344444</v>
      </c>
      <c r="D80" s="54" t="n">
        <f aca="false">D79+D78</f>
        <v>346174.008466667</v>
      </c>
      <c r="E80" s="54" t="n">
        <f aca="false">E79+E78</f>
        <v>353131.846033333</v>
      </c>
      <c r="F80" s="54" t="n">
        <f aca="false">F79+F78</f>
        <v>360111.628044444</v>
      </c>
      <c r="G80" s="54" t="n">
        <f aca="false">G79+G78</f>
        <v>367113.3545</v>
      </c>
      <c r="H80" s="54" t="n">
        <f aca="false">H79+H78</f>
        <v>387294.692388889</v>
      </c>
      <c r="I80" s="54" t="n">
        <f aca="false">I79+I78</f>
        <v>415052.835833333</v>
      </c>
      <c r="J80" s="54" t="n">
        <f aca="false">J79+J78</f>
        <v>442832.923722222</v>
      </c>
      <c r="K80" s="54" t="n">
        <f aca="false">K79+K78</f>
        <v>457477.289066667</v>
      </c>
      <c r="L80" s="54" t="n">
        <f aca="false">L79+L78</f>
        <v>464588.737744444</v>
      </c>
      <c r="M80" s="54" t="n">
        <f aca="false">M79+M78</f>
        <v>471722.130866667</v>
      </c>
      <c r="N80" s="54" t="n">
        <f aca="false">N79+N78</f>
        <v>478877.468433333</v>
      </c>
      <c r="O80" s="54" t="n">
        <f aca="false">O79+O78</f>
        <v>453165.410682161</v>
      </c>
      <c r="P80" s="54" t="n">
        <f aca="false">P79+P78</f>
        <v>466608.262583767</v>
      </c>
      <c r="Q80" s="54" t="n">
        <f aca="false">Q79+Q78</f>
        <v>480073.058929817</v>
      </c>
      <c r="R80" s="54" t="n">
        <f aca="false">R79+R78</f>
        <v>493559.799720311</v>
      </c>
      <c r="S80" s="54" t="n">
        <f aca="false">S79+S78</f>
        <v>507068.48495525</v>
      </c>
      <c r="T80" s="54" t="n">
        <f aca="false">T79+T78</f>
        <v>534371.446892872</v>
      </c>
      <c r="U80" s="54" t="n">
        <f aca="false">U79+U78</f>
        <v>569604.14251105</v>
      </c>
      <c r="V80" s="54" t="n">
        <f aca="false">V79+V78</f>
        <v>604858.782573672</v>
      </c>
      <c r="W80" s="54" t="n">
        <f aca="false">W79+W78</f>
        <v>626363.0348225</v>
      </c>
      <c r="X80" s="54" t="n">
        <f aca="false">X79+X78</f>
        <v>639981.442279661</v>
      </c>
      <c r="Y80" s="54" t="n">
        <f aca="false">Y79+Y78</f>
        <v>653621.794181267</v>
      </c>
      <c r="Z80" s="54" t="n">
        <f aca="false">Z79+Z78</f>
        <v>667284.090527316</v>
      </c>
      <c r="AA80" s="54" t="n">
        <f aca="false">AA79+AA78</f>
        <v>644637.799086065</v>
      </c>
      <c r="AB80" s="54" t="n">
        <f aca="false">AB79+AB78</f>
        <v>666075.232661195</v>
      </c>
      <c r="AC80" s="54" t="n">
        <f aca="false">AC79+AC78</f>
        <v>687534.610680769</v>
      </c>
      <c r="AD80" s="54" t="n">
        <f aca="false">AD79+AD78</f>
        <v>709015.933144788</v>
      </c>
      <c r="AE80" s="54" t="n">
        <f aca="false">AE79+AE78</f>
        <v>730519.200053252</v>
      </c>
      <c r="AF80" s="54" t="n">
        <f aca="false">AF79+AF78</f>
        <v>766266.349504984</v>
      </c>
      <c r="AG80" s="54" t="n">
        <f aca="false">AG79+AG78</f>
        <v>810201.387041335</v>
      </c>
      <c r="AH80" s="54" t="n">
        <f aca="false">AH79+AH78</f>
        <v>854158.36902213</v>
      </c>
      <c r="AI80" s="54" t="n">
        <f aca="false">AI79+AI78</f>
        <v>883915.357348545</v>
      </c>
      <c r="AJ80" s="54" t="n">
        <f aca="false">AJ79+AJ78</f>
        <v>905528.34647923</v>
      </c>
      <c r="AK80" s="54" t="n">
        <f aca="false">AK79+AK78</f>
        <v>927163.28005436</v>
      </c>
      <c r="AL80" s="54" t="n">
        <f aca="false">AL79+AL78</f>
        <v>948820.158073935</v>
      </c>
      <c r="AM80" s="54" t="n">
        <f aca="false">AM79+AM78</f>
        <v>930414.818534828</v>
      </c>
      <c r="AN80" s="54" t="n">
        <f aca="false">AN79+AN78</f>
        <v>961661.260046882</v>
      </c>
      <c r="AO80" s="54" t="n">
        <f aca="false">AO79+AO78</f>
        <v>992929.646003382</v>
      </c>
      <c r="AP80" s="54" t="n">
        <f aca="false">AP79+AP78</f>
        <v>1024219.97640433</v>
      </c>
      <c r="AQ80" s="54" t="n">
        <f aca="false">AQ79+AQ78</f>
        <v>1055532.25124971</v>
      </c>
      <c r="AR80" s="54" t="n">
        <f aca="false">AR79+AR78</f>
        <v>1101299.72933533</v>
      </c>
      <c r="AS80" s="54" t="n">
        <f aca="false">AS79+AS78</f>
        <v>1155376.43149291</v>
      </c>
      <c r="AT80" s="54" t="n">
        <f aca="false">AT79+AT78</f>
        <v>1209475.07809494</v>
      </c>
      <c r="AU80" s="54" t="n">
        <f aca="false">AU79+AU78</f>
        <v>1249162.41034564</v>
      </c>
      <c r="AV80" s="54" t="n">
        <f aca="false">AV79+AV78</f>
        <v>1280584.40741325</v>
      </c>
      <c r="AW80" s="54" t="n">
        <f aca="false">AW79+AW78</f>
        <v>1312028.3489253</v>
      </c>
      <c r="AX80" s="54" t="n">
        <f aca="false">AX79+AX78</f>
        <v>1343494.2348818</v>
      </c>
      <c r="AY80" s="54" t="n">
        <f aca="false">AY79+AY78</f>
        <v>1330814.27878518</v>
      </c>
      <c r="AZ80" s="54" t="n">
        <f aca="false">AZ79+AZ78</f>
        <v>1374079.78956482</v>
      </c>
      <c r="BA80" s="54" t="n">
        <f aca="false">BA79+BA78</f>
        <v>1417367.2447889</v>
      </c>
      <c r="BB80" s="54" t="n">
        <f aca="false">BB79+BB78</f>
        <v>1460676.64445742</v>
      </c>
      <c r="BC80" s="54" t="n">
        <f aca="false">BC79+BC78</f>
        <v>1504007.98857039</v>
      </c>
      <c r="BD80" s="54" t="n">
        <f aca="false">BD79+BD78</f>
        <v>1561674.26580001</v>
      </c>
      <c r="BE80" s="54" t="n">
        <f aca="false">BE79+BE78</f>
        <v>1627580.71047628</v>
      </c>
      <c r="BF80" s="54" t="n">
        <f aca="false">BF79+BF78</f>
        <v>1693509.09959699</v>
      </c>
      <c r="BG80" s="54" t="n">
        <f aca="false">BG79+BG78</f>
        <v>1745146.44448994</v>
      </c>
      <c r="BH80" s="54" t="n">
        <f aca="false">BH79+BH78</f>
        <v>1788587.51082513</v>
      </c>
      <c r="BI80" s="54" t="n">
        <f aca="false">BI79+BI78</f>
        <v>1832050.52160477</v>
      </c>
      <c r="BJ80" s="54" t="n">
        <f aca="false">BJ79+BJ78</f>
        <v>1875535.47682885</v>
      </c>
    </row>
    <row r="81" customFormat="false" ht="15" hidden="false" customHeight="false" outlineLevel="0" collapsed="false">
      <c r="A81" s="103" t="s">
        <v>375</v>
      </c>
      <c r="C81" s="99" t="n">
        <f aca="false">IF(C41&gt;0,1,0)</f>
        <v>1</v>
      </c>
      <c r="D81" s="99" t="n">
        <f aca="false">IF(D41&gt;0,1,0)</f>
        <v>1</v>
      </c>
      <c r="E81" s="99" t="n">
        <f aca="false">IF(E41&gt;0,1,0)</f>
        <v>1</v>
      </c>
      <c r="F81" s="99" t="n">
        <f aca="false">IF(F41&gt;0,1,0)</f>
        <v>1</v>
      </c>
      <c r="G81" s="99" t="n">
        <f aca="false">IF(G41&gt;0,1,0)</f>
        <v>1</v>
      </c>
      <c r="H81" s="99" t="n">
        <f aca="false">IF(H41&gt;0,1,0)</f>
        <v>1</v>
      </c>
      <c r="I81" s="99" t="n">
        <f aca="false">IF(I41&gt;0,1,0)</f>
        <v>1</v>
      </c>
      <c r="J81" s="99" t="n">
        <f aca="false">IF(J41&gt;0,1,0)</f>
        <v>1</v>
      </c>
      <c r="K81" s="99" t="n">
        <f aca="false">IF(K41&gt;0,1,0)</f>
        <v>1</v>
      </c>
      <c r="L81" s="99" t="n">
        <f aca="false">IF(L41&gt;0,1,0)</f>
        <v>1</v>
      </c>
      <c r="M81" s="99" t="n">
        <f aca="false">IF(M41&gt;0,1,0)</f>
        <v>1</v>
      </c>
      <c r="N81" s="99" t="n">
        <f aca="false">IF(N41&gt;0,1,0)</f>
        <v>1</v>
      </c>
      <c r="O81" s="99" t="n">
        <f aca="false">IF(O41&gt;0,1,0)</f>
        <v>1</v>
      </c>
      <c r="P81" s="99" t="n">
        <f aca="false">IF(P41&gt;0,1,0)</f>
        <v>1</v>
      </c>
      <c r="Q81" s="99" t="n">
        <f aca="false">IF(Q41&gt;0,1,0)</f>
        <v>1</v>
      </c>
      <c r="R81" s="99" t="n">
        <f aca="false">IF(R41&gt;0,1,0)</f>
        <v>1</v>
      </c>
      <c r="S81" s="99" t="n">
        <f aca="false">IF(S41&gt;0,1,0)</f>
        <v>1</v>
      </c>
      <c r="T81" s="99" t="n">
        <f aca="false">IF(T41&gt;0,1,0)</f>
        <v>1</v>
      </c>
      <c r="U81" s="99" t="n">
        <f aca="false">IF(U41&gt;0,1,0)</f>
        <v>1</v>
      </c>
      <c r="V81" s="99" t="n">
        <f aca="false">IF(V41&gt;0,1,0)</f>
        <v>1</v>
      </c>
      <c r="W81" s="99" t="n">
        <f aca="false">IF(W41&gt;0,1,0)</f>
        <v>1</v>
      </c>
      <c r="X81" s="99" t="n">
        <f aca="false">IF(X41&gt;0,1,0)</f>
        <v>1</v>
      </c>
      <c r="Y81" s="99" t="n">
        <f aca="false">IF(Y41&gt;0,1,0)</f>
        <v>1</v>
      </c>
      <c r="Z81" s="99" t="n">
        <f aca="false">IF(Z41&gt;0,1,0)</f>
        <v>1</v>
      </c>
      <c r="AA81" s="99" t="n">
        <f aca="false">IF(AA41&gt;0,1,0)</f>
        <v>1</v>
      </c>
      <c r="AB81" s="99" t="n">
        <f aca="false">IF(AB41&gt;0,1,0)</f>
        <v>1</v>
      </c>
      <c r="AC81" s="99" t="n">
        <f aca="false">IF(AC41&gt;0,1,0)</f>
        <v>1</v>
      </c>
      <c r="AD81" s="99" t="n">
        <f aca="false">IF(AD41&gt;0,1,0)</f>
        <v>1</v>
      </c>
      <c r="AE81" s="99" t="n">
        <f aca="false">IF(AE41&gt;0,1,0)</f>
        <v>1</v>
      </c>
      <c r="AF81" s="99" t="n">
        <f aca="false">IF(AF41&gt;0,1,0)</f>
        <v>1</v>
      </c>
      <c r="AG81" s="99" t="n">
        <f aca="false">IF(AG41&gt;0,1,0)</f>
        <v>1</v>
      </c>
      <c r="AH81" s="99" t="n">
        <f aca="false">IF(AH41&gt;0,1,0)</f>
        <v>1</v>
      </c>
      <c r="AI81" s="99" t="n">
        <f aca="false">IF(AI41&gt;0,1,0)</f>
        <v>1</v>
      </c>
      <c r="AJ81" s="99" t="n">
        <f aca="false">IF(AJ41&gt;0,1,0)</f>
        <v>1</v>
      </c>
      <c r="AK81" s="99" t="n">
        <f aca="false">IF(AK41&gt;0,1,0)</f>
        <v>1</v>
      </c>
      <c r="AL81" s="99" t="n">
        <f aca="false">IF(AL41&gt;0,1,0)</f>
        <v>1</v>
      </c>
      <c r="AM81" s="99" t="n">
        <f aca="false">IF(AM41&gt;0,1,0)</f>
        <v>1</v>
      </c>
      <c r="AN81" s="99" t="n">
        <f aca="false">IF(AN41&gt;0,1,0)</f>
        <v>1</v>
      </c>
      <c r="AO81" s="99" t="n">
        <f aca="false">IF(AO41&gt;0,1,0)</f>
        <v>1</v>
      </c>
      <c r="AP81" s="99" t="n">
        <f aca="false">IF(AP41&gt;0,1,0)</f>
        <v>1</v>
      </c>
      <c r="AQ81" s="99" t="n">
        <f aca="false">IF(AQ41&gt;0,1,0)</f>
        <v>1</v>
      </c>
      <c r="AR81" s="99" t="n">
        <f aca="false">IF(AR41&gt;0,1,0)</f>
        <v>1</v>
      </c>
      <c r="AS81" s="99" t="n">
        <f aca="false">IF(AS41&gt;0,1,0)</f>
        <v>1</v>
      </c>
      <c r="AT81" s="99" t="n">
        <f aca="false">IF(AT41&gt;0,1,0)</f>
        <v>1</v>
      </c>
      <c r="AU81" s="99" t="n">
        <f aca="false">IF(AU41&gt;0,1,0)</f>
        <v>1</v>
      </c>
      <c r="AV81" s="99" t="n">
        <f aca="false">IF(AV41&gt;0,1,0)</f>
        <v>1</v>
      </c>
      <c r="AW81" s="99" t="n">
        <f aca="false">IF(AW41&gt;0,1,0)</f>
        <v>1</v>
      </c>
      <c r="AX81" s="99" t="n">
        <f aca="false">IF(AX41&gt;0,1,0)</f>
        <v>1</v>
      </c>
      <c r="AY81" s="99" t="n">
        <f aca="false">IF(AY41&gt;0,1,0)</f>
        <v>1</v>
      </c>
      <c r="AZ81" s="99" t="n">
        <f aca="false">IF(AZ41&gt;0,1,0)</f>
        <v>1</v>
      </c>
      <c r="BA81" s="99" t="n">
        <f aca="false">IF(BA41&gt;0,1,0)</f>
        <v>1</v>
      </c>
      <c r="BB81" s="99" t="n">
        <f aca="false">IF(BB41&gt;0,1,0)</f>
        <v>1</v>
      </c>
      <c r="BC81" s="99" t="n">
        <f aca="false">IF(BC41&gt;0,1,0)</f>
        <v>1</v>
      </c>
      <c r="BD81" s="99" t="n">
        <f aca="false">IF(BD41&gt;0,1,0)</f>
        <v>1</v>
      </c>
      <c r="BE81" s="99" t="n">
        <f aca="false">IF(BE41&gt;0,1,0)</f>
        <v>1</v>
      </c>
      <c r="BF81" s="99" t="n">
        <f aca="false">IF(BF41&gt;0,1,0)</f>
        <v>1</v>
      </c>
      <c r="BG81" s="99" t="n">
        <f aca="false">IF(BG41&gt;0,1,0)</f>
        <v>1</v>
      </c>
      <c r="BH81" s="99" t="n">
        <f aca="false">IF(BH41&gt;0,1,0)</f>
        <v>1</v>
      </c>
      <c r="BI81" s="99" t="n">
        <f aca="false">IF(BI41&gt;0,1,0)</f>
        <v>1</v>
      </c>
      <c r="BJ81" s="99" t="n">
        <f aca="false">IF(BJ41&gt;0,1,0)</f>
        <v>1</v>
      </c>
    </row>
    <row r="83" customFormat="false" ht="15.75" hidden="false" customHeight="true" outlineLevel="0" collapsed="false">
      <c r="A83" s="7" t="s">
        <v>376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03" t="s">
        <v>377</v>
      </c>
      <c r="C84" s="99" t="n">
        <f aca="false">IF(C50&gt;0,1,0)</f>
        <v>1</v>
      </c>
      <c r="D84" s="99" t="n">
        <f aca="false">IF(D50&gt;0,1,0)</f>
        <v>1</v>
      </c>
      <c r="E84" s="99" t="n">
        <f aca="false">IF(E50&gt;0,1,0)</f>
        <v>1</v>
      </c>
      <c r="F84" s="99" t="n">
        <f aca="false">IF(F50&gt;0,1,0)</f>
        <v>1</v>
      </c>
      <c r="G84" s="99" t="n">
        <f aca="false">IF(G50&gt;0,1,0)</f>
        <v>1</v>
      </c>
      <c r="H84" s="99" t="n">
        <f aca="false">IF(H50&gt;0,1,0)</f>
        <v>1</v>
      </c>
      <c r="I84" s="99" t="n">
        <f aca="false">IF(I50&gt;0,1,0)</f>
        <v>1</v>
      </c>
      <c r="J84" s="99" t="n">
        <f aca="false">IF(J50&gt;0,1,0)</f>
        <v>1</v>
      </c>
      <c r="K84" s="99" t="n">
        <f aca="false">IF(K50&gt;0,1,0)</f>
        <v>1</v>
      </c>
      <c r="L84" s="99" t="n">
        <f aca="false">IF(L50&gt;0,1,0)</f>
        <v>1</v>
      </c>
      <c r="M84" s="99" t="n">
        <f aca="false">IF(M50&gt;0,1,0)</f>
        <v>1</v>
      </c>
      <c r="N84" s="99" t="n">
        <f aca="false">IF(N50&gt;0,1,0)</f>
        <v>1</v>
      </c>
      <c r="O84" s="99" t="n">
        <f aca="false">IF(O50&gt;0,1,0)</f>
        <v>1</v>
      </c>
      <c r="P84" s="99" t="n">
        <f aca="false">IF(P50&gt;0,1,0)</f>
        <v>1</v>
      </c>
      <c r="Q84" s="99" t="n">
        <f aca="false">IF(Q50&gt;0,1,0)</f>
        <v>1</v>
      </c>
      <c r="R84" s="99" t="n">
        <f aca="false">IF(R50&gt;0,1,0)</f>
        <v>1</v>
      </c>
      <c r="S84" s="99" t="n">
        <f aca="false">IF(S50&gt;0,1,0)</f>
        <v>1</v>
      </c>
      <c r="T84" s="99" t="n">
        <f aca="false">IF(T50&gt;0,1,0)</f>
        <v>1</v>
      </c>
      <c r="U84" s="99" t="n">
        <f aca="false">IF(U50&gt;0,1,0)</f>
        <v>1</v>
      </c>
      <c r="V84" s="99" t="n">
        <f aca="false">IF(V50&gt;0,1,0)</f>
        <v>1</v>
      </c>
      <c r="W84" s="99" t="n">
        <f aca="false">IF(W50&gt;0,1,0)</f>
        <v>1</v>
      </c>
      <c r="X84" s="99" t="n">
        <f aca="false">IF(X50&gt;0,1,0)</f>
        <v>1</v>
      </c>
      <c r="Y84" s="99" t="n">
        <f aca="false">IF(Y50&gt;0,1,0)</f>
        <v>1</v>
      </c>
      <c r="Z84" s="99" t="n">
        <f aca="false">IF(Z50&gt;0,1,0)</f>
        <v>1</v>
      </c>
      <c r="AA84" s="99" t="n">
        <f aca="false">IF(AA50&gt;0,1,0)</f>
        <v>1</v>
      </c>
      <c r="AB84" s="99" t="n">
        <f aca="false">IF(AB50&gt;0,1,0)</f>
        <v>1</v>
      </c>
      <c r="AC84" s="99" t="n">
        <f aca="false">IF(AC50&gt;0,1,0)</f>
        <v>1</v>
      </c>
      <c r="AD84" s="99" t="n">
        <f aca="false">IF(AD50&gt;0,1,0)</f>
        <v>1</v>
      </c>
      <c r="AE84" s="99" t="n">
        <f aca="false">IF(AE50&gt;0,1,0)</f>
        <v>1</v>
      </c>
      <c r="AF84" s="99" t="n">
        <f aca="false">IF(AF50&gt;0,1,0)</f>
        <v>1</v>
      </c>
      <c r="AG84" s="99" t="n">
        <f aca="false">IF(AG50&gt;0,1,0)</f>
        <v>1</v>
      </c>
      <c r="AH84" s="99" t="n">
        <f aca="false">IF(AH50&gt;0,1,0)</f>
        <v>1</v>
      </c>
      <c r="AI84" s="99" t="n">
        <f aca="false">IF(AI50&gt;0,1,0)</f>
        <v>1</v>
      </c>
      <c r="AJ84" s="99" t="n">
        <f aca="false">IF(AJ50&gt;0,1,0)</f>
        <v>1</v>
      </c>
      <c r="AK84" s="99" t="n">
        <f aca="false">IF(AK50&gt;0,1,0)</f>
        <v>1</v>
      </c>
      <c r="AL84" s="99" t="n">
        <f aca="false">IF(AL50&gt;0,1,0)</f>
        <v>1</v>
      </c>
      <c r="AM84" s="99" t="n">
        <f aca="false">IF(AM50&gt;0,1,0)</f>
        <v>1</v>
      </c>
      <c r="AN84" s="99" t="n">
        <f aca="false">IF(AN50&gt;0,1,0)</f>
        <v>1</v>
      </c>
      <c r="AO84" s="99" t="n">
        <f aca="false">IF(AO50&gt;0,1,0)</f>
        <v>1</v>
      </c>
      <c r="AP84" s="99" t="n">
        <f aca="false">IF(AP50&gt;0,1,0)</f>
        <v>1</v>
      </c>
      <c r="AQ84" s="99" t="n">
        <f aca="false">IF(AQ50&gt;0,1,0)</f>
        <v>1</v>
      </c>
      <c r="AR84" s="99" t="n">
        <f aca="false">IF(AR50&gt;0,1,0)</f>
        <v>1</v>
      </c>
      <c r="AS84" s="99" t="n">
        <f aca="false">IF(AS50&gt;0,1,0)</f>
        <v>1</v>
      </c>
      <c r="AT84" s="99" t="n">
        <f aca="false">IF(AT50&gt;0,1,0)</f>
        <v>1</v>
      </c>
      <c r="AU84" s="99" t="n">
        <f aca="false">IF(AU50&gt;0,1,0)</f>
        <v>1</v>
      </c>
      <c r="AV84" s="99" t="n">
        <f aca="false">IF(AV50&gt;0,1,0)</f>
        <v>1</v>
      </c>
      <c r="AW84" s="99" t="n">
        <f aca="false">IF(AW50&gt;0,1,0)</f>
        <v>1</v>
      </c>
      <c r="AX84" s="99" t="n">
        <f aca="false">IF(AX50&gt;0,1,0)</f>
        <v>1</v>
      </c>
      <c r="AY84" s="99" t="n">
        <f aca="false">IF(AY50&gt;0,1,0)</f>
        <v>1</v>
      </c>
      <c r="AZ84" s="99" t="n">
        <f aca="false">IF(AZ50&gt;0,1,0)</f>
        <v>1</v>
      </c>
      <c r="BA84" s="99" t="n">
        <f aca="false">IF(BA50&gt;0,1,0)</f>
        <v>1</v>
      </c>
      <c r="BB84" s="99" t="n">
        <f aca="false">IF(BB50&gt;0,1,0)</f>
        <v>1</v>
      </c>
      <c r="BC84" s="99" t="n">
        <f aca="false">IF(BC50&gt;0,1,0)</f>
        <v>1</v>
      </c>
      <c r="BD84" s="99" t="n">
        <f aca="false">IF(BD50&gt;0,1,0)</f>
        <v>1</v>
      </c>
      <c r="BE84" s="99" t="n">
        <f aca="false">IF(BE50&gt;0,1,0)</f>
        <v>1</v>
      </c>
      <c r="BF84" s="99" t="n">
        <f aca="false">IF(BF50&gt;0,1,0)</f>
        <v>1</v>
      </c>
      <c r="BG84" s="99" t="n">
        <f aca="false">IF(BG50&gt;0,1,0)</f>
        <v>1</v>
      </c>
      <c r="BH84" s="99" t="n">
        <f aca="false">IF(BH50&gt;0,1,0)</f>
        <v>1</v>
      </c>
      <c r="BI84" s="99" t="n">
        <f aca="false">IF(BI50&gt;0,1,0)</f>
        <v>1</v>
      </c>
      <c r="BJ84" s="99" t="n">
        <f aca="false">IF(BJ50&gt;0,1,0)</f>
        <v>1</v>
      </c>
    </row>
    <row r="85" customFormat="false" ht="15" hidden="false" customHeight="false" outlineLevel="0" collapsed="false">
      <c r="A85" s="6" t="s">
        <v>378</v>
      </c>
      <c r="C85" s="53" t="n">
        <f aca="false">C74+C75</f>
        <v>-10761.8846555556</v>
      </c>
      <c r="D85" s="53" t="n">
        <f aca="false">D74+D75</f>
        <v>11102.5597888889</v>
      </c>
      <c r="E85" s="53" t="n">
        <f aca="false">E74+E75</f>
        <v>11124.5042333333</v>
      </c>
      <c r="F85" s="53" t="n">
        <f aca="false">F74+F75</f>
        <v>11146.4486777778</v>
      </c>
      <c r="G85" s="53" t="n">
        <f aca="false">G74+G75</f>
        <v>11168.3931222222</v>
      </c>
      <c r="H85" s="53" t="n">
        <f aca="false">H74+H75</f>
        <v>24348.0045555555</v>
      </c>
      <c r="I85" s="53" t="n">
        <f aca="false">I74+I75</f>
        <v>31924.8101111111</v>
      </c>
      <c r="J85" s="53" t="n">
        <f aca="false">J74+J75</f>
        <v>31946.7545555556</v>
      </c>
      <c r="K85" s="53" t="n">
        <f aca="false">K74+K75</f>
        <v>18811.0320111111</v>
      </c>
      <c r="L85" s="53" t="n">
        <f aca="false">L74+L75</f>
        <v>11278.1153444444</v>
      </c>
      <c r="M85" s="53" t="n">
        <f aca="false">M74+M75</f>
        <v>11300.0597888889</v>
      </c>
      <c r="N85" s="53" t="n">
        <f aca="false">N74+N75</f>
        <v>11322.0042333333</v>
      </c>
      <c r="O85" s="53" t="n">
        <f aca="false">O74+O75</f>
        <v>-21545.3910845056</v>
      </c>
      <c r="P85" s="53" t="n">
        <f aca="false">P74+P75</f>
        <v>17609.5185682722</v>
      </c>
      <c r="Q85" s="53" t="n">
        <f aca="false">Q74+Q75</f>
        <v>17631.4630127167</v>
      </c>
      <c r="R85" s="53" t="n">
        <f aca="false">R74+R75</f>
        <v>17653.4074571611</v>
      </c>
      <c r="S85" s="53" t="n">
        <f aca="false">S74+S75</f>
        <v>17675.3519016055</v>
      </c>
      <c r="T85" s="53" t="n">
        <f aca="false">T74+T75</f>
        <v>31469.6286042889</v>
      </c>
      <c r="U85" s="53" t="n">
        <f aca="false">U74+U75</f>
        <v>39399.3622848444</v>
      </c>
      <c r="V85" s="53" t="n">
        <f aca="false">V74+V75</f>
        <v>39421.3067292889</v>
      </c>
      <c r="W85" s="53" t="n">
        <f aca="false">W74+W75</f>
        <v>25670.9189154944</v>
      </c>
      <c r="X85" s="53" t="n">
        <f aca="false">X74+X75</f>
        <v>17785.0741238278</v>
      </c>
      <c r="Y85" s="53" t="n">
        <f aca="false">Y74+Y75</f>
        <v>17807.0185682722</v>
      </c>
      <c r="Z85" s="53" t="n">
        <f aca="false">Z74+Z75</f>
        <v>17828.9630127167</v>
      </c>
      <c r="AA85" s="53" t="n">
        <f aca="false">AA74+AA75</f>
        <v>-18479.6247745852</v>
      </c>
      <c r="AB85" s="53" t="n">
        <f aca="false">AB74+AB75</f>
        <v>25604.1002417968</v>
      </c>
      <c r="AC85" s="53" t="n">
        <f aca="false">AC74+AC75</f>
        <v>25626.0446862412</v>
      </c>
      <c r="AD85" s="53" t="n">
        <f aca="false">AD74+AD75</f>
        <v>25647.9891306857</v>
      </c>
      <c r="AE85" s="53" t="n">
        <f aca="false">AE74+AE75</f>
        <v>25669.9335751301</v>
      </c>
      <c r="AF85" s="53" t="n">
        <f aca="false">AF74+AF75</f>
        <v>39913.8161183992</v>
      </c>
      <c r="AG85" s="53" t="n">
        <f aca="false">AG74+AG75</f>
        <v>48101.7042030172</v>
      </c>
      <c r="AH85" s="53" t="n">
        <f aca="false">AH74+AH75</f>
        <v>48123.6486474617</v>
      </c>
      <c r="AI85" s="53" t="n">
        <f aca="false">AI74+AI75</f>
        <v>33923.6549930815</v>
      </c>
      <c r="AJ85" s="53" t="n">
        <f aca="false">AJ74+AJ75</f>
        <v>25779.6557973523</v>
      </c>
      <c r="AK85" s="53" t="n">
        <f aca="false">AK74+AK75</f>
        <v>25801.6002417968</v>
      </c>
      <c r="AL85" s="53" t="n">
        <f aca="false">AL74+AL75</f>
        <v>25823.5446862412</v>
      </c>
      <c r="AM85" s="53" t="n">
        <f aca="false">AM74+AM75</f>
        <v>-14238.6728724406</v>
      </c>
      <c r="AN85" s="53" t="n">
        <f aca="false">AN74+AN75</f>
        <v>35413.1081787216</v>
      </c>
      <c r="AO85" s="53" t="n">
        <f aca="false">AO74+AO75</f>
        <v>35435.052623166</v>
      </c>
      <c r="AP85" s="53" t="n">
        <f aca="false">AP74+AP75</f>
        <v>35456.9970676104</v>
      </c>
      <c r="AQ85" s="53" t="n">
        <f aca="false">AQ74+AQ75</f>
        <v>35478.9415120549</v>
      </c>
      <c r="AR85" s="53" t="n">
        <f aca="false">AR74+AR75</f>
        <v>49934.1447522791</v>
      </c>
      <c r="AS85" s="53" t="n">
        <f aca="false">AS74+AS75</f>
        <v>58243.3688242532</v>
      </c>
      <c r="AT85" s="53" t="n">
        <f aca="false">AT74+AT75</f>
        <v>58265.3132686976</v>
      </c>
      <c r="AU85" s="53" t="n">
        <f aca="false">AU74+AU75</f>
        <v>43853.9989173623</v>
      </c>
      <c r="AV85" s="53" t="n">
        <f aca="false">AV74+AV75</f>
        <v>35588.6637342771</v>
      </c>
      <c r="AW85" s="53" t="n">
        <f aca="false">AW74+AW75</f>
        <v>35610.6081787216</v>
      </c>
      <c r="AX85" s="53" t="n">
        <f aca="false">AX74+AX75</f>
        <v>35632.552623166</v>
      </c>
      <c r="AY85" s="53" t="n">
        <f aca="false">AY74+AY75</f>
        <v>-8513.2894299585</v>
      </c>
      <c r="AZ85" s="53" t="n">
        <f aca="false">AZ74+AZ75</f>
        <v>47432.1774463031</v>
      </c>
      <c r="BA85" s="53" t="n">
        <f aca="false">BA74+BA75</f>
        <v>47454.1218907475</v>
      </c>
      <c r="BB85" s="53" t="n">
        <f aca="false">BB74+BB75</f>
        <v>47476.066335192</v>
      </c>
      <c r="BC85" s="53" t="n">
        <f aca="false">BC74+BC75</f>
        <v>47498.0107796364</v>
      </c>
      <c r="BD85" s="53" t="n">
        <f aca="false">BD74+BD75</f>
        <v>61832.943896286</v>
      </c>
      <c r="BE85" s="53" t="n">
        <f aca="false">BE74+BE75</f>
        <v>70073.1113429336</v>
      </c>
      <c r="BF85" s="53" t="n">
        <f aca="false">BF74+BF75</f>
        <v>70095.055787378</v>
      </c>
      <c r="BG85" s="53" t="n">
        <f aca="false">BG74+BG75</f>
        <v>55804.0115596174</v>
      </c>
      <c r="BH85" s="53" t="n">
        <f aca="false">BH74+BH75</f>
        <v>47607.7330018586</v>
      </c>
      <c r="BI85" s="53" t="n">
        <f aca="false">BI74+BI75</f>
        <v>47629.6774463031</v>
      </c>
      <c r="BJ85" s="53" t="n">
        <f aca="false">BJ74+BJ75</f>
        <v>47651.6218907475</v>
      </c>
    </row>
    <row r="86" customFormat="false" ht="15" hidden="false" customHeight="false" outlineLevel="0" collapsed="false">
      <c r="A86" s="6" t="s">
        <v>379</v>
      </c>
      <c r="C86" s="53" t="n">
        <f aca="false">C85</f>
        <v>-10761.8846555556</v>
      </c>
      <c r="D86" s="53" t="n">
        <f aca="false">C86+D85</f>
        <v>340.675133333327</v>
      </c>
      <c r="E86" s="53" t="n">
        <f aca="false">D86+E85</f>
        <v>11465.1793666667</v>
      </c>
      <c r="F86" s="53" t="n">
        <f aca="false">E86+F85</f>
        <v>22611.6280444444</v>
      </c>
      <c r="G86" s="53" t="n">
        <f aca="false">F86+G85</f>
        <v>33780.0211666666</v>
      </c>
      <c r="H86" s="53" t="n">
        <f aca="false">G86+H85</f>
        <v>58128.0257222222</v>
      </c>
      <c r="I86" s="53" t="n">
        <f aca="false">H86+I85</f>
        <v>90052.8358333333</v>
      </c>
      <c r="J86" s="53" t="n">
        <f aca="false">I86+J85</f>
        <v>121999.590388889</v>
      </c>
      <c r="K86" s="53" t="n">
        <f aca="false">J86+K85</f>
        <v>140810.6224</v>
      </c>
      <c r="L86" s="53" t="n">
        <f aca="false">K86+L85</f>
        <v>152088.737744444</v>
      </c>
      <c r="M86" s="53" t="n">
        <f aca="false">L86+M85</f>
        <v>163388.797533333</v>
      </c>
      <c r="N86" s="53" t="n">
        <f aca="false">M86+N85</f>
        <v>174710.801766667</v>
      </c>
      <c r="O86" s="53" t="n">
        <f aca="false">N86+O85</f>
        <v>153165.410682161</v>
      </c>
      <c r="P86" s="53" t="n">
        <f aca="false">O86+P85</f>
        <v>170774.929250433</v>
      </c>
      <c r="Q86" s="53" t="n">
        <f aca="false">P86+Q85</f>
        <v>188406.39226315</v>
      </c>
      <c r="R86" s="53" t="n">
        <f aca="false">Q86+R85</f>
        <v>206059.799720311</v>
      </c>
      <c r="S86" s="53" t="n">
        <f aca="false">R86+S85</f>
        <v>223735.151621917</v>
      </c>
      <c r="T86" s="53" t="n">
        <f aca="false">S86+T85</f>
        <v>255204.780226205</v>
      </c>
      <c r="U86" s="53" t="n">
        <f aca="false">T86+U85</f>
        <v>294604.14251105</v>
      </c>
      <c r="V86" s="53" t="n">
        <f aca="false">U86+V85</f>
        <v>334025.449240339</v>
      </c>
      <c r="W86" s="53" t="n">
        <f aca="false">V86+W85</f>
        <v>359696.368155833</v>
      </c>
      <c r="X86" s="53" t="n">
        <f aca="false">W86+X85</f>
        <v>377481.442279661</v>
      </c>
      <c r="Y86" s="53" t="n">
        <f aca="false">X86+Y85</f>
        <v>395288.460847933</v>
      </c>
      <c r="Z86" s="53" t="n">
        <f aca="false">Y86+Z85</f>
        <v>413117.42386065</v>
      </c>
      <c r="AA86" s="53" t="n">
        <f aca="false">Z86+AA85</f>
        <v>394637.799086065</v>
      </c>
      <c r="AB86" s="53" t="n">
        <f aca="false">AA86+AB85</f>
        <v>420241.899327861</v>
      </c>
      <c r="AC86" s="53" t="n">
        <f aca="false">AB86+AC85</f>
        <v>445867.944014103</v>
      </c>
      <c r="AD86" s="53" t="n">
        <f aca="false">AC86+AD85</f>
        <v>471515.933144788</v>
      </c>
      <c r="AE86" s="53" t="n">
        <f aca="false">AD86+AE85</f>
        <v>497185.866719918</v>
      </c>
      <c r="AF86" s="53" t="n">
        <f aca="false">AE86+AF85</f>
        <v>537099.682838318</v>
      </c>
      <c r="AG86" s="53" t="n">
        <f aca="false">AF86+AG85</f>
        <v>585201.387041335</v>
      </c>
      <c r="AH86" s="53" t="n">
        <f aca="false">AG86+AH85</f>
        <v>633325.035688796</v>
      </c>
      <c r="AI86" s="53" t="n">
        <f aca="false">AH86+AI85</f>
        <v>667248.690681878</v>
      </c>
      <c r="AJ86" s="53" t="n">
        <f aca="false">AI86+AJ85</f>
        <v>693028.34647923</v>
      </c>
      <c r="AK86" s="53" t="n">
        <f aca="false">AJ86+AK85</f>
        <v>718829.946721027</v>
      </c>
      <c r="AL86" s="53" t="n">
        <f aca="false">AK86+AL85</f>
        <v>744653.491407268</v>
      </c>
      <c r="AM86" s="53" t="n">
        <f aca="false">AL86+AM85</f>
        <v>730414.818534828</v>
      </c>
      <c r="AN86" s="53" t="n">
        <f aca="false">AM86+AN85</f>
        <v>765827.926713549</v>
      </c>
      <c r="AO86" s="53" t="n">
        <f aca="false">AN86+AO85</f>
        <v>801262.979336715</v>
      </c>
      <c r="AP86" s="53" t="n">
        <f aca="false">AO86+AP85</f>
        <v>836719.976404326</v>
      </c>
      <c r="AQ86" s="53" t="n">
        <f aca="false">AP86+AQ85</f>
        <v>872198.917916381</v>
      </c>
      <c r="AR86" s="53" t="n">
        <f aca="false">AQ86+AR85</f>
        <v>922133.06266866</v>
      </c>
      <c r="AS86" s="53" t="n">
        <f aca="false">AR86+AS85</f>
        <v>980376.431492913</v>
      </c>
      <c r="AT86" s="53" t="n">
        <f aca="false">AS86+AT85</f>
        <v>1038641.74476161</v>
      </c>
      <c r="AU86" s="53" t="n">
        <f aca="false">AT86+AU85</f>
        <v>1082495.74367897</v>
      </c>
      <c r="AV86" s="53" t="n">
        <f aca="false">AU86+AV85</f>
        <v>1118084.40741325</v>
      </c>
      <c r="AW86" s="53" t="n">
        <f aca="false">AV86+AW85</f>
        <v>1153695.01559197</v>
      </c>
      <c r="AX86" s="53" t="n">
        <f aca="false">AW86+AX85</f>
        <v>1189327.56821514</v>
      </c>
      <c r="AY86" s="53" t="n">
        <f aca="false">AX86+AY85</f>
        <v>1180814.27878518</v>
      </c>
      <c r="AZ86" s="53" t="n">
        <f aca="false">AY86+AZ85</f>
        <v>1228246.45623148</v>
      </c>
      <c r="BA86" s="53" t="n">
        <f aca="false">AZ86+BA85</f>
        <v>1275700.57812223</v>
      </c>
      <c r="BB86" s="53" t="n">
        <f aca="false">BA86+BB85</f>
        <v>1323176.64445742</v>
      </c>
      <c r="BC86" s="53" t="n">
        <f aca="false">BB86+BC85</f>
        <v>1370674.65523706</v>
      </c>
      <c r="BD86" s="53" t="n">
        <f aca="false">BC86+BD85</f>
        <v>1432507.59913334</v>
      </c>
      <c r="BE86" s="53" t="n">
        <f aca="false">BD86+BE85</f>
        <v>1502580.71047628</v>
      </c>
      <c r="BF86" s="53" t="n">
        <f aca="false">BE86+BF85</f>
        <v>1572675.76626366</v>
      </c>
      <c r="BG86" s="53" t="n">
        <f aca="false">BF86+BG85</f>
        <v>1628479.77782327</v>
      </c>
      <c r="BH86" s="53" t="n">
        <f aca="false">BG86+BH85</f>
        <v>1676087.51082513</v>
      </c>
      <c r="BI86" s="53" t="n">
        <f aca="false">BH86+BI85</f>
        <v>1723717.18827143</v>
      </c>
      <c r="BJ86" s="53" t="n">
        <f aca="false">BI86+BJ85</f>
        <v>1771368.81016218</v>
      </c>
    </row>
    <row r="87" customFormat="false" ht="15" hidden="false" customHeight="false" outlineLevel="0" collapsed="false">
      <c r="A87" s="103" t="s">
        <v>380</v>
      </c>
      <c r="C87" s="53" t="n">
        <f aca="false">C86</f>
        <v>-10761.8846555556</v>
      </c>
      <c r="D87" s="53" t="n">
        <f aca="false">MIN(C87,D86)</f>
        <v>-10761.8846555556</v>
      </c>
      <c r="E87" s="53" t="n">
        <f aca="false">MIN(D87,E86)</f>
        <v>-10761.8846555556</v>
      </c>
      <c r="F87" s="53" t="n">
        <f aca="false">MIN(E87,F86)</f>
        <v>-10761.8846555556</v>
      </c>
      <c r="G87" s="53" t="n">
        <f aca="false">MIN(F87,G86)</f>
        <v>-10761.8846555556</v>
      </c>
      <c r="H87" s="53" t="n">
        <f aca="false">MIN(G87,H86)</f>
        <v>-10761.8846555556</v>
      </c>
      <c r="I87" s="53" t="n">
        <f aca="false">MIN(H87,I86)</f>
        <v>-10761.8846555556</v>
      </c>
      <c r="J87" s="53" t="n">
        <f aca="false">MIN(I87,J86)</f>
        <v>-10761.8846555556</v>
      </c>
      <c r="K87" s="53" t="n">
        <f aca="false">MIN(J87,K86)</f>
        <v>-10761.8846555556</v>
      </c>
      <c r="L87" s="53" t="n">
        <f aca="false">MIN(K87,L86)</f>
        <v>-10761.8846555556</v>
      </c>
      <c r="M87" s="53" t="n">
        <f aca="false">MIN(L87,M86)</f>
        <v>-10761.8846555556</v>
      </c>
      <c r="N87" s="53" t="n">
        <f aca="false">MIN(M87,N86)</f>
        <v>-10761.8846555556</v>
      </c>
      <c r="O87" s="53" t="n">
        <f aca="false">MIN(N87,O86)</f>
        <v>-10761.8846555556</v>
      </c>
      <c r="P87" s="53" t="n">
        <f aca="false">MIN(O87,P86)</f>
        <v>-10761.8846555556</v>
      </c>
      <c r="Q87" s="53" t="n">
        <f aca="false">MIN(P87,Q86)</f>
        <v>-10761.8846555556</v>
      </c>
      <c r="R87" s="53" t="n">
        <f aca="false">MIN(Q87,R86)</f>
        <v>-10761.8846555556</v>
      </c>
      <c r="S87" s="53" t="n">
        <f aca="false">MIN(R87,S86)</f>
        <v>-10761.8846555556</v>
      </c>
      <c r="T87" s="53" t="n">
        <f aca="false">MIN(S87,T86)</f>
        <v>-10761.8846555556</v>
      </c>
      <c r="U87" s="53" t="n">
        <f aca="false">MIN(T87,U86)</f>
        <v>-10761.8846555556</v>
      </c>
      <c r="V87" s="53" t="n">
        <f aca="false">MIN(U87,V86)</f>
        <v>-10761.8846555556</v>
      </c>
      <c r="W87" s="53" t="n">
        <f aca="false">MIN(V87,W86)</f>
        <v>-10761.8846555556</v>
      </c>
      <c r="X87" s="53" t="n">
        <f aca="false">MIN(W87,X86)</f>
        <v>-10761.8846555556</v>
      </c>
      <c r="Y87" s="53" t="n">
        <f aca="false">MIN(X87,Y86)</f>
        <v>-10761.8846555556</v>
      </c>
      <c r="Z87" s="53" t="n">
        <f aca="false">MIN(Y87,Z86)</f>
        <v>-10761.8846555556</v>
      </c>
      <c r="AA87" s="53" t="n">
        <f aca="false">MIN(Z87,AA86)</f>
        <v>-10761.8846555556</v>
      </c>
      <c r="AB87" s="53" t="n">
        <f aca="false">MIN(AA87,AB86)</f>
        <v>-10761.8846555556</v>
      </c>
      <c r="AC87" s="53" t="n">
        <f aca="false">MIN(AB87,AC86)</f>
        <v>-10761.8846555556</v>
      </c>
      <c r="AD87" s="53" t="n">
        <f aca="false">MIN(AC87,AD86)</f>
        <v>-10761.8846555556</v>
      </c>
      <c r="AE87" s="53" t="n">
        <f aca="false">MIN(AD87,AE86)</f>
        <v>-10761.8846555556</v>
      </c>
      <c r="AF87" s="53" t="n">
        <f aca="false">MIN(AE87,AF86)</f>
        <v>-10761.8846555556</v>
      </c>
      <c r="AG87" s="53" t="n">
        <f aca="false">MIN(AF87,AG86)</f>
        <v>-10761.8846555556</v>
      </c>
      <c r="AH87" s="53" t="n">
        <f aca="false">MIN(AG87,AH86)</f>
        <v>-10761.8846555556</v>
      </c>
      <c r="AI87" s="53" t="n">
        <f aca="false">MIN(AH87,AI86)</f>
        <v>-10761.8846555556</v>
      </c>
      <c r="AJ87" s="53" t="n">
        <f aca="false">MIN(AI87,AJ86)</f>
        <v>-10761.8846555556</v>
      </c>
      <c r="AK87" s="53" t="n">
        <f aca="false">MIN(AJ87,AK86)</f>
        <v>-10761.8846555556</v>
      </c>
      <c r="AL87" s="53" t="n">
        <f aca="false">MIN(AK87,AL86)</f>
        <v>-10761.8846555556</v>
      </c>
      <c r="AM87" s="53" t="n">
        <f aca="false">MIN(AL87,AM86)</f>
        <v>-10761.8846555556</v>
      </c>
      <c r="AN87" s="53" t="n">
        <f aca="false">MIN(AM87,AN86)</f>
        <v>-10761.8846555556</v>
      </c>
      <c r="AO87" s="53" t="n">
        <f aca="false">MIN(AN87,AO86)</f>
        <v>-10761.8846555556</v>
      </c>
      <c r="AP87" s="53" t="n">
        <f aca="false">MIN(AO87,AP86)</f>
        <v>-10761.8846555556</v>
      </c>
      <c r="AQ87" s="53" t="n">
        <f aca="false">MIN(AP87,AQ86)</f>
        <v>-10761.8846555556</v>
      </c>
      <c r="AR87" s="53" t="n">
        <f aca="false">MIN(AQ87,AR86)</f>
        <v>-10761.8846555556</v>
      </c>
      <c r="AS87" s="53" t="n">
        <f aca="false">MIN(AR87,AS86)</f>
        <v>-10761.8846555556</v>
      </c>
      <c r="AT87" s="53" t="n">
        <f aca="false">MIN(AS87,AT86)</f>
        <v>-10761.8846555556</v>
      </c>
      <c r="AU87" s="53" t="n">
        <f aca="false">MIN(AT87,AU86)</f>
        <v>-10761.8846555556</v>
      </c>
      <c r="AV87" s="53" t="n">
        <f aca="false">MIN(AU87,AV86)</f>
        <v>-10761.8846555556</v>
      </c>
      <c r="AW87" s="53" t="n">
        <f aca="false">MIN(AV87,AW86)</f>
        <v>-10761.8846555556</v>
      </c>
      <c r="AX87" s="53" t="n">
        <f aca="false">MIN(AW87,AX86)</f>
        <v>-10761.8846555556</v>
      </c>
      <c r="AY87" s="53" t="n">
        <f aca="false">MIN(AX87,AY86)</f>
        <v>-10761.8846555556</v>
      </c>
      <c r="AZ87" s="53" t="n">
        <f aca="false">MIN(AY87,AZ86)</f>
        <v>-10761.8846555556</v>
      </c>
      <c r="BA87" s="53" t="n">
        <f aca="false">MIN(AZ87,BA86)</f>
        <v>-10761.8846555556</v>
      </c>
      <c r="BB87" s="53" t="n">
        <f aca="false">MIN(BA87,BB86)</f>
        <v>-10761.8846555556</v>
      </c>
      <c r="BC87" s="53" t="n">
        <f aca="false">MIN(BB87,BC86)</f>
        <v>-10761.8846555556</v>
      </c>
      <c r="BD87" s="53" t="n">
        <f aca="false">MIN(BC87,BD86)</f>
        <v>-10761.8846555556</v>
      </c>
      <c r="BE87" s="53" t="n">
        <f aca="false">MIN(BD87,BE86)</f>
        <v>-10761.8846555556</v>
      </c>
      <c r="BF87" s="53" t="n">
        <f aca="false">MIN(BE87,BF86)</f>
        <v>-10761.8846555556</v>
      </c>
      <c r="BG87" s="53" t="n">
        <f aca="false">MIN(BF87,BG86)</f>
        <v>-10761.8846555556</v>
      </c>
      <c r="BH87" s="53" t="n">
        <f aca="false">MIN(BG87,BH86)</f>
        <v>-10761.8846555556</v>
      </c>
      <c r="BI87" s="53" t="n">
        <f aca="false">MIN(BH87,BI86)</f>
        <v>-10761.8846555556</v>
      </c>
      <c r="BJ87" s="53" t="n">
        <f aca="false">MIN(BI87,BJ86)</f>
        <v>-10761.8846555556</v>
      </c>
    </row>
    <row r="88" customFormat="false" ht="15" hidden="false" customHeight="false" outlineLevel="0" collapsed="false">
      <c r="A88" s="103" t="s">
        <v>381</v>
      </c>
      <c r="C88" s="99" t="n">
        <f aca="false">IF(AND(C86&gt;=0,C87&lt;0),1,0)</f>
        <v>0</v>
      </c>
      <c r="D88" s="99" t="n">
        <f aca="false">IF(AND(D86&gt;=0,D87&lt;0),1,0)</f>
        <v>1</v>
      </c>
      <c r="E88" s="99" t="n">
        <f aca="false">IF(AND(E86&gt;=0,E87&lt;0),1,0)</f>
        <v>1</v>
      </c>
      <c r="F88" s="99" t="n">
        <f aca="false">IF(AND(F86&gt;=0,F87&lt;0),1,0)</f>
        <v>1</v>
      </c>
      <c r="G88" s="99" t="n">
        <f aca="false">IF(AND(G86&gt;=0,G87&lt;0),1,0)</f>
        <v>1</v>
      </c>
      <c r="H88" s="99" t="n">
        <f aca="false">IF(AND(H86&gt;=0,H87&lt;0),1,0)</f>
        <v>1</v>
      </c>
      <c r="I88" s="99" t="n">
        <f aca="false">IF(AND(I86&gt;=0,I87&lt;0),1,0)</f>
        <v>1</v>
      </c>
      <c r="J88" s="99" t="n">
        <f aca="false">IF(AND(J86&gt;=0,J87&lt;0),1,0)</f>
        <v>1</v>
      </c>
      <c r="K88" s="99" t="n">
        <f aca="false">IF(AND(K86&gt;=0,K87&lt;0),1,0)</f>
        <v>1</v>
      </c>
      <c r="L88" s="99" t="n">
        <f aca="false">IF(AND(L86&gt;=0,L87&lt;0),1,0)</f>
        <v>1</v>
      </c>
      <c r="M88" s="99" t="n">
        <f aca="false">IF(AND(M86&gt;=0,M87&lt;0),1,0)</f>
        <v>1</v>
      </c>
      <c r="N88" s="99" t="n">
        <f aca="false">IF(AND(N86&gt;=0,N87&lt;0),1,0)</f>
        <v>1</v>
      </c>
      <c r="O88" s="99" t="n">
        <f aca="false">IF(AND(O86&gt;=0,O87&lt;0),1,0)</f>
        <v>1</v>
      </c>
      <c r="P88" s="99" t="n">
        <f aca="false">IF(AND(P86&gt;=0,P87&lt;0),1,0)</f>
        <v>1</v>
      </c>
      <c r="Q88" s="99" t="n">
        <f aca="false">IF(AND(Q86&gt;=0,Q87&lt;0),1,0)</f>
        <v>1</v>
      </c>
      <c r="R88" s="99" t="n">
        <f aca="false">IF(AND(R86&gt;=0,R87&lt;0),1,0)</f>
        <v>1</v>
      </c>
      <c r="S88" s="99" t="n">
        <f aca="false">IF(AND(S86&gt;=0,S87&lt;0),1,0)</f>
        <v>1</v>
      </c>
      <c r="T88" s="99" t="n">
        <f aca="false">IF(AND(T86&gt;=0,T87&lt;0),1,0)</f>
        <v>1</v>
      </c>
      <c r="U88" s="99" t="n">
        <f aca="false">IF(AND(U86&gt;=0,U87&lt;0),1,0)</f>
        <v>1</v>
      </c>
      <c r="V88" s="99" t="n">
        <f aca="false">IF(AND(V86&gt;=0,V87&lt;0),1,0)</f>
        <v>1</v>
      </c>
      <c r="W88" s="99" t="n">
        <f aca="false">IF(AND(W86&gt;=0,W87&lt;0),1,0)</f>
        <v>1</v>
      </c>
      <c r="X88" s="99" t="n">
        <f aca="false">IF(AND(X86&gt;=0,X87&lt;0),1,0)</f>
        <v>1</v>
      </c>
      <c r="Y88" s="99" t="n">
        <f aca="false">IF(AND(Y86&gt;=0,Y87&lt;0),1,0)</f>
        <v>1</v>
      </c>
      <c r="Z88" s="99" t="n">
        <f aca="false">IF(AND(Z86&gt;=0,Z87&lt;0),1,0)</f>
        <v>1</v>
      </c>
      <c r="AA88" s="99" t="n">
        <f aca="false">IF(AND(AA86&gt;=0,AA87&lt;0),1,0)</f>
        <v>1</v>
      </c>
      <c r="AB88" s="99" t="n">
        <f aca="false">IF(AND(AB86&gt;=0,AB87&lt;0),1,0)</f>
        <v>1</v>
      </c>
      <c r="AC88" s="99" t="n">
        <f aca="false">IF(AND(AC86&gt;=0,AC87&lt;0),1,0)</f>
        <v>1</v>
      </c>
      <c r="AD88" s="99" t="n">
        <f aca="false">IF(AND(AD86&gt;=0,AD87&lt;0),1,0)</f>
        <v>1</v>
      </c>
      <c r="AE88" s="99" t="n">
        <f aca="false">IF(AND(AE86&gt;=0,AE87&lt;0),1,0)</f>
        <v>1</v>
      </c>
      <c r="AF88" s="99" t="n">
        <f aca="false">IF(AND(AF86&gt;=0,AF87&lt;0),1,0)</f>
        <v>1</v>
      </c>
      <c r="AG88" s="99" t="n">
        <f aca="false">IF(AND(AG86&gt;=0,AG87&lt;0),1,0)</f>
        <v>1</v>
      </c>
      <c r="AH88" s="99" t="n">
        <f aca="false">IF(AND(AH86&gt;=0,AH87&lt;0),1,0)</f>
        <v>1</v>
      </c>
      <c r="AI88" s="99" t="n">
        <f aca="false">IF(AND(AI86&gt;=0,AI87&lt;0),1,0)</f>
        <v>1</v>
      </c>
      <c r="AJ88" s="99" t="n">
        <f aca="false">IF(AND(AJ86&gt;=0,AJ87&lt;0),1,0)</f>
        <v>1</v>
      </c>
      <c r="AK88" s="99" t="n">
        <f aca="false">IF(AND(AK86&gt;=0,AK87&lt;0),1,0)</f>
        <v>1</v>
      </c>
      <c r="AL88" s="99" t="n">
        <f aca="false">IF(AND(AL86&gt;=0,AL87&lt;0),1,0)</f>
        <v>1</v>
      </c>
      <c r="AM88" s="99" t="n">
        <f aca="false">IF(AND(AM86&gt;=0,AM87&lt;0),1,0)</f>
        <v>1</v>
      </c>
      <c r="AN88" s="99" t="n">
        <f aca="false">IF(AND(AN86&gt;=0,AN87&lt;0),1,0)</f>
        <v>1</v>
      </c>
      <c r="AO88" s="99" t="n">
        <f aca="false">IF(AND(AO86&gt;=0,AO87&lt;0),1,0)</f>
        <v>1</v>
      </c>
      <c r="AP88" s="99" t="n">
        <f aca="false">IF(AND(AP86&gt;=0,AP87&lt;0),1,0)</f>
        <v>1</v>
      </c>
      <c r="AQ88" s="99" t="n">
        <f aca="false">IF(AND(AQ86&gt;=0,AQ87&lt;0),1,0)</f>
        <v>1</v>
      </c>
      <c r="AR88" s="99" t="n">
        <f aca="false">IF(AND(AR86&gt;=0,AR87&lt;0),1,0)</f>
        <v>1</v>
      </c>
      <c r="AS88" s="99" t="n">
        <f aca="false">IF(AND(AS86&gt;=0,AS87&lt;0),1,0)</f>
        <v>1</v>
      </c>
      <c r="AT88" s="99" t="n">
        <f aca="false">IF(AND(AT86&gt;=0,AT87&lt;0),1,0)</f>
        <v>1</v>
      </c>
      <c r="AU88" s="99" t="n">
        <f aca="false">IF(AND(AU86&gt;=0,AU87&lt;0),1,0)</f>
        <v>1</v>
      </c>
      <c r="AV88" s="99" t="n">
        <f aca="false">IF(AND(AV86&gt;=0,AV87&lt;0),1,0)</f>
        <v>1</v>
      </c>
      <c r="AW88" s="99" t="n">
        <f aca="false">IF(AND(AW86&gt;=0,AW87&lt;0),1,0)</f>
        <v>1</v>
      </c>
      <c r="AX88" s="99" t="n">
        <f aca="false">IF(AND(AX86&gt;=0,AX87&lt;0),1,0)</f>
        <v>1</v>
      </c>
      <c r="AY88" s="99" t="n">
        <f aca="false">IF(AND(AY86&gt;=0,AY87&lt;0),1,0)</f>
        <v>1</v>
      </c>
      <c r="AZ88" s="99" t="n">
        <f aca="false">IF(AND(AZ86&gt;=0,AZ87&lt;0),1,0)</f>
        <v>1</v>
      </c>
      <c r="BA88" s="99" t="n">
        <f aca="false">IF(AND(BA86&gt;=0,BA87&lt;0),1,0)</f>
        <v>1</v>
      </c>
      <c r="BB88" s="99" t="n">
        <f aca="false">IF(AND(BB86&gt;=0,BB87&lt;0),1,0)</f>
        <v>1</v>
      </c>
      <c r="BC88" s="99" t="n">
        <f aca="false">IF(AND(BC86&gt;=0,BC87&lt;0),1,0)</f>
        <v>1</v>
      </c>
      <c r="BD88" s="99" t="n">
        <f aca="false">IF(AND(BD86&gt;=0,BD87&lt;0),1,0)</f>
        <v>1</v>
      </c>
      <c r="BE88" s="99" t="n">
        <f aca="false">IF(AND(BE86&gt;=0,BE87&lt;0),1,0)</f>
        <v>1</v>
      </c>
      <c r="BF88" s="99" t="n">
        <f aca="false">IF(AND(BF86&gt;=0,BF87&lt;0),1,0)</f>
        <v>1</v>
      </c>
      <c r="BG88" s="99" t="n">
        <f aca="false">IF(AND(BG86&gt;=0,BG87&lt;0),1,0)</f>
        <v>1</v>
      </c>
      <c r="BH88" s="99" t="n">
        <f aca="false">IF(AND(BH86&gt;=0,BH87&lt;0),1,0)</f>
        <v>1</v>
      </c>
      <c r="BI88" s="99" t="n">
        <f aca="false">IF(AND(BI86&gt;=0,BI87&lt;0),1,0)</f>
        <v>1</v>
      </c>
      <c r="BJ88" s="99" t="n">
        <f aca="false">IF(AND(BJ86&gt;=0,BJ87&lt;0),1,0)</f>
        <v>1</v>
      </c>
    </row>
    <row r="89" customFormat="false" ht="15" hidden="false" customHeight="false" outlineLevel="0" collapsed="false">
      <c r="A89" s="6" t="s">
        <v>382</v>
      </c>
      <c r="C89" s="53" t="n">
        <f aca="false">C74-C45*(1-Inputs!$E$66)+C75</f>
        <v>-9445.21798888889</v>
      </c>
      <c r="D89" s="53" t="n">
        <f aca="false">D74-D45*(1-Inputs!$E$66)+D75</f>
        <v>12408.2542333333</v>
      </c>
      <c r="E89" s="53" t="n">
        <f aca="false">E74-E45*(1-Inputs!$E$66)+E75</f>
        <v>12408.2542333333</v>
      </c>
      <c r="F89" s="53" t="n">
        <f aca="false">F74-F45*(1-Inputs!$E$66)+F75</f>
        <v>12408.2542333333</v>
      </c>
      <c r="G89" s="53" t="n">
        <f aca="false">G74-G45*(1-Inputs!$E$66)+G75</f>
        <v>12408.2542333333</v>
      </c>
      <c r="H89" s="53" t="n">
        <f aca="false">H74-H45*(1-Inputs!$E$66)+H75</f>
        <v>25565.9212222222</v>
      </c>
      <c r="I89" s="53" t="n">
        <f aca="false">I74-I45*(1-Inputs!$E$66)+I75</f>
        <v>33120.7823333333</v>
      </c>
      <c r="J89" s="53" t="n">
        <f aca="false">J74-J45*(1-Inputs!$E$66)+J75</f>
        <v>33120.7823333333</v>
      </c>
      <c r="K89" s="53" t="n">
        <f aca="false">K74-K45*(1-Inputs!$E$66)+K75</f>
        <v>19963.1153444444</v>
      </c>
      <c r="L89" s="53" t="n">
        <f aca="false">L74-L45*(1-Inputs!$E$66)+L75</f>
        <v>12408.2542333333</v>
      </c>
      <c r="M89" s="53" t="n">
        <f aca="false">M74-M45*(1-Inputs!$E$66)+M75</f>
        <v>12408.2542333333</v>
      </c>
      <c r="N89" s="53" t="n">
        <f aca="false">N74-N45*(1-Inputs!$E$66)+N75</f>
        <v>12408.2542333333</v>
      </c>
      <c r="O89" s="53" t="n">
        <f aca="false">O74-O45*(1-Inputs!$E$66)+O75</f>
        <v>-20481.0855289501</v>
      </c>
      <c r="P89" s="53" t="n">
        <f aca="false">P74-P45*(1-Inputs!$E$66)+P75</f>
        <v>18651.8796793833</v>
      </c>
      <c r="Q89" s="53" t="n">
        <f aca="false">Q74-Q45*(1-Inputs!$E$66)+Q75</f>
        <v>18651.8796793833</v>
      </c>
      <c r="R89" s="53" t="n">
        <f aca="false">R74-R45*(1-Inputs!$E$66)+R75</f>
        <v>18651.8796793833</v>
      </c>
      <c r="S89" s="53" t="n">
        <f aca="false">S74-S45*(1-Inputs!$E$66)+S75</f>
        <v>18651.8796793833</v>
      </c>
      <c r="T89" s="53" t="n">
        <f aca="false">T74-T45*(1-Inputs!$E$66)+T75</f>
        <v>32424.2119376222</v>
      </c>
      <c r="U89" s="53" t="n">
        <f aca="false">U74-U45*(1-Inputs!$E$66)+U75</f>
        <v>40332.0011737333</v>
      </c>
      <c r="V89" s="53" t="n">
        <f aca="false">V74-V45*(1-Inputs!$E$66)+V75</f>
        <v>40332.0011737333</v>
      </c>
      <c r="W89" s="53" t="n">
        <f aca="false">W74-W45*(1-Inputs!$E$66)+W75</f>
        <v>26559.6689154944</v>
      </c>
      <c r="X89" s="53" t="n">
        <f aca="false">X74-X45*(1-Inputs!$E$66)+X75</f>
        <v>18651.8796793833</v>
      </c>
      <c r="Y89" s="53" t="n">
        <f aca="false">Y74-Y45*(1-Inputs!$E$66)+Y75</f>
        <v>18651.8796793833</v>
      </c>
      <c r="Z89" s="53" t="n">
        <f aca="false">Z74-Z45*(1-Inputs!$E$66)+Z75</f>
        <v>18651.8796793833</v>
      </c>
      <c r="AA89" s="53" t="n">
        <f aca="false">AA74-AA45*(1-Inputs!$E$66)+AA75</f>
        <v>-17678.652552363</v>
      </c>
      <c r="AB89" s="53" t="n">
        <f aca="false">AB74-AB45*(1-Inputs!$E$66)+AB75</f>
        <v>26383.1280195745</v>
      </c>
      <c r="AC89" s="53" t="n">
        <f aca="false">AC74-AC45*(1-Inputs!$E$66)+AC75</f>
        <v>26383.1280195746</v>
      </c>
      <c r="AD89" s="53" t="n">
        <f aca="false">AD74-AD45*(1-Inputs!$E$66)+AD75</f>
        <v>26383.1280195746</v>
      </c>
      <c r="AE89" s="53" t="n">
        <f aca="false">AE74-AE45*(1-Inputs!$E$66)+AE75</f>
        <v>26383.1280195745</v>
      </c>
      <c r="AF89" s="53" t="n">
        <f aca="false">AF74-AF45*(1-Inputs!$E$66)+AF75</f>
        <v>40605.0661183992</v>
      </c>
      <c r="AG89" s="53" t="n">
        <f aca="false">AG74-AG45*(1-Inputs!$E$66)+AG75</f>
        <v>48771.0097585728</v>
      </c>
      <c r="AH89" s="53" t="n">
        <f aca="false">AH74-AH45*(1-Inputs!$E$66)+AH75</f>
        <v>48771.0097585728</v>
      </c>
      <c r="AI89" s="53" t="n">
        <f aca="false">AI74-AI45*(1-Inputs!$E$66)+AI75</f>
        <v>34549.0716597482</v>
      </c>
      <c r="AJ89" s="53" t="n">
        <f aca="false">AJ74-AJ45*(1-Inputs!$E$66)+AJ75</f>
        <v>26383.1280195745</v>
      </c>
      <c r="AK89" s="53" t="n">
        <f aca="false">AK74-AK45*(1-Inputs!$E$66)+AK75</f>
        <v>26383.1280195745</v>
      </c>
      <c r="AL89" s="53" t="n">
        <f aca="false">AL74-AL45*(1-Inputs!$E$66)+AL75</f>
        <v>26383.1280195746</v>
      </c>
      <c r="AM89" s="53" t="n">
        <f aca="false">AM74-AM45*(1-Inputs!$E$66)+AM75</f>
        <v>-13701.0339835517</v>
      </c>
      <c r="AN89" s="53" t="n">
        <f aca="false">AN74-AN45*(1-Inputs!$E$66)+AN75</f>
        <v>35928.802623166</v>
      </c>
      <c r="AO89" s="53" t="n">
        <f aca="false">AO74-AO45*(1-Inputs!$E$66)+AO75</f>
        <v>35928.802623166</v>
      </c>
      <c r="AP89" s="53" t="n">
        <f aca="false">AP74-AP45*(1-Inputs!$E$66)+AP75</f>
        <v>35928.802623166</v>
      </c>
      <c r="AQ89" s="53" t="n">
        <f aca="false">AQ74-AQ45*(1-Inputs!$E$66)+AQ75</f>
        <v>35928.802623166</v>
      </c>
      <c r="AR89" s="53" t="n">
        <f aca="false">AR74-AR45*(1-Inputs!$E$66)+AR75</f>
        <v>50362.0614189457</v>
      </c>
      <c r="AS89" s="53" t="n">
        <f aca="false">AS74-AS45*(1-Inputs!$E$66)+AS75</f>
        <v>58649.3410464754</v>
      </c>
      <c r="AT89" s="53" t="n">
        <f aca="false">AT74-AT45*(1-Inputs!$E$66)+AT75</f>
        <v>58649.3410464754</v>
      </c>
      <c r="AU89" s="53" t="n">
        <f aca="false">AU74-AU45*(1-Inputs!$E$66)+AU75</f>
        <v>44216.0822506957</v>
      </c>
      <c r="AV89" s="53" t="n">
        <f aca="false">AV74-AV45*(1-Inputs!$E$66)+AV75</f>
        <v>35928.802623166</v>
      </c>
      <c r="AW89" s="53" t="n">
        <f aca="false">AW74-AW45*(1-Inputs!$E$66)+AW75</f>
        <v>35928.802623166</v>
      </c>
      <c r="AX89" s="53" t="n">
        <f aca="false">AX74-AX45*(1-Inputs!$E$66)+AX75</f>
        <v>35928.802623166</v>
      </c>
      <c r="AY89" s="53" t="n">
        <f aca="false">AY74-AY45*(1-Inputs!$E$66)+AY75</f>
        <v>-8238.98387440294</v>
      </c>
      <c r="AZ89" s="53" t="n">
        <f aca="false">AZ74-AZ45*(1-Inputs!$E$66)+AZ75</f>
        <v>47684.5385574142</v>
      </c>
      <c r="BA89" s="53" t="n">
        <f aca="false">BA74-BA45*(1-Inputs!$E$66)+BA75</f>
        <v>47684.5385574142</v>
      </c>
      <c r="BB89" s="53" t="n">
        <f aca="false">BB74-BB45*(1-Inputs!$E$66)+BB75</f>
        <v>47684.5385574142</v>
      </c>
      <c r="BC89" s="53" t="n">
        <f aca="false">BC74-BC45*(1-Inputs!$E$66)+BC75</f>
        <v>47684.5385574142</v>
      </c>
      <c r="BD89" s="53" t="n">
        <f aca="false">BD74-BD45*(1-Inputs!$E$66)+BD75</f>
        <v>61997.5272296193</v>
      </c>
      <c r="BE89" s="53" t="n">
        <f aca="false">BE74-BE45*(1-Inputs!$E$66)+BE75</f>
        <v>70215.7502318225</v>
      </c>
      <c r="BF89" s="53" t="n">
        <f aca="false">BF74-BF45*(1-Inputs!$E$66)+BF75</f>
        <v>70215.7502318225</v>
      </c>
      <c r="BG89" s="53" t="n">
        <f aca="false">BG74-BG45*(1-Inputs!$E$66)+BG75</f>
        <v>55902.7615596174</v>
      </c>
      <c r="BH89" s="53" t="n">
        <f aca="false">BH74-BH45*(1-Inputs!$E$66)+BH75</f>
        <v>47684.5385574142</v>
      </c>
      <c r="BI89" s="53" t="n">
        <f aca="false">BI74-BI45*(1-Inputs!$E$66)+BI75</f>
        <v>47684.5385574142</v>
      </c>
      <c r="BJ89" s="53" t="n">
        <f aca="false">BJ74-BJ45*(1-Inputs!$E$66)+BJ75</f>
        <v>47684.5385574142</v>
      </c>
    </row>
    <row r="91" customFormat="false" ht="15.75" hidden="false" customHeight="true" outlineLevel="0" collapsed="false">
      <c r="A91" s="7" t="s">
        <v>383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93</v>
      </c>
      <c r="C92" s="53" t="n">
        <f aca="false">C76</f>
        <v>100000</v>
      </c>
      <c r="D92" s="53" t="n">
        <f aca="false">C92+D76</f>
        <v>100000</v>
      </c>
      <c r="E92" s="53" t="n">
        <f aca="false">D92+E76</f>
        <v>100000</v>
      </c>
      <c r="F92" s="53" t="n">
        <f aca="false">E92+F76</f>
        <v>100000</v>
      </c>
      <c r="G92" s="53" t="n">
        <f aca="false">F92+G76</f>
        <v>100000</v>
      </c>
      <c r="H92" s="53" t="n">
        <f aca="false">G92+H76</f>
        <v>100000</v>
      </c>
      <c r="I92" s="53" t="n">
        <f aca="false">H92+I76</f>
        <v>100000</v>
      </c>
      <c r="J92" s="53" t="n">
        <f aca="false">I92+J76</f>
        <v>100000</v>
      </c>
      <c r="K92" s="53" t="n">
        <f aca="false">J92+K76</f>
        <v>100000</v>
      </c>
      <c r="L92" s="53" t="n">
        <f aca="false">K92+L76</f>
        <v>100000</v>
      </c>
      <c r="M92" s="53" t="n">
        <f aca="false">L92+M76</f>
        <v>100000</v>
      </c>
      <c r="N92" s="53" t="n">
        <f aca="false">M92+N76</f>
        <v>100000</v>
      </c>
      <c r="O92" s="53" t="n">
        <f aca="false">N92+O76</f>
        <v>100000</v>
      </c>
      <c r="P92" s="53" t="n">
        <f aca="false">O92+P76</f>
        <v>100000</v>
      </c>
      <c r="Q92" s="53" t="n">
        <f aca="false">P92+Q76</f>
        <v>100000</v>
      </c>
      <c r="R92" s="53" t="n">
        <f aca="false">Q92+R76</f>
        <v>100000</v>
      </c>
      <c r="S92" s="53" t="n">
        <f aca="false">R92+S76</f>
        <v>100000</v>
      </c>
      <c r="T92" s="53" t="n">
        <f aca="false">S92+T76</f>
        <v>100000</v>
      </c>
      <c r="U92" s="53" t="n">
        <f aca="false">T92+U76</f>
        <v>100000</v>
      </c>
      <c r="V92" s="53" t="n">
        <f aca="false">U92+V76</f>
        <v>100000</v>
      </c>
      <c r="W92" s="53" t="n">
        <f aca="false">V92+W76</f>
        <v>100000</v>
      </c>
      <c r="X92" s="53" t="n">
        <f aca="false">W92+X76</f>
        <v>100000</v>
      </c>
      <c r="Y92" s="53" t="n">
        <f aca="false">X92+Y76</f>
        <v>100000</v>
      </c>
      <c r="Z92" s="53" t="n">
        <f aca="false">Y92+Z76</f>
        <v>100000</v>
      </c>
      <c r="AA92" s="53" t="n">
        <f aca="false">Z92+AA76</f>
        <v>100000</v>
      </c>
      <c r="AB92" s="53" t="n">
        <f aca="false">AA92+AB76</f>
        <v>100000</v>
      </c>
      <c r="AC92" s="53" t="n">
        <f aca="false">AB92+AC76</f>
        <v>100000</v>
      </c>
      <c r="AD92" s="53" t="n">
        <f aca="false">AC92+AD76</f>
        <v>100000</v>
      </c>
      <c r="AE92" s="53" t="n">
        <f aca="false">AD92+AE76</f>
        <v>100000</v>
      </c>
      <c r="AF92" s="53" t="n">
        <f aca="false">AE92+AF76</f>
        <v>100000</v>
      </c>
      <c r="AG92" s="53" t="n">
        <f aca="false">AF92+AG76</f>
        <v>100000</v>
      </c>
      <c r="AH92" s="53" t="n">
        <f aca="false">AG92+AH76</f>
        <v>100000</v>
      </c>
      <c r="AI92" s="53" t="n">
        <f aca="false">AH92+AI76</f>
        <v>100000</v>
      </c>
      <c r="AJ92" s="53" t="n">
        <f aca="false">AI92+AJ76</f>
        <v>100000</v>
      </c>
      <c r="AK92" s="53" t="n">
        <f aca="false">AJ92+AK76</f>
        <v>100000</v>
      </c>
      <c r="AL92" s="53" t="n">
        <f aca="false">AK92+AL76</f>
        <v>100000</v>
      </c>
      <c r="AM92" s="53" t="n">
        <f aca="false">AL92+AM76</f>
        <v>100000</v>
      </c>
      <c r="AN92" s="53" t="n">
        <f aca="false">AM92+AN76</f>
        <v>100000</v>
      </c>
      <c r="AO92" s="53" t="n">
        <f aca="false">AN92+AO76</f>
        <v>100000</v>
      </c>
      <c r="AP92" s="53" t="n">
        <f aca="false">AO92+AP76</f>
        <v>100000</v>
      </c>
      <c r="AQ92" s="53" t="n">
        <f aca="false">AP92+AQ76</f>
        <v>100000</v>
      </c>
      <c r="AR92" s="53" t="n">
        <f aca="false">AQ92+AR76</f>
        <v>100000</v>
      </c>
      <c r="AS92" s="53" t="n">
        <f aca="false">AR92+AS76</f>
        <v>100000</v>
      </c>
      <c r="AT92" s="53" t="n">
        <f aca="false">AS92+AT76</f>
        <v>100000</v>
      </c>
      <c r="AU92" s="53" t="n">
        <f aca="false">AT92+AU76</f>
        <v>100000</v>
      </c>
      <c r="AV92" s="53" t="n">
        <f aca="false">AU92+AV76</f>
        <v>100000</v>
      </c>
      <c r="AW92" s="53" t="n">
        <f aca="false">AV92+AW76</f>
        <v>100000</v>
      </c>
      <c r="AX92" s="53" t="n">
        <f aca="false">AW92+AX76</f>
        <v>100000</v>
      </c>
      <c r="AY92" s="53" t="n">
        <f aca="false">AX92+AY76</f>
        <v>100000</v>
      </c>
      <c r="AZ92" s="53" t="n">
        <f aca="false">AY92+AZ76</f>
        <v>100000</v>
      </c>
      <c r="BA92" s="53" t="n">
        <f aca="false">AZ92+BA76</f>
        <v>100000</v>
      </c>
      <c r="BB92" s="53" t="n">
        <f aca="false">BA92+BB76</f>
        <v>100000</v>
      </c>
      <c r="BC92" s="53" t="n">
        <f aca="false">BB92+BC76</f>
        <v>100000</v>
      </c>
      <c r="BD92" s="53" t="n">
        <f aca="false">BC92+BD76</f>
        <v>100000</v>
      </c>
      <c r="BE92" s="53" t="n">
        <f aca="false">BD92+BE76</f>
        <v>100000</v>
      </c>
      <c r="BF92" s="53" t="n">
        <f aca="false">BE92+BF76</f>
        <v>100000</v>
      </c>
      <c r="BG92" s="53" t="n">
        <f aca="false">BF92+BG76</f>
        <v>100000</v>
      </c>
      <c r="BH92" s="53" t="n">
        <f aca="false">BG92+BH76</f>
        <v>100000</v>
      </c>
      <c r="BI92" s="53" t="n">
        <f aca="false">BH92+BI76</f>
        <v>100000</v>
      </c>
      <c r="BJ92" s="53" t="n">
        <f aca="false">BI92+BJ76</f>
        <v>100000</v>
      </c>
    </row>
    <row r="93" customFormat="false" ht="15" hidden="false" customHeight="false" outlineLevel="0" collapsed="false">
      <c r="A93" s="6" t="s">
        <v>94</v>
      </c>
      <c r="C93" s="53" t="n">
        <f aca="false">C50</f>
        <v>10758.2542333333</v>
      </c>
      <c r="D93" s="53" t="n">
        <f aca="false">C93+D50</f>
        <v>21527.4806888889</v>
      </c>
      <c r="E93" s="53" t="n">
        <f aca="false">D93+E50</f>
        <v>32318.6515888889</v>
      </c>
      <c r="F93" s="53" t="n">
        <f aca="false">E93+F50</f>
        <v>43131.7669333333</v>
      </c>
      <c r="G93" s="53" t="n">
        <f aca="false">F93+G50</f>
        <v>53966.8267222222</v>
      </c>
      <c r="H93" s="53" t="n">
        <f aca="false">G93+H50</f>
        <v>85536.3590555555</v>
      </c>
      <c r="I93" s="53" t="n">
        <f aca="false">H93+I50</f>
        <v>117127.835833333</v>
      </c>
      <c r="J93" s="53" t="n">
        <f aca="false">I93+J50</f>
        <v>148741.257055556</v>
      </c>
      <c r="K93" s="53" t="n">
        <f aca="false">J93+K50</f>
        <v>159664.094622222</v>
      </c>
      <c r="L93" s="53" t="n">
        <f aca="false">K93+L50</f>
        <v>170608.876633333</v>
      </c>
      <c r="M93" s="53" t="n">
        <f aca="false">L93+M50</f>
        <v>181575.603088889</v>
      </c>
      <c r="N93" s="53" t="n">
        <f aca="false">M93+N50</f>
        <v>192564.273988889</v>
      </c>
      <c r="O93" s="53" t="n">
        <f aca="false">N93+O50</f>
        <v>209188.514779383</v>
      </c>
      <c r="P93" s="53" t="n">
        <f aca="false">O93+P50</f>
        <v>225834.700014322</v>
      </c>
      <c r="Q93" s="53" t="n">
        <f aca="false">P93+Q50</f>
        <v>242502.829693705</v>
      </c>
      <c r="R93" s="53" t="n">
        <f aca="false">Q93+R50</f>
        <v>259192.903817533</v>
      </c>
      <c r="S93" s="53" t="n">
        <f aca="false">R93+S50</f>
        <v>275904.922385805</v>
      </c>
      <c r="T93" s="53" t="n">
        <f aca="false">S93+T50</f>
        <v>314319.006892872</v>
      </c>
      <c r="U93" s="53" t="n">
        <f aca="false">T93+U50</f>
        <v>352755.035844383</v>
      </c>
      <c r="V93" s="53" t="n">
        <f aca="false">U93+V50</f>
        <v>391213.009240339</v>
      </c>
      <c r="W93" s="53" t="n">
        <f aca="false">V93+W50</f>
        <v>408012.805586389</v>
      </c>
      <c r="X93" s="53" t="n">
        <f aca="false">W93+X50</f>
        <v>424834.546376883</v>
      </c>
      <c r="Y93" s="53" t="n">
        <f aca="false">X93+Y50</f>
        <v>441678.231611822</v>
      </c>
      <c r="Z93" s="53" t="n">
        <f aca="false">Y93+Z50</f>
        <v>458543.861291206</v>
      </c>
      <c r="AA93" s="53" t="n">
        <f aca="false">Z93+AA50</f>
        <v>482457.083755225</v>
      </c>
      <c r="AB93" s="53" t="n">
        <f aca="false">AA93+AB50</f>
        <v>506392.250663688</v>
      </c>
      <c r="AC93" s="53" t="n">
        <f aca="false">AB93+AC50</f>
        <v>530349.362016596</v>
      </c>
      <c r="AD93" s="53" t="n">
        <f aca="false">AC93+AD50</f>
        <v>554328.417813948</v>
      </c>
      <c r="AE93" s="53" t="n">
        <f aca="false">AD93+AE50</f>
        <v>578329.418055745</v>
      </c>
      <c r="AF93" s="53" t="n">
        <f aca="false">AE93+AF50</f>
        <v>624740.244480984</v>
      </c>
      <c r="AG93" s="53" t="n">
        <f aca="false">AF93+AG50</f>
        <v>671173.015350668</v>
      </c>
      <c r="AH93" s="53" t="n">
        <f aca="false">AG93+AH50</f>
        <v>717627.730664796</v>
      </c>
      <c r="AI93" s="53" t="n">
        <f aca="false">AH93+AI50</f>
        <v>741716.508684371</v>
      </c>
      <c r="AJ93" s="53" t="n">
        <f aca="false">AI93+AJ50</f>
        <v>765827.23114839</v>
      </c>
      <c r="AK93" s="53" t="n">
        <f aca="false">AJ93+AK50</f>
        <v>789959.898056853</v>
      </c>
      <c r="AL93" s="53" t="n">
        <f aca="false">AK93+AL50</f>
        <v>814114.509409761</v>
      </c>
      <c r="AM93" s="53" t="n">
        <f aca="false">AL93+AM50</f>
        <v>847046.467810705</v>
      </c>
      <c r="AN93" s="53" t="n">
        <f aca="false">AM93+AN50</f>
        <v>880000.370656093</v>
      </c>
      <c r="AO93" s="53" t="n">
        <f aca="false">AN93+AO50</f>
        <v>912976.217945926</v>
      </c>
      <c r="AP93" s="53" t="n">
        <f aca="false">AO93+AP50</f>
        <v>945974.009680203</v>
      </c>
      <c r="AQ93" s="53" t="n">
        <f aca="false">AP93+AQ50</f>
        <v>978993.745858925</v>
      </c>
      <c r="AR93" s="53" t="n">
        <f aca="false">AQ93+AR50</f>
        <v>1034755.9649054</v>
      </c>
      <c r="AS93" s="53" t="n">
        <f aca="false">AR93+AS50</f>
        <v>1090540.12839632</v>
      </c>
      <c r="AT93" s="53" t="n">
        <f aca="false">AS93+AT50</f>
        <v>1146346.23633168</v>
      </c>
      <c r="AU93" s="53" t="n">
        <f aca="false">AT93+AU50</f>
        <v>1179453.75028818</v>
      </c>
      <c r="AV93" s="53" t="n">
        <f aca="false">AU93+AV50</f>
        <v>1212583.20868913</v>
      </c>
      <c r="AW93" s="53" t="n">
        <f aca="false">AV93+AW50</f>
        <v>1245734.61153452</v>
      </c>
      <c r="AX93" s="53" t="n">
        <f aca="false">AW93+AX50</f>
        <v>1278907.95882435</v>
      </c>
      <c r="AY93" s="53" t="n">
        <f aca="false">AX93+AY50</f>
        <v>1322973.88185287</v>
      </c>
      <c r="AZ93" s="53" t="n">
        <f aca="false">AY93+AZ50</f>
        <v>1367061.74932584</v>
      </c>
      <c r="BA93" s="53" t="n">
        <f aca="false">AZ93+BA50</f>
        <v>1411171.56124326</v>
      </c>
      <c r="BB93" s="53" t="n">
        <f aca="false">BA93+BB50</f>
        <v>1455303.31760512</v>
      </c>
      <c r="BC93" s="53" t="n">
        <f aca="false">BB93+BC50</f>
        <v>1499457.01841142</v>
      </c>
      <c r="BD93" s="53" t="n">
        <f aca="false">BC93+BD50</f>
        <v>1566163.87533658</v>
      </c>
      <c r="BE93" s="53" t="n">
        <f aca="false">BD93+BE50</f>
        <v>1632892.67670618</v>
      </c>
      <c r="BF93" s="53" t="n">
        <f aca="false">BE93+BF50</f>
        <v>1699643.42252022</v>
      </c>
      <c r="BG93" s="53" t="n">
        <f aca="false">BF93+BG50</f>
        <v>1743884.9011043</v>
      </c>
      <c r="BH93" s="53" t="n">
        <f aca="false">BG93+BH50</f>
        <v>1788148.32413283</v>
      </c>
      <c r="BI93" s="53" t="n">
        <f aca="false">BH93+BI50</f>
        <v>1832433.6916058</v>
      </c>
      <c r="BJ93" s="53" t="n">
        <f aca="false">BI93+BJ50</f>
        <v>1876741.00352321</v>
      </c>
    </row>
    <row r="94" customFormat="false" ht="15" hidden="false" customHeight="false" outlineLevel="0" collapsed="false">
      <c r="A94" s="4" t="s">
        <v>89</v>
      </c>
      <c r="C94" s="60" t="n">
        <f aca="false">C80+C66+C67+C57</f>
        <v>417592.143122222</v>
      </c>
      <c r="D94" s="60" t="n">
        <f aca="false">D80+D66+D67+D57</f>
        <v>424194.702911111</v>
      </c>
      <c r="E94" s="60" t="n">
        <f aca="false">E80+E66+E67+E57</f>
        <v>430819.207144444</v>
      </c>
      <c r="F94" s="60" t="n">
        <f aca="false">F80+F66+F67+F57</f>
        <v>437465.655822222</v>
      </c>
      <c r="G94" s="60" t="n">
        <f aca="false">G80+G66+G67+G57</f>
        <v>444134.048944444</v>
      </c>
      <c r="H94" s="60" t="n">
        <f aca="false">H80+H66+H67+H57</f>
        <v>477580.8035</v>
      </c>
      <c r="I94" s="60" t="n">
        <f aca="false">I80+I66+I67+I57</f>
        <v>505005.613611111</v>
      </c>
      <c r="J94" s="60" t="n">
        <f aca="false">J80+J66+J67+J57</f>
        <v>532452.368166667</v>
      </c>
      <c r="K94" s="60" t="n">
        <f aca="false">K80+K66+K67+K57</f>
        <v>533164.650177778</v>
      </c>
      <c r="L94" s="60" t="n">
        <f aca="false">L80+L66+L67+L57</f>
        <v>539942.765522222</v>
      </c>
      <c r="M94" s="60" t="n">
        <f aca="false">M80+M66+M67+M57</f>
        <v>546742.825311111</v>
      </c>
      <c r="N94" s="60" t="n">
        <f aca="false">N80+N66+N67+N57</f>
        <v>553564.829544445</v>
      </c>
      <c r="O94" s="60" t="n">
        <f aca="false">O80+O66+O67+O57</f>
        <v>575370.034501606</v>
      </c>
      <c r="P94" s="60" t="n">
        <f aca="false">P80+P66+P67+P57</f>
        <v>587849.553069878</v>
      </c>
      <c r="Q94" s="60" t="n">
        <f aca="false">Q80+Q66+Q67+Q57</f>
        <v>600351.016082594</v>
      </c>
      <c r="R94" s="60" t="n">
        <f aca="false">R80+R66+R67+R57</f>
        <v>612874.423539756</v>
      </c>
      <c r="S94" s="60" t="n">
        <f aca="false">S80+S66+S67+S57</f>
        <v>625419.775441361</v>
      </c>
      <c r="T94" s="60" t="n">
        <f aca="false">T80+T66+T67+T57</f>
        <v>665993.42467065</v>
      </c>
      <c r="U94" s="60" t="n">
        <f aca="false">U80+U66+U67+U57</f>
        <v>700262.786955494</v>
      </c>
      <c r="V94" s="60" t="n">
        <f aca="false">V80+V66+V67+V57</f>
        <v>734554.093684783</v>
      </c>
      <c r="W94" s="60" t="n">
        <f aca="false">W80+W66+W67+W57</f>
        <v>740860.991975278</v>
      </c>
      <c r="X94" s="60" t="n">
        <f aca="false">X80+X66+X67+X57</f>
        <v>753516.066099106</v>
      </c>
      <c r="Y94" s="60" t="n">
        <f aca="false">Y80+Y66+Y67+Y57</f>
        <v>766193.084667378</v>
      </c>
      <c r="Z94" s="60" t="n">
        <f aca="false">Z80+Z66+Z67+Z57</f>
        <v>778892.047680094</v>
      </c>
      <c r="AA94" s="60" t="n">
        <f aca="false">AA80+AA66+AA67+AA57</f>
        <v>809558.242044863</v>
      </c>
      <c r="AB94" s="60" t="n">
        <f aca="false">AB80+AB66+AB67+AB57</f>
        <v>829326.74228666</v>
      </c>
      <c r="AC94" s="60" t="n">
        <f aca="false">AC80+AC66+AC67+AC57</f>
        <v>849117.186972901</v>
      </c>
      <c r="AD94" s="60" t="n">
        <f aca="false">AD80+AD66+AD67+AD57</f>
        <v>868929.576103587</v>
      </c>
      <c r="AE94" s="60" t="n">
        <f aca="false">AE80+AE66+AE67+AE57</f>
        <v>888763.909678717</v>
      </c>
      <c r="AF94" s="60" t="n">
        <f aca="false">AF80+AF66+AF67+AF57</f>
        <v>937540.824349429</v>
      </c>
      <c r="AG94" s="60" t="n">
        <f aca="false">AG80+AG66+AG67+AG57</f>
        <v>979806.928552446</v>
      </c>
      <c r="AH94" s="60" t="n">
        <f aca="false">AH80+AH66+AH67+AH57</f>
        <v>1022094.97719991</v>
      </c>
      <c r="AI94" s="60" t="n">
        <f aca="false">AI80+AI66+AI67+AI57</f>
        <v>1035484.33364068</v>
      </c>
      <c r="AJ94" s="60" t="n">
        <f aca="false">AJ80+AJ66+AJ67+AJ57</f>
        <v>1055428.38943803</v>
      </c>
      <c r="AK94" s="60" t="n">
        <f aca="false">AK80+AK66+AK67+AK57</f>
        <v>1075394.38967983</v>
      </c>
      <c r="AL94" s="60" t="n">
        <f aca="false">AL80+AL66+AL67+AL57</f>
        <v>1095382.33436607</v>
      </c>
      <c r="AM94" s="60" t="n">
        <f aca="false">AM80+AM66+AM67+AM57</f>
        <v>1136909.57806977</v>
      </c>
      <c r="AN94" s="60" t="n">
        <f aca="false">AN80+AN66+AN67+AN57</f>
        <v>1165696.81424849</v>
      </c>
      <c r="AO94" s="60" t="n">
        <f aca="false">AO80+AO66+AO67+AO57</f>
        <v>1194505.99487166</v>
      </c>
      <c r="AP94" s="60" t="n">
        <f aca="false">AP80+AP66+AP67+AP57</f>
        <v>1223337.11993927</v>
      </c>
      <c r="AQ94" s="60" t="n">
        <f aca="false">AQ80+AQ66+AQ67+AQ57</f>
        <v>1252190.18945133</v>
      </c>
      <c r="AR94" s="60" t="n">
        <f aca="false">AR80+AR66+AR67+AR57</f>
        <v>1310415.56553316</v>
      </c>
      <c r="AS94" s="60" t="n">
        <f aca="false">AS80+AS66+AS67+AS57</f>
        <v>1362033.06235741</v>
      </c>
      <c r="AT94" s="60" t="n">
        <f aca="false">AT80+AT66+AT67+AT57</f>
        <v>1413672.50362611</v>
      </c>
      <c r="AU94" s="60" t="n">
        <f aca="false">AU80+AU66+AU67+AU57</f>
        <v>1435983.52721392</v>
      </c>
      <c r="AV94" s="60" t="n">
        <f aca="false">AV80+AV66+AV67+AV57</f>
        <v>1464946.31894819</v>
      </c>
      <c r="AW94" s="60" t="n">
        <f aca="false">AW80+AW66+AW67+AW57</f>
        <v>1493931.05512692</v>
      </c>
      <c r="AX94" s="60" t="n">
        <f aca="false">AX80+AX66+AX67+AX57</f>
        <v>1522937.73575008</v>
      </c>
      <c r="AY94" s="60" t="n">
        <f aca="false">AY80+AY66+AY67+AY57</f>
        <v>1577759.09759928</v>
      </c>
      <c r="AZ94" s="60" t="n">
        <f aca="false">AZ80+AZ66+AZ67+AZ57</f>
        <v>1617680.29840558</v>
      </c>
      <c r="BA94" s="60" t="n">
        <f aca="false">BA80+BA66+BA67+BA57</f>
        <v>1657623.44365633</v>
      </c>
      <c r="BB94" s="60" t="n">
        <f aca="false">BB80+BB66+BB67+BB57</f>
        <v>1697588.53335152</v>
      </c>
      <c r="BC94" s="60" t="n">
        <f aca="false">BC80+BC66+BC67+BC57</f>
        <v>1737575.56749116</v>
      </c>
      <c r="BD94" s="60" t="n">
        <f aca="false">BD80+BD66+BD67+BD57</f>
        <v>1806690.33615141</v>
      </c>
      <c r="BE94" s="60" t="n">
        <f aca="false">BE80+BE66+BE67+BE57</f>
        <v>1869252.47085434</v>
      </c>
      <c r="BF94" s="60" t="n">
        <f aca="false">BF80+BF66+BF67+BF57</f>
        <v>1931836.55000172</v>
      </c>
      <c r="BG94" s="60" t="n">
        <f aca="false">BG80+BG66+BG67+BG57</f>
        <v>1965336.78351737</v>
      </c>
      <c r="BH94" s="60" t="n">
        <f aca="false">BH80+BH66+BH67+BH57</f>
        <v>2005433.53987923</v>
      </c>
      <c r="BI94" s="60" t="n">
        <f aca="false">BI80+BI66+BI67+BI57</f>
        <v>2045552.24068554</v>
      </c>
      <c r="BJ94" s="60" t="n">
        <f aca="false">BJ80+BJ66+BJ67+BJ57</f>
        <v>2085692.88593628</v>
      </c>
    </row>
    <row r="95" customFormat="false" ht="15" hidden="false" customHeight="false" outlineLevel="0" collapsed="false">
      <c r="A95" s="6" t="s">
        <v>92</v>
      </c>
      <c r="C95" s="53" t="n">
        <f aca="false">C68+C63</f>
        <v>306833.888888889</v>
      </c>
      <c r="D95" s="53" t="n">
        <f aca="false">D68+D63</f>
        <v>302667.222222222</v>
      </c>
      <c r="E95" s="53" t="n">
        <f aca="false">E68+E63</f>
        <v>298500.555555556</v>
      </c>
      <c r="F95" s="53" t="n">
        <f aca="false">F68+F63</f>
        <v>294333.888888889</v>
      </c>
      <c r="G95" s="53" t="n">
        <f aca="false">G68+G63</f>
        <v>290167.222222222</v>
      </c>
      <c r="H95" s="53" t="n">
        <f aca="false">H68+H63</f>
        <v>292044.444444445</v>
      </c>
      <c r="I95" s="53" t="n">
        <f aca="false">I68+I63</f>
        <v>287877.777777778</v>
      </c>
      <c r="J95" s="53" t="n">
        <f aca="false">J68+J63</f>
        <v>283711.111111111</v>
      </c>
      <c r="K95" s="53" t="n">
        <f aca="false">K68+K63</f>
        <v>273500.555555556</v>
      </c>
      <c r="L95" s="53" t="n">
        <f aca="false">L68+L63</f>
        <v>269333.888888889</v>
      </c>
      <c r="M95" s="53" t="n">
        <f aca="false">M68+M63</f>
        <v>265167.222222222</v>
      </c>
      <c r="N95" s="53" t="n">
        <f aca="false">N68+N63</f>
        <v>261000.555555556</v>
      </c>
      <c r="O95" s="53" t="n">
        <f aca="false">O68+O63</f>
        <v>266181.519722222</v>
      </c>
      <c r="P95" s="53" t="n">
        <f aca="false">P68+P63</f>
        <v>262014.853055556</v>
      </c>
      <c r="Q95" s="53" t="n">
        <f aca="false">Q68+Q63</f>
        <v>257848.186388889</v>
      </c>
      <c r="R95" s="53" t="n">
        <f aca="false">R68+R63</f>
        <v>253681.519722222</v>
      </c>
      <c r="S95" s="53" t="n">
        <f aca="false">S68+S63</f>
        <v>249514.853055556</v>
      </c>
      <c r="T95" s="53" t="n">
        <f aca="false">T68+T63</f>
        <v>251674.417777778</v>
      </c>
      <c r="U95" s="53" t="n">
        <f aca="false">U68+U63</f>
        <v>247507.751111111</v>
      </c>
      <c r="V95" s="53" t="n">
        <f aca="false">V68+V63</f>
        <v>243341.084444445</v>
      </c>
      <c r="W95" s="53" t="n">
        <f aca="false">W68+W63</f>
        <v>232848.186388889</v>
      </c>
      <c r="X95" s="53" t="n">
        <f aca="false">X68+X63</f>
        <v>228681.519722222</v>
      </c>
      <c r="Y95" s="53" t="n">
        <f aca="false">Y68+Y63</f>
        <v>224514.853055556</v>
      </c>
      <c r="Z95" s="53" t="n">
        <f aca="false">Z68+Z63</f>
        <v>220348.186388889</v>
      </c>
      <c r="AA95" s="53" t="n">
        <f aca="false">AA68+AA63</f>
        <v>227101.158289639</v>
      </c>
      <c r="AB95" s="53" t="n">
        <f aca="false">AB68+AB63</f>
        <v>222934.491622972</v>
      </c>
      <c r="AC95" s="53" t="n">
        <f aca="false">AC68+AC63</f>
        <v>218767.824956306</v>
      </c>
      <c r="AD95" s="53" t="n">
        <f aca="false">AD68+AD63</f>
        <v>214601.158289639</v>
      </c>
      <c r="AE95" s="53" t="n">
        <f aca="false">AE68+AE63</f>
        <v>210434.491622972</v>
      </c>
      <c r="AF95" s="53" t="n">
        <f aca="false">AF68+AF63</f>
        <v>212800.579868445</v>
      </c>
      <c r="AG95" s="53" t="n">
        <f aca="false">AG68+AG63</f>
        <v>208633.913201778</v>
      </c>
      <c r="AH95" s="53" t="n">
        <f aca="false">AH68+AH63</f>
        <v>204467.246535111</v>
      </c>
      <c r="AI95" s="53" t="n">
        <f aca="false">AI68+AI63</f>
        <v>193767.824956306</v>
      </c>
      <c r="AJ95" s="53" t="n">
        <f aca="false">AJ68+AJ63</f>
        <v>189601.158289639</v>
      </c>
      <c r="AK95" s="53" t="n">
        <f aca="false">AK68+AK63</f>
        <v>185434.491622972</v>
      </c>
      <c r="AL95" s="53" t="n">
        <f aca="false">AL68+AL63</f>
        <v>181267.824956306</v>
      </c>
      <c r="AM95" s="53" t="n">
        <f aca="false">AM68+AM63</f>
        <v>189863.110259067</v>
      </c>
      <c r="AN95" s="53" t="n">
        <f aca="false">AN68+AN63</f>
        <v>185696.443592401</v>
      </c>
      <c r="AO95" s="53" t="n">
        <f aca="false">AO68+AO63</f>
        <v>181529.776925734</v>
      </c>
      <c r="AP95" s="53" t="n">
        <f aca="false">AP68+AP63</f>
        <v>177363.110259067</v>
      </c>
      <c r="AQ95" s="53" t="n">
        <f aca="false">AQ68+AQ63</f>
        <v>173196.443592401</v>
      </c>
      <c r="AR95" s="53" t="n">
        <f aca="false">AR68+AR63</f>
        <v>175659.600627758</v>
      </c>
      <c r="AS95" s="53" t="n">
        <f aca="false">AS68+AS63</f>
        <v>171492.933961091</v>
      </c>
      <c r="AT95" s="53" t="n">
        <f aca="false">AT68+AT63</f>
        <v>167326.267294424</v>
      </c>
      <c r="AU95" s="53" t="n">
        <f aca="false">AU68+AU63</f>
        <v>156529.776925734</v>
      </c>
      <c r="AV95" s="53" t="n">
        <f aca="false">AV68+AV63</f>
        <v>152363.110259067</v>
      </c>
      <c r="AW95" s="53" t="n">
        <f aca="false">AW68+AW63</f>
        <v>148196.443592401</v>
      </c>
      <c r="AX95" s="53" t="n">
        <f aca="false">AX68+AX63</f>
        <v>144029.776925734</v>
      </c>
      <c r="AY95" s="53" t="n">
        <f aca="false">AY68+AY63</f>
        <v>154785.215746407</v>
      </c>
      <c r="AZ95" s="53" t="n">
        <f aca="false">AZ68+AZ63</f>
        <v>150618.54907974</v>
      </c>
      <c r="BA95" s="53" t="n">
        <f aca="false">BA68+BA63</f>
        <v>146451.882413074</v>
      </c>
      <c r="BB95" s="53" t="n">
        <f aca="false">BB68+BB63</f>
        <v>142285.215746407</v>
      </c>
      <c r="BC95" s="53" t="n">
        <f aca="false">BC68+BC63</f>
        <v>138118.54907974</v>
      </c>
      <c r="BD95" s="53" t="n">
        <f aca="false">BD68+BD63</f>
        <v>140526.460814836</v>
      </c>
      <c r="BE95" s="53" t="n">
        <f aca="false">BE68+BE63</f>
        <v>136359.794148169</v>
      </c>
      <c r="BF95" s="53" t="n">
        <f aca="false">BF68+BF63</f>
        <v>132193.127481503</v>
      </c>
      <c r="BG95" s="53" t="n">
        <f aca="false">BG68+BG63</f>
        <v>121451.882413074</v>
      </c>
      <c r="BH95" s="53" t="n">
        <f aca="false">BH68+BH63</f>
        <v>117285.215746407</v>
      </c>
      <c r="BI95" s="53" t="n">
        <f aca="false">BI68+BI63</f>
        <v>113118.54907974</v>
      </c>
      <c r="BJ95" s="53" t="n">
        <f aca="false">BJ68+BJ63</f>
        <v>108951.882413074</v>
      </c>
    </row>
    <row r="96" customFormat="false" ht="15" hidden="false" customHeight="false" outlineLevel="0" collapsed="false">
      <c r="A96" s="6" t="s">
        <v>95</v>
      </c>
      <c r="C96" s="53" t="n">
        <f aca="false">C92+C93</f>
        <v>110758.254233333</v>
      </c>
      <c r="D96" s="53" t="n">
        <f aca="false">D92+D93</f>
        <v>121527.480688889</v>
      </c>
      <c r="E96" s="53" t="n">
        <f aca="false">E92+E93</f>
        <v>132318.651588889</v>
      </c>
      <c r="F96" s="53" t="n">
        <f aca="false">F92+F93</f>
        <v>143131.766933333</v>
      </c>
      <c r="G96" s="53" t="n">
        <f aca="false">G92+G93</f>
        <v>153966.826722222</v>
      </c>
      <c r="H96" s="53" t="n">
        <f aca="false">H92+H93</f>
        <v>185536.359055556</v>
      </c>
      <c r="I96" s="53" t="n">
        <f aca="false">I92+I93</f>
        <v>217127.835833333</v>
      </c>
      <c r="J96" s="53" t="n">
        <f aca="false">J92+J93</f>
        <v>248741.257055556</v>
      </c>
      <c r="K96" s="53" t="n">
        <f aca="false">K92+K93</f>
        <v>259664.094622222</v>
      </c>
      <c r="L96" s="53" t="n">
        <f aca="false">L92+L93</f>
        <v>270608.876633333</v>
      </c>
      <c r="M96" s="53" t="n">
        <f aca="false">M92+M93</f>
        <v>281575.603088889</v>
      </c>
      <c r="N96" s="53" t="n">
        <f aca="false">N92+N93</f>
        <v>292564.273988889</v>
      </c>
      <c r="O96" s="53" t="n">
        <f aca="false">O92+O93</f>
        <v>309188.514779383</v>
      </c>
      <c r="P96" s="53" t="n">
        <f aca="false">P92+P93</f>
        <v>325834.700014322</v>
      </c>
      <c r="Q96" s="53" t="n">
        <f aca="false">Q92+Q93</f>
        <v>342502.829693706</v>
      </c>
      <c r="R96" s="53" t="n">
        <f aca="false">R92+R93</f>
        <v>359192.903817533</v>
      </c>
      <c r="S96" s="53" t="n">
        <f aca="false">S92+S93</f>
        <v>375904.922385805</v>
      </c>
      <c r="T96" s="53" t="n">
        <f aca="false">T92+T93</f>
        <v>414319.006892872</v>
      </c>
      <c r="U96" s="53" t="n">
        <f aca="false">U92+U93</f>
        <v>452755.035844383</v>
      </c>
      <c r="V96" s="53" t="n">
        <f aca="false">V92+V93</f>
        <v>491213.009240339</v>
      </c>
      <c r="W96" s="53" t="n">
        <f aca="false">W92+W93</f>
        <v>508012.805586389</v>
      </c>
      <c r="X96" s="53" t="n">
        <f aca="false">X92+X93</f>
        <v>524834.546376883</v>
      </c>
      <c r="Y96" s="53" t="n">
        <f aca="false">Y92+Y93</f>
        <v>541678.231611822</v>
      </c>
      <c r="Z96" s="53" t="n">
        <f aca="false">Z92+Z93</f>
        <v>558543.861291206</v>
      </c>
      <c r="AA96" s="53" t="n">
        <f aca="false">AA92+AA93</f>
        <v>582457.083755225</v>
      </c>
      <c r="AB96" s="53" t="n">
        <f aca="false">AB92+AB93</f>
        <v>606392.250663688</v>
      </c>
      <c r="AC96" s="53" t="n">
        <f aca="false">AC92+AC93</f>
        <v>630349.362016596</v>
      </c>
      <c r="AD96" s="53" t="n">
        <f aca="false">AD92+AD93</f>
        <v>654328.417813948</v>
      </c>
      <c r="AE96" s="53" t="n">
        <f aca="false">AE92+AE93</f>
        <v>678329.418055745</v>
      </c>
      <c r="AF96" s="53" t="n">
        <f aca="false">AF92+AF93</f>
        <v>724740.244480984</v>
      </c>
      <c r="AG96" s="53" t="n">
        <f aca="false">AG92+AG93</f>
        <v>771173.015350668</v>
      </c>
      <c r="AH96" s="53" t="n">
        <f aca="false">AH92+AH93</f>
        <v>817627.730664796</v>
      </c>
      <c r="AI96" s="53" t="n">
        <f aca="false">AI92+AI93</f>
        <v>841716.508684371</v>
      </c>
      <c r="AJ96" s="53" t="n">
        <f aca="false">AJ92+AJ93</f>
        <v>865827.23114839</v>
      </c>
      <c r="AK96" s="53" t="n">
        <f aca="false">AK92+AK93</f>
        <v>889959.898056853</v>
      </c>
      <c r="AL96" s="53" t="n">
        <f aca="false">AL92+AL93</f>
        <v>914114.509409761</v>
      </c>
      <c r="AM96" s="53" t="n">
        <f aca="false">AM92+AM93</f>
        <v>947046.467810705</v>
      </c>
      <c r="AN96" s="53" t="n">
        <f aca="false">AN92+AN93</f>
        <v>980000.370656093</v>
      </c>
      <c r="AO96" s="53" t="n">
        <f aca="false">AO92+AO93</f>
        <v>1012976.21794593</v>
      </c>
      <c r="AP96" s="53" t="n">
        <f aca="false">AP92+AP93</f>
        <v>1045974.0096802</v>
      </c>
      <c r="AQ96" s="53" t="n">
        <f aca="false">AQ92+AQ93</f>
        <v>1078993.74585892</v>
      </c>
      <c r="AR96" s="53" t="n">
        <f aca="false">AR92+AR93</f>
        <v>1134755.9649054</v>
      </c>
      <c r="AS96" s="53" t="n">
        <f aca="false">AS92+AS93</f>
        <v>1190540.12839632</v>
      </c>
      <c r="AT96" s="53" t="n">
        <f aca="false">AT92+AT93</f>
        <v>1246346.23633168</v>
      </c>
      <c r="AU96" s="53" t="n">
        <f aca="false">AU92+AU93</f>
        <v>1279453.75028818</v>
      </c>
      <c r="AV96" s="53" t="n">
        <f aca="false">AV92+AV93</f>
        <v>1312583.20868913</v>
      </c>
      <c r="AW96" s="53" t="n">
        <f aca="false">AW92+AW93</f>
        <v>1345734.61153452</v>
      </c>
      <c r="AX96" s="53" t="n">
        <f aca="false">AX92+AX93</f>
        <v>1378907.95882435</v>
      </c>
      <c r="AY96" s="53" t="n">
        <f aca="false">AY92+AY93</f>
        <v>1422973.88185287</v>
      </c>
      <c r="AZ96" s="53" t="n">
        <f aca="false">AZ92+AZ93</f>
        <v>1467061.74932584</v>
      </c>
      <c r="BA96" s="53" t="n">
        <f aca="false">BA92+BA93</f>
        <v>1511171.56124326</v>
      </c>
      <c r="BB96" s="53" t="n">
        <f aca="false">BB92+BB93</f>
        <v>1555303.31760512</v>
      </c>
      <c r="BC96" s="53" t="n">
        <f aca="false">BC92+BC93</f>
        <v>1599457.01841142</v>
      </c>
      <c r="BD96" s="53" t="n">
        <f aca="false">BD92+BD93</f>
        <v>1666163.87533658</v>
      </c>
      <c r="BE96" s="53" t="n">
        <f aca="false">BE92+BE93</f>
        <v>1732892.67670618</v>
      </c>
      <c r="BF96" s="53" t="n">
        <f aca="false">BF92+BF93</f>
        <v>1799643.42252022</v>
      </c>
      <c r="BG96" s="53" t="n">
        <f aca="false">BG92+BG93</f>
        <v>1843884.9011043</v>
      </c>
      <c r="BH96" s="53" t="n">
        <f aca="false">BH92+BH93</f>
        <v>1888148.32413283</v>
      </c>
      <c r="BI96" s="53" t="n">
        <f aca="false">BI92+BI93</f>
        <v>1932433.6916058</v>
      </c>
      <c r="BJ96" s="53" t="n">
        <f aca="false">BJ92+BJ93</f>
        <v>1976741.00352321</v>
      </c>
    </row>
    <row r="97" customFormat="false" ht="15" hidden="false" customHeight="false" outlineLevel="0" collapsed="false">
      <c r="A97" s="4" t="s">
        <v>96</v>
      </c>
      <c r="C97" s="60" t="n">
        <f aca="false">C95+C96</f>
        <v>417592.143122222</v>
      </c>
      <c r="D97" s="60" t="n">
        <f aca="false">D95+D96</f>
        <v>424194.702911111</v>
      </c>
      <c r="E97" s="60" t="n">
        <f aca="false">E95+E96</f>
        <v>430819.207144444</v>
      </c>
      <c r="F97" s="60" t="n">
        <f aca="false">F95+F96</f>
        <v>437465.655822222</v>
      </c>
      <c r="G97" s="60" t="n">
        <f aca="false">G95+G96</f>
        <v>444134.048944444</v>
      </c>
      <c r="H97" s="60" t="n">
        <f aca="false">H95+H96</f>
        <v>477580.8035</v>
      </c>
      <c r="I97" s="60" t="n">
        <f aca="false">I95+I96</f>
        <v>505005.613611111</v>
      </c>
      <c r="J97" s="60" t="n">
        <f aca="false">J95+J96</f>
        <v>532452.368166667</v>
      </c>
      <c r="K97" s="60" t="n">
        <f aca="false">K95+K96</f>
        <v>533164.650177778</v>
      </c>
      <c r="L97" s="60" t="n">
        <f aca="false">L95+L96</f>
        <v>539942.765522222</v>
      </c>
      <c r="M97" s="60" t="n">
        <f aca="false">M95+M96</f>
        <v>546742.825311111</v>
      </c>
      <c r="N97" s="60" t="n">
        <f aca="false">N95+N96</f>
        <v>553564.829544445</v>
      </c>
      <c r="O97" s="60" t="n">
        <f aca="false">O95+O96</f>
        <v>575370.034501606</v>
      </c>
      <c r="P97" s="60" t="n">
        <f aca="false">P95+P96</f>
        <v>587849.553069878</v>
      </c>
      <c r="Q97" s="60" t="n">
        <f aca="false">Q95+Q96</f>
        <v>600351.016082595</v>
      </c>
      <c r="R97" s="60" t="n">
        <f aca="false">R95+R96</f>
        <v>612874.423539756</v>
      </c>
      <c r="S97" s="60" t="n">
        <f aca="false">S95+S96</f>
        <v>625419.775441361</v>
      </c>
      <c r="T97" s="60" t="n">
        <f aca="false">T95+T96</f>
        <v>665993.42467065</v>
      </c>
      <c r="U97" s="60" t="n">
        <f aca="false">U95+U96</f>
        <v>700262.786955495</v>
      </c>
      <c r="V97" s="60" t="n">
        <f aca="false">V95+V96</f>
        <v>734554.093684783</v>
      </c>
      <c r="W97" s="60" t="n">
        <f aca="false">W95+W96</f>
        <v>740860.991975278</v>
      </c>
      <c r="X97" s="60" t="n">
        <f aca="false">X95+X96</f>
        <v>753516.066099106</v>
      </c>
      <c r="Y97" s="60" t="n">
        <f aca="false">Y95+Y96</f>
        <v>766193.084667378</v>
      </c>
      <c r="Z97" s="60" t="n">
        <f aca="false">Z95+Z96</f>
        <v>778892.047680095</v>
      </c>
      <c r="AA97" s="60" t="n">
        <f aca="false">AA95+AA96</f>
        <v>809558.242044864</v>
      </c>
      <c r="AB97" s="60" t="n">
        <f aca="false">AB95+AB96</f>
        <v>829326.74228666</v>
      </c>
      <c r="AC97" s="60" t="n">
        <f aca="false">AC95+AC96</f>
        <v>849117.186972902</v>
      </c>
      <c r="AD97" s="60" t="n">
        <f aca="false">AD95+AD96</f>
        <v>868929.576103587</v>
      </c>
      <c r="AE97" s="60" t="n">
        <f aca="false">AE95+AE96</f>
        <v>888763.909678717</v>
      </c>
      <c r="AF97" s="60" t="n">
        <f aca="false">AF95+AF96</f>
        <v>937540.824349429</v>
      </c>
      <c r="AG97" s="60" t="n">
        <f aca="false">AG95+AG96</f>
        <v>979806.928552446</v>
      </c>
      <c r="AH97" s="60" t="n">
        <f aca="false">AH95+AH96</f>
        <v>1022094.97719991</v>
      </c>
      <c r="AI97" s="60" t="n">
        <f aca="false">AI95+AI96</f>
        <v>1035484.33364068</v>
      </c>
      <c r="AJ97" s="60" t="n">
        <f aca="false">AJ95+AJ96</f>
        <v>1055428.38943803</v>
      </c>
      <c r="AK97" s="60" t="n">
        <f aca="false">AK95+AK96</f>
        <v>1075394.38967983</v>
      </c>
      <c r="AL97" s="60" t="n">
        <f aca="false">AL95+AL96</f>
        <v>1095382.33436607</v>
      </c>
      <c r="AM97" s="60" t="n">
        <f aca="false">AM95+AM96</f>
        <v>1136909.57806977</v>
      </c>
      <c r="AN97" s="60" t="n">
        <f aca="false">AN95+AN96</f>
        <v>1165696.81424849</v>
      </c>
      <c r="AO97" s="60" t="n">
        <f aca="false">AO95+AO96</f>
        <v>1194505.99487166</v>
      </c>
      <c r="AP97" s="60" t="n">
        <f aca="false">AP95+AP96</f>
        <v>1223337.11993927</v>
      </c>
      <c r="AQ97" s="60" t="n">
        <f aca="false">AQ95+AQ96</f>
        <v>1252190.18945133</v>
      </c>
      <c r="AR97" s="60" t="n">
        <f aca="false">AR95+AR96</f>
        <v>1310415.56553316</v>
      </c>
      <c r="AS97" s="60" t="n">
        <f aca="false">AS95+AS96</f>
        <v>1362033.06235741</v>
      </c>
      <c r="AT97" s="60" t="n">
        <f aca="false">AT95+AT96</f>
        <v>1413672.50362611</v>
      </c>
      <c r="AU97" s="60" t="n">
        <f aca="false">AU95+AU96</f>
        <v>1435983.52721392</v>
      </c>
      <c r="AV97" s="60" t="n">
        <f aca="false">AV95+AV96</f>
        <v>1464946.31894819</v>
      </c>
      <c r="AW97" s="60" t="n">
        <f aca="false">AW95+AW96</f>
        <v>1493931.05512692</v>
      </c>
      <c r="AX97" s="60" t="n">
        <f aca="false">AX95+AX96</f>
        <v>1522937.73575008</v>
      </c>
      <c r="AY97" s="60" t="n">
        <f aca="false">AY95+AY96</f>
        <v>1577759.09759928</v>
      </c>
      <c r="AZ97" s="60" t="n">
        <f aca="false">AZ95+AZ96</f>
        <v>1617680.29840558</v>
      </c>
      <c r="BA97" s="60" t="n">
        <f aca="false">BA95+BA96</f>
        <v>1657623.44365633</v>
      </c>
      <c r="BB97" s="60" t="n">
        <f aca="false">BB95+BB96</f>
        <v>1697588.53335152</v>
      </c>
      <c r="BC97" s="60" t="n">
        <f aca="false">BC95+BC96</f>
        <v>1737575.56749116</v>
      </c>
      <c r="BD97" s="60" t="n">
        <f aca="false">BD95+BD96</f>
        <v>1806690.33615141</v>
      </c>
      <c r="BE97" s="60" t="n">
        <f aca="false">BE95+BE96</f>
        <v>1869252.47085434</v>
      </c>
      <c r="BF97" s="60" t="n">
        <f aca="false">BF95+BF96</f>
        <v>1931836.55000172</v>
      </c>
      <c r="BG97" s="60" t="n">
        <f aca="false">BG95+BG96</f>
        <v>1965336.78351737</v>
      </c>
      <c r="BH97" s="60" t="n">
        <f aca="false">BH95+BH96</f>
        <v>2005433.53987923</v>
      </c>
      <c r="BI97" s="60" t="n">
        <f aca="false">BI95+BI96</f>
        <v>2045552.24068554</v>
      </c>
      <c r="BJ97" s="60" t="n">
        <f aca="false">BJ95+BJ96</f>
        <v>2085692.88593628</v>
      </c>
    </row>
    <row r="98" customFormat="false" ht="15" hidden="false" customHeight="false" outlineLevel="0" collapsed="false">
      <c r="A98" s="6" t="s">
        <v>384</v>
      </c>
      <c r="C98" s="53" t="n">
        <f aca="false">C94-C97</f>
        <v>0</v>
      </c>
      <c r="D98" s="53" t="n">
        <f aca="false">D94-D97</f>
        <v>0</v>
      </c>
      <c r="E98" s="53" t="n">
        <f aca="false">E94-E97</f>
        <v>0</v>
      </c>
      <c r="F98" s="53" t="n">
        <f aca="false">F94-F97</f>
        <v>0</v>
      </c>
      <c r="G98" s="53" t="n">
        <f aca="false">G94-G97</f>
        <v>0</v>
      </c>
      <c r="H98" s="53" t="n">
        <f aca="false">H94-H97</f>
        <v>0</v>
      </c>
      <c r="I98" s="53" t="n">
        <f aca="false">I94-I97</f>
        <v>0</v>
      </c>
      <c r="J98" s="53" t="n">
        <f aca="false">J94-J97</f>
        <v>0</v>
      </c>
      <c r="K98" s="53" t="n">
        <f aca="false">K94-K97</f>
        <v>0</v>
      </c>
      <c r="L98" s="53" t="n">
        <f aca="false">L94-L97</f>
        <v>0</v>
      </c>
      <c r="M98" s="53" t="n">
        <f aca="false">M94-M97</f>
        <v>0</v>
      </c>
      <c r="N98" s="53" t="n">
        <f aca="false">N94-N97</f>
        <v>0</v>
      </c>
      <c r="O98" s="53" t="n">
        <f aca="false">O94-O97</f>
        <v>0</v>
      </c>
      <c r="P98" s="53" t="n">
        <f aca="false">P94-P97</f>
        <v>0</v>
      </c>
      <c r="Q98" s="53" t="n">
        <f aca="false">Q94-Q97</f>
        <v>0</v>
      </c>
      <c r="R98" s="53" t="n">
        <f aca="false">R94-R97</f>
        <v>0</v>
      </c>
      <c r="S98" s="53" t="n">
        <f aca="false">S94-S97</f>
        <v>0</v>
      </c>
      <c r="T98" s="53" t="n">
        <f aca="false">T94-T97</f>
        <v>0</v>
      </c>
      <c r="U98" s="53" t="n">
        <f aca="false">U94-U97</f>
        <v>0</v>
      </c>
      <c r="V98" s="53" t="n">
        <f aca="false">V94-V97</f>
        <v>0</v>
      </c>
      <c r="W98" s="53" t="n">
        <f aca="false">W94-W97</f>
        <v>0</v>
      </c>
      <c r="X98" s="53" t="n">
        <f aca="false">X94-X97</f>
        <v>0</v>
      </c>
      <c r="Y98" s="53" t="n">
        <f aca="false">Y94-Y97</f>
        <v>0</v>
      </c>
      <c r="Z98" s="53" t="n">
        <f aca="false">Z94-Z97</f>
        <v>0</v>
      </c>
      <c r="AA98" s="53" t="n">
        <f aca="false">AA94-AA97</f>
        <v>0</v>
      </c>
      <c r="AB98" s="53" t="n">
        <f aca="false">AB94-AB97</f>
        <v>0</v>
      </c>
      <c r="AC98" s="53" t="n">
        <f aca="false">AC94-AC97</f>
        <v>0</v>
      </c>
      <c r="AD98" s="53" t="n">
        <f aca="false">AD94-AD97</f>
        <v>0</v>
      </c>
      <c r="AE98" s="53" t="n">
        <f aca="false">AE94-AE97</f>
        <v>0</v>
      </c>
      <c r="AF98" s="53" t="n">
        <f aca="false">AF94-AF97</f>
        <v>0</v>
      </c>
      <c r="AG98" s="53" t="n">
        <f aca="false">AG94-AG97</f>
        <v>0</v>
      </c>
      <c r="AH98" s="53" t="n">
        <f aca="false">AH94-AH97</f>
        <v>0</v>
      </c>
      <c r="AI98" s="53" t="n">
        <f aca="false">AI94-AI97</f>
        <v>0</v>
      </c>
      <c r="AJ98" s="53" t="n">
        <f aca="false">AJ94-AJ97</f>
        <v>0</v>
      </c>
      <c r="AK98" s="53" t="n">
        <f aca="false">AK94-AK97</f>
        <v>0</v>
      </c>
      <c r="AL98" s="53" t="n">
        <f aca="false">AL94-AL97</f>
        <v>0</v>
      </c>
      <c r="AM98" s="53" t="n">
        <f aca="false">AM94-AM97</f>
        <v>0</v>
      </c>
      <c r="AN98" s="53" t="n">
        <f aca="false">AN94-AN97</f>
        <v>0</v>
      </c>
      <c r="AO98" s="53" t="n">
        <f aca="false">AO94-AO97</f>
        <v>0</v>
      </c>
      <c r="AP98" s="53" t="n">
        <f aca="false">AP94-AP97</f>
        <v>0</v>
      </c>
      <c r="AQ98" s="53" t="n">
        <f aca="false">AQ94-AQ97</f>
        <v>0</v>
      </c>
      <c r="AR98" s="53" t="n">
        <f aca="false">AR94-AR97</f>
        <v>0</v>
      </c>
      <c r="AS98" s="53" t="n">
        <f aca="false">AS94-AS97</f>
        <v>0</v>
      </c>
      <c r="AT98" s="53" t="n">
        <f aca="false">AT94-AT97</f>
        <v>0</v>
      </c>
      <c r="AU98" s="53" t="n">
        <f aca="false">AU94-AU97</f>
        <v>0</v>
      </c>
      <c r="AV98" s="53" t="n">
        <f aca="false">AV94-AV97</f>
        <v>0</v>
      </c>
      <c r="AW98" s="53" t="n">
        <f aca="false">AW94-AW97</f>
        <v>0</v>
      </c>
      <c r="AX98" s="53" t="n">
        <f aca="false">AX94-AX97</f>
        <v>0</v>
      </c>
      <c r="AY98" s="53" t="n">
        <f aca="false">AY94-AY97</f>
        <v>0</v>
      </c>
      <c r="AZ98" s="53" t="n">
        <f aca="false">AZ94-AZ97</f>
        <v>0</v>
      </c>
      <c r="BA98" s="53" t="n">
        <f aca="false">BA94-BA97</f>
        <v>0</v>
      </c>
      <c r="BB98" s="53" t="n">
        <f aca="false">BB94-BB97</f>
        <v>0</v>
      </c>
      <c r="BC98" s="53" t="n">
        <f aca="false">BC94-BC97</f>
        <v>0</v>
      </c>
      <c r="BD98" s="53" t="n">
        <f aca="false">BD94-BD97</f>
        <v>0</v>
      </c>
      <c r="BE98" s="53" t="n">
        <f aca="false">BE94-BE97</f>
        <v>0</v>
      </c>
      <c r="BF98" s="53" t="n">
        <f aca="false">BF94-BF97</f>
        <v>0</v>
      </c>
      <c r="BG98" s="53" t="n">
        <f aca="false">BG94-BG97</f>
        <v>0</v>
      </c>
      <c r="BH98" s="53" t="n">
        <f aca="false">BH94-BH97</f>
        <v>0</v>
      </c>
      <c r="BI98" s="53" t="n">
        <f aca="false">BI94-BI97</f>
        <v>0</v>
      </c>
      <c r="BJ98" s="53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385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285</v>
      </c>
    </row>
    <row r="3" customFormat="false" ht="15" hidden="false" customHeight="false" outlineLevel="0" collapsed="false">
      <c r="A3" s="33" t="s">
        <v>286</v>
      </c>
      <c r="C3" s="59" t="s">
        <v>287</v>
      </c>
      <c r="D3" s="59" t="s">
        <v>288</v>
      </c>
      <c r="E3" s="59" t="s">
        <v>289</v>
      </c>
      <c r="F3" s="59" t="s">
        <v>290</v>
      </c>
      <c r="G3" s="59" t="s">
        <v>291</v>
      </c>
      <c r="H3" s="59" t="s">
        <v>292</v>
      </c>
      <c r="I3" s="59" t="s">
        <v>293</v>
      </c>
      <c r="J3" s="59" t="s">
        <v>294</v>
      </c>
      <c r="K3" s="59" t="s">
        <v>295</v>
      </c>
      <c r="L3" s="59" t="s">
        <v>296</v>
      </c>
      <c r="M3" s="59" t="s">
        <v>297</v>
      </c>
      <c r="N3" s="59" t="s">
        <v>298</v>
      </c>
      <c r="O3" s="59" t="s">
        <v>299</v>
      </c>
      <c r="P3" s="59" t="s">
        <v>300</v>
      </c>
      <c r="Q3" s="59" t="s">
        <v>301</v>
      </c>
      <c r="R3" s="59" t="s">
        <v>302</v>
      </c>
      <c r="S3" s="59" t="s">
        <v>303</v>
      </c>
      <c r="T3" s="59" t="s">
        <v>304</v>
      </c>
      <c r="U3" s="59" t="s">
        <v>305</v>
      </c>
      <c r="V3" s="59" t="s">
        <v>306</v>
      </c>
      <c r="W3" s="59" t="s">
        <v>307</v>
      </c>
      <c r="X3" s="59" t="s">
        <v>308</v>
      </c>
      <c r="Y3" s="59" t="s">
        <v>309</v>
      </c>
      <c r="Z3" s="59" t="s">
        <v>310</v>
      </c>
      <c r="AA3" s="59" t="s">
        <v>311</v>
      </c>
      <c r="AB3" s="59" t="s">
        <v>312</v>
      </c>
      <c r="AC3" s="59" t="s">
        <v>313</v>
      </c>
      <c r="AD3" s="59" t="s">
        <v>314</v>
      </c>
      <c r="AE3" s="59" t="s">
        <v>315</v>
      </c>
      <c r="AF3" s="59" t="s">
        <v>316</v>
      </c>
      <c r="AG3" s="59" t="s">
        <v>317</v>
      </c>
      <c r="AH3" s="59" t="s">
        <v>318</v>
      </c>
      <c r="AI3" s="59" t="s">
        <v>319</v>
      </c>
      <c r="AJ3" s="59" t="s">
        <v>320</v>
      </c>
      <c r="AK3" s="59" t="s">
        <v>321</v>
      </c>
      <c r="AL3" s="59" t="s">
        <v>322</v>
      </c>
      <c r="AM3" s="59" t="s">
        <v>323</v>
      </c>
      <c r="AN3" s="59" t="s">
        <v>324</v>
      </c>
      <c r="AO3" s="59" t="s">
        <v>325</v>
      </c>
      <c r="AP3" s="59" t="s">
        <v>326</v>
      </c>
      <c r="AQ3" s="59" t="s">
        <v>327</v>
      </c>
      <c r="AR3" s="59" t="s">
        <v>328</v>
      </c>
      <c r="AS3" s="59" t="s">
        <v>329</v>
      </c>
      <c r="AT3" s="59" t="s">
        <v>330</v>
      </c>
      <c r="AU3" s="59" t="s">
        <v>331</v>
      </c>
      <c r="AV3" s="59" t="s">
        <v>332</v>
      </c>
      <c r="AW3" s="59" t="s">
        <v>333</v>
      </c>
      <c r="AX3" s="59" t="s">
        <v>334</v>
      </c>
      <c r="AY3" s="59" t="s">
        <v>335</v>
      </c>
      <c r="AZ3" s="59" t="s">
        <v>336</v>
      </c>
      <c r="BA3" s="59" t="s">
        <v>337</v>
      </c>
      <c r="BB3" s="59" t="s">
        <v>338</v>
      </c>
      <c r="BC3" s="59" t="s">
        <v>339</v>
      </c>
      <c r="BD3" s="59" t="s">
        <v>340</v>
      </c>
      <c r="BE3" s="59" t="s">
        <v>341</v>
      </c>
      <c r="BF3" s="59" t="s">
        <v>342</v>
      </c>
      <c r="BG3" s="59" t="s">
        <v>343</v>
      </c>
      <c r="BH3" s="59" t="s">
        <v>344</v>
      </c>
      <c r="BI3" s="59" t="s">
        <v>345</v>
      </c>
      <c r="BJ3" s="59" t="s">
        <v>346</v>
      </c>
    </row>
    <row r="4" customFormat="false" ht="15" hidden="false" customHeight="false" outlineLevel="0" collapsed="false">
      <c r="A4" s="58" t="s">
        <v>347</v>
      </c>
      <c r="C4" s="58" t="n">
        <v>1</v>
      </c>
      <c r="D4" s="58" t="n">
        <v>2</v>
      </c>
      <c r="E4" s="58" t="n">
        <v>3</v>
      </c>
      <c r="F4" s="58" t="n">
        <v>4</v>
      </c>
      <c r="G4" s="58" t="n">
        <v>5</v>
      </c>
      <c r="H4" s="58" t="n">
        <v>6</v>
      </c>
      <c r="I4" s="58" t="n">
        <v>7</v>
      </c>
      <c r="J4" s="58" t="n">
        <v>8</v>
      </c>
      <c r="K4" s="58" t="n">
        <v>9</v>
      </c>
      <c r="L4" s="58" t="n">
        <v>10</v>
      </c>
      <c r="M4" s="58" t="n">
        <v>11</v>
      </c>
      <c r="N4" s="58" t="n">
        <v>12</v>
      </c>
      <c r="O4" s="58" t="n">
        <v>13</v>
      </c>
      <c r="P4" s="58" t="n">
        <v>14</v>
      </c>
      <c r="Q4" s="58" t="n">
        <v>15</v>
      </c>
      <c r="R4" s="58" t="n">
        <v>16</v>
      </c>
      <c r="S4" s="58" t="n">
        <v>17</v>
      </c>
      <c r="T4" s="58" t="n">
        <v>18</v>
      </c>
      <c r="U4" s="58" t="n">
        <v>19</v>
      </c>
      <c r="V4" s="58" t="n">
        <v>20</v>
      </c>
      <c r="W4" s="58" t="n">
        <v>21</v>
      </c>
      <c r="X4" s="58" t="n">
        <v>22</v>
      </c>
      <c r="Y4" s="58" t="n">
        <v>23</v>
      </c>
      <c r="Z4" s="58" t="n">
        <v>24</v>
      </c>
      <c r="AA4" s="58" t="n">
        <v>25</v>
      </c>
      <c r="AB4" s="58" t="n">
        <v>26</v>
      </c>
      <c r="AC4" s="58" t="n">
        <v>27</v>
      </c>
      <c r="AD4" s="58" t="n">
        <v>28</v>
      </c>
      <c r="AE4" s="58" t="n">
        <v>29</v>
      </c>
      <c r="AF4" s="58" t="n">
        <v>30</v>
      </c>
      <c r="AG4" s="58" t="n">
        <v>31</v>
      </c>
      <c r="AH4" s="58" t="n">
        <v>32</v>
      </c>
      <c r="AI4" s="58" t="n">
        <v>33</v>
      </c>
      <c r="AJ4" s="58" t="n">
        <v>34</v>
      </c>
      <c r="AK4" s="58" t="n">
        <v>35</v>
      </c>
      <c r="AL4" s="58" t="n">
        <v>36</v>
      </c>
      <c r="AM4" s="58" t="n">
        <v>37</v>
      </c>
      <c r="AN4" s="58" t="n">
        <v>38</v>
      </c>
      <c r="AO4" s="58" t="n">
        <v>39</v>
      </c>
      <c r="AP4" s="58" t="n">
        <v>40</v>
      </c>
      <c r="AQ4" s="58" t="n">
        <v>41</v>
      </c>
      <c r="AR4" s="58" t="n">
        <v>42</v>
      </c>
      <c r="AS4" s="58" t="n">
        <v>43</v>
      </c>
      <c r="AT4" s="58" t="n">
        <v>44</v>
      </c>
      <c r="AU4" s="58" t="n">
        <v>45</v>
      </c>
      <c r="AV4" s="58" t="n">
        <v>46</v>
      </c>
      <c r="AW4" s="58" t="n">
        <v>47</v>
      </c>
      <c r="AX4" s="58" t="n">
        <v>48</v>
      </c>
      <c r="AY4" s="58" t="n">
        <v>49</v>
      </c>
      <c r="AZ4" s="58" t="n">
        <v>50</v>
      </c>
      <c r="BA4" s="58" t="n">
        <v>51</v>
      </c>
      <c r="BB4" s="58" t="n">
        <v>52</v>
      </c>
      <c r="BC4" s="58" t="n">
        <v>53</v>
      </c>
      <c r="BD4" s="58" t="n">
        <v>54</v>
      </c>
      <c r="BE4" s="58" t="n">
        <v>55</v>
      </c>
      <c r="BF4" s="58" t="n">
        <v>56</v>
      </c>
      <c r="BG4" s="58" t="n">
        <v>57</v>
      </c>
      <c r="BH4" s="58" t="n">
        <v>58</v>
      </c>
      <c r="BI4" s="58" t="n">
        <v>59</v>
      </c>
      <c r="BJ4" s="58" t="n">
        <v>60</v>
      </c>
    </row>
    <row r="5" customFormat="false" ht="15" hidden="false" customHeight="false" outlineLevel="0" collapsed="false">
      <c r="A5" s="58" t="s">
        <v>120</v>
      </c>
      <c r="C5" s="58" t="n">
        <f aca="false">ROUNDUP(C4*1/12,0)</f>
        <v>1</v>
      </c>
      <c r="D5" s="58" t="n">
        <f aca="false">ROUNDUP(D4*1/12,0)</f>
        <v>1</v>
      </c>
      <c r="E5" s="58" t="n">
        <f aca="false">ROUNDUP(E4*1/12,0)</f>
        <v>1</v>
      </c>
      <c r="F5" s="58" t="n">
        <f aca="false">ROUNDUP(F4*1/12,0)</f>
        <v>1</v>
      </c>
      <c r="G5" s="58" t="n">
        <f aca="false">ROUNDUP(G4*1/12,0)</f>
        <v>1</v>
      </c>
      <c r="H5" s="58" t="n">
        <f aca="false">ROUNDUP(H4*1/12,0)</f>
        <v>1</v>
      </c>
      <c r="I5" s="58" t="n">
        <f aca="false">ROUNDUP(I4*1/12,0)</f>
        <v>1</v>
      </c>
      <c r="J5" s="58" t="n">
        <f aca="false">ROUNDUP(J4*1/12,0)</f>
        <v>1</v>
      </c>
      <c r="K5" s="58" t="n">
        <f aca="false">ROUNDUP(K4*1/12,0)</f>
        <v>1</v>
      </c>
      <c r="L5" s="58" t="n">
        <f aca="false">ROUNDUP(L4*1/12,0)</f>
        <v>1</v>
      </c>
      <c r="M5" s="58" t="n">
        <f aca="false">ROUNDUP(M4*1/12,0)</f>
        <v>1</v>
      </c>
      <c r="N5" s="58" t="n">
        <f aca="false">ROUNDUP(N4*1/12,0)</f>
        <v>1</v>
      </c>
      <c r="O5" s="58" t="n">
        <f aca="false">ROUNDUP(O4*1/12,0)</f>
        <v>2</v>
      </c>
      <c r="P5" s="58" t="n">
        <f aca="false">ROUNDUP(P4*1/12,0)</f>
        <v>2</v>
      </c>
      <c r="Q5" s="58" t="n">
        <f aca="false">ROUNDUP(Q4*1/12,0)</f>
        <v>2</v>
      </c>
      <c r="R5" s="58" t="n">
        <f aca="false">ROUNDUP(R4*1/12,0)</f>
        <v>2</v>
      </c>
      <c r="S5" s="58" t="n">
        <f aca="false">ROUNDUP(S4*1/12,0)</f>
        <v>2</v>
      </c>
      <c r="T5" s="58" t="n">
        <f aca="false">ROUNDUP(T4*1/12,0)</f>
        <v>2</v>
      </c>
      <c r="U5" s="58" t="n">
        <f aca="false">ROUNDUP(U4*1/12,0)</f>
        <v>2</v>
      </c>
      <c r="V5" s="58" t="n">
        <f aca="false">ROUNDUP(V4*1/12,0)</f>
        <v>2</v>
      </c>
      <c r="W5" s="58" t="n">
        <f aca="false">ROUNDUP(W4*1/12,0)</f>
        <v>2</v>
      </c>
      <c r="X5" s="58" t="n">
        <f aca="false">ROUNDUP(X4*1/12,0)</f>
        <v>2</v>
      </c>
      <c r="Y5" s="58" t="n">
        <f aca="false">ROUNDUP(Y4*1/12,0)</f>
        <v>2</v>
      </c>
      <c r="Z5" s="58" t="n">
        <f aca="false">ROUNDUP(Z4*1/12,0)</f>
        <v>2</v>
      </c>
      <c r="AA5" s="58" t="n">
        <f aca="false">ROUNDUP(AA4*1/12,0)</f>
        <v>3</v>
      </c>
      <c r="AB5" s="58" t="n">
        <f aca="false">ROUNDUP(AB4*1/12,0)</f>
        <v>3</v>
      </c>
      <c r="AC5" s="58" t="n">
        <f aca="false">ROUNDUP(AC4*1/12,0)</f>
        <v>3</v>
      </c>
      <c r="AD5" s="58" t="n">
        <f aca="false">ROUNDUP(AD4*1/12,0)</f>
        <v>3</v>
      </c>
      <c r="AE5" s="58" t="n">
        <f aca="false">ROUNDUP(AE4*1/12,0)</f>
        <v>3</v>
      </c>
      <c r="AF5" s="58" t="n">
        <f aca="false">ROUNDUP(AF4*1/12,0)</f>
        <v>3</v>
      </c>
      <c r="AG5" s="58" t="n">
        <f aca="false">ROUNDUP(AG4*1/12,0)</f>
        <v>3</v>
      </c>
      <c r="AH5" s="58" t="n">
        <f aca="false">ROUNDUP(AH4*1/12,0)</f>
        <v>3</v>
      </c>
      <c r="AI5" s="58" t="n">
        <f aca="false">ROUNDUP(AI4*1/12,0)</f>
        <v>3</v>
      </c>
      <c r="AJ5" s="58" t="n">
        <f aca="false">ROUNDUP(AJ4*1/12,0)</f>
        <v>3</v>
      </c>
      <c r="AK5" s="58" t="n">
        <f aca="false">ROUNDUP(AK4*1/12,0)</f>
        <v>3</v>
      </c>
      <c r="AL5" s="58" t="n">
        <f aca="false">ROUNDUP(AL4*1/12,0)</f>
        <v>3</v>
      </c>
      <c r="AM5" s="58" t="n">
        <f aca="false">ROUNDUP(AM4*1/12,0)</f>
        <v>4</v>
      </c>
      <c r="AN5" s="58" t="n">
        <f aca="false">ROUNDUP(AN4*1/12,0)</f>
        <v>4</v>
      </c>
      <c r="AO5" s="58" t="n">
        <f aca="false">ROUNDUP(AO4*1/12,0)</f>
        <v>4</v>
      </c>
      <c r="AP5" s="58" t="n">
        <f aca="false">ROUNDUP(AP4*1/12,0)</f>
        <v>4</v>
      </c>
      <c r="AQ5" s="58" t="n">
        <f aca="false">ROUNDUP(AQ4*1/12,0)</f>
        <v>4</v>
      </c>
      <c r="AR5" s="58" t="n">
        <f aca="false">ROUNDUP(AR4*1/12,0)</f>
        <v>4</v>
      </c>
      <c r="AS5" s="58" t="n">
        <f aca="false">ROUNDUP(AS4*1/12,0)</f>
        <v>4</v>
      </c>
      <c r="AT5" s="58" t="n">
        <f aca="false">ROUNDUP(AT4*1/12,0)</f>
        <v>4</v>
      </c>
      <c r="AU5" s="58" t="n">
        <f aca="false">ROUNDUP(AU4*1/12,0)</f>
        <v>4</v>
      </c>
      <c r="AV5" s="58" t="n">
        <f aca="false">ROUNDUP(AV4*1/12,0)</f>
        <v>4</v>
      </c>
      <c r="AW5" s="58" t="n">
        <f aca="false">ROUNDUP(AW4*1/12,0)</f>
        <v>4</v>
      </c>
      <c r="AX5" s="58" t="n">
        <f aca="false">ROUNDUP(AX4*1/12,0)</f>
        <v>4</v>
      </c>
      <c r="AY5" s="58" t="n">
        <f aca="false">ROUNDUP(AY4*1/12,0)</f>
        <v>5</v>
      </c>
      <c r="AZ5" s="58" t="n">
        <f aca="false">ROUNDUP(AZ4*1/12,0)</f>
        <v>5</v>
      </c>
      <c r="BA5" s="58" t="n">
        <f aca="false">ROUNDUP(BA4*1/12,0)</f>
        <v>5</v>
      </c>
      <c r="BB5" s="58" t="n">
        <f aca="false">ROUNDUP(BB4*1/12,0)</f>
        <v>5</v>
      </c>
      <c r="BC5" s="58" t="n">
        <f aca="false">ROUNDUP(BC4*1/12,0)</f>
        <v>5</v>
      </c>
      <c r="BD5" s="58" t="n">
        <f aca="false">ROUNDUP(BD4*1/12,0)</f>
        <v>5</v>
      </c>
      <c r="BE5" s="58" t="n">
        <f aca="false">ROUNDUP(BE4*1/12,0)</f>
        <v>5</v>
      </c>
      <c r="BF5" s="58" t="n">
        <f aca="false">ROUNDUP(BF4*1/12,0)</f>
        <v>5</v>
      </c>
      <c r="BG5" s="58" t="n">
        <f aca="false">ROUNDUP(BG4*1/12,0)</f>
        <v>5</v>
      </c>
      <c r="BH5" s="58" t="n">
        <f aca="false">ROUNDUP(BH4*1/12,0)</f>
        <v>5</v>
      </c>
      <c r="BI5" s="58" t="n">
        <f aca="false">ROUNDUP(BI4*1/12,0)</f>
        <v>5</v>
      </c>
      <c r="BJ5" s="58" t="n">
        <f aca="false">ROUNDUP(BJ4*1/12,0)</f>
        <v>5</v>
      </c>
    </row>
    <row r="7" customFormat="false" ht="15.75" hidden="false" customHeight="true" outlineLevel="0" collapsed="false">
      <c r="A7" s="7" t="s">
        <v>386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387</v>
      </c>
      <c r="C8" s="100" t="n">
        <f aca="false">Inputs!$E$42*(1+Inputs!$E$44)^(C$5-1)*MAX(0,MIN(1,C$4*1-Inputs!$E$45+1))/1</f>
        <v>7</v>
      </c>
      <c r="D8" s="100" t="n">
        <f aca="false">Inputs!$E$42*(1+Inputs!$E$44)^(D$5-1)*MAX(0,MIN(1,D$4*1-Inputs!$E$45+1))/1</f>
        <v>7</v>
      </c>
      <c r="E8" s="100" t="n">
        <f aca="false">Inputs!$E$42*(1+Inputs!$E$44)^(E$5-1)*MAX(0,MIN(1,E$4*1-Inputs!$E$45+1))/1</f>
        <v>7</v>
      </c>
      <c r="F8" s="100" t="n">
        <f aca="false">Inputs!$E$42*(1+Inputs!$E$44)^(F$5-1)*MAX(0,MIN(1,F$4*1-Inputs!$E$45+1))/1</f>
        <v>7</v>
      </c>
      <c r="G8" s="100" t="n">
        <f aca="false">Inputs!$E$42*(1+Inputs!$E$44)^(G$5-1)*MAX(0,MIN(1,G$4*1-Inputs!$E$45+1))/1</f>
        <v>7</v>
      </c>
      <c r="H8" s="100" t="n">
        <f aca="false">Inputs!$E$42*(1+Inputs!$E$44)^(H$5-1)*MAX(0,MIN(1,H$4*1-Inputs!$E$45+1))/1</f>
        <v>7</v>
      </c>
      <c r="I8" s="100" t="n">
        <f aca="false">Inputs!$E$42*(1+Inputs!$E$44)^(I$5-1)*MAX(0,MIN(1,I$4*1-Inputs!$E$45+1))/1</f>
        <v>7</v>
      </c>
      <c r="J8" s="100" t="n">
        <f aca="false">Inputs!$E$42*(1+Inputs!$E$44)^(J$5-1)*MAX(0,MIN(1,J$4*1-Inputs!$E$45+1))/1</f>
        <v>7</v>
      </c>
      <c r="K8" s="100" t="n">
        <f aca="false">Inputs!$E$42*(1+Inputs!$E$44)^(K$5-1)*MAX(0,MIN(1,K$4*1-Inputs!$E$45+1))/1</f>
        <v>7</v>
      </c>
      <c r="L8" s="100" t="n">
        <f aca="false">Inputs!$E$42*(1+Inputs!$E$44)^(L$5-1)*MAX(0,MIN(1,L$4*1-Inputs!$E$45+1))/1</f>
        <v>7</v>
      </c>
      <c r="M8" s="100" t="n">
        <f aca="false">Inputs!$E$42*(1+Inputs!$E$44)^(M$5-1)*MAX(0,MIN(1,M$4*1-Inputs!$E$45+1))/1</f>
        <v>7</v>
      </c>
      <c r="N8" s="100" t="n">
        <f aca="false">Inputs!$E$42*(1+Inputs!$E$44)^(N$5-1)*MAX(0,MIN(1,N$4*1-Inputs!$E$45+1))/1</f>
        <v>7</v>
      </c>
      <c r="O8" s="100" t="n">
        <f aca="false">Inputs!$E$42*(1+Inputs!$E$44)^(O$5-1)*MAX(0,MIN(1,O$4*1-Inputs!$E$45+1))/1</f>
        <v>7.84</v>
      </c>
      <c r="P8" s="100" t="n">
        <f aca="false">Inputs!$E$42*(1+Inputs!$E$44)^(P$5-1)*MAX(0,MIN(1,P$4*1-Inputs!$E$45+1))/1</f>
        <v>7.84</v>
      </c>
      <c r="Q8" s="100" t="n">
        <f aca="false">Inputs!$E$42*(1+Inputs!$E$44)^(Q$5-1)*MAX(0,MIN(1,Q$4*1-Inputs!$E$45+1))/1</f>
        <v>7.84</v>
      </c>
      <c r="R8" s="100" t="n">
        <f aca="false">Inputs!$E$42*(1+Inputs!$E$44)^(R$5-1)*MAX(0,MIN(1,R$4*1-Inputs!$E$45+1))/1</f>
        <v>7.84</v>
      </c>
      <c r="S8" s="100" t="n">
        <f aca="false">Inputs!$E$42*(1+Inputs!$E$44)^(S$5-1)*MAX(0,MIN(1,S$4*1-Inputs!$E$45+1))/1</f>
        <v>7.84</v>
      </c>
      <c r="T8" s="100" t="n">
        <f aca="false">Inputs!$E$42*(1+Inputs!$E$44)^(T$5-1)*MAX(0,MIN(1,T$4*1-Inputs!$E$45+1))/1</f>
        <v>7.84</v>
      </c>
      <c r="U8" s="100" t="n">
        <f aca="false">Inputs!$E$42*(1+Inputs!$E$44)^(U$5-1)*MAX(0,MIN(1,U$4*1-Inputs!$E$45+1))/1</f>
        <v>7.84</v>
      </c>
      <c r="V8" s="100" t="n">
        <f aca="false">Inputs!$E$42*(1+Inputs!$E$44)^(V$5-1)*MAX(0,MIN(1,V$4*1-Inputs!$E$45+1))/1</f>
        <v>7.84</v>
      </c>
      <c r="W8" s="100" t="n">
        <f aca="false">Inputs!$E$42*(1+Inputs!$E$44)^(W$5-1)*MAX(0,MIN(1,W$4*1-Inputs!$E$45+1))/1</f>
        <v>7.84</v>
      </c>
      <c r="X8" s="100" t="n">
        <f aca="false">Inputs!$E$42*(1+Inputs!$E$44)^(X$5-1)*MAX(0,MIN(1,X$4*1-Inputs!$E$45+1))/1</f>
        <v>7.84</v>
      </c>
      <c r="Y8" s="100" t="n">
        <f aca="false">Inputs!$E$42*(1+Inputs!$E$44)^(Y$5-1)*MAX(0,MIN(1,Y$4*1-Inputs!$E$45+1))/1</f>
        <v>7.84</v>
      </c>
      <c r="Z8" s="100" t="n">
        <f aca="false">Inputs!$E$42*(1+Inputs!$E$44)^(Z$5-1)*MAX(0,MIN(1,Z$4*1-Inputs!$E$45+1))/1</f>
        <v>7.84</v>
      </c>
      <c r="AA8" s="100" t="n">
        <f aca="false">Inputs!$E$42*(1+Inputs!$E$44)^(AA$5-1)*MAX(0,MIN(1,AA$4*1-Inputs!$E$45+1))/1</f>
        <v>8.7808</v>
      </c>
      <c r="AB8" s="100" t="n">
        <f aca="false">Inputs!$E$42*(1+Inputs!$E$44)^(AB$5-1)*MAX(0,MIN(1,AB$4*1-Inputs!$E$45+1))/1</f>
        <v>8.7808</v>
      </c>
      <c r="AC8" s="100" t="n">
        <f aca="false">Inputs!$E$42*(1+Inputs!$E$44)^(AC$5-1)*MAX(0,MIN(1,AC$4*1-Inputs!$E$45+1))/1</f>
        <v>8.7808</v>
      </c>
      <c r="AD8" s="100" t="n">
        <f aca="false">Inputs!$E$42*(1+Inputs!$E$44)^(AD$5-1)*MAX(0,MIN(1,AD$4*1-Inputs!$E$45+1))/1</f>
        <v>8.7808</v>
      </c>
      <c r="AE8" s="100" t="n">
        <f aca="false">Inputs!$E$42*(1+Inputs!$E$44)^(AE$5-1)*MAX(0,MIN(1,AE$4*1-Inputs!$E$45+1))/1</f>
        <v>8.7808</v>
      </c>
      <c r="AF8" s="100" t="n">
        <f aca="false">Inputs!$E$42*(1+Inputs!$E$44)^(AF$5-1)*MAX(0,MIN(1,AF$4*1-Inputs!$E$45+1))/1</f>
        <v>8.7808</v>
      </c>
      <c r="AG8" s="100" t="n">
        <f aca="false">Inputs!$E$42*(1+Inputs!$E$44)^(AG$5-1)*MAX(0,MIN(1,AG$4*1-Inputs!$E$45+1))/1</f>
        <v>8.7808</v>
      </c>
      <c r="AH8" s="100" t="n">
        <f aca="false">Inputs!$E$42*(1+Inputs!$E$44)^(AH$5-1)*MAX(0,MIN(1,AH$4*1-Inputs!$E$45+1))/1</f>
        <v>8.7808</v>
      </c>
      <c r="AI8" s="100" t="n">
        <f aca="false">Inputs!$E$42*(1+Inputs!$E$44)^(AI$5-1)*MAX(0,MIN(1,AI$4*1-Inputs!$E$45+1))/1</f>
        <v>8.7808</v>
      </c>
      <c r="AJ8" s="100" t="n">
        <f aca="false">Inputs!$E$42*(1+Inputs!$E$44)^(AJ$5-1)*MAX(0,MIN(1,AJ$4*1-Inputs!$E$45+1))/1</f>
        <v>8.7808</v>
      </c>
      <c r="AK8" s="100" t="n">
        <f aca="false">Inputs!$E$42*(1+Inputs!$E$44)^(AK$5-1)*MAX(0,MIN(1,AK$4*1-Inputs!$E$45+1))/1</f>
        <v>8.7808</v>
      </c>
      <c r="AL8" s="100" t="n">
        <f aca="false">Inputs!$E$42*(1+Inputs!$E$44)^(AL$5-1)*MAX(0,MIN(1,AL$4*1-Inputs!$E$45+1))/1</f>
        <v>8.7808</v>
      </c>
      <c r="AM8" s="100" t="n">
        <f aca="false">Inputs!$E$42*(1+Inputs!$E$44)^(AM$5-1)*MAX(0,MIN(1,AM$4*1-Inputs!$E$45+1))/1</f>
        <v>9.834496</v>
      </c>
      <c r="AN8" s="100" t="n">
        <f aca="false">Inputs!$E$42*(1+Inputs!$E$44)^(AN$5-1)*MAX(0,MIN(1,AN$4*1-Inputs!$E$45+1))/1</f>
        <v>9.834496</v>
      </c>
      <c r="AO8" s="100" t="n">
        <f aca="false">Inputs!$E$42*(1+Inputs!$E$44)^(AO$5-1)*MAX(0,MIN(1,AO$4*1-Inputs!$E$45+1))/1</f>
        <v>9.834496</v>
      </c>
      <c r="AP8" s="100" t="n">
        <f aca="false">Inputs!$E$42*(1+Inputs!$E$44)^(AP$5-1)*MAX(0,MIN(1,AP$4*1-Inputs!$E$45+1))/1</f>
        <v>9.834496</v>
      </c>
      <c r="AQ8" s="100" t="n">
        <f aca="false">Inputs!$E$42*(1+Inputs!$E$44)^(AQ$5-1)*MAX(0,MIN(1,AQ$4*1-Inputs!$E$45+1))/1</f>
        <v>9.834496</v>
      </c>
      <c r="AR8" s="100" t="n">
        <f aca="false">Inputs!$E$42*(1+Inputs!$E$44)^(AR$5-1)*MAX(0,MIN(1,AR$4*1-Inputs!$E$45+1))/1</f>
        <v>9.834496</v>
      </c>
      <c r="AS8" s="100" t="n">
        <f aca="false">Inputs!$E$42*(1+Inputs!$E$44)^(AS$5-1)*MAX(0,MIN(1,AS$4*1-Inputs!$E$45+1))/1</f>
        <v>9.834496</v>
      </c>
      <c r="AT8" s="100" t="n">
        <f aca="false">Inputs!$E$42*(1+Inputs!$E$44)^(AT$5-1)*MAX(0,MIN(1,AT$4*1-Inputs!$E$45+1))/1</f>
        <v>9.834496</v>
      </c>
      <c r="AU8" s="100" t="n">
        <f aca="false">Inputs!$E$42*(1+Inputs!$E$44)^(AU$5-1)*MAX(0,MIN(1,AU$4*1-Inputs!$E$45+1))/1</f>
        <v>9.834496</v>
      </c>
      <c r="AV8" s="100" t="n">
        <f aca="false">Inputs!$E$42*(1+Inputs!$E$44)^(AV$5-1)*MAX(0,MIN(1,AV$4*1-Inputs!$E$45+1))/1</f>
        <v>9.834496</v>
      </c>
      <c r="AW8" s="100" t="n">
        <f aca="false">Inputs!$E$42*(1+Inputs!$E$44)^(AW$5-1)*MAX(0,MIN(1,AW$4*1-Inputs!$E$45+1))/1</f>
        <v>9.834496</v>
      </c>
      <c r="AX8" s="100" t="n">
        <f aca="false">Inputs!$E$42*(1+Inputs!$E$44)^(AX$5-1)*MAX(0,MIN(1,AX$4*1-Inputs!$E$45+1))/1</f>
        <v>9.834496</v>
      </c>
      <c r="AY8" s="100" t="n">
        <f aca="false">Inputs!$E$42*(1+Inputs!$E$44)^(AY$5-1)*MAX(0,MIN(1,AY$4*1-Inputs!$E$45+1))/1</f>
        <v>11.01463552</v>
      </c>
      <c r="AZ8" s="100" t="n">
        <f aca="false">Inputs!$E$42*(1+Inputs!$E$44)^(AZ$5-1)*MAX(0,MIN(1,AZ$4*1-Inputs!$E$45+1))/1</f>
        <v>11.01463552</v>
      </c>
      <c r="BA8" s="100" t="n">
        <f aca="false">Inputs!$E$42*(1+Inputs!$E$44)^(BA$5-1)*MAX(0,MIN(1,BA$4*1-Inputs!$E$45+1))/1</f>
        <v>11.01463552</v>
      </c>
      <c r="BB8" s="100" t="n">
        <f aca="false">Inputs!$E$42*(1+Inputs!$E$44)^(BB$5-1)*MAX(0,MIN(1,BB$4*1-Inputs!$E$45+1))/1</f>
        <v>11.01463552</v>
      </c>
      <c r="BC8" s="100" t="n">
        <f aca="false">Inputs!$E$42*(1+Inputs!$E$44)^(BC$5-1)*MAX(0,MIN(1,BC$4*1-Inputs!$E$45+1))/1</f>
        <v>11.01463552</v>
      </c>
      <c r="BD8" s="100" t="n">
        <f aca="false">Inputs!$E$42*(1+Inputs!$E$44)^(BD$5-1)*MAX(0,MIN(1,BD$4*1-Inputs!$E$45+1))/1</f>
        <v>11.01463552</v>
      </c>
      <c r="BE8" s="100" t="n">
        <f aca="false">Inputs!$E$42*(1+Inputs!$E$44)^(BE$5-1)*MAX(0,MIN(1,BE$4*1-Inputs!$E$45+1))/1</f>
        <v>11.01463552</v>
      </c>
      <c r="BF8" s="100" t="n">
        <f aca="false">Inputs!$E$42*(1+Inputs!$E$44)^(BF$5-1)*MAX(0,MIN(1,BF$4*1-Inputs!$E$45+1))/1</f>
        <v>11.01463552</v>
      </c>
      <c r="BG8" s="100" t="n">
        <f aca="false">Inputs!$E$42*(1+Inputs!$E$44)^(BG$5-1)*MAX(0,MIN(1,BG$4*1-Inputs!$E$45+1))/1</f>
        <v>11.01463552</v>
      </c>
      <c r="BH8" s="100" t="n">
        <f aca="false">Inputs!$E$42*(1+Inputs!$E$44)^(BH$5-1)*MAX(0,MIN(1,BH$4*1-Inputs!$E$45+1))/1</f>
        <v>11.01463552</v>
      </c>
      <c r="BI8" s="100" t="n">
        <f aca="false">Inputs!$E$42*(1+Inputs!$E$44)^(BI$5-1)*MAX(0,MIN(1,BI$4*1-Inputs!$E$45+1))/1</f>
        <v>11.01463552</v>
      </c>
      <c r="BJ8" s="100" t="n">
        <f aca="false">Inputs!$E$42*(1+Inputs!$E$44)^(BJ$5-1)*MAX(0,MIN(1,BJ$4*1-Inputs!$E$45+1))/1</f>
        <v>11.01463552</v>
      </c>
    </row>
    <row r="9" customFormat="false" ht="15" hidden="false" customHeight="false" outlineLevel="0" collapsed="false">
      <c r="A9" s="6" t="s">
        <v>388</v>
      </c>
      <c r="C9" s="100" t="n">
        <f aca="false">Inputs!$E$46*(1+Inputs!$E$48)^(C$5-1)*MAX(0,MIN(1,C$4*1-Inputs!$E$49+1))/1</f>
        <v>2</v>
      </c>
      <c r="D9" s="100" t="n">
        <f aca="false">Inputs!$E$46*(1+Inputs!$E$48)^(D$5-1)*MAX(0,MIN(1,D$4*1-Inputs!$E$49+1))/1</f>
        <v>2</v>
      </c>
      <c r="E9" s="100" t="n">
        <f aca="false">Inputs!$E$46*(1+Inputs!$E$48)^(E$5-1)*MAX(0,MIN(1,E$4*1-Inputs!$E$49+1))/1</f>
        <v>2</v>
      </c>
      <c r="F9" s="100" t="n">
        <f aca="false">Inputs!$E$46*(1+Inputs!$E$48)^(F$5-1)*MAX(0,MIN(1,F$4*1-Inputs!$E$49+1))/1</f>
        <v>2</v>
      </c>
      <c r="G9" s="100" t="n">
        <f aca="false">Inputs!$E$46*(1+Inputs!$E$48)^(G$5-1)*MAX(0,MIN(1,G$4*1-Inputs!$E$49+1))/1</f>
        <v>2</v>
      </c>
      <c r="H9" s="100" t="n">
        <f aca="false">Inputs!$E$46*(1+Inputs!$E$48)^(H$5-1)*MAX(0,MIN(1,H$4*1-Inputs!$E$49+1))/1</f>
        <v>2</v>
      </c>
      <c r="I9" s="100" t="n">
        <f aca="false">Inputs!$E$46*(1+Inputs!$E$48)^(I$5-1)*MAX(0,MIN(1,I$4*1-Inputs!$E$49+1))/1</f>
        <v>2</v>
      </c>
      <c r="J9" s="100" t="n">
        <f aca="false">Inputs!$E$46*(1+Inputs!$E$48)^(J$5-1)*MAX(0,MIN(1,J$4*1-Inputs!$E$49+1))/1</f>
        <v>2</v>
      </c>
      <c r="K9" s="100" t="n">
        <f aca="false">Inputs!$E$46*(1+Inputs!$E$48)^(K$5-1)*MAX(0,MIN(1,K$4*1-Inputs!$E$49+1))/1</f>
        <v>2</v>
      </c>
      <c r="L9" s="100" t="n">
        <f aca="false">Inputs!$E$46*(1+Inputs!$E$48)^(L$5-1)*MAX(0,MIN(1,L$4*1-Inputs!$E$49+1))/1</f>
        <v>2</v>
      </c>
      <c r="M9" s="100" t="n">
        <f aca="false">Inputs!$E$46*(1+Inputs!$E$48)^(M$5-1)*MAX(0,MIN(1,M$4*1-Inputs!$E$49+1))/1</f>
        <v>2</v>
      </c>
      <c r="N9" s="100" t="n">
        <f aca="false">Inputs!$E$46*(1+Inputs!$E$48)^(N$5-1)*MAX(0,MIN(1,N$4*1-Inputs!$E$49+1))/1</f>
        <v>2</v>
      </c>
      <c r="O9" s="100" t="n">
        <f aca="false">Inputs!$E$46*(1+Inputs!$E$48)^(O$5-1)*MAX(0,MIN(1,O$4*1-Inputs!$E$49+1))/1</f>
        <v>2.2</v>
      </c>
      <c r="P9" s="100" t="n">
        <f aca="false">Inputs!$E$46*(1+Inputs!$E$48)^(P$5-1)*MAX(0,MIN(1,P$4*1-Inputs!$E$49+1))/1</f>
        <v>2.2</v>
      </c>
      <c r="Q9" s="100" t="n">
        <f aca="false">Inputs!$E$46*(1+Inputs!$E$48)^(Q$5-1)*MAX(0,MIN(1,Q$4*1-Inputs!$E$49+1))/1</f>
        <v>2.2</v>
      </c>
      <c r="R9" s="100" t="n">
        <f aca="false">Inputs!$E$46*(1+Inputs!$E$48)^(R$5-1)*MAX(0,MIN(1,R$4*1-Inputs!$E$49+1))/1</f>
        <v>2.2</v>
      </c>
      <c r="S9" s="100" t="n">
        <f aca="false">Inputs!$E$46*(1+Inputs!$E$48)^(S$5-1)*MAX(0,MIN(1,S$4*1-Inputs!$E$49+1))/1</f>
        <v>2.2</v>
      </c>
      <c r="T9" s="100" t="n">
        <f aca="false">Inputs!$E$46*(1+Inputs!$E$48)^(T$5-1)*MAX(0,MIN(1,T$4*1-Inputs!$E$49+1))/1</f>
        <v>2.2</v>
      </c>
      <c r="U9" s="100" t="n">
        <f aca="false">Inputs!$E$46*(1+Inputs!$E$48)^(U$5-1)*MAX(0,MIN(1,U$4*1-Inputs!$E$49+1))/1</f>
        <v>2.2</v>
      </c>
      <c r="V9" s="100" t="n">
        <f aca="false">Inputs!$E$46*(1+Inputs!$E$48)^(V$5-1)*MAX(0,MIN(1,V$4*1-Inputs!$E$49+1))/1</f>
        <v>2.2</v>
      </c>
      <c r="W9" s="100" t="n">
        <f aca="false">Inputs!$E$46*(1+Inputs!$E$48)^(W$5-1)*MAX(0,MIN(1,W$4*1-Inputs!$E$49+1))/1</f>
        <v>2.2</v>
      </c>
      <c r="X9" s="100" t="n">
        <f aca="false">Inputs!$E$46*(1+Inputs!$E$48)^(X$5-1)*MAX(0,MIN(1,X$4*1-Inputs!$E$49+1))/1</f>
        <v>2.2</v>
      </c>
      <c r="Y9" s="100" t="n">
        <f aca="false">Inputs!$E$46*(1+Inputs!$E$48)^(Y$5-1)*MAX(0,MIN(1,Y$4*1-Inputs!$E$49+1))/1</f>
        <v>2.2</v>
      </c>
      <c r="Z9" s="100" t="n">
        <f aca="false">Inputs!$E$46*(1+Inputs!$E$48)^(Z$5-1)*MAX(0,MIN(1,Z$4*1-Inputs!$E$49+1))/1</f>
        <v>2.2</v>
      </c>
      <c r="AA9" s="100" t="n">
        <f aca="false">Inputs!$E$46*(1+Inputs!$E$48)^(AA$5-1)*MAX(0,MIN(1,AA$4*1-Inputs!$E$49+1))/1</f>
        <v>2.42</v>
      </c>
      <c r="AB9" s="100" t="n">
        <f aca="false">Inputs!$E$46*(1+Inputs!$E$48)^(AB$5-1)*MAX(0,MIN(1,AB$4*1-Inputs!$E$49+1))/1</f>
        <v>2.42</v>
      </c>
      <c r="AC9" s="100" t="n">
        <f aca="false">Inputs!$E$46*(1+Inputs!$E$48)^(AC$5-1)*MAX(0,MIN(1,AC$4*1-Inputs!$E$49+1))/1</f>
        <v>2.42</v>
      </c>
      <c r="AD9" s="100" t="n">
        <f aca="false">Inputs!$E$46*(1+Inputs!$E$48)^(AD$5-1)*MAX(0,MIN(1,AD$4*1-Inputs!$E$49+1))/1</f>
        <v>2.42</v>
      </c>
      <c r="AE9" s="100" t="n">
        <f aca="false">Inputs!$E$46*(1+Inputs!$E$48)^(AE$5-1)*MAX(0,MIN(1,AE$4*1-Inputs!$E$49+1))/1</f>
        <v>2.42</v>
      </c>
      <c r="AF9" s="100" t="n">
        <f aca="false">Inputs!$E$46*(1+Inputs!$E$48)^(AF$5-1)*MAX(0,MIN(1,AF$4*1-Inputs!$E$49+1))/1</f>
        <v>2.42</v>
      </c>
      <c r="AG9" s="100" t="n">
        <f aca="false">Inputs!$E$46*(1+Inputs!$E$48)^(AG$5-1)*MAX(0,MIN(1,AG$4*1-Inputs!$E$49+1))/1</f>
        <v>2.42</v>
      </c>
      <c r="AH9" s="100" t="n">
        <f aca="false">Inputs!$E$46*(1+Inputs!$E$48)^(AH$5-1)*MAX(0,MIN(1,AH$4*1-Inputs!$E$49+1))/1</f>
        <v>2.42</v>
      </c>
      <c r="AI9" s="100" t="n">
        <f aca="false">Inputs!$E$46*(1+Inputs!$E$48)^(AI$5-1)*MAX(0,MIN(1,AI$4*1-Inputs!$E$49+1))/1</f>
        <v>2.42</v>
      </c>
      <c r="AJ9" s="100" t="n">
        <f aca="false">Inputs!$E$46*(1+Inputs!$E$48)^(AJ$5-1)*MAX(0,MIN(1,AJ$4*1-Inputs!$E$49+1))/1</f>
        <v>2.42</v>
      </c>
      <c r="AK9" s="100" t="n">
        <f aca="false">Inputs!$E$46*(1+Inputs!$E$48)^(AK$5-1)*MAX(0,MIN(1,AK$4*1-Inputs!$E$49+1))/1</f>
        <v>2.42</v>
      </c>
      <c r="AL9" s="100" t="n">
        <f aca="false">Inputs!$E$46*(1+Inputs!$E$48)^(AL$5-1)*MAX(0,MIN(1,AL$4*1-Inputs!$E$49+1))/1</f>
        <v>2.42</v>
      </c>
      <c r="AM9" s="100" t="n">
        <f aca="false">Inputs!$E$46*(1+Inputs!$E$48)^(AM$5-1)*MAX(0,MIN(1,AM$4*1-Inputs!$E$49+1))/1</f>
        <v>2.662</v>
      </c>
      <c r="AN9" s="100" t="n">
        <f aca="false">Inputs!$E$46*(1+Inputs!$E$48)^(AN$5-1)*MAX(0,MIN(1,AN$4*1-Inputs!$E$49+1))/1</f>
        <v>2.662</v>
      </c>
      <c r="AO9" s="100" t="n">
        <f aca="false">Inputs!$E$46*(1+Inputs!$E$48)^(AO$5-1)*MAX(0,MIN(1,AO$4*1-Inputs!$E$49+1))/1</f>
        <v>2.662</v>
      </c>
      <c r="AP9" s="100" t="n">
        <f aca="false">Inputs!$E$46*(1+Inputs!$E$48)^(AP$5-1)*MAX(0,MIN(1,AP$4*1-Inputs!$E$49+1))/1</f>
        <v>2.662</v>
      </c>
      <c r="AQ9" s="100" t="n">
        <f aca="false">Inputs!$E$46*(1+Inputs!$E$48)^(AQ$5-1)*MAX(0,MIN(1,AQ$4*1-Inputs!$E$49+1))/1</f>
        <v>2.662</v>
      </c>
      <c r="AR9" s="100" t="n">
        <f aca="false">Inputs!$E$46*(1+Inputs!$E$48)^(AR$5-1)*MAX(0,MIN(1,AR$4*1-Inputs!$E$49+1))/1</f>
        <v>2.662</v>
      </c>
      <c r="AS9" s="100" t="n">
        <f aca="false">Inputs!$E$46*(1+Inputs!$E$48)^(AS$5-1)*MAX(0,MIN(1,AS$4*1-Inputs!$E$49+1))/1</f>
        <v>2.662</v>
      </c>
      <c r="AT9" s="100" t="n">
        <f aca="false">Inputs!$E$46*(1+Inputs!$E$48)^(AT$5-1)*MAX(0,MIN(1,AT$4*1-Inputs!$E$49+1))/1</f>
        <v>2.662</v>
      </c>
      <c r="AU9" s="100" t="n">
        <f aca="false">Inputs!$E$46*(1+Inputs!$E$48)^(AU$5-1)*MAX(0,MIN(1,AU$4*1-Inputs!$E$49+1))/1</f>
        <v>2.662</v>
      </c>
      <c r="AV9" s="100" t="n">
        <f aca="false">Inputs!$E$46*(1+Inputs!$E$48)^(AV$5-1)*MAX(0,MIN(1,AV$4*1-Inputs!$E$49+1))/1</f>
        <v>2.662</v>
      </c>
      <c r="AW9" s="100" t="n">
        <f aca="false">Inputs!$E$46*(1+Inputs!$E$48)^(AW$5-1)*MAX(0,MIN(1,AW$4*1-Inputs!$E$49+1))/1</f>
        <v>2.662</v>
      </c>
      <c r="AX9" s="100" t="n">
        <f aca="false">Inputs!$E$46*(1+Inputs!$E$48)^(AX$5-1)*MAX(0,MIN(1,AX$4*1-Inputs!$E$49+1))/1</f>
        <v>2.662</v>
      </c>
      <c r="AY9" s="100" t="n">
        <f aca="false">Inputs!$E$46*(1+Inputs!$E$48)^(AY$5-1)*MAX(0,MIN(1,AY$4*1-Inputs!$E$49+1))/1</f>
        <v>2.9282</v>
      </c>
      <c r="AZ9" s="100" t="n">
        <f aca="false">Inputs!$E$46*(1+Inputs!$E$48)^(AZ$5-1)*MAX(0,MIN(1,AZ$4*1-Inputs!$E$49+1))/1</f>
        <v>2.9282</v>
      </c>
      <c r="BA9" s="100" t="n">
        <f aca="false">Inputs!$E$46*(1+Inputs!$E$48)^(BA$5-1)*MAX(0,MIN(1,BA$4*1-Inputs!$E$49+1))/1</f>
        <v>2.9282</v>
      </c>
      <c r="BB9" s="100" t="n">
        <f aca="false">Inputs!$E$46*(1+Inputs!$E$48)^(BB$5-1)*MAX(0,MIN(1,BB$4*1-Inputs!$E$49+1))/1</f>
        <v>2.9282</v>
      </c>
      <c r="BC9" s="100" t="n">
        <f aca="false">Inputs!$E$46*(1+Inputs!$E$48)^(BC$5-1)*MAX(0,MIN(1,BC$4*1-Inputs!$E$49+1))/1</f>
        <v>2.9282</v>
      </c>
      <c r="BD9" s="100" t="n">
        <f aca="false">Inputs!$E$46*(1+Inputs!$E$48)^(BD$5-1)*MAX(0,MIN(1,BD$4*1-Inputs!$E$49+1))/1</f>
        <v>2.9282</v>
      </c>
      <c r="BE9" s="100" t="n">
        <f aca="false">Inputs!$E$46*(1+Inputs!$E$48)^(BE$5-1)*MAX(0,MIN(1,BE$4*1-Inputs!$E$49+1))/1</f>
        <v>2.9282</v>
      </c>
      <c r="BF9" s="100" t="n">
        <f aca="false">Inputs!$E$46*(1+Inputs!$E$48)^(BF$5-1)*MAX(0,MIN(1,BF$4*1-Inputs!$E$49+1))/1</f>
        <v>2.9282</v>
      </c>
      <c r="BG9" s="100" t="n">
        <f aca="false">Inputs!$E$46*(1+Inputs!$E$48)^(BG$5-1)*MAX(0,MIN(1,BG$4*1-Inputs!$E$49+1))/1</f>
        <v>2.9282</v>
      </c>
      <c r="BH9" s="100" t="n">
        <f aca="false">Inputs!$E$46*(1+Inputs!$E$48)^(BH$5-1)*MAX(0,MIN(1,BH$4*1-Inputs!$E$49+1))/1</f>
        <v>2.9282</v>
      </c>
      <c r="BI9" s="100" t="n">
        <f aca="false">Inputs!$E$46*(1+Inputs!$E$48)^(BI$5-1)*MAX(0,MIN(1,BI$4*1-Inputs!$E$49+1))/1</f>
        <v>2.9282</v>
      </c>
      <c r="BJ9" s="100" t="n">
        <f aca="false">Inputs!$E$46*(1+Inputs!$E$48)^(BJ$5-1)*MAX(0,MIN(1,BJ$4*1-Inputs!$E$49+1))/1</f>
        <v>2.9282</v>
      </c>
    </row>
    <row r="10" customFormat="false" ht="15" hidden="false" customHeight="false" outlineLevel="0" collapsed="false">
      <c r="A10" s="95" t="s">
        <v>389</v>
      </c>
      <c r="C10" s="104" t="n">
        <f aca="false">C8+C9</f>
        <v>9</v>
      </c>
      <c r="D10" s="104" t="n">
        <f aca="false">D8+D9</f>
        <v>9</v>
      </c>
      <c r="E10" s="104" t="n">
        <f aca="false">E8+E9</f>
        <v>9</v>
      </c>
      <c r="F10" s="104" t="n">
        <f aca="false">F8+F9</f>
        <v>9</v>
      </c>
      <c r="G10" s="104" t="n">
        <f aca="false">G8+G9</f>
        <v>9</v>
      </c>
      <c r="H10" s="104" t="n">
        <f aca="false">H8+H9</f>
        <v>9</v>
      </c>
      <c r="I10" s="104" t="n">
        <f aca="false">I8+I9</f>
        <v>9</v>
      </c>
      <c r="J10" s="104" t="n">
        <f aca="false">J8+J9</f>
        <v>9</v>
      </c>
      <c r="K10" s="104" t="n">
        <f aca="false">K8+K9</f>
        <v>9</v>
      </c>
      <c r="L10" s="104" t="n">
        <f aca="false">L8+L9</f>
        <v>9</v>
      </c>
      <c r="M10" s="104" t="n">
        <f aca="false">M8+M9</f>
        <v>9</v>
      </c>
      <c r="N10" s="104" t="n">
        <f aca="false">N8+N9</f>
        <v>9</v>
      </c>
      <c r="O10" s="104" t="n">
        <f aca="false">O8+O9</f>
        <v>10.04</v>
      </c>
      <c r="P10" s="104" t="n">
        <f aca="false">P8+P9</f>
        <v>10.04</v>
      </c>
      <c r="Q10" s="104" t="n">
        <f aca="false">Q8+Q9</f>
        <v>10.04</v>
      </c>
      <c r="R10" s="104" t="n">
        <f aca="false">R8+R9</f>
        <v>10.04</v>
      </c>
      <c r="S10" s="104" t="n">
        <f aca="false">S8+S9</f>
        <v>10.04</v>
      </c>
      <c r="T10" s="104" t="n">
        <f aca="false">T8+T9</f>
        <v>10.04</v>
      </c>
      <c r="U10" s="104" t="n">
        <f aca="false">U8+U9</f>
        <v>10.04</v>
      </c>
      <c r="V10" s="104" t="n">
        <f aca="false">V8+V9</f>
        <v>10.04</v>
      </c>
      <c r="W10" s="104" t="n">
        <f aca="false">W8+W9</f>
        <v>10.04</v>
      </c>
      <c r="X10" s="104" t="n">
        <f aca="false">X8+X9</f>
        <v>10.04</v>
      </c>
      <c r="Y10" s="104" t="n">
        <f aca="false">Y8+Y9</f>
        <v>10.04</v>
      </c>
      <c r="Z10" s="104" t="n">
        <f aca="false">Z8+Z9</f>
        <v>10.04</v>
      </c>
      <c r="AA10" s="104" t="n">
        <f aca="false">AA8+AA9</f>
        <v>11.2008</v>
      </c>
      <c r="AB10" s="104" t="n">
        <f aca="false">AB8+AB9</f>
        <v>11.2008</v>
      </c>
      <c r="AC10" s="104" t="n">
        <f aca="false">AC8+AC9</f>
        <v>11.2008</v>
      </c>
      <c r="AD10" s="104" t="n">
        <f aca="false">AD8+AD9</f>
        <v>11.2008</v>
      </c>
      <c r="AE10" s="104" t="n">
        <f aca="false">AE8+AE9</f>
        <v>11.2008</v>
      </c>
      <c r="AF10" s="104" t="n">
        <f aca="false">AF8+AF9</f>
        <v>11.2008</v>
      </c>
      <c r="AG10" s="104" t="n">
        <f aca="false">AG8+AG9</f>
        <v>11.2008</v>
      </c>
      <c r="AH10" s="104" t="n">
        <f aca="false">AH8+AH9</f>
        <v>11.2008</v>
      </c>
      <c r="AI10" s="104" t="n">
        <f aca="false">AI8+AI9</f>
        <v>11.2008</v>
      </c>
      <c r="AJ10" s="104" t="n">
        <f aca="false">AJ8+AJ9</f>
        <v>11.2008</v>
      </c>
      <c r="AK10" s="104" t="n">
        <f aca="false">AK8+AK9</f>
        <v>11.2008</v>
      </c>
      <c r="AL10" s="104" t="n">
        <f aca="false">AL8+AL9</f>
        <v>11.2008</v>
      </c>
      <c r="AM10" s="104" t="n">
        <f aca="false">AM8+AM9</f>
        <v>12.496496</v>
      </c>
      <c r="AN10" s="104" t="n">
        <f aca="false">AN8+AN9</f>
        <v>12.496496</v>
      </c>
      <c r="AO10" s="104" t="n">
        <f aca="false">AO8+AO9</f>
        <v>12.496496</v>
      </c>
      <c r="AP10" s="104" t="n">
        <f aca="false">AP8+AP9</f>
        <v>12.496496</v>
      </c>
      <c r="AQ10" s="104" t="n">
        <f aca="false">AQ8+AQ9</f>
        <v>12.496496</v>
      </c>
      <c r="AR10" s="104" t="n">
        <f aca="false">AR8+AR9</f>
        <v>12.496496</v>
      </c>
      <c r="AS10" s="104" t="n">
        <f aca="false">AS8+AS9</f>
        <v>12.496496</v>
      </c>
      <c r="AT10" s="104" t="n">
        <f aca="false">AT8+AT9</f>
        <v>12.496496</v>
      </c>
      <c r="AU10" s="104" t="n">
        <f aca="false">AU8+AU9</f>
        <v>12.496496</v>
      </c>
      <c r="AV10" s="104" t="n">
        <f aca="false">AV8+AV9</f>
        <v>12.496496</v>
      </c>
      <c r="AW10" s="104" t="n">
        <f aca="false">AW8+AW9</f>
        <v>12.496496</v>
      </c>
      <c r="AX10" s="104" t="n">
        <f aca="false">AX8+AX9</f>
        <v>12.496496</v>
      </c>
      <c r="AY10" s="104" t="n">
        <f aca="false">AY8+AY9</f>
        <v>13.94283552</v>
      </c>
      <c r="AZ10" s="104" t="n">
        <f aca="false">AZ8+AZ9</f>
        <v>13.94283552</v>
      </c>
      <c r="BA10" s="104" t="n">
        <f aca="false">BA8+BA9</f>
        <v>13.94283552</v>
      </c>
      <c r="BB10" s="104" t="n">
        <f aca="false">BB8+BB9</f>
        <v>13.94283552</v>
      </c>
      <c r="BC10" s="104" t="n">
        <f aca="false">BC8+BC9</f>
        <v>13.94283552</v>
      </c>
      <c r="BD10" s="104" t="n">
        <f aca="false">BD8+BD9</f>
        <v>13.94283552</v>
      </c>
      <c r="BE10" s="104" t="n">
        <f aca="false">BE8+BE9</f>
        <v>13.94283552</v>
      </c>
      <c r="BF10" s="104" t="n">
        <f aca="false">BF8+BF9</f>
        <v>13.94283552</v>
      </c>
      <c r="BG10" s="104" t="n">
        <f aca="false">BG8+BG9</f>
        <v>13.94283552</v>
      </c>
      <c r="BH10" s="104" t="n">
        <f aca="false">BH8+BH9</f>
        <v>13.94283552</v>
      </c>
      <c r="BI10" s="104" t="n">
        <f aca="false">BI8+BI9</f>
        <v>13.94283552</v>
      </c>
      <c r="BJ10" s="104" t="n">
        <f aca="false">BJ8+BJ9</f>
        <v>13.94283552</v>
      </c>
    </row>
    <row r="12" customFormat="false" ht="15.75" hidden="false" customHeight="true" outlineLevel="0" collapsed="false">
      <c r="A12" s="7" t="s">
        <v>390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391</v>
      </c>
      <c r="C13" s="53" t="n">
        <f aca="false">-C8*Inputs!$E$43/12*1*(1+Inputs!$E$50)*(1+Inputs!$E$51)^(C$5-1)</f>
        <v>-41591.6666666667</v>
      </c>
      <c r="D13" s="53" t="n">
        <f aca="false">-D8*Inputs!$E$43/12*1*(1+Inputs!$E$50)*(1+Inputs!$E$51)^(D$5-1)</f>
        <v>-41591.6666666667</v>
      </c>
      <c r="E13" s="53" t="n">
        <f aca="false">-E8*Inputs!$E$43/12*1*(1+Inputs!$E$50)*(1+Inputs!$E$51)^(E$5-1)</f>
        <v>-41591.6666666667</v>
      </c>
      <c r="F13" s="53" t="n">
        <f aca="false">-F8*Inputs!$E$43/12*1*(1+Inputs!$E$50)*(1+Inputs!$E$51)^(F$5-1)</f>
        <v>-41591.6666666667</v>
      </c>
      <c r="G13" s="53" t="n">
        <f aca="false">-G8*Inputs!$E$43/12*1*(1+Inputs!$E$50)*(1+Inputs!$E$51)^(G$5-1)</f>
        <v>-41591.6666666667</v>
      </c>
      <c r="H13" s="53" t="n">
        <f aca="false">-H8*Inputs!$E$43/12*1*(1+Inputs!$E$50)*(1+Inputs!$E$51)^(H$5-1)</f>
        <v>-41591.6666666667</v>
      </c>
      <c r="I13" s="53" t="n">
        <f aca="false">-I8*Inputs!$E$43/12*1*(1+Inputs!$E$50)*(1+Inputs!$E$51)^(I$5-1)</f>
        <v>-41591.6666666667</v>
      </c>
      <c r="J13" s="53" t="n">
        <f aca="false">-J8*Inputs!$E$43/12*1*(1+Inputs!$E$50)*(1+Inputs!$E$51)^(J$5-1)</f>
        <v>-41591.6666666667</v>
      </c>
      <c r="K13" s="53" t="n">
        <f aca="false">-K8*Inputs!$E$43/12*1*(1+Inputs!$E$50)*(1+Inputs!$E$51)^(K$5-1)</f>
        <v>-41591.6666666667</v>
      </c>
      <c r="L13" s="53" t="n">
        <f aca="false">-L8*Inputs!$E$43/12*1*(1+Inputs!$E$50)*(1+Inputs!$E$51)^(L$5-1)</f>
        <v>-41591.6666666667</v>
      </c>
      <c r="M13" s="53" t="n">
        <f aca="false">-M8*Inputs!$E$43/12*1*(1+Inputs!$E$50)*(1+Inputs!$E$51)^(M$5-1)</f>
        <v>-41591.6666666667</v>
      </c>
      <c r="N13" s="53" t="n">
        <f aca="false">-N8*Inputs!$E$43/12*1*(1+Inputs!$E$50)*(1+Inputs!$E$51)^(N$5-1)</f>
        <v>-41591.6666666667</v>
      </c>
      <c r="O13" s="53" t="n">
        <f aca="false">-O8*Inputs!$E$43/12*1*(1+Inputs!$E$50)*(1+Inputs!$E$51)^(O$5-1)</f>
        <v>-47980.1466666667</v>
      </c>
      <c r="P13" s="53" t="n">
        <f aca="false">-P8*Inputs!$E$43/12*1*(1+Inputs!$E$50)*(1+Inputs!$E$51)^(P$5-1)</f>
        <v>-47980.1466666667</v>
      </c>
      <c r="Q13" s="53" t="n">
        <f aca="false">-Q8*Inputs!$E$43/12*1*(1+Inputs!$E$50)*(1+Inputs!$E$51)^(Q$5-1)</f>
        <v>-47980.1466666667</v>
      </c>
      <c r="R13" s="53" t="n">
        <f aca="false">-R8*Inputs!$E$43/12*1*(1+Inputs!$E$50)*(1+Inputs!$E$51)^(R$5-1)</f>
        <v>-47980.1466666667</v>
      </c>
      <c r="S13" s="53" t="n">
        <f aca="false">-S8*Inputs!$E$43/12*1*(1+Inputs!$E$50)*(1+Inputs!$E$51)^(S$5-1)</f>
        <v>-47980.1466666667</v>
      </c>
      <c r="T13" s="53" t="n">
        <f aca="false">-T8*Inputs!$E$43/12*1*(1+Inputs!$E$50)*(1+Inputs!$E$51)^(T$5-1)</f>
        <v>-47980.1466666667</v>
      </c>
      <c r="U13" s="53" t="n">
        <f aca="false">-U8*Inputs!$E$43/12*1*(1+Inputs!$E$50)*(1+Inputs!$E$51)^(U$5-1)</f>
        <v>-47980.1466666667</v>
      </c>
      <c r="V13" s="53" t="n">
        <f aca="false">-V8*Inputs!$E$43/12*1*(1+Inputs!$E$50)*(1+Inputs!$E$51)^(V$5-1)</f>
        <v>-47980.1466666667</v>
      </c>
      <c r="W13" s="53" t="n">
        <f aca="false">-W8*Inputs!$E$43/12*1*(1+Inputs!$E$50)*(1+Inputs!$E$51)^(W$5-1)</f>
        <v>-47980.1466666667</v>
      </c>
      <c r="X13" s="53" t="n">
        <f aca="false">-X8*Inputs!$E$43/12*1*(1+Inputs!$E$50)*(1+Inputs!$E$51)^(X$5-1)</f>
        <v>-47980.1466666667</v>
      </c>
      <c r="Y13" s="53" t="n">
        <f aca="false">-Y8*Inputs!$E$43/12*1*(1+Inputs!$E$50)*(1+Inputs!$E$51)^(Y$5-1)</f>
        <v>-47980.1466666667</v>
      </c>
      <c r="Z13" s="53" t="n">
        <f aca="false">-Z8*Inputs!$E$43/12*1*(1+Inputs!$E$50)*(1+Inputs!$E$51)^(Z$5-1)</f>
        <v>-47980.1466666667</v>
      </c>
      <c r="AA13" s="53" t="n">
        <f aca="false">-AA8*Inputs!$E$43/12*1*(1+Inputs!$E$50)*(1+Inputs!$E$51)^(AA$5-1)</f>
        <v>-55349.8971946667</v>
      </c>
      <c r="AB13" s="53" t="n">
        <f aca="false">-AB8*Inputs!$E$43/12*1*(1+Inputs!$E$50)*(1+Inputs!$E$51)^(AB$5-1)</f>
        <v>-55349.8971946667</v>
      </c>
      <c r="AC13" s="53" t="n">
        <f aca="false">-AC8*Inputs!$E$43/12*1*(1+Inputs!$E$50)*(1+Inputs!$E$51)^(AC$5-1)</f>
        <v>-55349.8971946667</v>
      </c>
      <c r="AD13" s="53" t="n">
        <f aca="false">-AD8*Inputs!$E$43/12*1*(1+Inputs!$E$50)*(1+Inputs!$E$51)^(AD$5-1)</f>
        <v>-55349.8971946667</v>
      </c>
      <c r="AE13" s="53" t="n">
        <f aca="false">-AE8*Inputs!$E$43/12*1*(1+Inputs!$E$50)*(1+Inputs!$E$51)^(AE$5-1)</f>
        <v>-55349.8971946667</v>
      </c>
      <c r="AF13" s="53" t="n">
        <f aca="false">-AF8*Inputs!$E$43/12*1*(1+Inputs!$E$50)*(1+Inputs!$E$51)^(AF$5-1)</f>
        <v>-55349.8971946667</v>
      </c>
      <c r="AG13" s="53" t="n">
        <f aca="false">-AG8*Inputs!$E$43/12*1*(1+Inputs!$E$50)*(1+Inputs!$E$51)^(AG$5-1)</f>
        <v>-55349.8971946667</v>
      </c>
      <c r="AH13" s="53" t="n">
        <f aca="false">-AH8*Inputs!$E$43/12*1*(1+Inputs!$E$50)*(1+Inputs!$E$51)^(AH$5-1)</f>
        <v>-55349.8971946667</v>
      </c>
      <c r="AI13" s="53" t="n">
        <f aca="false">-AI8*Inputs!$E$43/12*1*(1+Inputs!$E$50)*(1+Inputs!$E$51)^(AI$5-1)</f>
        <v>-55349.8971946667</v>
      </c>
      <c r="AJ13" s="53" t="n">
        <f aca="false">-AJ8*Inputs!$E$43/12*1*(1+Inputs!$E$50)*(1+Inputs!$E$51)^(AJ$5-1)</f>
        <v>-55349.8971946667</v>
      </c>
      <c r="AK13" s="53" t="n">
        <f aca="false">-AK8*Inputs!$E$43/12*1*(1+Inputs!$E$50)*(1+Inputs!$E$51)^(AK$5-1)</f>
        <v>-55349.8971946667</v>
      </c>
      <c r="AL13" s="53" t="n">
        <f aca="false">-AL8*Inputs!$E$43/12*1*(1+Inputs!$E$50)*(1+Inputs!$E$51)^(AL$5-1)</f>
        <v>-55349.8971946667</v>
      </c>
      <c r="AM13" s="53" t="n">
        <f aca="false">-AM8*Inputs!$E$43/12*1*(1+Inputs!$E$50)*(1+Inputs!$E$51)^(AM$5-1)</f>
        <v>-63851.6414037675</v>
      </c>
      <c r="AN13" s="53" t="n">
        <f aca="false">-AN8*Inputs!$E$43/12*1*(1+Inputs!$E$50)*(1+Inputs!$E$51)^(AN$5-1)</f>
        <v>-63851.6414037675</v>
      </c>
      <c r="AO13" s="53" t="n">
        <f aca="false">-AO8*Inputs!$E$43/12*1*(1+Inputs!$E$50)*(1+Inputs!$E$51)^(AO$5-1)</f>
        <v>-63851.6414037675</v>
      </c>
      <c r="AP13" s="53" t="n">
        <f aca="false">-AP8*Inputs!$E$43/12*1*(1+Inputs!$E$50)*(1+Inputs!$E$51)^(AP$5-1)</f>
        <v>-63851.6414037675</v>
      </c>
      <c r="AQ13" s="53" t="n">
        <f aca="false">-AQ8*Inputs!$E$43/12*1*(1+Inputs!$E$50)*(1+Inputs!$E$51)^(AQ$5-1)</f>
        <v>-63851.6414037675</v>
      </c>
      <c r="AR13" s="53" t="n">
        <f aca="false">-AR8*Inputs!$E$43/12*1*(1+Inputs!$E$50)*(1+Inputs!$E$51)^(AR$5-1)</f>
        <v>-63851.6414037675</v>
      </c>
      <c r="AS13" s="53" t="n">
        <f aca="false">-AS8*Inputs!$E$43/12*1*(1+Inputs!$E$50)*(1+Inputs!$E$51)^(AS$5-1)</f>
        <v>-63851.6414037675</v>
      </c>
      <c r="AT13" s="53" t="n">
        <f aca="false">-AT8*Inputs!$E$43/12*1*(1+Inputs!$E$50)*(1+Inputs!$E$51)^(AT$5-1)</f>
        <v>-63851.6414037675</v>
      </c>
      <c r="AU13" s="53" t="n">
        <f aca="false">-AU8*Inputs!$E$43/12*1*(1+Inputs!$E$50)*(1+Inputs!$E$51)^(AU$5-1)</f>
        <v>-63851.6414037675</v>
      </c>
      <c r="AV13" s="53" t="n">
        <f aca="false">-AV8*Inputs!$E$43/12*1*(1+Inputs!$E$50)*(1+Inputs!$E$51)^(AV$5-1)</f>
        <v>-63851.6414037675</v>
      </c>
      <c r="AW13" s="53" t="n">
        <f aca="false">-AW8*Inputs!$E$43/12*1*(1+Inputs!$E$50)*(1+Inputs!$E$51)^(AW$5-1)</f>
        <v>-63851.6414037675</v>
      </c>
      <c r="AX13" s="53" t="n">
        <f aca="false">-AX8*Inputs!$E$43/12*1*(1+Inputs!$E$50)*(1+Inputs!$E$51)^(AX$5-1)</f>
        <v>-63851.6414037675</v>
      </c>
      <c r="AY13" s="53" t="n">
        <f aca="false">-AY8*Inputs!$E$43/12*1*(1+Inputs!$E$50)*(1+Inputs!$E$51)^(AY$5-1)</f>
        <v>-73659.2535233862</v>
      </c>
      <c r="AZ13" s="53" t="n">
        <f aca="false">-AZ8*Inputs!$E$43/12*1*(1+Inputs!$E$50)*(1+Inputs!$E$51)^(AZ$5-1)</f>
        <v>-73659.2535233862</v>
      </c>
      <c r="BA13" s="53" t="n">
        <f aca="false">-BA8*Inputs!$E$43/12*1*(1+Inputs!$E$50)*(1+Inputs!$E$51)^(BA$5-1)</f>
        <v>-73659.2535233862</v>
      </c>
      <c r="BB13" s="53" t="n">
        <f aca="false">-BB8*Inputs!$E$43/12*1*(1+Inputs!$E$50)*(1+Inputs!$E$51)^(BB$5-1)</f>
        <v>-73659.2535233862</v>
      </c>
      <c r="BC13" s="53" t="n">
        <f aca="false">-BC8*Inputs!$E$43/12*1*(1+Inputs!$E$50)*(1+Inputs!$E$51)^(BC$5-1)</f>
        <v>-73659.2535233862</v>
      </c>
      <c r="BD13" s="53" t="n">
        <f aca="false">-BD8*Inputs!$E$43/12*1*(1+Inputs!$E$50)*(1+Inputs!$E$51)^(BD$5-1)</f>
        <v>-73659.2535233862</v>
      </c>
      <c r="BE13" s="53" t="n">
        <f aca="false">-BE8*Inputs!$E$43/12*1*(1+Inputs!$E$50)*(1+Inputs!$E$51)^(BE$5-1)</f>
        <v>-73659.2535233862</v>
      </c>
      <c r="BF13" s="53" t="n">
        <f aca="false">-BF8*Inputs!$E$43/12*1*(1+Inputs!$E$50)*(1+Inputs!$E$51)^(BF$5-1)</f>
        <v>-73659.2535233862</v>
      </c>
      <c r="BG13" s="53" t="n">
        <f aca="false">-BG8*Inputs!$E$43/12*1*(1+Inputs!$E$50)*(1+Inputs!$E$51)^(BG$5-1)</f>
        <v>-73659.2535233862</v>
      </c>
      <c r="BH13" s="53" t="n">
        <f aca="false">-BH8*Inputs!$E$43/12*1*(1+Inputs!$E$50)*(1+Inputs!$E$51)^(BH$5-1)</f>
        <v>-73659.2535233862</v>
      </c>
      <c r="BI13" s="53" t="n">
        <f aca="false">-BI8*Inputs!$E$43/12*1*(1+Inputs!$E$50)*(1+Inputs!$E$51)^(BI$5-1)</f>
        <v>-73659.2535233862</v>
      </c>
      <c r="BJ13" s="53" t="n">
        <f aca="false">-BJ8*Inputs!$E$43/12*1*(1+Inputs!$E$50)*(1+Inputs!$E$51)^(BJ$5-1)</f>
        <v>-73659.2535233862</v>
      </c>
    </row>
    <row r="14" customFormat="false" ht="15" hidden="false" customHeight="false" outlineLevel="0" collapsed="false">
      <c r="A14" s="6" t="s">
        <v>392</v>
      </c>
      <c r="C14" s="53" t="n">
        <f aca="false">-C9*Inputs!$E$47/12*1*(1+Inputs!$E$50)*(1+Inputs!$E$51)^(C$5-1)</f>
        <v>-8625</v>
      </c>
      <c r="D14" s="53" t="n">
        <f aca="false">-D9*Inputs!$E$47/12*1*(1+Inputs!$E$50)*(1+Inputs!$E$51)^(D$5-1)</f>
        <v>-8625</v>
      </c>
      <c r="E14" s="53" t="n">
        <f aca="false">-E9*Inputs!$E$47/12*1*(1+Inputs!$E$50)*(1+Inputs!$E$51)^(E$5-1)</f>
        <v>-8625</v>
      </c>
      <c r="F14" s="53" t="n">
        <f aca="false">-F9*Inputs!$E$47/12*1*(1+Inputs!$E$50)*(1+Inputs!$E$51)^(F$5-1)</f>
        <v>-8625</v>
      </c>
      <c r="G14" s="53" t="n">
        <f aca="false">-G9*Inputs!$E$47/12*1*(1+Inputs!$E$50)*(1+Inputs!$E$51)^(G$5-1)</f>
        <v>-8625</v>
      </c>
      <c r="H14" s="53" t="n">
        <f aca="false">-H9*Inputs!$E$47/12*1*(1+Inputs!$E$50)*(1+Inputs!$E$51)^(H$5-1)</f>
        <v>-8625</v>
      </c>
      <c r="I14" s="53" t="n">
        <f aca="false">-I9*Inputs!$E$47/12*1*(1+Inputs!$E$50)*(1+Inputs!$E$51)^(I$5-1)</f>
        <v>-8625</v>
      </c>
      <c r="J14" s="53" t="n">
        <f aca="false">-J9*Inputs!$E$47/12*1*(1+Inputs!$E$50)*(1+Inputs!$E$51)^(J$5-1)</f>
        <v>-8625</v>
      </c>
      <c r="K14" s="53" t="n">
        <f aca="false">-K9*Inputs!$E$47/12*1*(1+Inputs!$E$50)*(1+Inputs!$E$51)^(K$5-1)</f>
        <v>-8625</v>
      </c>
      <c r="L14" s="53" t="n">
        <f aca="false">-L9*Inputs!$E$47/12*1*(1+Inputs!$E$50)*(1+Inputs!$E$51)^(L$5-1)</f>
        <v>-8625</v>
      </c>
      <c r="M14" s="53" t="n">
        <f aca="false">-M9*Inputs!$E$47/12*1*(1+Inputs!$E$50)*(1+Inputs!$E$51)^(M$5-1)</f>
        <v>-8625</v>
      </c>
      <c r="N14" s="53" t="n">
        <f aca="false">-N9*Inputs!$E$47/12*1*(1+Inputs!$E$50)*(1+Inputs!$E$51)^(N$5-1)</f>
        <v>-8625</v>
      </c>
      <c r="O14" s="53" t="n">
        <f aca="false">-O9*Inputs!$E$47/12*1*(1+Inputs!$E$50)*(1+Inputs!$E$51)^(O$5-1)</f>
        <v>-9772.125</v>
      </c>
      <c r="P14" s="53" t="n">
        <f aca="false">-P9*Inputs!$E$47/12*1*(1+Inputs!$E$50)*(1+Inputs!$E$51)^(P$5-1)</f>
        <v>-9772.125</v>
      </c>
      <c r="Q14" s="53" t="n">
        <f aca="false">-Q9*Inputs!$E$47/12*1*(1+Inputs!$E$50)*(1+Inputs!$E$51)^(Q$5-1)</f>
        <v>-9772.125</v>
      </c>
      <c r="R14" s="53" t="n">
        <f aca="false">-R9*Inputs!$E$47/12*1*(1+Inputs!$E$50)*(1+Inputs!$E$51)^(R$5-1)</f>
        <v>-9772.125</v>
      </c>
      <c r="S14" s="53" t="n">
        <f aca="false">-S9*Inputs!$E$47/12*1*(1+Inputs!$E$50)*(1+Inputs!$E$51)^(S$5-1)</f>
        <v>-9772.125</v>
      </c>
      <c r="T14" s="53" t="n">
        <f aca="false">-T9*Inputs!$E$47/12*1*(1+Inputs!$E$50)*(1+Inputs!$E$51)^(T$5-1)</f>
        <v>-9772.125</v>
      </c>
      <c r="U14" s="53" t="n">
        <f aca="false">-U9*Inputs!$E$47/12*1*(1+Inputs!$E$50)*(1+Inputs!$E$51)^(U$5-1)</f>
        <v>-9772.125</v>
      </c>
      <c r="V14" s="53" t="n">
        <f aca="false">-V9*Inputs!$E$47/12*1*(1+Inputs!$E$50)*(1+Inputs!$E$51)^(V$5-1)</f>
        <v>-9772.125</v>
      </c>
      <c r="W14" s="53" t="n">
        <f aca="false">-W9*Inputs!$E$47/12*1*(1+Inputs!$E$50)*(1+Inputs!$E$51)^(W$5-1)</f>
        <v>-9772.125</v>
      </c>
      <c r="X14" s="53" t="n">
        <f aca="false">-X9*Inputs!$E$47/12*1*(1+Inputs!$E$50)*(1+Inputs!$E$51)^(X$5-1)</f>
        <v>-9772.125</v>
      </c>
      <c r="Y14" s="53" t="n">
        <f aca="false">-Y9*Inputs!$E$47/12*1*(1+Inputs!$E$50)*(1+Inputs!$E$51)^(Y$5-1)</f>
        <v>-9772.125</v>
      </c>
      <c r="Z14" s="53" t="n">
        <f aca="false">-Z9*Inputs!$E$47/12*1*(1+Inputs!$E$50)*(1+Inputs!$E$51)^(Z$5-1)</f>
        <v>-9772.125</v>
      </c>
      <c r="AA14" s="53" t="n">
        <f aca="false">-AA9*Inputs!$E$47/12*1*(1+Inputs!$E$50)*(1+Inputs!$E$51)^(AA$5-1)</f>
        <v>-11071.817625</v>
      </c>
      <c r="AB14" s="53" t="n">
        <f aca="false">-AB9*Inputs!$E$47/12*1*(1+Inputs!$E$50)*(1+Inputs!$E$51)^(AB$5-1)</f>
        <v>-11071.817625</v>
      </c>
      <c r="AC14" s="53" t="n">
        <f aca="false">-AC9*Inputs!$E$47/12*1*(1+Inputs!$E$50)*(1+Inputs!$E$51)^(AC$5-1)</f>
        <v>-11071.817625</v>
      </c>
      <c r="AD14" s="53" t="n">
        <f aca="false">-AD9*Inputs!$E$47/12*1*(1+Inputs!$E$50)*(1+Inputs!$E$51)^(AD$5-1)</f>
        <v>-11071.817625</v>
      </c>
      <c r="AE14" s="53" t="n">
        <f aca="false">-AE9*Inputs!$E$47/12*1*(1+Inputs!$E$50)*(1+Inputs!$E$51)^(AE$5-1)</f>
        <v>-11071.817625</v>
      </c>
      <c r="AF14" s="53" t="n">
        <f aca="false">-AF9*Inputs!$E$47/12*1*(1+Inputs!$E$50)*(1+Inputs!$E$51)^(AF$5-1)</f>
        <v>-11071.817625</v>
      </c>
      <c r="AG14" s="53" t="n">
        <f aca="false">-AG9*Inputs!$E$47/12*1*(1+Inputs!$E$50)*(1+Inputs!$E$51)^(AG$5-1)</f>
        <v>-11071.817625</v>
      </c>
      <c r="AH14" s="53" t="n">
        <f aca="false">-AH9*Inputs!$E$47/12*1*(1+Inputs!$E$50)*(1+Inputs!$E$51)^(AH$5-1)</f>
        <v>-11071.817625</v>
      </c>
      <c r="AI14" s="53" t="n">
        <f aca="false">-AI9*Inputs!$E$47/12*1*(1+Inputs!$E$50)*(1+Inputs!$E$51)^(AI$5-1)</f>
        <v>-11071.817625</v>
      </c>
      <c r="AJ14" s="53" t="n">
        <f aca="false">-AJ9*Inputs!$E$47/12*1*(1+Inputs!$E$50)*(1+Inputs!$E$51)^(AJ$5-1)</f>
        <v>-11071.817625</v>
      </c>
      <c r="AK14" s="53" t="n">
        <f aca="false">-AK9*Inputs!$E$47/12*1*(1+Inputs!$E$50)*(1+Inputs!$E$51)^(AK$5-1)</f>
        <v>-11071.817625</v>
      </c>
      <c r="AL14" s="53" t="n">
        <f aca="false">-AL9*Inputs!$E$47/12*1*(1+Inputs!$E$50)*(1+Inputs!$E$51)^(AL$5-1)</f>
        <v>-11071.817625</v>
      </c>
      <c r="AM14" s="53" t="n">
        <f aca="false">-AM9*Inputs!$E$47/12*1*(1+Inputs!$E$50)*(1+Inputs!$E$51)^(AM$5-1)</f>
        <v>-12544.369369125</v>
      </c>
      <c r="AN14" s="53" t="n">
        <f aca="false">-AN9*Inputs!$E$47/12*1*(1+Inputs!$E$50)*(1+Inputs!$E$51)^(AN$5-1)</f>
        <v>-12544.369369125</v>
      </c>
      <c r="AO14" s="53" t="n">
        <f aca="false">-AO9*Inputs!$E$47/12*1*(1+Inputs!$E$50)*(1+Inputs!$E$51)^(AO$5-1)</f>
        <v>-12544.369369125</v>
      </c>
      <c r="AP14" s="53" t="n">
        <f aca="false">-AP9*Inputs!$E$47/12*1*(1+Inputs!$E$50)*(1+Inputs!$E$51)^(AP$5-1)</f>
        <v>-12544.369369125</v>
      </c>
      <c r="AQ14" s="53" t="n">
        <f aca="false">-AQ9*Inputs!$E$47/12*1*(1+Inputs!$E$50)*(1+Inputs!$E$51)^(AQ$5-1)</f>
        <v>-12544.369369125</v>
      </c>
      <c r="AR14" s="53" t="n">
        <f aca="false">-AR9*Inputs!$E$47/12*1*(1+Inputs!$E$50)*(1+Inputs!$E$51)^(AR$5-1)</f>
        <v>-12544.369369125</v>
      </c>
      <c r="AS14" s="53" t="n">
        <f aca="false">-AS9*Inputs!$E$47/12*1*(1+Inputs!$E$50)*(1+Inputs!$E$51)^(AS$5-1)</f>
        <v>-12544.369369125</v>
      </c>
      <c r="AT14" s="53" t="n">
        <f aca="false">-AT9*Inputs!$E$47/12*1*(1+Inputs!$E$50)*(1+Inputs!$E$51)^(AT$5-1)</f>
        <v>-12544.369369125</v>
      </c>
      <c r="AU14" s="53" t="n">
        <f aca="false">-AU9*Inputs!$E$47/12*1*(1+Inputs!$E$50)*(1+Inputs!$E$51)^(AU$5-1)</f>
        <v>-12544.369369125</v>
      </c>
      <c r="AV14" s="53" t="n">
        <f aca="false">-AV9*Inputs!$E$47/12*1*(1+Inputs!$E$50)*(1+Inputs!$E$51)^(AV$5-1)</f>
        <v>-12544.369369125</v>
      </c>
      <c r="AW14" s="53" t="n">
        <f aca="false">-AW9*Inputs!$E$47/12*1*(1+Inputs!$E$50)*(1+Inputs!$E$51)^(AW$5-1)</f>
        <v>-12544.369369125</v>
      </c>
      <c r="AX14" s="53" t="n">
        <f aca="false">-AX9*Inputs!$E$47/12*1*(1+Inputs!$E$50)*(1+Inputs!$E$51)^(AX$5-1)</f>
        <v>-12544.369369125</v>
      </c>
      <c r="AY14" s="53" t="n">
        <f aca="false">-AY9*Inputs!$E$47/12*1*(1+Inputs!$E$50)*(1+Inputs!$E$51)^(AY$5-1)</f>
        <v>-14212.7704952186</v>
      </c>
      <c r="AZ14" s="53" t="n">
        <f aca="false">-AZ9*Inputs!$E$47/12*1*(1+Inputs!$E$50)*(1+Inputs!$E$51)^(AZ$5-1)</f>
        <v>-14212.7704952186</v>
      </c>
      <c r="BA14" s="53" t="n">
        <f aca="false">-BA9*Inputs!$E$47/12*1*(1+Inputs!$E$50)*(1+Inputs!$E$51)^(BA$5-1)</f>
        <v>-14212.7704952186</v>
      </c>
      <c r="BB14" s="53" t="n">
        <f aca="false">-BB9*Inputs!$E$47/12*1*(1+Inputs!$E$50)*(1+Inputs!$E$51)^(BB$5-1)</f>
        <v>-14212.7704952186</v>
      </c>
      <c r="BC14" s="53" t="n">
        <f aca="false">-BC9*Inputs!$E$47/12*1*(1+Inputs!$E$50)*(1+Inputs!$E$51)^(BC$5-1)</f>
        <v>-14212.7704952186</v>
      </c>
      <c r="BD14" s="53" t="n">
        <f aca="false">-BD9*Inputs!$E$47/12*1*(1+Inputs!$E$50)*(1+Inputs!$E$51)^(BD$5-1)</f>
        <v>-14212.7704952186</v>
      </c>
      <c r="BE14" s="53" t="n">
        <f aca="false">-BE9*Inputs!$E$47/12*1*(1+Inputs!$E$50)*(1+Inputs!$E$51)^(BE$5-1)</f>
        <v>-14212.7704952186</v>
      </c>
      <c r="BF14" s="53" t="n">
        <f aca="false">-BF9*Inputs!$E$47/12*1*(1+Inputs!$E$50)*(1+Inputs!$E$51)^(BF$5-1)</f>
        <v>-14212.7704952186</v>
      </c>
      <c r="BG14" s="53" t="n">
        <f aca="false">-BG9*Inputs!$E$47/12*1*(1+Inputs!$E$50)*(1+Inputs!$E$51)^(BG$5-1)</f>
        <v>-14212.7704952186</v>
      </c>
      <c r="BH14" s="53" t="n">
        <f aca="false">-BH9*Inputs!$E$47/12*1*(1+Inputs!$E$50)*(1+Inputs!$E$51)^(BH$5-1)</f>
        <v>-14212.7704952186</v>
      </c>
      <c r="BI14" s="53" t="n">
        <f aca="false">-BI9*Inputs!$E$47/12*1*(1+Inputs!$E$50)*(1+Inputs!$E$51)^(BI$5-1)</f>
        <v>-14212.7704952186</v>
      </c>
      <c r="BJ14" s="53" t="n">
        <f aca="false">-BJ9*Inputs!$E$47/12*1*(1+Inputs!$E$50)*(1+Inputs!$E$51)^(BJ$5-1)</f>
        <v>-14212.7704952186</v>
      </c>
    </row>
    <row r="15" customFormat="false" ht="15" hidden="false" customHeight="false" outlineLevel="0" collapsed="false">
      <c r="A15" s="95" t="s">
        <v>393</v>
      </c>
      <c r="C15" s="54" t="n">
        <f aca="false">C13+C14</f>
        <v>-50216.6666666667</v>
      </c>
      <c r="D15" s="54" t="n">
        <f aca="false">D13+D14</f>
        <v>-50216.6666666667</v>
      </c>
      <c r="E15" s="54" t="n">
        <f aca="false">E13+E14</f>
        <v>-50216.6666666667</v>
      </c>
      <c r="F15" s="54" t="n">
        <f aca="false">F13+F14</f>
        <v>-50216.6666666667</v>
      </c>
      <c r="G15" s="54" t="n">
        <f aca="false">G13+G14</f>
        <v>-50216.6666666667</v>
      </c>
      <c r="H15" s="54" t="n">
        <f aca="false">H13+H14</f>
        <v>-50216.6666666667</v>
      </c>
      <c r="I15" s="54" t="n">
        <f aca="false">I13+I14</f>
        <v>-50216.6666666667</v>
      </c>
      <c r="J15" s="54" t="n">
        <f aca="false">J13+J14</f>
        <v>-50216.6666666667</v>
      </c>
      <c r="K15" s="54" t="n">
        <f aca="false">K13+K14</f>
        <v>-50216.6666666667</v>
      </c>
      <c r="L15" s="54" t="n">
        <f aca="false">L13+L14</f>
        <v>-50216.6666666667</v>
      </c>
      <c r="M15" s="54" t="n">
        <f aca="false">M13+M14</f>
        <v>-50216.6666666667</v>
      </c>
      <c r="N15" s="54" t="n">
        <f aca="false">N13+N14</f>
        <v>-50216.6666666667</v>
      </c>
      <c r="O15" s="54" t="n">
        <f aca="false">O13+O14</f>
        <v>-57752.2716666667</v>
      </c>
      <c r="P15" s="54" t="n">
        <f aca="false">P13+P14</f>
        <v>-57752.2716666667</v>
      </c>
      <c r="Q15" s="54" t="n">
        <f aca="false">Q13+Q14</f>
        <v>-57752.2716666667</v>
      </c>
      <c r="R15" s="54" t="n">
        <f aca="false">R13+R14</f>
        <v>-57752.2716666667</v>
      </c>
      <c r="S15" s="54" t="n">
        <f aca="false">S13+S14</f>
        <v>-57752.2716666667</v>
      </c>
      <c r="T15" s="54" t="n">
        <f aca="false">T13+T14</f>
        <v>-57752.2716666667</v>
      </c>
      <c r="U15" s="54" t="n">
        <f aca="false">U13+U14</f>
        <v>-57752.2716666667</v>
      </c>
      <c r="V15" s="54" t="n">
        <f aca="false">V13+V14</f>
        <v>-57752.2716666667</v>
      </c>
      <c r="W15" s="54" t="n">
        <f aca="false">W13+W14</f>
        <v>-57752.2716666667</v>
      </c>
      <c r="X15" s="54" t="n">
        <f aca="false">X13+X14</f>
        <v>-57752.2716666667</v>
      </c>
      <c r="Y15" s="54" t="n">
        <f aca="false">Y13+Y14</f>
        <v>-57752.2716666667</v>
      </c>
      <c r="Z15" s="54" t="n">
        <f aca="false">Z13+Z14</f>
        <v>-57752.2716666667</v>
      </c>
      <c r="AA15" s="54" t="n">
        <f aca="false">AA13+AA14</f>
        <v>-66421.7148196667</v>
      </c>
      <c r="AB15" s="54" t="n">
        <f aca="false">AB13+AB14</f>
        <v>-66421.7148196667</v>
      </c>
      <c r="AC15" s="54" t="n">
        <f aca="false">AC13+AC14</f>
        <v>-66421.7148196667</v>
      </c>
      <c r="AD15" s="54" t="n">
        <f aca="false">AD13+AD14</f>
        <v>-66421.7148196667</v>
      </c>
      <c r="AE15" s="54" t="n">
        <f aca="false">AE13+AE14</f>
        <v>-66421.7148196667</v>
      </c>
      <c r="AF15" s="54" t="n">
        <f aca="false">AF13+AF14</f>
        <v>-66421.7148196667</v>
      </c>
      <c r="AG15" s="54" t="n">
        <f aca="false">AG13+AG14</f>
        <v>-66421.7148196667</v>
      </c>
      <c r="AH15" s="54" t="n">
        <f aca="false">AH13+AH14</f>
        <v>-66421.7148196667</v>
      </c>
      <c r="AI15" s="54" t="n">
        <f aca="false">AI13+AI14</f>
        <v>-66421.7148196667</v>
      </c>
      <c r="AJ15" s="54" t="n">
        <f aca="false">AJ13+AJ14</f>
        <v>-66421.7148196667</v>
      </c>
      <c r="AK15" s="54" t="n">
        <f aca="false">AK13+AK14</f>
        <v>-66421.7148196667</v>
      </c>
      <c r="AL15" s="54" t="n">
        <f aca="false">AL13+AL14</f>
        <v>-66421.7148196667</v>
      </c>
      <c r="AM15" s="54" t="n">
        <f aca="false">AM13+AM14</f>
        <v>-76396.0107728925</v>
      </c>
      <c r="AN15" s="54" t="n">
        <f aca="false">AN13+AN14</f>
        <v>-76396.0107728925</v>
      </c>
      <c r="AO15" s="54" t="n">
        <f aca="false">AO13+AO14</f>
        <v>-76396.0107728925</v>
      </c>
      <c r="AP15" s="54" t="n">
        <f aca="false">AP13+AP14</f>
        <v>-76396.0107728925</v>
      </c>
      <c r="AQ15" s="54" t="n">
        <f aca="false">AQ13+AQ14</f>
        <v>-76396.0107728925</v>
      </c>
      <c r="AR15" s="54" t="n">
        <f aca="false">AR13+AR14</f>
        <v>-76396.0107728925</v>
      </c>
      <c r="AS15" s="54" t="n">
        <f aca="false">AS13+AS14</f>
        <v>-76396.0107728925</v>
      </c>
      <c r="AT15" s="54" t="n">
        <f aca="false">AT13+AT14</f>
        <v>-76396.0107728925</v>
      </c>
      <c r="AU15" s="54" t="n">
        <f aca="false">AU13+AU14</f>
        <v>-76396.0107728925</v>
      </c>
      <c r="AV15" s="54" t="n">
        <f aca="false">AV13+AV14</f>
        <v>-76396.0107728925</v>
      </c>
      <c r="AW15" s="54" t="n">
        <f aca="false">AW13+AW14</f>
        <v>-76396.0107728925</v>
      </c>
      <c r="AX15" s="54" t="n">
        <f aca="false">AX13+AX14</f>
        <v>-76396.0107728925</v>
      </c>
      <c r="AY15" s="54" t="n">
        <f aca="false">AY13+AY14</f>
        <v>-87872.0240186048</v>
      </c>
      <c r="AZ15" s="54" t="n">
        <f aca="false">AZ13+AZ14</f>
        <v>-87872.0240186048</v>
      </c>
      <c r="BA15" s="54" t="n">
        <f aca="false">BA13+BA14</f>
        <v>-87872.0240186048</v>
      </c>
      <c r="BB15" s="54" t="n">
        <f aca="false">BB13+BB14</f>
        <v>-87872.0240186048</v>
      </c>
      <c r="BC15" s="54" t="n">
        <f aca="false">BC13+BC14</f>
        <v>-87872.0240186048</v>
      </c>
      <c r="BD15" s="54" t="n">
        <f aca="false">BD13+BD14</f>
        <v>-87872.0240186048</v>
      </c>
      <c r="BE15" s="54" t="n">
        <f aca="false">BE13+BE14</f>
        <v>-87872.0240186048</v>
      </c>
      <c r="BF15" s="54" t="n">
        <f aca="false">BF13+BF14</f>
        <v>-87872.0240186048</v>
      </c>
      <c r="BG15" s="54" t="n">
        <f aca="false">BG13+BG14</f>
        <v>-87872.0240186048</v>
      </c>
      <c r="BH15" s="54" t="n">
        <f aca="false">BH13+BH14</f>
        <v>-87872.0240186048</v>
      </c>
      <c r="BI15" s="54" t="n">
        <f aca="false">BI13+BI14</f>
        <v>-87872.0240186048</v>
      </c>
      <c r="BJ15" s="54" t="n">
        <f aca="false">BJ13+BJ14</f>
        <v>-87872.0240186048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394</v>
      </c>
    </row>
    <row r="3" customFormat="false" ht="15" hidden="false" customHeight="false" outlineLevel="0" collapsed="false">
      <c r="A3" s="33" t="s">
        <v>395</v>
      </c>
      <c r="B3" s="33" t="s">
        <v>396</v>
      </c>
      <c r="C3" s="33" t="s">
        <v>397</v>
      </c>
    </row>
    <row r="4" customFormat="false" ht="15" hidden="false" customHeight="false" outlineLevel="0" collapsed="false">
      <c r="A4" s="6" t="s">
        <v>398</v>
      </c>
      <c r="B4" s="4" t="str">
        <f aca="false">IF(ABS(SUM('P&amp;L'!$B$5:$F$5)-SUM(Monthly!$C$22:$BJ$22))&lt;0.5,"PASS","FAIL")</f>
        <v>PASS</v>
      </c>
      <c r="C4" s="18" t="s">
        <v>399</v>
      </c>
    </row>
    <row r="5" customFormat="false" ht="15" hidden="false" customHeight="false" outlineLevel="0" collapsed="false">
      <c r="A5" s="6" t="s">
        <v>400</v>
      </c>
      <c r="B5" s="4" t="str">
        <f aca="false">IF(ABS(SUM('P&amp;L'!$B$24:$F$24)-SUM(Monthly!$C$50:$BJ$50))&lt;0.5,"PASS","FAIL")</f>
        <v>PASS</v>
      </c>
      <c r="C5" s="18" t="s">
        <v>401</v>
      </c>
    </row>
    <row r="6" customFormat="false" ht="15" hidden="false" customHeight="false" outlineLevel="0" collapsed="false">
      <c r="A6" s="6" t="s">
        <v>402</v>
      </c>
      <c r="B6" s="4" t="str">
        <f aca="false">IF(ABS(SUM(Monthly!$C$41:$BJ$41)-SUM(Monthly!$C$30:$BJ$30)-SUM(Monthly!$C$40:$BJ$40))&lt;0.5,"PASS","FAIL")</f>
        <v>PASS</v>
      </c>
      <c r="C6" s="18" t="s">
        <v>403</v>
      </c>
    </row>
    <row r="7" customFormat="false" ht="15" hidden="false" customHeight="false" outlineLevel="0" collapsed="false">
      <c r="A7" s="6" t="s">
        <v>404</v>
      </c>
      <c r="B7" s="4" t="str">
        <f aca="false">IF(ABS(INDEX(Monthly!$C$80:$BJ$80,60)-SUM(Monthly!$C$78:$BJ$78))&lt;0.5,"PASS","FAIL")</f>
        <v>PASS</v>
      </c>
      <c r="C7" s="18" t="s">
        <v>405</v>
      </c>
    </row>
    <row r="8" customFormat="false" ht="15" hidden="false" customHeight="false" outlineLevel="0" collapsed="false">
      <c r="A8" s="6" t="s">
        <v>406</v>
      </c>
      <c r="B8" s="4" t="str">
        <f aca="false">IF(AND(ISNUMBER(Dashboard!B4),Dashboard!B4&gt;=1,Dashboard!B4&lt;=3,INT(Dashboard!B4)=Dashboard!B4),"PASS","FAIL")</f>
        <v>PASS</v>
      </c>
      <c r="C8" s="18" t="s">
        <v>407</v>
      </c>
    </row>
    <row r="9" customFormat="false" ht="15" hidden="false" customHeight="false" outlineLevel="0" collapsed="false">
      <c r="A9" s="6" t="s">
        <v>408</v>
      </c>
      <c r="B9" s="4" t="str">
        <f aca="false">IF(AND(Inputs!$B$7&lt;=Inputs!$C$7,Inputs!$C$7&lt;=Inputs!$D$7,Inputs!$B$12&lt;=Inputs!$C$12,Inputs!$C$12&lt;=Inputs!$D$12,Inputs!$B$13&gt;=Inputs!$C$13,Inputs!$C$13&gt;=Inputs!$D$13,Inputs!$B$14&lt;=Inputs!$C$14,Inputs!$C$14&lt;=Inputs!$D$14,Inputs!$B$15&lt;=Inputs!$C$15,Inputs!$C$15&lt;=Inputs!$D$15,Inputs!$B$16&lt;=Inputs!$C$16,Inputs!$C$16&lt;=Inputs!$D$16,Inputs!$B$20&lt;=Inputs!$C$20,Inputs!$C$20&lt;=Inputs!$D$20,Inputs!$B$21&lt;=Inputs!$C$21,Inputs!$C$21&lt;=Inputs!$D$21,Inputs!$B$24&lt;=Inputs!$C$24,Inputs!$C$24&lt;=Inputs!$D$24,Inputs!$B$25&lt;=Inputs!$C$25,Inputs!$C$25&lt;=Inputs!$D$25,Inputs!$B$26&lt;=Inputs!$C$26,Inputs!$C$26&lt;=Inputs!$D$26,Inputs!$B$27&gt;=Inputs!$C$27,Inputs!$C$27&gt;=Inputs!$D$27,Inputs!$B$30&gt;=Inputs!$C$30,Inputs!$C$30&gt;=Inputs!$D$30,Inputs!$B$31&gt;=Inputs!$C$31,Inputs!$C$31&gt;=Inputs!$D$31,Inputs!$B$36&gt;=Inputs!$C$36,Inputs!$C$36&gt;=Inputs!$D$36,Inputs!$B$38&gt;=Inputs!$C$38,Inputs!$C$38&gt;=Inputs!$D$38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409</v>
      </c>
    </row>
    <row r="10" customFormat="false" ht="15" hidden="false" customHeight="false" outlineLevel="0" collapsed="false">
      <c r="A10" s="6" t="s">
        <v>410</v>
      </c>
      <c r="B10" s="4" t="str">
        <f aca="false">IF(AND(MIN('P&amp;L'!$B$8:$F$8)&gt;=0,MAX('P&amp;L'!$B$8:$F$8)&lt;=1),"PASS","FAIL")</f>
        <v>PASS</v>
      </c>
      <c r="C10" s="18" t="s">
        <v>411</v>
      </c>
    </row>
    <row r="11" customFormat="false" ht="15" hidden="false" customHeight="false" outlineLevel="0" collapsed="false">
      <c r="A11" s="6" t="s">
        <v>412</v>
      </c>
      <c r="B11" s="4" t="str">
        <f aca="false">IF(MIN(Monthly!$C$63:$BJ$63)&gt;=-0.5,"PASS","FAIL")</f>
        <v>PASS</v>
      </c>
      <c r="C11" s="18" t="s">
        <v>413</v>
      </c>
    </row>
    <row r="12" customFormat="false" ht="15" hidden="false" customHeight="false" outlineLevel="0" collapsed="false">
      <c r="A12" s="6" t="s">
        <v>414</v>
      </c>
      <c r="B12" s="4" t="str">
        <f aca="false">IF(ABS('Break-even'!B18-('Break-even'!B16-'Break-even'!B10))&lt;0.5,"PASS","FAIL")</f>
        <v>PASS</v>
      </c>
      <c r="C12" s="18" t="s">
        <v>415</v>
      </c>
    </row>
    <row r="13" customFormat="false" ht="15" hidden="false" customHeight="false" outlineLevel="0" collapsed="false">
      <c r="A13" s="6" t="s">
        <v>416</v>
      </c>
      <c r="B13" s="4" t="str">
        <f aca="false">IF(ABS(Valuation!B23-NPV(Valuation!B6,Valuation!$B$17:$F$17))&lt;0.5,"PASS","FAIL")</f>
        <v>PASS</v>
      </c>
      <c r="C13" s="18" t="s">
        <v>417</v>
      </c>
    </row>
    <row r="14" customFormat="false" ht="15" hidden="false" customHeight="false" outlineLevel="0" collapsed="false">
      <c r="A14" s="6" t="s">
        <v>418</v>
      </c>
      <c r="B14" s="4" t="str">
        <f aca="false">IF(Valuation!B6&gt;Valuation!B7,"PASS","FAIL")</f>
        <v>PASS</v>
      </c>
      <c r="C14" s="18" t="s">
        <v>419</v>
      </c>
    </row>
    <row r="15" customFormat="false" ht="15" hidden="false" customHeight="false" outlineLevel="0" collapsed="false">
      <c r="A15" s="6" t="s">
        <v>420</v>
      </c>
      <c r="B15" s="4" t="str">
        <f aca="false">IF(ABS(Valuation!D36-Valuation!B27)&lt;0.5,"PASS","FAIL")</f>
        <v>PASS</v>
      </c>
      <c r="C15" s="18" t="s">
        <v>421</v>
      </c>
    </row>
    <row r="16" customFormat="false" ht="15" hidden="false" customHeight="false" outlineLevel="0" collapsed="false">
      <c r="A16" s="6" t="s">
        <v>422</v>
      </c>
      <c r="B16" s="4" t="str">
        <f aca="false">IF(Valuation!$F$17&gt;0,"PASS","WARN")</f>
        <v>PASS</v>
      </c>
      <c r="C16" s="18" t="s">
        <v>423</v>
      </c>
    </row>
    <row r="17" customFormat="false" ht="15" hidden="false" customHeight="false" outlineLevel="0" collapsed="false">
      <c r="A17" s="6" t="s">
        <v>424</v>
      </c>
      <c r="B17" s="4" t="str">
        <f aca="false">IF(SUMPRODUCT(--ISERROR(Monthly!$C$4:$BJ$98))+SUMPRODUCT(--ISERROR(Headcount!$C$4:$BJ$15))+SUMPRODUCT(--ISERROR('P&amp;L'!$B$3:$F$25))+SUMPRODUCT(--ISERROR('Cash Flow'!$B$3:$F$18))+SUMPRODUCT(--ISERROR('Balance Sheet'!$B$3:$F$17))+SUMPRODUCT(--ISERROR(KPIs!$B$27:$F$49))+SUMPRODUCT(--ISERROR('Break-even'!$B$26:$F$33))+SUMPRODUCT(--ISERROR(Valuation!$B$14:$F$19))+SUMPRODUCT(--ISERROR('Break-even'!$B$3:$F$35))+SUMPRODUCT(--ISERROR(Valuation!$A$3:$F$40))+SUMPRODUCT(--ISERROR(Dashboard!$A$6:$W$43))+SUMPRODUCT(--ISERROR(Summary!$A$5:$S$52))+SUMPRODUCT(--ISERROR(KPIs!$A$4:$G$49))=0,"PASS","FAIL")</f>
        <v>PASS</v>
      </c>
      <c r="C17" s="18" t="s">
        <v>425</v>
      </c>
    </row>
    <row r="18" customFormat="false" ht="15" hidden="false" customHeight="false" outlineLevel="0" collapsed="false">
      <c r="A18" s="6" t="s">
        <v>426</v>
      </c>
      <c r="B18" s="4" t="str">
        <f aca="false">IF(IFERROR(AND(SUMPRODUCT(--(ABS(Summary!$B$7:$F$7-'P&amp;L'!$B$5:$F$5)&gt;0.5))=0,SUMPRODUCT(--(ABS(Summary!$B$19:$F$19-'P&amp;L'!$B$24:$F$24)&gt;0.5))=0,SUMPRODUCT(--(ABS(Summary!$B$31:$F$31-'Cash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427</v>
      </c>
    </row>
    <row r="19" customFormat="false" ht="15" hidden="false" customHeight="false" outlineLevel="0" collapsed="false">
      <c r="A19" s="6" t="s">
        <v>428</v>
      </c>
      <c r="B19" s="4" t="str">
        <f aca="false">IF(SUMPRODUCT(--(ABS(KPIs!$B$24:$F$24)&gt;0.000000001))&gt;0,"FAIL",IF(SUMPRODUCT(ISNUMBER(KPIs!$B$23:$F$23)*ISNUMBER(KPIs!$B$16:$F$16))=0,"n/a","PASS"))</f>
        <v>PASS</v>
      </c>
      <c r="C19" s="18" t="s">
        <v>429</v>
      </c>
    </row>
    <row r="20" customFormat="false" ht="15" hidden="false" customHeight="false" outlineLevel="0" collapsed="false">
      <c r="A20" s="6" t="s">
        <v>430</v>
      </c>
      <c r="B20" s="4" t="str">
        <f aca="false">IF(SUMPRODUCT(--(ABS(Monthly!$C$98:$BJ$98)&gt;0.5))=0,"PASS","FAIL")</f>
        <v>PASS</v>
      </c>
      <c r="C20" s="18" t="s">
        <v>431</v>
      </c>
    </row>
    <row r="21" customFormat="false" ht="15" hidden="false" customHeight="false" outlineLevel="0" collapsed="false">
      <c r="A21" s="6" t="s">
        <v>432</v>
      </c>
      <c r="B21" s="4" t="str">
        <f aca="false">IF(MIN(Monthly!$C$80:$BJ$80)&gt;=0,"PASS","WARN")</f>
        <v>PASS</v>
      </c>
      <c r="C21" s="18" t="s">
        <v>433</v>
      </c>
    </row>
    <row r="23" customFormat="false" ht="15" hidden="false" customHeight="false" outlineLevel="0" collapsed="false">
      <c r="A23" s="56" t="s">
        <v>434</v>
      </c>
      <c r="B23" s="56" t="str">
        <f aca="false">IF(COUNTIF(B4:B21,"FAIL")&gt;0,"FAIL",IF(COUNTIF(B4:B21,"WARN")&gt;0,"PASS WITH WARNINGS","PASS"))</f>
        <v>PASS</v>
      </c>
      <c r="C23" s="105"/>
    </row>
  </sheetData>
  <conditionalFormatting sqref="B4:B23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2026-10-21T08:16:50Z</dcterms:created>
  <dc:creator/>
  <dc:description/>
  <dc:language>en-US</dc:language>
  <cp:lastModifiedBy/>
  <dcterms:modified xsi:type="dcterms:W3CDTF">2026-10-21T08:16:51Z</dcterms:modified>
  <cp:revision>0</cp:revision>
  <dc:subject/>
  <dc:title>Home services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