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Scenarios" sheetId="4" state="visible" r:id="rId6"/>
    <sheet name="Break-even" sheetId="5" state="visible" r:id="rId7"/>
    <sheet name="Valuation" sheetId="6" state="visible" r:id="rId8"/>
    <sheet name="Sources &amp; Uses" sheetId="7" state="visible" r:id="rId9"/>
    <sheet name="KPI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Scenario calc" sheetId="15" state="visible" r:id="rId17"/>
    <sheet name="Check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<sst xmlns="http://schemas.openxmlformats.org/spreadsheetml/2006/main" count="1361" uniqueCount="527">
  <si>
    <t xml:space="preserve">Car wash financial model (planning)</t>
  </si>
  <si>
    <t xml:space="preserve">5-year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</si>
  <si>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</si>
  <si>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</si>
  <si>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</si>
  <si>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</si>
  <si>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</si>
  <si>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21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</si>
  <si>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</si>
  <si>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</si>
  <si>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</si>
  <si>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</si>
  <si>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Low / Base / High side by side: drivers, outputs, charts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</si>
  <si>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</si>
  <si>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</si>
  <si>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</si>
  <si>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</si>
  <si>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</si>
  <si>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</si>
  <si>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</si>
  <si>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</si>
  <si>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</si>
  <si>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</si>
  <si>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</si>
  <si>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</si>
  <si>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</si>
  <si>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Low, Base and High calculated side by side for the Scenarios sheet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</si>
  <si>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</si>
  <si>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</si>
  <si>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</si>
  <si>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</si>
  <si>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</si>
  <si>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</si>
  <si>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</si>
  <si>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</si>
  <si>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</si>
  <si>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5</t>
  </si>
  <si>
    <t xml:space="preserve">EBITDA MARGIN · YEAR 5</t>
  </si>
  <si>
    <t xml:space="preserve">NET INCOME · YEAR 5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</si>
  <si>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</si>
  <si>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</si>
  <si>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</si>
  <si>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</si>
  <si>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</si>
  <si>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</si>
  <si>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</si>
  <si>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</si>
  <si>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</si>
  <si>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</si>
  <si>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</si>
  <si>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</si>
  <si>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</si>
  <si>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</si>
  <si>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</si>
  <si>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</si>
  <si>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</si>
  <si>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</si>
  <si>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Car wash metrics</t>
  </si>
  <si>
    <t xml:space="preserve">Unlimited members (year end)</t>
  </si>
  <si>
    <t xml:space="preserve">Washes per operating day</t>
  </si>
  <si>
    <t xml:space="preserve">Tunnel capacity used</t>
  </si>
  <si>
    <t xml:space="preserve">Revenue per wash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</si>
  <si>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</si>
  <si>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</si>
  <si>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</si>
  <si>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</si>
  <si>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</si>
  <si>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</si>
  <si>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</si>
  <si>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</si>
  <si>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</si>
  <si>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</si>
  <si>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</si>
  <si>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</si>
  <si>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</si>
  <si>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</si>
  <si>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Cost of sales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</si>
  <si>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</si>
  <si>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</si>
  <si>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</si>
  <si>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</si>
  <si>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</si>
  <si>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</si>
  <si>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</si>
  <si>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</si>
  <si>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</si>
  <si>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</si>
  <si>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</si>
  <si>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</si>
  <si>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</si>
  <si>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</si>
  <si>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</si>
  <si>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</si>
  <si>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</si>
  <si>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</si>
  <si>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</si>
  <si>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</si>
  <si>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</si>
  <si>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</si>
  <si>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</si>
  <si>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</si>
  <si>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Scenarios — Low / Base / High</t>
  </si>
  <si>
    <t xml:space="preserve">All three scenarios calculated side by side, live: change any input and every column updates. Active = the scenario chosen on the Dashboard.</t>
  </si>
  <si>
    <t xml:space="preserve">Key drivers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</si>
  <si>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</si>
  <si>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</si>
  <si>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</si>
  <si>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</si>
  <si>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</si>
  <si>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Retail cars per operating day at maturity (year 1) (cars)</t>
  </si>
  <si>
    <t xml:space="preserve">Average price per retail wash (year 1) ($)</t>
  </si>
  <si>
    <t xml:space="preserve">Unlimited members at start (presale or current base) (#)</t>
  </si>
  <si>
    <t xml:space="preserve">Unlimited plan fee per member per month (year 1) ($)</t>
  </si>
  <si>
    <t xml:space="preserve">Members who cancel per month (%)</t>
  </si>
  <si>
    <t xml:space="preserve">Site lease or land cost per month ($)</t>
  </si>
  <si>
    <t xml:space="preserve">Tunnel equipment (month 1) ($)</t>
  </si>
  <si>
    <t xml:space="preserve">Equity raised at start ($)</t>
  </si>
  <si>
    <t xml:space="preserve">Results by scenario ($'000)</t>
  </si>
  <si>
    <t xml:space="preserve">Output</t>
  </si>
  <si>
    <t xml:space="preserve">Revenue — final year</t>
  </si>
  <si>
    <t xml:space="preserve">Revenue — whole plan</t>
  </si>
  <si>
    <t xml:space="preserve">EBITDA — final year</t>
  </si>
  <si>
    <t xml:space="preserve">EBITDA margin — final year</t>
  </si>
  <si>
    <t xml:space="preserve">Net income — final year</t>
  </si>
  <si>
    <t xml:space="preserve">Net income — whole plan</t>
  </si>
  <si>
    <t xml:space="preserve">Cash at the end of the plan</t>
  </si>
  <si>
    <t xml:space="preserve">Lowest cash balance</t>
  </si>
  <si>
    <t xml:space="preserve">Lowest cash point (month #)</t>
  </si>
  <si>
    <t xml:space="preserve">Revenue by year ($'000)</t>
  </si>
  <si>
    <t xml:space="preserve">Scenario</t>
  </si>
  <si>
    <t xml:space="preserve">EBITDA by year ($'000)</t>
  </si>
  <si>
    <t xml:space="preserve">Net income by year ($'000)</t>
  </si>
  <si>
    <t xml:space="preserve">Cash at year end by year ($'000)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</si>
  <si>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</si>
  <si>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</si>
  <si>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</si>
  <si>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</si>
  <si>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</si>
  <si>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</si>
  <si>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</si>
  <si>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</si>
  <si>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</si>
  <si>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</si>
  <si>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</si>
  <si>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</si>
  <si>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</si>
  <si>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</si>
  <si>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</si>
  <si>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</si>
  <si>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</si>
  <si>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</si>
  <si>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</si>
  <si>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</si>
  <si>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</si>
  <si>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</si>
  <si>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</si>
  <si>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</si>
  <si>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</si>
  <si>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</si>
  <si>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</si>
  <si>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</si>
  <si>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</si>
  <si>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</si>
  <si>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</si>
  <si>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</si>
  <si>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</si>
  <si>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</si>
  <si>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</si>
  <si>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</si>
  <si>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</si>
  <si>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</si>
  <si>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</si>
  <si>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</si>
  <si>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</si>
  <si>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</si>
  <si>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</si>
  <si>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</si>
  <si>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</si>
  <si>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</si>
  <si>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</si>
  <si>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</si>
  <si>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</si>
  <si>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</si>
  <si>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</si>
  <si>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5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</si>
  <si>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</si>
  <si>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</si>
  <si>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</si>
  <si>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</si>
  <si>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</si>
  <si>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</si>
  <si>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</si>
  <si>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</si>
  <si>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</si>
  <si>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</si>
  <si>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</si>
  <si>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</si>
  <si>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</si>
  <si>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</si>
  <si>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</si>
  <si>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</si>
  <si>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</si>
  <si>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</si>
  <si>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</si>
  <si>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60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</si>
  <si>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</si>
  <si>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</si>
  <si>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</si>
  <si>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</si>
  <si>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</si>
  <si>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</si>
  <si>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</si>
  <si>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</si>
  <si>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</si>
  <si>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</si>
  <si>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</si>
  <si>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</si>
  <si>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Car wash financial model (planning)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</si>
  <si>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</si>
  <si>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</si>
  <si>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</si>
  <si>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</si>
  <si>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</si>
  <si>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</si>
  <si>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</si>
  <si>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</si>
  <si>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</si>
  <si>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</si>
  <si>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</si>
  <si>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</si>
  <si>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</si>
  <si>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</si>
  <si>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</si>
  <si>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Car wash metrics ($'000; per-unit rows in $)</t>
  </si>
  <si>
    <t xml:space="preserve">New members in the year</t>
  </si>
  <si>
    <t xml:space="preserve">Members who cancelled in the year</t>
  </si>
  <si>
    <t xml:space="preserve">Members who cancel per month</t>
  </si>
  <si>
    <t xml:space="preserve">Washes in the year</t>
  </si>
  <si>
    <t xml:space="preserve">Retail cars washed</t>
  </si>
  <si>
    <t xml:space="preserve">Member washes</t>
  </si>
  <si>
    <t xml:space="preserve">Member share of washes</t>
  </si>
  <si>
    <t xml:space="preserve">Tunnel capacity (washes)</t>
  </si>
  <si>
    <t xml:space="preserve">Washes lost to the capacity limit</t>
  </si>
  <si>
    <t xml:space="preserve">Unlimited plan fees</t>
  </si>
  <si>
    <t xml:space="preserve">Retail wash &amp; add-on revenue</t>
  </si>
  <si>
    <t xml:space="preserve">Plan fees share of revenue</t>
  </si>
  <si>
    <t xml:space="preserve">Revenue per wash ($)</t>
  </si>
  <si>
    <t xml:space="preserve">Plan fee revenue per member wash ($)</t>
  </si>
  <si>
    <t xml:space="preserve">Chemicals, water &amp; electricity</t>
  </si>
  <si>
    <t xml:space="preserve">Chemicals, water &amp; electricity per wash ($)</t>
  </si>
  <si>
    <t xml:space="preserve">Inputs — Low / Base / High</t>
  </si>
  <si>
    <t xml:space="preserve">Illustrative assumptions - replace them with your own numbers.</t>
  </si>
  <si>
    <t xml:space="preserve">Unit</t>
  </si>
  <si>
    <t xml:space="preserve">Source / comment</t>
  </si>
  <si>
    <t xml:space="preserve">Retail volume</t>
  </si>
  <si>
    <t xml:space="preserve">Retail cars per operating day at maturity (year 1)</t>
  </si>
  <si>
    <t xml:space="preserve">cars</t>
  </si>
  <si>
    <t xml:space="preserve">Low ≤ Base ≤ High</t>
  </si>
  <si>
    <t xml:space="preserve">Operating days per month</t>
  </si>
  <si>
    <t xml:space="preserve">days</t>
  </si>
  <si>
    <t xml:space="preserve">Months to reach mature retail volume (0 = already mature)</t>
  </si>
  <si>
    <t xml:space="preserve">months</t>
  </si>
  <si>
    <t xml:space="preserve">Low ≥ Base ≥ High (lower is better)</t>
  </si>
  <si>
    <t xml:space="preserve">Retail volume in month 1, % of mature</t>
  </si>
  <si>
    <t xml:space="preserve">%</t>
  </si>
  <si>
    <t xml:space="preserve">Winter volume dip, December-February (monthly models)</t>
  </si>
  <si>
    <t xml:space="preserve">Tunnel capacity</t>
  </si>
  <si>
    <t xml:space="preserve">Rated tunnel speed</t>
  </si>
  <si>
    <t xml:space="preserve">cars/hour</t>
  </si>
  <si>
    <t xml:space="preserve">Hours open per day</t>
  </si>
  <si>
    <t xml:space="preserve">hours</t>
  </si>
  <si>
    <t xml:space="preserve">Practical throughput, % of rated speed over open hours</t>
  </si>
  <si>
    <t xml:space="preserve">Unlimited members</t>
  </si>
  <si>
    <t xml:space="preserve">Unlimited members at start (presale or current base)</t>
  </si>
  <si>
    <t xml:space="preserve">#</t>
  </si>
  <si>
    <t xml:space="preserve">Direct sign-ups per month at maturity (year 1)</t>
  </si>
  <si>
    <t xml:space="preserve">Direct sign-ups growth per year</t>
  </si>
  <si>
    <t xml:space="preserve">Retail cars that sign up for an unlimited plan</t>
  </si>
  <si>
    <t xml:space="preserve">Washes per member per month</t>
  </si>
  <si>
    <t xml:space="preserve">washes</t>
  </si>
  <si>
    <t xml:space="preserve">Prices</t>
  </si>
  <si>
    <t xml:space="preserve">Average price per retail wash (year 1)</t>
  </si>
  <si>
    <t xml:space="preserve">$</t>
  </si>
  <si>
    <t xml:space="preserve">Add-on revenue per retail car (wax, ceramic, tire shine)</t>
  </si>
  <si>
    <t xml:space="preserve">Unlimited plan fee per member per month (year 1)</t>
  </si>
  <si>
    <t xml:space="preserve">Price increase per year</t>
  </si>
  <si>
    <t xml:space="preserve">Variable cost per wash</t>
  </si>
  <si>
    <t xml:space="preserve">Chemicals per wash</t>
  </si>
  <si>
    <t xml:space="preserve">Fresh water per wash (after reclaim)</t>
  </si>
  <si>
    <t xml:space="preserve">gallons</t>
  </si>
  <si>
    <t xml:space="preserve">Water and sewer rate per 1,000 gallons</t>
  </si>
  <si>
    <t xml:space="preserve">Electricity per wash</t>
  </si>
  <si>
    <t xml:space="preserve">Card processing fees, % of revenue</t>
  </si>
  <si>
    <t xml:space="preserve">Cost increase per year (per-wash costs, maintenance, other)</t>
  </si>
  <si>
    <t xml:space="preserve">Site costs</t>
  </si>
  <si>
    <t xml:space="preserve">Site lease or land cost per month</t>
  </si>
  <si>
    <t xml:space="preserve">Lease increase per year</t>
  </si>
  <si>
    <t xml:space="preserve">Equipment maintenance &amp; repairs per month</t>
  </si>
  <si>
    <t xml:space="preserve">Insurance, property tax, software &amp; other G&amp;A per month</t>
  </si>
  <si>
    <t xml:space="preserve">Marketing budget per month (year 1)</t>
  </si>
  <si>
    <t xml:space="preserve">Marketing budget growth per year</t>
  </si>
  <si>
    <t xml:space="preserve">Tunnel equipment (month 1)</t>
  </si>
  <si>
    <t xml:space="preserve">Building &amp; site works (month 1)</t>
  </si>
  <si>
    <t xml:space="preserve">Pay stations, signage &amp; vacuums (month 1)</t>
  </si>
  <si>
    <t xml:space="preserve">Equipment refresh &amp; upgrades per year (from year 2)</t>
  </si>
  <si>
    <t xml:space="preserve">Headcount</t>
  </si>
  <si>
    <t xml:space="preserve">Site manager: headcount (FTE)</t>
  </si>
  <si>
    <t xml:space="preserve">FTE</t>
  </si>
  <si>
    <t xml:space="preserve">Site manager: salary per FTE per year</t>
  </si>
  <si>
    <t xml:space="preserve">Site manager: headcount growth per year</t>
  </si>
  <si>
    <t xml:space="preserve">Site manager: first month on payroll</t>
  </si>
  <si>
    <t xml:space="preserve">month #</t>
  </si>
  <si>
    <t xml:space="preserve">Wash attendants &amp; customer service: headcount (FTE)</t>
  </si>
  <si>
    <t xml:space="preserve">Wash attendants &amp; customer service: salary per FTE per year</t>
  </si>
  <si>
    <t xml:space="preserve">Wash attendants &amp; customer service: headcount growth per year</t>
  </si>
  <si>
    <t xml:space="preserve">Wash attendants &amp; customer service: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</si>
  <si>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</si>
  <si>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</si>
  <si>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</si>
  <si>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</si>
  <si>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</si>
  <si>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</si>
  <si>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</si>
  <si>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</si>
  <si>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</si>
  <si>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</si>
  <si>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</si>
  <si>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</si>
  <si>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</si>
  <si>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</si>
  <si>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</si>
  <si>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</si>
  <si>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</si>
  <si>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</si>
  <si>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</si>
  <si>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</si>
  <si>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</si>
  <si>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</si>
  <si>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</si>
  <si>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</si>
  <si>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Site payroll</t>
  </si>
  <si>
    <t xml:space="preserve">Site lease or land cost</t>
  </si>
  <si>
    <t xml:space="preserve">Equipment maintenance &amp; repairs</t>
  </si>
  <si>
    <t xml:space="preserve">Insurance, property tax, software &amp; other</t>
  </si>
  <si>
    <t xml:space="preserve">Marketing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</si>
  <si>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</si>
  <si>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</si>
  <si>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</si>
  <si>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</si>
  <si>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</si>
  <si>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</si>
  <si>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</si>
  <si>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</si>
  <si>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</si>
  <si>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</si>
  <si>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</si>
  <si>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</si>
  <si>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</si>
  <si>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</si>
  <si>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</si>
  <si>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</si>
  <si>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</si>
  <si>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</si>
  <si>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</si>
  <si>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</si>
  <si>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</si>
  <si>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</si>
  <si>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</si>
  <si>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</si>
  <si>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</si>
  <si>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</si>
  <si>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</si>
  <si>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</si>
  <si>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</si>
  <si>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</si>
  <si>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</si>
  <si>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</si>
  <si>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</si>
  <si>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</si>
  <si>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</si>
  <si>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</si>
  <si>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</si>
  <si>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</si>
  <si>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</si>
  <si>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</si>
  <si>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</si>
  <si>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</si>
  <si>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</si>
  <si>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</si>
  <si>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</si>
  <si>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</si>
  <si>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</si>
  <si>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</si>
  <si>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</si>
  <si>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</si>
  <si>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</si>
  <si>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</si>
  <si>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</si>
  <si>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</si>
  <si>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</si>
  <si>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</si>
  <si>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</si>
  <si>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</si>
  <si>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</si>
  <si>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</si>
  <si>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</si>
  <si>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</si>
  <si>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</si>
  <si>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</si>
  <si>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</si>
  <si>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</si>
  <si>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</si>
  <si>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</si>
  <si>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</si>
  <si>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Period #</t>
  </si>
  <si>
    <t xml:space="preserve">Volume</t>
  </si>
  <si>
    <t xml:space="preserve">Helper: months of the period still on the ramp-up</t>
  </si>
  <si>
    <t xml:space="preserve">Ramp-up factor (share of mature retail volume)</t>
  </si>
  <si>
    <t xml:space="preserve">Season factor (winter dip)</t>
  </si>
  <si>
    <t xml:space="preserve">Retail cars demanded</t>
  </si>
  <si>
    <t xml:space="preserve">Members</t>
  </si>
  <si>
    <t xml:space="preserve">New members from retail cars</t>
  </si>
  <si>
    <t xml:space="preserve">New members from direct sign-ups</t>
  </si>
  <si>
    <t xml:space="preserve">New members - total</t>
  </si>
  <si>
    <t xml:space="preserve">Members - opening</t>
  </si>
  <si>
    <t xml:space="preserve">Members who cancelled</t>
  </si>
  <si>
    <t xml:space="preserve">Members - closing</t>
  </si>
  <si>
    <t xml:space="preserve">Members - average</t>
  </si>
  <si>
    <t xml:space="preserve">Washes</t>
  </si>
  <si>
    <t xml:space="preserve">Member washes demanded</t>
  </si>
  <si>
    <t xml:space="preserve">Tunnel capacity (rated speed × hours × practical share × days)</t>
  </si>
  <si>
    <t xml:space="preserve">Share of demand the tunnel can wash</t>
  </si>
  <si>
    <t xml:space="preserve">Washes - total</t>
  </si>
  <si>
    <t xml:space="preserve">Average price per retail wash</t>
  </si>
  <si>
    <t xml:space="preserve">Unlimited plan fee per month</t>
  </si>
  <si>
    <t xml:space="preserve">Retail wash revenue</t>
  </si>
  <si>
    <t xml:space="preserve">Add-on revenue</t>
  </si>
  <si>
    <t xml:space="preserve">Chemicals</t>
  </si>
  <si>
    <t xml:space="preserve">Water &amp; sewer</t>
  </si>
  <si>
    <t xml:space="preserve">Electricity</t>
  </si>
  <si>
    <t xml:space="preserve">Card processing fees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</si>
  <si>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</si>
  <si>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</si>
  <si>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</si>
  <si>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</si>
  <si>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</si>
  <si>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Tunnel equipment</t>
  </si>
  <si>
    <t xml:space="preserve">Building &amp; site works</t>
  </si>
  <si>
    <t xml:space="preserve">Pay stations, signage &amp; vacuums</t>
  </si>
  <si>
    <t xml:space="preserve">Equipment refresh &amp; upgrades (first period of each year from year 2)</t>
  </si>
  <si>
    <t xml:space="preserve">Fixed assets at cost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</si>
  <si>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</si>
  <si>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</si>
  <si>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</si>
  <si>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</si>
  <si>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</si>
  <si>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</si>
  <si>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</si>
  <si>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</si>
  <si>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</si>
  <si>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</si>
  <si>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</si>
  <si>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</si>
  <si>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</si>
  <si>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</si>
  <si>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</si>
  <si>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</si>
  <si>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</si>
  <si>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</si>
  <si>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</si>
  <si>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Site manager — FTE</t>
  </si>
  <si>
    <t xml:space="preserve">Wash attendants &amp; customer service — FTE</t>
  </si>
  <si>
    <t xml:space="preserve">Total FTE</t>
  </si>
  <si>
    <t xml:space="preserve">Payroll cost (salary + taxes &amp; benefits)</t>
  </si>
  <si>
    <t xml:space="preserve">Site manager — payroll cost</t>
  </si>
  <si>
    <t xml:space="preserve">Wash attendants &amp; customer service — payroll cost</t>
  </si>
  <si>
    <t xml:space="preserve">Total payroll</t>
  </si>
  <si>
    <t xml:space="preserve">Scenario calculation — Low, Base and High side by side</t>
  </si>
  <si>
    <t xml:space="preserve">The model's period calculation, copied three times; each copy reads its own Inputs column. Feeds the Scenarios sheet only.</t>
  </si>
  <si>
    <t xml:space="preserve">Low scenario — reads Inputs column B</t>
  </si>
  <si>
    <t xml:space="preserve">Base scenario — reads Inputs column C</t>
  </si>
  <si>
    <t xml:space="preserve">High scenario — reads Inputs column D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</si>
  <si>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</si>
  <si>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</si>
  <si>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</si>
  <si>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</si>
  <si>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</si>
  <si>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</si>
  <si>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</si>
  <si>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</si>
  <si>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</si>
  <si>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</si>
  <si>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</si>
  <si>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</si>
  <si>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</si>
  <si>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</si>
  <si>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</si>
  <si>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</si>
  <si>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</si>
  <si>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</si>
  <si>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</si>
  <si>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</si>
  <si>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</si>
  <si>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</si>
  <si>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</si>
  <si>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</si>
  <si>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</si>
  <si>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</si>
  <si>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</si>
  <si>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</si>
  <si>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</si>
  <si>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</si>
  <si>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</si>
  <si>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</si>
  <si>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</si>
  <si>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</si>
  <si>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</si>
  <si>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</si>
  <si>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</si>
  <si>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</si>
  <si>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Scenarios: Active = selected scenario</t>
  </si>
  <si>
    <t xml:space="preserve">On the Scenarios sheet the live model (Active) equals the Low / Base / High column chosen on the Dashboard for every output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</si>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</sst>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#,##0;\(#,##0\);\-"/>
    <numFmt numFmtId="176" formatCode="\$#,##0.00;&quot;($&quot;#,##0.00\);\-"/>
    <numFmt numFmtId="177" formatCode="#,##0.0;\(#,##0.0\);\-"/>
    <numFmt numFmtId="178" formatCode="&quot;Month &quot;0"/>
    <numFmt numFmtId="179" formatCode="\$#,##0.0,,\M"/>
    <numFmt numFmtId="180" formatCode="0%"/>
    <numFmt numFmtId="181" formatCode="\M0"/>
    <numFmt numFmtId="182" formatCode="\$#,##0,\K"/>
    <numFmt numFmtId="183" formatCode="#,##0.0;\(#,##0.0\);\-"/>
    <numFmt numFmtId="184" formatCode="\$#,##0.00;&quot;($&quot;#,##0.00\);\-"/>
    <numFmt numFmtId="185" formatCode="#,##0;\(#,##0\);\-"/>
    <numFmt numFmtId="186" formatCode="0.0%;\(0.0%\);\-"/>
    <numFmt numFmtId="187" formatCode="\$#,##0;&quot;($&quot;#,##0\);\-"/>
    <numFmt numFmtId="188" formatCode="0"/>
    <numFmt numFmtId="189" formatCode="0.0\x"/>
    <numFmt numFmtId="190" formatCode="0.000"/>
    <numFmt numFmtId="191" formatCode="0.0\x;\(0.0&quot;x)&quot;;\-"/>
    <numFmt numFmtId="192" formatCode="[&gt;=1000000]\$#,##0.0,,\M;[&gt;=1000]\$#,##0,\k;\$#,##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1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Dashboard!$B$12:$F$12</c:f>
              <c:numCache>
                <c:formatCode>\$#,##0,;"($"#,##0,\);\-</c:formatCode>
                <c:ptCount val="5"/>
                <c:pt idx="0">
                  <c:v>1180182.39164623</c:v>
                </c:pt>
                <c:pt idx="1">
                  <c:v>1805881.4666632</c:v>
                </c:pt>
                <c:pt idx="2">
                  <c:v>2080276.59708741</c:v>
                </c:pt>
                <c:pt idx="3">
                  <c:v>2282431.11225691</c:v>
                </c:pt>
                <c:pt idx="4">
                  <c:v>2440877.21952545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Dashboard!$B$16:$F$16</c:f>
              <c:numCache>
                <c:formatCode>\$#,##0,;"($"#,##0,\);\-</c:formatCode>
                <c:ptCount val="5"/>
                <c:pt idx="0">
                  <c:v>-123279.207270295</c:v>
                </c:pt>
                <c:pt idx="1">
                  <c:v>393591.208461737</c:v>
                </c:pt>
                <c:pt idx="2">
                  <c:v>606030.411732089</c:v>
                </c:pt>
                <c:pt idx="3">
                  <c:v>754095.188500905</c:v>
                </c:pt>
                <c:pt idx="4">
                  <c:v>861881.484690629</c:v>
                </c:pt>
              </c:numCache>
            </c:numRef>
          </c:val>
        </c:ser>
        <c:gapWidth val="60"/>
        <c:overlap val="0"/>
        <c:axId val="15020401"/>
        <c:axId val="76877117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Dashboard!$B$17:$F$17</c:f>
              <c:numCache>
                <c:formatCode>0.0%;\(0.0%\);\-</c:formatCode>
                <c:ptCount val="5"/>
                <c:pt idx="0">
                  <c:v>-0.104457758515049</c:v>
                </c:pt>
                <c:pt idx="1">
                  <c:v>0.217949636079378</c:v>
                </c:pt>
                <c:pt idx="2">
                  <c:v>0.291322035050816</c:v>
                </c:pt>
                <c:pt idx="3">
                  <c:v>0.330391215073843</c:v>
                </c:pt>
                <c:pt idx="4">
                  <c:v>0.353103170366838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9259240"/>
        <c:axId val="6284558"/>
      </c:lineChart>
      <c:catAx>
        <c:axId val="1502040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6877117"/>
        <c:crosses val="autoZero"/>
        <c:auto val="1"/>
        <c:lblAlgn val="ctr"/>
        <c:lblOffset val="100"/>
        <c:noMultiLvlLbl val="0"/>
      </c:catAx>
      <c:valAx>
        <c:axId val="7687711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5020401"/>
        <c:crosses val="autoZero"/>
        <c:crossBetween val="between"/>
      </c:valAx>
      <c:catAx>
        <c:axId val="69259240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284558"/>
        <c:crosses val="autoZero"/>
        <c:auto val="1"/>
        <c:lblAlgn val="ctr"/>
        <c:lblOffset val="100"/>
        <c:noMultiLvlLbl val="0"/>
      </c:catAx>
      <c:valAx>
        <c:axId val="628455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925924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Dashboard!$B$20:$F$20</c:f>
              <c:numCache>
                <c:formatCode>\$#,##0,;"($"#,##0,\);\-</c:formatCode>
                <c:ptCount val="5"/>
                <c:pt idx="0">
                  <c:v>-369557.792453481</c:v>
                </c:pt>
                <c:pt idx="1">
                  <c:v>174478.453532665</c:v>
                </c:pt>
                <c:pt idx="2">
                  <c:v>412515.85538278</c:v>
                </c:pt>
                <c:pt idx="3">
                  <c:v>586141.123842083</c:v>
                </c:pt>
                <c:pt idx="4">
                  <c:v>719465.283116606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Dashboard!$B$21:$F$21</c:f>
              <c:numCache>
                <c:formatCode>\$#,##0,;"($"#,##0,\);\-</c:formatCode>
                <c:ptCount val="5"/>
                <c:pt idx="0">
                  <c:v>-4100000</c:v>
                </c:pt>
                <c:pt idx="1">
                  <c:v>-40000</c:v>
                </c:pt>
                <c:pt idx="2">
                  <c:v>-40000</c:v>
                </c:pt>
                <c:pt idx="3">
                  <c:v>-40000</c:v>
                </c:pt>
                <c:pt idx="4">
                  <c:v>-40000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Dashboard!$B$22:$F$22</c:f>
              <c:numCache>
                <c:formatCode>\$#,##0,;"($"#,##0,\);\-</c:formatCode>
                <c:ptCount val="5"/>
                <c:pt idx="0">
                  <c:v>4825000</c:v>
                </c:pt>
                <c:pt idx="1">
                  <c:v>-300000</c:v>
                </c:pt>
                <c:pt idx="2">
                  <c:v>-300000</c:v>
                </c:pt>
                <c:pt idx="3">
                  <c:v>-300000</c:v>
                </c:pt>
                <c:pt idx="4">
                  <c:v>-300000</c:v>
                </c:pt>
              </c:numCache>
            </c:numRef>
          </c:val>
        </c:ser>
        <c:gapWidth val="60"/>
        <c:overlap val="0"/>
        <c:axId val="13669749"/>
        <c:axId val="57827571"/>
      </c:barChart>
      <c:catAx>
        <c:axId val="1366974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7827571"/>
        <c:crosses val="autoZero"/>
        <c:auto val="1"/>
        <c:lblAlgn val="ctr"/>
        <c:lblOffset val="100"/>
        <c:noMultiLvlLbl val="0"/>
      </c:catAx>
      <c:valAx>
        <c:axId val="5782757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36697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Dashboard!$B$24:$F$24</c:f>
              <c:numCache>
                <c:formatCode>\$#,##0,;"($"#,##0,\);\-</c:formatCode>
                <c:ptCount val="5"/>
                <c:pt idx="0">
                  <c:v>355442.207546519</c:v>
                </c:pt>
                <c:pt idx="1">
                  <c:v>189920.661079184</c:v>
                </c:pt>
                <c:pt idx="2">
                  <c:v>262436.516461964</c:v>
                </c:pt>
                <c:pt idx="3">
                  <c:v>508577.640304047</c:v>
                </c:pt>
                <c:pt idx="4">
                  <c:v>888042.923420652</c:v>
                </c:pt>
              </c:numCache>
            </c:numRef>
          </c:val>
        </c:ser>
        <c:gapWidth val="60"/>
        <c:overlap val="0"/>
        <c:axId val="11801694"/>
        <c:axId val="82728616"/>
      </c:barChart>
      <c:catAx>
        <c:axId val="1180169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2728616"/>
        <c:crosses val="autoZero"/>
        <c:auto val="1"/>
        <c:lblAlgn val="ctr"/>
        <c:lblOffset val="100"/>
        <c:noMultiLvlLbl val="0"/>
      </c:catAx>
      <c:valAx>
        <c:axId val="8272861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18016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Washes per day &amp; tunnel capacity used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Dashboard!$A$29</c:f>
              <c:strCache>
                <c:ptCount val="1"/>
                <c:pt idx="0">
                  <c:v>Washes per operating day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Dashboard!$B$29:$F$29</c:f>
              <c:numCache>
                <c:formatCode>#,##0;\(#,##0\);\-</c:formatCode>
                <c:ptCount val="5"/>
                <c:pt idx="0">
                  <c:v>255.65215282268</c:v>
                </c:pt>
                <c:pt idx="1">
                  <c:v>401.36880504265</c:v>
                </c:pt>
                <c:pt idx="2">
                  <c:v>466.968087719058</c:v>
                </c:pt>
                <c:pt idx="3">
                  <c:v>510.312874958441</c:v>
                </c:pt>
                <c:pt idx="4">
                  <c:v>540.179689032592</c:v>
                </c:pt>
              </c:numCache>
            </c:numRef>
          </c:val>
        </c:ser>
        <c:gapWidth val="60"/>
        <c:overlap val="0"/>
        <c:axId val="70845960"/>
        <c:axId val="2845947"/>
      </c:barChart>
      <c:lineChart>
        <c:grouping val="standard"/>
        <c:varyColors val="0"/>
        <c:ser>
          <c:idx val="1"/>
          <c:order val="1"/>
          <c:tx>
            <c:strRef>
              <c:f>Dashboard!$A$30</c:f>
              <c:strCache>
                <c:ptCount val="1"/>
                <c:pt idx="0">
                  <c:v>Tunnel capacity used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Dashboard!$B$30:$F$30</c:f>
              <c:numCache>
                <c:formatCode>0.0%;\(0.0%\);\-</c:formatCode>
                <c:ptCount val="5"/>
                <c:pt idx="0">
                  <c:v>0.301832529896906</c:v>
                </c:pt>
                <c:pt idx="1">
                  <c:v>0.473871080333707</c:v>
                </c:pt>
                <c:pt idx="2">
                  <c:v>0.551320056338912</c:v>
                </c:pt>
                <c:pt idx="3">
                  <c:v>0.602494539502291</c:v>
                </c:pt>
                <c:pt idx="4">
                  <c:v>0.637756421526083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6657207"/>
        <c:axId val="43731739"/>
      </c:lineChart>
      <c:catAx>
        <c:axId val="70845960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845947"/>
        <c:crosses val="autoZero"/>
        <c:auto val="1"/>
        <c:lblAlgn val="ctr"/>
        <c:lblOffset val="100"/>
        <c:noMultiLvlLbl val="0"/>
      </c:catAx>
      <c:valAx>
        <c:axId val="284594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0845960"/>
        <c:crosses val="autoZero"/>
        <c:crossBetween val="between"/>
      </c:valAx>
      <c:catAx>
        <c:axId val="66657207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3731739"/>
        <c:crosses val="autoZero"/>
        <c:auto val="1"/>
        <c:lblAlgn val="ctr"/>
        <c:lblOffset val="100"/>
        <c:noMultiLvlLbl val="0"/>
      </c:catAx>
      <c:valAx>
        <c:axId val="4373173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6657207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47943.358</c:v>
                </c:pt>
                <c:pt idx="1">
                  <c:v>54448.9359022222</c:v>
                </c:pt>
                <c:pt idx="2">
                  <c:v>72773.4017994667</c:v>
                </c:pt>
                <c:pt idx="3">
                  <c:v>81051.8988385991</c:v>
                </c:pt>
                <c:pt idx="4">
                  <c:v>89490.2764406107</c:v>
                </c:pt>
                <c:pt idx="5">
                  <c:v>98082.1393829863</c:v>
                </c:pt>
                <c:pt idx="6">
                  <c:v>106821.348252111</c:v>
                </c:pt>
                <c:pt idx="7">
                  <c:v>115702.009210916</c:v>
                </c:pt>
                <c:pt idx="8">
                  <c:v>124718.464175812</c:v>
                </c:pt>
                <c:pt idx="9">
                  <c:v>133865.281386558</c:v>
                </c:pt>
                <c:pt idx="10">
                  <c:v>136545.550131095</c:v>
                </c:pt>
                <c:pt idx="11">
                  <c:v>118739.728125852</c:v>
                </c:pt>
              </c:numCache>
            </c:numRef>
          </c:val>
        </c:ser>
        <c:gapWidth val="60"/>
        <c:overlap val="0"/>
        <c:axId val="31357700"/>
        <c:axId val="88078369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-52715.2544125667</c:v>
                </c:pt>
                <c:pt idx="1">
                  <c:v>-47169.179570764</c:v>
                </c:pt>
                <c:pt idx="2">
                  <c:v>-31890.1001241627</c:v>
                </c:pt>
                <c:pt idx="3">
                  <c:v>-24896.4647094518</c:v>
                </c:pt>
                <c:pt idx="4">
                  <c:v>-17775.1087070848</c:v>
                </c:pt>
                <c:pt idx="5">
                  <c:v>-10531.1409405681</c:v>
                </c:pt>
                <c:pt idx="6">
                  <c:v>-3169.46588046759</c:v>
                </c:pt>
                <c:pt idx="7">
                  <c:v>4305.20818147335</c:v>
                </c:pt>
                <c:pt idx="8">
                  <c:v>11888.3612851811</c:v>
                </c:pt>
                <c:pt idx="9">
                  <c:v>19575.654268985</c:v>
                </c:pt>
                <c:pt idx="10">
                  <c:v>21716.7869555589</c:v>
                </c:pt>
                <c:pt idx="11">
                  <c:v>7381.49638357262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-102437.476634789</c:v>
                </c:pt>
                <c:pt idx="1">
                  <c:v>-96802.8601263196</c:v>
                </c:pt>
                <c:pt idx="2">
                  <c:v>-81346.6973463849</c:v>
                </c:pt>
                <c:pt idx="3">
                  <c:v>-74175.9785983407</c:v>
                </c:pt>
                <c:pt idx="4">
                  <c:v>-66877.5392626404</c:v>
                </c:pt>
                <c:pt idx="5">
                  <c:v>-59456.4881627903</c:v>
                </c:pt>
                <c:pt idx="6">
                  <c:v>-51917.7297693565</c:v>
                </c:pt>
                <c:pt idx="7">
                  <c:v>-44265.9723740822</c:v>
                </c:pt>
                <c:pt idx="8">
                  <c:v>-36505.7359370411</c:v>
                </c:pt>
                <c:pt idx="9">
                  <c:v>-28641.3596199039</c:v>
                </c:pt>
                <c:pt idx="10">
                  <c:v>-26323.1435999967</c:v>
                </c:pt>
                <c:pt idx="11">
                  <c:v>-40481.3508386496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1357700"/>
        <c:axId val="88078369"/>
      </c:lineChart>
      <c:catAx>
        <c:axId val="31357700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8078369"/>
        <c:crosses val="autoZero"/>
        <c:auto val="1"/>
        <c:lblAlgn val="ctr"/>
        <c:lblOffset val="100"/>
        <c:noMultiLvlLbl val="0"/>
      </c:catAx>
      <c:valAx>
        <c:axId val="8807836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13577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-74804.1630306</c:v>
                </c:pt>
                <c:pt idx="1">
                  <c:v>-68444.5087441057</c:v>
                </c:pt>
                <c:pt idx="2">
                  <c:v>-53080.977367098</c:v>
                </c:pt>
                <c:pt idx="3">
                  <c:v>-45827.3689705868</c:v>
                </c:pt>
                <c:pt idx="4">
                  <c:v>-38528.8683473374</c:v>
                </c:pt>
                <c:pt idx="5">
                  <c:v>-31107.7584114402</c:v>
                </c:pt>
                <c:pt idx="6">
                  <c:v>-23568.9435354011</c:v>
                </c:pt>
                <c:pt idx="7">
                  <c:v>-15917.1319168258</c:v>
                </c:pt>
                <c:pt idx="8">
                  <c:v>-8156.84342541571</c:v>
                </c:pt>
                <c:pt idx="9">
                  <c:v>-292.417136084256</c:v>
                </c:pt>
                <c:pt idx="10">
                  <c:v>2150.10605857762</c:v>
                </c:pt>
                <c:pt idx="11">
                  <c:v>-11978.9176271636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-4100000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5100000</c:v>
                </c:pt>
                <c:pt idx="1">
                  <c:v>-25000</c:v>
                </c:pt>
                <c:pt idx="2">
                  <c:v>-25000</c:v>
                </c:pt>
                <c:pt idx="3">
                  <c:v>-25000</c:v>
                </c:pt>
                <c:pt idx="4">
                  <c:v>-25000</c:v>
                </c:pt>
                <c:pt idx="5">
                  <c:v>-25000</c:v>
                </c:pt>
                <c:pt idx="6">
                  <c:v>-25000</c:v>
                </c:pt>
                <c:pt idx="7">
                  <c:v>-25000</c:v>
                </c:pt>
                <c:pt idx="8">
                  <c:v>-25000</c:v>
                </c:pt>
                <c:pt idx="9">
                  <c:v>-25000</c:v>
                </c:pt>
                <c:pt idx="10">
                  <c:v>-25000</c:v>
                </c:pt>
                <c:pt idx="11">
                  <c:v>-25000</c:v>
                </c:pt>
              </c:numCache>
            </c:numRef>
          </c:val>
        </c:ser>
        <c:gapWidth val="60"/>
        <c:overlap val="0"/>
        <c:axId val="45062968"/>
        <c:axId val="38871952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925195.8369694</c:v>
                </c:pt>
                <c:pt idx="1">
                  <c:v>831751.328225294</c:v>
                </c:pt>
                <c:pt idx="2">
                  <c:v>753670.350858196</c:v>
                </c:pt>
                <c:pt idx="3">
                  <c:v>682842.981887609</c:v>
                </c:pt>
                <c:pt idx="4">
                  <c:v>619314.113540272</c:v>
                </c:pt>
                <c:pt idx="5">
                  <c:v>563206.355128832</c:v>
                </c:pt>
                <c:pt idx="6">
                  <c:v>514637.411593431</c:v>
                </c:pt>
                <c:pt idx="7">
                  <c:v>473720.279676605</c:v>
                </c:pt>
                <c:pt idx="8">
                  <c:v>440563.436251189</c:v>
                </c:pt>
                <c:pt idx="9">
                  <c:v>415271.019115105</c:v>
                </c:pt>
                <c:pt idx="10">
                  <c:v>392421.125173683</c:v>
                </c:pt>
                <c:pt idx="11">
                  <c:v>355442.207546519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5489974"/>
        <c:axId val="17424995"/>
      </c:lineChart>
      <c:catAx>
        <c:axId val="45062968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8871952"/>
        <c:crosses val="autoZero"/>
        <c:auto val="1"/>
        <c:lblAlgn val="ctr"/>
        <c:lblOffset val="100"/>
        <c:noMultiLvlLbl val="0"/>
      </c:catAx>
      <c:valAx>
        <c:axId val="3887195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5062968"/>
        <c:crosses val="autoZero"/>
        <c:crossBetween val="between"/>
      </c:valAx>
      <c:catAx>
        <c:axId val="35489974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7424995"/>
        <c:crosses val="autoZero"/>
        <c:auto val="1"/>
        <c:lblAlgn val="ctr"/>
        <c:lblOffset val="100"/>
        <c:noMultiLvlLbl val="0"/>
      </c:catAx>
      <c:valAx>
        <c:axId val="17424995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548997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925195.8369694</c:v>
                </c:pt>
                <c:pt idx="1">
                  <c:v>831751.328225294</c:v>
                </c:pt>
                <c:pt idx="2">
                  <c:v>753670.350858196</c:v>
                </c:pt>
                <c:pt idx="3">
                  <c:v>682842.981887609</c:v>
                </c:pt>
                <c:pt idx="4">
                  <c:v>619314.113540272</c:v>
                </c:pt>
                <c:pt idx="5">
                  <c:v>563206.355128832</c:v>
                </c:pt>
                <c:pt idx="6">
                  <c:v>514637.411593431</c:v>
                </c:pt>
                <c:pt idx="7">
                  <c:v>473720.279676605</c:v>
                </c:pt>
                <c:pt idx="8">
                  <c:v>440563.436251189</c:v>
                </c:pt>
                <c:pt idx="9">
                  <c:v>415271.019115105</c:v>
                </c:pt>
                <c:pt idx="10">
                  <c:v>392421.125173683</c:v>
                </c:pt>
                <c:pt idx="11">
                  <c:v>355442.207546519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3196.22386666667</c:v>
                </c:pt>
                <c:pt idx="1">
                  <c:v>3629.92906014815</c:v>
                </c:pt>
                <c:pt idx="2">
                  <c:v>4851.56011996444</c:v>
                </c:pt>
                <c:pt idx="3">
                  <c:v>5403.45992257327</c:v>
                </c:pt>
                <c:pt idx="4">
                  <c:v>5966.01842937405</c:v>
                </c:pt>
                <c:pt idx="5">
                  <c:v>6538.80929219909</c:v>
                </c:pt>
                <c:pt idx="6">
                  <c:v>7121.42321680742</c:v>
                </c:pt>
                <c:pt idx="7">
                  <c:v>7713.46728072771</c:v>
                </c:pt>
                <c:pt idx="8">
                  <c:v>8314.5642783875</c:v>
                </c:pt>
                <c:pt idx="9">
                  <c:v>8924.35209243718</c:v>
                </c:pt>
                <c:pt idx="10">
                  <c:v>9103.03667540636</c:v>
                </c:pt>
                <c:pt idx="11">
                  <c:v>7915.98187505677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4071527.77777778</c:v>
                </c:pt>
                <c:pt idx="1">
                  <c:v>4043055.55555556</c:v>
                </c:pt>
                <c:pt idx="2">
                  <c:v>4014583.33333333</c:v>
                </c:pt>
                <c:pt idx="3">
                  <c:v>3986111.11111111</c:v>
                </c:pt>
                <c:pt idx="4">
                  <c:v>3957638.88888889</c:v>
                </c:pt>
                <c:pt idx="5">
                  <c:v>3929166.66666667</c:v>
                </c:pt>
                <c:pt idx="6">
                  <c:v>3900694.44444444</c:v>
                </c:pt>
                <c:pt idx="7">
                  <c:v>3872222.22222222</c:v>
                </c:pt>
                <c:pt idx="8">
                  <c:v>3843750</c:v>
                </c:pt>
                <c:pt idx="9">
                  <c:v>3815277.77777778</c:v>
                </c:pt>
                <c:pt idx="10">
                  <c:v>3786805.55555556</c:v>
                </c:pt>
                <c:pt idx="11">
                  <c:v>3758333.33333333</c:v>
                </c:pt>
              </c:numCache>
            </c:numRef>
          </c:val>
        </c:ser>
        <c:gapWidth val="60"/>
        <c:overlap val="100"/>
        <c:axId val="631317"/>
        <c:axId val="87342819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1997562.52336521</c:v>
                </c:pt>
                <c:pt idx="1">
                  <c:v>1900759.66323889</c:v>
                </c:pt>
                <c:pt idx="2">
                  <c:v>1819412.96589251</c:v>
                </c:pt>
                <c:pt idx="3">
                  <c:v>1745236.98729417</c:v>
                </c:pt>
                <c:pt idx="4">
                  <c:v>1678359.44803153</c:v>
                </c:pt>
                <c:pt idx="5">
                  <c:v>1618902.95986874</c:v>
                </c:pt>
                <c:pt idx="6">
                  <c:v>1566985.23009938</c:v>
                </c:pt>
                <c:pt idx="7">
                  <c:v>1522719.2577253</c:v>
                </c:pt>
                <c:pt idx="8">
                  <c:v>1486213.52178826</c:v>
                </c:pt>
                <c:pt idx="9">
                  <c:v>1457572.16216835</c:v>
                </c:pt>
                <c:pt idx="10">
                  <c:v>1431249.01856836</c:v>
                </c:pt>
                <c:pt idx="11">
                  <c:v>1390767.66772971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31317"/>
        <c:axId val="87342819"/>
      </c:lineChart>
      <c:catAx>
        <c:axId val="631317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7342819"/>
        <c:crosses val="autoZero"/>
        <c:auto val="1"/>
        <c:lblAlgn val="ctr"/>
        <c:lblOffset val="100"/>
        <c:noMultiLvlLbl val="0"/>
      </c:catAx>
      <c:valAx>
        <c:axId val="87342819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313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Scenarios!$A$31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Scenarios!$B$30:$F$30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Scenarios!$B$31:$F$31</c:f>
              <c:numCache>
                <c:formatCode>\$#,##0,;"($"#,##0,\);\-</c:formatCode>
                <c:ptCount val="5"/>
                <c:pt idx="0">
                  <c:v>723753.781752898</c:v>
                </c:pt>
                <c:pt idx="1">
                  <c:v>1233556.71859013</c:v>
                </c:pt>
                <c:pt idx="2">
                  <c:v>1373352.59957725</c:v>
                </c:pt>
                <c:pt idx="3">
                  <c:v>1456649.33657555</c:v>
                </c:pt>
                <c:pt idx="4">
                  <c:v>1509180.90456468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Scenarios!$A$32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Scenarios!$B$30:$F$30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Scenarios!$B$32:$F$32</c:f>
              <c:numCache>
                <c:formatCode>\$#,##0,;"($"#,##0,\);\-</c:formatCode>
                <c:ptCount val="5"/>
                <c:pt idx="0">
                  <c:v>1180182.39164623</c:v>
                </c:pt>
                <c:pt idx="1">
                  <c:v>1805881.4666632</c:v>
                </c:pt>
                <c:pt idx="2">
                  <c:v>2080276.59708741</c:v>
                </c:pt>
                <c:pt idx="3">
                  <c:v>2282431.11225691</c:v>
                </c:pt>
                <c:pt idx="4">
                  <c:v>2440877.21952545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Scenarios!$A$33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Scenarios!$B$30:$F$30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Scenarios!$B$33:$F$33</c:f>
              <c:numCache>
                <c:formatCode>\$#,##0,;"($"#,##0,\);\-</c:formatCode>
                <c:ptCount val="5"/>
                <c:pt idx="0">
                  <c:v>1713972.34882851</c:v>
                </c:pt>
                <c:pt idx="1">
                  <c:v>2530234.39082342</c:v>
                </c:pt>
                <c:pt idx="2">
                  <c:v>3028027.20834572</c:v>
                </c:pt>
                <c:pt idx="3">
                  <c:v>3447971.99917562</c:v>
                </c:pt>
                <c:pt idx="4">
                  <c:v>3820481.81951163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2797768"/>
        <c:axId val="73787811"/>
      </c:lineChart>
      <c:catAx>
        <c:axId val="7279776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3787811"/>
        <c:crosses val="autoZero"/>
        <c:auto val="1"/>
        <c:lblAlgn val="ctr"/>
        <c:lblOffset val="100"/>
        <c:noMultiLvlLbl val="0"/>
      </c:catAx>
      <c:valAx>
        <c:axId val="7378781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27977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Scenarios!$A$37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Scenarios!$B$36:$F$36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Scenarios!$B$37:$F$37</c:f>
              <c:numCache>
                <c:formatCode>\$#,##0,;"($"#,##0,\);\-</c:formatCode>
                <c:ptCount val="5"/>
                <c:pt idx="0">
                  <c:v>-533892.676207162</c:v>
                </c:pt>
                <c:pt idx="1">
                  <c:v>-120382.60081196</c:v>
                </c:pt>
                <c:pt idx="2">
                  <c:v>-24636.2998835956</c:v>
                </c:pt>
                <c:pt idx="3">
                  <c:v>17722.6674659084</c:v>
                </c:pt>
                <c:pt idx="4">
                  <c:v>29088.8484497289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Scenarios!$A$38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Scenarios!$B$36:$F$36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Scenarios!$B$38:$F$38</c:f>
              <c:numCache>
                <c:formatCode>\$#,##0,;"($"#,##0,\);\-</c:formatCode>
                <c:ptCount val="5"/>
                <c:pt idx="0">
                  <c:v>-123279.207270295</c:v>
                </c:pt>
                <c:pt idx="1">
                  <c:v>393591.208461737</c:v>
                </c:pt>
                <c:pt idx="2">
                  <c:v>606030.411732089</c:v>
                </c:pt>
                <c:pt idx="3">
                  <c:v>754095.188500905</c:v>
                </c:pt>
                <c:pt idx="4">
                  <c:v>861881.484690629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Scenarios!$A$39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Scenarios!$B$36:$F$36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Scenarios!$B$39:$F$39</c:f>
              <c:numCache>
                <c:formatCode>\$#,##0,;"($"#,##0,\);\-</c:formatCode>
                <c:ptCount val="5"/>
                <c:pt idx="0">
                  <c:v>374729.35474249</c:v>
                </c:pt>
                <c:pt idx="1">
                  <c:v>1064559.31495256</c:v>
                </c:pt>
                <c:pt idx="2">
                  <c:v>1475107.63814208</c:v>
                </c:pt>
                <c:pt idx="3">
                  <c:v>1817705.51493607</c:v>
                </c:pt>
                <c:pt idx="4">
                  <c:v>2118274.92974527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1361362"/>
        <c:axId val="85186910"/>
      </c:lineChart>
      <c:catAx>
        <c:axId val="5136136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5186910"/>
        <c:crosses val="autoZero"/>
        <c:auto val="1"/>
        <c:lblAlgn val="ctr"/>
        <c:lblOffset val="100"/>
        <c:noMultiLvlLbl val="0"/>
      </c:catAx>
      <c:valAx>
        <c:axId val="8518691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136136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Scenarios!$A$43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Scenarios!$B$42:$F$42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Scenarios!$B$43:$F$43</c:f>
              <c:numCache>
                <c:formatCode>\$#,##0,;"($"#,##0,\);\-</c:formatCode>
                <c:ptCount val="5"/>
                <c:pt idx="0">
                  <c:v>-1119845.80120716</c:v>
                </c:pt>
                <c:pt idx="1">
                  <c:v>-684257.60081196</c:v>
                </c:pt>
                <c:pt idx="2">
                  <c:v>-566344.633216929</c:v>
                </c:pt>
                <c:pt idx="3">
                  <c:v>-501818.999200758</c:v>
                </c:pt>
                <c:pt idx="4">
                  <c:v>-468286.151550271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Scenarios!$A$44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Scenarios!$B$42:$F$42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Scenarios!$B$44:$F$44</c:f>
              <c:numCache>
                <c:formatCode>\$#,##0,;"($"#,##0,\);\-</c:formatCode>
                <c:ptCount val="5"/>
                <c:pt idx="0">
                  <c:v>-709232.332270295</c:v>
                </c:pt>
                <c:pt idx="1">
                  <c:v>-170283.791538263</c:v>
                </c:pt>
                <c:pt idx="2">
                  <c:v>64322.0783987556</c:v>
                </c:pt>
                <c:pt idx="3">
                  <c:v>234553.521834239</c:v>
                </c:pt>
                <c:pt idx="4">
                  <c:v>364506.484690629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Scenarios!$A$45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Scenarios!$B$42:$F$42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Scenarios!$B$45:$F$45</c:f>
              <c:numCache>
                <c:formatCode>\$#,##0,;"($"#,##0,\);\-</c:formatCode>
                <c:ptCount val="5"/>
                <c:pt idx="0">
                  <c:v>-211223.770257511</c:v>
                </c:pt>
                <c:pt idx="1">
                  <c:v>439897.600566596</c:v>
                </c:pt>
                <c:pt idx="2">
                  <c:v>737385.45079891</c:v>
                </c:pt>
                <c:pt idx="3">
                  <c:v>1025549.44013283</c:v>
                </c:pt>
                <c:pt idx="4">
                  <c:v>1280510.94449876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3441285"/>
        <c:axId val="35362293"/>
      </c:lineChart>
      <c:catAx>
        <c:axId val="4344128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5362293"/>
        <c:crosses val="autoZero"/>
        <c:auto val="1"/>
        <c:lblAlgn val="ctr"/>
        <c:lblOffset val="100"/>
        <c:noMultiLvlLbl val="0"/>
      </c:catAx>
      <c:valAx>
        <c:axId val="3536229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34412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at year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Scenarios!$A$49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Scenarios!$B$48:$F$48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Scenarios!$B$49:$F$49</c:f>
              <c:numCache>
                <c:formatCode>\$#,##0,;"($"#,##0,\);\-</c:formatCode>
                <c:ptCount val="5"/>
                <c:pt idx="0">
                  <c:v>-53672.9491542138</c:v>
                </c:pt>
                <c:pt idx="1">
                  <c:v>-732788.651719054</c:v>
                </c:pt>
                <c:pt idx="2">
                  <c:v>-1290608.83978511</c:v>
                </c:pt>
                <c:pt idx="3">
                  <c:v>-1780561.56265074</c:v>
                </c:pt>
                <c:pt idx="4">
                  <c:v>-2233642.27171591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Scenarios!$A$50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Scenarios!$B$48:$F$48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Scenarios!$B$50:$F$50</c:f>
              <c:numCache>
                <c:formatCode>\$#,##0,;"($"#,##0,\);\-</c:formatCode>
                <c:ptCount val="5"/>
                <c:pt idx="0">
                  <c:v>355442.207546519</c:v>
                </c:pt>
                <c:pt idx="1">
                  <c:v>189920.661079184</c:v>
                </c:pt>
                <c:pt idx="2">
                  <c:v>262436.516461964</c:v>
                </c:pt>
                <c:pt idx="3">
                  <c:v>508577.640304047</c:v>
                </c:pt>
                <c:pt idx="4">
                  <c:v>888042.923420652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Scenarios!$A$51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Scenarios!$B$48:$F$48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Scenarios!$B$51:$F$51</c:f>
              <c:numCache>
                <c:formatCode>\$#,##0,;"($"#,##0,\);\-</c:formatCode>
                <c:ptCount val="5"/>
                <c:pt idx="0">
                  <c:v>851182.534970552</c:v>
                </c:pt>
                <c:pt idx="1">
                  <c:v>1295076.01843464</c:v>
                </c:pt>
                <c:pt idx="2">
                  <c:v>2039947.59864561</c:v>
                </c:pt>
                <c:pt idx="3">
                  <c:v>3076413.65751228</c:v>
                </c:pt>
                <c:pt idx="4">
                  <c:v>4371228.04142465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6543636"/>
        <c:axId val="53584442"/>
      </c:lineChart>
      <c:catAx>
        <c:axId val="3654363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3584442"/>
        <c:crosses val="autoZero"/>
        <c:auto val="1"/>
        <c:lblAlgn val="ctr"/>
        <c:lblOffset val="100"/>
        <c:noMultiLvlLbl val="0"/>
      </c:catAx>
      <c:valAx>
        <c:axId val="5358444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65436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2100000</c:v>
                </c:pt>
                <c:pt idx="1">
                  <c:v>3000000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369557.792453481</c:v>
                </c:pt>
                <c:pt idx="1">
                  <c:v>4100000</c:v>
                </c:pt>
                <c:pt idx="2">
                  <c:v>275000</c:v>
                </c:pt>
                <c:pt idx="3">
                  <c:v>355442.207546519</c:v>
                </c:pt>
              </c:numCache>
            </c:numRef>
          </c:val>
        </c:ser>
        <c:gapWidth val="60"/>
        <c:overlap val="0"/>
        <c:axId val="90244316"/>
        <c:axId val="43139185"/>
      </c:barChart>
      <c:catAx>
        <c:axId val="9024431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3139185"/>
        <c:crosses val="autoZero"/>
        <c:auto val="1"/>
        <c:lblAlgn val="ctr"/>
        <c:lblOffset val="100"/>
        <c:noMultiLvlLbl val="0"/>
      </c:catAx>
      <c:valAx>
        <c:axId val="4313918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0244316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KPIs!$B$7:$F$7</c:f>
              <c:numCache>
                <c:formatCode>0.0%;\(0.0%\);\-</c:formatCode>
                <c:ptCount val="5"/>
                <c:pt idx="0">
                  <c:v>0.847123969825669</c:v>
                </c:pt>
                <c:pt idx="1">
                  <c:v>0.840145068471817</c:v>
                </c:pt>
                <c:pt idx="2">
                  <c:v>0.83491490995181</c:v>
                </c:pt>
                <c:pt idx="3">
                  <c:v>0.831414635206437</c:v>
                </c:pt>
                <c:pt idx="4">
                  <c:v>0.828711093639644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KPIs!$B$8:$F$8</c:f>
              <c:numCache>
                <c:formatCode>0.0%;\(0.0%\);\-</c:formatCode>
                <c:ptCount val="5"/>
                <c:pt idx="0">
                  <c:v>-0.104457758515049</c:v>
                </c:pt>
                <c:pt idx="1">
                  <c:v>0.217949636079378</c:v>
                </c:pt>
                <c:pt idx="2">
                  <c:v>0.291322035050816</c:v>
                </c:pt>
                <c:pt idx="3">
                  <c:v>0.330391215073843</c:v>
                </c:pt>
                <c:pt idx="4">
                  <c:v>0.353103170366838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KPIs!$B$9:$F$9</c:f>
              <c:numCache>
                <c:formatCode>0.0%;\(0.0%\);\-</c:formatCode>
                <c:ptCount val="5"/>
                <c:pt idx="0">
                  <c:v>-0.600951460800047</c:v>
                </c:pt>
                <c:pt idx="1">
                  <c:v>-0.0942940025033336</c:v>
                </c:pt>
                <c:pt idx="2">
                  <c:v>0.0309199644358894</c:v>
                </c:pt>
                <c:pt idx="3">
                  <c:v>0.102764775933284</c:v>
                </c:pt>
                <c:pt idx="4">
                  <c:v>0.149334215492205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6737334"/>
        <c:axId val="73341775"/>
      </c:lineChart>
      <c:catAx>
        <c:axId val="8673733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3341775"/>
        <c:crosses val="autoZero"/>
        <c:auto val="1"/>
        <c:lblAlgn val="ctr"/>
        <c:lblOffset val="100"/>
        <c:noMultiLvlLbl val="0"/>
      </c:catAx>
      <c:valAx>
        <c:axId val="7334177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67373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KPIs!$B$15:$F$15</c:f>
              <c:numCache>
                <c:formatCode>0.0%;\(0.0%\);\-</c:formatCode>
                <c:ptCount val="5"/>
                <c:pt idx="0">
                  <c:v>-0.171702955749435</c:v>
                </c:pt>
                <c:pt idx="1">
                  <c:v>-0.0464726723709948</c:v>
                </c:pt>
                <c:pt idx="2">
                  <c:v>0.0187455245178273</c:v>
                </c:pt>
                <c:pt idx="3">
                  <c:v>0.0696399688840208</c:v>
                </c:pt>
                <c:pt idx="4">
                  <c:v>0.106133256937759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KPIs!$B$16:$F$16</c:f>
              <c:numCache>
                <c:formatCode>0.0%;\(0.0%\);\-</c:formatCode>
                <c:ptCount val="5"/>
                <c:pt idx="0">
                  <c:v>-0.50995744920361</c:v>
                </c:pt>
                <c:pt idx="1">
                  <c:v>-0.139521541300192</c:v>
                </c:pt>
                <c:pt idx="2">
                  <c:v>0.0500636521561513</c:v>
                </c:pt>
                <c:pt idx="3">
                  <c:v>0.154376581364551</c:v>
                </c:pt>
                <c:pt idx="4">
                  <c:v>0.193488545477448</c:v>
                </c:pt>
              </c:numCache>
            </c:numRef>
          </c:val>
        </c:ser>
        <c:gapWidth val="60"/>
        <c:overlap val="0"/>
        <c:axId val="39461997"/>
        <c:axId val="44832668"/>
      </c:barChart>
      <c:catAx>
        <c:axId val="3946199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4832668"/>
        <c:crosses val="autoZero"/>
        <c:auto val="1"/>
        <c:lblAlgn val="ctr"/>
        <c:lblOffset val="100"/>
        <c:noMultiLvlLbl val="0"/>
      </c:catAx>
      <c:valAx>
        <c:axId val="4483266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94619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Retail and member washes, tunnel capacity used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KPIs!$A$34</c:f>
              <c:strCache>
                <c:ptCount val="1"/>
                <c:pt idx="0">
                  <c:v>Retail cars washed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KPIs!$B$34:$F$34</c:f>
              <c:numCache>
                <c:formatCode>#,##0;\(#,##0\);\-</c:formatCode>
                <c:ptCount val="5"/>
                <c:pt idx="0">
                  <c:v>64869.1333333333</c:v>
                </c:pt>
                <c:pt idx="1">
                  <c:v>83520</c:v>
                </c:pt>
                <c:pt idx="2">
                  <c:v>83520</c:v>
                </c:pt>
                <c:pt idx="3">
                  <c:v>83520</c:v>
                </c:pt>
                <c:pt idx="4">
                  <c:v>83520</c:v>
                </c:pt>
              </c:numCache>
            </c:numRef>
          </c:val>
        </c:ser>
        <c:ser>
          <c:idx val="1"/>
          <c:order val="1"/>
          <c:tx>
            <c:strRef>
              <c:f>KPIs!$A$35</c:f>
              <c:strCache>
                <c:ptCount val="1"/>
                <c:pt idx="0">
                  <c:v>Member washes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KPIs!$B$35:$F$35</c:f>
              <c:numCache>
                <c:formatCode>#,##0;\(#,##0\);\-</c:formatCode>
                <c:ptCount val="5"/>
                <c:pt idx="0">
                  <c:v>24097.8158489592</c:v>
                </c:pt>
                <c:pt idx="1">
                  <c:v>56156.3441548421</c:v>
                </c:pt>
                <c:pt idx="2">
                  <c:v>78984.8945262322</c:v>
                </c:pt>
                <c:pt idx="3">
                  <c:v>94068.8804855373</c:v>
                </c:pt>
                <c:pt idx="4">
                  <c:v>104462.531783342</c:v>
                </c:pt>
              </c:numCache>
            </c:numRef>
          </c:val>
        </c:ser>
        <c:gapWidth val="60"/>
        <c:overlap val="100"/>
        <c:axId val="48067752"/>
        <c:axId val="25875085"/>
      </c:barChart>
      <c:lineChart>
        <c:grouping val="stacked"/>
        <c:varyColors val="0"/>
        <c:ser>
          <c:idx val="2"/>
          <c:order val="2"/>
          <c:tx>
            <c:strRef>
              <c:f>KPIs!$A$39</c:f>
              <c:strCache>
                <c:ptCount val="1"/>
                <c:pt idx="0">
                  <c:v>Tunnel capacity used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KPIs!$B$39:$F$39</c:f>
              <c:numCache>
                <c:formatCode>0.0%;\(0.0%\);\-</c:formatCode>
                <c:ptCount val="5"/>
                <c:pt idx="0">
                  <c:v>0.301832529896906</c:v>
                </c:pt>
                <c:pt idx="1">
                  <c:v>0.473871080333707</c:v>
                </c:pt>
                <c:pt idx="2">
                  <c:v>0.551320056338912</c:v>
                </c:pt>
                <c:pt idx="3">
                  <c:v>0.602494539502291</c:v>
                </c:pt>
                <c:pt idx="4">
                  <c:v>0.637756421526083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2905657"/>
        <c:axId val="50072382"/>
      </c:lineChart>
      <c:catAx>
        <c:axId val="4806775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5875085"/>
        <c:crosses val="autoZero"/>
        <c:auto val="1"/>
        <c:lblAlgn val="ctr"/>
        <c:lblOffset val="100"/>
        <c:noMultiLvlLbl val="0"/>
      </c:catAx>
      <c:valAx>
        <c:axId val="2587508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8067752"/>
        <c:crosses val="autoZero"/>
        <c:crossBetween val="between"/>
      </c:valAx>
      <c:catAx>
        <c:axId val="62905657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0072382"/>
        <c:crosses val="autoZero"/>
        <c:auto val="1"/>
        <c:lblAlgn val="ctr"/>
        <c:lblOffset val="100"/>
        <c:noMultiLvlLbl val="0"/>
      </c:catAx>
      <c:valAx>
        <c:axId val="5007238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2905657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split and EBITDA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KPIs!$A$43</c:f>
              <c:strCache>
                <c:ptCount val="1"/>
                <c:pt idx="0">
                  <c:v>Retail wash &amp; add-on 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KPIs!$B$43:$F$43</c:f>
              <c:numCache>
                <c:formatCode>\$#,##0,;"($"#,##0,\);\-</c:formatCode>
                <c:ptCount val="5"/>
                <c:pt idx="0">
                  <c:v>940602.433333333</c:v>
                </c:pt>
                <c:pt idx="1">
                  <c:v>1235260.8</c:v>
                </c:pt>
                <c:pt idx="2">
                  <c:v>1259966.016</c:v>
                </c:pt>
                <c:pt idx="3">
                  <c:v>1285165.33632</c:v>
                </c:pt>
                <c:pt idx="4">
                  <c:v>1310868.6430464</c:v>
                </c:pt>
              </c:numCache>
            </c:numRef>
          </c:val>
        </c:ser>
        <c:ser>
          <c:idx val="1"/>
          <c:order val="1"/>
          <c:tx>
            <c:strRef>
              <c:f>KPIs!$A$42</c:f>
              <c:strCache>
                <c:ptCount val="1"/>
                <c:pt idx="0">
                  <c:v>Unlimited plan fees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KPIs!$B$42:$F$42</c:f>
              <c:numCache>
                <c:formatCode>\$#,##0,;"($"#,##0,\);\-</c:formatCode>
                <c:ptCount val="5"/>
                <c:pt idx="0">
                  <c:v>239579.958312896</c:v>
                </c:pt>
                <c:pt idx="1">
                  <c:v>570620.666663197</c:v>
                </c:pt>
                <c:pt idx="2">
                  <c:v>820310.581087405</c:v>
                </c:pt>
                <c:pt idx="3">
                  <c:v>997265.775936914</c:v>
                </c:pt>
                <c:pt idx="4">
                  <c:v>1130008.57647905</c:v>
                </c:pt>
              </c:numCache>
            </c:numRef>
          </c:val>
        </c:ser>
        <c:gapWidth val="60"/>
        <c:overlap val="100"/>
        <c:axId val="23540632"/>
        <c:axId val="13380006"/>
      </c:barChart>
      <c:lineChart>
        <c:grouping val="stacked"/>
        <c:varyColors val="0"/>
        <c:ser>
          <c:idx val="2"/>
          <c:order val="2"/>
          <c:tx>
            <c:strRef>
              <c:f>KPIs!$A$52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KPIs!$B$52:$F$52</c:f>
              <c:numCache>
                <c:formatCode>0.0%;\(0.0%\);\-</c:formatCode>
                <c:ptCount val="5"/>
                <c:pt idx="0">
                  <c:v>-0.104457758515049</c:v>
                </c:pt>
                <c:pt idx="1">
                  <c:v>0.217949636079378</c:v>
                </c:pt>
                <c:pt idx="2">
                  <c:v>0.291322035050816</c:v>
                </c:pt>
                <c:pt idx="3">
                  <c:v>0.330391215073843</c:v>
                </c:pt>
                <c:pt idx="4">
                  <c:v>0.353103170366838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114633"/>
        <c:axId val="79732648"/>
      </c:lineChart>
      <c:catAx>
        <c:axId val="23540632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3380006"/>
        <c:crosses val="autoZero"/>
        <c:auto val="1"/>
        <c:lblAlgn val="ctr"/>
        <c:lblOffset val="100"/>
        <c:noMultiLvlLbl val="0"/>
      </c:catAx>
      <c:valAx>
        <c:axId val="1338000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[&gt;=1000000]\$#,##0.0,,\M;[&gt;=1000]\$#,##0,\k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3540632"/>
        <c:crosses val="autoZero"/>
        <c:crossBetween val="between"/>
      </c:valAx>
      <c:catAx>
        <c:axId val="3114633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9732648"/>
        <c:crosses val="autoZero"/>
        <c:auto val="1"/>
        <c:lblAlgn val="ctr"/>
        <c:lblOffset val="100"/>
        <c:noMultiLvlLbl val="0"/>
      </c:catAx>
      <c:valAx>
        <c:axId val="7973264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11463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08160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219600</xdr:colOff>
      <xdr:row>36</xdr:row>
      <xdr:rowOff>111240</xdr:rowOff>
    </xdr:to>
    <xdr:graphicFrame>
      <xdr:nvGraphicFramePr>
        <xdr:cNvPr id="9" name="Chart 3"/>
        <xdr:cNvGraphicFramePr/>
      </xdr:nvGraphicFramePr>
      <xdr:xfrm>
        <a:off x="718956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23</xdr:col>
      <xdr:colOff>219600</xdr:colOff>
      <xdr:row>36</xdr:row>
      <xdr:rowOff>111240</xdr:rowOff>
    </xdr:to>
    <xdr:graphicFrame>
      <xdr:nvGraphicFramePr>
        <xdr:cNvPr id="10" name="Chart 4"/>
        <xdr:cNvGraphicFramePr/>
      </xdr:nvGraphicFramePr>
      <xdr:xfrm>
        <a:off x="1208160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11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12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16</xdr:col>
      <xdr:colOff>36720</xdr:colOff>
      <xdr:row>18</xdr:row>
      <xdr:rowOff>111240</xdr:rowOff>
    </xdr:to>
    <xdr:graphicFrame>
      <xdr:nvGraphicFramePr>
        <xdr:cNvPr id="13" name="Chart 1"/>
        <xdr:cNvGraphicFramePr/>
      </xdr:nvGraphicFramePr>
      <xdr:xfrm>
        <a:off x="82486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3</xdr:row>
      <xdr:rowOff>0</xdr:rowOff>
    </xdr:from>
    <xdr:to>
      <xdr:col>24</xdr:col>
      <xdr:colOff>36720</xdr:colOff>
      <xdr:row>18</xdr:row>
      <xdr:rowOff>111240</xdr:rowOff>
    </xdr:to>
    <xdr:graphicFrame>
      <xdr:nvGraphicFramePr>
        <xdr:cNvPr id="14" name="Chart 2"/>
        <xdr:cNvGraphicFramePr/>
      </xdr:nvGraphicFramePr>
      <xdr:xfrm>
        <a:off x="133236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16</xdr:col>
      <xdr:colOff>36720</xdr:colOff>
      <xdr:row>35</xdr:row>
      <xdr:rowOff>120600</xdr:rowOff>
    </xdr:to>
    <xdr:graphicFrame>
      <xdr:nvGraphicFramePr>
        <xdr:cNvPr id="15" name="Chart 3"/>
        <xdr:cNvGraphicFramePr/>
      </xdr:nvGraphicFramePr>
      <xdr:xfrm>
        <a:off x="82486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20</xdr:row>
      <xdr:rowOff>0</xdr:rowOff>
    </xdr:from>
    <xdr:to>
      <xdr:col>24</xdr:col>
      <xdr:colOff>36720</xdr:colOff>
      <xdr:row>35</xdr:row>
      <xdr:rowOff>120600</xdr:rowOff>
    </xdr:to>
    <xdr:graphicFrame>
      <xdr:nvGraphicFramePr>
        <xdr:cNvPr id="16" name="Chart 4"/>
        <xdr:cNvGraphicFramePr/>
      </xdr:nvGraphicFramePr>
      <xdr:xfrm>
        <a:off x="133236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Checks!B25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HYPERLINK("#Scenarios!A1","Scenarios")</f>
        <v>Scenarios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HYPERLINK("#'Break-even'!A1","Break-even")</f>
        <v>Break-even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HYPERLINK("#Valuation!A1","Valuation")</f>
        <v>Valuation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HYPERLINK("#'Sources &amp; Uses'!A1","Sources &amp; Uses")</f>
        <v>Sources &amp; Uses</v>
      </c>
      <c r="D17" s="11" t="s">
        <v>15</v>
      </c>
    </row>
    <row r="18" customFormat="false" ht="15" hidden="false" customHeight="false" outlineLevel="0" collapsed="false">
      <c r="B18" s="9" t="n">
        <v>7</v>
      </c>
      <c r="C18" s="10" t="str">
        <f aca="false">HYPERLINK("#KPIs!A1","KPIs")</f>
        <v>KPIs</v>
      </c>
      <c r="D18" s="11" t="s">
        <v>16</v>
      </c>
    </row>
    <row r="19" customFormat="false" ht="15" hidden="false" customHeight="false" outlineLevel="0" collapsed="false">
      <c r="C19" s="8" t="s">
        <v>17</v>
      </c>
    </row>
    <row r="20" customFormat="false" ht="15" hidden="false" customHeight="false" outlineLevel="0" collapsed="false">
      <c r="B20" s="9" t="n">
        <v>8</v>
      </c>
      <c r="C20" s="10" t="str">
        <f aca="false">HYPERLINK("#Inputs!A1","Inputs")</f>
        <v>Inputs</v>
      </c>
      <c r="D20" s="11" t="s">
        <v>18</v>
      </c>
    </row>
    <row r="21" customFormat="false" ht="15" hidden="false" customHeight="false" outlineLevel="0" collapsed="false">
      <c r="C21" s="8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HYPERLINK("#'P&amp;L'!A1","P&amp;L")</f>
        <v>P&amp;L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HYPERLINK("#'Cash Flow'!A1","Cash Flow")</f>
        <v>Cash Flow</v>
      </c>
      <c r="D23" s="11" t="s">
        <v>21</v>
      </c>
    </row>
    <row r="24" customFormat="false" ht="15" hidden="false" customHeight="false" outlineLevel="0" collapsed="false">
      <c r="B24" s="9" t="n">
        <v>11</v>
      </c>
      <c r="C24" s="10" t="str">
        <f aca="false">HYPERLINK("#'Balance Sheet'!A1","Balance Sheet")</f>
        <v>Balance Sheet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HYPERLINK("#Monthly!A1","Monthly")</f>
        <v>Monthly</v>
      </c>
      <c r="D26" s="11" t="s">
        <v>24</v>
      </c>
    </row>
    <row r="27" customFormat="false" ht="15" hidden="false" customHeight="false" outlineLevel="0" collapsed="false">
      <c r="B27" s="9" t="n">
        <v>13</v>
      </c>
      <c r="C27" s="10" t="str">
        <f aca="false">HYPERLINK("#Headcount!A1","Headcount")</f>
        <v>Headcount</v>
      </c>
      <c r="D27" s="11" t="s">
        <v>25</v>
      </c>
    </row>
    <row r="28" customFormat="false" ht="15" hidden="false" customHeight="false" outlineLevel="0" collapsed="false">
      <c r="B28" s="9" t="n">
        <v>14</v>
      </c>
      <c r="C28" s="10" t="str">
        <f aca="false">HYPERLINK("#'Scenario calc'!A1","Scenario calc")</f>
        <v>Scenario calc</v>
      </c>
      <c r="D28" s="11" t="s">
        <v>26</v>
      </c>
    </row>
    <row r="29" customFormat="false" ht="15" hidden="false" customHeight="false" outlineLevel="0" collapsed="false">
      <c r="C29" s="8" t="s">
        <v>27</v>
      </c>
    </row>
    <row r="30" customFormat="false" ht="15" hidden="false" customHeight="false" outlineLevel="0" collapsed="false">
      <c r="B30" s="9" t="n">
        <v>15</v>
      </c>
      <c r="C30" s="10" t="str">
        <f aca="false">HYPERLINK("#Checks!A1","Checks")</f>
        <v>Checks</v>
      </c>
      <c r="D30" s="11" t="s">
        <v>28</v>
      </c>
    </row>
    <row r="32" customFormat="false" ht="15" hidden="false" customHeight="false" outlineLevel="0" collapsed="false">
      <c r="B32" s="3" t="s">
        <v>29</v>
      </c>
    </row>
    <row r="33" customFormat="false" ht="15" hidden="false" customHeight="false" outlineLevel="0" collapsed="false">
      <c r="C33" s="12" t="n">
        <v>1000</v>
      </c>
      <c r="D33" s="6" t="s">
        <v>30</v>
      </c>
    </row>
    <row r="34" customFormat="false" ht="15" hidden="false" customHeight="false" outlineLevel="0" collapsed="false">
      <c r="C34" s="13" t="n">
        <v>1000</v>
      </c>
      <c r="D34" s="6" t="s">
        <v>31</v>
      </c>
    </row>
    <row r="35" customFormat="false" ht="15" hidden="false" customHeight="false" outlineLevel="0" collapsed="false">
      <c r="C35" s="14" t="n">
        <v>1000</v>
      </c>
      <c r="D35" s="6" t="s">
        <v>32</v>
      </c>
    </row>
    <row r="36" customFormat="false" ht="15" hidden="false" customHeight="false" outlineLevel="0" collapsed="false">
      <c r="C36" s="15" t="n">
        <v>1000</v>
      </c>
      <c r="D36" s="6" t="s">
        <v>33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34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35</v>
      </c>
      <c r="S4" s="22" t="s">
        <v>5</v>
      </c>
      <c r="T4" s="23" t="str">
        <f aca="false">Checks!B25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36</v>
      </c>
      <c r="B6" s="24"/>
      <c r="C6" s="24" t="s">
        <v>37</v>
      </c>
      <c r="D6" s="24"/>
      <c r="E6" s="24"/>
      <c r="F6" s="24"/>
      <c r="H6" s="24" t="s">
        <v>38</v>
      </c>
      <c r="I6" s="24"/>
      <c r="J6" s="24"/>
      <c r="K6" s="24"/>
      <c r="L6" s="24" t="s">
        <v>39</v>
      </c>
      <c r="M6" s="24"/>
      <c r="N6" s="24"/>
      <c r="O6" s="24"/>
      <c r="P6" s="24" t="s">
        <v>40</v>
      </c>
      <c r="Q6" s="24"/>
      <c r="R6" s="24"/>
      <c r="S6" s="24"/>
      <c r="T6" s="24" t="s">
        <v>41</v>
      </c>
      <c r="U6" s="24"/>
      <c r="V6" s="24"/>
      <c r="W6" s="24"/>
    </row>
    <row r="7" customFormat="false" ht="30" hidden="false" customHeight="true" outlineLevel="0" collapsed="false">
      <c r="A7" s="25" t="n">
        <f aca="false">F12</f>
        <v>2440877.21952545</v>
      </c>
      <c r="B7" s="25"/>
      <c r="C7" s="26" t="n">
        <f aca="false">F17</f>
        <v>0.353103170366838</v>
      </c>
      <c r="D7" s="26"/>
      <c r="E7" s="26"/>
      <c r="F7" s="26"/>
      <c r="H7" s="25" t="n">
        <f aca="false">F18</f>
        <v>364506.484690629</v>
      </c>
      <c r="I7" s="25"/>
      <c r="J7" s="25"/>
      <c r="K7" s="25"/>
      <c r="L7" s="25" t="n">
        <f aca="false">F39</f>
        <v>131554.538556901</v>
      </c>
      <c r="M7" s="25"/>
      <c r="N7" s="25"/>
      <c r="O7" s="25"/>
      <c r="P7" s="25" t="n">
        <f aca="false">F37</f>
        <v>5249445.4614431</v>
      </c>
      <c r="Q7" s="25"/>
      <c r="R7" s="25"/>
      <c r="S7" s="25"/>
      <c r="T7" s="25" t="n">
        <f aca="false">F44</f>
        <v>-1277795.63828136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IF(AND(B12&gt;0,F12&gt;=0),(F12/B12)^(1/4)-1,"CAGR n/a")</f>
        <v>0.199220933401085</v>
      </c>
      <c r="B8" s="27"/>
      <c r="C8" s="28" t="n">
        <f aca="false">F16</f>
        <v>861881.484690629</v>
      </c>
      <c r="D8" s="28"/>
      <c r="E8" s="28"/>
      <c r="F8" s="28"/>
      <c r="H8" s="29" t="n">
        <f aca="false">F19</f>
        <v>0.149334215492205</v>
      </c>
      <c r="I8" s="29"/>
      <c r="J8" s="29"/>
      <c r="K8" s="29"/>
      <c r="L8" s="30" t="n">
        <f aca="false">'Break-even'!B6</f>
        <v>26</v>
      </c>
      <c r="M8" s="30"/>
      <c r="N8" s="30"/>
      <c r="O8" s="30"/>
      <c r="P8" s="31" t="n">
        <f aca="false">IF(F38&gt;=0,"Covered by funding raised",-F38)</f>
        <v>149445.461443098</v>
      </c>
      <c r="Q8" s="31"/>
      <c r="R8" s="31"/>
      <c r="S8" s="31"/>
      <c r="T8" s="32" t="s">
        <v>42</v>
      </c>
      <c r="U8" s="32"/>
      <c r="V8" s="32"/>
      <c r="W8" s="32"/>
    </row>
    <row r="10" customFormat="false" ht="15.75" hidden="false" customHeight="true" outlineLevel="0" collapsed="false">
      <c r="A10" s="7" t="s">
        <v>43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4" t="n">
        <v>4</v>
      </c>
      <c r="F11" s="34" t="n">
        <v>5</v>
      </c>
    </row>
    <row r="12" customFormat="false" ht="15" hidden="false" customHeight="false" outlineLevel="0" collapsed="false">
      <c r="A12" s="6" t="s">
        <v>44</v>
      </c>
      <c r="B12" s="35" t="n">
        <f aca="false">SUMIF(Monthly!$C$5:$BJ$5,B$11,Monthly!$C$37:$BJ$37)</f>
        <v>1180182.39164623</v>
      </c>
      <c r="C12" s="35" t="n">
        <f aca="false">SUMIF(Monthly!$C$5:$BJ$5,C$11,Monthly!$C$37:$BJ$37)</f>
        <v>1805881.4666632</v>
      </c>
      <c r="D12" s="35" t="n">
        <f aca="false">SUMIF(Monthly!$C$5:$BJ$5,D$11,Monthly!$C$37:$BJ$37)</f>
        <v>2080276.59708741</v>
      </c>
      <c r="E12" s="35" t="n">
        <f aca="false">SUMIF(Monthly!$C$5:$BJ$5,E$11,Monthly!$C$37:$BJ$37)</f>
        <v>2282431.11225691</v>
      </c>
      <c r="F12" s="35" t="n">
        <f aca="false">SUMIF(Monthly!$C$5:$BJ$5,F$11,Monthly!$C$37:$BJ$37)</f>
        <v>2440877.21952545</v>
      </c>
    </row>
    <row r="13" customFormat="false" ht="15" hidden="false" customHeight="false" outlineLevel="0" collapsed="false">
      <c r="A13" s="36" t="s">
        <v>45</v>
      </c>
      <c r="B13" s="37" t="n">
        <f aca="false">SUMIF(Monthly!$C$5:$BJ$5,B$11,Monthly!$C$46:$BJ$46)</f>
        <v>999760.792729705</v>
      </c>
      <c r="C13" s="37" t="n">
        <f aca="false">SUMIF(Monthly!$C$5:$BJ$5,C$11,Monthly!$C$46:$BJ$46)</f>
        <v>1517202.40846174</v>
      </c>
      <c r="D13" s="37" t="n">
        <f aca="false">SUMIF(Monthly!$C$5:$BJ$5,D$11,Monthly!$C$46:$BJ$46)</f>
        <v>1736853.94773209</v>
      </c>
      <c r="E13" s="37" t="n">
        <f aca="false">SUMIF(Monthly!$C$5:$BJ$5,E$11,Monthly!$C$46:$BJ$46)</f>
        <v>1897646.63058091</v>
      </c>
      <c r="F13" s="37" t="n">
        <f aca="false">SUMIF(Monthly!$C$5:$BJ$5,F$11,Monthly!$C$46:$BJ$46)</f>
        <v>2022782.03003303</v>
      </c>
    </row>
    <row r="14" customFormat="false" ht="15" hidden="false" customHeight="false" outlineLevel="0" collapsed="false">
      <c r="A14" s="38" t="s">
        <v>46</v>
      </c>
      <c r="B14" s="39" t="n">
        <f aca="false">IF(B12=0,0,B13/B12)</f>
        <v>0.847123969825669</v>
      </c>
      <c r="C14" s="39" t="n">
        <f aca="false">IF(C12=0,0,C13/C12)</f>
        <v>0.840145068471817</v>
      </c>
      <c r="D14" s="39" t="n">
        <f aca="false">IF(D12=0,0,D13/D12)</f>
        <v>0.83491490995181</v>
      </c>
      <c r="E14" s="39" t="n">
        <f aca="false">IF(E12=0,0,E13/E12)</f>
        <v>0.831414635206437</v>
      </c>
      <c r="F14" s="39" t="n">
        <f aca="false">IF(F12=0,0,F13/F12)</f>
        <v>0.828711093639644</v>
      </c>
    </row>
    <row r="15" customFormat="false" ht="15" hidden="false" customHeight="false" outlineLevel="0" collapsed="false">
      <c r="A15" s="6" t="s">
        <v>47</v>
      </c>
      <c r="B15" s="35" t="n">
        <f aca="false">SUMIF(Monthly!$C$5:$BJ$5,B$11,Monthly!$C$54:$BJ$54)</f>
        <v>-1123040</v>
      </c>
      <c r="C15" s="35" t="n">
        <f aca="false">SUMIF(Monthly!$C$5:$BJ$5,C$11,Monthly!$C$54:$BJ$54)</f>
        <v>-1123611.2</v>
      </c>
      <c r="D15" s="35" t="n">
        <f aca="false">SUMIF(Monthly!$C$5:$BJ$5,D$11,Monthly!$C$54:$BJ$54)</f>
        <v>-1130823.536</v>
      </c>
      <c r="E15" s="35" t="n">
        <f aca="false">SUMIF(Monthly!$C$5:$BJ$5,E$11,Monthly!$C$54:$BJ$54)</f>
        <v>-1143551.44208</v>
      </c>
      <c r="F15" s="35" t="n">
        <f aca="false">SUMIF(Monthly!$C$5:$BJ$5,F$11,Monthly!$C$54:$BJ$54)</f>
        <v>-1160900.5453424</v>
      </c>
    </row>
    <row r="16" customFormat="false" ht="15" hidden="false" customHeight="false" outlineLevel="0" collapsed="false">
      <c r="A16" s="36" t="s">
        <v>48</v>
      </c>
      <c r="B16" s="37" t="n">
        <f aca="false">SUMIF(Monthly!$C$5:$BJ$5,B$11,Monthly!$C$55:$BJ$55)</f>
        <v>-123279.207270295</v>
      </c>
      <c r="C16" s="37" t="n">
        <f aca="false">SUMIF(Monthly!$C$5:$BJ$5,C$11,Monthly!$C$55:$BJ$55)</f>
        <v>393591.208461737</v>
      </c>
      <c r="D16" s="37" t="n">
        <f aca="false">SUMIF(Monthly!$C$5:$BJ$5,D$11,Monthly!$C$55:$BJ$55)</f>
        <v>606030.411732089</v>
      </c>
      <c r="E16" s="37" t="n">
        <f aca="false">SUMIF(Monthly!$C$5:$BJ$5,E$11,Monthly!$C$55:$BJ$55)</f>
        <v>754095.188500905</v>
      </c>
      <c r="F16" s="37" t="n">
        <f aca="false">SUMIF(Monthly!$C$5:$BJ$5,F$11,Monthly!$C$55:$BJ$55)</f>
        <v>861881.484690629</v>
      </c>
    </row>
    <row r="17" customFormat="false" ht="15" hidden="false" customHeight="false" outlineLevel="0" collapsed="false">
      <c r="A17" s="38" t="s">
        <v>49</v>
      </c>
      <c r="B17" s="39" t="n">
        <f aca="false">IF(B12=0,0,B16/B12)</f>
        <v>-0.104457758515049</v>
      </c>
      <c r="C17" s="39" t="n">
        <f aca="false">IF(C12=0,0,C16/C12)</f>
        <v>0.217949636079378</v>
      </c>
      <c r="D17" s="39" t="n">
        <f aca="false">IF(D12=0,0,D16/D12)</f>
        <v>0.291322035050816</v>
      </c>
      <c r="E17" s="39" t="n">
        <f aca="false">IF(E12=0,0,E16/E12)</f>
        <v>0.330391215073843</v>
      </c>
      <c r="F17" s="39" t="n">
        <f aca="false">IF(F12=0,0,F16/F12)</f>
        <v>0.353103170366838</v>
      </c>
    </row>
    <row r="18" customFormat="false" ht="15" hidden="false" customHeight="false" outlineLevel="0" collapsed="false">
      <c r="A18" s="40" t="s">
        <v>50</v>
      </c>
      <c r="B18" s="41" t="n">
        <f aca="false">SUMIF(Monthly!$C$5:$BJ$5,B$11,Monthly!$C$64:$BJ$64)</f>
        <v>-709232.332270295</v>
      </c>
      <c r="C18" s="41" t="n">
        <f aca="false">SUMIF(Monthly!$C$5:$BJ$5,C$11,Monthly!$C$64:$BJ$64)</f>
        <v>-170283.791538263</v>
      </c>
      <c r="D18" s="41" t="n">
        <f aca="false">SUMIF(Monthly!$C$5:$BJ$5,D$11,Monthly!$C$64:$BJ$64)</f>
        <v>64322.0783987556</v>
      </c>
      <c r="E18" s="41" t="n">
        <f aca="false">SUMIF(Monthly!$C$5:$BJ$5,E$11,Monthly!$C$64:$BJ$64)</f>
        <v>234553.521834239</v>
      </c>
      <c r="F18" s="41" t="n">
        <f aca="false">SUMIF(Monthly!$C$5:$BJ$5,F$11,Monthly!$C$64:$BJ$64)</f>
        <v>364506.484690629</v>
      </c>
    </row>
    <row r="19" customFormat="false" ht="15" hidden="false" customHeight="false" outlineLevel="0" collapsed="false">
      <c r="A19" s="38" t="s">
        <v>51</v>
      </c>
      <c r="B19" s="39" t="n">
        <f aca="false">IF(B12=0,0,B18/B12)</f>
        <v>-0.600951460800047</v>
      </c>
      <c r="C19" s="39" t="n">
        <f aca="false">IF(C12=0,0,C18/C12)</f>
        <v>-0.0942940025033336</v>
      </c>
      <c r="D19" s="39" t="n">
        <f aca="false">IF(D12=0,0,D18/D12)</f>
        <v>0.0309199644358894</v>
      </c>
      <c r="E19" s="39" t="n">
        <f aca="false">IF(E12=0,0,E18/E12)</f>
        <v>0.102764775933284</v>
      </c>
      <c r="F19" s="39" t="n">
        <f aca="false">IF(F12=0,0,F18/F12)</f>
        <v>0.149334215492205</v>
      </c>
    </row>
    <row r="20" customFormat="false" ht="15" hidden="false" customHeight="false" outlineLevel="0" collapsed="false">
      <c r="A20" s="6" t="s">
        <v>52</v>
      </c>
      <c r="B20" s="35" t="n">
        <f aca="false">SUMIF(Monthly!$C$5:$BJ$5,B$11,Monthly!$C$92:$BJ$92)</f>
        <v>-369557.792453481</v>
      </c>
      <c r="C20" s="35" t="n">
        <f aca="false">SUMIF(Monthly!$C$5:$BJ$5,C$11,Monthly!$C$92:$BJ$92)</f>
        <v>174478.453532665</v>
      </c>
      <c r="D20" s="35" t="n">
        <f aca="false">SUMIF(Monthly!$C$5:$BJ$5,D$11,Monthly!$C$92:$BJ$92)</f>
        <v>412515.85538278</v>
      </c>
      <c r="E20" s="35" t="n">
        <f aca="false">SUMIF(Monthly!$C$5:$BJ$5,E$11,Monthly!$C$92:$BJ$92)</f>
        <v>586141.123842083</v>
      </c>
      <c r="F20" s="35" t="n">
        <f aca="false">SUMIF(Monthly!$C$5:$BJ$5,F$11,Monthly!$C$92:$BJ$92)</f>
        <v>719465.283116606</v>
      </c>
    </row>
    <row r="21" customFormat="false" ht="15" hidden="false" customHeight="false" outlineLevel="0" collapsed="false">
      <c r="A21" s="6" t="s">
        <v>53</v>
      </c>
      <c r="B21" s="35" t="n">
        <f aca="false">SUMIF(Monthly!$C$5:$BJ$5,B$11,Monthly!$C$93:$BJ$93)</f>
        <v>-4100000</v>
      </c>
      <c r="C21" s="35" t="n">
        <f aca="false">SUMIF(Monthly!$C$5:$BJ$5,C$11,Monthly!$C$93:$BJ$93)</f>
        <v>-40000</v>
      </c>
      <c r="D21" s="35" t="n">
        <f aca="false">SUMIF(Monthly!$C$5:$BJ$5,D$11,Monthly!$C$93:$BJ$93)</f>
        <v>-40000</v>
      </c>
      <c r="E21" s="35" t="n">
        <f aca="false">SUMIF(Monthly!$C$5:$BJ$5,E$11,Monthly!$C$93:$BJ$93)</f>
        <v>-40000</v>
      </c>
      <c r="F21" s="35" t="n">
        <f aca="false">SUMIF(Monthly!$C$5:$BJ$5,F$11,Monthly!$C$93:$BJ$93)</f>
        <v>-40000</v>
      </c>
    </row>
    <row r="22" customFormat="false" ht="15" hidden="false" customHeight="false" outlineLevel="0" collapsed="false">
      <c r="A22" s="6" t="s">
        <v>54</v>
      </c>
      <c r="B22" s="35" t="n">
        <f aca="false">SUMIF(Monthly!$C$5:$BJ$5,B$11,Monthly!$C$95:$BJ$95)</f>
        <v>4825000</v>
      </c>
      <c r="C22" s="35" t="n">
        <f aca="false">SUMIF(Monthly!$C$5:$BJ$5,C$11,Monthly!$C$95:$BJ$95)</f>
        <v>-300000</v>
      </c>
      <c r="D22" s="35" t="n">
        <f aca="false">SUMIF(Monthly!$C$5:$BJ$5,D$11,Monthly!$C$95:$BJ$95)</f>
        <v>-300000</v>
      </c>
      <c r="E22" s="35" t="n">
        <f aca="false">SUMIF(Monthly!$C$5:$BJ$5,E$11,Monthly!$C$95:$BJ$95)</f>
        <v>-300000</v>
      </c>
      <c r="F22" s="35" t="n">
        <f aca="false">SUMIF(Monthly!$C$5:$BJ$5,F$11,Monthly!$C$95:$BJ$95)</f>
        <v>-300000</v>
      </c>
    </row>
    <row r="23" customFormat="false" ht="15" hidden="false" customHeight="false" outlineLevel="0" collapsed="false">
      <c r="A23" s="36" t="s">
        <v>55</v>
      </c>
      <c r="B23" s="37" t="n">
        <f aca="false">SUMIF(Monthly!$C$5:$BJ$5,B$11,Monthly!$C$96:$BJ$96)</f>
        <v>355442.207546519</v>
      </c>
      <c r="C23" s="37" t="n">
        <f aca="false">SUMIF(Monthly!$C$5:$BJ$5,C$11,Monthly!$C$96:$BJ$96)</f>
        <v>-165521.546467335</v>
      </c>
      <c r="D23" s="37" t="n">
        <f aca="false">SUMIF(Monthly!$C$5:$BJ$5,D$11,Monthly!$C$96:$BJ$96)</f>
        <v>72515.8553827797</v>
      </c>
      <c r="E23" s="37" t="n">
        <f aca="false">SUMIF(Monthly!$C$5:$BJ$5,E$11,Monthly!$C$96:$BJ$96)</f>
        <v>246141.123842083</v>
      </c>
      <c r="F23" s="37" t="n">
        <f aca="false">SUMIF(Monthly!$C$5:$BJ$5,F$11,Monthly!$C$96:$BJ$96)</f>
        <v>379465.283116606</v>
      </c>
    </row>
    <row r="24" customFormat="false" ht="15" hidden="false" customHeight="false" outlineLevel="0" collapsed="false">
      <c r="A24" s="40" t="s">
        <v>56</v>
      </c>
      <c r="B24" s="41" t="n">
        <f aca="false">INDEX(Monthly!$C$98:$BJ$98,B$11*12)</f>
        <v>355442.207546519</v>
      </c>
      <c r="C24" s="41" t="n">
        <f aca="false">INDEX(Monthly!$C$98:$BJ$98,C$11*12)</f>
        <v>189920.661079184</v>
      </c>
      <c r="D24" s="41" t="n">
        <f aca="false">INDEX(Monthly!$C$98:$BJ$98,D$11*12)</f>
        <v>262436.516461964</v>
      </c>
      <c r="E24" s="41" t="n">
        <f aca="false">INDEX(Monthly!$C$98:$BJ$98,E$11*12)</f>
        <v>508577.640304047</v>
      </c>
      <c r="F24" s="41" t="n">
        <f aca="false">INDEX(Monthly!$C$98:$BJ$98,F$11*12)</f>
        <v>888042.923420652</v>
      </c>
    </row>
    <row r="26" customFormat="false" ht="15.75" hidden="false" customHeight="true" outlineLevel="0" collapsed="false">
      <c r="A26" s="7" t="s">
        <v>57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4" t="n">
        <v>4</v>
      </c>
      <c r="F27" s="34" t="n">
        <v>5</v>
      </c>
    </row>
    <row r="28" customFormat="false" ht="15" hidden="false" customHeight="false" outlineLevel="0" collapsed="false">
      <c r="A28" s="6" t="s">
        <v>58</v>
      </c>
      <c r="B28" s="42" t="n">
        <f aca="false">KPIs!B29</f>
        <v>972.089183697303</v>
      </c>
      <c r="C28" s="42" t="n">
        <f aca="false">KPIs!C29</f>
        <v>1644.34338061813</v>
      </c>
      <c r="D28" s="42" t="n">
        <f aca="false">KPIs!D29</f>
        <v>2081.65600865264</v>
      </c>
      <c r="E28" s="42" t="n">
        <f aca="false">KPIs!E29</f>
        <v>2376.28844113691</v>
      </c>
      <c r="F28" s="42" t="n">
        <f aca="false">KPIs!F29</f>
        <v>2584.83366154401</v>
      </c>
    </row>
    <row r="29" customFormat="false" ht="15" hidden="false" customHeight="false" outlineLevel="0" collapsed="false">
      <c r="A29" s="6" t="s">
        <v>59</v>
      </c>
      <c r="B29" s="42" t="n">
        <f aca="false">KPIs!B37</f>
        <v>255.65215282268</v>
      </c>
      <c r="C29" s="42" t="n">
        <f aca="false">KPIs!C37</f>
        <v>401.36880504265</v>
      </c>
      <c r="D29" s="42" t="n">
        <f aca="false">KPIs!D37</f>
        <v>466.968087719058</v>
      </c>
      <c r="E29" s="42" t="n">
        <f aca="false">KPIs!E37</f>
        <v>510.312874958441</v>
      </c>
      <c r="F29" s="42" t="n">
        <f aca="false">KPIs!F37</f>
        <v>540.179689032592</v>
      </c>
    </row>
    <row r="30" customFormat="false" ht="15" hidden="false" customHeight="false" outlineLevel="0" collapsed="false">
      <c r="A30" s="6" t="s">
        <v>60</v>
      </c>
      <c r="B30" s="43" t="n">
        <f aca="false">KPIs!B39</f>
        <v>0.301832529896906</v>
      </c>
      <c r="C30" s="43" t="n">
        <f aca="false">KPIs!C39</f>
        <v>0.473871080333707</v>
      </c>
      <c r="D30" s="43" t="n">
        <f aca="false">KPIs!D39</f>
        <v>0.551320056338912</v>
      </c>
      <c r="E30" s="43" t="n">
        <f aca="false">KPIs!E39</f>
        <v>0.602494539502291</v>
      </c>
      <c r="F30" s="43" t="n">
        <f aca="false">KPIs!F39</f>
        <v>0.637756421526083</v>
      </c>
    </row>
    <row r="31" customFormat="false" ht="15" hidden="false" customHeight="false" outlineLevel="0" collapsed="false">
      <c r="A31" s="6" t="s">
        <v>61</v>
      </c>
      <c r="B31" s="44" t="n">
        <f aca="false">KPIs!B45</f>
        <v>13.2654025173781</v>
      </c>
      <c r="C31" s="44" t="n">
        <f aca="false">KPIs!C45</f>
        <v>12.9290430501334</v>
      </c>
      <c r="D31" s="44" t="n">
        <f aca="false">KPIs!D45</f>
        <v>12.8013165582013</v>
      </c>
      <c r="E31" s="44" t="n">
        <f aca="false">KPIs!E45</f>
        <v>12.852331215877</v>
      </c>
      <c r="F31" s="44" t="n">
        <f aca="false">KPIs!F45</f>
        <v>12.9845959428755</v>
      </c>
    </row>
    <row r="32" customFormat="false" ht="15" hidden="false" customHeight="false" outlineLevel="0" collapsed="false">
      <c r="A32" s="6" t="s">
        <v>62</v>
      </c>
      <c r="B32" s="45" t="n">
        <f aca="false">INDEX(Headcount!$C$10:$BJ$10,B$27*12)</f>
        <v>11</v>
      </c>
      <c r="C32" s="45" t="n">
        <f aca="false">INDEX(Headcount!$C$10:$BJ$10,C$27*12)</f>
        <v>11</v>
      </c>
      <c r="D32" s="45" t="n">
        <f aca="false">INDEX(Headcount!$C$10:$BJ$10,D$27*12)</f>
        <v>11</v>
      </c>
      <c r="E32" s="45" t="n">
        <f aca="false">INDEX(Headcount!$C$10:$BJ$10,E$27*12)</f>
        <v>11</v>
      </c>
      <c r="F32" s="45" t="n">
        <f aca="false">INDEX(Headcount!$C$10:$BJ$10,F$27*12)</f>
        <v>11</v>
      </c>
    </row>
    <row r="34" customFormat="false" ht="15.75" hidden="false" customHeight="true" outlineLevel="0" collapsed="false">
      <c r="A34" s="7" t="s">
        <v>63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6" t="s">
        <v>64</v>
      </c>
      <c r="B35" s="46"/>
      <c r="C35" s="46"/>
      <c r="D35" s="46"/>
      <c r="E35" s="46"/>
      <c r="F35" s="47" t="n">
        <f aca="false">Inputs!$E$67</f>
        <v>2100000</v>
      </c>
    </row>
    <row r="36" customFormat="false" ht="15" hidden="false" customHeight="false" outlineLevel="0" collapsed="false">
      <c r="A36" s="6" t="s">
        <v>65</v>
      </c>
      <c r="B36" s="46"/>
      <c r="C36" s="46"/>
      <c r="D36" s="46"/>
      <c r="E36" s="46"/>
      <c r="F36" s="47" t="n">
        <f aca="false">Inputs!$E$68</f>
        <v>3000000</v>
      </c>
    </row>
    <row r="37" customFormat="false" ht="15" hidden="false" customHeight="false" outlineLevel="0" collapsed="false">
      <c r="A37" s="6" t="s">
        <v>66</v>
      </c>
      <c r="B37" s="46"/>
      <c r="C37" s="46"/>
      <c r="D37" s="46"/>
      <c r="E37" s="46"/>
      <c r="F37" s="47" t="n">
        <f aca="false">'Break-even'!B12</f>
        <v>5249445.4614431</v>
      </c>
    </row>
    <row r="38" customFormat="false" ht="15" hidden="false" customHeight="false" outlineLevel="0" collapsed="false">
      <c r="A38" s="36" t="s">
        <v>67</v>
      </c>
      <c r="B38" s="36"/>
      <c r="C38" s="36"/>
      <c r="D38" s="36"/>
      <c r="E38" s="36"/>
      <c r="F38" s="37" t="n">
        <f aca="false">'Break-even'!B17</f>
        <v>-149445.461443098</v>
      </c>
    </row>
    <row r="39" customFormat="false" ht="15" hidden="false" customHeight="false" outlineLevel="0" collapsed="false">
      <c r="A39" s="6" t="str">
        <f aca="false">"Lowest cash balance (month "&amp;'Break-even'!B6&amp;")"</f>
        <v>Lowest cash balance (month 26)</v>
      </c>
      <c r="B39" s="46"/>
      <c r="C39" s="46"/>
      <c r="D39" s="46"/>
      <c r="E39" s="46"/>
      <c r="F39" s="47" t="n">
        <f aca="false">'Break-even'!B18</f>
        <v>131554.538556901</v>
      </c>
    </row>
    <row r="40" customFormat="false" ht="15" hidden="false" customHeight="false" outlineLevel="0" collapsed="false">
      <c r="A40" s="6" t="s">
        <v>68</v>
      </c>
      <c r="B40" s="46"/>
      <c r="C40" s="46"/>
      <c r="D40" s="46"/>
      <c r="E40" s="46"/>
      <c r="F40" s="48" t="n">
        <f aca="false">'Break-even'!B21</f>
        <v>8</v>
      </c>
    </row>
    <row r="41" customFormat="false" ht="15" hidden="false" customHeight="false" outlineLevel="0" collapsed="false">
      <c r="A41" s="6" t="s">
        <v>69</v>
      </c>
      <c r="B41" s="46"/>
      <c r="C41" s="46"/>
      <c r="D41" s="46"/>
      <c r="E41" s="46"/>
      <c r="F41" s="48" t="str">
        <f aca="false">'Break-even'!B23</f>
        <v>Not within horizon</v>
      </c>
    </row>
    <row r="42" customFormat="false" ht="15" hidden="false" customHeight="false" outlineLevel="0" collapsed="false">
      <c r="A42" s="6" t="s">
        <v>70</v>
      </c>
      <c r="B42" s="46"/>
      <c r="C42" s="46"/>
      <c r="D42" s="46"/>
      <c r="E42" s="46"/>
      <c r="F42" s="47" t="n">
        <f aca="false">Valuation!B27</f>
        <v>-1267217.70199455</v>
      </c>
    </row>
    <row r="43" customFormat="false" ht="15" hidden="false" customHeight="false" outlineLevel="0" collapsed="false">
      <c r="A43" s="6" t="s">
        <v>71</v>
      </c>
      <c r="B43" s="46"/>
      <c r="C43" s="46"/>
      <c r="D43" s="46"/>
      <c r="E43" s="46"/>
      <c r="F43" s="47" t="n">
        <f aca="false">Valuation!C27</f>
        <v>-1288373.57456816</v>
      </c>
    </row>
    <row r="44" customFormat="false" ht="15" hidden="false" customHeight="false" outlineLevel="0" collapsed="false">
      <c r="A44" s="40" t="s">
        <v>72</v>
      </c>
      <c r="B44" s="40"/>
      <c r="C44" s="40"/>
      <c r="D44" s="40"/>
      <c r="E44" s="40"/>
      <c r="F44" s="41" t="n">
        <f aca="false">Valuation!B30</f>
        <v>-1277795.63828136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73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74</v>
      </c>
      <c r="R2" s="49" t="n">
        <v>1</v>
      </c>
      <c r="S2" s="49"/>
    </row>
    <row r="5" customFormat="false" ht="15.75" hidden="false" customHeight="true" outlineLevel="0" collapsed="false">
      <c r="A5" s="7" t="s">
        <v>75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4" t="n">
        <v>4</v>
      </c>
      <c r="F6" s="34" t="n">
        <v>5</v>
      </c>
      <c r="H6" s="50" t="n">
        <f aca="false">INDEX(Monthly!$C$4:$BJ$4,($R$2-1)*12+1)</f>
        <v>1</v>
      </c>
      <c r="I6" s="50" t="n">
        <f aca="false">INDEX(Monthly!$C$4:$BJ$4,($R$2-1)*12+2)</f>
        <v>2</v>
      </c>
      <c r="J6" s="50" t="n">
        <f aca="false">INDEX(Monthly!$C$4:$BJ$4,($R$2-1)*12+3)</f>
        <v>3</v>
      </c>
      <c r="K6" s="50" t="n">
        <f aca="false">INDEX(Monthly!$C$4:$BJ$4,($R$2-1)*12+4)</f>
        <v>4</v>
      </c>
      <c r="L6" s="50" t="n">
        <f aca="false">INDEX(Monthly!$C$4:$BJ$4,($R$2-1)*12+5)</f>
        <v>5</v>
      </c>
      <c r="M6" s="50" t="n">
        <f aca="false">INDEX(Monthly!$C$4:$BJ$4,($R$2-1)*12+6)</f>
        <v>6</v>
      </c>
      <c r="N6" s="50" t="n">
        <f aca="false">INDEX(Monthly!$C$4:$BJ$4,($R$2-1)*12+7)</f>
        <v>7</v>
      </c>
      <c r="O6" s="50" t="n">
        <f aca="false">INDEX(Monthly!$C$4:$BJ$4,($R$2-1)*12+8)</f>
        <v>8</v>
      </c>
      <c r="P6" s="50" t="n">
        <f aca="false">INDEX(Monthly!$C$4:$BJ$4,($R$2-1)*12+9)</f>
        <v>9</v>
      </c>
      <c r="Q6" s="50" t="n">
        <f aca="false">INDEX(Monthly!$C$4:$BJ$4,($R$2-1)*12+10)</f>
        <v>10</v>
      </c>
      <c r="R6" s="50" t="n">
        <f aca="false">INDEX(Monthly!$C$4:$BJ$4,($R$2-1)*12+11)</f>
        <v>11</v>
      </c>
      <c r="S6" s="50" t="n">
        <f aca="false">INDEX(Monthly!$C$4:$BJ$4,($R$2-1)*12+12)</f>
        <v>12</v>
      </c>
    </row>
    <row r="7" customFormat="false" ht="15" hidden="false" customHeight="false" outlineLevel="0" collapsed="false">
      <c r="A7" s="51" t="s">
        <v>44</v>
      </c>
      <c r="B7" s="35" t="n">
        <f aca="false">'P&amp;L'!B5</f>
        <v>1180182.39164623</v>
      </c>
      <c r="C7" s="35" t="n">
        <f aca="false">'P&amp;L'!C5</f>
        <v>1805881.4666632</v>
      </c>
      <c r="D7" s="35" t="n">
        <f aca="false">'P&amp;L'!D5</f>
        <v>2080276.59708741</v>
      </c>
      <c r="E7" s="35" t="n">
        <f aca="false">'P&amp;L'!E5</f>
        <v>2282431.11225691</v>
      </c>
      <c r="F7" s="35" t="n">
        <f aca="false">'P&amp;L'!F5</f>
        <v>2440877.21952545</v>
      </c>
      <c r="H7" s="35" t="n">
        <f aca="false">INDEX(Monthly!$C$37:$BJ$37,($R$2-1)*12+1)</f>
        <v>47943.358</v>
      </c>
      <c r="I7" s="35" t="n">
        <f aca="false">INDEX(Monthly!$C$37:$BJ$37,($R$2-1)*12+2)</f>
        <v>54448.9359022222</v>
      </c>
      <c r="J7" s="35" t="n">
        <f aca="false">INDEX(Monthly!$C$37:$BJ$37,($R$2-1)*12+3)</f>
        <v>72773.4017994667</v>
      </c>
      <c r="K7" s="35" t="n">
        <f aca="false">INDEX(Monthly!$C$37:$BJ$37,($R$2-1)*12+4)</f>
        <v>81051.8988385991</v>
      </c>
      <c r="L7" s="35" t="n">
        <f aca="false">INDEX(Monthly!$C$37:$BJ$37,($R$2-1)*12+5)</f>
        <v>89490.2764406107</v>
      </c>
      <c r="M7" s="35" t="n">
        <f aca="false">INDEX(Monthly!$C$37:$BJ$37,($R$2-1)*12+6)</f>
        <v>98082.1393829863</v>
      </c>
      <c r="N7" s="35" t="n">
        <f aca="false">INDEX(Monthly!$C$37:$BJ$37,($R$2-1)*12+7)</f>
        <v>106821.348252111</v>
      </c>
      <c r="O7" s="35" t="n">
        <f aca="false">INDEX(Monthly!$C$37:$BJ$37,($R$2-1)*12+8)</f>
        <v>115702.009210916</v>
      </c>
      <c r="P7" s="35" t="n">
        <f aca="false">INDEX(Monthly!$C$37:$BJ$37,($R$2-1)*12+9)</f>
        <v>124718.464175812</v>
      </c>
      <c r="Q7" s="35" t="n">
        <f aca="false">INDEX(Monthly!$C$37:$BJ$37,($R$2-1)*12+10)</f>
        <v>133865.281386558</v>
      </c>
      <c r="R7" s="35" t="n">
        <f aca="false">INDEX(Monthly!$C$37:$BJ$37,($R$2-1)*12+11)</f>
        <v>136545.550131095</v>
      </c>
      <c r="S7" s="35" t="n">
        <f aca="false">INDEX(Monthly!$C$37:$BJ$37,($R$2-1)*12+12)</f>
        <v>118739.728125852</v>
      </c>
    </row>
    <row r="8" customFormat="false" ht="15" hidden="false" customHeight="false" outlineLevel="0" collapsed="false">
      <c r="A8" s="51" t="s">
        <v>76</v>
      </c>
      <c r="B8" s="35" t="n">
        <f aca="false">'P&amp;L'!B6</f>
        <v>-180421.598916524</v>
      </c>
      <c r="C8" s="35" t="n">
        <f aca="false">'P&amp;L'!C6</f>
        <v>-288679.05820146</v>
      </c>
      <c r="D8" s="35" t="n">
        <f aca="false">'P&amp;L'!D6</f>
        <v>-343422.649355316</v>
      </c>
      <c r="E8" s="35" t="n">
        <f aca="false">'P&amp;L'!E6</f>
        <v>-384784.481676009</v>
      </c>
      <c r="F8" s="35" t="n">
        <f aca="false">'P&amp;L'!F6</f>
        <v>-418095.189492422</v>
      </c>
      <c r="H8" s="35" t="n">
        <f aca="false">INDEX(Monthly!$C$45:$BJ$45,($R$2-1)*12+1)</f>
        <v>-7071.9457459</v>
      </c>
      <c r="I8" s="35" t="n">
        <f aca="false">INDEX(Monthly!$C$45:$BJ$45,($R$2-1)*12+2)</f>
        <v>-8031.44880631956</v>
      </c>
      <c r="J8" s="35" t="n">
        <f aca="false">INDEX(Monthly!$C$45:$BJ$45,($R$2-1)*12+3)</f>
        <v>-11076.8352569627</v>
      </c>
      <c r="K8" s="35" t="n">
        <f aca="false">INDEX(Monthly!$C$45:$BJ$45,($R$2-1)*12+4)</f>
        <v>-12361.6968813842</v>
      </c>
      <c r="L8" s="35" t="n">
        <f aca="false">INDEX(Monthly!$C$45:$BJ$45,($R$2-1)*12+5)</f>
        <v>-13678.7184810288</v>
      </c>
      <c r="M8" s="35" t="n">
        <f aca="false">INDEX(Monthly!$C$45:$BJ$45,($R$2-1)*12+6)</f>
        <v>-15026.6136568877</v>
      </c>
      <c r="N8" s="35" t="n">
        <f aca="false">INDEX(Monthly!$C$45:$BJ$45,($R$2-1)*12+7)</f>
        <v>-16404.1474659122</v>
      </c>
      <c r="O8" s="35" t="n">
        <f aca="false">INDEX(Monthly!$C$45:$BJ$45,($R$2-1)*12+8)</f>
        <v>-17810.1343627757</v>
      </c>
      <c r="P8" s="35" t="n">
        <f aca="false">INDEX(Monthly!$C$45:$BJ$45,($R$2-1)*12+9)</f>
        <v>-19243.4362239647</v>
      </c>
      <c r="Q8" s="35" t="n">
        <f aca="false">INDEX(Monthly!$C$45:$BJ$45,($R$2-1)*12+10)</f>
        <v>-20702.9604509061</v>
      </c>
      <c r="R8" s="35" t="n">
        <f aca="false">INDEX(Monthly!$C$45:$BJ$45,($R$2-1)*12+11)</f>
        <v>-21242.0965088698</v>
      </c>
      <c r="S8" s="35" t="n">
        <f aca="false">INDEX(Monthly!$C$45:$BJ$45,($R$2-1)*12+12)</f>
        <v>-17771.5650756123</v>
      </c>
    </row>
    <row r="9" customFormat="false" ht="15" hidden="false" customHeight="false" outlineLevel="0" collapsed="false">
      <c r="A9" s="36" t="s">
        <v>45</v>
      </c>
      <c r="B9" s="37" t="n">
        <f aca="false">'P&amp;L'!B7</f>
        <v>999760.792729705</v>
      </c>
      <c r="C9" s="37" t="n">
        <f aca="false">'P&amp;L'!C7</f>
        <v>1517202.40846174</v>
      </c>
      <c r="D9" s="37" t="n">
        <f aca="false">'P&amp;L'!D7</f>
        <v>1736853.94773209</v>
      </c>
      <c r="E9" s="37" t="n">
        <f aca="false">'P&amp;L'!E7</f>
        <v>1897646.63058091</v>
      </c>
      <c r="F9" s="37" t="n">
        <f aca="false">'P&amp;L'!F7</f>
        <v>2022782.03003303</v>
      </c>
      <c r="H9" s="37" t="n">
        <f aca="false">INDEX(Monthly!$C$46:$BJ$46,($R$2-1)*12+1)</f>
        <v>40871.4122541</v>
      </c>
      <c r="I9" s="37" t="n">
        <f aca="false">INDEX(Monthly!$C$46:$BJ$46,($R$2-1)*12+2)</f>
        <v>46417.4870959027</v>
      </c>
      <c r="J9" s="37" t="n">
        <f aca="false">INDEX(Monthly!$C$46:$BJ$46,($R$2-1)*12+3)</f>
        <v>61696.566542504</v>
      </c>
      <c r="K9" s="37" t="n">
        <f aca="false">INDEX(Monthly!$C$46:$BJ$46,($R$2-1)*12+4)</f>
        <v>68690.2019572149</v>
      </c>
      <c r="L9" s="37" t="n">
        <f aca="false">INDEX(Monthly!$C$46:$BJ$46,($R$2-1)*12+5)</f>
        <v>75811.5579595819</v>
      </c>
      <c r="M9" s="37" t="n">
        <f aca="false">INDEX(Monthly!$C$46:$BJ$46,($R$2-1)*12+6)</f>
        <v>83055.5257260986</v>
      </c>
      <c r="N9" s="37" t="n">
        <f aca="false">INDEX(Monthly!$C$46:$BJ$46,($R$2-1)*12+7)</f>
        <v>90417.2007861991</v>
      </c>
      <c r="O9" s="37" t="n">
        <f aca="false">INDEX(Monthly!$C$46:$BJ$46,($R$2-1)*12+8)</f>
        <v>97891.87484814</v>
      </c>
      <c r="P9" s="37" t="n">
        <f aca="false">INDEX(Monthly!$C$46:$BJ$46,($R$2-1)*12+9)</f>
        <v>105475.027951848</v>
      </c>
      <c r="Q9" s="37" t="n">
        <f aca="false">INDEX(Monthly!$C$46:$BJ$46,($R$2-1)*12+10)</f>
        <v>113162.320935652</v>
      </c>
      <c r="R9" s="37" t="n">
        <f aca="false">INDEX(Monthly!$C$46:$BJ$46,($R$2-1)*12+11)</f>
        <v>115303.453622226</v>
      </c>
      <c r="S9" s="37" t="n">
        <f aca="false">INDEX(Monthly!$C$46:$BJ$46,($R$2-1)*12+12)</f>
        <v>100968.163050239</v>
      </c>
    </row>
    <row r="10" customFormat="false" ht="15" hidden="false" customHeight="false" outlineLevel="0" collapsed="false">
      <c r="A10" s="38" t="s">
        <v>46</v>
      </c>
      <c r="B10" s="39" t="n">
        <f aca="false">'P&amp;L'!B8</f>
        <v>0.847123969825669</v>
      </c>
      <c r="C10" s="39" t="n">
        <f aca="false">'P&amp;L'!C8</f>
        <v>0.840145068471817</v>
      </c>
      <c r="D10" s="39" t="n">
        <f aca="false">'P&amp;L'!D8</f>
        <v>0.83491490995181</v>
      </c>
      <c r="E10" s="39" t="n">
        <f aca="false">'P&amp;L'!E8</f>
        <v>0.831414635206437</v>
      </c>
      <c r="F10" s="39" t="n">
        <f aca="false">'P&amp;L'!F8</f>
        <v>0.828711093639644</v>
      </c>
      <c r="H10" s="39" t="n">
        <f aca="false">IF(H7=0,0,H9/H7)</f>
        <v>0.852493733419758</v>
      </c>
      <c r="I10" s="39" t="n">
        <f aca="false">IF(I7=0,0,I9/I7)</f>
        <v>0.852495761887024</v>
      </c>
      <c r="J10" s="39" t="n">
        <f aca="false">IF(J7=0,0,J9/J7)</f>
        <v>0.847790058138468</v>
      </c>
      <c r="K10" s="39" t="n">
        <f aca="false">IF(K7=0,0,K9/K7)</f>
        <v>0.847484179167716</v>
      </c>
      <c r="L10" s="39" t="n">
        <f aca="false">IF(L7=0,0,L9/L7)</f>
        <v>0.847148550377911</v>
      </c>
      <c r="M10" s="39" t="n">
        <f aca="false">IF(M7=0,0,M9/M7)</f>
        <v>0.84679561690419</v>
      </c>
      <c r="N10" s="39" t="n">
        <f aca="false">IF(N7=0,0,N9/N7)</f>
        <v>0.846433809960941</v>
      </c>
      <c r="O10" s="39" t="n">
        <f aca="false">IF(O7=0,0,O9/O7)</f>
        <v>0.846068927547237</v>
      </c>
      <c r="P10" s="39" t="n">
        <f aca="false">IF(P7=0,0,P9/P7)</f>
        <v>0.845704993634</v>
      </c>
      <c r="Q10" s="39" t="n">
        <f aca="false">IF(Q7=0,0,Q9/Q7)</f>
        <v>0.845344810570241</v>
      </c>
      <c r="R10" s="39" t="n">
        <f aca="false">IF(R7=0,0,R9/R7)</f>
        <v>0.844432158437418</v>
      </c>
      <c r="S10" s="39" t="n">
        <f aca="false">IF(S7=0,0,S9/S7)</f>
        <v>0.850331768851818</v>
      </c>
    </row>
    <row r="11" customFormat="false" ht="15" hidden="false" customHeight="false" outlineLevel="0" collapsed="false">
      <c r="A11" s="51" t="s">
        <v>77</v>
      </c>
      <c r="B11" s="35" t="n">
        <f aca="false">'P&amp;L'!B14</f>
        <v>-1123040</v>
      </c>
      <c r="C11" s="35" t="n">
        <f aca="false">'P&amp;L'!C14</f>
        <v>-1123611.2</v>
      </c>
      <c r="D11" s="35" t="n">
        <f aca="false">'P&amp;L'!D14</f>
        <v>-1130823.536</v>
      </c>
      <c r="E11" s="35" t="n">
        <f aca="false">'P&amp;L'!E14</f>
        <v>-1143551.44208</v>
      </c>
      <c r="F11" s="35" t="n">
        <f aca="false">'P&amp;L'!F14</f>
        <v>-1160900.5453424</v>
      </c>
      <c r="H11" s="35" t="n">
        <f aca="false">INDEX(Monthly!$C$54:$BJ$54,($R$2-1)*12+1)</f>
        <v>-93586.6666666667</v>
      </c>
      <c r="I11" s="35" t="n">
        <f aca="false">INDEX(Monthly!$C$54:$BJ$54,($R$2-1)*12+2)</f>
        <v>-93586.6666666667</v>
      </c>
      <c r="J11" s="35" t="n">
        <f aca="false">INDEX(Monthly!$C$54:$BJ$54,($R$2-1)*12+3)</f>
        <v>-93586.6666666667</v>
      </c>
      <c r="K11" s="35" t="n">
        <f aca="false">INDEX(Monthly!$C$54:$BJ$54,($R$2-1)*12+4)</f>
        <v>-93586.6666666667</v>
      </c>
      <c r="L11" s="35" t="n">
        <f aca="false">INDEX(Monthly!$C$54:$BJ$54,($R$2-1)*12+5)</f>
        <v>-93586.6666666667</v>
      </c>
      <c r="M11" s="35" t="n">
        <f aca="false">INDEX(Monthly!$C$54:$BJ$54,($R$2-1)*12+6)</f>
        <v>-93586.6666666667</v>
      </c>
      <c r="N11" s="35" t="n">
        <f aca="false">INDEX(Monthly!$C$54:$BJ$54,($R$2-1)*12+7)</f>
        <v>-93586.6666666667</v>
      </c>
      <c r="O11" s="35" t="n">
        <f aca="false">INDEX(Monthly!$C$54:$BJ$54,($R$2-1)*12+8)</f>
        <v>-93586.6666666667</v>
      </c>
      <c r="P11" s="35" t="n">
        <f aca="false">INDEX(Monthly!$C$54:$BJ$54,($R$2-1)*12+9)</f>
        <v>-93586.6666666667</v>
      </c>
      <c r="Q11" s="35" t="n">
        <f aca="false">INDEX(Monthly!$C$54:$BJ$54,($R$2-1)*12+10)</f>
        <v>-93586.6666666667</v>
      </c>
      <c r="R11" s="35" t="n">
        <f aca="false">INDEX(Monthly!$C$54:$BJ$54,($R$2-1)*12+11)</f>
        <v>-93586.6666666667</v>
      </c>
      <c r="S11" s="35" t="n">
        <f aca="false">INDEX(Monthly!$C$54:$BJ$54,($R$2-1)*12+12)</f>
        <v>-93586.6666666667</v>
      </c>
    </row>
    <row r="12" customFormat="false" ht="15" hidden="false" customHeight="false" outlineLevel="0" collapsed="false">
      <c r="A12" s="36" t="s">
        <v>48</v>
      </c>
      <c r="B12" s="37" t="n">
        <f aca="false">'P&amp;L'!B15</f>
        <v>-123279.207270295</v>
      </c>
      <c r="C12" s="37" t="n">
        <f aca="false">'P&amp;L'!C15</f>
        <v>393591.208461737</v>
      </c>
      <c r="D12" s="37" t="n">
        <f aca="false">'P&amp;L'!D15</f>
        <v>606030.411732089</v>
      </c>
      <c r="E12" s="37" t="n">
        <f aca="false">'P&amp;L'!E15</f>
        <v>754095.188500905</v>
      </c>
      <c r="F12" s="37" t="n">
        <f aca="false">'P&amp;L'!F15</f>
        <v>861881.484690629</v>
      </c>
      <c r="H12" s="37" t="n">
        <f aca="false">INDEX(Monthly!$C$55:$BJ$55,($R$2-1)*12+1)</f>
        <v>-52715.2544125667</v>
      </c>
      <c r="I12" s="37" t="n">
        <f aca="false">INDEX(Monthly!$C$55:$BJ$55,($R$2-1)*12+2)</f>
        <v>-47169.179570764</v>
      </c>
      <c r="J12" s="37" t="n">
        <f aca="false">INDEX(Monthly!$C$55:$BJ$55,($R$2-1)*12+3)</f>
        <v>-31890.1001241627</v>
      </c>
      <c r="K12" s="37" t="n">
        <f aca="false">INDEX(Monthly!$C$55:$BJ$55,($R$2-1)*12+4)</f>
        <v>-24896.4647094518</v>
      </c>
      <c r="L12" s="37" t="n">
        <f aca="false">INDEX(Monthly!$C$55:$BJ$55,($R$2-1)*12+5)</f>
        <v>-17775.1087070848</v>
      </c>
      <c r="M12" s="37" t="n">
        <f aca="false">INDEX(Monthly!$C$55:$BJ$55,($R$2-1)*12+6)</f>
        <v>-10531.1409405681</v>
      </c>
      <c r="N12" s="37" t="n">
        <f aca="false">INDEX(Monthly!$C$55:$BJ$55,($R$2-1)*12+7)</f>
        <v>-3169.46588046759</v>
      </c>
      <c r="O12" s="37" t="n">
        <f aca="false">INDEX(Monthly!$C$55:$BJ$55,($R$2-1)*12+8)</f>
        <v>4305.20818147335</v>
      </c>
      <c r="P12" s="37" t="n">
        <f aca="false">INDEX(Monthly!$C$55:$BJ$55,($R$2-1)*12+9)</f>
        <v>11888.3612851811</v>
      </c>
      <c r="Q12" s="37" t="n">
        <f aca="false">INDEX(Monthly!$C$55:$BJ$55,($R$2-1)*12+10)</f>
        <v>19575.654268985</v>
      </c>
      <c r="R12" s="37" t="n">
        <f aca="false">INDEX(Monthly!$C$55:$BJ$55,($R$2-1)*12+11)</f>
        <v>21716.7869555589</v>
      </c>
      <c r="S12" s="37" t="n">
        <f aca="false">INDEX(Monthly!$C$55:$BJ$55,($R$2-1)*12+12)</f>
        <v>7381.49638357262</v>
      </c>
    </row>
    <row r="13" customFormat="false" ht="15" hidden="false" customHeight="false" outlineLevel="0" collapsed="false">
      <c r="A13" s="38" t="s">
        <v>49</v>
      </c>
      <c r="B13" s="39" t="n">
        <f aca="false">'P&amp;L'!B16</f>
        <v>-0.104457758515049</v>
      </c>
      <c r="C13" s="39" t="n">
        <f aca="false">'P&amp;L'!C16</f>
        <v>0.217949636079378</v>
      </c>
      <c r="D13" s="39" t="n">
        <f aca="false">'P&amp;L'!D16</f>
        <v>0.291322035050816</v>
      </c>
      <c r="E13" s="39" t="n">
        <f aca="false">'P&amp;L'!E16</f>
        <v>0.330391215073843</v>
      </c>
      <c r="F13" s="39" t="n">
        <f aca="false">'P&amp;L'!F16</f>
        <v>0.353103170366838</v>
      </c>
      <c r="H13" s="39" t="n">
        <f aca="false">IF(H7=0,0,H12/H7)</f>
        <v>-1.09953196045564</v>
      </c>
      <c r="I13" s="39" t="n">
        <f aca="false">IF(I7=0,0,I12/I7)</f>
        <v>-0.866301219466787</v>
      </c>
      <c r="J13" s="39" t="n">
        <f aca="false">IF(J7=0,0,J12/J7)</f>
        <v>-0.438210930582009</v>
      </c>
      <c r="K13" s="39" t="n">
        <f aca="false">IF(K7=0,0,K12/K7)</f>
        <v>-0.307166951869059</v>
      </c>
      <c r="L13" s="39" t="n">
        <f aca="false">IF(L7=0,0,L12/L7)</f>
        <v>-0.198626145924145</v>
      </c>
      <c r="M13" s="39" t="n">
        <f aca="false">IF(M7=0,0,M12/M7)</f>
        <v>-0.107370628402044</v>
      </c>
      <c r="N13" s="39" t="n">
        <f aca="false">IF(N7=0,0,N12/N7)</f>
        <v>-0.0296707159414171</v>
      </c>
      <c r="O13" s="39" t="n">
        <f aca="false">IF(O7=0,0,O12/O7)</f>
        <v>0.0372094504739783</v>
      </c>
      <c r="P13" s="39" t="n">
        <f aca="false">IF(P7=0,0,P12/P7)</f>
        <v>0.0953215818022131</v>
      </c>
      <c r="Q13" s="39" t="n">
        <f aca="false">IF(Q7=0,0,Q12/Q7)</f>
        <v>0.146233990368698</v>
      </c>
      <c r="R13" s="39" t="n">
        <f aca="false">IF(R7=0,0,R12/R7)</f>
        <v>0.159044267167322</v>
      </c>
      <c r="S13" s="39" t="n">
        <f aca="false">IF(S7=0,0,S12/S7)</f>
        <v>0.0621653468479313</v>
      </c>
    </row>
    <row r="14" customFormat="false" ht="15" hidden="false" customHeight="false" outlineLevel="0" collapsed="false">
      <c r="A14" s="51" t="s">
        <v>78</v>
      </c>
      <c r="B14" s="35" t="n">
        <f aca="false">'P&amp;L'!B17</f>
        <v>-341666.666666667</v>
      </c>
      <c r="C14" s="35" t="n">
        <f aca="false">'P&amp;L'!C17</f>
        <v>-345000</v>
      </c>
      <c r="D14" s="35" t="n">
        <f aca="false">'P&amp;L'!D17</f>
        <v>-348333.333333333</v>
      </c>
      <c r="E14" s="35" t="n">
        <f aca="false">'P&amp;L'!E17</f>
        <v>-351666.666666667</v>
      </c>
      <c r="F14" s="35" t="n">
        <f aca="false">'P&amp;L'!F17</f>
        <v>-355000</v>
      </c>
      <c r="H14" s="35" t="n">
        <f aca="false">INDEX(Monthly!$C$73:$BJ$73,($R$2-1)*12+1)</f>
        <v>-28472.2222222222</v>
      </c>
      <c r="I14" s="35" t="n">
        <f aca="false">INDEX(Monthly!$C$73:$BJ$73,($R$2-1)*12+2)</f>
        <v>-28472.2222222222</v>
      </c>
      <c r="J14" s="35" t="n">
        <f aca="false">INDEX(Monthly!$C$73:$BJ$73,($R$2-1)*12+3)</f>
        <v>-28472.2222222222</v>
      </c>
      <c r="K14" s="35" t="n">
        <f aca="false">INDEX(Monthly!$C$73:$BJ$73,($R$2-1)*12+4)</f>
        <v>-28472.2222222222</v>
      </c>
      <c r="L14" s="35" t="n">
        <f aca="false">INDEX(Monthly!$C$73:$BJ$73,($R$2-1)*12+5)</f>
        <v>-28472.2222222222</v>
      </c>
      <c r="M14" s="35" t="n">
        <f aca="false">INDEX(Monthly!$C$73:$BJ$73,($R$2-1)*12+6)</f>
        <v>-28472.2222222222</v>
      </c>
      <c r="N14" s="35" t="n">
        <f aca="false">INDEX(Monthly!$C$73:$BJ$73,($R$2-1)*12+7)</f>
        <v>-28472.2222222222</v>
      </c>
      <c r="O14" s="35" t="n">
        <f aca="false">INDEX(Monthly!$C$73:$BJ$73,($R$2-1)*12+8)</f>
        <v>-28472.2222222222</v>
      </c>
      <c r="P14" s="35" t="n">
        <f aca="false">INDEX(Monthly!$C$73:$BJ$73,($R$2-1)*12+9)</f>
        <v>-28472.2222222222</v>
      </c>
      <c r="Q14" s="35" t="n">
        <f aca="false">INDEX(Monthly!$C$73:$BJ$73,($R$2-1)*12+10)</f>
        <v>-28472.2222222222</v>
      </c>
      <c r="R14" s="35" t="n">
        <f aca="false">INDEX(Monthly!$C$73:$BJ$73,($R$2-1)*12+11)</f>
        <v>-28472.2222222222</v>
      </c>
      <c r="S14" s="35" t="n">
        <f aca="false">INDEX(Monthly!$C$73:$BJ$73,($R$2-1)*12+12)</f>
        <v>-28472.2222222222</v>
      </c>
    </row>
    <row r="15" customFormat="false" ht="15" hidden="false" customHeight="false" outlineLevel="0" collapsed="false">
      <c r="A15" s="36" t="s">
        <v>79</v>
      </c>
      <c r="B15" s="37" t="n">
        <f aca="false">'P&amp;L'!B18</f>
        <v>-464945.873936961</v>
      </c>
      <c r="C15" s="37" t="n">
        <f aca="false">'P&amp;L'!C18</f>
        <v>48591.2084617368</v>
      </c>
      <c r="D15" s="37" t="n">
        <f aca="false">'P&amp;L'!D18</f>
        <v>257697.078398756</v>
      </c>
      <c r="E15" s="37" t="n">
        <f aca="false">'P&amp;L'!E18</f>
        <v>402428.521834239</v>
      </c>
      <c r="F15" s="37" t="n">
        <f aca="false">'P&amp;L'!F18</f>
        <v>506881.484690629</v>
      </c>
      <c r="H15" s="37" t="n">
        <f aca="false">INDEX(Monthly!$C$58:$BJ$58,($R$2-1)*12+1)</f>
        <v>-81187.4766347889</v>
      </c>
      <c r="I15" s="37" t="n">
        <f aca="false">INDEX(Monthly!$C$58:$BJ$58,($R$2-1)*12+2)</f>
        <v>-75641.4017929862</v>
      </c>
      <c r="J15" s="37" t="n">
        <f aca="false">INDEX(Monthly!$C$58:$BJ$58,($R$2-1)*12+3)</f>
        <v>-60362.3223463849</v>
      </c>
      <c r="K15" s="37" t="n">
        <f aca="false">INDEX(Monthly!$C$58:$BJ$58,($R$2-1)*12+4)</f>
        <v>-53368.686931674</v>
      </c>
      <c r="L15" s="37" t="n">
        <f aca="false">INDEX(Monthly!$C$58:$BJ$58,($R$2-1)*12+5)</f>
        <v>-46247.330929307</v>
      </c>
      <c r="M15" s="37" t="n">
        <f aca="false">INDEX(Monthly!$C$58:$BJ$58,($R$2-1)*12+6)</f>
        <v>-39003.3631627903</v>
      </c>
      <c r="N15" s="37" t="n">
        <f aca="false">INDEX(Monthly!$C$58:$BJ$58,($R$2-1)*12+7)</f>
        <v>-31641.6881026898</v>
      </c>
      <c r="O15" s="37" t="n">
        <f aca="false">INDEX(Monthly!$C$58:$BJ$58,($R$2-1)*12+8)</f>
        <v>-24167.0140407489</v>
      </c>
      <c r="P15" s="37" t="n">
        <f aca="false">INDEX(Monthly!$C$58:$BJ$58,($R$2-1)*12+9)</f>
        <v>-16583.8609370411</v>
      </c>
      <c r="Q15" s="37" t="n">
        <f aca="false">INDEX(Monthly!$C$58:$BJ$58,($R$2-1)*12+10)</f>
        <v>-8896.56795323726</v>
      </c>
      <c r="R15" s="37" t="n">
        <f aca="false">INDEX(Monthly!$C$58:$BJ$58,($R$2-1)*12+11)</f>
        <v>-6755.43526666334</v>
      </c>
      <c r="S15" s="37" t="n">
        <f aca="false">INDEX(Monthly!$C$58:$BJ$58,($R$2-1)*12+12)</f>
        <v>-21090.7258386496</v>
      </c>
    </row>
    <row r="16" customFormat="false" ht="15" hidden="false" customHeight="false" outlineLevel="0" collapsed="false">
      <c r="A16" s="51" t="s">
        <v>80</v>
      </c>
      <c r="B16" s="35" t="n">
        <f aca="false">'P&amp;L'!B19</f>
        <v>-244286.458333333</v>
      </c>
      <c r="C16" s="35" t="n">
        <f aca="false">'P&amp;L'!C19</f>
        <v>-218875</v>
      </c>
      <c r="D16" s="35" t="n">
        <f aca="false">'P&amp;L'!D19</f>
        <v>-193375</v>
      </c>
      <c r="E16" s="35" t="n">
        <f aca="false">'P&amp;L'!E19</f>
        <v>-167875</v>
      </c>
      <c r="F16" s="35" t="n">
        <f aca="false">'P&amp;L'!F19</f>
        <v>-142375</v>
      </c>
      <c r="H16" s="35" t="n">
        <f aca="false">INDEX(Monthly!$C$59:$BJ$59,($R$2-1)*12+1)</f>
        <v>-21250</v>
      </c>
      <c r="I16" s="35" t="n">
        <f aca="false">INDEX(Monthly!$C$59:$BJ$59,($R$2-1)*12+2)</f>
        <v>-21161.4583333333</v>
      </c>
      <c r="J16" s="35" t="n">
        <f aca="false">INDEX(Monthly!$C$59:$BJ$59,($R$2-1)*12+3)</f>
        <v>-20984.375</v>
      </c>
      <c r="K16" s="35" t="n">
        <f aca="false">INDEX(Monthly!$C$59:$BJ$59,($R$2-1)*12+4)</f>
        <v>-20807.2916666667</v>
      </c>
      <c r="L16" s="35" t="n">
        <f aca="false">INDEX(Monthly!$C$59:$BJ$59,($R$2-1)*12+5)</f>
        <v>-20630.2083333333</v>
      </c>
      <c r="M16" s="35" t="n">
        <f aca="false">INDEX(Monthly!$C$59:$BJ$59,($R$2-1)*12+6)</f>
        <v>-20453.125</v>
      </c>
      <c r="N16" s="35" t="n">
        <f aca="false">INDEX(Monthly!$C$59:$BJ$59,($R$2-1)*12+7)</f>
        <v>-20276.0416666667</v>
      </c>
      <c r="O16" s="35" t="n">
        <f aca="false">INDEX(Monthly!$C$59:$BJ$59,($R$2-1)*12+8)</f>
        <v>-20098.9583333333</v>
      </c>
      <c r="P16" s="35" t="n">
        <f aca="false">INDEX(Monthly!$C$59:$BJ$59,($R$2-1)*12+9)</f>
        <v>-19921.875</v>
      </c>
      <c r="Q16" s="35" t="n">
        <f aca="false">INDEX(Monthly!$C$59:$BJ$59,($R$2-1)*12+10)</f>
        <v>-19744.7916666667</v>
      </c>
      <c r="R16" s="35" t="n">
        <f aca="false">INDEX(Monthly!$C$59:$BJ$59,($R$2-1)*12+11)</f>
        <v>-19567.7083333333</v>
      </c>
      <c r="S16" s="35" t="n">
        <f aca="false">INDEX(Monthly!$C$59:$BJ$59,($R$2-1)*12+12)</f>
        <v>-19390.625</v>
      </c>
    </row>
    <row r="17" customFormat="false" ht="15" hidden="false" customHeight="false" outlineLevel="0" collapsed="false">
      <c r="A17" s="51" t="s">
        <v>81</v>
      </c>
      <c r="B17" s="35" t="n">
        <f aca="false">'P&amp;L'!B20</f>
        <v>-709232.332270295</v>
      </c>
      <c r="C17" s="35" t="n">
        <f aca="false">'P&amp;L'!C20</f>
        <v>-170283.791538263</v>
      </c>
      <c r="D17" s="35" t="n">
        <f aca="false">'P&amp;L'!D20</f>
        <v>64322.0783987556</v>
      </c>
      <c r="E17" s="35" t="n">
        <f aca="false">'P&amp;L'!E20</f>
        <v>234553.521834239</v>
      </c>
      <c r="F17" s="35" t="n">
        <f aca="false">'P&amp;L'!F20</f>
        <v>364506.484690629</v>
      </c>
      <c r="H17" s="35" t="n">
        <f aca="false">INDEX(Monthly!$C$60:$BJ$60,($R$2-1)*12+1)</f>
        <v>-102437.476634789</v>
      </c>
      <c r="I17" s="35" t="n">
        <f aca="false">INDEX(Monthly!$C$60:$BJ$60,($R$2-1)*12+2)</f>
        <v>-96802.8601263196</v>
      </c>
      <c r="J17" s="35" t="n">
        <f aca="false">INDEX(Monthly!$C$60:$BJ$60,($R$2-1)*12+3)</f>
        <v>-81346.6973463849</v>
      </c>
      <c r="K17" s="35" t="n">
        <f aca="false">INDEX(Monthly!$C$60:$BJ$60,($R$2-1)*12+4)</f>
        <v>-74175.9785983407</v>
      </c>
      <c r="L17" s="35" t="n">
        <f aca="false">INDEX(Monthly!$C$60:$BJ$60,($R$2-1)*12+5)</f>
        <v>-66877.5392626404</v>
      </c>
      <c r="M17" s="35" t="n">
        <f aca="false">INDEX(Monthly!$C$60:$BJ$60,($R$2-1)*12+6)</f>
        <v>-59456.4881627903</v>
      </c>
      <c r="N17" s="35" t="n">
        <f aca="false">INDEX(Monthly!$C$60:$BJ$60,($R$2-1)*12+7)</f>
        <v>-51917.7297693565</v>
      </c>
      <c r="O17" s="35" t="n">
        <f aca="false">INDEX(Monthly!$C$60:$BJ$60,($R$2-1)*12+8)</f>
        <v>-44265.9723740822</v>
      </c>
      <c r="P17" s="35" t="n">
        <f aca="false">INDEX(Monthly!$C$60:$BJ$60,($R$2-1)*12+9)</f>
        <v>-36505.7359370411</v>
      </c>
      <c r="Q17" s="35" t="n">
        <f aca="false">INDEX(Monthly!$C$60:$BJ$60,($R$2-1)*12+10)</f>
        <v>-28641.3596199039</v>
      </c>
      <c r="R17" s="35" t="n">
        <f aca="false">INDEX(Monthly!$C$60:$BJ$60,($R$2-1)*12+11)</f>
        <v>-26323.1435999967</v>
      </c>
      <c r="S17" s="35" t="n">
        <f aca="false">INDEX(Monthly!$C$60:$BJ$60,($R$2-1)*12+12)</f>
        <v>-40481.3508386496</v>
      </c>
    </row>
    <row r="18" customFormat="false" ht="15" hidden="false" customHeight="false" outlineLevel="0" collapsed="false">
      <c r="A18" s="51" t="s">
        <v>82</v>
      </c>
      <c r="B18" s="35" t="n">
        <f aca="false">'P&amp;L'!B21</f>
        <v>0</v>
      </c>
      <c r="C18" s="35" t="n">
        <f aca="false">'P&amp;L'!C21</f>
        <v>0</v>
      </c>
      <c r="D18" s="35" t="n">
        <f aca="false">'P&amp;L'!D21</f>
        <v>0</v>
      </c>
      <c r="E18" s="35" t="n">
        <f aca="false">'P&amp;L'!E21</f>
        <v>0</v>
      </c>
      <c r="F18" s="35" t="n">
        <f aca="false">'P&amp;L'!F21</f>
        <v>0</v>
      </c>
      <c r="H18" s="35" t="n">
        <f aca="false">INDEX(Monthly!$C$63:$BJ$63,($R$2-1)*12+1)</f>
        <v>-0</v>
      </c>
      <c r="I18" s="35" t="n">
        <f aca="false">INDEX(Monthly!$C$63:$BJ$63,($R$2-1)*12+2)</f>
        <v>-0</v>
      </c>
      <c r="J18" s="35" t="n">
        <f aca="false">INDEX(Monthly!$C$63:$BJ$63,($R$2-1)*12+3)</f>
        <v>-0</v>
      </c>
      <c r="K18" s="35" t="n">
        <f aca="false">INDEX(Monthly!$C$63:$BJ$63,($R$2-1)*12+4)</f>
        <v>-0</v>
      </c>
      <c r="L18" s="35" t="n">
        <f aca="false">INDEX(Monthly!$C$63:$BJ$63,($R$2-1)*12+5)</f>
        <v>-0</v>
      </c>
      <c r="M18" s="35" t="n">
        <f aca="false">INDEX(Monthly!$C$63:$BJ$63,($R$2-1)*12+6)</f>
        <v>-0</v>
      </c>
      <c r="N18" s="35" t="n">
        <f aca="false">INDEX(Monthly!$C$63:$BJ$63,($R$2-1)*12+7)</f>
        <v>-0</v>
      </c>
      <c r="O18" s="35" t="n">
        <f aca="false">INDEX(Monthly!$C$63:$BJ$63,($R$2-1)*12+8)</f>
        <v>-0</v>
      </c>
      <c r="P18" s="35" t="n">
        <f aca="false">INDEX(Monthly!$C$63:$BJ$63,($R$2-1)*12+9)</f>
        <v>-0</v>
      </c>
      <c r="Q18" s="35" t="n">
        <f aca="false">INDEX(Monthly!$C$63:$BJ$63,($R$2-1)*12+10)</f>
        <v>-0</v>
      </c>
      <c r="R18" s="35" t="n">
        <f aca="false">INDEX(Monthly!$C$63:$BJ$63,($R$2-1)*12+11)</f>
        <v>-0</v>
      </c>
      <c r="S18" s="35" t="n">
        <f aca="false">INDEX(Monthly!$C$63:$BJ$63,($R$2-1)*12+12)</f>
        <v>-0</v>
      </c>
    </row>
    <row r="19" customFormat="false" ht="15" hidden="false" customHeight="false" outlineLevel="0" collapsed="false">
      <c r="A19" s="40" t="s">
        <v>50</v>
      </c>
      <c r="B19" s="41" t="n">
        <f aca="false">'P&amp;L'!B22</f>
        <v>-709232.332270295</v>
      </c>
      <c r="C19" s="41" t="n">
        <f aca="false">'P&amp;L'!C22</f>
        <v>-170283.791538263</v>
      </c>
      <c r="D19" s="41" t="n">
        <f aca="false">'P&amp;L'!D22</f>
        <v>64322.0783987556</v>
      </c>
      <c r="E19" s="41" t="n">
        <f aca="false">'P&amp;L'!E22</f>
        <v>234553.521834239</v>
      </c>
      <c r="F19" s="41" t="n">
        <f aca="false">'P&amp;L'!F22</f>
        <v>364506.484690629</v>
      </c>
      <c r="H19" s="41" t="n">
        <f aca="false">INDEX(Monthly!$C$64:$BJ$64,($R$2-1)*12+1)</f>
        <v>-102437.476634789</v>
      </c>
      <c r="I19" s="41" t="n">
        <f aca="false">INDEX(Monthly!$C$64:$BJ$64,($R$2-1)*12+2)</f>
        <v>-96802.8601263196</v>
      </c>
      <c r="J19" s="41" t="n">
        <f aca="false">INDEX(Monthly!$C$64:$BJ$64,($R$2-1)*12+3)</f>
        <v>-81346.6973463849</v>
      </c>
      <c r="K19" s="41" t="n">
        <f aca="false">INDEX(Monthly!$C$64:$BJ$64,($R$2-1)*12+4)</f>
        <v>-74175.9785983407</v>
      </c>
      <c r="L19" s="41" t="n">
        <f aca="false">INDEX(Monthly!$C$64:$BJ$64,($R$2-1)*12+5)</f>
        <v>-66877.5392626404</v>
      </c>
      <c r="M19" s="41" t="n">
        <f aca="false">INDEX(Monthly!$C$64:$BJ$64,($R$2-1)*12+6)</f>
        <v>-59456.4881627903</v>
      </c>
      <c r="N19" s="41" t="n">
        <f aca="false">INDEX(Monthly!$C$64:$BJ$64,($R$2-1)*12+7)</f>
        <v>-51917.7297693565</v>
      </c>
      <c r="O19" s="41" t="n">
        <f aca="false">INDEX(Monthly!$C$64:$BJ$64,($R$2-1)*12+8)</f>
        <v>-44265.9723740822</v>
      </c>
      <c r="P19" s="41" t="n">
        <f aca="false">INDEX(Monthly!$C$64:$BJ$64,($R$2-1)*12+9)</f>
        <v>-36505.7359370411</v>
      </c>
      <c r="Q19" s="41" t="n">
        <f aca="false">INDEX(Monthly!$C$64:$BJ$64,($R$2-1)*12+10)</f>
        <v>-28641.3596199039</v>
      </c>
      <c r="R19" s="41" t="n">
        <f aca="false">INDEX(Monthly!$C$64:$BJ$64,($R$2-1)*12+11)</f>
        <v>-26323.1435999967</v>
      </c>
      <c r="S19" s="41" t="n">
        <f aca="false">INDEX(Monthly!$C$64:$BJ$64,($R$2-1)*12+12)</f>
        <v>-40481.3508386496</v>
      </c>
    </row>
    <row r="20" customFormat="false" ht="15" hidden="false" customHeight="false" outlineLevel="0" collapsed="false">
      <c r="A20" s="38" t="s">
        <v>51</v>
      </c>
      <c r="B20" s="39" t="n">
        <f aca="false">'P&amp;L'!B23</f>
        <v>-0.600951460800047</v>
      </c>
      <c r="C20" s="39" t="n">
        <f aca="false">'P&amp;L'!C23</f>
        <v>-0.0942940025033336</v>
      </c>
      <c r="D20" s="39" t="n">
        <f aca="false">'P&amp;L'!D23</f>
        <v>0.0309199644358894</v>
      </c>
      <c r="E20" s="39" t="n">
        <f aca="false">'P&amp;L'!E23</f>
        <v>0.102764775933284</v>
      </c>
      <c r="F20" s="39" t="n">
        <f aca="false">'P&amp;L'!F23</f>
        <v>0.149334215492205</v>
      </c>
      <c r="H20" s="39" t="n">
        <f aca="false">IF(H7=0,0,H19/H7)</f>
        <v>-2.13663541537472</v>
      </c>
      <c r="I20" s="39" t="n">
        <f aca="false">IF(I7=0,0,I19/I7)</f>
        <v>-1.77786504956048</v>
      </c>
      <c r="J20" s="39" t="n">
        <f aca="false">IF(J7=0,0,J19/J7)</f>
        <v>-1.11780809107348</v>
      </c>
      <c r="K20" s="39" t="n">
        <f aca="false">IF(K7=0,0,K19/K7)</f>
        <v>-0.915166450894005</v>
      </c>
      <c r="L20" s="39" t="n">
        <f aca="false">IF(L7=0,0,L19/L7)</f>
        <v>-0.747316266332275</v>
      </c>
      <c r="M20" s="39" t="n">
        <f aca="false">IF(M7=0,0,M19/M7)</f>
        <v>-0.606190775780569</v>
      </c>
      <c r="N20" s="39" t="n">
        <f aca="false">IF(N7=0,0,N19/N7)</f>
        <v>-0.486023913935484</v>
      </c>
      <c r="O20" s="39" t="n">
        <f aca="false">IF(O7=0,0,O19/O7)</f>
        <v>-0.382586030060972</v>
      </c>
      <c r="P20" s="39" t="n">
        <f aca="false">IF(P7=0,0,P19/P7)</f>
        <v>-0.292705143366582</v>
      </c>
      <c r="Q20" s="39" t="n">
        <f aca="false">IF(Q7=0,0,Q19/Q7)</f>
        <v>-0.213956593698088</v>
      </c>
      <c r="R20" s="39" t="n">
        <f aca="false">IF(R7=0,0,R19/R7)</f>
        <v>-0.192779212319436</v>
      </c>
      <c r="S20" s="39" t="n">
        <f aca="false">IF(S7=0,0,S19/S7)</f>
        <v>-0.340925076026312</v>
      </c>
    </row>
    <row r="22" customFormat="false" ht="15.75" hidden="false" customHeight="true" outlineLevel="0" collapsed="false">
      <c r="A22" s="7" t="s">
        <v>83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4" t="n">
        <v>4</v>
      </c>
      <c r="F23" s="34" t="n">
        <v>5</v>
      </c>
      <c r="H23" s="50" t="n">
        <f aca="false">INDEX(Monthly!$C$4:$BJ$4,($R$2-1)*12+1)</f>
        <v>1</v>
      </c>
      <c r="I23" s="50" t="n">
        <f aca="false">INDEX(Monthly!$C$4:$BJ$4,($R$2-1)*12+2)</f>
        <v>2</v>
      </c>
      <c r="J23" s="50" t="n">
        <f aca="false">INDEX(Monthly!$C$4:$BJ$4,($R$2-1)*12+3)</f>
        <v>3</v>
      </c>
      <c r="K23" s="50" t="n">
        <f aca="false">INDEX(Monthly!$C$4:$BJ$4,($R$2-1)*12+4)</f>
        <v>4</v>
      </c>
      <c r="L23" s="50" t="n">
        <f aca="false">INDEX(Monthly!$C$4:$BJ$4,($R$2-1)*12+5)</f>
        <v>5</v>
      </c>
      <c r="M23" s="50" t="n">
        <f aca="false">INDEX(Monthly!$C$4:$BJ$4,($R$2-1)*12+6)</f>
        <v>6</v>
      </c>
      <c r="N23" s="50" t="n">
        <f aca="false">INDEX(Monthly!$C$4:$BJ$4,($R$2-1)*12+7)</f>
        <v>7</v>
      </c>
      <c r="O23" s="50" t="n">
        <f aca="false">INDEX(Monthly!$C$4:$BJ$4,($R$2-1)*12+8)</f>
        <v>8</v>
      </c>
      <c r="P23" s="50" t="n">
        <f aca="false">INDEX(Monthly!$C$4:$BJ$4,($R$2-1)*12+9)</f>
        <v>9</v>
      </c>
      <c r="Q23" s="50" t="n">
        <f aca="false">INDEX(Monthly!$C$4:$BJ$4,($R$2-1)*12+10)</f>
        <v>10</v>
      </c>
      <c r="R23" s="50" t="n">
        <f aca="false">INDEX(Monthly!$C$4:$BJ$4,($R$2-1)*12+11)</f>
        <v>11</v>
      </c>
      <c r="S23" s="50" t="n">
        <f aca="false">INDEX(Monthly!$C$4:$BJ$4,($R$2-1)*12+12)</f>
        <v>12</v>
      </c>
    </row>
    <row r="24" customFormat="false" ht="15" hidden="false" customHeight="false" outlineLevel="0" collapsed="false">
      <c r="A24" s="36" t="s">
        <v>52</v>
      </c>
      <c r="B24" s="37" t="n">
        <f aca="false">'Cash Flow'!B10</f>
        <v>-369557.792453481</v>
      </c>
      <c r="C24" s="37" t="n">
        <f aca="false">'Cash Flow'!C10</f>
        <v>174478.453532665</v>
      </c>
      <c r="D24" s="37" t="n">
        <f aca="false">'Cash Flow'!D10</f>
        <v>412515.85538278</v>
      </c>
      <c r="E24" s="37" t="n">
        <f aca="false">'Cash Flow'!E10</f>
        <v>586141.123842083</v>
      </c>
      <c r="F24" s="37" t="n">
        <f aca="false">'Cash Flow'!F10</f>
        <v>719465.283116606</v>
      </c>
      <c r="H24" s="37" t="n">
        <f aca="false">INDEX(Monthly!$C$92:$BJ$92,($R$2-1)*12+1)</f>
        <v>-74804.1630306</v>
      </c>
      <c r="I24" s="37" t="n">
        <f aca="false">INDEX(Monthly!$C$92:$BJ$92,($R$2-1)*12+2)</f>
        <v>-68444.5087441057</v>
      </c>
      <c r="J24" s="37" t="n">
        <f aca="false">INDEX(Monthly!$C$92:$BJ$92,($R$2-1)*12+3)</f>
        <v>-53080.977367098</v>
      </c>
      <c r="K24" s="37" t="n">
        <f aca="false">INDEX(Monthly!$C$92:$BJ$92,($R$2-1)*12+4)</f>
        <v>-45827.3689705868</v>
      </c>
      <c r="L24" s="37" t="n">
        <f aca="false">INDEX(Monthly!$C$92:$BJ$92,($R$2-1)*12+5)</f>
        <v>-38528.8683473374</v>
      </c>
      <c r="M24" s="37" t="n">
        <f aca="false">INDEX(Monthly!$C$92:$BJ$92,($R$2-1)*12+6)</f>
        <v>-31107.7584114402</v>
      </c>
      <c r="N24" s="37" t="n">
        <f aca="false">INDEX(Monthly!$C$92:$BJ$92,($R$2-1)*12+7)</f>
        <v>-23568.9435354011</v>
      </c>
      <c r="O24" s="37" t="n">
        <f aca="false">INDEX(Monthly!$C$92:$BJ$92,($R$2-1)*12+8)</f>
        <v>-15917.1319168258</v>
      </c>
      <c r="P24" s="37" t="n">
        <f aca="false">INDEX(Monthly!$C$92:$BJ$92,($R$2-1)*12+9)</f>
        <v>-8156.84342541571</v>
      </c>
      <c r="Q24" s="37" t="n">
        <f aca="false">INDEX(Monthly!$C$92:$BJ$92,($R$2-1)*12+10)</f>
        <v>-292.417136084256</v>
      </c>
      <c r="R24" s="37" t="n">
        <f aca="false">INDEX(Monthly!$C$92:$BJ$92,($R$2-1)*12+11)</f>
        <v>2150.10605857762</v>
      </c>
      <c r="S24" s="37" t="n">
        <f aca="false">INDEX(Monthly!$C$92:$BJ$92,($R$2-1)*12+12)</f>
        <v>-11978.9176271636</v>
      </c>
    </row>
    <row r="25" customFormat="false" ht="15" hidden="false" customHeight="false" outlineLevel="0" collapsed="false">
      <c r="A25" s="51" t="s">
        <v>84</v>
      </c>
      <c r="B25" s="35" t="n">
        <f aca="false">'Cash Flow'!B11</f>
        <v>-4100000</v>
      </c>
      <c r="C25" s="35" t="n">
        <f aca="false">'Cash Flow'!C11</f>
        <v>-40000</v>
      </c>
      <c r="D25" s="35" t="n">
        <f aca="false">'Cash Flow'!D11</f>
        <v>-40000</v>
      </c>
      <c r="E25" s="35" t="n">
        <f aca="false">'Cash Flow'!E11</f>
        <v>-40000</v>
      </c>
      <c r="F25" s="35" t="n">
        <f aca="false">'Cash Flow'!F11</f>
        <v>-40000</v>
      </c>
      <c r="H25" s="35" t="n">
        <f aca="false">INDEX(Monthly!$C$93:$BJ$93,($R$2-1)*12+1)</f>
        <v>-4100000</v>
      </c>
      <c r="I25" s="35" t="n">
        <f aca="false">INDEX(Monthly!$C$93:$BJ$93,($R$2-1)*12+2)</f>
        <v>-0</v>
      </c>
      <c r="J25" s="35" t="n">
        <f aca="false">INDEX(Monthly!$C$93:$BJ$93,($R$2-1)*12+3)</f>
        <v>-0</v>
      </c>
      <c r="K25" s="35" t="n">
        <f aca="false">INDEX(Monthly!$C$93:$BJ$93,($R$2-1)*12+4)</f>
        <v>-0</v>
      </c>
      <c r="L25" s="35" t="n">
        <f aca="false">INDEX(Monthly!$C$93:$BJ$93,($R$2-1)*12+5)</f>
        <v>-0</v>
      </c>
      <c r="M25" s="35" t="n">
        <f aca="false">INDEX(Monthly!$C$93:$BJ$93,($R$2-1)*12+6)</f>
        <v>-0</v>
      </c>
      <c r="N25" s="35" t="n">
        <f aca="false">INDEX(Monthly!$C$93:$BJ$93,($R$2-1)*12+7)</f>
        <v>-0</v>
      </c>
      <c r="O25" s="35" t="n">
        <f aca="false">INDEX(Monthly!$C$93:$BJ$93,($R$2-1)*12+8)</f>
        <v>-0</v>
      </c>
      <c r="P25" s="35" t="n">
        <f aca="false">INDEX(Monthly!$C$93:$BJ$93,($R$2-1)*12+9)</f>
        <v>-0</v>
      </c>
      <c r="Q25" s="35" t="n">
        <f aca="false">INDEX(Monthly!$C$93:$BJ$93,($R$2-1)*12+10)</f>
        <v>-0</v>
      </c>
      <c r="R25" s="35" t="n">
        <f aca="false">INDEX(Monthly!$C$93:$BJ$93,($R$2-1)*12+11)</f>
        <v>-0</v>
      </c>
      <c r="S25" s="35" t="n">
        <f aca="false">INDEX(Monthly!$C$93:$BJ$93,($R$2-1)*12+12)</f>
        <v>-0</v>
      </c>
    </row>
    <row r="26" customFormat="false" ht="15" hidden="false" customHeight="false" outlineLevel="0" collapsed="false">
      <c r="A26" s="51" t="s">
        <v>64</v>
      </c>
      <c r="B26" s="35" t="n">
        <f aca="false">'Cash Flow'!B12</f>
        <v>2100000</v>
      </c>
      <c r="C26" s="35" t="n">
        <f aca="false">'Cash Flow'!C12</f>
        <v>0</v>
      </c>
      <c r="D26" s="35" t="n">
        <f aca="false">'Cash Flow'!D12</f>
        <v>0</v>
      </c>
      <c r="E26" s="35" t="n">
        <f aca="false">'Cash Flow'!E12</f>
        <v>0</v>
      </c>
      <c r="F26" s="35" t="n">
        <f aca="false">'Cash Flow'!F12</f>
        <v>0</v>
      </c>
      <c r="H26" s="35" t="n">
        <f aca="false">INDEX(Monthly!$C$94:$BJ$94,($R$2-1)*12+1)</f>
        <v>2100000</v>
      </c>
      <c r="I26" s="35" t="n">
        <f aca="false">INDEX(Monthly!$C$94:$BJ$94,($R$2-1)*12+2)</f>
        <v>0</v>
      </c>
      <c r="J26" s="35" t="n">
        <f aca="false">INDEX(Monthly!$C$94:$BJ$94,($R$2-1)*12+3)</f>
        <v>0</v>
      </c>
      <c r="K26" s="35" t="n">
        <f aca="false">INDEX(Monthly!$C$94:$BJ$94,($R$2-1)*12+4)</f>
        <v>0</v>
      </c>
      <c r="L26" s="35" t="n">
        <f aca="false">INDEX(Monthly!$C$94:$BJ$94,($R$2-1)*12+5)</f>
        <v>0</v>
      </c>
      <c r="M26" s="35" t="n">
        <f aca="false">INDEX(Monthly!$C$94:$BJ$94,($R$2-1)*12+6)</f>
        <v>0</v>
      </c>
      <c r="N26" s="35" t="n">
        <f aca="false">INDEX(Monthly!$C$94:$BJ$94,($R$2-1)*12+7)</f>
        <v>0</v>
      </c>
      <c r="O26" s="35" t="n">
        <f aca="false">INDEX(Monthly!$C$94:$BJ$94,($R$2-1)*12+8)</f>
        <v>0</v>
      </c>
      <c r="P26" s="35" t="n">
        <f aca="false">INDEX(Monthly!$C$94:$BJ$94,($R$2-1)*12+9)</f>
        <v>0</v>
      </c>
      <c r="Q26" s="35" t="n">
        <f aca="false">INDEX(Monthly!$C$94:$BJ$94,($R$2-1)*12+10)</f>
        <v>0</v>
      </c>
      <c r="R26" s="35" t="n">
        <f aca="false">INDEX(Monthly!$C$94:$BJ$94,($R$2-1)*12+11)</f>
        <v>0</v>
      </c>
      <c r="S26" s="35" t="n">
        <f aca="false">INDEX(Monthly!$C$94:$BJ$94,($R$2-1)*12+12)</f>
        <v>0</v>
      </c>
    </row>
    <row r="27" customFormat="false" ht="15" hidden="false" customHeight="false" outlineLevel="0" collapsed="false">
      <c r="A27" s="51" t="s">
        <v>85</v>
      </c>
      <c r="B27" s="35" t="n">
        <f aca="false">'Cash Flow'!B13</f>
        <v>3000000</v>
      </c>
      <c r="C27" s="35" t="n">
        <f aca="false">'Cash Flow'!C13</f>
        <v>0</v>
      </c>
      <c r="D27" s="35" t="n">
        <f aca="false">'Cash Flow'!D13</f>
        <v>0</v>
      </c>
      <c r="E27" s="35" t="n">
        <f aca="false">'Cash Flow'!E13</f>
        <v>0</v>
      </c>
      <c r="F27" s="35" t="n">
        <f aca="false">'Cash Flow'!F13</f>
        <v>0</v>
      </c>
      <c r="H27" s="35" t="n">
        <f aca="false">INDEX(Monthly!$C$79:$BJ$79,($R$2-1)*12+1)</f>
        <v>3000000</v>
      </c>
      <c r="I27" s="35" t="n">
        <f aca="false">INDEX(Monthly!$C$79:$BJ$79,($R$2-1)*12+2)</f>
        <v>0</v>
      </c>
      <c r="J27" s="35" t="n">
        <f aca="false">INDEX(Monthly!$C$79:$BJ$79,($R$2-1)*12+3)</f>
        <v>0</v>
      </c>
      <c r="K27" s="35" t="n">
        <f aca="false">INDEX(Monthly!$C$79:$BJ$79,($R$2-1)*12+4)</f>
        <v>0</v>
      </c>
      <c r="L27" s="35" t="n">
        <f aca="false">INDEX(Monthly!$C$79:$BJ$79,($R$2-1)*12+5)</f>
        <v>0</v>
      </c>
      <c r="M27" s="35" t="n">
        <f aca="false">INDEX(Monthly!$C$79:$BJ$79,($R$2-1)*12+6)</f>
        <v>0</v>
      </c>
      <c r="N27" s="35" t="n">
        <f aca="false">INDEX(Monthly!$C$79:$BJ$79,($R$2-1)*12+7)</f>
        <v>0</v>
      </c>
      <c r="O27" s="35" t="n">
        <f aca="false">INDEX(Monthly!$C$79:$BJ$79,($R$2-1)*12+8)</f>
        <v>0</v>
      </c>
      <c r="P27" s="35" t="n">
        <f aca="false">INDEX(Monthly!$C$79:$BJ$79,($R$2-1)*12+9)</f>
        <v>0</v>
      </c>
      <c r="Q27" s="35" t="n">
        <f aca="false">INDEX(Monthly!$C$79:$BJ$79,($R$2-1)*12+10)</f>
        <v>0</v>
      </c>
      <c r="R27" s="35" t="n">
        <f aca="false">INDEX(Monthly!$C$79:$BJ$79,($R$2-1)*12+11)</f>
        <v>0</v>
      </c>
      <c r="S27" s="35" t="n">
        <f aca="false">INDEX(Monthly!$C$79:$BJ$79,($R$2-1)*12+12)</f>
        <v>0</v>
      </c>
    </row>
    <row r="28" customFormat="false" ht="15" hidden="false" customHeight="false" outlineLevel="0" collapsed="false">
      <c r="A28" s="51" t="s">
        <v>86</v>
      </c>
      <c r="B28" s="35" t="n">
        <f aca="false">'Cash Flow'!B14</f>
        <v>-275000</v>
      </c>
      <c r="C28" s="35" t="n">
        <f aca="false">'Cash Flow'!C14</f>
        <v>-300000</v>
      </c>
      <c r="D28" s="35" t="n">
        <f aca="false">'Cash Flow'!D14</f>
        <v>-300000</v>
      </c>
      <c r="E28" s="35" t="n">
        <f aca="false">'Cash Flow'!E14</f>
        <v>-300000</v>
      </c>
      <c r="F28" s="35" t="n">
        <f aca="false">'Cash Flow'!F14</f>
        <v>-300000</v>
      </c>
      <c r="H28" s="35" t="n">
        <f aca="false">INDEX(Monthly!$C$80:$BJ$80,($R$2-1)*12+1)</f>
        <v>-0</v>
      </c>
      <c r="I28" s="35" t="n">
        <f aca="false">INDEX(Monthly!$C$80:$BJ$80,($R$2-1)*12+2)</f>
        <v>-25000</v>
      </c>
      <c r="J28" s="35" t="n">
        <f aca="false">INDEX(Monthly!$C$80:$BJ$80,($R$2-1)*12+3)</f>
        <v>-25000</v>
      </c>
      <c r="K28" s="35" t="n">
        <f aca="false">INDEX(Monthly!$C$80:$BJ$80,($R$2-1)*12+4)</f>
        <v>-25000</v>
      </c>
      <c r="L28" s="35" t="n">
        <f aca="false">INDEX(Monthly!$C$80:$BJ$80,($R$2-1)*12+5)</f>
        <v>-25000</v>
      </c>
      <c r="M28" s="35" t="n">
        <f aca="false">INDEX(Monthly!$C$80:$BJ$80,($R$2-1)*12+6)</f>
        <v>-25000</v>
      </c>
      <c r="N28" s="35" t="n">
        <f aca="false">INDEX(Monthly!$C$80:$BJ$80,($R$2-1)*12+7)</f>
        <v>-25000</v>
      </c>
      <c r="O28" s="35" t="n">
        <f aca="false">INDEX(Monthly!$C$80:$BJ$80,($R$2-1)*12+8)</f>
        <v>-25000</v>
      </c>
      <c r="P28" s="35" t="n">
        <f aca="false">INDEX(Monthly!$C$80:$BJ$80,($R$2-1)*12+9)</f>
        <v>-25000</v>
      </c>
      <c r="Q28" s="35" t="n">
        <f aca="false">INDEX(Monthly!$C$80:$BJ$80,($R$2-1)*12+10)</f>
        <v>-25000</v>
      </c>
      <c r="R28" s="35" t="n">
        <f aca="false">INDEX(Monthly!$C$80:$BJ$80,($R$2-1)*12+11)</f>
        <v>-25000</v>
      </c>
      <c r="S28" s="35" t="n">
        <f aca="false">INDEX(Monthly!$C$80:$BJ$80,($R$2-1)*12+12)</f>
        <v>-25000</v>
      </c>
    </row>
    <row r="29" customFormat="false" ht="15" hidden="false" customHeight="false" outlineLevel="0" collapsed="false">
      <c r="A29" s="36" t="s">
        <v>54</v>
      </c>
      <c r="B29" s="37" t="n">
        <f aca="false">'Cash Flow'!B15</f>
        <v>4825000</v>
      </c>
      <c r="C29" s="37" t="n">
        <f aca="false">'Cash Flow'!C15</f>
        <v>-300000</v>
      </c>
      <c r="D29" s="37" t="n">
        <f aca="false">'Cash Flow'!D15</f>
        <v>-300000</v>
      </c>
      <c r="E29" s="37" t="n">
        <f aca="false">'Cash Flow'!E15</f>
        <v>-300000</v>
      </c>
      <c r="F29" s="37" t="n">
        <f aca="false">'Cash Flow'!F15</f>
        <v>-300000</v>
      </c>
      <c r="H29" s="37" t="n">
        <f aca="false">INDEX(Monthly!$C$95:$BJ$95,($R$2-1)*12+1)</f>
        <v>5100000</v>
      </c>
      <c r="I29" s="37" t="n">
        <f aca="false">INDEX(Monthly!$C$95:$BJ$95,($R$2-1)*12+2)</f>
        <v>-25000</v>
      </c>
      <c r="J29" s="37" t="n">
        <f aca="false">INDEX(Monthly!$C$95:$BJ$95,($R$2-1)*12+3)</f>
        <v>-25000</v>
      </c>
      <c r="K29" s="37" t="n">
        <f aca="false">INDEX(Monthly!$C$95:$BJ$95,($R$2-1)*12+4)</f>
        <v>-25000</v>
      </c>
      <c r="L29" s="37" t="n">
        <f aca="false">INDEX(Monthly!$C$95:$BJ$95,($R$2-1)*12+5)</f>
        <v>-25000</v>
      </c>
      <c r="M29" s="37" t="n">
        <f aca="false">INDEX(Monthly!$C$95:$BJ$95,($R$2-1)*12+6)</f>
        <v>-25000</v>
      </c>
      <c r="N29" s="37" t="n">
        <f aca="false">INDEX(Monthly!$C$95:$BJ$95,($R$2-1)*12+7)</f>
        <v>-25000</v>
      </c>
      <c r="O29" s="37" t="n">
        <f aca="false">INDEX(Monthly!$C$95:$BJ$95,($R$2-1)*12+8)</f>
        <v>-25000</v>
      </c>
      <c r="P29" s="37" t="n">
        <f aca="false">INDEX(Monthly!$C$95:$BJ$95,($R$2-1)*12+9)</f>
        <v>-25000</v>
      </c>
      <c r="Q29" s="37" t="n">
        <f aca="false">INDEX(Monthly!$C$95:$BJ$95,($R$2-1)*12+10)</f>
        <v>-25000</v>
      </c>
      <c r="R29" s="37" t="n">
        <f aca="false">INDEX(Monthly!$C$95:$BJ$95,($R$2-1)*12+11)</f>
        <v>-25000</v>
      </c>
      <c r="S29" s="37" t="n">
        <f aca="false">INDEX(Monthly!$C$95:$BJ$95,($R$2-1)*12+12)</f>
        <v>-25000</v>
      </c>
    </row>
    <row r="30" customFormat="false" ht="15" hidden="false" customHeight="false" outlineLevel="0" collapsed="false">
      <c r="A30" s="36" t="s">
        <v>55</v>
      </c>
      <c r="B30" s="37" t="n">
        <f aca="false">'Cash Flow'!B16</f>
        <v>355442.207546519</v>
      </c>
      <c r="C30" s="37" t="n">
        <f aca="false">'Cash Flow'!C16</f>
        <v>-165521.546467335</v>
      </c>
      <c r="D30" s="37" t="n">
        <f aca="false">'Cash Flow'!D16</f>
        <v>72515.8553827797</v>
      </c>
      <c r="E30" s="37" t="n">
        <f aca="false">'Cash Flow'!E16</f>
        <v>246141.123842083</v>
      </c>
      <c r="F30" s="37" t="n">
        <f aca="false">'Cash Flow'!F16</f>
        <v>379465.283116606</v>
      </c>
      <c r="H30" s="37" t="n">
        <f aca="false">INDEX(Monthly!$C$96:$BJ$96,($R$2-1)*12+1)</f>
        <v>925195.8369694</v>
      </c>
      <c r="I30" s="37" t="n">
        <f aca="false">INDEX(Monthly!$C$96:$BJ$96,($R$2-1)*12+2)</f>
        <v>-93444.5087441057</v>
      </c>
      <c r="J30" s="37" t="n">
        <f aca="false">INDEX(Monthly!$C$96:$BJ$96,($R$2-1)*12+3)</f>
        <v>-78080.977367098</v>
      </c>
      <c r="K30" s="37" t="n">
        <f aca="false">INDEX(Monthly!$C$96:$BJ$96,($R$2-1)*12+4)</f>
        <v>-70827.3689705868</v>
      </c>
      <c r="L30" s="37" t="n">
        <f aca="false">INDEX(Monthly!$C$96:$BJ$96,($R$2-1)*12+5)</f>
        <v>-63528.8683473374</v>
      </c>
      <c r="M30" s="37" t="n">
        <f aca="false">INDEX(Monthly!$C$96:$BJ$96,($R$2-1)*12+6)</f>
        <v>-56107.7584114402</v>
      </c>
      <c r="N30" s="37" t="n">
        <f aca="false">INDEX(Monthly!$C$96:$BJ$96,($R$2-1)*12+7)</f>
        <v>-48568.9435354011</v>
      </c>
      <c r="O30" s="37" t="n">
        <f aca="false">INDEX(Monthly!$C$96:$BJ$96,($R$2-1)*12+8)</f>
        <v>-40917.1319168258</v>
      </c>
      <c r="P30" s="37" t="n">
        <f aca="false">INDEX(Monthly!$C$96:$BJ$96,($R$2-1)*12+9)</f>
        <v>-33156.8434254157</v>
      </c>
      <c r="Q30" s="37" t="n">
        <f aca="false">INDEX(Monthly!$C$96:$BJ$96,($R$2-1)*12+10)</f>
        <v>-25292.4171360843</v>
      </c>
      <c r="R30" s="37" t="n">
        <f aca="false">INDEX(Monthly!$C$96:$BJ$96,($R$2-1)*12+11)</f>
        <v>-22849.8939414224</v>
      </c>
      <c r="S30" s="37" t="n">
        <f aca="false">INDEX(Monthly!$C$96:$BJ$96,($R$2-1)*12+12)</f>
        <v>-36978.9176271636</v>
      </c>
    </row>
    <row r="31" customFormat="false" ht="15" hidden="false" customHeight="false" outlineLevel="0" collapsed="false">
      <c r="A31" s="40" t="s">
        <v>87</v>
      </c>
      <c r="B31" s="41" t="n">
        <f aca="false">'Cash Flow'!B18</f>
        <v>355442.207546519</v>
      </c>
      <c r="C31" s="41" t="n">
        <f aca="false">'Cash Flow'!C18</f>
        <v>189920.661079184</v>
      </c>
      <c r="D31" s="41" t="n">
        <f aca="false">'Cash Flow'!D18</f>
        <v>262436.516461964</v>
      </c>
      <c r="E31" s="41" t="n">
        <f aca="false">'Cash Flow'!E18</f>
        <v>508577.640304047</v>
      </c>
      <c r="F31" s="41" t="n">
        <f aca="false">'Cash Flow'!F18</f>
        <v>888042.923420652</v>
      </c>
      <c r="H31" s="41" t="n">
        <f aca="false">INDEX(Monthly!$C$98:$BJ$98,($R$2-1)*12+1)</f>
        <v>925195.8369694</v>
      </c>
      <c r="I31" s="41" t="n">
        <f aca="false">INDEX(Monthly!$C$98:$BJ$98,($R$2-1)*12+2)</f>
        <v>831751.328225294</v>
      </c>
      <c r="J31" s="41" t="n">
        <f aca="false">INDEX(Monthly!$C$98:$BJ$98,($R$2-1)*12+3)</f>
        <v>753670.350858196</v>
      </c>
      <c r="K31" s="41" t="n">
        <f aca="false">INDEX(Monthly!$C$98:$BJ$98,($R$2-1)*12+4)</f>
        <v>682842.981887609</v>
      </c>
      <c r="L31" s="41" t="n">
        <f aca="false">INDEX(Monthly!$C$98:$BJ$98,($R$2-1)*12+5)</f>
        <v>619314.113540272</v>
      </c>
      <c r="M31" s="41" t="n">
        <f aca="false">INDEX(Monthly!$C$98:$BJ$98,($R$2-1)*12+6)</f>
        <v>563206.355128832</v>
      </c>
      <c r="N31" s="41" t="n">
        <f aca="false">INDEX(Monthly!$C$98:$BJ$98,($R$2-1)*12+7)</f>
        <v>514637.411593431</v>
      </c>
      <c r="O31" s="41" t="n">
        <f aca="false">INDEX(Monthly!$C$98:$BJ$98,($R$2-1)*12+8)</f>
        <v>473720.279676605</v>
      </c>
      <c r="P31" s="41" t="n">
        <f aca="false">INDEX(Monthly!$C$98:$BJ$98,($R$2-1)*12+9)</f>
        <v>440563.436251189</v>
      </c>
      <c r="Q31" s="41" t="n">
        <f aca="false">INDEX(Monthly!$C$98:$BJ$98,($R$2-1)*12+10)</f>
        <v>415271.019115105</v>
      </c>
      <c r="R31" s="41" t="n">
        <f aca="false">INDEX(Monthly!$C$98:$BJ$98,($R$2-1)*12+11)</f>
        <v>392421.125173683</v>
      </c>
      <c r="S31" s="41" t="n">
        <f aca="false">INDEX(Monthly!$C$98:$BJ$98,($R$2-1)*12+12)</f>
        <v>355442.207546519</v>
      </c>
    </row>
    <row r="39" customFormat="false" ht="15.75" hidden="false" customHeight="true" outlineLevel="0" collapsed="false">
      <c r="A39" s="7" t="s">
        <v>88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4" t="n">
        <v>4</v>
      </c>
      <c r="F40" s="34" t="n">
        <v>5</v>
      </c>
      <c r="H40" s="50" t="n">
        <f aca="false">INDEX(Monthly!$C$4:$BJ$4,($R$2-1)*12+1)</f>
        <v>1</v>
      </c>
      <c r="I40" s="50" t="n">
        <f aca="false">INDEX(Monthly!$C$4:$BJ$4,($R$2-1)*12+2)</f>
        <v>2</v>
      </c>
      <c r="J40" s="50" t="n">
        <f aca="false">INDEX(Monthly!$C$4:$BJ$4,($R$2-1)*12+3)</f>
        <v>3</v>
      </c>
      <c r="K40" s="50" t="n">
        <f aca="false">INDEX(Monthly!$C$4:$BJ$4,($R$2-1)*12+4)</f>
        <v>4</v>
      </c>
      <c r="L40" s="50" t="n">
        <f aca="false">INDEX(Monthly!$C$4:$BJ$4,($R$2-1)*12+5)</f>
        <v>5</v>
      </c>
      <c r="M40" s="50" t="n">
        <f aca="false">INDEX(Monthly!$C$4:$BJ$4,($R$2-1)*12+6)</f>
        <v>6</v>
      </c>
      <c r="N40" s="50" t="n">
        <f aca="false">INDEX(Monthly!$C$4:$BJ$4,($R$2-1)*12+7)</f>
        <v>7</v>
      </c>
      <c r="O40" s="50" t="n">
        <f aca="false">INDEX(Monthly!$C$4:$BJ$4,($R$2-1)*12+8)</f>
        <v>8</v>
      </c>
      <c r="P40" s="50" t="n">
        <f aca="false">INDEX(Monthly!$C$4:$BJ$4,($R$2-1)*12+9)</f>
        <v>9</v>
      </c>
      <c r="Q40" s="50" t="n">
        <f aca="false">INDEX(Monthly!$C$4:$BJ$4,($R$2-1)*12+10)</f>
        <v>10</v>
      </c>
      <c r="R40" s="50" t="n">
        <f aca="false">INDEX(Monthly!$C$4:$BJ$4,($R$2-1)*12+11)</f>
        <v>11</v>
      </c>
      <c r="S40" s="50" t="n">
        <f aca="false">INDEX(Monthly!$C$4:$BJ$4,($R$2-1)*12+12)</f>
        <v>12</v>
      </c>
    </row>
    <row r="41" customFormat="false" ht="15" hidden="false" customHeight="false" outlineLevel="0" collapsed="false">
      <c r="A41" s="51" t="s">
        <v>89</v>
      </c>
      <c r="B41" s="35" t="n">
        <f aca="false">'Balance Sheet'!B5</f>
        <v>355442.207546519</v>
      </c>
      <c r="C41" s="35" t="n">
        <f aca="false">'Balance Sheet'!C5</f>
        <v>189920.661079184</v>
      </c>
      <c r="D41" s="35" t="n">
        <f aca="false">'Balance Sheet'!D5</f>
        <v>262436.516461964</v>
      </c>
      <c r="E41" s="35" t="n">
        <f aca="false">'Balance Sheet'!E5</f>
        <v>508577.640304047</v>
      </c>
      <c r="F41" s="35" t="n">
        <f aca="false">'Balance Sheet'!F5</f>
        <v>888042.923420652</v>
      </c>
      <c r="H41" s="35" t="n">
        <f aca="false">INDEX(Monthly!$C$98:$BJ$98,($R$2-1)*12+1)</f>
        <v>925195.8369694</v>
      </c>
      <c r="I41" s="35" t="n">
        <f aca="false">INDEX(Monthly!$C$98:$BJ$98,($R$2-1)*12+2)</f>
        <v>831751.328225294</v>
      </c>
      <c r="J41" s="35" t="n">
        <f aca="false">INDEX(Monthly!$C$98:$BJ$98,($R$2-1)*12+3)</f>
        <v>753670.350858196</v>
      </c>
      <c r="K41" s="35" t="n">
        <f aca="false">INDEX(Monthly!$C$98:$BJ$98,($R$2-1)*12+4)</f>
        <v>682842.981887609</v>
      </c>
      <c r="L41" s="35" t="n">
        <f aca="false">INDEX(Monthly!$C$98:$BJ$98,($R$2-1)*12+5)</f>
        <v>619314.113540272</v>
      </c>
      <c r="M41" s="35" t="n">
        <f aca="false">INDEX(Monthly!$C$98:$BJ$98,($R$2-1)*12+6)</f>
        <v>563206.355128832</v>
      </c>
      <c r="N41" s="35" t="n">
        <f aca="false">INDEX(Monthly!$C$98:$BJ$98,($R$2-1)*12+7)</f>
        <v>514637.411593431</v>
      </c>
      <c r="O41" s="35" t="n">
        <f aca="false">INDEX(Monthly!$C$98:$BJ$98,($R$2-1)*12+8)</f>
        <v>473720.279676605</v>
      </c>
      <c r="P41" s="35" t="n">
        <f aca="false">INDEX(Monthly!$C$98:$BJ$98,($R$2-1)*12+9)</f>
        <v>440563.436251189</v>
      </c>
      <c r="Q41" s="35" t="n">
        <f aca="false">INDEX(Monthly!$C$98:$BJ$98,($R$2-1)*12+10)</f>
        <v>415271.019115105</v>
      </c>
      <c r="R41" s="35" t="n">
        <f aca="false">INDEX(Monthly!$C$98:$BJ$98,($R$2-1)*12+11)</f>
        <v>392421.125173683</v>
      </c>
      <c r="S41" s="35" t="n">
        <f aca="false">INDEX(Monthly!$C$98:$BJ$98,($R$2-1)*12+12)</f>
        <v>355442.207546519</v>
      </c>
    </row>
    <row r="42" customFormat="false" ht="15" hidden="false" customHeight="false" outlineLevel="0" collapsed="false">
      <c r="A42" s="51" t="s">
        <v>90</v>
      </c>
      <c r="B42" s="35" t="n">
        <f aca="false">'Balance Sheet'!B6</f>
        <v>7915.98187505677</v>
      </c>
      <c r="C42" s="35" t="n">
        <f aca="false">'Balance Sheet'!C6</f>
        <v>9704.5001468268</v>
      </c>
      <c r="D42" s="35" t="n">
        <f aca="false">'Balance Sheet'!D6</f>
        <v>10979.0083873678</v>
      </c>
      <c r="E42" s="35" t="n">
        <f aca="false">'Balance Sheet'!E6</f>
        <v>11939.7876657886</v>
      </c>
      <c r="F42" s="35" t="n">
        <f aca="false">'Balance Sheet'!F6</f>
        <v>12712.4671462142</v>
      </c>
      <c r="H42" s="35" t="n">
        <f aca="false">INDEX(Monthly!$C$84:$BJ$84,($R$2-1)*12+1)</f>
        <v>3196.22386666667</v>
      </c>
      <c r="I42" s="35" t="n">
        <f aca="false">INDEX(Monthly!$C$84:$BJ$84,($R$2-1)*12+2)</f>
        <v>3629.92906014815</v>
      </c>
      <c r="J42" s="35" t="n">
        <f aca="false">INDEX(Monthly!$C$84:$BJ$84,($R$2-1)*12+3)</f>
        <v>4851.56011996444</v>
      </c>
      <c r="K42" s="35" t="n">
        <f aca="false">INDEX(Monthly!$C$84:$BJ$84,($R$2-1)*12+4)</f>
        <v>5403.45992257327</v>
      </c>
      <c r="L42" s="35" t="n">
        <f aca="false">INDEX(Monthly!$C$84:$BJ$84,($R$2-1)*12+5)</f>
        <v>5966.01842937405</v>
      </c>
      <c r="M42" s="35" t="n">
        <f aca="false">INDEX(Monthly!$C$84:$BJ$84,($R$2-1)*12+6)</f>
        <v>6538.80929219909</v>
      </c>
      <c r="N42" s="35" t="n">
        <f aca="false">INDEX(Monthly!$C$84:$BJ$84,($R$2-1)*12+7)</f>
        <v>7121.42321680742</v>
      </c>
      <c r="O42" s="35" t="n">
        <f aca="false">INDEX(Monthly!$C$84:$BJ$84,($R$2-1)*12+8)</f>
        <v>7713.46728072771</v>
      </c>
      <c r="P42" s="35" t="n">
        <f aca="false">INDEX(Monthly!$C$84:$BJ$84,($R$2-1)*12+9)</f>
        <v>8314.5642783875</v>
      </c>
      <c r="Q42" s="35" t="n">
        <f aca="false">INDEX(Monthly!$C$84:$BJ$84,($R$2-1)*12+10)</f>
        <v>8924.35209243718</v>
      </c>
      <c r="R42" s="35" t="n">
        <f aca="false">INDEX(Monthly!$C$84:$BJ$84,($R$2-1)*12+11)</f>
        <v>9103.03667540636</v>
      </c>
      <c r="S42" s="35" t="n">
        <f aca="false">INDEX(Monthly!$C$84:$BJ$84,($R$2-1)*12+12)</f>
        <v>7915.98187505677</v>
      </c>
    </row>
    <row r="43" customFormat="false" ht="15" hidden="false" customHeight="false" outlineLevel="0" collapsed="false">
      <c r="A43" s="51" t="s">
        <v>91</v>
      </c>
      <c r="B43" s="35" t="n">
        <f aca="false">'Balance Sheet'!B7</f>
        <v>8885.78253780614</v>
      </c>
      <c r="C43" s="35" t="n">
        <f aca="false">'Balance Sheet'!C7</f>
        <v>11211.9275518532</v>
      </c>
      <c r="D43" s="35" t="n">
        <f aca="false">'Balance Sheet'!D7</f>
        <v>12914.3553887009</v>
      </c>
      <c r="E43" s="35" t="n">
        <f aca="false">'Balance Sheet'!E7</f>
        <v>14236.9273180993</v>
      </c>
      <c r="F43" s="35" t="n">
        <f aca="false">'Balance Sheet'!F7</f>
        <v>15334.1441777025</v>
      </c>
      <c r="H43" s="35" t="n">
        <f aca="false">INDEX(Monthly!$C$85:$BJ$85,($R$2-1)*12+1)</f>
        <v>3535.97287295</v>
      </c>
      <c r="I43" s="35" t="n">
        <f aca="false">INDEX(Monthly!$C$85:$BJ$85,($R$2-1)*12+2)</f>
        <v>4015.72440315978</v>
      </c>
      <c r="J43" s="35" t="n">
        <f aca="false">INDEX(Monthly!$C$85:$BJ$85,($R$2-1)*12+3)</f>
        <v>5538.41762848136</v>
      </c>
      <c r="K43" s="35" t="n">
        <f aca="false">INDEX(Monthly!$C$85:$BJ$85,($R$2-1)*12+4)</f>
        <v>6180.84844069211</v>
      </c>
      <c r="L43" s="35" t="n">
        <f aca="false">INDEX(Monthly!$C$85:$BJ$85,($R$2-1)*12+5)</f>
        <v>6839.35924051442</v>
      </c>
      <c r="M43" s="35" t="n">
        <f aca="false">INDEX(Monthly!$C$85:$BJ$85,($R$2-1)*12+6)</f>
        <v>7513.30682844384</v>
      </c>
      <c r="N43" s="35" t="n">
        <f aca="false">INDEX(Monthly!$C$85:$BJ$85,($R$2-1)*12+7)</f>
        <v>8202.07373295609</v>
      </c>
      <c r="O43" s="35" t="n">
        <f aca="false">INDEX(Monthly!$C$85:$BJ$85,($R$2-1)*12+8)</f>
        <v>8905.06718138785</v>
      </c>
      <c r="P43" s="35" t="n">
        <f aca="false">INDEX(Monthly!$C$85:$BJ$85,($R$2-1)*12+9)</f>
        <v>9621.71811198233</v>
      </c>
      <c r="Q43" s="35" t="n">
        <f aca="false">INDEX(Monthly!$C$85:$BJ$85,($R$2-1)*12+10)</f>
        <v>10351.480225453</v>
      </c>
      <c r="R43" s="35" t="n">
        <f aca="false">INDEX(Monthly!$C$85:$BJ$85,($R$2-1)*12+11)</f>
        <v>10621.0482544349</v>
      </c>
      <c r="S43" s="35" t="n">
        <f aca="false">INDEX(Monthly!$C$85:$BJ$85,($R$2-1)*12+12)</f>
        <v>8885.78253780614</v>
      </c>
    </row>
    <row r="44" customFormat="false" ht="15" hidden="false" customHeight="false" outlineLevel="0" collapsed="false">
      <c r="A44" s="51" t="s">
        <v>92</v>
      </c>
      <c r="B44" s="35" t="n">
        <f aca="false">'Balance Sheet'!B8</f>
        <v>3758333.33333333</v>
      </c>
      <c r="C44" s="35" t="n">
        <f aca="false">'Balance Sheet'!C8</f>
        <v>3453333.33333333</v>
      </c>
      <c r="D44" s="35" t="n">
        <f aca="false">'Balance Sheet'!D8</f>
        <v>3145000</v>
      </c>
      <c r="E44" s="35" t="n">
        <f aca="false">'Balance Sheet'!E8</f>
        <v>2833333.33333333</v>
      </c>
      <c r="F44" s="35" t="n">
        <f aca="false">'Balance Sheet'!F8</f>
        <v>2518333.33333334</v>
      </c>
      <c r="H44" s="35" t="n">
        <f aca="false">INDEX(Monthly!$C$75:$BJ$75,($R$2-1)*12+1)</f>
        <v>4071527.77777778</v>
      </c>
      <c r="I44" s="35" t="n">
        <f aca="false">INDEX(Monthly!$C$75:$BJ$75,($R$2-1)*12+2)</f>
        <v>4043055.55555556</v>
      </c>
      <c r="J44" s="35" t="n">
        <f aca="false">INDEX(Monthly!$C$75:$BJ$75,($R$2-1)*12+3)</f>
        <v>4014583.33333333</v>
      </c>
      <c r="K44" s="35" t="n">
        <f aca="false">INDEX(Monthly!$C$75:$BJ$75,($R$2-1)*12+4)</f>
        <v>3986111.11111111</v>
      </c>
      <c r="L44" s="35" t="n">
        <f aca="false">INDEX(Monthly!$C$75:$BJ$75,($R$2-1)*12+5)</f>
        <v>3957638.88888889</v>
      </c>
      <c r="M44" s="35" t="n">
        <f aca="false">INDEX(Monthly!$C$75:$BJ$75,($R$2-1)*12+6)</f>
        <v>3929166.66666667</v>
      </c>
      <c r="N44" s="35" t="n">
        <f aca="false">INDEX(Monthly!$C$75:$BJ$75,($R$2-1)*12+7)</f>
        <v>3900694.44444444</v>
      </c>
      <c r="O44" s="35" t="n">
        <f aca="false">INDEX(Monthly!$C$75:$BJ$75,($R$2-1)*12+8)</f>
        <v>3872222.22222222</v>
      </c>
      <c r="P44" s="35" t="n">
        <f aca="false">INDEX(Monthly!$C$75:$BJ$75,($R$2-1)*12+9)</f>
        <v>3843750</v>
      </c>
      <c r="Q44" s="35" t="n">
        <f aca="false">INDEX(Monthly!$C$75:$BJ$75,($R$2-1)*12+10)</f>
        <v>3815277.77777778</v>
      </c>
      <c r="R44" s="35" t="n">
        <f aca="false">INDEX(Monthly!$C$75:$BJ$75,($R$2-1)*12+11)</f>
        <v>3786805.55555556</v>
      </c>
      <c r="S44" s="35" t="n">
        <f aca="false">INDEX(Monthly!$C$75:$BJ$75,($R$2-1)*12+12)</f>
        <v>3758333.33333333</v>
      </c>
    </row>
    <row r="45" customFormat="false" ht="15" hidden="false" customHeight="false" outlineLevel="0" collapsed="false">
      <c r="A45" s="36" t="s">
        <v>93</v>
      </c>
      <c r="B45" s="37" t="n">
        <f aca="false">'Balance Sheet'!B9</f>
        <v>4130577.30529272</v>
      </c>
      <c r="C45" s="37" t="n">
        <f aca="false">'Balance Sheet'!C9</f>
        <v>3664170.4221112</v>
      </c>
      <c r="D45" s="37" t="n">
        <f aca="false">'Balance Sheet'!D9</f>
        <v>3431329.88023803</v>
      </c>
      <c r="E45" s="37" t="n">
        <f aca="false">'Balance Sheet'!E9</f>
        <v>3368087.68862127</v>
      </c>
      <c r="F45" s="37" t="n">
        <f aca="false">'Balance Sheet'!F9</f>
        <v>3434422.8680779</v>
      </c>
      <c r="H45" s="37" t="n">
        <f aca="false">INDEX(Monthly!$C$112:$BJ$112,($R$2-1)*12+1)</f>
        <v>5003455.8114868</v>
      </c>
      <c r="I45" s="37" t="n">
        <f aca="false">INDEX(Monthly!$C$112:$BJ$112,($R$2-1)*12+2)</f>
        <v>4882452.53724416</v>
      </c>
      <c r="J45" s="37" t="n">
        <f aca="false">INDEX(Monthly!$C$112:$BJ$112,($R$2-1)*12+3)</f>
        <v>4778643.66193998</v>
      </c>
      <c r="K45" s="37" t="n">
        <f aca="false">INDEX(Monthly!$C$112:$BJ$112,($R$2-1)*12+4)</f>
        <v>4680538.40136199</v>
      </c>
      <c r="L45" s="37" t="n">
        <f aca="false">INDEX(Monthly!$C$112:$BJ$112,($R$2-1)*12+5)</f>
        <v>4589758.38009905</v>
      </c>
      <c r="M45" s="37" t="n">
        <f aca="false">INDEX(Monthly!$C$112:$BJ$112,($R$2-1)*12+6)</f>
        <v>4506425.13791614</v>
      </c>
      <c r="N45" s="37" t="n">
        <f aca="false">INDEX(Monthly!$C$112:$BJ$112,($R$2-1)*12+7)</f>
        <v>4430655.35298764</v>
      </c>
      <c r="O45" s="37" t="n">
        <f aca="false">INDEX(Monthly!$C$112:$BJ$112,($R$2-1)*12+8)</f>
        <v>4362561.03636094</v>
      </c>
      <c r="P45" s="37" t="n">
        <f aca="false">INDEX(Monthly!$C$112:$BJ$112,($R$2-1)*12+9)</f>
        <v>4302249.71864156</v>
      </c>
      <c r="Q45" s="37" t="n">
        <f aca="false">INDEX(Monthly!$C$112:$BJ$112,($R$2-1)*12+10)</f>
        <v>4249824.62921077</v>
      </c>
      <c r="R45" s="37" t="n">
        <f aca="false">INDEX(Monthly!$C$112:$BJ$112,($R$2-1)*12+11)</f>
        <v>4198950.76565908</v>
      </c>
      <c r="S45" s="37" t="n">
        <f aca="false">INDEX(Monthly!$C$112:$BJ$112,($R$2-1)*12+12)</f>
        <v>4130577.30529272</v>
      </c>
    </row>
    <row r="46" customFormat="false" ht="15" hidden="false" customHeight="false" outlineLevel="0" collapsed="false">
      <c r="A46" s="51" t="s">
        <v>94</v>
      </c>
      <c r="B46" s="35" t="n">
        <f aca="false">'Balance Sheet'!B10</f>
        <v>14809.6375630102</v>
      </c>
      <c r="C46" s="35" t="n">
        <f aca="false">'Balance Sheet'!C10</f>
        <v>18686.5459197554</v>
      </c>
      <c r="D46" s="35" t="n">
        <f aca="false">'Balance Sheet'!D10</f>
        <v>21523.9256478349</v>
      </c>
      <c r="E46" s="35" t="n">
        <f aca="false">'Balance Sheet'!E10</f>
        <v>23728.2121968321</v>
      </c>
      <c r="F46" s="35" t="n">
        <f aca="false">'Balance Sheet'!F10</f>
        <v>25556.9069628375</v>
      </c>
      <c r="H46" s="35" t="n">
        <f aca="false">INDEX(Monthly!$C$86:$BJ$86,($R$2-1)*12+1)</f>
        <v>5893.28812158333</v>
      </c>
      <c r="I46" s="35" t="n">
        <f aca="false">INDEX(Monthly!$C$86:$BJ$86,($R$2-1)*12+2)</f>
        <v>6692.8740052663</v>
      </c>
      <c r="J46" s="35" t="n">
        <f aca="false">INDEX(Monthly!$C$86:$BJ$86,($R$2-1)*12+3)</f>
        <v>9230.69604746893</v>
      </c>
      <c r="K46" s="35" t="n">
        <f aca="false">INDEX(Monthly!$C$86:$BJ$86,($R$2-1)*12+4)</f>
        <v>10301.4140678202</v>
      </c>
      <c r="L46" s="35" t="n">
        <f aca="false">INDEX(Monthly!$C$86:$BJ$86,($R$2-1)*12+5)</f>
        <v>11398.932067524</v>
      </c>
      <c r="M46" s="35" t="n">
        <f aca="false">INDEX(Monthly!$C$86:$BJ$86,($R$2-1)*12+6)</f>
        <v>12522.1780474064</v>
      </c>
      <c r="N46" s="35" t="n">
        <f aca="false">INDEX(Monthly!$C$86:$BJ$86,($R$2-1)*12+7)</f>
        <v>13670.1228882601</v>
      </c>
      <c r="O46" s="35" t="n">
        <f aca="false">INDEX(Monthly!$C$86:$BJ$86,($R$2-1)*12+8)</f>
        <v>14841.7786356464</v>
      </c>
      <c r="P46" s="35" t="n">
        <f aca="false">INDEX(Monthly!$C$86:$BJ$86,($R$2-1)*12+9)</f>
        <v>16036.1968533039</v>
      </c>
      <c r="Q46" s="35" t="n">
        <f aca="false">INDEX(Monthly!$C$86:$BJ$86,($R$2-1)*12+10)</f>
        <v>17252.4670424217</v>
      </c>
      <c r="R46" s="35" t="n">
        <f aca="false">INDEX(Monthly!$C$86:$BJ$86,($R$2-1)*12+11)</f>
        <v>17701.7470907249</v>
      </c>
      <c r="S46" s="35" t="n">
        <f aca="false">INDEX(Monthly!$C$86:$BJ$86,($R$2-1)*12+12)</f>
        <v>14809.6375630102</v>
      </c>
    </row>
    <row r="47" customFormat="false" ht="15" hidden="false" customHeight="false" outlineLevel="0" collapsed="false">
      <c r="A47" s="51" t="s">
        <v>95</v>
      </c>
      <c r="B47" s="35" t="n">
        <f aca="false">'Balance Sheet'!B11</f>
        <v>2725000</v>
      </c>
      <c r="C47" s="35" t="n">
        <f aca="false">'Balance Sheet'!C11</f>
        <v>2425000</v>
      </c>
      <c r="D47" s="35" t="n">
        <f aca="false">'Balance Sheet'!D11</f>
        <v>2125000</v>
      </c>
      <c r="E47" s="35" t="n">
        <f aca="false">'Balance Sheet'!E11</f>
        <v>1825000</v>
      </c>
      <c r="F47" s="35" t="n">
        <f aca="false">'Balance Sheet'!F11</f>
        <v>1525000</v>
      </c>
      <c r="H47" s="35" t="n">
        <f aca="false">INDEX(Monthly!$C$81:$BJ$81,($R$2-1)*12+1)</f>
        <v>3000000</v>
      </c>
      <c r="I47" s="35" t="n">
        <f aca="false">INDEX(Monthly!$C$81:$BJ$81,($R$2-1)*12+2)</f>
        <v>2975000</v>
      </c>
      <c r="J47" s="35" t="n">
        <f aca="false">INDEX(Monthly!$C$81:$BJ$81,($R$2-1)*12+3)</f>
        <v>2950000</v>
      </c>
      <c r="K47" s="35" t="n">
        <f aca="false">INDEX(Monthly!$C$81:$BJ$81,($R$2-1)*12+4)</f>
        <v>2925000</v>
      </c>
      <c r="L47" s="35" t="n">
        <f aca="false">INDEX(Monthly!$C$81:$BJ$81,($R$2-1)*12+5)</f>
        <v>2900000</v>
      </c>
      <c r="M47" s="35" t="n">
        <f aca="false">INDEX(Monthly!$C$81:$BJ$81,($R$2-1)*12+6)</f>
        <v>2875000</v>
      </c>
      <c r="N47" s="35" t="n">
        <f aca="false">INDEX(Monthly!$C$81:$BJ$81,($R$2-1)*12+7)</f>
        <v>2850000</v>
      </c>
      <c r="O47" s="35" t="n">
        <f aca="false">INDEX(Monthly!$C$81:$BJ$81,($R$2-1)*12+8)</f>
        <v>2825000</v>
      </c>
      <c r="P47" s="35" t="n">
        <f aca="false">INDEX(Monthly!$C$81:$BJ$81,($R$2-1)*12+9)</f>
        <v>2800000</v>
      </c>
      <c r="Q47" s="35" t="n">
        <f aca="false">INDEX(Monthly!$C$81:$BJ$81,($R$2-1)*12+10)</f>
        <v>2775000</v>
      </c>
      <c r="R47" s="35" t="n">
        <f aca="false">INDEX(Monthly!$C$81:$BJ$81,($R$2-1)*12+11)</f>
        <v>2750000</v>
      </c>
      <c r="S47" s="35" t="n">
        <f aca="false">INDEX(Monthly!$C$81:$BJ$81,($R$2-1)*12+12)</f>
        <v>2725000</v>
      </c>
    </row>
    <row r="48" customFormat="false" ht="15" hidden="false" customHeight="false" outlineLevel="0" collapsed="false">
      <c r="A48" s="36" t="s">
        <v>96</v>
      </c>
      <c r="B48" s="37" t="n">
        <f aca="false">'Balance Sheet'!B12</f>
        <v>2739809.63756301</v>
      </c>
      <c r="C48" s="37" t="n">
        <f aca="false">'Balance Sheet'!C12</f>
        <v>2443686.54591976</v>
      </c>
      <c r="D48" s="37" t="n">
        <f aca="false">'Balance Sheet'!D12</f>
        <v>2146523.92564784</v>
      </c>
      <c r="E48" s="37" t="n">
        <f aca="false">'Balance Sheet'!E12</f>
        <v>1848728.21219683</v>
      </c>
      <c r="F48" s="37" t="n">
        <f aca="false">'Balance Sheet'!F12</f>
        <v>1550556.90696284</v>
      </c>
      <c r="H48" s="37" t="n">
        <f aca="false">INDEX(Monthly!$C$113:$BJ$113,($R$2-1)*12+1)</f>
        <v>3005893.28812158</v>
      </c>
      <c r="I48" s="37" t="n">
        <f aca="false">INDEX(Monthly!$C$113:$BJ$113,($R$2-1)*12+2)</f>
        <v>2981692.87400527</v>
      </c>
      <c r="J48" s="37" t="n">
        <f aca="false">INDEX(Monthly!$C$113:$BJ$113,($R$2-1)*12+3)</f>
        <v>2959230.69604747</v>
      </c>
      <c r="K48" s="37" t="n">
        <f aca="false">INDEX(Monthly!$C$113:$BJ$113,($R$2-1)*12+4)</f>
        <v>2935301.41406782</v>
      </c>
      <c r="L48" s="37" t="n">
        <f aca="false">INDEX(Monthly!$C$113:$BJ$113,($R$2-1)*12+5)</f>
        <v>2911398.93206752</v>
      </c>
      <c r="M48" s="37" t="n">
        <f aca="false">INDEX(Monthly!$C$113:$BJ$113,($R$2-1)*12+6)</f>
        <v>2887522.17804741</v>
      </c>
      <c r="N48" s="37" t="n">
        <f aca="false">INDEX(Monthly!$C$113:$BJ$113,($R$2-1)*12+7)</f>
        <v>2863670.12288826</v>
      </c>
      <c r="O48" s="37" t="n">
        <f aca="false">INDEX(Monthly!$C$113:$BJ$113,($R$2-1)*12+8)</f>
        <v>2839841.77863565</v>
      </c>
      <c r="P48" s="37" t="n">
        <f aca="false">INDEX(Monthly!$C$113:$BJ$113,($R$2-1)*12+9)</f>
        <v>2816036.1968533</v>
      </c>
      <c r="Q48" s="37" t="n">
        <f aca="false">INDEX(Monthly!$C$113:$BJ$113,($R$2-1)*12+10)</f>
        <v>2792252.46704242</v>
      </c>
      <c r="R48" s="37" t="n">
        <f aca="false">INDEX(Monthly!$C$113:$BJ$113,($R$2-1)*12+11)</f>
        <v>2767701.74709072</v>
      </c>
      <c r="S48" s="37" t="n">
        <f aca="false">INDEX(Monthly!$C$113:$BJ$113,($R$2-1)*12+12)</f>
        <v>2739809.63756301</v>
      </c>
    </row>
    <row r="49" customFormat="false" ht="15" hidden="false" customHeight="false" outlineLevel="0" collapsed="false">
      <c r="A49" s="51" t="s">
        <v>97</v>
      </c>
      <c r="B49" s="35" t="n">
        <f aca="false">'Balance Sheet'!B13</f>
        <v>2100000</v>
      </c>
      <c r="C49" s="35" t="n">
        <f aca="false">'Balance Sheet'!C13</f>
        <v>2100000</v>
      </c>
      <c r="D49" s="35" t="n">
        <f aca="false">'Balance Sheet'!D13</f>
        <v>2100000</v>
      </c>
      <c r="E49" s="35" t="n">
        <f aca="false">'Balance Sheet'!E13</f>
        <v>2100000</v>
      </c>
      <c r="F49" s="35" t="n">
        <f aca="false">'Balance Sheet'!F13</f>
        <v>2100000</v>
      </c>
      <c r="H49" s="35" t="n">
        <f aca="false">INDEX(Monthly!$C$110:$BJ$110,($R$2-1)*12+1)</f>
        <v>2100000</v>
      </c>
      <c r="I49" s="35" t="n">
        <f aca="false">INDEX(Monthly!$C$110:$BJ$110,($R$2-1)*12+2)</f>
        <v>2100000</v>
      </c>
      <c r="J49" s="35" t="n">
        <f aca="false">INDEX(Monthly!$C$110:$BJ$110,($R$2-1)*12+3)</f>
        <v>2100000</v>
      </c>
      <c r="K49" s="35" t="n">
        <f aca="false">INDEX(Monthly!$C$110:$BJ$110,($R$2-1)*12+4)</f>
        <v>2100000</v>
      </c>
      <c r="L49" s="35" t="n">
        <f aca="false">INDEX(Monthly!$C$110:$BJ$110,($R$2-1)*12+5)</f>
        <v>2100000</v>
      </c>
      <c r="M49" s="35" t="n">
        <f aca="false">INDEX(Monthly!$C$110:$BJ$110,($R$2-1)*12+6)</f>
        <v>2100000</v>
      </c>
      <c r="N49" s="35" t="n">
        <f aca="false">INDEX(Monthly!$C$110:$BJ$110,($R$2-1)*12+7)</f>
        <v>2100000</v>
      </c>
      <c r="O49" s="35" t="n">
        <f aca="false">INDEX(Monthly!$C$110:$BJ$110,($R$2-1)*12+8)</f>
        <v>2100000</v>
      </c>
      <c r="P49" s="35" t="n">
        <f aca="false">INDEX(Monthly!$C$110:$BJ$110,($R$2-1)*12+9)</f>
        <v>2100000</v>
      </c>
      <c r="Q49" s="35" t="n">
        <f aca="false">INDEX(Monthly!$C$110:$BJ$110,($R$2-1)*12+10)</f>
        <v>2100000</v>
      </c>
      <c r="R49" s="35" t="n">
        <f aca="false">INDEX(Monthly!$C$110:$BJ$110,($R$2-1)*12+11)</f>
        <v>2100000</v>
      </c>
      <c r="S49" s="35" t="n">
        <f aca="false">INDEX(Monthly!$C$110:$BJ$110,($R$2-1)*12+12)</f>
        <v>2100000</v>
      </c>
    </row>
    <row r="50" customFormat="false" ht="15" hidden="false" customHeight="false" outlineLevel="0" collapsed="false">
      <c r="A50" s="51" t="s">
        <v>98</v>
      </c>
      <c r="B50" s="35" t="n">
        <f aca="false">'Balance Sheet'!B14</f>
        <v>-709232.332270295</v>
      </c>
      <c r="C50" s="35" t="n">
        <f aca="false">'Balance Sheet'!C14</f>
        <v>-879516.123808558</v>
      </c>
      <c r="D50" s="35" t="n">
        <f aca="false">'Balance Sheet'!D14</f>
        <v>-815194.045409802</v>
      </c>
      <c r="E50" s="35" t="n">
        <f aca="false">'Balance Sheet'!E14</f>
        <v>-580640.523575564</v>
      </c>
      <c r="F50" s="35" t="n">
        <f aca="false">'Balance Sheet'!F14</f>
        <v>-216134.038884935</v>
      </c>
      <c r="H50" s="35" t="n">
        <f aca="false">INDEX(Monthly!$C$111:$BJ$111,($R$2-1)*12+1)</f>
        <v>-102437.476634789</v>
      </c>
      <c r="I50" s="35" t="n">
        <f aca="false">INDEX(Monthly!$C$111:$BJ$111,($R$2-1)*12+2)</f>
        <v>-199240.336761108</v>
      </c>
      <c r="J50" s="35" t="n">
        <f aca="false">INDEX(Monthly!$C$111:$BJ$111,($R$2-1)*12+3)</f>
        <v>-280587.034107493</v>
      </c>
      <c r="K50" s="35" t="n">
        <f aca="false">INDEX(Monthly!$C$111:$BJ$111,($R$2-1)*12+4)</f>
        <v>-354763.012705834</v>
      </c>
      <c r="L50" s="35" t="n">
        <f aca="false">INDEX(Monthly!$C$111:$BJ$111,($R$2-1)*12+5)</f>
        <v>-421640.551968474</v>
      </c>
      <c r="M50" s="35" t="n">
        <f aca="false">INDEX(Monthly!$C$111:$BJ$111,($R$2-1)*12+6)</f>
        <v>-481097.040131265</v>
      </c>
      <c r="N50" s="35" t="n">
        <f aca="false">INDEX(Monthly!$C$111:$BJ$111,($R$2-1)*12+7)</f>
        <v>-533014.769900621</v>
      </c>
      <c r="O50" s="35" t="n">
        <f aca="false">INDEX(Monthly!$C$111:$BJ$111,($R$2-1)*12+8)</f>
        <v>-577280.742274703</v>
      </c>
      <c r="P50" s="35" t="n">
        <f aca="false">INDEX(Monthly!$C$111:$BJ$111,($R$2-1)*12+9)</f>
        <v>-613786.478211745</v>
      </c>
      <c r="Q50" s="35" t="n">
        <f aca="false">INDEX(Monthly!$C$111:$BJ$111,($R$2-1)*12+10)</f>
        <v>-642427.837831648</v>
      </c>
      <c r="R50" s="35" t="n">
        <f aca="false">INDEX(Monthly!$C$111:$BJ$111,($R$2-1)*12+11)</f>
        <v>-668750.981431645</v>
      </c>
      <c r="S50" s="35" t="n">
        <f aca="false">INDEX(Monthly!$C$111:$BJ$111,($R$2-1)*12+12)</f>
        <v>-709232.332270295</v>
      </c>
    </row>
    <row r="51" customFormat="false" ht="15" hidden="false" customHeight="false" outlineLevel="0" collapsed="false">
      <c r="A51" s="36" t="s">
        <v>99</v>
      </c>
      <c r="B51" s="37" t="n">
        <f aca="false">'Balance Sheet'!B15</f>
        <v>1390767.66772971</v>
      </c>
      <c r="C51" s="37" t="n">
        <f aca="false">'Balance Sheet'!C15</f>
        <v>1220483.87619144</v>
      </c>
      <c r="D51" s="37" t="n">
        <f aca="false">'Balance Sheet'!D15</f>
        <v>1284805.9545902</v>
      </c>
      <c r="E51" s="37" t="n">
        <f aca="false">'Balance Sheet'!E15</f>
        <v>1519359.47642444</v>
      </c>
      <c r="F51" s="37" t="n">
        <f aca="false">'Balance Sheet'!F15</f>
        <v>1883865.96111507</v>
      </c>
      <c r="H51" s="37" t="n">
        <f aca="false">INDEX(Monthly!$C$114:$BJ$114,($R$2-1)*12+1)</f>
        <v>1997562.52336521</v>
      </c>
      <c r="I51" s="37" t="n">
        <f aca="false">INDEX(Monthly!$C$114:$BJ$114,($R$2-1)*12+2)</f>
        <v>1900759.66323889</v>
      </c>
      <c r="J51" s="37" t="n">
        <f aca="false">INDEX(Monthly!$C$114:$BJ$114,($R$2-1)*12+3)</f>
        <v>1819412.96589251</v>
      </c>
      <c r="K51" s="37" t="n">
        <f aca="false">INDEX(Monthly!$C$114:$BJ$114,($R$2-1)*12+4)</f>
        <v>1745236.98729417</v>
      </c>
      <c r="L51" s="37" t="n">
        <f aca="false">INDEX(Monthly!$C$114:$BJ$114,($R$2-1)*12+5)</f>
        <v>1678359.44803153</v>
      </c>
      <c r="M51" s="37" t="n">
        <f aca="false">INDEX(Monthly!$C$114:$BJ$114,($R$2-1)*12+6)</f>
        <v>1618902.95986874</v>
      </c>
      <c r="N51" s="37" t="n">
        <f aca="false">INDEX(Monthly!$C$114:$BJ$114,($R$2-1)*12+7)</f>
        <v>1566985.23009938</v>
      </c>
      <c r="O51" s="37" t="n">
        <f aca="false">INDEX(Monthly!$C$114:$BJ$114,($R$2-1)*12+8)</f>
        <v>1522719.2577253</v>
      </c>
      <c r="P51" s="37" t="n">
        <f aca="false">INDEX(Monthly!$C$114:$BJ$114,($R$2-1)*12+9)</f>
        <v>1486213.52178826</v>
      </c>
      <c r="Q51" s="37" t="n">
        <f aca="false">INDEX(Monthly!$C$114:$BJ$114,($R$2-1)*12+10)</f>
        <v>1457572.16216835</v>
      </c>
      <c r="R51" s="37" t="n">
        <f aca="false">INDEX(Monthly!$C$114:$BJ$114,($R$2-1)*12+11)</f>
        <v>1431249.01856836</v>
      </c>
      <c r="S51" s="37" t="n">
        <f aca="false">INDEX(Monthly!$C$114:$BJ$114,($R$2-1)*12+12)</f>
        <v>1390767.66772971</v>
      </c>
    </row>
    <row r="52" customFormat="false" ht="15" hidden="false" customHeight="false" outlineLevel="0" collapsed="false">
      <c r="A52" s="40" t="s">
        <v>100</v>
      </c>
      <c r="B52" s="41" t="n">
        <f aca="false">'Balance Sheet'!B16</f>
        <v>4130577.30529272</v>
      </c>
      <c r="C52" s="41" t="n">
        <f aca="false">'Balance Sheet'!C16</f>
        <v>3664170.4221112</v>
      </c>
      <c r="D52" s="41" t="n">
        <f aca="false">'Balance Sheet'!D16</f>
        <v>3431329.88023803</v>
      </c>
      <c r="E52" s="41" t="n">
        <f aca="false">'Balance Sheet'!E16</f>
        <v>3368087.68862127</v>
      </c>
      <c r="F52" s="41" t="n">
        <f aca="false">'Balance Sheet'!F16</f>
        <v>3434422.8680779</v>
      </c>
      <c r="H52" s="41" t="n">
        <f aca="false">INDEX(Monthly!$C$115:$BJ$115,($R$2-1)*12+1)</f>
        <v>5003455.8114868</v>
      </c>
      <c r="I52" s="41" t="n">
        <f aca="false">INDEX(Monthly!$C$115:$BJ$115,($R$2-1)*12+2)</f>
        <v>4882452.53724416</v>
      </c>
      <c r="J52" s="41" t="n">
        <f aca="false">INDEX(Monthly!$C$115:$BJ$115,($R$2-1)*12+3)</f>
        <v>4778643.66193998</v>
      </c>
      <c r="K52" s="41" t="n">
        <f aca="false">INDEX(Monthly!$C$115:$BJ$115,($R$2-1)*12+4)</f>
        <v>4680538.40136199</v>
      </c>
      <c r="L52" s="41" t="n">
        <f aca="false">INDEX(Monthly!$C$115:$BJ$115,($R$2-1)*12+5)</f>
        <v>4589758.38009905</v>
      </c>
      <c r="M52" s="41" t="n">
        <f aca="false">INDEX(Monthly!$C$115:$BJ$115,($R$2-1)*12+6)</f>
        <v>4506425.13791614</v>
      </c>
      <c r="N52" s="41" t="n">
        <f aca="false">INDEX(Monthly!$C$115:$BJ$115,($R$2-1)*12+7)</f>
        <v>4430655.35298764</v>
      </c>
      <c r="O52" s="41" t="n">
        <f aca="false">INDEX(Monthly!$C$115:$BJ$115,($R$2-1)*12+8)</f>
        <v>4362561.03636094</v>
      </c>
      <c r="P52" s="41" t="n">
        <f aca="false">INDEX(Monthly!$C$115:$BJ$115,($R$2-1)*12+9)</f>
        <v>4302249.71864156</v>
      </c>
      <c r="Q52" s="41" t="n">
        <f aca="false">INDEX(Monthly!$C$115:$BJ$115,($R$2-1)*12+10)</f>
        <v>4249824.62921077</v>
      </c>
      <c r="R52" s="41" t="n">
        <f aca="false">INDEX(Monthly!$C$115:$BJ$115,($R$2-1)*12+11)</f>
        <v>4198950.76565908</v>
      </c>
      <c r="S52" s="41" t="n">
        <f aca="false">INDEX(Monthly!$C$115:$BJ$115,($R$2-1)*12+12)</f>
        <v>4130577.30529272</v>
      </c>
    </row>
  </sheetData>
  <mergeCells count="1">
    <mergeCell ref="R2:S2"/>
  </mergeCells>
  <dataValidations count="1">
    <dataValidation allowBlank="false" error="Enter a year from 1 to 5" errorStyle="stop" errorTitle="Detailed year" operator="between" prompt="Pick the year shown month by month on the right" promptTitle="Detailed year" showDropDown="false" showErrorMessage="true" showInputMessage="true" sqref="R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101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102</v>
      </c>
    </row>
    <row r="5" customFormat="false" ht="15.75" hidden="false" customHeight="true" outlineLevel="0" collapsed="false">
      <c r="A5" s="7" t="s">
        <v>103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3" t="s">
        <v>104</v>
      </c>
      <c r="B6" s="52" t="s">
        <v>105</v>
      </c>
      <c r="C6" s="52" t="s">
        <v>106</v>
      </c>
      <c r="D6" s="52" t="s">
        <v>107</v>
      </c>
      <c r="E6" s="52" t="s">
        <v>108</v>
      </c>
    </row>
    <row r="7" customFormat="false" ht="15" hidden="false" customHeight="false" outlineLevel="0" collapsed="false">
      <c r="A7" s="6" t="s">
        <v>109</v>
      </c>
      <c r="B7" s="53" t="n">
        <f aca="false">Inputs!$B$7</f>
        <v>200</v>
      </c>
      <c r="C7" s="53" t="n">
        <f aca="false">Inputs!$C$7</f>
        <v>240</v>
      </c>
      <c r="D7" s="53" t="n">
        <f aca="false">Inputs!$D$7</f>
        <v>280</v>
      </c>
      <c r="E7" s="54" t="n">
        <f aca="false">Inputs!$E$7</f>
        <v>240</v>
      </c>
    </row>
    <row r="8" customFormat="false" ht="15" hidden="false" customHeight="false" outlineLevel="0" collapsed="false">
      <c r="A8" s="6" t="s">
        <v>110</v>
      </c>
      <c r="B8" s="55" t="n">
        <f aca="false">Inputs!$B$27</f>
        <v>12</v>
      </c>
      <c r="C8" s="55" t="n">
        <f aca="false">Inputs!$C$27</f>
        <v>13</v>
      </c>
      <c r="D8" s="55" t="n">
        <f aca="false">Inputs!$D$27</f>
        <v>14</v>
      </c>
      <c r="E8" s="56" t="n">
        <f aca="false">Inputs!$E$27</f>
        <v>13</v>
      </c>
    </row>
    <row r="9" customFormat="false" ht="15" hidden="false" customHeight="false" outlineLevel="0" collapsed="false">
      <c r="A9" s="6" t="s">
        <v>111</v>
      </c>
      <c r="B9" s="57" t="n">
        <f aca="false">Inputs!$B$19</f>
        <v>150</v>
      </c>
      <c r="C9" s="57" t="n">
        <f aca="false">Inputs!$C$19</f>
        <v>250</v>
      </c>
      <c r="D9" s="57" t="n">
        <f aca="false">Inputs!$D$19</f>
        <v>350</v>
      </c>
      <c r="E9" s="58" t="n">
        <f aca="false">Inputs!$E$19</f>
        <v>250</v>
      </c>
    </row>
    <row r="10" customFormat="false" ht="15" hidden="false" customHeight="false" outlineLevel="0" collapsed="false">
      <c r="A10" s="6" t="s">
        <v>112</v>
      </c>
      <c r="B10" s="55" t="n">
        <f aca="false">Inputs!$B$29</f>
        <v>32</v>
      </c>
      <c r="C10" s="55" t="n">
        <f aca="false">Inputs!$C$29</f>
        <v>35</v>
      </c>
      <c r="D10" s="55" t="n">
        <f aca="false">Inputs!$D$29</f>
        <v>38</v>
      </c>
      <c r="E10" s="56" t="n">
        <f aca="false">Inputs!$E$29</f>
        <v>35</v>
      </c>
    </row>
    <row r="11" customFormat="false" ht="15" hidden="false" customHeight="false" outlineLevel="0" collapsed="false">
      <c r="A11" s="6" t="s">
        <v>113</v>
      </c>
      <c r="B11" s="59" t="n">
        <f aca="false">Inputs!$B$23</f>
        <v>0.05</v>
      </c>
      <c r="C11" s="59" t="n">
        <f aca="false">Inputs!$C$23</f>
        <v>0.04</v>
      </c>
      <c r="D11" s="59" t="n">
        <f aca="false">Inputs!$D$23</f>
        <v>0.032</v>
      </c>
      <c r="E11" s="60" t="n">
        <f aca="false">Inputs!$E$23</f>
        <v>0.04</v>
      </c>
    </row>
    <row r="12" customFormat="false" ht="15" hidden="false" customHeight="false" outlineLevel="0" collapsed="false">
      <c r="A12" s="6" t="s">
        <v>114</v>
      </c>
      <c r="B12" s="61" t="n">
        <f aca="false">Inputs!$B$41</f>
        <v>30000</v>
      </c>
      <c r="C12" s="61" t="n">
        <f aca="false">Inputs!$C$41</f>
        <v>30000</v>
      </c>
      <c r="D12" s="61" t="n">
        <f aca="false">Inputs!$D$41</f>
        <v>30000</v>
      </c>
      <c r="E12" s="62" t="n">
        <f aca="false">Inputs!$E$41</f>
        <v>30000</v>
      </c>
    </row>
    <row r="13" customFormat="false" ht="15" hidden="false" customHeight="false" outlineLevel="0" collapsed="false">
      <c r="A13" s="6" t="s">
        <v>115</v>
      </c>
      <c r="B13" s="61" t="n">
        <f aca="false">Inputs!$B$49</f>
        <v>1650000</v>
      </c>
      <c r="C13" s="61" t="n">
        <f aca="false">Inputs!$C$49</f>
        <v>1650000</v>
      </c>
      <c r="D13" s="61" t="n">
        <f aca="false">Inputs!$D$49</f>
        <v>1650000</v>
      </c>
      <c r="E13" s="62" t="n">
        <f aca="false">Inputs!$E$49</f>
        <v>1650000</v>
      </c>
    </row>
    <row r="14" customFormat="false" ht="15" hidden="false" customHeight="false" outlineLevel="0" collapsed="false">
      <c r="A14" s="6" t="s">
        <v>116</v>
      </c>
      <c r="B14" s="61" t="n">
        <f aca="false">Inputs!$B$67</f>
        <v>2100000</v>
      </c>
      <c r="C14" s="61" t="n">
        <f aca="false">Inputs!$C$67</f>
        <v>2100000</v>
      </c>
      <c r="D14" s="61" t="n">
        <f aca="false">Inputs!$D$67</f>
        <v>2100000</v>
      </c>
      <c r="E14" s="62" t="n">
        <f aca="false">Inputs!$E$67</f>
        <v>2100000</v>
      </c>
    </row>
    <row r="16" customFormat="false" ht="15.75" hidden="false" customHeight="true" outlineLevel="0" collapsed="false">
      <c r="A16" s="7" t="s">
        <v>117</v>
      </c>
      <c r="B16" s="7"/>
      <c r="C16" s="7"/>
      <c r="D16" s="7"/>
      <c r="E16" s="7"/>
      <c r="F16" s="7"/>
    </row>
    <row r="17" customFormat="false" ht="15" hidden="false" customHeight="false" outlineLevel="0" collapsed="false">
      <c r="A17" s="33" t="s">
        <v>118</v>
      </c>
      <c r="B17" s="52" t="s">
        <v>105</v>
      </c>
      <c r="C17" s="52" t="s">
        <v>106</v>
      </c>
      <c r="D17" s="52" t="s">
        <v>107</v>
      </c>
      <c r="E17" s="52" t="s">
        <v>108</v>
      </c>
    </row>
    <row r="18" customFormat="false" ht="15" hidden="false" customHeight="false" outlineLevel="0" collapsed="false">
      <c r="A18" s="6" t="s">
        <v>119</v>
      </c>
      <c r="B18" s="63" t="n">
        <f aca="false">F31</f>
        <v>1509180.90456468</v>
      </c>
      <c r="C18" s="63" t="n">
        <f aca="false">F32</f>
        <v>2440877.21952545</v>
      </c>
      <c r="D18" s="63" t="n">
        <f aca="false">F33</f>
        <v>3820481.81951163</v>
      </c>
      <c r="E18" s="64" t="n">
        <f aca="false">'P&amp;L'!F5</f>
        <v>2440877.21952545</v>
      </c>
    </row>
    <row r="19" customFormat="false" ht="15" hidden="false" customHeight="false" outlineLevel="0" collapsed="false">
      <c r="A19" s="6" t="s">
        <v>120</v>
      </c>
      <c r="B19" s="63" t="n">
        <f aca="false">SUM(B31:F31)</f>
        <v>6296493.3410605</v>
      </c>
      <c r="C19" s="63" t="n">
        <f aca="false">SUM(B32:F32)</f>
        <v>9789648.7871792</v>
      </c>
      <c r="D19" s="63" t="n">
        <f aca="false">SUM(B33:F33)</f>
        <v>14540687.7666849</v>
      </c>
      <c r="E19" s="64" t="n">
        <f aca="false">SUM('P&amp;L'!$B$5:$F$5)</f>
        <v>9789648.7871792</v>
      </c>
    </row>
    <row r="20" customFormat="false" ht="15" hidden="false" customHeight="false" outlineLevel="0" collapsed="false">
      <c r="A20" s="6" t="s">
        <v>121</v>
      </c>
      <c r="B20" s="63" t="n">
        <f aca="false">F37</f>
        <v>29088.8484497289</v>
      </c>
      <c r="C20" s="63" t="n">
        <f aca="false">F38</f>
        <v>861881.484690629</v>
      </c>
      <c r="D20" s="63" t="n">
        <f aca="false">F39</f>
        <v>2118274.92974527</v>
      </c>
      <c r="E20" s="64" t="n">
        <f aca="false">'P&amp;L'!F15</f>
        <v>861881.484690629</v>
      </c>
    </row>
    <row r="21" customFormat="false" ht="15" hidden="false" customHeight="false" outlineLevel="0" collapsed="false">
      <c r="A21" s="6" t="s">
        <v>122</v>
      </c>
      <c r="B21" s="65" t="n">
        <f aca="false">IF(B18=0,0,B20/B18)</f>
        <v>0.0192745934975367</v>
      </c>
      <c r="C21" s="65" t="n">
        <f aca="false">IF(C18=0,0,C20/C18)</f>
        <v>0.353103170366838</v>
      </c>
      <c r="D21" s="65" t="n">
        <f aca="false">IF(D18=0,0,D20/D18)</f>
        <v>0.554452299426474</v>
      </c>
      <c r="E21" s="66" t="n">
        <f aca="false">IF(E18=0,0,E20/E18)</f>
        <v>0.353103170366838</v>
      </c>
    </row>
    <row r="22" customFormat="false" ht="15" hidden="false" customHeight="false" outlineLevel="0" collapsed="false">
      <c r="A22" s="6" t="s">
        <v>123</v>
      </c>
      <c r="B22" s="63" t="n">
        <f aca="false">F43</f>
        <v>-468286.151550271</v>
      </c>
      <c r="C22" s="63" t="n">
        <f aca="false">F44</f>
        <v>364506.484690629</v>
      </c>
      <c r="D22" s="63" t="n">
        <f aca="false">F45</f>
        <v>1280510.94449876</v>
      </c>
      <c r="E22" s="64" t="n">
        <f aca="false">'P&amp;L'!F22</f>
        <v>364506.484690629</v>
      </c>
    </row>
    <row r="23" customFormat="false" ht="15" hidden="false" customHeight="false" outlineLevel="0" collapsed="false">
      <c r="A23" s="6" t="s">
        <v>124</v>
      </c>
      <c r="B23" s="63" t="n">
        <f aca="false">SUM(B43:F43)</f>
        <v>-3340553.18598708</v>
      </c>
      <c r="C23" s="63" t="n">
        <f aca="false">SUM(B44:F44)</f>
        <v>-216134.038884935</v>
      </c>
      <c r="D23" s="63" t="n">
        <f aca="false">SUM(B45:F45)</f>
        <v>3272119.66573958</v>
      </c>
      <c r="E23" s="64" t="n">
        <f aca="false">SUM('P&amp;L'!$B$22:$F$22)</f>
        <v>-216134.038884935</v>
      </c>
    </row>
    <row r="24" customFormat="false" ht="15" hidden="false" customHeight="false" outlineLevel="0" collapsed="false">
      <c r="A24" s="6" t="s">
        <v>125</v>
      </c>
      <c r="B24" s="63" t="n">
        <f aca="false">F49</f>
        <v>-2233642.27171591</v>
      </c>
      <c r="C24" s="63" t="n">
        <f aca="false">F50</f>
        <v>888042.923420652</v>
      </c>
      <c r="D24" s="63" t="n">
        <f aca="false">F51</f>
        <v>4371228.04142465</v>
      </c>
      <c r="E24" s="64" t="n">
        <f aca="false">'Balance Sheet'!F5</f>
        <v>888042.923420652</v>
      </c>
    </row>
    <row r="25" customFormat="false" ht="15" hidden="false" customHeight="false" outlineLevel="0" collapsed="false">
      <c r="A25" s="6" t="s">
        <v>126</v>
      </c>
      <c r="B25" s="63" t="n">
        <f aca="false">MIN('Scenario calc'!$C$100:$BJ$100)</f>
        <v>-2233642.27171591</v>
      </c>
      <c r="C25" s="63" t="n">
        <f aca="false">MIN('Scenario calc'!$C$227:$BJ$227)</f>
        <v>131554.538556901</v>
      </c>
      <c r="D25" s="63" t="n">
        <f aca="false">MIN('Scenario calc'!$C$354:$BJ$354)</f>
        <v>775910.091071967</v>
      </c>
      <c r="E25" s="64" t="n">
        <f aca="false">'Break-even'!B18</f>
        <v>131554.538556901</v>
      </c>
    </row>
    <row r="26" customFormat="false" ht="15" hidden="false" customHeight="false" outlineLevel="0" collapsed="false">
      <c r="A26" s="6" t="s">
        <v>127</v>
      </c>
      <c r="B26" s="67" t="n">
        <f aca="false">MATCH(MIN('Scenario calc'!$C$100:$BJ$100),'Scenario calc'!$C$100:$BJ$100,0)</f>
        <v>60</v>
      </c>
      <c r="C26" s="67" t="n">
        <f aca="false">MATCH(MIN('Scenario calc'!$C$227:$BJ$227),'Scenario calc'!$C$227:$BJ$227,0)</f>
        <v>26</v>
      </c>
      <c r="D26" s="67" t="n">
        <f aca="false">MATCH(MIN('Scenario calc'!$C$354:$BJ$354),'Scenario calc'!$C$354:$BJ$354,0)</f>
        <v>7</v>
      </c>
      <c r="E26" s="68" t="n">
        <f aca="false">'Break-even'!B6</f>
        <v>26</v>
      </c>
    </row>
    <row r="27" customFormat="false" ht="15" hidden="false" customHeight="false" outlineLevel="0" collapsed="false">
      <c r="A27" s="4" t="s">
        <v>66</v>
      </c>
      <c r="B27" s="63" t="n">
        <f aca="false">SUMPRODUCT(--('Scenario calc'!$C$6:$BJ$6&lt;=B26),'Scenario calc'!$C$73:$BJ$73)-SUMPRODUCT(--('Scenario calc'!$C$6:$BJ$6&lt;=B26),'Scenario calc'!$C$94:$BJ$94)-SUMPRODUCT(--('Scenario calc'!$C$6:$BJ$6&lt;=B26),'Scenario calc'!$C$82:$BJ$82)+Inputs!$B$82</f>
        <v>7614642.27171591</v>
      </c>
      <c r="C27" s="63" t="n">
        <f aca="false">SUMPRODUCT(--('Scenario calc'!$C$133:$BJ$133&lt;=C26),'Scenario calc'!$C$200:$BJ$200)-SUMPRODUCT(--('Scenario calc'!$C$133:$BJ$133&lt;=C26),'Scenario calc'!$C$221:$BJ$221)-SUMPRODUCT(--('Scenario calc'!$C$133:$BJ$133&lt;=C26),'Scenario calc'!$C$209:$BJ$209)+Inputs!$C$82</f>
        <v>5249445.4614431</v>
      </c>
      <c r="D27" s="63" t="n">
        <f aca="false">SUMPRODUCT(--('Scenario calc'!$C$260:$BJ$260&lt;=D26),'Scenario calc'!$C$327:$BJ$327)-SUMPRODUCT(--('Scenario calc'!$C$260:$BJ$260&lt;=D26),'Scenario calc'!$C$348:$BJ$348)-SUMPRODUCT(--('Scenario calc'!$C$260:$BJ$260&lt;=D26),'Scenario calc'!$C$336:$BJ$336)+Inputs!$D$82</f>
        <v>4605089.90892803</v>
      </c>
      <c r="E27" s="64" t="n">
        <f aca="false">'Break-even'!B12</f>
        <v>5249445.4614431</v>
      </c>
    </row>
    <row r="29" customFormat="false" ht="15.75" hidden="false" customHeight="true" outlineLevel="0" collapsed="false">
      <c r="A29" s="7" t="s">
        <v>128</v>
      </c>
      <c r="B29" s="7"/>
      <c r="C29" s="7"/>
      <c r="D29" s="7"/>
      <c r="E29" s="7"/>
      <c r="F29" s="7"/>
    </row>
    <row r="30" customFormat="false" ht="15" hidden="false" customHeight="false" outlineLevel="0" collapsed="false">
      <c r="A30" s="33" t="s">
        <v>129</v>
      </c>
      <c r="B30" s="34" t="n">
        <v>1</v>
      </c>
      <c r="C30" s="34" t="n">
        <v>2</v>
      </c>
      <c r="D30" s="34" t="n">
        <v>3</v>
      </c>
      <c r="E30" s="34" t="n">
        <v>4</v>
      </c>
      <c r="F30" s="34" t="n">
        <v>5</v>
      </c>
    </row>
    <row r="31" customFormat="false" ht="15" hidden="false" customHeight="false" outlineLevel="0" collapsed="false">
      <c r="A31" s="6" t="s">
        <v>105</v>
      </c>
      <c r="B31" s="63" t="n">
        <f aca="false">SUMIF('Scenario calc'!$C$7:$BJ$7,B$30,'Scenario calc'!$C$39:$BJ$39)</f>
        <v>723753.781752898</v>
      </c>
      <c r="C31" s="63" t="n">
        <f aca="false">SUMIF('Scenario calc'!$C$7:$BJ$7,C$30,'Scenario calc'!$C$39:$BJ$39)</f>
        <v>1233556.71859013</v>
      </c>
      <c r="D31" s="63" t="n">
        <f aca="false">SUMIF('Scenario calc'!$C$7:$BJ$7,D$30,'Scenario calc'!$C$39:$BJ$39)</f>
        <v>1373352.59957725</v>
      </c>
      <c r="E31" s="63" t="n">
        <f aca="false">SUMIF('Scenario calc'!$C$7:$BJ$7,E$30,'Scenario calc'!$C$39:$BJ$39)</f>
        <v>1456649.33657555</v>
      </c>
      <c r="F31" s="63" t="n">
        <f aca="false">SUMIF('Scenario calc'!$C$7:$BJ$7,F$30,'Scenario calc'!$C$39:$BJ$39)</f>
        <v>1509180.90456468</v>
      </c>
    </row>
    <row r="32" customFormat="false" ht="15" hidden="false" customHeight="false" outlineLevel="0" collapsed="false">
      <c r="A32" s="6" t="s">
        <v>106</v>
      </c>
      <c r="B32" s="63" t="n">
        <f aca="false">SUMIF('Scenario calc'!$C$134:$BJ$134,B$30,'Scenario calc'!$C$166:$BJ$166)</f>
        <v>1180182.39164623</v>
      </c>
      <c r="C32" s="63" t="n">
        <f aca="false">SUMIF('Scenario calc'!$C$134:$BJ$134,C$30,'Scenario calc'!$C$166:$BJ$166)</f>
        <v>1805881.4666632</v>
      </c>
      <c r="D32" s="63" t="n">
        <f aca="false">SUMIF('Scenario calc'!$C$134:$BJ$134,D$30,'Scenario calc'!$C$166:$BJ$166)</f>
        <v>2080276.59708741</v>
      </c>
      <c r="E32" s="63" t="n">
        <f aca="false">SUMIF('Scenario calc'!$C$134:$BJ$134,E$30,'Scenario calc'!$C$166:$BJ$166)</f>
        <v>2282431.11225691</v>
      </c>
      <c r="F32" s="63" t="n">
        <f aca="false">SUMIF('Scenario calc'!$C$134:$BJ$134,F$30,'Scenario calc'!$C$166:$BJ$166)</f>
        <v>2440877.21952545</v>
      </c>
    </row>
    <row r="33" customFormat="false" ht="15" hidden="false" customHeight="false" outlineLevel="0" collapsed="false">
      <c r="A33" s="6" t="s">
        <v>107</v>
      </c>
      <c r="B33" s="63" t="n">
        <f aca="false">SUMIF('Scenario calc'!$C$261:$BJ$261,B$30,'Scenario calc'!$C$293:$BJ$293)</f>
        <v>1713972.34882851</v>
      </c>
      <c r="C33" s="63" t="n">
        <f aca="false">SUMIF('Scenario calc'!$C$261:$BJ$261,C$30,'Scenario calc'!$C$293:$BJ$293)</f>
        <v>2530234.39082342</v>
      </c>
      <c r="D33" s="63" t="n">
        <f aca="false">SUMIF('Scenario calc'!$C$261:$BJ$261,D$30,'Scenario calc'!$C$293:$BJ$293)</f>
        <v>3028027.20834572</v>
      </c>
      <c r="E33" s="63" t="n">
        <f aca="false">SUMIF('Scenario calc'!$C$261:$BJ$261,E$30,'Scenario calc'!$C$293:$BJ$293)</f>
        <v>3447971.99917562</v>
      </c>
      <c r="F33" s="63" t="n">
        <f aca="false">SUMIF('Scenario calc'!$C$261:$BJ$261,F$30,'Scenario calc'!$C$293:$BJ$293)</f>
        <v>3820481.81951163</v>
      </c>
    </row>
    <row r="35" customFormat="false" ht="15.75" hidden="false" customHeight="true" outlineLevel="0" collapsed="false">
      <c r="A35" s="7" t="s">
        <v>130</v>
      </c>
      <c r="B35" s="7"/>
      <c r="C35" s="7"/>
      <c r="D35" s="7"/>
      <c r="E35" s="7"/>
      <c r="F35" s="7"/>
    </row>
    <row r="36" customFormat="false" ht="15" hidden="false" customHeight="false" outlineLevel="0" collapsed="false">
      <c r="A36" s="33" t="s">
        <v>129</v>
      </c>
      <c r="B36" s="34" t="n">
        <v>1</v>
      </c>
      <c r="C36" s="34" t="n">
        <v>2</v>
      </c>
      <c r="D36" s="34" t="n">
        <v>3</v>
      </c>
      <c r="E36" s="34" t="n">
        <v>4</v>
      </c>
      <c r="F36" s="34" t="n">
        <v>5</v>
      </c>
    </row>
    <row r="37" customFormat="false" ht="15" hidden="false" customHeight="false" outlineLevel="0" collapsed="false">
      <c r="A37" s="6" t="s">
        <v>105</v>
      </c>
      <c r="B37" s="63" t="n">
        <f aca="false">SUMIF('Scenario calc'!$C$7:$BJ$7,B$36,'Scenario calc'!$C$57:$BJ$57)</f>
        <v>-533892.676207162</v>
      </c>
      <c r="C37" s="63" t="n">
        <f aca="false">SUMIF('Scenario calc'!$C$7:$BJ$7,C$36,'Scenario calc'!$C$57:$BJ$57)</f>
        <v>-120382.60081196</v>
      </c>
      <c r="D37" s="63" t="n">
        <f aca="false">SUMIF('Scenario calc'!$C$7:$BJ$7,D$36,'Scenario calc'!$C$57:$BJ$57)</f>
        <v>-24636.2998835956</v>
      </c>
      <c r="E37" s="63" t="n">
        <f aca="false">SUMIF('Scenario calc'!$C$7:$BJ$7,E$36,'Scenario calc'!$C$57:$BJ$57)</f>
        <v>17722.6674659084</v>
      </c>
      <c r="F37" s="63" t="n">
        <f aca="false">SUMIF('Scenario calc'!$C$7:$BJ$7,F$36,'Scenario calc'!$C$57:$BJ$57)</f>
        <v>29088.8484497289</v>
      </c>
    </row>
    <row r="38" customFormat="false" ht="15" hidden="false" customHeight="false" outlineLevel="0" collapsed="false">
      <c r="A38" s="6" t="s">
        <v>106</v>
      </c>
      <c r="B38" s="63" t="n">
        <f aca="false">SUMIF('Scenario calc'!$C$134:$BJ$134,B$36,'Scenario calc'!$C$184:$BJ$184)</f>
        <v>-123279.207270295</v>
      </c>
      <c r="C38" s="63" t="n">
        <f aca="false">SUMIF('Scenario calc'!$C$134:$BJ$134,C$36,'Scenario calc'!$C$184:$BJ$184)</f>
        <v>393591.208461737</v>
      </c>
      <c r="D38" s="63" t="n">
        <f aca="false">SUMIF('Scenario calc'!$C$134:$BJ$134,D$36,'Scenario calc'!$C$184:$BJ$184)</f>
        <v>606030.411732089</v>
      </c>
      <c r="E38" s="63" t="n">
        <f aca="false">SUMIF('Scenario calc'!$C$134:$BJ$134,E$36,'Scenario calc'!$C$184:$BJ$184)</f>
        <v>754095.188500905</v>
      </c>
      <c r="F38" s="63" t="n">
        <f aca="false">SUMIF('Scenario calc'!$C$134:$BJ$134,F$36,'Scenario calc'!$C$184:$BJ$184)</f>
        <v>861881.484690629</v>
      </c>
    </row>
    <row r="39" customFormat="false" ht="15" hidden="false" customHeight="false" outlineLevel="0" collapsed="false">
      <c r="A39" s="6" t="s">
        <v>107</v>
      </c>
      <c r="B39" s="63" t="n">
        <f aca="false">SUMIF('Scenario calc'!$C$261:$BJ$261,B$36,'Scenario calc'!$C$311:$BJ$311)</f>
        <v>374729.35474249</v>
      </c>
      <c r="C39" s="63" t="n">
        <f aca="false">SUMIF('Scenario calc'!$C$261:$BJ$261,C$36,'Scenario calc'!$C$311:$BJ$311)</f>
        <v>1064559.31495256</v>
      </c>
      <c r="D39" s="63" t="n">
        <f aca="false">SUMIF('Scenario calc'!$C$261:$BJ$261,D$36,'Scenario calc'!$C$311:$BJ$311)</f>
        <v>1475107.63814208</v>
      </c>
      <c r="E39" s="63" t="n">
        <f aca="false">SUMIF('Scenario calc'!$C$261:$BJ$261,E$36,'Scenario calc'!$C$311:$BJ$311)</f>
        <v>1817705.51493607</v>
      </c>
      <c r="F39" s="63" t="n">
        <f aca="false">SUMIF('Scenario calc'!$C$261:$BJ$261,F$36,'Scenario calc'!$C$311:$BJ$311)</f>
        <v>2118274.92974527</v>
      </c>
    </row>
    <row r="41" customFormat="false" ht="15.75" hidden="false" customHeight="true" outlineLevel="0" collapsed="false">
      <c r="A41" s="7" t="s">
        <v>131</v>
      </c>
      <c r="B41" s="7"/>
      <c r="C41" s="7"/>
      <c r="D41" s="7"/>
      <c r="E41" s="7"/>
      <c r="F41" s="7"/>
    </row>
    <row r="42" customFormat="false" ht="15" hidden="false" customHeight="false" outlineLevel="0" collapsed="false">
      <c r="A42" s="33" t="s">
        <v>129</v>
      </c>
      <c r="B42" s="34" t="n">
        <v>1</v>
      </c>
      <c r="C42" s="34" t="n">
        <v>2</v>
      </c>
      <c r="D42" s="34" t="n">
        <v>3</v>
      </c>
      <c r="E42" s="34" t="n">
        <v>4</v>
      </c>
      <c r="F42" s="34" t="n">
        <v>5</v>
      </c>
    </row>
    <row r="43" customFormat="false" ht="15" hidden="false" customHeight="false" outlineLevel="0" collapsed="false">
      <c r="A43" s="6" t="s">
        <v>105</v>
      </c>
      <c r="B43" s="63" t="n">
        <f aca="false">SUMIF('Scenario calc'!$C$7:$BJ$7,B$42,'Scenario calc'!$C$66:$BJ$66)</f>
        <v>-1119845.80120716</v>
      </c>
      <c r="C43" s="63" t="n">
        <f aca="false">SUMIF('Scenario calc'!$C$7:$BJ$7,C$42,'Scenario calc'!$C$66:$BJ$66)</f>
        <v>-684257.60081196</v>
      </c>
      <c r="D43" s="63" t="n">
        <f aca="false">SUMIF('Scenario calc'!$C$7:$BJ$7,D$42,'Scenario calc'!$C$66:$BJ$66)</f>
        <v>-566344.633216929</v>
      </c>
      <c r="E43" s="63" t="n">
        <f aca="false">SUMIF('Scenario calc'!$C$7:$BJ$7,E$42,'Scenario calc'!$C$66:$BJ$66)</f>
        <v>-501818.999200758</v>
      </c>
      <c r="F43" s="63" t="n">
        <f aca="false">SUMIF('Scenario calc'!$C$7:$BJ$7,F$42,'Scenario calc'!$C$66:$BJ$66)</f>
        <v>-468286.151550271</v>
      </c>
    </row>
    <row r="44" customFormat="false" ht="15" hidden="false" customHeight="false" outlineLevel="0" collapsed="false">
      <c r="A44" s="6" t="s">
        <v>106</v>
      </c>
      <c r="B44" s="63" t="n">
        <f aca="false">SUMIF('Scenario calc'!$C$134:$BJ$134,B$42,'Scenario calc'!$C$193:$BJ$193)</f>
        <v>-709232.332270295</v>
      </c>
      <c r="C44" s="63" t="n">
        <f aca="false">SUMIF('Scenario calc'!$C$134:$BJ$134,C$42,'Scenario calc'!$C$193:$BJ$193)</f>
        <v>-170283.791538263</v>
      </c>
      <c r="D44" s="63" t="n">
        <f aca="false">SUMIF('Scenario calc'!$C$134:$BJ$134,D$42,'Scenario calc'!$C$193:$BJ$193)</f>
        <v>64322.0783987556</v>
      </c>
      <c r="E44" s="63" t="n">
        <f aca="false">SUMIF('Scenario calc'!$C$134:$BJ$134,E$42,'Scenario calc'!$C$193:$BJ$193)</f>
        <v>234553.521834239</v>
      </c>
      <c r="F44" s="63" t="n">
        <f aca="false">SUMIF('Scenario calc'!$C$134:$BJ$134,F$42,'Scenario calc'!$C$193:$BJ$193)</f>
        <v>364506.484690629</v>
      </c>
    </row>
    <row r="45" customFormat="false" ht="15" hidden="false" customHeight="false" outlineLevel="0" collapsed="false">
      <c r="A45" s="6" t="s">
        <v>107</v>
      </c>
      <c r="B45" s="63" t="n">
        <f aca="false">SUMIF('Scenario calc'!$C$261:$BJ$261,B$42,'Scenario calc'!$C$320:$BJ$320)</f>
        <v>-211223.770257511</v>
      </c>
      <c r="C45" s="63" t="n">
        <f aca="false">SUMIF('Scenario calc'!$C$261:$BJ$261,C$42,'Scenario calc'!$C$320:$BJ$320)</f>
        <v>439897.600566596</v>
      </c>
      <c r="D45" s="63" t="n">
        <f aca="false">SUMIF('Scenario calc'!$C$261:$BJ$261,D$42,'Scenario calc'!$C$320:$BJ$320)</f>
        <v>737385.45079891</v>
      </c>
      <c r="E45" s="63" t="n">
        <f aca="false">SUMIF('Scenario calc'!$C$261:$BJ$261,E$42,'Scenario calc'!$C$320:$BJ$320)</f>
        <v>1025549.44013283</v>
      </c>
      <c r="F45" s="63" t="n">
        <f aca="false">SUMIF('Scenario calc'!$C$261:$BJ$261,F$42,'Scenario calc'!$C$320:$BJ$320)</f>
        <v>1280510.94449876</v>
      </c>
    </row>
    <row r="47" customFormat="false" ht="15.75" hidden="false" customHeight="true" outlineLevel="0" collapsed="false">
      <c r="A47" s="7" t="s">
        <v>132</v>
      </c>
      <c r="B47" s="7"/>
      <c r="C47" s="7"/>
      <c r="D47" s="7"/>
      <c r="E47" s="7"/>
      <c r="F47" s="7"/>
    </row>
    <row r="48" customFormat="false" ht="15" hidden="false" customHeight="false" outlineLevel="0" collapsed="false">
      <c r="A48" s="33" t="s">
        <v>129</v>
      </c>
      <c r="B48" s="34" t="n">
        <v>1</v>
      </c>
      <c r="C48" s="34" t="n">
        <v>2</v>
      </c>
      <c r="D48" s="34" t="n">
        <v>3</v>
      </c>
      <c r="E48" s="34" t="n">
        <v>4</v>
      </c>
      <c r="F48" s="34" t="n">
        <v>5</v>
      </c>
    </row>
    <row r="49" customFormat="false" ht="15" hidden="false" customHeight="false" outlineLevel="0" collapsed="false">
      <c r="A49" s="6" t="s">
        <v>105</v>
      </c>
      <c r="B49" s="63" t="n">
        <f aca="false">INDEX('Scenario calc'!$C$100:$BJ$100,B$48*12)</f>
        <v>-53672.9491542138</v>
      </c>
      <c r="C49" s="63" t="n">
        <f aca="false">INDEX('Scenario calc'!$C$100:$BJ$100,C$48*12)</f>
        <v>-732788.651719054</v>
      </c>
      <c r="D49" s="63" t="n">
        <f aca="false">INDEX('Scenario calc'!$C$100:$BJ$100,D$48*12)</f>
        <v>-1290608.83978511</v>
      </c>
      <c r="E49" s="63" t="n">
        <f aca="false">INDEX('Scenario calc'!$C$100:$BJ$100,E$48*12)</f>
        <v>-1780561.56265074</v>
      </c>
      <c r="F49" s="63" t="n">
        <f aca="false">INDEX('Scenario calc'!$C$100:$BJ$100,F$48*12)</f>
        <v>-2233642.27171591</v>
      </c>
    </row>
    <row r="50" customFormat="false" ht="15" hidden="false" customHeight="false" outlineLevel="0" collapsed="false">
      <c r="A50" s="6" t="s">
        <v>106</v>
      </c>
      <c r="B50" s="63" t="n">
        <f aca="false">INDEX('Scenario calc'!$C$227:$BJ$227,B$48*12)</f>
        <v>355442.207546519</v>
      </c>
      <c r="C50" s="63" t="n">
        <f aca="false">INDEX('Scenario calc'!$C$227:$BJ$227,C$48*12)</f>
        <v>189920.661079184</v>
      </c>
      <c r="D50" s="63" t="n">
        <f aca="false">INDEX('Scenario calc'!$C$227:$BJ$227,D$48*12)</f>
        <v>262436.516461964</v>
      </c>
      <c r="E50" s="63" t="n">
        <f aca="false">INDEX('Scenario calc'!$C$227:$BJ$227,E$48*12)</f>
        <v>508577.640304047</v>
      </c>
      <c r="F50" s="63" t="n">
        <f aca="false">INDEX('Scenario calc'!$C$227:$BJ$227,F$48*12)</f>
        <v>888042.923420652</v>
      </c>
    </row>
    <row r="51" customFormat="false" ht="15" hidden="false" customHeight="false" outlineLevel="0" collapsed="false">
      <c r="A51" s="6" t="s">
        <v>107</v>
      </c>
      <c r="B51" s="63" t="n">
        <f aca="false">INDEX('Scenario calc'!$C$354:$BJ$354,B$48*12)</f>
        <v>851182.534970552</v>
      </c>
      <c r="C51" s="63" t="n">
        <f aca="false">INDEX('Scenario calc'!$C$354:$BJ$354,C$48*12)</f>
        <v>1295076.01843464</v>
      </c>
      <c r="D51" s="63" t="n">
        <f aca="false">INDEX('Scenario calc'!$C$354:$BJ$354,D$48*12)</f>
        <v>2039947.59864561</v>
      </c>
      <c r="E51" s="63" t="n">
        <f aca="false">INDEX('Scenario calc'!$C$354:$BJ$354,E$48*12)</f>
        <v>3076413.65751228</v>
      </c>
      <c r="F51" s="63" t="n">
        <f aca="false">INDEX('Scenario calc'!$C$354:$BJ$354,F$48*12)</f>
        <v>4371228.04142465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133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134</v>
      </c>
    </row>
    <row r="3" customFormat="false" ht="15" hidden="false" customHeight="false" outlineLevel="0" collapsed="false">
      <c r="A3" s="4" t="s">
        <v>135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136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6" t="s">
        <v>127</v>
      </c>
      <c r="B6" s="67" t="n">
        <f aca="false">MATCH(MIN(Monthly!$C$98:$BJ$98),Monthly!$C$98:$BJ$98,0)</f>
        <v>26</v>
      </c>
    </row>
    <row r="7" customFormat="false" ht="15" hidden="false" customHeight="false" outlineLevel="0" collapsed="false">
      <c r="A7" s="6" t="s">
        <v>137</v>
      </c>
      <c r="B7" s="69" t="n">
        <f aca="false">SUMPRODUCT(--(Monthly!$C$4:$BJ$4&lt;=$B$6),Monthly!$C$71:$BJ$71)</f>
        <v>4180000</v>
      </c>
    </row>
    <row r="8" customFormat="false" ht="15" hidden="false" customHeight="false" outlineLevel="0" collapsed="false">
      <c r="A8" s="6" t="s">
        <v>138</v>
      </c>
      <c r="B8" s="69" t="n">
        <f aca="false">-SUMPRODUCT(--(Monthly!$C$4:$BJ$4&lt;=$B$6),Monthly!$C$92:$BJ$92)</f>
        <v>163445.461443099</v>
      </c>
      <c r="D8" s="18" t="s">
        <v>139</v>
      </c>
    </row>
    <row r="9" customFormat="false" ht="15" hidden="false" customHeight="false" outlineLevel="0" collapsed="false">
      <c r="A9" s="6" t="s">
        <v>140</v>
      </c>
      <c r="B9" s="69" t="n">
        <f aca="false">-SUMPRODUCT(--(Monthly!$C$4:$BJ$4&lt;=$B$6),Monthly!$C$80:$BJ$80)</f>
        <v>625000</v>
      </c>
    </row>
    <row r="10" customFormat="false" ht="15" hidden="false" customHeight="false" outlineLevel="0" collapsed="false">
      <c r="A10" s="4" t="s">
        <v>141</v>
      </c>
      <c r="B10" s="70" t="n">
        <f aca="false">B7+B8+B9</f>
        <v>4968445.4614431</v>
      </c>
    </row>
    <row r="11" customFormat="false" ht="15" hidden="false" customHeight="false" outlineLevel="0" collapsed="false">
      <c r="A11" s="6" t="s">
        <v>142</v>
      </c>
      <c r="B11" s="71" t="n">
        <f aca="false">Inputs!$E$82</f>
        <v>281000</v>
      </c>
      <c r="D11" s="18" t="s">
        <v>143</v>
      </c>
    </row>
    <row r="12" customFormat="false" ht="15" hidden="false" customHeight="false" outlineLevel="0" collapsed="false">
      <c r="A12" s="4" t="s">
        <v>144</v>
      </c>
      <c r="B12" s="70" t="n">
        <f aca="false">B10+B11</f>
        <v>5249445.4614431</v>
      </c>
    </row>
    <row r="14" customFormat="false" ht="15" hidden="false" customHeight="false" outlineLevel="0" collapsed="false">
      <c r="A14" s="6" t="s">
        <v>64</v>
      </c>
      <c r="B14" s="71" t="n">
        <f aca="false">Inputs!$E$67</f>
        <v>2100000</v>
      </c>
    </row>
    <row r="15" customFormat="false" ht="15" hidden="false" customHeight="false" outlineLevel="0" collapsed="false">
      <c r="A15" s="6" t="s">
        <v>65</v>
      </c>
      <c r="B15" s="71" t="n">
        <f aca="false">Inputs!$E$68</f>
        <v>3000000</v>
      </c>
    </row>
    <row r="16" customFormat="false" ht="15" hidden="false" customHeight="false" outlineLevel="0" collapsed="false">
      <c r="A16" s="4" t="s">
        <v>145</v>
      </c>
      <c r="B16" s="70" t="n">
        <f aca="false">B14+B15</f>
        <v>5100000</v>
      </c>
    </row>
    <row r="17" customFormat="false" ht="15" hidden="false" customHeight="false" outlineLevel="0" collapsed="false">
      <c r="A17" s="72" t="s">
        <v>67</v>
      </c>
      <c r="B17" s="73" t="n">
        <f aca="false">B16-B12</f>
        <v>-149445.461443098</v>
      </c>
      <c r="D17" s="18" t="s">
        <v>146</v>
      </c>
    </row>
    <row r="18" customFormat="false" ht="15" hidden="false" customHeight="false" outlineLevel="0" collapsed="false">
      <c r="A18" s="6" t="s">
        <v>147</v>
      </c>
      <c r="B18" s="69" t="n">
        <f aca="false">MIN(Monthly!$C$98:$BJ$98)</f>
        <v>131554.538556901</v>
      </c>
      <c r="D18" s="18" t="s">
        <v>148</v>
      </c>
    </row>
    <row r="20" customFormat="false" ht="15.75" hidden="false" customHeight="true" outlineLevel="0" collapsed="false">
      <c r="A20" s="7" t="s">
        <v>149</v>
      </c>
      <c r="B20" s="7"/>
      <c r="C20" s="7"/>
      <c r="D20" s="7"/>
      <c r="E20" s="7"/>
      <c r="F20" s="7"/>
    </row>
    <row r="21" customFormat="false" ht="15" hidden="false" customHeight="false" outlineLevel="0" collapsed="false">
      <c r="A21" s="6" t="s">
        <v>150</v>
      </c>
      <c r="B21" s="67" t="n">
        <f aca="false">IFERROR(MATCH(1,Monthly!$C$99:$BJ$99,0),"Not within horizon")</f>
        <v>8</v>
      </c>
    </row>
    <row r="22" customFormat="false" ht="15" hidden="false" customHeight="false" outlineLevel="0" collapsed="false">
      <c r="A22" s="6" t="s">
        <v>151</v>
      </c>
      <c r="B22" s="67" t="n">
        <f aca="false">IFERROR(MATCH(1,Monthly!$C$102:$BJ$102,0),"Not within horizon")</f>
        <v>27</v>
      </c>
    </row>
    <row r="23" customFormat="false" ht="15" hidden="false" customHeight="false" outlineLevel="0" collapsed="false">
      <c r="A23" s="6" t="s">
        <v>152</v>
      </c>
      <c r="B23" s="67" t="str">
        <f aca="false">IF(MIN(Monthly!$C$104:$BJ$104)&gt;=0,"No investment to pay back",IFERROR(MATCH(1,Monthly!$C$106:$BJ$106,0),"Not within horizon"))</f>
        <v>Not within horizon</v>
      </c>
      <c r="D23" s="18" t="s">
        <v>153</v>
      </c>
    </row>
    <row r="25" customFormat="false" ht="15.75" hidden="false" customHeight="true" outlineLevel="0" collapsed="false">
      <c r="A25" s="7" t="s">
        <v>154</v>
      </c>
      <c r="B25" s="7"/>
      <c r="C25" s="7"/>
      <c r="D25" s="7"/>
      <c r="E25" s="7"/>
      <c r="F25" s="7"/>
    </row>
    <row r="26" customFormat="false" ht="15" hidden="false" customHeight="false" outlineLevel="0" collapsed="false">
      <c r="A26" s="74" t="s">
        <v>155</v>
      </c>
      <c r="B26" s="74" t="n">
        <v>1</v>
      </c>
      <c r="C26" s="74" t="n">
        <v>2</v>
      </c>
      <c r="D26" s="74" t="n">
        <v>3</v>
      </c>
      <c r="E26" s="74" t="n">
        <v>4</v>
      </c>
      <c r="F26" s="74" t="n">
        <v>5</v>
      </c>
    </row>
    <row r="27" customFormat="false" ht="15" hidden="false" customHeight="false" outlineLevel="0" collapsed="false">
      <c r="A27" s="33"/>
      <c r="B27" s="52" t="s">
        <v>156</v>
      </c>
      <c r="C27" s="52" t="s">
        <v>157</v>
      </c>
      <c r="D27" s="52" t="s">
        <v>158</v>
      </c>
      <c r="E27" s="52" t="s">
        <v>159</v>
      </c>
      <c r="F27" s="52" t="s">
        <v>160</v>
      </c>
    </row>
    <row r="28" customFormat="false" ht="15" hidden="false" customHeight="false" outlineLevel="0" collapsed="false">
      <c r="A28" s="4" t="s">
        <v>44</v>
      </c>
      <c r="B28" s="75" t="n">
        <f aca="false">SUMIF(Monthly!$C$5:$BJ$5,B$26,Monthly!$C$37:$BJ$37)</f>
        <v>1180182.39164623</v>
      </c>
      <c r="C28" s="75" t="n">
        <f aca="false">SUMIF(Monthly!$C$5:$BJ$5,C$26,Monthly!$C$37:$BJ$37)</f>
        <v>1805881.4666632</v>
      </c>
      <c r="D28" s="75" t="n">
        <f aca="false">SUMIF(Monthly!$C$5:$BJ$5,D$26,Monthly!$C$37:$BJ$37)</f>
        <v>2080276.59708741</v>
      </c>
      <c r="E28" s="75" t="n">
        <f aca="false">SUMIF(Monthly!$C$5:$BJ$5,E$26,Monthly!$C$37:$BJ$37)</f>
        <v>2282431.11225691</v>
      </c>
      <c r="F28" s="75" t="n">
        <f aca="false">SUMIF(Monthly!$C$5:$BJ$5,F$26,Monthly!$C$37:$BJ$37)</f>
        <v>2440877.21952545</v>
      </c>
    </row>
    <row r="29" customFormat="false" ht="15" hidden="false" customHeight="false" outlineLevel="0" collapsed="false">
      <c r="A29" s="6" t="s">
        <v>45</v>
      </c>
      <c r="B29" s="69" t="n">
        <f aca="false">SUMIF(Monthly!$C$5:$BJ$5,B$26,Monthly!$C$46:$BJ$46)</f>
        <v>999760.792729705</v>
      </c>
      <c r="C29" s="69" t="n">
        <f aca="false">SUMIF(Monthly!$C$5:$BJ$5,C$26,Monthly!$C$46:$BJ$46)</f>
        <v>1517202.40846174</v>
      </c>
      <c r="D29" s="69" t="n">
        <f aca="false">SUMIF(Monthly!$C$5:$BJ$5,D$26,Monthly!$C$46:$BJ$46)</f>
        <v>1736853.94773209</v>
      </c>
      <c r="E29" s="69" t="n">
        <f aca="false">SUMIF(Monthly!$C$5:$BJ$5,E$26,Monthly!$C$46:$BJ$46)</f>
        <v>1897646.63058091</v>
      </c>
      <c r="F29" s="69" t="n">
        <f aca="false">SUMIF(Monthly!$C$5:$BJ$5,F$26,Monthly!$C$46:$BJ$46)</f>
        <v>2022782.03003303</v>
      </c>
    </row>
    <row r="30" customFormat="false" ht="15" hidden="false" customHeight="false" outlineLevel="0" collapsed="false">
      <c r="A30" s="38" t="s">
        <v>161</v>
      </c>
      <c r="B30" s="76" t="n">
        <f aca="false">IF(B28=0,0,B29/B28)</f>
        <v>0.847123969825669</v>
      </c>
      <c r="C30" s="76" t="n">
        <f aca="false">IF(C28=0,0,C29/C28)</f>
        <v>0.840145068471817</v>
      </c>
      <c r="D30" s="76" t="n">
        <f aca="false">IF(D28=0,0,D29/D28)</f>
        <v>0.83491490995181</v>
      </c>
      <c r="E30" s="76" t="n">
        <f aca="false">IF(E28=0,0,E29/E28)</f>
        <v>0.831414635206437</v>
      </c>
      <c r="F30" s="76" t="n">
        <f aca="false">IF(F28=0,0,F29/F28)</f>
        <v>0.828711093639644</v>
      </c>
    </row>
    <row r="31" customFormat="false" ht="15" hidden="false" customHeight="false" outlineLevel="0" collapsed="false">
      <c r="A31" s="6" t="s">
        <v>162</v>
      </c>
      <c r="B31" s="69" t="n">
        <f aca="false">-SUMIF(Monthly!$C$5:$BJ$5,B$26,Monthly!$C$54:$BJ$54)</f>
        <v>1123040</v>
      </c>
      <c r="C31" s="69" t="n">
        <f aca="false">-SUMIF(Monthly!$C$5:$BJ$5,C$26,Monthly!$C$54:$BJ$54)</f>
        <v>1123611.2</v>
      </c>
      <c r="D31" s="69" t="n">
        <f aca="false">-SUMIF(Monthly!$C$5:$BJ$5,D$26,Monthly!$C$54:$BJ$54)</f>
        <v>1130823.536</v>
      </c>
      <c r="E31" s="69" t="n">
        <f aca="false">-SUMIF(Monthly!$C$5:$BJ$5,E$26,Monthly!$C$54:$BJ$54)</f>
        <v>1143551.44208</v>
      </c>
      <c r="F31" s="69" t="n">
        <f aca="false">-SUMIF(Monthly!$C$5:$BJ$5,F$26,Monthly!$C$54:$BJ$54)</f>
        <v>1160900.5453424</v>
      </c>
    </row>
    <row r="32" customFormat="false" ht="15" hidden="false" customHeight="false" outlineLevel="0" collapsed="false">
      <c r="A32" s="4" t="s">
        <v>163</v>
      </c>
      <c r="B32" s="75" t="n">
        <f aca="false">IF(B30&gt;0,B31/B30,"n/a")</f>
        <v>1325709.15238193</v>
      </c>
      <c r="C32" s="75" t="n">
        <f aca="false">IF(C30&gt;0,C31/C30,"n/a")</f>
        <v>1337401.4109775</v>
      </c>
      <c r="D32" s="75" t="n">
        <f aca="false">IF(D30&gt;0,D31/D30,"n/a")</f>
        <v>1354417.70475182</v>
      </c>
      <c r="E32" s="75" t="n">
        <f aca="false">IF(E30&gt;0,E31/E30,"n/a")</f>
        <v>1375428.56915919</v>
      </c>
      <c r="F32" s="75" t="n">
        <f aca="false">IF(F30&gt;0,F31/F30,"n/a")</f>
        <v>1400850.73586236</v>
      </c>
    </row>
    <row r="33" customFormat="false" ht="15" hidden="false" customHeight="false" outlineLevel="0" collapsed="false">
      <c r="A33" s="38" t="s">
        <v>164</v>
      </c>
      <c r="B33" s="76" t="n">
        <f aca="false">IF(AND(ISNUMBER(B32),B28&gt;0),(B28-B32)/B28,"n/a")</f>
        <v>-0.123308703608688</v>
      </c>
      <c r="C33" s="76" t="n">
        <f aca="false">IF(AND(ISNUMBER(C32),C28&gt;0),(C28-C32)/C28,"n/a")</f>
        <v>0.259419050659689</v>
      </c>
      <c r="D33" s="76" t="n">
        <f aca="false">IF(AND(ISNUMBER(D32),D28&gt;0),(D28-D32)/D28,"n/a")</f>
        <v>0.34892422159239</v>
      </c>
      <c r="E33" s="76" t="n">
        <f aca="false">IF(AND(ISNUMBER(E32),E28&gt;0),(E28-E32)/E28,"n/a")</f>
        <v>0.397384410958569</v>
      </c>
      <c r="F33" s="76" t="n">
        <f aca="false">IF(AND(ISNUMBER(F32),F28&gt;0),(F28-F32)/F28,"n/a")</f>
        <v>0.426087176914735</v>
      </c>
    </row>
    <row r="35" customFormat="false" ht="15" hidden="false" customHeight="false" outlineLevel="0" collapsed="false">
      <c r="A35" s="38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166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167</v>
      </c>
    </row>
    <row r="3" customFormat="false" ht="15" hidden="false" customHeight="false" outlineLevel="0" collapsed="false">
      <c r="A3" s="4" t="s">
        <v>135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168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8" t="s">
        <v>169</v>
      </c>
      <c r="B6" s="77" t="n">
        <f aca="false">Inputs!$E$85</f>
        <v>0.25</v>
      </c>
    </row>
    <row r="7" customFormat="false" ht="15" hidden="false" customHeight="false" outlineLevel="0" collapsed="false">
      <c r="A7" s="38" t="s">
        <v>170</v>
      </c>
      <c r="B7" s="77" t="n">
        <f aca="false">Inputs!$E$86</f>
        <v>0.02</v>
      </c>
    </row>
    <row r="8" customFormat="false" ht="15" hidden="false" customHeight="false" outlineLevel="0" collapsed="false">
      <c r="A8" s="6" t="s">
        <v>171</v>
      </c>
      <c r="B8" s="78" t="n">
        <f aca="false">Inputs!$E$87</f>
        <v>4</v>
      </c>
    </row>
    <row r="9" customFormat="false" ht="15" hidden="false" customHeight="false" outlineLevel="0" collapsed="false">
      <c r="A9" s="38" t="s">
        <v>172</v>
      </c>
      <c r="B9" s="77" t="n">
        <f aca="false">Inputs!$E$79</f>
        <v>0.21</v>
      </c>
    </row>
    <row r="10" customFormat="false" ht="15" hidden="false" customHeight="false" outlineLevel="0" collapsed="false">
      <c r="A10" s="38" t="s">
        <v>173</v>
      </c>
      <c r="B10" s="77" t="n">
        <f aca="false">Inputs!$E$88</f>
        <v>0.01</v>
      </c>
    </row>
    <row r="11" customFormat="false" ht="15" hidden="false" customHeight="false" outlineLevel="0" collapsed="false">
      <c r="A11" s="38" t="s">
        <v>174</v>
      </c>
      <c r="B11" s="77" t="n">
        <f aca="false">Inputs!$E$89</f>
        <v>0.005</v>
      </c>
    </row>
    <row r="13" customFormat="false" ht="15.75" hidden="false" customHeight="true" outlineLevel="0" collapsed="false">
      <c r="A13" s="7" t="s">
        <v>175</v>
      </c>
      <c r="B13" s="7"/>
      <c r="C13" s="7"/>
      <c r="D13" s="7"/>
      <c r="E13" s="7"/>
      <c r="F13" s="7"/>
    </row>
    <row r="14" customFormat="false" ht="15" hidden="false" customHeight="false" outlineLevel="0" collapsed="false">
      <c r="A14" s="74" t="s">
        <v>155</v>
      </c>
      <c r="B14" s="74" t="n">
        <v>1</v>
      </c>
      <c r="C14" s="74" t="n">
        <v>2</v>
      </c>
      <c r="D14" s="74" t="n">
        <v>3</v>
      </c>
      <c r="E14" s="74" t="n">
        <v>4</v>
      </c>
      <c r="F14" s="74" t="n">
        <v>5</v>
      </c>
    </row>
    <row r="15" customFormat="false" ht="15" hidden="false" customHeight="false" outlineLevel="0" collapsed="false">
      <c r="A15" s="33"/>
      <c r="B15" s="52" t="s">
        <v>156</v>
      </c>
      <c r="C15" s="52" t="s">
        <v>157</v>
      </c>
      <c r="D15" s="52" t="s">
        <v>158</v>
      </c>
      <c r="E15" s="52" t="s">
        <v>159</v>
      </c>
      <c r="F15" s="52" t="s">
        <v>160</v>
      </c>
    </row>
    <row r="16" customFormat="false" ht="15" hidden="false" customHeight="false" outlineLevel="0" collapsed="false">
      <c r="A16" s="6" t="s">
        <v>48</v>
      </c>
      <c r="B16" s="69" t="n">
        <f aca="false">SUMIF(Monthly!$C$5:$BJ$5,B$14,Monthly!$C$55:$BJ$55)</f>
        <v>-123279.207270295</v>
      </c>
      <c r="C16" s="69" t="n">
        <f aca="false">SUMIF(Monthly!$C$5:$BJ$5,C$14,Monthly!$C$55:$BJ$55)</f>
        <v>393591.208461737</v>
      </c>
      <c r="D16" s="69" t="n">
        <f aca="false">SUMIF(Monthly!$C$5:$BJ$5,D$14,Monthly!$C$55:$BJ$55)</f>
        <v>606030.411732089</v>
      </c>
      <c r="E16" s="69" t="n">
        <f aca="false">SUMIF(Monthly!$C$5:$BJ$5,E$14,Monthly!$C$55:$BJ$55)</f>
        <v>754095.188500905</v>
      </c>
      <c r="F16" s="69" t="n">
        <f aca="false">SUMIF(Monthly!$C$5:$BJ$5,F$14,Monthly!$C$55:$BJ$55)</f>
        <v>861881.484690629</v>
      </c>
    </row>
    <row r="17" customFormat="false" ht="15" hidden="false" customHeight="false" outlineLevel="0" collapsed="false">
      <c r="A17" s="4" t="s">
        <v>176</v>
      </c>
      <c r="B17" s="75" t="n">
        <f aca="false">SUMIF(Monthly!$C$5:$BJ$5,B$14,Monthly!$C$107:$BJ$107)</f>
        <v>-4276571.49037015</v>
      </c>
      <c r="C17" s="75" t="n">
        <f aca="false">SUMIF(Monthly!$C$5:$BJ$5,C$14,Monthly!$C$107:$BJ$107)</f>
        <v>307389.703532665</v>
      </c>
      <c r="D17" s="75" t="n">
        <f aca="false">SUMIF(Monthly!$C$5:$BJ$5,D$14,Monthly!$C$107:$BJ$107)</f>
        <v>525282.10538278</v>
      </c>
      <c r="E17" s="75" t="n">
        <f aca="false">SUMIF(Monthly!$C$5:$BJ$5,E$14,Monthly!$C$107:$BJ$107)</f>
        <v>678762.373842083</v>
      </c>
      <c r="F17" s="75" t="n">
        <f aca="false">SUMIF(Monthly!$C$5:$BJ$5,F$14,Monthly!$C$107:$BJ$107)</f>
        <v>791941.533116606</v>
      </c>
    </row>
    <row r="18" customFormat="false" ht="15" hidden="false" customHeight="false" outlineLevel="0" collapsed="false">
      <c r="A18" s="6" t="s">
        <v>177</v>
      </c>
      <c r="B18" s="79" t="n">
        <f aca="false">1/(1+Inputs!$E$85)^B$14</f>
        <v>0.8</v>
      </c>
      <c r="C18" s="79" t="n">
        <f aca="false">1/(1+Inputs!$E$85)^C$14</f>
        <v>0.64</v>
      </c>
      <c r="D18" s="79" t="n">
        <f aca="false">1/(1+Inputs!$E$85)^D$14</f>
        <v>0.512</v>
      </c>
      <c r="E18" s="79" t="n">
        <f aca="false">1/(1+Inputs!$E$85)^E$14</f>
        <v>0.4096</v>
      </c>
      <c r="F18" s="79" t="n">
        <f aca="false">1/(1+Inputs!$E$85)^F$14</f>
        <v>0.32768</v>
      </c>
    </row>
    <row r="19" customFormat="false" ht="15" hidden="false" customHeight="false" outlineLevel="0" collapsed="false">
      <c r="A19" s="6" t="s">
        <v>178</v>
      </c>
      <c r="B19" s="69" t="n">
        <f aca="false">B17*B18</f>
        <v>-3421257.19229612</v>
      </c>
      <c r="C19" s="69" t="n">
        <f aca="false">C17*C18</f>
        <v>196729.410260905</v>
      </c>
      <c r="D19" s="69" t="n">
        <f aca="false">D17*D18</f>
        <v>268944.437955983</v>
      </c>
      <c r="E19" s="69" t="n">
        <f aca="false">E17*E18</f>
        <v>278021.068325717</v>
      </c>
      <c r="F19" s="69" t="n">
        <f aca="false">F17*F18</f>
        <v>259503.401571649</v>
      </c>
    </row>
    <row r="21" customFormat="false" ht="15.75" hidden="false" customHeight="true" outlineLevel="0" collapsed="false">
      <c r="A21" s="7" t="s">
        <v>179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52" t="s">
        <v>180</v>
      </c>
      <c r="C22" s="52" t="s">
        <v>181</v>
      </c>
    </row>
    <row r="23" customFormat="false" ht="15" hidden="false" customHeight="false" outlineLevel="0" collapsed="false">
      <c r="A23" s="6" t="s">
        <v>182</v>
      </c>
      <c r="B23" s="69" t="n">
        <f aca="false">SUM($B$19:$F$19)</f>
        <v>-2418058.87418186</v>
      </c>
      <c r="C23" s="69" t="n">
        <f aca="false">B23</f>
        <v>-2418058.87418186</v>
      </c>
    </row>
    <row r="24" customFormat="false" ht="15" hidden="false" customHeight="false" outlineLevel="0" collapsed="false">
      <c r="A24" s="6" t="s">
        <v>183</v>
      </c>
      <c r="B24" s="69" t="n">
        <f aca="false">$F$17</f>
        <v>791941.533116606</v>
      </c>
      <c r="C24" s="69" t="n">
        <f aca="false">$F$16</f>
        <v>861881.484690629</v>
      </c>
    </row>
    <row r="25" customFormat="false" ht="15" hidden="false" customHeight="false" outlineLevel="0" collapsed="false">
      <c r="A25" s="6" t="s">
        <v>184</v>
      </c>
      <c r="B25" s="69" t="n">
        <f aca="false">IF($B$6&gt;$B$7,B24*(1+$B$7)/($B$6-$B$7),0)</f>
        <v>3512088.53816929</v>
      </c>
      <c r="C25" s="69" t="n">
        <f aca="false">C24*$B$8</f>
        <v>3447525.93876252</v>
      </c>
    </row>
    <row r="26" customFormat="false" ht="15" hidden="false" customHeight="false" outlineLevel="0" collapsed="false">
      <c r="A26" s="6" t="s">
        <v>185</v>
      </c>
      <c r="B26" s="69" t="n">
        <f aca="false">B25/(1+$B$6)^$F$14</f>
        <v>1150841.17218731</v>
      </c>
      <c r="C26" s="69" t="n">
        <f aca="false">C25/(1+$B$6)^$F$14</f>
        <v>1129685.2996137</v>
      </c>
    </row>
    <row r="27" customFormat="false" ht="15" hidden="false" customHeight="false" outlineLevel="0" collapsed="false">
      <c r="A27" s="4" t="s">
        <v>179</v>
      </c>
      <c r="B27" s="70" t="n">
        <f aca="false">B23+B26</f>
        <v>-1267217.70199455</v>
      </c>
      <c r="C27" s="70" t="n">
        <f aca="false">C23+C26</f>
        <v>-1288373.57456816</v>
      </c>
    </row>
    <row r="28" customFormat="false" ht="15" hidden="false" customHeight="false" outlineLevel="0" collapsed="false">
      <c r="A28" s="38" t="s">
        <v>186</v>
      </c>
      <c r="B28" s="76" t="n">
        <f aca="false">IF(B27&lt;&gt;0,B26/B27,0)</f>
        <v>-0.908163743590338</v>
      </c>
      <c r="C28" s="76" t="n">
        <f aca="false">IF(C27&lt;&gt;0,C26/C27,0)</f>
        <v>-0.876830541943046</v>
      </c>
    </row>
    <row r="29" customFormat="false" ht="15" hidden="false" customHeight="false" outlineLevel="0" collapsed="false">
      <c r="A29" s="6" t="s">
        <v>187</v>
      </c>
      <c r="B29" s="80" t="n">
        <f aca="false">IF(C24&gt;0,B25/C24,"n/a")</f>
        <v>4.07490890633293</v>
      </c>
      <c r="C29" s="76" t="n">
        <f aca="false">IF(C25+B24&lt;&gt;0,(C25*$B$6-B24)/(C25+B24),"n/a")</f>
        <v>0.0164973436022197</v>
      </c>
    </row>
    <row r="30" customFormat="false" ht="15" hidden="false" customHeight="false" outlineLevel="0" collapsed="false">
      <c r="A30" s="72" t="s">
        <v>188</v>
      </c>
      <c r="B30" s="73" t="n">
        <f aca="false">AVERAGE(B27,C27)</f>
        <v>-1277795.63828136</v>
      </c>
    </row>
    <row r="32" customFormat="false" ht="15.75" hidden="false" customHeight="true" outlineLevel="0" collapsed="false">
      <c r="A32" s="7" t="s">
        <v>189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190</v>
      </c>
      <c r="B33" s="81" t="n">
        <f aca="false">$B$7+(-2)*$B$11</f>
        <v>0.01</v>
      </c>
      <c r="C33" s="81" t="n">
        <f aca="false">$B$7+(-1)*$B$11</f>
        <v>0.015</v>
      </c>
      <c r="D33" s="81" t="n">
        <f aca="false">$B$7+(0)*$B$11</f>
        <v>0.02</v>
      </c>
      <c r="E33" s="81" t="n">
        <f aca="false">$B$7+(1)*$B$11</f>
        <v>0.025</v>
      </c>
      <c r="F33" s="81" t="n">
        <f aca="false">$B$7+(2)*$B$11</f>
        <v>0.03</v>
      </c>
    </row>
    <row r="34" customFormat="false" ht="15" hidden="false" customHeight="false" outlineLevel="0" collapsed="false">
      <c r="A34" s="76" t="n">
        <f aca="false">$B$6+(-2)*$B$10</f>
        <v>0.23</v>
      </c>
      <c r="B34" s="69" t="n">
        <f aca="false">IF($A34&gt;B$33,SUMPRODUCT($B$17:$F$17/(1+$A34)^$B$14:$F$14)+$F$17*(1+B$33)/($A34-B$33)/(1+$A34)^$F$14,"n/a")</f>
        <v>-1122165.65413009</v>
      </c>
      <c r="C34" s="69" t="n">
        <f aca="false">IF($A34&gt;C$33,SUMPRODUCT($B$17:$F$17/(1+$A34)^$B$14:$F$14)+$F$17*(1+C$33)/($A34-C$33)/(1+$A34)^$F$14,"n/a")</f>
        <v>-1085590.88968112</v>
      </c>
      <c r="D34" s="69" t="n">
        <f aca="false">IF($A34&gt;D$33,SUMPRODUCT($B$17:$F$17/(1+$A34)^$B$14:$F$14)+$F$17*(1+D$33)/($A34-D$33)/(1+$A34)^$F$14,"n/a")</f>
        <v>-1047274.4697822</v>
      </c>
      <c r="E34" s="69" t="n">
        <f aca="false">IF($A34&gt;E$33,SUMPRODUCT($B$17:$F$17/(1+$A34)^$B$14:$F$14)+$F$17*(1+E$33)/($A34-E$33)/(1+$A34)^$F$14,"n/a")</f>
        <v>-1007088.95622967</v>
      </c>
      <c r="F34" s="69" t="n">
        <f aca="false">IF($A34&gt;F$33,SUMPRODUCT($B$17:$F$17/(1+$A34)^$B$14:$F$14)+$F$17*(1+F$33)/($A34-F$33)/(1+$A34)^$F$14,"n/a")</f>
        <v>-964894.166999517</v>
      </c>
    </row>
    <row r="35" customFormat="false" ht="15" hidden="false" customHeight="false" outlineLevel="0" collapsed="false">
      <c r="A35" s="76" t="n">
        <f aca="false">$B$6+(-1)*$B$10</f>
        <v>0.24</v>
      </c>
      <c r="B35" s="69" t="n">
        <f aca="false">IF($A35&gt;B$33,SUMPRODUCT($B$17:$F$17/(1+$A35)^$B$14:$F$14)+$F$17*(1+B$33)/($A35-B$33)/(1+$A35)^$F$14,"n/a")</f>
        <v>-1229937.51273921</v>
      </c>
      <c r="C35" s="69" t="n">
        <f aca="false">IF($A35&gt;C$33,SUMPRODUCT($B$17:$F$17/(1+$A35)^$B$14:$F$14)+$F$17*(1+C$33)/($A35-C$33)/(1+$A35)^$F$14,"n/a")</f>
        <v>-1197573.2267974</v>
      </c>
      <c r="D35" s="69" t="n">
        <f aca="false">IF($A35&gt;D$33,SUMPRODUCT($B$17:$F$17/(1+$A35)^$B$14:$F$14)+$F$17*(1+D$33)/($A35-D$33)/(1+$A35)^$F$14,"n/a")</f>
        <v>-1163737.83694915</v>
      </c>
      <c r="E35" s="69" t="n">
        <f aca="false">IF($A35&gt;E$33,SUMPRODUCT($B$17:$F$17/(1+$A35)^$B$14:$F$14)+$F$17*(1+E$33)/($A35-E$33)/(1+$A35)^$F$14,"n/a")</f>
        <v>-1128328.70803819</v>
      </c>
      <c r="F35" s="69" t="n">
        <f aca="false">IF($A35&gt;F$33,SUMPRODUCT($B$17:$F$17/(1+$A35)^$B$14:$F$14)+$F$17*(1+F$33)/($A35-F$33)/(1+$A35)^$F$14,"n/a")</f>
        <v>-1091233.43013147</v>
      </c>
    </row>
    <row r="36" customFormat="false" ht="15" hidden="false" customHeight="false" outlineLevel="0" collapsed="false">
      <c r="A36" s="76" t="n">
        <f aca="false">$B$6+(0)*$B$10</f>
        <v>0.25</v>
      </c>
      <c r="B36" s="69" t="n">
        <f aca="false">IF($A36&gt;B$33,SUMPRODUCT($B$17:$F$17/(1+$A36)^$B$14:$F$14)+$F$17*(1+B$33)/($A36-B$33)/(1+$A36)^$F$14,"n/a")</f>
        <v>-1325982.05923451</v>
      </c>
      <c r="C36" s="69" t="n">
        <f aca="false">IF($A36&gt;C$33,SUMPRODUCT($B$17:$F$17/(1+$A36)^$B$14:$F$14)+$F$17*(1+C$33)/($A36-C$33)/(1+$A36)^$F$14,"n/a")</f>
        <v>-1297225.03335112</v>
      </c>
      <c r="D36" s="69" t="n">
        <f aca="false">IF($A36&gt;D$33,SUMPRODUCT($B$17:$F$17/(1+$A36)^$B$14:$F$14)+$F$17*(1+D$33)/($A36-D$33)/(1+$A36)^$F$14,"n/a")</f>
        <v>-1267217.70199455</v>
      </c>
      <c r="E36" s="69" t="n">
        <f aca="false">IF($A36&gt;E$33,SUMPRODUCT($B$17:$F$17/(1+$A36)^$B$14:$F$14)+$F$17*(1+E$33)/($A36-E$33)/(1+$A36)^$F$14,"n/a")</f>
        <v>-1235876.71146657</v>
      </c>
      <c r="F36" s="69" t="n">
        <f aca="false">IF($A36&gt;F$33,SUMPRODUCT($B$17:$F$17/(1+$A36)^$B$14:$F$14)+$F$17*(1+F$33)/($A36-F$33)/(1+$A36)^$F$14,"n/a")</f>
        <v>-1203111.13046005</v>
      </c>
    </row>
    <row r="37" customFormat="false" ht="15" hidden="false" customHeight="false" outlineLevel="0" collapsed="false">
      <c r="A37" s="76" t="n">
        <f aca="false">$B$6+(1)*$B$10</f>
        <v>0.26</v>
      </c>
      <c r="B37" s="69" t="n">
        <f aca="false">IF($A37&gt;B$33,SUMPRODUCT($B$17:$F$17/(1+$A37)^$B$14:$F$14)+$F$17*(1+B$33)/($A37-B$33)/(1+$A37)^$F$14,"n/a")</f>
        <v>-1411780.26753248</v>
      </c>
      <c r="C37" s="69" t="n">
        <f aca="false">IF($A37&gt;C$33,SUMPRODUCT($B$17:$F$17/(1+$A37)^$B$14:$F$14)+$F$17*(1+C$33)/($A37-C$33)/(1+$A37)^$F$14,"n/a")</f>
        <v>-1386131.00688806</v>
      </c>
      <c r="D37" s="69" t="n">
        <f aca="false">IF($A37&gt;D$33,SUMPRODUCT($B$17:$F$17/(1+$A37)^$B$14:$F$14)+$F$17*(1+D$33)/($A37-D$33)/(1+$A37)^$F$14,"n/a")</f>
        <v>-1359413.02705011</v>
      </c>
      <c r="E37" s="69" t="n">
        <f aca="false">IF($A37&gt;E$33,SUMPRODUCT($B$17:$F$17/(1+$A37)^$B$14:$F$14)+$F$17*(1+E$33)/($A37-E$33)/(1+$A37)^$F$14,"n/a")</f>
        <v>-1331558.11189991</v>
      </c>
      <c r="F37" s="69" t="n">
        <f aca="false">IF($A37&gt;F$33,SUMPRODUCT($B$17:$F$17/(1+$A37)^$B$14:$F$14)+$F$17*(1+F$33)/($A37-F$33)/(1+$A37)^$F$14,"n/a")</f>
        <v>-1302492.11348231</v>
      </c>
    </row>
    <row r="38" customFormat="false" ht="15" hidden="false" customHeight="false" outlineLevel="0" collapsed="false">
      <c r="A38" s="76" t="n">
        <f aca="false">$B$6+(2)*$B$10</f>
        <v>0.27</v>
      </c>
      <c r="B38" s="69" t="n">
        <f aca="false">IF($A38&gt;B$33,SUMPRODUCT($B$17:$F$17/(1+$A38)^$B$14:$F$14)+$F$17*(1+B$33)/($A38-B$33)/(1+$A38)^$F$14,"n/a")</f>
        <v>-1488582.60167943</v>
      </c>
      <c r="C38" s="69" t="n">
        <f aca="false">IF($A38&gt;C$33,SUMPRODUCT($B$17:$F$17/(1+$A38)^$B$14:$F$14)+$F$17*(1+C$33)/($A38-C$33)/(1+$A38)^$F$14,"n/a")</f>
        <v>-1465624.56676066</v>
      </c>
      <c r="D38" s="69" t="n">
        <f aca="false">IF($A38&gt;D$33,SUMPRODUCT($B$17:$F$17/(1+$A38)^$B$14:$F$14)+$F$17*(1+D$33)/($A38-D$33)/(1+$A38)^$F$14,"n/a")</f>
        <v>-1441748.21044513</v>
      </c>
      <c r="E38" s="69" t="n">
        <f aca="false">IF($A38&gt;E$33,SUMPRODUCT($B$17:$F$17/(1+$A38)^$B$14:$F$14)+$F$17*(1+E$33)/($A38-E$33)/(1+$A38)^$F$14,"n/a")</f>
        <v>-1416897.30897387</v>
      </c>
      <c r="F38" s="69" t="n">
        <f aca="false">IF($A38&gt;F$33,SUMPRODUCT($B$17:$F$17/(1+$A38)^$B$14:$F$14)+$F$17*(1+F$33)/($A38-F$33)/(1+$A38)^$F$14,"n/a")</f>
        <v>-1391010.95327463</v>
      </c>
    </row>
    <row r="40" customFormat="false" ht="15" hidden="false" customHeight="false" outlineLevel="0" collapsed="false">
      <c r="A40" s="38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192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193</v>
      </c>
    </row>
    <row r="3" customFormat="false" ht="15" hidden="false" customHeight="false" outlineLevel="0" collapsed="false">
      <c r="A3" s="4" t="s">
        <v>135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194</v>
      </c>
      <c r="B5" s="7"/>
      <c r="C5" s="7"/>
    </row>
    <row r="6" customFormat="false" ht="15" hidden="false" customHeight="false" outlineLevel="0" collapsed="false">
      <c r="B6" s="52" t="s">
        <v>195</v>
      </c>
      <c r="C6" s="52" t="s">
        <v>196</v>
      </c>
    </row>
    <row r="7" customFormat="false" ht="15" hidden="false" customHeight="false" outlineLevel="0" collapsed="false">
      <c r="A7" s="6" t="s">
        <v>197</v>
      </c>
      <c r="B7" s="82" t="n">
        <f aca="false">Inputs!$E$67</f>
        <v>2100000</v>
      </c>
      <c r="C7" s="76" t="n">
        <f aca="false">IF($B$9=0,0,B7/$B$9)</f>
        <v>0.411764705882353</v>
      </c>
    </row>
    <row r="8" customFormat="false" ht="15" hidden="false" customHeight="false" outlineLevel="0" collapsed="false">
      <c r="A8" s="6" t="s">
        <v>198</v>
      </c>
      <c r="B8" s="82" t="n">
        <f aca="false">Inputs!$E$68</f>
        <v>3000000</v>
      </c>
      <c r="C8" s="76" t="n">
        <f aca="false">IF($B$9=0,0,B8/$B$9)</f>
        <v>0.588235294117647</v>
      </c>
    </row>
    <row r="9" customFormat="false" ht="15" hidden="false" customHeight="false" outlineLevel="0" collapsed="false">
      <c r="A9" s="4" t="s">
        <v>199</v>
      </c>
      <c r="B9" s="83" t="n">
        <f aca="false">B7+B8</f>
        <v>5100000</v>
      </c>
      <c r="C9" s="84" t="n">
        <f aca="false">IF(B9=0,0,1)</f>
        <v>1</v>
      </c>
    </row>
    <row r="10" customFormat="false" ht="15" hidden="false" customHeight="false" outlineLevel="0" collapsed="false">
      <c r="A10" s="6" t="s">
        <v>200</v>
      </c>
      <c r="B10" s="80" t="n">
        <f aca="false">IF(B7&lt;=0,IF(B8&gt;0,"n/a",0),B8/B7)</f>
        <v>1.42857142857143</v>
      </c>
      <c r="D10" s="18" t="s">
        <v>201</v>
      </c>
    </row>
    <row r="11" customFormat="false" ht="15" hidden="false" customHeight="false" outlineLevel="0" collapsed="false">
      <c r="A11" s="6" t="s">
        <v>202</v>
      </c>
      <c r="B11" s="82" t="n">
        <f aca="false">'Break-even'!B12</f>
        <v>5249445.4614431</v>
      </c>
    </row>
    <row r="12" customFormat="false" ht="15" hidden="false" customHeight="false" outlineLevel="0" collapsed="false">
      <c r="A12" s="72" t="s">
        <v>67</v>
      </c>
      <c r="B12" s="85" t="n">
        <f aca="false">'Break-even'!B17</f>
        <v>-149445.461443098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203</v>
      </c>
      <c r="B15" s="86" t="n">
        <v>12</v>
      </c>
      <c r="D15" s="18" t="s">
        <v>204</v>
      </c>
    </row>
    <row r="16" customFormat="false" ht="15" hidden="false" customHeight="false" outlineLevel="0" collapsed="false">
      <c r="A16" s="6" t="s">
        <v>205</v>
      </c>
      <c r="B16" s="67" t="n">
        <f aca="false">MIN(60,MAX(1,ROUND(B15,0)))</f>
        <v>12</v>
      </c>
    </row>
    <row r="17" customFormat="false" ht="15" hidden="false" customHeight="false" outlineLevel="0" collapsed="false">
      <c r="A17" s="33" t="s">
        <v>206</v>
      </c>
      <c r="B17" s="52" t="s">
        <v>195</v>
      </c>
      <c r="C17" s="52" t="s">
        <v>196</v>
      </c>
    </row>
    <row r="18" customFormat="false" ht="15" hidden="false" customHeight="false" outlineLevel="0" collapsed="false">
      <c r="A18" s="6" t="s">
        <v>64</v>
      </c>
      <c r="B18" s="63" t="n">
        <f aca="false">SUMPRODUCT(--(Monthly!$C$4:$BJ$4&lt;=$B$16),Monthly!$C$94:$BJ$94)</f>
        <v>2100000</v>
      </c>
      <c r="C18" s="76" t="n">
        <f aca="false">IF($B$21=0,0,B18/$B$21)</f>
        <v>0.411764705882353</v>
      </c>
    </row>
    <row r="19" customFormat="false" ht="15" hidden="false" customHeight="false" outlineLevel="0" collapsed="false">
      <c r="A19" s="6" t="s">
        <v>207</v>
      </c>
      <c r="B19" s="63" t="n">
        <f aca="false">SUMPRODUCT(--(Monthly!$C$4:$BJ$4&lt;=$B$16),Monthly!$C$79:$BJ$79)</f>
        <v>3000000</v>
      </c>
      <c r="C19" s="76" t="n">
        <f aca="false">IF($B$21=0,0,B19/$B$21)</f>
        <v>0.588235294117647</v>
      </c>
    </row>
    <row r="20" customFormat="false" ht="15" hidden="false" customHeight="false" outlineLevel="0" collapsed="false">
      <c r="A20" s="6" t="s">
        <v>208</v>
      </c>
      <c r="B20" s="63" t="n">
        <f aca="false">MAX(0,SUMPRODUCT(--(Monthly!$C$4:$BJ$4&lt;=$B$16),Monthly!$C$92:$BJ$92))</f>
        <v>0</v>
      </c>
      <c r="C20" s="76" t="n">
        <f aca="false">IF($B$21=0,0,B20/$B$21)</f>
        <v>0</v>
      </c>
    </row>
    <row r="21" customFormat="false" ht="15" hidden="false" customHeight="false" outlineLevel="0" collapsed="false">
      <c r="A21" s="4" t="s">
        <v>209</v>
      </c>
      <c r="B21" s="83" t="n">
        <f aca="false">SUM(B18:B20)</f>
        <v>5100000</v>
      </c>
      <c r="C21" s="84" t="n">
        <f aca="false">IF(B21=0,0,1)</f>
        <v>1</v>
      </c>
    </row>
    <row r="23" customFormat="false" ht="15" hidden="false" customHeight="false" outlineLevel="0" collapsed="false">
      <c r="A23" s="33" t="s">
        <v>210</v>
      </c>
      <c r="B23" s="52" t="s">
        <v>195</v>
      </c>
      <c r="C23" s="52" t="s">
        <v>196</v>
      </c>
    </row>
    <row r="24" customFormat="false" ht="15" hidden="false" customHeight="false" outlineLevel="0" collapsed="false">
      <c r="A24" s="6" t="s">
        <v>211</v>
      </c>
      <c r="B24" s="63" t="n">
        <f aca="false">MAX(0,-SUMPRODUCT(--(Monthly!$C$4:$BJ$4&lt;=$B$16),Monthly!$C$92:$BJ$92))</f>
        <v>369557.792453481</v>
      </c>
      <c r="C24" s="76" t="n">
        <f aca="false">IF($B$28=0,0,B24/$B$28)</f>
        <v>0.0724623122457806</v>
      </c>
    </row>
    <row r="25" customFormat="false" ht="15" hidden="false" customHeight="false" outlineLevel="0" collapsed="false">
      <c r="A25" s="6" t="s">
        <v>84</v>
      </c>
      <c r="B25" s="63" t="n">
        <f aca="false">-SUMPRODUCT(--(Monthly!$C$4:$BJ$4&lt;=$B$16),Monthly!$C$93:$BJ$93)</f>
        <v>4100000</v>
      </c>
      <c r="C25" s="76" t="n">
        <f aca="false">IF($B$28=0,0,B25/$B$28)</f>
        <v>0.803921568627451</v>
      </c>
    </row>
    <row r="26" customFormat="false" ht="15" hidden="false" customHeight="false" outlineLevel="0" collapsed="false">
      <c r="A26" s="6" t="s">
        <v>212</v>
      </c>
      <c r="B26" s="63" t="n">
        <f aca="false">-SUMPRODUCT(--(Monthly!$C$4:$BJ$4&lt;=$B$16),Monthly!$C$80:$BJ$80)</f>
        <v>275000</v>
      </c>
      <c r="C26" s="76" t="n">
        <f aca="false">IF($B$28=0,0,B26/$B$28)</f>
        <v>0.053921568627451</v>
      </c>
    </row>
    <row r="27" customFormat="false" ht="15" hidden="false" customHeight="false" outlineLevel="0" collapsed="false">
      <c r="A27" s="6" t="s">
        <v>213</v>
      </c>
      <c r="B27" s="63" t="n">
        <f aca="false">INDEX(Monthly!$C$98:$BJ$98,$B$16)</f>
        <v>355442.207546519</v>
      </c>
      <c r="C27" s="76" t="n">
        <f aca="false">IF($B$28=0,0,B27/$B$28)</f>
        <v>0.0696945504993175</v>
      </c>
    </row>
    <row r="28" customFormat="false" ht="15" hidden="false" customHeight="false" outlineLevel="0" collapsed="false">
      <c r="A28" s="4" t="s">
        <v>214</v>
      </c>
      <c r="B28" s="83" t="n">
        <f aca="false">SUM(B24:B27)</f>
        <v>5100000</v>
      </c>
      <c r="C28" s="84" t="n">
        <f aca="false">IF(B28=0,0,1)</f>
        <v>1</v>
      </c>
    </row>
    <row r="29" customFormat="false" ht="15" hidden="false" customHeight="false" outlineLevel="0" collapsed="false">
      <c r="A29" s="6" t="s">
        <v>215</v>
      </c>
      <c r="B29" s="63" t="n">
        <f aca="false">B21-B28</f>
        <v>0</v>
      </c>
    </row>
  </sheetData>
  <dataValidations count="1">
    <dataValidation allowBlank="false" errorStyle="stop" operator="between" prompt="A whole number from 1 to 60" promptTitle="Period" showDropDown="false" showErrorMessage="false" showInputMessage="true" sqref="B15" type="whole">
      <formula1>1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I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1.5"/>
    <col collapsed="false" customWidth="true" hidden="false" outlineLevel="0" max="8" min="8" style="0" width="2"/>
    <col collapsed="false" customWidth="true" hidden="false" outlineLevel="0" max="24" min="9" style="0" width="9"/>
  </cols>
  <sheetData>
    <row r="1" customFormat="false" ht="21.75" hidden="false" customHeight="true" outlineLevel="0" collapsed="false">
      <c r="A1" s="16" t="s">
        <v>216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217</v>
      </c>
    </row>
    <row r="4" customFormat="false" ht="15.75" hidden="false" customHeight="true" outlineLevel="0" collapsed="false">
      <c r="A4" s="7" t="s">
        <v>218</v>
      </c>
      <c r="B4" s="7"/>
      <c r="C4" s="7"/>
      <c r="D4" s="7"/>
      <c r="E4" s="7"/>
      <c r="F4" s="7"/>
      <c r="G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4" t="n">
        <v>4</v>
      </c>
      <c r="F5" s="34" t="n">
        <v>5</v>
      </c>
      <c r="G5" s="52" t="s">
        <v>219</v>
      </c>
    </row>
    <row r="6" customFormat="false" ht="15" hidden="false" customHeight="false" outlineLevel="0" collapsed="false">
      <c r="A6" s="38" t="s">
        <v>220</v>
      </c>
      <c r="B6" s="39" t="str">
        <f aca="false">IF(N('P&amp;L'!A5)&lt;=0,"n/a",'P&amp;L'!B5/'P&amp;L'!A5-1)</f>
        <v>n/a</v>
      </c>
      <c r="C6" s="39" t="n">
        <f aca="false">IF(N('P&amp;L'!B5)&lt;=0,"n/a",'P&amp;L'!C5/'P&amp;L'!B5-1)</f>
        <v>0.530171505223175</v>
      </c>
      <c r="D6" s="39" t="n">
        <f aca="false">IF(N('P&amp;L'!C5)&lt;=0,"n/a",'P&amp;L'!D5/'P&amp;L'!C5-1)</f>
        <v>0.151945260798993</v>
      </c>
      <c r="E6" s="39" t="n">
        <f aca="false">IF(N('P&amp;L'!D5)&lt;=0,"n/a",'P&amp;L'!E5/'P&amp;L'!D5-1)</f>
        <v>0.0971767482519128</v>
      </c>
      <c r="F6" s="39" t="n">
        <f aca="false">IF(N('P&amp;L'!E5)&lt;=0,"n/a",'P&amp;L'!F5/'P&amp;L'!E5-1)</f>
        <v>0.0694198858478854</v>
      </c>
      <c r="G6" s="87"/>
    </row>
    <row r="7" customFormat="false" ht="15" hidden="false" customHeight="false" outlineLevel="0" collapsed="false">
      <c r="A7" s="38" t="s">
        <v>46</v>
      </c>
      <c r="B7" s="39" t="n">
        <f aca="false">IF('P&amp;L'!B5&lt;=0,"n/a",'P&amp;L'!B7/'P&amp;L'!B5)</f>
        <v>0.847123969825669</v>
      </c>
      <c r="C7" s="39" t="n">
        <f aca="false">IF('P&amp;L'!C5&lt;=0,"n/a",'P&amp;L'!C7/'P&amp;L'!C5)</f>
        <v>0.840145068471817</v>
      </c>
      <c r="D7" s="39" t="n">
        <f aca="false">IF('P&amp;L'!D5&lt;=0,"n/a",'P&amp;L'!D7/'P&amp;L'!D5)</f>
        <v>0.83491490995181</v>
      </c>
      <c r="E7" s="39" t="n">
        <f aca="false">IF('P&amp;L'!E5&lt;=0,"n/a",'P&amp;L'!E7/'P&amp;L'!E5)</f>
        <v>0.831414635206437</v>
      </c>
      <c r="F7" s="39" t="n">
        <f aca="false">IF('P&amp;L'!F5&lt;=0,"n/a",'P&amp;L'!F7/'P&amp;L'!F5)</f>
        <v>0.828711093639644</v>
      </c>
      <c r="G7" s="87"/>
    </row>
    <row r="8" customFormat="false" ht="15" hidden="false" customHeight="false" outlineLevel="0" collapsed="false">
      <c r="A8" s="38" t="s">
        <v>49</v>
      </c>
      <c r="B8" s="39" t="n">
        <f aca="false">IF('P&amp;L'!B5&lt;=0,"n/a",'P&amp;L'!B15/'P&amp;L'!B5)</f>
        <v>-0.104457758515049</v>
      </c>
      <c r="C8" s="39" t="n">
        <f aca="false">IF('P&amp;L'!C5&lt;=0,"n/a",'P&amp;L'!C15/'P&amp;L'!C5)</f>
        <v>0.217949636079378</v>
      </c>
      <c r="D8" s="39" t="n">
        <f aca="false">IF('P&amp;L'!D5&lt;=0,"n/a",'P&amp;L'!D15/'P&amp;L'!D5)</f>
        <v>0.291322035050816</v>
      </c>
      <c r="E8" s="39" t="n">
        <f aca="false">IF('P&amp;L'!E5&lt;=0,"n/a",'P&amp;L'!E15/'P&amp;L'!E5)</f>
        <v>0.330391215073843</v>
      </c>
      <c r="F8" s="39" t="n">
        <f aca="false">IF('P&amp;L'!F5&lt;=0,"n/a",'P&amp;L'!F15/'P&amp;L'!F5)</f>
        <v>0.353103170366838</v>
      </c>
      <c r="G8" s="87"/>
    </row>
    <row r="9" customFormat="false" ht="15" hidden="false" customHeight="false" outlineLevel="0" collapsed="false">
      <c r="A9" s="38" t="s">
        <v>51</v>
      </c>
      <c r="B9" s="39" t="n">
        <f aca="false">IF('P&amp;L'!B5&lt;=0,"n/a",'P&amp;L'!B22/'P&amp;L'!B5)</f>
        <v>-0.600951460800047</v>
      </c>
      <c r="C9" s="39" t="n">
        <f aca="false">IF('P&amp;L'!C5&lt;=0,"n/a",'P&amp;L'!C22/'P&amp;L'!C5)</f>
        <v>-0.0942940025033336</v>
      </c>
      <c r="D9" s="39" t="n">
        <f aca="false">IF('P&amp;L'!D5&lt;=0,"n/a",'P&amp;L'!D22/'P&amp;L'!D5)</f>
        <v>0.0309199644358894</v>
      </c>
      <c r="E9" s="39" t="n">
        <f aca="false">IF('P&amp;L'!E5&lt;=0,"n/a",'P&amp;L'!E22/'P&amp;L'!E5)</f>
        <v>0.102764775933284</v>
      </c>
      <c r="F9" s="39" t="n">
        <f aca="false">IF('P&amp;L'!F5&lt;=0,"n/a",'P&amp;L'!F22/'P&amp;L'!F5)</f>
        <v>0.149334215492205</v>
      </c>
      <c r="G9" s="87"/>
    </row>
    <row r="10" customFormat="false" ht="15" hidden="false" customHeight="false" outlineLevel="0" collapsed="false">
      <c r="A10" s="38" t="s">
        <v>221</v>
      </c>
      <c r="B10" s="39" t="n">
        <f aca="false">IF('P&amp;L'!B5&lt;=0,"n/a",-SUMIF(Headcount!$C$5:$BJ$5,B$5,Headcount!$C$15:$BJ$15)/'P&amp;L'!B5)</f>
        <v>0.372010295279517</v>
      </c>
      <c r="C10" s="39" t="n">
        <f aca="false">IF('P&amp;L'!C5&lt;=0,"n/a",-SUMIF(Headcount!$C$5:$BJ$5,C$5,Headcount!$C$15:$BJ$15)/'P&amp;L'!C5)</f>
        <v>0.250410233643723</v>
      </c>
      <c r="D10" s="39" t="n">
        <f aca="false">IF('P&amp;L'!D5&lt;=0,"n/a",-SUMIF(Headcount!$C$5:$BJ$5,D$5,Headcount!$C$15:$BJ$15)/'P&amp;L'!D5)</f>
        <v>0.223901733381097</v>
      </c>
      <c r="E10" s="39" t="n">
        <f aca="false">IF('P&amp;L'!E5&lt;=0,"n/a",-SUMIF(Headcount!$C$5:$BJ$5,E$5,Headcount!$C$15:$BJ$15)/'P&amp;L'!E5)</f>
        <v>0.210192920830637</v>
      </c>
      <c r="F10" s="39" t="n">
        <f aca="false">IF('P&amp;L'!F5&lt;=0,"n/a",-SUMIF(Headcount!$C$5:$BJ$5,F$5,Headcount!$C$15:$BJ$15)/'P&amp;L'!F5)</f>
        <v>0.202444999686822</v>
      </c>
      <c r="G10" s="87"/>
    </row>
    <row r="11" customFormat="false" ht="15" hidden="false" customHeight="false" outlineLevel="0" collapsed="false">
      <c r="A11" s="38" t="s">
        <v>222</v>
      </c>
      <c r="B11" s="39" t="n">
        <f aca="false">IF('P&amp;L'!B5&lt;=0,"n/a",-'P&amp;L'!B13/'P&amp;L'!B5)</f>
        <v>0.1220150385392</v>
      </c>
      <c r="C11" s="39" t="n">
        <f aca="false">IF('P&amp;L'!C5&lt;=0,"n/a",-'P&amp;L'!C13/'P&amp;L'!C5)</f>
        <v>0.0637915622517905</v>
      </c>
      <c r="D11" s="39" t="n">
        <f aca="false">IF('P&amp;L'!D5&lt;=0,"n/a",-'P&amp;L'!D13/'P&amp;L'!D5)</f>
        <v>0.0443018010821413</v>
      </c>
      <c r="E11" s="39" t="n">
        <f aca="false">IF('P&amp;L'!E5&lt;=0,"n/a",-'P&amp;L'!E13/'P&amp;L'!E5)</f>
        <v>0.0323023987905143</v>
      </c>
      <c r="F11" s="39" t="n">
        <f aca="false">IF('P&amp;L'!F5&lt;=0,"n/a",-'P&amp;L'!F13/'P&amp;L'!F5)</f>
        <v>0.0241644272510631</v>
      </c>
      <c r="G11" s="87"/>
    </row>
    <row r="12" customFormat="false" ht="15" hidden="false" customHeight="false" outlineLevel="0" collapsed="false">
      <c r="A12" s="38" t="s">
        <v>223</v>
      </c>
      <c r="B12" s="39" t="n">
        <f aca="false">IF('P&amp;L'!B5&lt;=0,"n/a",-'P&amp;L'!B14/'P&amp;L'!B5)</f>
        <v>0.951581728340717</v>
      </c>
      <c r="C12" s="39" t="n">
        <f aca="false">IF('P&amp;L'!C5&lt;=0,"n/a",-'P&amp;L'!C14/'P&amp;L'!C5)</f>
        <v>0.622195432392439</v>
      </c>
      <c r="D12" s="39" t="n">
        <f aca="false">IF('P&amp;L'!D5&lt;=0,"n/a",-'P&amp;L'!D14/'P&amp;L'!D5)</f>
        <v>0.543592874900994</v>
      </c>
      <c r="E12" s="39" t="n">
        <f aca="false">IF('P&amp;L'!E5&lt;=0,"n/a",-'P&amp;L'!E14/'P&amp;L'!E5)</f>
        <v>0.501023420132594</v>
      </c>
      <c r="F12" s="39" t="n">
        <f aca="false">IF('P&amp;L'!F5&lt;=0,"n/a",-'P&amp;L'!F14/'P&amp;L'!F5)</f>
        <v>0.475607923272806</v>
      </c>
      <c r="G12" s="87"/>
    </row>
    <row r="13" customFormat="false" ht="15" hidden="false" customHeight="false" outlineLevel="0" collapsed="false">
      <c r="A13" s="6" t="s">
        <v>224</v>
      </c>
      <c r="B13" s="88" t="n">
        <f aca="false">IF(('Balance Sheet'!B12-'Balance Sheet'!B11)&lt;=0,"n/a",('Balance Sheet'!B5+'Balance Sheet'!B6+'Balance Sheet'!B7)/('Balance Sheet'!B12-'Balance Sheet'!B11))</f>
        <v>25.1352519854456</v>
      </c>
      <c r="C13" s="88" t="n">
        <f aca="false">IF(('Balance Sheet'!C12-'Balance Sheet'!C11)&lt;=0,"n/a",('Balance Sheet'!C5+'Balance Sheet'!C6+'Balance Sheet'!C7)/('Balance Sheet'!C12-'Balance Sheet'!C11))</f>
        <v>11.2828282810129</v>
      </c>
      <c r="D13" s="88" t="n">
        <f aca="false">IF(('Balance Sheet'!D12-'Balance Sheet'!D11)&lt;=0,"n/a",('Balance Sheet'!D5+'Balance Sheet'!D6+'Balance Sheet'!D7)/('Balance Sheet'!D12-'Balance Sheet'!D11))</f>
        <v>13.3028651428572</v>
      </c>
      <c r="E13" s="88" t="n">
        <f aca="false">IF(('Balance Sheet'!E12-'Balance Sheet'!E11)&lt;=0,"n/a",('Balance Sheet'!E5+'Balance Sheet'!E6+'Balance Sheet'!E7)/('Balance Sheet'!E12-'Balance Sheet'!E11))</f>
        <v>22.5366475506878</v>
      </c>
      <c r="F13" s="88" t="n">
        <f aca="false">IF(('Balance Sheet'!F12-'Balance Sheet'!F11)&lt;=0,"n/a",('Balance Sheet'!F5+'Balance Sheet'!F6+'Balance Sheet'!F7)/('Balance Sheet'!F12-'Balance Sheet'!F11))</f>
        <v>35.8450862648074</v>
      </c>
      <c r="G13" s="89"/>
    </row>
    <row r="14" customFormat="false" ht="15" hidden="false" customHeight="false" outlineLevel="0" collapsed="false">
      <c r="A14" s="6" t="s">
        <v>225</v>
      </c>
      <c r="B14" s="88" t="n">
        <f aca="false">IF('Balance Sheet'!B15&lt;=0,"n/a",'Balance Sheet'!B11/'Balance Sheet'!B15)</f>
        <v>1.95934954718088</v>
      </c>
      <c r="C14" s="88" t="n">
        <f aca="false">IF('Balance Sheet'!C15&lt;=0,"n/a",'Balance Sheet'!C11/'Balance Sheet'!C15)</f>
        <v>1.9869168674045</v>
      </c>
      <c r="D14" s="88" t="n">
        <f aca="false">IF('Balance Sheet'!D15&lt;=0,"n/a",'Balance Sheet'!D11/'Balance Sheet'!D15)</f>
        <v>1.65394625733797</v>
      </c>
      <c r="E14" s="88" t="n">
        <f aca="false">IF('Balance Sheet'!E15&lt;=0,"n/a",'Balance Sheet'!E11/'Balance Sheet'!E15)</f>
        <v>1.20116406177611</v>
      </c>
      <c r="F14" s="88" t="n">
        <f aca="false">IF('Balance Sheet'!F15&lt;=0,"n/a",'Balance Sheet'!F11/'Balance Sheet'!F15)</f>
        <v>0.809505576021634</v>
      </c>
      <c r="G14" s="89"/>
    </row>
    <row r="15" customFormat="false" ht="15" hidden="false" customHeight="false" outlineLevel="0" collapsed="false">
      <c r="A15" s="38" t="s">
        <v>226</v>
      </c>
      <c r="B15" s="39" t="n">
        <f aca="false">IF('Balance Sheet'!B9&lt;=0,"n/a",'P&amp;L'!B22/'Balance Sheet'!B9)</f>
        <v>-0.171702955749435</v>
      </c>
      <c r="C15" s="39" t="n">
        <f aca="false">IF('Balance Sheet'!C9&lt;=0,"n/a",'P&amp;L'!C22/'Balance Sheet'!C9)</f>
        <v>-0.0464726723709948</v>
      </c>
      <c r="D15" s="39" t="n">
        <f aca="false">IF('Balance Sheet'!D9&lt;=0,"n/a",'P&amp;L'!D22/'Balance Sheet'!D9)</f>
        <v>0.0187455245178273</v>
      </c>
      <c r="E15" s="39" t="n">
        <f aca="false">IF('Balance Sheet'!E9&lt;=0,"n/a",'P&amp;L'!E22/'Balance Sheet'!E9)</f>
        <v>0.0696399688840208</v>
      </c>
      <c r="F15" s="39" t="n">
        <f aca="false">IF('Balance Sheet'!F9&lt;=0,"n/a",'P&amp;L'!F22/'Balance Sheet'!F9)</f>
        <v>0.106133256937759</v>
      </c>
      <c r="G15" s="87"/>
    </row>
    <row r="16" customFormat="false" ht="15" hidden="false" customHeight="false" outlineLevel="0" collapsed="false">
      <c r="A16" s="38" t="s">
        <v>227</v>
      </c>
      <c r="B16" s="39" t="n">
        <f aca="false">IF('Balance Sheet'!B15&lt;=0,"n/a",'P&amp;L'!B22/'Balance Sheet'!B15)</f>
        <v>-0.50995744920361</v>
      </c>
      <c r="C16" s="39" t="n">
        <f aca="false">IF('Balance Sheet'!C15&lt;=0,"n/a",'P&amp;L'!C22/'Balance Sheet'!C15)</f>
        <v>-0.139521541300192</v>
      </c>
      <c r="D16" s="39" t="n">
        <f aca="false">IF('Balance Sheet'!D15&lt;=0,"n/a",'P&amp;L'!D22/'Balance Sheet'!D15)</f>
        <v>0.0500636521561513</v>
      </c>
      <c r="E16" s="39" t="n">
        <f aca="false">IF('Balance Sheet'!E15&lt;=0,"n/a",'P&amp;L'!E22/'Balance Sheet'!E15)</f>
        <v>0.154376581364551</v>
      </c>
      <c r="F16" s="39" t="n">
        <f aca="false">IF('Balance Sheet'!F15&lt;=0,"n/a",'P&amp;L'!F22/'Balance Sheet'!F15)</f>
        <v>0.193488545477448</v>
      </c>
      <c r="G16" s="87"/>
    </row>
    <row r="18" customFormat="false" ht="15.75" hidden="false" customHeight="true" outlineLevel="0" collapsed="false">
      <c r="A18" s="7" t="s">
        <v>228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  <c r="E19" s="34" t="n">
        <v>4</v>
      </c>
      <c r="F19" s="34" t="n">
        <v>5</v>
      </c>
    </row>
    <row r="20" customFormat="false" ht="15" hidden="false" customHeight="false" outlineLevel="0" collapsed="false">
      <c r="A20" s="51" t="s">
        <v>51</v>
      </c>
      <c r="B20" s="39" t="n">
        <f aca="false">IF('P&amp;L'!B5&lt;=0,"n/a",'P&amp;L'!B22/'P&amp;L'!B5)</f>
        <v>-0.600951460800047</v>
      </c>
      <c r="C20" s="39" t="n">
        <f aca="false">IF('P&amp;L'!C5&lt;=0,"n/a",'P&amp;L'!C22/'P&amp;L'!C5)</f>
        <v>-0.0942940025033336</v>
      </c>
      <c r="D20" s="39" t="n">
        <f aca="false">IF('P&amp;L'!D5&lt;=0,"n/a",'P&amp;L'!D22/'P&amp;L'!D5)</f>
        <v>0.0309199644358894</v>
      </c>
      <c r="E20" s="39" t="n">
        <f aca="false">IF('P&amp;L'!E5&lt;=0,"n/a",'P&amp;L'!E22/'P&amp;L'!E5)</f>
        <v>0.102764775933284</v>
      </c>
      <c r="F20" s="39" t="n">
        <f aca="false">IF('P&amp;L'!F5&lt;=0,"n/a",'P&amp;L'!F22/'P&amp;L'!F5)</f>
        <v>0.149334215492205</v>
      </c>
    </row>
    <row r="21" customFormat="false" ht="15" hidden="false" customHeight="false" outlineLevel="0" collapsed="false">
      <c r="A21" s="51" t="s">
        <v>229</v>
      </c>
      <c r="B21" s="88" t="n">
        <f aca="false">IF('Balance Sheet'!B9&lt;=0,"n/a",'P&amp;L'!B5/'Balance Sheet'!B9)</f>
        <v>0.285718509646098</v>
      </c>
      <c r="C21" s="88" t="n">
        <f aca="false">IF('Balance Sheet'!C9&lt;=0,"n/a",'P&amp;L'!C5/'Balance Sheet'!C9)</f>
        <v>0.492848655664519</v>
      </c>
      <c r="D21" s="88" t="n">
        <f aca="false">IF('Balance Sheet'!D9&lt;=0,"n/a",'P&amp;L'!D5/'Balance Sheet'!D9)</f>
        <v>0.606259575643918</v>
      </c>
      <c r="E21" s="88" t="n">
        <f aca="false">IF('Balance Sheet'!E9&lt;=0,"n/a",'P&amp;L'!E5/'Balance Sheet'!E9)</f>
        <v>0.677663803103425</v>
      </c>
      <c r="F21" s="88" t="n">
        <f aca="false">IF('Balance Sheet'!F9&lt;=0,"n/a",'P&amp;L'!F5/'Balance Sheet'!F9)</f>
        <v>0.710709575752244</v>
      </c>
    </row>
    <row r="22" customFormat="false" ht="15" hidden="false" customHeight="false" outlineLevel="0" collapsed="false">
      <c r="A22" s="51" t="s">
        <v>230</v>
      </c>
      <c r="B22" s="88" t="n">
        <f aca="false">IF('Balance Sheet'!B15&lt;=0,"n/a",'Balance Sheet'!B9/'Balance Sheet'!B15)</f>
        <v>2.96999808173243</v>
      </c>
      <c r="C22" s="88" t="n">
        <f aca="false">IF('Balance Sheet'!C15&lt;=0,"n/a",'Balance Sheet'!C9/'Balance Sheet'!C15)</f>
        <v>3.002227635768</v>
      </c>
      <c r="D22" s="88" t="n">
        <f aca="false">IF('Balance Sheet'!D15&lt;=0,"n/a",'Balance Sheet'!D9/'Balance Sheet'!D15)</f>
        <v>2.67069892381725</v>
      </c>
      <c r="E22" s="88" t="n">
        <f aca="false">IF('Balance Sheet'!E15&lt;=0,"n/a",'Balance Sheet'!E9/'Balance Sheet'!E15)</f>
        <v>2.2167813087575</v>
      </c>
      <c r="F22" s="88" t="n">
        <f aca="false">IF('Balance Sheet'!F15&lt;=0,"n/a",'Balance Sheet'!F9/'Balance Sheet'!F15)</f>
        <v>1.8230717784428</v>
      </c>
    </row>
    <row r="23" customFormat="false" ht="15" hidden="false" customHeight="false" outlineLevel="0" collapsed="false">
      <c r="A23" s="40" t="s">
        <v>231</v>
      </c>
      <c r="B23" s="90" t="n">
        <f aca="false">IF(AND(ISNUMBER(B20),ISNUMBER(B21),ISNUMBER(B22)),B20*B21*B22,"n/a")</f>
        <v>-0.50995744920361</v>
      </c>
      <c r="C23" s="90" t="n">
        <f aca="false">IF(AND(ISNUMBER(C20),ISNUMBER(C21),ISNUMBER(C22)),C20*C21*C22,"n/a")</f>
        <v>-0.139521541300192</v>
      </c>
      <c r="D23" s="90" t="n">
        <f aca="false">IF(AND(ISNUMBER(D20),ISNUMBER(D21),ISNUMBER(D22)),D20*D21*D22,"n/a")</f>
        <v>0.0500636521561513</v>
      </c>
      <c r="E23" s="90" t="n">
        <f aca="false">IF(AND(ISNUMBER(E20),ISNUMBER(E21),ISNUMBER(E22)),E20*E21*E22,"n/a")</f>
        <v>0.154376581364551</v>
      </c>
      <c r="F23" s="90" t="n">
        <f aca="false">IF(AND(ISNUMBER(F20),ISNUMBER(F21),ISNUMBER(F22)),F20*F21*F22,"n/a")</f>
        <v>0.193488545477448</v>
      </c>
    </row>
    <row r="24" customFormat="false" ht="15" hidden="false" customHeight="false" outlineLevel="0" collapsed="false">
      <c r="A24" s="21" t="s">
        <v>232</v>
      </c>
      <c r="B24" s="39" t="n">
        <f aca="false">IF(AND(ISNUMBER(B23),ISNUMBER(B16)),B23-B16,IF(ISNUMBER(B23),1,IF(AND(ISNUMBER(B16),ISNUMBER(B20),ISNUMBER(B21)),1,0)))</f>
        <v>0</v>
      </c>
      <c r="C24" s="39" t="n">
        <f aca="false">IF(AND(ISNUMBER(C23),ISNUMBER(C16)),C23-C16,IF(ISNUMBER(C23),1,IF(AND(ISNUMBER(C16),ISNUMBER(C20),ISNUMBER(C21)),1,0)))</f>
        <v>0</v>
      </c>
      <c r="D24" s="39" t="n">
        <f aca="false">IF(AND(ISNUMBER(D23),ISNUMBER(D16)),D23-D16,IF(ISNUMBER(D23),1,IF(AND(ISNUMBER(D16),ISNUMBER(D20),ISNUMBER(D21)),1,0)))</f>
        <v>0</v>
      </c>
      <c r="E24" s="39" t="n">
        <f aca="false">IF(AND(ISNUMBER(E23),ISNUMBER(E16)),E23-E16,IF(ISNUMBER(E23),1,IF(AND(ISNUMBER(E16),ISNUMBER(E20),ISNUMBER(E21)),1,0)))</f>
        <v>0</v>
      </c>
      <c r="F24" s="39" t="n">
        <f aca="false">IF(AND(ISNUMBER(F23),ISNUMBER(F16)),F23-F16,IF(ISNUMBER(F23),1,IF(AND(ISNUMBER(F16),ISNUMBER(F20),ISNUMBER(F21)),1,0)))</f>
        <v>0</v>
      </c>
    </row>
    <row r="26" customFormat="false" ht="15.75" hidden="false" customHeight="true" outlineLevel="0" collapsed="false">
      <c r="A26" s="7" t="s">
        <v>233</v>
      </c>
      <c r="B26" s="7"/>
      <c r="C26" s="7"/>
      <c r="D26" s="7"/>
      <c r="E26" s="7"/>
      <c r="F26" s="7"/>
      <c r="G26" s="7"/>
    </row>
    <row r="27" customFormat="false" ht="15" hidden="false" customHeight="false" outlineLevel="0" collapsed="false">
      <c r="A27" s="74" t="s">
        <v>155</v>
      </c>
      <c r="B27" s="74" t="n">
        <v>1</v>
      </c>
      <c r="C27" s="74" t="n">
        <v>2</v>
      </c>
      <c r="D27" s="74" t="n">
        <v>3</v>
      </c>
      <c r="E27" s="74" t="n">
        <v>4</v>
      </c>
      <c r="F27" s="74" t="n">
        <v>5</v>
      </c>
    </row>
    <row r="28" customFormat="false" ht="15" hidden="false" customHeight="false" outlineLevel="0" collapsed="false">
      <c r="A28" s="33"/>
      <c r="B28" s="52" t="s">
        <v>156</v>
      </c>
      <c r="C28" s="52" t="s">
        <v>157</v>
      </c>
      <c r="D28" s="52" t="s">
        <v>158</v>
      </c>
      <c r="E28" s="52" t="s">
        <v>159</v>
      </c>
      <c r="F28" s="52" t="s">
        <v>160</v>
      </c>
      <c r="G28" s="52" t="s">
        <v>219</v>
      </c>
    </row>
    <row r="29" customFormat="false" ht="15" hidden="false" customHeight="false" outlineLevel="0" collapsed="false">
      <c r="A29" s="4" t="s">
        <v>58</v>
      </c>
      <c r="B29" s="91" t="n">
        <f aca="false">INDEX(Monthly!$C$19:$BJ$19,B$27*12)</f>
        <v>972.089183697303</v>
      </c>
      <c r="C29" s="91" t="n">
        <f aca="false">INDEX(Monthly!$C$19:$BJ$19,C$27*12)</f>
        <v>1644.34338061813</v>
      </c>
      <c r="D29" s="91" t="n">
        <f aca="false">INDEX(Monthly!$C$19:$BJ$19,D$27*12)</f>
        <v>2081.65600865264</v>
      </c>
      <c r="E29" s="91" t="n">
        <f aca="false">INDEX(Monthly!$C$19:$BJ$19,E$27*12)</f>
        <v>2376.28844113691</v>
      </c>
      <c r="F29" s="91" t="n">
        <f aca="false">INDEX(Monthly!$C$19:$BJ$19,F$27*12)</f>
        <v>2584.83366154401</v>
      </c>
      <c r="G29" s="92"/>
    </row>
    <row r="30" customFormat="false" ht="15" hidden="false" customHeight="false" outlineLevel="0" collapsed="false">
      <c r="A30" s="6" t="s">
        <v>234</v>
      </c>
      <c r="B30" s="93" t="n">
        <f aca="false">SUMIF(Monthly!$C$5:$BJ$5,B$27,Monthly!$C$16:$BJ$16)</f>
        <v>981.453066666667</v>
      </c>
      <c r="C30" s="93" t="n">
        <f aca="false">SUMIF(Monthly!$C$5:$BJ$5,C$27,Monthly!$C$16:$BJ$16)</f>
        <v>1298.16</v>
      </c>
      <c r="D30" s="93" t="n">
        <f aca="false">SUMIF(Monthly!$C$5:$BJ$5,D$27,Monthly!$C$16:$BJ$16)</f>
        <v>1329.66</v>
      </c>
      <c r="E30" s="93" t="n">
        <f aca="false">SUMIF(Monthly!$C$5:$BJ$5,E$27,Monthly!$C$16:$BJ$16)</f>
        <v>1362.735</v>
      </c>
      <c r="F30" s="93" t="n">
        <f aca="false">SUMIF(Monthly!$C$5:$BJ$5,F$27,Monthly!$C$16:$BJ$16)</f>
        <v>1397.46375</v>
      </c>
      <c r="G30" s="92"/>
    </row>
    <row r="31" customFormat="false" ht="15" hidden="false" customHeight="false" outlineLevel="0" collapsed="false">
      <c r="A31" s="6" t="s">
        <v>235</v>
      </c>
      <c r="B31" s="93" t="n">
        <f aca="false">SUMIF(Monthly!$C$5:$BJ$5,B$27,Monthly!$C$18:$BJ$18)</f>
        <v>-259.363882969363</v>
      </c>
      <c r="C31" s="93" t="n">
        <f aca="false">SUMIF(Monthly!$C$5:$BJ$5,C$27,Monthly!$C$18:$BJ$18)</f>
        <v>-625.905803079172</v>
      </c>
      <c r="D31" s="93" t="n">
        <f aca="false">SUMIF(Monthly!$C$5:$BJ$5,D$27,Monthly!$C$18:$BJ$18)</f>
        <v>-892.347371965488</v>
      </c>
      <c r="E31" s="93" t="n">
        <f aca="false">SUMIF(Monthly!$C$5:$BJ$5,E$27,Monthly!$C$18:$BJ$18)</f>
        <v>-1068.10256751574</v>
      </c>
      <c r="F31" s="93" t="n">
        <f aca="false">SUMIF(Monthly!$C$5:$BJ$5,F$27,Monthly!$C$18:$BJ$18)</f>
        <v>-1188.91852959289</v>
      </c>
      <c r="G31" s="92"/>
    </row>
    <row r="32" customFormat="false" ht="15" hidden="false" customHeight="false" outlineLevel="0" collapsed="false">
      <c r="A32" s="38" t="s">
        <v>236</v>
      </c>
      <c r="B32" s="94" t="n">
        <f aca="false">Inputs!$E$23</f>
        <v>0.04</v>
      </c>
      <c r="C32" s="94" t="n">
        <f aca="false">Inputs!$E$23</f>
        <v>0.04</v>
      </c>
      <c r="D32" s="94" t="n">
        <f aca="false">Inputs!$E$23</f>
        <v>0.04</v>
      </c>
      <c r="E32" s="94" t="n">
        <f aca="false">Inputs!$E$23</f>
        <v>0.04</v>
      </c>
      <c r="F32" s="94" t="n">
        <f aca="false">Inputs!$E$23</f>
        <v>0.04</v>
      </c>
      <c r="G32" s="95"/>
    </row>
    <row r="33" customFormat="false" ht="15" hidden="false" customHeight="false" outlineLevel="0" collapsed="false">
      <c r="A33" s="4" t="s">
        <v>237</v>
      </c>
      <c r="B33" s="91" t="n">
        <f aca="false">SUMIF(Monthly!$C$5:$BJ$5,B$27,Monthly!$C$28:$BJ$28)</f>
        <v>88966.9491822926</v>
      </c>
      <c r="C33" s="91" t="n">
        <f aca="false">SUMIF(Monthly!$C$5:$BJ$5,C$27,Monthly!$C$28:$BJ$28)</f>
        <v>139676.344154842</v>
      </c>
      <c r="D33" s="91" t="n">
        <f aca="false">SUMIF(Monthly!$C$5:$BJ$5,D$27,Monthly!$C$28:$BJ$28)</f>
        <v>162504.894526232</v>
      </c>
      <c r="E33" s="91" t="n">
        <f aca="false">SUMIF(Monthly!$C$5:$BJ$5,E$27,Monthly!$C$28:$BJ$28)</f>
        <v>177588.880485537</v>
      </c>
      <c r="F33" s="91" t="n">
        <f aca="false">SUMIF(Monthly!$C$5:$BJ$5,F$27,Monthly!$C$28:$BJ$28)</f>
        <v>187982.531783342</v>
      </c>
      <c r="G33" s="92"/>
    </row>
    <row r="34" customFormat="false" ht="15" hidden="false" customHeight="false" outlineLevel="0" collapsed="false">
      <c r="A34" s="6" t="s">
        <v>238</v>
      </c>
      <c r="B34" s="93" t="n">
        <f aca="false">SUMIF(Monthly!$C$5:$BJ$5,B$27,Monthly!$C$26:$BJ$26)</f>
        <v>64869.1333333333</v>
      </c>
      <c r="C34" s="93" t="n">
        <f aca="false">SUMIF(Monthly!$C$5:$BJ$5,C$27,Monthly!$C$26:$BJ$26)</f>
        <v>83520</v>
      </c>
      <c r="D34" s="93" t="n">
        <f aca="false">SUMIF(Monthly!$C$5:$BJ$5,D$27,Monthly!$C$26:$BJ$26)</f>
        <v>83520</v>
      </c>
      <c r="E34" s="93" t="n">
        <f aca="false">SUMIF(Monthly!$C$5:$BJ$5,E$27,Monthly!$C$26:$BJ$26)</f>
        <v>83520</v>
      </c>
      <c r="F34" s="93" t="n">
        <f aca="false">SUMIF(Monthly!$C$5:$BJ$5,F$27,Monthly!$C$26:$BJ$26)</f>
        <v>83520</v>
      </c>
      <c r="G34" s="92"/>
    </row>
    <row r="35" customFormat="false" ht="15" hidden="false" customHeight="false" outlineLevel="0" collapsed="false">
      <c r="A35" s="6" t="s">
        <v>239</v>
      </c>
      <c r="B35" s="93" t="n">
        <f aca="false">SUMIF(Monthly!$C$5:$BJ$5,B$27,Monthly!$C$27:$BJ$27)</f>
        <v>24097.8158489592</v>
      </c>
      <c r="C35" s="93" t="n">
        <f aca="false">SUMIF(Monthly!$C$5:$BJ$5,C$27,Monthly!$C$27:$BJ$27)</f>
        <v>56156.3441548421</v>
      </c>
      <c r="D35" s="93" t="n">
        <f aca="false">SUMIF(Monthly!$C$5:$BJ$5,D$27,Monthly!$C$27:$BJ$27)</f>
        <v>78984.8945262322</v>
      </c>
      <c r="E35" s="93" t="n">
        <f aca="false">SUMIF(Monthly!$C$5:$BJ$5,E$27,Monthly!$C$27:$BJ$27)</f>
        <v>94068.8804855373</v>
      </c>
      <c r="F35" s="93" t="n">
        <f aca="false">SUMIF(Monthly!$C$5:$BJ$5,F$27,Monthly!$C$27:$BJ$27)</f>
        <v>104462.531783342</v>
      </c>
      <c r="G35" s="92"/>
    </row>
    <row r="36" customFormat="false" ht="15" hidden="false" customHeight="false" outlineLevel="0" collapsed="false">
      <c r="A36" s="38" t="s">
        <v>240</v>
      </c>
      <c r="B36" s="94" t="n">
        <f aca="false">IF(B33=0,0,B35/B33)</f>
        <v>0.270862562675753</v>
      </c>
      <c r="C36" s="94" t="n">
        <f aca="false">IF(C33=0,0,C35/C33)</f>
        <v>0.402046205423221</v>
      </c>
      <c r="D36" s="94" t="n">
        <f aca="false">IF(D33=0,0,D35/D33)</f>
        <v>0.486046249600698</v>
      </c>
      <c r="E36" s="94" t="n">
        <f aca="false">IF(E33=0,0,E35/E33)</f>
        <v>0.529700284321564</v>
      </c>
      <c r="F36" s="94" t="n">
        <f aca="false">IF(F33=0,0,F35/F33)</f>
        <v>0.555703398567584</v>
      </c>
      <c r="G36" s="95"/>
    </row>
    <row r="37" customFormat="false" ht="15" hidden="false" customHeight="false" outlineLevel="0" collapsed="false">
      <c r="A37" s="6" t="s">
        <v>59</v>
      </c>
      <c r="B37" s="93" t="n">
        <f aca="false">IF(Inputs!$E$8=0,0,B33/(Inputs!$E$8*12))</f>
        <v>255.65215282268</v>
      </c>
      <c r="C37" s="93" t="n">
        <f aca="false">IF(Inputs!$E$8=0,0,C33/(Inputs!$E$8*12))</f>
        <v>401.36880504265</v>
      </c>
      <c r="D37" s="93" t="n">
        <f aca="false">IF(Inputs!$E$8=0,0,D33/(Inputs!$E$8*12))</f>
        <v>466.968087719058</v>
      </c>
      <c r="E37" s="93" t="n">
        <f aca="false">IF(Inputs!$E$8=0,0,E33/(Inputs!$E$8*12))</f>
        <v>510.312874958441</v>
      </c>
      <c r="F37" s="93" t="n">
        <f aca="false">IF(Inputs!$E$8=0,0,F33/(Inputs!$E$8*12))</f>
        <v>540.179689032592</v>
      </c>
      <c r="G37" s="92"/>
    </row>
    <row r="38" customFormat="false" ht="15" hidden="false" customHeight="false" outlineLevel="0" collapsed="false">
      <c r="A38" s="6" t="s">
        <v>241</v>
      </c>
      <c r="B38" s="93" t="n">
        <f aca="false">SUMIF(Monthly!$C$5:$BJ$5,B$27,Monthly!$C$24:$BJ$24)</f>
        <v>294756</v>
      </c>
      <c r="C38" s="93" t="n">
        <f aca="false">SUMIF(Monthly!$C$5:$BJ$5,C$27,Monthly!$C$24:$BJ$24)</f>
        <v>294756</v>
      </c>
      <c r="D38" s="93" t="n">
        <f aca="false">SUMIF(Monthly!$C$5:$BJ$5,D$27,Monthly!$C$24:$BJ$24)</f>
        <v>294756</v>
      </c>
      <c r="E38" s="93" t="n">
        <f aca="false">SUMIF(Monthly!$C$5:$BJ$5,E$27,Monthly!$C$24:$BJ$24)</f>
        <v>294756</v>
      </c>
      <c r="F38" s="93" t="n">
        <f aca="false">SUMIF(Monthly!$C$5:$BJ$5,F$27,Monthly!$C$24:$BJ$24)</f>
        <v>294756</v>
      </c>
      <c r="G38" s="92"/>
    </row>
    <row r="39" customFormat="false" ht="15" hidden="false" customHeight="false" outlineLevel="0" collapsed="false">
      <c r="A39" s="38" t="s">
        <v>60</v>
      </c>
      <c r="B39" s="94" t="n">
        <f aca="false">IF(B38=0,0,B33/B38)</f>
        <v>0.301832529896906</v>
      </c>
      <c r="C39" s="94" t="n">
        <f aca="false">IF(C38=0,0,C33/C38)</f>
        <v>0.473871080333707</v>
      </c>
      <c r="D39" s="94" t="n">
        <f aca="false">IF(D38=0,0,D33/D38)</f>
        <v>0.551320056338912</v>
      </c>
      <c r="E39" s="94" t="n">
        <f aca="false">IF(E38=0,0,E33/E38)</f>
        <v>0.602494539502291</v>
      </c>
      <c r="F39" s="94" t="n">
        <f aca="false">IF(F38=0,0,F33/F38)</f>
        <v>0.637756421526083</v>
      </c>
      <c r="G39" s="95"/>
    </row>
    <row r="40" customFormat="false" ht="15" hidden="false" customHeight="false" outlineLevel="0" collapsed="false">
      <c r="A40" s="6" t="s">
        <v>242</v>
      </c>
      <c r="B40" s="93" t="n">
        <f aca="false">SUMIF(Monthly!$C$5:$BJ$5,B$27,Monthly!$C$29:$BJ$29)</f>
        <v>0</v>
      </c>
      <c r="C40" s="93" t="n">
        <f aca="false">SUMIF(Monthly!$C$5:$BJ$5,C$27,Monthly!$C$29:$BJ$29)</f>
        <v>0</v>
      </c>
      <c r="D40" s="93" t="n">
        <f aca="false">SUMIF(Monthly!$C$5:$BJ$5,D$27,Monthly!$C$29:$BJ$29)</f>
        <v>0</v>
      </c>
      <c r="E40" s="93" t="n">
        <f aca="false">SUMIF(Monthly!$C$5:$BJ$5,E$27,Monthly!$C$29:$BJ$29)</f>
        <v>0</v>
      </c>
      <c r="F40" s="93" t="n">
        <f aca="false">SUMIF(Monthly!$C$5:$BJ$5,F$27,Monthly!$C$29:$BJ$29)</f>
        <v>0</v>
      </c>
      <c r="G40" s="92"/>
    </row>
    <row r="41" customFormat="false" ht="15" hidden="false" customHeight="false" outlineLevel="0" collapsed="false">
      <c r="A41" s="4" t="s">
        <v>44</v>
      </c>
      <c r="B41" s="96" t="n">
        <f aca="false">SUMIF(Monthly!$C$5:$BJ$5,B$27,Monthly!$C$37:$BJ$37)</f>
        <v>1180182.39164623</v>
      </c>
      <c r="C41" s="96" t="n">
        <f aca="false">SUMIF(Monthly!$C$5:$BJ$5,C$27,Monthly!$C$37:$BJ$37)</f>
        <v>1805881.4666632</v>
      </c>
      <c r="D41" s="96" t="n">
        <f aca="false">SUMIF(Monthly!$C$5:$BJ$5,D$27,Monthly!$C$37:$BJ$37)</f>
        <v>2080276.59708741</v>
      </c>
      <c r="E41" s="96" t="n">
        <f aca="false">SUMIF(Monthly!$C$5:$BJ$5,E$27,Monthly!$C$37:$BJ$37)</f>
        <v>2282431.11225691</v>
      </c>
      <c r="F41" s="96" t="n">
        <f aca="false">SUMIF(Monthly!$C$5:$BJ$5,F$27,Monthly!$C$37:$BJ$37)</f>
        <v>2440877.21952545</v>
      </c>
      <c r="G41" s="97"/>
    </row>
    <row r="42" customFormat="false" ht="15" hidden="false" customHeight="false" outlineLevel="0" collapsed="false">
      <c r="A42" s="6" t="s">
        <v>243</v>
      </c>
      <c r="B42" s="35" t="n">
        <f aca="false">SUMIF(Monthly!$C$5:$BJ$5,B$27,Monthly!$C$36:$BJ$36)</f>
        <v>239579.958312896</v>
      </c>
      <c r="C42" s="35" t="n">
        <f aca="false">SUMIF(Monthly!$C$5:$BJ$5,C$27,Monthly!$C$36:$BJ$36)</f>
        <v>570620.666663197</v>
      </c>
      <c r="D42" s="35" t="n">
        <f aca="false">SUMIF(Monthly!$C$5:$BJ$5,D$27,Monthly!$C$36:$BJ$36)</f>
        <v>820310.581087405</v>
      </c>
      <c r="E42" s="35" t="n">
        <f aca="false">SUMIF(Monthly!$C$5:$BJ$5,E$27,Monthly!$C$36:$BJ$36)</f>
        <v>997265.775936914</v>
      </c>
      <c r="F42" s="35" t="n">
        <f aca="false">SUMIF(Monthly!$C$5:$BJ$5,F$27,Monthly!$C$36:$BJ$36)</f>
        <v>1130008.57647905</v>
      </c>
      <c r="G42" s="97"/>
    </row>
    <row r="43" customFormat="false" ht="15" hidden="false" customHeight="false" outlineLevel="0" collapsed="false">
      <c r="A43" s="6" t="s">
        <v>244</v>
      </c>
      <c r="B43" s="35" t="n">
        <f aca="false">B41-B42</f>
        <v>940602.433333333</v>
      </c>
      <c r="C43" s="35" t="n">
        <f aca="false">C41-C42</f>
        <v>1235260.8</v>
      </c>
      <c r="D43" s="35" t="n">
        <f aca="false">D41-D42</f>
        <v>1259966.016</v>
      </c>
      <c r="E43" s="35" t="n">
        <f aca="false">E41-E42</f>
        <v>1285165.33632</v>
      </c>
      <c r="F43" s="35" t="n">
        <f aca="false">F41-F42</f>
        <v>1310868.6430464</v>
      </c>
      <c r="G43" s="97"/>
    </row>
    <row r="44" customFormat="false" ht="15" hidden="false" customHeight="false" outlineLevel="0" collapsed="false">
      <c r="A44" s="38" t="s">
        <v>245</v>
      </c>
      <c r="B44" s="94" t="n">
        <f aca="false">IF(B41=0,0,B42/B41)</f>
        <v>0.203002485046999</v>
      </c>
      <c r="C44" s="94" t="n">
        <f aca="false">IF(C41=0,0,C42/C41)</f>
        <v>0.315979025864614</v>
      </c>
      <c r="D44" s="94" t="n">
        <f aca="false">IF(D41=0,0,D42/D41)</f>
        <v>0.394327649619249</v>
      </c>
      <c r="E44" s="94" t="n">
        <f aca="false">IF(E41=0,0,E42/E41)</f>
        <v>0.436931380133001</v>
      </c>
      <c r="F44" s="94" t="n">
        <f aca="false">IF(F41=0,0,F42/F41)</f>
        <v>0.462951830366439</v>
      </c>
      <c r="G44" s="95"/>
    </row>
    <row r="45" customFormat="false" ht="15" hidden="false" customHeight="false" outlineLevel="0" collapsed="false">
      <c r="A45" s="6" t="s">
        <v>246</v>
      </c>
      <c r="B45" s="98" t="n">
        <f aca="false">IF(B33=0,0,B41/B33)</f>
        <v>13.2654025173781</v>
      </c>
      <c r="C45" s="98" t="n">
        <f aca="false">IF(C33=0,0,C41/C33)</f>
        <v>12.9290430501334</v>
      </c>
      <c r="D45" s="98" t="n">
        <f aca="false">IF(D33=0,0,D41/D33)</f>
        <v>12.8013165582013</v>
      </c>
      <c r="E45" s="98" t="n">
        <f aca="false">IF(E33=0,0,E41/E33)</f>
        <v>12.852331215877</v>
      </c>
      <c r="F45" s="98" t="n">
        <f aca="false">IF(F33=0,0,F41/F33)</f>
        <v>12.9845959428755</v>
      </c>
      <c r="G45" s="99"/>
    </row>
    <row r="46" customFormat="false" ht="15" hidden="false" customHeight="false" outlineLevel="0" collapsed="false">
      <c r="A46" s="6" t="s">
        <v>247</v>
      </c>
      <c r="B46" s="98" t="n">
        <f aca="false">IF(B35=0,0,B42/B35)</f>
        <v>9.94197813671329</v>
      </c>
      <c r="C46" s="98" t="n">
        <f aca="false">IF(C35=0,0,C42/C35)</f>
        <v>10.1612858751952</v>
      </c>
      <c r="D46" s="98" t="n">
        <f aca="false">IF(D35=0,0,D42/D35)</f>
        <v>10.385664069159</v>
      </c>
      <c r="E46" s="98" t="n">
        <f aca="false">IF(E35=0,0,E42/E35)</f>
        <v>10.6014419517859</v>
      </c>
      <c r="F46" s="98" t="n">
        <f aca="false">IF(F35=0,0,F42/F35)</f>
        <v>10.8173577376309</v>
      </c>
      <c r="G46" s="99"/>
    </row>
    <row r="47" customFormat="false" ht="15" hidden="false" customHeight="false" outlineLevel="0" collapsed="false">
      <c r="A47" s="6" t="s">
        <v>248</v>
      </c>
      <c r="B47" s="35" t="n">
        <f aca="false">SUMIF(Monthly!$C$5:$BJ$5,B$27,Monthly!$C$43:$BJ$43)</f>
        <v>-145016.127167137</v>
      </c>
      <c r="C47" s="35" t="n">
        <f aca="false">SUMIF(Monthly!$C$5:$BJ$5,C$27,Monthly!$C$43:$BJ$43)</f>
        <v>-234502.614201564</v>
      </c>
      <c r="D47" s="35" t="n">
        <f aca="false">SUMIF(Monthly!$C$5:$BJ$5,D$27,Monthly!$C$43:$BJ$43)</f>
        <v>-281014.351442694</v>
      </c>
      <c r="E47" s="35" t="n">
        <f aca="false">SUMIF(Monthly!$C$5:$BJ$5,E$27,Monthly!$C$43:$BJ$43)</f>
        <v>-316311.548308301</v>
      </c>
      <c r="F47" s="35" t="n">
        <f aca="false">SUMIF(Monthly!$C$5:$BJ$5,F$27,Monthly!$C$43:$BJ$43)</f>
        <v>-344868.872906658</v>
      </c>
      <c r="G47" s="97"/>
    </row>
    <row r="48" customFormat="false" ht="15" hidden="false" customHeight="false" outlineLevel="0" collapsed="false">
      <c r="A48" s="6" t="s">
        <v>249</v>
      </c>
      <c r="B48" s="98" t="n">
        <f aca="false">IF(B33=0,0,-B47/B33)</f>
        <v>1.63</v>
      </c>
      <c r="C48" s="98" t="n">
        <f aca="false">IF(C33=0,0,-C47/C33)</f>
        <v>1.6789</v>
      </c>
      <c r="D48" s="98" t="n">
        <f aca="false">IF(D33=0,0,-D47/D33)</f>
        <v>1.729267</v>
      </c>
      <c r="E48" s="98" t="n">
        <f aca="false">IF(E33=0,0,-E47/E33)</f>
        <v>1.78114501</v>
      </c>
      <c r="F48" s="98" t="n">
        <f aca="false">IF(F33=0,0,-F47/F33)</f>
        <v>1.8345793603</v>
      </c>
      <c r="G48" s="99"/>
    </row>
    <row r="49" customFormat="false" ht="15" hidden="false" customHeight="false" outlineLevel="0" collapsed="false">
      <c r="A49" s="6" t="s">
        <v>45</v>
      </c>
      <c r="B49" s="35" t="n">
        <f aca="false">SUMIF(Monthly!$C$5:$BJ$5,B$27,Monthly!$C$46:$BJ$46)</f>
        <v>999760.792729705</v>
      </c>
      <c r="C49" s="35" t="n">
        <f aca="false">SUMIF(Monthly!$C$5:$BJ$5,C$27,Monthly!$C$46:$BJ$46)</f>
        <v>1517202.40846174</v>
      </c>
      <c r="D49" s="35" t="n">
        <f aca="false">SUMIF(Monthly!$C$5:$BJ$5,D$27,Monthly!$C$46:$BJ$46)</f>
        <v>1736853.94773209</v>
      </c>
      <c r="E49" s="35" t="n">
        <f aca="false">SUMIF(Monthly!$C$5:$BJ$5,E$27,Monthly!$C$46:$BJ$46)</f>
        <v>1897646.63058091</v>
      </c>
      <c r="F49" s="35" t="n">
        <f aca="false">SUMIF(Monthly!$C$5:$BJ$5,F$27,Monthly!$C$46:$BJ$46)</f>
        <v>2022782.03003303</v>
      </c>
      <c r="G49" s="97"/>
    </row>
    <row r="50" customFormat="false" ht="15" hidden="false" customHeight="false" outlineLevel="0" collapsed="false">
      <c r="A50" s="38" t="s">
        <v>46</v>
      </c>
      <c r="B50" s="94" t="n">
        <f aca="false">IF(B41=0,0,B49/B41)</f>
        <v>0.847123969825669</v>
      </c>
      <c r="C50" s="94" t="n">
        <f aca="false">IF(C41=0,0,C49/C41)</f>
        <v>0.840145068471817</v>
      </c>
      <c r="D50" s="94" t="n">
        <f aca="false">IF(D41=0,0,D49/D41)</f>
        <v>0.83491490995181</v>
      </c>
      <c r="E50" s="94" t="n">
        <f aca="false">IF(E41=0,0,E49/E41)</f>
        <v>0.831414635206437</v>
      </c>
      <c r="F50" s="94" t="n">
        <f aca="false">IF(F41=0,0,F49/F41)</f>
        <v>0.828711093639644</v>
      </c>
      <c r="G50" s="95"/>
    </row>
    <row r="51" customFormat="false" ht="15" hidden="false" customHeight="false" outlineLevel="0" collapsed="false">
      <c r="A51" s="6" t="s">
        <v>48</v>
      </c>
      <c r="B51" s="35" t="n">
        <f aca="false">SUMIF(Monthly!$C$5:$BJ$5,B$27,Monthly!$C$55:$BJ$55)</f>
        <v>-123279.207270295</v>
      </c>
      <c r="C51" s="35" t="n">
        <f aca="false">SUMIF(Monthly!$C$5:$BJ$5,C$27,Monthly!$C$55:$BJ$55)</f>
        <v>393591.208461737</v>
      </c>
      <c r="D51" s="35" t="n">
        <f aca="false">SUMIF(Monthly!$C$5:$BJ$5,D$27,Monthly!$C$55:$BJ$55)</f>
        <v>606030.411732089</v>
      </c>
      <c r="E51" s="35" t="n">
        <f aca="false">SUMIF(Monthly!$C$5:$BJ$5,E$27,Monthly!$C$55:$BJ$55)</f>
        <v>754095.188500905</v>
      </c>
      <c r="F51" s="35" t="n">
        <f aca="false">SUMIF(Monthly!$C$5:$BJ$5,F$27,Monthly!$C$55:$BJ$55)</f>
        <v>861881.484690629</v>
      </c>
      <c r="G51" s="97"/>
    </row>
    <row r="52" customFormat="false" ht="15" hidden="false" customHeight="false" outlineLevel="0" collapsed="false">
      <c r="A52" s="38" t="s">
        <v>49</v>
      </c>
      <c r="B52" s="94" t="n">
        <f aca="false">IF(B41=0,0,B51/B41)</f>
        <v>-0.104457758515049</v>
      </c>
      <c r="C52" s="94" t="n">
        <f aca="false">IF(C41=0,0,C51/C41)</f>
        <v>0.217949636079378</v>
      </c>
      <c r="D52" s="94" t="n">
        <f aca="false">IF(D41=0,0,D51/D41)</f>
        <v>0.291322035050816</v>
      </c>
      <c r="E52" s="94" t="n">
        <f aca="false">IF(E41=0,0,E51/E41)</f>
        <v>0.330391215073843</v>
      </c>
      <c r="F52" s="94" t="n">
        <f aca="false">IF(F41=0,0,F51/F41)</f>
        <v>0.353103170366838</v>
      </c>
      <c r="G52" s="95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250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251</v>
      </c>
    </row>
    <row r="5" customFormat="false" ht="15" hidden="false" customHeight="false" outlineLevel="0" collapsed="false">
      <c r="A5" s="33" t="s">
        <v>104</v>
      </c>
      <c r="B5" s="52" t="s">
        <v>105</v>
      </c>
      <c r="C5" s="52" t="s">
        <v>106</v>
      </c>
      <c r="D5" s="52" t="s">
        <v>107</v>
      </c>
      <c r="E5" s="52" t="s">
        <v>108</v>
      </c>
      <c r="F5" s="33" t="s">
        <v>252</v>
      </c>
      <c r="G5" s="33" t="s">
        <v>253</v>
      </c>
    </row>
    <row r="6" customFormat="false" ht="15.75" hidden="false" customHeight="true" outlineLevel="0" collapsed="false">
      <c r="A6" s="7" t="s">
        <v>254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255</v>
      </c>
      <c r="B7" s="100" t="n">
        <v>200</v>
      </c>
      <c r="C7" s="100" t="n">
        <v>240</v>
      </c>
      <c r="D7" s="100" t="n">
        <v>280</v>
      </c>
      <c r="E7" s="101" t="n">
        <f aca="false">CHOOSE(Dashboard!$B$4,B7,C7,D7)</f>
        <v>240</v>
      </c>
      <c r="F7" s="38" t="s">
        <v>256</v>
      </c>
      <c r="G7" s="102" t="s">
        <v>257</v>
      </c>
    </row>
    <row r="8" customFormat="false" ht="15" hidden="false" customHeight="false" outlineLevel="0" collapsed="false">
      <c r="A8" s="6" t="s">
        <v>258</v>
      </c>
      <c r="B8" s="100" t="n">
        <v>29</v>
      </c>
      <c r="C8" s="100" t="n">
        <v>29</v>
      </c>
      <c r="D8" s="100" t="n">
        <v>29</v>
      </c>
      <c r="E8" s="101" t="n">
        <f aca="false">CHOOSE(Dashboard!$B$4,B8,C8,D8)</f>
        <v>29</v>
      </c>
      <c r="F8" s="38" t="s">
        <v>259</v>
      </c>
      <c r="G8" s="102"/>
    </row>
    <row r="9" customFormat="false" ht="15" hidden="false" customHeight="false" outlineLevel="0" collapsed="false">
      <c r="A9" s="6" t="s">
        <v>260</v>
      </c>
      <c r="B9" s="103" t="n">
        <v>12</v>
      </c>
      <c r="C9" s="103" t="n">
        <v>9</v>
      </c>
      <c r="D9" s="103" t="n">
        <v>7</v>
      </c>
      <c r="E9" s="104" t="n">
        <f aca="false">CHOOSE(Dashboard!$B$4,B9,C9,D9)</f>
        <v>9</v>
      </c>
      <c r="F9" s="38" t="s">
        <v>261</v>
      </c>
      <c r="G9" s="102" t="s">
        <v>262</v>
      </c>
    </row>
    <row r="10" customFormat="false" ht="15" hidden="false" customHeight="false" outlineLevel="0" collapsed="false">
      <c r="A10" s="6" t="s">
        <v>263</v>
      </c>
      <c r="B10" s="105" t="n">
        <v>0.35</v>
      </c>
      <c r="C10" s="105" t="n">
        <v>0.45</v>
      </c>
      <c r="D10" s="105" t="n">
        <v>0.55</v>
      </c>
      <c r="E10" s="106" t="n">
        <f aca="false">CHOOSE(Dashboard!$B$4,B10,C10,D10)</f>
        <v>0.45</v>
      </c>
      <c r="F10" s="38" t="s">
        <v>264</v>
      </c>
      <c r="G10" s="102" t="s">
        <v>257</v>
      </c>
    </row>
    <row r="11" customFormat="false" ht="15" hidden="false" customHeight="false" outlineLevel="0" collapsed="false">
      <c r="A11" s="6" t="s">
        <v>265</v>
      </c>
      <c r="B11" s="105" t="n">
        <v>0.2</v>
      </c>
      <c r="C11" s="105" t="n">
        <v>0.15</v>
      </c>
      <c r="D11" s="105" t="n">
        <v>0.1</v>
      </c>
      <c r="E11" s="106" t="n">
        <f aca="false">CHOOSE(Dashboard!$B$4,B11,C11,D11)</f>
        <v>0.15</v>
      </c>
      <c r="F11" s="38" t="s">
        <v>264</v>
      </c>
      <c r="G11" s="102" t="s">
        <v>262</v>
      </c>
    </row>
    <row r="13" customFormat="false" ht="15.75" hidden="false" customHeight="true" outlineLevel="0" collapsed="false">
      <c r="A13" s="7" t="s">
        <v>266</v>
      </c>
      <c r="B13" s="7"/>
      <c r="C13" s="7"/>
      <c r="D13" s="7"/>
      <c r="E13" s="7"/>
      <c r="F13" s="7"/>
      <c r="G13" s="7"/>
    </row>
    <row r="14" customFormat="false" ht="15" hidden="false" customHeight="false" outlineLevel="0" collapsed="false">
      <c r="A14" s="6" t="s">
        <v>267</v>
      </c>
      <c r="B14" s="103" t="n">
        <v>140</v>
      </c>
      <c r="C14" s="103" t="n">
        <v>140</v>
      </c>
      <c r="D14" s="103" t="n">
        <v>140</v>
      </c>
      <c r="E14" s="104" t="n">
        <f aca="false">CHOOSE(Dashboard!$B$4,B14,C14,D14)</f>
        <v>140</v>
      </c>
      <c r="F14" s="38" t="s">
        <v>268</v>
      </c>
      <c r="G14" s="102"/>
    </row>
    <row r="15" customFormat="false" ht="15" hidden="false" customHeight="false" outlineLevel="0" collapsed="false">
      <c r="A15" s="6" t="s">
        <v>269</v>
      </c>
      <c r="B15" s="100" t="n">
        <v>11</v>
      </c>
      <c r="C15" s="100" t="n">
        <v>11</v>
      </c>
      <c r="D15" s="100" t="n">
        <v>11</v>
      </c>
      <c r="E15" s="101" t="n">
        <f aca="false">CHOOSE(Dashboard!$B$4,B15,C15,D15)</f>
        <v>11</v>
      </c>
      <c r="F15" s="38" t="s">
        <v>270</v>
      </c>
      <c r="G15" s="102"/>
    </row>
    <row r="16" customFormat="false" ht="15" hidden="false" customHeight="false" outlineLevel="0" collapsed="false">
      <c r="A16" s="6" t="s">
        <v>271</v>
      </c>
      <c r="B16" s="105" t="n">
        <v>0.55</v>
      </c>
      <c r="C16" s="105" t="n">
        <v>0.55</v>
      </c>
      <c r="D16" s="105" t="n">
        <v>0.55</v>
      </c>
      <c r="E16" s="106" t="n">
        <f aca="false">CHOOSE(Dashboard!$B$4,B16,C16,D16)</f>
        <v>0.55</v>
      </c>
      <c r="F16" s="38" t="s">
        <v>264</v>
      </c>
      <c r="G16" s="102"/>
    </row>
    <row r="18" customFormat="false" ht="15.75" hidden="false" customHeight="true" outlineLevel="0" collapsed="false">
      <c r="A18" s="7" t="s">
        <v>272</v>
      </c>
      <c r="B18" s="7"/>
      <c r="C18" s="7"/>
      <c r="D18" s="7"/>
      <c r="E18" s="7"/>
      <c r="F18" s="7"/>
      <c r="G18" s="7"/>
    </row>
    <row r="19" customFormat="false" ht="15" hidden="false" customHeight="false" outlineLevel="0" collapsed="false">
      <c r="A19" s="6" t="s">
        <v>273</v>
      </c>
      <c r="B19" s="103" t="n">
        <v>150</v>
      </c>
      <c r="C19" s="103" t="n">
        <v>250</v>
      </c>
      <c r="D19" s="103" t="n">
        <v>350</v>
      </c>
      <c r="E19" s="104" t="n">
        <f aca="false">CHOOSE(Dashboard!$B$4,B19,C19,D19)</f>
        <v>250</v>
      </c>
      <c r="F19" s="38" t="s">
        <v>274</v>
      </c>
      <c r="G19" s="102" t="s">
        <v>257</v>
      </c>
    </row>
    <row r="20" customFormat="false" ht="15" hidden="false" customHeight="false" outlineLevel="0" collapsed="false">
      <c r="A20" s="6" t="s">
        <v>275</v>
      </c>
      <c r="B20" s="100" t="n">
        <v>40</v>
      </c>
      <c r="C20" s="100" t="n">
        <v>50</v>
      </c>
      <c r="D20" s="100" t="n">
        <v>60</v>
      </c>
      <c r="E20" s="101" t="n">
        <f aca="false">CHOOSE(Dashboard!$B$4,B20,C20,D20)</f>
        <v>50</v>
      </c>
      <c r="F20" s="38" t="s">
        <v>274</v>
      </c>
      <c r="G20" s="102" t="s">
        <v>257</v>
      </c>
    </row>
    <row r="21" customFormat="false" ht="15" hidden="false" customHeight="false" outlineLevel="0" collapsed="false">
      <c r="A21" s="6" t="s">
        <v>276</v>
      </c>
      <c r="B21" s="105" t="n">
        <v>0</v>
      </c>
      <c r="C21" s="105" t="n">
        <v>0.05</v>
      </c>
      <c r="D21" s="105" t="n">
        <v>0.1</v>
      </c>
      <c r="E21" s="106" t="n">
        <f aca="false">CHOOSE(Dashboard!$B$4,B21,C21,D21)</f>
        <v>0.05</v>
      </c>
      <c r="F21" s="38" t="s">
        <v>264</v>
      </c>
      <c r="G21" s="102" t="s">
        <v>257</v>
      </c>
    </row>
    <row r="22" customFormat="false" ht="15" hidden="false" customHeight="false" outlineLevel="0" collapsed="false">
      <c r="A22" s="6" t="s">
        <v>277</v>
      </c>
      <c r="B22" s="105" t="n">
        <v>0.006</v>
      </c>
      <c r="C22" s="105" t="n">
        <v>0.008</v>
      </c>
      <c r="D22" s="105" t="n">
        <v>0.01</v>
      </c>
      <c r="E22" s="106" t="n">
        <f aca="false">CHOOSE(Dashboard!$B$4,B22,C22,D22)</f>
        <v>0.008</v>
      </c>
      <c r="F22" s="38" t="s">
        <v>264</v>
      </c>
      <c r="G22" s="102" t="s">
        <v>257</v>
      </c>
    </row>
    <row r="23" customFormat="false" ht="15" hidden="false" customHeight="false" outlineLevel="0" collapsed="false">
      <c r="A23" s="6" t="s">
        <v>236</v>
      </c>
      <c r="B23" s="105" t="n">
        <v>0.05</v>
      </c>
      <c r="C23" s="105" t="n">
        <v>0.04</v>
      </c>
      <c r="D23" s="105" t="n">
        <v>0.032</v>
      </c>
      <c r="E23" s="106" t="n">
        <f aca="false">CHOOSE(Dashboard!$B$4,B23,C23,D23)</f>
        <v>0.04</v>
      </c>
      <c r="F23" s="38" t="s">
        <v>264</v>
      </c>
      <c r="G23" s="102" t="s">
        <v>262</v>
      </c>
    </row>
    <row r="24" customFormat="false" ht="15" hidden="false" customHeight="false" outlineLevel="0" collapsed="false">
      <c r="A24" s="6" t="s">
        <v>278</v>
      </c>
      <c r="B24" s="100" t="n">
        <v>3.8</v>
      </c>
      <c r="C24" s="100" t="n">
        <v>3.5</v>
      </c>
      <c r="D24" s="100" t="n">
        <v>3.2</v>
      </c>
      <c r="E24" s="101" t="n">
        <f aca="false">CHOOSE(Dashboard!$B$4,B24,C24,D24)</f>
        <v>3.5</v>
      </c>
      <c r="F24" s="38" t="s">
        <v>279</v>
      </c>
      <c r="G24" s="102" t="s">
        <v>262</v>
      </c>
    </row>
    <row r="26" customFormat="false" ht="15.75" hidden="false" customHeight="true" outlineLevel="0" collapsed="false">
      <c r="A26" s="7" t="s">
        <v>280</v>
      </c>
      <c r="B26" s="7"/>
      <c r="C26" s="7"/>
      <c r="D26" s="7"/>
      <c r="E26" s="7"/>
      <c r="F26" s="7"/>
      <c r="G26" s="7"/>
    </row>
    <row r="27" customFormat="false" ht="15" hidden="false" customHeight="false" outlineLevel="0" collapsed="false">
      <c r="A27" s="6" t="s">
        <v>281</v>
      </c>
      <c r="B27" s="107" t="n">
        <v>12</v>
      </c>
      <c r="C27" s="107" t="n">
        <v>13</v>
      </c>
      <c r="D27" s="107" t="n">
        <v>14</v>
      </c>
      <c r="E27" s="108" t="n">
        <f aca="false">CHOOSE(Dashboard!$B$4,B27,C27,D27)</f>
        <v>13</v>
      </c>
      <c r="F27" s="38" t="s">
        <v>282</v>
      </c>
      <c r="G27" s="102" t="s">
        <v>257</v>
      </c>
    </row>
    <row r="28" customFormat="false" ht="15" hidden="false" customHeight="false" outlineLevel="0" collapsed="false">
      <c r="A28" s="6" t="s">
        <v>283</v>
      </c>
      <c r="B28" s="107" t="n">
        <v>1.2</v>
      </c>
      <c r="C28" s="107" t="n">
        <v>1.5</v>
      </c>
      <c r="D28" s="107" t="n">
        <v>1.8</v>
      </c>
      <c r="E28" s="108" t="n">
        <f aca="false">CHOOSE(Dashboard!$B$4,B28,C28,D28)</f>
        <v>1.5</v>
      </c>
      <c r="F28" s="38" t="s">
        <v>282</v>
      </c>
      <c r="G28" s="102" t="s">
        <v>257</v>
      </c>
    </row>
    <row r="29" customFormat="false" ht="15" hidden="false" customHeight="false" outlineLevel="0" collapsed="false">
      <c r="A29" s="6" t="s">
        <v>284</v>
      </c>
      <c r="B29" s="107" t="n">
        <v>32</v>
      </c>
      <c r="C29" s="107" t="n">
        <v>35</v>
      </c>
      <c r="D29" s="107" t="n">
        <v>38</v>
      </c>
      <c r="E29" s="108" t="n">
        <f aca="false">CHOOSE(Dashboard!$B$4,B29,C29,D29)</f>
        <v>35</v>
      </c>
      <c r="F29" s="38" t="s">
        <v>282</v>
      </c>
      <c r="G29" s="102" t="s">
        <v>257</v>
      </c>
    </row>
    <row r="30" customFormat="false" ht="15" hidden="false" customHeight="false" outlineLevel="0" collapsed="false">
      <c r="A30" s="6" t="s">
        <v>285</v>
      </c>
      <c r="B30" s="105" t="n">
        <v>0.01</v>
      </c>
      <c r="C30" s="105" t="n">
        <v>0.02</v>
      </c>
      <c r="D30" s="105" t="n">
        <v>0.03</v>
      </c>
      <c r="E30" s="106" t="n">
        <f aca="false">CHOOSE(Dashboard!$B$4,B30,C30,D30)</f>
        <v>0.02</v>
      </c>
      <c r="F30" s="38" t="s">
        <v>264</v>
      </c>
      <c r="G30" s="102" t="s">
        <v>257</v>
      </c>
    </row>
    <row r="32" customFormat="false" ht="15.75" hidden="false" customHeight="true" outlineLevel="0" collapsed="false">
      <c r="A32" s="7" t="s">
        <v>286</v>
      </c>
      <c r="B32" s="7"/>
      <c r="C32" s="7"/>
      <c r="D32" s="7"/>
      <c r="E32" s="7"/>
      <c r="F32" s="7"/>
      <c r="G32" s="7"/>
    </row>
    <row r="33" customFormat="false" ht="15" hidden="false" customHeight="false" outlineLevel="0" collapsed="false">
      <c r="A33" s="6" t="s">
        <v>287</v>
      </c>
      <c r="B33" s="107" t="n">
        <v>0.95</v>
      </c>
      <c r="C33" s="107" t="n">
        <v>0.85</v>
      </c>
      <c r="D33" s="107" t="n">
        <v>0.75</v>
      </c>
      <c r="E33" s="108" t="n">
        <f aca="false">CHOOSE(Dashboard!$B$4,B33,C33,D33)</f>
        <v>0.85</v>
      </c>
      <c r="F33" s="38" t="s">
        <v>282</v>
      </c>
      <c r="G33" s="102" t="s">
        <v>262</v>
      </c>
    </row>
    <row r="34" customFormat="false" ht="15" hidden="false" customHeight="false" outlineLevel="0" collapsed="false">
      <c r="A34" s="6" t="s">
        <v>288</v>
      </c>
      <c r="B34" s="100" t="n">
        <v>45</v>
      </c>
      <c r="C34" s="100" t="n">
        <v>40</v>
      </c>
      <c r="D34" s="100" t="n">
        <v>36</v>
      </c>
      <c r="E34" s="101" t="n">
        <f aca="false">CHOOSE(Dashboard!$B$4,B34,C34,D34)</f>
        <v>40</v>
      </c>
      <c r="F34" s="38" t="s">
        <v>289</v>
      </c>
      <c r="G34" s="102" t="s">
        <v>262</v>
      </c>
    </row>
    <row r="35" customFormat="false" ht="15" hidden="false" customHeight="false" outlineLevel="0" collapsed="false">
      <c r="A35" s="6" t="s">
        <v>290</v>
      </c>
      <c r="B35" s="107" t="n">
        <v>10</v>
      </c>
      <c r="C35" s="107" t="n">
        <v>9</v>
      </c>
      <c r="D35" s="107" t="n">
        <v>8</v>
      </c>
      <c r="E35" s="108" t="n">
        <f aca="false">CHOOSE(Dashboard!$B$4,B35,C35,D35)</f>
        <v>9</v>
      </c>
      <c r="F35" s="38" t="s">
        <v>282</v>
      </c>
      <c r="G35" s="102" t="s">
        <v>262</v>
      </c>
    </row>
    <row r="36" customFormat="false" ht="15" hidden="false" customHeight="false" outlineLevel="0" collapsed="false">
      <c r="A36" s="6" t="s">
        <v>291</v>
      </c>
      <c r="B36" s="107" t="n">
        <v>0.45</v>
      </c>
      <c r="C36" s="107" t="n">
        <v>0.42</v>
      </c>
      <c r="D36" s="107" t="n">
        <v>0.4</v>
      </c>
      <c r="E36" s="108" t="n">
        <f aca="false">CHOOSE(Dashboard!$B$4,B36,C36,D36)</f>
        <v>0.42</v>
      </c>
      <c r="F36" s="38" t="s">
        <v>282</v>
      </c>
      <c r="G36" s="102" t="s">
        <v>262</v>
      </c>
    </row>
    <row r="37" customFormat="false" ht="15" hidden="false" customHeight="false" outlineLevel="0" collapsed="false">
      <c r="A37" s="6" t="s">
        <v>292</v>
      </c>
      <c r="B37" s="105" t="n">
        <v>0.032</v>
      </c>
      <c r="C37" s="105" t="n">
        <v>0.03</v>
      </c>
      <c r="D37" s="105" t="n">
        <v>0.028</v>
      </c>
      <c r="E37" s="106" t="n">
        <f aca="false">CHOOSE(Dashboard!$B$4,B37,C37,D37)</f>
        <v>0.03</v>
      </c>
      <c r="F37" s="38" t="s">
        <v>264</v>
      </c>
      <c r="G37" s="102" t="s">
        <v>262</v>
      </c>
    </row>
    <row r="38" customFormat="false" ht="15" hidden="false" customHeight="false" outlineLevel="0" collapsed="false">
      <c r="A38" s="6" t="s">
        <v>293</v>
      </c>
      <c r="B38" s="105" t="n">
        <v>0.04</v>
      </c>
      <c r="C38" s="105" t="n">
        <v>0.03</v>
      </c>
      <c r="D38" s="105" t="n">
        <v>0.025</v>
      </c>
      <c r="E38" s="106" t="n">
        <f aca="false">CHOOSE(Dashboard!$B$4,B38,C38,D38)</f>
        <v>0.03</v>
      </c>
      <c r="F38" s="38" t="s">
        <v>264</v>
      </c>
      <c r="G38" s="102" t="s">
        <v>262</v>
      </c>
    </row>
    <row r="40" customFormat="false" ht="15.75" hidden="false" customHeight="true" outlineLevel="0" collapsed="false">
      <c r="A40" s="7" t="s">
        <v>294</v>
      </c>
      <c r="B40" s="7"/>
      <c r="C40" s="7"/>
      <c r="D40" s="7"/>
      <c r="E40" s="7"/>
      <c r="F40" s="7"/>
      <c r="G40" s="7"/>
    </row>
    <row r="41" customFormat="false" ht="15" hidden="false" customHeight="false" outlineLevel="0" collapsed="false">
      <c r="A41" s="6" t="s">
        <v>295</v>
      </c>
      <c r="B41" s="109" t="n">
        <v>30000</v>
      </c>
      <c r="C41" s="109" t="n">
        <v>30000</v>
      </c>
      <c r="D41" s="109" t="n">
        <v>30000</v>
      </c>
      <c r="E41" s="110" t="n">
        <f aca="false">CHOOSE(Dashboard!$B$4,B41,C41,D41)</f>
        <v>30000</v>
      </c>
      <c r="F41" s="38" t="s">
        <v>282</v>
      </c>
      <c r="G41" s="102"/>
    </row>
    <row r="42" customFormat="false" ht="15" hidden="false" customHeight="false" outlineLevel="0" collapsed="false">
      <c r="A42" s="6" t="s">
        <v>296</v>
      </c>
      <c r="B42" s="105" t="n">
        <v>0.03</v>
      </c>
      <c r="C42" s="105" t="n">
        <v>0.03</v>
      </c>
      <c r="D42" s="105" t="n">
        <v>0.03</v>
      </c>
      <c r="E42" s="106" t="n">
        <f aca="false">CHOOSE(Dashboard!$B$4,B42,C42,D42)</f>
        <v>0.03</v>
      </c>
      <c r="F42" s="38" t="s">
        <v>264</v>
      </c>
      <c r="G42" s="102"/>
    </row>
    <row r="43" customFormat="false" ht="15" hidden="false" customHeight="false" outlineLevel="0" collapsed="false">
      <c r="A43" s="6" t="s">
        <v>297</v>
      </c>
      <c r="B43" s="109" t="n">
        <v>5500</v>
      </c>
      <c r="C43" s="109" t="n">
        <v>5500</v>
      </c>
      <c r="D43" s="109" t="n">
        <v>5500</v>
      </c>
      <c r="E43" s="110" t="n">
        <f aca="false">CHOOSE(Dashboard!$B$4,B43,C43,D43)</f>
        <v>5500</v>
      </c>
      <c r="F43" s="38" t="s">
        <v>282</v>
      </c>
      <c r="G43" s="102"/>
    </row>
    <row r="44" customFormat="false" ht="15" hidden="false" customHeight="false" outlineLevel="0" collapsed="false">
      <c r="A44" s="6" t="s">
        <v>298</v>
      </c>
      <c r="B44" s="109" t="n">
        <v>9500</v>
      </c>
      <c r="C44" s="109" t="n">
        <v>9500</v>
      </c>
      <c r="D44" s="109" t="n">
        <v>9500</v>
      </c>
      <c r="E44" s="110" t="n">
        <f aca="false">CHOOSE(Dashboard!$B$4,B44,C44,D44)</f>
        <v>9500</v>
      </c>
      <c r="F44" s="38" t="s">
        <v>282</v>
      </c>
      <c r="G44" s="102"/>
    </row>
    <row r="45" customFormat="false" ht="15" hidden="false" customHeight="false" outlineLevel="0" collapsed="false">
      <c r="A45" s="6" t="s">
        <v>299</v>
      </c>
      <c r="B45" s="109" t="n">
        <v>12000</v>
      </c>
      <c r="C45" s="109" t="n">
        <v>12000</v>
      </c>
      <c r="D45" s="109" t="n">
        <v>12000</v>
      </c>
      <c r="E45" s="110" t="n">
        <f aca="false">CHOOSE(Dashboard!$B$4,B45,C45,D45)</f>
        <v>12000</v>
      </c>
      <c r="F45" s="38" t="s">
        <v>282</v>
      </c>
      <c r="G45" s="102"/>
    </row>
    <row r="46" customFormat="false" ht="15" hidden="false" customHeight="false" outlineLevel="0" collapsed="false">
      <c r="A46" s="6" t="s">
        <v>300</v>
      </c>
      <c r="B46" s="105" t="n">
        <v>-0.3</v>
      </c>
      <c r="C46" s="105" t="n">
        <v>-0.2</v>
      </c>
      <c r="D46" s="105" t="n">
        <v>-0.1</v>
      </c>
      <c r="E46" s="106" t="n">
        <f aca="false">CHOOSE(Dashboard!$B$4,B46,C46,D46)</f>
        <v>-0.2</v>
      </c>
      <c r="F46" s="38" t="s">
        <v>264</v>
      </c>
      <c r="G46" s="102" t="s">
        <v>257</v>
      </c>
    </row>
    <row r="48" customFormat="false" ht="15.75" hidden="false" customHeight="true" outlineLevel="0" collapsed="false">
      <c r="A48" s="7" t="s">
        <v>84</v>
      </c>
      <c r="B48" s="7"/>
      <c r="C48" s="7"/>
      <c r="D48" s="7"/>
      <c r="E48" s="7"/>
      <c r="F48" s="7"/>
      <c r="G48" s="7"/>
    </row>
    <row r="49" customFormat="false" ht="15" hidden="false" customHeight="false" outlineLevel="0" collapsed="false">
      <c r="A49" s="6" t="s">
        <v>301</v>
      </c>
      <c r="B49" s="109" t="n">
        <v>1650000</v>
      </c>
      <c r="C49" s="109" t="n">
        <v>1650000</v>
      </c>
      <c r="D49" s="109" t="n">
        <v>1650000</v>
      </c>
      <c r="E49" s="110" t="n">
        <f aca="false">CHOOSE(Dashboard!$B$4,B49,C49,D49)</f>
        <v>1650000</v>
      </c>
      <c r="F49" s="38" t="s">
        <v>282</v>
      </c>
      <c r="G49" s="102"/>
    </row>
    <row r="50" customFormat="false" ht="15" hidden="false" customHeight="false" outlineLevel="0" collapsed="false">
      <c r="A50" s="6" t="s">
        <v>302</v>
      </c>
      <c r="B50" s="109" t="n">
        <v>2300000</v>
      </c>
      <c r="C50" s="109" t="n">
        <v>2300000</v>
      </c>
      <c r="D50" s="109" t="n">
        <v>2300000</v>
      </c>
      <c r="E50" s="110" t="n">
        <f aca="false">CHOOSE(Dashboard!$B$4,B50,C50,D50)</f>
        <v>2300000</v>
      </c>
      <c r="F50" s="38" t="s">
        <v>282</v>
      </c>
      <c r="G50" s="102"/>
    </row>
    <row r="51" customFormat="false" ht="15" hidden="false" customHeight="false" outlineLevel="0" collapsed="false">
      <c r="A51" s="6" t="s">
        <v>303</v>
      </c>
      <c r="B51" s="109" t="n">
        <v>150000</v>
      </c>
      <c r="C51" s="109" t="n">
        <v>150000</v>
      </c>
      <c r="D51" s="109" t="n">
        <v>150000</v>
      </c>
      <c r="E51" s="110" t="n">
        <f aca="false">CHOOSE(Dashboard!$B$4,B51,C51,D51)</f>
        <v>150000</v>
      </c>
      <c r="F51" s="38" t="s">
        <v>282</v>
      </c>
      <c r="G51" s="102"/>
    </row>
    <row r="52" customFormat="false" ht="15" hidden="false" customHeight="false" outlineLevel="0" collapsed="false">
      <c r="A52" s="6" t="s">
        <v>304</v>
      </c>
      <c r="B52" s="109" t="n">
        <v>40000</v>
      </c>
      <c r="C52" s="109" t="n">
        <v>40000</v>
      </c>
      <c r="D52" s="109" t="n">
        <v>40000</v>
      </c>
      <c r="E52" s="110" t="n">
        <f aca="false">CHOOSE(Dashboard!$B$4,B52,C52,D52)</f>
        <v>40000</v>
      </c>
      <c r="F52" s="38" t="s">
        <v>282</v>
      </c>
      <c r="G52" s="102"/>
    </row>
    <row r="54" customFormat="false" ht="15.75" hidden="false" customHeight="true" outlineLevel="0" collapsed="false">
      <c r="A54" s="7" t="s">
        <v>305</v>
      </c>
      <c r="B54" s="7"/>
      <c r="C54" s="7"/>
      <c r="D54" s="7"/>
      <c r="E54" s="7"/>
      <c r="F54" s="7"/>
      <c r="G54" s="7"/>
    </row>
    <row r="55" customFormat="false" ht="15" hidden="false" customHeight="false" outlineLevel="0" collapsed="false">
      <c r="A55" s="6" t="s">
        <v>306</v>
      </c>
      <c r="B55" s="100" t="n">
        <v>1</v>
      </c>
      <c r="C55" s="100" t="n">
        <v>1</v>
      </c>
      <c r="D55" s="100" t="n">
        <v>1</v>
      </c>
      <c r="E55" s="101" t="n">
        <f aca="false">CHOOSE(Dashboard!$B$4,B55,C55,D55)</f>
        <v>1</v>
      </c>
      <c r="F55" s="38" t="s">
        <v>307</v>
      </c>
      <c r="G55" s="102" t="s">
        <v>257</v>
      </c>
    </row>
    <row r="56" customFormat="false" ht="15" hidden="false" customHeight="false" outlineLevel="0" collapsed="false">
      <c r="A56" s="6" t="s">
        <v>308</v>
      </c>
      <c r="B56" s="109" t="n">
        <v>72000</v>
      </c>
      <c r="C56" s="109" t="n">
        <v>72000</v>
      </c>
      <c r="D56" s="109" t="n">
        <v>72000</v>
      </c>
      <c r="E56" s="110" t="n">
        <f aca="false">CHOOSE(Dashboard!$B$4,B56,C56,D56)</f>
        <v>72000</v>
      </c>
      <c r="F56" s="38" t="s">
        <v>282</v>
      </c>
      <c r="G56" s="102"/>
    </row>
    <row r="57" customFormat="false" ht="15" hidden="false" customHeight="false" outlineLevel="0" collapsed="false">
      <c r="A57" s="6" t="s">
        <v>309</v>
      </c>
      <c r="B57" s="105" t="n">
        <v>0</v>
      </c>
      <c r="C57" s="105" t="n">
        <v>0</v>
      </c>
      <c r="D57" s="105" t="n">
        <v>0</v>
      </c>
      <c r="E57" s="106" t="n">
        <f aca="false">CHOOSE(Dashboard!$B$4,B57,C57,D57)</f>
        <v>0</v>
      </c>
      <c r="F57" s="38" t="s">
        <v>264</v>
      </c>
      <c r="G57" s="102" t="s">
        <v>257</v>
      </c>
    </row>
    <row r="58" customFormat="false" ht="15" hidden="false" customHeight="false" outlineLevel="0" collapsed="false">
      <c r="A58" s="6" t="s">
        <v>310</v>
      </c>
      <c r="B58" s="103" t="n">
        <v>1</v>
      </c>
      <c r="C58" s="103" t="n">
        <v>1</v>
      </c>
      <c r="D58" s="103" t="n">
        <v>1</v>
      </c>
      <c r="E58" s="104" t="n">
        <f aca="false">CHOOSE(Dashboard!$B$4,B58,C58,D58)</f>
        <v>1</v>
      </c>
      <c r="F58" s="38" t="s">
        <v>311</v>
      </c>
      <c r="G58" s="102"/>
    </row>
    <row r="59" customFormat="false" ht="15" hidden="false" customHeight="false" outlineLevel="0" collapsed="false">
      <c r="A59" s="6" t="s">
        <v>312</v>
      </c>
      <c r="B59" s="100" t="n">
        <v>10</v>
      </c>
      <c r="C59" s="100" t="n">
        <v>10</v>
      </c>
      <c r="D59" s="100" t="n">
        <v>10</v>
      </c>
      <c r="E59" s="101" t="n">
        <f aca="false">CHOOSE(Dashboard!$B$4,B59,C59,D59)</f>
        <v>10</v>
      </c>
      <c r="F59" s="38" t="s">
        <v>307</v>
      </c>
      <c r="G59" s="102" t="s">
        <v>257</v>
      </c>
    </row>
    <row r="60" customFormat="false" ht="15" hidden="false" customHeight="false" outlineLevel="0" collapsed="false">
      <c r="A60" s="6" t="s">
        <v>313</v>
      </c>
      <c r="B60" s="109" t="n">
        <v>32000</v>
      </c>
      <c r="C60" s="109" t="n">
        <v>32000</v>
      </c>
      <c r="D60" s="109" t="n">
        <v>32000</v>
      </c>
      <c r="E60" s="110" t="n">
        <f aca="false">CHOOSE(Dashboard!$B$4,B60,C60,D60)</f>
        <v>32000</v>
      </c>
      <c r="F60" s="38" t="s">
        <v>282</v>
      </c>
      <c r="G60" s="102"/>
    </row>
    <row r="61" customFormat="false" ht="15" hidden="false" customHeight="false" outlineLevel="0" collapsed="false">
      <c r="A61" s="6" t="s">
        <v>314</v>
      </c>
      <c r="B61" s="105" t="n">
        <v>0</v>
      </c>
      <c r="C61" s="105" t="n">
        <v>0</v>
      </c>
      <c r="D61" s="105" t="n">
        <v>0</v>
      </c>
      <c r="E61" s="106" t="n">
        <f aca="false">CHOOSE(Dashboard!$B$4,B61,C61,D61)</f>
        <v>0</v>
      </c>
      <c r="F61" s="38" t="s">
        <v>264</v>
      </c>
      <c r="G61" s="102" t="s">
        <v>257</v>
      </c>
    </row>
    <row r="62" customFormat="false" ht="15" hidden="false" customHeight="false" outlineLevel="0" collapsed="false">
      <c r="A62" s="6" t="s">
        <v>315</v>
      </c>
      <c r="B62" s="103" t="n">
        <v>1</v>
      </c>
      <c r="C62" s="103" t="n">
        <v>1</v>
      </c>
      <c r="D62" s="103" t="n">
        <v>1</v>
      </c>
      <c r="E62" s="104" t="n">
        <f aca="false">CHOOSE(Dashboard!$B$4,B62,C62,D62)</f>
        <v>1</v>
      </c>
      <c r="F62" s="38" t="s">
        <v>311</v>
      </c>
      <c r="G62" s="102"/>
    </row>
    <row r="63" customFormat="false" ht="15" hidden="false" customHeight="false" outlineLevel="0" collapsed="false">
      <c r="A63" s="6" t="s">
        <v>316</v>
      </c>
      <c r="B63" s="105" t="n">
        <v>0.12</v>
      </c>
      <c r="C63" s="105" t="n">
        <v>0.12</v>
      </c>
      <c r="D63" s="105" t="n">
        <v>0.12</v>
      </c>
      <c r="E63" s="106" t="n">
        <f aca="false">CHOOSE(Dashboard!$B$4,B63,C63,D63)</f>
        <v>0.12</v>
      </c>
      <c r="F63" s="38" t="s">
        <v>264</v>
      </c>
      <c r="G63" s="102"/>
    </row>
    <row r="64" customFormat="false" ht="15" hidden="false" customHeight="false" outlineLevel="0" collapsed="false">
      <c r="A64" s="6" t="s">
        <v>317</v>
      </c>
      <c r="B64" s="105" t="n">
        <v>0.03</v>
      </c>
      <c r="C64" s="105" t="n">
        <v>0.03</v>
      </c>
      <c r="D64" s="105" t="n">
        <v>0.03</v>
      </c>
      <c r="E64" s="106" t="n">
        <f aca="false">CHOOSE(Dashboard!$B$4,B64,C64,D64)</f>
        <v>0.03</v>
      </c>
      <c r="F64" s="38" t="s">
        <v>264</v>
      </c>
      <c r="G64" s="102"/>
    </row>
    <row r="66" customFormat="false" ht="15.75" hidden="false" customHeight="true" outlineLevel="0" collapsed="false">
      <c r="A66" s="7" t="s">
        <v>318</v>
      </c>
      <c r="B66" s="7"/>
      <c r="C66" s="7"/>
      <c r="D66" s="7"/>
      <c r="E66" s="7"/>
      <c r="F66" s="7"/>
      <c r="G66" s="7"/>
    </row>
    <row r="67" customFormat="false" ht="15" hidden="false" customHeight="false" outlineLevel="0" collapsed="false">
      <c r="A67" s="6" t="s">
        <v>319</v>
      </c>
      <c r="B67" s="109" t="n">
        <v>2100000</v>
      </c>
      <c r="C67" s="109" t="n">
        <v>2100000</v>
      </c>
      <c r="D67" s="109" t="n">
        <v>2100000</v>
      </c>
      <c r="E67" s="110" t="n">
        <f aca="false">CHOOSE(Dashboard!$B$4,B67,C67,D67)</f>
        <v>2100000</v>
      </c>
      <c r="F67" s="38" t="s">
        <v>282</v>
      </c>
      <c r="G67" s="102"/>
    </row>
    <row r="68" customFormat="false" ht="15" hidden="false" customHeight="false" outlineLevel="0" collapsed="false">
      <c r="A68" s="6" t="s">
        <v>320</v>
      </c>
      <c r="B68" s="109" t="n">
        <v>3000000</v>
      </c>
      <c r="C68" s="109" t="n">
        <v>3000000</v>
      </c>
      <c r="D68" s="109" t="n">
        <v>3000000</v>
      </c>
      <c r="E68" s="110" t="n">
        <f aca="false">CHOOSE(Dashboard!$B$4,B68,C68,D68)</f>
        <v>3000000</v>
      </c>
      <c r="F68" s="38" t="s">
        <v>282</v>
      </c>
      <c r="G68" s="102"/>
    </row>
    <row r="69" customFormat="false" ht="15" hidden="false" customHeight="false" outlineLevel="0" collapsed="false">
      <c r="A69" s="6" t="s">
        <v>321</v>
      </c>
      <c r="B69" s="105" t="n">
        <v>0.085</v>
      </c>
      <c r="C69" s="105" t="n">
        <v>0.085</v>
      </c>
      <c r="D69" s="105" t="n">
        <v>0.085</v>
      </c>
      <c r="E69" s="106" t="n">
        <f aca="false">CHOOSE(Dashboard!$B$4,B69,C69,D69)</f>
        <v>0.085</v>
      </c>
      <c r="F69" s="38" t="s">
        <v>264</v>
      </c>
      <c r="G69" s="102"/>
    </row>
    <row r="70" customFormat="false" ht="15" hidden="false" customHeight="false" outlineLevel="0" collapsed="false">
      <c r="A70" s="6" t="s">
        <v>322</v>
      </c>
      <c r="B70" s="103" t="n">
        <v>10</v>
      </c>
      <c r="C70" s="103" t="n">
        <v>10</v>
      </c>
      <c r="D70" s="103" t="n">
        <v>10</v>
      </c>
      <c r="E70" s="104" t="n">
        <f aca="false">CHOOSE(Dashboard!$B$4,B70,C70,D70)</f>
        <v>10</v>
      </c>
      <c r="F70" s="38" t="s">
        <v>323</v>
      </c>
      <c r="G70" s="102"/>
    </row>
    <row r="72" customFormat="false" ht="15.75" hidden="false" customHeight="true" outlineLevel="0" collapsed="false">
      <c r="A72" s="7" t="s">
        <v>324</v>
      </c>
      <c r="B72" s="7"/>
      <c r="C72" s="7"/>
      <c r="D72" s="7"/>
      <c r="E72" s="7"/>
      <c r="F72" s="7"/>
      <c r="G72" s="7"/>
    </row>
    <row r="73" customFormat="false" ht="15" hidden="false" customHeight="false" outlineLevel="0" collapsed="false">
      <c r="A73" s="6" t="s">
        <v>325</v>
      </c>
      <c r="B73" s="103" t="n">
        <v>2</v>
      </c>
      <c r="C73" s="103" t="n">
        <v>2</v>
      </c>
      <c r="D73" s="103" t="n">
        <v>2</v>
      </c>
      <c r="E73" s="104" t="n">
        <f aca="false">CHOOSE(Dashboard!$B$4,B73,C73,D73)</f>
        <v>2</v>
      </c>
      <c r="F73" s="38" t="s">
        <v>259</v>
      </c>
      <c r="G73" s="102"/>
    </row>
    <row r="74" customFormat="false" ht="15" hidden="false" customHeight="false" outlineLevel="0" collapsed="false">
      <c r="A74" s="6" t="s">
        <v>326</v>
      </c>
      <c r="B74" s="103" t="n">
        <v>15</v>
      </c>
      <c r="C74" s="103" t="n">
        <v>15</v>
      </c>
      <c r="D74" s="103" t="n">
        <v>15</v>
      </c>
      <c r="E74" s="104" t="n">
        <f aca="false">CHOOSE(Dashboard!$B$4,B74,C74,D74)</f>
        <v>15</v>
      </c>
      <c r="F74" s="38" t="s">
        <v>259</v>
      </c>
      <c r="G74" s="102"/>
    </row>
    <row r="75" customFormat="false" ht="15" hidden="false" customHeight="false" outlineLevel="0" collapsed="false">
      <c r="A75" s="6" t="s">
        <v>327</v>
      </c>
      <c r="B75" s="103" t="n">
        <v>25</v>
      </c>
      <c r="C75" s="103" t="n">
        <v>25</v>
      </c>
      <c r="D75" s="103" t="n">
        <v>25</v>
      </c>
      <c r="E75" s="104" t="n">
        <f aca="false">CHOOSE(Dashboard!$B$4,B75,C75,D75)</f>
        <v>25</v>
      </c>
      <c r="F75" s="38" t="s">
        <v>259</v>
      </c>
      <c r="G75" s="102"/>
    </row>
    <row r="77" customFormat="false" ht="15.75" hidden="false" customHeight="true" outlineLevel="0" collapsed="false">
      <c r="A77" s="7" t="s">
        <v>328</v>
      </c>
      <c r="B77" s="7"/>
      <c r="C77" s="7"/>
      <c r="D77" s="7"/>
      <c r="E77" s="7"/>
      <c r="F77" s="7"/>
      <c r="G77" s="7"/>
    </row>
    <row r="78" customFormat="false" ht="15" hidden="false" customHeight="false" outlineLevel="0" collapsed="false">
      <c r="A78" s="6" t="s">
        <v>329</v>
      </c>
      <c r="B78" s="103" t="n">
        <v>12</v>
      </c>
      <c r="C78" s="103" t="n">
        <v>12</v>
      </c>
      <c r="D78" s="103" t="n">
        <v>12</v>
      </c>
      <c r="E78" s="104" t="n">
        <f aca="false">CHOOSE(Dashboard!$B$4,B78,C78,D78)</f>
        <v>12</v>
      </c>
      <c r="F78" s="38" t="s">
        <v>323</v>
      </c>
      <c r="G78" s="102"/>
    </row>
    <row r="79" customFormat="false" ht="15" hidden="false" customHeight="false" outlineLevel="0" collapsed="false">
      <c r="A79" s="6" t="s">
        <v>330</v>
      </c>
      <c r="B79" s="105" t="n">
        <v>0.21</v>
      </c>
      <c r="C79" s="105" t="n">
        <v>0.21</v>
      </c>
      <c r="D79" s="105" t="n">
        <v>0.21</v>
      </c>
      <c r="E79" s="106" t="n">
        <f aca="false">CHOOSE(Dashboard!$B$4,B79,C79,D79)</f>
        <v>0.21</v>
      </c>
      <c r="F79" s="38" t="s">
        <v>264</v>
      </c>
      <c r="G79" s="102"/>
    </row>
    <row r="81" customFormat="false" ht="15.75" hidden="false" customHeight="true" outlineLevel="0" collapsed="false">
      <c r="A81" s="7" t="s">
        <v>331</v>
      </c>
      <c r="B81" s="7"/>
      <c r="C81" s="7"/>
      <c r="D81" s="7"/>
      <c r="E81" s="7"/>
      <c r="F81" s="7"/>
      <c r="G81" s="7"/>
    </row>
    <row r="82" customFormat="false" ht="15" hidden="false" customHeight="false" outlineLevel="0" collapsed="false">
      <c r="A82" s="6" t="s">
        <v>142</v>
      </c>
      <c r="B82" s="109" t="n">
        <v>281000</v>
      </c>
      <c r="C82" s="109" t="n">
        <v>281000</v>
      </c>
      <c r="D82" s="109" t="n">
        <v>281000</v>
      </c>
      <c r="E82" s="110" t="n">
        <f aca="false">CHOOSE(Dashboard!$B$4,B82,C82,D82)</f>
        <v>281000</v>
      </c>
      <c r="F82" s="38" t="s">
        <v>282</v>
      </c>
      <c r="G82" s="102" t="s">
        <v>332</v>
      </c>
    </row>
    <row r="84" customFormat="false" ht="15.75" hidden="false" customHeight="true" outlineLevel="0" collapsed="false">
      <c r="A84" s="7" t="s">
        <v>333</v>
      </c>
      <c r="B84" s="7"/>
      <c r="C84" s="7"/>
      <c r="D84" s="7"/>
      <c r="E84" s="7"/>
      <c r="F84" s="7"/>
      <c r="G84" s="7"/>
    </row>
    <row r="85" customFormat="false" ht="15" hidden="false" customHeight="false" outlineLevel="0" collapsed="false">
      <c r="A85" s="6" t="s">
        <v>169</v>
      </c>
      <c r="B85" s="105" t="n">
        <v>0.3</v>
      </c>
      <c r="C85" s="105" t="n">
        <v>0.25</v>
      </c>
      <c r="D85" s="105" t="n">
        <v>0.2</v>
      </c>
      <c r="E85" s="106" t="n">
        <f aca="false">CHOOSE(Dashboard!$B$4,B85,C85,D85)</f>
        <v>0.25</v>
      </c>
      <c r="F85" s="38" t="s">
        <v>264</v>
      </c>
      <c r="G85" s="102" t="s">
        <v>262</v>
      </c>
    </row>
    <row r="86" customFormat="false" ht="15" hidden="false" customHeight="false" outlineLevel="0" collapsed="false">
      <c r="A86" s="6" t="s">
        <v>334</v>
      </c>
      <c r="B86" s="105" t="n">
        <v>0.01</v>
      </c>
      <c r="C86" s="105" t="n">
        <v>0.02</v>
      </c>
      <c r="D86" s="105" t="n">
        <v>0.03</v>
      </c>
      <c r="E86" s="106" t="n">
        <f aca="false">CHOOSE(Dashboard!$B$4,B86,C86,D86)</f>
        <v>0.02</v>
      </c>
      <c r="F86" s="38" t="s">
        <v>264</v>
      </c>
      <c r="G86" s="102" t="s">
        <v>257</v>
      </c>
    </row>
    <row r="87" customFormat="false" ht="15" hidden="false" customHeight="false" outlineLevel="0" collapsed="false">
      <c r="A87" s="6" t="s">
        <v>171</v>
      </c>
      <c r="B87" s="111" t="n">
        <v>3</v>
      </c>
      <c r="C87" s="111" t="n">
        <v>4</v>
      </c>
      <c r="D87" s="111" t="n">
        <v>5</v>
      </c>
      <c r="E87" s="112" t="n">
        <f aca="false">CHOOSE(Dashboard!$B$4,B87,C87,D87)</f>
        <v>4</v>
      </c>
      <c r="F87" s="38" t="s">
        <v>335</v>
      </c>
      <c r="G87" s="102" t="s">
        <v>257</v>
      </c>
    </row>
    <row r="88" customFormat="false" ht="15" hidden="false" customHeight="false" outlineLevel="0" collapsed="false">
      <c r="A88" s="6" t="s">
        <v>336</v>
      </c>
      <c r="B88" s="105" t="n">
        <v>0.01</v>
      </c>
      <c r="C88" s="105" t="n">
        <v>0.01</v>
      </c>
      <c r="D88" s="105" t="n">
        <v>0.01</v>
      </c>
      <c r="E88" s="106" t="n">
        <f aca="false">CHOOSE(Dashboard!$B$4,B88,C88,D88)</f>
        <v>0.01</v>
      </c>
      <c r="F88" s="38" t="s">
        <v>264</v>
      </c>
      <c r="G88" s="102"/>
    </row>
    <row r="89" customFormat="false" ht="15" hidden="false" customHeight="false" outlineLevel="0" collapsed="false">
      <c r="A89" s="6" t="s">
        <v>337</v>
      </c>
      <c r="B89" s="105" t="n">
        <v>0.005</v>
      </c>
      <c r="C89" s="105" t="n">
        <v>0.005</v>
      </c>
      <c r="D89" s="105" t="n">
        <v>0.005</v>
      </c>
      <c r="E89" s="106" t="n">
        <f aca="false">CHOOSE(Dashboard!$B$4,B89,C89,D89)</f>
        <v>0.005</v>
      </c>
      <c r="F89" s="38" t="s">
        <v>264</v>
      </c>
      <c r="G89" s="102"/>
    </row>
    <row r="91" customFormat="false" ht="15" hidden="false" customHeight="false" outlineLevel="0" collapsed="false">
      <c r="A91" s="21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20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339</v>
      </c>
    </row>
    <row r="3" customFormat="false" ht="15" hidden="false" customHeight="false" outlineLevel="0" collapsed="false">
      <c r="A3" s="74" t="s">
        <v>155</v>
      </c>
      <c r="B3" s="74" t="n">
        <v>1</v>
      </c>
      <c r="C3" s="74" t="n">
        <v>2</v>
      </c>
      <c r="D3" s="74" t="n">
        <v>3</v>
      </c>
      <c r="E3" s="74" t="n">
        <v>4</v>
      </c>
      <c r="F3" s="74" t="n">
        <v>5</v>
      </c>
    </row>
    <row r="4" customFormat="false" ht="15" hidden="false" customHeight="false" outlineLevel="0" collapsed="false">
      <c r="A4" s="33"/>
      <c r="B4" s="52" t="s">
        <v>156</v>
      </c>
      <c r="C4" s="52" t="s">
        <v>157</v>
      </c>
      <c r="D4" s="52" t="s">
        <v>158</v>
      </c>
      <c r="E4" s="52" t="s">
        <v>159</v>
      </c>
      <c r="F4" s="52" t="s">
        <v>160</v>
      </c>
    </row>
    <row r="5" customFormat="false" ht="15" hidden="false" customHeight="false" outlineLevel="0" collapsed="false">
      <c r="A5" s="4" t="s">
        <v>44</v>
      </c>
      <c r="B5" s="75" t="n">
        <f aca="false">SUMIF(Monthly!$C$5:$BJ$5,B$3,Monthly!$C$37:$BJ$37)</f>
        <v>1180182.39164623</v>
      </c>
      <c r="C5" s="75" t="n">
        <f aca="false">SUMIF(Monthly!$C$5:$BJ$5,C$3,Monthly!$C$37:$BJ$37)</f>
        <v>1805881.4666632</v>
      </c>
      <c r="D5" s="75" t="n">
        <f aca="false">SUMIF(Monthly!$C$5:$BJ$5,D$3,Monthly!$C$37:$BJ$37)</f>
        <v>2080276.59708741</v>
      </c>
      <c r="E5" s="75" t="n">
        <f aca="false">SUMIF(Monthly!$C$5:$BJ$5,E$3,Monthly!$C$37:$BJ$37)</f>
        <v>2282431.11225691</v>
      </c>
      <c r="F5" s="75" t="n">
        <f aca="false">SUMIF(Monthly!$C$5:$BJ$5,F$3,Monthly!$C$37:$BJ$37)</f>
        <v>2440877.21952545</v>
      </c>
    </row>
    <row r="6" customFormat="false" ht="15" hidden="false" customHeight="false" outlineLevel="0" collapsed="false">
      <c r="A6" s="6" t="s">
        <v>76</v>
      </c>
      <c r="B6" s="69" t="n">
        <f aca="false">SUMIF(Monthly!$C$5:$BJ$5,B$3,Monthly!$C$45:$BJ$45)</f>
        <v>-180421.598916524</v>
      </c>
      <c r="C6" s="69" t="n">
        <f aca="false">SUMIF(Monthly!$C$5:$BJ$5,C$3,Monthly!$C$45:$BJ$45)</f>
        <v>-288679.05820146</v>
      </c>
      <c r="D6" s="69" t="n">
        <f aca="false">SUMIF(Monthly!$C$5:$BJ$5,D$3,Monthly!$C$45:$BJ$45)</f>
        <v>-343422.649355316</v>
      </c>
      <c r="E6" s="69" t="n">
        <f aca="false">SUMIF(Monthly!$C$5:$BJ$5,E$3,Monthly!$C$45:$BJ$45)</f>
        <v>-384784.481676009</v>
      </c>
      <c r="F6" s="69" t="n">
        <f aca="false">SUMIF(Monthly!$C$5:$BJ$5,F$3,Monthly!$C$45:$BJ$45)</f>
        <v>-418095.189492422</v>
      </c>
    </row>
    <row r="7" customFormat="false" ht="15" hidden="false" customHeight="false" outlineLevel="0" collapsed="false">
      <c r="A7" s="113" t="s">
        <v>45</v>
      </c>
      <c r="B7" s="70" t="n">
        <f aca="false">SUMIF(Monthly!$C$5:$BJ$5,B$3,Monthly!$C$46:$BJ$46)</f>
        <v>999760.792729705</v>
      </c>
      <c r="C7" s="70" t="n">
        <f aca="false">SUMIF(Monthly!$C$5:$BJ$5,C$3,Monthly!$C$46:$BJ$46)</f>
        <v>1517202.40846174</v>
      </c>
      <c r="D7" s="70" t="n">
        <f aca="false">SUMIF(Monthly!$C$5:$BJ$5,D$3,Monthly!$C$46:$BJ$46)</f>
        <v>1736853.94773209</v>
      </c>
      <c r="E7" s="70" t="n">
        <f aca="false">SUMIF(Monthly!$C$5:$BJ$5,E$3,Monthly!$C$46:$BJ$46)</f>
        <v>1897646.63058091</v>
      </c>
      <c r="F7" s="70" t="n">
        <f aca="false">SUMIF(Monthly!$C$5:$BJ$5,F$3,Monthly!$C$46:$BJ$46)</f>
        <v>2022782.03003303</v>
      </c>
    </row>
    <row r="8" customFormat="false" ht="15" hidden="false" customHeight="false" outlineLevel="0" collapsed="false">
      <c r="A8" s="38" t="s">
        <v>46</v>
      </c>
      <c r="B8" s="76" t="n">
        <f aca="false">IF(B5=0,0,B7/B5)</f>
        <v>0.847123969825669</v>
      </c>
      <c r="C8" s="76" t="n">
        <f aca="false">IF(C5=0,0,C7/C5)</f>
        <v>0.840145068471817</v>
      </c>
      <c r="D8" s="76" t="n">
        <f aca="false">IF(D5=0,0,D7/D5)</f>
        <v>0.83491490995181</v>
      </c>
      <c r="E8" s="76" t="n">
        <f aca="false">IF(E5=0,0,E7/E5)</f>
        <v>0.831414635206437</v>
      </c>
      <c r="F8" s="76" t="n">
        <f aca="false">IF(F5=0,0,F7/F5)</f>
        <v>0.828711093639644</v>
      </c>
    </row>
    <row r="9" customFormat="false" ht="15" hidden="false" customHeight="false" outlineLevel="0" collapsed="false">
      <c r="A9" s="6" t="s">
        <v>340</v>
      </c>
      <c r="B9" s="69" t="n">
        <f aca="false">SUMIF(Monthly!$C$5:$BJ$5,B$3,Monthly!$C$49:$BJ$49)</f>
        <v>-439040</v>
      </c>
      <c r="C9" s="69" t="n">
        <f aca="false">SUMIF(Monthly!$C$5:$BJ$5,C$3,Monthly!$C$49:$BJ$49)</f>
        <v>-452211.2</v>
      </c>
      <c r="D9" s="69" t="n">
        <f aca="false">SUMIF(Monthly!$C$5:$BJ$5,D$3,Monthly!$C$49:$BJ$49)</f>
        <v>-465777.536</v>
      </c>
      <c r="E9" s="69" t="n">
        <f aca="false">SUMIF(Monthly!$C$5:$BJ$5,E$3,Monthly!$C$49:$BJ$49)</f>
        <v>-479750.86208</v>
      </c>
      <c r="F9" s="69" t="n">
        <f aca="false">SUMIF(Monthly!$C$5:$BJ$5,F$3,Monthly!$C$49:$BJ$49)</f>
        <v>-494143.3879424</v>
      </c>
    </row>
    <row r="10" customFormat="false" ht="15" hidden="false" customHeight="false" outlineLevel="0" collapsed="false">
      <c r="A10" s="6" t="s">
        <v>341</v>
      </c>
      <c r="B10" s="69" t="n">
        <f aca="false">SUMIF(Monthly!$C$5:$BJ$5,B$3,Monthly!$C$50:$BJ$50)</f>
        <v>-360000</v>
      </c>
      <c r="C10" s="69" t="n">
        <f aca="false">SUMIF(Monthly!$C$5:$BJ$5,C$3,Monthly!$C$50:$BJ$50)</f>
        <v>-370800</v>
      </c>
      <c r="D10" s="69" t="n">
        <f aca="false">SUMIF(Monthly!$C$5:$BJ$5,D$3,Monthly!$C$50:$BJ$50)</f>
        <v>-381924</v>
      </c>
      <c r="E10" s="69" t="n">
        <f aca="false">SUMIF(Monthly!$C$5:$BJ$5,E$3,Monthly!$C$50:$BJ$50)</f>
        <v>-393381.72</v>
      </c>
      <c r="F10" s="69" t="n">
        <f aca="false">SUMIF(Monthly!$C$5:$BJ$5,F$3,Monthly!$C$50:$BJ$50)</f>
        <v>-405183.1716</v>
      </c>
    </row>
    <row r="11" customFormat="false" ht="15" hidden="false" customHeight="false" outlineLevel="0" collapsed="false">
      <c r="A11" s="6" t="s">
        <v>342</v>
      </c>
      <c r="B11" s="69" t="n">
        <f aca="false">SUMIF(Monthly!$C$5:$BJ$5,B$3,Monthly!$C$51:$BJ$51)</f>
        <v>-66000</v>
      </c>
      <c r="C11" s="69" t="n">
        <f aca="false">SUMIF(Monthly!$C$5:$BJ$5,C$3,Monthly!$C$51:$BJ$51)</f>
        <v>-67980</v>
      </c>
      <c r="D11" s="69" t="n">
        <f aca="false">SUMIF(Monthly!$C$5:$BJ$5,D$3,Monthly!$C$51:$BJ$51)</f>
        <v>-70019.4</v>
      </c>
      <c r="E11" s="69" t="n">
        <f aca="false">SUMIF(Monthly!$C$5:$BJ$5,E$3,Monthly!$C$51:$BJ$51)</f>
        <v>-72119.982</v>
      </c>
      <c r="F11" s="69" t="n">
        <f aca="false">SUMIF(Monthly!$C$5:$BJ$5,F$3,Monthly!$C$51:$BJ$51)</f>
        <v>-74283.58146</v>
      </c>
    </row>
    <row r="12" customFormat="false" ht="15" hidden="false" customHeight="false" outlineLevel="0" collapsed="false">
      <c r="A12" s="6" t="s">
        <v>343</v>
      </c>
      <c r="B12" s="69" t="n">
        <f aca="false">SUMIF(Monthly!$C$5:$BJ$5,B$3,Monthly!$C$52:$BJ$52)</f>
        <v>-114000</v>
      </c>
      <c r="C12" s="69" t="n">
        <f aca="false">SUMIF(Monthly!$C$5:$BJ$5,C$3,Monthly!$C$52:$BJ$52)</f>
        <v>-117420</v>
      </c>
      <c r="D12" s="69" t="n">
        <f aca="false">SUMIF(Monthly!$C$5:$BJ$5,D$3,Monthly!$C$52:$BJ$52)</f>
        <v>-120942.6</v>
      </c>
      <c r="E12" s="69" t="n">
        <f aca="false">SUMIF(Monthly!$C$5:$BJ$5,E$3,Monthly!$C$52:$BJ$52)</f>
        <v>-124570.878</v>
      </c>
      <c r="F12" s="69" t="n">
        <f aca="false">SUMIF(Monthly!$C$5:$BJ$5,F$3,Monthly!$C$52:$BJ$52)</f>
        <v>-128308.00434</v>
      </c>
    </row>
    <row r="13" customFormat="false" ht="15" hidden="false" customHeight="false" outlineLevel="0" collapsed="false">
      <c r="A13" s="6" t="s">
        <v>344</v>
      </c>
      <c r="B13" s="69" t="n">
        <f aca="false">SUMIF(Monthly!$C$5:$BJ$5,B$3,Monthly!$C$53:$BJ$53)</f>
        <v>-144000</v>
      </c>
      <c r="C13" s="69" t="n">
        <f aca="false">SUMIF(Monthly!$C$5:$BJ$5,C$3,Monthly!$C$53:$BJ$53)</f>
        <v>-115200</v>
      </c>
      <c r="D13" s="69" t="n">
        <f aca="false">SUMIF(Monthly!$C$5:$BJ$5,D$3,Monthly!$C$53:$BJ$53)</f>
        <v>-92160</v>
      </c>
      <c r="E13" s="69" t="n">
        <f aca="false">SUMIF(Monthly!$C$5:$BJ$5,E$3,Monthly!$C$53:$BJ$53)</f>
        <v>-73728</v>
      </c>
      <c r="F13" s="69" t="n">
        <f aca="false">SUMIF(Monthly!$C$5:$BJ$5,F$3,Monthly!$C$53:$BJ$53)</f>
        <v>-58982.4</v>
      </c>
    </row>
    <row r="14" customFormat="false" ht="15" hidden="false" customHeight="false" outlineLevel="0" collapsed="false">
      <c r="A14" s="113" t="s">
        <v>77</v>
      </c>
      <c r="B14" s="70" t="n">
        <f aca="false">SUMIF(Monthly!$C$5:$BJ$5,B$3,Monthly!$C$54:$BJ$54)</f>
        <v>-1123040</v>
      </c>
      <c r="C14" s="70" t="n">
        <f aca="false">SUMIF(Monthly!$C$5:$BJ$5,C$3,Monthly!$C$54:$BJ$54)</f>
        <v>-1123611.2</v>
      </c>
      <c r="D14" s="70" t="n">
        <f aca="false">SUMIF(Monthly!$C$5:$BJ$5,D$3,Monthly!$C$54:$BJ$54)</f>
        <v>-1130823.536</v>
      </c>
      <c r="E14" s="70" t="n">
        <f aca="false">SUMIF(Monthly!$C$5:$BJ$5,E$3,Monthly!$C$54:$BJ$54)</f>
        <v>-1143551.44208</v>
      </c>
      <c r="F14" s="70" t="n">
        <f aca="false">SUMIF(Monthly!$C$5:$BJ$5,F$3,Monthly!$C$54:$BJ$54)</f>
        <v>-1160900.5453424</v>
      </c>
    </row>
    <row r="15" customFormat="false" ht="15" hidden="false" customHeight="false" outlineLevel="0" collapsed="false">
      <c r="A15" s="113" t="s">
        <v>48</v>
      </c>
      <c r="B15" s="70" t="n">
        <f aca="false">SUMIF(Monthly!$C$5:$BJ$5,B$3,Monthly!$C$55:$BJ$55)</f>
        <v>-123279.207270295</v>
      </c>
      <c r="C15" s="70" t="n">
        <f aca="false">SUMIF(Monthly!$C$5:$BJ$5,C$3,Monthly!$C$55:$BJ$55)</f>
        <v>393591.208461737</v>
      </c>
      <c r="D15" s="70" t="n">
        <f aca="false">SUMIF(Monthly!$C$5:$BJ$5,D$3,Monthly!$C$55:$BJ$55)</f>
        <v>606030.411732089</v>
      </c>
      <c r="E15" s="70" t="n">
        <f aca="false">SUMIF(Monthly!$C$5:$BJ$5,E$3,Monthly!$C$55:$BJ$55)</f>
        <v>754095.188500905</v>
      </c>
      <c r="F15" s="70" t="n">
        <f aca="false">SUMIF(Monthly!$C$5:$BJ$5,F$3,Monthly!$C$55:$BJ$55)</f>
        <v>861881.484690629</v>
      </c>
    </row>
    <row r="16" customFormat="false" ht="15" hidden="false" customHeight="false" outlineLevel="0" collapsed="false">
      <c r="A16" s="38" t="s">
        <v>49</v>
      </c>
      <c r="B16" s="76" t="n">
        <f aca="false">IF(B5=0,0,B15/B5)</f>
        <v>-0.104457758515049</v>
      </c>
      <c r="C16" s="76" t="n">
        <f aca="false">IF(C5=0,0,C15/C5)</f>
        <v>0.217949636079378</v>
      </c>
      <c r="D16" s="76" t="n">
        <f aca="false">IF(D5=0,0,D15/D5)</f>
        <v>0.291322035050816</v>
      </c>
      <c r="E16" s="76" t="n">
        <f aca="false">IF(E5=0,0,E15/E5)</f>
        <v>0.330391215073843</v>
      </c>
      <c r="F16" s="76" t="n">
        <f aca="false">IF(F5=0,0,F15/F5)</f>
        <v>0.353103170366838</v>
      </c>
    </row>
    <row r="17" customFormat="false" ht="15" hidden="false" customHeight="false" outlineLevel="0" collapsed="false">
      <c r="A17" s="6" t="s">
        <v>78</v>
      </c>
      <c r="B17" s="69" t="n">
        <f aca="false">SUMIF(Monthly!$C$5:$BJ$5,B$3,Monthly!$C$73:$BJ$73)</f>
        <v>-341666.666666667</v>
      </c>
      <c r="C17" s="69" t="n">
        <f aca="false">SUMIF(Monthly!$C$5:$BJ$5,C$3,Monthly!$C$73:$BJ$73)</f>
        <v>-345000</v>
      </c>
      <c r="D17" s="69" t="n">
        <f aca="false">SUMIF(Monthly!$C$5:$BJ$5,D$3,Monthly!$C$73:$BJ$73)</f>
        <v>-348333.333333333</v>
      </c>
      <c r="E17" s="69" t="n">
        <f aca="false">SUMIF(Monthly!$C$5:$BJ$5,E$3,Monthly!$C$73:$BJ$73)</f>
        <v>-351666.666666667</v>
      </c>
      <c r="F17" s="69" t="n">
        <f aca="false">SUMIF(Monthly!$C$5:$BJ$5,F$3,Monthly!$C$73:$BJ$73)</f>
        <v>-355000</v>
      </c>
    </row>
    <row r="18" customFormat="false" ht="15" hidden="false" customHeight="false" outlineLevel="0" collapsed="false">
      <c r="A18" s="4" t="s">
        <v>79</v>
      </c>
      <c r="B18" s="75" t="n">
        <f aca="false">SUMIF(Monthly!$C$5:$BJ$5,B$3,Monthly!$C$58:$BJ$58)</f>
        <v>-464945.873936961</v>
      </c>
      <c r="C18" s="75" t="n">
        <f aca="false">SUMIF(Monthly!$C$5:$BJ$5,C$3,Monthly!$C$58:$BJ$58)</f>
        <v>48591.2084617368</v>
      </c>
      <c r="D18" s="75" t="n">
        <f aca="false">SUMIF(Monthly!$C$5:$BJ$5,D$3,Monthly!$C$58:$BJ$58)</f>
        <v>257697.078398756</v>
      </c>
      <c r="E18" s="75" t="n">
        <f aca="false">SUMIF(Monthly!$C$5:$BJ$5,E$3,Monthly!$C$58:$BJ$58)</f>
        <v>402428.521834239</v>
      </c>
      <c r="F18" s="75" t="n">
        <f aca="false">SUMIF(Monthly!$C$5:$BJ$5,F$3,Monthly!$C$58:$BJ$58)</f>
        <v>506881.484690629</v>
      </c>
    </row>
    <row r="19" customFormat="false" ht="15" hidden="false" customHeight="false" outlineLevel="0" collapsed="false">
      <c r="A19" s="6" t="s">
        <v>80</v>
      </c>
      <c r="B19" s="69" t="n">
        <f aca="false">SUMIF(Monthly!$C$5:$BJ$5,B$3,Monthly!$C$59:$BJ$59)</f>
        <v>-244286.458333333</v>
      </c>
      <c r="C19" s="69" t="n">
        <f aca="false">SUMIF(Monthly!$C$5:$BJ$5,C$3,Monthly!$C$59:$BJ$59)</f>
        <v>-218875</v>
      </c>
      <c r="D19" s="69" t="n">
        <f aca="false">SUMIF(Monthly!$C$5:$BJ$5,D$3,Monthly!$C$59:$BJ$59)</f>
        <v>-193375</v>
      </c>
      <c r="E19" s="69" t="n">
        <f aca="false">SUMIF(Monthly!$C$5:$BJ$5,E$3,Monthly!$C$59:$BJ$59)</f>
        <v>-167875</v>
      </c>
      <c r="F19" s="69" t="n">
        <f aca="false">SUMIF(Monthly!$C$5:$BJ$5,F$3,Monthly!$C$59:$BJ$59)</f>
        <v>-142375</v>
      </c>
    </row>
    <row r="20" customFormat="false" ht="15" hidden="false" customHeight="false" outlineLevel="0" collapsed="false">
      <c r="A20" s="114" t="s">
        <v>81</v>
      </c>
      <c r="B20" s="115" t="n">
        <f aca="false">SUMIF(Monthly!$C$5:$BJ$5,B$3,Monthly!$C$60:$BJ$60)</f>
        <v>-709232.332270295</v>
      </c>
      <c r="C20" s="115" t="n">
        <f aca="false">SUMIF(Monthly!$C$5:$BJ$5,C$3,Monthly!$C$60:$BJ$60)</f>
        <v>-170283.791538263</v>
      </c>
      <c r="D20" s="115" t="n">
        <f aca="false">SUMIF(Monthly!$C$5:$BJ$5,D$3,Monthly!$C$60:$BJ$60)</f>
        <v>64322.0783987556</v>
      </c>
      <c r="E20" s="115" t="n">
        <f aca="false">SUMIF(Monthly!$C$5:$BJ$5,E$3,Monthly!$C$60:$BJ$60)</f>
        <v>234553.521834239</v>
      </c>
      <c r="F20" s="115" t="n">
        <f aca="false">SUMIF(Monthly!$C$5:$BJ$5,F$3,Monthly!$C$60:$BJ$60)</f>
        <v>364506.484690629</v>
      </c>
    </row>
    <row r="21" customFormat="false" ht="15" hidden="false" customHeight="false" outlineLevel="0" collapsed="false">
      <c r="A21" s="6" t="s">
        <v>82</v>
      </c>
      <c r="B21" s="69" t="n">
        <f aca="false">SUMIF(Monthly!$C$5:$BJ$5,B$3,Monthly!$C$63:$BJ$63)</f>
        <v>0</v>
      </c>
      <c r="C21" s="69" t="n">
        <f aca="false">SUMIF(Monthly!$C$5:$BJ$5,C$3,Monthly!$C$63:$BJ$63)</f>
        <v>0</v>
      </c>
      <c r="D21" s="69" t="n">
        <f aca="false">SUMIF(Monthly!$C$5:$BJ$5,D$3,Monthly!$C$63:$BJ$63)</f>
        <v>0</v>
      </c>
      <c r="E21" s="69" t="n">
        <f aca="false">SUMIF(Monthly!$C$5:$BJ$5,E$3,Monthly!$C$63:$BJ$63)</f>
        <v>0</v>
      </c>
      <c r="F21" s="69" t="n">
        <f aca="false">SUMIF(Monthly!$C$5:$BJ$5,F$3,Monthly!$C$63:$BJ$63)</f>
        <v>0</v>
      </c>
    </row>
    <row r="22" customFormat="false" ht="15" hidden="false" customHeight="false" outlineLevel="0" collapsed="false">
      <c r="A22" s="72" t="s">
        <v>50</v>
      </c>
      <c r="B22" s="73" t="n">
        <f aca="false">SUMIF(Monthly!$C$5:$BJ$5,B$3,Monthly!$C$64:$BJ$64)</f>
        <v>-709232.332270295</v>
      </c>
      <c r="C22" s="73" t="n">
        <f aca="false">SUMIF(Monthly!$C$5:$BJ$5,C$3,Monthly!$C$64:$BJ$64)</f>
        <v>-170283.791538263</v>
      </c>
      <c r="D22" s="73" t="n">
        <f aca="false">SUMIF(Monthly!$C$5:$BJ$5,D$3,Monthly!$C$64:$BJ$64)</f>
        <v>64322.0783987556</v>
      </c>
      <c r="E22" s="73" t="n">
        <f aca="false">SUMIF(Monthly!$C$5:$BJ$5,E$3,Monthly!$C$64:$BJ$64)</f>
        <v>234553.521834239</v>
      </c>
      <c r="F22" s="73" t="n">
        <f aca="false">SUMIF(Monthly!$C$5:$BJ$5,F$3,Monthly!$C$64:$BJ$64)</f>
        <v>364506.484690629</v>
      </c>
    </row>
    <row r="23" customFormat="false" ht="15" hidden="false" customHeight="false" outlineLevel="0" collapsed="false">
      <c r="A23" s="38" t="s">
        <v>51</v>
      </c>
      <c r="B23" s="76" t="n">
        <f aca="false">IF(B5=0,0,B22/B5)</f>
        <v>-0.600951460800047</v>
      </c>
      <c r="C23" s="76" t="n">
        <f aca="false">IF(C5=0,0,C22/C5)</f>
        <v>-0.0942940025033336</v>
      </c>
      <c r="D23" s="76" t="n">
        <f aca="false">IF(D5=0,0,D22/D5)</f>
        <v>0.0309199644358894</v>
      </c>
      <c r="E23" s="76" t="n">
        <f aca="false">IF(E5=0,0,E22/E5)</f>
        <v>0.102764775933284</v>
      </c>
      <c r="F23" s="76" t="n">
        <f aca="false">IF(F5=0,0,F22/F5)</f>
        <v>0.149334215492205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339</v>
      </c>
    </row>
    <row r="3" customFormat="false" ht="15" hidden="false" customHeight="false" outlineLevel="0" collapsed="false">
      <c r="A3" s="74" t="s">
        <v>155</v>
      </c>
      <c r="B3" s="74" t="n">
        <v>1</v>
      </c>
      <c r="C3" s="74" t="n">
        <v>2</v>
      </c>
      <c r="D3" s="74" t="n">
        <v>3</v>
      </c>
      <c r="E3" s="74" t="n">
        <v>4</v>
      </c>
      <c r="F3" s="74" t="n">
        <v>5</v>
      </c>
    </row>
    <row r="4" customFormat="false" ht="15" hidden="false" customHeight="false" outlineLevel="0" collapsed="false">
      <c r="A4" s="33"/>
      <c r="B4" s="52" t="s">
        <v>156</v>
      </c>
      <c r="C4" s="52" t="s">
        <v>157</v>
      </c>
      <c r="D4" s="52" t="s">
        <v>158</v>
      </c>
      <c r="E4" s="52" t="s">
        <v>159</v>
      </c>
      <c r="F4" s="52" t="s">
        <v>160</v>
      </c>
    </row>
    <row r="5" customFormat="false" ht="15" hidden="false" customHeight="false" outlineLevel="0" collapsed="false">
      <c r="A5" s="6" t="s">
        <v>50</v>
      </c>
      <c r="B5" s="69" t="n">
        <f aca="false">SUMIF(Monthly!$C$5:$BJ$5,B$3,Monthly!$C$64:$BJ$64)</f>
        <v>-709232.332270295</v>
      </c>
      <c r="C5" s="69" t="n">
        <f aca="false">SUMIF(Monthly!$C$5:$BJ$5,C$3,Monthly!$C$64:$BJ$64)</f>
        <v>-170283.791538263</v>
      </c>
      <c r="D5" s="69" t="n">
        <f aca="false">SUMIF(Monthly!$C$5:$BJ$5,D$3,Monthly!$C$64:$BJ$64)</f>
        <v>64322.0783987556</v>
      </c>
      <c r="E5" s="69" t="n">
        <f aca="false">SUMIF(Monthly!$C$5:$BJ$5,E$3,Monthly!$C$64:$BJ$64)</f>
        <v>234553.521834239</v>
      </c>
      <c r="F5" s="69" t="n">
        <f aca="false">SUMIF(Monthly!$C$5:$BJ$5,F$3,Monthly!$C$64:$BJ$64)</f>
        <v>364506.484690629</v>
      </c>
    </row>
    <row r="6" customFormat="false" ht="15" hidden="false" customHeight="false" outlineLevel="0" collapsed="false">
      <c r="A6" s="6" t="s">
        <v>345</v>
      </c>
      <c r="B6" s="69" t="n">
        <f aca="false">-SUMIF(Monthly!$C$5:$BJ$5,B$3,Monthly!$C$73:$BJ$73)</f>
        <v>341666.666666667</v>
      </c>
      <c r="C6" s="69" t="n">
        <f aca="false">-SUMIF(Monthly!$C$5:$BJ$5,C$3,Monthly!$C$73:$BJ$73)</f>
        <v>345000</v>
      </c>
      <c r="D6" s="69" t="n">
        <f aca="false">-SUMIF(Monthly!$C$5:$BJ$5,D$3,Monthly!$C$73:$BJ$73)</f>
        <v>348333.333333333</v>
      </c>
      <c r="E6" s="69" t="n">
        <f aca="false">-SUMIF(Monthly!$C$5:$BJ$5,E$3,Monthly!$C$73:$BJ$73)</f>
        <v>351666.666666667</v>
      </c>
      <c r="F6" s="69" t="n">
        <f aca="false">-SUMIF(Monthly!$C$5:$BJ$5,F$3,Monthly!$C$73:$BJ$73)</f>
        <v>355000</v>
      </c>
    </row>
    <row r="7" customFormat="false" ht="15" hidden="false" customHeight="false" outlineLevel="0" collapsed="false">
      <c r="A7" s="6" t="s">
        <v>346</v>
      </c>
      <c r="B7" s="69" t="n">
        <f aca="false">SUMIF(Monthly!$C$5:$BJ$5,B$3,Monthly!$C$87:$BJ$87)</f>
        <v>-7915.98187505677</v>
      </c>
      <c r="C7" s="69" t="n">
        <f aca="false">SUMIF(Monthly!$C$5:$BJ$5,C$3,Monthly!$C$87:$BJ$87)</f>
        <v>-1788.51827177003</v>
      </c>
      <c r="D7" s="69" t="n">
        <f aca="false">SUMIF(Monthly!$C$5:$BJ$5,D$3,Monthly!$C$87:$BJ$87)</f>
        <v>-1274.50824054096</v>
      </c>
      <c r="E7" s="69" t="n">
        <f aca="false">SUMIF(Monthly!$C$5:$BJ$5,E$3,Monthly!$C$87:$BJ$87)</f>
        <v>-960.779278420856</v>
      </c>
      <c r="F7" s="69" t="n">
        <f aca="false">SUMIF(Monthly!$C$5:$BJ$5,F$3,Monthly!$C$87:$BJ$87)</f>
        <v>-772.679480425597</v>
      </c>
    </row>
    <row r="8" customFormat="false" ht="15" hidden="false" customHeight="false" outlineLevel="0" collapsed="false">
      <c r="A8" s="6" t="s">
        <v>347</v>
      </c>
      <c r="B8" s="69" t="n">
        <f aca="false">SUMIF(Monthly!$C$5:$BJ$5,B$3,Monthly!$C$88:$BJ$88)</f>
        <v>-8885.78253780614</v>
      </c>
      <c r="C8" s="69" t="n">
        <f aca="false">SUMIF(Monthly!$C$5:$BJ$5,C$3,Monthly!$C$88:$BJ$88)</f>
        <v>-2326.14501404709</v>
      </c>
      <c r="D8" s="69" t="n">
        <f aca="false">SUMIF(Monthly!$C$5:$BJ$5,D$3,Monthly!$C$88:$BJ$88)</f>
        <v>-1702.42783684768</v>
      </c>
      <c r="E8" s="69" t="n">
        <f aca="false">SUMIF(Monthly!$C$5:$BJ$5,E$3,Monthly!$C$88:$BJ$88)</f>
        <v>-1322.57192939835</v>
      </c>
      <c r="F8" s="69" t="n">
        <f aca="false">SUMIF(Monthly!$C$5:$BJ$5,F$3,Monthly!$C$88:$BJ$88)</f>
        <v>-1097.21685960324</v>
      </c>
    </row>
    <row r="9" customFormat="false" ht="15" hidden="false" customHeight="false" outlineLevel="0" collapsed="false">
      <c r="A9" s="6" t="s">
        <v>348</v>
      </c>
      <c r="B9" s="69" t="n">
        <f aca="false">SUMIF(Monthly!$C$5:$BJ$5,B$3,Monthly!$C$89:$BJ$89)</f>
        <v>14809.6375630102</v>
      </c>
      <c r="C9" s="69" t="n">
        <f aca="false">SUMIF(Monthly!$C$5:$BJ$5,C$3,Monthly!$C$89:$BJ$89)</f>
        <v>3876.90835674514</v>
      </c>
      <c r="D9" s="69" t="n">
        <f aca="false">SUMIF(Monthly!$C$5:$BJ$5,D$3,Monthly!$C$89:$BJ$89)</f>
        <v>2837.37972807948</v>
      </c>
      <c r="E9" s="69" t="n">
        <f aca="false">SUMIF(Monthly!$C$5:$BJ$5,E$3,Monthly!$C$89:$BJ$89)</f>
        <v>2204.28654899725</v>
      </c>
      <c r="F9" s="69" t="n">
        <f aca="false">SUMIF(Monthly!$C$5:$BJ$5,F$3,Monthly!$C$89:$BJ$89)</f>
        <v>1828.6947660054</v>
      </c>
    </row>
    <row r="10" customFormat="false" ht="15" hidden="false" customHeight="false" outlineLevel="0" collapsed="false">
      <c r="A10" s="113" t="s">
        <v>52</v>
      </c>
      <c r="B10" s="70" t="n">
        <f aca="false">SUMIF(Monthly!$C$5:$BJ$5,B$3,Monthly!$C$92:$BJ$92)</f>
        <v>-369557.792453481</v>
      </c>
      <c r="C10" s="70" t="n">
        <f aca="false">SUMIF(Monthly!$C$5:$BJ$5,C$3,Monthly!$C$92:$BJ$92)</f>
        <v>174478.453532665</v>
      </c>
      <c r="D10" s="70" t="n">
        <f aca="false">SUMIF(Monthly!$C$5:$BJ$5,D$3,Monthly!$C$92:$BJ$92)</f>
        <v>412515.85538278</v>
      </c>
      <c r="E10" s="70" t="n">
        <f aca="false">SUMIF(Monthly!$C$5:$BJ$5,E$3,Monthly!$C$92:$BJ$92)</f>
        <v>586141.123842083</v>
      </c>
      <c r="F10" s="70" t="n">
        <f aca="false">SUMIF(Monthly!$C$5:$BJ$5,F$3,Monthly!$C$92:$BJ$92)</f>
        <v>719465.283116606</v>
      </c>
    </row>
    <row r="11" customFormat="false" ht="15" hidden="false" customHeight="false" outlineLevel="0" collapsed="false">
      <c r="A11" s="6" t="s">
        <v>84</v>
      </c>
      <c r="B11" s="69" t="n">
        <f aca="false">SUMIF(Monthly!$C$5:$BJ$5,B$3,Monthly!$C$93:$BJ$93)</f>
        <v>-4100000</v>
      </c>
      <c r="C11" s="69" t="n">
        <f aca="false">SUMIF(Monthly!$C$5:$BJ$5,C$3,Monthly!$C$93:$BJ$93)</f>
        <v>-40000</v>
      </c>
      <c r="D11" s="69" t="n">
        <f aca="false">SUMIF(Monthly!$C$5:$BJ$5,D$3,Monthly!$C$93:$BJ$93)</f>
        <v>-40000</v>
      </c>
      <c r="E11" s="69" t="n">
        <f aca="false">SUMIF(Monthly!$C$5:$BJ$5,E$3,Monthly!$C$93:$BJ$93)</f>
        <v>-40000</v>
      </c>
      <c r="F11" s="69" t="n">
        <f aca="false">SUMIF(Monthly!$C$5:$BJ$5,F$3,Monthly!$C$93:$BJ$93)</f>
        <v>-40000</v>
      </c>
    </row>
    <row r="12" customFormat="false" ht="15" hidden="false" customHeight="false" outlineLevel="0" collapsed="false">
      <c r="A12" s="6" t="s">
        <v>64</v>
      </c>
      <c r="B12" s="69" t="n">
        <f aca="false">SUMIF(Monthly!$C$5:$BJ$5,B$3,Monthly!$C$94:$BJ$94)</f>
        <v>2100000</v>
      </c>
      <c r="C12" s="69" t="n">
        <f aca="false">SUMIF(Monthly!$C$5:$BJ$5,C$3,Monthly!$C$94:$BJ$94)</f>
        <v>0</v>
      </c>
      <c r="D12" s="69" t="n">
        <f aca="false">SUMIF(Monthly!$C$5:$BJ$5,D$3,Monthly!$C$94:$BJ$94)</f>
        <v>0</v>
      </c>
      <c r="E12" s="69" t="n">
        <f aca="false">SUMIF(Monthly!$C$5:$BJ$5,E$3,Monthly!$C$94:$BJ$94)</f>
        <v>0</v>
      </c>
      <c r="F12" s="69" t="n">
        <f aca="false">SUMIF(Monthly!$C$5:$BJ$5,F$3,Monthly!$C$94:$BJ$94)</f>
        <v>0</v>
      </c>
    </row>
    <row r="13" customFormat="false" ht="15" hidden="false" customHeight="false" outlineLevel="0" collapsed="false">
      <c r="A13" s="6" t="s">
        <v>85</v>
      </c>
      <c r="B13" s="69" t="n">
        <f aca="false">SUMIF(Monthly!$C$5:$BJ$5,B$3,Monthly!$C$79:$BJ$79)</f>
        <v>3000000</v>
      </c>
      <c r="C13" s="69" t="n">
        <f aca="false">SUMIF(Monthly!$C$5:$BJ$5,C$3,Monthly!$C$79:$BJ$79)</f>
        <v>0</v>
      </c>
      <c r="D13" s="69" t="n">
        <f aca="false">SUMIF(Monthly!$C$5:$BJ$5,D$3,Monthly!$C$79:$BJ$79)</f>
        <v>0</v>
      </c>
      <c r="E13" s="69" t="n">
        <f aca="false">SUMIF(Monthly!$C$5:$BJ$5,E$3,Monthly!$C$79:$BJ$79)</f>
        <v>0</v>
      </c>
      <c r="F13" s="69" t="n">
        <f aca="false">SUMIF(Monthly!$C$5:$BJ$5,F$3,Monthly!$C$79:$BJ$79)</f>
        <v>0</v>
      </c>
    </row>
    <row r="14" customFormat="false" ht="15" hidden="false" customHeight="false" outlineLevel="0" collapsed="false">
      <c r="A14" s="6" t="s">
        <v>86</v>
      </c>
      <c r="B14" s="69" t="n">
        <f aca="false">SUMIF(Monthly!$C$5:$BJ$5,B$3,Monthly!$C$80:$BJ$80)</f>
        <v>-275000</v>
      </c>
      <c r="C14" s="69" t="n">
        <f aca="false">SUMIF(Monthly!$C$5:$BJ$5,C$3,Monthly!$C$80:$BJ$80)</f>
        <v>-300000</v>
      </c>
      <c r="D14" s="69" t="n">
        <f aca="false">SUMIF(Monthly!$C$5:$BJ$5,D$3,Monthly!$C$80:$BJ$80)</f>
        <v>-300000</v>
      </c>
      <c r="E14" s="69" t="n">
        <f aca="false">SUMIF(Monthly!$C$5:$BJ$5,E$3,Monthly!$C$80:$BJ$80)</f>
        <v>-300000</v>
      </c>
      <c r="F14" s="69" t="n">
        <f aca="false">SUMIF(Monthly!$C$5:$BJ$5,F$3,Monthly!$C$80:$BJ$80)</f>
        <v>-300000</v>
      </c>
    </row>
    <row r="15" customFormat="false" ht="15" hidden="false" customHeight="false" outlineLevel="0" collapsed="false">
      <c r="A15" s="113" t="s">
        <v>54</v>
      </c>
      <c r="B15" s="70" t="n">
        <f aca="false">SUMIF(Monthly!$C$5:$BJ$5,B$3,Monthly!$C$95:$BJ$95)</f>
        <v>4825000</v>
      </c>
      <c r="C15" s="70" t="n">
        <f aca="false">SUMIF(Monthly!$C$5:$BJ$5,C$3,Monthly!$C$95:$BJ$95)</f>
        <v>-300000</v>
      </c>
      <c r="D15" s="70" t="n">
        <f aca="false">SUMIF(Monthly!$C$5:$BJ$5,D$3,Monthly!$C$95:$BJ$95)</f>
        <v>-300000</v>
      </c>
      <c r="E15" s="70" t="n">
        <f aca="false">SUMIF(Monthly!$C$5:$BJ$5,E$3,Monthly!$C$95:$BJ$95)</f>
        <v>-300000</v>
      </c>
      <c r="F15" s="70" t="n">
        <f aca="false">SUMIF(Monthly!$C$5:$BJ$5,F$3,Monthly!$C$95:$BJ$95)</f>
        <v>-300000</v>
      </c>
    </row>
    <row r="16" customFormat="false" ht="15" hidden="false" customHeight="false" outlineLevel="0" collapsed="false">
      <c r="A16" s="4" t="s">
        <v>55</v>
      </c>
      <c r="B16" s="75" t="n">
        <f aca="false">SUMIF(Monthly!$C$5:$BJ$5,B$3,Monthly!$C$96:$BJ$96)</f>
        <v>355442.207546519</v>
      </c>
      <c r="C16" s="75" t="n">
        <f aca="false">SUMIF(Monthly!$C$5:$BJ$5,C$3,Monthly!$C$96:$BJ$96)</f>
        <v>-165521.546467335</v>
      </c>
      <c r="D16" s="75" t="n">
        <f aca="false">SUMIF(Monthly!$C$5:$BJ$5,D$3,Monthly!$C$96:$BJ$96)</f>
        <v>72515.8553827797</v>
      </c>
      <c r="E16" s="75" t="n">
        <f aca="false">SUMIF(Monthly!$C$5:$BJ$5,E$3,Monthly!$C$96:$BJ$96)</f>
        <v>246141.123842083</v>
      </c>
      <c r="F16" s="75" t="n">
        <f aca="false">SUMIF(Monthly!$C$5:$BJ$5,F$3,Monthly!$C$96:$BJ$96)</f>
        <v>379465.283116606</v>
      </c>
    </row>
    <row r="17" customFormat="false" ht="15" hidden="false" customHeight="false" outlineLevel="0" collapsed="false">
      <c r="A17" s="6" t="s">
        <v>349</v>
      </c>
      <c r="B17" s="69" t="n">
        <f aca="false">INDEX(Monthly!$C$97:$BJ$97,(B$3-1)*12+1)</f>
        <v>0</v>
      </c>
      <c r="C17" s="69" t="n">
        <f aca="false">INDEX(Monthly!$C$97:$BJ$97,(C$3-1)*12+1)</f>
        <v>355442.207546519</v>
      </c>
      <c r="D17" s="69" t="n">
        <f aca="false">INDEX(Monthly!$C$97:$BJ$97,(D$3-1)*12+1)</f>
        <v>189920.661079184</v>
      </c>
      <c r="E17" s="69" t="n">
        <f aca="false">INDEX(Monthly!$C$97:$BJ$97,(E$3-1)*12+1)</f>
        <v>262436.516461964</v>
      </c>
      <c r="F17" s="69" t="n">
        <f aca="false">INDEX(Monthly!$C$97:$BJ$97,(F$3-1)*12+1)</f>
        <v>508577.640304047</v>
      </c>
    </row>
    <row r="18" customFormat="false" ht="15" hidden="false" customHeight="false" outlineLevel="0" collapsed="false">
      <c r="A18" s="72" t="s">
        <v>87</v>
      </c>
      <c r="B18" s="73" t="n">
        <f aca="false">INDEX(Monthly!$C$98:$BJ$98,B$3*12)</f>
        <v>355442.207546519</v>
      </c>
      <c r="C18" s="73" t="n">
        <f aca="false">INDEX(Monthly!$C$98:$BJ$98,C$3*12)</f>
        <v>189920.661079184</v>
      </c>
      <c r="D18" s="73" t="n">
        <f aca="false">INDEX(Monthly!$C$98:$BJ$98,D$3*12)</f>
        <v>262436.516461964</v>
      </c>
      <c r="E18" s="73" t="n">
        <f aca="false">INDEX(Monthly!$C$98:$BJ$98,E$3*12)</f>
        <v>508577.640304047</v>
      </c>
      <c r="F18" s="73" t="n">
        <f aca="false">INDEX(Monthly!$C$98:$BJ$98,F$3*12)</f>
        <v>888042.923420652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339</v>
      </c>
    </row>
    <row r="3" customFormat="false" ht="15" hidden="false" customHeight="false" outlineLevel="0" collapsed="false">
      <c r="A3" s="74" t="s">
        <v>155</v>
      </c>
      <c r="B3" s="74" t="n">
        <v>1</v>
      </c>
      <c r="C3" s="74" t="n">
        <v>2</v>
      </c>
      <c r="D3" s="74" t="n">
        <v>3</v>
      </c>
      <c r="E3" s="74" t="n">
        <v>4</v>
      </c>
      <c r="F3" s="74" t="n">
        <v>5</v>
      </c>
    </row>
    <row r="4" customFormat="false" ht="15" hidden="false" customHeight="false" outlineLevel="0" collapsed="false">
      <c r="A4" s="33"/>
      <c r="B4" s="52" t="s">
        <v>156</v>
      </c>
      <c r="C4" s="52" t="s">
        <v>157</v>
      </c>
      <c r="D4" s="52" t="s">
        <v>158</v>
      </c>
      <c r="E4" s="52" t="s">
        <v>159</v>
      </c>
      <c r="F4" s="52" t="s">
        <v>160</v>
      </c>
    </row>
    <row r="5" customFormat="false" ht="15" hidden="false" customHeight="false" outlineLevel="0" collapsed="false">
      <c r="A5" s="6" t="s">
        <v>89</v>
      </c>
      <c r="B5" s="69" t="n">
        <f aca="false">INDEX(Monthly!$C$98:$BJ$98,B$3*12)</f>
        <v>355442.207546519</v>
      </c>
      <c r="C5" s="69" t="n">
        <f aca="false">INDEX(Monthly!$C$98:$BJ$98,C$3*12)</f>
        <v>189920.661079184</v>
      </c>
      <c r="D5" s="69" t="n">
        <f aca="false">INDEX(Monthly!$C$98:$BJ$98,D$3*12)</f>
        <v>262436.516461964</v>
      </c>
      <c r="E5" s="69" t="n">
        <f aca="false">INDEX(Monthly!$C$98:$BJ$98,E$3*12)</f>
        <v>508577.640304047</v>
      </c>
      <c r="F5" s="69" t="n">
        <f aca="false">INDEX(Monthly!$C$98:$BJ$98,F$3*12)</f>
        <v>888042.923420652</v>
      </c>
    </row>
    <row r="6" customFormat="false" ht="15" hidden="false" customHeight="false" outlineLevel="0" collapsed="false">
      <c r="A6" s="6" t="s">
        <v>90</v>
      </c>
      <c r="B6" s="69" t="n">
        <f aca="false">INDEX(Monthly!$C$84:$BJ$84,B$3*12)</f>
        <v>7915.98187505677</v>
      </c>
      <c r="C6" s="69" t="n">
        <f aca="false">INDEX(Monthly!$C$84:$BJ$84,C$3*12)</f>
        <v>9704.5001468268</v>
      </c>
      <c r="D6" s="69" t="n">
        <f aca="false">INDEX(Monthly!$C$84:$BJ$84,D$3*12)</f>
        <v>10979.0083873678</v>
      </c>
      <c r="E6" s="69" t="n">
        <f aca="false">INDEX(Monthly!$C$84:$BJ$84,E$3*12)</f>
        <v>11939.7876657886</v>
      </c>
      <c r="F6" s="69" t="n">
        <f aca="false">INDEX(Monthly!$C$84:$BJ$84,F$3*12)</f>
        <v>12712.4671462142</v>
      </c>
    </row>
    <row r="7" customFormat="false" ht="15" hidden="false" customHeight="false" outlineLevel="0" collapsed="false">
      <c r="A7" s="6" t="s">
        <v>91</v>
      </c>
      <c r="B7" s="69" t="n">
        <f aca="false">INDEX(Monthly!$C$85:$BJ$85,B$3*12)</f>
        <v>8885.78253780614</v>
      </c>
      <c r="C7" s="69" t="n">
        <f aca="false">INDEX(Monthly!$C$85:$BJ$85,C$3*12)</f>
        <v>11211.9275518532</v>
      </c>
      <c r="D7" s="69" t="n">
        <f aca="false">INDEX(Monthly!$C$85:$BJ$85,D$3*12)</f>
        <v>12914.3553887009</v>
      </c>
      <c r="E7" s="69" t="n">
        <f aca="false">INDEX(Monthly!$C$85:$BJ$85,E$3*12)</f>
        <v>14236.9273180993</v>
      </c>
      <c r="F7" s="69" t="n">
        <f aca="false">INDEX(Monthly!$C$85:$BJ$85,F$3*12)</f>
        <v>15334.1441777025</v>
      </c>
    </row>
    <row r="8" customFormat="false" ht="15" hidden="false" customHeight="false" outlineLevel="0" collapsed="false">
      <c r="A8" s="6" t="s">
        <v>92</v>
      </c>
      <c r="B8" s="69" t="n">
        <f aca="false">INDEX(Monthly!$C$75:$BJ$75,B$3*12)</f>
        <v>3758333.33333333</v>
      </c>
      <c r="C8" s="69" t="n">
        <f aca="false">INDEX(Monthly!$C$75:$BJ$75,C$3*12)</f>
        <v>3453333.33333333</v>
      </c>
      <c r="D8" s="69" t="n">
        <f aca="false">INDEX(Monthly!$C$75:$BJ$75,D$3*12)</f>
        <v>3145000</v>
      </c>
      <c r="E8" s="69" t="n">
        <f aca="false">INDEX(Monthly!$C$75:$BJ$75,E$3*12)</f>
        <v>2833333.33333333</v>
      </c>
      <c r="F8" s="69" t="n">
        <f aca="false">INDEX(Monthly!$C$75:$BJ$75,F$3*12)</f>
        <v>2518333.33333334</v>
      </c>
    </row>
    <row r="9" customFormat="false" ht="15" hidden="false" customHeight="false" outlineLevel="0" collapsed="false">
      <c r="A9" s="113" t="s">
        <v>93</v>
      </c>
      <c r="B9" s="70" t="n">
        <f aca="false">INDEX(Monthly!$C$112:$BJ$112,B$3*12)</f>
        <v>4130577.30529272</v>
      </c>
      <c r="C9" s="70" t="n">
        <f aca="false">INDEX(Monthly!$C$112:$BJ$112,C$3*12)</f>
        <v>3664170.4221112</v>
      </c>
      <c r="D9" s="70" t="n">
        <f aca="false">INDEX(Monthly!$C$112:$BJ$112,D$3*12)</f>
        <v>3431329.88023803</v>
      </c>
      <c r="E9" s="70" t="n">
        <f aca="false">INDEX(Monthly!$C$112:$BJ$112,E$3*12)</f>
        <v>3368087.68862127</v>
      </c>
      <c r="F9" s="70" t="n">
        <f aca="false">INDEX(Monthly!$C$112:$BJ$112,F$3*12)</f>
        <v>3434422.8680779</v>
      </c>
    </row>
    <row r="10" customFormat="false" ht="15" hidden="false" customHeight="false" outlineLevel="0" collapsed="false">
      <c r="A10" s="6" t="s">
        <v>94</v>
      </c>
      <c r="B10" s="69" t="n">
        <f aca="false">INDEX(Monthly!$C$86:$BJ$86,B$3*12)</f>
        <v>14809.6375630102</v>
      </c>
      <c r="C10" s="69" t="n">
        <f aca="false">INDEX(Monthly!$C$86:$BJ$86,C$3*12)</f>
        <v>18686.5459197554</v>
      </c>
      <c r="D10" s="69" t="n">
        <f aca="false">INDEX(Monthly!$C$86:$BJ$86,D$3*12)</f>
        <v>21523.9256478349</v>
      </c>
      <c r="E10" s="69" t="n">
        <f aca="false">INDEX(Monthly!$C$86:$BJ$86,E$3*12)</f>
        <v>23728.2121968321</v>
      </c>
      <c r="F10" s="69" t="n">
        <f aca="false">INDEX(Monthly!$C$86:$BJ$86,F$3*12)</f>
        <v>25556.9069628375</v>
      </c>
    </row>
    <row r="11" customFormat="false" ht="15" hidden="false" customHeight="false" outlineLevel="0" collapsed="false">
      <c r="A11" s="6" t="s">
        <v>95</v>
      </c>
      <c r="B11" s="69" t="n">
        <f aca="false">INDEX(Monthly!$C$81:$BJ$81,B$3*12)</f>
        <v>2725000</v>
      </c>
      <c r="C11" s="69" t="n">
        <f aca="false">INDEX(Monthly!$C$81:$BJ$81,C$3*12)</f>
        <v>2425000</v>
      </c>
      <c r="D11" s="69" t="n">
        <f aca="false">INDEX(Monthly!$C$81:$BJ$81,D$3*12)</f>
        <v>2125000</v>
      </c>
      <c r="E11" s="69" t="n">
        <f aca="false">INDEX(Monthly!$C$81:$BJ$81,E$3*12)</f>
        <v>1825000</v>
      </c>
      <c r="F11" s="69" t="n">
        <f aca="false">INDEX(Monthly!$C$81:$BJ$81,F$3*12)</f>
        <v>1525000</v>
      </c>
    </row>
    <row r="12" customFormat="false" ht="15" hidden="false" customHeight="false" outlineLevel="0" collapsed="false">
      <c r="A12" s="114" t="s">
        <v>96</v>
      </c>
      <c r="B12" s="115" t="n">
        <f aca="false">INDEX(Monthly!$C$113:$BJ$113,B$3*12)</f>
        <v>2739809.63756301</v>
      </c>
      <c r="C12" s="115" t="n">
        <f aca="false">INDEX(Monthly!$C$113:$BJ$113,C$3*12)</f>
        <v>2443686.54591976</v>
      </c>
      <c r="D12" s="115" t="n">
        <f aca="false">INDEX(Monthly!$C$113:$BJ$113,D$3*12)</f>
        <v>2146523.92564784</v>
      </c>
      <c r="E12" s="115" t="n">
        <f aca="false">INDEX(Monthly!$C$113:$BJ$113,E$3*12)</f>
        <v>1848728.21219683</v>
      </c>
      <c r="F12" s="115" t="n">
        <f aca="false">INDEX(Monthly!$C$113:$BJ$113,F$3*12)</f>
        <v>1550556.90696284</v>
      </c>
    </row>
    <row r="13" customFormat="false" ht="15" hidden="false" customHeight="false" outlineLevel="0" collapsed="false">
      <c r="A13" s="6" t="s">
        <v>97</v>
      </c>
      <c r="B13" s="69" t="n">
        <f aca="false">INDEX(Monthly!$C$110:$BJ$110,B$3*12)</f>
        <v>2100000</v>
      </c>
      <c r="C13" s="69" t="n">
        <f aca="false">INDEX(Monthly!$C$110:$BJ$110,C$3*12)</f>
        <v>2100000</v>
      </c>
      <c r="D13" s="69" t="n">
        <f aca="false">INDEX(Monthly!$C$110:$BJ$110,D$3*12)</f>
        <v>2100000</v>
      </c>
      <c r="E13" s="69" t="n">
        <f aca="false">INDEX(Monthly!$C$110:$BJ$110,E$3*12)</f>
        <v>2100000</v>
      </c>
      <c r="F13" s="69" t="n">
        <f aca="false">INDEX(Monthly!$C$110:$BJ$110,F$3*12)</f>
        <v>2100000</v>
      </c>
    </row>
    <row r="14" customFormat="false" ht="15" hidden="false" customHeight="false" outlineLevel="0" collapsed="false">
      <c r="A14" s="6" t="s">
        <v>98</v>
      </c>
      <c r="B14" s="69" t="n">
        <f aca="false">INDEX(Monthly!$C$111:$BJ$111,B$3*12)</f>
        <v>-709232.332270295</v>
      </c>
      <c r="C14" s="69" t="n">
        <f aca="false">INDEX(Monthly!$C$111:$BJ$111,C$3*12)</f>
        <v>-879516.123808558</v>
      </c>
      <c r="D14" s="69" t="n">
        <f aca="false">INDEX(Monthly!$C$111:$BJ$111,D$3*12)</f>
        <v>-815194.045409802</v>
      </c>
      <c r="E14" s="69" t="n">
        <f aca="false">INDEX(Monthly!$C$111:$BJ$111,E$3*12)</f>
        <v>-580640.523575564</v>
      </c>
      <c r="F14" s="69" t="n">
        <f aca="false">INDEX(Monthly!$C$111:$BJ$111,F$3*12)</f>
        <v>-216134.038884935</v>
      </c>
    </row>
    <row r="15" customFormat="false" ht="15" hidden="false" customHeight="false" outlineLevel="0" collapsed="false">
      <c r="A15" s="114" t="s">
        <v>99</v>
      </c>
      <c r="B15" s="115" t="n">
        <f aca="false">INDEX(Monthly!$C$114:$BJ$114,B$3*12)</f>
        <v>1390767.66772971</v>
      </c>
      <c r="C15" s="115" t="n">
        <f aca="false">INDEX(Monthly!$C$114:$BJ$114,C$3*12)</f>
        <v>1220483.87619144</v>
      </c>
      <c r="D15" s="115" t="n">
        <f aca="false">INDEX(Monthly!$C$114:$BJ$114,D$3*12)</f>
        <v>1284805.9545902</v>
      </c>
      <c r="E15" s="115" t="n">
        <f aca="false">INDEX(Monthly!$C$114:$BJ$114,E$3*12)</f>
        <v>1519359.47642444</v>
      </c>
      <c r="F15" s="115" t="n">
        <f aca="false">INDEX(Monthly!$C$114:$BJ$114,F$3*12)</f>
        <v>1883865.96111507</v>
      </c>
    </row>
    <row r="16" customFormat="false" ht="15" hidden="false" customHeight="false" outlineLevel="0" collapsed="false">
      <c r="A16" s="72" t="s">
        <v>100</v>
      </c>
      <c r="B16" s="73" t="n">
        <f aca="false">INDEX(Monthly!$C$115:$BJ$115,B$3*12)</f>
        <v>4130577.30529272</v>
      </c>
      <c r="C16" s="73" t="n">
        <f aca="false">INDEX(Monthly!$C$115:$BJ$115,C$3*12)</f>
        <v>3664170.4221112</v>
      </c>
      <c r="D16" s="73" t="n">
        <f aca="false">INDEX(Monthly!$C$115:$BJ$115,D$3*12)</f>
        <v>3431329.88023803</v>
      </c>
      <c r="E16" s="73" t="n">
        <f aca="false">INDEX(Monthly!$C$115:$BJ$115,E$3*12)</f>
        <v>3368087.68862127</v>
      </c>
      <c r="F16" s="73" t="n">
        <f aca="false">INDEX(Monthly!$C$115:$BJ$115,F$3*12)</f>
        <v>3434422.8680779</v>
      </c>
    </row>
    <row r="17" customFormat="false" ht="15" hidden="false" customHeight="false" outlineLevel="0" collapsed="false">
      <c r="A17" s="6" t="s">
        <v>350</v>
      </c>
      <c r="B17" s="69" t="n">
        <f aca="false">INDEX(Monthly!$C$116:$BJ$116,B$3*12)</f>
        <v>0</v>
      </c>
      <c r="C17" s="69" t="n">
        <f aca="false">INDEX(Monthly!$C$116:$BJ$116,C$3*12)</f>
        <v>0</v>
      </c>
      <c r="D17" s="69" t="n">
        <f aca="false">INDEX(Monthly!$C$116:$BJ$116,D$3*12)</f>
        <v>0</v>
      </c>
      <c r="E17" s="69" t="n">
        <f aca="false">INDEX(Monthly!$C$116:$BJ$116,E$3*12)</f>
        <v>0</v>
      </c>
      <c r="F17" s="69" t="n">
        <f aca="false">INDEX(Monthly!$C$116:$BJ$116,F$3*12)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1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351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352</v>
      </c>
    </row>
    <row r="3" customFormat="false" ht="15" hidden="false" customHeight="false" outlineLevel="0" collapsed="false">
      <c r="A3" s="33" t="s">
        <v>353</v>
      </c>
      <c r="C3" s="52" t="s">
        <v>354</v>
      </c>
      <c r="D3" s="52" t="s">
        <v>355</v>
      </c>
      <c r="E3" s="52" t="s">
        <v>356</v>
      </c>
      <c r="F3" s="52" t="s">
        <v>357</v>
      </c>
      <c r="G3" s="52" t="s">
        <v>358</v>
      </c>
      <c r="H3" s="52" t="s">
        <v>359</v>
      </c>
      <c r="I3" s="52" t="s">
        <v>360</v>
      </c>
      <c r="J3" s="52" t="s">
        <v>361</v>
      </c>
      <c r="K3" s="52" t="s">
        <v>362</v>
      </c>
      <c r="L3" s="52" t="s">
        <v>363</v>
      </c>
      <c r="M3" s="52" t="s">
        <v>364</v>
      </c>
      <c r="N3" s="52" t="s">
        <v>365</v>
      </c>
      <c r="O3" s="52" t="s">
        <v>366</v>
      </c>
      <c r="P3" s="52" t="s">
        <v>367</v>
      </c>
      <c r="Q3" s="52" t="s">
        <v>368</v>
      </c>
      <c r="R3" s="52" t="s">
        <v>369</v>
      </c>
      <c r="S3" s="52" t="s">
        <v>370</v>
      </c>
      <c r="T3" s="52" t="s">
        <v>371</v>
      </c>
      <c r="U3" s="52" t="s">
        <v>372</v>
      </c>
      <c r="V3" s="52" t="s">
        <v>373</v>
      </c>
      <c r="W3" s="52" t="s">
        <v>374</v>
      </c>
      <c r="X3" s="52" t="s">
        <v>375</v>
      </c>
      <c r="Y3" s="52" t="s">
        <v>376</v>
      </c>
      <c r="Z3" s="52" t="s">
        <v>377</v>
      </c>
      <c r="AA3" s="52" t="s">
        <v>378</v>
      </c>
      <c r="AB3" s="52" t="s">
        <v>379</v>
      </c>
      <c r="AC3" s="52" t="s">
        <v>380</v>
      </c>
      <c r="AD3" s="52" t="s">
        <v>381</v>
      </c>
      <c r="AE3" s="52" t="s">
        <v>382</v>
      </c>
      <c r="AF3" s="52" t="s">
        <v>383</v>
      </c>
      <c r="AG3" s="52" t="s">
        <v>384</v>
      </c>
      <c r="AH3" s="52" t="s">
        <v>385</v>
      </c>
      <c r="AI3" s="52" t="s">
        <v>386</v>
      </c>
      <c r="AJ3" s="52" t="s">
        <v>387</v>
      </c>
      <c r="AK3" s="52" t="s">
        <v>388</v>
      </c>
      <c r="AL3" s="52" t="s">
        <v>389</v>
      </c>
      <c r="AM3" s="52" t="s">
        <v>390</v>
      </c>
      <c r="AN3" s="52" t="s">
        <v>391</v>
      </c>
      <c r="AO3" s="52" t="s">
        <v>392</v>
      </c>
      <c r="AP3" s="52" t="s">
        <v>393</v>
      </c>
      <c r="AQ3" s="52" t="s">
        <v>394</v>
      </c>
      <c r="AR3" s="52" t="s">
        <v>395</v>
      </c>
      <c r="AS3" s="52" t="s">
        <v>396</v>
      </c>
      <c r="AT3" s="52" t="s">
        <v>397</v>
      </c>
      <c r="AU3" s="52" t="s">
        <v>398</v>
      </c>
      <c r="AV3" s="52" t="s">
        <v>399</v>
      </c>
      <c r="AW3" s="52" t="s">
        <v>400</v>
      </c>
      <c r="AX3" s="52" t="s">
        <v>401</v>
      </c>
      <c r="AY3" s="52" t="s">
        <v>402</v>
      </c>
      <c r="AZ3" s="52" t="s">
        <v>403</v>
      </c>
      <c r="BA3" s="52" t="s">
        <v>404</v>
      </c>
      <c r="BB3" s="52" t="s">
        <v>405</v>
      </c>
      <c r="BC3" s="52" t="s">
        <v>406</v>
      </c>
      <c r="BD3" s="52" t="s">
        <v>407</v>
      </c>
      <c r="BE3" s="52" t="s">
        <v>408</v>
      </c>
      <c r="BF3" s="52" t="s">
        <v>409</v>
      </c>
      <c r="BG3" s="52" t="s">
        <v>410</v>
      </c>
      <c r="BH3" s="52" t="s">
        <v>411</v>
      </c>
      <c r="BI3" s="52" t="s">
        <v>412</v>
      </c>
      <c r="BJ3" s="52" t="s">
        <v>413</v>
      </c>
    </row>
    <row r="4" customFormat="false" ht="15" hidden="false" customHeight="false" outlineLevel="0" collapsed="false">
      <c r="A4" s="74" t="s">
        <v>414</v>
      </c>
      <c r="C4" s="74" t="n">
        <v>1</v>
      </c>
      <c r="D4" s="74" t="n">
        <v>2</v>
      </c>
      <c r="E4" s="74" t="n">
        <v>3</v>
      </c>
      <c r="F4" s="74" t="n">
        <v>4</v>
      </c>
      <c r="G4" s="74" t="n">
        <v>5</v>
      </c>
      <c r="H4" s="74" t="n">
        <v>6</v>
      </c>
      <c r="I4" s="74" t="n">
        <v>7</v>
      </c>
      <c r="J4" s="74" t="n">
        <v>8</v>
      </c>
      <c r="K4" s="74" t="n">
        <v>9</v>
      </c>
      <c r="L4" s="74" t="n">
        <v>10</v>
      </c>
      <c r="M4" s="74" t="n">
        <v>11</v>
      </c>
      <c r="N4" s="74" t="n">
        <v>12</v>
      </c>
      <c r="O4" s="74" t="n">
        <v>13</v>
      </c>
      <c r="P4" s="74" t="n">
        <v>14</v>
      </c>
      <c r="Q4" s="74" t="n">
        <v>15</v>
      </c>
      <c r="R4" s="74" t="n">
        <v>16</v>
      </c>
      <c r="S4" s="74" t="n">
        <v>17</v>
      </c>
      <c r="T4" s="74" t="n">
        <v>18</v>
      </c>
      <c r="U4" s="74" t="n">
        <v>19</v>
      </c>
      <c r="V4" s="74" t="n">
        <v>20</v>
      </c>
      <c r="W4" s="74" t="n">
        <v>21</v>
      </c>
      <c r="X4" s="74" t="n">
        <v>22</v>
      </c>
      <c r="Y4" s="74" t="n">
        <v>23</v>
      </c>
      <c r="Z4" s="74" t="n">
        <v>24</v>
      </c>
      <c r="AA4" s="74" t="n">
        <v>25</v>
      </c>
      <c r="AB4" s="74" t="n">
        <v>26</v>
      </c>
      <c r="AC4" s="74" t="n">
        <v>27</v>
      </c>
      <c r="AD4" s="74" t="n">
        <v>28</v>
      </c>
      <c r="AE4" s="74" t="n">
        <v>29</v>
      </c>
      <c r="AF4" s="74" t="n">
        <v>30</v>
      </c>
      <c r="AG4" s="74" t="n">
        <v>31</v>
      </c>
      <c r="AH4" s="74" t="n">
        <v>32</v>
      </c>
      <c r="AI4" s="74" t="n">
        <v>33</v>
      </c>
      <c r="AJ4" s="74" t="n">
        <v>34</v>
      </c>
      <c r="AK4" s="74" t="n">
        <v>35</v>
      </c>
      <c r="AL4" s="74" t="n">
        <v>36</v>
      </c>
      <c r="AM4" s="74" t="n">
        <v>37</v>
      </c>
      <c r="AN4" s="74" t="n">
        <v>38</v>
      </c>
      <c r="AO4" s="74" t="n">
        <v>39</v>
      </c>
      <c r="AP4" s="74" t="n">
        <v>40</v>
      </c>
      <c r="AQ4" s="74" t="n">
        <v>41</v>
      </c>
      <c r="AR4" s="74" t="n">
        <v>42</v>
      </c>
      <c r="AS4" s="74" t="n">
        <v>43</v>
      </c>
      <c r="AT4" s="74" t="n">
        <v>44</v>
      </c>
      <c r="AU4" s="74" t="n">
        <v>45</v>
      </c>
      <c r="AV4" s="74" t="n">
        <v>46</v>
      </c>
      <c r="AW4" s="74" t="n">
        <v>47</v>
      </c>
      <c r="AX4" s="74" t="n">
        <v>48</v>
      </c>
      <c r="AY4" s="74" t="n">
        <v>49</v>
      </c>
      <c r="AZ4" s="74" t="n">
        <v>50</v>
      </c>
      <c r="BA4" s="74" t="n">
        <v>51</v>
      </c>
      <c r="BB4" s="74" t="n">
        <v>52</v>
      </c>
      <c r="BC4" s="74" t="n">
        <v>53</v>
      </c>
      <c r="BD4" s="74" t="n">
        <v>54</v>
      </c>
      <c r="BE4" s="74" t="n">
        <v>55</v>
      </c>
      <c r="BF4" s="74" t="n">
        <v>56</v>
      </c>
      <c r="BG4" s="74" t="n">
        <v>57</v>
      </c>
      <c r="BH4" s="74" t="n">
        <v>58</v>
      </c>
      <c r="BI4" s="74" t="n">
        <v>59</v>
      </c>
      <c r="BJ4" s="74" t="n">
        <v>60</v>
      </c>
    </row>
    <row r="5" customFormat="false" ht="15" hidden="false" customHeight="false" outlineLevel="0" collapsed="false">
      <c r="A5" s="74" t="s">
        <v>155</v>
      </c>
      <c r="C5" s="74" t="n">
        <f aca="false">ROUNDUP(C4*1/12,0)</f>
        <v>1</v>
      </c>
      <c r="D5" s="74" t="n">
        <f aca="false">ROUNDUP(D4*1/12,0)</f>
        <v>1</v>
      </c>
      <c r="E5" s="74" t="n">
        <f aca="false">ROUNDUP(E4*1/12,0)</f>
        <v>1</v>
      </c>
      <c r="F5" s="74" t="n">
        <f aca="false">ROUNDUP(F4*1/12,0)</f>
        <v>1</v>
      </c>
      <c r="G5" s="74" t="n">
        <f aca="false">ROUNDUP(G4*1/12,0)</f>
        <v>1</v>
      </c>
      <c r="H5" s="74" t="n">
        <f aca="false">ROUNDUP(H4*1/12,0)</f>
        <v>1</v>
      </c>
      <c r="I5" s="74" t="n">
        <f aca="false">ROUNDUP(I4*1/12,0)</f>
        <v>1</v>
      </c>
      <c r="J5" s="74" t="n">
        <f aca="false">ROUNDUP(J4*1/12,0)</f>
        <v>1</v>
      </c>
      <c r="K5" s="74" t="n">
        <f aca="false">ROUNDUP(K4*1/12,0)</f>
        <v>1</v>
      </c>
      <c r="L5" s="74" t="n">
        <f aca="false">ROUNDUP(L4*1/12,0)</f>
        <v>1</v>
      </c>
      <c r="M5" s="74" t="n">
        <f aca="false">ROUNDUP(M4*1/12,0)</f>
        <v>1</v>
      </c>
      <c r="N5" s="74" t="n">
        <f aca="false">ROUNDUP(N4*1/12,0)</f>
        <v>1</v>
      </c>
      <c r="O5" s="74" t="n">
        <f aca="false">ROUNDUP(O4*1/12,0)</f>
        <v>2</v>
      </c>
      <c r="P5" s="74" t="n">
        <f aca="false">ROUNDUP(P4*1/12,0)</f>
        <v>2</v>
      </c>
      <c r="Q5" s="74" t="n">
        <f aca="false">ROUNDUP(Q4*1/12,0)</f>
        <v>2</v>
      </c>
      <c r="R5" s="74" t="n">
        <f aca="false">ROUNDUP(R4*1/12,0)</f>
        <v>2</v>
      </c>
      <c r="S5" s="74" t="n">
        <f aca="false">ROUNDUP(S4*1/12,0)</f>
        <v>2</v>
      </c>
      <c r="T5" s="74" t="n">
        <f aca="false">ROUNDUP(T4*1/12,0)</f>
        <v>2</v>
      </c>
      <c r="U5" s="74" t="n">
        <f aca="false">ROUNDUP(U4*1/12,0)</f>
        <v>2</v>
      </c>
      <c r="V5" s="74" t="n">
        <f aca="false">ROUNDUP(V4*1/12,0)</f>
        <v>2</v>
      </c>
      <c r="W5" s="74" t="n">
        <f aca="false">ROUNDUP(W4*1/12,0)</f>
        <v>2</v>
      </c>
      <c r="X5" s="74" t="n">
        <f aca="false">ROUNDUP(X4*1/12,0)</f>
        <v>2</v>
      </c>
      <c r="Y5" s="74" t="n">
        <f aca="false">ROUNDUP(Y4*1/12,0)</f>
        <v>2</v>
      </c>
      <c r="Z5" s="74" t="n">
        <f aca="false">ROUNDUP(Z4*1/12,0)</f>
        <v>2</v>
      </c>
      <c r="AA5" s="74" t="n">
        <f aca="false">ROUNDUP(AA4*1/12,0)</f>
        <v>3</v>
      </c>
      <c r="AB5" s="74" t="n">
        <f aca="false">ROUNDUP(AB4*1/12,0)</f>
        <v>3</v>
      </c>
      <c r="AC5" s="74" t="n">
        <f aca="false">ROUNDUP(AC4*1/12,0)</f>
        <v>3</v>
      </c>
      <c r="AD5" s="74" t="n">
        <f aca="false">ROUNDUP(AD4*1/12,0)</f>
        <v>3</v>
      </c>
      <c r="AE5" s="74" t="n">
        <f aca="false">ROUNDUP(AE4*1/12,0)</f>
        <v>3</v>
      </c>
      <c r="AF5" s="74" t="n">
        <f aca="false">ROUNDUP(AF4*1/12,0)</f>
        <v>3</v>
      </c>
      <c r="AG5" s="74" t="n">
        <f aca="false">ROUNDUP(AG4*1/12,0)</f>
        <v>3</v>
      </c>
      <c r="AH5" s="74" t="n">
        <f aca="false">ROUNDUP(AH4*1/12,0)</f>
        <v>3</v>
      </c>
      <c r="AI5" s="74" t="n">
        <f aca="false">ROUNDUP(AI4*1/12,0)</f>
        <v>3</v>
      </c>
      <c r="AJ5" s="74" t="n">
        <f aca="false">ROUNDUP(AJ4*1/12,0)</f>
        <v>3</v>
      </c>
      <c r="AK5" s="74" t="n">
        <f aca="false">ROUNDUP(AK4*1/12,0)</f>
        <v>3</v>
      </c>
      <c r="AL5" s="74" t="n">
        <f aca="false">ROUNDUP(AL4*1/12,0)</f>
        <v>3</v>
      </c>
      <c r="AM5" s="74" t="n">
        <f aca="false">ROUNDUP(AM4*1/12,0)</f>
        <v>4</v>
      </c>
      <c r="AN5" s="74" t="n">
        <f aca="false">ROUNDUP(AN4*1/12,0)</f>
        <v>4</v>
      </c>
      <c r="AO5" s="74" t="n">
        <f aca="false">ROUNDUP(AO4*1/12,0)</f>
        <v>4</v>
      </c>
      <c r="AP5" s="74" t="n">
        <f aca="false">ROUNDUP(AP4*1/12,0)</f>
        <v>4</v>
      </c>
      <c r="AQ5" s="74" t="n">
        <f aca="false">ROUNDUP(AQ4*1/12,0)</f>
        <v>4</v>
      </c>
      <c r="AR5" s="74" t="n">
        <f aca="false">ROUNDUP(AR4*1/12,0)</f>
        <v>4</v>
      </c>
      <c r="AS5" s="74" t="n">
        <f aca="false">ROUNDUP(AS4*1/12,0)</f>
        <v>4</v>
      </c>
      <c r="AT5" s="74" t="n">
        <f aca="false">ROUNDUP(AT4*1/12,0)</f>
        <v>4</v>
      </c>
      <c r="AU5" s="74" t="n">
        <f aca="false">ROUNDUP(AU4*1/12,0)</f>
        <v>4</v>
      </c>
      <c r="AV5" s="74" t="n">
        <f aca="false">ROUNDUP(AV4*1/12,0)</f>
        <v>4</v>
      </c>
      <c r="AW5" s="74" t="n">
        <f aca="false">ROUNDUP(AW4*1/12,0)</f>
        <v>4</v>
      </c>
      <c r="AX5" s="74" t="n">
        <f aca="false">ROUNDUP(AX4*1/12,0)</f>
        <v>4</v>
      </c>
      <c r="AY5" s="74" t="n">
        <f aca="false">ROUNDUP(AY4*1/12,0)</f>
        <v>5</v>
      </c>
      <c r="AZ5" s="74" t="n">
        <f aca="false">ROUNDUP(AZ4*1/12,0)</f>
        <v>5</v>
      </c>
      <c r="BA5" s="74" t="n">
        <f aca="false">ROUNDUP(BA4*1/12,0)</f>
        <v>5</v>
      </c>
      <c r="BB5" s="74" t="n">
        <f aca="false">ROUNDUP(BB4*1/12,0)</f>
        <v>5</v>
      </c>
      <c r="BC5" s="74" t="n">
        <f aca="false">ROUNDUP(BC4*1/12,0)</f>
        <v>5</v>
      </c>
      <c r="BD5" s="74" t="n">
        <f aca="false">ROUNDUP(BD4*1/12,0)</f>
        <v>5</v>
      </c>
      <c r="BE5" s="74" t="n">
        <f aca="false">ROUNDUP(BE4*1/12,0)</f>
        <v>5</v>
      </c>
      <c r="BF5" s="74" t="n">
        <f aca="false">ROUNDUP(BF4*1/12,0)</f>
        <v>5</v>
      </c>
      <c r="BG5" s="74" t="n">
        <f aca="false">ROUNDUP(BG4*1/12,0)</f>
        <v>5</v>
      </c>
      <c r="BH5" s="74" t="n">
        <f aca="false">ROUNDUP(BH4*1/12,0)</f>
        <v>5</v>
      </c>
      <c r="BI5" s="74" t="n">
        <f aca="false">ROUNDUP(BI4*1/12,0)</f>
        <v>5</v>
      </c>
      <c r="BJ5" s="74" t="n">
        <f aca="false">ROUNDUP(BJ4*1/12,0)</f>
        <v>5</v>
      </c>
    </row>
    <row r="7" customFormat="false" ht="15.75" hidden="false" customHeight="true" outlineLevel="0" collapsed="false">
      <c r="A7" s="7" t="s">
        <v>415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116" t="s">
        <v>416</v>
      </c>
      <c r="C8" s="117" t="n">
        <f aca="false">MAX(0,MIN(1,Inputs!$E$9-(C$4-1)*1))</f>
        <v>1</v>
      </c>
      <c r="D8" s="117" t="n">
        <f aca="false">MAX(0,MIN(1,Inputs!$E$9-(D$4-1)*1))</f>
        <v>1</v>
      </c>
      <c r="E8" s="117" t="n">
        <f aca="false">MAX(0,MIN(1,Inputs!$E$9-(E$4-1)*1))</f>
        <v>1</v>
      </c>
      <c r="F8" s="117" t="n">
        <f aca="false">MAX(0,MIN(1,Inputs!$E$9-(F$4-1)*1))</f>
        <v>1</v>
      </c>
      <c r="G8" s="117" t="n">
        <f aca="false">MAX(0,MIN(1,Inputs!$E$9-(G$4-1)*1))</f>
        <v>1</v>
      </c>
      <c r="H8" s="117" t="n">
        <f aca="false">MAX(0,MIN(1,Inputs!$E$9-(H$4-1)*1))</f>
        <v>1</v>
      </c>
      <c r="I8" s="117" t="n">
        <f aca="false">MAX(0,MIN(1,Inputs!$E$9-(I$4-1)*1))</f>
        <v>1</v>
      </c>
      <c r="J8" s="117" t="n">
        <f aca="false">MAX(0,MIN(1,Inputs!$E$9-(J$4-1)*1))</f>
        <v>1</v>
      </c>
      <c r="K8" s="117" t="n">
        <f aca="false">MAX(0,MIN(1,Inputs!$E$9-(K$4-1)*1))</f>
        <v>1</v>
      </c>
      <c r="L8" s="117" t="n">
        <f aca="false">MAX(0,MIN(1,Inputs!$E$9-(L$4-1)*1))</f>
        <v>0</v>
      </c>
      <c r="M8" s="117" t="n">
        <f aca="false">MAX(0,MIN(1,Inputs!$E$9-(M$4-1)*1))</f>
        <v>0</v>
      </c>
      <c r="N8" s="117" t="n">
        <f aca="false">MAX(0,MIN(1,Inputs!$E$9-(N$4-1)*1))</f>
        <v>0</v>
      </c>
      <c r="O8" s="117" t="n">
        <f aca="false">MAX(0,MIN(1,Inputs!$E$9-(O$4-1)*1))</f>
        <v>0</v>
      </c>
      <c r="P8" s="117" t="n">
        <f aca="false">MAX(0,MIN(1,Inputs!$E$9-(P$4-1)*1))</f>
        <v>0</v>
      </c>
      <c r="Q8" s="117" t="n">
        <f aca="false">MAX(0,MIN(1,Inputs!$E$9-(Q$4-1)*1))</f>
        <v>0</v>
      </c>
      <c r="R8" s="117" t="n">
        <f aca="false">MAX(0,MIN(1,Inputs!$E$9-(R$4-1)*1))</f>
        <v>0</v>
      </c>
      <c r="S8" s="117" t="n">
        <f aca="false">MAX(0,MIN(1,Inputs!$E$9-(S$4-1)*1))</f>
        <v>0</v>
      </c>
      <c r="T8" s="117" t="n">
        <f aca="false">MAX(0,MIN(1,Inputs!$E$9-(T$4-1)*1))</f>
        <v>0</v>
      </c>
      <c r="U8" s="117" t="n">
        <f aca="false">MAX(0,MIN(1,Inputs!$E$9-(U$4-1)*1))</f>
        <v>0</v>
      </c>
      <c r="V8" s="117" t="n">
        <f aca="false">MAX(0,MIN(1,Inputs!$E$9-(V$4-1)*1))</f>
        <v>0</v>
      </c>
      <c r="W8" s="117" t="n">
        <f aca="false">MAX(0,MIN(1,Inputs!$E$9-(W$4-1)*1))</f>
        <v>0</v>
      </c>
      <c r="X8" s="117" t="n">
        <f aca="false">MAX(0,MIN(1,Inputs!$E$9-(X$4-1)*1))</f>
        <v>0</v>
      </c>
      <c r="Y8" s="117" t="n">
        <f aca="false">MAX(0,MIN(1,Inputs!$E$9-(Y$4-1)*1))</f>
        <v>0</v>
      </c>
      <c r="Z8" s="117" t="n">
        <f aca="false">MAX(0,MIN(1,Inputs!$E$9-(Z$4-1)*1))</f>
        <v>0</v>
      </c>
      <c r="AA8" s="117" t="n">
        <f aca="false">MAX(0,MIN(1,Inputs!$E$9-(AA$4-1)*1))</f>
        <v>0</v>
      </c>
      <c r="AB8" s="117" t="n">
        <f aca="false">MAX(0,MIN(1,Inputs!$E$9-(AB$4-1)*1))</f>
        <v>0</v>
      </c>
      <c r="AC8" s="117" t="n">
        <f aca="false">MAX(0,MIN(1,Inputs!$E$9-(AC$4-1)*1))</f>
        <v>0</v>
      </c>
      <c r="AD8" s="117" t="n">
        <f aca="false">MAX(0,MIN(1,Inputs!$E$9-(AD$4-1)*1))</f>
        <v>0</v>
      </c>
      <c r="AE8" s="117" t="n">
        <f aca="false">MAX(0,MIN(1,Inputs!$E$9-(AE$4-1)*1))</f>
        <v>0</v>
      </c>
      <c r="AF8" s="117" t="n">
        <f aca="false">MAX(0,MIN(1,Inputs!$E$9-(AF$4-1)*1))</f>
        <v>0</v>
      </c>
      <c r="AG8" s="117" t="n">
        <f aca="false">MAX(0,MIN(1,Inputs!$E$9-(AG$4-1)*1))</f>
        <v>0</v>
      </c>
      <c r="AH8" s="117" t="n">
        <f aca="false">MAX(0,MIN(1,Inputs!$E$9-(AH$4-1)*1))</f>
        <v>0</v>
      </c>
      <c r="AI8" s="117" t="n">
        <f aca="false">MAX(0,MIN(1,Inputs!$E$9-(AI$4-1)*1))</f>
        <v>0</v>
      </c>
      <c r="AJ8" s="117" t="n">
        <f aca="false">MAX(0,MIN(1,Inputs!$E$9-(AJ$4-1)*1))</f>
        <v>0</v>
      </c>
      <c r="AK8" s="117" t="n">
        <f aca="false">MAX(0,MIN(1,Inputs!$E$9-(AK$4-1)*1))</f>
        <v>0</v>
      </c>
      <c r="AL8" s="117" t="n">
        <f aca="false">MAX(0,MIN(1,Inputs!$E$9-(AL$4-1)*1))</f>
        <v>0</v>
      </c>
      <c r="AM8" s="117" t="n">
        <f aca="false">MAX(0,MIN(1,Inputs!$E$9-(AM$4-1)*1))</f>
        <v>0</v>
      </c>
      <c r="AN8" s="117" t="n">
        <f aca="false">MAX(0,MIN(1,Inputs!$E$9-(AN$4-1)*1))</f>
        <v>0</v>
      </c>
      <c r="AO8" s="117" t="n">
        <f aca="false">MAX(0,MIN(1,Inputs!$E$9-(AO$4-1)*1))</f>
        <v>0</v>
      </c>
      <c r="AP8" s="117" t="n">
        <f aca="false">MAX(0,MIN(1,Inputs!$E$9-(AP$4-1)*1))</f>
        <v>0</v>
      </c>
      <c r="AQ8" s="117" t="n">
        <f aca="false">MAX(0,MIN(1,Inputs!$E$9-(AQ$4-1)*1))</f>
        <v>0</v>
      </c>
      <c r="AR8" s="117" t="n">
        <f aca="false">MAX(0,MIN(1,Inputs!$E$9-(AR$4-1)*1))</f>
        <v>0</v>
      </c>
      <c r="AS8" s="117" t="n">
        <f aca="false">MAX(0,MIN(1,Inputs!$E$9-(AS$4-1)*1))</f>
        <v>0</v>
      </c>
      <c r="AT8" s="117" t="n">
        <f aca="false">MAX(0,MIN(1,Inputs!$E$9-(AT$4-1)*1))</f>
        <v>0</v>
      </c>
      <c r="AU8" s="117" t="n">
        <f aca="false">MAX(0,MIN(1,Inputs!$E$9-(AU$4-1)*1))</f>
        <v>0</v>
      </c>
      <c r="AV8" s="117" t="n">
        <f aca="false">MAX(0,MIN(1,Inputs!$E$9-(AV$4-1)*1))</f>
        <v>0</v>
      </c>
      <c r="AW8" s="117" t="n">
        <f aca="false">MAX(0,MIN(1,Inputs!$E$9-(AW$4-1)*1))</f>
        <v>0</v>
      </c>
      <c r="AX8" s="117" t="n">
        <f aca="false">MAX(0,MIN(1,Inputs!$E$9-(AX$4-1)*1))</f>
        <v>0</v>
      </c>
      <c r="AY8" s="117" t="n">
        <f aca="false">MAX(0,MIN(1,Inputs!$E$9-(AY$4-1)*1))</f>
        <v>0</v>
      </c>
      <c r="AZ8" s="117" t="n">
        <f aca="false">MAX(0,MIN(1,Inputs!$E$9-(AZ$4-1)*1))</f>
        <v>0</v>
      </c>
      <c r="BA8" s="117" t="n">
        <f aca="false">MAX(0,MIN(1,Inputs!$E$9-(BA$4-1)*1))</f>
        <v>0</v>
      </c>
      <c r="BB8" s="117" t="n">
        <f aca="false">MAX(0,MIN(1,Inputs!$E$9-(BB$4-1)*1))</f>
        <v>0</v>
      </c>
      <c r="BC8" s="117" t="n">
        <f aca="false">MAX(0,MIN(1,Inputs!$E$9-(BC$4-1)*1))</f>
        <v>0</v>
      </c>
      <c r="BD8" s="117" t="n">
        <f aca="false">MAX(0,MIN(1,Inputs!$E$9-(BD$4-1)*1))</f>
        <v>0</v>
      </c>
      <c r="BE8" s="117" t="n">
        <f aca="false">MAX(0,MIN(1,Inputs!$E$9-(BE$4-1)*1))</f>
        <v>0</v>
      </c>
      <c r="BF8" s="117" t="n">
        <f aca="false">MAX(0,MIN(1,Inputs!$E$9-(BF$4-1)*1))</f>
        <v>0</v>
      </c>
      <c r="BG8" s="117" t="n">
        <f aca="false">MAX(0,MIN(1,Inputs!$E$9-(BG$4-1)*1))</f>
        <v>0</v>
      </c>
      <c r="BH8" s="117" t="n">
        <f aca="false">MAX(0,MIN(1,Inputs!$E$9-(BH$4-1)*1))</f>
        <v>0</v>
      </c>
      <c r="BI8" s="117" t="n">
        <f aca="false">MAX(0,MIN(1,Inputs!$E$9-(BI$4-1)*1))</f>
        <v>0</v>
      </c>
      <c r="BJ8" s="117" t="n">
        <f aca="false">MAX(0,MIN(1,Inputs!$E$9-(BJ$4-1)*1))</f>
        <v>0</v>
      </c>
    </row>
    <row r="9" customFormat="false" ht="15" hidden="false" customHeight="false" outlineLevel="0" collapsed="false">
      <c r="A9" s="38" t="s">
        <v>417</v>
      </c>
      <c r="C9" s="76" t="n">
        <f aca="false">IF(Inputs!$E$9&lt;=0,1,(C8*Inputs!$E$10+(1-Inputs!$E$10)/MAX(1,Inputs!$E$9)*(C8*(C$4-1)*1+C8*(C8-1)/2)+1-C8)/1)</f>
        <v>0.45</v>
      </c>
      <c r="D9" s="76" t="n">
        <f aca="false">IF(Inputs!$E$9&lt;=0,1,(D8*Inputs!$E$10+(1-Inputs!$E$10)/MAX(1,Inputs!$E$9)*(D8*(D$4-1)*1+D8*(D8-1)/2)+1-D8)/1)</f>
        <v>0.511111111111111</v>
      </c>
      <c r="E9" s="76" t="n">
        <f aca="false">IF(Inputs!$E$9&lt;=0,1,(E8*Inputs!$E$10+(1-Inputs!$E$10)/MAX(1,Inputs!$E$9)*(E8*(E$4-1)*1+E8*(E8-1)/2)+1-E8)/1)</f>
        <v>0.572222222222222</v>
      </c>
      <c r="F9" s="76" t="n">
        <f aca="false">IF(Inputs!$E$9&lt;=0,1,(F8*Inputs!$E$10+(1-Inputs!$E$10)/MAX(1,Inputs!$E$9)*(F8*(F$4-1)*1+F8*(F8-1)/2)+1-F8)/1)</f>
        <v>0.633333333333333</v>
      </c>
      <c r="G9" s="76" t="n">
        <f aca="false">IF(Inputs!$E$9&lt;=0,1,(G8*Inputs!$E$10+(1-Inputs!$E$10)/MAX(1,Inputs!$E$9)*(G8*(G$4-1)*1+G8*(G8-1)/2)+1-G8)/1)</f>
        <v>0.694444444444444</v>
      </c>
      <c r="H9" s="76" t="n">
        <f aca="false">IF(Inputs!$E$9&lt;=0,1,(H8*Inputs!$E$10+(1-Inputs!$E$10)/MAX(1,Inputs!$E$9)*(H8*(H$4-1)*1+H8*(H8-1)/2)+1-H8)/1)</f>
        <v>0.755555555555556</v>
      </c>
      <c r="I9" s="76" t="n">
        <f aca="false">IF(Inputs!$E$9&lt;=0,1,(I8*Inputs!$E$10+(1-Inputs!$E$10)/MAX(1,Inputs!$E$9)*(I8*(I$4-1)*1+I8*(I8-1)/2)+1-I8)/1)</f>
        <v>0.816666666666667</v>
      </c>
      <c r="J9" s="76" t="n">
        <f aca="false">IF(Inputs!$E$9&lt;=0,1,(J8*Inputs!$E$10+(1-Inputs!$E$10)/MAX(1,Inputs!$E$9)*(J8*(J$4-1)*1+J8*(J8-1)/2)+1-J8)/1)</f>
        <v>0.877777777777778</v>
      </c>
      <c r="K9" s="76" t="n">
        <f aca="false">IF(Inputs!$E$9&lt;=0,1,(K8*Inputs!$E$10+(1-Inputs!$E$10)/MAX(1,Inputs!$E$9)*(K8*(K$4-1)*1+K8*(K8-1)/2)+1-K8)/1)</f>
        <v>0.938888888888889</v>
      </c>
      <c r="L9" s="76" t="n">
        <f aca="false">IF(Inputs!$E$9&lt;=0,1,(L8*Inputs!$E$10+(1-Inputs!$E$10)/MAX(1,Inputs!$E$9)*(L8*(L$4-1)*1+L8*(L8-1)/2)+1-L8)/1)</f>
        <v>1</v>
      </c>
      <c r="M9" s="76" t="n">
        <f aca="false">IF(Inputs!$E$9&lt;=0,1,(M8*Inputs!$E$10+(1-Inputs!$E$10)/MAX(1,Inputs!$E$9)*(M8*(M$4-1)*1+M8*(M8-1)/2)+1-M8)/1)</f>
        <v>1</v>
      </c>
      <c r="N9" s="76" t="n">
        <f aca="false">IF(Inputs!$E$9&lt;=0,1,(N8*Inputs!$E$10+(1-Inputs!$E$10)/MAX(1,Inputs!$E$9)*(N8*(N$4-1)*1+N8*(N8-1)/2)+1-N8)/1)</f>
        <v>1</v>
      </c>
      <c r="O9" s="76" t="n">
        <f aca="false">IF(Inputs!$E$9&lt;=0,1,(O8*Inputs!$E$10+(1-Inputs!$E$10)/MAX(1,Inputs!$E$9)*(O8*(O$4-1)*1+O8*(O8-1)/2)+1-O8)/1)</f>
        <v>1</v>
      </c>
      <c r="P9" s="76" t="n">
        <f aca="false">IF(Inputs!$E$9&lt;=0,1,(P8*Inputs!$E$10+(1-Inputs!$E$10)/MAX(1,Inputs!$E$9)*(P8*(P$4-1)*1+P8*(P8-1)/2)+1-P8)/1)</f>
        <v>1</v>
      </c>
      <c r="Q9" s="76" t="n">
        <f aca="false">IF(Inputs!$E$9&lt;=0,1,(Q8*Inputs!$E$10+(1-Inputs!$E$10)/MAX(1,Inputs!$E$9)*(Q8*(Q$4-1)*1+Q8*(Q8-1)/2)+1-Q8)/1)</f>
        <v>1</v>
      </c>
      <c r="R9" s="76" t="n">
        <f aca="false">IF(Inputs!$E$9&lt;=0,1,(R8*Inputs!$E$10+(1-Inputs!$E$10)/MAX(1,Inputs!$E$9)*(R8*(R$4-1)*1+R8*(R8-1)/2)+1-R8)/1)</f>
        <v>1</v>
      </c>
      <c r="S9" s="76" t="n">
        <f aca="false">IF(Inputs!$E$9&lt;=0,1,(S8*Inputs!$E$10+(1-Inputs!$E$10)/MAX(1,Inputs!$E$9)*(S8*(S$4-1)*1+S8*(S8-1)/2)+1-S8)/1)</f>
        <v>1</v>
      </c>
      <c r="T9" s="76" t="n">
        <f aca="false">IF(Inputs!$E$9&lt;=0,1,(T8*Inputs!$E$10+(1-Inputs!$E$10)/MAX(1,Inputs!$E$9)*(T8*(T$4-1)*1+T8*(T8-1)/2)+1-T8)/1)</f>
        <v>1</v>
      </c>
      <c r="U9" s="76" t="n">
        <f aca="false">IF(Inputs!$E$9&lt;=0,1,(U8*Inputs!$E$10+(1-Inputs!$E$10)/MAX(1,Inputs!$E$9)*(U8*(U$4-1)*1+U8*(U8-1)/2)+1-U8)/1)</f>
        <v>1</v>
      </c>
      <c r="V9" s="76" t="n">
        <f aca="false">IF(Inputs!$E$9&lt;=0,1,(V8*Inputs!$E$10+(1-Inputs!$E$10)/MAX(1,Inputs!$E$9)*(V8*(V$4-1)*1+V8*(V8-1)/2)+1-V8)/1)</f>
        <v>1</v>
      </c>
      <c r="W9" s="76" t="n">
        <f aca="false">IF(Inputs!$E$9&lt;=0,1,(W8*Inputs!$E$10+(1-Inputs!$E$10)/MAX(1,Inputs!$E$9)*(W8*(W$4-1)*1+W8*(W8-1)/2)+1-W8)/1)</f>
        <v>1</v>
      </c>
      <c r="X9" s="76" t="n">
        <f aca="false">IF(Inputs!$E$9&lt;=0,1,(X8*Inputs!$E$10+(1-Inputs!$E$10)/MAX(1,Inputs!$E$9)*(X8*(X$4-1)*1+X8*(X8-1)/2)+1-X8)/1)</f>
        <v>1</v>
      </c>
      <c r="Y9" s="76" t="n">
        <f aca="false">IF(Inputs!$E$9&lt;=0,1,(Y8*Inputs!$E$10+(1-Inputs!$E$10)/MAX(1,Inputs!$E$9)*(Y8*(Y$4-1)*1+Y8*(Y8-1)/2)+1-Y8)/1)</f>
        <v>1</v>
      </c>
      <c r="Z9" s="76" t="n">
        <f aca="false">IF(Inputs!$E$9&lt;=0,1,(Z8*Inputs!$E$10+(1-Inputs!$E$10)/MAX(1,Inputs!$E$9)*(Z8*(Z$4-1)*1+Z8*(Z8-1)/2)+1-Z8)/1)</f>
        <v>1</v>
      </c>
      <c r="AA9" s="76" t="n">
        <f aca="false">IF(Inputs!$E$9&lt;=0,1,(AA8*Inputs!$E$10+(1-Inputs!$E$10)/MAX(1,Inputs!$E$9)*(AA8*(AA$4-1)*1+AA8*(AA8-1)/2)+1-AA8)/1)</f>
        <v>1</v>
      </c>
      <c r="AB9" s="76" t="n">
        <f aca="false">IF(Inputs!$E$9&lt;=0,1,(AB8*Inputs!$E$10+(1-Inputs!$E$10)/MAX(1,Inputs!$E$9)*(AB8*(AB$4-1)*1+AB8*(AB8-1)/2)+1-AB8)/1)</f>
        <v>1</v>
      </c>
      <c r="AC9" s="76" t="n">
        <f aca="false">IF(Inputs!$E$9&lt;=0,1,(AC8*Inputs!$E$10+(1-Inputs!$E$10)/MAX(1,Inputs!$E$9)*(AC8*(AC$4-1)*1+AC8*(AC8-1)/2)+1-AC8)/1)</f>
        <v>1</v>
      </c>
      <c r="AD9" s="76" t="n">
        <f aca="false">IF(Inputs!$E$9&lt;=0,1,(AD8*Inputs!$E$10+(1-Inputs!$E$10)/MAX(1,Inputs!$E$9)*(AD8*(AD$4-1)*1+AD8*(AD8-1)/2)+1-AD8)/1)</f>
        <v>1</v>
      </c>
      <c r="AE9" s="76" t="n">
        <f aca="false">IF(Inputs!$E$9&lt;=0,1,(AE8*Inputs!$E$10+(1-Inputs!$E$10)/MAX(1,Inputs!$E$9)*(AE8*(AE$4-1)*1+AE8*(AE8-1)/2)+1-AE8)/1)</f>
        <v>1</v>
      </c>
      <c r="AF9" s="76" t="n">
        <f aca="false">IF(Inputs!$E$9&lt;=0,1,(AF8*Inputs!$E$10+(1-Inputs!$E$10)/MAX(1,Inputs!$E$9)*(AF8*(AF$4-1)*1+AF8*(AF8-1)/2)+1-AF8)/1)</f>
        <v>1</v>
      </c>
      <c r="AG9" s="76" t="n">
        <f aca="false">IF(Inputs!$E$9&lt;=0,1,(AG8*Inputs!$E$10+(1-Inputs!$E$10)/MAX(1,Inputs!$E$9)*(AG8*(AG$4-1)*1+AG8*(AG8-1)/2)+1-AG8)/1)</f>
        <v>1</v>
      </c>
      <c r="AH9" s="76" t="n">
        <f aca="false">IF(Inputs!$E$9&lt;=0,1,(AH8*Inputs!$E$10+(1-Inputs!$E$10)/MAX(1,Inputs!$E$9)*(AH8*(AH$4-1)*1+AH8*(AH8-1)/2)+1-AH8)/1)</f>
        <v>1</v>
      </c>
      <c r="AI9" s="76" t="n">
        <f aca="false">IF(Inputs!$E$9&lt;=0,1,(AI8*Inputs!$E$10+(1-Inputs!$E$10)/MAX(1,Inputs!$E$9)*(AI8*(AI$4-1)*1+AI8*(AI8-1)/2)+1-AI8)/1)</f>
        <v>1</v>
      </c>
      <c r="AJ9" s="76" t="n">
        <f aca="false">IF(Inputs!$E$9&lt;=0,1,(AJ8*Inputs!$E$10+(1-Inputs!$E$10)/MAX(1,Inputs!$E$9)*(AJ8*(AJ$4-1)*1+AJ8*(AJ8-1)/2)+1-AJ8)/1)</f>
        <v>1</v>
      </c>
      <c r="AK9" s="76" t="n">
        <f aca="false">IF(Inputs!$E$9&lt;=0,1,(AK8*Inputs!$E$10+(1-Inputs!$E$10)/MAX(1,Inputs!$E$9)*(AK8*(AK$4-1)*1+AK8*(AK8-1)/2)+1-AK8)/1)</f>
        <v>1</v>
      </c>
      <c r="AL9" s="76" t="n">
        <f aca="false">IF(Inputs!$E$9&lt;=0,1,(AL8*Inputs!$E$10+(1-Inputs!$E$10)/MAX(1,Inputs!$E$9)*(AL8*(AL$4-1)*1+AL8*(AL8-1)/2)+1-AL8)/1)</f>
        <v>1</v>
      </c>
      <c r="AM9" s="76" t="n">
        <f aca="false">IF(Inputs!$E$9&lt;=0,1,(AM8*Inputs!$E$10+(1-Inputs!$E$10)/MAX(1,Inputs!$E$9)*(AM8*(AM$4-1)*1+AM8*(AM8-1)/2)+1-AM8)/1)</f>
        <v>1</v>
      </c>
      <c r="AN9" s="76" t="n">
        <f aca="false">IF(Inputs!$E$9&lt;=0,1,(AN8*Inputs!$E$10+(1-Inputs!$E$10)/MAX(1,Inputs!$E$9)*(AN8*(AN$4-1)*1+AN8*(AN8-1)/2)+1-AN8)/1)</f>
        <v>1</v>
      </c>
      <c r="AO9" s="76" t="n">
        <f aca="false">IF(Inputs!$E$9&lt;=0,1,(AO8*Inputs!$E$10+(1-Inputs!$E$10)/MAX(1,Inputs!$E$9)*(AO8*(AO$4-1)*1+AO8*(AO8-1)/2)+1-AO8)/1)</f>
        <v>1</v>
      </c>
      <c r="AP9" s="76" t="n">
        <f aca="false">IF(Inputs!$E$9&lt;=0,1,(AP8*Inputs!$E$10+(1-Inputs!$E$10)/MAX(1,Inputs!$E$9)*(AP8*(AP$4-1)*1+AP8*(AP8-1)/2)+1-AP8)/1)</f>
        <v>1</v>
      </c>
      <c r="AQ9" s="76" t="n">
        <f aca="false">IF(Inputs!$E$9&lt;=0,1,(AQ8*Inputs!$E$10+(1-Inputs!$E$10)/MAX(1,Inputs!$E$9)*(AQ8*(AQ$4-1)*1+AQ8*(AQ8-1)/2)+1-AQ8)/1)</f>
        <v>1</v>
      </c>
      <c r="AR9" s="76" t="n">
        <f aca="false">IF(Inputs!$E$9&lt;=0,1,(AR8*Inputs!$E$10+(1-Inputs!$E$10)/MAX(1,Inputs!$E$9)*(AR8*(AR$4-1)*1+AR8*(AR8-1)/2)+1-AR8)/1)</f>
        <v>1</v>
      </c>
      <c r="AS9" s="76" t="n">
        <f aca="false">IF(Inputs!$E$9&lt;=0,1,(AS8*Inputs!$E$10+(1-Inputs!$E$10)/MAX(1,Inputs!$E$9)*(AS8*(AS$4-1)*1+AS8*(AS8-1)/2)+1-AS8)/1)</f>
        <v>1</v>
      </c>
      <c r="AT9" s="76" t="n">
        <f aca="false">IF(Inputs!$E$9&lt;=0,1,(AT8*Inputs!$E$10+(1-Inputs!$E$10)/MAX(1,Inputs!$E$9)*(AT8*(AT$4-1)*1+AT8*(AT8-1)/2)+1-AT8)/1)</f>
        <v>1</v>
      </c>
      <c r="AU9" s="76" t="n">
        <f aca="false">IF(Inputs!$E$9&lt;=0,1,(AU8*Inputs!$E$10+(1-Inputs!$E$10)/MAX(1,Inputs!$E$9)*(AU8*(AU$4-1)*1+AU8*(AU8-1)/2)+1-AU8)/1)</f>
        <v>1</v>
      </c>
      <c r="AV9" s="76" t="n">
        <f aca="false">IF(Inputs!$E$9&lt;=0,1,(AV8*Inputs!$E$10+(1-Inputs!$E$10)/MAX(1,Inputs!$E$9)*(AV8*(AV$4-1)*1+AV8*(AV8-1)/2)+1-AV8)/1)</f>
        <v>1</v>
      </c>
      <c r="AW9" s="76" t="n">
        <f aca="false">IF(Inputs!$E$9&lt;=0,1,(AW8*Inputs!$E$10+(1-Inputs!$E$10)/MAX(1,Inputs!$E$9)*(AW8*(AW$4-1)*1+AW8*(AW8-1)/2)+1-AW8)/1)</f>
        <v>1</v>
      </c>
      <c r="AX9" s="76" t="n">
        <f aca="false">IF(Inputs!$E$9&lt;=0,1,(AX8*Inputs!$E$10+(1-Inputs!$E$10)/MAX(1,Inputs!$E$9)*(AX8*(AX$4-1)*1+AX8*(AX8-1)/2)+1-AX8)/1)</f>
        <v>1</v>
      </c>
      <c r="AY9" s="76" t="n">
        <f aca="false">IF(Inputs!$E$9&lt;=0,1,(AY8*Inputs!$E$10+(1-Inputs!$E$10)/MAX(1,Inputs!$E$9)*(AY8*(AY$4-1)*1+AY8*(AY8-1)/2)+1-AY8)/1)</f>
        <v>1</v>
      </c>
      <c r="AZ9" s="76" t="n">
        <f aca="false">IF(Inputs!$E$9&lt;=0,1,(AZ8*Inputs!$E$10+(1-Inputs!$E$10)/MAX(1,Inputs!$E$9)*(AZ8*(AZ$4-1)*1+AZ8*(AZ8-1)/2)+1-AZ8)/1)</f>
        <v>1</v>
      </c>
      <c r="BA9" s="76" t="n">
        <f aca="false">IF(Inputs!$E$9&lt;=0,1,(BA8*Inputs!$E$10+(1-Inputs!$E$10)/MAX(1,Inputs!$E$9)*(BA8*(BA$4-1)*1+BA8*(BA8-1)/2)+1-BA8)/1)</f>
        <v>1</v>
      </c>
      <c r="BB9" s="76" t="n">
        <f aca="false">IF(Inputs!$E$9&lt;=0,1,(BB8*Inputs!$E$10+(1-Inputs!$E$10)/MAX(1,Inputs!$E$9)*(BB8*(BB$4-1)*1+BB8*(BB8-1)/2)+1-BB8)/1)</f>
        <v>1</v>
      </c>
      <c r="BC9" s="76" t="n">
        <f aca="false">IF(Inputs!$E$9&lt;=0,1,(BC8*Inputs!$E$10+(1-Inputs!$E$10)/MAX(1,Inputs!$E$9)*(BC8*(BC$4-1)*1+BC8*(BC8-1)/2)+1-BC8)/1)</f>
        <v>1</v>
      </c>
      <c r="BD9" s="76" t="n">
        <f aca="false">IF(Inputs!$E$9&lt;=0,1,(BD8*Inputs!$E$10+(1-Inputs!$E$10)/MAX(1,Inputs!$E$9)*(BD8*(BD$4-1)*1+BD8*(BD8-1)/2)+1-BD8)/1)</f>
        <v>1</v>
      </c>
      <c r="BE9" s="76" t="n">
        <f aca="false">IF(Inputs!$E$9&lt;=0,1,(BE8*Inputs!$E$10+(1-Inputs!$E$10)/MAX(1,Inputs!$E$9)*(BE8*(BE$4-1)*1+BE8*(BE8-1)/2)+1-BE8)/1)</f>
        <v>1</v>
      </c>
      <c r="BF9" s="76" t="n">
        <f aca="false">IF(Inputs!$E$9&lt;=0,1,(BF8*Inputs!$E$10+(1-Inputs!$E$10)/MAX(1,Inputs!$E$9)*(BF8*(BF$4-1)*1+BF8*(BF8-1)/2)+1-BF8)/1)</f>
        <v>1</v>
      </c>
      <c r="BG9" s="76" t="n">
        <f aca="false">IF(Inputs!$E$9&lt;=0,1,(BG8*Inputs!$E$10+(1-Inputs!$E$10)/MAX(1,Inputs!$E$9)*(BG8*(BG$4-1)*1+BG8*(BG8-1)/2)+1-BG8)/1)</f>
        <v>1</v>
      </c>
      <c r="BH9" s="76" t="n">
        <f aca="false">IF(Inputs!$E$9&lt;=0,1,(BH8*Inputs!$E$10+(1-Inputs!$E$10)/MAX(1,Inputs!$E$9)*(BH8*(BH$4-1)*1+BH8*(BH8-1)/2)+1-BH8)/1)</f>
        <v>1</v>
      </c>
      <c r="BI9" s="76" t="n">
        <f aca="false">IF(Inputs!$E$9&lt;=0,1,(BI8*Inputs!$E$10+(1-Inputs!$E$10)/MAX(1,Inputs!$E$9)*(BI8*(BI$4-1)*1+BI8*(BI8-1)/2)+1-BI8)/1)</f>
        <v>1</v>
      </c>
      <c r="BJ9" s="76" t="n">
        <f aca="false">IF(Inputs!$E$9&lt;=0,1,(BJ8*Inputs!$E$10+(1-Inputs!$E$10)/MAX(1,Inputs!$E$9)*(BJ8*(BJ$4-1)*1+BJ8*(BJ8-1)/2)+1-BJ8)/1)</f>
        <v>1</v>
      </c>
    </row>
    <row r="10" customFormat="false" ht="15" hidden="false" customHeight="false" outlineLevel="0" collapsed="false">
      <c r="A10" s="6" t="s">
        <v>418</v>
      </c>
      <c r="C10" s="79" t="n">
        <f aca="false">IF(OR(MOD(C$4-1,12)&gt;=11,MOD(C$4-1,12)&lt;=1),1-Inputs!$E$11,1+Inputs!$E$11/3)</f>
        <v>0.85</v>
      </c>
      <c r="D10" s="79" t="n">
        <f aca="false">IF(OR(MOD(D$4-1,12)&gt;=11,MOD(D$4-1,12)&lt;=1),1-Inputs!$E$11,1+Inputs!$E$11/3)</f>
        <v>0.85</v>
      </c>
      <c r="E10" s="79" t="n">
        <f aca="false">IF(OR(MOD(E$4-1,12)&gt;=11,MOD(E$4-1,12)&lt;=1),1-Inputs!$E$11,1+Inputs!$E$11/3)</f>
        <v>1.05</v>
      </c>
      <c r="F10" s="79" t="n">
        <f aca="false">IF(OR(MOD(F$4-1,12)&gt;=11,MOD(F$4-1,12)&lt;=1),1-Inputs!$E$11,1+Inputs!$E$11/3)</f>
        <v>1.05</v>
      </c>
      <c r="G10" s="79" t="n">
        <f aca="false">IF(OR(MOD(G$4-1,12)&gt;=11,MOD(G$4-1,12)&lt;=1),1-Inputs!$E$11,1+Inputs!$E$11/3)</f>
        <v>1.05</v>
      </c>
      <c r="H10" s="79" t="n">
        <f aca="false">IF(OR(MOD(H$4-1,12)&gt;=11,MOD(H$4-1,12)&lt;=1),1-Inputs!$E$11,1+Inputs!$E$11/3)</f>
        <v>1.05</v>
      </c>
      <c r="I10" s="79" t="n">
        <f aca="false">IF(OR(MOD(I$4-1,12)&gt;=11,MOD(I$4-1,12)&lt;=1),1-Inputs!$E$11,1+Inputs!$E$11/3)</f>
        <v>1.05</v>
      </c>
      <c r="J10" s="79" t="n">
        <f aca="false">IF(OR(MOD(J$4-1,12)&gt;=11,MOD(J$4-1,12)&lt;=1),1-Inputs!$E$11,1+Inputs!$E$11/3)</f>
        <v>1.05</v>
      </c>
      <c r="K10" s="79" t="n">
        <f aca="false">IF(OR(MOD(K$4-1,12)&gt;=11,MOD(K$4-1,12)&lt;=1),1-Inputs!$E$11,1+Inputs!$E$11/3)</f>
        <v>1.05</v>
      </c>
      <c r="L10" s="79" t="n">
        <f aca="false">IF(OR(MOD(L$4-1,12)&gt;=11,MOD(L$4-1,12)&lt;=1),1-Inputs!$E$11,1+Inputs!$E$11/3)</f>
        <v>1.05</v>
      </c>
      <c r="M10" s="79" t="n">
        <f aca="false">IF(OR(MOD(M$4-1,12)&gt;=11,MOD(M$4-1,12)&lt;=1),1-Inputs!$E$11,1+Inputs!$E$11/3)</f>
        <v>1.05</v>
      </c>
      <c r="N10" s="79" t="n">
        <f aca="false">IF(OR(MOD(N$4-1,12)&gt;=11,MOD(N$4-1,12)&lt;=1),1-Inputs!$E$11,1+Inputs!$E$11/3)</f>
        <v>0.85</v>
      </c>
      <c r="O10" s="79" t="n">
        <f aca="false">IF(OR(MOD(O$4-1,12)&gt;=11,MOD(O$4-1,12)&lt;=1),1-Inputs!$E$11,1+Inputs!$E$11/3)</f>
        <v>0.85</v>
      </c>
      <c r="P10" s="79" t="n">
        <f aca="false">IF(OR(MOD(P$4-1,12)&gt;=11,MOD(P$4-1,12)&lt;=1),1-Inputs!$E$11,1+Inputs!$E$11/3)</f>
        <v>0.85</v>
      </c>
      <c r="Q10" s="79" t="n">
        <f aca="false">IF(OR(MOD(Q$4-1,12)&gt;=11,MOD(Q$4-1,12)&lt;=1),1-Inputs!$E$11,1+Inputs!$E$11/3)</f>
        <v>1.05</v>
      </c>
      <c r="R10" s="79" t="n">
        <f aca="false">IF(OR(MOD(R$4-1,12)&gt;=11,MOD(R$4-1,12)&lt;=1),1-Inputs!$E$11,1+Inputs!$E$11/3)</f>
        <v>1.05</v>
      </c>
      <c r="S10" s="79" t="n">
        <f aca="false">IF(OR(MOD(S$4-1,12)&gt;=11,MOD(S$4-1,12)&lt;=1),1-Inputs!$E$11,1+Inputs!$E$11/3)</f>
        <v>1.05</v>
      </c>
      <c r="T10" s="79" t="n">
        <f aca="false">IF(OR(MOD(T$4-1,12)&gt;=11,MOD(T$4-1,12)&lt;=1),1-Inputs!$E$11,1+Inputs!$E$11/3)</f>
        <v>1.05</v>
      </c>
      <c r="U10" s="79" t="n">
        <f aca="false">IF(OR(MOD(U$4-1,12)&gt;=11,MOD(U$4-1,12)&lt;=1),1-Inputs!$E$11,1+Inputs!$E$11/3)</f>
        <v>1.05</v>
      </c>
      <c r="V10" s="79" t="n">
        <f aca="false">IF(OR(MOD(V$4-1,12)&gt;=11,MOD(V$4-1,12)&lt;=1),1-Inputs!$E$11,1+Inputs!$E$11/3)</f>
        <v>1.05</v>
      </c>
      <c r="W10" s="79" t="n">
        <f aca="false">IF(OR(MOD(W$4-1,12)&gt;=11,MOD(W$4-1,12)&lt;=1),1-Inputs!$E$11,1+Inputs!$E$11/3)</f>
        <v>1.05</v>
      </c>
      <c r="X10" s="79" t="n">
        <f aca="false">IF(OR(MOD(X$4-1,12)&gt;=11,MOD(X$4-1,12)&lt;=1),1-Inputs!$E$11,1+Inputs!$E$11/3)</f>
        <v>1.05</v>
      </c>
      <c r="Y10" s="79" t="n">
        <f aca="false">IF(OR(MOD(Y$4-1,12)&gt;=11,MOD(Y$4-1,12)&lt;=1),1-Inputs!$E$11,1+Inputs!$E$11/3)</f>
        <v>1.05</v>
      </c>
      <c r="Z10" s="79" t="n">
        <f aca="false">IF(OR(MOD(Z$4-1,12)&gt;=11,MOD(Z$4-1,12)&lt;=1),1-Inputs!$E$11,1+Inputs!$E$11/3)</f>
        <v>0.85</v>
      </c>
      <c r="AA10" s="79" t="n">
        <f aca="false">IF(OR(MOD(AA$4-1,12)&gt;=11,MOD(AA$4-1,12)&lt;=1),1-Inputs!$E$11,1+Inputs!$E$11/3)</f>
        <v>0.85</v>
      </c>
      <c r="AB10" s="79" t="n">
        <f aca="false">IF(OR(MOD(AB$4-1,12)&gt;=11,MOD(AB$4-1,12)&lt;=1),1-Inputs!$E$11,1+Inputs!$E$11/3)</f>
        <v>0.85</v>
      </c>
      <c r="AC10" s="79" t="n">
        <f aca="false">IF(OR(MOD(AC$4-1,12)&gt;=11,MOD(AC$4-1,12)&lt;=1),1-Inputs!$E$11,1+Inputs!$E$11/3)</f>
        <v>1.05</v>
      </c>
      <c r="AD10" s="79" t="n">
        <f aca="false">IF(OR(MOD(AD$4-1,12)&gt;=11,MOD(AD$4-1,12)&lt;=1),1-Inputs!$E$11,1+Inputs!$E$11/3)</f>
        <v>1.05</v>
      </c>
      <c r="AE10" s="79" t="n">
        <f aca="false">IF(OR(MOD(AE$4-1,12)&gt;=11,MOD(AE$4-1,12)&lt;=1),1-Inputs!$E$11,1+Inputs!$E$11/3)</f>
        <v>1.05</v>
      </c>
      <c r="AF10" s="79" t="n">
        <f aca="false">IF(OR(MOD(AF$4-1,12)&gt;=11,MOD(AF$4-1,12)&lt;=1),1-Inputs!$E$11,1+Inputs!$E$11/3)</f>
        <v>1.05</v>
      </c>
      <c r="AG10" s="79" t="n">
        <f aca="false">IF(OR(MOD(AG$4-1,12)&gt;=11,MOD(AG$4-1,12)&lt;=1),1-Inputs!$E$11,1+Inputs!$E$11/3)</f>
        <v>1.05</v>
      </c>
      <c r="AH10" s="79" t="n">
        <f aca="false">IF(OR(MOD(AH$4-1,12)&gt;=11,MOD(AH$4-1,12)&lt;=1),1-Inputs!$E$11,1+Inputs!$E$11/3)</f>
        <v>1.05</v>
      </c>
      <c r="AI10" s="79" t="n">
        <f aca="false">IF(OR(MOD(AI$4-1,12)&gt;=11,MOD(AI$4-1,12)&lt;=1),1-Inputs!$E$11,1+Inputs!$E$11/3)</f>
        <v>1.05</v>
      </c>
      <c r="AJ10" s="79" t="n">
        <f aca="false">IF(OR(MOD(AJ$4-1,12)&gt;=11,MOD(AJ$4-1,12)&lt;=1),1-Inputs!$E$11,1+Inputs!$E$11/3)</f>
        <v>1.05</v>
      </c>
      <c r="AK10" s="79" t="n">
        <f aca="false">IF(OR(MOD(AK$4-1,12)&gt;=11,MOD(AK$4-1,12)&lt;=1),1-Inputs!$E$11,1+Inputs!$E$11/3)</f>
        <v>1.05</v>
      </c>
      <c r="AL10" s="79" t="n">
        <f aca="false">IF(OR(MOD(AL$4-1,12)&gt;=11,MOD(AL$4-1,12)&lt;=1),1-Inputs!$E$11,1+Inputs!$E$11/3)</f>
        <v>0.85</v>
      </c>
      <c r="AM10" s="79" t="n">
        <f aca="false">IF(OR(MOD(AM$4-1,12)&gt;=11,MOD(AM$4-1,12)&lt;=1),1-Inputs!$E$11,1+Inputs!$E$11/3)</f>
        <v>0.85</v>
      </c>
      <c r="AN10" s="79" t="n">
        <f aca="false">IF(OR(MOD(AN$4-1,12)&gt;=11,MOD(AN$4-1,12)&lt;=1),1-Inputs!$E$11,1+Inputs!$E$11/3)</f>
        <v>0.85</v>
      </c>
      <c r="AO10" s="79" t="n">
        <f aca="false">IF(OR(MOD(AO$4-1,12)&gt;=11,MOD(AO$4-1,12)&lt;=1),1-Inputs!$E$11,1+Inputs!$E$11/3)</f>
        <v>1.05</v>
      </c>
      <c r="AP10" s="79" t="n">
        <f aca="false">IF(OR(MOD(AP$4-1,12)&gt;=11,MOD(AP$4-1,12)&lt;=1),1-Inputs!$E$11,1+Inputs!$E$11/3)</f>
        <v>1.05</v>
      </c>
      <c r="AQ10" s="79" t="n">
        <f aca="false">IF(OR(MOD(AQ$4-1,12)&gt;=11,MOD(AQ$4-1,12)&lt;=1),1-Inputs!$E$11,1+Inputs!$E$11/3)</f>
        <v>1.05</v>
      </c>
      <c r="AR10" s="79" t="n">
        <f aca="false">IF(OR(MOD(AR$4-1,12)&gt;=11,MOD(AR$4-1,12)&lt;=1),1-Inputs!$E$11,1+Inputs!$E$11/3)</f>
        <v>1.05</v>
      </c>
      <c r="AS10" s="79" t="n">
        <f aca="false">IF(OR(MOD(AS$4-1,12)&gt;=11,MOD(AS$4-1,12)&lt;=1),1-Inputs!$E$11,1+Inputs!$E$11/3)</f>
        <v>1.05</v>
      </c>
      <c r="AT10" s="79" t="n">
        <f aca="false">IF(OR(MOD(AT$4-1,12)&gt;=11,MOD(AT$4-1,12)&lt;=1),1-Inputs!$E$11,1+Inputs!$E$11/3)</f>
        <v>1.05</v>
      </c>
      <c r="AU10" s="79" t="n">
        <f aca="false">IF(OR(MOD(AU$4-1,12)&gt;=11,MOD(AU$4-1,12)&lt;=1),1-Inputs!$E$11,1+Inputs!$E$11/3)</f>
        <v>1.05</v>
      </c>
      <c r="AV10" s="79" t="n">
        <f aca="false">IF(OR(MOD(AV$4-1,12)&gt;=11,MOD(AV$4-1,12)&lt;=1),1-Inputs!$E$11,1+Inputs!$E$11/3)</f>
        <v>1.05</v>
      </c>
      <c r="AW10" s="79" t="n">
        <f aca="false">IF(OR(MOD(AW$4-1,12)&gt;=11,MOD(AW$4-1,12)&lt;=1),1-Inputs!$E$11,1+Inputs!$E$11/3)</f>
        <v>1.05</v>
      </c>
      <c r="AX10" s="79" t="n">
        <f aca="false">IF(OR(MOD(AX$4-1,12)&gt;=11,MOD(AX$4-1,12)&lt;=1),1-Inputs!$E$11,1+Inputs!$E$11/3)</f>
        <v>0.85</v>
      </c>
      <c r="AY10" s="79" t="n">
        <f aca="false">IF(OR(MOD(AY$4-1,12)&gt;=11,MOD(AY$4-1,12)&lt;=1),1-Inputs!$E$11,1+Inputs!$E$11/3)</f>
        <v>0.85</v>
      </c>
      <c r="AZ10" s="79" t="n">
        <f aca="false">IF(OR(MOD(AZ$4-1,12)&gt;=11,MOD(AZ$4-1,12)&lt;=1),1-Inputs!$E$11,1+Inputs!$E$11/3)</f>
        <v>0.85</v>
      </c>
      <c r="BA10" s="79" t="n">
        <f aca="false">IF(OR(MOD(BA$4-1,12)&gt;=11,MOD(BA$4-1,12)&lt;=1),1-Inputs!$E$11,1+Inputs!$E$11/3)</f>
        <v>1.05</v>
      </c>
      <c r="BB10" s="79" t="n">
        <f aca="false">IF(OR(MOD(BB$4-1,12)&gt;=11,MOD(BB$4-1,12)&lt;=1),1-Inputs!$E$11,1+Inputs!$E$11/3)</f>
        <v>1.05</v>
      </c>
      <c r="BC10" s="79" t="n">
        <f aca="false">IF(OR(MOD(BC$4-1,12)&gt;=11,MOD(BC$4-1,12)&lt;=1),1-Inputs!$E$11,1+Inputs!$E$11/3)</f>
        <v>1.05</v>
      </c>
      <c r="BD10" s="79" t="n">
        <f aca="false">IF(OR(MOD(BD$4-1,12)&gt;=11,MOD(BD$4-1,12)&lt;=1),1-Inputs!$E$11,1+Inputs!$E$11/3)</f>
        <v>1.05</v>
      </c>
      <c r="BE10" s="79" t="n">
        <f aca="false">IF(OR(MOD(BE$4-1,12)&gt;=11,MOD(BE$4-1,12)&lt;=1),1-Inputs!$E$11,1+Inputs!$E$11/3)</f>
        <v>1.05</v>
      </c>
      <c r="BF10" s="79" t="n">
        <f aca="false">IF(OR(MOD(BF$4-1,12)&gt;=11,MOD(BF$4-1,12)&lt;=1),1-Inputs!$E$11,1+Inputs!$E$11/3)</f>
        <v>1.05</v>
      </c>
      <c r="BG10" s="79" t="n">
        <f aca="false">IF(OR(MOD(BG$4-1,12)&gt;=11,MOD(BG$4-1,12)&lt;=1),1-Inputs!$E$11,1+Inputs!$E$11/3)</f>
        <v>1.05</v>
      </c>
      <c r="BH10" s="79" t="n">
        <f aca="false">IF(OR(MOD(BH$4-1,12)&gt;=11,MOD(BH$4-1,12)&lt;=1),1-Inputs!$E$11,1+Inputs!$E$11/3)</f>
        <v>1.05</v>
      </c>
      <c r="BI10" s="79" t="n">
        <f aca="false">IF(OR(MOD(BI$4-1,12)&gt;=11,MOD(BI$4-1,12)&lt;=1),1-Inputs!$E$11,1+Inputs!$E$11/3)</f>
        <v>1.05</v>
      </c>
      <c r="BJ10" s="79" t="n">
        <f aca="false">IF(OR(MOD(BJ$4-1,12)&gt;=11,MOD(BJ$4-1,12)&lt;=1),1-Inputs!$E$11,1+Inputs!$E$11/3)</f>
        <v>0.85</v>
      </c>
    </row>
    <row r="11" customFormat="false" ht="15" hidden="false" customHeight="false" outlineLevel="0" collapsed="false">
      <c r="A11" s="6" t="s">
        <v>419</v>
      </c>
      <c r="C11" s="118" t="n">
        <f aca="false">Inputs!$E$7*Inputs!$E$8*1*C9*C10</f>
        <v>2662.2</v>
      </c>
      <c r="D11" s="118" t="n">
        <f aca="false">Inputs!$E$7*Inputs!$E$8*1*D9*D10</f>
        <v>3023.73333333333</v>
      </c>
      <c r="E11" s="118" t="n">
        <f aca="false">Inputs!$E$7*Inputs!$E$8*1*E9*E10</f>
        <v>4181.8</v>
      </c>
      <c r="F11" s="118" t="n">
        <f aca="false">Inputs!$E$7*Inputs!$E$8*1*F9*F10</f>
        <v>4628.4</v>
      </c>
      <c r="G11" s="118" t="n">
        <f aca="false">Inputs!$E$7*Inputs!$E$8*1*G9*G10</f>
        <v>5075</v>
      </c>
      <c r="H11" s="118" t="n">
        <f aca="false">Inputs!$E$7*Inputs!$E$8*1*H9*H10</f>
        <v>5521.6</v>
      </c>
      <c r="I11" s="118" t="n">
        <f aca="false">Inputs!$E$7*Inputs!$E$8*1*I9*I10</f>
        <v>5968.2</v>
      </c>
      <c r="J11" s="118" t="n">
        <f aca="false">Inputs!$E$7*Inputs!$E$8*1*J9*J10</f>
        <v>6414.8</v>
      </c>
      <c r="K11" s="118" t="n">
        <f aca="false">Inputs!$E$7*Inputs!$E$8*1*K9*K10</f>
        <v>6861.4</v>
      </c>
      <c r="L11" s="118" t="n">
        <f aca="false">Inputs!$E$7*Inputs!$E$8*1*L9*L10</f>
        <v>7308</v>
      </c>
      <c r="M11" s="118" t="n">
        <f aca="false">Inputs!$E$7*Inputs!$E$8*1*M9*M10</f>
        <v>7308</v>
      </c>
      <c r="N11" s="118" t="n">
        <f aca="false">Inputs!$E$7*Inputs!$E$8*1*N9*N10</f>
        <v>5916</v>
      </c>
      <c r="O11" s="118" t="n">
        <f aca="false">Inputs!$E$7*Inputs!$E$8*1*O9*O10</f>
        <v>5916</v>
      </c>
      <c r="P11" s="118" t="n">
        <f aca="false">Inputs!$E$7*Inputs!$E$8*1*P9*P10</f>
        <v>5916</v>
      </c>
      <c r="Q11" s="118" t="n">
        <f aca="false">Inputs!$E$7*Inputs!$E$8*1*Q9*Q10</f>
        <v>7308</v>
      </c>
      <c r="R11" s="118" t="n">
        <f aca="false">Inputs!$E$7*Inputs!$E$8*1*R9*R10</f>
        <v>7308</v>
      </c>
      <c r="S11" s="118" t="n">
        <f aca="false">Inputs!$E$7*Inputs!$E$8*1*S9*S10</f>
        <v>7308</v>
      </c>
      <c r="T11" s="118" t="n">
        <f aca="false">Inputs!$E$7*Inputs!$E$8*1*T9*T10</f>
        <v>7308</v>
      </c>
      <c r="U11" s="118" t="n">
        <f aca="false">Inputs!$E$7*Inputs!$E$8*1*U9*U10</f>
        <v>7308</v>
      </c>
      <c r="V11" s="118" t="n">
        <f aca="false">Inputs!$E$7*Inputs!$E$8*1*V9*V10</f>
        <v>7308</v>
      </c>
      <c r="W11" s="118" t="n">
        <f aca="false">Inputs!$E$7*Inputs!$E$8*1*W9*W10</f>
        <v>7308</v>
      </c>
      <c r="X11" s="118" t="n">
        <f aca="false">Inputs!$E$7*Inputs!$E$8*1*X9*X10</f>
        <v>7308</v>
      </c>
      <c r="Y11" s="118" t="n">
        <f aca="false">Inputs!$E$7*Inputs!$E$8*1*Y9*Y10</f>
        <v>7308</v>
      </c>
      <c r="Z11" s="118" t="n">
        <f aca="false">Inputs!$E$7*Inputs!$E$8*1*Z9*Z10</f>
        <v>5916</v>
      </c>
      <c r="AA11" s="118" t="n">
        <f aca="false">Inputs!$E$7*Inputs!$E$8*1*AA9*AA10</f>
        <v>5916</v>
      </c>
      <c r="AB11" s="118" t="n">
        <f aca="false">Inputs!$E$7*Inputs!$E$8*1*AB9*AB10</f>
        <v>5916</v>
      </c>
      <c r="AC11" s="118" t="n">
        <f aca="false">Inputs!$E$7*Inputs!$E$8*1*AC9*AC10</f>
        <v>7308</v>
      </c>
      <c r="AD11" s="118" t="n">
        <f aca="false">Inputs!$E$7*Inputs!$E$8*1*AD9*AD10</f>
        <v>7308</v>
      </c>
      <c r="AE11" s="118" t="n">
        <f aca="false">Inputs!$E$7*Inputs!$E$8*1*AE9*AE10</f>
        <v>7308</v>
      </c>
      <c r="AF11" s="118" t="n">
        <f aca="false">Inputs!$E$7*Inputs!$E$8*1*AF9*AF10</f>
        <v>7308</v>
      </c>
      <c r="AG11" s="118" t="n">
        <f aca="false">Inputs!$E$7*Inputs!$E$8*1*AG9*AG10</f>
        <v>7308</v>
      </c>
      <c r="AH11" s="118" t="n">
        <f aca="false">Inputs!$E$7*Inputs!$E$8*1*AH9*AH10</f>
        <v>7308</v>
      </c>
      <c r="AI11" s="118" t="n">
        <f aca="false">Inputs!$E$7*Inputs!$E$8*1*AI9*AI10</f>
        <v>7308</v>
      </c>
      <c r="AJ11" s="118" t="n">
        <f aca="false">Inputs!$E$7*Inputs!$E$8*1*AJ9*AJ10</f>
        <v>7308</v>
      </c>
      <c r="AK11" s="118" t="n">
        <f aca="false">Inputs!$E$7*Inputs!$E$8*1*AK9*AK10</f>
        <v>7308</v>
      </c>
      <c r="AL11" s="118" t="n">
        <f aca="false">Inputs!$E$7*Inputs!$E$8*1*AL9*AL10</f>
        <v>5916</v>
      </c>
      <c r="AM11" s="118" t="n">
        <f aca="false">Inputs!$E$7*Inputs!$E$8*1*AM9*AM10</f>
        <v>5916</v>
      </c>
      <c r="AN11" s="118" t="n">
        <f aca="false">Inputs!$E$7*Inputs!$E$8*1*AN9*AN10</f>
        <v>5916</v>
      </c>
      <c r="AO11" s="118" t="n">
        <f aca="false">Inputs!$E$7*Inputs!$E$8*1*AO9*AO10</f>
        <v>7308</v>
      </c>
      <c r="AP11" s="118" t="n">
        <f aca="false">Inputs!$E$7*Inputs!$E$8*1*AP9*AP10</f>
        <v>7308</v>
      </c>
      <c r="AQ11" s="118" t="n">
        <f aca="false">Inputs!$E$7*Inputs!$E$8*1*AQ9*AQ10</f>
        <v>7308</v>
      </c>
      <c r="AR11" s="118" t="n">
        <f aca="false">Inputs!$E$7*Inputs!$E$8*1*AR9*AR10</f>
        <v>7308</v>
      </c>
      <c r="AS11" s="118" t="n">
        <f aca="false">Inputs!$E$7*Inputs!$E$8*1*AS9*AS10</f>
        <v>7308</v>
      </c>
      <c r="AT11" s="118" t="n">
        <f aca="false">Inputs!$E$7*Inputs!$E$8*1*AT9*AT10</f>
        <v>7308</v>
      </c>
      <c r="AU11" s="118" t="n">
        <f aca="false">Inputs!$E$7*Inputs!$E$8*1*AU9*AU10</f>
        <v>7308</v>
      </c>
      <c r="AV11" s="118" t="n">
        <f aca="false">Inputs!$E$7*Inputs!$E$8*1*AV9*AV10</f>
        <v>7308</v>
      </c>
      <c r="AW11" s="118" t="n">
        <f aca="false">Inputs!$E$7*Inputs!$E$8*1*AW9*AW10</f>
        <v>7308</v>
      </c>
      <c r="AX11" s="118" t="n">
        <f aca="false">Inputs!$E$7*Inputs!$E$8*1*AX9*AX10</f>
        <v>5916</v>
      </c>
      <c r="AY11" s="118" t="n">
        <f aca="false">Inputs!$E$7*Inputs!$E$8*1*AY9*AY10</f>
        <v>5916</v>
      </c>
      <c r="AZ11" s="118" t="n">
        <f aca="false">Inputs!$E$7*Inputs!$E$8*1*AZ9*AZ10</f>
        <v>5916</v>
      </c>
      <c r="BA11" s="118" t="n">
        <f aca="false">Inputs!$E$7*Inputs!$E$8*1*BA9*BA10</f>
        <v>7308</v>
      </c>
      <c r="BB11" s="118" t="n">
        <f aca="false">Inputs!$E$7*Inputs!$E$8*1*BB9*BB10</f>
        <v>7308</v>
      </c>
      <c r="BC11" s="118" t="n">
        <f aca="false">Inputs!$E$7*Inputs!$E$8*1*BC9*BC10</f>
        <v>7308</v>
      </c>
      <c r="BD11" s="118" t="n">
        <f aca="false">Inputs!$E$7*Inputs!$E$8*1*BD9*BD10</f>
        <v>7308</v>
      </c>
      <c r="BE11" s="118" t="n">
        <f aca="false">Inputs!$E$7*Inputs!$E$8*1*BE9*BE10</f>
        <v>7308</v>
      </c>
      <c r="BF11" s="118" t="n">
        <f aca="false">Inputs!$E$7*Inputs!$E$8*1*BF9*BF10</f>
        <v>7308</v>
      </c>
      <c r="BG11" s="118" t="n">
        <f aca="false">Inputs!$E$7*Inputs!$E$8*1*BG9*BG10</f>
        <v>7308</v>
      </c>
      <c r="BH11" s="118" t="n">
        <f aca="false">Inputs!$E$7*Inputs!$E$8*1*BH9*BH10</f>
        <v>7308</v>
      </c>
      <c r="BI11" s="118" t="n">
        <f aca="false">Inputs!$E$7*Inputs!$E$8*1*BI9*BI10</f>
        <v>7308</v>
      </c>
      <c r="BJ11" s="118" t="n">
        <f aca="false">Inputs!$E$7*Inputs!$E$8*1*BJ9*BJ10</f>
        <v>5916</v>
      </c>
    </row>
    <row r="13" customFormat="false" ht="15.75" hidden="false" customHeight="true" outlineLevel="0" collapsed="false">
      <c r="A13" s="7" t="s">
        <v>420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customFormat="false" ht="15" hidden="false" customHeight="false" outlineLevel="0" collapsed="false">
      <c r="A14" s="6" t="s">
        <v>421</v>
      </c>
      <c r="C14" s="117" t="n">
        <f aca="false">C11*Inputs!$E$22</f>
        <v>21.2976</v>
      </c>
      <c r="D14" s="117" t="n">
        <f aca="false">D11*Inputs!$E$22</f>
        <v>24.1898666666667</v>
      </c>
      <c r="E14" s="117" t="n">
        <f aca="false">E11*Inputs!$E$22</f>
        <v>33.4544</v>
      </c>
      <c r="F14" s="117" t="n">
        <f aca="false">F11*Inputs!$E$22</f>
        <v>37.0272</v>
      </c>
      <c r="G14" s="117" t="n">
        <f aca="false">G11*Inputs!$E$22</f>
        <v>40.6</v>
      </c>
      <c r="H14" s="117" t="n">
        <f aca="false">H11*Inputs!$E$22</f>
        <v>44.1728</v>
      </c>
      <c r="I14" s="117" t="n">
        <f aca="false">I11*Inputs!$E$22</f>
        <v>47.7456</v>
      </c>
      <c r="J14" s="117" t="n">
        <f aca="false">J11*Inputs!$E$22</f>
        <v>51.3184</v>
      </c>
      <c r="K14" s="117" t="n">
        <f aca="false">K11*Inputs!$E$22</f>
        <v>54.8912</v>
      </c>
      <c r="L14" s="117" t="n">
        <f aca="false">L11*Inputs!$E$22</f>
        <v>58.464</v>
      </c>
      <c r="M14" s="117" t="n">
        <f aca="false">M11*Inputs!$E$22</f>
        <v>58.464</v>
      </c>
      <c r="N14" s="117" t="n">
        <f aca="false">N11*Inputs!$E$22</f>
        <v>47.328</v>
      </c>
      <c r="O14" s="117" t="n">
        <f aca="false">O11*Inputs!$E$22</f>
        <v>47.328</v>
      </c>
      <c r="P14" s="117" t="n">
        <f aca="false">P11*Inputs!$E$22</f>
        <v>47.328</v>
      </c>
      <c r="Q14" s="117" t="n">
        <f aca="false">Q11*Inputs!$E$22</f>
        <v>58.464</v>
      </c>
      <c r="R14" s="117" t="n">
        <f aca="false">R11*Inputs!$E$22</f>
        <v>58.464</v>
      </c>
      <c r="S14" s="117" t="n">
        <f aca="false">S11*Inputs!$E$22</f>
        <v>58.464</v>
      </c>
      <c r="T14" s="117" t="n">
        <f aca="false">T11*Inputs!$E$22</f>
        <v>58.464</v>
      </c>
      <c r="U14" s="117" t="n">
        <f aca="false">U11*Inputs!$E$22</f>
        <v>58.464</v>
      </c>
      <c r="V14" s="117" t="n">
        <f aca="false">V11*Inputs!$E$22</f>
        <v>58.464</v>
      </c>
      <c r="W14" s="117" t="n">
        <f aca="false">W11*Inputs!$E$22</f>
        <v>58.464</v>
      </c>
      <c r="X14" s="117" t="n">
        <f aca="false">X11*Inputs!$E$22</f>
        <v>58.464</v>
      </c>
      <c r="Y14" s="117" t="n">
        <f aca="false">Y11*Inputs!$E$22</f>
        <v>58.464</v>
      </c>
      <c r="Z14" s="117" t="n">
        <f aca="false">Z11*Inputs!$E$22</f>
        <v>47.328</v>
      </c>
      <c r="AA14" s="117" t="n">
        <f aca="false">AA11*Inputs!$E$22</f>
        <v>47.328</v>
      </c>
      <c r="AB14" s="117" t="n">
        <f aca="false">AB11*Inputs!$E$22</f>
        <v>47.328</v>
      </c>
      <c r="AC14" s="117" t="n">
        <f aca="false">AC11*Inputs!$E$22</f>
        <v>58.464</v>
      </c>
      <c r="AD14" s="117" t="n">
        <f aca="false">AD11*Inputs!$E$22</f>
        <v>58.464</v>
      </c>
      <c r="AE14" s="117" t="n">
        <f aca="false">AE11*Inputs!$E$22</f>
        <v>58.464</v>
      </c>
      <c r="AF14" s="117" t="n">
        <f aca="false">AF11*Inputs!$E$22</f>
        <v>58.464</v>
      </c>
      <c r="AG14" s="117" t="n">
        <f aca="false">AG11*Inputs!$E$22</f>
        <v>58.464</v>
      </c>
      <c r="AH14" s="117" t="n">
        <f aca="false">AH11*Inputs!$E$22</f>
        <v>58.464</v>
      </c>
      <c r="AI14" s="117" t="n">
        <f aca="false">AI11*Inputs!$E$22</f>
        <v>58.464</v>
      </c>
      <c r="AJ14" s="117" t="n">
        <f aca="false">AJ11*Inputs!$E$22</f>
        <v>58.464</v>
      </c>
      <c r="AK14" s="117" t="n">
        <f aca="false">AK11*Inputs!$E$22</f>
        <v>58.464</v>
      </c>
      <c r="AL14" s="117" t="n">
        <f aca="false">AL11*Inputs!$E$22</f>
        <v>47.328</v>
      </c>
      <c r="AM14" s="117" t="n">
        <f aca="false">AM11*Inputs!$E$22</f>
        <v>47.328</v>
      </c>
      <c r="AN14" s="117" t="n">
        <f aca="false">AN11*Inputs!$E$22</f>
        <v>47.328</v>
      </c>
      <c r="AO14" s="117" t="n">
        <f aca="false">AO11*Inputs!$E$22</f>
        <v>58.464</v>
      </c>
      <c r="AP14" s="117" t="n">
        <f aca="false">AP11*Inputs!$E$22</f>
        <v>58.464</v>
      </c>
      <c r="AQ14" s="117" t="n">
        <f aca="false">AQ11*Inputs!$E$22</f>
        <v>58.464</v>
      </c>
      <c r="AR14" s="117" t="n">
        <f aca="false">AR11*Inputs!$E$22</f>
        <v>58.464</v>
      </c>
      <c r="AS14" s="117" t="n">
        <f aca="false">AS11*Inputs!$E$22</f>
        <v>58.464</v>
      </c>
      <c r="AT14" s="117" t="n">
        <f aca="false">AT11*Inputs!$E$22</f>
        <v>58.464</v>
      </c>
      <c r="AU14" s="117" t="n">
        <f aca="false">AU11*Inputs!$E$22</f>
        <v>58.464</v>
      </c>
      <c r="AV14" s="117" t="n">
        <f aca="false">AV11*Inputs!$E$22</f>
        <v>58.464</v>
      </c>
      <c r="AW14" s="117" t="n">
        <f aca="false">AW11*Inputs!$E$22</f>
        <v>58.464</v>
      </c>
      <c r="AX14" s="117" t="n">
        <f aca="false">AX11*Inputs!$E$22</f>
        <v>47.328</v>
      </c>
      <c r="AY14" s="117" t="n">
        <f aca="false">AY11*Inputs!$E$22</f>
        <v>47.328</v>
      </c>
      <c r="AZ14" s="117" t="n">
        <f aca="false">AZ11*Inputs!$E$22</f>
        <v>47.328</v>
      </c>
      <c r="BA14" s="117" t="n">
        <f aca="false">BA11*Inputs!$E$22</f>
        <v>58.464</v>
      </c>
      <c r="BB14" s="117" t="n">
        <f aca="false">BB11*Inputs!$E$22</f>
        <v>58.464</v>
      </c>
      <c r="BC14" s="117" t="n">
        <f aca="false">BC11*Inputs!$E$22</f>
        <v>58.464</v>
      </c>
      <c r="BD14" s="117" t="n">
        <f aca="false">BD11*Inputs!$E$22</f>
        <v>58.464</v>
      </c>
      <c r="BE14" s="117" t="n">
        <f aca="false">BE11*Inputs!$E$22</f>
        <v>58.464</v>
      </c>
      <c r="BF14" s="117" t="n">
        <f aca="false">BF11*Inputs!$E$22</f>
        <v>58.464</v>
      </c>
      <c r="BG14" s="117" t="n">
        <f aca="false">BG11*Inputs!$E$22</f>
        <v>58.464</v>
      </c>
      <c r="BH14" s="117" t="n">
        <f aca="false">BH11*Inputs!$E$22</f>
        <v>58.464</v>
      </c>
      <c r="BI14" s="117" t="n">
        <f aca="false">BI11*Inputs!$E$22</f>
        <v>58.464</v>
      </c>
      <c r="BJ14" s="117" t="n">
        <f aca="false">BJ11*Inputs!$E$22</f>
        <v>47.328</v>
      </c>
    </row>
    <row r="15" customFormat="false" ht="15" hidden="false" customHeight="false" outlineLevel="0" collapsed="false">
      <c r="A15" s="6" t="s">
        <v>422</v>
      </c>
      <c r="C15" s="117" t="n">
        <f aca="false">Inputs!$E$20*(1+Inputs!$E$21)^(C$5-1)*1*C9</f>
        <v>22.5</v>
      </c>
      <c r="D15" s="117" t="n">
        <f aca="false">Inputs!$E$20*(1+Inputs!$E$21)^(D$5-1)*1*D9</f>
        <v>25.5555555555556</v>
      </c>
      <c r="E15" s="117" t="n">
        <f aca="false">Inputs!$E$20*(1+Inputs!$E$21)^(E$5-1)*1*E9</f>
        <v>28.6111111111111</v>
      </c>
      <c r="F15" s="117" t="n">
        <f aca="false">Inputs!$E$20*(1+Inputs!$E$21)^(F$5-1)*1*F9</f>
        <v>31.6666666666667</v>
      </c>
      <c r="G15" s="117" t="n">
        <f aca="false">Inputs!$E$20*(1+Inputs!$E$21)^(G$5-1)*1*G9</f>
        <v>34.7222222222222</v>
      </c>
      <c r="H15" s="117" t="n">
        <f aca="false">Inputs!$E$20*(1+Inputs!$E$21)^(H$5-1)*1*H9</f>
        <v>37.7777777777778</v>
      </c>
      <c r="I15" s="117" t="n">
        <f aca="false">Inputs!$E$20*(1+Inputs!$E$21)^(I$5-1)*1*I9</f>
        <v>40.8333333333333</v>
      </c>
      <c r="J15" s="117" t="n">
        <f aca="false">Inputs!$E$20*(1+Inputs!$E$21)^(J$5-1)*1*J9</f>
        <v>43.8888888888889</v>
      </c>
      <c r="K15" s="117" t="n">
        <f aca="false">Inputs!$E$20*(1+Inputs!$E$21)^(K$5-1)*1*K9</f>
        <v>46.9444444444444</v>
      </c>
      <c r="L15" s="117" t="n">
        <f aca="false">Inputs!$E$20*(1+Inputs!$E$21)^(L$5-1)*1*L9</f>
        <v>50</v>
      </c>
      <c r="M15" s="117" t="n">
        <f aca="false">Inputs!$E$20*(1+Inputs!$E$21)^(M$5-1)*1*M9</f>
        <v>50</v>
      </c>
      <c r="N15" s="117" t="n">
        <f aca="false">Inputs!$E$20*(1+Inputs!$E$21)^(N$5-1)*1*N9</f>
        <v>50</v>
      </c>
      <c r="O15" s="117" t="n">
        <f aca="false">Inputs!$E$20*(1+Inputs!$E$21)^(O$5-1)*1*O9</f>
        <v>52.5</v>
      </c>
      <c r="P15" s="117" t="n">
        <f aca="false">Inputs!$E$20*(1+Inputs!$E$21)^(P$5-1)*1*P9</f>
        <v>52.5</v>
      </c>
      <c r="Q15" s="117" t="n">
        <f aca="false">Inputs!$E$20*(1+Inputs!$E$21)^(Q$5-1)*1*Q9</f>
        <v>52.5</v>
      </c>
      <c r="R15" s="117" t="n">
        <f aca="false">Inputs!$E$20*(1+Inputs!$E$21)^(R$5-1)*1*R9</f>
        <v>52.5</v>
      </c>
      <c r="S15" s="117" t="n">
        <f aca="false">Inputs!$E$20*(1+Inputs!$E$21)^(S$5-1)*1*S9</f>
        <v>52.5</v>
      </c>
      <c r="T15" s="117" t="n">
        <f aca="false">Inputs!$E$20*(1+Inputs!$E$21)^(T$5-1)*1*T9</f>
        <v>52.5</v>
      </c>
      <c r="U15" s="117" t="n">
        <f aca="false">Inputs!$E$20*(1+Inputs!$E$21)^(U$5-1)*1*U9</f>
        <v>52.5</v>
      </c>
      <c r="V15" s="117" t="n">
        <f aca="false">Inputs!$E$20*(1+Inputs!$E$21)^(V$5-1)*1*V9</f>
        <v>52.5</v>
      </c>
      <c r="W15" s="117" t="n">
        <f aca="false">Inputs!$E$20*(1+Inputs!$E$21)^(W$5-1)*1*W9</f>
        <v>52.5</v>
      </c>
      <c r="X15" s="117" t="n">
        <f aca="false">Inputs!$E$20*(1+Inputs!$E$21)^(X$5-1)*1*X9</f>
        <v>52.5</v>
      </c>
      <c r="Y15" s="117" t="n">
        <f aca="false">Inputs!$E$20*(1+Inputs!$E$21)^(Y$5-1)*1*Y9</f>
        <v>52.5</v>
      </c>
      <c r="Z15" s="117" t="n">
        <f aca="false">Inputs!$E$20*(1+Inputs!$E$21)^(Z$5-1)*1*Z9</f>
        <v>52.5</v>
      </c>
      <c r="AA15" s="117" t="n">
        <f aca="false">Inputs!$E$20*(1+Inputs!$E$21)^(AA$5-1)*1*AA9</f>
        <v>55.125</v>
      </c>
      <c r="AB15" s="117" t="n">
        <f aca="false">Inputs!$E$20*(1+Inputs!$E$21)^(AB$5-1)*1*AB9</f>
        <v>55.125</v>
      </c>
      <c r="AC15" s="117" t="n">
        <f aca="false">Inputs!$E$20*(1+Inputs!$E$21)^(AC$5-1)*1*AC9</f>
        <v>55.125</v>
      </c>
      <c r="AD15" s="117" t="n">
        <f aca="false">Inputs!$E$20*(1+Inputs!$E$21)^(AD$5-1)*1*AD9</f>
        <v>55.125</v>
      </c>
      <c r="AE15" s="117" t="n">
        <f aca="false">Inputs!$E$20*(1+Inputs!$E$21)^(AE$5-1)*1*AE9</f>
        <v>55.125</v>
      </c>
      <c r="AF15" s="117" t="n">
        <f aca="false">Inputs!$E$20*(1+Inputs!$E$21)^(AF$5-1)*1*AF9</f>
        <v>55.125</v>
      </c>
      <c r="AG15" s="117" t="n">
        <f aca="false">Inputs!$E$20*(1+Inputs!$E$21)^(AG$5-1)*1*AG9</f>
        <v>55.125</v>
      </c>
      <c r="AH15" s="117" t="n">
        <f aca="false">Inputs!$E$20*(1+Inputs!$E$21)^(AH$5-1)*1*AH9</f>
        <v>55.125</v>
      </c>
      <c r="AI15" s="117" t="n">
        <f aca="false">Inputs!$E$20*(1+Inputs!$E$21)^(AI$5-1)*1*AI9</f>
        <v>55.125</v>
      </c>
      <c r="AJ15" s="117" t="n">
        <f aca="false">Inputs!$E$20*(1+Inputs!$E$21)^(AJ$5-1)*1*AJ9</f>
        <v>55.125</v>
      </c>
      <c r="AK15" s="117" t="n">
        <f aca="false">Inputs!$E$20*(1+Inputs!$E$21)^(AK$5-1)*1*AK9</f>
        <v>55.125</v>
      </c>
      <c r="AL15" s="117" t="n">
        <f aca="false">Inputs!$E$20*(1+Inputs!$E$21)^(AL$5-1)*1*AL9</f>
        <v>55.125</v>
      </c>
      <c r="AM15" s="117" t="n">
        <f aca="false">Inputs!$E$20*(1+Inputs!$E$21)^(AM$5-1)*1*AM9</f>
        <v>57.88125</v>
      </c>
      <c r="AN15" s="117" t="n">
        <f aca="false">Inputs!$E$20*(1+Inputs!$E$21)^(AN$5-1)*1*AN9</f>
        <v>57.88125</v>
      </c>
      <c r="AO15" s="117" t="n">
        <f aca="false">Inputs!$E$20*(1+Inputs!$E$21)^(AO$5-1)*1*AO9</f>
        <v>57.88125</v>
      </c>
      <c r="AP15" s="117" t="n">
        <f aca="false">Inputs!$E$20*(1+Inputs!$E$21)^(AP$5-1)*1*AP9</f>
        <v>57.88125</v>
      </c>
      <c r="AQ15" s="117" t="n">
        <f aca="false">Inputs!$E$20*(1+Inputs!$E$21)^(AQ$5-1)*1*AQ9</f>
        <v>57.88125</v>
      </c>
      <c r="AR15" s="117" t="n">
        <f aca="false">Inputs!$E$20*(1+Inputs!$E$21)^(AR$5-1)*1*AR9</f>
        <v>57.88125</v>
      </c>
      <c r="AS15" s="117" t="n">
        <f aca="false">Inputs!$E$20*(1+Inputs!$E$21)^(AS$5-1)*1*AS9</f>
        <v>57.88125</v>
      </c>
      <c r="AT15" s="117" t="n">
        <f aca="false">Inputs!$E$20*(1+Inputs!$E$21)^(AT$5-1)*1*AT9</f>
        <v>57.88125</v>
      </c>
      <c r="AU15" s="117" t="n">
        <f aca="false">Inputs!$E$20*(1+Inputs!$E$21)^(AU$5-1)*1*AU9</f>
        <v>57.88125</v>
      </c>
      <c r="AV15" s="117" t="n">
        <f aca="false">Inputs!$E$20*(1+Inputs!$E$21)^(AV$5-1)*1*AV9</f>
        <v>57.88125</v>
      </c>
      <c r="AW15" s="117" t="n">
        <f aca="false">Inputs!$E$20*(1+Inputs!$E$21)^(AW$5-1)*1*AW9</f>
        <v>57.88125</v>
      </c>
      <c r="AX15" s="117" t="n">
        <f aca="false">Inputs!$E$20*(1+Inputs!$E$21)^(AX$5-1)*1*AX9</f>
        <v>57.88125</v>
      </c>
      <c r="AY15" s="117" t="n">
        <f aca="false">Inputs!$E$20*(1+Inputs!$E$21)^(AY$5-1)*1*AY9</f>
        <v>60.7753125</v>
      </c>
      <c r="AZ15" s="117" t="n">
        <f aca="false">Inputs!$E$20*(1+Inputs!$E$21)^(AZ$5-1)*1*AZ9</f>
        <v>60.7753125</v>
      </c>
      <c r="BA15" s="117" t="n">
        <f aca="false">Inputs!$E$20*(1+Inputs!$E$21)^(BA$5-1)*1*BA9</f>
        <v>60.7753125</v>
      </c>
      <c r="BB15" s="117" t="n">
        <f aca="false">Inputs!$E$20*(1+Inputs!$E$21)^(BB$5-1)*1*BB9</f>
        <v>60.7753125</v>
      </c>
      <c r="BC15" s="117" t="n">
        <f aca="false">Inputs!$E$20*(1+Inputs!$E$21)^(BC$5-1)*1*BC9</f>
        <v>60.7753125</v>
      </c>
      <c r="BD15" s="117" t="n">
        <f aca="false">Inputs!$E$20*(1+Inputs!$E$21)^(BD$5-1)*1*BD9</f>
        <v>60.7753125</v>
      </c>
      <c r="BE15" s="117" t="n">
        <f aca="false">Inputs!$E$20*(1+Inputs!$E$21)^(BE$5-1)*1*BE9</f>
        <v>60.7753125</v>
      </c>
      <c r="BF15" s="117" t="n">
        <f aca="false">Inputs!$E$20*(1+Inputs!$E$21)^(BF$5-1)*1*BF9</f>
        <v>60.7753125</v>
      </c>
      <c r="BG15" s="117" t="n">
        <f aca="false">Inputs!$E$20*(1+Inputs!$E$21)^(BG$5-1)*1*BG9</f>
        <v>60.7753125</v>
      </c>
      <c r="BH15" s="117" t="n">
        <f aca="false">Inputs!$E$20*(1+Inputs!$E$21)^(BH$5-1)*1*BH9</f>
        <v>60.7753125</v>
      </c>
      <c r="BI15" s="117" t="n">
        <f aca="false">Inputs!$E$20*(1+Inputs!$E$21)^(BI$5-1)*1*BI9</f>
        <v>60.7753125</v>
      </c>
      <c r="BJ15" s="117" t="n">
        <f aca="false">Inputs!$E$20*(1+Inputs!$E$21)^(BJ$5-1)*1*BJ9</f>
        <v>60.7753125</v>
      </c>
    </row>
    <row r="16" customFormat="false" ht="15" hidden="false" customHeight="false" outlineLevel="0" collapsed="false">
      <c r="A16" s="4" t="s">
        <v>423</v>
      </c>
      <c r="C16" s="119" t="n">
        <f aca="false">C14+C15</f>
        <v>43.7976</v>
      </c>
      <c r="D16" s="119" t="n">
        <f aca="false">D14+D15</f>
        <v>49.7454222222222</v>
      </c>
      <c r="E16" s="119" t="n">
        <f aca="false">E14+E15</f>
        <v>62.0655111111111</v>
      </c>
      <c r="F16" s="119" t="n">
        <f aca="false">F14+F15</f>
        <v>68.6938666666667</v>
      </c>
      <c r="G16" s="119" t="n">
        <f aca="false">G14+G15</f>
        <v>75.3222222222222</v>
      </c>
      <c r="H16" s="119" t="n">
        <f aca="false">H14+H15</f>
        <v>81.9505777777778</v>
      </c>
      <c r="I16" s="119" t="n">
        <f aca="false">I14+I15</f>
        <v>88.5789333333333</v>
      </c>
      <c r="J16" s="119" t="n">
        <f aca="false">J14+J15</f>
        <v>95.2072888888889</v>
      </c>
      <c r="K16" s="119" t="n">
        <f aca="false">K14+K15</f>
        <v>101.835644444444</v>
      </c>
      <c r="L16" s="119" t="n">
        <f aca="false">L14+L15</f>
        <v>108.464</v>
      </c>
      <c r="M16" s="119" t="n">
        <f aca="false">M14+M15</f>
        <v>108.464</v>
      </c>
      <c r="N16" s="119" t="n">
        <f aca="false">N14+N15</f>
        <v>97.328</v>
      </c>
      <c r="O16" s="119" t="n">
        <f aca="false">O14+O15</f>
        <v>99.828</v>
      </c>
      <c r="P16" s="119" t="n">
        <f aca="false">P14+P15</f>
        <v>99.828</v>
      </c>
      <c r="Q16" s="119" t="n">
        <f aca="false">Q14+Q15</f>
        <v>110.964</v>
      </c>
      <c r="R16" s="119" t="n">
        <f aca="false">R14+R15</f>
        <v>110.964</v>
      </c>
      <c r="S16" s="119" t="n">
        <f aca="false">S14+S15</f>
        <v>110.964</v>
      </c>
      <c r="T16" s="119" t="n">
        <f aca="false">T14+T15</f>
        <v>110.964</v>
      </c>
      <c r="U16" s="119" t="n">
        <f aca="false">U14+U15</f>
        <v>110.964</v>
      </c>
      <c r="V16" s="119" t="n">
        <f aca="false">V14+V15</f>
        <v>110.964</v>
      </c>
      <c r="W16" s="119" t="n">
        <f aca="false">W14+W15</f>
        <v>110.964</v>
      </c>
      <c r="X16" s="119" t="n">
        <f aca="false">X14+X15</f>
        <v>110.964</v>
      </c>
      <c r="Y16" s="119" t="n">
        <f aca="false">Y14+Y15</f>
        <v>110.964</v>
      </c>
      <c r="Z16" s="119" t="n">
        <f aca="false">Z14+Z15</f>
        <v>99.828</v>
      </c>
      <c r="AA16" s="119" t="n">
        <f aca="false">AA14+AA15</f>
        <v>102.453</v>
      </c>
      <c r="AB16" s="119" t="n">
        <f aca="false">AB14+AB15</f>
        <v>102.453</v>
      </c>
      <c r="AC16" s="119" t="n">
        <f aca="false">AC14+AC15</f>
        <v>113.589</v>
      </c>
      <c r="AD16" s="119" t="n">
        <f aca="false">AD14+AD15</f>
        <v>113.589</v>
      </c>
      <c r="AE16" s="119" t="n">
        <f aca="false">AE14+AE15</f>
        <v>113.589</v>
      </c>
      <c r="AF16" s="119" t="n">
        <f aca="false">AF14+AF15</f>
        <v>113.589</v>
      </c>
      <c r="AG16" s="119" t="n">
        <f aca="false">AG14+AG15</f>
        <v>113.589</v>
      </c>
      <c r="AH16" s="119" t="n">
        <f aca="false">AH14+AH15</f>
        <v>113.589</v>
      </c>
      <c r="AI16" s="119" t="n">
        <f aca="false">AI14+AI15</f>
        <v>113.589</v>
      </c>
      <c r="AJ16" s="119" t="n">
        <f aca="false">AJ14+AJ15</f>
        <v>113.589</v>
      </c>
      <c r="AK16" s="119" t="n">
        <f aca="false">AK14+AK15</f>
        <v>113.589</v>
      </c>
      <c r="AL16" s="119" t="n">
        <f aca="false">AL14+AL15</f>
        <v>102.453</v>
      </c>
      <c r="AM16" s="119" t="n">
        <f aca="false">AM14+AM15</f>
        <v>105.20925</v>
      </c>
      <c r="AN16" s="119" t="n">
        <f aca="false">AN14+AN15</f>
        <v>105.20925</v>
      </c>
      <c r="AO16" s="119" t="n">
        <f aca="false">AO14+AO15</f>
        <v>116.34525</v>
      </c>
      <c r="AP16" s="119" t="n">
        <f aca="false">AP14+AP15</f>
        <v>116.34525</v>
      </c>
      <c r="AQ16" s="119" t="n">
        <f aca="false">AQ14+AQ15</f>
        <v>116.34525</v>
      </c>
      <c r="AR16" s="119" t="n">
        <f aca="false">AR14+AR15</f>
        <v>116.34525</v>
      </c>
      <c r="AS16" s="119" t="n">
        <f aca="false">AS14+AS15</f>
        <v>116.34525</v>
      </c>
      <c r="AT16" s="119" t="n">
        <f aca="false">AT14+AT15</f>
        <v>116.34525</v>
      </c>
      <c r="AU16" s="119" t="n">
        <f aca="false">AU14+AU15</f>
        <v>116.34525</v>
      </c>
      <c r="AV16" s="119" t="n">
        <f aca="false">AV14+AV15</f>
        <v>116.34525</v>
      </c>
      <c r="AW16" s="119" t="n">
        <f aca="false">AW14+AW15</f>
        <v>116.34525</v>
      </c>
      <c r="AX16" s="119" t="n">
        <f aca="false">AX14+AX15</f>
        <v>105.20925</v>
      </c>
      <c r="AY16" s="119" t="n">
        <f aca="false">AY14+AY15</f>
        <v>108.1033125</v>
      </c>
      <c r="AZ16" s="119" t="n">
        <f aca="false">AZ14+AZ15</f>
        <v>108.1033125</v>
      </c>
      <c r="BA16" s="119" t="n">
        <f aca="false">BA14+BA15</f>
        <v>119.2393125</v>
      </c>
      <c r="BB16" s="119" t="n">
        <f aca="false">BB14+BB15</f>
        <v>119.2393125</v>
      </c>
      <c r="BC16" s="119" t="n">
        <f aca="false">BC14+BC15</f>
        <v>119.2393125</v>
      </c>
      <c r="BD16" s="119" t="n">
        <f aca="false">BD14+BD15</f>
        <v>119.2393125</v>
      </c>
      <c r="BE16" s="119" t="n">
        <f aca="false">BE14+BE15</f>
        <v>119.2393125</v>
      </c>
      <c r="BF16" s="119" t="n">
        <f aca="false">BF14+BF15</f>
        <v>119.2393125</v>
      </c>
      <c r="BG16" s="119" t="n">
        <f aca="false">BG14+BG15</f>
        <v>119.2393125</v>
      </c>
      <c r="BH16" s="119" t="n">
        <f aca="false">BH14+BH15</f>
        <v>119.2393125</v>
      </c>
      <c r="BI16" s="119" t="n">
        <f aca="false">BI14+BI15</f>
        <v>119.2393125</v>
      </c>
      <c r="BJ16" s="119" t="n">
        <f aca="false">BJ14+BJ15</f>
        <v>108.1033125</v>
      </c>
    </row>
    <row r="17" customFormat="false" ht="15" hidden="false" customHeight="false" outlineLevel="0" collapsed="false">
      <c r="A17" s="6" t="s">
        <v>424</v>
      </c>
      <c r="C17" s="120" t="n">
        <f aca="false">Inputs!$E$19</f>
        <v>250</v>
      </c>
      <c r="D17" s="117" t="n">
        <f aca="false">C19</f>
        <v>283.7976</v>
      </c>
      <c r="E17" s="117" t="n">
        <f aca="false">D19</f>
        <v>322.191118222222</v>
      </c>
      <c r="F17" s="117" t="n">
        <f aca="false">E19</f>
        <v>371.368984604444</v>
      </c>
      <c r="G17" s="117" t="n">
        <f aca="false">F19</f>
        <v>425.208091886933</v>
      </c>
      <c r="H17" s="117" t="n">
        <f aca="false">G19</f>
        <v>483.521990433678</v>
      </c>
      <c r="I17" s="117" t="n">
        <f aca="false">H19</f>
        <v>546.131688594109</v>
      </c>
      <c r="J17" s="117" t="n">
        <f aca="false">I19</f>
        <v>612.865354383678</v>
      </c>
      <c r="K17" s="117" t="n">
        <f aca="false">J19</f>
        <v>683.55802909722</v>
      </c>
      <c r="L17" s="117" t="n">
        <f aca="false">K19</f>
        <v>758.051352377775</v>
      </c>
      <c r="M17" s="117" t="n">
        <f aca="false">L19</f>
        <v>836.193298282664</v>
      </c>
      <c r="N17" s="117" t="n">
        <f aca="false">M19</f>
        <v>911.209566351358</v>
      </c>
      <c r="O17" s="117" t="n">
        <f aca="false">N19</f>
        <v>972.089183697303</v>
      </c>
      <c r="P17" s="117" t="n">
        <f aca="false">O19</f>
        <v>1033.03361634941</v>
      </c>
      <c r="Q17" s="117" t="n">
        <f aca="false">P19</f>
        <v>1091.54027169543</v>
      </c>
      <c r="R17" s="117" t="n">
        <f aca="false">Q19</f>
        <v>1158.84266082762</v>
      </c>
      <c r="S17" s="117" t="n">
        <f aca="false">R19</f>
        <v>1223.45295439451</v>
      </c>
      <c r="T17" s="117" t="n">
        <f aca="false">S19</f>
        <v>1285.47883621873</v>
      </c>
      <c r="U17" s="117" t="n">
        <f aca="false">T19</f>
        <v>1345.02368276998</v>
      </c>
      <c r="V17" s="117" t="n">
        <f aca="false">U19</f>
        <v>1402.18673545918</v>
      </c>
      <c r="W17" s="117" t="n">
        <f aca="false">V19</f>
        <v>1457.06326604082</v>
      </c>
      <c r="X17" s="117" t="n">
        <f aca="false">W19</f>
        <v>1509.74473539918</v>
      </c>
      <c r="Y17" s="117" t="n">
        <f aca="false">X19</f>
        <v>1560.31894598322</v>
      </c>
      <c r="Z17" s="117" t="n">
        <f aca="false">Y19</f>
        <v>1608.87018814389</v>
      </c>
      <c r="AA17" s="117" t="n">
        <f aca="false">Z19</f>
        <v>1644.34338061813</v>
      </c>
      <c r="AB17" s="117" t="n">
        <f aca="false">AA19</f>
        <v>1681.02264539341</v>
      </c>
      <c r="AC17" s="117" t="n">
        <f aca="false">AB19</f>
        <v>1716.23473957767</v>
      </c>
      <c r="AD17" s="117" t="n">
        <f aca="false">AC19</f>
        <v>1761.17434999456</v>
      </c>
      <c r="AE17" s="117" t="n">
        <f aca="false">AD19</f>
        <v>1804.31637599478</v>
      </c>
      <c r="AF17" s="117" t="n">
        <f aca="false">AE19</f>
        <v>1845.73272095499</v>
      </c>
      <c r="AG17" s="117" t="n">
        <f aca="false">AF19</f>
        <v>1885.49241211679</v>
      </c>
      <c r="AH17" s="117" t="n">
        <f aca="false">AG19</f>
        <v>1923.66171563212</v>
      </c>
      <c r="AI17" s="117" t="n">
        <f aca="false">AH19</f>
        <v>1960.30424700683</v>
      </c>
      <c r="AJ17" s="117" t="n">
        <f aca="false">AI19</f>
        <v>1995.48107712656</v>
      </c>
      <c r="AK17" s="117" t="n">
        <f aca="false">AJ19</f>
        <v>2029.2508340415</v>
      </c>
      <c r="AL17" s="117" t="n">
        <f aca="false">AK19</f>
        <v>2061.66980067984</v>
      </c>
      <c r="AM17" s="117" t="n">
        <f aca="false">AL19</f>
        <v>2081.65600865264</v>
      </c>
      <c r="AN17" s="117" t="n">
        <f aca="false">AM19</f>
        <v>2103.59901830654</v>
      </c>
      <c r="AO17" s="117" t="n">
        <f aca="false">AN19</f>
        <v>2124.66430757428</v>
      </c>
      <c r="AP17" s="117" t="n">
        <f aca="false">AO19</f>
        <v>2156.0229852713</v>
      </c>
      <c r="AQ17" s="117" t="n">
        <f aca="false">AP19</f>
        <v>2186.12731586045</v>
      </c>
      <c r="AR17" s="117" t="n">
        <f aca="false">AQ19</f>
        <v>2215.02747322603</v>
      </c>
      <c r="AS17" s="117" t="n">
        <f aca="false">AR19</f>
        <v>2242.77162429699</v>
      </c>
      <c r="AT17" s="117" t="n">
        <f aca="false">AS19</f>
        <v>2269.40600932511</v>
      </c>
      <c r="AU17" s="117" t="n">
        <f aca="false">AT19</f>
        <v>2294.97501895211</v>
      </c>
      <c r="AV17" s="117" t="n">
        <f aca="false">AU19</f>
        <v>2319.52126819402</v>
      </c>
      <c r="AW17" s="117" t="n">
        <f aca="false">AV19</f>
        <v>2343.08566746626</v>
      </c>
      <c r="AX17" s="117" t="n">
        <f aca="false">AW19</f>
        <v>2365.70749076761</v>
      </c>
      <c r="AY17" s="117" t="n">
        <f aca="false">AX19</f>
        <v>2376.28844113691</v>
      </c>
      <c r="AZ17" s="117" t="n">
        <f aca="false">AY19</f>
        <v>2389.34021599143</v>
      </c>
      <c r="BA17" s="117" t="n">
        <f aca="false">AZ19</f>
        <v>2401.86991985177</v>
      </c>
      <c r="BB17" s="117" t="n">
        <f aca="false">BA19</f>
        <v>2425.0344355577</v>
      </c>
      <c r="BC17" s="117" t="n">
        <f aca="false">BB19</f>
        <v>2447.27237063539</v>
      </c>
      <c r="BD17" s="117" t="n">
        <f aca="false">BC19</f>
        <v>2468.62078830998</v>
      </c>
      <c r="BE17" s="117" t="n">
        <f aca="false">BD19</f>
        <v>2489.11526927758</v>
      </c>
      <c r="BF17" s="117" t="n">
        <f aca="false">BE19</f>
        <v>2508.78997100648</v>
      </c>
      <c r="BG17" s="117" t="n">
        <f aca="false">BF19</f>
        <v>2527.67768466622</v>
      </c>
      <c r="BH17" s="117" t="n">
        <f aca="false">BG19</f>
        <v>2545.80988977957</v>
      </c>
      <c r="BI17" s="117" t="n">
        <f aca="false">BH19</f>
        <v>2563.21680668838</v>
      </c>
      <c r="BJ17" s="117" t="n">
        <f aca="false">BI19</f>
        <v>2579.92744692085</v>
      </c>
    </row>
    <row r="18" customFormat="false" ht="15" hidden="false" customHeight="false" outlineLevel="0" collapsed="false">
      <c r="A18" s="6" t="s">
        <v>425</v>
      </c>
      <c r="C18" s="117" t="n">
        <f aca="false">C19-C17-C16</f>
        <v>-10</v>
      </c>
      <c r="D18" s="117" t="n">
        <f aca="false">D19-D17-D16</f>
        <v>-11.351904</v>
      </c>
      <c r="E18" s="117" t="n">
        <f aca="false">E19-E17-E16</f>
        <v>-12.8876447288889</v>
      </c>
      <c r="F18" s="117" t="n">
        <f aca="false">F19-F17-F16</f>
        <v>-14.8547593841778</v>
      </c>
      <c r="G18" s="117" t="n">
        <f aca="false">G19-G17-G16</f>
        <v>-17.0083236754773</v>
      </c>
      <c r="H18" s="117" t="n">
        <f aca="false">H19-H17-H16</f>
        <v>-19.3408796173471</v>
      </c>
      <c r="I18" s="117" t="n">
        <f aca="false">I19-I17-I16</f>
        <v>-21.8452675437644</v>
      </c>
      <c r="J18" s="117" t="n">
        <f aca="false">J19-J17-J16</f>
        <v>-24.5146141753471</v>
      </c>
      <c r="K18" s="117" t="n">
        <f aca="false">K19-K17-K16</f>
        <v>-27.3423211638887</v>
      </c>
      <c r="L18" s="117" t="n">
        <f aca="false">L19-L17-L16</f>
        <v>-30.322054095111</v>
      </c>
      <c r="M18" s="117" t="n">
        <f aca="false">M19-M17-M16</f>
        <v>-33.4477319313067</v>
      </c>
      <c r="N18" s="117" t="n">
        <f aca="false">N19-N17-N16</f>
        <v>-36.4483826540543</v>
      </c>
      <c r="O18" s="117" t="n">
        <f aca="false">O19-O17-O16</f>
        <v>-38.8835673478921</v>
      </c>
      <c r="P18" s="117" t="n">
        <f aca="false">P19-P17-P16</f>
        <v>-41.3213446539765</v>
      </c>
      <c r="Q18" s="117" t="n">
        <f aca="false">Q19-Q17-Q16</f>
        <v>-43.6616108678175</v>
      </c>
      <c r="R18" s="117" t="n">
        <f aca="false">R19-R17-R16</f>
        <v>-46.3537064331047</v>
      </c>
      <c r="S18" s="117" t="n">
        <f aca="false">S19-S17-S16</f>
        <v>-48.9381181757806</v>
      </c>
      <c r="T18" s="117" t="n">
        <f aca="false">T19-T17-T16</f>
        <v>-51.4191534487493</v>
      </c>
      <c r="U18" s="117" t="n">
        <f aca="false">U19-U17-U16</f>
        <v>-53.8009473107994</v>
      </c>
      <c r="V18" s="117" t="n">
        <f aca="false">V19-V17-V16</f>
        <v>-56.0874694183675</v>
      </c>
      <c r="W18" s="117" t="n">
        <f aca="false">W19-W17-W16</f>
        <v>-58.2825306416328</v>
      </c>
      <c r="X18" s="117" t="n">
        <f aca="false">X19-X17-X16</f>
        <v>-60.3897894159675</v>
      </c>
      <c r="Y18" s="117" t="n">
        <f aca="false">Y19-Y17-Y16</f>
        <v>-62.4127578393287</v>
      </c>
      <c r="Z18" s="117" t="n">
        <f aca="false">Z19-Z17-Z16</f>
        <v>-64.3548075257557</v>
      </c>
      <c r="AA18" s="117" t="n">
        <f aca="false">AA19-AA17-AA16</f>
        <v>-65.7737352247252</v>
      </c>
      <c r="AB18" s="117" t="n">
        <f aca="false">AB19-AB17-AB16</f>
        <v>-67.2409058157364</v>
      </c>
      <c r="AC18" s="117" t="n">
        <f aca="false">AC19-AC17-AC16</f>
        <v>-68.6493895831068</v>
      </c>
      <c r="AD18" s="117" t="n">
        <f aca="false">AD19-AD17-AD16</f>
        <v>-70.4469739997826</v>
      </c>
      <c r="AE18" s="117" t="n">
        <f aca="false">AE19-AE17-AE16</f>
        <v>-72.1726550397912</v>
      </c>
      <c r="AF18" s="117" t="n">
        <f aca="false">AF19-AF17-AF16</f>
        <v>-73.8293088381998</v>
      </c>
      <c r="AG18" s="117" t="n">
        <f aca="false">AG19-AG17-AG16</f>
        <v>-75.4196964846718</v>
      </c>
      <c r="AH18" s="117" t="n">
        <f aca="false">AH19-AH17-AH16</f>
        <v>-76.9464686252848</v>
      </c>
      <c r="AI18" s="117" t="n">
        <f aca="false">AI19-AI17-AI16</f>
        <v>-78.4121698802733</v>
      </c>
      <c r="AJ18" s="117" t="n">
        <f aca="false">AJ19-AJ17-AJ16</f>
        <v>-79.8192430850625</v>
      </c>
      <c r="AK18" s="117" t="n">
        <f aca="false">AK19-AK17-AK16</f>
        <v>-81.1700333616601</v>
      </c>
      <c r="AL18" s="117" t="n">
        <f aca="false">AL19-AL17-AL16</f>
        <v>-82.4667920271936</v>
      </c>
      <c r="AM18" s="117" t="n">
        <f aca="false">AM19-AM17-AM16</f>
        <v>-83.266240346106</v>
      </c>
      <c r="AN18" s="117" t="n">
        <f aca="false">AN19-AN17-AN16</f>
        <v>-84.1439607322615</v>
      </c>
      <c r="AO18" s="117" t="n">
        <f aca="false">AO19-AO17-AO16</f>
        <v>-84.9865723029713</v>
      </c>
      <c r="AP18" s="117" t="n">
        <f aca="false">AP19-AP17-AP16</f>
        <v>-86.2409194108524</v>
      </c>
      <c r="AQ18" s="117" t="n">
        <f aca="false">AQ19-AQ17-AQ16</f>
        <v>-87.4450926344181</v>
      </c>
      <c r="AR18" s="117" t="n">
        <f aca="false">AR19-AR17-AR16</f>
        <v>-88.6010989290414</v>
      </c>
      <c r="AS18" s="117" t="n">
        <f aca="false">AS19-AS17-AS16</f>
        <v>-89.71086497188</v>
      </c>
      <c r="AT18" s="117" t="n">
        <f aca="false">AT19-AT17-AT16</f>
        <v>-90.7762403730045</v>
      </c>
      <c r="AU18" s="117" t="n">
        <f aca="false">AU19-AU17-AU16</f>
        <v>-91.7990007580844</v>
      </c>
      <c r="AV18" s="117" t="n">
        <f aca="false">AV19-AV17-AV16</f>
        <v>-92.7808507277611</v>
      </c>
      <c r="AW18" s="117" t="n">
        <f aca="false">AW19-AW17-AW16</f>
        <v>-93.7234266986508</v>
      </c>
      <c r="AX18" s="117" t="n">
        <f aca="false">AX19-AX17-AX16</f>
        <v>-94.6282996307047</v>
      </c>
      <c r="AY18" s="117" t="n">
        <f aca="false">AY19-AY17-AY16</f>
        <v>-95.0515376454765</v>
      </c>
      <c r="AZ18" s="117" t="n">
        <f aca="false">AZ19-AZ17-AZ16</f>
        <v>-95.5736086396574</v>
      </c>
      <c r="BA18" s="117" t="n">
        <f aca="false">BA19-BA17-BA16</f>
        <v>-96.0747967940712</v>
      </c>
      <c r="BB18" s="117" t="n">
        <f aca="false">BB19-BB17-BB16</f>
        <v>-97.0013774223081</v>
      </c>
      <c r="BC18" s="117" t="n">
        <f aca="false">BC19-BC17-BC16</f>
        <v>-97.8908948254158</v>
      </c>
      <c r="BD18" s="117" t="n">
        <f aca="false">BD19-BD17-BD16</f>
        <v>-98.7448315323992</v>
      </c>
      <c r="BE18" s="117" t="n">
        <f aca="false">BE19-BE17-BE16</f>
        <v>-99.5646107711033</v>
      </c>
      <c r="BF18" s="117" t="n">
        <f aca="false">BF19-BF17-BF16</f>
        <v>-100.351598840259</v>
      </c>
      <c r="BG18" s="117" t="n">
        <f aca="false">BG19-BG17-BG16</f>
        <v>-101.107107386649</v>
      </c>
      <c r="BH18" s="117" t="n">
        <f aca="false">BH19-BH17-BH16</f>
        <v>-101.832395591183</v>
      </c>
      <c r="BI18" s="117" t="n">
        <f aca="false">BI19-BI17-BI16</f>
        <v>-102.528672267536</v>
      </c>
      <c r="BJ18" s="117" t="n">
        <f aca="false">BJ19-BJ17-BJ16</f>
        <v>-103.197097876834</v>
      </c>
    </row>
    <row r="19" customFormat="false" ht="15" hidden="false" customHeight="false" outlineLevel="0" collapsed="false">
      <c r="A19" s="4" t="s">
        <v>426</v>
      </c>
      <c r="C19" s="119" t="n">
        <f aca="false">C17*(1-Inputs!$E$23)+C16</f>
        <v>283.7976</v>
      </c>
      <c r="D19" s="119" t="n">
        <f aca="false">D17*(1-Inputs!$E$23)+D16</f>
        <v>322.191118222222</v>
      </c>
      <c r="E19" s="119" t="n">
        <f aca="false">E17*(1-Inputs!$E$23)+E16</f>
        <v>371.368984604444</v>
      </c>
      <c r="F19" s="119" t="n">
        <f aca="false">F17*(1-Inputs!$E$23)+F16</f>
        <v>425.208091886933</v>
      </c>
      <c r="G19" s="119" t="n">
        <f aca="false">G17*(1-Inputs!$E$23)+G16</f>
        <v>483.521990433678</v>
      </c>
      <c r="H19" s="119" t="n">
        <f aca="false">H17*(1-Inputs!$E$23)+H16</f>
        <v>546.131688594109</v>
      </c>
      <c r="I19" s="119" t="n">
        <f aca="false">I17*(1-Inputs!$E$23)+I16</f>
        <v>612.865354383678</v>
      </c>
      <c r="J19" s="119" t="n">
        <f aca="false">J17*(1-Inputs!$E$23)+J16</f>
        <v>683.55802909722</v>
      </c>
      <c r="K19" s="119" t="n">
        <f aca="false">K17*(1-Inputs!$E$23)+K16</f>
        <v>758.051352377775</v>
      </c>
      <c r="L19" s="119" t="n">
        <f aca="false">L17*(1-Inputs!$E$23)+L16</f>
        <v>836.193298282664</v>
      </c>
      <c r="M19" s="119" t="n">
        <f aca="false">M17*(1-Inputs!$E$23)+M16</f>
        <v>911.209566351358</v>
      </c>
      <c r="N19" s="119" t="n">
        <f aca="false">N17*(1-Inputs!$E$23)+N16</f>
        <v>972.089183697303</v>
      </c>
      <c r="O19" s="119" t="n">
        <f aca="false">O17*(1-Inputs!$E$23)+O16</f>
        <v>1033.03361634941</v>
      </c>
      <c r="P19" s="119" t="n">
        <f aca="false">P17*(1-Inputs!$E$23)+P16</f>
        <v>1091.54027169543</v>
      </c>
      <c r="Q19" s="119" t="n">
        <f aca="false">Q17*(1-Inputs!$E$23)+Q16</f>
        <v>1158.84266082762</v>
      </c>
      <c r="R19" s="119" t="n">
        <f aca="false">R17*(1-Inputs!$E$23)+R16</f>
        <v>1223.45295439451</v>
      </c>
      <c r="S19" s="119" t="n">
        <f aca="false">S17*(1-Inputs!$E$23)+S16</f>
        <v>1285.47883621873</v>
      </c>
      <c r="T19" s="119" t="n">
        <f aca="false">T17*(1-Inputs!$E$23)+T16</f>
        <v>1345.02368276998</v>
      </c>
      <c r="U19" s="119" t="n">
        <f aca="false">U17*(1-Inputs!$E$23)+U16</f>
        <v>1402.18673545918</v>
      </c>
      <c r="V19" s="119" t="n">
        <f aca="false">V17*(1-Inputs!$E$23)+V16</f>
        <v>1457.06326604082</v>
      </c>
      <c r="W19" s="119" t="n">
        <f aca="false">W17*(1-Inputs!$E$23)+W16</f>
        <v>1509.74473539918</v>
      </c>
      <c r="X19" s="119" t="n">
        <f aca="false">X17*(1-Inputs!$E$23)+X16</f>
        <v>1560.31894598322</v>
      </c>
      <c r="Y19" s="119" t="n">
        <f aca="false">Y17*(1-Inputs!$E$23)+Y16</f>
        <v>1608.87018814389</v>
      </c>
      <c r="Z19" s="119" t="n">
        <f aca="false">Z17*(1-Inputs!$E$23)+Z16</f>
        <v>1644.34338061813</v>
      </c>
      <c r="AA19" s="119" t="n">
        <f aca="false">AA17*(1-Inputs!$E$23)+AA16</f>
        <v>1681.02264539341</v>
      </c>
      <c r="AB19" s="119" t="n">
        <f aca="false">AB17*(1-Inputs!$E$23)+AB16</f>
        <v>1716.23473957767</v>
      </c>
      <c r="AC19" s="119" t="n">
        <f aca="false">AC17*(1-Inputs!$E$23)+AC16</f>
        <v>1761.17434999456</v>
      </c>
      <c r="AD19" s="119" t="n">
        <f aca="false">AD17*(1-Inputs!$E$23)+AD16</f>
        <v>1804.31637599478</v>
      </c>
      <c r="AE19" s="119" t="n">
        <f aca="false">AE17*(1-Inputs!$E$23)+AE16</f>
        <v>1845.73272095499</v>
      </c>
      <c r="AF19" s="119" t="n">
        <f aca="false">AF17*(1-Inputs!$E$23)+AF16</f>
        <v>1885.49241211679</v>
      </c>
      <c r="AG19" s="119" t="n">
        <f aca="false">AG17*(1-Inputs!$E$23)+AG16</f>
        <v>1923.66171563212</v>
      </c>
      <c r="AH19" s="119" t="n">
        <f aca="false">AH17*(1-Inputs!$E$23)+AH16</f>
        <v>1960.30424700683</v>
      </c>
      <c r="AI19" s="119" t="n">
        <f aca="false">AI17*(1-Inputs!$E$23)+AI16</f>
        <v>1995.48107712656</v>
      </c>
      <c r="AJ19" s="119" t="n">
        <f aca="false">AJ17*(1-Inputs!$E$23)+AJ16</f>
        <v>2029.2508340415</v>
      </c>
      <c r="AK19" s="119" t="n">
        <f aca="false">AK17*(1-Inputs!$E$23)+AK16</f>
        <v>2061.66980067984</v>
      </c>
      <c r="AL19" s="119" t="n">
        <f aca="false">AL17*(1-Inputs!$E$23)+AL16</f>
        <v>2081.65600865264</v>
      </c>
      <c r="AM19" s="119" t="n">
        <f aca="false">AM17*(1-Inputs!$E$23)+AM16</f>
        <v>2103.59901830654</v>
      </c>
      <c r="AN19" s="119" t="n">
        <f aca="false">AN17*(1-Inputs!$E$23)+AN16</f>
        <v>2124.66430757428</v>
      </c>
      <c r="AO19" s="119" t="n">
        <f aca="false">AO17*(1-Inputs!$E$23)+AO16</f>
        <v>2156.0229852713</v>
      </c>
      <c r="AP19" s="119" t="n">
        <f aca="false">AP17*(1-Inputs!$E$23)+AP16</f>
        <v>2186.12731586045</v>
      </c>
      <c r="AQ19" s="119" t="n">
        <f aca="false">AQ17*(1-Inputs!$E$23)+AQ16</f>
        <v>2215.02747322603</v>
      </c>
      <c r="AR19" s="119" t="n">
        <f aca="false">AR17*(1-Inputs!$E$23)+AR16</f>
        <v>2242.77162429699</v>
      </c>
      <c r="AS19" s="119" t="n">
        <f aca="false">AS17*(1-Inputs!$E$23)+AS16</f>
        <v>2269.40600932511</v>
      </c>
      <c r="AT19" s="119" t="n">
        <f aca="false">AT17*(1-Inputs!$E$23)+AT16</f>
        <v>2294.97501895211</v>
      </c>
      <c r="AU19" s="119" t="n">
        <f aca="false">AU17*(1-Inputs!$E$23)+AU16</f>
        <v>2319.52126819402</v>
      </c>
      <c r="AV19" s="119" t="n">
        <f aca="false">AV17*(1-Inputs!$E$23)+AV16</f>
        <v>2343.08566746626</v>
      </c>
      <c r="AW19" s="119" t="n">
        <f aca="false">AW17*(1-Inputs!$E$23)+AW16</f>
        <v>2365.70749076761</v>
      </c>
      <c r="AX19" s="119" t="n">
        <f aca="false">AX17*(1-Inputs!$E$23)+AX16</f>
        <v>2376.28844113691</v>
      </c>
      <c r="AY19" s="119" t="n">
        <f aca="false">AY17*(1-Inputs!$E$23)+AY16</f>
        <v>2389.34021599143</v>
      </c>
      <c r="AZ19" s="119" t="n">
        <f aca="false">AZ17*(1-Inputs!$E$23)+AZ16</f>
        <v>2401.86991985177</v>
      </c>
      <c r="BA19" s="119" t="n">
        <f aca="false">BA17*(1-Inputs!$E$23)+BA16</f>
        <v>2425.0344355577</v>
      </c>
      <c r="BB19" s="119" t="n">
        <f aca="false">BB17*(1-Inputs!$E$23)+BB16</f>
        <v>2447.27237063539</v>
      </c>
      <c r="BC19" s="119" t="n">
        <f aca="false">BC17*(1-Inputs!$E$23)+BC16</f>
        <v>2468.62078830998</v>
      </c>
      <c r="BD19" s="119" t="n">
        <f aca="false">BD17*(1-Inputs!$E$23)+BD16</f>
        <v>2489.11526927758</v>
      </c>
      <c r="BE19" s="119" t="n">
        <f aca="false">BE17*(1-Inputs!$E$23)+BE16</f>
        <v>2508.78997100648</v>
      </c>
      <c r="BF19" s="119" t="n">
        <f aca="false">BF17*(1-Inputs!$E$23)+BF16</f>
        <v>2527.67768466622</v>
      </c>
      <c r="BG19" s="119" t="n">
        <f aca="false">BG17*(1-Inputs!$E$23)+BG16</f>
        <v>2545.80988977957</v>
      </c>
      <c r="BH19" s="119" t="n">
        <f aca="false">BH17*(1-Inputs!$E$23)+BH16</f>
        <v>2563.21680668838</v>
      </c>
      <c r="BI19" s="119" t="n">
        <f aca="false">BI17*(1-Inputs!$E$23)+BI16</f>
        <v>2579.92744692085</v>
      </c>
      <c r="BJ19" s="119" t="n">
        <f aca="false">BJ17*(1-Inputs!$E$23)+BJ16</f>
        <v>2584.83366154401</v>
      </c>
    </row>
    <row r="20" customFormat="false" ht="15" hidden="false" customHeight="false" outlineLevel="0" collapsed="false">
      <c r="A20" s="6" t="s">
        <v>427</v>
      </c>
      <c r="C20" s="117" t="n">
        <f aca="false">(C17+C19)/2</f>
        <v>266.8988</v>
      </c>
      <c r="D20" s="117" t="n">
        <f aca="false">(D17+D19)/2</f>
        <v>302.994359111111</v>
      </c>
      <c r="E20" s="117" t="n">
        <f aca="false">(E17+E19)/2</f>
        <v>346.780051413333</v>
      </c>
      <c r="F20" s="117" t="n">
        <f aca="false">(F17+F19)/2</f>
        <v>398.288538245689</v>
      </c>
      <c r="G20" s="117" t="n">
        <f aca="false">(G17+G19)/2</f>
        <v>454.365041160306</v>
      </c>
      <c r="H20" s="117" t="n">
        <f aca="false">(H17+H19)/2</f>
        <v>514.826839513893</v>
      </c>
      <c r="I20" s="117" t="n">
        <f aca="false">(I17+I19)/2</f>
        <v>579.498521488893</v>
      </c>
      <c r="J20" s="117" t="n">
        <f aca="false">(J17+J19)/2</f>
        <v>648.211691740449</v>
      </c>
      <c r="K20" s="117" t="n">
        <f aca="false">(K17+K19)/2</f>
        <v>720.804690737497</v>
      </c>
      <c r="L20" s="117" t="n">
        <f aca="false">(L17+L19)/2</f>
        <v>797.12232533022</v>
      </c>
      <c r="M20" s="117" t="n">
        <f aca="false">(M17+M19)/2</f>
        <v>873.701432317011</v>
      </c>
      <c r="N20" s="117" t="n">
        <f aca="false">(N17+N19)/2</f>
        <v>941.64937502433</v>
      </c>
      <c r="O20" s="117" t="n">
        <f aca="false">(O17+O19)/2</f>
        <v>1002.56140002336</v>
      </c>
      <c r="P20" s="117" t="n">
        <f aca="false">(P17+P19)/2</f>
        <v>1062.28694402242</v>
      </c>
      <c r="Q20" s="117" t="n">
        <f aca="false">(Q17+Q19)/2</f>
        <v>1125.19146626153</v>
      </c>
      <c r="R20" s="117" t="n">
        <f aca="false">(R17+R19)/2</f>
        <v>1191.14780761106</v>
      </c>
      <c r="S20" s="117" t="n">
        <f aca="false">(S17+S19)/2</f>
        <v>1254.46589530662</v>
      </c>
      <c r="T20" s="117" t="n">
        <f aca="false">(T17+T19)/2</f>
        <v>1315.25125949436</v>
      </c>
      <c r="U20" s="117" t="n">
        <f aca="false">(U17+U19)/2</f>
        <v>1373.60520911458</v>
      </c>
      <c r="V20" s="117" t="n">
        <f aca="false">(V17+V19)/2</f>
        <v>1429.62500075</v>
      </c>
      <c r="W20" s="117" t="n">
        <f aca="false">(W17+W19)/2</f>
        <v>1483.40400072</v>
      </c>
      <c r="X20" s="117" t="n">
        <f aca="false">(X17+X19)/2</f>
        <v>1535.0318406912</v>
      </c>
      <c r="Y20" s="117" t="n">
        <f aca="false">(Y17+Y19)/2</f>
        <v>1584.59456706355</v>
      </c>
      <c r="Z20" s="117" t="n">
        <f aca="false">(Z17+Z19)/2</f>
        <v>1626.60678438101</v>
      </c>
      <c r="AA20" s="117" t="n">
        <f aca="false">(AA17+AA19)/2</f>
        <v>1662.68301300577</v>
      </c>
      <c r="AB20" s="117" t="n">
        <f aca="false">(AB17+AB19)/2</f>
        <v>1698.62869248554</v>
      </c>
      <c r="AC20" s="117" t="n">
        <f aca="false">(AC17+AC19)/2</f>
        <v>1738.70454478612</v>
      </c>
      <c r="AD20" s="117" t="n">
        <f aca="false">(AD17+AD19)/2</f>
        <v>1782.74536299467</v>
      </c>
      <c r="AE20" s="117" t="n">
        <f aca="false">(AE17+AE19)/2</f>
        <v>1825.02454847488</v>
      </c>
      <c r="AF20" s="117" t="n">
        <f aca="false">(AF17+AF19)/2</f>
        <v>1865.61256653589</v>
      </c>
      <c r="AG20" s="117" t="n">
        <f aca="false">(AG17+AG19)/2</f>
        <v>1904.57706387445</v>
      </c>
      <c r="AH20" s="117" t="n">
        <f aca="false">(AH17+AH19)/2</f>
        <v>1941.98298131947</v>
      </c>
      <c r="AI20" s="117" t="n">
        <f aca="false">(AI17+AI19)/2</f>
        <v>1977.8926620667</v>
      </c>
      <c r="AJ20" s="117" t="n">
        <f aca="false">(AJ17+AJ19)/2</f>
        <v>2012.36595558403</v>
      </c>
      <c r="AK20" s="117" t="n">
        <f aca="false">(AK17+AK19)/2</f>
        <v>2045.46031736067</v>
      </c>
      <c r="AL20" s="117" t="n">
        <f aca="false">(AL17+AL19)/2</f>
        <v>2071.66290466624</v>
      </c>
      <c r="AM20" s="117" t="n">
        <f aca="false">(AM17+AM19)/2</f>
        <v>2092.62751347959</v>
      </c>
      <c r="AN20" s="117" t="n">
        <f aca="false">(AN17+AN19)/2</f>
        <v>2114.13166294041</v>
      </c>
      <c r="AO20" s="117" t="n">
        <f aca="false">(AO17+AO19)/2</f>
        <v>2140.34364642279</v>
      </c>
      <c r="AP20" s="117" t="n">
        <f aca="false">(AP17+AP19)/2</f>
        <v>2171.07515056588</v>
      </c>
      <c r="AQ20" s="117" t="n">
        <f aca="false">(AQ17+AQ19)/2</f>
        <v>2200.57739454324</v>
      </c>
      <c r="AR20" s="117" t="n">
        <f aca="false">(AR17+AR19)/2</f>
        <v>2228.89954876151</v>
      </c>
      <c r="AS20" s="117" t="n">
        <f aca="false">(AS17+AS19)/2</f>
        <v>2256.08881681105</v>
      </c>
      <c r="AT20" s="117" t="n">
        <f aca="false">(AT17+AT19)/2</f>
        <v>2282.19051413861</v>
      </c>
      <c r="AU20" s="117" t="n">
        <f aca="false">(AU17+AU19)/2</f>
        <v>2307.24814357307</v>
      </c>
      <c r="AV20" s="117" t="n">
        <f aca="false">(AV17+AV19)/2</f>
        <v>2331.30346783014</v>
      </c>
      <c r="AW20" s="117" t="n">
        <f aca="false">(AW17+AW19)/2</f>
        <v>2354.39657911694</v>
      </c>
      <c r="AX20" s="117" t="n">
        <f aca="false">(AX17+AX19)/2</f>
        <v>2370.99796595226</v>
      </c>
      <c r="AY20" s="117" t="n">
        <f aca="false">(AY17+AY19)/2</f>
        <v>2382.81432856417</v>
      </c>
      <c r="AZ20" s="117" t="n">
        <f aca="false">(AZ17+AZ19)/2</f>
        <v>2395.6050679216</v>
      </c>
      <c r="BA20" s="117" t="n">
        <f aca="false">(BA17+BA19)/2</f>
        <v>2413.45217770474</v>
      </c>
      <c r="BB20" s="117" t="n">
        <f aca="false">(BB17+BB19)/2</f>
        <v>2436.15340309655</v>
      </c>
      <c r="BC20" s="117" t="n">
        <f aca="false">(BC17+BC19)/2</f>
        <v>2457.94657947269</v>
      </c>
      <c r="BD20" s="117" t="n">
        <f aca="false">(BD17+BD19)/2</f>
        <v>2478.86802879378</v>
      </c>
      <c r="BE20" s="117" t="n">
        <f aca="false">(BE17+BE19)/2</f>
        <v>2498.95262014203</v>
      </c>
      <c r="BF20" s="117" t="n">
        <f aca="false">(BF17+BF19)/2</f>
        <v>2518.23382783635</v>
      </c>
      <c r="BG20" s="117" t="n">
        <f aca="false">(BG17+BG19)/2</f>
        <v>2536.74378722289</v>
      </c>
      <c r="BH20" s="117" t="n">
        <f aca="false">(BH17+BH19)/2</f>
        <v>2554.51334823398</v>
      </c>
      <c r="BI20" s="117" t="n">
        <f aca="false">(BI17+BI19)/2</f>
        <v>2571.57212680462</v>
      </c>
      <c r="BJ20" s="117" t="n">
        <f aca="false">(BJ17+BJ19)/2</f>
        <v>2582.38055423243</v>
      </c>
    </row>
    <row r="22" customFormat="false" ht="15.75" hidden="false" customHeight="true" outlineLevel="0" collapsed="false">
      <c r="A22" s="7" t="s">
        <v>428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customFormat="false" ht="15" hidden="false" customHeight="false" outlineLevel="0" collapsed="false">
      <c r="A23" s="6" t="s">
        <v>429</v>
      </c>
      <c r="C23" s="118" t="n">
        <f aca="false">C20*Inputs!$E$24*C10*1</f>
        <v>794.02393</v>
      </c>
      <c r="D23" s="118" t="n">
        <f aca="false">D20*Inputs!$E$24*D10*1</f>
        <v>901.408218355555</v>
      </c>
      <c r="E23" s="118" t="n">
        <f aca="false">E20*Inputs!$E$24*E10*1</f>
        <v>1274.416688944</v>
      </c>
      <c r="F23" s="118" t="n">
        <f aca="false">F20*Inputs!$E$24*F10*1</f>
        <v>1463.71037805291</v>
      </c>
      <c r="G23" s="118" t="n">
        <f aca="false">G20*Inputs!$E$24*G10*1</f>
        <v>1669.79152626412</v>
      </c>
      <c r="H23" s="118" t="n">
        <f aca="false">H20*Inputs!$E$24*H10*1</f>
        <v>1891.98863521356</v>
      </c>
      <c r="I23" s="118" t="n">
        <f aca="false">I20*Inputs!$E$24*I10*1</f>
        <v>2129.65706647168</v>
      </c>
      <c r="J23" s="118" t="n">
        <f aca="false">J20*Inputs!$E$24*J10*1</f>
        <v>2382.17796714615</v>
      </c>
      <c r="K23" s="118" t="n">
        <f aca="false">K20*Inputs!$E$24*K10*1</f>
        <v>2648.9572384603</v>
      </c>
      <c r="L23" s="118" t="n">
        <f aca="false">L20*Inputs!$E$24*L10*1</f>
        <v>2929.42454558856</v>
      </c>
      <c r="M23" s="118" t="n">
        <f aca="false">M20*Inputs!$E$24*M10*1</f>
        <v>3210.85276376502</v>
      </c>
      <c r="N23" s="118" t="n">
        <f aca="false">N20*Inputs!$E$24*N10*1</f>
        <v>2801.40689069738</v>
      </c>
      <c r="O23" s="118" t="n">
        <f aca="false">O20*Inputs!$E$24*O10*1</f>
        <v>2982.62016506949</v>
      </c>
      <c r="P23" s="118" t="n">
        <f aca="false">P20*Inputs!$E$24*P10*1</f>
        <v>3160.30365846671</v>
      </c>
      <c r="Q23" s="118" t="n">
        <f aca="false">Q20*Inputs!$E$24*Q10*1</f>
        <v>4135.07863851111</v>
      </c>
      <c r="R23" s="118" t="n">
        <f aca="false">R20*Inputs!$E$24*R10*1</f>
        <v>4377.46819297066</v>
      </c>
      <c r="S23" s="118" t="n">
        <f aca="false">S20*Inputs!$E$24*S10*1</f>
        <v>4610.16216525184</v>
      </c>
      <c r="T23" s="118" t="n">
        <f aca="false">T20*Inputs!$E$24*T10*1</f>
        <v>4833.54837864176</v>
      </c>
      <c r="U23" s="118" t="n">
        <f aca="false">U20*Inputs!$E$24*U10*1</f>
        <v>5047.99914349609</v>
      </c>
      <c r="V23" s="118" t="n">
        <f aca="false">V20*Inputs!$E$24*V10*1</f>
        <v>5253.87187775625</v>
      </c>
      <c r="W23" s="118" t="n">
        <f aca="false">W20*Inputs!$E$24*W10*1</f>
        <v>5451.509702646</v>
      </c>
      <c r="X23" s="118" t="n">
        <f aca="false">X20*Inputs!$E$24*X10*1</f>
        <v>5641.24201454016</v>
      </c>
      <c r="Y23" s="118" t="n">
        <f aca="false">Y20*Inputs!$E$24*Y10*1</f>
        <v>5823.38503395855</v>
      </c>
      <c r="Z23" s="118" t="n">
        <f aca="false">Z20*Inputs!$E$24*Z10*1</f>
        <v>4839.1551835335</v>
      </c>
      <c r="AA23" s="118" t="n">
        <f aca="false">AA20*Inputs!$E$24*AA10*1</f>
        <v>4946.48196369216</v>
      </c>
      <c r="AB23" s="118" t="n">
        <f aca="false">AB20*Inputs!$E$24*AB10*1</f>
        <v>5053.42036014447</v>
      </c>
      <c r="AC23" s="118" t="n">
        <f aca="false">AC20*Inputs!$E$24*AC10*1</f>
        <v>6389.73920208898</v>
      </c>
      <c r="AD23" s="118" t="n">
        <f aca="false">AD20*Inputs!$E$24*AD10*1</f>
        <v>6551.58920900542</v>
      </c>
      <c r="AE23" s="118" t="n">
        <f aca="false">AE20*Inputs!$E$24*AE10*1</f>
        <v>6706.9652156452</v>
      </c>
      <c r="AF23" s="118" t="n">
        <f aca="false">AF20*Inputs!$E$24*AF10*1</f>
        <v>6856.12618201939</v>
      </c>
      <c r="AG23" s="118" t="n">
        <f aca="false">AG20*Inputs!$E$24*AG10*1</f>
        <v>6999.32070973862</v>
      </c>
      <c r="AH23" s="118" t="n">
        <f aca="false">AH20*Inputs!$E$24*AH10*1</f>
        <v>7136.78745634907</v>
      </c>
      <c r="AI23" s="118" t="n">
        <f aca="false">AI20*Inputs!$E$24*AI10*1</f>
        <v>7268.75553309511</v>
      </c>
      <c r="AJ23" s="118" t="n">
        <f aca="false">AJ20*Inputs!$E$24*AJ10*1</f>
        <v>7395.4448867713</v>
      </c>
      <c r="AK23" s="118" t="n">
        <f aca="false">AK20*Inputs!$E$24*AK10*1</f>
        <v>7517.06666630045</v>
      </c>
      <c r="AL23" s="118" t="n">
        <f aca="false">AL20*Inputs!$E$24*AL10*1</f>
        <v>6163.19714138206</v>
      </c>
      <c r="AM23" s="118" t="n">
        <f aca="false">AM20*Inputs!$E$24*AM10*1</f>
        <v>6225.56685260178</v>
      </c>
      <c r="AN23" s="118" t="n">
        <f aca="false">AN20*Inputs!$E$24*AN10*1</f>
        <v>6289.54169724771</v>
      </c>
      <c r="AO23" s="118" t="n">
        <f aca="false">AO20*Inputs!$E$24*AO10*1</f>
        <v>7865.76290060375</v>
      </c>
      <c r="AP23" s="118" t="n">
        <f aca="false">AP20*Inputs!$E$24*AP10*1</f>
        <v>7978.7011783296</v>
      </c>
      <c r="AQ23" s="118" t="n">
        <f aca="false">AQ20*Inputs!$E$24*AQ10*1</f>
        <v>8087.12192494642</v>
      </c>
      <c r="AR23" s="118" t="n">
        <f aca="false">AR20*Inputs!$E$24*AR10*1</f>
        <v>8191.20584169856</v>
      </c>
      <c r="AS23" s="118" t="n">
        <f aca="false">AS20*Inputs!$E$24*AS10*1</f>
        <v>8291.12640178062</v>
      </c>
      <c r="AT23" s="118" t="n">
        <f aca="false">AT20*Inputs!$E$24*AT10*1</f>
        <v>8387.05013945939</v>
      </c>
      <c r="AU23" s="118" t="n">
        <f aca="false">AU20*Inputs!$E$24*AU10*1</f>
        <v>8479.13692763102</v>
      </c>
      <c r="AV23" s="118" t="n">
        <f aca="false">AV20*Inputs!$E$24*AV10*1</f>
        <v>8567.54024427578</v>
      </c>
      <c r="AW23" s="118" t="n">
        <f aca="false">AW20*Inputs!$E$24*AW10*1</f>
        <v>8652.40742825474</v>
      </c>
      <c r="AX23" s="118" t="n">
        <f aca="false">AX20*Inputs!$E$24*AX10*1</f>
        <v>7053.71894870797</v>
      </c>
      <c r="AY23" s="118" t="n">
        <f aca="false">AY20*Inputs!$E$24*AY10*1</f>
        <v>7088.8726274784</v>
      </c>
      <c r="AZ23" s="118" t="n">
        <f aca="false">AZ20*Inputs!$E$24*AZ10*1</f>
        <v>7126.92507706676</v>
      </c>
      <c r="BA23" s="118" t="n">
        <f aca="false">BA20*Inputs!$E$24*BA10*1</f>
        <v>8869.43675306491</v>
      </c>
      <c r="BB23" s="118" t="n">
        <f aca="false">BB20*Inputs!$E$24*BB10*1</f>
        <v>8952.86375637981</v>
      </c>
      <c r="BC23" s="118" t="n">
        <f aca="false">BC20*Inputs!$E$24*BC10*1</f>
        <v>9032.95367956212</v>
      </c>
      <c r="BD23" s="118" t="n">
        <f aca="false">BD20*Inputs!$E$24*BD10*1</f>
        <v>9109.84000581714</v>
      </c>
      <c r="BE23" s="118" t="n">
        <f aca="false">BE20*Inputs!$E$24*BE10*1</f>
        <v>9183.65087902195</v>
      </c>
      <c r="BF23" s="118" t="n">
        <f aca="false">BF20*Inputs!$E$24*BF10*1</f>
        <v>9254.50931729857</v>
      </c>
      <c r="BG23" s="118" t="n">
        <f aca="false">BG20*Inputs!$E$24*BG10*1</f>
        <v>9322.53341804413</v>
      </c>
      <c r="BH23" s="118" t="n">
        <f aca="false">BH20*Inputs!$E$24*BH10*1</f>
        <v>9387.83655475986</v>
      </c>
      <c r="BI23" s="118" t="n">
        <f aca="false">BI20*Inputs!$E$24*BI10*1</f>
        <v>9450.52756600696</v>
      </c>
      <c r="BJ23" s="118" t="n">
        <f aca="false">BJ20*Inputs!$E$24*BJ10*1</f>
        <v>7682.58214884148</v>
      </c>
    </row>
    <row r="24" customFormat="false" ht="15" hidden="false" customHeight="false" outlineLevel="0" collapsed="false">
      <c r="A24" s="6" t="s">
        <v>430</v>
      </c>
      <c r="C24" s="118" t="n">
        <f aca="false">Inputs!$E$14*Inputs!$E$15*Inputs!$E$16*Inputs!$E$8*1</f>
        <v>24563</v>
      </c>
      <c r="D24" s="118" t="n">
        <f aca="false">Inputs!$E$14*Inputs!$E$15*Inputs!$E$16*Inputs!$E$8*1</f>
        <v>24563</v>
      </c>
      <c r="E24" s="118" t="n">
        <f aca="false">Inputs!$E$14*Inputs!$E$15*Inputs!$E$16*Inputs!$E$8*1</f>
        <v>24563</v>
      </c>
      <c r="F24" s="118" t="n">
        <f aca="false">Inputs!$E$14*Inputs!$E$15*Inputs!$E$16*Inputs!$E$8*1</f>
        <v>24563</v>
      </c>
      <c r="G24" s="118" t="n">
        <f aca="false">Inputs!$E$14*Inputs!$E$15*Inputs!$E$16*Inputs!$E$8*1</f>
        <v>24563</v>
      </c>
      <c r="H24" s="118" t="n">
        <f aca="false">Inputs!$E$14*Inputs!$E$15*Inputs!$E$16*Inputs!$E$8*1</f>
        <v>24563</v>
      </c>
      <c r="I24" s="118" t="n">
        <f aca="false">Inputs!$E$14*Inputs!$E$15*Inputs!$E$16*Inputs!$E$8*1</f>
        <v>24563</v>
      </c>
      <c r="J24" s="118" t="n">
        <f aca="false">Inputs!$E$14*Inputs!$E$15*Inputs!$E$16*Inputs!$E$8*1</f>
        <v>24563</v>
      </c>
      <c r="K24" s="118" t="n">
        <f aca="false">Inputs!$E$14*Inputs!$E$15*Inputs!$E$16*Inputs!$E$8*1</f>
        <v>24563</v>
      </c>
      <c r="L24" s="118" t="n">
        <f aca="false">Inputs!$E$14*Inputs!$E$15*Inputs!$E$16*Inputs!$E$8*1</f>
        <v>24563</v>
      </c>
      <c r="M24" s="118" t="n">
        <f aca="false">Inputs!$E$14*Inputs!$E$15*Inputs!$E$16*Inputs!$E$8*1</f>
        <v>24563</v>
      </c>
      <c r="N24" s="118" t="n">
        <f aca="false">Inputs!$E$14*Inputs!$E$15*Inputs!$E$16*Inputs!$E$8*1</f>
        <v>24563</v>
      </c>
      <c r="O24" s="118" t="n">
        <f aca="false">Inputs!$E$14*Inputs!$E$15*Inputs!$E$16*Inputs!$E$8*1</f>
        <v>24563</v>
      </c>
      <c r="P24" s="118" t="n">
        <f aca="false">Inputs!$E$14*Inputs!$E$15*Inputs!$E$16*Inputs!$E$8*1</f>
        <v>24563</v>
      </c>
      <c r="Q24" s="118" t="n">
        <f aca="false">Inputs!$E$14*Inputs!$E$15*Inputs!$E$16*Inputs!$E$8*1</f>
        <v>24563</v>
      </c>
      <c r="R24" s="118" t="n">
        <f aca="false">Inputs!$E$14*Inputs!$E$15*Inputs!$E$16*Inputs!$E$8*1</f>
        <v>24563</v>
      </c>
      <c r="S24" s="118" t="n">
        <f aca="false">Inputs!$E$14*Inputs!$E$15*Inputs!$E$16*Inputs!$E$8*1</f>
        <v>24563</v>
      </c>
      <c r="T24" s="118" t="n">
        <f aca="false">Inputs!$E$14*Inputs!$E$15*Inputs!$E$16*Inputs!$E$8*1</f>
        <v>24563</v>
      </c>
      <c r="U24" s="118" t="n">
        <f aca="false">Inputs!$E$14*Inputs!$E$15*Inputs!$E$16*Inputs!$E$8*1</f>
        <v>24563</v>
      </c>
      <c r="V24" s="118" t="n">
        <f aca="false">Inputs!$E$14*Inputs!$E$15*Inputs!$E$16*Inputs!$E$8*1</f>
        <v>24563</v>
      </c>
      <c r="W24" s="118" t="n">
        <f aca="false">Inputs!$E$14*Inputs!$E$15*Inputs!$E$16*Inputs!$E$8*1</f>
        <v>24563</v>
      </c>
      <c r="X24" s="118" t="n">
        <f aca="false">Inputs!$E$14*Inputs!$E$15*Inputs!$E$16*Inputs!$E$8*1</f>
        <v>24563</v>
      </c>
      <c r="Y24" s="118" t="n">
        <f aca="false">Inputs!$E$14*Inputs!$E$15*Inputs!$E$16*Inputs!$E$8*1</f>
        <v>24563</v>
      </c>
      <c r="Z24" s="118" t="n">
        <f aca="false">Inputs!$E$14*Inputs!$E$15*Inputs!$E$16*Inputs!$E$8*1</f>
        <v>24563</v>
      </c>
      <c r="AA24" s="118" t="n">
        <f aca="false">Inputs!$E$14*Inputs!$E$15*Inputs!$E$16*Inputs!$E$8*1</f>
        <v>24563</v>
      </c>
      <c r="AB24" s="118" t="n">
        <f aca="false">Inputs!$E$14*Inputs!$E$15*Inputs!$E$16*Inputs!$E$8*1</f>
        <v>24563</v>
      </c>
      <c r="AC24" s="118" t="n">
        <f aca="false">Inputs!$E$14*Inputs!$E$15*Inputs!$E$16*Inputs!$E$8*1</f>
        <v>24563</v>
      </c>
      <c r="AD24" s="118" t="n">
        <f aca="false">Inputs!$E$14*Inputs!$E$15*Inputs!$E$16*Inputs!$E$8*1</f>
        <v>24563</v>
      </c>
      <c r="AE24" s="118" t="n">
        <f aca="false">Inputs!$E$14*Inputs!$E$15*Inputs!$E$16*Inputs!$E$8*1</f>
        <v>24563</v>
      </c>
      <c r="AF24" s="118" t="n">
        <f aca="false">Inputs!$E$14*Inputs!$E$15*Inputs!$E$16*Inputs!$E$8*1</f>
        <v>24563</v>
      </c>
      <c r="AG24" s="118" t="n">
        <f aca="false">Inputs!$E$14*Inputs!$E$15*Inputs!$E$16*Inputs!$E$8*1</f>
        <v>24563</v>
      </c>
      <c r="AH24" s="118" t="n">
        <f aca="false">Inputs!$E$14*Inputs!$E$15*Inputs!$E$16*Inputs!$E$8*1</f>
        <v>24563</v>
      </c>
      <c r="AI24" s="118" t="n">
        <f aca="false">Inputs!$E$14*Inputs!$E$15*Inputs!$E$16*Inputs!$E$8*1</f>
        <v>24563</v>
      </c>
      <c r="AJ24" s="118" t="n">
        <f aca="false">Inputs!$E$14*Inputs!$E$15*Inputs!$E$16*Inputs!$E$8*1</f>
        <v>24563</v>
      </c>
      <c r="AK24" s="118" t="n">
        <f aca="false">Inputs!$E$14*Inputs!$E$15*Inputs!$E$16*Inputs!$E$8*1</f>
        <v>24563</v>
      </c>
      <c r="AL24" s="118" t="n">
        <f aca="false">Inputs!$E$14*Inputs!$E$15*Inputs!$E$16*Inputs!$E$8*1</f>
        <v>24563</v>
      </c>
      <c r="AM24" s="118" t="n">
        <f aca="false">Inputs!$E$14*Inputs!$E$15*Inputs!$E$16*Inputs!$E$8*1</f>
        <v>24563</v>
      </c>
      <c r="AN24" s="118" t="n">
        <f aca="false">Inputs!$E$14*Inputs!$E$15*Inputs!$E$16*Inputs!$E$8*1</f>
        <v>24563</v>
      </c>
      <c r="AO24" s="118" t="n">
        <f aca="false">Inputs!$E$14*Inputs!$E$15*Inputs!$E$16*Inputs!$E$8*1</f>
        <v>24563</v>
      </c>
      <c r="AP24" s="118" t="n">
        <f aca="false">Inputs!$E$14*Inputs!$E$15*Inputs!$E$16*Inputs!$E$8*1</f>
        <v>24563</v>
      </c>
      <c r="AQ24" s="118" t="n">
        <f aca="false">Inputs!$E$14*Inputs!$E$15*Inputs!$E$16*Inputs!$E$8*1</f>
        <v>24563</v>
      </c>
      <c r="AR24" s="118" t="n">
        <f aca="false">Inputs!$E$14*Inputs!$E$15*Inputs!$E$16*Inputs!$E$8*1</f>
        <v>24563</v>
      </c>
      <c r="AS24" s="118" t="n">
        <f aca="false">Inputs!$E$14*Inputs!$E$15*Inputs!$E$16*Inputs!$E$8*1</f>
        <v>24563</v>
      </c>
      <c r="AT24" s="118" t="n">
        <f aca="false">Inputs!$E$14*Inputs!$E$15*Inputs!$E$16*Inputs!$E$8*1</f>
        <v>24563</v>
      </c>
      <c r="AU24" s="118" t="n">
        <f aca="false">Inputs!$E$14*Inputs!$E$15*Inputs!$E$16*Inputs!$E$8*1</f>
        <v>24563</v>
      </c>
      <c r="AV24" s="118" t="n">
        <f aca="false">Inputs!$E$14*Inputs!$E$15*Inputs!$E$16*Inputs!$E$8*1</f>
        <v>24563</v>
      </c>
      <c r="AW24" s="118" t="n">
        <f aca="false">Inputs!$E$14*Inputs!$E$15*Inputs!$E$16*Inputs!$E$8*1</f>
        <v>24563</v>
      </c>
      <c r="AX24" s="118" t="n">
        <f aca="false">Inputs!$E$14*Inputs!$E$15*Inputs!$E$16*Inputs!$E$8*1</f>
        <v>24563</v>
      </c>
      <c r="AY24" s="118" t="n">
        <f aca="false">Inputs!$E$14*Inputs!$E$15*Inputs!$E$16*Inputs!$E$8*1</f>
        <v>24563</v>
      </c>
      <c r="AZ24" s="118" t="n">
        <f aca="false">Inputs!$E$14*Inputs!$E$15*Inputs!$E$16*Inputs!$E$8*1</f>
        <v>24563</v>
      </c>
      <c r="BA24" s="118" t="n">
        <f aca="false">Inputs!$E$14*Inputs!$E$15*Inputs!$E$16*Inputs!$E$8*1</f>
        <v>24563</v>
      </c>
      <c r="BB24" s="118" t="n">
        <f aca="false">Inputs!$E$14*Inputs!$E$15*Inputs!$E$16*Inputs!$E$8*1</f>
        <v>24563</v>
      </c>
      <c r="BC24" s="118" t="n">
        <f aca="false">Inputs!$E$14*Inputs!$E$15*Inputs!$E$16*Inputs!$E$8*1</f>
        <v>24563</v>
      </c>
      <c r="BD24" s="118" t="n">
        <f aca="false">Inputs!$E$14*Inputs!$E$15*Inputs!$E$16*Inputs!$E$8*1</f>
        <v>24563</v>
      </c>
      <c r="BE24" s="118" t="n">
        <f aca="false">Inputs!$E$14*Inputs!$E$15*Inputs!$E$16*Inputs!$E$8*1</f>
        <v>24563</v>
      </c>
      <c r="BF24" s="118" t="n">
        <f aca="false">Inputs!$E$14*Inputs!$E$15*Inputs!$E$16*Inputs!$E$8*1</f>
        <v>24563</v>
      </c>
      <c r="BG24" s="118" t="n">
        <f aca="false">Inputs!$E$14*Inputs!$E$15*Inputs!$E$16*Inputs!$E$8*1</f>
        <v>24563</v>
      </c>
      <c r="BH24" s="118" t="n">
        <f aca="false">Inputs!$E$14*Inputs!$E$15*Inputs!$E$16*Inputs!$E$8*1</f>
        <v>24563</v>
      </c>
      <c r="BI24" s="118" t="n">
        <f aca="false">Inputs!$E$14*Inputs!$E$15*Inputs!$E$16*Inputs!$E$8*1</f>
        <v>24563</v>
      </c>
      <c r="BJ24" s="118" t="n">
        <f aca="false">Inputs!$E$14*Inputs!$E$15*Inputs!$E$16*Inputs!$E$8*1</f>
        <v>24563</v>
      </c>
    </row>
    <row r="25" customFormat="false" ht="15" hidden="false" customHeight="false" outlineLevel="0" collapsed="false">
      <c r="A25" s="38" t="s">
        <v>431</v>
      </c>
      <c r="C25" s="76" t="n">
        <f aca="false">MIN(1,C24/MAX(1,C11+C23))</f>
        <v>1</v>
      </c>
      <c r="D25" s="76" t="n">
        <f aca="false">MIN(1,D24/MAX(1,D11+D23))</f>
        <v>1</v>
      </c>
      <c r="E25" s="76" t="n">
        <f aca="false">MIN(1,E24/MAX(1,E11+E23))</f>
        <v>1</v>
      </c>
      <c r="F25" s="76" t="n">
        <f aca="false">MIN(1,F24/MAX(1,F11+F23))</f>
        <v>1</v>
      </c>
      <c r="G25" s="76" t="n">
        <f aca="false">MIN(1,G24/MAX(1,G11+G23))</f>
        <v>1</v>
      </c>
      <c r="H25" s="76" t="n">
        <f aca="false">MIN(1,H24/MAX(1,H11+H23))</f>
        <v>1</v>
      </c>
      <c r="I25" s="76" t="n">
        <f aca="false">MIN(1,I24/MAX(1,I11+I23))</f>
        <v>1</v>
      </c>
      <c r="J25" s="76" t="n">
        <f aca="false">MIN(1,J24/MAX(1,J11+J23))</f>
        <v>1</v>
      </c>
      <c r="K25" s="76" t="n">
        <f aca="false">MIN(1,K24/MAX(1,K11+K23))</f>
        <v>1</v>
      </c>
      <c r="L25" s="76" t="n">
        <f aca="false">MIN(1,L24/MAX(1,L11+L23))</f>
        <v>1</v>
      </c>
      <c r="M25" s="76" t="n">
        <f aca="false">MIN(1,M24/MAX(1,M11+M23))</f>
        <v>1</v>
      </c>
      <c r="N25" s="76" t="n">
        <f aca="false">MIN(1,N24/MAX(1,N11+N23))</f>
        <v>1</v>
      </c>
      <c r="O25" s="76" t="n">
        <f aca="false">MIN(1,O24/MAX(1,O11+O23))</f>
        <v>1</v>
      </c>
      <c r="P25" s="76" t="n">
        <f aca="false">MIN(1,P24/MAX(1,P11+P23))</f>
        <v>1</v>
      </c>
      <c r="Q25" s="76" t="n">
        <f aca="false">MIN(1,Q24/MAX(1,Q11+Q23))</f>
        <v>1</v>
      </c>
      <c r="R25" s="76" t="n">
        <f aca="false">MIN(1,R24/MAX(1,R11+R23))</f>
        <v>1</v>
      </c>
      <c r="S25" s="76" t="n">
        <f aca="false">MIN(1,S24/MAX(1,S11+S23))</f>
        <v>1</v>
      </c>
      <c r="T25" s="76" t="n">
        <f aca="false">MIN(1,T24/MAX(1,T11+T23))</f>
        <v>1</v>
      </c>
      <c r="U25" s="76" t="n">
        <f aca="false">MIN(1,U24/MAX(1,U11+U23))</f>
        <v>1</v>
      </c>
      <c r="V25" s="76" t="n">
        <f aca="false">MIN(1,V24/MAX(1,V11+V23))</f>
        <v>1</v>
      </c>
      <c r="W25" s="76" t="n">
        <f aca="false">MIN(1,W24/MAX(1,W11+W23))</f>
        <v>1</v>
      </c>
      <c r="X25" s="76" t="n">
        <f aca="false">MIN(1,X24/MAX(1,X11+X23))</f>
        <v>1</v>
      </c>
      <c r="Y25" s="76" t="n">
        <f aca="false">MIN(1,Y24/MAX(1,Y11+Y23))</f>
        <v>1</v>
      </c>
      <c r="Z25" s="76" t="n">
        <f aca="false">MIN(1,Z24/MAX(1,Z11+Z23))</f>
        <v>1</v>
      </c>
      <c r="AA25" s="76" t="n">
        <f aca="false">MIN(1,AA24/MAX(1,AA11+AA23))</f>
        <v>1</v>
      </c>
      <c r="AB25" s="76" t="n">
        <f aca="false">MIN(1,AB24/MAX(1,AB11+AB23))</f>
        <v>1</v>
      </c>
      <c r="AC25" s="76" t="n">
        <f aca="false">MIN(1,AC24/MAX(1,AC11+AC23))</f>
        <v>1</v>
      </c>
      <c r="AD25" s="76" t="n">
        <f aca="false">MIN(1,AD24/MAX(1,AD11+AD23))</f>
        <v>1</v>
      </c>
      <c r="AE25" s="76" t="n">
        <f aca="false">MIN(1,AE24/MAX(1,AE11+AE23))</f>
        <v>1</v>
      </c>
      <c r="AF25" s="76" t="n">
        <f aca="false">MIN(1,AF24/MAX(1,AF11+AF23))</f>
        <v>1</v>
      </c>
      <c r="AG25" s="76" t="n">
        <f aca="false">MIN(1,AG24/MAX(1,AG11+AG23))</f>
        <v>1</v>
      </c>
      <c r="AH25" s="76" t="n">
        <f aca="false">MIN(1,AH24/MAX(1,AH11+AH23))</f>
        <v>1</v>
      </c>
      <c r="AI25" s="76" t="n">
        <f aca="false">MIN(1,AI24/MAX(1,AI11+AI23))</f>
        <v>1</v>
      </c>
      <c r="AJ25" s="76" t="n">
        <f aca="false">MIN(1,AJ24/MAX(1,AJ11+AJ23))</f>
        <v>1</v>
      </c>
      <c r="AK25" s="76" t="n">
        <f aca="false">MIN(1,AK24/MAX(1,AK11+AK23))</f>
        <v>1</v>
      </c>
      <c r="AL25" s="76" t="n">
        <f aca="false">MIN(1,AL24/MAX(1,AL11+AL23))</f>
        <v>1</v>
      </c>
      <c r="AM25" s="76" t="n">
        <f aca="false">MIN(1,AM24/MAX(1,AM11+AM23))</f>
        <v>1</v>
      </c>
      <c r="AN25" s="76" t="n">
        <f aca="false">MIN(1,AN24/MAX(1,AN11+AN23))</f>
        <v>1</v>
      </c>
      <c r="AO25" s="76" t="n">
        <f aca="false">MIN(1,AO24/MAX(1,AO11+AO23))</f>
        <v>1</v>
      </c>
      <c r="AP25" s="76" t="n">
        <f aca="false">MIN(1,AP24/MAX(1,AP11+AP23))</f>
        <v>1</v>
      </c>
      <c r="AQ25" s="76" t="n">
        <f aca="false">MIN(1,AQ24/MAX(1,AQ11+AQ23))</f>
        <v>1</v>
      </c>
      <c r="AR25" s="76" t="n">
        <f aca="false">MIN(1,AR24/MAX(1,AR11+AR23))</f>
        <v>1</v>
      </c>
      <c r="AS25" s="76" t="n">
        <f aca="false">MIN(1,AS24/MAX(1,AS11+AS23))</f>
        <v>1</v>
      </c>
      <c r="AT25" s="76" t="n">
        <f aca="false">MIN(1,AT24/MAX(1,AT11+AT23))</f>
        <v>1</v>
      </c>
      <c r="AU25" s="76" t="n">
        <f aca="false">MIN(1,AU24/MAX(1,AU11+AU23))</f>
        <v>1</v>
      </c>
      <c r="AV25" s="76" t="n">
        <f aca="false">MIN(1,AV24/MAX(1,AV11+AV23))</f>
        <v>1</v>
      </c>
      <c r="AW25" s="76" t="n">
        <f aca="false">MIN(1,AW24/MAX(1,AW11+AW23))</f>
        <v>1</v>
      </c>
      <c r="AX25" s="76" t="n">
        <f aca="false">MIN(1,AX24/MAX(1,AX11+AX23))</f>
        <v>1</v>
      </c>
      <c r="AY25" s="76" t="n">
        <f aca="false">MIN(1,AY24/MAX(1,AY11+AY23))</f>
        <v>1</v>
      </c>
      <c r="AZ25" s="76" t="n">
        <f aca="false">MIN(1,AZ24/MAX(1,AZ11+AZ23))</f>
        <v>1</v>
      </c>
      <c r="BA25" s="76" t="n">
        <f aca="false">MIN(1,BA24/MAX(1,BA11+BA23))</f>
        <v>1</v>
      </c>
      <c r="BB25" s="76" t="n">
        <f aca="false">MIN(1,BB24/MAX(1,BB11+BB23))</f>
        <v>1</v>
      </c>
      <c r="BC25" s="76" t="n">
        <f aca="false">MIN(1,BC24/MAX(1,BC11+BC23))</f>
        <v>1</v>
      </c>
      <c r="BD25" s="76" t="n">
        <f aca="false">MIN(1,BD24/MAX(1,BD11+BD23))</f>
        <v>1</v>
      </c>
      <c r="BE25" s="76" t="n">
        <f aca="false">MIN(1,BE24/MAX(1,BE11+BE23))</f>
        <v>1</v>
      </c>
      <c r="BF25" s="76" t="n">
        <f aca="false">MIN(1,BF24/MAX(1,BF11+BF23))</f>
        <v>1</v>
      </c>
      <c r="BG25" s="76" t="n">
        <f aca="false">MIN(1,BG24/MAX(1,BG11+BG23))</f>
        <v>1</v>
      </c>
      <c r="BH25" s="76" t="n">
        <f aca="false">MIN(1,BH24/MAX(1,BH11+BH23))</f>
        <v>1</v>
      </c>
      <c r="BI25" s="76" t="n">
        <f aca="false">MIN(1,BI24/MAX(1,BI11+BI23))</f>
        <v>1</v>
      </c>
      <c r="BJ25" s="76" t="n">
        <f aca="false">MIN(1,BJ24/MAX(1,BJ11+BJ23))</f>
        <v>1</v>
      </c>
    </row>
    <row r="26" customFormat="false" ht="15" hidden="false" customHeight="false" outlineLevel="0" collapsed="false">
      <c r="A26" s="6" t="s">
        <v>238</v>
      </c>
      <c r="C26" s="118" t="n">
        <f aca="false">C11*C25</f>
        <v>2662.2</v>
      </c>
      <c r="D26" s="118" t="n">
        <f aca="false">D11*D25</f>
        <v>3023.73333333333</v>
      </c>
      <c r="E26" s="118" t="n">
        <f aca="false">E11*E25</f>
        <v>4181.8</v>
      </c>
      <c r="F26" s="118" t="n">
        <f aca="false">F11*F25</f>
        <v>4628.4</v>
      </c>
      <c r="G26" s="118" t="n">
        <f aca="false">G11*G25</f>
        <v>5075</v>
      </c>
      <c r="H26" s="118" t="n">
        <f aca="false">H11*H25</f>
        <v>5521.6</v>
      </c>
      <c r="I26" s="118" t="n">
        <f aca="false">I11*I25</f>
        <v>5968.2</v>
      </c>
      <c r="J26" s="118" t="n">
        <f aca="false">J11*J25</f>
        <v>6414.8</v>
      </c>
      <c r="K26" s="118" t="n">
        <f aca="false">K11*K25</f>
        <v>6861.4</v>
      </c>
      <c r="L26" s="118" t="n">
        <f aca="false">L11*L25</f>
        <v>7308</v>
      </c>
      <c r="M26" s="118" t="n">
        <f aca="false">M11*M25</f>
        <v>7308</v>
      </c>
      <c r="N26" s="118" t="n">
        <f aca="false">N11*N25</f>
        <v>5916</v>
      </c>
      <c r="O26" s="118" t="n">
        <f aca="false">O11*O25</f>
        <v>5916</v>
      </c>
      <c r="P26" s="118" t="n">
        <f aca="false">P11*P25</f>
        <v>5916</v>
      </c>
      <c r="Q26" s="118" t="n">
        <f aca="false">Q11*Q25</f>
        <v>7308</v>
      </c>
      <c r="R26" s="118" t="n">
        <f aca="false">R11*R25</f>
        <v>7308</v>
      </c>
      <c r="S26" s="118" t="n">
        <f aca="false">S11*S25</f>
        <v>7308</v>
      </c>
      <c r="T26" s="118" t="n">
        <f aca="false">T11*T25</f>
        <v>7308</v>
      </c>
      <c r="U26" s="118" t="n">
        <f aca="false">U11*U25</f>
        <v>7308</v>
      </c>
      <c r="V26" s="118" t="n">
        <f aca="false">V11*V25</f>
        <v>7308</v>
      </c>
      <c r="W26" s="118" t="n">
        <f aca="false">W11*W25</f>
        <v>7308</v>
      </c>
      <c r="X26" s="118" t="n">
        <f aca="false">X11*X25</f>
        <v>7308</v>
      </c>
      <c r="Y26" s="118" t="n">
        <f aca="false">Y11*Y25</f>
        <v>7308</v>
      </c>
      <c r="Z26" s="118" t="n">
        <f aca="false">Z11*Z25</f>
        <v>5916</v>
      </c>
      <c r="AA26" s="118" t="n">
        <f aca="false">AA11*AA25</f>
        <v>5916</v>
      </c>
      <c r="AB26" s="118" t="n">
        <f aca="false">AB11*AB25</f>
        <v>5916</v>
      </c>
      <c r="AC26" s="118" t="n">
        <f aca="false">AC11*AC25</f>
        <v>7308</v>
      </c>
      <c r="AD26" s="118" t="n">
        <f aca="false">AD11*AD25</f>
        <v>7308</v>
      </c>
      <c r="AE26" s="118" t="n">
        <f aca="false">AE11*AE25</f>
        <v>7308</v>
      </c>
      <c r="AF26" s="118" t="n">
        <f aca="false">AF11*AF25</f>
        <v>7308</v>
      </c>
      <c r="AG26" s="118" t="n">
        <f aca="false">AG11*AG25</f>
        <v>7308</v>
      </c>
      <c r="AH26" s="118" t="n">
        <f aca="false">AH11*AH25</f>
        <v>7308</v>
      </c>
      <c r="AI26" s="118" t="n">
        <f aca="false">AI11*AI25</f>
        <v>7308</v>
      </c>
      <c r="AJ26" s="118" t="n">
        <f aca="false">AJ11*AJ25</f>
        <v>7308</v>
      </c>
      <c r="AK26" s="118" t="n">
        <f aca="false">AK11*AK25</f>
        <v>7308</v>
      </c>
      <c r="AL26" s="118" t="n">
        <f aca="false">AL11*AL25</f>
        <v>5916</v>
      </c>
      <c r="AM26" s="118" t="n">
        <f aca="false">AM11*AM25</f>
        <v>5916</v>
      </c>
      <c r="AN26" s="118" t="n">
        <f aca="false">AN11*AN25</f>
        <v>5916</v>
      </c>
      <c r="AO26" s="118" t="n">
        <f aca="false">AO11*AO25</f>
        <v>7308</v>
      </c>
      <c r="AP26" s="118" t="n">
        <f aca="false">AP11*AP25</f>
        <v>7308</v>
      </c>
      <c r="AQ26" s="118" t="n">
        <f aca="false">AQ11*AQ25</f>
        <v>7308</v>
      </c>
      <c r="AR26" s="118" t="n">
        <f aca="false">AR11*AR25</f>
        <v>7308</v>
      </c>
      <c r="AS26" s="118" t="n">
        <f aca="false">AS11*AS25</f>
        <v>7308</v>
      </c>
      <c r="AT26" s="118" t="n">
        <f aca="false">AT11*AT25</f>
        <v>7308</v>
      </c>
      <c r="AU26" s="118" t="n">
        <f aca="false">AU11*AU25</f>
        <v>7308</v>
      </c>
      <c r="AV26" s="118" t="n">
        <f aca="false">AV11*AV25</f>
        <v>7308</v>
      </c>
      <c r="AW26" s="118" t="n">
        <f aca="false">AW11*AW25</f>
        <v>7308</v>
      </c>
      <c r="AX26" s="118" t="n">
        <f aca="false">AX11*AX25</f>
        <v>5916</v>
      </c>
      <c r="AY26" s="118" t="n">
        <f aca="false">AY11*AY25</f>
        <v>5916</v>
      </c>
      <c r="AZ26" s="118" t="n">
        <f aca="false">AZ11*AZ25</f>
        <v>5916</v>
      </c>
      <c r="BA26" s="118" t="n">
        <f aca="false">BA11*BA25</f>
        <v>7308</v>
      </c>
      <c r="BB26" s="118" t="n">
        <f aca="false">BB11*BB25</f>
        <v>7308</v>
      </c>
      <c r="BC26" s="118" t="n">
        <f aca="false">BC11*BC25</f>
        <v>7308</v>
      </c>
      <c r="BD26" s="118" t="n">
        <f aca="false">BD11*BD25</f>
        <v>7308</v>
      </c>
      <c r="BE26" s="118" t="n">
        <f aca="false">BE11*BE25</f>
        <v>7308</v>
      </c>
      <c r="BF26" s="118" t="n">
        <f aca="false">BF11*BF25</f>
        <v>7308</v>
      </c>
      <c r="BG26" s="118" t="n">
        <f aca="false">BG11*BG25</f>
        <v>7308</v>
      </c>
      <c r="BH26" s="118" t="n">
        <f aca="false">BH11*BH25</f>
        <v>7308</v>
      </c>
      <c r="BI26" s="118" t="n">
        <f aca="false">BI11*BI25</f>
        <v>7308</v>
      </c>
      <c r="BJ26" s="118" t="n">
        <f aca="false">BJ11*BJ25</f>
        <v>5916</v>
      </c>
    </row>
    <row r="27" customFormat="false" ht="15" hidden="false" customHeight="false" outlineLevel="0" collapsed="false">
      <c r="A27" s="6" t="s">
        <v>239</v>
      </c>
      <c r="C27" s="118" t="n">
        <f aca="false">C23*C25</f>
        <v>794.02393</v>
      </c>
      <c r="D27" s="118" t="n">
        <f aca="false">D23*D25</f>
        <v>901.408218355555</v>
      </c>
      <c r="E27" s="118" t="n">
        <f aca="false">E23*E25</f>
        <v>1274.416688944</v>
      </c>
      <c r="F27" s="118" t="n">
        <f aca="false">F23*F25</f>
        <v>1463.71037805291</v>
      </c>
      <c r="G27" s="118" t="n">
        <f aca="false">G23*G25</f>
        <v>1669.79152626412</v>
      </c>
      <c r="H27" s="118" t="n">
        <f aca="false">H23*H25</f>
        <v>1891.98863521356</v>
      </c>
      <c r="I27" s="118" t="n">
        <f aca="false">I23*I25</f>
        <v>2129.65706647168</v>
      </c>
      <c r="J27" s="118" t="n">
        <f aca="false">J23*J25</f>
        <v>2382.17796714615</v>
      </c>
      <c r="K27" s="118" t="n">
        <f aca="false">K23*K25</f>
        <v>2648.9572384603</v>
      </c>
      <c r="L27" s="118" t="n">
        <f aca="false">L23*L25</f>
        <v>2929.42454558856</v>
      </c>
      <c r="M27" s="118" t="n">
        <f aca="false">M23*M25</f>
        <v>3210.85276376502</v>
      </c>
      <c r="N27" s="118" t="n">
        <f aca="false">N23*N25</f>
        <v>2801.40689069738</v>
      </c>
      <c r="O27" s="118" t="n">
        <f aca="false">O23*O25</f>
        <v>2982.62016506949</v>
      </c>
      <c r="P27" s="118" t="n">
        <f aca="false">P23*P25</f>
        <v>3160.30365846671</v>
      </c>
      <c r="Q27" s="118" t="n">
        <f aca="false">Q23*Q25</f>
        <v>4135.07863851111</v>
      </c>
      <c r="R27" s="118" t="n">
        <f aca="false">R23*R25</f>
        <v>4377.46819297066</v>
      </c>
      <c r="S27" s="118" t="n">
        <f aca="false">S23*S25</f>
        <v>4610.16216525184</v>
      </c>
      <c r="T27" s="118" t="n">
        <f aca="false">T23*T25</f>
        <v>4833.54837864176</v>
      </c>
      <c r="U27" s="118" t="n">
        <f aca="false">U23*U25</f>
        <v>5047.99914349609</v>
      </c>
      <c r="V27" s="118" t="n">
        <f aca="false">V23*V25</f>
        <v>5253.87187775625</v>
      </c>
      <c r="W27" s="118" t="n">
        <f aca="false">W23*W25</f>
        <v>5451.509702646</v>
      </c>
      <c r="X27" s="118" t="n">
        <f aca="false">X23*X25</f>
        <v>5641.24201454016</v>
      </c>
      <c r="Y27" s="118" t="n">
        <f aca="false">Y23*Y25</f>
        <v>5823.38503395855</v>
      </c>
      <c r="Z27" s="118" t="n">
        <f aca="false">Z23*Z25</f>
        <v>4839.1551835335</v>
      </c>
      <c r="AA27" s="118" t="n">
        <f aca="false">AA23*AA25</f>
        <v>4946.48196369216</v>
      </c>
      <c r="AB27" s="118" t="n">
        <f aca="false">AB23*AB25</f>
        <v>5053.42036014447</v>
      </c>
      <c r="AC27" s="118" t="n">
        <f aca="false">AC23*AC25</f>
        <v>6389.73920208898</v>
      </c>
      <c r="AD27" s="118" t="n">
        <f aca="false">AD23*AD25</f>
        <v>6551.58920900542</v>
      </c>
      <c r="AE27" s="118" t="n">
        <f aca="false">AE23*AE25</f>
        <v>6706.9652156452</v>
      </c>
      <c r="AF27" s="118" t="n">
        <f aca="false">AF23*AF25</f>
        <v>6856.12618201939</v>
      </c>
      <c r="AG27" s="118" t="n">
        <f aca="false">AG23*AG25</f>
        <v>6999.32070973862</v>
      </c>
      <c r="AH27" s="118" t="n">
        <f aca="false">AH23*AH25</f>
        <v>7136.78745634907</v>
      </c>
      <c r="AI27" s="118" t="n">
        <f aca="false">AI23*AI25</f>
        <v>7268.75553309511</v>
      </c>
      <c r="AJ27" s="118" t="n">
        <f aca="false">AJ23*AJ25</f>
        <v>7395.4448867713</v>
      </c>
      <c r="AK27" s="118" t="n">
        <f aca="false">AK23*AK25</f>
        <v>7517.06666630045</v>
      </c>
      <c r="AL27" s="118" t="n">
        <f aca="false">AL23*AL25</f>
        <v>6163.19714138206</v>
      </c>
      <c r="AM27" s="118" t="n">
        <f aca="false">AM23*AM25</f>
        <v>6225.56685260178</v>
      </c>
      <c r="AN27" s="118" t="n">
        <f aca="false">AN23*AN25</f>
        <v>6289.54169724771</v>
      </c>
      <c r="AO27" s="118" t="n">
        <f aca="false">AO23*AO25</f>
        <v>7865.76290060375</v>
      </c>
      <c r="AP27" s="118" t="n">
        <f aca="false">AP23*AP25</f>
        <v>7978.7011783296</v>
      </c>
      <c r="AQ27" s="118" t="n">
        <f aca="false">AQ23*AQ25</f>
        <v>8087.12192494642</v>
      </c>
      <c r="AR27" s="118" t="n">
        <f aca="false">AR23*AR25</f>
        <v>8191.20584169856</v>
      </c>
      <c r="AS27" s="118" t="n">
        <f aca="false">AS23*AS25</f>
        <v>8291.12640178062</v>
      </c>
      <c r="AT27" s="118" t="n">
        <f aca="false">AT23*AT25</f>
        <v>8387.05013945939</v>
      </c>
      <c r="AU27" s="118" t="n">
        <f aca="false">AU23*AU25</f>
        <v>8479.13692763102</v>
      </c>
      <c r="AV27" s="118" t="n">
        <f aca="false">AV23*AV25</f>
        <v>8567.54024427578</v>
      </c>
      <c r="AW27" s="118" t="n">
        <f aca="false">AW23*AW25</f>
        <v>8652.40742825474</v>
      </c>
      <c r="AX27" s="118" t="n">
        <f aca="false">AX23*AX25</f>
        <v>7053.71894870797</v>
      </c>
      <c r="AY27" s="118" t="n">
        <f aca="false">AY23*AY25</f>
        <v>7088.8726274784</v>
      </c>
      <c r="AZ27" s="118" t="n">
        <f aca="false">AZ23*AZ25</f>
        <v>7126.92507706676</v>
      </c>
      <c r="BA27" s="118" t="n">
        <f aca="false">BA23*BA25</f>
        <v>8869.43675306491</v>
      </c>
      <c r="BB27" s="118" t="n">
        <f aca="false">BB23*BB25</f>
        <v>8952.86375637981</v>
      </c>
      <c r="BC27" s="118" t="n">
        <f aca="false">BC23*BC25</f>
        <v>9032.95367956212</v>
      </c>
      <c r="BD27" s="118" t="n">
        <f aca="false">BD23*BD25</f>
        <v>9109.84000581714</v>
      </c>
      <c r="BE27" s="118" t="n">
        <f aca="false">BE23*BE25</f>
        <v>9183.65087902195</v>
      </c>
      <c r="BF27" s="118" t="n">
        <f aca="false">BF23*BF25</f>
        <v>9254.50931729857</v>
      </c>
      <c r="BG27" s="118" t="n">
        <f aca="false">BG23*BG25</f>
        <v>9322.53341804413</v>
      </c>
      <c r="BH27" s="118" t="n">
        <f aca="false">BH23*BH25</f>
        <v>9387.83655475986</v>
      </c>
      <c r="BI27" s="118" t="n">
        <f aca="false">BI23*BI25</f>
        <v>9450.52756600696</v>
      </c>
      <c r="BJ27" s="118" t="n">
        <f aca="false">BJ23*BJ25</f>
        <v>7682.58214884148</v>
      </c>
    </row>
    <row r="28" customFormat="false" ht="15" hidden="false" customHeight="false" outlineLevel="0" collapsed="false">
      <c r="A28" s="4" t="s">
        <v>432</v>
      </c>
      <c r="C28" s="121" t="n">
        <f aca="false">C26+C27</f>
        <v>3456.22393</v>
      </c>
      <c r="D28" s="121" t="n">
        <f aca="false">D26+D27</f>
        <v>3925.14155168889</v>
      </c>
      <c r="E28" s="121" t="n">
        <f aca="false">E26+E27</f>
        <v>5456.216688944</v>
      </c>
      <c r="F28" s="121" t="n">
        <f aca="false">F26+F27</f>
        <v>6092.11037805291</v>
      </c>
      <c r="G28" s="121" t="n">
        <f aca="false">G26+G27</f>
        <v>6744.79152626412</v>
      </c>
      <c r="H28" s="121" t="n">
        <f aca="false">H26+H27</f>
        <v>7413.58863521356</v>
      </c>
      <c r="I28" s="121" t="n">
        <f aca="false">I26+I27</f>
        <v>8097.85706647168</v>
      </c>
      <c r="J28" s="121" t="n">
        <f aca="false">J26+J27</f>
        <v>8796.97796714615</v>
      </c>
      <c r="K28" s="121" t="n">
        <f aca="false">K26+K27</f>
        <v>9510.3572384603</v>
      </c>
      <c r="L28" s="121" t="n">
        <f aca="false">L26+L27</f>
        <v>10237.4245455886</v>
      </c>
      <c r="M28" s="121" t="n">
        <f aca="false">M26+M27</f>
        <v>10518.852763765</v>
      </c>
      <c r="N28" s="121" t="n">
        <f aca="false">N26+N27</f>
        <v>8717.40689069738</v>
      </c>
      <c r="O28" s="121" t="n">
        <f aca="false">O26+O27</f>
        <v>8898.62016506949</v>
      </c>
      <c r="P28" s="121" t="n">
        <f aca="false">P26+P27</f>
        <v>9076.30365846671</v>
      </c>
      <c r="Q28" s="121" t="n">
        <f aca="false">Q26+Q27</f>
        <v>11443.0786385111</v>
      </c>
      <c r="R28" s="121" t="n">
        <f aca="false">R26+R27</f>
        <v>11685.4681929707</v>
      </c>
      <c r="S28" s="121" t="n">
        <f aca="false">S26+S27</f>
        <v>11918.1621652518</v>
      </c>
      <c r="T28" s="121" t="n">
        <f aca="false">T26+T27</f>
        <v>12141.5483786418</v>
      </c>
      <c r="U28" s="121" t="n">
        <f aca="false">U26+U27</f>
        <v>12355.9991434961</v>
      </c>
      <c r="V28" s="121" t="n">
        <f aca="false">V26+V27</f>
        <v>12561.8718777562</v>
      </c>
      <c r="W28" s="121" t="n">
        <f aca="false">W26+W27</f>
        <v>12759.509702646</v>
      </c>
      <c r="X28" s="121" t="n">
        <f aca="false">X26+X27</f>
        <v>12949.2420145402</v>
      </c>
      <c r="Y28" s="121" t="n">
        <f aca="false">Y26+Y27</f>
        <v>13131.3850339586</v>
      </c>
      <c r="Z28" s="121" t="n">
        <f aca="false">Z26+Z27</f>
        <v>10755.1551835335</v>
      </c>
      <c r="AA28" s="121" t="n">
        <f aca="false">AA26+AA27</f>
        <v>10862.4819636922</v>
      </c>
      <c r="AB28" s="121" t="n">
        <f aca="false">AB26+AB27</f>
        <v>10969.4203601445</v>
      </c>
      <c r="AC28" s="121" t="n">
        <f aca="false">AC26+AC27</f>
        <v>13697.739202089</v>
      </c>
      <c r="AD28" s="121" t="n">
        <f aca="false">AD26+AD27</f>
        <v>13859.5892090054</v>
      </c>
      <c r="AE28" s="121" t="n">
        <f aca="false">AE26+AE27</f>
        <v>14014.9652156452</v>
      </c>
      <c r="AF28" s="121" t="n">
        <f aca="false">AF26+AF27</f>
        <v>14164.1261820194</v>
      </c>
      <c r="AG28" s="121" t="n">
        <f aca="false">AG26+AG27</f>
        <v>14307.3207097386</v>
      </c>
      <c r="AH28" s="121" t="n">
        <f aca="false">AH26+AH27</f>
        <v>14444.7874563491</v>
      </c>
      <c r="AI28" s="121" t="n">
        <f aca="false">AI26+AI27</f>
        <v>14576.7555330951</v>
      </c>
      <c r="AJ28" s="121" t="n">
        <f aca="false">AJ26+AJ27</f>
        <v>14703.4448867713</v>
      </c>
      <c r="AK28" s="121" t="n">
        <f aca="false">AK26+AK27</f>
        <v>14825.0666663004</v>
      </c>
      <c r="AL28" s="121" t="n">
        <f aca="false">AL26+AL27</f>
        <v>12079.1971413821</v>
      </c>
      <c r="AM28" s="121" t="n">
        <f aca="false">AM26+AM27</f>
        <v>12141.5668526018</v>
      </c>
      <c r="AN28" s="121" t="n">
        <f aca="false">AN26+AN27</f>
        <v>12205.5416972477</v>
      </c>
      <c r="AO28" s="121" t="n">
        <f aca="false">AO26+AO27</f>
        <v>15173.7629006038</v>
      </c>
      <c r="AP28" s="121" t="n">
        <f aca="false">AP26+AP27</f>
        <v>15286.7011783296</v>
      </c>
      <c r="AQ28" s="121" t="n">
        <f aca="false">AQ26+AQ27</f>
        <v>15395.1219249464</v>
      </c>
      <c r="AR28" s="121" t="n">
        <f aca="false">AR26+AR27</f>
        <v>15499.2058416986</v>
      </c>
      <c r="AS28" s="121" t="n">
        <f aca="false">AS26+AS27</f>
        <v>15599.1264017806</v>
      </c>
      <c r="AT28" s="121" t="n">
        <f aca="false">AT26+AT27</f>
        <v>15695.0501394594</v>
      </c>
      <c r="AU28" s="121" t="n">
        <f aca="false">AU26+AU27</f>
        <v>15787.136927631</v>
      </c>
      <c r="AV28" s="121" t="n">
        <f aca="false">AV26+AV27</f>
        <v>15875.5402442758</v>
      </c>
      <c r="AW28" s="121" t="n">
        <f aca="false">AW26+AW27</f>
        <v>15960.4074282547</v>
      </c>
      <c r="AX28" s="121" t="n">
        <f aca="false">AX26+AX27</f>
        <v>12969.718948708</v>
      </c>
      <c r="AY28" s="121" t="n">
        <f aca="false">AY26+AY27</f>
        <v>13004.8726274784</v>
      </c>
      <c r="AZ28" s="121" t="n">
        <f aca="false">AZ26+AZ27</f>
        <v>13042.9250770668</v>
      </c>
      <c r="BA28" s="121" t="n">
        <f aca="false">BA26+BA27</f>
        <v>16177.4367530649</v>
      </c>
      <c r="BB28" s="121" t="n">
        <f aca="false">BB26+BB27</f>
        <v>16260.8637563798</v>
      </c>
      <c r="BC28" s="121" t="n">
        <f aca="false">BC26+BC27</f>
        <v>16340.9536795621</v>
      </c>
      <c r="BD28" s="121" t="n">
        <f aca="false">BD26+BD27</f>
        <v>16417.8400058171</v>
      </c>
      <c r="BE28" s="121" t="n">
        <f aca="false">BE26+BE27</f>
        <v>16491.650879022</v>
      </c>
      <c r="BF28" s="121" t="n">
        <f aca="false">BF26+BF27</f>
        <v>16562.5093172986</v>
      </c>
      <c r="BG28" s="121" t="n">
        <f aca="false">BG26+BG27</f>
        <v>16630.5334180441</v>
      </c>
      <c r="BH28" s="121" t="n">
        <f aca="false">BH26+BH27</f>
        <v>16695.8365547599</v>
      </c>
      <c r="BI28" s="121" t="n">
        <f aca="false">BI26+BI27</f>
        <v>16758.527566007</v>
      </c>
      <c r="BJ28" s="121" t="n">
        <f aca="false">BJ26+BJ27</f>
        <v>13598.5821488415</v>
      </c>
    </row>
    <row r="29" customFormat="false" ht="15" hidden="false" customHeight="false" outlineLevel="0" collapsed="false">
      <c r="A29" s="6" t="s">
        <v>242</v>
      </c>
      <c r="C29" s="118" t="n">
        <f aca="false">C11+C23-C28</f>
        <v>0</v>
      </c>
      <c r="D29" s="118" t="n">
        <f aca="false">D11+D23-D28</f>
        <v>0</v>
      </c>
      <c r="E29" s="118" t="n">
        <f aca="false">E11+E23-E28</f>
        <v>0</v>
      </c>
      <c r="F29" s="118" t="n">
        <f aca="false">F11+F23-F28</f>
        <v>0</v>
      </c>
      <c r="G29" s="118" t="n">
        <f aca="false">G11+G23-G28</f>
        <v>0</v>
      </c>
      <c r="H29" s="118" t="n">
        <f aca="false">H11+H23-H28</f>
        <v>0</v>
      </c>
      <c r="I29" s="118" t="n">
        <f aca="false">I11+I23-I28</f>
        <v>0</v>
      </c>
      <c r="J29" s="118" t="n">
        <f aca="false">J11+J23-J28</f>
        <v>0</v>
      </c>
      <c r="K29" s="118" t="n">
        <f aca="false">K11+K23-K28</f>
        <v>0</v>
      </c>
      <c r="L29" s="118" t="n">
        <f aca="false">L11+L23-L28</f>
        <v>0</v>
      </c>
      <c r="M29" s="118" t="n">
        <f aca="false">M11+M23-M28</f>
        <v>0</v>
      </c>
      <c r="N29" s="118" t="n">
        <f aca="false">N11+N23-N28</f>
        <v>0</v>
      </c>
      <c r="O29" s="118" t="n">
        <f aca="false">O11+O23-O28</f>
        <v>0</v>
      </c>
      <c r="P29" s="118" t="n">
        <f aca="false">P11+P23-P28</f>
        <v>0</v>
      </c>
      <c r="Q29" s="118" t="n">
        <f aca="false">Q11+Q23-Q28</f>
        <v>0</v>
      </c>
      <c r="R29" s="118" t="n">
        <f aca="false">R11+R23-R28</f>
        <v>0</v>
      </c>
      <c r="S29" s="118" t="n">
        <f aca="false">S11+S23-S28</f>
        <v>0</v>
      </c>
      <c r="T29" s="118" t="n">
        <f aca="false">T11+T23-T28</f>
        <v>0</v>
      </c>
      <c r="U29" s="118" t="n">
        <f aca="false">U11+U23-U28</f>
        <v>0</v>
      </c>
      <c r="V29" s="118" t="n">
        <f aca="false">V11+V23-V28</f>
        <v>0</v>
      </c>
      <c r="W29" s="118" t="n">
        <f aca="false">W11+W23-W28</f>
        <v>0</v>
      </c>
      <c r="X29" s="118" t="n">
        <f aca="false">X11+X23-X28</f>
        <v>0</v>
      </c>
      <c r="Y29" s="118" t="n">
        <f aca="false">Y11+Y23-Y28</f>
        <v>0</v>
      </c>
      <c r="Z29" s="118" t="n">
        <f aca="false">Z11+Z23-Z28</f>
        <v>0</v>
      </c>
      <c r="AA29" s="118" t="n">
        <f aca="false">AA11+AA23-AA28</f>
        <v>0</v>
      </c>
      <c r="AB29" s="118" t="n">
        <f aca="false">AB11+AB23-AB28</f>
        <v>0</v>
      </c>
      <c r="AC29" s="118" t="n">
        <f aca="false">AC11+AC23-AC28</f>
        <v>0</v>
      </c>
      <c r="AD29" s="118" t="n">
        <f aca="false">AD11+AD23-AD28</f>
        <v>0</v>
      </c>
      <c r="AE29" s="118" t="n">
        <f aca="false">AE11+AE23-AE28</f>
        <v>0</v>
      </c>
      <c r="AF29" s="118" t="n">
        <f aca="false">AF11+AF23-AF28</f>
        <v>0</v>
      </c>
      <c r="AG29" s="118" t="n">
        <f aca="false">AG11+AG23-AG28</f>
        <v>0</v>
      </c>
      <c r="AH29" s="118" t="n">
        <f aca="false">AH11+AH23-AH28</f>
        <v>0</v>
      </c>
      <c r="AI29" s="118" t="n">
        <f aca="false">AI11+AI23-AI28</f>
        <v>0</v>
      </c>
      <c r="AJ29" s="118" t="n">
        <f aca="false">AJ11+AJ23-AJ28</f>
        <v>0</v>
      </c>
      <c r="AK29" s="118" t="n">
        <f aca="false">AK11+AK23-AK28</f>
        <v>0</v>
      </c>
      <c r="AL29" s="118" t="n">
        <f aca="false">AL11+AL23-AL28</f>
        <v>0</v>
      </c>
      <c r="AM29" s="118" t="n">
        <f aca="false">AM11+AM23-AM28</f>
        <v>0</v>
      </c>
      <c r="AN29" s="118" t="n">
        <f aca="false">AN11+AN23-AN28</f>
        <v>0</v>
      </c>
      <c r="AO29" s="118" t="n">
        <f aca="false">AO11+AO23-AO28</f>
        <v>0</v>
      </c>
      <c r="AP29" s="118" t="n">
        <f aca="false">AP11+AP23-AP28</f>
        <v>0</v>
      </c>
      <c r="AQ29" s="118" t="n">
        <f aca="false">AQ11+AQ23-AQ28</f>
        <v>0</v>
      </c>
      <c r="AR29" s="118" t="n">
        <f aca="false">AR11+AR23-AR28</f>
        <v>0</v>
      </c>
      <c r="AS29" s="118" t="n">
        <f aca="false">AS11+AS23-AS28</f>
        <v>0</v>
      </c>
      <c r="AT29" s="118" t="n">
        <f aca="false">AT11+AT23-AT28</f>
        <v>0</v>
      </c>
      <c r="AU29" s="118" t="n">
        <f aca="false">AU11+AU23-AU28</f>
        <v>0</v>
      </c>
      <c r="AV29" s="118" t="n">
        <f aca="false">AV11+AV23-AV28</f>
        <v>0</v>
      </c>
      <c r="AW29" s="118" t="n">
        <f aca="false">AW11+AW23-AW28</f>
        <v>0</v>
      </c>
      <c r="AX29" s="118" t="n">
        <f aca="false">AX11+AX23-AX28</f>
        <v>0</v>
      </c>
      <c r="AY29" s="118" t="n">
        <f aca="false">AY11+AY23-AY28</f>
        <v>0</v>
      </c>
      <c r="AZ29" s="118" t="n">
        <f aca="false">AZ11+AZ23-AZ28</f>
        <v>0</v>
      </c>
      <c r="BA29" s="118" t="n">
        <f aca="false">BA11+BA23-BA28</f>
        <v>0</v>
      </c>
      <c r="BB29" s="118" t="n">
        <f aca="false">BB11+BB23-BB28</f>
        <v>0</v>
      </c>
      <c r="BC29" s="118" t="n">
        <f aca="false">BC11+BC23-BC28</f>
        <v>0</v>
      </c>
      <c r="BD29" s="118" t="n">
        <f aca="false">BD11+BD23-BD28</f>
        <v>0</v>
      </c>
      <c r="BE29" s="118" t="n">
        <f aca="false">BE11+BE23-BE28</f>
        <v>0</v>
      </c>
      <c r="BF29" s="118" t="n">
        <f aca="false">BF11+BF23-BF28</f>
        <v>0</v>
      </c>
      <c r="BG29" s="118" t="n">
        <f aca="false">BG11+BG23-BG28</f>
        <v>0</v>
      </c>
      <c r="BH29" s="118" t="n">
        <f aca="false">BH11+BH23-BH28</f>
        <v>0</v>
      </c>
      <c r="BI29" s="118" t="n">
        <f aca="false">BI11+BI23-BI28</f>
        <v>0</v>
      </c>
      <c r="BJ29" s="118" t="n">
        <f aca="false">BJ11+BJ23-BJ28</f>
        <v>0</v>
      </c>
    </row>
    <row r="31" customFormat="false" ht="15.75" hidden="false" customHeight="true" outlineLevel="0" collapsed="false">
      <c r="A31" s="7" t="s">
        <v>44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customFormat="false" ht="15" hidden="false" customHeight="false" outlineLevel="0" collapsed="false">
      <c r="A32" s="6" t="s">
        <v>433</v>
      </c>
      <c r="C32" s="122" t="n">
        <f aca="false">Inputs!$E$27*(1+Inputs!$E$30)^(C$5-1)</f>
        <v>13</v>
      </c>
      <c r="D32" s="122" t="n">
        <f aca="false">Inputs!$E$27*(1+Inputs!$E$30)^(D$5-1)</f>
        <v>13</v>
      </c>
      <c r="E32" s="122" t="n">
        <f aca="false">Inputs!$E$27*(1+Inputs!$E$30)^(E$5-1)</f>
        <v>13</v>
      </c>
      <c r="F32" s="122" t="n">
        <f aca="false">Inputs!$E$27*(1+Inputs!$E$30)^(F$5-1)</f>
        <v>13</v>
      </c>
      <c r="G32" s="122" t="n">
        <f aca="false">Inputs!$E$27*(1+Inputs!$E$30)^(G$5-1)</f>
        <v>13</v>
      </c>
      <c r="H32" s="122" t="n">
        <f aca="false">Inputs!$E$27*(1+Inputs!$E$30)^(H$5-1)</f>
        <v>13</v>
      </c>
      <c r="I32" s="122" t="n">
        <f aca="false">Inputs!$E$27*(1+Inputs!$E$30)^(I$5-1)</f>
        <v>13</v>
      </c>
      <c r="J32" s="122" t="n">
        <f aca="false">Inputs!$E$27*(1+Inputs!$E$30)^(J$5-1)</f>
        <v>13</v>
      </c>
      <c r="K32" s="122" t="n">
        <f aca="false">Inputs!$E$27*(1+Inputs!$E$30)^(K$5-1)</f>
        <v>13</v>
      </c>
      <c r="L32" s="122" t="n">
        <f aca="false">Inputs!$E$27*(1+Inputs!$E$30)^(L$5-1)</f>
        <v>13</v>
      </c>
      <c r="M32" s="122" t="n">
        <f aca="false">Inputs!$E$27*(1+Inputs!$E$30)^(M$5-1)</f>
        <v>13</v>
      </c>
      <c r="N32" s="122" t="n">
        <f aca="false">Inputs!$E$27*(1+Inputs!$E$30)^(N$5-1)</f>
        <v>13</v>
      </c>
      <c r="O32" s="122" t="n">
        <f aca="false">Inputs!$E$27*(1+Inputs!$E$30)^(O$5-1)</f>
        <v>13.26</v>
      </c>
      <c r="P32" s="122" t="n">
        <f aca="false">Inputs!$E$27*(1+Inputs!$E$30)^(P$5-1)</f>
        <v>13.26</v>
      </c>
      <c r="Q32" s="122" t="n">
        <f aca="false">Inputs!$E$27*(1+Inputs!$E$30)^(Q$5-1)</f>
        <v>13.26</v>
      </c>
      <c r="R32" s="122" t="n">
        <f aca="false">Inputs!$E$27*(1+Inputs!$E$30)^(R$5-1)</f>
        <v>13.26</v>
      </c>
      <c r="S32" s="122" t="n">
        <f aca="false">Inputs!$E$27*(1+Inputs!$E$30)^(S$5-1)</f>
        <v>13.26</v>
      </c>
      <c r="T32" s="122" t="n">
        <f aca="false">Inputs!$E$27*(1+Inputs!$E$30)^(T$5-1)</f>
        <v>13.26</v>
      </c>
      <c r="U32" s="122" t="n">
        <f aca="false">Inputs!$E$27*(1+Inputs!$E$30)^(U$5-1)</f>
        <v>13.26</v>
      </c>
      <c r="V32" s="122" t="n">
        <f aca="false">Inputs!$E$27*(1+Inputs!$E$30)^(V$5-1)</f>
        <v>13.26</v>
      </c>
      <c r="W32" s="122" t="n">
        <f aca="false">Inputs!$E$27*(1+Inputs!$E$30)^(W$5-1)</f>
        <v>13.26</v>
      </c>
      <c r="X32" s="122" t="n">
        <f aca="false">Inputs!$E$27*(1+Inputs!$E$30)^(X$5-1)</f>
        <v>13.26</v>
      </c>
      <c r="Y32" s="122" t="n">
        <f aca="false">Inputs!$E$27*(1+Inputs!$E$30)^(Y$5-1)</f>
        <v>13.26</v>
      </c>
      <c r="Z32" s="122" t="n">
        <f aca="false">Inputs!$E$27*(1+Inputs!$E$30)^(Z$5-1)</f>
        <v>13.26</v>
      </c>
      <c r="AA32" s="122" t="n">
        <f aca="false">Inputs!$E$27*(1+Inputs!$E$30)^(AA$5-1)</f>
        <v>13.5252</v>
      </c>
      <c r="AB32" s="122" t="n">
        <f aca="false">Inputs!$E$27*(1+Inputs!$E$30)^(AB$5-1)</f>
        <v>13.5252</v>
      </c>
      <c r="AC32" s="122" t="n">
        <f aca="false">Inputs!$E$27*(1+Inputs!$E$30)^(AC$5-1)</f>
        <v>13.5252</v>
      </c>
      <c r="AD32" s="122" t="n">
        <f aca="false">Inputs!$E$27*(1+Inputs!$E$30)^(AD$5-1)</f>
        <v>13.5252</v>
      </c>
      <c r="AE32" s="122" t="n">
        <f aca="false">Inputs!$E$27*(1+Inputs!$E$30)^(AE$5-1)</f>
        <v>13.5252</v>
      </c>
      <c r="AF32" s="122" t="n">
        <f aca="false">Inputs!$E$27*(1+Inputs!$E$30)^(AF$5-1)</f>
        <v>13.5252</v>
      </c>
      <c r="AG32" s="122" t="n">
        <f aca="false">Inputs!$E$27*(1+Inputs!$E$30)^(AG$5-1)</f>
        <v>13.5252</v>
      </c>
      <c r="AH32" s="122" t="n">
        <f aca="false">Inputs!$E$27*(1+Inputs!$E$30)^(AH$5-1)</f>
        <v>13.5252</v>
      </c>
      <c r="AI32" s="122" t="n">
        <f aca="false">Inputs!$E$27*(1+Inputs!$E$30)^(AI$5-1)</f>
        <v>13.5252</v>
      </c>
      <c r="AJ32" s="122" t="n">
        <f aca="false">Inputs!$E$27*(1+Inputs!$E$30)^(AJ$5-1)</f>
        <v>13.5252</v>
      </c>
      <c r="AK32" s="122" t="n">
        <f aca="false">Inputs!$E$27*(1+Inputs!$E$30)^(AK$5-1)</f>
        <v>13.5252</v>
      </c>
      <c r="AL32" s="122" t="n">
        <f aca="false">Inputs!$E$27*(1+Inputs!$E$30)^(AL$5-1)</f>
        <v>13.5252</v>
      </c>
      <c r="AM32" s="122" t="n">
        <f aca="false">Inputs!$E$27*(1+Inputs!$E$30)^(AM$5-1)</f>
        <v>13.795704</v>
      </c>
      <c r="AN32" s="122" t="n">
        <f aca="false">Inputs!$E$27*(1+Inputs!$E$30)^(AN$5-1)</f>
        <v>13.795704</v>
      </c>
      <c r="AO32" s="122" t="n">
        <f aca="false">Inputs!$E$27*(1+Inputs!$E$30)^(AO$5-1)</f>
        <v>13.795704</v>
      </c>
      <c r="AP32" s="122" t="n">
        <f aca="false">Inputs!$E$27*(1+Inputs!$E$30)^(AP$5-1)</f>
        <v>13.795704</v>
      </c>
      <c r="AQ32" s="122" t="n">
        <f aca="false">Inputs!$E$27*(1+Inputs!$E$30)^(AQ$5-1)</f>
        <v>13.795704</v>
      </c>
      <c r="AR32" s="122" t="n">
        <f aca="false">Inputs!$E$27*(1+Inputs!$E$30)^(AR$5-1)</f>
        <v>13.795704</v>
      </c>
      <c r="AS32" s="122" t="n">
        <f aca="false">Inputs!$E$27*(1+Inputs!$E$30)^(AS$5-1)</f>
        <v>13.795704</v>
      </c>
      <c r="AT32" s="122" t="n">
        <f aca="false">Inputs!$E$27*(1+Inputs!$E$30)^(AT$5-1)</f>
        <v>13.795704</v>
      </c>
      <c r="AU32" s="122" t="n">
        <f aca="false">Inputs!$E$27*(1+Inputs!$E$30)^(AU$5-1)</f>
        <v>13.795704</v>
      </c>
      <c r="AV32" s="122" t="n">
        <f aca="false">Inputs!$E$27*(1+Inputs!$E$30)^(AV$5-1)</f>
        <v>13.795704</v>
      </c>
      <c r="AW32" s="122" t="n">
        <f aca="false">Inputs!$E$27*(1+Inputs!$E$30)^(AW$5-1)</f>
        <v>13.795704</v>
      </c>
      <c r="AX32" s="122" t="n">
        <f aca="false">Inputs!$E$27*(1+Inputs!$E$30)^(AX$5-1)</f>
        <v>13.795704</v>
      </c>
      <c r="AY32" s="122" t="n">
        <f aca="false">Inputs!$E$27*(1+Inputs!$E$30)^(AY$5-1)</f>
        <v>14.07161808</v>
      </c>
      <c r="AZ32" s="122" t="n">
        <f aca="false">Inputs!$E$27*(1+Inputs!$E$30)^(AZ$5-1)</f>
        <v>14.07161808</v>
      </c>
      <c r="BA32" s="122" t="n">
        <f aca="false">Inputs!$E$27*(1+Inputs!$E$30)^(BA$5-1)</f>
        <v>14.07161808</v>
      </c>
      <c r="BB32" s="122" t="n">
        <f aca="false">Inputs!$E$27*(1+Inputs!$E$30)^(BB$5-1)</f>
        <v>14.07161808</v>
      </c>
      <c r="BC32" s="122" t="n">
        <f aca="false">Inputs!$E$27*(1+Inputs!$E$30)^(BC$5-1)</f>
        <v>14.07161808</v>
      </c>
      <c r="BD32" s="122" t="n">
        <f aca="false">Inputs!$E$27*(1+Inputs!$E$30)^(BD$5-1)</f>
        <v>14.07161808</v>
      </c>
      <c r="BE32" s="122" t="n">
        <f aca="false">Inputs!$E$27*(1+Inputs!$E$30)^(BE$5-1)</f>
        <v>14.07161808</v>
      </c>
      <c r="BF32" s="122" t="n">
        <f aca="false">Inputs!$E$27*(1+Inputs!$E$30)^(BF$5-1)</f>
        <v>14.07161808</v>
      </c>
      <c r="BG32" s="122" t="n">
        <f aca="false">Inputs!$E$27*(1+Inputs!$E$30)^(BG$5-1)</f>
        <v>14.07161808</v>
      </c>
      <c r="BH32" s="122" t="n">
        <f aca="false">Inputs!$E$27*(1+Inputs!$E$30)^(BH$5-1)</f>
        <v>14.07161808</v>
      </c>
      <c r="BI32" s="122" t="n">
        <f aca="false">Inputs!$E$27*(1+Inputs!$E$30)^(BI$5-1)</f>
        <v>14.07161808</v>
      </c>
      <c r="BJ32" s="122" t="n">
        <f aca="false">Inputs!$E$27*(1+Inputs!$E$30)^(BJ$5-1)</f>
        <v>14.07161808</v>
      </c>
    </row>
    <row r="33" customFormat="false" ht="15" hidden="false" customHeight="false" outlineLevel="0" collapsed="false">
      <c r="A33" s="6" t="s">
        <v>434</v>
      </c>
      <c r="C33" s="122" t="n">
        <f aca="false">Inputs!$E$29*(1+Inputs!$E$30)^(C$5-1)</f>
        <v>35</v>
      </c>
      <c r="D33" s="122" t="n">
        <f aca="false">Inputs!$E$29*(1+Inputs!$E$30)^(D$5-1)</f>
        <v>35</v>
      </c>
      <c r="E33" s="122" t="n">
        <f aca="false">Inputs!$E$29*(1+Inputs!$E$30)^(E$5-1)</f>
        <v>35</v>
      </c>
      <c r="F33" s="122" t="n">
        <f aca="false">Inputs!$E$29*(1+Inputs!$E$30)^(F$5-1)</f>
        <v>35</v>
      </c>
      <c r="G33" s="122" t="n">
        <f aca="false">Inputs!$E$29*(1+Inputs!$E$30)^(G$5-1)</f>
        <v>35</v>
      </c>
      <c r="H33" s="122" t="n">
        <f aca="false">Inputs!$E$29*(1+Inputs!$E$30)^(H$5-1)</f>
        <v>35</v>
      </c>
      <c r="I33" s="122" t="n">
        <f aca="false">Inputs!$E$29*(1+Inputs!$E$30)^(I$5-1)</f>
        <v>35</v>
      </c>
      <c r="J33" s="122" t="n">
        <f aca="false">Inputs!$E$29*(1+Inputs!$E$30)^(J$5-1)</f>
        <v>35</v>
      </c>
      <c r="K33" s="122" t="n">
        <f aca="false">Inputs!$E$29*(1+Inputs!$E$30)^(K$5-1)</f>
        <v>35</v>
      </c>
      <c r="L33" s="122" t="n">
        <f aca="false">Inputs!$E$29*(1+Inputs!$E$30)^(L$5-1)</f>
        <v>35</v>
      </c>
      <c r="M33" s="122" t="n">
        <f aca="false">Inputs!$E$29*(1+Inputs!$E$30)^(M$5-1)</f>
        <v>35</v>
      </c>
      <c r="N33" s="122" t="n">
        <f aca="false">Inputs!$E$29*(1+Inputs!$E$30)^(N$5-1)</f>
        <v>35</v>
      </c>
      <c r="O33" s="122" t="n">
        <f aca="false">Inputs!$E$29*(1+Inputs!$E$30)^(O$5-1)</f>
        <v>35.7</v>
      </c>
      <c r="P33" s="122" t="n">
        <f aca="false">Inputs!$E$29*(1+Inputs!$E$30)^(P$5-1)</f>
        <v>35.7</v>
      </c>
      <c r="Q33" s="122" t="n">
        <f aca="false">Inputs!$E$29*(1+Inputs!$E$30)^(Q$5-1)</f>
        <v>35.7</v>
      </c>
      <c r="R33" s="122" t="n">
        <f aca="false">Inputs!$E$29*(1+Inputs!$E$30)^(R$5-1)</f>
        <v>35.7</v>
      </c>
      <c r="S33" s="122" t="n">
        <f aca="false">Inputs!$E$29*(1+Inputs!$E$30)^(S$5-1)</f>
        <v>35.7</v>
      </c>
      <c r="T33" s="122" t="n">
        <f aca="false">Inputs!$E$29*(1+Inputs!$E$30)^(T$5-1)</f>
        <v>35.7</v>
      </c>
      <c r="U33" s="122" t="n">
        <f aca="false">Inputs!$E$29*(1+Inputs!$E$30)^(U$5-1)</f>
        <v>35.7</v>
      </c>
      <c r="V33" s="122" t="n">
        <f aca="false">Inputs!$E$29*(1+Inputs!$E$30)^(V$5-1)</f>
        <v>35.7</v>
      </c>
      <c r="W33" s="122" t="n">
        <f aca="false">Inputs!$E$29*(1+Inputs!$E$30)^(W$5-1)</f>
        <v>35.7</v>
      </c>
      <c r="X33" s="122" t="n">
        <f aca="false">Inputs!$E$29*(1+Inputs!$E$30)^(X$5-1)</f>
        <v>35.7</v>
      </c>
      <c r="Y33" s="122" t="n">
        <f aca="false">Inputs!$E$29*(1+Inputs!$E$30)^(Y$5-1)</f>
        <v>35.7</v>
      </c>
      <c r="Z33" s="122" t="n">
        <f aca="false">Inputs!$E$29*(1+Inputs!$E$30)^(Z$5-1)</f>
        <v>35.7</v>
      </c>
      <c r="AA33" s="122" t="n">
        <f aca="false">Inputs!$E$29*(1+Inputs!$E$30)^(AA$5-1)</f>
        <v>36.414</v>
      </c>
      <c r="AB33" s="122" t="n">
        <f aca="false">Inputs!$E$29*(1+Inputs!$E$30)^(AB$5-1)</f>
        <v>36.414</v>
      </c>
      <c r="AC33" s="122" t="n">
        <f aca="false">Inputs!$E$29*(1+Inputs!$E$30)^(AC$5-1)</f>
        <v>36.414</v>
      </c>
      <c r="AD33" s="122" t="n">
        <f aca="false">Inputs!$E$29*(1+Inputs!$E$30)^(AD$5-1)</f>
        <v>36.414</v>
      </c>
      <c r="AE33" s="122" t="n">
        <f aca="false">Inputs!$E$29*(1+Inputs!$E$30)^(AE$5-1)</f>
        <v>36.414</v>
      </c>
      <c r="AF33" s="122" t="n">
        <f aca="false">Inputs!$E$29*(1+Inputs!$E$30)^(AF$5-1)</f>
        <v>36.414</v>
      </c>
      <c r="AG33" s="122" t="n">
        <f aca="false">Inputs!$E$29*(1+Inputs!$E$30)^(AG$5-1)</f>
        <v>36.414</v>
      </c>
      <c r="AH33" s="122" t="n">
        <f aca="false">Inputs!$E$29*(1+Inputs!$E$30)^(AH$5-1)</f>
        <v>36.414</v>
      </c>
      <c r="AI33" s="122" t="n">
        <f aca="false">Inputs!$E$29*(1+Inputs!$E$30)^(AI$5-1)</f>
        <v>36.414</v>
      </c>
      <c r="AJ33" s="122" t="n">
        <f aca="false">Inputs!$E$29*(1+Inputs!$E$30)^(AJ$5-1)</f>
        <v>36.414</v>
      </c>
      <c r="AK33" s="122" t="n">
        <f aca="false">Inputs!$E$29*(1+Inputs!$E$30)^(AK$5-1)</f>
        <v>36.414</v>
      </c>
      <c r="AL33" s="122" t="n">
        <f aca="false">Inputs!$E$29*(1+Inputs!$E$30)^(AL$5-1)</f>
        <v>36.414</v>
      </c>
      <c r="AM33" s="122" t="n">
        <f aca="false">Inputs!$E$29*(1+Inputs!$E$30)^(AM$5-1)</f>
        <v>37.14228</v>
      </c>
      <c r="AN33" s="122" t="n">
        <f aca="false">Inputs!$E$29*(1+Inputs!$E$30)^(AN$5-1)</f>
        <v>37.14228</v>
      </c>
      <c r="AO33" s="122" t="n">
        <f aca="false">Inputs!$E$29*(1+Inputs!$E$30)^(AO$5-1)</f>
        <v>37.14228</v>
      </c>
      <c r="AP33" s="122" t="n">
        <f aca="false">Inputs!$E$29*(1+Inputs!$E$30)^(AP$5-1)</f>
        <v>37.14228</v>
      </c>
      <c r="AQ33" s="122" t="n">
        <f aca="false">Inputs!$E$29*(1+Inputs!$E$30)^(AQ$5-1)</f>
        <v>37.14228</v>
      </c>
      <c r="AR33" s="122" t="n">
        <f aca="false">Inputs!$E$29*(1+Inputs!$E$30)^(AR$5-1)</f>
        <v>37.14228</v>
      </c>
      <c r="AS33" s="122" t="n">
        <f aca="false">Inputs!$E$29*(1+Inputs!$E$30)^(AS$5-1)</f>
        <v>37.14228</v>
      </c>
      <c r="AT33" s="122" t="n">
        <f aca="false">Inputs!$E$29*(1+Inputs!$E$30)^(AT$5-1)</f>
        <v>37.14228</v>
      </c>
      <c r="AU33" s="122" t="n">
        <f aca="false">Inputs!$E$29*(1+Inputs!$E$30)^(AU$5-1)</f>
        <v>37.14228</v>
      </c>
      <c r="AV33" s="122" t="n">
        <f aca="false">Inputs!$E$29*(1+Inputs!$E$30)^(AV$5-1)</f>
        <v>37.14228</v>
      </c>
      <c r="AW33" s="122" t="n">
        <f aca="false">Inputs!$E$29*(1+Inputs!$E$30)^(AW$5-1)</f>
        <v>37.14228</v>
      </c>
      <c r="AX33" s="122" t="n">
        <f aca="false">Inputs!$E$29*(1+Inputs!$E$30)^(AX$5-1)</f>
        <v>37.14228</v>
      </c>
      <c r="AY33" s="122" t="n">
        <f aca="false">Inputs!$E$29*(1+Inputs!$E$30)^(AY$5-1)</f>
        <v>37.8851256</v>
      </c>
      <c r="AZ33" s="122" t="n">
        <f aca="false">Inputs!$E$29*(1+Inputs!$E$30)^(AZ$5-1)</f>
        <v>37.8851256</v>
      </c>
      <c r="BA33" s="122" t="n">
        <f aca="false">Inputs!$E$29*(1+Inputs!$E$30)^(BA$5-1)</f>
        <v>37.8851256</v>
      </c>
      <c r="BB33" s="122" t="n">
        <f aca="false">Inputs!$E$29*(1+Inputs!$E$30)^(BB$5-1)</f>
        <v>37.8851256</v>
      </c>
      <c r="BC33" s="122" t="n">
        <f aca="false">Inputs!$E$29*(1+Inputs!$E$30)^(BC$5-1)</f>
        <v>37.8851256</v>
      </c>
      <c r="BD33" s="122" t="n">
        <f aca="false">Inputs!$E$29*(1+Inputs!$E$30)^(BD$5-1)</f>
        <v>37.8851256</v>
      </c>
      <c r="BE33" s="122" t="n">
        <f aca="false">Inputs!$E$29*(1+Inputs!$E$30)^(BE$5-1)</f>
        <v>37.8851256</v>
      </c>
      <c r="BF33" s="122" t="n">
        <f aca="false">Inputs!$E$29*(1+Inputs!$E$30)^(BF$5-1)</f>
        <v>37.8851256</v>
      </c>
      <c r="BG33" s="122" t="n">
        <f aca="false">Inputs!$E$29*(1+Inputs!$E$30)^(BG$5-1)</f>
        <v>37.8851256</v>
      </c>
      <c r="BH33" s="122" t="n">
        <f aca="false">Inputs!$E$29*(1+Inputs!$E$30)^(BH$5-1)</f>
        <v>37.8851256</v>
      </c>
      <c r="BI33" s="122" t="n">
        <f aca="false">Inputs!$E$29*(1+Inputs!$E$30)^(BI$5-1)</f>
        <v>37.8851256</v>
      </c>
      <c r="BJ33" s="122" t="n">
        <f aca="false">Inputs!$E$29*(1+Inputs!$E$30)^(BJ$5-1)</f>
        <v>37.8851256</v>
      </c>
    </row>
    <row r="34" customFormat="false" ht="15" hidden="false" customHeight="false" outlineLevel="0" collapsed="false">
      <c r="A34" s="6" t="s">
        <v>435</v>
      </c>
      <c r="C34" s="69" t="n">
        <f aca="false">C26*C32</f>
        <v>34608.6</v>
      </c>
      <c r="D34" s="69" t="n">
        <f aca="false">D26*D32</f>
        <v>39308.5333333333</v>
      </c>
      <c r="E34" s="69" t="n">
        <f aca="false">E26*E32</f>
        <v>54363.4</v>
      </c>
      <c r="F34" s="69" t="n">
        <f aca="false">F26*F32</f>
        <v>60169.2</v>
      </c>
      <c r="G34" s="69" t="n">
        <f aca="false">G26*G32</f>
        <v>65975</v>
      </c>
      <c r="H34" s="69" t="n">
        <f aca="false">H26*H32</f>
        <v>71780.8</v>
      </c>
      <c r="I34" s="69" t="n">
        <f aca="false">I26*I32</f>
        <v>77586.6</v>
      </c>
      <c r="J34" s="69" t="n">
        <f aca="false">J26*J32</f>
        <v>83392.4</v>
      </c>
      <c r="K34" s="69" t="n">
        <f aca="false">K26*K32</f>
        <v>89198.2</v>
      </c>
      <c r="L34" s="69" t="n">
        <f aca="false">L26*L32</f>
        <v>95004</v>
      </c>
      <c r="M34" s="69" t="n">
        <f aca="false">M26*M32</f>
        <v>95004</v>
      </c>
      <c r="N34" s="69" t="n">
        <f aca="false">N26*N32</f>
        <v>76908</v>
      </c>
      <c r="O34" s="69" t="n">
        <f aca="false">O26*O32</f>
        <v>78446.16</v>
      </c>
      <c r="P34" s="69" t="n">
        <f aca="false">P26*P32</f>
        <v>78446.16</v>
      </c>
      <c r="Q34" s="69" t="n">
        <f aca="false">Q26*Q32</f>
        <v>96904.08</v>
      </c>
      <c r="R34" s="69" t="n">
        <f aca="false">R26*R32</f>
        <v>96904.08</v>
      </c>
      <c r="S34" s="69" t="n">
        <f aca="false">S26*S32</f>
        <v>96904.08</v>
      </c>
      <c r="T34" s="69" t="n">
        <f aca="false">T26*T32</f>
        <v>96904.08</v>
      </c>
      <c r="U34" s="69" t="n">
        <f aca="false">U26*U32</f>
        <v>96904.08</v>
      </c>
      <c r="V34" s="69" t="n">
        <f aca="false">V26*V32</f>
        <v>96904.08</v>
      </c>
      <c r="W34" s="69" t="n">
        <f aca="false">W26*W32</f>
        <v>96904.08</v>
      </c>
      <c r="X34" s="69" t="n">
        <f aca="false">X26*X32</f>
        <v>96904.08</v>
      </c>
      <c r="Y34" s="69" t="n">
        <f aca="false">Y26*Y32</f>
        <v>96904.08</v>
      </c>
      <c r="Z34" s="69" t="n">
        <f aca="false">Z26*Z32</f>
        <v>78446.16</v>
      </c>
      <c r="AA34" s="69" t="n">
        <f aca="false">AA26*AA32</f>
        <v>80015.0832</v>
      </c>
      <c r="AB34" s="69" t="n">
        <f aca="false">AB26*AB32</f>
        <v>80015.0832</v>
      </c>
      <c r="AC34" s="69" t="n">
        <f aca="false">AC26*AC32</f>
        <v>98842.1616</v>
      </c>
      <c r="AD34" s="69" t="n">
        <f aca="false">AD26*AD32</f>
        <v>98842.1616</v>
      </c>
      <c r="AE34" s="69" t="n">
        <f aca="false">AE26*AE32</f>
        <v>98842.1616</v>
      </c>
      <c r="AF34" s="69" t="n">
        <f aca="false">AF26*AF32</f>
        <v>98842.1616</v>
      </c>
      <c r="AG34" s="69" t="n">
        <f aca="false">AG26*AG32</f>
        <v>98842.1616</v>
      </c>
      <c r="AH34" s="69" t="n">
        <f aca="false">AH26*AH32</f>
        <v>98842.1616</v>
      </c>
      <c r="AI34" s="69" t="n">
        <f aca="false">AI26*AI32</f>
        <v>98842.1616</v>
      </c>
      <c r="AJ34" s="69" t="n">
        <f aca="false">AJ26*AJ32</f>
        <v>98842.1616</v>
      </c>
      <c r="AK34" s="69" t="n">
        <f aca="false">AK26*AK32</f>
        <v>98842.1616</v>
      </c>
      <c r="AL34" s="69" t="n">
        <f aca="false">AL26*AL32</f>
        <v>80015.0832</v>
      </c>
      <c r="AM34" s="69" t="n">
        <f aca="false">AM26*AM32</f>
        <v>81615.384864</v>
      </c>
      <c r="AN34" s="69" t="n">
        <f aca="false">AN26*AN32</f>
        <v>81615.384864</v>
      </c>
      <c r="AO34" s="69" t="n">
        <f aca="false">AO26*AO32</f>
        <v>100819.004832</v>
      </c>
      <c r="AP34" s="69" t="n">
        <f aca="false">AP26*AP32</f>
        <v>100819.004832</v>
      </c>
      <c r="AQ34" s="69" t="n">
        <f aca="false">AQ26*AQ32</f>
        <v>100819.004832</v>
      </c>
      <c r="AR34" s="69" t="n">
        <f aca="false">AR26*AR32</f>
        <v>100819.004832</v>
      </c>
      <c r="AS34" s="69" t="n">
        <f aca="false">AS26*AS32</f>
        <v>100819.004832</v>
      </c>
      <c r="AT34" s="69" t="n">
        <f aca="false">AT26*AT32</f>
        <v>100819.004832</v>
      </c>
      <c r="AU34" s="69" t="n">
        <f aca="false">AU26*AU32</f>
        <v>100819.004832</v>
      </c>
      <c r="AV34" s="69" t="n">
        <f aca="false">AV26*AV32</f>
        <v>100819.004832</v>
      </c>
      <c r="AW34" s="69" t="n">
        <f aca="false">AW26*AW32</f>
        <v>100819.004832</v>
      </c>
      <c r="AX34" s="69" t="n">
        <f aca="false">AX26*AX32</f>
        <v>81615.384864</v>
      </c>
      <c r="AY34" s="69" t="n">
        <f aca="false">AY26*AY32</f>
        <v>83247.69256128</v>
      </c>
      <c r="AZ34" s="69" t="n">
        <f aca="false">AZ26*AZ32</f>
        <v>83247.69256128</v>
      </c>
      <c r="BA34" s="69" t="n">
        <f aca="false">BA26*BA32</f>
        <v>102835.38492864</v>
      </c>
      <c r="BB34" s="69" t="n">
        <f aca="false">BB26*BB32</f>
        <v>102835.38492864</v>
      </c>
      <c r="BC34" s="69" t="n">
        <f aca="false">BC26*BC32</f>
        <v>102835.38492864</v>
      </c>
      <c r="BD34" s="69" t="n">
        <f aca="false">BD26*BD32</f>
        <v>102835.38492864</v>
      </c>
      <c r="BE34" s="69" t="n">
        <f aca="false">BE26*BE32</f>
        <v>102835.38492864</v>
      </c>
      <c r="BF34" s="69" t="n">
        <f aca="false">BF26*BF32</f>
        <v>102835.38492864</v>
      </c>
      <c r="BG34" s="69" t="n">
        <f aca="false">BG26*BG32</f>
        <v>102835.38492864</v>
      </c>
      <c r="BH34" s="69" t="n">
        <f aca="false">BH26*BH32</f>
        <v>102835.38492864</v>
      </c>
      <c r="BI34" s="69" t="n">
        <f aca="false">BI26*BI32</f>
        <v>102835.38492864</v>
      </c>
      <c r="BJ34" s="69" t="n">
        <f aca="false">BJ26*BJ32</f>
        <v>83247.69256128</v>
      </c>
    </row>
    <row r="35" customFormat="false" ht="15" hidden="false" customHeight="false" outlineLevel="0" collapsed="false">
      <c r="A35" s="6" t="s">
        <v>436</v>
      </c>
      <c r="C35" s="69" t="n">
        <f aca="false">C26*Inputs!$E$28*(1+Inputs!$E$30)^(C$5-1)</f>
        <v>3993.3</v>
      </c>
      <c r="D35" s="69" t="n">
        <f aca="false">D26*Inputs!$E$28*(1+Inputs!$E$30)^(D$5-1)</f>
        <v>4535.6</v>
      </c>
      <c r="E35" s="69" t="n">
        <f aca="false">E26*Inputs!$E$28*(1+Inputs!$E$30)^(E$5-1)</f>
        <v>6272.7</v>
      </c>
      <c r="F35" s="69" t="n">
        <f aca="false">F26*Inputs!$E$28*(1+Inputs!$E$30)^(F$5-1)</f>
        <v>6942.6</v>
      </c>
      <c r="G35" s="69" t="n">
        <f aca="false">G26*Inputs!$E$28*(1+Inputs!$E$30)^(G$5-1)</f>
        <v>7612.5</v>
      </c>
      <c r="H35" s="69" t="n">
        <f aca="false">H26*Inputs!$E$28*(1+Inputs!$E$30)^(H$5-1)</f>
        <v>8282.4</v>
      </c>
      <c r="I35" s="69" t="n">
        <f aca="false">I26*Inputs!$E$28*(1+Inputs!$E$30)^(I$5-1)</f>
        <v>8952.3</v>
      </c>
      <c r="J35" s="69" t="n">
        <f aca="false">J26*Inputs!$E$28*(1+Inputs!$E$30)^(J$5-1)</f>
        <v>9622.2</v>
      </c>
      <c r="K35" s="69" t="n">
        <f aca="false">K26*Inputs!$E$28*(1+Inputs!$E$30)^(K$5-1)</f>
        <v>10292.1</v>
      </c>
      <c r="L35" s="69" t="n">
        <f aca="false">L26*Inputs!$E$28*(1+Inputs!$E$30)^(L$5-1)</f>
        <v>10962</v>
      </c>
      <c r="M35" s="69" t="n">
        <f aca="false">M26*Inputs!$E$28*(1+Inputs!$E$30)^(M$5-1)</f>
        <v>10962</v>
      </c>
      <c r="N35" s="69" t="n">
        <f aca="false">N26*Inputs!$E$28*(1+Inputs!$E$30)^(N$5-1)</f>
        <v>8874</v>
      </c>
      <c r="O35" s="69" t="n">
        <f aca="false">O26*Inputs!$E$28*(1+Inputs!$E$30)^(O$5-1)</f>
        <v>9051.48</v>
      </c>
      <c r="P35" s="69" t="n">
        <f aca="false">P26*Inputs!$E$28*(1+Inputs!$E$30)^(P$5-1)</f>
        <v>9051.48</v>
      </c>
      <c r="Q35" s="69" t="n">
        <f aca="false">Q26*Inputs!$E$28*(1+Inputs!$E$30)^(Q$5-1)</f>
        <v>11181.24</v>
      </c>
      <c r="R35" s="69" t="n">
        <f aca="false">R26*Inputs!$E$28*(1+Inputs!$E$30)^(R$5-1)</f>
        <v>11181.24</v>
      </c>
      <c r="S35" s="69" t="n">
        <f aca="false">S26*Inputs!$E$28*(1+Inputs!$E$30)^(S$5-1)</f>
        <v>11181.24</v>
      </c>
      <c r="T35" s="69" t="n">
        <f aca="false">T26*Inputs!$E$28*(1+Inputs!$E$30)^(T$5-1)</f>
        <v>11181.24</v>
      </c>
      <c r="U35" s="69" t="n">
        <f aca="false">U26*Inputs!$E$28*(1+Inputs!$E$30)^(U$5-1)</f>
        <v>11181.24</v>
      </c>
      <c r="V35" s="69" t="n">
        <f aca="false">V26*Inputs!$E$28*(1+Inputs!$E$30)^(V$5-1)</f>
        <v>11181.24</v>
      </c>
      <c r="W35" s="69" t="n">
        <f aca="false">W26*Inputs!$E$28*(1+Inputs!$E$30)^(W$5-1)</f>
        <v>11181.24</v>
      </c>
      <c r="X35" s="69" t="n">
        <f aca="false">X26*Inputs!$E$28*(1+Inputs!$E$30)^(X$5-1)</f>
        <v>11181.24</v>
      </c>
      <c r="Y35" s="69" t="n">
        <f aca="false">Y26*Inputs!$E$28*(1+Inputs!$E$30)^(Y$5-1)</f>
        <v>11181.24</v>
      </c>
      <c r="Z35" s="69" t="n">
        <f aca="false">Z26*Inputs!$E$28*(1+Inputs!$E$30)^(Z$5-1)</f>
        <v>9051.48</v>
      </c>
      <c r="AA35" s="69" t="n">
        <f aca="false">AA26*Inputs!$E$28*(1+Inputs!$E$30)^(AA$5-1)</f>
        <v>9232.5096</v>
      </c>
      <c r="AB35" s="69" t="n">
        <f aca="false">AB26*Inputs!$E$28*(1+Inputs!$E$30)^(AB$5-1)</f>
        <v>9232.5096</v>
      </c>
      <c r="AC35" s="69" t="n">
        <f aca="false">AC26*Inputs!$E$28*(1+Inputs!$E$30)^(AC$5-1)</f>
        <v>11404.8648</v>
      </c>
      <c r="AD35" s="69" t="n">
        <f aca="false">AD26*Inputs!$E$28*(1+Inputs!$E$30)^(AD$5-1)</f>
        <v>11404.8648</v>
      </c>
      <c r="AE35" s="69" t="n">
        <f aca="false">AE26*Inputs!$E$28*(1+Inputs!$E$30)^(AE$5-1)</f>
        <v>11404.8648</v>
      </c>
      <c r="AF35" s="69" t="n">
        <f aca="false">AF26*Inputs!$E$28*(1+Inputs!$E$30)^(AF$5-1)</f>
        <v>11404.8648</v>
      </c>
      <c r="AG35" s="69" t="n">
        <f aca="false">AG26*Inputs!$E$28*(1+Inputs!$E$30)^(AG$5-1)</f>
        <v>11404.8648</v>
      </c>
      <c r="AH35" s="69" t="n">
        <f aca="false">AH26*Inputs!$E$28*(1+Inputs!$E$30)^(AH$5-1)</f>
        <v>11404.8648</v>
      </c>
      <c r="AI35" s="69" t="n">
        <f aca="false">AI26*Inputs!$E$28*(1+Inputs!$E$30)^(AI$5-1)</f>
        <v>11404.8648</v>
      </c>
      <c r="AJ35" s="69" t="n">
        <f aca="false">AJ26*Inputs!$E$28*(1+Inputs!$E$30)^(AJ$5-1)</f>
        <v>11404.8648</v>
      </c>
      <c r="AK35" s="69" t="n">
        <f aca="false">AK26*Inputs!$E$28*(1+Inputs!$E$30)^(AK$5-1)</f>
        <v>11404.8648</v>
      </c>
      <c r="AL35" s="69" t="n">
        <f aca="false">AL26*Inputs!$E$28*(1+Inputs!$E$30)^(AL$5-1)</f>
        <v>9232.5096</v>
      </c>
      <c r="AM35" s="69" t="n">
        <f aca="false">AM26*Inputs!$E$28*(1+Inputs!$E$30)^(AM$5-1)</f>
        <v>9417.159792</v>
      </c>
      <c r="AN35" s="69" t="n">
        <f aca="false">AN26*Inputs!$E$28*(1+Inputs!$E$30)^(AN$5-1)</f>
        <v>9417.159792</v>
      </c>
      <c r="AO35" s="69" t="n">
        <f aca="false">AO26*Inputs!$E$28*(1+Inputs!$E$30)^(AO$5-1)</f>
        <v>11632.962096</v>
      </c>
      <c r="AP35" s="69" t="n">
        <f aca="false">AP26*Inputs!$E$28*(1+Inputs!$E$30)^(AP$5-1)</f>
        <v>11632.962096</v>
      </c>
      <c r="AQ35" s="69" t="n">
        <f aca="false">AQ26*Inputs!$E$28*(1+Inputs!$E$30)^(AQ$5-1)</f>
        <v>11632.962096</v>
      </c>
      <c r="AR35" s="69" t="n">
        <f aca="false">AR26*Inputs!$E$28*(1+Inputs!$E$30)^(AR$5-1)</f>
        <v>11632.962096</v>
      </c>
      <c r="AS35" s="69" t="n">
        <f aca="false">AS26*Inputs!$E$28*(1+Inputs!$E$30)^(AS$5-1)</f>
        <v>11632.962096</v>
      </c>
      <c r="AT35" s="69" t="n">
        <f aca="false">AT26*Inputs!$E$28*(1+Inputs!$E$30)^(AT$5-1)</f>
        <v>11632.962096</v>
      </c>
      <c r="AU35" s="69" t="n">
        <f aca="false">AU26*Inputs!$E$28*(1+Inputs!$E$30)^(AU$5-1)</f>
        <v>11632.962096</v>
      </c>
      <c r="AV35" s="69" t="n">
        <f aca="false">AV26*Inputs!$E$28*(1+Inputs!$E$30)^(AV$5-1)</f>
        <v>11632.962096</v>
      </c>
      <c r="AW35" s="69" t="n">
        <f aca="false">AW26*Inputs!$E$28*(1+Inputs!$E$30)^(AW$5-1)</f>
        <v>11632.962096</v>
      </c>
      <c r="AX35" s="69" t="n">
        <f aca="false">AX26*Inputs!$E$28*(1+Inputs!$E$30)^(AX$5-1)</f>
        <v>9417.159792</v>
      </c>
      <c r="AY35" s="69" t="n">
        <f aca="false">AY26*Inputs!$E$28*(1+Inputs!$E$30)^(AY$5-1)</f>
        <v>9605.50298784</v>
      </c>
      <c r="AZ35" s="69" t="n">
        <f aca="false">AZ26*Inputs!$E$28*(1+Inputs!$E$30)^(AZ$5-1)</f>
        <v>9605.50298784</v>
      </c>
      <c r="BA35" s="69" t="n">
        <f aca="false">BA26*Inputs!$E$28*(1+Inputs!$E$30)^(BA$5-1)</f>
        <v>11865.62133792</v>
      </c>
      <c r="BB35" s="69" t="n">
        <f aca="false">BB26*Inputs!$E$28*(1+Inputs!$E$30)^(BB$5-1)</f>
        <v>11865.62133792</v>
      </c>
      <c r="BC35" s="69" t="n">
        <f aca="false">BC26*Inputs!$E$28*(1+Inputs!$E$30)^(BC$5-1)</f>
        <v>11865.62133792</v>
      </c>
      <c r="BD35" s="69" t="n">
        <f aca="false">BD26*Inputs!$E$28*(1+Inputs!$E$30)^(BD$5-1)</f>
        <v>11865.62133792</v>
      </c>
      <c r="BE35" s="69" t="n">
        <f aca="false">BE26*Inputs!$E$28*(1+Inputs!$E$30)^(BE$5-1)</f>
        <v>11865.62133792</v>
      </c>
      <c r="BF35" s="69" t="n">
        <f aca="false">BF26*Inputs!$E$28*(1+Inputs!$E$30)^(BF$5-1)</f>
        <v>11865.62133792</v>
      </c>
      <c r="BG35" s="69" t="n">
        <f aca="false">BG26*Inputs!$E$28*(1+Inputs!$E$30)^(BG$5-1)</f>
        <v>11865.62133792</v>
      </c>
      <c r="BH35" s="69" t="n">
        <f aca="false">BH26*Inputs!$E$28*(1+Inputs!$E$30)^(BH$5-1)</f>
        <v>11865.62133792</v>
      </c>
      <c r="BI35" s="69" t="n">
        <f aca="false">BI26*Inputs!$E$28*(1+Inputs!$E$30)^(BI$5-1)</f>
        <v>11865.62133792</v>
      </c>
      <c r="BJ35" s="69" t="n">
        <f aca="false">BJ26*Inputs!$E$28*(1+Inputs!$E$30)^(BJ$5-1)</f>
        <v>9605.50298784</v>
      </c>
    </row>
    <row r="36" customFormat="false" ht="15" hidden="false" customHeight="false" outlineLevel="0" collapsed="false">
      <c r="A36" s="6" t="s">
        <v>243</v>
      </c>
      <c r="C36" s="69" t="n">
        <f aca="false">C20*C33*1</f>
        <v>9341.458</v>
      </c>
      <c r="D36" s="69" t="n">
        <f aca="false">D20*D33*1</f>
        <v>10604.8025688889</v>
      </c>
      <c r="E36" s="69" t="n">
        <f aca="false">E20*E33*1</f>
        <v>12137.3017994667</v>
      </c>
      <c r="F36" s="69" t="n">
        <f aca="false">F20*F33*1</f>
        <v>13940.0988385991</v>
      </c>
      <c r="G36" s="69" t="n">
        <f aca="false">G20*G33*1</f>
        <v>15902.7764406107</v>
      </c>
      <c r="H36" s="69" t="n">
        <f aca="false">H20*H33*1</f>
        <v>18018.9393829863</v>
      </c>
      <c r="I36" s="69" t="n">
        <f aca="false">I20*I33*1</f>
        <v>20282.4482521113</v>
      </c>
      <c r="J36" s="69" t="n">
        <f aca="false">J20*J33*1</f>
        <v>22687.4092109157</v>
      </c>
      <c r="K36" s="69" t="n">
        <f aca="false">K20*K33*1</f>
        <v>25228.1641758124</v>
      </c>
      <c r="L36" s="69" t="n">
        <f aca="false">L20*L33*1</f>
        <v>27899.2813865577</v>
      </c>
      <c r="M36" s="69" t="n">
        <f aca="false">M20*M33*1</f>
        <v>30579.5501310954</v>
      </c>
      <c r="N36" s="69" t="n">
        <f aca="false">N20*N33*1</f>
        <v>32957.7281258516</v>
      </c>
      <c r="O36" s="69" t="n">
        <f aca="false">O20*O33*1</f>
        <v>35791.4419808339</v>
      </c>
      <c r="P36" s="69" t="n">
        <f aca="false">P20*P33*1</f>
        <v>37923.6439016005</v>
      </c>
      <c r="Q36" s="69" t="n">
        <f aca="false">Q20*Q33*1</f>
        <v>40169.3353455365</v>
      </c>
      <c r="R36" s="69" t="n">
        <f aca="false">R20*R33*1</f>
        <v>42523.976731715</v>
      </c>
      <c r="S36" s="69" t="n">
        <f aca="false">S20*S33*1</f>
        <v>44784.4324624464</v>
      </c>
      <c r="T36" s="69" t="n">
        <f aca="false">T20*T33*1</f>
        <v>46954.4699639486</v>
      </c>
      <c r="U36" s="69" t="n">
        <f aca="false">U20*U33*1</f>
        <v>49037.7059653906</v>
      </c>
      <c r="V36" s="69" t="n">
        <f aca="false">V20*V33*1</f>
        <v>51037.612526775</v>
      </c>
      <c r="W36" s="69" t="n">
        <f aca="false">W20*W33*1</f>
        <v>52957.522825704</v>
      </c>
      <c r="X36" s="69" t="n">
        <f aca="false">X20*X33*1</f>
        <v>54800.6367126758</v>
      </c>
      <c r="Y36" s="69" t="n">
        <f aca="false">Y20*Y33*1</f>
        <v>56570.0260441688</v>
      </c>
      <c r="Z36" s="69" t="n">
        <f aca="false">Z20*Z33*1</f>
        <v>58069.862202402</v>
      </c>
      <c r="AA36" s="69" t="n">
        <f aca="false">AA20*AA33*1</f>
        <v>60544.9392355921</v>
      </c>
      <c r="AB36" s="69" t="n">
        <f aca="false">AB20*AB33*1</f>
        <v>61853.8652081684</v>
      </c>
      <c r="AC36" s="69" t="n">
        <f aca="false">AC20*AC33*1</f>
        <v>63313.1872938416</v>
      </c>
      <c r="AD36" s="69" t="n">
        <f aca="false">AD20*AD33*1</f>
        <v>64916.889648088</v>
      </c>
      <c r="AE36" s="69" t="n">
        <f aca="false">AE20*AE33*1</f>
        <v>66456.4439081644</v>
      </c>
      <c r="AF36" s="69" t="n">
        <f aca="false">AF20*AF33*1</f>
        <v>67934.4159978379</v>
      </c>
      <c r="AG36" s="69" t="n">
        <f aca="false">AG20*AG33*1</f>
        <v>69353.2692039243</v>
      </c>
      <c r="AH36" s="69" t="n">
        <f aca="false">AH20*AH33*1</f>
        <v>70715.3682817674</v>
      </c>
      <c r="AI36" s="69" t="n">
        <f aca="false">AI20*AI33*1</f>
        <v>72022.9833964967</v>
      </c>
      <c r="AJ36" s="69" t="n">
        <f aca="false">AJ20*AJ33*1</f>
        <v>73278.2939066368</v>
      </c>
      <c r="AK36" s="69" t="n">
        <f aca="false">AK20*AK33*1</f>
        <v>74483.3919963713</v>
      </c>
      <c r="AL36" s="69" t="n">
        <f aca="false">AL20*AL33*1</f>
        <v>75437.5330105165</v>
      </c>
      <c r="AM36" s="69" t="n">
        <f aca="false">AM20*AM33*1</f>
        <v>77724.9570413627</v>
      </c>
      <c r="AN36" s="69" t="n">
        <f aca="false">AN20*AN33*1</f>
        <v>78523.6701817982</v>
      </c>
      <c r="AO36" s="69" t="n">
        <f aca="false">AO20*AO33*1</f>
        <v>79497.2430116563</v>
      </c>
      <c r="AP36" s="69" t="n">
        <f aca="false">AP20*AP33*1</f>
        <v>80638.68114336</v>
      </c>
      <c r="AQ36" s="69" t="n">
        <f aca="false">AQ20*AQ33*1</f>
        <v>81734.4617497956</v>
      </c>
      <c r="AR36" s="69" t="n">
        <f aca="false">AR20*AR33*1</f>
        <v>82786.4111319738</v>
      </c>
      <c r="AS36" s="69" t="n">
        <f aca="false">AS20*AS33*1</f>
        <v>83796.2825388648</v>
      </c>
      <c r="AT36" s="69" t="n">
        <f aca="false">AT20*AT33*1</f>
        <v>84765.7590894802</v>
      </c>
      <c r="AU36" s="69" t="n">
        <f aca="false">AU20*AU33*1</f>
        <v>85696.456578071</v>
      </c>
      <c r="AV36" s="69" t="n">
        <f aca="false">AV20*AV33*1</f>
        <v>86589.9261671182</v>
      </c>
      <c r="AW36" s="69" t="n">
        <f aca="false">AW20*AW33*1</f>
        <v>87447.6569726034</v>
      </c>
      <c r="AX36" s="69" t="n">
        <f aca="false">AX20*AX33*1</f>
        <v>88064.2703308293</v>
      </c>
      <c r="AY36" s="69" t="n">
        <f aca="false">AY20*AY33*1</f>
        <v>90273.2201191332</v>
      </c>
      <c r="AZ36" s="69" t="n">
        <f aca="false">AZ20*AZ33*1</f>
        <v>90757.7988862064</v>
      </c>
      <c r="BA36" s="69" t="n">
        <f aca="false">BA20*BA33*1</f>
        <v>91433.9388819375</v>
      </c>
      <c r="BB36" s="69" t="n">
        <f aca="false">BB20*BB33*1</f>
        <v>92293.9776571802</v>
      </c>
      <c r="BC36" s="69" t="n">
        <f aca="false">BC20*BC33*1</f>
        <v>93119.6148814131</v>
      </c>
      <c r="BD36" s="69" t="n">
        <f aca="false">BD20*BD33*1</f>
        <v>93912.2266166767</v>
      </c>
      <c r="BE36" s="69" t="n">
        <f aca="false">BE20*BE33*1</f>
        <v>94673.1338825298</v>
      </c>
      <c r="BF36" s="69" t="n">
        <f aca="false">BF20*BF33*1</f>
        <v>95403.6048577487</v>
      </c>
      <c r="BG36" s="69" t="n">
        <f aca="false">BG20*BG33*1</f>
        <v>96104.8569939589</v>
      </c>
      <c r="BH36" s="69" t="n">
        <f aca="false">BH20*BH33*1</f>
        <v>96778.0590447207</v>
      </c>
      <c r="BI36" s="69" t="n">
        <f aca="false">BI20*BI33*1</f>
        <v>97424.333013452</v>
      </c>
      <c r="BJ36" s="69" t="n">
        <f aca="false">BJ20*BJ33*1</f>
        <v>97833.8116440933</v>
      </c>
    </row>
    <row r="37" customFormat="false" ht="15" hidden="false" customHeight="false" outlineLevel="0" collapsed="false">
      <c r="A37" s="113" t="s">
        <v>44</v>
      </c>
      <c r="C37" s="70" t="n">
        <f aca="false">C34+C35+C36</f>
        <v>47943.358</v>
      </c>
      <c r="D37" s="70" t="n">
        <f aca="false">D34+D35+D36</f>
        <v>54448.9359022222</v>
      </c>
      <c r="E37" s="70" t="n">
        <f aca="false">E34+E35+E36</f>
        <v>72773.4017994667</v>
      </c>
      <c r="F37" s="70" t="n">
        <f aca="false">F34+F35+F36</f>
        <v>81051.8988385991</v>
      </c>
      <c r="G37" s="70" t="n">
        <f aca="false">G34+G35+G36</f>
        <v>89490.2764406107</v>
      </c>
      <c r="H37" s="70" t="n">
        <f aca="false">H34+H35+H36</f>
        <v>98082.1393829863</v>
      </c>
      <c r="I37" s="70" t="n">
        <f aca="false">I34+I35+I36</f>
        <v>106821.348252111</v>
      </c>
      <c r="J37" s="70" t="n">
        <f aca="false">J34+J35+J36</f>
        <v>115702.009210916</v>
      </c>
      <c r="K37" s="70" t="n">
        <f aca="false">K34+K35+K36</f>
        <v>124718.464175812</v>
      </c>
      <c r="L37" s="70" t="n">
        <f aca="false">L34+L35+L36</f>
        <v>133865.281386558</v>
      </c>
      <c r="M37" s="70" t="n">
        <f aca="false">M34+M35+M36</f>
        <v>136545.550131095</v>
      </c>
      <c r="N37" s="70" t="n">
        <f aca="false">N34+N35+N36</f>
        <v>118739.728125852</v>
      </c>
      <c r="O37" s="70" t="n">
        <f aca="false">O34+O35+O36</f>
        <v>123289.081980834</v>
      </c>
      <c r="P37" s="70" t="n">
        <f aca="false">P34+P35+P36</f>
        <v>125421.283901601</v>
      </c>
      <c r="Q37" s="70" t="n">
        <f aca="false">Q34+Q35+Q36</f>
        <v>148254.655345536</v>
      </c>
      <c r="R37" s="70" t="n">
        <f aca="false">R34+R35+R36</f>
        <v>150609.296731715</v>
      </c>
      <c r="S37" s="70" t="n">
        <f aca="false">S34+S35+S36</f>
        <v>152869.752462446</v>
      </c>
      <c r="T37" s="70" t="n">
        <f aca="false">T34+T35+T36</f>
        <v>155039.789963949</v>
      </c>
      <c r="U37" s="70" t="n">
        <f aca="false">U34+U35+U36</f>
        <v>157123.025965391</v>
      </c>
      <c r="V37" s="70" t="n">
        <f aca="false">V34+V35+V36</f>
        <v>159122.932526775</v>
      </c>
      <c r="W37" s="70" t="n">
        <f aca="false">W34+W35+W36</f>
        <v>161042.842825704</v>
      </c>
      <c r="X37" s="70" t="n">
        <f aca="false">X34+X35+X36</f>
        <v>162885.956712676</v>
      </c>
      <c r="Y37" s="70" t="n">
        <f aca="false">Y34+Y35+Y36</f>
        <v>164655.346044169</v>
      </c>
      <c r="Z37" s="70" t="n">
        <f aca="false">Z34+Z35+Z36</f>
        <v>145567.502202402</v>
      </c>
      <c r="AA37" s="70" t="n">
        <f aca="false">AA34+AA35+AA36</f>
        <v>149792.532035592</v>
      </c>
      <c r="AB37" s="70" t="n">
        <f aca="false">AB34+AB35+AB36</f>
        <v>151101.458008168</v>
      </c>
      <c r="AC37" s="70" t="n">
        <f aca="false">AC34+AC35+AC36</f>
        <v>173560.213693842</v>
      </c>
      <c r="AD37" s="70" t="n">
        <f aca="false">AD34+AD35+AD36</f>
        <v>175163.916048088</v>
      </c>
      <c r="AE37" s="70" t="n">
        <f aca="false">AE34+AE35+AE36</f>
        <v>176703.470308164</v>
      </c>
      <c r="AF37" s="70" t="n">
        <f aca="false">AF34+AF35+AF36</f>
        <v>178181.442397838</v>
      </c>
      <c r="AG37" s="70" t="n">
        <f aca="false">AG34+AG35+AG36</f>
        <v>179600.295603924</v>
      </c>
      <c r="AH37" s="70" t="n">
        <f aca="false">AH34+AH35+AH36</f>
        <v>180962.394681767</v>
      </c>
      <c r="AI37" s="70" t="n">
        <f aca="false">AI34+AI35+AI36</f>
        <v>182270.009796497</v>
      </c>
      <c r="AJ37" s="70" t="n">
        <f aca="false">AJ34+AJ35+AJ36</f>
        <v>183525.320306637</v>
      </c>
      <c r="AK37" s="70" t="n">
        <f aca="false">AK34+AK35+AK36</f>
        <v>184730.418396371</v>
      </c>
      <c r="AL37" s="70" t="n">
        <f aca="false">AL34+AL35+AL36</f>
        <v>164685.125810516</v>
      </c>
      <c r="AM37" s="70" t="n">
        <f aca="false">AM34+AM35+AM36</f>
        <v>168757.501697363</v>
      </c>
      <c r="AN37" s="70" t="n">
        <f aca="false">AN34+AN35+AN36</f>
        <v>169556.214837798</v>
      </c>
      <c r="AO37" s="70" t="n">
        <f aca="false">AO34+AO35+AO36</f>
        <v>191949.209939656</v>
      </c>
      <c r="AP37" s="70" t="n">
        <f aca="false">AP34+AP35+AP36</f>
        <v>193090.64807136</v>
      </c>
      <c r="AQ37" s="70" t="n">
        <f aca="false">AQ34+AQ35+AQ36</f>
        <v>194186.428677796</v>
      </c>
      <c r="AR37" s="70" t="n">
        <f aca="false">AR34+AR35+AR36</f>
        <v>195238.378059974</v>
      </c>
      <c r="AS37" s="70" t="n">
        <f aca="false">AS34+AS35+AS36</f>
        <v>196248.249466865</v>
      </c>
      <c r="AT37" s="70" t="n">
        <f aca="false">AT34+AT35+AT36</f>
        <v>197217.72601748</v>
      </c>
      <c r="AU37" s="70" t="n">
        <f aca="false">AU34+AU35+AU36</f>
        <v>198148.423506071</v>
      </c>
      <c r="AV37" s="70" t="n">
        <f aca="false">AV34+AV35+AV36</f>
        <v>199041.893095118</v>
      </c>
      <c r="AW37" s="70" t="n">
        <f aca="false">AW34+AW35+AW36</f>
        <v>199899.623900603</v>
      </c>
      <c r="AX37" s="70" t="n">
        <f aca="false">AX34+AX35+AX36</f>
        <v>179096.814986829</v>
      </c>
      <c r="AY37" s="70" t="n">
        <f aca="false">AY34+AY35+AY36</f>
        <v>183126.415668253</v>
      </c>
      <c r="AZ37" s="70" t="n">
        <f aca="false">AZ34+AZ35+AZ36</f>
        <v>183610.994435326</v>
      </c>
      <c r="BA37" s="70" t="n">
        <f aca="false">BA34+BA35+BA36</f>
        <v>206134.945148498</v>
      </c>
      <c r="BB37" s="70" t="n">
        <f aca="false">BB34+BB35+BB36</f>
        <v>206994.98392374</v>
      </c>
      <c r="BC37" s="70" t="n">
        <f aca="false">BC34+BC35+BC36</f>
        <v>207820.621147973</v>
      </c>
      <c r="BD37" s="70" t="n">
        <f aca="false">BD34+BD35+BD36</f>
        <v>208613.232883237</v>
      </c>
      <c r="BE37" s="70" t="n">
        <f aca="false">BE34+BE35+BE36</f>
        <v>209374.14014909</v>
      </c>
      <c r="BF37" s="70" t="n">
        <f aca="false">BF34+BF35+BF36</f>
        <v>210104.611124309</v>
      </c>
      <c r="BG37" s="70" t="n">
        <f aca="false">BG34+BG35+BG36</f>
        <v>210805.863260519</v>
      </c>
      <c r="BH37" s="70" t="n">
        <f aca="false">BH34+BH35+BH36</f>
        <v>211479.065311281</v>
      </c>
      <c r="BI37" s="70" t="n">
        <f aca="false">BI34+BI35+BI36</f>
        <v>212125.339280012</v>
      </c>
      <c r="BJ37" s="70" t="n">
        <f aca="false">BJ34+BJ35+BJ36</f>
        <v>190687.007193213</v>
      </c>
    </row>
    <row r="39" customFormat="false" ht="15.75" hidden="false" customHeight="true" outlineLevel="0" collapsed="false">
      <c r="A39" s="7" t="s">
        <v>76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customFormat="false" ht="15" hidden="false" customHeight="false" outlineLevel="0" collapsed="false">
      <c r="A40" s="6" t="s">
        <v>437</v>
      </c>
      <c r="C40" s="69" t="n">
        <f aca="false">-C28*Inputs!$E$33*(1+Inputs!$E$38)^(C$5-1)</f>
        <v>-2937.7903405</v>
      </c>
      <c r="D40" s="69" t="n">
        <f aca="false">-D28*Inputs!$E$33*(1+Inputs!$E$38)^(D$5-1)</f>
        <v>-3336.37031893556</v>
      </c>
      <c r="E40" s="69" t="n">
        <f aca="false">-E28*Inputs!$E$33*(1+Inputs!$E$38)^(E$5-1)</f>
        <v>-4637.7841856024</v>
      </c>
      <c r="F40" s="69" t="n">
        <f aca="false">-F28*Inputs!$E$33*(1+Inputs!$E$38)^(F$5-1)</f>
        <v>-5178.29382134497</v>
      </c>
      <c r="G40" s="69" t="n">
        <f aca="false">-G28*Inputs!$E$33*(1+Inputs!$E$38)^(G$5-1)</f>
        <v>-5733.07279732451</v>
      </c>
      <c r="H40" s="69" t="n">
        <f aca="false">-H28*Inputs!$E$33*(1+Inputs!$E$38)^(H$5-1)</f>
        <v>-6301.55033993153</v>
      </c>
      <c r="I40" s="69" t="n">
        <f aca="false">-I28*Inputs!$E$33*(1+Inputs!$E$38)^(I$5-1)</f>
        <v>-6883.17850650093</v>
      </c>
      <c r="J40" s="69" t="n">
        <f aca="false">-J28*Inputs!$E$33*(1+Inputs!$E$38)^(J$5-1)</f>
        <v>-7477.43127207423</v>
      </c>
      <c r="K40" s="69" t="n">
        <f aca="false">-K28*Inputs!$E$33*(1+Inputs!$E$38)^(K$5-1)</f>
        <v>-8083.80365269126</v>
      </c>
      <c r="L40" s="69" t="n">
        <f aca="false">-L28*Inputs!$E$33*(1+Inputs!$E$38)^(L$5-1)</f>
        <v>-8701.81086375027</v>
      </c>
      <c r="M40" s="69" t="n">
        <f aca="false">-M28*Inputs!$E$33*(1+Inputs!$E$38)^(M$5-1)</f>
        <v>-8941.02484920026</v>
      </c>
      <c r="N40" s="69" t="n">
        <f aca="false">-N28*Inputs!$E$33*(1+Inputs!$E$38)^(N$5-1)</f>
        <v>-7409.79585709278</v>
      </c>
      <c r="O40" s="69" t="n">
        <f aca="false">-O28*Inputs!$E$33*(1+Inputs!$E$38)^(O$5-1)</f>
        <v>-7790.74195451834</v>
      </c>
      <c r="P40" s="69" t="n">
        <f aca="false">-P28*Inputs!$E$33*(1+Inputs!$E$38)^(P$5-1)</f>
        <v>-7946.3038529876</v>
      </c>
      <c r="Q40" s="69" t="n">
        <f aca="false">-Q28*Inputs!$E$33*(1+Inputs!$E$38)^(Q$5-1)</f>
        <v>-10018.4153480165</v>
      </c>
      <c r="R40" s="69" t="n">
        <f aca="false">-R28*Inputs!$E$33*(1+Inputs!$E$38)^(R$5-1)</f>
        <v>-10230.6274029458</v>
      </c>
      <c r="S40" s="69" t="n">
        <f aca="false">-S28*Inputs!$E$33*(1+Inputs!$E$38)^(S$5-1)</f>
        <v>-10434.350975678</v>
      </c>
      <c r="T40" s="69" t="n">
        <f aca="false">-T28*Inputs!$E$33*(1+Inputs!$E$38)^(T$5-1)</f>
        <v>-10629.9256055009</v>
      </c>
      <c r="U40" s="69" t="n">
        <f aca="false">-U28*Inputs!$E$33*(1+Inputs!$E$38)^(U$5-1)</f>
        <v>-10817.6772501308</v>
      </c>
      <c r="V40" s="69" t="n">
        <f aca="false">-V28*Inputs!$E$33*(1+Inputs!$E$38)^(V$5-1)</f>
        <v>-10997.9188289756</v>
      </c>
      <c r="W40" s="69" t="n">
        <f aca="false">-W28*Inputs!$E$33*(1+Inputs!$E$38)^(W$5-1)</f>
        <v>-11170.9507446666</v>
      </c>
      <c r="X40" s="69" t="n">
        <f aca="false">-X28*Inputs!$E$33*(1+Inputs!$E$38)^(X$5-1)</f>
        <v>-11337.0613837299</v>
      </c>
      <c r="Y40" s="69" t="n">
        <f aca="false">-Y28*Inputs!$E$33*(1+Inputs!$E$38)^(Y$5-1)</f>
        <v>-11496.5275972307</v>
      </c>
      <c r="Z40" s="69" t="n">
        <f aca="false">-Z28*Inputs!$E$33*(1+Inputs!$E$38)^(Z$5-1)</f>
        <v>-9416.13836318358</v>
      </c>
      <c r="AA40" s="69" t="n">
        <f aca="false">-AA28*Inputs!$E$33*(1+Inputs!$E$38)^(AA$5-1)</f>
        <v>-9795.40604798886</v>
      </c>
      <c r="AB40" s="69" t="n">
        <f aca="false">-AB28*Inputs!$E$33*(1+Inputs!$E$38)^(AB$5-1)</f>
        <v>-9891.83935106568</v>
      </c>
      <c r="AC40" s="69" t="n">
        <f aca="false">-AC28*Inputs!$E$33*(1+Inputs!$E$38)^(AC$5-1)</f>
        <v>-12352.1417915718</v>
      </c>
      <c r="AD40" s="69" t="n">
        <f aca="false">-AD28*Inputs!$E$33*(1+Inputs!$E$38)^(AD$5-1)</f>
        <v>-12498.0924630588</v>
      </c>
      <c r="AE40" s="69" t="n">
        <f aca="false">-AE28*Inputs!$E$33*(1+Inputs!$E$38)^(AE$5-1)</f>
        <v>-12638.2051076863</v>
      </c>
      <c r="AF40" s="69" t="n">
        <f aca="false">-AF28*Inputs!$E$33*(1+Inputs!$E$38)^(AF$5-1)</f>
        <v>-12772.7132465287</v>
      </c>
      <c r="AG40" s="69" t="n">
        <f aca="false">-AG28*Inputs!$E$33*(1+Inputs!$E$38)^(AG$5-1)</f>
        <v>-12901.8410598174</v>
      </c>
      <c r="AH40" s="69" t="n">
        <f aca="false">-AH28*Inputs!$E$33*(1+Inputs!$E$38)^(AH$5-1)</f>
        <v>-13025.8037605746</v>
      </c>
      <c r="AI40" s="69" t="n">
        <f aca="false">-AI28*Inputs!$E$33*(1+Inputs!$E$38)^(AI$5-1)</f>
        <v>-13144.8079533015</v>
      </c>
      <c r="AJ40" s="69" t="n">
        <f aca="false">-AJ28*Inputs!$E$33*(1+Inputs!$E$38)^(AJ$5-1)</f>
        <v>-13259.0519783193</v>
      </c>
      <c r="AK40" s="69" t="n">
        <f aca="false">-AK28*Inputs!$E$33*(1+Inputs!$E$38)^(AK$5-1)</f>
        <v>-13368.7262423364</v>
      </c>
      <c r="AL40" s="69" t="n">
        <f aca="false">-AL28*Inputs!$E$33*(1+Inputs!$E$38)^(AL$5-1)</f>
        <v>-10892.5972101984</v>
      </c>
      <c r="AM40" s="69" t="n">
        <f aca="false">-AM28*Inputs!$E$33*(1+Inputs!$E$38)^(AM$5-1)</f>
        <v>-11277.3052338215</v>
      </c>
      <c r="AN40" s="69" t="n">
        <f aca="false">-AN28*Inputs!$E$33*(1+Inputs!$E$38)^(AN$5-1)</f>
        <v>-11336.7262178771</v>
      </c>
      <c r="AO40" s="69" t="n">
        <f aca="false">-AO28*Inputs!$E$33*(1+Inputs!$E$38)^(AO$5-1)</f>
        <v>-14093.6633511248</v>
      </c>
      <c r="AP40" s="69" t="n">
        <f aca="false">-AP28*Inputs!$E$33*(1+Inputs!$E$38)^(AP$5-1)</f>
        <v>-14198.5624507187</v>
      </c>
      <c r="AQ40" s="69" t="n">
        <f aca="false">-AQ28*Inputs!$E$33*(1+Inputs!$E$38)^(AQ$5-1)</f>
        <v>-14299.2655863288</v>
      </c>
      <c r="AR40" s="69" t="n">
        <f aca="false">-AR28*Inputs!$E$33*(1+Inputs!$E$38)^(AR$5-1)</f>
        <v>-14395.9405965145</v>
      </c>
      <c r="AS40" s="69" t="n">
        <f aca="false">-AS28*Inputs!$E$33*(1+Inputs!$E$38)^(AS$5-1)</f>
        <v>-14488.7486062928</v>
      </c>
      <c r="AT40" s="69" t="n">
        <f aca="false">-AT28*Inputs!$E$33*(1+Inputs!$E$38)^(AT$5-1)</f>
        <v>-14577.8442956799</v>
      </c>
      <c r="AU40" s="69" t="n">
        <f aca="false">-AU28*Inputs!$E$33*(1+Inputs!$E$38)^(AU$5-1)</f>
        <v>-14663.3761574915</v>
      </c>
      <c r="AV40" s="69" t="n">
        <f aca="false">-AV28*Inputs!$E$33*(1+Inputs!$E$38)^(AV$5-1)</f>
        <v>-14745.4867448307</v>
      </c>
      <c r="AW40" s="69" t="n">
        <f aca="false">-AW28*Inputs!$E$33*(1+Inputs!$E$38)^(AW$5-1)</f>
        <v>-14824.3129086763</v>
      </c>
      <c r="AX40" s="69" t="n">
        <f aca="false">-AX28*Inputs!$E$33*(1+Inputs!$E$38)^(AX$5-1)</f>
        <v>-12046.5077660151</v>
      </c>
      <c r="AY40" s="69" t="n">
        <f aca="false">-AY28*Inputs!$E$33*(1+Inputs!$E$38)^(AY$5-1)</f>
        <v>-12441.5339078816</v>
      </c>
      <c r="AZ40" s="69" t="n">
        <f aca="false">-AZ28*Inputs!$E$33*(1+Inputs!$E$38)^(AZ$5-1)</f>
        <v>-12477.9380200473</v>
      </c>
      <c r="BA40" s="69" t="n">
        <f aca="false">-BA28*Inputs!$E$33*(1+Inputs!$E$38)^(BA$5-1)</f>
        <v>-15476.6704504735</v>
      </c>
      <c r="BB40" s="69" t="n">
        <f aca="false">-BB28*Inputs!$E$33*(1+Inputs!$E$38)^(BB$5-1)</f>
        <v>-15556.4836036129</v>
      </c>
      <c r="BC40" s="69" t="n">
        <f aca="false">-BC28*Inputs!$E$33*(1+Inputs!$E$38)^(BC$5-1)</f>
        <v>-15633.1042306267</v>
      </c>
      <c r="BD40" s="69" t="n">
        <f aca="false">-BD28*Inputs!$E$33*(1+Inputs!$E$38)^(BD$5-1)</f>
        <v>-15706.66003256</v>
      </c>
      <c r="BE40" s="69" t="n">
        <f aca="false">-BE28*Inputs!$E$33*(1+Inputs!$E$38)^(BE$5-1)</f>
        <v>-15777.2736024159</v>
      </c>
      <c r="BF40" s="69" t="n">
        <f aca="false">-BF28*Inputs!$E$33*(1+Inputs!$E$38)^(BF$5-1)</f>
        <v>-15845.0626294776</v>
      </c>
      <c r="BG40" s="69" t="n">
        <f aca="false">-BG28*Inputs!$E$33*(1+Inputs!$E$38)^(BG$5-1)</f>
        <v>-15910.1400954569</v>
      </c>
      <c r="BH40" s="69" t="n">
        <f aca="false">-BH28*Inputs!$E$33*(1+Inputs!$E$38)^(BH$5-1)</f>
        <v>-15972.6144627969</v>
      </c>
      <c r="BI40" s="69" t="n">
        <f aca="false">-BI28*Inputs!$E$33*(1+Inputs!$E$38)^(BI$5-1)</f>
        <v>-16032.5898554434</v>
      </c>
      <c r="BJ40" s="69" t="n">
        <f aca="false">-BJ28*Inputs!$E$33*(1+Inputs!$E$38)^(BJ$5-1)</f>
        <v>-13009.5254102254</v>
      </c>
    </row>
    <row r="41" customFormat="false" ht="15" hidden="false" customHeight="false" outlineLevel="0" collapsed="false">
      <c r="A41" s="6" t="s">
        <v>438</v>
      </c>
      <c r="C41" s="69" t="n">
        <f aca="false">-C28*Inputs!$E$34/1000*Inputs!$E$35*(1+Inputs!$E$38)^(C$5-1)</f>
        <v>-1244.2406148</v>
      </c>
      <c r="D41" s="69" t="n">
        <f aca="false">-D28*Inputs!$E$34/1000*Inputs!$E$35*(1+Inputs!$E$38)^(D$5-1)</f>
        <v>-1413.050958608</v>
      </c>
      <c r="E41" s="69" t="n">
        <f aca="false">-E28*Inputs!$E$34/1000*Inputs!$E$35*(1+Inputs!$E$38)^(E$5-1)</f>
        <v>-1964.23800801984</v>
      </c>
      <c r="F41" s="69" t="n">
        <f aca="false">-F28*Inputs!$E$34/1000*Inputs!$E$35*(1+Inputs!$E$38)^(F$5-1)</f>
        <v>-2193.15973609905</v>
      </c>
      <c r="G41" s="69" t="n">
        <f aca="false">-G28*Inputs!$E$34/1000*Inputs!$E$35*(1+Inputs!$E$38)^(G$5-1)</f>
        <v>-2428.12494945509</v>
      </c>
      <c r="H41" s="69" t="n">
        <f aca="false">-H28*Inputs!$E$34/1000*Inputs!$E$35*(1+Inputs!$E$38)^(H$5-1)</f>
        <v>-2668.89190867688</v>
      </c>
      <c r="I41" s="69" t="n">
        <f aca="false">-I28*Inputs!$E$34/1000*Inputs!$E$35*(1+Inputs!$E$38)^(I$5-1)</f>
        <v>-2915.22854392981</v>
      </c>
      <c r="J41" s="69" t="n">
        <f aca="false">-J28*Inputs!$E$34/1000*Inputs!$E$35*(1+Inputs!$E$38)^(J$5-1)</f>
        <v>-3166.91206817261</v>
      </c>
      <c r="K41" s="69" t="n">
        <f aca="false">-K28*Inputs!$E$34/1000*Inputs!$E$35*(1+Inputs!$E$38)^(K$5-1)</f>
        <v>-3423.72860584571</v>
      </c>
      <c r="L41" s="69" t="n">
        <f aca="false">-L28*Inputs!$E$34/1000*Inputs!$E$35*(1+Inputs!$E$38)^(L$5-1)</f>
        <v>-3685.47283641188</v>
      </c>
      <c r="M41" s="69" t="n">
        <f aca="false">-M28*Inputs!$E$34/1000*Inputs!$E$35*(1+Inputs!$E$38)^(M$5-1)</f>
        <v>-3786.78699495541</v>
      </c>
      <c r="N41" s="69" t="n">
        <f aca="false">-N28*Inputs!$E$34/1000*Inputs!$E$35*(1+Inputs!$E$38)^(N$5-1)</f>
        <v>-3138.26648065106</v>
      </c>
      <c r="O41" s="69" t="n">
        <f aca="false">-O28*Inputs!$E$34/1000*Inputs!$E$35*(1+Inputs!$E$38)^(O$5-1)</f>
        <v>-3299.60835720777</v>
      </c>
      <c r="P41" s="69" t="n">
        <f aca="false">-P28*Inputs!$E$34/1000*Inputs!$E$35*(1+Inputs!$E$38)^(P$5-1)</f>
        <v>-3365.49339655946</v>
      </c>
      <c r="Q41" s="69" t="n">
        <f aca="false">-Q28*Inputs!$E$34/1000*Inputs!$E$35*(1+Inputs!$E$38)^(Q$5-1)</f>
        <v>-4243.09355915992</v>
      </c>
      <c r="R41" s="69" t="n">
        <f aca="false">-R28*Inputs!$E$34/1000*Inputs!$E$35*(1+Inputs!$E$38)^(R$5-1)</f>
        <v>-4332.97160595352</v>
      </c>
      <c r="S41" s="69" t="n">
        <f aca="false">-S28*Inputs!$E$34/1000*Inputs!$E$35*(1+Inputs!$E$38)^(S$5-1)</f>
        <v>-4419.25453087538</v>
      </c>
      <c r="T41" s="69" t="n">
        <f aca="false">-T28*Inputs!$E$34/1000*Inputs!$E$35*(1+Inputs!$E$38)^(T$5-1)</f>
        <v>-4502.08613880037</v>
      </c>
      <c r="U41" s="69" t="n">
        <f aca="false">-U28*Inputs!$E$34/1000*Inputs!$E$35*(1+Inputs!$E$38)^(U$5-1)</f>
        <v>-4581.60448240835</v>
      </c>
      <c r="V41" s="69" t="n">
        <f aca="false">-V28*Inputs!$E$34/1000*Inputs!$E$35*(1+Inputs!$E$38)^(V$5-1)</f>
        <v>-4657.94209227202</v>
      </c>
      <c r="W41" s="69" t="n">
        <f aca="false">-W28*Inputs!$E$34/1000*Inputs!$E$35*(1+Inputs!$E$38)^(W$5-1)</f>
        <v>-4731.22619774114</v>
      </c>
      <c r="X41" s="69" t="n">
        <f aca="false">-X28*Inputs!$E$34/1000*Inputs!$E$35*(1+Inputs!$E$38)^(X$5-1)</f>
        <v>-4801.57893899149</v>
      </c>
      <c r="Y41" s="69" t="n">
        <f aca="false">-Y28*Inputs!$E$34/1000*Inputs!$E$35*(1+Inputs!$E$38)^(Y$5-1)</f>
        <v>-4869.11757059183</v>
      </c>
      <c r="Z41" s="69" t="n">
        <f aca="false">-Z28*Inputs!$E$34/1000*Inputs!$E$35*(1+Inputs!$E$38)^(Z$5-1)</f>
        <v>-3988.01154205422</v>
      </c>
      <c r="AA41" s="69" t="n">
        <f aca="false">-AA28*Inputs!$E$34/1000*Inputs!$E$35*(1+Inputs!$E$38)^(AA$5-1)</f>
        <v>-4148.64256150117</v>
      </c>
      <c r="AB41" s="69" t="n">
        <f aca="false">-AB28*Inputs!$E$34/1000*Inputs!$E$35*(1+Inputs!$E$38)^(AB$5-1)</f>
        <v>-4189.48490162782</v>
      </c>
      <c r="AC41" s="69" t="n">
        <f aca="false">-AC28*Inputs!$E$34/1000*Inputs!$E$35*(1+Inputs!$E$38)^(AC$5-1)</f>
        <v>-5231.49534701863</v>
      </c>
      <c r="AD41" s="69" t="n">
        <f aca="false">-AD28*Inputs!$E$34/1000*Inputs!$E$35*(1+Inputs!$E$38)^(AD$5-1)</f>
        <v>-5293.30974906019</v>
      </c>
      <c r="AE41" s="69" t="n">
        <f aca="false">-AE28*Inputs!$E$34/1000*Inputs!$E$35*(1+Inputs!$E$38)^(AE$5-1)</f>
        <v>-5352.65157502008</v>
      </c>
      <c r="AF41" s="69" t="n">
        <f aca="false">-AF28*Inputs!$E$34/1000*Inputs!$E$35*(1+Inputs!$E$38)^(AF$5-1)</f>
        <v>-5409.61972794158</v>
      </c>
      <c r="AG41" s="69" t="n">
        <f aca="false">-AG28*Inputs!$E$34/1000*Inputs!$E$35*(1+Inputs!$E$38)^(AG$5-1)</f>
        <v>-5464.30915474621</v>
      </c>
      <c r="AH41" s="69" t="n">
        <f aca="false">-AH28*Inputs!$E$34/1000*Inputs!$E$35*(1+Inputs!$E$38)^(AH$5-1)</f>
        <v>-5516.81100447866</v>
      </c>
      <c r="AI41" s="69" t="n">
        <f aca="false">-AI28*Inputs!$E$34/1000*Inputs!$E$35*(1+Inputs!$E$38)^(AI$5-1)</f>
        <v>-5567.21278022182</v>
      </c>
      <c r="AJ41" s="69" t="n">
        <f aca="false">-AJ28*Inputs!$E$34/1000*Inputs!$E$35*(1+Inputs!$E$38)^(AJ$5-1)</f>
        <v>-5615.59848493524</v>
      </c>
      <c r="AK41" s="69" t="n">
        <f aca="false">-AK28*Inputs!$E$34/1000*Inputs!$E$35*(1+Inputs!$E$38)^(AK$5-1)</f>
        <v>-5662.04876146013</v>
      </c>
      <c r="AL41" s="69" t="n">
        <f aca="false">-AL28*Inputs!$E$34/1000*Inputs!$E$35*(1+Inputs!$E$38)^(AL$5-1)</f>
        <v>-4613.3352890252</v>
      </c>
      <c r="AM41" s="69" t="n">
        <f aca="false">-AM28*Inputs!$E$34/1000*Inputs!$E$35*(1+Inputs!$E$38)^(AM$5-1)</f>
        <v>-4776.27045197147</v>
      </c>
      <c r="AN41" s="69" t="n">
        <f aca="false">-AN28*Inputs!$E$34/1000*Inputs!$E$35*(1+Inputs!$E$38)^(AN$5-1)</f>
        <v>-4801.43698639502</v>
      </c>
      <c r="AO41" s="69" t="n">
        <f aca="false">-AO28*Inputs!$E$34/1000*Inputs!$E$35*(1+Inputs!$E$38)^(AO$5-1)</f>
        <v>-5969.08094871169</v>
      </c>
      <c r="AP41" s="69" t="n">
        <f aca="false">-AP28*Inputs!$E$34/1000*Inputs!$E$35*(1+Inputs!$E$38)^(AP$5-1)</f>
        <v>-6013.50880265733</v>
      </c>
      <c r="AQ41" s="69" t="n">
        <f aca="false">-AQ28*Inputs!$E$34/1000*Inputs!$E$35*(1+Inputs!$E$38)^(AQ$5-1)</f>
        <v>-6056.15954244513</v>
      </c>
      <c r="AR41" s="69" t="n">
        <f aca="false">-AR28*Inputs!$E$34/1000*Inputs!$E$35*(1+Inputs!$E$38)^(AR$5-1)</f>
        <v>-6097.10425264143</v>
      </c>
      <c r="AS41" s="69" t="n">
        <f aca="false">-AS28*Inputs!$E$34/1000*Inputs!$E$35*(1+Inputs!$E$38)^(AS$5-1)</f>
        <v>-6136.41117442987</v>
      </c>
      <c r="AT41" s="69" t="n">
        <f aca="false">-AT28*Inputs!$E$34/1000*Inputs!$E$35*(1+Inputs!$E$38)^(AT$5-1)</f>
        <v>-6174.14581934678</v>
      </c>
      <c r="AU41" s="69" t="n">
        <f aca="false">-AU28*Inputs!$E$34/1000*Inputs!$E$35*(1+Inputs!$E$38)^(AU$5-1)</f>
        <v>-6210.37107846701</v>
      </c>
      <c r="AV41" s="69" t="n">
        <f aca="false">-AV28*Inputs!$E$34/1000*Inputs!$E$35*(1+Inputs!$E$38)^(AV$5-1)</f>
        <v>-6245.14732722242</v>
      </c>
      <c r="AW41" s="69" t="n">
        <f aca="false">-AW28*Inputs!$E$34/1000*Inputs!$E$35*(1+Inputs!$E$38)^(AW$5-1)</f>
        <v>-6278.53252602763</v>
      </c>
      <c r="AX41" s="69" t="n">
        <f aca="false">-AX28*Inputs!$E$34/1000*Inputs!$E$35*(1+Inputs!$E$38)^(AX$5-1)</f>
        <v>-5102.05034795933</v>
      </c>
      <c r="AY41" s="69" t="n">
        <f aca="false">-AY28*Inputs!$E$34/1000*Inputs!$E$35*(1+Inputs!$E$38)^(AY$5-1)</f>
        <v>-5269.35553745572</v>
      </c>
      <c r="AZ41" s="69" t="n">
        <f aca="false">-AZ28*Inputs!$E$34/1000*Inputs!$E$35*(1+Inputs!$E$38)^(AZ$5-1)</f>
        <v>-5284.77374966709</v>
      </c>
      <c r="BA41" s="69" t="n">
        <f aca="false">-BA28*Inputs!$E$34/1000*Inputs!$E$35*(1+Inputs!$E$38)^(BA$5-1)</f>
        <v>-6554.82513196525</v>
      </c>
      <c r="BB41" s="69" t="n">
        <f aca="false">-BB28*Inputs!$E$34/1000*Inputs!$E$35*(1+Inputs!$E$38)^(BB$5-1)</f>
        <v>-6588.62834976546</v>
      </c>
      <c r="BC41" s="69" t="n">
        <f aca="false">-BC28*Inputs!$E$34/1000*Inputs!$E$35*(1+Inputs!$E$38)^(BC$5-1)</f>
        <v>-6621.07943885367</v>
      </c>
      <c r="BD41" s="69" t="n">
        <f aca="false">-BD28*Inputs!$E$34/1000*Inputs!$E$35*(1+Inputs!$E$38)^(BD$5-1)</f>
        <v>-6652.23248437835</v>
      </c>
      <c r="BE41" s="69" t="n">
        <f aca="false">-BE28*Inputs!$E$34/1000*Inputs!$E$35*(1+Inputs!$E$38)^(BE$5-1)</f>
        <v>-6682.13940808204</v>
      </c>
      <c r="BF41" s="69" t="n">
        <f aca="false">-BF28*Inputs!$E$34/1000*Inputs!$E$35*(1+Inputs!$E$38)^(BF$5-1)</f>
        <v>-6710.85005483759</v>
      </c>
      <c r="BG41" s="69" t="n">
        <f aca="false">-BG28*Inputs!$E$34/1000*Inputs!$E$35*(1+Inputs!$E$38)^(BG$5-1)</f>
        <v>-6738.41227572291</v>
      </c>
      <c r="BH41" s="69" t="n">
        <f aca="false">-BH28*Inputs!$E$34/1000*Inputs!$E$35*(1+Inputs!$E$38)^(BH$5-1)</f>
        <v>-6764.87200777282</v>
      </c>
      <c r="BI41" s="69" t="n">
        <f aca="false">-BI28*Inputs!$E$34/1000*Inputs!$E$35*(1+Inputs!$E$38)^(BI$5-1)</f>
        <v>-6790.27335054073</v>
      </c>
      <c r="BJ41" s="69" t="n">
        <f aca="false">-BJ28*Inputs!$E$34/1000*Inputs!$E$35*(1+Inputs!$E$38)^(BJ$5-1)</f>
        <v>-5509.91664433074</v>
      </c>
    </row>
    <row r="42" customFormat="false" ht="15" hidden="false" customHeight="false" outlineLevel="0" collapsed="false">
      <c r="A42" s="6" t="s">
        <v>439</v>
      </c>
      <c r="C42" s="69" t="n">
        <f aca="false">-C28*Inputs!$E$36*(1+Inputs!$E$38)^(C$5-1)</f>
        <v>-1451.6140506</v>
      </c>
      <c r="D42" s="69" t="n">
        <f aca="false">-D28*Inputs!$E$36*(1+Inputs!$E$38)^(D$5-1)</f>
        <v>-1648.55945170933</v>
      </c>
      <c r="E42" s="69" t="n">
        <f aca="false">-E28*Inputs!$E$36*(1+Inputs!$E$38)^(E$5-1)</f>
        <v>-2291.61100935648</v>
      </c>
      <c r="F42" s="69" t="n">
        <f aca="false">-F28*Inputs!$E$36*(1+Inputs!$E$38)^(F$5-1)</f>
        <v>-2558.68635878222</v>
      </c>
      <c r="G42" s="69" t="n">
        <f aca="false">-G28*Inputs!$E$36*(1+Inputs!$E$38)^(G$5-1)</f>
        <v>-2832.81244103093</v>
      </c>
      <c r="H42" s="69" t="n">
        <f aca="false">-H28*Inputs!$E$36*(1+Inputs!$E$38)^(H$5-1)</f>
        <v>-3113.70722678969</v>
      </c>
      <c r="I42" s="69" t="n">
        <f aca="false">-I28*Inputs!$E$36*(1+Inputs!$E$38)^(I$5-1)</f>
        <v>-3401.09996791811</v>
      </c>
      <c r="J42" s="69" t="n">
        <f aca="false">-J28*Inputs!$E$36*(1+Inputs!$E$38)^(J$5-1)</f>
        <v>-3694.73074620138</v>
      </c>
      <c r="K42" s="69" t="n">
        <f aca="false">-K28*Inputs!$E$36*(1+Inputs!$E$38)^(K$5-1)</f>
        <v>-3994.35004015333</v>
      </c>
      <c r="L42" s="69" t="n">
        <f aca="false">-L28*Inputs!$E$36*(1+Inputs!$E$38)^(L$5-1)</f>
        <v>-4299.71830914719</v>
      </c>
      <c r="M42" s="69" t="n">
        <f aca="false">-M28*Inputs!$E$36*(1+Inputs!$E$38)^(M$5-1)</f>
        <v>-4417.91816078131</v>
      </c>
      <c r="N42" s="69" t="n">
        <f aca="false">-N28*Inputs!$E$36*(1+Inputs!$E$38)^(N$5-1)</f>
        <v>-3661.3108940929</v>
      </c>
      <c r="O42" s="69" t="n">
        <f aca="false">-O28*Inputs!$E$36*(1+Inputs!$E$38)^(O$5-1)</f>
        <v>-3849.54308340906</v>
      </c>
      <c r="P42" s="69" t="n">
        <f aca="false">-P28*Inputs!$E$36*(1+Inputs!$E$38)^(P$5-1)</f>
        <v>-3926.4089626527</v>
      </c>
      <c r="Q42" s="69" t="n">
        <f aca="false">-Q28*Inputs!$E$36*(1+Inputs!$E$38)^(Q$5-1)</f>
        <v>-4950.27581901991</v>
      </c>
      <c r="R42" s="69" t="n">
        <f aca="false">-R28*Inputs!$E$36*(1+Inputs!$E$38)^(R$5-1)</f>
        <v>-5055.13354027911</v>
      </c>
      <c r="S42" s="69" t="n">
        <f aca="false">-S28*Inputs!$E$36*(1+Inputs!$E$38)^(S$5-1)</f>
        <v>-5155.79695268794</v>
      </c>
      <c r="T42" s="69" t="n">
        <f aca="false">-T28*Inputs!$E$36*(1+Inputs!$E$38)^(T$5-1)</f>
        <v>-5252.43382860043</v>
      </c>
      <c r="U42" s="69" t="n">
        <f aca="false">-U28*Inputs!$E$36*(1+Inputs!$E$38)^(U$5-1)</f>
        <v>-5345.20522947641</v>
      </c>
      <c r="V42" s="69" t="n">
        <f aca="false">-V28*Inputs!$E$36*(1+Inputs!$E$38)^(V$5-1)</f>
        <v>-5434.26577431735</v>
      </c>
      <c r="W42" s="69" t="n">
        <f aca="false">-W28*Inputs!$E$36*(1+Inputs!$E$38)^(W$5-1)</f>
        <v>-5519.76389736466</v>
      </c>
      <c r="X42" s="69" t="n">
        <f aca="false">-X28*Inputs!$E$36*(1+Inputs!$E$38)^(X$5-1)</f>
        <v>-5601.84209549007</v>
      </c>
      <c r="Y42" s="69" t="n">
        <f aca="false">-Y28*Inputs!$E$36*(1+Inputs!$E$38)^(Y$5-1)</f>
        <v>-5680.63716569047</v>
      </c>
      <c r="Z42" s="69" t="n">
        <f aca="false">-Z28*Inputs!$E$36*(1+Inputs!$E$38)^(Z$5-1)</f>
        <v>-4652.68013239659</v>
      </c>
      <c r="AA42" s="69" t="n">
        <f aca="false">-AA28*Inputs!$E$36*(1+Inputs!$E$38)^(AA$5-1)</f>
        <v>-4840.08298841803</v>
      </c>
      <c r="AB42" s="69" t="n">
        <f aca="false">-AB28*Inputs!$E$36*(1+Inputs!$E$38)^(AB$5-1)</f>
        <v>-4887.73238523245</v>
      </c>
      <c r="AC42" s="69" t="n">
        <f aca="false">-AC28*Inputs!$E$36*(1+Inputs!$E$38)^(AC$5-1)</f>
        <v>-6103.4112381884</v>
      </c>
      <c r="AD42" s="69" t="n">
        <f aca="false">-AD28*Inputs!$E$36*(1+Inputs!$E$38)^(AD$5-1)</f>
        <v>-6175.52804057022</v>
      </c>
      <c r="AE42" s="69" t="n">
        <f aca="false">-AE28*Inputs!$E$36*(1+Inputs!$E$38)^(AE$5-1)</f>
        <v>-6244.76017085676</v>
      </c>
      <c r="AF42" s="69" t="n">
        <f aca="false">-AF28*Inputs!$E$36*(1+Inputs!$E$38)^(AF$5-1)</f>
        <v>-6311.22301593184</v>
      </c>
      <c r="AG42" s="69" t="n">
        <f aca="false">-AG28*Inputs!$E$36*(1+Inputs!$E$38)^(AG$5-1)</f>
        <v>-6375.02734720391</v>
      </c>
      <c r="AH42" s="69" t="n">
        <f aca="false">-AH28*Inputs!$E$36*(1+Inputs!$E$38)^(AH$5-1)</f>
        <v>-6436.27950522511</v>
      </c>
      <c r="AI42" s="69" t="n">
        <f aca="false">-AI28*Inputs!$E$36*(1+Inputs!$E$38)^(AI$5-1)</f>
        <v>-6495.08157692545</v>
      </c>
      <c r="AJ42" s="69" t="n">
        <f aca="false">-AJ28*Inputs!$E$36*(1+Inputs!$E$38)^(AJ$5-1)</f>
        <v>-6551.53156575778</v>
      </c>
      <c r="AK42" s="69" t="n">
        <f aca="false">-AK28*Inputs!$E$36*(1+Inputs!$E$38)^(AK$5-1)</f>
        <v>-6605.72355503682</v>
      </c>
      <c r="AL42" s="69" t="n">
        <f aca="false">-AL28*Inputs!$E$36*(1+Inputs!$E$38)^(AL$5-1)</f>
        <v>-5382.22450386274</v>
      </c>
      <c r="AM42" s="69" t="n">
        <f aca="false">-AM28*Inputs!$E$36*(1+Inputs!$E$38)^(AM$5-1)</f>
        <v>-5572.31552730005</v>
      </c>
      <c r="AN42" s="69" t="n">
        <f aca="false">-AN28*Inputs!$E$36*(1+Inputs!$E$38)^(AN$5-1)</f>
        <v>-5601.67648412753</v>
      </c>
      <c r="AO42" s="69" t="n">
        <f aca="false">-AO28*Inputs!$E$36*(1+Inputs!$E$38)^(AO$5-1)</f>
        <v>-6963.92777349698</v>
      </c>
      <c r="AP42" s="69" t="n">
        <f aca="false">-AP28*Inputs!$E$36*(1+Inputs!$E$38)^(AP$5-1)</f>
        <v>-7015.76026976688</v>
      </c>
      <c r="AQ42" s="69" t="n">
        <f aca="false">-AQ28*Inputs!$E$36*(1+Inputs!$E$38)^(AQ$5-1)</f>
        <v>-7065.51946618599</v>
      </c>
      <c r="AR42" s="69" t="n">
        <f aca="false">-AR28*Inputs!$E$36*(1+Inputs!$E$38)^(AR$5-1)</f>
        <v>-7113.28829474833</v>
      </c>
      <c r="AS42" s="69" t="n">
        <f aca="false">-AS28*Inputs!$E$36*(1+Inputs!$E$38)^(AS$5-1)</f>
        <v>-7159.14637016818</v>
      </c>
      <c r="AT42" s="69" t="n">
        <f aca="false">-AT28*Inputs!$E$36*(1+Inputs!$E$38)^(AT$5-1)</f>
        <v>-7203.17012257124</v>
      </c>
      <c r="AU42" s="69" t="n">
        <f aca="false">-AU28*Inputs!$E$36*(1+Inputs!$E$38)^(AU$5-1)</f>
        <v>-7245.43292487817</v>
      </c>
      <c r="AV42" s="69" t="n">
        <f aca="false">-AV28*Inputs!$E$36*(1+Inputs!$E$38)^(AV$5-1)</f>
        <v>-7286.00521509283</v>
      </c>
      <c r="AW42" s="69" t="n">
        <f aca="false">-AW28*Inputs!$E$36*(1+Inputs!$E$38)^(AW$5-1)</f>
        <v>-7324.9546136989</v>
      </c>
      <c r="AX42" s="69" t="n">
        <f aca="false">-AX28*Inputs!$E$36*(1+Inputs!$E$38)^(AX$5-1)</f>
        <v>-5952.39207261922</v>
      </c>
      <c r="AY42" s="69" t="n">
        <f aca="false">-AY28*Inputs!$E$36*(1+Inputs!$E$38)^(AY$5-1)</f>
        <v>-6147.58146036501</v>
      </c>
      <c r="AZ42" s="69" t="n">
        <f aca="false">-AZ28*Inputs!$E$36*(1+Inputs!$E$38)^(AZ$5-1)</f>
        <v>-6165.5693746116</v>
      </c>
      <c r="BA42" s="69" t="n">
        <f aca="false">-BA28*Inputs!$E$36*(1+Inputs!$E$38)^(BA$5-1)</f>
        <v>-7647.29598729279</v>
      </c>
      <c r="BB42" s="69" t="n">
        <f aca="false">-BB28*Inputs!$E$36*(1+Inputs!$E$38)^(BB$5-1)</f>
        <v>-7686.73307472637</v>
      </c>
      <c r="BC42" s="69" t="n">
        <f aca="false">-BC28*Inputs!$E$36*(1+Inputs!$E$38)^(BC$5-1)</f>
        <v>-7724.59267866262</v>
      </c>
      <c r="BD42" s="69" t="n">
        <f aca="false">-BD28*Inputs!$E$36*(1+Inputs!$E$38)^(BD$5-1)</f>
        <v>-7760.93789844141</v>
      </c>
      <c r="BE42" s="69" t="n">
        <f aca="false">-BE28*Inputs!$E$36*(1+Inputs!$E$38)^(BE$5-1)</f>
        <v>-7795.82930942905</v>
      </c>
      <c r="BF42" s="69" t="n">
        <f aca="false">-BF28*Inputs!$E$36*(1+Inputs!$E$38)^(BF$5-1)</f>
        <v>-7829.32506397719</v>
      </c>
      <c r="BG42" s="69" t="n">
        <f aca="false">-BG28*Inputs!$E$36*(1+Inputs!$E$38)^(BG$5-1)</f>
        <v>-7861.48098834339</v>
      </c>
      <c r="BH42" s="69" t="n">
        <f aca="false">-BH28*Inputs!$E$36*(1+Inputs!$E$38)^(BH$5-1)</f>
        <v>-7892.35067573495</v>
      </c>
      <c r="BI42" s="69" t="n">
        <f aca="false">-BI28*Inputs!$E$36*(1+Inputs!$E$38)^(BI$5-1)</f>
        <v>-7921.98557563085</v>
      </c>
      <c r="BJ42" s="69" t="n">
        <f aca="false">-BJ28*Inputs!$E$36*(1+Inputs!$E$38)^(BJ$5-1)</f>
        <v>-6428.23608505253</v>
      </c>
    </row>
    <row r="43" customFormat="false" ht="15" hidden="false" customHeight="false" outlineLevel="0" collapsed="false">
      <c r="A43" s="6" t="s">
        <v>248</v>
      </c>
      <c r="C43" s="69" t="n">
        <f aca="false">C40+C41+C42</f>
        <v>-5633.6450059</v>
      </c>
      <c r="D43" s="69" t="n">
        <f aca="false">D40+D41+D42</f>
        <v>-6397.98072925289</v>
      </c>
      <c r="E43" s="69" t="n">
        <f aca="false">E40+E41+E42</f>
        <v>-8893.63320297872</v>
      </c>
      <c r="F43" s="69" t="n">
        <f aca="false">F40+F41+F42</f>
        <v>-9930.13991622624</v>
      </c>
      <c r="G43" s="69" t="n">
        <f aca="false">G40+G41+G42</f>
        <v>-10994.0101878105</v>
      </c>
      <c r="H43" s="69" t="n">
        <f aca="false">H40+H41+H42</f>
        <v>-12084.1494753981</v>
      </c>
      <c r="I43" s="69" t="n">
        <f aca="false">I40+I41+I42</f>
        <v>-13199.5070183488</v>
      </c>
      <c r="J43" s="69" t="n">
        <f aca="false">J40+J41+J42</f>
        <v>-14339.0740864482</v>
      </c>
      <c r="K43" s="69" t="n">
        <f aca="false">K40+K41+K42</f>
        <v>-15501.8822986903</v>
      </c>
      <c r="L43" s="69" t="n">
        <f aca="false">L40+L41+L42</f>
        <v>-16687.0020093093</v>
      </c>
      <c r="M43" s="69" t="n">
        <f aca="false">M40+M41+M42</f>
        <v>-17145.730004937</v>
      </c>
      <c r="N43" s="69" t="n">
        <f aca="false">N40+N41+N42</f>
        <v>-14209.3732318367</v>
      </c>
      <c r="O43" s="69" t="n">
        <f aca="false">O40+O41+O42</f>
        <v>-14939.8933951352</v>
      </c>
      <c r="P43" s="69" t="n">
        <f aca="false">P40+P41+P42</f>
        <v>-15238.2062121998</v>
      </c>
      <c r="Q43" s="69" t="n">
        <f aca="false">Q40+Q41+Q42</f>
        <v>-19211.7847261963</v>
      </c>
      <c r="R43" s="69" t="n">
        <f aca="false">R40+R41+R42</f>
        <v>-19618.7325491784</v>
      </c>
      <c r="S43" s="69" t="n">
        <f aca="false">S40+S41+S42</f>
        <v>-20009.4024592413</v>
      </c>
      <c r="T43" s="69" t="n">
        <f aca="false">T40+T41+T42</f>
        <v>-20384.4455729017</v>
      </c>
      <c r="U43" s="69" t="n">
        <f aca="false">U40+U41+U42</f>
        <v>-20744.4869620156</v>
      </c>
      <c r="V43" s="69" t="n">
        <f aca="false">V40+V41+V42</f>
        <v>-21090.126695565</v>
      </c>
      <c r="W43" s="69" t="n">
        <f aca="false">W40+W41+W42</f>
        <v>-21421.9408397724</v>
      </c>
      <c r="X43" s="69" t="n">
        <f aca="false">X40+X41+X42</f>
        <v>-21740.4824182115</v>
      </c>
      <c r="Y43" s="69" t="n">
        <f aca="false">Y40+Y41+Y42</f>
        <v>-22046.282333513</v>
      </c>
      <c r="Z43" s="69" t="n">
        <f aca="false">Z40+Z41+Z42</f>
        <v>-18056.8300376344</v>
      </c>
      <c r="AA43" s="69" t="n">
        <f aca="false">AA40+AA41+AA42</f>
        <v>-18784.1315979081</v>
      </c>
      <c r="AB43" s="69" t="n">
        <f aca="false">AB40+AB41+AB42</f>
        <v>-18969.056637926</v>
      </c>
      <c r="AC43" s="69" t="n">
        <f aca="false">AC40+AC41+AC42</f>
        <v>-23687.0483767788</v>
      </c>
      <c r="AD43" s="69" t="n">
        <f aca="false">AD40+AD41+AD42</f>
        <v>-23966.9302526892</v>
      </c>
      <c r="AE43" s="69" t="n">
        <f aca="false">AE40+AE41+AE42</f>
        <v>-24235.6168535631</v>
      </c>
      <c r="AF43" s="69" t="n">
        <f aca="false">AF40+AF41+AF42</f>
        <v>-24493.5559904021</v>
      </c>
      <c r="AG43" s="69" t="n">
        <f aca="false">AG40+AG41+AG42</f>
        <v>-24741.1775617676</v>
      </c>
      <c r="AH43" s="69" t="n">
        <f aca="false">AH40+AH41+AH42</f>
        <v>-24978.8942702784</v>
      </c>
      <c r="AI43" s="69" t="n">
        <f aca="false">AI40+AI41+AI42</f>
        <v>-25207.1023104488</v>
      </c>
      <c r="AJ43" s="69" t="n">
        <f aca="false">AJ40+AJ41+AJ42</f>
        <v>-25426.1820290123</v>
      </c>
      <c r="AK43" s="69" t="n">
        <f aca="false">AK40+AK41+AK42</f>
        <v>-25636.4985588334</v>
      </c>
      <c r="AL43" s="69" t="n">
        <f aca="false">AL40+AL41+AL42</f>
        <v>-20888.1570030863</v>
      </c>
      <c r="AM43" s="69" t="n">
        <f aca="false">AM40+AM41+AM42</f>
        <v>-21625.8912130931</v>
      </c>
      <c r="AN43" s="69" t="n">
        <f aca="false">AN40+AN41+AN42</f>
        <v>-21739.8396883997</v>
      </c>
      <c r="AO43" s="69" t="n">
        <f aca="false">AO40+AO41+AO42</f>
        <v>-27026.6720733335</v>
      </c>
      <c r="AP43" s="69" t="n">
        <f aca="false">AP40+AP41+AP42</f>
        <v>-27227.8315231429</v>
      </c>
      <c r="AQ43" s="69" t="n">
        <f aca="false">AQ40+AQ41+AQ42</f>
        <v>-27420.9445949599</v>
      </c>
      <c r="AR43" s="69" t="n">
        <f aca="false">AR40+AR41+AR42</f>
        <v>-27606.3331439042</v>
      </c>
      <c r="AS43" s="69" t="n">
        <f aca="false">AS40+AS41+AS42</f>
        <v>-27784.3061508908</v>
      </c>
      <c r="AT43" s="69" t="n">
        <f aca="false">AT40+AT41+AT42</f>
        <v>-27955.1602375979</v>
      </c>
      <c r="AU43" s="69" t="n">
        <f aca="false">AU40+AU41+AU42</f>
        <v>-28119.1801608367</v>
      </c>
      <c r="AV43" s="69" t="n">
        <f aca="false">AV40+AV41+AV42</f>
        <v>-28276.639287146</v>
      </c>
      <c r="AW43" s="69" t="n">
        <f aca="false">AW40+AW41+AW42</f>
        <v>-28427.8000484029</v>
      </c>
      <c r="AX43" s="69" t="n">
        <f aca="false">AX40+AX41+AX42</f>
        <v>-23100.9501865936</v>
      </c>
      <c r="AY43" s="69" t="n">
        <f aca="false">AY40+AY41+AY42</f>
        <v>-23858.4709057023</v>
      </c>
      <c r="AZ43" s="69" t="n">
        <f aca="false">AZ40+AZ41+AZ42</f>
        <v>-23928.281144326</v>
      </c>
      <c r="BA43" s="69" t="n">
        <f aca="false">BA40+BA41+BA42</f>
        <v>-29678.7915697315</v>
      </c>
      <c r="BB43" s="69" t="n">
        <f aca="false">BB40+BB41+BB42</f>
        <v>-29831.8450281047</v>
      </c>
      <c r="BC43" s="69" t="n">
        <f aca="false">BC40+BC41+BC42</f>
        <v>-29978.776348143</v>
      </c>
      <c r="BD43" s="69" t="n">
        <f aca="false">BD40+BD41+BD42</f>
        <v>-30119.8304153798</v>
      </c>
      <c r="BE43" s="69" t="n">
        <f aca="false">BE40+BE41+BE42</f>
        <v>-30255.242319927</v>
      </c>
      <c r="BF43" s="69" t="n">
        <f aca="false">BF40+BF41+BF42</f>
        <v>-30385.2377482924</v>
      </c>
      <c r="BG43" s="69" t="n">
        <f aca="false">BG40+BG41+BG42</f>
        <v>-30510.0333595232</v>
      </c>
      <c r="BH43" s="69" t="n">
        <f aca="false">BH40+BH41+BH42</f>
        <v>-30629.8371463047</v>
      </c>
      <c r="BI43" s="69" t="n">
        <f aca="false">BI40+BI41+BI42</f>
        <v>-30744.848781615</v>
      </c>
      <c r="BJ43" s="69" t="n">
        <f aca="false">BJ40+BJ41+BJ42</f>
        <v>-24947.6781396086</v>
      </c>
    </row>
    <row r="44" customFormat="false" ht="15" hidden="false" customHeight="false" outlineLevel="0" collapsed="false">
      <c r="A44" s="6" t="s">
        <v>440</v>
      </c>
      <c r="C44" s="69" t="n">
        <f aca="false">-C37*Inputs!$E$37</f>
        <v>-1438.30074</v>
      </c>
      <c r="D44" s="69" t="n">
        <f aca="false">-D37*Inputs!$E$37</f>
        <v>-1633.46807706667</v>
      </c>
      <c r="E44" s="69" t="n">
        <f aca="false">-E37*Inputs!$E$37</f>
        <v>-2183.202053984</v>
      </c>
      <c r="F44" s="69" t="n">
        <f aca="false">-F37*Inputs!$E$37</f>
        <v>-2431.55696515797</v>
      </c>
      <c r="G44" s="69" t="n">
        <f aca="false">-G37*Inputs!$E$37</f>
        <v>-2684.70829321832</v>
      </c>
      <c r="H44" s="69" t="n">
        <f aca="false">-H37*Inputs!$E$37</f>
        <v>-2942.46418148959</v>
      </c>
      <c r="I44" s="69" t="n">
        <f aca="false">-I37*Inputs!$E$37</f>
        <v>-3204.64044756334</v>
      </c>
      <c r="J44" s="69" t="n">
        <f aca="false">-J37*Inputs!$E$37</f>
        <v>-3471.06027632747</v>
      </c>
      <c r="K44" s="69" t="n">
        <f aca="false">-K37*Inputs!$E$37</f>
        <v>-3741.55392527437</v>
      </c>
      <c r="L44" s="69" t="n">
        <f aca="false">-L37*Inputs!$E$37</f>
        <v>-4015.95844159673</v>
      </c>
      <c r="M44" s="69" t="n">
        <f aca="false">-M37*Inputs!$E$37</f>
        <v>-4096.36650393286</v>
      </c>
      <c r="N44" s="69" t="n">
        <f aca="false">-N37*Inputs!$E$37</f>
        <v>-3562.19184377555</v>
      </c>
      <c r="O44" s="69" t="n">
        <f aca="false">-O37*Inputs!$E$37</f>
        <v>-3698.67245942502</v>
      </c>
      <c r="P44" s="69" t="n">
        <f aca="false">-P37*Inputs!$E$37</f>
        <v>-3762.63851704802</v>
      </c>
      <c r="Q44" s="69" t="n">
        <f aca="false">-Q37*Inputs!$E$37</f>
        <v>-4447.63966036609</v>
      </c>
      <c r="R44" s="69" t="n">
        <f aca="false">-R37*Inputs!$E$37</f>
        <v>-4518.27890195145</v>
      </c>
      <c r="S44" s="69" t="n">
        <f aca="false">-S37*Inputs!$E$37</f>
        <v>-4586.09257387339</v>
      </c>
      <c r="T44" s="69" t="n">
        <f aca="false">-T37*Inputs!$E$37</f>
        <v>-4651.19369891846</v>
      </c>
      <c r="U44" s="69" t="n">
        <f aca="false">-U37*Inputs!$E$37</f>
        <v>-4713.69077896172</v>
      </c>
      <c r="V44" s="69" t="n">
        <f aca="false">-V37*Inputs!$E$37</f>
        <v>-4773.68797580325</v>
      </c>
      <c r="W44" s="69" t="n">
        <f aca="false">-W37*Inputs!$E$37</f>
        <v>-4831.28528477112</v>
      </c>
      <c r="X44" s="69" t="n">
        <f aca="false">-X37*Inputs!$E$37</f>
        <v>-4886.57870138028</v>
      </c>
      <c r="Y44" s="69" t="n">
        <f aca="false">-Y37*Inputs!$E$37</f>
        <v>-4939.66038132506</v>
      </c>
      <c r="Z44" s="69" t="n">
        <f aca="false">-Z37*Inputs!$E$37</f>
        <v>-4367.02506607206</v>
      </c>
      <c r="AA44" s="69" t="n">
        <f aca="false">-AA37*Inputs!$E$37</f>
        <v>-4493.77596106776</v>
      </c>
      <c r="AB44" s="69" t="n">
        <f aca="false">-AB37*Inputs!$E$37</f>
        <v>-4533.04374024505</v>
      </c>
      <c r="AC44" s="69" t="n">
        <f aca="false">-AC37*Inputs!$E$37</f>
        <v>-5206.80641081525</v>
      </c>
      <c r="AD44" s="69" t="n">
        <f aca="false">-AD37*Inputs!$E$37</f>
        <v>-5254.91748144264</v>
      </c>
      <c r="AE44" s="69" t="n">
        <f aca="false">-AE37*Inputs!$E$37</f>
        <v>-5301.10410924493</v>
      </c>
      <c r="AF44" s="69" t="n">
        <f aca="false">-AF37*Inputs!$E$37</f>
        <v>-5345.44327193514</v>
      </c>
      <c r="AG44" s="69" t="n">
        <f aca="false">-AG37*Inputs!$E$37</f>
        <v>-5388.00886811773</v>
      </c>
      <c r="AH44" s="69" t="n">
        <f aca="false">-AH37*Inputs!$E$37</f>
        <v>-5428.87184045302</v>
      </c>
      <c r="AI44" s="69" t="n">
        <f aca="false">-AI37*Inputs!$E$37</f>
        <v>-5468.1002938949</v>
      </c>
      <c r="AJ44" s="69" t="n">
        <f aca="false">-AJ37*Inputs!$E$37</f>
        <v>-5505.7596091991</v>
      </c>
      <c r="AK44" s="69" t="n">
        <f aca="false">-AK37*Inputs!$E$37</f>
        <v>-5541.91255189114</v>
      </c>
      <c r="AL44" s="69" t="n">
        <f aca="false">-AL37*Inputs!$E$37</f>
        <v>-4940.55377431549</v>
      </c>
      <c r="AM44" s="69" t="n">
        <f aca="false">-AM37*Inputs!$E$37</f>
        <v>-5062.72505092088</v>
      </c>
      <c r="AN44" s="69" t="n">
        <f aca="false">-AN37*Inputs!$E$37</f>
        <v>-5086.68644513395</v>
      </c>
      <c r="AO44" s="69" t="n">
        <f aca="false">-AO37*Inputs!$E$37</f>
        <v>-5758.47629818969</v>
      </c>
      <c r="AP44" s="69" t="n">
        <f aca="false">-AP37*Inputs!$E$37</f>
        <v>-5792.7194421408</v>
      </c>
      <c r="AQ44" s="69" t="n">
        <f aca="false">-AQ37*Inputs!$E$37</f>
        <v>-5825.59286033387</v>
      </c>
      <c r="AR44" s="69" t="n">
        <f aca="false">-AR37*Inputs!$E$37</f>
        <v>-5857.15134179922</v>
      </c>
      <c r="AS44" s="69" t="n">
        <f aca="false">-AS37*Inputs!$E$37</f>
        <v>-5887.44748400595</v>
      </c>
      <c r="AT44" s="69" t="n">
        <f aca="false">-AT37*Inputs!$E$37</f>
        <v>-5916.53178052441</v>
      </c>
      <c r="AU44" s="69" t="n">
        <f aca="false">-AU37*Inputs!$E$37</f>
        <v>-5944.45270518213</v>
      </c>
      <c r="AV44" s="69" t="n">
        <f aca="false">-AV37*Inputs!$E$37</f>
        <v>-5971.25679285355</v>
      </c>
      <c r="AW44" s="69" t="n">
        <f aca="false">-AW37*Inputs!$E$37</f>
        <v>-5996.9887170181</v>
      </c>
      <c r="AX44" s="69" t="n">
        <f aca="false">-AX37*Inputs!$E$37</f>
        <v>-5372.90444960488</v>
      </c>
      <c r="AY44" s="69" t="n">
        <f aca="false">-AY37*Inputs!$E$37</f>
        <v>-5493.7924700476</v>
      </c>
      <c r="AZ44" s="69" t="n">
        <f aca="false">-AZ37*Inputs!$E$37</f>
        <v>-5508.32983305979</v>
      </c>
      <c r="BA44" s="69" t="n">
        <f aca="false">-BA37*Inputs!$E$37</f>
        <v>-6184.04835445493</v>
      </c>
      <c r="BB44" s="69" t="n">
        <f aca="false">-BB37*Inputs!$E$37</f>
        <v>-6209.84951771221</v>
      </c>
      <c r="BC44" s="69" t="n">
        <f aca="false">-BC37*Inputs!$E$37</f>
        <v>-6234.61863443919</v>
      </c>
      <c r="BD44" s="69" t="n">
        <f aca="false">-BD37*Inputs!$E$37</f>
        <v>-6258.3969864971</v>
      </c>
      <c r="BE44" s="69" t="n">
        <f aca="false">-BE37*Inputs!$E$37</f>
        <v>-6281.22420447269</v>
      </c>
      <c r="BF44" s="69" t="n">
        <f aca="false">-BF37*Inputs!$E$37</f>
        <v>-6303.13833372926</v>
      </c>
      <c r="BG44" s="69" t="n">
        <f aca="false">-BG37*Inputs!$E$37</f>
        <v>-6324.17589781557</v>
      </c>
      <c r="BH44" s="69" t="n">
        <f aca="false">-BH37*Inputs!$E$37</f>
        <v>-6344.37195933842</v>
      </c>
      <c r="BI44" s="69" t="n">
        <f aca="false">-BI37*Inputs!$E$37</f>
        <v>-6363.76017840036</v>
      </c>
      <c r="BJ44" s="69" t="n">
        <f aca="false">-BJ37*Inputs!$E$37</f>
        <v>-5720.6102157964</v>
      </c>
    </row>
    <row r="45" customFormat="false" ht="15" hidden="false" customHeight="false" outlineLevel="0" collapsed="false">
      <c r="A45" s="4" t="s">
        <v>76</v>
      </c>
      <c r="C45" s="75" t="n">
        <f aca="false">C43+C44</f>
        <v>-7071.9457459</v>
      </c>
      <c r="D45" s="75" t="n">
        <f aca="false">D43+D44</f>
        <v>-8031.44880631956</v>
      </c>
      <c r="E45" s="75" t="n">
        <f aca="false">E43+E44</f>
        <v>-11076.8352569627</v>
      </c>
      <c r="F45" s="75" t="n">
        <f aca="false">F43+F44</f>
        <v>-12361.6968813842</v>
      </c>
      <c r="G45" s="75" t="n">
        <f aca="false">G43+G44</f>
        <v>-13678.7184810288</v>
      </c>
      <c r="H45" s="75" t="n">
        <f aca="false">H43+H44</f>
        <v>-15026.6136568877</v>
      </c>
      <c r="I45" s="75" t="n">
        <f aca="false">I43+I44</f>
        <v>-16404.1474659122</v>
      </c>
      <c r="J45" s="75" t="n">
        <f aca="false">J43+J44</f>
        <v>-17810.1343627757</v>
      </c>
      <c r="K45" s="75" t="n">
        <f aca="false">K43+K44</f>
        <v>-19243.4362239647</v>
      </c>
      <c r="L45" s="75" t="n">
        <f aca="false">L43+L44</f>
        <v>-20702.9604509061</v>
      </c>
      <c r="M45" s="75" t="n">
        <f aca="false">M43+M44</f>
        <v>-21242.0965088698</v>
      </c>
      <c r="N45" s="75" t="n">
        <f aca="false">N43+N44</f>
        <v>-17771.5650756123</v>
      </c>
      <c r="O45" s="75" t="n">
        <f aca="false">O43+O44</f>
        <v>-18638.5658545602</v>
      </c>
      <c r="P45" s="75" t="n">
        <f aca="false">P43+P44</f>
        <v>-19000.8447292478</v>
      </c>
      <c r="Q45" s="75" t="n">
        <f aca="false">Q43+Q44</f>
        <v>-23659.4243865624</v>
      </c>
      <c r="R45" s="75" t="n">
        <f aca="false">R43+R44</f>
        <v>-24137.0114511299</v>
      </c>
      <c r="S45" s="75" t="n">
        <f aca="false">S43+S44</f>
        <v>-24595.4950331147</v>
      </c>
      <c r="T45" s="75" t="n">
        <f aca="false">T43+T44</f>
        <v>-25035.6392718201</v>
      </c>
      <c r="U45" s="75" t="n">
        <f aca="false">U43+U44</f>
        <v>-25458.1777409773</v>
      </c>
      <c r="V45" s="75" t="n">
        <f aca="false">V43+V44</f>
        <v>-25863.8146713682</v>
      </c>
      <c r="W45" s="75" t="n">
        <f aca="false">W43+W44</f>
        <v>-26253.2261245435</v>
      </c>
      <c r="X45" s="75" t="n">
        <f aca="false">X43+X44</f>
        <v>-26627.0611195917</v>
      </c>
      <c r="Y45" s="75" t="n">
        <f aca="false">Y43+Y44</f>
        <v>-26985.9427148381</v>
      </c>
      <c r="Z45" s="75" t="n">
        <f aca="false">Z43+Z44</f>
        <v>-22423.8551037065</v>
      </c>
      <c r="AA45" s="75" t="n">
        <f aca="false">AA43+AA44</f>
        <v>-23277.9075589758</v>
      </c>
      <c r="AB45" s="75" t="n">
        <f aca="false">AB43+AB44</f>
        <v>-23502.100378171</v>
      </c>
      <c r="AC45" s="75" t="n">
        <f aca="false">AC43+AC44</f>
        <v>-28893.854787594</v>
      </c>
      <c r="AD45" s="75" t="n">
        <f aca="false">AD43+AD44</f>
        <v>-29221.8477341318</v>
      </c>
      <c r="AE45" s="75" t="n">
        <f aca="false">AE43+AE44</f>
        <v>-29536.7209628081</v>
      </c>
      <c r="AF45" s="75" t="n">
        <f aca="false">AF43+AF44</f>
        <v>-29838.9992623373</v>
      </c>
      <c r="AG45" s="75" t="n">
        <f aca="false">AG43+AG44</f>
        <v>-30129.1864298853</v>
      </c>
      <c r="AH45" s="75" t="n">
        <f aca="false">AH43+AH44</f>
        <v>-30407.7661107314</v>
      </c>
      <c r="AI45" s="75" t="n">
        <f aca="false">AI43+AI44</f>
        <v>-30675.2026043437</v>
      </c>
      <c r="AJ45" s="75" t="n">
        <f aca="false">AJ43+AJ44</f>
        <v>-30931.9416382114</v>
      </c>
      <c r="AK45" s="75" t="n">
        <f aca="false">AK43+AK44</f>
        <v>-31178.4111107245</v>
      </c>
      <c r="AL45" s="75" t="n">
        <f aca="false">AL43+AL44</f>
        <v>-25828.7107774018</v>
      </c>
      <c r="AM45" s="75" t="n">
        <f aca="false">AM43+AM44</f>
        <v>-26688.616264014</v>
      </c>
      <c r="AN45" s="75" t="n">
        <f aca="false">AN43+AN44</f>
        <v>-26826.5261335336</v>
      </c>
      <c r="AO45" s="75" t="n">
        <f aca="false">AO43+AO44</f>
        <v>-32785.1483715232</v>
      </c>
      <c r="AP45" s="75" t="n">
        <f aca="false">AP43+AP44</f>
        <v>-33020.5509652837</v>
      </c>
      <c r="AQ45" s="75" t="n">
        <f aca="false">AQ43+AQ44</f>
        <v>-33246.5374552938</v>
      </c>
      <c r="AR45" s="75" t="n">
        <f aca="false">AR43+AR44</f>
        <v>-33463.4844857035</v>
      </c>
      <c r="AS45" s="75" t="n">
        <f aca="false">AS43+AS44</f>
        <v>-33671.7536348968</v>
      </c>
      <c r="AT45" s="75" t="n">
        <f aca="false">AT43+AT44</f>
        <v>-33871.6920181223</v>
      </c>
      <c r="AU45" s="75" t="n">
        <f aca="false">AU43+AU44</f>
        <v>-34063.6328660188</v>
      </c>
      <c r="AV45" s="75" t="n">
        <f aca="false">AV43+AV44</f>
        <v>-34247.8960799995</v>
      </c>
      <c r="AW45" s="75" t="n">
        <f aca="false">AW43+AW44</f>
        <v>-34424.788765421</v>
      </c>
      <c r="AX45" s="75" t="n">
        <f aca="false">AX43+AX44</f>
        <v>-28473.8546361985</v>
      </c>
      <c r="AY45" s="75" t="n">
        <f aca="false">AY43+AY44</f>
        <v>-29352.2633757499</v>
      </c>
      <c r="AZ45" s="75" t="n">
        <f aca="false">AZ43+AZ44</f>
        <v>-29436.6109773858</v>
      </c>
      <c r="BA45" s="75" t="n">
        <f aca="false">BA43+BA44</f>
        <v>-35862.8399241865</v>
      </c>
      <c r="BB45" s="75" t="n">
        <f aca="false">BB43+BB44</f>
        <v>-36041.6945458169</v>
      </c>
      <c r="BC45" s="75" t="n">
        <f aca="false">BC43+BC44</f>
        <v>-36213.3949825822</v>
      </c>
      <c r="BD45" s="75" t="n">
        <f aca="false">BD43+BD44</f>
        <v>-36378.2274018769</v>
      </c>
      <c r="BE45" s="75" t="n">
        <f aca="false">BE43+BE44</f>
        <v>-36536.4665243997</v>
      </c>
      <c r="BF45" s="75" t="n">
        <f aca="false">BF43+BF44</f>
        <v>-36688.3760820217</v>
      </c>
      <c r="BG45" s="75" t="n">
        <f aca="false">BG43+BG44</f>
        <v>-36834.2092573387</v>
      </c>
      <c r="BH45" s="75" t="n">
        <f aca="false">BH43+BH44</f>
        <v>-36974.2091056431</v>
      </c>
      <c r="BI45" s="75" t="n">
        <f aca="false">BI43+BI44</f>
        <v>-37108.6089600153</v>
      </c>
      <c r="BJ45" s="75" t="n">
        <f aca="false">BJ43+BJ44</f>
        <v>-30668.288355405</v>
      </c>
    </row>
    <row r="46" customFormat="false" ht="15" hidden="false" customHeight="false" outlineLevel="0" collapsed="false">
      <c r="A46" s="113" t="s">
        <v>45</v>
      </c>
      <c r="C46" s="70" t="n">
        <f aca="false">C37+C45</f>
        <v>40871.4122541</v>
      </c>
      <c r="D46" s="70" t="n">
        <f aca="false">D37+D45</f>
        <v>46417.4870959027</v>
      </c>
      <c r="E46" s="70" t="n">
        <f aca="false">E37+E45</f>
        <v>61696.566542504</v>
      </c>
      <c r="F46" s="70" t="n">
        <f aca="false">F37+F45</f>
        <v>68690.2019572149</v>
      </c>
      <c r="G46" s="70" t="n">
        <f aca="false">G37+G45</f>
        <v>75811.5579595819</v>
      </c>
      <c r="H46" s="70" t="n">
        <f aca="false">H37+H45</f>
        <v>83055.5257260986</v>
      </c>
      <c r="I46" s="70" t="n">
        <f aca="false">I37+I45</f>
        <v>90417.2007861991</v>
      </c>
      <c r="J46" s="70" t="n">
        <f aca="false">J37+J45</f>
        <v>97891.87484814</v>
      </c>
      <c r="K46" s="70" t="n">
        <f aca="false">K37+K45</f>
        <v>105475.027951848</v>
      </c>
      <c r="L46" s="70" t="n">
        <f aca="false">L37+L45</f>
        <v>113162.320935652</v>
      </c>
      <c r="M46" s="70" t="n">
        <f aca="false">M37+M45</f>
        <v>115303.453622226</v>
      </c>
      <c r="N46" s="70" t="n">
        <f aca="false">N37+N45</f>
        <v>100968.163050239</v>
      </c>
      <c r="O46" s="70" t="n">
        <f aca="false">O37+O45</f>
        <v>104650.516126274</v>
      </c>
      <c r="P46" s="70" t="n">
        <f aca="false">P37+P45</f>
        <v>106420.439172353</v>
      </c>
      <c r="Q46" s="70" t="n">
        <f aca="false">Q37+Q45</f>
        <v>124595.230958974</v>
      </c>
      <c r="R46" s="70" t="n">
        <f aca="false">R37+R45</f>
        <v>126472.285280585</v>
      </c>
      <c r="S46" s="70" t="n">
        <f aca="false">S37+S45</f>
        <v>128274.257429332</v>
      </c>
      <c r="T46" s="70" t="n">
        <f aca="false">T37+T45</f>
        <v>130004.150692128</v>
      </c>
      <c r="U46" s="70" t="n">
        <f aca="false">U37+U45</f>
        <v>131664.848224413</v>
      </c>
      <c r="V46" s="70" t="n">
        <f aca="false">V37+V45</f>
        <v>133259.117855407</v>
      </c>
      <c r="W46" s="70" t="n">
        <f aca="false">W37+W45</f>
        <v>134789.616701161</v>
      </c>
      <c r="X46" s="70" t="n">
        <f aca="false">X37+X45</f>
        <v>136258.895593084</v>
      </c>
      <c r="Y46" s="70" t="n">
        <f aca="false">Y37+Y45</f>
        <v>137669.403329331</v>
      </c>
      <c r="Z46" s="70" t="n">
        <f aca="false">Z37+Z45</f>
        <v>123143.647098696</v>
      </c>
      <c r="AA46" s="70" t="n">
        <f aca="false">AA37+AA45</f>
        <v>126514.624476616</v>
      </c>
      <c r="AB46" s="70" t="n">
        <f aca="false">AB37+AB45</f>
        <v>127599.357629997</v>
      </c>
      <c r="AC46" s="70" t="n">
        <f aca="false">AC37+AC45</f>
        <v>144666.358906248</v>
      </c>
      <c r="AD46" s="70" t="n">
        <f aca="false">AD37+AD45</f>
        <v>145942.068313956</v>
      </c>
      <c r="AE46" s="70" t="n">
        <f aca="false">AE37+AE45</f>
        <v>147166.749345356</v>
      </c>
      <c r="AF46" s="70" t="n">
        <f aca="false">AF37+AF45</f>
        <v>148342.443135501</v>
      </c>
      <c r="AG46" s="70" t="n">
        <f aca="false">AG37+AG45</f>
        <v>149471.109174039</v>
      </c>
      <c r="AH46" s="70" t="n">
        <f aca="false">AH37+AH45</f>
        <v>150554.628571036</v>
      </c>
      <c r="AI46" s="70" t="n">
        <f aca="false">AI37+AI45</f>
        <v>151594.807192153</v>
      </c>
      <c r="AJ46" s="70" t="n">
        <f aca="false">AJ37+AJ45</f>
        <v>152593.378668425</v>
      </c>
      <c r="AK46" s="70" t="n">
        <f aca="false">AK37+AK45</f>
        <v>153552.007285647</v>
      </c>
      <c r="AL46" s="70" t="n">
        <f aca="false">AL37+AL45</f>
        <v>138856.415033115</v>
      </c>
      <c r="AM46" s="70" t="n">
        <f aca="false">AM37+AM45</f>
        <v>142068.885433349</v>
      </c>
      <c r="AN46" s="70" t="n">
        <f aca="false">AN37+AN45</f>
        <v>142729.688704265</v>
      </c>
      <c r="AO46" s="70" t="n">
        <f aca="false">AO37+AO45</f>
        <v>159164.061568133</v>
      </c>
      <c r="AP46" s="70" t="n">
        <f aca="false">AP37+AP45</f>
        <v>160070.097106076</v>
      </c>
      <c r="AQ46" s="70" t="n">
        <f aca="false">AQ37+AQ45</f>
        <v>160939.891222502</v>
      </c>
      <c r="AR46" s="70" t="n">
        <f aca="false">AR37+AR45</f>
        <v>161774.89357427</v>
      </c>
      <c r="AS46" s="70" t="n">
        <f aca="false">AS37+AS45</f>
        <v>162576.495831968</v>
      </c>
      <c r="AT46" s="70" t="n">
        <f aca="false">AT37+AT45</f>
        <v>163346.033999358</v>
      </c>
      <c r="AU46" s="70" t="n">
        <f aca="false">AU37+AU45</f>
        <v>164084.790640052</v>
      </c>
      <c r="AV46" s="70" t="n">
        <f aca="false">AV37+AV45</f>
        <v>164793.997015119</v>
      </c>
      <c r="AW46" s="70" t="n">
        <f aca="false">AW37+AW45</f>
        <v>165474.835135182</v>
      </c>
      <c r="AX46" s="70" t="n">
        <f aca="false">AX37+AX45</f>
        <v>150622.960350631</v>
      </c>
      <c r="AY46" s="70" t="n">
        <f aca="false">AY37+AY45</f>
        <v>153774.152292503</v>
      </c>
      <c r="AZ46" s="70" t="n">
        <f aca="false">AZ37+AZ45</f>
        <v>154174.383457941</v>
      </c>
      <c r="BA46" s="70" t="n">
        <f aca="false">BA37+BA45</f>
        <v>170272.105224311</v>
      </c>
      <c r="BB46" s="70" t="n">
        <f aca="false">BB37+BB45</f>
        <v>170953.289377923</v>
      </c>
      <c r="BC46" s="70" t="n">
        <f aca="false">BC37+BC45</f>
        <v>171607.226165391</v>
      </c>
      <c r="BD46" s="70" t="n">
        <f aca="false">BD37+BD45</f>
        <v>172235.00548136</v>
      </c>
      <c r="BE46" s="70" t="n">
        <f aca="false">BE37+BE45</f>
        <v>172837.67362469</v>
      </c>
      <c r="BF46" s="70" t="n">
        <f aca="false">BF37+BF45</f>
        <v>173416.235042287</v>
      </c>
      <c r="BG46" s="70" t="n">
        <f aca="false">BG37+BG45</f>
        <v>173971.65400318</v>
      </c>
      <c r="BH46" s="70" t="n">
        <f aca="false">BH37+BH45</f>
        <v>174504.856205638</v>
      </c>
      <c r="BI46" s="70" t="n">
        <f aca="false">BI37+BI45</f>
        <v>175016.730319997</v>
      </c>
      <c r="BJ46" s="70" t="n">
        <f aca="false">BJ37+BJ45</f>
        <v>160018.718837808</v>
      </c>
    </row>
    <row r="48" customFormat="false" ht="15.75" hidden="false" customHeight="true" outlineLevel="0" collapsed="false">
      <c r="A48" s="7" t="s">
        <v>47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customFormat="false" ht="15" hidden="false" customHeight="false" outlineLevel="0" collapsed="false">
      <c r="A49" s="6" t="s">
        <v>340</v>
      </c>
      <c r="C49" s="71" t="n">
        <f aca="false">Headcount!C15</f>
        <v>-36586.6666666667</v>
      </c>
      <c r="D49" s="71" t="n">
        <f aca="false">Headcount!D15</f>
        <v>-36586.6666666667</v>
      </c>
      <c r="E49" s="71" t="n">
        <f aca="false">Headcount!E15</f>
        <v>-36586.6666666667</v>
      </c>
      <c r="F49" s="71" t="n">
        <f aca="false">Headcount!F15</f>
        <v>-36586.6666666667</v>
      </c>
      <c r="G49" s="71" t="n">
        <f aca="false">Headcount!G15</f>
        <v>-36586.6666666667</v>
      </c>
      <c r="H49" s="71" t="n">
        <f aca="false">Headcount!H15</f>
        <v>-36586.6666666667</v>
      </c>
      <c r="I49" s="71" t="n">
        <f aca="false">Headcount!I15</f>
        <v>-36586.6666666667</v>
      </c>
      <c r="J49" s="71" t="n">
        <f aca="false">Headcount!J15</f>
        <v>-36586.6666666667</v>
      </c>
      <c r="K49" s="71" t="n">
        <f aca="false">Headcount!K15</f>
        <v>-36586.6666666667</v>
      </c>
      <c r="L49" s="71" t="n">
        <f aca="false">Headcount!L15</f>
        <v>-36586.6666666667</v>
      </c>
      <c r="M49" s="71" t="n">
        <f aca="false">Headcount!M15</f>
        <v>-36586.6666666667</v>
      </c>
      <c r="N49" s="71" t="n">
        <f aca="false">Headcount!N15</f>
        <v>-36586.6666666667</v>
      </c>
      <c r="O49" s="71" t="n">
        <f aca="false">Headcount!O15</f>
        <v>-37684.2666666667</v>
      </c>
      <c r="P49" s="71" t="n">
        <f aca="false">Headcount!P15</f>
        <v>-37684.2666666667</v>
      </c>
      <c r="Q49" s="71" t="n">
        <f aca="false">Headcount!Q15</f>
        <v>-37684.2666666667</v>
      </c>
      <c r="R49" s="71" t="n">
        <f aca="false">Headcount!R15</f>
        <v>-37684.2666666667</v>
      </c>
      <c r="S49" s="71" t="n">
        <f aca="false">Headcount!S15</f>
        <v>-37684.2666666667</v>
      </c>
      <c r="T49" s="71" t="n">
        <f aca="false">Headcount!T15</f>
        <v>-37684.2666666667</v>
      </c>
      <c r="U49" s="71" t="n">
        <f aca="false">Headcount!U15</f>
        <v>-37684.2666666667</v>
      </c>
      <c r="V49" s="71" t="n">
        <f aca="false">Headcount!V15</f>
        <v>-37684.2666666667</v>
      </c>
      <c r="W49" s="71" t="n">
        <f aca="false">Headcount!W15</f>
        <v>-37684.2666666667</v>
      </c>
      <c r="X49" s="71" t="n">
        <f aca="false">Headcount!X15</f>
        <v>-37684.2666666667</v>
      </c>
      <c r="Y49" s="71" t="n">
        <f aca="false">Headcount!Y15</f>
        <v>-37684.2666666667</v>
      </c>
      <c r="Z49" s="71" t="n">
        <f aca="false">Headcount!Z15</f>
        <v>-37684.2666666667</v>
      </c>
      <c r="AA49" s="71" t="n">
        <f aca="false">Headcount!AA15</f>
        <v>-38814.7946666667</v>
      </c>
      <c r="AB49" s="71" t="n">
        <f aca="false">Headcount!AB15</f>
        <v>-38814.7946666667</v>
      </c>
      <c r="AC49" s="71" t="n">
        <f aca="false">Headcount!AC15</f>
        <v>-38814.7946666667</v>
      </c>
      <c r="AD49" s="71" t="n">
        <f aca="false">Headcount!AD15</f>
        <v>-38814.7946666667</v>
      </c>
      <c r="AE49" s="71" t="n">
        <f aca="false">Headcount!AE15</f>
        <v>-38814.7946666667</v>
      </c>
      <c r="AF49" s="71" t="n">
        <f aca="false">Headcount!AF15</f>
        <v>-38814.7946666667</v>
      </c>
      <c r="AG49" s="71" t="n">
        <f aca="false">Headcount!AG15</f>
        <v>-38814.7946666667</v>
      </c>
      <c r="AH49" s="71" t="n">
        <f aca="false">Headcount!AH15</f>
        <v>-38814.7946666667</v>
      </c>
      <c r="AI49" s="71" t="n">
        <f aca="false">Headcount!AI15</f>
        <v>-38814.7946666667</v>
      </c>
      <c r="AJ49" s="71" t="n">
        <f aca="false">Headcount!AJ15</f>
        <v>-38814.7946666667</v>
      </c>
      <c r="AK49" s="71" t="n">
        <f aca="false">Headcount!AK15</f>
        <v>-38814.7946666667</v>
      </c>
      <c r="AL49" s="71" t="n">
        <f aca="false">Headcount!AL15</f>
        <v>-38814.7946666667</v>
      </c>
      <c r="AM49" s="71" t="n">
        <f aca="false">Headcount!AM15</f>
        <v>-39979.2385066667</v>
      </c>
      <c r="AN49" s="71" t="n">
        <f aca="false">Headcount!AN15</f>
        <v>-39979.2385066667</v>
      </c>
      <c r="AO49" s="71" t="n">
        <f aca="false">Headcount!AO15</f>
        <v>-39979.2385066667</v>
      </c>
      <c r="AP49" s="71" t="n">
        <f aca="false">Headcount!AP15</f>
        <v>-39979.2385066667</v>
      </c>
      <c r="AQ49" s="71" t="n">
        <f aca="false">Headcount!AQ15</f>
        <v>-39979.2385066667</v>
      </c>
      <c r="AR49" s="71" t="n">
        <f aca="false">Headcount!AR15</f>
        <v>-39979.2385066667</v>
      </c>
      <c r="AS49" s="71" t="n">
        <f aca="false">Headcount!AS15</f>
        <v>-39979.2385066667</v>
      </c>
      <c r="AT49" s="71" t="n">
        <f aca="false">Headcount!AT15</f>
        <v>-39979.2385066667</v>
      </c>
      <c r="AU49" s="71" t="n">
        <f aca="false">Headcount!AU15</f>
        <v>-39979.2385066667</v>
      </c>
      <c r="AV49" s="71" t="n">
        <f aca="false">Headcount!AV15</f>
        <v>-39979.2385066667</v>
      </c>
      <c r="AW49" s="71" t="n">
        <f aca="false">Headcount!AW15</f>
        <v>-39979.2385066667</v>
      </c>
      <c r="AX49" s="71" t="n">
        <f aca="false">Headcount!AX15</f>
        <v>-39979.2385066667</v>
      </c>
      <c r="AY49" s="71" t="n">
        <f aca="false">Headcount!AY15</f>
        <v>-41178.6156618667</v>
      </c>
      <c r="AZ49" s="71" t="n">
        <f aca="false">Headcount!AZ15</f>
        <v>-41178.6156618667</v>
      </c>
      <c r="BA49" s="71" t="n">
        <f aca="false">Headcount!BA15</f>
        <v>-41178.6156618667</v>
      </c>
      <c r="BB49" s="71" t="n">
        <f aca="false">Headcount!BB15</f>
        <v>-41178.6156618667</v>
      </c>
      <c r="BC49" s="71" t="n">
        <f aca="false">Headcount!BC15</f>
        <v>-41178.6156618667</v>
      </c>
      <c r="BD49" s="71" t="n">
        <f aca="false">Headcount!BD15</f>
        <v>-41178.6156618667</v>
      </c>
      <c r="BE49" s="71" t="n">
        <f aca="false">Headcount!BE15</f>
        <v>-41178.6156618667</v>
      </c>
      <c r="BF49" s="71" t="n">
        <f aca="false">Headcount!BF15</f>
        <v>-41178.6156618667</v>
      </c>
      <c r="BG49" s="71" t="n">
        <f aca="false">Headcount!BG15</f>
        <v>-41178.6156618667</v>
      </c>
      <c r="BH49" s="71" t="n">
        <f aca="false">Headcount!BH15</f>
        <v>-41178.6156618667</v>
      </c>
      <c r="BI49" s="71" t="n">
        <f aca="false">Headcount!BI15</f>
        <v>-41178.6156618667</v>
      </c>
      <c r="BJ49" s="71" t="n">
        <f aca="false">Headcount!BJ15</f>
        <v>-41178.6156618667</v>
      </c>
    </row>
    <row r="50" customFormat="false" ht="15" hidden="false" customHeight="false" outlineLevel="0" collapsed="false">
      <c r="A50" s="6" t="s">
        <v>341</v>
      </c>
      <c r="C50" s="69" t="n">
        <f aca="false">-Inputs!$E$41*(1+Inputs!$E$42)^(C$5-1)*1</f>
        <v>-30000</v>
      </c>
      <c r="D50" s="69" t="n">
        <f aca="false">-Inputs!$E$41*(1+Inputs!$E$42)^(D$5-1)*1</f>
        <v>-30000</v>
      </c>
      <c r="E50" s="69" t="n">
        <f aca="false">-Inputs!$E$41*(1+Inputs!$E$42)^(E$5-1)*1</f>
        <v>-30000</v>
      </c>
      <c r="F50" s="69" t="n">
        <f aca="false">-Inputs!$E$41*(1+Inputs!$E$42)^(F$5-1)*1</f>
        <v>-30000</v>
      </c>
      <c r="G50" s="69" t="n">
        <f aca="false">-Inputs!$E$41*(1+Inputs!$E$42)^(G$5-1)*1</f>
        <v>-30000</v>
      </c>
      <c r="H50" s="69" t="n">
        <f aca="false">-Inputs!$E$41*(1+Inputs!$E$42)^(H$5-1)*1</f>
        <v>-30000</v>
      </c>
      <c r="I50" s="69" t="n">
        <f aca="false">-Inputs!$E$41*(1+Inputs!$E$42)^(I$5-1)*1</f>
        <v>-30000</v>
      </c>
      <c r="J50" s="69" t="n">
        <f aca="false">-Inputs!$E$41*(1+Inputs!$E$42)^(J$5-1)*1</f>
        <v>-30000</v>
      </c>
      <c r="K50" s="69" t="n">
        <f aca="false">-Inputs!$E$41*(1+Inputs!$E$42)^(K$5-1)*1</f>
        <v>-30000</v>
      </c>
      <c r="L50" s="69" t="n">
        <f aca="false">-Inputs!$E$41*(1+Inputs!$E$42)^(L$5-1)*1</f>
        <v>-30000</v>
      </c>
      <c r="M50" s="69" t="n">
        <f aca="false">-Inputs!$E$41*(1+Inputs!$E$42)^(M$5-1)*1</f>
        <v>-30000</v>
      </c>
      <c r="N50" s="69" t="n">
        <f aca="false">-Inputs!$E$41*(1+Inputs!$E$42)^(N$5-1)*1</f>
        <v>-30000</v>
      </c>
      <c r="O50" s="69" t="n">
        <f aca="false">-Inputs!$E$41*(1+Inputs!$E$42)^(O$5-1)*1</f>
        <v>-30900</v>
      </c>
      <c r="P50" s="69" t="n">
        <f aca="false">-Inputs!$E$41*(1+Inputs!$E$42)^(P$5-1)*1</f>
        <v>-30900</v>
      </c>
      <c r="Q50" s="69" t="n">
        <f aca="false">-Inputs!$E$41*(1+Inputs!$E$42)^(Q$5-1)*1</f>
        <v>-30900</v>
      </c>
      <c r="R50" s="69" t="n">
        <f aca="false">-Inputs!$E$41*(1+Inputs!$E$42)^(R$5-1)*1</f>
        <v>-30900</v>
      </c>
      <c r="S50" s="69" t="n">
        <f aca="false">-Inputs!$E$41*(1+Inputs!$E$42)^(S$5-1)*1</f>
        <v>-30900</v>
      </c>
      <c r="T50" s="69" t="n">
        <f aca="false">-Inputs!$E$41*(1+Inputs!$E$42)^(T$5-1)*1</f>
        <v>-30900</v>
      </c>
      <c r="U50" s="69" t="n">
        <f aca="false">-Inputs!$E$41*(1+Inputs!$E$42)^(U$5-1)*1</f>
        <v>-30900</v>
      </c>
      <c r="V50" s="69" t="n">
        <f aca="false">-Inputs!$E$41*(1+Inputs!$E$42)^(V$5-1)*1</f>
        <v>-30900</v>
      </c>
      <c r="W50" s="69" t="n">
        <f aca="false">-Inputs!$E$41*(1+Inputs!$E$42)^(W$5-1)*1</f>
        <v>-30900</v>
      </c>
      <c r="X50" s="69" t="n">
        <f aca="false">-Inputs!$E$41*(1+Inputs!$E$42)^(X$5-1)*1</f>
        <v>-30900</v>
      </c>
      <c r="Y50" s="69" t="n">
        <f aca="false">-Inputs!$E$41*(1+Inputs!$E$42)^(Y$5-1)*1</f>
        <v>-30900</v>
      </c>
      <c r="Z50" s="69" t="n">
        <f aca="false">-Inputs!$E$41*(1+Inputs!$E$42)^(Z$5-1)*1</f>
        <v>-30900</v>
      </c>
      <c r="AA50" s="69" t="n">
        <f aca="false">-Inputs!$E$41*(1+Inputs!$E$42)^(AA$5-1)*1</f>
        <v>-31827</v>
      </c>
      <c r="AB50" s="69" t="n">
        <f aca="false">-Inputs!$E$41*(1+Inputs!$E$42)^(AB$5-1)*1</f>
        <v>-31827</v>
      </c>
      <c r="AC50" s="69" t="n">
        <f aca="false">-Inputs!$E$41*(1+Inputs!$E$42)^(AC$5-1)*1</f>
        <v>-31827</v>
      </c>
      <c r="AD50" s="69" t="n">
        <f aca="false">-Inputs!$E$41*(1+Inputs!$E$42)^(AD$5-1)*1</f>
        <v>-31827</v>
      </c>
      <c r="AE50" s="69" t="n">
        <f aca="false">-Inputs!$E$41*(1+Inputs!$E$42)^(AE$5-1)*1</f>
        <v>-31827</v>
      </c>
      <c r="AF50" s="69" t="n">
        <f aca="false">-Inputs!$E$41*(1+Inputs!$E$42)^(AF$5-1)*1</f>
        <v>-31827</v>
      </c>
      <c r="AG50" s="69" t="n">
        <f aca="false">-Inputs!$E$41*(1+Inputs!$E$42)^(AG$5-1)*1</f>
        <v>-31827</v>
      </c>
      <c r="AH50" s="69" t="n">
        <f aca="false">-Inputs!$E$41*(1+Inputs!$E$42)^(AH$5-1)*1</f>
        <v>-31827</v>
      </c>
      <c r="AI50" s="69" t="n">
        <f aca="false">-Inputs!$E$41*(1+Inputs!$E$42)^(AI$5-1)*1</f>
        <v>-31827</v>
      </c>
      <c r="AJ50" s="69" t="n">
        <f aca="false">-Inputs!$E$41*(1+Inputs!$E$42)^(AJ$5-1)*1</f>
        <v>-31827</v>
      </c>
      <c r="AK50" s="69" t="n">
        <f aca="false">-Inputs!$E$41*(1+Inputs!$E$42)^(AK$5-1)*1</f>
        <v>-31827</v>
      </c>
      <c r="AL50" s="69" t="n">
        <f aca="false">-Inputs!$E$41*(1+Inputs!$E$42)^(AL$5-1)*1</f>
        <v>-31827</v>
      </c>
      <c r="AM50" s="69" t="n">
        <f aca="false">-Inputs!$E$41*(1+Inputs!$E$42)^(AM$5-1)*1</f>
        <v>-32781.81</v>
      </c>
      <c r="AN50" s="69" t="n">
        <f aca="false">-Inputs!$E$41*(1+Inputs!$E$42)^(AN$5-1)*1</f>
        <v>-32781.81</v>
      </c>
      <c r="AO50" s="69" t="n">
        <f aca="false">-Inputs!$E$41*(1+Inputs!$E$42)^(AO$5-1)*1</f>
        <v>-32781.81</v>
      </c>
      <c r="AP50" s="69" t="n">
        <f aca="false">-Inputs!$E$41*(1+Inputs!$E$42)^(AP$5-1)*1</f>
        <v>-32781.81</v>
      </c>
      <c r="AQ50" s="69" t="n">
        <f aca="false">-Inputs!$E$41*(1+Inputs!$E$42)^(AQ$5-1)*1</f>
        <v>-32781.81</v>
      </c>
      <c r="AR50" s="69" t="n">
        <f aca="false">-Inputs!$E$41*(1+Inputs!$E$42)^(AR$5-1)*1</f>
        <v>-32781.81</v>
      </c>
      <c r="AS50" s="69" t="n">
        <f aca="false">-Inputs!$E$41*(1+Inputs!$E$42)^(AS$5-1)*1</f>
        <v>-32781.81</v>
      </c>
      <c r="AT50" s="69" t="n">
        <f aca="false">-Inputs!$E$41*(1+Inputs!$E$42)^(AT$5-1)*1</f>
        <v>-32781.81</v>
      </c>
      <c r="AU50" s="69" t="n">
        <f aca="false">-Inputs!$E$41*(1+Inputs!$E$42)^(AU$5-1)*1</f>
        <v>-32781.81</v>
      </c>
      <c r="AV50" s="69" t="n">
        <f aca="false">-Inputs!$E$41*(1+Inputs!$E$42)^(AV$5-1)*1</f>
        <v>-32781.81</v>
      </c>
      <c r="AW50" s="69" t="n">
        <f aca="false">-Inputs!$E$41*(1+Inputs!$E$42)^(AW$5-1)*1</f>
        <v>-32781.81</v>
      </c>
      <c r="AX50" s="69" t="n">
        <f aca="false">-Inputs!$E$41*(1+Inputs!$E$42)^(AX$5-1)*1</f>
        <v>-32781.81</v>
      </c>
      <c r="AY50" s="69" t="n">
        <f aca="false">-Inputs!$E$41*(1+Inputs!$E$42)^(AY$5-1)*1</f>
        <v>-33765.2643</v>
      </c>
      <c r="AZ50" s="69" t="n">
        <f aca="false">-Inputs!$E$41*(1+Inputs!$E$42)^(AZ$5-1)*1</f>
        <v>-33765.2643</v>
      </c>
      <c r="BA50" s="69" t="n">
        <f aca="false">-Inputs!$E$41*(1+Inputs!$E$42)^(BA$5-1)*1</f>
        <v>-33765.2643</v>
      </c>
      <c r="BB50" s="69" t="n">
        <f aca="false">-Inputs!$E$41*(1+Inputs!$E$42)^(BB$5-1)*1</f>
        <v>-33765.2643</v>
      </c>
      <c r="BC50" s="69" t="n">
        <f aca="false">-Inputs!$E$41*(1+Inputs!$E$42)^(BC$5-1)*1</f>
        <v>-33765.2643</v>
      </c>
      <c r="BD50" s="69" t="n">
        <f aca="false">-Inputs!$E$41*(1+Inputs!$E$42)^(BD$5-1)*1</f>
        <v>-33765.2643</v>
      </c>
      <c r="BE50" s="69" t="n">
        <f aca="false">-Inputs!$E$41*(1+Inputs!$E$42)^(BE$5-1)*1</f>
        <v>-33765.2643</v>
      </c>
      <c r="BF50" s="69" t="n">
        <f aca="false">-Inputs!$E$41*(1+Inputs!$E$42)^(BF$5-1)*1</f>
        <v>-33765.2643</v>
      </c>
      <c r="BG50" s="69" t="n">
        <f aca="false">-Inputs!$E$41*(1+Inputs!$E$42)^(BG$5-1)*1</f>
        <v>-33765.2643</v>
      </c>
      <c r="BH50" s="69" t="n">
        <f aca="false">-Inputs!$E$41*(1+Inputs!$E$42)^(BH$5-1)*1</f>
        <v>-33765.2643</v>
      </c>
      <c r="BI50" s="69" t="n">
        <f aca="false">-Inputs!$E$41*(1+Inputs!$E$42)^(BI$5-1)*1</f>
        <v>-33765.2643</v>
      </c>
      <c r="BJ50" s="69" t="n">
        <f aca="false">-Inputs!$E$41*(1+Inputs!$E$42)^(BJ$5-1)*1</f>
        <v>-33765.2643</v>
      </c>
    </row>
    <row r="51" customFormat="false" ht="15" hidden="false" customHeight="false" outlineLevel="0" collapsed="false">
      <c r="A51" s="6" t="s">
        <v>342</v>
      </c>
      <c r="C51" s="69" t="n">
        <f aca="false">-Inputs!$E$43*(1+Inputs!$E$38)^(C$5-1)*1</f>
        <v>-5500</v>
      </c>
      <c r="D51" s="69" t="n">
        <f aca="false">-Inputs!$E$43*(1+Inputs!$E$38)^(D$5-1)*1</f>
        <v>-5500</v>
      </c>
      <c r="E51" s="69" t="n">
        <f aca="false">-Inputs!$E$43*(1+Inputs!$E$38)^(E$5-1)*1</f>
        <v>-5500</v>
      </c>
      <c r="F51" s="69" t="n">
        <f aca="false">-Inputs!$E$43*(1+Inputs!$E$38)^(F$5-1)*1</f>
        <v>-5500</v>
      </c>
      <c r="G51" s="69" t="n">
        <f aca="false">-Inputs!$E$43*(1+Inputs!$E$38)^(G$5-1)*1</f>
        <v>-5500</v>
      </c>
      <c r="H51" s="69" t="n">
        <f aca="false">-Inputs!$E$43*(1+Inputs!$E$38)^(H$5-1)*1</f>
        <v>-5500</v>
      </c>
      <c r="I51" s="69" t="n">
        <f aca="false">-Inputs!$E$43*(1+Inputs!$E$38)^(I$5-1)*1</f>
        <v>-5500</v>
      </c>
      <c r="J51" s="69" t="n">
        <f aca="false">-Inputs!$E$43*(1+Inputs!$E$38)^(J$5-1)*1</f>
        <v>-5500</v>
      </c>
      <c r="K51" s="69" t="n">
        <f aca="false">-Inputs!$E$43*(1+Inputs!$E$38)^(K$5-1)*1</f>
        <v>-5500</v>
      </c>
      <c r="L51" s="69" t="n">
        <f aca="false">-Inputs!$E$43*(1+Inputs!$E$38)^(L$5-1)*1</f>
        <v>-5500</v>
      </c>
      <c r="M51" s="69" t="n">
        <f aca="false">-Inputs!$E$43*(1+Inputs!$E$38)^(M$5-1)*1</f>
        <v>-5500</v>
      </c>
      <c r="N51" s="69" t="n">
        <f aca="false">-Inputs!$E$43*(1+Inputs!$E$38)^(N$5-1)*1</f>
        <v>-5500</v>
      </c>
      <c r="O51" s="69" t="n">
        <f aca="false">-Inputs!$E$43*(1+Inputs!$E$38)^(O$5-1)*1</f>
        <v>-5665</v>
      </c>
      <c r="P51" s="69" t="n">
        <f aca="false">-Inputs!$E$43*(1+Inputs!$E$38)^(P$5-1)*1</f>
        <v>-5665</v>
      </c>
      <c r="Q51" s="69" t="n">
        <f aca="false">-Inputs!$E$43*(1+Inputs!$E$38)^(Q$5-1)*1</f>
        <v>-5665</v>
      </c>
      <c r="R51" s="69" t="n">
        <f aca="false">-Inputs!$E$43*(1+Inputs!$E$38)^(R$5-1)*1</f>
        <v>-5665</v>
      </c>
      <c r="S51" s="69" t="n">
        <f aca="false">-Inputs!$E$43*(1+Inputs!$E$38)^(S$5-1)*1</f>
        <v>-5665</v>
      </c>
      <c r="T51" s="69" t="n">
        <f aca="false">-Inputs!$E$43*(1+Inputs!$E$38)^(T$5-1)*1</f>
        <v>-5665</v>
      </c>
      <c r="U51" s="69" t="n">
        <f aca="false">-Inputs!$E$43*(1+Inputs!$E$38)^(U$5-1)*1</f>
        <v>-5665</v>
      </c>
      <c r="V51" s="69" t="n">
        <f aca="false">-Inputs!$E$43*(1+Inputs!$E$38)^(V$5-1)*1</f>
        <v>-5665</v>
      </c>
      <c r="W51" s="69" t="n">
        <f aca="false">-Inputs!$E$43*(1+Inputs!$E$38)^(W$5-1)*1</f>
        <v>-5665</v>
      </c>
      <c r="X51" s="69" t="n">
        <f aca="false">-Inputs!$E$43*(1+Inputs!$E$38)^(X$5-1)*1</f>
        <v>-5665</v>
      </c>
      <c r="Y51" s="69" t="n">
        <f aca="false">-Inputs!$E$43*(1+Inputs!$E$38)^(Y$5-1)*1</f>
        <v>-5665</v>
      </c>
      <c r="Z51" s="69" t="n">
        <f aca="false">-Inputs!$E$43*(1+Inputs!$E$38)^(Z$5-1)*1</f>
        <v>-5665</v>
      </c>
      <c r="AA51" s="69" t="n">
        <f aca="false">-Inputs!$E$43*(1+Inputs!$E$38)^(AA$5-1)*1</f>
        <v>-5834.95</v>
      </c>
      <c r="AB51" s="69" t="n">
        <f aca="false">-Inputs!$E$43*(1+Inputs!$E$38)^(AB$5-1)*1</f>
        <v>-5834.95</v>
      </c>
      <c r="AC51" s="69" t="n">
        <f aca="false">-Inputs!$E$43*(1+Inputs!$E$38)^(AC$5-1)*1</f>
        <v>-5834.95</v>
      </c>
      <c r="AD51" s="69" t="n">
        <f aca="false">-Inputs!$E$43*(1+Inputs!$E$38)^(AD$5-1)*1</f>
        <v>-5834.95</v>
      </c>
      <c r="AE51" s="69" t="n">
        <f aca="false">-Inputs!$E$43*(1+Inputs!$E$38)^(AE$5-1)*1</f>
        <v>-5834.95</v>
      </c>
      <c r="AF51" s="69" t="n">
        <f aca="false">-Inputs!$E$43*(1+Inputs!$E$38)^(AF$5-1)*1</f>
        <v>-5834.95</v>
      </c>
      <c r="AG51" s="69" t="n">
        <f aca="false">-Inputs!$E$43*(1+Inputs!$E$38)^(AG$5-1)*1</f>
        <v>-5834.95</v>
      </c>
      <c r="AH51" s="69" t="n">
        <f aca="false">-Inputs!$E$43*(1+Inputs!$E$38)^(AH$5-1)*1</f>
        <v>-5834.95</v>
      </c>
      <c r="AI51" s="69" t="n">
        <f aca="false">-Inputs!$E$43*(1+Inputs!$E$38)^(AI$5-1)*1</f>
        <v>-5834.95</v>
      </c>
      <c r="AJ51" s="69" t="n">
        <f aca="false">-Inputs!$E$43*(1+Inputs!$E$38)^(AJ$5-1)*1</f>
        <v>-5834.95</v>
      </c>
      <c r="AK51" s="69" t="n">
        <f aca="false">-Inputs!$E$43*(1+Inputs!$E$38)^(AK$5-1)*1</f>
        <v>-5834.95</v>
      </c>
      <c r="AL51" s="69" t="n">
        <f aca="false">-Inputs!$E$43*(1+Inputs!$E$38)^(AL$5-1)*1</f>
        <v>-5834.95</v>
      </c>
      <c r="AM51" s="69" t="n">
        <f aca="false">-Inputs!$E$43*(1+Inputs!$E$38)^(AM$5-1)*1</f>
        <v>-6009.9985</v>
      </c>
      <c r="AN51" s="69" t="n">
        <f aca="false">-Inputs!$E$43*(1+Inputs!$E$38)^(AN$5-1)*1</f>
        <v>-6009.9985</v>
      </c>
      <c r="AO51" s="69" t="n">
        <f aca="false">-Inputs!$E$43*(1+Inputs!$E$38)^(AO$5-1)*1</f>
        <v>-6009.9985</v>
      </c>
      <c r="AP51" s="69" t="n">
        <f aca="false">-Inputs!$E$43*(1+Inputs!$E$38)^(AP$5-1)*1</f>
        <v>-6009.9985</v>
      </c>
      <c r="AQ51" s="69" t="n">
        <f aca="false">-Inputs!$E$43*(1+Inputs!$E$38)^(AQ$5-1)*1</f>
        <v>-6009.9985</v>
      </c>
      <c r="AR51" s="69" t="n">
        <f aca="false">-Inputs!$E$43*(1+Inputs!$E$38)^(AR$5-1)*1</f>
        <v>-6009.9985</v>
      </c>
      <c r="AS51" s="69" t="n">
        <f aca="false">-Inputs!$E$43*(1+Inputs!$E$38)^(AS$5-1)*1</f>
        <v>-6009.9985</v>
      </c>
      <c r="AT51" s="69" t="n">
        <f aca="false">-Inputs!$E$43*(1+Inputs!$E$38)^(AT$5-1)*1</f>
        <v>-6009.9985</v>
      </c>
      <c r="AU51" s="69" t="n">
        <f aca="false">-Inputs!$E$43*(1+Inputs!$E$38)^(AU$5-1)*1</f>
        <v>-6009.9985</v>
      </c>
      <c r="AV51" s="69" t="n">
        <f aca="false">-Inputs!$E$43*(1+Inputs!$E$38)^(AV$5-1)*1</f>
        <v>-6009.9985</v>
      </c>
      <c r="AW51" s="69" t="n">
        <f aca="false">-Inputs!$E$43*(1+Inputs!$E$38)^(AW$5-1)*1</f>
        <v>-6009.9985</v>
      </c>
      <c r="AX51" s="69" t="n">
        <f aca="false">-Inputs!$E$43*(1+Inputs!$E$38)^(AX$5-1)*1</f>
        <v>-6009.9985</v>
      </c>
      <c r="AY51" s="69" t="n">
        <f aca="false">-Inputs!$E$43*(1+Inputs!$E$38)^(AY$5-1)*1</f>
        <v>-6190.298455</v>
      </c>
      <c r="AZ51" s="69" t="n">
        <f aca="false">-Inputs!$E$43*(1+Inputs!$E$38)^(AZ$5-1)*1</f>
        <v>-6190.298455</v>
      </c>
      <c r="BA51" s="69" t="n">
        <f aca="false">-Inputs!$E$43*(1+Inputs!$E$38)^(BA$5-1)*1</f>
        <v>-6190.298455</v>
      </c>
      <c r="BB51" s="69" t="n">
        <f aca="false">-Inputs!$E$43*(1+Inputs!$E$38)^(BB$5-1)*1</f>
        <v>-6190.298455</v>
      </c>
      <c r="BC51" s="69" t="n">
        <f aca="false">-Inputs!$E$43*(1+Inputs!$E$38)^(BC$5-1)*1</f>
        <v>-6190.298455</v>
      </c>
      <c r="BD51" s="69" t="n">
        <f aca="false">-Inputs!$E$43*(1+Inputs!$E$38)^(BD$5-1)*1</f>
        <v>-6190.298455</v>
      </c>
      <c r="BE51" s="69" t="n">
        <f aca="false">-Inputs!$E$43*(1+Inputs!$E$38)^(BE$5-1)*1</f>
        <v>-6190.298455</v>
      </c>
      <c r="BF51" s="69" t="n">
        <f aca="false">-Inputs!$E$43*(1+Inputs!$E$38)^(BF$5-1)*1</f>
        <v>-6190.298455</v>
      </c>
      <c r="BG51" s="69" t="n">
        <f aca="false">-Inputs!$E$43*(1+Inputs!$E$38)^(BG$5-1)*1</f>
        <v>-6190.298455</v>
      </c>
      <c r="BH51" s="69" t="n">
        <f aca="false">-Inputs!$E$43*(1+Inputs!$E$38)^(BH$5-1)*1</f>
        <v>-6190.298455</v>
      </c>
      <c r="BI51" s="69" t="n">
        <f aca="false">-Inputs!$E$43*(1+Inputs!$E$38)^(BI$5-1)*1</f>
        <v>-6190.298455</v>
      </c>
      <c r="BJ51" s="69" t="n">
        <f aca="false">-Inputs!$E$43*(1+Inputs!$E$38)^(BJ$5-1)*1</f>
        <v>-6190.298455</v>
      </c>
    </row>
    <row r="52" customFormat="false" ht="15" hidden="false" customHeight="false" outlineLevel="0" collapsed="false">
      <c r="A52" s="6" t="s">
        <v>343</v>
      </c>
      <c r="C52" s="69" t="n">
        <f aca="false">-Inputs!$E$44*(1+Inputs!$E$38)^(C$5-1)*1</f>
        <v>-9500</v>
      </c>
      <c r="D52" s="69" t="n">
        <f aca="false">-Inputs!$E$44*(1+Inputs!$E$38)^(D$5-1)*1</f>
        <v>-9500</v>
      </c>
      <c r="E52" s="69" t="n">
        <f aca="false">-Inputs!$E$44*(1+Inputs!$E$38)^(E$5-1)*1</f>
        <v>-9500</v>
      </c>
      <c r="F52" s="69" t="n">
        <f aca="false">-Inputs!$E$44*(1+Inputs!$E$38)^(F$5-1)*1</f>
        <v>-9500</v>
      </c>
      <c r="G52" s="69" t="n">
        <f aca="false">-Inputs!$E$44*(1+Inputs!$E$38)^(G$5-1)*1</f>
        <v>-9500</v>
      </c>
      <c r="H52" s="69" t="n">
        <f aca="false">-Inputs!$E$44*(1+Inputs!$E$38)^(H$5-1)*1</f>
        <v>-9500</v>
      </c>
      <c r="I52" s="69" t="n">
        <f aca="false">-Inputs!$E$44*(1+Inputs!$E$38)^(I$5-1)*1</f>
        <v>-9500</v>
      </c>
      <c r="J52" s="69" t="n">
        <f aca="false">-Inputs!$E$44*(1+Inputs!$E$38)^(J$5-1)*1</f>
        <v>-9500</v>
      </c>
      <c r="K52" s="69" t="n">
        <f aca="false">-Inputs!$E$44*(1+Inputs!$E$38)^(K$5-1)*1</f>
        <v>-9500</v>
      </c>
      <c r="L52" s="69" t="n">
        <f aca="false">-Inputs!$E$44*(1+Inputs!$E$38)^(L$5-1)*1</f>
        <v>-9500</v>
      </c>
      <c r="M52" s="69" t="n">
        <f aca="false">-Inputs!$E$44*(1+Inputs!$E$38)^(M$5-1)*1</f>
        <v>-9500</v>
      </c>
      <c r="N52" s="69" t="n">
        <f aca="false">-Inputs!$E$44*(1+Inputs!$E$38)^(N$5-1)*1</f>
        <v>-9500</v>
      </c>
      <c r="O52" s="69" t="n">
        <f aca="false">-Inputs!$E$44*(1+Inputs!$E$38)^(O$5-1)*1</f>
        <v>-9785</v>
      </c>
      <c r="P52" s="69" t="n">
        <f aca="false">-Inputs!$E$44*(1+Inputs!$E$38)^(P$5-1)*1</f>
        <v>-9785</v>
      </c>
      <c r="Q52" s="69" t="n">
        <f aca="false">-Inputs!$E$44*(1+Inputs!$E$38)^(Q$5-1)*1</f>
        <v>-9785</v>
      </c>
      <c r="R52" s="69" t="n">
        <f aca="false">-Inputs!$E$44*(1+Inputs!$E$38)^(R$5-1)*1</f>
        <v>-9785</v>
      </c>
      <c r="S52" s="69" t="n">
        <f aca="false">-Inputs!$E$44*(1+Inputs!$E$38)^(S$5-1)*1</f>
        <v>-9785</v>
      </c>
      <c r="T52" s="69" t="n">
        <f aca="false">-Inputs!$E$44*(1+Inputs!$E$38)^(T$5-1)*1</f>
        <v>-9785</v>
      </c>
      <c r="U52" s="69" t="n">
        <f aca="false">-Inputs!$E$44*(1+Inputs!$E$38)^(U$5-1)*1</f>
        <v>-9785</v>
      </c>
      <c r="V52" s="69" t="n">
        <f aca="false">-Inputs!$E$44*(1+Inputs!$E$38)^(V$5-1)*1</f>
        <v>-9785</v>
      </c>
      <c r="W52" s="69" t="n">
        <f aca="false">-Inputs!$E$44*(1+Inputs!$E$38)^(W$5-1)*1</f>
        <v>-9785</v>
      </c>
      <c r="X52" s="69" t="n">
        <f aca="false">-Inputs!$E$44*(1+Inputs!$E$38)^(X$5-1)*1</f>
        <v>-9785</v>
      </c>
      <c r="Y52" s="69" t="n">
        <f aca="false">-Inputs!$E$44*(1+Inputs!$E$38)^(Y$5-1)*1</f>
        <v>-9785</v>
      </c>
      <c r="Z52" s="69" t="n">
        <f aca="false">-Inputs!$E$44*(1+Inputs!$E$38)^(Z$5-1)*1</f>
        <v>-9785</v>
      </c>
      <c r="AA52" s="69" t="n">
        <f aca="false">-Inputs!$E$44*(1+Inputs!$E$38)^(AA$5-1)*1</f>
        <v>-10078.55</v>
      </c>
      <c r="AB52" s="69" t="n">
        <f aca="false">-Inputs!$E$44*(1+Inputs!$E$38)^(AB$5-1)*1</f>
        <v>-10078.55</v>
      </c>
      <c r="AC52" s="69" t="n">
        <f aca="false">-Inputs!$E$44*(1+Inputs!$E$38)^(AC$5-1)*1</f>
        <v>-10078.55</v>
      </c>
      <c r="AD52" s="69" t="n">
        <f aca="false">-Inputs!$E$44*(1+Inputs!$E$38)^(AD$5-1)*1</f>
        <v>-10078.55</v>
      </c>
      <c r="AE52" s="69" t="n">
        <f aca="false">-Inputs!$E$44*(1+Inputs!$E$38)^(AE$5-1)*1</f>
        <v>-10078.55</v>
      </c>
      <c r="AF52" s="69" t="n">
        <f aca="false">-Inputs!$E$44*(1+Inputs!$E$38)^(AF$5-1)*1</f>
        <v>-10078.55</v>
      </c>
      <c r="AG52" s="69" t="n">
        <f aca="false">-Inputs!$E$44*(1+Inputs!$E$38)^(AG$5-1)*1</f>
        <v>-10078.55</v>
      </c>
      <c r="AH52" s="69" t="n">
        <f aca="false">-Inputs!$E$44*(1+Inputs!$E$38)^(AH$5-1)*1</f>
        <v>-10078.55</v>
      </c>
      <c r="AI52" s="69" t="n">
        <f aca="false">-Inputs!$E$44*(1+Inputs!$E$38)^(AI$5-1)*1</f>
        <v>-10078.55</v>
      </c>
      <c r="AJ52" s="69" t="n">
        <f aca="false">-Inputs!$E$44*(1+Inputs!$E$38)^(AJ$5-1)*1</f>
        <v>-10078.55</v>
      </c>
      <c r="AK52" s="69" t="n">
        <f aca="false">-Inputs!$E$44*(1+Inputs!$E$38)^(AK$5-1)*1</f>
        <v>-10078.55</v>
      </c>
      <c r="AL52" s="69" t="n">
        <f aca="false">-Inputs!$E$44*(1+Inputs!$E$38)^(AL$5-1)*1</f>
        <v>-10078.55</v>
      </c>
      <c r="AM52" s="69" t="n">
        <f aca="false">-Inputs!$E$44*(1+Inputs!$E$38)^(AM$5-1)*1</f>
        <v>-10380.9065</v>
      </c>
      <c r="AN52" s="69" t="n">
        <f aca="false">-Inputs!$E$44*(1+Inputs!$E$38)^(AN$5-1)*1</f>
        <v>-10380.9065</v>
      </c>
      <c r="AO52" s="69" t="n">
        <f aca="false">-Inputs!$E$44*(1+Inputs!$E$38)^(AO$5-1)*1</f>
        <v>-10380.9065</v>
      </c>
      <c r="AP52" s="69" t="n">
        <f aca="false">-Inputs!$E$44*(1+Inputs!$E$38)^(AP$5-1)*1</f>
        <v>-10380.9065</v>
      </c>
      <c r="AQ52" s="69" t="n">
        <f aca="false">-Inputs!$E$44*(1+Inputs!$E$38)^(AQ$5-1)*1</f>
        <v>-10380.9065</v>
      </c>
      <c r="AR52" s="69" t="n">
        <f aca="false">-Inputs!$E$44*(1+Inputs!$E$38)^(AR$5-1)*1</f>
        <v>-10380.9065</v>
      </c>
      <c r="AS52" s="69" t="n">
        <f aca="false">-Inputs!$E$44*(1+Inputs!$E$38)^(AS$5-1)*1</f>
        <v>-10380.9065</v>
      </c>
      <c r="AT52" s="69" t="n">
        <f aca="false">-Inputs!$E$44*(1+Inputs!$E$38)^(AT$5-1)*1</f>
        <v>-10380.9065</v>
      </c>
      <c r="AU52" s="69" t="n">
        <f aca="false">-Inputs!$E$44*(1+Inputs!$E$38)^(AU$5-1)*1</f>
        <v>-10380.9065</v>
      </c>
      <c r="AV52" s="69" t="n">
        <f aca="false">-Inputs!$E$44*(1+Inputs!$E$38)^(AV$5-1)*1</f>
        <v>-10380.9065</v>
      </c>
      <c r="AW52" s="69" t="n">
        <f aca="false">-Inputs!$E$44*(1+Inputs!$E$38)^(AW$5-1)*1</f>
        <v>-10380.9065</v>
      </c>
      <c r="AX52" s="69" t="n">
        <f aca="false">-Inputs!$E$44*(1+Inputs!$E$38)^(AX$5-1)*1</f>
        <v>-10380.9065</v>
      </c>
      <c r="AY52" s="69" t="n">
        <f aca="false">-Inputs!$E$44*(1+Inputs!$E$38)^(AY$5-1)*1</f>
        <v>-10692.333695</v>
      </c>
      <c r="AZ52" s="69" t="n">
        <f aca="false">-Inputs!$E$44*(1+Inputs!$E$38)^(AZ$5-1)*1</f>
        <v>-10692.333695</v>
      </c>
      <c r="BA52" s="69" t="n">
        <f aca="false">-Inputs!$E$44*(1+Inputs!$E$38)^(BA$5-1)*1</f>
        <v>-10692.333695</v>
      </c>
      <c r="BB52" s="69" t="n">
        <f aca="false">-Inputs!$E$44*(1+Inputs!$E$38)^(BB$5-1)*1</f>
        <v>-10692.333695</v>
      </c>
      <c r="BC52" s="69" t="n">
        <f aca="false">-Inputs!$E$44*(1+Inputs!$E$38)^(BC$5-1)*1</f>
        <v>-10692.333695</v>
      </c>
      <c r="BD52" s="69" t="n">
        <f aca="false">-Inputs!$E$44*(1+Inputs!$E$38)^(BD$5-1)*1</f>
        <v>-10692.333695</v>
      </c>
      <c r="BE52" s="69" t="n">
        <f aca="false">-Inputs!$E$44*(1+Inputs!$E$38)^(BE$5-1)*1</f>
        <v>-10692.333695</v>
      </c>
      <c r="BF52" s="69" t="n">
        <f aca="false">-Inputs!$E$44*(1+Inputs!$E$38)^(BF$5-1)*1</f>
        <v>-10692.333695</v>
      </c>
      <c r="BG52" s="69" t="n">
        <f aca="false">-Inputs!$E$44*(1+Inputs!$E$38)^(BG$5-1)*1</f>
        <v>-10692.333695</v>
      </c>
      <c r="BH52" s="69" t="n">
        <f aca="false">-Inputs!$E$44*(1+Inputs!$E$38)^(BH$5-1)*1</f>
        <v>-10692.333695</v>
      </c>
      <c r="BI52" s="69" t="n">
        <f aca="false">-Inputs!$E$44*(1+Inputs!$E$38)^(BI$5-1)*1</f>
        <v>-10692.333695</v>
      </c>
      <c r="BJ52" s="69" t="n">
        <f aca="false">-Inputs!$E$44*(1+Inputs!$E$38)^(BJ$5-1)*1</f>
        <v>-10692.333695</v>
      </c>
    </row>
    <row r="53" customFormat="false" ht="15" hidden="false" customHeight="false" outlineLevel="0" collapsed="false">
      <c r="A53" s="6" t="s">
        <v>344</v>
      </c>
      <c r="C53" s="69" t="n">
        <f aca="false">-Inputs!$E$45*(1+Inputs!$E$46)^(C$5-1)*1</f>
        <v>-12000</v>
      </c>
      <c r="D53" s="69" t="n">
        <f aca="false">-Inputs!$E$45*(1+Inputs!$E$46)^(D$5-1)*1</f>
        <v>-12000</v>
      </c>
      <c r="E53" s="69" t="n">
        <f aca="false">-Inputs!$E$45*(1+Inputs!$E$46)^(E$5-1)*1</f>
        <v>-12000</v>
      </c>
      <c r="F53" s="69" t="n">
        <f aca="false">-Inputs!$E$45*(1+Inputs!$E$46)^(F$5-1)*1</f>
        <v>-12000</v>
      </c>
      <c r="G53" s="69" t="n">
        <f aca="false">-Inputs!$E$45*(1+Inputs!$E$46)^(G$5-1)*1</f>
        <v>-12000</v>
      </c>
      <c r="H53" s="69" t="n">
        <f aca="false">-Inputs!$E$45*(1+Inputs!$E$46)^(H$5-1)*1</f>
        <v>-12000</v>
      </c>
      <c r="I53" s="69" t="n">
        <f aca="false">-Inputs!$E$45*(1+Inputs!$E$46)^(I$5-1)*1</f>
        <v>-12000</v>
      </c>
      <c r="J53" s="69" t="n">
        <f aca="false">-Inputs!$E$45*(1+Inputs!$E$46)^(J$5-1)*1</f>
        <v>-12000</v>
      </c>
      <c r="K53" s="69" t="n">
        <f aca="false">-Inputs!$E$45*(1+Inputs!$E$46)^(K$5-1)*1</f>
        <v>-12000</v>
      </c>
      <c r="L53" s="69" t="n">
        <f aca="false">-Inputs!$E$45*(1+Inputs!$E$46)^(L$5-1)*1</f>
        <v>-12000</v>
      </c>
      <c r="M53" s="69" t="n">
        <f aca="false">-Inputs!$E$45*(1+Inputs!$E$46)^(M$5-1)*1</f>
        <v>-12000</v>
      </c>
      <c r="N53" s="69" t="n">
        <f aca="false">-Inputs!$E$45*(1+Inputs!$E$46)^(N$5-1)*1</f>
        <v>-12000</v>
      </c>
      <c r="O53" s="69" t="n">
        <f aca="false">-Inputs!$E$45*(1+Inputs!$E$46)^(O$5-1)*1</f>
        <v>-9600</v>
      </c>
      <c r="P53" s="69" t="n">
        <f aca="false">-Inputs!$E$45*(1+Inputs!$E$46)^(P$5-1)*1</f>
        <v>-9600</v>
      </c>
      <c r="Q53" s="69" t="n">
        <f aca="false">-Inputs!$E$45*(1+Inputs!$E$46)^(Q$5-1)*1</f>
        <v>-9600</v>
      </c>
      <c r="R53" s="69" t="n">
        <f aca="false">-Inputs!$E$45*(1+Inputs!$E$46)^(R$5-1)*1</f>
        <v>-9600</v>
      </c>
      <c r="S53" s="69" t="n">
        <f aca="false">-Inputs!$E$45*(1+Inputs!$E$46)^(S$5-1)*1</f>
        <v>-9600</v>
      </c>
      <c r="T53" s="69" t="n">
        <f aca="false">-Inputs!$E$45*(1+Inputs!$E$46)^(T$5-1)*1</f>
        <v>-9600</v>
      </c>
      <c r="U53" s="69" t="n">
        <f aca="false">-Inputs!$E$45*(1+Inputs!$E$46)^(U$5-1)*1</f>
        <v>-9600</v>
      </c>
      <c r="V53" s="69" t="n">
        <f aca="false">-Inputs!$E$45*(1+Inputs!$E$46)^(V$5-1)*1</f>
        <v>-9600</v>
      </c>
      <c r="W53" s="69" t="n">
        <f aca="false">-Inputs!$E$45*(1+Inputs!$E$46)^(W$5-1)*1</f>
        <v>-9600</v>
      </c>
      <c r="X53" s="69" t="n">
        <f aca="false">-Inputs!$E$45*(1+Inputs!$E$46)^(X$5-1)*1</f>
        <v>-9600</v>
      </c>
      <c r="Y53" s="69" t="n">
        <f aca="false">-Inputs!$E$45*(1+Inputs!$E$46)^(Y$5-1)*1</f>
        <v>-9600</v>
      </c>
      <c r="Z53" s="69" t="n">
        <f aca="false">-Inputs!$E$45*(1+Inputs!$E$46)^(Z$5-1)*1</f>
        <v>-9600</v>
      </c>
      <c r="AA53" s="69" t="n">
        <f aca="false">-Inputs!$E$45*(1+Inputs!$E$46)^(AA$5-1)*1</f>
        <v>-7680</v>
      </c>
      <c r="AB53" s="69" t="n">
        <f aca="false">-Inputs!$E$45*(1+Inputs!$E$46)^(AB$5-1)*1</f>
        <v>-7680</v>
      </c>
      <c r="AC53" s="69" t="n">
        <f aca="false">-Inputs!$E$45*(1+Inputs!$E$46)^(AC$5-1)*1</f>
        <v>-7680</v>
      </c>
      <c r="AD53" s="69" t="n">
        <f aca="false">-Inputs!$E$45*(1+Inputs!$E$46)^(AD$5-1)*1</f>
        <v>-7680</v>
      </c>
      <c r="AE53" s="69" t="n">
        <f aca="false">-Inputs!$E$45*(1+Inputs!$E$46)^(AE$5-1)*1</f>
        <v>-7680</v>
      </c>
      <c r="AF53" s="69" t="n">
        <f aca="false">-Inputs!$E$45*(1+Inputs!$E$46)^(AF$5-1)*1</f>
        <v>-7680</v>
      </c>
      <c r="AG53" s="69" t="n">
        <f aca="false">-Inputs!$E$45*(1+Inputs!$E$46)^(AG$5-1)*1</f>
        <v>-7680</v>
      </c>
      <c r="AH53" s="69" t="n">
        <f aca="false">-Inputs!$E$45*(1+Inputs!$E$46)^(AH$5-1)*1</f>
        <v>-7680</v>
      </c>
      <c r="AI53" s="69" t="n">
        <f aca="false">-Inputs!$E$45*(1+Inputs!$E$46)^(AI$5-1)*1</f>
        <v>-7680</v>
      </c>
      <c r="AJ53" s="69" t="n">
        <f aca="false">-Inputs!$E$45*(1+Inputs!$E$46)^(AJ$5-1)*1</f>
        <v>-7680</v>
      </c>
      <c r="AK53" s="69" t="n">
        <f aca="false">-Inputs!$E$45*(1+Inputs!$E$46)^(AK$5-1)*1</f>
        <v>-7680</v>
      </c>
      <c r="AL53" s="69" t="n">
        <f aca="false">-Inputs!$E$45*(1+Inputs!$E$46)^(AL$5-1)*1</f>
        <v>-7680</v>
      </c>
      <c r="AM53" s="69" t="n">
        <f aca="false">-Inputs!$E$45*(1+Inputs!$E$46)^(AM$5-1)*1</f>
        <v>-6144</v>
      </c>
      <c r="AN53" s="69" t="n">
        <f aca="false">-Inputs!$E$45*(1+Inputs!$E$46)^(AN$5-1)*1</f>
        <v>-6144</v>
      </c>
      <c r="AO53" s="69" t="n">
        <f aca="false">-Inputs!$E$45*(1+Inputs!$E$46)^(AO$5-1)*1</f>
        <v>-6144</v>
      </c>
      <c r="AP53" s="69" t="n">
        <f aca="false">-Inputs!$E$45*(1+Inputs!$E$46)^(AP$5-1)*1</f>
        <v>-6144</v>
      </c>
      <c r="AQ53" s="69" t="n">
        <f aca="false">-Inputs!$E$45*(1+Inputs!$E$46)^(AQ$5-1)*1</f>
        <v>-6144</v>
      </c>
      <c r="AR53" s="69" t="n">
        <f aca="false">-Inputs!$E$45*(1+Inputs!$E$46)^(AR$5-1)*1</f>
        <v>-6144</v>
      </c>
      <c r="AS53" s="69" t="n">
        <f aca="false">-Inputs!$E$45*(1+Inputs!$E$46)^(AS$5-1)*1</f>
        <v>-6144</v>
      </c>
      <c r="AT53" s="69" t="n">
        <f aca="false">-Inputs!$E$45*(1+Inputs!$E$46)^(AT$5-1)*1</f>
        <v>-6144</v>
      </c>
      <c r="AU53" s="69" t="n">
        <f aca="false">-Inputs!$E$45*(1+Inputs!$E$46)^(AU$5-1)*1</f>
        <v>-6144</v>
      </c>
      <c r="AV53" s="69" t="n">
        <f aca="false">-Inputs!$E$45*(1+Inputs!$E$46)^(AV$5-1)*1</f>
        <v>-6144</v>
      </c>
      <c r="AW53" s="69" t="n">
        <f aca="false">-Inputs!$E$45*(1+Inputs!$E$46)^(AW$5-1)*1</f>
        <v>-6144</v>
      </c>
      <c r="AX53" s="69" t="n">
        <f aca="false">-Inputs!$E$45*(1+Inputs!$E$46)^(AX$5-1)*1</f>
        <v>-6144</v>
      </c>
      <c r="AY53" s="69" t="n">
        <f aca="false">-Inputs!$E$45*(1+Inputs!$E$46)^(AY$5-1)*1</f>
        <v>-4915.2</v>
      </c>
      <c r="AZ53" s="69" t="n">
        <f aca="false">-Inputs!$E$45*(1+Inputs!$E$46)^(AZ$5-1)*1</f>
        <v>-4915.2</v>
      </c>
      <c r="BA53" s="69" t="n">
        <f aca="false">-Inputs!$E$45*(1+Inputs!$E$46)^(BA$5-1)*1</f>
        <v>-4915.2</v>
      </c>
      <c r="BB53" s="69" t="n">
        <f aca="false">-Inputs!$E$45*(1+Inputs!$E$46)^(BB$5-1)*1</f>
        <v>-4915.2</v>
      </c>
      <c r="BC53" s="69" t="n">
        <f aca="false">-Inputs!$E$45*(1+Inputs!$E$46)^(BC$5-1)*1</f>
        <v>-4915.2</v>
      </c>
      <c r="BD53" s="69" t="n">
        <f aca="false">-Inputs!$E$45*(1+Inputs!$E$46)^(BD$5-1)*1</f>
        <v>-4915.2</v>
      </c>
      <c r="BE53" s="69" t="n">
        <f aca="false">-Inputs!$E$45*(1+Inputs!$E$46)^(BE$5-1)*1</f>
        <v>-4915.2</v>
      </c>
      <c r="BF53" s="69" t="n">
        <f aca="false">-Inputs!$E$45*(1+Inputs!$E$46)^(BF$5-1)*1</f>
        <v>-4915.2</v>
      </c>
      <c r="BG53" s="69" t="n">
        <f aca="false">-Inputs!$E$45*(1+Inputs!$E$46)^(BG$5-1)*1</f>
        <v>-4915.2</v>
      </c>
      <c r="BH53" s="69" t="n">
        <f aca="false">-Inputs!$E$45*(1+Inputs!$E$46)^(BH$5-1)*1</f>
        <v>-4915.2</v>
      </c>
      <c r="BI53" s="69" t="n">
        <f aca="false">-Inputs!$E$45*(1+Inputs!$E$46)^(BI$5-1)*1</f>
        <v>-4915.2</v>
      </c>
      <c r="BJ53" s="69" t="n">
        <f aca="false">-Inputs!$E$45*(1+Inputs!$E$46)^(BJ$5-1)*1</f>
        <v>-4915.2</v>
      </c>
    </row>
    <row r="54" customFormat="false" ht="15" hidden="false" customHeight="false" outlineLevel="0" collapsed="false">
      <c r="A54" s="113" t="s">
        <v>77</v>
      </c>
      <c r="C54" s="70" t="n">
        <f aca="false">C49+C50+C51+C52+C53</f>
        <v>-93586.6666666667</v>
      </c>
      <c r="D54" s="70" t="n">
        <f aca="false">D49+D50+D51+D52+D53</f>
        <v>-93586.6666666667</v>
      </c>
      <c r="E54" s="70" t="n">
        <f aca="false">E49+E50+E51+E52+E53</f>
        <v>-93586.6666666667</v>
      </c>
      <c r="F54" s="70" t="n">
        <f aca="false">F49+F50+F51+F52+F53</f>
        <v>-93586.6666666667</v>
      </c>
      <c r="G54" s="70" t="n">
        <f aca="false">G49+G50+G51+G52+G53</f>
        <v>-93586.6666666667</v>
      </c>
      <c r="H54" s="70" t="n">
        <f aca="false">H49+H50+H51+H52+H53</f>
        <v>-93586.6666666667</v>
      </c>
      <c r="I54" s="70" t="n">
        <f aca="false">I49+I50+I51+I52+I53</f>
        <v>-93586.6666666667</v>
      </c>
      <c r="J54" s="70" t="n">
        <f aca="false">J49+J50+J51+J52+J53</f>
        <v>-93586.6666666667</v>
      </c>
      <c r="K54" s="70" t="n">
        <f aca="false">K49+K50+K51+K52+K53</f>
        <v>-93586.6666666667</v>
      </c>
      <c r="L54" s="70" t="n">
        <f aca="false">L49+L50+L51+L52+L53</f>
        <v>-93586.6666666667</v>
      </c>
      <c r="M54" s="70" t="n">
        <f aca="false">M49+M50+M51+M52+M53</f>
        <v>-93586.6666666667</v>
      </c>
      <c r="N54" s="70" t="n">
        <f aca="false">N49+N50+N51+N52+N53</f>
        <v>-93586.6666666667</v>
      </c>
      <c r="O54" s="70" t="n">
        <f aca="false">O49+O50+O51+O52+O53</f>
        <v>-93634.2666666667</v>
      </c>
      <c r="P54" s="70" t="n">
        <f aca="false">P49+P50+P51+P52+P53</f>
        <v>-93634.2666666667</v>
      </c>
      <c r="Q54" s="70" t="n">
        <f aca="false">Q49+Q50+Q51+Q52+Q53</f>
        <v>-93634.2666666667</v>
      </c>
      <c r="R54" s="70" t="n">
        <f aca="false">R49+R50+R51+R52+R53</f>
        <v>-93634.2666666667</v>
      </c>
      <c r="S54" s="70" t="n">
        <f aca="false">S49+S50+S51+S52+S53</f>
        <v>-93634.2666666667</v>
      </c>
      <c r="T54" s="70" t="n">
        <f aca="false">T49+T50+T51+T52+T53</f>
        <v>-93634.2666666667</v>
      </c>
      <c r="U54" s="70" t="n">
        <f aca="false">U49+U50+U51+U52+U53</f>
        <v>-93634.2666666667</v>
      </c>
      <c r="V54" s="70" t="n">
        <f aca="false">V49+V50+V51+V52+V53</f>
        <v>-93634.2666666667</v>
      </c>
      <c r="W54" s="70" t="n">
        <f aca="false">W49+W50+W51+W52+W53</f>
        <v>-93634.2666666667</v>
      </c>
      <c r="X54" s="70" t="n">
        <f aca="false">X49+X50+X51+X52+X53</f>
        <v>-93634.2666666667</v>
      </c>
      <c r="Y54" s="70" t="n">
        <f aca="false">Y49+Y50+Y51+Y52+Y53</f>
        <v>-93634.2666666667</v>
      </c>
      <c r="Z54" s="70" t="n">
        <f aca="false">Z49+Z50+Z51+Z52+Z53</f>
        <v>-93634.2666666667</v>
      </c>
      <c r="AA54" s="70" t="n">
        <f aca="false">AA49+AA50+AA51+AA52+AA53</f>
        <v>-94235.2946666667</v>
      </c>
      <c r="AB54" s="70" t="n">
        <f aca="false">AB49+AB50+AB51+AB52+AB53</f>
        <v>-94235.2946666667</v>
      </c>
      <c r="AC54" s="70" t="n">
        <f aca="false">AC49+AC50+AC51+AC52+AC53</f>
        <v>-94235.2946666667</v>
      </c>
      <c r="AD54" s="70" t="n">
        <f aca="false">AD49+AD50+AD51+AD52+AD53</f>
        <v>-94235.2946666667</v>
      </c>
      <c r="AE54" s="70" t="n">
        <f aca="false">AE49+AE50+AE51+AE52+AE53</f>
        <v>-94235.2946666667</v>
      </c>
      <c r="AF54" s="70" t="n">
        <f aca="false">AF49+AF50+AF51+AF52+AF53</f>
        <v>-94235.2946666667</v>
      </c>
      <c r="AG54" s="70" t="n">
        <f aca="false">AG49+AG50+AG51+AG52+AG53</f>
        <v>-94235.2946666667</v>
      </c>
      <c r="AH54" s="70" t="n">
        <f aca="false">AH49+AH50+AH51+AH52+AH53</f>
        <v>-94235.2946666667</v>
      </c>
      <c r="AI54" s="70" t="n">
        <f aca="false">AI49+AI50+AI51+AI52+AI53</f>
        <v>-94235.2946666667</v>
      </c>
      <c r="AJ54" s="70" t="n">
        <f aca="false">AJ49+AJ50+AJ51+AJ52+AJ53</f>
        <v>-94235.2946666667</v>
      </c>
      <c r="AK54" s="70" t="n">
        <f aca="false">AK49+AK50+AK51+AK52+AK53</f>
        <v>-94235.2946666667</v>
      </c>
      <c r="AL54" s="70" t="n">
        <f aca="false">AL49+AL50+AL51+AL52+AL53</f>
        <v>-94235.2946666667</v>
      </c>
      <c r="AM54" s="70" t="n">
        <f aca="false">AM49+AM50+AM51+AM52+AM53</f>
        <v>-95295.9535066667</v>
      </c>
      <c r="AN54" s="70" t="n">
        <f aca="false">AN49+AN50+AN51+AN52+AN53</f>
        <v>-95295.9535066667</v>
      </c>
      <c r="AO54" s="70" t="n">
        <f aca="false">AO49+AO50+AO51+AO52+AO53</f>
        <v>-95295.9535066667</v>
      </c>
      <c r="AP54" s="70" t="n">
        <f aca="false">AP49+AP50+AP51+AP52+AP53</f>
        <v>-95295.9535066667</v>
      </c>
      <c r="AQ54" s="70" t="n">
        <f aca="false">AQ49+AQ50+AQ51+AQ52+AQ53</f>
        <v>-95295.9535066667</v>
      </c>
      <c r="AR54" s="70" t="n">
        <f aca="false">AR49+AR50+AR51+AR52+AR53</f>
        <v>-95295.9535066667</v>
      </c>
      <c r="AS54" s="70" t="n">
        <f aca="false">AS49+AS50+AS51+AS52+AS53</f>
        <v>-95295.9535066667</v>
      </c>
      <c r="AT54" s="70" t="n">
        <f aca="false">AT49+AT50+AT51+AT52+AT53</f>
        <v>-95295.9535066667</v>
      </c>
      <c r="AU54" s="70" t="n">
        <f aca="false">AU49+AU50+AU51+AU52+AU53</f>
        <v>-95295.9535066667</v>
      </c>
      <c r="AV54" s="70" t="n">
        <f aca="false">AV49+AV50+AV51+AV52+AV53</f>
        <v>-95295.9535066667</v>
      </c>
      <c r="AW54" s="70" t="n">
        <f aca="false">AW49+AW50+AW51+AW52+AW53</f>
        <v>-95295.9535066667</v>
      </c>
      <c r="AX54" s="70" t="n">
        <f aca="false">AX49+AX50+AX51+AX52+AX53</f>
        <v>-95295.9535066667</v>
      </c>
      <c r="AY54" s="70" t="n">
        <f aca="false">AY49+AY50+AY51+AY52+AY53</f>
        <v>-96741.7121118667</v>
      </c>
      <c r="AZ54" s="70" t="n">
        <f aca="false">AZ49+AZ50+AZ51+AZ52+AZ53</f>
        <v>-96741.7121118667</v>
      </c>
      <c r="BA54" s="70" t="n">
        <f aca="false">BA49+BA50+BA51+BA52+BA53</f>
        <v>-96741.7121118667</v>
      </c>
      <c r="BB54" s="70" t="n">
        <f aca="false">BB49+BB50+BB51+BB52+BB53</f>
        <v>-96741.7121118667</v>
      </c>
      <c r="BC54" s="70" t="n">
        <f aca="false">BC49+BC50+BC51+BC52+BC53</f>
        <v>-96741.7121118667</v>
      </c>
      <c r="BD54" s="70" t="n">
        <f aca="false">BD49+BD50+BD51+BD52+BD53</f>
        <v>-96741.7121118667</v>
      </c>
      <c r="BE54" s="70" t="n">
        <f aca="false">BE49+BE50+BE51+BE52+BE53</f>
        <v>-96741.7121118667</v>
      </c>
      <c r="BF54" s="70" t="n">
        <f aca="false">BF49+BF50+BF51+BF52+BF53</f>
        <v>-96741.7121118667</v>
      </c>
      <c r="BG54" s="70" t="n">
        <f aca="false">BG49+BG50+BG51+BG52+BG53</f>
        <v>-96741.7121118667</v>
      </c>
      <c r="BH54" s="70" t="n">
        <f aca="false">BH49+BH50+BH51+BH52+BH53</f>
        <v>-96741.7121118667</v>
      </c>
      <c r="BI54" s="70" t="n">
        <f aca="false">BI49+BI50+BI51+BI52+BI53</f>
        <v>-96741.7121118667</v>
      </c>
      <c r="BJ54" s="70" t="n">
        <f aca="false">BJ49+BJ50+BJ51+BJ52+BJ53</f>
        <v>-96741.7121118667</v>
      </c>
    </row>
    <row r="55" customFormat="false" ht="15" hidden="false" customHeight="false" outlineLevel="0" collapsed="false">
      <c r="A55" s="113" t="s">
        <v>48</v>
      </c>
      <c r="C55" s="70" t="n">
        <f aca="false">C46+C54</f>
        <v>-52715.2544125667</v>
      </c>
      <c r="D55" s="70" t="n">
        <f aca="false">D46+D54</f>
        <v>-47169.179570764</v>
      </c>
      <c r="E55" s="70" t="n">
        <f aca="false">E46+E54</f>
        <v>-31890.1001241627</v>
      </c>
      <c r="F55" s="70" t="n">
        <f aca="false">F46+F54</f>
        <v>-24896.4647094518</v>
      </c>
      <c r="G55" s="70" t="n">
        <f aca="false">G46+G54</f>
        <v>-17775.1087070848</v>
      </c>
      <c r="H55" s="70" t="n">
        <f aca="false">H46+H54</f>
        <v>-10531.1409405681</v>
      </c>
      <c r="I55" s="70" t="n">
        <f aca="false">I46+I54</f>
        <v>-3169.46588046759</v>
      </c>
      <c r="J55" s="70" t="n">
        <f aca="false">J46+J54</f>
        <v>4305.20818147335</v>
      </c>
      <c r="K55" s="70" t="n">
        <f aca="false">K46+K54</f>
        <v>11888.3612851811</v>
      </c>
      <c r="L55" s="70" t="n">
        <f aca="false">L46+L54</f>
        <v>19575.654268985</v>
      </c>
      <c r="M55" s="70" t="n">
        <f aca="false">M46+M54</f>
        <v>21716.7869555589</v>
      </c>
      <c r="N55" s="70" t="n">
        <f aca="false">N46+N54</f>
        <v>7381.49638357262</v>
      </c>
      <c r="O55" s="70" t="n">
        <f aca="false">O46+O54</f>
        <v>11016.249459607</v>
      </c>
      <c r="P55" s="70" t="n">
        <f aca="false">P46+P54</f>
        <v>12786.1725056861</v>
      </c>
      <c r="Q55" s="70" t="n">
        <f aca="false">Q46+Q54</f>
        <v>30960.9642923074</v>
      </c>
      <c r="R55" s="70" t="n">
        <f aca="false">R46+R54</f>
        <v>32838.0186139185</v>
      </c>
      <c r="S55" s="70" t="n">
        <f aca="false">S46+S54</f>
        <v>34639.9907626651</v>
      </c>
      <c r="T55" s="70" t="n">
        <f aca="false">T46+T54</f>
        <v>36369.8840254618</v>
      </c>
      <c r="U55" s="70" t="n">
        <f aca="false">U46+U54</f>
        <v>38030.5815577466</v>
      </c>
      <c r="V55" s="70" t="n">
        <f aca="false">V46+V54</f>
        <v>39624.8511887401</v>
      </c>
      <c r="W55" s="70" t="n">
        <f aca="false">W46+W54</f>
        <v>41155.3500344938</v>
      </c>
      <c r="X55" s="70" t="n">
        <f aca="false">X46+X54</f>
        <v>42624.6289264174</v>
      </c>
      <c r="Y55" s="70" t="n">
        <f aca="false">Y46+Y54</f>
        <v>44035.136662664</v>
      </c>
      <c r="Z55" s="70" t="n">
        <f aca="false">Z46+Z54</f>
        <v>29509.3804320289</v>
      </c>
      <c r="AA55" s="70" t="n">
        <f aca="false">AA46+AA54</f>
        <v>32279.3298099496</v>
      </c>
      <c r="AB55" s="70" t="n">
        <f aca="false">AB46+AB54</f>
        <v>33364.0629633307</v>
      </c>
      <c r="AC55" s="70" t="n">
        <f aca="false">AC46+AC54</f>
        <v>50431.0642395809</v>
      </c>
      <c r="AD55" s="70" t="n">
        <f aca="false">AD46+AD54</f>
        <v>51706.7736472895</v>
      </c>
      <c r="AE55" s="70" t="n">
        <f aca="false">AE46+AE54</f>
        <v>52931.4546786897</v>
      </c>
      <c r="AF55" s="70" t="n">
        <f aca="false">AF46+AF54</f>
        <v>54107.1484688339</v>
      </c>
      <c r="AG55" s="70" t="n">
        <f aca="false">AG46+AG54</f>
        <v>55235.8145073723</v>
      </c>
      <c r="AH55" s="70" t="n">
        <f aca="false">AH46+AH54</f>
        <v>56319.3339043693</v>
      </c>
      <c r="AI55" s="70" t="n">
        <f aca="false">AI46+AI54</f>
        <v>57359.5125254863</v>
      </c>
      <c r="AJ55" s="70" t="n">
        <f aca="false">AJ46+AJ54</f>
        <v>58358.0840017586</v>
      </c>
      <c r="AK55" s="70" t="n">
        <f aca="false">AK46+AK54</f>
        <v>59316.7126189801</v>
      </c>
      <c r="AL55" s="70" t="n">
        <f aca="false">AL46+AL54</f>
        <v>44621.120366448</v>
      </c>
      <c r="AM55" s="70" t="n">
        <f aca="false">AM46+AM54</f>
        <v>46772.9319266821</v>
      </c>
      <c r="AN55" s="70" t="n">
        <f aca="false">AN46+AN54</f>
        <v>47433.7351975979</v>
      </c>
      <c r="AO55" s="70" t="n">
        <f aca="false">AO46+AO54</f>
        <v>63868.1080614665</v>
      </c>
      <c r="AP55" s="70" t="n">
        <f aca="false">AP46+AP54</f>
        <v>64774.1435994097</v>
      </c>
      <c r="AQ55" s="70" t="n">
        <f aca="false">AQ46+AQ54</f>
        <v>65643.9377158352</v>
      </c>
      <c r="AR55" s="70" t="n">
        <f aca="false">AR46+AR54</f>
        <v>66478.9400676037</v>
      </c>
      <c r="AS55" s="70" t="n">
        <f aca="false">AS46+AS54</f>
        <v>67280.5423253015</v>
      </c>
      <c r="AT55" s="70" t="n">
        <f aca="false">AT46+AT54</f>
        <v>68050.0804926913</v>
      </c>
      <c r="AU55" s="70" t="n">
        <f aca="false">AU46+AU54</f>
        <v>68788.8371333855</v>
      </c>
      <c r="AV55" s="70" t="n">
        <f aca="false">AV46+AV54</f>
        <v>69498.043508452</v>
      </c>
      <c r="AW55" s="70" t="n">
        <f aca="false">AW46+AW54</f>
        <v>70178.8816285158</v>
      </c>
      <c r="AX55" s="70" t="n">
        <f aca="false">AX46+AX54</f>
        <v>55327.0068439641</v>
      </c>
      <c r="AY55" s="70" t="n">
        <f aca="false">AY46+AY54</f>
        <v>57032.4401806366</v>
      </c>
      <c r="AZ55" s="70" t="n">
        <f aca="false">AZ46+AZ54</f>
        <v>57432.671346074</v>
      </c>
      <c r="BA55" s="70" t="n">
        <f aca="false">BA46+BA54</f>
        <v>73530.3931124444</v>
      </c>
      <c r="BB55" s="70" t="n">
        <f aca="false">BB46+BB54</f>
        <v>74211.5772660566</v>
      </c>
      <c r="BC55" s="70" t="n">
        <f aca="false">BC46+BC54</f>
        <v>74865.5140535243</v>
      </c>
      <c r="BD55" s="70" t="n">
        <f aca="false">BD46+BD54</f>
        <v>75493.2933694932</v>
      </c>
      <c r="BE55" s="70" t="n">
        <f aca="false">BE46+BE54</f>
        <v>76095.9615128234</v>
      </c>
      <c r="BF55" s="70" t="n">
        <f aca="false">BF46+BF54</f>
        <v>76674.5229304204</v>
      </c>
      <c r="BG55" s="70" t="n">
        <f aca="false">BG46+BG54</f>
        <v>77229.9418913135</v>
      </c>
      <c r="BH55" s="70" t="n">
        <f aca="false">BH46+BH54</f>
        <v>77763.1440937709</v>
      </c>
      <c r="BI55" s="70" t="n">
        <f aca="false">BI46+BI54</f>
        <v>78275.01820813</v>
      </c>
      <c r="BJ55" s="70" t="n">
        <f aca="false">BJ46+BJ54</f>
        <v>63277.0067259416</v>
      </c>
    </row>
    <row r="57" customFormat="false" ht="15.75" hidden="false" customHeight="true" outlineLevel="0" collapsed="false">
      <c r="A57" s="7" t="s">
        <v>441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customFormat="false" ht="15" hidden="false" customHeight="false" outlineLevel="0" collapsed="false">
      <c r="A58" s="4" t="s">
        <v>79</v>
      </c>
      <c r="C58" s="75" t="n">
        <f aca="false">C55+C73</f>
        <v>-81187.4766347889</v>
      </c>
      <c r="D58" s="75" t="n">
        <f aca="false">D55+D73</f>
        <v>-75641.4017929862</v>
      </c>
      <c r="E58" s="75" t="n">
        <f aca="false">E55+E73</f>
        <v>-60362.3223463849</v>
      </c>
      <c r="F58" s="75" t="n">
        <f aca="false">F55+F73</f>
        <v>-53368.686931674</v>
      </c>
      <c r="G58" s="75" t="n">
        <f aca="false">G55+G73</f>
        <v>-46247.330929307</v>
      </c>
      <c r="H58" s="75" t="n">
        <f aca="false">H55+H73</f>
        <v>-39003.3631627903</v>
      </c>
      <c r="I58" s="75" t="n">
        <f aca="false">I55+I73</f>
        <v>-31641.6881026898</v>
      </c>
      <c r="J58" s="75" t="n">
        <f aca="false">J55+J73</f>
        <v>-24167.0140407489</v>
      </c>
      <c r="K58" s="75" t="n">
        <f aca="false">K55+K73</f>
        <v>-16583.8609370411</v>
      </c>
      <c r="L58" s="75" t="n">
        <f aca="false">L55+L73</f>
        <v>-8896.56795323726</v>
      </c>
      <c r="M58" s="75" t="n">
        <f aca="false">M55+M73</f>
        <v>-6755.43526666334</v>
      </c>
      <c r="N58" s="75" t="n">
        <f aca="false">N55+N73</f>
        <v>-21090.7258386496</v>
      </c>
      <c r="O58" s="75" t="n">
        <f aca="false">O55+O73</f>
        <v>-17733.750540393</v>
      </c>
      <c r="P58" s="75" t="n">
        <f aca="false">P55+P73</f>
        <v>-15963.8274943139</v>
      </c>
      <c r="Q58" s="75" t="n">
        <f aca="false">Q55+Q73</f>
        <v>2210.96429230741</v>
      </c>
      <c r="R58" s="75" t="n">
        <f aca="false">R55+R73</f>
        <v>4088.01861391848</v>
      </c>
      <c r="S58" s="75" t="n">
        <f aca="false">S55+S73</f>
        <v>5889.99076266505</v>
      </c>
      <c r="T58" s="75" t="n">
        <f aca="false">T55+T73</f>
        <v>7619.8840254618</v>
      </c>
      <c r="U58" s="75" t="n">
        <f aca="false">U55+U73</f>
        <v>9280.58155774663</v>
      </c>
      <c r="V58" s="75" t="n">
        <f aca="false">V55+V73</f>
        <v>10874.8511887401</v>
      </c>
      <c r="W58" s="75" t="n">
        <f aca="false">W55+W73</f>
        <v>12405.3500344938</v>
      </c>
      <c r="X58" s="75" t="n">
        <f aca="false">X55+X73</f>
        <v>13874.6289264174</v>
      </c>
      <c r="Y58" s="75" t="n">
        <f aca="false">Y55+Y73</f>
        <v>15285.136662664</v>
      </c>
      <c r="Z58" s="75" t="n">
        <f aca="false">Z55+Z73</f>
        <v>759.380432028891</v>
      </c>
      <c r="AA58" s="75" t="n">
        <f aca="false">AA55+AA73</f>
        <v>3251.55203217178</v>
      </c>
      <c r="AB58" s="75" t="n">
        <f aca="false">AB55+AB73</f>
        <v>4336.28518555293</v>
      </c>
      <c r="AC58" s="75" t="n">
        <f aca="false">AC55+AC73</f>
        <v>21403.2864618032</v>
      </c>
      <c r="AD58" s="75" t="n">
        <f aca="false">AD55+AD73</f>
        <v>22678.9958695117</v>
      </c>
      <c r="AE58" s="75" t="n">
        <f aca="false">AE55+AE73</f>
        <v>23903.6769009119</v>
      </c>
      <c r="AF58" s="75" t="n">
        <f aca="false">AF55+AF73</f>
        <v>25079.3706910562</v>
      </c>
      <c r="AG58" s="75" t="n">
        <f aca="false">AG55+AG73</f>
        <v>26208.0367295946</v>
      </c>
      <c r="AH58" s="75" t="n">
        <f aca="false">AH55+AH73</f>
        <v>27291.5561265915</v>
      </c>
      <c r="AI58" s="75" t="n">
        <f aca="false">AI55+AI73</f>
        <v>28331.7347477085</v>
      </c>
      <c r="AJ58" s="75" t="n">
        <f aca="false">AJ55+AJ73</f>
        <v>29330.3062239809</v>
      </c>
      <c r="AK58" s="75" t="n">
        <f aca="false">AK55+AK73</f>
        <v>30288.9348412023</v>
      </c>
      <c r="AL58" s="75" t="n">
        <f aca="false">AL55+AL73</f>
        <v>15593.3425886702</v>
      </c>
      <c r="AM58" s="75" t="n">
        <f aca="false">AM55+AM73</f>
        <v>17467.3763711266</v>
      </c>
      <c r="AN58" s="75" t="n">
        <f aca="false">AN55+AN73</f>
        <v>18128.1796420424</v>
      </c>
      <c r="AO58" s="75" t="n">
        <f aca="false">AO55+AO73</f>
        <v>34562.5525059109</v>
      </c>
      <c r="AP58" s="75" t="n">
        <f aca="false">AP55+AP73</f>
        <v>35468.5880438541</v>
      </c>
      <c r="AQ58" s="75" t="n">
        <f aca="false">AQ55+AQ73</f>
        <v>36338.3821602796</v>
      </c>
      <c r="AR58" s="75" t="n">
        <f aca="false">AR55+AR73</f>
        <v>37173.3845120481</v>
      </c>
      <c r="AS58" s="75" t="n">
        <f aca="false">AS55+AS73</f>
        <v>37974.9867697459</v>
      </c>
      <c r="AT58" s="75" t="n">
        <f aca="false">AT55+AT73</f>
        <v>38744.5249371357</v>
      </c>
      <c r="AU58" s="75" t="n">
        <f aca="false">AU55+AU73</f>
        <v>39483.28157783</v>
      </c>
      <c r="AV58" s="75" t="n">
        <f aca="false">AV55+AV73</f>
        <v>40192.4879528965</v>
      </c>
      <c r="AW58" s="75" t="n">
        <f aca="false">AW55+AW73</f>
        <v>40873.3260729603</v>
      </c>
      <c r="AX58" s="75" t="n">
        <f aca="false">AX55+AX73</f>
        <v>26021.4512884086</v>
      </c>
      <c r="AY58" s="75" t="n">
        <f aca="false">AY55+AY73</f>
        <v>27449.1068473033</v>
      </c>
      <c r="AZ58" s="75" t="n">
        <f aca="false">AZ55+AZ73</f>
        <v>27849.3380127406</v>
      </c>
      <c r="BA58" s="75" t="n">
        <f aca="false">BA55+BA73</f>
        <v>43947.0597791111</v>
      </c>
      <c r="BB58" s="75" t="n">
        <f aca="false">BB55+BB73</f>
        <v>44628.2439327232</v>
      </c>
      <c r="BC58" s="75" t="n">
        <f aca="false">BC55+BC73</f>
        <v>45282.1807201909</v>
      </c>
      <c r="BD58" s="75" t="n">
        <f aca="false">BD55+BD73</f>
        <v>45909.9600361599</v>
      </c>
      <c r="BE58" s="75" t="n">
        <f aca="false">BE55+BE73</f>
        <v>46512.6281794901</v>
      </c>
      <c r="BF58" s="75" t="n">
        <f aca="false">BF55+BF73</f>
        <v>47091.1895970871</v>
      </c>
      <c r="BG58" s="75" t="n">
        <f aca="false">BG55+BG73</f>
        <v>47646.6085579802</v>
      </c>
      <c r="BH58" s="75" t="n">
        <f aca="false">BH55+BH73</f>
        <v>48179.8107604376</v>
      </c>
      <c r="BI58" s="75" t="n">
        <f aca="false">BI55+BI73</f>
        <v>48691.6848747967</v>
      </c>
      <c r="BJ58" s="75" t="n">
        <f aca="false">BJ55+BJ73</f>
        <v>33693.6733926083</v>
      </c>
    </row>
    <row r="59" customFormat="false" ht="15" hidden="false" customHeight="false" outlineLevel="0" collapsed="false">
      <c r="A59" s="6" t="s">
        <v>442</v>
      </c>
      <c r="C59" s="69" t="n">
        <f aca="false">-(C78+C79+C81)/2*Inputs!$E$69/12</f>
        <v>-21250</v>
      </c>
      <c r="D59" s="69" t="n">
        <f aca="false">-(D78+D79+D81)/2*Inputs!$E$69/12</f>
        <v>-21161.4583333333</v>
      </c>
      <c r="E59" s="69" t="n">
        <f aca="false">-(E78+E79+E81)/2*Inputs!$E$69/12</f>
        <v>-20984.375</v>
      </c>
      <c r="F59" s="69" t="n">
        <f aca="false">-(F78+F79+F81)/2*Inputs!$E$69/12</f>
        <v>-20807.2916666667</v>
      </c>
      <c r="G59" s="69" t="n">
        <f aca="false">-(G78+G79+G81)/2*Inputs!$E$69/12</f>
        <v>-20630.2083333333</v>
      </c>
      <c r="H59" s="69" t="n">
        <f aca="false">-(H78+H79+H81)/2*Inputs!$E$69/12</f>
        <v>-20453.125</v>
      </c>
      <c r="I59" s="69" t="n">
        <f aca="false">-(I78+I79+I81)/2*Inputs!$E$69/12</f>
        <v>-20276.0416666667</v>
      </c>
      <c r="J59" s="69" t="n">
        <f aca="false">-(J78+J79+J81)/2*Inputs!$E$69/12</f>
        <v>-20098.9583333333</v>
      </c>
      <c r="K59" s="69" t="n">
        <f aca="false">-(K78+K79+K81)/2*Inputs!$E$69/12</f>
        <v>-19921.875</v>
      </c>
      <c r="L59" s="69" t="n">
        <f aca="false">-(L78+L79+L81)/2*Inputs!$E$69/12</f>
        <v>-19744.7916666667</v>
      </c>
      <c r="M59" s="69" t="n">
        <f aca="false">-(M78+M79+M81)/2*Inputs!$E$69/12</f>
        <v>-19567.7083333333</v>
      </c>
      <c r="N59" s="69" t="n">
        <f aca="false">-(N78+N79+N81)/2*Inputs!$E$69/12</f>
        <v>-19390.625</v>
      </c>
      <c r="O59" s="69" t="n">
        <f aca="false">-(O78+O79+O81)/2*Inputs!$E$69/12</f>
        <v>-19213.5416666667</v>
      </c>
      <c r="P59" s="69" t="n">
        <f aca="false">-(P78+P79+P81)/2*Inputs!$E$69/12</f>
        <v>-19036.4583333333</v>
      </c>
      <c r="Q59" s="69" t="n">
        <f aca="false">-(Q78+Q79+Q81)/2*Inputs!$E$69/12</f>
        <v>-18859.375</v>
      </c>
      <c r="R59" s="69" t="n">
        <f aca="false">-(R78+R79+R81)/2*Inputs!$E$69/12</f>
        <v>-18682.2916666667</v>
      </c>
      <c r="S59" s="69" t="n">
        <f aca="false">-(S78+S79+S81)/2*Inputs!$E$69/12</f>
        <v>-18505.2083333333</v>
      </c>
      <c r="T59" s="69" t="n">
        <f aca="false">-(T78+T79+T81)/2*Inputs!$E$69/12</f>
        <v>-18328.125</v>
      </c>
      <c r="U59" s="69" t="n">
        <f aca="false">-(U78+U79+U81)/2*Inputs!$E$69/12</f>
        <v>-18151.0416666667</v>
      </c>
      <c r="V59" s="69" t="n">
        <f aca="false">-(V78+V79+V81)/2*Inputs!$E$69/12</f>
        <v>-17973.9583333333</v>
      </c>
      <c r="W59" s="69" t="n">
        <f aca="false">-(W78+W79+W81)/2*Inputs!$E$69/12</f>
        <v>-17796.875</v>
      </c>
      <c r="X59" s="69" t="n">
        <f aca="false">-(X78+X79+X81)/2*Inputs!$E$69/12</f>
        <v>-17619.7916666667</v>
      </c>
      <c r="Y59" s="69" t="n">
        <f aca="false">-(Y78+Y79+Y81)/2*Inputs!$E$69/12</f>
        <v>-17442.7083333333</v>
      </c>
      <c r="Z59" s="69" t="n">
        <f aca="false">-(Z78+Z79+Z81)/2*Inputs!$E$69/12</f>
        <v>-17265.625</v>
      </c>
      <c r="AA59" s="69" t="n">
        <f aca="false">-(AA78+AA79+AA81)/2*Inputs!$E$69/12</f>
        <v>-17088.5416666667</v>
      </c>
      <c r="AB59" s="69" t="n">
        <f aca="false">-(AB78+AB79+AB81)/2*Inputs!$E$69/12</f>
        <v>-16911.4583333333</v>
      </c>
      <c r="AC59" s="69" t="n">
        <f aca="false">-(AC78+AC79+AC81)/2*Inputs!$E$69/12</f>
        <v>-16734.375</v>
      </c>
      <c r="AD59" s="69" t="n">
        <f aca="false">-(AD78+AD79+AD81)/2*Inputs!$E$69/12</f>
        <v>-16557.2916666667</v>
      </c>
      <c r="AE59" s="69" t="n">
        <f aca="false">-(AE78+AE79+AE81)/2*Inputs!$E$69/12</f>
        <v>-16380.2083333333</v>
      </c>
      <c r="AF59" s="69" t="n">
        <f aca="false">-(AF78+AF79+AF81)/2*Inputs!$E$69/12</f>
        <v>-16203.125</v>
      </c>
      <c r="AG59" s="69" t="n">
        <f aca="false">-(AG78+AG79+AG81)/2*Inputs!$E$69/12</f>
        <v>-16026.0416666667</v>
      </c>
      <c r="AH59" s="69" t="n">
        <f aca="false">-(AH78+AH79+AH81)/2*Inputs!$E$69/12</f>
        <v>-15848.9583333333</v>
      </c>
      <c r="AI59" s="69" t="n">
        <f aca="false">-(AI78+AI79+AI81)/2*Inputs!$E$69/12</f>
        <v>-15671.875</v>
      </c>
      <c r="AJ59" s="69" t="n">
        <f aca="false">-(AJ78+AJ79+AJ81)/2*Inputs!$E$69/12</f>
        <v>-15494.7916666667</v>
      </c>
      <c r="AK59" s="69" t="n">
        <f aca="false">-(AK78+AK79+AK81)/2*Inputs!$E$69/12</f>
        <v>-15317.7083333333</v>
      </c>
      <c r="AL59" s="69" t="n">
        <f aca="false">-(AL78+AL79+AL81)/2*Inputs!$E$69/12</f>
        <v>-15140.625</v>
      </c>
      <c r="AM59" s="69" t="n">
        <f aca="false">-(AM78+AM79+AM81)/2*Inputs!$E$69/12</f>
        <v>-14963.5416666667</v>
      </c>
      <c r="AN59" s="69" t="n">
        <f aca="false">-(AN78+AN79+AN81)/2*Inputs!$E$69/12</f>
        <v>-14786.4583333333</v>
      </c>
      <c r="AO59" s="69" t="n">
        <f aca="false">-(AO78+AO79+AO81)/2*Inputs!$E$69/12</f>
        <v>-14609.375</v>
      </c>
      <c r="AP59" s="69" t="n">
        <f aca="false">-(AP78+AP79+AP81)/2*Inputs!$E$69/12</f>
        <v>-14432.2916666667</v>
      </c>
      <c r="AQ59" s="69" t="n">
        <f aca="false">-(AQ78+AQ79+AQ81)/2*Inputs!$E$69/12</f>
        <v>-14255.2083333333</v>
      </c>
      <c r="AR59" s="69" t="n">
        <f aca="false">-(AR78+AR79+AR81)/2*Inputs!$E$69/12</f>
        <v>-14078.125</v>
      </c>
      <c r="AS59" s="69" t="n">
        <f aca="false">-(AS78+AS79+AS81)/2*Inputs!$E$69/12</f>
        <v>-13901.0416666667</v>
      </c>
      <c r="AT59" s="69" t="n">
        <f aca="false">-(AT78+AT79+AT81)/2*Inputs!$E$69/12</f>
        <v>-13723.9583333333</v>
      </c>
      <c r="AU59" s="69" t="n">
        <f aca="false">-(AU78+AU79+AU81)/2*Inputs!$E$69/12</f>
        <v>-13546.875</v>
      </c>
      <c r="AV59" s="69" t="n">
        <f aca="false">-(AV78+AV79+AV81)/2*Inputs!$E$69/12</f>
        <v>-13369.7916666667</v>
      </c>
      <c r="AW59" s="69" t="n">
        <f aca="false">-(AW78+AW79+AW81)/2*Inputs!$E$69/12</f>
        <v>-13192.7083333333</v>
      </c>
      <c r="AX59" s="69" t="n">
        <f aca="false">-(AX78+AX79+AX81)/2*Inputs!$E$69/12</f>
        <v>-13015.625</v>
      </c>
      <c r="AY59" s="69" t="n">
        <f aca="false">-(AY78+AY79+AY81)/2*Inputs!$E$69/12</f>
        <v>-12838.5416666667</v>
      </c>
      <c r="AZ59" s="69" t="n">
        <f aca="false">-(AZ78+AZ79+AZ81)/2*Inputs!$E$69/12</f>
        <v>-12661.4583333333</v>
      </c>
      <c r="BA59" s="69" t="n">
        <f aca="false">-(BA78+BA79+BA81)/2*Inputs!$E$69/12</f>
        <v>-12484.375</v>
      </c>
      <c r="BB59" s="69" t="n">
        <f aca="false">-(BB78+BB79+BB81)/2*Inputs!$E$69/12</f>
        <v>-12307.2916666667</v>
      </c>
      <c r="BC59" s="69" t="n">
        <f aca="false">-(BC78+BC79+BC81)/2*Inputs!$E$69/12</f>
        <v>-12130.2083333333</v>
      </c>
      <c r="BD59" s="69" t="n">
        <f aca="false">-(BD78+BD79+BD81)/2*Inputs!$E$69/12</f>
        <v>-11953.125</v>
      </c>
      <c r="BE59" s="69" t="n">
        <f aca="false">-(BE78+BE79+BE81)/2*Inputs!$E$69/12</f>
        <v>-11776.0416666667</v>
      </c>
      <c r="BF59" s="69" t="n">
        <f aca="false">-(BF78+BF79+BF81)/2*Inputs!$E$69/12</f>
        <v>-11598.9583333333</v>
      </c>
      <c r="BG59" s="69" t="n">
        <f aca="false">-(BG78+BG79+BG81)/2*Inputs!$E$69/12</f>
        <v>-11421.875</v>
      </c>
      <c r="BH59" s="69" t="n">
        <f aca="false">-(BH78+BH79+BH81)/2*Inputs!$E$69/12</f>
        <v>-11244.7916666667</v>
      </c>
      <c r="BI59" s="69" t="n">
        <f aca="false">-(BI78+BI79+BI81)/2*Inputs!$E$69/12</f>
        <v>-11067.7083333333</v>
      </c>
      <c r="BJ59" s="69" t="n">
        <f aca="false">-(BJ78+BJ79+BJ81)/2*Inputs!$E$69/12</f>
        <v>-10890.625</v>
      </c>
    </row>
    <row r="60" customFormat="false" ht="15" hidden="false" customHeight="false" outlineLevel="0" collapsed="false">
      <c r="A60" s="113" t="s">
        <v>81</v>
      </c>
      <c r="C60" s="70" t="n">
        <f aca="false">C58+C59</f>
        <v>-102437.476634789</v>
      </c>
      <c r="D60" s="70" t="n">
        <f aca="false">D58+D59</f>
        <v>-96802.8601263196</v>
      </c>
      <c r="E60" s="70" t="n">
        <f aca="false">E58+E59</f>
        <v>-81346.6973463849</v>
      </c>
      <c r="F60" s="70" t="n">
        <f aca="false">F58+F59</f>
        <v>-74175.9785983407</v>
      </c>
      <c r="G60" s="70" t="n">
        <f aca="false">G58+G59</f>
        <v>-66877.5392626404</v>
      </c>
      <c r="H60" s="70" t="n">
        <f aca="false">H58+H59</f>
        <v>-59456.4881627903</v>
      </c>
      <c r="I60" s="70" t="n">
        <f aca="false">I58+I59</f>
        <v>-51917.7297693565</v>
      </c>
      <c r="J60" s="70" t="n">
        <f aca="false">J58+J59</f>
        <v>-44265.9723740822</v>
      </c>
      <c r="K60" s="70" t="n">
        <f aca="false">K58+K59</f>
        <v>-36505.7359370411</v>
      </c>
      <c r="L60" s="70" t="n">
        <f aca="false">L58+L59</f>
        <v>-28641.3596199039</v>
      </c>
      <c r="M60" s="70" t="n">
        <f aca="false">M58+M59</f>
        <v>-26323.1435999967</v>
      </c>
      <c r="N60" s="70" t="n">
        <f aca="false">N58+N59</f>
        <v>-40481.3508386496</v>
      </c>
      <c r="O60" s="70" t="n">
        <f aca="false">O58+O59</f>
        <v>-36947.2922070597</v>
      </c>
      <c r="P60" s="70" t="n">
        <f aca="false">P58+P59</f>
        <v>-35000.2858276473</v>
      </c>
      <c r="Q60" s="70" t="n">
        <f aca="false">Q58+Q59</f>
        <v>-16648.4107076926</v>
      </c>
      <c r="R60" s="70" t="n">
        <f aca="false">R58+R59</f>
        <v>-14594.2730527482</v>
      </c>
      <c r="S60" s="70" t="n">
        <f aca="false">S58+S59</f>
        <v>-12615.2175706683</v>
      </c>
      <c r="T60" s="70" t="n">
        <f aca="false">T58+T59</f>
        <v>-10708.2409745382</v>
      </c>
      <c r="U60" s="70" t="n">
        <f aca="false">U58+U59</f>
        <v>-8870.46010892004</v>
      </c>
      <c r="V60" s="70" t="n">
        <f aca="false">V58+V59</f>
        <v>-7099.10714459323</v>
      </c>
      <c r="W60" s="70" t="n">
        <f aca="false">W58+W59</f>
        <v>-5391.52496550617</v>
      </c>
      <c r="X60" s="70" t="n">
        <f aca="false">X58+X59</f>
        <v>-3745.16274024923</v>
      </c>
      <c r="Y60" s="70" t="n">
        <f aca="false">Y58+Y59</f>
        <v>-2157.5716706693</v>
      </c>
      <c r="Z60" s="70" t="n">
        <f aca="false">Z58+Z59</f>
        <v>-16506.2445679711</v>
      </c>
      <c r="AA60" s="70" t="n">
        <f aca="false">AA58+AA59</f>
        <v>-13836.9896344949</v>
      </c>
      <c r="AB60" s="70" t="n">
        <f aca="false">AB58+AB59</f>
        <v>-12575.1731477804</v>
      </c>
      <c r="AC60" s="70" t="n">
        <f aca="false">AC58+AC59</f>
        <v>4668.91146180315</v>
      </c>
      <c r="AD60" s="70" t="n">
        <f aca="false">AD58+AD59</f>
        <v>6121.70420284503</v>
      </c>
      <c r="AE60" s="70" t="n">
        <f aca="false">AE58+AE59</f>
        <v>7523.46856757859</v>
      </c>
      <c r="AF60" s="70" t="n">
        <f aca="false">AF58+AF59</f>
        <v>8876.24569105615</v>
      </c>
      <c r="AG60" s="70" t="n">
        <f aca="false">AG58+AG59</f>
        <v>10181.9950629279</v>
      </c>
      <c r="AH60" s="70" t="n">
        <f aca="false">AH58+AH59</f>
        <v>11442.5977932581</v>
      </c>
      <c r="AI60" s="70" t="n">
        <f aca="false">AI58+AI59</f>
        <v>12659.8597477085</v>
      </c>
      <c r="AJ60" s="70" t="n">
        <f aca="false">AJ58+AJ59</f>
        <v>13835.5145573142</v>
      </c>
      <c r="AK60" s="70" t="n">
        <f aca="false">AK58+AK59</f>
        <v>14971.226507869</v>
      </c>
      <c r="AL60" s="70" t="n">
        <f aca="false">AL58+AL59</f>
        <v>452.717588670192</v>
      </c>
      <c r="AM60" s="70" t="n">
        <f aca="false">AM58+AM59</f>
        <v>2503.83470445991</v>
      </c>
      <c r="AN60" s="70" t="n">
        <f aca="false">AN58+AN59</f>
        <v>3341.72130870905</v>
      </c>
      <c r="AO60" s="70" t="n">
        <f aca="false">AO58+AO59</f>
        <v>19953.1775059109</v>
      </c>
      <c r="AP60" s="70" t="n">
        <f aca="false">AP58+AP59</f>
        <v>21036.2963771875</v>
      </c>
      <c r="AQ60" s="70" t="n">
        <f aca="false">AQ58+AQ59</f>
        <v>22083.1738269463</v>
      </c>
      <c r="AR60" s="70" t="n">
        <f aca="false">AR58+AR59</f>
        <v>23095.2595120481</v>
      </c>
      <c r="AS60" s="70" t="n">
        <f aca="false">AS58+AS59</f>
        <v>24073.9451030792</v>
      </c>
      <c r="AT60" s="70" t="n">
        <f aca="false">AT58+AT59</f>
        <v>25020.5666038024</v>
      </c>
      <c r="AU60" s="70" t="n">
        <f aca="false">AU58+AU59</f>
        <v>25936.40657783</v>
      </c>
      <c r="AV60" s="70" t="n">
        <f aca="false">AV58+AV59</f>
        <v>26822.6962862298</v>
      </c>
      <c r="AW60" s="70" t="n">
        <f aca="false">AW58+AW59</f>
        <v>27680.6177396269</v>
      </c>
      <c r="AX60" s="70" t="n">
        <f aca="false">AX58+AX59</f>
        <v>13005.8262884086</v>
      </c>
      <c r="AY60" s="70" t="n">
        <f aca="false">AY58+AY59</f>
        <v>14610.5651806366</v>
      </c>
      <c r="AZ60" s="70" t="n">
        <f aca="false">AZ58+AZ59</f>
        <v>15187.8796794073</v>
      </c>
      <c r="BA60" s="70" t="n">
        <f aca="false">BA58+BA59</f>
        <v>31462.6847791111</v>
      </c>
      <c r="BB60" s="70" t="n">
        <f aca="false">BB58+BB59</f>
        <v>32320.9522660566</v>
      </c>
      <c r="BC60" s="70" t="n">
        <f aca="false">BC58+BC59</f>
        <v>33151.9723868576</v>
      </c>
      <c r="BD60" s="70" t="n">
        <f aca="false">BD58+BD59</f>
        <v>33956.8350361599</v>
      </c>
      <c r="BE60" s="70" t="n">
        <f aca="false">BE58+BE59</f>
        <v>34736.5865128234</v>
      </c>
      <c r="BF60" s="70" t="n">
        <f aca="false">BF58+BF59</f>
        <v>35492.2312637538</v>
      </c>
      <c r="BG60" s="70" t="n">
        <f aca="false">BG58+BG59</f>
        <v>36224.7335579802</v>
      </c>
      <c r="BH60" s="70" t="n">
        <f aca="false">BH58+BH59</f>
        <v>36935.0190937709</v>
      </c>
      <c r="BI60" s="70" t="n">
        <f aca="false">BI58+BI59</f>
        <v>37623.9765414634</v>
      </c>
      <c r="BJ60" s="70" t="n">
        <f aca="false">BJ58+BJ59</f>
        <v>22803.0483926083</v>
      </c>
    </row>
    <row r="61" customFormat="false" ht="15" hidden="false" customHeight="false" outlineLevel="0" collapsed="false">
      <c r="A61" s="116" t="s">
        <v>443</v>
      </c>
      <c r="C61" s="69" t="n">
        <f aca="false">C60</f>
        <v>-102437.476634789</v>
      </c>
      <c r="D61" s="69" t="n">
        <f aca="false">C61+D60</f>
        <v>-199240.336761108</v>
      </c>
      <c r="E61" s="69" t="n">
        <f aca="false">D61+E60</f>
        <v>-280587.034107493</v>
      </c>
      <c r="F61" s="69" t="n">
        <f aca="false">E61+F60</f>
        <v>-354763.012705834</v>
      </c>
      <c r="G61" s="69" t="n">
        <f aca="false">F61+G60</f>
        <v>-421640.551968474</v>
      </c>
      <c r="H61" s="69" t="n">
        <f aca="false">G61+H60</f>
        <v>-481097.040131265</v>
      </c>
      <c r="I61" s="69" t="n">
        <f aca="false">H61+I60</f>
        <v>-533014.769900621</v>
      </c>
      <c r="J61" s="69" t="n">
        <f aca="false">I61+J60</f>
        <v>-577280.742274703</v>
      </c>
      <c r="K61" s="69" t="n">
        <f aca="false">J61+K60</f>
        <v>-613786.478211745</v>
      </c>
      <c r="L61" s="69" t="n">
        <f aca="false">K61+L60</f>
        <v>-642427.837831648</v>
      </c>
      <c r="M61" s="69" t="n">
        <f aca="false">L61+M60</f>
        <v>-668750.981431645</v>
      </c>
      <c r="N61" s="69" t="n">
        <f aca="false">M61+N60</f>
        <v>-709232.332270295</v>
      </c>
      <c r="O61" s="69" t="n">
        <f aca="false">N61+O60</f>
        <v>-746179.624477354</v>
      </c>
      <c r="P61" s="69" t="n">
        <f aca="false">O61+P60</f>
        <v>-781179.910305002</v>
      </c>
      <c r="Q61" s="69" t="n">
        <f aca="false">P61+Q60</f>
        <v>-797828.321012694</v>
      </c>
      <c r="R61" s="69" t="n">
        <f aca="false">Q61+R60</f>
        <v>-812422.594065442</v>
      </c>
      <c r="S61" s="69" t="n">
        <f aca="false">R61+S60</f>
        <v>-825037.811636111</v>
      </c>
      <c r="T61" s="69" t="n">
        <f aca="false">S61+T60</f>
        <v>-835746.052610649</v>
      </c>
      <c r="U61" s="69" t="n">
        <f aca="false">T61+U60</f>
        <v>-844616.512719569</v>
      </c>
      <c r="V61" s="69" t="n">
        <f aca="false">U61+V60</f>
        <v>-851715.619864162</v>
      </c>
      <c r="W61" s="69" t="n">
        <f aca="false">V61+W60</f>
        <v>-857107.144829668</v>
      </c>
      <c r="X61" s="69" t="n">
        <f aca="false">W61+X60</f>
        <v>-860852.307569918</v>
      </c>
      <c r="Y61" s="69" t="n">
        <f aca="false">X61+Y60</f>
        <v>-863009.879240587</v>
      </c>
      <c r="Z61" s="69" t="n">
        <f aca="false">Y61+Z60</f>
        <v>-879516.123808558</v>
      </c>
      <c r="AA61" s="69" t="n">
        <f aca="false">Z61+AA60</f>
        <v>-893353.113443053</v>
      </c>
      <c r="AB61" s="69" t="n">
        <f aca="false">AA61+AB60</f>
        <v>-905928.286590833</v>
      </c>
      <c r="AC61" s="69" t="n">
        <f aca="false">AB61+AC60</f>
        <v>-901259.37512903</v>
      </c>
      <c r="AD61" s="69" t="n">
        <f aca="false">AC61+AD60</f>
        <v>-895137.670926185</v>
      </c>
      <c r="AE61" s="69" t="n">
        <f aca="false">AD61+AE60</f>
        <v>-887614.202358606</v>
      </c>
      <c r="AF61" s="69" t="n">
        <f aca="false">AE61+AF60</f>
        <v>-878737.95666755</v>
      </c>
      <c r="AG61" s="69" t="n">
        <f aca="false">AF61+AG60</f>
        <v>-868555.961604622</v>
      </c>
      <c r="AH61" s="69" t="n">
        <f aca="false">AG61+AH60</f>
        <v>-857113.363811364</v>
      </c>
      <c r="AI61" s="69" t="n">
        <f aca="false">AH61+AI60</f>
        <v>-844453.504063656</v>
      </c>
      <c r="AJ61" s="69" t="n">
        <f aca="false">AI61+AJ60</f>
        <v>-830617.989506341</v>
      </c>
      <c r="AK61" s="69" t="n">
        <f aca="false">AJ61+AK60</f>
        <v>-815646.762998472</v>
      </c>
      <c r="AL61" s="69" t="n">
        <f aca="false">AK61+AL60</f>
        <v>-815194.045409802</v>
      </c>
      <c r="AM61" s="69" t="n">
        <f aca="false">AL61+AM60</f>
        <v>-812690.210705342</v>
      </c>
      <c r="AN61" s="69" t="n">
        <f aca="false">AM61+AN60</f>
        <v>-809348.489396633</v>
      </c>
      <c r="AO61" s="69" t="n">
        <f aca="false">AN61+AO60</f>
        <v>-789395.311890723</v>
      </c>
      <c r="AP61" s="69" t="n">
        <f aca="false">AO61+AP60</f>
        <v>-768359.015513535</v>
      </c>
      <c r="AQ61" s="69" t="n">
        <f aca="false">AP61+AQ60</f>
        <v>-746275.841686589</v>
      </c>
      <c r="AR61" s="69" t="n">
        <f aca="false">AQ61+AR60</f>
        <v>-723180.582174541</v>
      </c>
      <c r="AS61" s="69" t="n">
        <f aca="false">AR61+AS60</f>
        <v>-699106.637071461</v>
      </c>
      <c r="AT61" s="69" t="n">
        <f aca="false">AS61+AT60</f>
        <v>-674086.070467659</v>
      </c>
      <c r="AU61" s="69" t="n">
        <f aca="false">AT61+AU60</f>
        <v>-648149.663889829</v>
      </c>
      <c r="AV61" s="69" t="n">
        <f aca="false">AU61+AV60</f>
        <v>-621326.967603599</v>
      </c>
      <c r="AW61" s="69" t="n">
        <f aca="false">AV61+AW60</f>
        <v>-593646.349863972</v>
      </c>
      <c r="AX61" s="69" t="n">
        <f aca="false">AW61+AX60</f>
        <v>-580640.523575564</v>
      </c>
      <c r="AY61" s="69" t="n">
        <f aca="false">AX61+AY60</f>
        <v>-566029.958394927</v>
      </c>
      <c r="AZ61" s="69" t="n">
        <f aca="false">AY61+AZ60</f>
        <v>-550842.07871552</v>
      </c>
      <c r="BA61" s="69" t="n">
        <f aca="false">AZ61+BA60</f>
        <v>-519379.393936409</v>
      </c>
      <c r="BB61" s="69" t="n">
        <f aca="false">BA61+BB60</f>
        <v>-487058.441670352</v>
      </c>
      <c r="BC61" s="69" t="n">
        <f aca="false">BB61+BC60</f>
        <v>-453906.469283495</v>
      </c>
      <c r="BD61" s="69" t="n">
        <f aca="false">BC61+BD60</f>
        <v>-419949.634247335</v>
      </c>
      <c r="BE61" s="69" t="n">
        <f aca="false">BD61+BE60</f>
        <v>-385213.047734511</v>
      </c>
      <c r="BF61" s="69" t="n">
        <f aca="false">BE61+BF60</f>
        <v>-349720.816470758</v>
      </c>
      <c r="BG61" s="69" t="n">
        <f aca="false">BF61+BG60</f>
        <v>-313496.082912777</v>
      </c>
      <c r="BH61" s="69" t="n">
        <f aca="false">BG61+BH60</f>
        <v>-276561.063819007</v>
      </c>
      <c r="BI61" s="69" t="n">
        <f aca="false">BH61+BI60</f>
        <v>-238937.087277543</v>
      </c>
      <c r="BJ61" s="69" t="n">
        <f aca="false">BI61+BJ60</f>
        <v>-216134.038884935</v>
      </c>
    </row>
    <row r="62" customFormat="false" ht="15" hidden="false" customHeight="false" outlineLevel="0" collapsed="false">
      <c r="A62" s="116" t="s">
        <v>444</v>
      </c>
      <c r="C62" s="69" t="n">
        <f aca="false">MAX(0,C61)</f>
        <v>0</v>
      </c>
      <c r="D62" s="69" t="n">
        <f aca="false">MAX(C62,D61)</f>
        <v>0</v>
      </c>
      <c r="E62" s="69" t="n">
        <f aca="false">MAX(D62,E61)</f>
        <v>0</v>
      </c>
      <c r="F62" s="69" t="n">
        <f aca="false">MAX(E62,F61)</f>
        <v>0</v>
      </c>
      <c r="G62" s="69" t="n">
        <f aca="false">MAX(F62,G61)</f>
        <v>0</v>
      </c>
      <c r="H62" s="69" t="n">
        <f aca="false">MAX(G62,H61)</f>
        <v>0</v>
      </c>
      <c r="I62" s="69" t="n">
        <f aca="false">MAX(H62,I61)</f>
        <v>0</v>
      </c>
      <c r="J62" s="69" t="n">
        <f aca="false">MAX(I62,J61)</f>
        <v>0</v>
      </c>
      <c r="K62" s="69" t="n">
        <f aca="false">MAX(J62,K61)</f>
        <v>0</v>
      </c>
      <c r="L62" s="69" t="n">
        <f aca="false">MAX(K62,L61)</f>
        <v>0</v>
      </c>
      <c r="M62" s="69" t="n">
        <f aca="false">MAX(L62,M61)</f>
        <v>0</v>
      </c>
      <c r="N62" s="69" t="n">
        <f aca="false">MAX(M62,N61)</f>
        <v>0</v>
      </c>
      <c r="O62" s="69" t="n">
        <f aca="false">MAX(N62,O61)</f>
        <v>0</v>
      </c>
      <c r="P62" s="69" t="n">
        <f aca="false">MAX(O62,P61)</f>
        <v>0</v>
      </c>
      <c r="Q62" s="69" t="n">
        <f aca="false">MAX(P62,Q61)</f>
        <v>0</v>
      </c>
      <c r="R62" s="69" t="n">
        <f aca="false">MAX(Q62,R61)</f>
        <v>0</v>
      </c>
      <c r="S62" s="69" t="n">
        <f aca="false">MAX(R62,S61)</f>
        <v>0</v>
      </c>
      <c r="T62" s="69" t="n">
        <f aca="false">MAX(S62,T61)</f>
        <v>0</v>
      </c>
      <c r="U62" s="69" t="n">
        <f aca="false">MAX(T62,U61)</f>
        <v>0</v>
      </c>
      <c r="V62" s="69" t="n">
        <f aca="false">MAX(U62,V61)</f>
        <v>0</v>
      </c>
      <c r="W62" s="69" t="n">
        <f aca="false">MAX(V62,W61)</f>
        <v>0</v>
      </c>
      <c r="X62" s="69" t="n">
        <f aca="false">MAX(W62,X61)</f>
        <v>0</v>
      </c>
      <c r="Y62" s="69" t="n">
        <f aca="false">MAX(X62,Y61)</f>
        <v>0</v>
      </c>
      <c r="Z62" s="69" t="n">
        <f aca="false">MAX(Y62,Z61)</f>
        <v>0</v>
      </c>
      <c r="AA62" s="69" t="n">
        <f aca="false">MAX(Z62,AA61)</f>
        <v>0</v>
      </c>
      <c r="AB62" s="69" t="n">
        <f aca="false">MAX(AA62,AB61)</f>
        <v>0</v>
      </c>
      <c r="AC62" s="69" t="n">
        <f aca="false">MAX(AB62,AC61)</f>
        <v>0</v>
      </c>
      <c r="AD62" s="69" t="n">
        <f aca="false">MAX(AC62,AD61)</f>
        <v>0</v>
      </c>
      <c r="AE62" s="69" t="n">
        <f aca="false">MAX(AD62,AE61)</f>
        <v>0</v>
      </c>
      <c r="AF62" s="69" t="n">
        <f aca="false">MAX(AE62,AF61)</f>
        <v>0</v>
      </c>
      <c r="AG62" s="69" t="n">
        <f aca="false">MAX(AF62,AG61)</f>
        <v>0</v>
      </c>
      <c r="AH62" s="69" t="n">
        <f aca="false">MAX(AG62,AH61)</f>
        <v>0</v>
      </c>
      <c r="AI62" s="69" t="n">
        <f aca="false">MAX(AH62,AI61)</f>
        <v>0</v>
      </c>
      <c r="AJ62" s="69" t="n">
        <f aca="false">MAX(AI62,AJ61)</f>
        <v>0</v>
      </c>
      <c r="AK62" s="69" t="n">
        <f aca="false">MAX(AJ62,AK61)</f>
        <v>0</v>
      </c>
      <c r="AL62" s="69" t="n">
        <f aca="false">MAX(AK62,AL61)</f>
        <v>0</v>
      </c>
      <c r="AM62" s="69" t="n">
        <f aca="false">MAX(AL62,AM61)</f>
        <v>0</v>
      </c>
      <c r="AN62" s="69" t="n">
        <f aca="false">MAX(AM62,AN61)</f>
        <v>0</v>
      </c>
      <c r="AO62" s="69" t="n">
        <f aca="false">MAX(AN62,AO61)</f>
        <v>0</v>
      </c>
      <c r="AP62" s="69" t="n">
        <f aca="false">MAX(AO62,AP61)</f>
        <v>0</v>
      </c>
      <c r="AQ62" s="69" t="n">
        <f aca="false">MAX(AP62,AQ61)</f>
        <v>0</v>
      </c>
      <c r="AR62" s="69" t="n">
        <f aca="false">MAX(AQ62,AR61)</f>
        <v>0</v>
      </c>
      <c r="AS62" s="69" t="n">
        <f aca="false">MAX(AR62,AS61)</f>
        <v>0</v>
      </c>
      <c r="AT62" s="69" t="n">
        <f aca="false">MAX(AS62,AT61)</f>
        <v>0</v>
      </c>
      <c r="AU62" s="69" t="n">
        <f aca="false">MAX(AT62,AU61)</f>
        <v>0</v>
      </c>
      <c r="AV62" s="69" t="n">
        <f aca="false">MAX(AU62,AV61)</f>
        <v>0</v>
      </c>
      <c r="AW62" s="69" t="n">
        <f aca="false">MAX(AV62,AW61)</f>
        <v>0</v>
      </c>
      <c r="AX62" s="69" t="n">
        <f aca="false">MAX(AW62,AX61)</f>
        <v>0</v>
      </c>
      <c r="AY62" s="69" t="n">
        <f aca="false">MAX(AX62,AY61)</f>
        <v>0</v>
      </c>
      <c r="AZ62" s="69" t="n">
        <f aca="false">MAX(AY62,AZ61)</f>
        <v>0</v>
      </c>
      <c r="BA62" s="69" t="n">
        <f aca="false">MAX(AZ62,BA61)</f>
        <v>0</v>
      </c>
      <c r="BB62" s="69" t="n">
        <f aca="false">MAX(BA62,BB61)</f>
        <v>0</v>
      </c>
      <c r="BC62" s="69" t="n">
        <f aca="false">MAX(BB62,BC61)</f>
        <v>0</v>
      </c>
      <c r="BD62" s="69" t="n">
        <f aca="false">MAX(BC62,BD61)</f>
        <v>0</v>
      </c>
      <c r="BE62" s="69" t="n">
        <f aca="false">MAX(BD62,BE61)</f>
        <v>0</v>
      </c>
      <c r="BF62" s="69" t="n">
        <f aca="false">MAX(BE62,BF61)</f>
        <v>0</v>
      </c>
      <c r="BG62" s="69" t="n">
        <f aca="false">MAX(BF62,BG61)</f>
        <v>0</v>
      </c>
      <c r="BH62" s="69" t="n">
        <f aca="false">MAX(BG62,BH61)</f>
        <v>0</v>
      </c>
      <c r="BI62" s="69" t="n">
        <f aca="false">MAX(BH62,BI61)</f>
        <v>0</v>
      </c>
      <c r="BJ62" s="69" t="n">
        <f aca="false">MAX(BI62,BJ61)</f>
        <v>0</v>
      </c>
    </row>
    <row r="63" customFormat="false" ht="15" hidden="false" customHeight="false" outlineLevel="0" collapsed="false">
      <c r="A63" s="6" t="s">
        <v>82</v>
      </c>
      <c r="C63" s="69" t="n">
        <f aca="false">-C62*Inputs!$E$79</f>
        <v>-0</v>
      </c>
      <c r="D63" s="69" t="n">
        <f aca="false">-(D62-C62)*Inputs!$E$79</f>
        <v>-0</v>
      </c>
      <c r="E63" s="69" t="n">
        <f aca="false">-(E62-D62)*Inputs!$E$79</f>
        <v>-0</v>
      </c>
      <c r="F63" s="69" t="n">
        <f aca="false">-(F62-E62)*Inputs!$E$79</f>
        <v>-0</v>
      </c>
      <c r="G63" s="69" t="n">
        <f aca="false">-(G62-F62)*Inputs!$E$79</f>
        <v>-0</v>
      </c>
      <c r="H63" s="69" t="n">
        <f aca="false">-(H62-G62)*Inputs!$E$79</f>
        <v>-0</v>
      </c>
      <c r="I63" s="69" t="n">
        <f aca="false">-(I62-H62)*Inputs!$E$79</f>
        <v>-0</v>
      </c>
      <c r="J63" s="69" t="n">
        <f aca="false">-(J62-I62)*Inputs!$E$79</f>
        <v>-0</v>
      </c>
      <c r="K63" s="69" t="n">
        <f aca="false">-(K62-J62)*Inputs!$E$79</f>
        <v>-0</v>
      </c>
      <c r="L63" s="69" t="n">
        <f aca="false">-(L62-K62)*Inputs!$E$79</f>
        <v>-0</v>
      </c>
      <c r="M63" s="69" t="n">
        <f aca="false">-(M62-L62)*Inputs!$E$79</f>
        <v>-0</v>
      </c>
      <c r="N63" s="69" t="n">
        <f aca="false">-(N62-M62)*Inputs!$E$79</f>
        <v>-0</v>
      </c>
      <c r="O63" s="69" t="n">
        <f aca="false">-(O62-N62)*Inputs!$E$79</f>
        <v>-0</v>
      </c>
      <c r="P63" s="69" t="n">
        <f aca="false">-(P62-O62)*Inputs!$E$79</f>
        <v>-0</v>
      </c>
      <c r="Q63" s="69" t="n">
        <f aca="false">-(Q62-P62)*Inputs!$E$79</f>
        <v>-0</v>
      </c>
      <c r="R63" s="69" t="n">
        <f aca="false">-(R62-Q62)*Inputs!$E$79</f>
        <v>-0</v>
      </c>
      <c r="S63" s="69" t="n">
        <f aca="false">-(S62-R62)*Inputs!$E$79</f>
        <v>-0</v>
      </c>
      <c r="T63" s="69" t="n">
        <f aca="false">-(T62-S62)*Inputs!$E$79</f>
        <v>-0</v>
      </c>
      <c r="U63" s="69" t="n">
        <f aca="false">-(U62-T62)*Inputs!$E$79</f>
        <v>-0</v>
      </c>
      <c r="V63" s="69" t="n">
        <f aca="false">-(V62-U62)*Inputs!$E$79</f>
        <v>-0</v>
      </c>
      <c r="W63" s="69" t="n">
        <f aca="false">-(W62-V62)*Inputs!$E$79</f>
        <v>-0</v>
      </c>
      <c r="X63" s="69" t="n">
        <f aca="false">-(X62-W62)*Inputs!$E$79</f>
        <v>-0</v>
      </c>
      <c r="Y63" s="69" t="n">
        <f aca="false">-(Y62-X62)*Inputs!$E$79</f>
        <v>-0</v>
      </c>
      <c r="Z63" s="69" t="n">
        <f aca="false">-(Z62-Y62)*Inputs!$E$79</f>
        <v>-0</v>
      </c>
      <c r="AA63" s="69" t="n">
        <f aca="false">-(AA62-Z62)*Inputs!$E$79</f>
        <v>-0</v>
      </c>
      <c r="AB63" s="69" t="n">
        <f aca="false">-(AB62-AA62)*Inputs!$E$79</f>
        <v>-0</v>
      </c>
      <c r="AC63" s="69" t="n">
        <f aca="false">-(AC62-AB62)*Inputs!$E$79</f>
        <v>-0</v>
      </c>
      <c r="AD63" s="69" t="n">
        <f aca="false">-(AD62-AC62)*Inputs!$E$79</f>
        <v>-0</v>
      </c>
      <c r="AE63" s="69" t="n">
        <f aca="false">-(AE62-AD62)*Inputs!$E$79</f>
        <v>-0</v>
      </c>
      <c r="AF63" s="69" t="n">
        <f aca="false">-(AF62-AE62)*Inputs!$E$79</f>
        <v>-0</v>
      </c>
      <c r="AG63" s="69" t="n">
        <f aca="false">-(AG62-AF62)*Inputs!$E$79</f>
        <v>-0</v>
      </c>
      <c r="AH63" s="69" t="n">
        <f aca="false">-(AH62-AG62)*Inputs!$E$79</f>
        <v>-0</v>
      </c>
      <c r="AI63" s="69" t="n">
        <f aca="false">-(AI62-AH62)*Inputs!$E$79</f>
        <v>-0</v>
      </c>
      <c r="AJ63" s="69" t="n">
        <f aca="false">-(AJ62-AI62)*Inputs!$E$79</f>
        <v>-0</v>
      </c>
      <c r="AK63" s="69" t="n">
        <f aca="false">-(AK62-AJ62)*Inputs!$E$79</f>
        <v>-0</v>
      </c>
      <c r="AL63" s="69" t="n">
        <f aca="false">-(AL62-AK62)*Inputs!$E$79</f>
        <v>-0</v>
      </c>
      <c r="AM63" s="69" t="n">
        <f aca="false">-(AM62-AL62)*Inputs!$E$79</f>
        <v>-0</v>
      </c>
      <c r="AN63" s="69" t="n">
        <f aca="false">-(AN62-AM62)*Inputs!$E$79</f>
        <v>-0</v>
      </c>
      <c r="AO63" s="69" t="n">
        <f aca="false">-(AO62-AN62)*Inputs!$E$79</f>
        <v>-0</v>
      </c>
      <c r="AP63" s="69" t="n">
        <f aca="false">-(AP62-AO62)*Inputs!$E$79</f>
        <v>-0</v>
      </c>
      <c r="AQ63" s="69" t="n">
        <f aca="false">-(AQ62-AP62)*Inputs!$E$79</f>
        <v>-0</v>
      </c>
      <c r="AR63" s="69" t="n">
        <f aca="false">-(AR62-AQ62)*Inputs!$E$79</f>
        <v>-0</v>
      </c>
      <c r="AS63" s="69" t="n">
        <f aca="false">-(AS62-AR62)*Inputs!$E$79</f>
        <v>-0</v>
      </c>
      <c r="AT63" s="69" t="n">
        <f aca="false">-(AT62-AS62)*Inputs!$E$79</f>
        <v>-0</v>
      </c>
      <c r="AU63" s="69" t="n">
        <f aca="false">-(AU62-AT62)*Inputs!$E$79</f>
        <v>-0</v>
      </c>
      <c r="AV63" s="69" t="n">
        <f aca="false">-(AV62-AU62)*Inputs!$E$79</f>
        <v>-0</v>
      </c>
      <c r="AW63" s="69" t="n">
        <f aca="false">-(AW62-AV62)*Inputs!$E$79</f>
        <v>-0</v>
      </c>
      <c r="AX63" s="69" t="n">
        <f aca="false">-(AX62-AW62)*Inputs!$E$79</f>
        <v>-0</v>
      </c>
      <c r="AY63" s="69" t="n">
        <f aca="false">-(AY62-AX62)*Inputs!$E$79</f>
        <v>-0</v>
      </c>
      <c r="AZ63" s="69" t="n">
        <f aca="false">-(AZ62-AY62)*Inputs!$E$79</f>
        <v>-0</v>
      </c>
      <c r="BA63" s="69" t="n">
        <f aca="false">-(BA62-AZ62)*Inputs!$E$79</f>
        <v>-0</v>
      </c>
      <c r="BB63" s="69" t="n">
        <f aca="false">-(BB62-BA62)*Inputs!$E$79</f>
        <v>-0</v>
      </c>
      <c r="BC63" s="69" t="n">
        <f aca="false">-(BC62-BB62)*Inputs!$E$79</f>
        <v>-0</v>
      </c>
      <c r="BD63" s="69" t="n">
        <f aca="false">-(BD62-BC62)*Inputs!$E$79</f>
        <v>-0</v>
      </c>
      <c r="BE63" s="69" t="n">
        <f aca="false">-(BE62-BD62)*Inputs!$E$79</f>
        <v>-0</v>
      </c>
      <c r="BF63" s="69" t="n">
        <f aca="false">-(BF62-BE62)*Inputs!$E$79</f>
        <v>-0</v>
      </c>
      <c r="BG63" s="69" t="n">
        <f aca="false">-(BG62-BF62)*Inputs!$E$79</f>
        <v>-0</v>
      </c>
      <c r="BH63" s="69" t="n">
        <f aca="false">-(BH62-BG62)*Inputs!$E$79</f>
        <v>-0</v>
      </c>
      <c r="BI63" s="69" t="n">
        <f aca="false">-(BI62-BH62)*Inputs!$E$79</f>
        <v>-0</v>
      </c>
      <c r="BJ63" s="69" t="n">
        <f aca="false">-(BJ62-BI62)*Inputs!$E$79</f>
        <v>-0</v>
      </c>
    </row>
    <row r="64" customFormat="false" ht="15" hidden="false" customHeight="false" outlineLevel="0" collapsed="false">
      <c r="A64" s="113" t="s">
        <v>50</v>
      </c>
      <c r="C64" s="70" t="n">
        <f aca="false">C60+C63</f>
        <v>-102437.476634789</v>
      </c>
      <c r="D64" s="70" t="n">
        <f aca="false">D60+D63</f>
        <v>-96802.8601263196</v>
      </c>
      <c r="E64" s="70" t="n">
        <f aca="false">E60+E63</f>
        <v>-81346.6973463849</v>
      </c>
      <c r="F64" s="70" t="n">
        <f aca="false">F60+F63</f>
        <v>-74175.9785983407</v>
      </c>
      <c r="G64" s="70" t="n">
        <f aca="false">G60+G63</f>
        <v>-66877.5392626404</v>
      </c>
      <c r="H64" s="70" t="n">
        <f aca="false">H60+H63</f>
        <v>-59456.4881627903</v>
      </c>
      <c r="I64" s="70" t="n">
        <f aca="false">I60+I63</f>
        <v>-51917.7297693565</v>
      </c>
      <c r="J64" s="70" t="n">
        <f aca="false">J60+J63</f>
        <v>-44265.9723740822</v>
      </c>
      <c r="K64" s="70" t="n">
        <f aca="false">K60+K63</f>
        <v>-36505.7359370411</v>
      </c>
      <c r="L64" s="70" t="n">
        <f aca="false">L60+L63</f>
        <v>-28641.3596199039</v>
      </c>
      <c r="M64" s="70" t="n">
        <f aca="false">M60+M63</f>
        <v>-26323.1435999967</v>
      </c>
      <c r="N64" s="70" t="n">
        <f aca="false">N60+N63</f>
        <v>-40481.3508386496</v>
      </c>
      <c r="O64" s="70" t="n">
        <f aca="false">O60+O63</f>
        <v>-36947.2922070597</v>
      </c>
      <c r="P64" s="70" t="n">
        <f aca="false">P60+P63</f>
        <v>-35000.2858276473</v>
      </c>
      <c r="Q64" s="70" t="n">
        <f aca="false">Q60+Q63</f>
        <v>-16648.4107076926</v>
      </c>
      <c r="R64" s="70" t="n">
        <f aca="false">R60+R63</f>
        <v>-14594.2730527482</v>
      </c>
      <c r="S64" s="70" t="n">
        <f aca="false">S60+S63</f>
        <v>-12615.2175706683</v>
      </c>
      <c r="T64" s="70" t="n">
        <f aca="false">T60+T63</f>
        <v>-10708.2409745382</v>
      </c>
      <c r="U64" s="70" t="n">
        <f aca="false">U60+U63</f>
        <v>-8870.46010892004</v>
      </c>
      <c r="V64" s="70" t="n">
        <f aca="false">V60+V63</f>
        <v>-7099.10714459323</v>
      </c>
      <c r="W64" s="70" t="n">
        <f aca="false">W60+W63</f>
        <v>-5391.52496550617</v>
      </c>
      <c r="X64" s="70" t="n">
        <f aca="false">X60+X63</f>
        <v>-3745.16274024923</v>
      </c>
      <c r="Y64" s="70" t="n">
        <f aca="false">Y60+Y63</f>
        <v>-2157.5716706693</v>
      </c>
      <c r="Z64" s="70" t="n">
        <f aca="false">Z60+Z63</f>
        <v>-16506.2445679711</v>
      </c>
      <c r="AA64" s="70" t="n">
        <f aca="false">AA60+AA63</f>
        <v>-13836.9896344949</v>
      </c>
      <c r="AB64" s="70" t="n">
        <f aca="false">AB60+AB63</f>
        <v>-12575.1731477804</v>
      </c>
      <c r="AC64" s="70" t="n">
        <f aca="false">AC60+AC63</f>
        <v>4668.91146180315</v>
      </c>
      <c r="AD64" s="70" t="n">
        <f aca="false">AD60+AD63</f>
        <v>6121.70420284503</v>
      </c>
      <c r="AE64" s="70" t="n">
        <f aca="false">AE60+AE63</f>
        <v>7523.46856757859</v>
      </c>
      <c r="AF64" s="70" t="n">
        <f aca="false">AF60+AF63</f>
        <v>8876.24569105615</v>
      </c>
      <c r="AG64" s="70" t="n">
        <f aca="false">AG60+AG63</f>
        <v>10181.9950629279</v>
      </c>
      <c r="AH64" s="70" t="n">
        <f aca="false">AH60+AH63</f>
        <v>11442.5977932581</v>
      </c>
      <c r="AI64" s="70" t="n">
        <f aca="false">AI60+AI63</f>
        <v>12659.8597477085</v>
      </c>
      <c r="AJ64" s="70" t="n">
        <f aca="false">AJ60+AJ63</f>
        <v>13835.5145573142</v>
      </c>
      <c r="AK64" s="70" t="n">
        <f aca="false">AK60+AK63</f>
        <v>14971.226507869</v>
      </c>
      <c r="AL64" s="70" t="n">
        <f aca="false">AL60+AL63</f>
        <v>452.717588670192</v>
      </c>
      <c r="AM64" s="70" t="n">
        <f aca="false">AM60+AM63</f>
        <v>2503.83470445991</v>
      </c>
      <c r="AN64" s="70" t="n">
        <f aca="false">AN60+AN63</f>
        <v>3341.72130870905</v>
      </c>
      <c r="AO64" s="70" t="n">
        <f aca="false">AO60+AO63</f>
        <v>19953.1775059109</v>
      </c>
      <c r="AP64" s="70" t="n">
        <f aca="false">AP60+AP63</f>
        <v>21036.2963771875</v>
      </c>
      <c r="AQ64" s="70" t="n">
        <f aca="false">AQ60+AQ63</f>
        <v>22083.1738269463</v>
      </c>
      <c r="AR64" s="70" t="n">
        <f aca="false">AR60+AR63</f>
        <v>23095.2595120481</v>
      </c>
      <c r="AS64" s="70" t="n">
        <f aca="false">AS60+AS63</f>
        <v>24073.9451030792</v>
      </c>
      <c r="AT64" s="70" t="n">
        <f aca="false">AT60+AT63</f>
        <v>25020.5666038024</v>
      </c>
      <c r="AU64" s="70" t="n">
        <f aca="false">AU60+AU63</f>
        <v>25936.40657783</v>
      </c>
      <c r="AV64" s="70" t="n">
        <f aca="false">AV60+AV63</f>
        <v>26822.6962862298</v>
      </c>
      <c r="AW64" s="70" t="n">
        <f aca="false">AW60+AW63</f>
        <v>27680.6177396269</v>
      </c>
      <c r="AX64" s="70" t="n">
        <f aca="false">AX60+AX63</f>
        <v>13005.8262884086</v>
      </c>
      <c r="AY64" s="70" t="n">
        <f aca="false">AY60+AY63</f>
        <v>14610.5651806366</v>
      </c>
      <c r="AZ64" s="70" t="n">
        <f aca="false">AZ60+AZ63</f>
        <v>15187.8796794073</v>
      </c>
      <c r="BA64" s="70" t="n">
        <f aca="false">BA60+BA63</f>
        <v>31462.6847791111</v>
      </c>
      <c r="BB64" s="70" t="n">
        <f aca="false">BB60+BB63</f>
        <v>32320.9522660566</v>
      </c>
      <c r="BC64" s="70" t="n">
        <f aca="false">BC60+BC63</f>
        <v>33151.9723868576</v>
      </c>
      <c r="BD64" s="70" t="n">
        <f aca="false">BD60+BD63</f>
        <v>33956.8350361599</v>
      </c>
      <c r="BE64" s="70" t="n">
        <f aca="false">BE60+BE63</f>
        <v>34736.5865128234</v>
      </c>
      <c r="BF64" s="70" t="n">
        <f aca="false">BF60+BF63</f>
        <v>35492.2312637538</v>
      </c>
      <c r="BG64" s="70" t="n">
        <f aca="false">BG60+BG63</f>
        <v>36224.7335579802</v>
      </c>
      <c r="BH64" s="70" t="n">
        <f aca="false">BH60+BH63</f>
        <v>36935.0190937709</v>
      </c>
      <c r="BI64" s="70" t="n">
        <f aca="false">BI60+BI63</f>
        <v>37623.9765414634</v>
      </c>
      <c r="BJ64" s="70" t="n">
        <f aca="false">BJ60+BJ63</f>
        <v>22803.0483926083</v>
      </c>
    </row>
    <row r="66" customFormat="false" ht="15.75" hidden="false" customHeight="true" outlineLevel="0" collapsed="false">
      <c r="A66" s="7" t="s">
        <v>445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customFormat="false" ht="15" hidden="false" customHeight="false" outlineLevel="0" collapsed="false">
      <c r="A67" s="6" t="s">
        <v>446</v>
      </c>
      <c r="C67" s="69" t="n">
        <f aca="false">IF(C$4=1,Inputs!$E$49,0)</f>
        <v>1650000</v>
      </c>
      <c r="D67" s="69" t="n">
        <f aca="false">IF(D$4=1,Inputs!$E$49,0)</f>
        <v>0</v>
      </c>
      <c r="E67" s="69" t="n">
        <f aca="false">IF(E$4=1,Inputs!$E$49,0)</f>
        <v>0</v>
      </c>
      <c r="F67" s="69" t="n">
        <f aca="false">IF(F$4=1,Inputs!$E$49,0)</f>
        <v>0</v>
      </c>
      <c r="G67" s="69" t="n">
        <f aca="false">IF(G$4=1,Inputs!$E$49,0)</f>
        <v>0</v>
      </c>
      <c r="H67" s="69" t="n">
        <f aca="false">IF(H$4=1,Inputs!$E$49,0)</f>
        <v>0</v>
      </c>
      <c r="I67" s="69" t="n">
        <f aca="false">IF(I$4=1,Inputs!$E$49,0)</f>
        <v>0</v>
      </c>
      <c r="J67" s="69" t="n">
        <f aca="false">IF(J$4=1,Inputs!$E$49,0)</f>
        <v>0</v>
      </c>
      <c r="K67" s="69" t="n">
        <f aca="false">IF(K$4=1,Inputs!$E$49,0)</f>
        <v>0</v>
      </c>
      <c r="L67" s="69" t="n">
        <f aca="false">IF(L$4=1,Inputs!$E$49,0)</f>
        <v>0</v>
      </c>
      <c r="M67" s="69" t="n">
        <f aca="false">IF(M$4=1,Inputs!$E$49,0)</f>
        <v>0</v>
      </c>
      <c r="N67" s="69" t="n">
        <f aca="false">IF(N$4=1,Inputs!$E$49,0)</f>
        <v>0</v>
      </c>
      <c r="O67" s="69" t="n">
        <f aca="false">IF(O$4=1,Inputs!$E$49,0)</f>
        <v>0</v>
      </c>
      <c r="P67" s="69" t="n">
        <f aca="false">IF(P$4=1,Inputs!$E$49,0)</f>
        <v>0</v>
      </c>
      <c r="Q67" s="69" t="n">
        <f aca="false">IF(Q$4=1,Inputs!$E$49,0)</f>
        <v>0</v>
      </c>
      <c r="R67" s="69" t="n">
        <f aca="false">IF(R$4=1,Inputs!$E$49,0)</f>
        <v>0</v>
      </c>
      <c r="S67" s="69" t="n">
        <f aca="false">IF(S$4=1,Inputs!$E$49,0)</f>
        <v>0</v>
      </c>
      <c r="T67" s="69" t="n">
        <f aca="false">IF(T$4=1,Inputs!$E$49,0)</f>
        <v>0</v>
      </c>
      <c r="U67" s="69" t="n">
        <f aca="false">IF(U$4=1,Inputs!$E$49,0)</f>
        <v>0</v>
      </c>
      <c r="V67" s="69" t="n">
        <f aca="false">IF(V$4=1,Inputs!$E$49,0)</f>
        <v>0</v>
      </c>
      <c r="W67" s="69" t="n">
        <f aca="false">IF(W$4=1,Inputs!$E$49,0)</f>
        <v>0</v>
      </c>
      <c r="X67" s="69" t="n">
        <f aca="false">IF(X$4=1,Inputs!$E$49,0)</f>
        <v>0</v>
      </c>
      <c r="Y67" s="69" t="n">
        <f aca="false">IF(Y$4=1,Inputs!$E$49,0)</f>
        <v>0</v>
      </c>
      <c r="Z67" s="69" t="n">
        <f aca="false">IF(Z$4=1,Inputs!$E$49,0)</f>
        <v>0</v>
      </c>
      <c r="AA67" s="69" t="n">
        <f aca="false">IF(AA$4=1,Inputs!$E$49,0)</f>
        <v>0</v>
      </c>
      <c r="AB67" s="69" t="n">
        <f aca="false">IF(AB$4=1,Inputs!$E$49,0)</f>
        <v>0</v>
      </c>
      <c r="AC67" s="69" t="n">
        <f aca="false">IF(AC$4=1,Inputs!$E$49,0)</f>
        <v>0</v>
      </c>
      <c r="AD67" s="69" t="n">
        <f aca="false">IF(AD$4=1,Inputs!$E$49,0)</f>
        <v>0</v>
      </c>
      <c r="AE67" s="69" t="n">
        <f aca="false">IF(AE$4=1,Inputs!$E$49,0)</f>
        <v>0</v>
      </c>
      <c r="AF67" s="69" t="n">
        <f aca="false">IF(AF$4=1,Inputs!$E$49,0)</f>
        <v>0</v>
      </c>
      <c r="AG67" s="69" t="n">
        <f aca="false">IF(AG$4=1,Inputs!$E$49,0)</f>
        <v>0</v>
      </c>
      <c r="AH67" s="69" t="n">
        <f aca="false">IF(AH$4=1,Inputs!$E$49,0)</f>
        <v>0</v>
      </c>
      <c r="AI67" s="69" t="n">
        <f aca="false">IF(AI$4=1,Inputs!$E$49,0)</f>
        <v>0</v>
      </c>
      <c r="AJ67" s="69" t="n">
        <f aca="false">IF(AJ$4=1,Inputs!$E$49,0)</f>
        <v>0</v>
      </c>
      <c r="AK67" s="69" t="n">
        <f aca="false">IF(AK$4=1,Inputs!$E$49,0)</f>
        <v>0</v>
      </c>
      <c r="AL67" s="69" t="n">
        <f aca="false">IF(AL$4=1,Inputs!$E$49,0)</f>
        <v>0</v>
      </c>
      <c r="AM67" s="69" t="n">
        <f aca="false">IF(AM$4=1,Inputs!$E$49,0)</f>
        <v>0</v>
      </c>
      <c r="AN67" s="69" t="n">
        <f aca="false">IF(AN$4=1,Inputs!$E$49,0)</f>
        <v>0</v>
      </c>
      <c r="AO67" s="69" t="n">
        <f aca="false">IF(AO$4=1,Inputs!$E$49,0)</f>
        <v>0</v>
      </c>
      <c r="AP67" s="69" t="n">
        <f aca="false">IF(AP$4=1,Inputs!$E$49,0)</f>
        <v>0</v>
      </c>
      <c r="AQ67" s="69" t="n">
        <f aca="false">IF(AQ$4=1,Inputs!$E$49,0)</f>
        <v>0</v>
      </c>
      <c r="AR67" s="69" t="n">
        <f aca="false">IF(AR$4=1,Inputs!$E$49,0)</f>
        <v>0</v>
      </c>
      <c r="AS67" s="69" t="n">
        <f aca="false">IF(AS$4=1,Inputs!$E$49,0)</f>
        <v>0</v>
      </c>
      <c r="AT67" s="69" t="n">
        <f aca="false">IF(AT$4=1,Inputs!$E$49,0)</f>
        <v>0</v>
      </c>
      <c r="AU67" s="69" t="n">
        <f aca="false">IF(AU$4=1,Inputs!$E$49,0)</f>
        <v>0</v>
      </c>
      <c r="AV67" s="69" t="n">
        <f aca="false">IF(AV$4=1,Inputs!$E$49,0)</f>
        <v>0</v>
      </c>
      <c r="AW67" s="69" t="n">
        <f aca="false">IF(AW$4=1,Inputs!$E$49,0)</f>
        <v>0</v>
      </c>
      <c r="AX67" s="69" t="n">
        <f aca="false">IF(AX$4=1,Inputs!$E$49,0)</f>
        <v>0</v>
      </c>
      <c r="AY67" s="69" t="n">
        <f aca="false">IF(AY$4=1,Inputs!$E$49,0)</f>
        <v>0</v>
      </c>
      <c r="AZ67" s="69" t="n">
        <f aca="false">IF(AZ$4=1,Inputs!$E$49,0)</f>
        <v>0</v>
      </c>
      <c r="BA67" s="69" t="n">
        <f aca="false">IF(BA$4=1,Inputs!$E$49,0)</f>
        <v>0</v>
      </c>
      <c r="BB67" s="69" t="n">
        <f aca="false">IF(BB$4=1,Inputs!$E$49,0)</f>
        <v>0</v>
      </c>
      <c r="BC67" s="69" t="n">
        <f aca="false">IF(BC$4=1,Inputs!$E$49,0)</f>
        <v>0</v>
      </c>
      <c r="BD67" s="69" t="n">
        <f aca="false">IF(BD$4=1,Inputs!$E$49,0)</f>
        <v>0</v>
      </c>
      <c r="BE67" s="69" t="n">
        <f aca="false">IF(BE$4=1,Inputs!$E$49,0)</f>
        <v>0</v>
      </c>
      <c r="BF67" s="69" t="n">
        <f aca="false">IF(BF$4=1,Inputs!$E$49,0)</f>
        <v>0</v>
      </c>
      <c r="BG67" s="69" t="n">
        <f aca="false">IF(BG$4=1,Inputs!$E$49,0)</f>
        <v>0</v>
      </c>
      <c r="BH67" s="69" t="n">
        <f aca="false">IF(BH$4=1,Inputs!$E$49,0)</f>
        <v>0</v>
      </c>
      <c r="BI67" s="69" t="n">
        <f aca="false">IF(BI$4=1,Inputs!$E$49,0)</f>
        <v>0</v>
      </c>
      <c r="BJ67" s="69" t="n">
        <f aca="false">IF(BJ$4=1,Inputs!$E$49,0)</f>
        <v>0</v>
      </c>
    </row>
    <row r="68" customFormat="false" ht="15" hidden="false" customHeight="false" outlineLevel="0" collapsed="false">
      <c r="A68" s="6" t="s">
        <v>447</v>
      </c>
      <c r="C68" s="69" t="n">
        <f aca="false">IF(C$4=1,Inputs!$E$50,0)</f>
        <v>2300000</v>
      </c>
      <c r="D68" s="69" t="n">
        <f aca="false">IF(D$4=1,Inputs!$E$50,0)</f>
        <v>0</v>
      </c>
      <c r="E68" s="69" t="n">
        <f aca="false">IF(E$4=1,Inputs!$E$50,0)</f>
        <v>0</v>
      </c>
      <c r="F68" s="69" t="n">
        <f aca="false">IF(F$4=1,Inputs!$E$50,0)</f>
        <v>0</v>
      </c>
      <c r="G68" s="69" t="n">
        <f aca="false">IF(G$4=1,Inputs!$E$50,0)</f>
        <v>0</v>
      </c>
      <c r="H68" s="69" t="n">
        <f aca="false">IF(H$4=1,Inputs!$E$50,0)</f>
        <v>0</v>
      </c>
      <c r="I68" s="69" t="n">
        <f aca="false">IF(I$4=1,Inputs!$E$50,0)</f>
        <v>0</v>
      </c>
      <c r="J68" s="69" t="n">
        <f aca="false">IF(J$4=1,Inputs!$E$50,0)</f>
        <v>0</v>
      </c>
      <c r="K68" s="69" t="n">
        <f aca="false">IF(K$4=1,Inputs!$E$50,0)</f>
        <v>0</v>
      </c>
      <c r="L68" s="69" t="n">
        <f aca="false">IF(L$4=1,Inputs!$E$50,0)</f>
        <v>0</v>
      </c>
      <c r="M68" s="69" t="n">
        <f aca="false">IF(M$4=1,Inputs!$E$50,0)</f>
        <v>0</v>
      </c>
      <c r="N68" s="69" t="n">
        <f aca="false">IF(N$4=1,Inputs!$E$50,0)</f>
        <v>0</v>
      </c>
      <c r="O68" s="69" t="n">
        <f aca="false">IF(O$4=1,Inputs!$E$50,0)</f>
        <v>0</v>
      </c>
      <c r="P68" s="69" t="n">
        <f aca="false">IF(P$4=1,Inputs!$E$50,0)</f>
        <v>0</v>
      </c>
      <c r="Q68" s="69" t="n">
        <f aca="false">IF(Q$4=1,Inputs!$E$50,0)</f>
        <v>0</v>
      </c>
      <c r="R68" s="69" t="n">
        <f aca="false">IF(R$4=1,Inputs!$E$50,0)</f>
        <v>0</v>
      </c>
      <c r="S68" s="69" t="n">
        <f aca="false">IF(S$4=1,Inputs!$E$50,0)</f>
        <v>0</v>
      </c>
      <c r="T68" s="69" t="n">
        <f aca="false">IF(T$4=1,Inputs!$E$50,0)</f>
        <v>0</v>
      </c>
      <c r="U68" s="69" t="n">
        <f aca="false">IF(U$4=1,Inputs!$E$50,0)</f>
        <v>0</v>
      </c>
      <c r="V68" s="69" t="n">
        <f aca="false">IF(V$4=1,Inputs!$E$50,0)</f>
        <v>0</v>
      </c>
      <c r="W68" s="69" t="n">
        <f aca="false">IF(W$4=1,Inputs!$E$50,0)</f>
        <v>0</v>
      </c>
      <c r="X68" s="69" t="n">
        <f aca="false">IF(X$4=1,Inputs!$E$50,0)</f>
        <v>0</v>
      </c>
      <c r="Y68" s="69" t="n">
        <f aca="false">IF(Y$4=1,Inputs!$E$50,0)</f>
        <v>0</v>
      </c>
      <c r="Z68" s="69" t="n">
        <f aca="false">IF(Z$4=1,Inputs!$E$50,0)</f>
        <v>0</v>
      </c>
      <c r="AA68" s="69" t="n">
        <f aca="false">IF(AA$4=1,Inputs!$E$50,0)</f>
        <v>0</v>
      </c>
      <c r="AB68" s="69" t="n">
        <f aca="false">IF(AB$4=1,Inputs!$E$50,0)</f>
        <v>0</v>
      </c>
      <c r="AC68" s="69" t="n">
        <f aca="false">IF(AC$4=1,Inputs!$E$50,0)</f>
        <v>0</v>
      </c>
      <c r="AD68" s="69" t="n">
        <f aca="false">IF(AD$4=1,Inputs!$E$50,0)</f>
        <v>0</v>
      </c>
      <c r="AE68" s="69" t="n">
        <f aca="false">IF(AE$4=1,Inputs!$E$50,0)</f>
        <v>0</v>
      </c>
      <c r="AF68" s="69" t="n">
        <f aca="false">IF(AF$4=1,Inputs!$E$50,0)</f>
        <v>0</v>
      </c>
      <c r="AG68" s="69" t="n">
        <f aca="false">IF(AG$4=1,Inputs!$E$50,0)</f>
        <v>0</v>
      </c>
      <c r="AH68" s="69" t="n">
        <f aca="false">IF(AH$4=1,Inputs!$E$50,0)</f>
        <v>0</v>
      </c>
      <c r="AI68" s="69" t="n">
        <f aca="false">IF(AI$4=1,Inputs!$E$50,0)</f>
        <v>0</v>
      </c>
      <c r="AJ68" s="69" t="n">
        <f aca="false">IF(AJ$4=1,Inputs!$E$50,0)</f>
        <v>0</v>
      </c>
      <c r="AK68" s="69" t="n">
        <f aca="false">IF(AK$4=1,Inputs!$E$50,0)</f>
        <v>0</v>
      </c>
      <c r="AL68" s="69" t="n">
        <f aca="false">IF(AL$4=1,Inputs!$E$50,0)</f>
        <v>0</v>
      </c>
      <c r="AM68" s="69" t="n">
        <f aca="false">IF(AM$4=1,Inputs!$E$50,0)</f>
        <v>0</v>
      </c>
      <c r="AN68" s="69" t="n">
        <f aca="false">IF(AN$4=1,Inputs!$E$50,0)</f>
        <v>0</v>
      </c>
      <c r="AO68" s="69" t="n">
        <f aca="false">IF(AO$4=1,Inputs!$E$50,0)</f>
        <v>0</v>
      </c>
      <c r="AP68" s="69" t="n">
        <f aca="false">IF(AP$4=1,Inputs!$E$50,0)</f>
        <v>0</v>
      </c>
      <c r="AQ68" s="69" t="n">
        <f aca="false">IF(AQ$4=1,Inputs!$E$50,0)</f>
        <v>0</v>
      </c>
      <c r="AR68" s="69" t="n">
        <f aca="false">IF(AR$4=1,Inputs!$E$50,0)</f>
        <v>0</v>
      </c>
      <c r="AS68" s="69" t="n">
        <f aca="false">IF(AS$4=1,Inputs!$E$50,0)</f>
        <v>0</v>
      </c>
      <c r="AT68" s="69" t="n">
        <f aca="false">IF(AT$4=1,Inputs!$E$50,0)</f>
        <v>0</v>
      </c>
      <c r="AU68" s="69" t="n">
        <f aca="false">IF(AU$4=1,Inputs!$E$50,0)</f>
        <v>0</v>
      </c>
      <c r="AV68" s="69" t="n">
        <f aca="false">IF(AV$4=1,Inputs!$E$50,0)</f>
        <v>0</v>
      </c>
      <c r="AW68" s="69" t="n">
        <f aca="false">IF(AW$4=1,Inputs!$E$50,0)</f>
        <v>0</v>
      </c>
      <c r="AX68" s="69" t="n">
        <f aca="false">IF(AX$4=1,Inputs!$E$50,0)</f>
        <v>0</v>
      </c>
      <c r="AY68" s="69" t="n">
        <f aca="false">IF(AY$4=1,Inputs!$E$50,0)</f>
        <v>0</v>
      </c>
      <c r="AZ68" s="69" t="n">
        <f aca="false">IF(AZ$4=1,Inputs!$E$50,0)</f>
        <v>0</v>
      </c>
      <c r="BA68" s="69" t="n">
        <f aca="false">IF(BA$4=1,Inputs!$E$50,0)</f>
        <v>0</v>
      </c>
      <c r="BB68" s="69" t="n">
        <f aca="false">IF(BB$4=1,Inputs!$E$50,0)</f>
        <v>0</v>
      </c>
      <c r="BC68" s="69" t="n">
        <f aca="false">IF(BC$4=1,Inputs!$E$50,0)</f>
        <v>0</v>
      </c>
      <c r="BD68" s="69" t="n">
        <f aca="false">IF(BD$4=1,Inputs!$E$50,0)</f>
        <v>0</v>
      </c>
      <c r="BE68" s="69" t="n">
        <f aca="false">IF(BE$4=1,Inputs!$E$50,0)</f>
        <v>0</v>
      </c>
      <c r="BF68" s="69" t="n">
        <f aca="false">IF(BF$4=1,Inputs!$E$50,0)</f>
        <v>0</v>
      </c>
      <c r="BG68" s="69" t="n">
        <f aca="false">IF(BG$4=1,Inputs!$E$50,0)</f>
        <v>0</v>
      </c>
      <c r="BH68" s="69" t="n">
        <f aca="false">IF(BH$4=1,Inputs!$E$50,0)</f>
        <v>0</v>
      </c>
      <c r="BI68" s="69" t="n">
        <f aca="false">IF(BI$4=1,Inputs!$E$50,0)</f>
        <v>0</v>
      </c>
      <c r="BJ68" s="69" t="n">
        <f aca="false">IF(BJ$4=1,Inputs!$E$50,0)</f>
        <v>0</v>
      </c>
    </row>
    <row r="69" customFormat="false" ht="15" hidden="false" customHeight="false" outlineLevel="0" collapsed="false">
      <c r="A69" s="6" t="s">
        <v>448</v>
      </c>
      <c r="C69" s="69" t="n">
        <f aca="false">IF(C$4=1,Inputs!$E$51,0)</f>
        <v>150000</v>
      </c>
      <c r="D69" s="69" t="n">
        <f aca="false">IF(D$4=1,Inputs!$E$51,0)</f>
        <v>0</v>
      </c>
      <c r="E69" s="69" t="n">
        <f aca="false">IF(E$4=1,Inputs!$E$51,0)</f>
        <v>0</v>
      </c>
      <c r="F69" s="69" t="n">
        <f aca="false">IF(F$4=1,Inputs!$E$51,0)</f>
        <v>0</v>
      </c>
      <c r="G69" s="69" t="n">
        <f aca="false">IF(G$4=1,Inputs!$E$51,0)</f>
        <v>0</v>
      </c>
      <c r="H69" s="69" t="n">
        <f aca="false">IF(H$4=1,Inputs!$E$51,0)</f>
        <v>0</v>
      </c>
      <c r="I69" s="69" t="n">
        <f aca="false">IF(I$4=1,Inputs!$E$51,0)</f>
        <v>0</v>
      </c>
      <c r="J69" s="69" t="n">
        <f aca="false">IF(J$4=1,Inputs!$E$51,0)</f>
        <v>0</v>
      </c>
      <c r="K69" s="69" t="n">
        <f aca="false">IF(K$4=1,Inputs!$E$51,0)</f>
        <v>0</v>
      </c>
      <c r="L69" s="69" t="n">
        <f aca="false">IF(L$4=1,Inputs!$E$51,0)</f>
        <v>0</v>
      </c>
      <c r="M69" s="69" t="n">
        <f aca="false">IF(M$4=1,Inputs!$E$51,0)</f>
        <v>0</v>
      </c>
      <c r="N69" s="69" t="n">
        <f aca="false">IF(N$4=1,Inputs!$E$51,0)</f>
        <v>0</v>
      </c>
      <c r="O69" s="69" t="n">
        <f aca="false">IF(O$4=1,Inputs!$E$51,0)</f>
        <v>0</v>
      </c>
      <c r="P69" s="69" t="n">
        <f aca="false">IF(P$4=1,Inputs!$E$51,0)</f>
        <v>0</v>
      </c>
      <c r="Q69" s="69" t="n">
        <f aca="false">IF(Q$4=1,Inputs!$E$51,0)</f>
        <v>0</v>
      </c>
      <c r="R69" s="69" t="n">
        <f aca="false">IF(R$4=1,Inputs!$E$51,0)</f>
        <v>0</v>
      </c>
      <c r="S69" s="69" t="n">
        <f aca="false">IF(S$4=1,Inputs!$E$51,0)</f>
        <v>0</v>
      </c>
      <c r="T69" s="69" t="n">
        <f aca="false">IF(T$4=1,Inputs!$E$51,0)</f>
        <v>0</v>
      </c>
      <c r="U69" s="69" t="n">
        <f aca="false">IF(U$4=1,Inputs!$E$51,0)</f>
        <v>0</v>
      </c>
      <c r="V69" s="69" t="n">
        <f aca="false">IF(V$4=1,Inputs!$E$51,0)</f>
        <v>0</v>
      </c>
      <c r="W69" s="69" t="n">
        <f aca="false">IF(W$4=1,Inputs!$E$51,0)</f>
        <v>0</v>
      </c>
      <c r="X69" s="69" t="n">
        <f aca="false">IF(X$4=1,Inputs!$E$51,0)</f>
        <v>0</v>
      </c>
      <c r="Y69" s="69" t="n">
        <f aca="false">IF(Y$4=1,Inputs!$E$51,0)</f>
        <v>0</v>
      </c>
      <c r="Z69" s="69" t="n">
        <f aca="false">IF(Z$4=1,Inputs!$E$51,0)</f>
        <v>0</v>
      </c>
      <c r="AA69" s="69" t="n">
        <f aca="false">IF(AA$4=1,Inputs!$E$51,0)</f>
        <v>0</v>
      </c>
      <c r="AB69" s="69" t="n">
        <f aca="false">IF(AB$4=1,Inputs!$E$51,0)</f>
        <v>0</v>
      </c>
      <c r="AC69" s="69" t="n">
        <f aca="false">IF(AC$4=1,Inputs!$E$51,0)</f>
        <v>0</v>
      </c>
      <c r="AD69" s="69" t="n">
        <f aca="false">IF(AD$4=1,Inputs!$E$51,0)</f>
        <v>0</v>
      </c>
      <c r="AE69" s="69" t="n">
        <f aca="false">IF(AE$4=1,Inputs!$E$51,0)</f>
        <v>0</v>
      </c>
      <c r="AF69" s="69" t="n">
        <f aca="false">IF(AF$4=1,Inputs!$E$51,0)</f>
        <v>0</v>
      </c>
      <c r="AG69" s="69" t="n">
        <f aca="false">IF(AG$4=1,Inputs!$E$51,0)</f>
        <v>0</v>
      </c>
      <c r="AH69" s="69" t="n">
        <f aca="false">IF(AH$4=1,Inputs!$E$51,0)</f>
        <v>0</v>
      </c>
      <c r="AI69" s="69" t="n">
        <f aca="false">IF(AI$4=1,Inputs!$E$51,0)</f>
        <v>0</v>
      </c>
      <c r="AJ69" s="69" t="n">
        <f aca="false">IF(AJ$4=1,Inputs!$E$51,0)</f>
        <v>0</v>
      </c>
      <c r="AK69" s="69" t="n">
        <f aca="false">IF(AK$4=1,Inputs!$E$51,0)</f>
        <v>0</v>
      </c>
      <c r="AL69" s="69" t="n">
        <f aca="false">IF(AL$4=1,Inputs!$E$51,0)</f>
        <v>0</v>
      </c>
      <c r="AM69" s="69" t="n">
        <f aca="false">IF(AM$4=1,Inputs!$E$51,0)</f>
        <v>0</v>
      </c>
      <c r="AN69" s="69" t="n">
        <f aca="false">IF(AN$4=1,Inputs!$E$51,0)</f>
        <v>0</v>
      </c>
      <c r="AO69" s="69" t="n">
        <f aca="false">IF(AO$4=1,Inputs!$E$51,0)</f>
        <v>0</v>
      </c>
      <c r="AP69" s="69" t="n">
        <f aca="false">IF(AP$4=1,Inputs!$E$51,0)</f>
        <v>0</v>
      </c>
      <c r="AQ69" s="69" t="n">
        <f aca="false">IF(AQ$4=1,Inputs!$E$51,0)</f>
        <v>0</v>
      </c>
      <c r="AR69" s="69" t="n">
        <f aca="false">IF(AR$4=1,Inputs!$E$51,0)</f>
        <v>0</v>
      </c>
      <c r="AS69" s="69" t="n">
        <f aca="false">IF(AS$4=1,Inputs!$E$51,0)</f>
        <v>0</v>
      </c>
      <c r="AT69" s="69" t="n">
        <f aca="false">IF(AT$4=1,Inputs!$E$51,0)</f>
        <v>0</v>
      </c>
      <c r="AU69" s="69" t="n">
        <f aca="false">IF(AU$4=1,Inputs!$E$51,0)</f>
        <v>0</v>
      </c>
      <c r="AV69" s="69" t="n">
        <f aca="false">IF(AV$4=1,Inputs!$E$51,0)</f>
        <v>0</v>
      </c>
      <c r="AW69" s="69" t="n">
        <f aca="false">IF(AW$4=1,Inputs!$E$51,0)</f>
        <v>0</v>
      </c>
      <c r="AX69" s="69" t="n">
        <f aca="false">IF(AX$4=1,Inputs!$E$51,0)</f>
        <v>0</v>
      </c>
      <c r="AY69" s="69" t="n">
        <f aca="false">IF(AY$4=1,Inputs!$E$51,0)</f>
        <v>0</v>
      </c>
      <c r="AZ69" s="69" t="n">
        <f aca="false">IF(AZ$4=1,Inputs!$E$51,0)</f>
        <v>0</v>
      </c>
      <c r="BA69" s="69" t="n">
        <f aca="false">IF(BA$4=1,Inputs!$E$51,0)</f>
        <v>0</v>
      </c>
      <c r="BB69" s="69" t="n">
        <f aca="false">IF(BB$4=1,Inputs!$E$51,0)</f>
        <v>0</v>
      </c>
      <c r="BC69" s="69" t="n">
        <f aca="false">IF(BC$4=1,Inputs!$E$51,0)</f>
        <v>0</v>
      </c>
      <c r="BD69" s="69" t="n">
        <f aca="false">IF(BD$4=1,Inputs!$E$51,0)</f>
        <v>0</v>
      </c>
      <c r="BE69" s="69" t="n">
        <f aca="false">IF(BE$4=1,Inputs!$E$51,0)</f>
        <v>0</v>
      </c>
      <c r="BF69" s="69" t="n">
        <f aca="false">IF(BF$4=1,Inputs!$E$51,0)</f>
        <v>0</v>
      </c>
      <c r="BG69" s="69" t="n">
        <f aca="false">IF(BG$4=1,Inputs!$E$51,0)</f>
        <v>0</v>
      </c>
      <c r="BH69" s="69" t="n">
        <f aca="false">IF(BH$4=1,Inputs!$E$51,0)</f>
        <v>0</v>
      </c>
      <c r="BI69" s="69" t="n">
        <f aca="false">IF(BI$4=1,Inputs!$E$51,0)</f>
        <v>0</v>
      </c>
      <c r="BJ69" s="69" t="n">
        <f aca="false">IF(BJ$4=1,Inputs!$E$51,0)</f>
        <v>0</v>
      </c>
    </row>
    <row r="70" customFormat="false" ht="15" hidden="false" customHeight="false" outlineLevel="0" collapsed="false">
      <c r="A70" s="6" t="s">
        <v>449</v>
      </c>
      <c r="C70" s="69" t="n">
        <f aca="false">IF(AND(C$5&gt;1,MOD(C$4-1,12)=0),Inputs!$E$52,0)</f>
        <v>0</v>
      </c>
      <c r="D70" s="69" t="n">
        <f aca="false">IF(AND(D$5&gt;1,MOD(D$4-1,12)=0),Inputs!$E$52,0)</f>
        <v>0</v>
      </c>
      <c r="E70" s="69" t="n">
        <f aca="false">IF(AND(E$5&gt;1,MOD(E$4-1,12)=0),Inputs!$E$52,0)</f>
        <v>0</v>
      </c>
      <c r="F70" s="69" t="n">
        <f aca="false">IF(AND(F$5&gt;1,MOD(F$4-1,12)=0),Inputs!$E$52,0)</f>
        <v>0</v>
      </c>
      <c r="G70" s="69" t="n">
        <f aca="false">IF(AND(G$5&gt;1,MOD(G$4-1,12)=0),Inputs!$E$52,0)</f>
        <v>0</v>
      </c>
      <c r="H70" s="69" t="n">
        <f aca="false">IF(AND(H$5&gt;1,MOD(H$4-1,12)=0),Inputs!$E$52,0)</f>
        <v>0</v>
      </c>
      <c r="I70" s="69" t="n">
        <f aca="false">IF(AND(I$5&gt;1,MOD(I$4-1,12)=0),Inputs!$E$52,0)</f>
        <v>0</v>
      </c>
      <c r="J70" s="69" t="n">
        <f aca="false">IF(AND(J$5&gt;1,MOD(J$4-1,12)=0),Inputs!$E$52,0)</f>
        <v>0</v>
      </c>
      <c r="K70" s="69" t="n">
        <f aca="false">IF(AND(K$5&gt;1,MOD(K$4-1,12)=0),Inputs!$E$52,0)</f>
        <v>0</v>
      </c>
      <c r="L70" s="69" t="n">
        <f aca="false">IF(AND(L$5&gt;1,MOD(L$4-1,12)=0),Inputs!$E$52,0)</f>
        <v>0</v>
      </c>
      <c r="M70" s="69" t="n">
        <f aca="false">IF(AND(M$5&gt;1,MOD(M$4-1,12)=0),Inputs!$E$52,0)</f>
        <v>0</v>
      </c>
      <c r="N70" s="69" t="n">
        <f aca="false">IF(AND(N$5&gt;1,MOD(N$4-1,12)=0),Inputs!$E$52,0)</f>
        <v>0</v>
      </c>
      <c r="O70" s="69" t="n">
        <f aca="false">IF(AND(O$5&gt;1,MOD(O$4-1,12)=0),Inputs!$E$52,0)</f>
        <v>40000</v>
      </c>
      <c r="P70" s="69" t="n">
        <f aca="false">IF(AND(P$5&gt;1,MOD(P$4-1,12)=0),Inputs!$E$52,0)</f>
        <v>0</v>
      </c>
      <c r="Q70" s="69" t="n">
        <f aca="false">IF(AND(Q$5&gt;1,MOD(Q$4-1,12)=0),Inputs!$E$52,0)</f>
        <v>0</v>
      </c>
      <c r="R70" s="69" t="n">
        <f aca="false">IF(AND(R$5&gt;1,MOD(R$4-1,12)=0),Inputs!$E$52,0)</f>
        <v>0</v>
      </c>
      <c r="S70" s="69" t="n">
        <f aca="false">IF(AND(S$5&gt;1,MOD(S$4-1,12)=0),Inputs!$E$52,0)</f>
        <v>0</v>
      </c>
      <c r="T70" s="69" t="n">
        <f aca="false">IF(AND(T$5&gt;1,MOD(T$4-1,12)=0),Inputs!$E$52,0)</f>
        <v>0</v>
      </c>
      <c r="U70" s="69" t="n">
        <f aca="false">IF(AND(U$5&gt;1,MOD(U$4-1,12)=0),Inputs!$E$52,0)</f>
        <v>0</v>
      </c>
      <c r="V70" s="69" t="n">
        <f aca="false">IF(AND(V$5&gt;1,MOD(V$4-1,12)=0),Inputs!$E$52,0)</f>
        <v>0</v>
      </c>
      <c r="W70" s="69" t="n">
        <f aca="false">IF(AND(W$5&gt;1,MOD(W$4-1,12)=0),Inputs!$E$52,0)</f>
        <v>0</v>
      </c>
      <c r="X70" s="69" t="n">
        <f aca="false">IF(AND(X$5&gt;1,MOD(X$4-1,12)=0),Inputs!$E$52,0)</f>
        <v>0</v>
      </c>
      <c r="Y70" s="69" t="n">
        <f aca="false">IF(AND(Y$5&gt;1,MOD(Y$4-1,12)=0),Inputs!$E$52,0)</f>
        <v>0</v>
      </c>
      <c r="Z70" s="69" t="n">
        <f aca="false">IF(AND(Z$5&gt;1,MOD(Z$4-1,12)=0),Inputs!$E$52,0)</f>
        <v>0</v>
      </c>
      <c r="AA70" s="69" t="n">
        <f aca="false">IF(AND(AA$5&gt;1,MOD(AA$4-1,12)=0),Inputs!$E$52,0)</f>
        <v>40000</v>
      </c>
      <c r="AB70" s="69" t="n">
        <f aca="false">IF(AND(AB$5&gt;1,MOD(AB$4-1,12)=0),Inputs!$E$52,0)</f>
        <v>0</v>
      </c>
      <c r="AC70" s="69" t="n">
        <f aca="false">IF(AND(AC$5&gt;1,MOD(AC$4-1,12)=0),Inputs!$E$52,0)</f>
        <v>0</v>
      </c>
      <c r="AD70" s="69" t="n">
        <f aca="false">IF(AND(AD$5&gt;1,MOD(AD$4-1,12)=0),Inputs!$E$52,0)</f>
        <v>0</v>
      </c>
      <c r="AE70" s="69" t="n">
        <f aca="false">IF(AND(AE$5&gt;1,MOD(AE$4-1,12)=0),Inputs!$E$52,0)</f>
        <v>0</v>
      </c>
      <c r="AF70" s="69" t="n">
        <f aca="false">IF(AND(AF$5&gt;1,MOD(AF$4-1,12)=0),Inputs!$E$52,0)</f>
        <v>0</v>
      </c>
      <c r="AG70" s="69" t="n">
        <f aca="false">IF(AND(AG$5&gt;1,MOD(AG$4-1,12)=0),Inputs!$E$52,0)</f>
        <v>0</v>
      </c>
      <c r="AH70" s="69" t="n">
        <f aca="false">IF(AND(AH$5&gt;1,MOD(AH$4-1,12)=0),Inputs!$E$52,0)</f>
        <v>0</v>
      </c>
      <c r="AI70" s="69" t="n">
        <f aca="false">IF(AND(AI$5&gt;1,MOD(AI$4-1,12)=0),Inputs!$E$52,0)</f>
        <v>0</v>
      </c>
      <c r="AJ70" s="69" t="n">
        <f aca="false">IF(AND(AJ$5&gt;1,MOD(AJ$4-1,12)=0),Inputs!$E$52,0)</f>
        <v>0</v>
      </c>
      <c r="AK70" s="69" t="n">
        <f aca="false">IF(AND(AK$5&gt;1,MOD(AK$4-1,12)=0),Inputs!$E$52,0)</f>
        <v>0</v>
      </c>
      <c r="AL70" s="69" t="n">
        <f aca="false">IF(AND(AL$5&gt;1,MOD(AL$4-1,12)=0),Inputs!$E$52,0)</f>
        <v>0</v>
      </c>
      <c r="AM70" s="69" t="n">
        <f aca="false">IF(AND(AM$5&gt;1,MOD(AM$4-1,12)=0),Inputs!$E$52,0)</f>
        <v>40000</v>
      </c>
      <c r="AN70" s="69" t="n">
        <f aca="false">IF(AND(AN$5&gt;1,MOD(AN$4-1,12)=0),Inputs!$E$52,0)</f>
        <v>0</v>
      </c>
      <c r="AO70" s="69" t="n">
        <f aca="false">IF(AND(AO$5&gt;1,MOD(AO$4-1,12)=0),Inputs!$E$52,0)</f>
        <v>0</v>
      </c>
      <c r="AP70" s="69" t="n">
        <f aca="false">IF(AND(AP$5&gt;1,MOD(AP$4-1,12)=0),Inputs!$E$52,0)</f>
        <v>0</v>
      </c>
      <c r="AQ70" s="69" t="n">
        <f aca="false">IF(AND(AQ$5&gt;1,MOD(AQ$4-1,12)=0),Inputs!$E$52,0)</f>
        <v>0</v>
      </c>
      <c r="AR70" s="69" t="n">
        <f aca="false">IF(AND(AR$5&gt;1,MOD(AR$4-1,12)=0),Inputs!$E$52,0)</f>
        <v>0</v>
      </c>
      <c r="AS70" s="69" t="n">
        <f aca="false">IF(AND(AS$5&gt;1,MOD(AS$4-1,12)=0),Inputs!$E$52,0)</f>
        <v>0</v>
      </c>
      <c r="AT70" s="69" t="n">
        <f aca="false">IF(AND(AT$5&gt;1,MOD(AT$4-1,12)=0),Inputs!$E$52,0)</f>
        <v>0</v>
      </c>
      <c r="AU70" s="69" t="n">
        <f aca="false">IF(AND(AU$5&gt;1,MOD(AU$4-1,12)=0),Inputs!$E$52,0)</f>
        <v>0</v>
      </c>
      <c r="AV70" s="69" t="n">
        <f aca="false">IF(AND(AV$5&gt;1,MOD(AV$4-1,12)=0),Inputs!$E$52,0)</f>
        <v>0</v>
      </c>
      <c r="AW70" s="69" t="n">
        <f aca="false">IF(AND(AW$5&gt;1,MOD(AW$4-1,12)=0),Inputs!$E$52,0)</f>
        <v>0</v>
      </c>
      <c r="AX70" s="69" t="n">
        <f aca="false">IF(AND(AX$5&gt;1,MOD(AX$4-1,12)=0),Inputs!$E$52,0)</f>
        <v>0</v>
      </c>
      <c r="AY70" s="69" t="n">
        <f aca="false">IF(AND(AY$5&gt;1,MOD(AY$4-1,12)=0),Inputs!$E$52,0)</f>
        <v>40000</v>
      </c>
      <c r="AZ70" s="69" t="n">
        <f aca="false">IF(AND(AZ$5&gt;1,MOD(AZ$4-1,12)=0),Inputs!$E$52,0)</f>
        <v>0</v>
      </c>
      <c r="BA70" s="69" t="n">
        <f aca="false">IF(AND(BA$5&gt;1,MOD(BA$4-1,12)=0),Inputs!$E$52,0)</f>
        <v>0</v>
      </c>
      <c r="BB70" s="69" t="n">
        <f aca="false">IF(AND(BB$5&gt;1,MOD(BB$4-1,12)=0),Inputs!$E$52,0)</f>
        <v>0</v>
      </c>
      <c r="BC70" s="69" t="n">
        <f aca="false">IF(AND(BC$5&gt;1,MOD(BC$4-1,12)=0),Inputs!$E$52,0)</f>
        <v>0</v>
      </c>
      <c r="BD70" s="69" t="n">
        <f aca="false">IF(AND(BD$5&gt;1,MOD(BD$4-1,12)=0),Inputs!$E$52,0)</f>
        <v>0</v>
      </c>
      <c r="BE70" s="69" t="n">
        <f aca="false">IF(AND(BE$5&gt;1,MOD(BE$4-1,12)=0),Inputs!$E$52,0)</f>
        <v>0</v>
      </c>
      <c r="BF70" s="69" t="n">
        <f aca="false">IF(AND(BF$5&gt;1,MOD(BF$4-1,12)=0),Inputs!$E$52,0)</f>
        <v>0</v>
      </c>
      <c r="BG70" s="69" t="n">
        <f aca="false">IF(AND(BG$5&gt;1,MOD(BG$4-1,12)=0),Inputs!$E$52,0)</f>
        <v>0</v>
      </c>
      <c r="BH70" s="69" t="n">
        <f aca="false">IF(AND(BH$5&gt;1,MOD(BH$4-1,12)=0),Inputs!$E$52,0)</f>
        <v>0</v>
      </c>
      <c r="BI70" s="69" t="n">
        <f aca="false">IF(AND(BI$5&gt;1,MOD(BI$4-1,12)=0),Inputs!$E$52,0)</f>
        <v>0</v>
      </c>
      <c r="BJ70" s="69" t="n">
        <f aca="false">IF(AND(BJ$5&gt;1,MOD(BJ$4-1,12)=0),Inputs!$E$52,0)</f>
        <v>0</v>
      </c>
    </row>
    <row r="71" customFormat="false" ht="15" hidden="false" customHeight="false" outlineLevel="0" collapsed="false">
      <c r="A71" s="4" t="s">
        <v>84</v>
      </c>
      <c r="C71" s="75" t="n">
        <f aca="false">C67+C68+C69+C70</f>
        <v>4100000</v>
      </c>
      <c r="D71" s="75" t="n">
        <f aca="false">D67+D68+D69+D70</f>
        <v>0</v>
      </c>
      <c r="E71" s="75" t="n">
        <f aca="false">E67+E68+E69+E70</f>
        <v>0</v>
      </c>
      <c r="F71" s="75" t="n">
        <f aca="false">F67+F68+F69+F70</f>
        <v>0</v>
      </c>
      <c r="G71" s="75" t="n">
        <f aca="false">G67+G68+G69+G70</f>
        <v>0</v>
      </c>
      <c r="H71" s="75" t="n">
        <f aca="false">H67+H68+H69+H70</f>
        <v>0</v>
      </c>
      <c r="I71" s="75" t="n">
        <f aca="false">I67+I68+I69+I70</f>
        <v>0</v>
      </c>
      <c r="J71" s="75" t="n">
        <f aca="false">J67+J68+J69+J70</f>
        <v>0</v>
      </c>
      <c r="K71" s="75" t="n">
        <f aca="false">K67+K68+K69+K70</f>
        <v>0</v>
      </c>
      <c r="L71" s="75" t="n">
        <f aca="false">L67+L68+L69+L70</f>
        <v>0</v>
      </c>
      <c r="M71" s="75" t="n">
        <f aca="false">M67+M68+M69+M70</f>
        <v>0</v>
      </c>
      <c r="N71" s="75" t="n">
        <f aca="false">N67+N68+N69+N70</f>
        <v>0</v>
      </c>
      <c r="O71" s="75" t="n">
        <f aca="false">O67+O68+O69+O70</f>
        <v>40000</v>
      </c>
      <c r="P71" s="75" t="n">
        <f aca="false">P67+P68+P69+P70</f>
        <v>0</v>
      </c>
      <c r="Q71" s="75" t="n">
        <f aca="false">Q67+Q68+Q69+Q70</f>
        <v>0</v>
      </c>
      <c r="R71" s="75" t="n">
        <f aca="false">R67+R68+R69+R70</f>
        <v>0</v>
      </c>
      <c r="S71" s="75" t="n">
        <f aca="false">S67+S68+S69+S70</f>
        <v>0</v>
      </c>
      <c r="T71" s="75" t="n">
        <f aca="false">T67+T68+T69+T70</f>
        <v>0</v>
      </c>
      <c r="U71" s="75" t="n">
        <f aca="false">U67+U68+U69+U70</f>
        <v>0</v>
      </c>
      <c r="V71" s="75" t="n">
        <f aca="false">V67+V68+V69+V70</f>
        <v>0</v>
      </c>
      <c r="W71" s="75" t="n">
        <f aca="false">W67+W68+W69+W70</f>
        <v>0</v>
      </c>
      <c r="X71" s="75" t="n">
        <f aca="false">X67+X68+X69+X70</f>
        <v>0</v>
      </c>
      <c r="Y71" s="75" t="n">
        <f aca="false">Y67+Y68+Y69+Y70</f>
        <v>0</v>
      </c>
      <c r="Z71" s="75" t="n">
        <f aca="false">Z67+Z68+Z69+Z70</f>
        <v>0</v>
      </c>
      <c r="AA71" s="75" t="n">
        <f aca="false">AA67+AA68+AA69+AA70</f>
        <v>40000</v>
      </c>
      <c r="AB71" s="75" t="n">
        <f aca="false">AB67+AB68+AB69+AB70</f>
        <v>0</v>
      </c>
      <c r="AC71" s="75" t="n">
        <f aca="false">AC67+AC68+AC69+AC70</f>
        <v>0</v>
      </c>
      <c r="AD71" s="75" t="n">
        <f aca="false">AD67+AD68+AD69+AD70</f>
        <v>0</v>
      </c>
      <c r="AE71" s="75" t="n">
        <f aca="false">AE67+AE68+AE69+AE70</f>
        <v>0</v>
      </c>
      <c r="AF71" s="75" t="n">
        <f aca="false">AF67+AF68+AF69+AF70</f>
        <v>0</v>
      </c>
      <c r="AG71" s="75" t="n">
        <f aca="false">AG67+AG68+AG69+AG70</f>
        <v>0</v>
      </c>
      <c r="AH71" s="75" t="n">
        <f aca="false">AH67+AH68+AH69+AH70</f>
        <v>0</v>
      </c>
      <c r="AI71" s="75" t="n">
        <f aca="false">AI67+AI68+AI69+AI70</f>
        <v>0</v>
      </c>
      <c r="AJ71" s="75" t="n">
        <f aca="false">AJ67+AJ68+AJ69+AJ70</f>
        <v>0</v>
      </c>
      <c r="AK71" s="75" t="n">
        <f aca="false">AK67+AK68+AK69+AK70</f>
        <v>0</v>
      </c>
      <c r="AL71" s="75" t="n">
        <f aca="false">AL67+AL68+AL69+AL70</f>
        <v>0</v>
      </c>
      <c r="AM71" s="75" t="n">
        <f aca="false">AM67+AM68+AM69+AM70</f>
        <v>40000</v>
      </c>
      <c r="AN71" s="75" t="n">
        <f aca="false">AN67+AN68+AN69+AN70</f>
        <v>0</v>
      </c>
      <c r="AO71" s="75" t="n">
        <f aca="false">AO67+AO68+AO69+AO70</f>
        <v>0</v>
      </c>
      <c r="AP71" s="75" t="n">
        <f aca="false">AP67+AP68+AP69+AP70</f>
        <v>0</v>
      </c>
      <c r="AQ71" s="75" t="n">
        <f aca="false">AQ67+AQ68+AQ69+AQ70</f>
        <v>0</v>
      </c>
      <c r="AR71" s="75" t="n">
        <f aca="false">AR67+AR68+AR69+AR70</f>
        <v>0</v>
      </c>
      <c r="AS71" s="75" t="n">
        <f aca="false">AS67+AS68+AS69+AS70</f>
        <v>0</v>
      </c>
      <c r="AT71" s="75" t="n">
        <f aca="false">AT67+AT68+AT69+AT70</f>
        <v>0</v>
      </c>
      <c r="AU71" s="75" t="n">
        <f aca="false">AU67+AU68+AU69+AU70</f>
        <v>0</v>
      </c>
      <c r="AV71" s="75" t="n">
        <f aca="false">AV67+AV68+AV69+AV70</f>
        <v>0</v>
      </c>
      <c r="AW71" s="75" t="n">
        <f aca="false">AW67+AW68+AW69+AW70</f>
        <v>0</v>
      </c>
      <c r="AX71" s="75" t="n">
        <f aca="false">AX67+AX68+AX69+AX70</f>
        <v>0</v>
      </c>
      <c r="AY71" s="75" t="n">
        <f aca="false">AY67+AY68+AY69+AY70</f>
        <v>40000</v>
      </c>
      <c r="AZ71" s="75" t="n">
        <f aca="false">AZ67+AZ68+AZ69+AZ70</f>
        <v>0</v>
      </c>
      <c r="BA71" s="75" t="n">
        <f aca="false">BA67+BA68+BA69+BA70</f>
        <v>0</v>
      </c>
      <c r="BB71" s="75" t="n">
        <f aca="false">BB67+BB68+BB69+BB70</f>
        <v>0</v>
      </c>
      <c r="BC71" s="75" t="n">
        <f aca="false">BC67+BC68+BC69+BC70</f>
        <v>0</v>
      </c>
      <c r="BD71" s="75" t="n">
        <f aca="false">BD67+BD68+BD69+BD70</f>
        <v>0</v>
      </c>
      <c r="BE71" s="75" t="n">
        <f aca="false">BE67+BE68+BE69+BE70</f>
        <v>0</v>
      </c>
      <c r="BF71" s="75" t="n">
        <f aca="false">BF67+BF68+BF69+BF70</f>
        <v>0</v>
      </c>
      <c r="BG71" s="75" t="n">
        <f aca="false">BG67+BG68+BG69+BG70</f>
        <v>0</v>
      </c>
      <c r="BH71" s="75" t="n">
        <f aca="false">BH67+BH68+BH69+BH70</f>
        <v>0</v>
      </c>
      <c r="BI71" s="75" t="n">
        <f aca="false">BI67+BI68+BI69+BI70</f>
        <v>0</v>
      </c>
      <c r="BJ71" s="75" t="n">
        <f aca="false">BJ67+BJ68+BJ69+BJ70</f>
        <v>0</v>
      </c>
    </row>
    <row r="72" customFormat="false" ht="15" hidden="false" customHeight="false" outlineLevel="0" collapsed="false">
      <c r="A72" s="6" t="s">
        <v>450</v>
      </c>
      <c r="C72" s="69" t="n">
        <f aca="false">C71</f>
        <v>4100000</v>
      </c>
      <c r="D72" s="69" t="n">
        <f aca="false">C72+D71</f>
        <v>4100000</v>
      </c>
      <c r="E72" s="69" t="n">
        <f aca="false">D72+E71</f>
        <v>4100000</v>
      </c>
      <c r="F72" s="69" t="n">
        <f aca="false">E72+F71</f>
        <v>4100000</v>
      </c>
      <c r="G72" s="69" t="n">
        <f aca="false">F72+G71</f>
        <v>4100000</v>
      </c>
      <c r="H72" s="69" t="n">
        <f aca="false">G72+H71</f>
        <v>4100000</v>
      </c>
      <c r="I72" s="69" t="n">
        <f aca="false">H72+I71</f>
        <v>4100000</v>
      </c>
      <c r="J72" s="69" t="n">
        <f aca="false">I72+J71</f>
        <v>4100000</v>
      </c>
      <c r="K72" s="69" t="n">
        <f aca="false">J72+K71</f>
        <v>4100000</v>
      </c>
      <c r="L72" s="69" t="n">
        <f aca="false">K72+L71</f>
        <v>4100000</v>
      </c>
      <c r="M72" s="69" t="n">
        <f aca="false">L72+M71</f>
        <v>4100000</v>
      </c>
      <c r="N72" s="69" t="n">
        <f aca="false">M72+N71</f>
        <v>4100000</v>
      </c>
      <c r="O72" s="69" t="n">
        <f aca="false">N72+O71</f>
        <v>4140000</v>
      </c>
      <c r="P72" s="69" t="n">
        <f aca="false">O72+P71</f>
        <v>4140000</v>
      </c>
      <c r="Q72" s="69" t="n">
        <f aca="false">P72+Q71</f>
        <v>4140000</v>
      </c>
      <c r="R72" s="69" t="n">
        <f aca="false">Q72+R71</f>
        <v>4140000</v>
      </c>
      <c r="S72" s="69" t="n">
        <f aca="false">R72+S71</f>
        <v>4140000</v>
      </c>
      <c r="T72" s="69" t="n">
        <f aca="false">S72+T71</f>
        <v>4140000</v>
      </c>
      <c r="U72" s="69" t="n">
        <f aca="false">T72+U71</f>
        <v>4140000</v>
      </c>
      <c r="V72" s="69" t="n">
        <f aca="false">U72+V71</f>
        <v>4140000</v>
      </c>
      <c r="W72" s="69" t="n">
        <f aca="false">V72+W71</f>
        <v>4140000</v>
      </c>
      <c r="X72" s="69" t="n">
        <f aca="false">W72+X71</f>
        <v>4140000</v>
      </c>
      <c r="Y72" s="69" t="n">
        <f aca="false">X72+Y71</f>
        <v>4140000</v>
      </c>
      <c r="Z72" s="69" t="n">
        <f aca="false">Y72+Z71</f>
        <v>4140000</v>
      </c>
      <c r="AA72" s="69" t="n">
        <f aca="false">Z72+AA71</f>
        <v>4180000</v>
      </c>
      <c r="AB72" s="69" t="n">
        <f aca="false">AA72+AB71</f>
        <v>4180000</v>
      </c>
      <c r="AC72" s="69" t="n">
        <f aca="false">AB72+AC71</f>
        <v>4180000</v>
      </c>
      <c r="AD72" s="69" t="n">
        <f aca="false">AC72+AD71</f>
        <v>4180000</v>
      </c>
      <c r="AE72" s="69" t="n">
        <f aca="false">AD72+AE71</f>
        <v>4180000</v>
      </c>
      <c r="AF72" s="69" t="n">
        <f aca="false">AE72+AF71</f>
        <v>4180000</v>
      </c>
      <c r="AG72" s="69" t="n">
        <f aca="false">AF72+AG71</f>
        <v>4180000</v>
      </c>
      <c r="AH72" s="69" t="n">
        <f aca="false">AG72+AH71</f>
        <v>4180000</v>
      </c>
      <c r="AI72" s="69" t="n">
        <f aca="false">AH72+AI71</f>
        <v>4180000</v>
      </c>
      <c r="AJ72" s="69" t="n">
        <f aca="false">AI72+AJ71</f>
        <v>4180000</v>
      </c>
      <c r="AK72" s="69" t="n">
        <f aca="false">AJ72+AK71</f>
        <v>4180000</v>
      </c>
      <c r="AL72" s="69" t="n">
        <f aca="false">AK72+AL71</f>
        <v>4180000</v>
      </c>
      <c r="AM72" s="69" t="n">
        <f aca="false">AL72+AM71</f>
        <v>4220000</v>
      </c>
      <c r="AN72" s="69" t="n">
        <f aca="false">AM72+AN71</f>
        <v>4220000</v>
      </c>
      <c r="AO72" s="69" t="n">
        <f aca="false">AN72+AO71</f>
        <v>4220000</v>
      </c>
      <c r="AP72" s="69" t="n">
        <f aca="false">AO72+AP71</f>
        <v>4220000</v>
      </c>
      <c r="AQ72" s="69" t="n">
        <f aca="false">AP72+AQ71</f>
        <v>4220000</v>
      </c>
      <c r="AR72" s="69" t="n">
        <f aca="false">AQ72+AR71</f>
        <v>4220000</v>
      </c>
      <c r="AS72" s="69" t="n">
        <f aca="false">AR72+AS71</f>
        <v>4220000</v>
      </c>
      <c r="AT72" s="69" t="n">
        <f aca="false">AS72+AT71</f>
        <v>4220000</v>
      </c>
      <c r="AU72" s="69" t="n">
        <f aca="false">AT72+AU71</f>
        <v>4220000</v>
      </c>
      <c r="AV72" s="69" t="n">
        <f aca="false">AU72+AV71</f>
        <v>4220000</v>
      </c>
      <c r="AW72" s="69" t="n">
        <f aca="false">AV72+AW71</f>
        <v>4220000</v>
      </c>
      <c r="AX72" s="69" t="n">
        <f aca="false">AW72+AX71</f>
        <v>4220000</v>
      </c>
      <c r="AY72" s="69" t="n">
        <f aca="false">AX72+AY71</f>
        <v>4260000</v>
      </c>
      <c r="AZ72" s="69" t="n">
        <f aca="false">AY72+AZ71</f>
        <v>4260000</v>
      </c>
      <c r="BA72" s="69" t="n">
        <f aca="false">AZ72+BA71</f>
        <v>4260000</v>
      </c>
      <c r="BB72" s="69" t="n">
        <f aca="false">BA72+BB71</f>
        <v>4260000</v>
      </c>
      <c r="BC72" s="69" t="n">
        <f aca="false">BB72+BC71</f>
        <v>4260000</v>
      </c>
      <c r="BD72" s="69" t="n">
        <f aca="false">BC72+BD71</f>
        <v>4260000</v>
      </c>
      <c r="BE72" s="69" t="n">
        <f aca="false">BD72+BE71</f>
        <v>4260000</v>
      </c>
      <c r="BF72" s="69" t="n">
        <f aca="false">BE72+BF71</f>
        <v>4260000</v>
      </c>
      <c r="BG72" s="69" t="n">
        <f aca="false">BF72+BG71</f>
        <v>4260000</v>
      </c>
      <c r="BH72" s="69" t="n">
        <f aca="false">BG72+BH71</f>
        <v>4260000</v>
      </c>
      <c r="BI72" s="69" t="n">
        <f aca="false">BH72+BI71</f>
        <v>4260000</v>
      </c>
      <c r="BJ72" s="69" t="n">
        <f aca="false">BI72+BJ71</f>
        <v>4260000</v>
      </c>
    </row>
    <row r="73" customFormat="false" ht="15" hidden="false" customHeight="false" outlineLevel="0" collapsed="false">
      <c r="A73" s="6" t="s">
        <v>78</v>
      </c>
      <c r="C73" s="69" t="n">
        <f aca="false">-MIN(C72/MAX(1,Inputs!$E$78*12),C71)</f>
        <v>-28472.2222222222</v>
      </c>
      <c r="D73" s="69" t="n">
        <f aca="false">-MIN(D72/MAX(1,Inputs!$E$78*12),C75+D71)</f>
        <v>-28472.2222222222</v>
      </c>
      <c r="E73" s="69" t="n">
        <f aca="false">-MIN(E72/MAX(1,Inputs!$E$78*12),D75+E71)</f>
        <v>-28472.2222222222</v>
      </c>
      <c r="F73" s="69" t="n">
        <f aca="false">-MIN(F72/MAX(1,Inputs!$E$78*12),E75+F71)</f>
        <v>-28472.2222222222</v>
      </c>
      <c r="G73" s="69" t="n">
        <f aca="false">-MIN(G72/MAX(1,Inputs!$E$78*12),F75+G71)</f>
        <v>-28472.2222222222</v>
      </c>
      <c r="H73" s="69" t="n">
        <f aca="false">-MIN(H72/MAX(1,Inputs!$E$78*12),G75+H71)</f>
        <v>-28472.2222222222</v>
      </c>
      <c r="I73" s="69" t="n">
        <f aca="false">-MIN(I72/MAX(1,Inputs!$E$78*12),H75+I71)</f>
        <v>-28472.2222222222</v>
      </c>
      <c r="J73" s="69" t="n">
        <f aca="false">-MIN(J72/MAX(1,Inputs!$E$78*12),I75+J71)</f>
        <v>-28472.2222222222</v>
      </c>
      <c r="K73" s="69" t="n">
        <f aca="false">-MIN(K72/MAX(1,Inputs!$E$78*12),J75+K71)</f>
        <v>-28472.2222222222</v>
      </c>
      <c r="L73" s="69" t="n">
        <f aca="false">-MIN(L72/MAX(1,Inputs!$E$78*12),K75+L71)</f>
        <v>-28472.2222222222</v>
      </c>
      <c r="M73" s="69" t="n">
        <f aca="false">-MIN(M72/MAX(1,Inputs!$E$78*12),L75+M71)</f>
        <v>-28472.2222222222</v>
      </c>
      <c r="N73" s="69" t="n">
        <f aca="false">-MIN(N72/MAX(1,Inputs!$E$78*12),M75+N71)</f>
        <v>-28472.2222222222</v>
      </c>
      <c r="O73" s="69" t="n">
        <f aca="false">-MIN(O72/MAX(1,Inputs!$E$78*12),N75+O71)</f>
        <v>-28750</v>
      </c>
      <c r="P73" s="69" t="n">
        <f aca="false">-MIN(P72/MAX(1,Inputs!$E$78*12),O75+P71)</f>
        <v>-28750</v>
      </c>
      <c r="Q73" s="69" t="n">
        <f aca="false">-MIN(Q72/MAX(1,Inputs!$E$78*12),P75+Q71)</f>
        <v>-28750</v>
      </c>
      <c r="R73" s="69" t="n">
        <f aca="false">-MIN(R72/MAX(1,Inputs!$E$78*12),Q75+R71)</f>
        <v>-28750</v>
      </c>
      <c r="S73" s="69" t="n">
        <f aca="false">-MIN(S72/MAX(1,Inputs!$E$78*12),R75+S71)</f>
        <v>-28750</v>
      </c>
      <c r="T73" s="69" t="n">
        <f aca="false">-MIN(T72/MAX(1,Inputs!$E$78*12),S75+T71)</f>
        <v>-28750</v>
      </c>
      <c r="U73" s="69" t="n">
        <f aca="false">-MIN(U72/MAX(1,Inputs!$E$78*12),T75+U71)</f>
        <v>-28750</v>
      </c>
      <c r="V73" s="69" t="n">
        <f aca="false">-MIN(V72/MAX(1,Inputs!$E$78*12),U75+V71)</f>
        <v>-28750</v>
      </c>
      <c r="W73" s="69" t="n">
        <f aca="false">-MIN(W72/MAX(1,Inputs!$E$78*12),V75+W71)</f>
        <v>-28750</v>
      </c>
      <c r="X73" s="69" t="n">
        <f aca="false">-MIN(X72/MAX(1,Inputs!$E$78*12),W75+X71)</f>
        <v>-28750</v>
      </c>
      <c r="Y73" s="69" t="n">
        <f aca="false">-MIN(Y72/MAX(1,Inputs!$E$78*12),X75+Y71)</f>
        <v>-28750</v>
      </c>
      <c r="Z73" s="69" t="n">
        <f aca="false">-MIN(Z72/MAX(1,Inputs!$E$78*12),Y75+Z71)</f>
        <v>-28750</v>
      </c>
      <c r="AA73" s="69" t="n">
        <f aca="false">-MIN(AA72/MAX(1,Inputs!$E$78*12),Z75+AA71)</f>
        <v>-29027.7777777778</v>
      </c>
      <c r="AB73" s="69" t="n">
        <f aca="false">-MIN(AB72/MAX(1,Inputs!$E$78*12),AA75+AB71)</f>
        <v>-29027.7777777778</v>
      </c>
      <c r="AC73" s="69" t="n">
        <f aca="false">-MIN(AC72/MAX(1,Inputs!$E$78*12),AB75+AC71)</f>
        <v>-29027.7777777778</v>
      </c>
      <c r="AD73" s="69" t="n">
        <f aca="false">-MIN(AD72/MAX(1,Inputs!$E$78*12),AC75+AD71)</f>
        <v>-29027.7777777778</v>
      </c>
      <c r="AE73" s="69" t="n">
        <f aca="false">-MIN(AE72/MAX(1,Inputs!$E$78*12),AD75+AE71)</f>
        <v>-29027.7777777778</v>
      </c>
      <c r="AF73" s="69" t="n">
        <f aca="false">-MIN(AF72/MAX(1,Inputs!$E$78*12),AE75+AF71)</f>
        <v>-29027.7777777778</v>
      </c>
      <c r="AG73" s="69" t="n">
        <f aca="false">-MIN(AG72/MAX(1,Inputs!$E$78*12),AF75+AG71)</f>
        <v>-29027.7777777778</v>
      </c>
      <c r="AH73" s="69" t="n">
        <f aca="false">-MIN(AH72/MAX(1,Inputs!$E$78*12),AG75+AH71)</f>
        <v>-29027.7777777778</v>
      </c>
      <c r="AI73" s="69" t="n">
        <f aca="false">-MIN(AI72/MAX(1,Inputs!$E$78*12),AH75+AI71)</f>
        <v>-29027.7777777778</v>
      </c>
      <c r="AJ73" s="69" t="n">
        <f aca="false">-MIN(AJ72/MAX(1,Inputs!$E$78*12),AI75+AJ71)</f>
        <v>-29027.7777777778</v>
      </c>
      <c r="AK73" s="69" t="n">
        <f aca="false">-MIN(AK72/MAX(1,Inputs!$E$78*12),AJ75+AK71)</f>
        <v>-29027.7777777778</v>
      </c>
      <c r="AL73" s="69" t="n">
        <f aca="false">-MIN(AL72/MAX(1,Inputs!$E$78*12),AK75+AL71)</f>
        <v>-29027.7777777778</v>
      </c>
      <c r="AM73" s="69" t="n">
        <f aca="false">-MIN(AM72/MAX(1,Inputs!$E$78*12),AL75+AM71)</f>
        <v>-29305.5555555556</v>
      </c>
      <c r="AN73" s="69" t="n">
        <f aca="false">-MIN(AN72/MAX(1,Inputs!$E$78*12),AM75+AN71)</f>
        <v>-29305.5555555556</v>
      </c>
      <c r="AO73" s="69" t="n">
        <f aca="false">-MIN(AO72/MAX(1,Inputs!$E$78*12),AN75+AO71)</f>
        <v>-29305.5555555556</v>
      </c>
      <c r="AP73" s="69" t="n">
        <f aca="false">-MIN(AP72/MAX(1,Inputs!$E$78*12),AO75+AP71)</f>
        <v>-29305.5555555556</v>
      </c>
      <c r="AQ73" s="69" t="n">
        <f aca="false">-MIN(AQ72/MAX(1,Inputs!$E$78*12),AP75+AQ71)</f>
        <v>-29305.5555555556</v>
      </c>
      <c r="AR73" s="69" t="n">
        <f aca="false">-MIN(AR72/MAX(1,Inputs!$E$78*12),AQ75+AR71)</f>
        <v>-29305.5555555556</v>
      </c>
      <c r="AS73" s="69" t="n">
        <f aca="false">-MIN(AS72/MAX(1,Inputs!$E$78*12),AR75+AS71)</f>
        <v>-29305.5555555556</v>
      </c>
      <c r="AT73" s="69" t="n">
        <f aca="false">-MIN(AT72/MAX(1,Inputs!$E$78*12),AS75+AT71)</f>
        <v>-29305.5555555556</v>
      </c>
      <c r="AU73" s="69" t="n">
        <f aca="false">-MIN(AU72/MAX(1,Inputs!$E$78*12),AT75+AU71)</f>
        <v>-29305.5555555556</v>
      </c>
      <c r="AV73" s="69" t="n">
        <f aca="false">-MIN(AV72/MAX(1,Inputs!$E$78*12),AU75+AV71)</f>
        <v>-29305.5555555556</v>
      </c>
      <c r="AW73" s="69" t="n">
        <f aca="false">-MIN(AW72/MAX(1,Inputs!$E$78*12),AV75+AW71)</f>
        <v>-29305.5555555556</v>
      </c>
      <c r="AX73" s="69" t="n">
        <f aca="false">-MIN(AX72/MAX(1,Inputs!$E$78*12),AW75+AX71)</f>
        <v>-29305.5555555556</v>
      </c>
      <c r="AY73" s="69" t="n">
        <f aca="false">-MIN(AY72/MAX(1,Inputs!$E$78*12),AX75+AY71)</f>
        <v>-29583.3333333333</v>
      </c>
      <c r="AZ73" s="69" t="n">
        <f aca="false">-MIN(AZ72/MAX(1,Inputs!$E$78*12),AY75+AZ71)</f>
        <v>-29583.3333333333</v>
      </c>
      <c r="BA73" s="69" t="n">
        <f aca="false">-MIN(BA72/MAX(1,Inputs!$E$78*12),AZ75+BA71)</f>
        <v>-29583.3333333333</v>
      </c>
      <c r="BB73" s="69" t="n">
        <f aca="false">-MIN(BB72/MAX(1,Inputs!$E$78*12),BA75+BB71)</f>
        <v>-29583.3333333333</v>
      </c>
      <c r="BC73" s="69" t="n">
        <f aca="false">-MIN(BC72/MAX(1,Inputs!$E$78*12),BB75+BC71)</f>
        <v>-29583.3333333333</v>
      </c>
      <c r="BD73" s="69" t="n">
        <f aca="false">-MIN(BD72/MAX(1,Inputs!$E$78*12),BC75+BD71)</f>
        <v>-29583.3333333333</v>
      </c>
      <c r="BE73" s="69" t="n">
        <f aca="false">-MIN(BE72/MAX(1,Inputs!$E$78*12),BD75+BE71)</f>
        <v>-29583.3333333333</v>
      </c>
      <c r="BF73" s="69" t="n">
        <f aca="false">-MIN(BF72/MAX(1,Inputs!$E$78*12),BE75+BF71)</f>
        <v>-29583.3333333333</v>
      </c>
      <c r="BG73" s="69" t="n">
        <f aca="false">-MIN(BG72/MAX(1,Inputs!$E$78*12),BF75+BG71)</f>
        <v>-29583.3333333333</v>
      </c>
      <c r="BH73" s="69" t="n">
        <f aca="false">-MIN(BH72/MAX(1,Inputs!$E$78*12),BG75+BH71)</f>
        <v>-29583.3333333333</v>
      </c>
      <c r="BI73" s="69" t="n">
        <f aca="false">-MIN(BI72/MAX(1,Inputs!$E$78*12),BH75+BI71)</f>
        <v>-29583.3333333333</v>
      </c>
      <c r="BJ73" s="69" t="n">
        <f aca="false">-MIN(BJ72/MAX(1,Inputs!$E$78*12),BI75+BJ71)</f>
        <v>-29583.3333333333</v>
      </c>
    </row>
    <row r="74" customFormat="false" ht="15" hidden="false" customHeight="false" outlineLevel="0" collapsed="false">
      <c r="A74" s="6" t="s">
        <v>451</v>
      </c>
      <c r="C74" s="69" t="n">
        <f aca="false">C73</f>
        <v>-28472.2222222222</v>
      </c>
      <c r="D74" s="69" t="n">
        <f aca="false">C74+D73</f>
        <v>-56944.4444444444</v>
      </c>
      <c r="E74" s="69" t="n">
        <f aca="false">D74+E73</f>
        <v>-85416.6666666667</v>
      </c>
      <c r="F74" s="69" t="n">
        <f aca="false">E74+F73</f>
        <v>-113888.888888889</v>
      </c>
      <c r="G74" s="69" t="n">
        <f aca="false">F74+G73</f>
        <v>-142361.111111111</v>
      </c>
      <c r="H74" s="69" t="n">
        <f aca="false">G74+H73</f>
        <v>-170833.333333333</v>
      </c>
      <c r="I74" s="69" t="n">
        <f aca="false">H74+I73</f>
        <v>-199305.555555556</v>
      </c>
      <c r="J74" s="69" t="n">
        <f aca="false">I74+J73</f>
        <v>-227777.777777778</v>
      </c>
      <c r="K74" s="69" t="n">
        <f aca="false">J74+K73</f>
        <v>-256250</v>
      </c>
      <c r="L74" s="69" t="n">
        <f aca="false">K74+L73</f>
        <v>-284722.222222222</v>
      </c>
      <c r="M74" s="69" t="n">
        <f aca="false">L74+M73</f>
        <v>-313194.444444445</v>
      </c>
      <c r="N74" s="69" t="n">
        <f aca="false">M74+N73</f>
        <v>-341666.666666667</v>
      </c>
      <c r="O74" s="69" t="n">
        <f aca="false">N74+O73</f>
        <v>-370416.666666667</v>
      </c>
      <c r="P74" s="69" t="n">
        <f aca="false">O74+P73</f>
        <v>-399166.666666667</v>
      </c>
      <c r="Q74" s="69" t="n">
        <f aca="false">P74+Q73</f>
        <v>-427916.666666667</v>
      </c>
      <c r="R74" s="69" t="n">
        <f aca="false">Q74+R73</f>
        <v>-456666.666666667</v>
      </c>
      <c r="S74" s="69" t="n">
        <f aca="false">R74+S73</f>
        <v>-485416.666666667</v>
      </c>
      <c r="T74" s="69" t="n">
        <f aca="false">S74+T73</f>
        <v>-514166.666666667</v>
      </c>
      <c r="U74" s="69" t="n">
        <f aca="false">T74+U73</f>
        <v>-542916.666666667</v>
      </c>
      <c r="V74" s="69" t="n">
        <f aca="false">U74+V73</f>
        <v>-571666.666666667</v>
      </c>
      <c r="W74" s="69" t="n">
        <f aca="false">V74+W73</f>
        <v>-600416.666666667</v>
      </c>
      <c r="X74" s="69" t="n">
        <f aca="false">W74+X73</f>
        <v>-629166.666666667</v>
      </c>
      <c r="Y74" s="69" t="n">
        <f aca="false">X74+Y73</f>
        <v>-657916.666666667</v>
      </c>
      <c r="Z74" s="69" t="n">
        <f aca="false">Y74+Z73</f>
        <v>-686666.666666667</v>
      </c>
      <c r="AA74" s="69" t="n">
        <f aca="false">Z74+AA73</f>
        <v>-715694.444444445</v>
      </c>
      <c r="AB74" s="69" t="n">
        <f aca="false">AA74+AB73</f>
        <v>-744722.222222222</v>
      </c>
      <c r="AC74" s="69" t="n">
        <f aca="false">AB74+AC73</f>
        <v>-773750</v>
      </c>
      <c r="AD74" s="69" t="n">
        <f aca="false">AC74+AD73</f>
        <v>-802777.777777778</v>
      </c>
      <c r="AE74" s="69" t="n">
        <f aca="false">AD74+AE73</f>
        <v>-831805.555555556</v>
      </c>
      <c r="AF74" s="69" t="n">
        <f aca="false">AE74+AF73</f>
        <v>-860833.333333333</v>
      </c>
      <c r="AG74" s="69" t="n">
        <f aca="false">AF74+AG73</f>
        <v>-889861.111111111</v>
      </c>
      <c r="AH74" s="69" t="n">
        <f aca="false">AG74+AH73</f>
        <v>-918888.888888889</v>
      </c>
      <c r="AI74" s="69" t="n">
        <f aca="false">AH74+AI73</f>
        <v>-947916.666666667</v>
      </c>
      <c r="AJ74" s="69" t="n">
        <f aca="false">AI74+AJ73</f>
        <v>-976944.444444444</v>
      </c>
      <c r="AK74" s="69" t="n">
        <f aca="false">AJ74+AK73</f>
        <v>-1005972.22222222</v>
      </c>
      <c r="AL74" s="69" t="n">
        <f aca="false">AK74+AL73</f>
        <v>-1035000</v>
      </c>
      <c r="AM74" s="69" t="n">
        <f aca="false">AL74+AM73</f>
        <v>-1064305.55555556</v>
      </c>
      <c r="AN74" s="69" t="n">
        <f aca="false">AM74+AN73</f>
        <v>-1093611.11111111</v>
      </c>
      <c r="AO74" s="69" t="n">
        <f aca="false">AN74+AO73</f>
        <v>-1122916.66666667</v>
      </c>
      <c r="AP74" s="69" t="n">
        <f aca="false">AO74+AP73</f>
        <v>-1152222.22222222</v>
      </c>
      <c r="AQ74" s="69" t="n">
        <f aca="false">AP74+AQ73</f>
        <v>-1181527.77777778</v>
      </c>
      <c r="AR74" s="69" t="n">
        <f aca="false">AQ74+AR73</f>
        <v>-1210833.33333333</v>
      </c>
      <c r="AS74" s="69" t="n">
        <f aca="false">AR74+AS73</f>
        <v>-1240138.88888889</v>
      </c>
      <c r="AT74" s="69" t="n">
        <f aca="false">AS74+AT73</f>
        <v>-1269444.44444444</v>
      </c>
      <c r="AU74" s="69" t="n">
        <f aca="false">AT74+AU73</f>
        <v>-1298750</v>
      </c>
      <c r="AV74" s="69" t="n">
        <f aca="false">AU74+AV73</f>
        <v>-1328055.55555555</v>
      </c>
      <c r="AW74" s="69" t="n">
        <f aca="false">AV74+AW73</f>
        <v>-1357361.11111111</v>
      </c>
      <c r="AX74" s="69" t="n">
        <f aca="false">AW74+AX73</f>
        <v>-1386666.66666667</v>
      </c>
      <c r="AY74" s="69" t="n">
        <f aca="false">AX74+AY73</f>
        <v>-1416250</v>
      </c>
      <c r="AZ74" s="69" t="n">
        <f aca="false">AY74+AZ73</f>
        <v>-1445833.33333333</v>
      </c>
      <c r="BA74" s="69" t="n">
        <f aca="false">AZ74+BA73</f>
        <v>-1475416.66666667</v>
      </c>
      <c r="BB74" s="69" t="n">
        <f aca="false">BA74+BB73</f>
        <v>-1505000</v>
      </c>
      <c r="BC74" s="69" t="n">
        <f aca="false">BB74+BC73</f>
        <v>-1534583.33333333</v>
      </c>
      <c r="BD74" s="69" t="n">
        <f aca="false">BC74+BD73</f>
        <v>-1564166.66666667</v>
      </c>
      <c r="BE74" s="69" t="n">
        <f aca="false">BD74+BE73</f>
        <v>-1593750</v>
      </c>
      <c r="BF74" s="69" t="n">
        <f aca="false">BE74+BF73</f>
        <v>-1623333.33333333</v>
      </c>
      <c r="BG74" s="69" t="n">
        <f aca="false">BF74+BG73</f>
        <v>-1652916.66666667</v>
      </c>
      <c r="BH74" s="69" t="n">
        <f aca="false">BG74+BH73</f>
        <v>-1682500</v>
      </c>
      <c r="BI74" s="69" t="n">
        <f aca="false">BH74+BI73</f>
        <v>-1712083.33333333</v>
      </c>
      <c r="BJ74" s="69" t="n">
        <f aca="false">BI74+BJ73</f>
        <v>-1741666.66666666</v>
      </c>
    </row>
    <row r="75" customFormat="false" ht="15" hidden="false" customHeight="false" outlineLevel="0" collapsed="false">
      <c r="A75" s="4" t="s">
        <v>92</v>
      </c>
      <c r="C75" s="75" t="n">
        <f aca="false">C72+C74</f>
        <v>4071527.77777778</v>
      </c>
      <c r="D75" s="75" t="n">
        <f aca="false">D72+D74</f>
        <v>4043055.55555556</v>
      </c>
      <c r="E75" s="75" t="n">
        <f aca="false">E72+E74</f>
        <v>4014583.33333333</v>
      </c>
      <c r="F75" s="75" t="n">
        <f aca="false">F72+F74</f>
        <v>3986111.11111111</v>
      </c>
      <c r="G75" s="75" t="n">
        <f aca="false">G72+G74</f>
        <v>3957638.88888889</v>
      </c>
      <c r="H75" s="75" t="n">
        <f aca="false">H72+H74</f>
        <v>3929166.66666667</v>
      </c>
      <c r="I75" s="75" t="n">
        <f aca="false">I72+I74</f>
        <v>3900694.44444444</v>
      </c>
      <c r="J75" s="75" t="n">
        <f aca="false">J72+J74</f>
        <v>3872222.22222222</v>
      </c>
      <c r="K75" s="75" t="n">
        <f aca="false">K72+K74</f>
        <v>3843750</v>
      </c>
      <c r="L75" s="75" t="n">
        <f aca="false">L72+L74</f>
        <v>3815277.77777778</v>
      </c>
      <c r="M75" s="75" t="n">
        <f aca="false">M72+M74</f>
        <v>3786805.55555556</v>
      </c>
      <c r="N75" s="75" t="n">
        <f aca="false">N72+N74</f>
        <v>3758333.33333333</v>
      </c>
      <c r="O75" s="75" t="n">
        <f aca="false">O72+O74</f>
        <v>3769583.33333333</v>
      </c>
      <c r="P75" s="75" t="n">
        <f aca="false">P72+P74</f>
        <v>3740833.33333333</v>
      </c>
      <c r="Q75" s="75" t="n">
        <f aca="false">Q72+Q74</f>
        <v>3712083.33333333</v>
      </c>
      <c r="R75" s="75" t="n">
        <f aca="false">R72+R74</f>
        <v>3683333.33333333</v>
      </c>
      <c r="S75" s="75" t="n">
        <f aca="false">S72+S74</f>
        <v>3654583.33333333</v>
      </c>
      <c r="T75" s="75" t="n">
        <f aca="false">T72+T74</f>
        <v>3625833.33333333</v>
      </c>
      <c r="U75" s="75" t="n">
        <f aca="false">U72+U74</f>
        <v>3597083.33333333</v>
      </c>
      <c r="V75" s="75" t="n">
        <f aca="false">V72+V74</f>
        <v>3568333.33333333</v>
      </c>
      <c r="W75" s="75" t="n">
        <f aca="false">W72+W74</f>
        <v>3539583.33333333</v>
      </c>
      <c r="X75" s="75" t="n">
        <f aca="false">X72+X74</f>
        <v>3510833.33333333</v>
      </c>
      <c r="Y75" s="75" t="n">
        <f aca="false">Y72+Y74</f>
        <v>3482083.33333333</v>
      </c>
      <c r="Z75" s="75" t="n">
        <f aca="false">Z72+Z74</f>
        <v>3453333.33333333</v>
      </c>
      <c r="AA75" s="75" t="n">
        <f aca="false">AA72+AA74</f>
        <v>3464305.55555556</v>
      </c>
      <c r="AB75" s="75" t="n">
        <f aca="false">AB72+AB74</f>
        <v>3435277.77777778</v>
      </c>
      <c r="AC75" s="75" t="n">
        <f aca="false">AC72+AC74</f>
        <v>3406250</v>
      </c>
      <c r="AD75" s="75" t="n">
        <f aca="false">AD72+AD74</f>
        <v>3377222.22222222</v>
      </c>
      <c r="AE75" s="75" t="n">
        <f aca="false">AE72+AE74</f>
        <v>3348194.44444444</v>
      </c>
      <c r="AF75" s="75" t="n">
        <f aca="false">AF72+AF74</f>
        <v>3319166.66666667</v>
      </c>
      <c r="AG75" s="75" t="n">
        <f aca="false">AG72+AG74</f>
        <v>3290138.88888889</v>
      </c>
      <c r="AH75" s="75" t="n">
        <f aca="false">AH72+AH74</f>
        <v>3261111.11111111</v>
      </c>
      <c r="AI75" s="75" t="n">
        <f aca="false">AI72+AI74</f>
        <v>3232083.33333333</v>
      </c>
      <c r="AJ75" s="75" t="n">
        <f aca="false">AJ72+AJ74</f>
        <v>3203055.55555556</v>
      </c>
      <c r="AK75" s="75" t="n">
        <f aca="false">AK72+AK74</f>
        <v>3174027.77777778</v>
      </c>
      <c r="AL75" s="75" t="n">
        <f aca="false">AL72+AL74</f>
        <v>3145000</v>
      </c>
      <c r="AM75" s="75" t="n">
        <f aca="false">AM72+AM74</f>
        <v>3155694.44444445</v>
      </c>
      <c r="AN75" s="75" t="n">
        <f aca="false">AN72+AN74</f>
        <v>3126388.88888889</v>
      </c>
      <c r="AO75" s="75" t="n">
        <f aca="false">AO72+AO74</f>
        <v>3097083.33333333</v>
      </c>
      <c r="AP75" s="75" t="n">
        <f aca="false">AP72+AP74</f>
        <v>3067777.77777778</v>
      </c>
      <c r="AQ75" s="75" t="n">
        <f aca="false">AQ72+AQ74</f>
        <v>3038472.22222222</v>
      </c>
      <c r="AR75" s="75" t="n">
        <f aca="false">AR72+AR74</f>
        <v>3009166.66666667</v>
      </c>
      <c r="AS75" s="75" t="n">
        <f aca="false">AS72+AS74</f>
        <v>2979861.11111111</v>
      </c>
      <c r="AT75" s="75" t="n">
        <f aca="false">AT72+AT74</f>
        <v>2950555.55555556</v>
      </c>
      <c r="AU75" s="75" t="n">
        <f aca="false">AU72+AU74</f>
        <v>2921250</v>
      </c>
      <c r="AV75" s="75" t="n">
        <f aca="false">AV72+AV74</f>
        <v>2891944.44444445</v>
      </c>
      <c r="AW75" s="75" t="n">
        <f aca="false">AW72+AW74</f>
        <v>2862638.88888889</v>
      </c>
      <c r="AX75" s="75" t="n">
        <f aca="false">AX72+AX74</f>
        <v>2833333.33333333</v>
      </c>
      <c r="AY75" s="75" t="n">
        <f aca="false">AY72+AY74</f>
        <v>2843750</v>
      </c>
      <c r="AZ75" s="75" t="n">
        <f aca="false">AZ72+AZ74</f>
        <v>2814166.66666667</v>
      </c>
      <c r="BA75" s="75" t="n">
        <f aca="false">BA72+BA74</f>
        <v>2784583.33333333</v>
      </c>
      <c r="BB75" s="75" t="n">
        <f aca="false">BB72+BB74</f>
        <v>2755000</v>
      </c>
      <c r="BC75" s="75" t="n">
        <f aca="false">BC72+BC74</f>
        <v>2725416.66666667</v>
      </c>
      <c r="BD75" s="75" t="n">
        <f aca="false">BD72+BD74</f>
        <v>2695833.33333334</v>
      </c>
      <c r="BE75" s="75" t="n">
        <f aca="false">BE72+BE74</f>
        <v>2666250</v>
      </c>
      <c r="BF75" s="75" t="n">
        <f aca="false">BF72+BF74</f>
        <v>2636666.66666667</v>
      </c>
      <c r="BG75" s="75" t="n">
        <f aca="false">BG72+BG74</f>
        <v>2607083.33333334</v>
      </c>
      <c r="BH75" s="75" t="n">
        <f aca="false">BH72+BH74</f>
        <v>2577500</v>
      </c>
      <c r="BI75" s="75" t="n">
        <f aca="false">BI72+BI74</f>
        <v>2547916.66666667</v>
      </c>
      <c r="BJ75" s="75" t="n">
        <f aca="false">BJ72+BJ74</f>
        <v>2518333.33333334</v>
      </c>
    </row>
    <row r="77" customFormat="false" ht="15.75" hidden="false" customHeight="true" outlineLevel="0" collapsed="false">
      <c r="A77" s="7" t="s">
        <v>452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customFormat="false" ht="15" hidden="false" customHeight="false" outlineLevel="0" collapsed="false">
      <c r="A78" s="6" t="s">
        <v>453</v>
      </c>
      <c r="C78" s="69" t="n">
        <f aca="false">0</f>
        <v>0</v>
      </c>
      <c r="D78" s="69" t="n">
        <f aca="false">C81</f>
        <v>3000000</v>
      </c>
      <c r="E78" s="69" t="n">
        <f aca="false">D81</f>
        <v>2975000</v>
      </c>
      <c r="F78" s="69" t="n">
        <f aca="false">E81</f>
        <v>2950000</v>
      </c>
      <c r="G78" s="69" t="n">
        <f aca="false">F81</f>
        <v>2925000</v>
      </c>
      <c r="H78" s="69" t="n">
        <f aca="false">G81</f>
        <v>2900000</v>
      </c>
      <c r="I78" s="69" t="n">
        <f aca="false">H81</f>
        <v>2875000</v>
      </c>
      <c r="J78" s="69" t="n">
        <f aca="false">I81</f>
        <v>2850000</v>
      </c>
      <c r="K78" s="69" t="n">
        <f aca="false">J81</f>
        <v>2825000</v>
      </c>
      <c r="L78" s="69" t="n">
        <f aca="false">K81</f>
        <v>2800000</v>
      </c>
      <c r="M78" s="69" t="n">
        <f aca="false">L81</f>
        <v>2775000</v>
      </c>
      <c r="N78" s="69" t="n">
        <f aca="false">M81</f>
        <v>2750000</v>
      </c>
      <c r="O78" s="69" t="n">
        <f aca="false">N81</f>
        <v>2725000</v>
      </c>
      <c r="P78" s="69" t="n">
        <f aca="false">O81</f>
        <v>2700000</v>
      </c>
      <c r="Q78" s="69" t="n">
        <f aca="false">P81</f>
        <v>2675000</v>
      </c>
      <c r="R78" s="69" t="n">
        <f aca="false">Q81</f>
        <v>2650000</v>
      </c>
      <c r="S78" s="69" t="n">
        <f aca="false">R81</f>
        <v>2625000</v>
      </c>
      <c r="T78" s="69" t="n">
        <f aca="false">S81</f>
        <v>2600000</v>
      </c>
      <c r="U78" s="69" t="n">
        <f aca="false">T81</f>
        <v>2575000</v>
      </c>
      <c r="V78" s="69" t="n">
        <f aca="false">U81</f>
        <v>2550000</v>
      </c>
      <c r="W78" s="69" t="n">
        <f aca="false">V81</f>
        <v>2525000</v>
      </c>
      <c r="X78" s="69" t="n">
        <f aca="false">W81</f>
        <v>2500000</v>
      </c>
      <c r="Y78" s="69" t="n">
        <f aca="false">X81</f>
        <v>2475000</v>
      </c>
      <c r="Z78" s="69" t="n">
        <f aca="false">Y81</f>
        <v>2450000</v>
      </c>
      <c r="AA78" s="69" t="n">
        <f aca="false">Z81</f>
        <v>2425000</v>
      </c>
      <c r="AB78" s="69" t="n">
        <f aca="false">AA81</f>
        <v>2400000</v>
      </c>
      <c r="AC78" s="69" t="n">
        <f aca="false">AB81</f>
        <v>2375000</v>
      </c>
      <c r="AD78" s="69" t="n">
        <f aca="false">AC81</f>
        <v>2350000</v>
      </c>
      <c r="AE78" s="69" t="n">
        <f aca="false">AD81</f>
        <v>2325000</v>
      </c>
      <c r="AF78" s="69" t="n">
        <f aca="false">AE81</f>
        <v>2300000</v>
      </c>
      <c r="AG78" s="69" t="n">
        <f aca="false">AF81</f>
        <v>2275000</v>
      </c>
      <c r="AH78" s="69" t="n">
        <f aca="false">AG81</f>
        <v>2250000</v>
      </c>
      <c r="AI78" s="69" t="n">
        <f aca="false">AH81</f>
        <v>2225000</v>
      </c>
      <c r="AJ78" s="69" t="n">
        <f aca="false">AI81</f>
        <v>2200000</v>
      </c>
      <c r="AK78" s="69" t="n">
        <f aca="false">AJ81</f>
        <v>2175000</v>
      </c>
      <c r="AL78" s="69" t="n">
        <f aca="false">AK81</f>
        <v>2150000</v>
      </c>
      <c r="AM78" s="69" t="n">
        <f aca="false">AL81</f>
        <v>2125000</v>
      </c>
      <c r="AN78" s="69" t="n">
        <f aca="false">AM81</f>
        <v>2100000</v>
      </c>
      <c r="AO78" s="69" t="n">
        <f aca="false">AN81</f>
        <v>2075000</v>
      </c>
      <c r="AP78" s="69" t="n">
        <f aca="false">AO81</f>
        <v>2050000</v>
      </c>
      <c r="AQ78" s="69" t="n">
        <f aca="false">AP81</f>
        <v>2025000</v>
      </c>
      <c r="AR78" s="69" t="n">
        <f aca="false">AQ81</f>
        <v>2000000</v>
      </c>
      <c r="AS78" s="69" t="n">
        <f aca="false">AR81</f>
        <v>1975000</v>
      </c>
      <c r="AT78" s="69" t="n">
        <f aca="false">AS81</f>
        <v>1950000</v>
      </c>
      <c r="AU78" s="69" t="n">
        <f aca="false">AT81</f>
        <v>1925000</v>
      </c>
      <c r="AV78" s="69" t="n">
        <f aca="false">AU81</f>
        <v>1900000</v>
      </c>
      <c r="AW78" s="69" t="n">
        <f aca="false">AV81</f>
        <v>1875000</v>
      </c>
      <c r="AX78" s="69" t="n">
        <f aca="false">AW81</f>
        <v>1850000</v>
      </c>
      <c r="AY78" s="69" t="n">
        <f aca="false">AX81</f>
        <v>1825000</v>
      </c>
      <c r="AZ78" s="69" t="n">
        <f aca="false">AY81</f>
        <v>1800000</v>
      </c>
      <c r="BA78" s="69" t="n">
        <f aca="false">AZ81</f>
        <v>1775000</v>
      </c>
      <c r="BB78" s="69" t="n">
        <f aca="false">BA81</f>
        <v>1750000</v>
      </c>
      <c r="BC78" s="69" t="n">
        <f aca="false">BB81</f>
        <v>1725000</v>
      </c>
      <c r="BD78" s="69" t="n">
        <f aca="false">BC81</f>
        <v>1700000</v>
      </c>
      <c r="BE78" s="69" t="n">
        <f aca="false">BD81</f>
        <v>1675000</v>
      </c>
      <c r="BF78" s="69" t="n">
        <f aca="false">BE81</f>
        <v>1650000</v>
      </c>
      <c r="BG78" s="69" t="n">
        <f aca="false">BF81</f>
        <v>1625000</v>
      </c>
      <c r="BH78" s="69" t="n">
        <f aca="false">BG81</f>
        <v>1600000</v>
      </c>
      <c r="BI78" s="69" t="n">
        <f aca="false">BH81</f>
        <v>1575000</v>
      </c>
      <c r="BJ78" s="69" t="n">
        <f aca="false">BI81</f>
        <v>1550000</v>
      </c>
    </row>
    <row r="79" customFormat="false" ht="15" hidden="false" customHeight="false" outlineLevel="0" collapsed="false">
      <c r="A79" s="6" t="s">
        <v>85</v>
      </c>
      <c r="C79" s="69" t="n">
        <f aca="false">IF(C$4=1,Inputs!$E$68,0)</f>
        <v>3000000</v>
      </c>
      <c r="D79" s="69" t="n">
        <f aca="false">IF(D$4=1,Inputs!$E$68,0)</f>
        <v>0</v>
      </c>
      <c r="E79" s="69" t="n">
        <f aca="false">IF(E$4=1,Inputs!$E$68,0)</f>
        <v>0</v>
      </c>
      <c r="F79" s="69" t="n">
        <f aca="false">IF(F$4=1,Inputs!$E$68,0)</f>
        <v>0</v>
      </c>
      <c r="G79" s="69" t="n">
        <f aca="false">IF(G$4=1,Inputs!$E$68,0)</f>
        <v>0</v>
      </c>
      <c r="H79" s="69" t="n">
        <f aca="false">IF(H$4=1,Inputs!$E$68,0)</f>
        <v>0</v>
      </c>
      <c r="I79" s="69" t="n">
        <f aca="false">IF(I$4=1,Inputs!$E$68,0)</f>
        <v>0</v>
      </c>
      <c r="J79" s="69" t="n">
        <f aca="false">IF(J$4=1,Inputs!$E$68,0)</f>
        <v>0</v>
      </c>
      <c r="K79" s="69" t="n">
        <f aca="false">IF(K$4=1,Inputs!$E$68,0)</f>
        <v>0</v>
      </c>
      <c r="L79" s="69" t="n">
        <f aca="false">IF(L$4=1,Inputs!$E$68,0)</f>
        <v>0</v>
      </c>
      <c r="M79" s="69" t="n">
        <f aca="false">IF(M$4=1,Inputs!$E$68,0)</f>
        <v>0</v>
      </c>
      <c r="N79" s="69" t="n">
        <f aca="false">IF(N$4=1,Inputs!$E$68,0)</f>
        <v>0</v>
      </c>
      <c r="O79" s="69" t="n">
        <f aca="false">IF(O$4=1,Inputs!$E$68,0)</f>
        <v>0</v>
      </c>
      <c r="P79" s="69" t="n">
        <f aca="false">IF(P$4=1,Inputs!$E$68,0)</f>
        <v>0</v>
      </c>
      <c r="Q79" s="69" t="n">
        <f aca="false">IF(Q$4=1,Inputs!$E$68,0)</f>
        <v>0</v>
      </c>
      <c r="R79" s="69" t="n">
        <f aca="false">IF(R$4=1,Inputs!$E$68,0)</f>
        <v>0</v>
      </c>
      <c r="S79" s="69" t="n">
        <f aca="false">IF(S$4=1,Inputs!$E$68,0)</f>
        <v>0</v>
      </c>
      <c r="T79" s="69" t="n">
        <f aca="false">IF(T$4=1,Inputs!$E$68,0)</f>
        <v>0</v>
      </c>
      <c r="U79" s="69" t="n">
        <f aca="false">IF(U$4=1,Inputs!$E$68,0)</f>
        <v>0</v>
      </c>
      <c r="V79" s="69" t="n">
        <f aca="false">IF(V$4=1,Inputs!$E$68,0)</f>
        <v>0</v>
      </c>
      <c r="W79" s="69" t="n">
        <f aca="false">IF(W$4=1,Inputs!$E$68,0)</f>
        <v>0</v>
      </c>
      <c r="X79" s="69" t="n">
        <f aca="false">IF(X$4=1,Inputs!$E$68,0)</f>
        <v>0</v>
      </c>
      <c r="Y79" s="69" t="n">
        <f aca="false">IF(Y$4=1,Inputs!$E$68,0)</f>
        <v>0</v>
      </c>
      <c r="Z79" s="69" t="n">
        <f aca="false">IF(Z$4=1,Inputs!$E$68,0)</f>
        <v>0</v>
      </c>
      <c r="AA79" s="69" t="n">
        <f aca="false">IF(AA$4=1,Inputs!$E$68,0)</f>
        <v>0</v>
      </c>
      <c r="AB79" s="69" t="n">
        <f aca="false">IF(AB$4=1,Inputs!$E$68,0)</f>
        <v>0</v>
      </c>
      <c r="AC79" s="69" t="n">
        <f aca="false">IF(AC$4=1,Inputs!$E$68,0)</f>
        <v>0</v>
      </c>
      <c r="AD79" s="69" t="n">
        <f aca="false">IF(AD$4=1,Inputs!$E$68,0)</f>
        <v>0</v>
      </c>
      <c r="AE79" s="69" t="n">
        <f aca="false">IF(AE$4=1,Inputs!$E$68,0)</f>
        <v>0</v>
      </c>
      <c r="AF79" s="69" t="n">
        <f aca="false">IF(AF$4=1,Inputs!$E$68,0)</f>
        <v>0</v>
      </c>
      <c r="AG79" s="69" t="n">
        <f aca="false">IF(AG$4=1,Inputs!$E$68,0)</f>
        <v>0</v>
      </c>
      <c r="AH79" s="69" t="n">
        <f aca="false">IF(AH$4=1,Inputs!$E$68,0)</f>
        <v>0</v>
      </c>
      <c r="AI79" s="69" t="n">
        <f aca="false">IF(AI$4=1,Inputs!$E$68,0)</f>
        <v>0</v>
      </c>
      <c r="AJ79" s="69" t="n">
        <f aca="false">IF(AJ$4=1,Inputs!$E$68,0)</f>
        <v>0</v>
      </c>
      <c r="AK79" s="69" t="n">
        <f aca="false">IF(AK$4=1,Inputs!$E$68,0)</f>
        <v>0</v>
      </c>
      <c r="AL79" s="69" t="n">
        <f aca="false">IF(AL$4=1,Inputs!$E$68,0)</f>
        <v>0</v>
      </c>
      <c r="AM79" s="69" t="n">
        <f aca="false">IF(AM$4=1,Inputs!$E$68,0)</f>
        <v>0</v>
      </c>
      <c r="AN79" s="69" t="n">
        <f aca="false">IF(AN$4=1,Inputs!$E$68,0)</f>
        <v>0</v>
      </c>
      <c r="AO79" s="69" t="n">
        <f aca="false">IF(AO$4=1,Inputs!$E$68,0)</f>
        <v>0</v>
      </c>
      <c r="AP79" s="69" t="n">
        <f aca="false">IF(AP$4=1,Inputs!$E$68,0)</f>
        <v>0</v>
      </c>
      <c r="AQ79" s="69" t="n">
        <f aca="false">IF(AQ$4=1,Inputs!$E$68,0)</f>
        <v>0</v>
      </c>
      <c r="AR79" s="69" t="n">
        <f aca="false">IF(AR$4=1,Inputs!$E$68,0)</f>
        <v>0</v>
      </c>
      <c r="AS79" s="69" t="n">
        <f aca="false">IF(AS$4=1,Inputs!$E$68,0)</f>
        <v>0</v>
      </c>
      <c r="AT79" s="69" t="n">
        <f aca="false">IF(AT$4=1,Inputs!$E$68,0)</f>
        <v>0</v>
      </c>
      <c r="AU79" s="69" t="n">
        <f aca="false">IF(AU$4=1,Inputs!$E$68,0)</f>
        <v>0</v>
      </c>
      <c r="AV79" s="69" t="n">
        <f aca="false">IF(AV$4=1,Inputs!$E$68,0)</f>
        <v>0</v>
      </c>
      <c r="AW79" s="69" t="n">
        <f aca="false">IF(AW$4=1,Inputs!$E$68,0)</f>
        <v>0</v>
      </c>
      <c r="AX79" s="69" t="n">
        <f aca="false">IF(AX$4=1,Inputs!$E$68,0)</f>
        <v>0</v>
      </c>
      <c r="AY79" s="69" t="n">
        <f aca="false">IF(AY$4=1,Inputs!$E$68,0)</f>
        <v>0</v>
      </c>
      <c r="AZ79" s="69" t="n">
        <f aca="false">IF(AZ$4=1,Inputs!$E$68,0)</f>
        <v>0</v>
      </c>
      <c r="BA79" s="69" t="n">
        <f aca="false">IF(BA$4=1,Inputs!$E$68,0)</f>
        <v>0</v>
      </c>
      <c r="BB79" s="69" t="n">
        <f aca="false">IF(BB$4=1,Inputs!$E$68,0)</f>
        <v>0</v>
      </c>
      <c r="BC79" s="69" t="n">
        <f aca="false">IF(BC$4=1,Inputs!$E$68,0)</f>
        <v>0</v>
      </c>
      <c r="BD79" s="69" t="n">
        <f aca="false">IF(BD$4=1,Inputs!$E$68,0)</f>
        <v>0</v>
      </c>
      <c r="BE79" s="69" t="n">
        <f aca="false">IF(BE$4=1,Inputs!$E$68,0)</f>
        <v>0</v>
      </c>
      <c r="BF79" s="69" t="n">
        <f aca="false">IF(BF$4=1,Inputs!$E$68,0)</f>
        <v>0</v>
      </c>
      <c r="BG79" s="69" t="n">
        <f aca="false">IF(BG$4=1,Inputs!$E$68,0)</f>
        <v>0</v>
      </c>
      <c r="BH79" s="69" t="n">
        <f aca="false">IF(BH$4=1,Inputs!$E$68,0)</f>
        <v>0</v>
      </c>
      <c r="BI79" s="69" t="n">
        <f aca="false">IF(BI$4=1,Inputs!$E$68,0)</f>
        <v>0</v>
      </c>
      <c r="BJ79" s="69" t="n">
        <f aca="false">IF(BJ$4=1,Inputs!$E$68,0)</f>
        <v>0</v>
      </c>
    </row>
    <row r="80" customFormat="false" ht="15" hidden="false" customHeight="false" outlineLevel="0" collapsed="false">
      <c r="A80" s="6" t="s">
        <v>86</v>
      </c>
      <c r="C80" s="69" t="n">
        <f aca="false">-MIN(C78,Inputs!$E$68/MAX(1,Inputs!$E$70*12))</f>
        <v>-0</v>
      </c>
      <c r="D80" s="69" t="n">
        <f aca="false">-MIN(D78,Inputs!$E$68/MAX(1,Inputs!$E$70*12))</f>
        <v>-25000</v>
      </c>
      <c r="E80" s="69" t="n">
        <f aca="false">-MIN(E78,Inputs!$E$68/MAX(1,Inputs!$E$70*12))</f>
        <v>-25000</v>
      </c>
      <c r="F80" s="69" t="n">
        <f aca="false">-MIN(F78,Inputs!$E$68/MAX(1,Inputs!$E$70*12))</f>
        <v>-25000</v>
      </c>
      <c r="G80" s="69" t="n">
        <f aca="false">-MIN(G78,Inputs!$E$68/MAX(1,Inputs!$E$70*12))</f>
        <v>-25000</v>
      </c>
      <c r="H80" s="69" t="n">
        <f aca="false">-MIN(H78,Inputs!$E$68/MAX(1,Inputs!$E$70*12))</f>
        <v>-25000</v>
      </c>
      <c r="I80" s="69" t="n">
        <f aca="false">-MIN(I78,Inputs!$E$68/MAX(1,Inputs!$E$70*12))</f>
        <v>-25000</v>
      </c>
      <c r="J80" s="69" t="n">
        <f aca="false">-MIN(J78,Inputs!$E$68/MAX(1,Inputs!$E$70*12))</f>
        <v>-25000</v>
      </c>
      <c r="K80" s="69" t="n">
        <f aca="false">-MIN(K78,Inputs!$E$68/MAX(1,Inputs!$E$70*12))</f>
        <v>-25000</v>
      </c>
      <c r="L80" s="69" t="n">
        <f aca="false">-MIN(L78,Inputs!$E$68/MAX(1,Inputs!$E$70*12))</f>
        <v>-25000</v>
      </c>
      <c r="M80" s="69" t="n">
        <f aca="false">-MIN(M78,Inputs!$E$68/MAX(1,Inputs!$E$70*12))</f>
        <v>-25000</v>
      </c>
      <c r="N80" s="69" t="n">
        <f aca="false">-MIN(N78,Inputs!$E$68/MAX(1,Inputs!$E$70*12))</f>
        <v>-25000</v>
      </c>
      <c r="O80" s="69" t="n">
        <f aca="false">-MIN(O78,Inputs!$E$68/MAX(1,Inputs!$E$70*12))</f>
        <v>-25000</v>
      </c>
      <c r="P80" s="69" t="n">
        <f aca="false">-MIN(P78,Inputs!$E$68/MAX(1,Inputs!$E$70*12))</f>
        <v>-25000</v>
      </c>
      <c r="Q80" s="69" t="n">
        <f aca="false">-MIN(Q78,Inputs!$E$68/MAX(1,Inputs!$E$70*12))</f>
        <v>-25000</v>
      </c>
      <c r="R80" s="69" t="n">
        <f aca="false">-MIN(R78,Inputs!$E$68/MAX(1,Inputs!$E$70*12))</f>
        <v>-25000</v>
      </c>
      <c r="S80" s="69" t="n">
        <f aca="false">-MIN(S78,Inputs!$E$68/MAX(1,Inputs!$E$70*12))</f>
        <v>-25000</v>
      </c>
      <c r="T80" s="69" t="n">
        <f aca="false">-MIN(T78,Inputs!$E$68/MAX(1,Inputs!$E$70*12))</f>
        <v>-25000</v>
      </c>
      <c r="U80" s="69" t="n">
        <f aca="false">-MIN(U78,Inputs!$E$68/MAX(1,Inputs!$E$70*12))</f>
        <v>-25000</v>
      </c>
      <c r="V80" s="69" t="n">
        <f aca="false">-MIN(V78,Inputs!$E$68/MAX(1,Inputs!$E$70*12))</f>
        <v>-25000</v>
      </c>
      <c r="W80" s="69" t="n">
        <f aca="false">-MIN(W78,Inputs!$E$68/MAX(1,Inputs!$E$70*12))</f>
        <v>-25000</v>
      </c>
      <c r="X80" s="69" t="n">
        <f aca="false">-MIN(X78,Inputs!$E$68/MAX(1,Inputs!$E$70*12))</f>
        <v>-25000</v>
      </c>
      <c r="Y80" s="69" t="n">
        <f aca="false">-MIN(Y78,Inputs!$E$68/MAX(1,Inputs!$E$70*12))</f>
        <v>-25000</v>
      </c>
      <c r="Z80" s="69" t="n">
        <f aca="false">-MIN(Z78,Inputs!$E$68/MAX(1,Inputs!$E$70*12))</f>
        <v>-25000</v>
      </c>
      <c r="AA80" s="69" t="n">
        <f aca="false">-MIN(AA78,Inputs!$E$68/MAX(1,Inputs!$E$70*12))</f>
        <v>-25000</v>
      </c>
      <c r="AB80" s="69" t="n">
        <f aca="false">-MIN(AB78,Inputs!$E$68/MAX(1,Inputs!$E$70*12))</f>
        <v>-25000</v>
      </c>
      <c r="AC80" s="69" t="n">
        <f aca="false">-MIN(AC78,Inputs!$E$68/MAX(1,Inputs!$E$70*12))</f>
        <v>-25000</v>
      </c>
      <c r="AD80" s="69" t="n">
        <f aca="false">-MIN(AD78,Inputs!$E$68/MAX(1,Inputs!$E$70*12))</f>
        <v>-25000</v>
      </c>
      <c r="AE80" s="69" t="n">
        <f aca="false">-MIN(AE78,Inputs!$E$68/MAX(1,Inputs!$E$70*12))</f>
        <v>-25000</v>
      </c>
      <c r="AF80" s="69" t="n">
        <f aca="false">-MIN(AF78,Inputs!$E$68/MAX(1,Inputs!$E$70*12))</f>
        <v>-25000</v>
      </c>
      <c r="AG80" s="69" t="n">
        <f aca="false">-MIN(AG78,Inputs!$E$68/MAX(1,Inputs!$E$70*12))</f>
        <v>-25000</v>
      </c>
      <c r="AH80" s="69" t="n">
        <f aca="false">-MIN(AH78,Inputs!$E$68/MAX(1,Inputs!$E$70*12))</f>
        <v>-25000</v>
      </c>
      <c r="AI80" s="69" t="n">
        <f aca="false">-MIN(AI78,Inputs!$E$68/MAX(1,Inputs!$E$70*12))</f>
        <v>-25000</v>
      </c>
      <c r="AJ80" s="69" t="n">
        <f aca="false">-MIN(AJ78,Inputs!$E$68/MAX(1,Inputs!$E$70*12))</f>
        <v>-25000</v>
      </c>
      <c r="AK80" s="69" t="n">
        <f aca="false">-MIN(AK78,Inputs!$E$68/MAX(1,Inputs!$E$70*12))</f>
        <v>-25000</v>
      </c>
      <c r="AL80" s="69" t="n">
        <f aca="false">-MIN(AL78,Inputs!$E$68/MAX(1,Inputs!$E$70*12))</f>
        <v>-25000</v>
      </c>
      <c r="AM80" s="69" t="n">
        <f aca="false">-MIN(AM78,Inputs!$E$68/MAX(1,Inputs!$E$70*12))</f>
        <v>-25000</v>
      </c>
      <c r="AN80" s="69" t="n">
        <f aca="false">-MIN(AN78,Inputs!$E$68/MAX(1,Inputs!$E$70*12))</f>
        <v>-25000</v>
      </c>
      <c r="AO80" s="69" t="n">
        <f aca="false">-MIN(AO78,Inputs!$E$68/MAX(1,Inputs!$E$70*12))</f>
        <v>-25000</v>
      </c>
      <c r="AP80" s="69" t="n">
        <f aca="false">-MIN(AP78,Inputs!$E$68/MAX(1,Inputs!$E$70*12))</f>
        <v>-25000</v>
      </c>
      <c r="AQ80" s="69" t="n">
        <f aca="false">-MIN(AQ78,Inputs!$E$68/MAX(1,Inputs!$E$70*12))</f>
        <v>-25000</v>
      </c>
      <c r="AR80" s="69" t="n">
        <f aca="false">-MIN(AR78,Inputs!$E$68/MAX(1,Inputs!$E$70*12))</f>
        <v>-25000</v>
      </c>
      <c r="AS80" s="69" t="n">
        <f aca="false">-MIN(AS78,Inputs!$E$68/MAX(1,Inputs!$E$70*12))</f>
        <v>-25000</v>
      </c>
      <c r="AT80" s="69" t="n">
        <f aca="false">-MIN(AT78,Inputs!$E$68/MAX(1,Inputs!$E$70*12))</f>
        <v>-25000</v>
      </c>
      <c r="AU80" s="69" t="n">
        <f aca="false">-MIN(AU78,Inputs!$E$68/MAX(1,Inputs!$E$70*12))</f>
        <v>-25000</v>
      </c>
      <c r="AV80" s="69" t="n">
        <f aca="false">-MIN(AV78,Inputs!$E$68/MAX(1,Inputs!$E$70*12))</f>
        <v>-25000</v>
      </c>
      <c r="AW80" s="69" t="n">
        <f aca="false">-MIN(AW78,Inputs!$E$68/MAX(1,Inputs!$E$70*12))</f>
        <v>-25000</v>
      </c>
      <c r="AX80" s="69" t="n">
        <f aca="false">-MIN(AX78,Inputs!$E$68/MAX(1,Inputs!$E$70*12))</f>
        <v>-25000</v>
      </c>
      <c r="AY80" s="69" t="n">
        <f aca="false">-MIN(AY78,Inputs!$E$68/MAX(1,Inputs!$E$70*12))</f>
        <v>-25000</v>
      </c>
      <c r="AZ80" s="69" t="n">
        <f aca="false">-MIN(AZ78,Inputs!$E$68/MAX(1,Inputs!$E$70*12))</f>
        <v>-25000</v>
      </c>
      <c r="BA80" s="69" t="n">
        <f aca="false">-MIN(BA78,Inputs!$E$68/MAX(1,Inputs!$E$70*12))</f>
        <v>-25000</v>
      </c>
      <c r="BB80" s="69" t="n">
        <f aca="false">-MIN(BB78,Inputs!$E$68/MAX(1,Inputs!$E$70*12))</f>
        <v>-25000</v>
      </c>
      <c r="BC80" s="69" t="n">
        <f aca="false">-MIN(BC78,Inputs!$E$68/MAX(1,Inputs!$E$70*12))</f>
        <v>-25000</v>
      </c>
      <c r="BD80" s="69" t="n">
        <f aca="false">-MIN(BD78,Inputs!$E$68/MAX(1,Inputs!$E$70*12))</f>
        <v>-25000</v>
      </c>
      <c r="BE80" s="69" t="n">
        <f aca="false">-MIN(BE78,Inputs!$E$68/MAX(1,Inputs!$E$70*12))</f>
        <v>-25000</v>
      </c>
      <c r="BF80" s="69" t="n">
        <f aca="false">-MIN(BF78,Inputs!$E$68/MAX(1,Inputs!$E$70*12))</f>
        <v>-25000</v>
      </c>
      <c r="BG80" s="69" t="n">
        <f aca="false">-MIN(BG78,Inputs!$E$68/MAX(1,Inputs!$E$70*12))</f>
        <v>-25000</v>
      </c>
      <c r="BH80" s="69" t="n">
        <f aca="false">-MIN(BH78,Inputs!$E$68/MAX(1,Inputs!$E$70*12))</f>
        <v>-25000</v>
      </c>
      <c r="BI80" s="69" t="n">
        <f aca="false">-MIN(BI78,Inputs!$E$68/MAX(1,Inputs!$E$70*12))</f>
        <v>-25000</v>
      </c>
      <c r="BJ80" s="69" t="n">
        <f aca="false">-MIN(BJ78,Inputs!$E$68/MAX(1,Inputs!$E$70*12))</f>
        <v>-25000</v>
      </c>
    </row>
    <row r="81" customFormat="false" ht="15" hidden="false" customHeight="false" outlineLevel="0" collapsed="false">
      <c r="A81" s="4" t="s">
        <v>454</v>
      </c>
      <c r="C81" s="75" t="n">
        <f aca="false">C78+C79+C80</f>
        <v>3000000</v>
      </c>
      <c r="D81" s="75" t="n">
        <f aca="false">D78+D79+D80</f>
        <v>2975000</v>
      </c>
      <c r="E81" s="75" t="n">
        <f aca="false">E78+E79+E80</f>
        <v>2950000</v>
      </c>
      <c r="F81" s="75" t="n">
        <f aca="false">F78+F79+F80</f>
        <v>2925000</v>
      </c>
      <c r="G81" s="75" t="n">
        <f aca="false">G78+G79+G80</f>
        <v>2900000</v>
      </c>
      <c r="H81" s="75" t="n">
        <f aca="false">H78+H79+H80</f>
        <v>2875000</v>
      </c>
      <c r="I81" s="75" t="n">
        <f aca="false">I78+I79+I80</f>
        <v>2850000</v>
      </c>
      <c r="J81" s="75" t="n">
        <f aca="false">J78+J79+J80</f>
        <v>2825000</v>
      </c>
      <c r="K81" s="75" t="n">
        <f aca="false">K78+K79+K80</f>
        <v>2800000</v>
      </c>
      <c r="L81" s="75" t="n">
        <f aca="false">L78+L79+L80</f>
        <v>2775000</v>
      </c>
      <c r="M81" s="75" t="n">
        <f aca="false">M78+M79+M80</f>
        <v>2750000</v>
      </c>
      <c r="N81" s="75" t="n">
        <f aca="false">N78+N79+N80</f>
        <v>2725000</v>
      </c>
      <c r="O81" s="75" t="n">
        <f aca="false">O78+O79+O80</f>
        <v>2700000</v>
      </c>
      <c r="P81" s="75" t="n">
        <f aca="false">P78+P79+P80</f>
        <v>2675000</v>
      </c>
      <c r="Q81" s="75" t="n">
        <f aca="false">Q78+Q79+Q80</f>
        <v>2650000</v>
      </c>
      <c r="R81" s="75" t="n">
        <f aca="false">R78+R79+R80</f>
        <v>2625000</v>
      </c>
      <c r="S81" s="75" t="n">
        <f aca="false">S78+S79+S80</f>
        <v>2600000</v>
      </c>
      <c r="T81" s="75" t="n">
        <f aca="false">T78+T79+T80</f>
        <v>2575000</v>
      </c>
      <c r="U81" s="75" t="n">
        <f aca="false">U78+U79+U80</f>
        <v>2550000</v>
      </c>
      <c r="V81" s="75" t="n">
        <f aca="false">V78+V79+V80</f>
        <v>2525000</v>
      </c>
      <c r="W81" s="75" t="n">
        <f aca="false">W78+W79+W80</f>
        <v>2500000</v>
      </c>
      <c r="X81" s="75" t="n">
        <f aca="false">X78+X79+X80</f>
        <v>2475000</v>
      </c>
      <c r="Y81" s="75" t="n">
        <f aca="false">Y78+Y79+Y80</f>
        <v>2450000</v>
      </c>
      <c r="Z81" s="75" t="n">
        <f aca="false">Z78+Z79+Z80</f>
        <v>2425000</v>
      </c>
      <c r="AA81" s="75" t="n">
        <f aca="false">AA78+AA79+AA80</f>
        <v>2400000</v>
      </c>
      <c r="AB81" s="75" t="n">
        <f aca="false">AB78+AB79+AB80</f>
        <v>2375000</v>
      </c>
      <c r="AC81" s="75" t="n">
        <f aca="false">AC78+AC79+AC80</f>
        <v>2350000</v>
      </c>
      <c r="AD81" s="75" t="n">
        <f aca="false">AD78+AD79+AD80</f>
        <v>2325000</v>
      </c>
      <c r="AE81" s="75" t="n">
        <f aca="false">AE78+AE79+AE80</f>
        <v>2300000</v>
      </c>
      <c r="AF81" s="75" t="n">
        <f aca="false">AF78+AF79+AF80</f>
        <v>2275000</v>
      </c>
      <c r="AG81" s="75" t="n">
        <f aca="false">AG78+AG79+AG80</f>
        <v>2250000</v>
      </c>
      <c r="AH81" s="75" t="n">
        <f aca="false">AH78+AH79+AH80</f>
        <v>2225000</v>
      </c>
      <c r="AI81" s="75" t="n">
        <f aca="false">AI78+AI79+AI80</f>
        <v>2200000</v>
      </c>
      <c r="AJ81" s="75" t="n">
        <f aca="false">AJ78+AJ79+AJ80</f>
        <v>2175000</v>
      </c>
      <c r="AK81" s="75" t="n">
        <f aca="false">AK78+AK79+AK80</f>
        <v>2150000</v>
      </c>
      <c r="AL81" s="75" t="n">
        <f aca="false">AL78+AL79+AL80</f>
        <v>2125000</v>
      </c>
      <c r="AM81" s="75" t="n">
        <f aca="false">AM78+AM79+AM80</f>
        <v>2100000</v>
      </c>
      <c r="AN81" s="75" t="n">
        <f aca="false">AN78+AN79+AN80</f>
        <v>2075000</v>
      </c>
      <c r="AO81" s="75" t="n">
        <f aca="false">AO78+AO79+AO80</f>
        <v>2050000</v>
      </c>
      <c r="AP81" s="75" t="n">
        <f aca="false">AP78+AP79+AP80</f>
        <v>2025000</v>
      </c>
      <c r="AQ81" s="75" t="n">
        <f aca="false">AQ78+AQ79+AQ80</f>
        <v>2000000</v>
      </c>
      <c r="AR81" s="75" t="n">
        <f aca="false">AR78+AR79+AR80</f>
        <v>1975000</v>
      </c>
      <c r="AS81" s="75" t="n">
        <f aca="false">AS78+AS79+AS80</f>
        <v>1950000</v>
      </c>
      <c r="AT81" s="75" t="n">
        <f aca="false">AT78+AT79+AT80</f>
        <v>1925000</v>
      </c>
      <c r="AU81" s="75" t="n">
        <f aca="false">AU78+AU79+AU80</f>
        <v>1900000</v>
      </c>
      <c r="AV81" s="75" t="n">
        <f aca="false">AV78+AV79+AV80</f>
        <v>1875000</v>
      </c>
      <c r="AW81" s="75" t="n">
        <f aca="false">AW78+AW79+AW80</f>
        <v>1850000</v>
      </c>
      <c r="AX81" s="75" t="n">
        <f aca="false">AX78+AX79+AX80</f>
        <v>1825000</v>
      </c>
      <c r="AY81" s="75" t="n">
        <f aca="false">AY78+AY79+AY80</f>
        <v>1800000</v>
      </c>
      <c r="AZ81" s="75" t="n">
        <f aca="false">AZ78+AZ79+AZ80</f>
        <v>1775000</v>
      </c>
      <c r="BA81" s="75" t="n">
        <f aca="false">BA78+BA79+BA80</f>
        <v>1750000</v>
      </c>
      <c r="BB81" s="75" t="n">
        <f aca="false">BB78+BB79+BB80</f>
        <v>1725000</v>
      </c>
      <c r="BC81" s="75" t="n">
        <f aca="false">BC78+BC79+BC80</f>
        <v>1700000</v>
      </c>
      <c r="BD81" s="75" t="n">
        <f aca="false">BD78+BD79+BD80</f>
        <v>1675000</v>
      </c>
      <c r="BE81" s="75" t="n">
        <f aca="false">BE78+BE79+BE80</f>
        <v>1650000</v>
      </c>
      <c r="BF81" s="75" t="n">
        <f aca="false">BF78+BF79+BF80</f>
        <v>1625000</v>
      </c>
      <c r="BG81" s="75" t="n">
        <f aca="false">BG78+BG79+BG80</f>
        <v>1600000</v>
      </c>
      <c r="BH81" s="75" t="n">
        <f aca="false">BH78+BH79+BH80</f>
        <v>1575000</v>
      </c>
      <c r="BI81" s="75" t="n">
        <f aca="false">BI78+BI79+BI80</f>
        <v>1550000</v>
      </c>
      <c r="BJ81" s="75" t="n">
        <f aca="false">BJ78+BJ79+BJ80</f>
        <v>1525000</v>
      </c>
    </row>
    <row r="83" customFormat="false" ht="15.75" hidden="false" customHeight="true" outlineLevel="0" collapsed="false">
      <c r="A83" s="7" t="s">
        <v>324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customFormat="false" ht="15" hidden="false" customHeight="false" outlineLevel="0" collapsed="false">
      <c r="A84" s="6" t="s">
        <v>90</v>
      </c>
      <c r="C84" s="69" t="n">
        <f aca="false">C37*Inputs!$E$73/30</f>
        <v>3196.22386666667</v>
      </c>
      <c r="D84" s="69" t="n">
        <f aca="false">D37*Inputs!$E$73/30</f>
        <v>3629.92906014815</v>
      </c>
      <c r="E84" s="69" t="n">
        <f aca="false">E37*Inputs!$E$73/30</f>
        <v>4851.56011996444</v>
      </c>
      <c r="F84" s="69" t="n">
        <f aca="false">F37*Inputs!$E$73/30</f>
        <v>5403.45992257327</v>
      </c>
      <c r="G84" s="69" t="n">
        <f aca="false">G37*Inputs!$E$73/30</f>
        <v>5966.01842937405</v>
      </c>
      <c r="H84" s="69" t="n">
        <f aca="false">H37*Inputs!$E$73/30</f>
        <v>6538.80929219909</v>
      </c>
      <c r="I84" s="69" t="n">
        <f aca="false">I37*Inputs!$E$73/30</f>
        <v>7121.42321680742</v>
      </c>
      <c r="J84" s="69" t="n">
        <f aca="false">J37*Inputs!$E$73/30</f>
        <v>7713.46728072771</v>
      </c>
      <c r="K84" s="69" t="n">
        <f aca="false">K37*Inputs!$E$73/30</f>
        <v>8314.5642783875</v>
      </c>
      <c r="L84" s="69" t="n">
        <f aca="false">L37*Inputs!$E$73/30</f>
        <v>8924.35209243718</v>
      </c>
      <c r="M84" s="69" t="n">
        <f aca="false">M37*Inputs!$E$73/30</f>
        <v>9103.03667540636</v>
      </c>
      <c r="N84" s="69" t="n">
        <f aca="false">N37*Inputs!$E$73/30</f>
        <v>7915.98187505677</v>
      </c>
      <c r="O84" s="69" t="n">
        <f aca="false">O37*Inputs!$E$73/30</f>
        <v>8219.27213205559</v>
      </c>
      <c r="P84" s="69" t="n">
        <f aca="false">P37*Inputs!$E$73/30</f>
        <v>8361.41892677337</v>
      </c>
      <c r="Q84" s="69" t="n">
        <f aca="false">Q37*Inputs!$E$73/30</f>
        <v>9883.64368970243</v>
      </c>
      <c r="R84" s="69" t="n">
        <f aca="false">R37*Inputs!$E$73/30</f>
        <v>10040.6197821143</v>
      </c>
      <c r="S84" s="69" t="n">
        <f aca="false">S37*Inputs!$E$73/30</f>
        <v>10191.3168308298</v>
      </c>
      <c r="T84" s="69" t="n">
        <f aca="false">T37*Inputs!$E$73/30</f>
        <v>10335.9859975966</v>
      </c>
      <c r="U84" s="69" t="n">
        <f aca="false">U37*Inputs!$E$73/30</f>
        <v>10474.8683976927</v>
      </c>
      <c r="V84" s="69" t="n">
        <f aca="false">V37*Inputs!$E$73/30</f>
        <v>10608.195501785</v>
      </c>
      <c r="W84" s="69" t="n">
        <f aca="false">W37*Inputs!$E$73/30</f>
        <v>10736.1895217136</v>
      </c>
      <c r="X84" s="69" t="n">
        <f aca="false">X37*Inputs!$E$73/30</f>
        <v>10859.0637808451</v>
      </c>
      <c r="Y84" s="69" t="n">
        <f aca="false">Y37*Inputs!$E$73/30</f>
        <v>10977.0230696113</v>
      </c>
      <c r="Z84" s="69" t="n">
        <f aca="false">Z37*Inputs!$E$73/30</f>
        <v>9704.5001468268</v>
      </c>
      <c r="AA84" s="69" t="n">
        <f aca="false">AA37*Inputs!$E$73/30</f>
        <v>9986.1688023728</v>
      </c>
      <c r="AB84" s="69" t="n">
        <f aca="false">AB37*Inputs!$E$73/30</f>
        <v>10073.4305338779</v>
      </c>
      <c r="AC84" s="69" t="n">
        <f aca="false">AC37*Inputs!$E$73/30</f>
        <v>11570.6809129228</v>
      </c>
      <c r="AD84" s="69" t="n">
        <f aca="false">AD37*Inputs!$E$73/30</f>
        <v>11677.5944032059</v>
      </c>
      <c r="AE84" s="69" t="n">
        <f aca="false">AE37*Inputs!$E$73/30</f>
        <v>11780.2313538776</v>
      </c>
      <c r="AF84" s="69" t="n">
        <f aca="false">AF37*Inputs!$E$73/30</f>
        <v>11878.7628265225</v>
      </c>
      <c r="AG84" s="69" t="n">
        <f aca="false">AG37*Inputs!$E$73/30</f>
        <v>11973.3530402616</v>
      </c>
      <c r="AH84" s="69" t="n">
        <f aca="false">AH37*Inputs!$E$73/30</f>
        <v>12064.1596454512</v>
      </c>
      <c r="AI84" s="69" t="n">
        <f aca="false">AI37*Inputs!$E$73/30</f>
        <v>12151.3339864331</v>
      </c>
      <c r="AJ84" s="69" t="n">
        <f aca="false">AJ37*Inputs!$E$73/30</f>
        <v>12235.0213537758</v>
      </c>
      <c r="AK84" s="69" t="n">
        <f aca="false">AK37*Inputs!$E$73/30</f>
        <v>12315.3612264248</v>
      </c>
      <c r="AL84" s="69" t="n">
        <f aca="false">AL37*Inputs!$E$73/30</f>
        <v>10979.0083873678</v>
      </c>
      <c r="AM84" s="69" t="n">
        <f aca="false">AM37*Inputs!$E$73/30</f>
        <v>11250.5001131575</v>
      </c>
      <c r="AN84" s="69" t="n">
        <f aca="false">AN37*Inputs!$E$73/30</f>
        <v>11303.7476558532</v>
      </c>
      <c r="AO84" s="69" t="n">
        <f aca="false">AO37*Inputs!$E$73/30</f>
        <v>12796.6139959771</v>
      </c>
      <c r="AP84" s="69" t="n">
        <f aca="false">AP37*Inputs!$E$73/30</f>
        <v>12872.709871424</v>
      </c>
      <c r="AQ84" s="69" t="n">
        <f aca="false">AQ37*Inputs!$E$73/30</f>
        <v>12945.761911853</v>
      </c>
      <c r="AR84" s="69" t="n">
        <f aca="false">AR37*Inputs!$E$73/30</f>
        <v>13015.8918706649</v>
      </c>
      <c r="AS84" s="69" t="n">
        <f aca="false">AS37*Inputs!$E$73/30</f>
        <v>13083.2166311243</v>
      </c>
      <c r="AT84" s="69" t="n">
        <f aca="false">AT37*Inputs!$E$73/30</f>
        <v>13147.8484011654</v>
      </c>
      <c r="AU84" s="69" t="n">
        <f aca="false">AU37*Inputs!$E$73/30</f>
        <v>13209.8949004047</v>
      </c>
      <c r="AV84" s="69" t="n">
        <f aca="false">AV37*Inputs!$E$73/30</f>
        <v>13269.4595396745</v>
      </c>
      <c r="AW84" s="69" t="n">
        <f aca="false">AW37*Inputs!$E$73/30</f>
        <v>13326.6415933736</v>
      </c>
      <c r="AX84" s="69" t="n">
        <f aca="false">AX37*Inputs!$E$73/30</f>
        <v>11939.7876657886</v>
      </c>
      <c r="AY84" s="69" t="n">
        <f aca="false">AY37*Inputs!$E$73/30</f>
        <v>12208.4277112169</v>
      </c>
      <c r="AZ84" s="69" t="n">
        <f aca="false">AZ37*Inputs!$E$73/30</f>
        <v>12240.7329623551</v>
      </c>
      <c r="BA84" s="69" t="n">
        <f aca="false">BA37*Inputs!$E$73/30</f>
        <v>13742.3296765665</v>
      </c>
      <c r="BB84" s="69" t="n">
        <f aca="false">BB37*Inputs!$E$73/30</f>
        <v>13799.665594916</v>
      </c>
      <c r="BC84" s="69" t="n">
        <f aca="false">BC37*Inputs!$E$73/30</f>
        <v>13854.7080765315</v>
      </c>
      <c r="BD84" s="69" t="n">
        <f aca="false">BD37*Inputs!$E$73/30</f>
        <v>13907.5488588824</v>
      </c>
      <c r="BE84" s="69" t="n">
        <f aca="false">BE37*Inputs!$E$73/30</f>
        <v>13958.2760099393</v>
      </c>
      <c r="BF84" s="69" t="n">
        <f aca="false">BF37*Inputs!$E$73/30</f>
        <v>14006.9740749539</v>
      </c>
      <c r="BG84" s="69" t="n">
        <f aca="false">BG37*Inputs!$E$73/30</f>
        <v>14053.7242173679</v>
      </c>
      <c r="BH84" s="69" t="n">
        <f aca="false">BH37*Inputs!$E$73/30</f>
        <v>14098.6043540854</v>
      </c>
      <c r="BI84" s="69" t="n">
        <f aca="false">BI37*Inputs!$E$73/30</f>
        <v>14141.6892853341</v>
      </c>
      <c r="BJ84" s="69" t="n">
        <f aca="false">BJ37*Inputs!$E$73/30</f>
        <v>12712.4671462142</v>
      </c>
    </row>
    <row r="85" customFormat="false" ht="15" hidden="false" customHeight="false" outlineLevel="0" collapsed="false">
      <c r="A85" s="6" t="s">
        <v>91</v>
      </c>
      <c r="C85" s="69" t="n">
        <f aca="false">-C45*Inputs!$E$74/30</f>
        <v>3535.97287295</v>
      </c>
      <c r="D85" s="69" t="n">
        <f aca="false">-D45*Inputs!$E$74/30</f>
        <v>4015.72440315978</v>
      </c>
      <c r="E85" s="69" t="n">
        <f aca="false">-E45*Inputs!$E$74/30</f>
        <v>5538.41762848136</v>
      </c>
      <c r="F85" s="69" t="n">
        <f aca="false">-F45*Inputs!$E$74/30</f>
        <v>6180.84844069211</v>
      </c>
      <c r="G85" s="69" t="n">
        <f aca="false">-G45*Inputs!$E$74/30</f>
        <v>6839.35924051442</v>
      </c>
      <c r="H85" s="69" t="n">
        <f aca="false">-H45*Inputs!$E$74/30</f>
        <v>7513.30682844384</v>
      </c>
      <c r="I85" s="69" t="n">
        <f aca="false">-I45*Inputs!$E$74/30</f>
        <v>8202.07373295609</v>
      </c>
      <c r="J85" s="69" t="n">
        <f aca="false">-J45*Inputs!$E$74/30</f>
        <v>8905.06718138785</v>
      </c>
      <c r="K85" s="69" t="n">
        <f aca="false">-K45*Inputs!$E$74/30</f>
        <v>9621.71811198233</v>
      </c>
      <c r="L85" s="69" t="n">
        <f aca="false">-L45*Inputs!$E$74/30</f>
        <v>10351.480225453</v>
      </c>
      <c r="M85" s="69" t="n">
        <f aca="false">-M45*Inputs!$E$74/30</f>
        <v>10621.0482544349</v>
      </c>
      <c r="N85" s="69" t="n">
        <f aca="false">-N45*Inputs!$E$74/30</f>
        <v>8885.78253780614</v>
      </c>
      <c r="O85" s="69" t="n">
        <f aca="false">-O45*Inputs!$E$74/30</f>
        <v>9319.28292728009</v>
      </c>
      <c r="P85" s="69" t="n">
        <f aca="false">-P45*Inputs!$E$74/30</f>
        <v>9500.42236462389</v>
      </c>
      <c r="Q85" s="69" t="n">
        <f aca="false">-Q45*Inputs!$E$74/30</f>
        <v>11829.7121932812</v>
      </c>
      <c r="R85" s="69" t="n">
        <f aca="false">-R45*Inputs!$E$74/30</f>
        <v>12068.5057255649</v>
      </c>
      <c r="S85" s="69" t="n">
        <f aca="false">-S45*Inputs!$E$74/30</f>
        <v>12297.7475165574</v>
      </c>
      <c r="T85" s="69" t="n">
        <f aca="false">-T45*Inputs!$E$74/30</f>
        <v>12517.8196359101</v>
      </c>
      <c r="U85" s="69" t="n">
        <f aca="false">-U45*Inputs!$E$74/30</f>
        <v>12729.0888704887</v>
      </c>
      <c r="V85" s="69" t="n">
        <f aca="false">-V45*Inputs!$E$74/30</f>
        <v>12931.9073356841</v>
      </c>
      <c r="W85" s="69" t="n">
        <f aca="false">-W45*Inputs!$E$74/30</f>
        <v>13126.6130622717</v>
      </c>
      <c r="X85" s="69" t="n">
        <f aca="false">-X45*Inputs!$E$74/30</f>
        <v>13313.5305597959</v>
      </c>
      <c r="Y85" s="69" t="n">
        <f aca="false">-Y45*Inputs!$E$74/30</f>
        <v>13492.971357419</v>
      </c>
      <c r="Z85" s="69" t="n">
        <f aca="false">-Z45*Inputs!$E$74/30</f>
        <v>11211.9275518532</v>
      </c>
      <c r="AA85" s="69" t="n">
        <f aca="false">-AA45*Inputs!$E$74/30</f>
        <v>11638.9537794879</v>
      </c>
      <c r="AB85" s="69" t="n">
        <f aca="false">-AB45*Inputs!$E$74/30</f>
        <v>11751.0501890855</v>
      </c>
      <c r="AC85" s="69" t="n">
        <f aca="false">-AC45*Inputs!$E$74/30</f>
        <v>14446.927393797</v>
      </c>
      <c r="AD85" s="69" t="n">
        <f aca="false">-AD45*Inputs!$E$74/30</f>
        <v>14610.9238670659</v>
      </c>
      <c r="AE85" s="69" t="n">
        <f aca="false">-AE45*Inputs!$E$74/30</f>
        <v>14768.360481404</v>
      </c>
      <c r="AF85" s="69" t="n">
        <f aca="false">-AF45*Inputs!$E$74/30</f>
        <v>14919.4996311686</v>
      </c>
      <c r="AG85" s="69" t="n">
        <f aca="false">-AG45*Inputs!$E$74/30</f>
        <v>15064.5932149426</v>
      </c>
      <c r="AH85" s="69" t="n">
        <f aca="false">-AH45*Inputs!$E$74/30</f>
        <v>15203.8830553657</v>
      </c>
      <c r="AI85" s="69" t="n">
        <f aca="false">-AI45*Inputs!$E$74/30</f>
        <v>15337.6013021718</v>
      </c>
      <c r="AJ85" s="69" t="n">
        <f aca="false">-AJ45*Inputs!$E$74/30</f>
        <v>15465.9708191057</v>
      </c>
      <c r="AK85" s="69" t="n">
        <f aca="false">-AK45*Inputs!$E$74/30</f>
        <v>15589.2055553623</v>
      </c>
      <c r="AL85" s="69" t="n">
        <f aca="false">-AL45*Inputs!$E$74/30</f>
        <v>12914.3553887009</v>
      </c>
      <c r="AM85" s="69" t="n">
        <f aca="false">-AM45*Inputs!$E$74/30</f>
        <v>13344.308132007</v>
      </c>
      <c r="AN85" s="69" t="n">
        <f aca="false">-AN45*Inputs!$E$74/30</f>
        <v>13413.2630667668</v>
      </c>
      <c r="AO85" s="69" t="n">
        <f aca="false">-AO45*Inputs!$E$74/30</f>
        <v>16392.5741857616</v>
      </c>
      <c r="AP85" s="69" t="n">
        <f aca="false">-AP45*Inputs!$E$74/30</f>
        <v>16510.2754826419</v>
      </c>
      <c r="AQ85" s="69" t="n">
        <f aca="false">-AQ45*Inputs!$E$74/30</f>
        <v>16623.2687276469</v>
      </c>
      <c r="AR85" s="69" t="n">
        <f aca="false">-AR45*Inputs!$E$74/30</f>
        <v>16731.7422428517</v>
      </c>
      <c r="AS85" s="69" t="n">
        <f aca="false">-AS45*Inputs!$E$74/30</f>
        <v>16835.8768174484</v>
      </c>
      <c r="AT85" s="69" t="n">
        <f aca="false">-AT45*Inputs!$E$74/30</f>
        <v>16935.8460090612</v>
      </c>
      <c r="AU85" s="69" t="n">
        <f aca="false">-AU45*Inputs!$E$74/30</f>
        <v>17031.8164330094</v>
      </c>
      <c r="AV85" s="69" t="n">
        <f aca="false">-AV45*Inputs!$E$74/30</f>
        <v>17123.9480399998</v>
      </c>
      <c r="AW85" s="69" t="n">
        <f aca="false">-AW45*Inputs!$E$74/30</f>
        <v>17212.3943827105</v>
      </c>
      <c r="AX85" s="69" t="n">
        <f aca="false">-AX45*Inputs!$E$74/30</f>
        <v>14236.9273180993</v>
      </c>
      <c r="AY85" s="69" t="n">
        <f aca="false">-AY45*Inputs!$E$74/30</f>
        <v>14676.131687875</v>
      </c>
      <c r="AZ85" s="69" t="n">
        <f aca="false">-AZ45*Inputs!$E$74/30</f>
        <v>14718.3054886929</v>
      </c>
      <c r="BA85" s="69" t="n">
        <f aca="false">-BA45*Inputs!$E$74/30</f>
        <v>17931.4199620932</v>
      </c>
      <c r="BB85" s="69" t="n">
        <f aca="false">-BB45*Inputs!$E$74/30</f>
        <v>18020.8472729085</v>
      </c>
      <c r="BC85" s="69" t="n">
        <f aca="false">-BC45*Inputs!$E$74/30</f>
        <v>18106.6974912911</v>
      </c>
      <c r="BD85" s="69" t="n">
        <f aca="false">-BD45*Inputs!$E$74/30</f>
        <v>18189.1137009384</v>
      </c>
      <c r="BE85" s="69" t="n">
        <f aca="false">-BE45*Inputs!$E$74/30</f>
        <v>18268.2332621999</v>
      </c>
      <c r="BF85" s="69" t="n">
        <f aca="false">-BF45*Inputs!$E$74/30</f>
        <v>18344.1880410108</v>
      </c>
      <c r="BG85" s="69" t="n">
        <f aca="false">-BG45*Inputs!$E$74/30</f>
        <v>18417.1046286694</v>
      </c>
      <c r="BH85" s="69" t="n">
        <f aca="false">-BH45*Inputs!$E$74/30</f>
        <v>18487.1045528216</v>
      </c>
      <c r="BI85" s="69" t="n">
        <f aca="false">-BI45*Inputs!$E$74/30</f>
        <v>18554.3044800077</v>
      </c>
      <c r="BJ85" s="69" t="n">
        <f aca="false">-BJ45*Inputs!$E$74/30</f>
        <v>15334.1441777025</v>
      </c>
    </row>
    <row r="86" customFormat="false" ht="15" hidden="false" customHeight="false" outlineLevel="0" collapsed="false">
      <c r="A86" s="6" t="s">
        <v>94</v>
      </c>
      <c r="C86" s="69" t="n">
        <f aca="false">-C45*Inputs!$E$75/30</f>
        <v>5893.28812158333</v>
      </c>
      <c r="D86" s="69" t="n">
        <f aca="false">-D45*Inputs!$E$75/30</f>
        <v>6692.8740052663</v>
      </c>
      <c r="E86" s="69" t="n">
        <f aca="false">-E45*Inputs!$E$75/30</f>
        <v>9230.69604746893</v>
      </c>
      <c r="F86" s="69" t="n">
        <f aca="false">-F45*Inputs!$E$75/30</f>
        <v>10301.4140678202</v>
      </c>
      <c r="G86" s="69" t="n">
        <f aca="false">-G45*Inputs!$E$75/30</f>
        <v>11398.932067524</v>
      </c>
      <c r="H86" s="69" t="n">
        <f aca="false">-H45*Inputs!$E$75/30</f>
        <v>12522.1780474064</v>
      </c>
      <c r="I86" s="69" t="n">
        <f aca="false">-I45*Inputs!$E$75/30</f>
        <v>13670.1228882601</v>
      </c>
      <c r="J86" s="69" t="n">
        <f aca="false">-J45*Inputs!$E$75/30</f>
        <v>14841.7786356464</v>
      </c>
      <c r="K86" s="69" t="n">
        <f aca="false">-K45*Inputs!$E$75/30</f>
        <v>16036.1968533039</v>
      </c>
      <c r="L86" s="69" t="n">
        <f aca="false">-L45*Inputs!$E$75/30</f>
        <v>17252.4670424217</v>
      </c>
      <c r="M86" s="69" t="n">
        <f aca="false">-M45*Inputs!$E$75/30</f>
        <v>17701.7470907249</v>
      </c>
      <c r="N86" s="69" t="n">
        <f aca="false">-N45*Inputs!$E$75/30</f>
        <v>14809.6375630102</v>
      </c>
      <c r="O86" s="69" t="n">
        <f aca="false">-O45*Inputs!$E$75/30</f>
        <v>15532.1382121335</v>
      </c>
      <c r="P86" s="69" t="n">
        <f aca="false">-P45*Inputs!$E$75/30</f>
        <v>15834.0372743731</v>
      </c>
      <c r="Q86" s="69" t="n">
        <f aca="false">-Q45*Inputs!$E$75/30</f>
        <v>19716.186988802</v>
      </c>
      <c r="R86" s="69" t="n">
        <f aca="false">-R45*Inputs!$E$75/30</f>
        <v>20114.1762092749</v>
      </c>
      <c r="S86" s="69" t="n">
        <f aca="false">-S45*Inputs!$E$75/30</f>
        <v>20496.2458609289</v>
      </c>
      <c r="T86" s="69" t="n">
        <f aca="false">-T45*Inputs!$E$75/30</f>
        <v>20863.0327265168</v>
      </c>
      <c r="U86" s="69" t="n">
        <f aca="false">-U45*Inputs!$E$75/30</f>
        <v>21215.1481174811</v>
      </c>
      <c r="V86" s="69" t="n">
        <f aca="false">-V45*Inputs!$E$75/30</f>
        <v>21553.1788928068</v>
      </c>
      <c r="W86" s="69" t="n">
        <f aca="false">-W45*Inputs!$E$75/30</f>
        <v>21877.6884371196</v>
      </c>
      <c r="X86" s="69" t="n">
        <f aca="false">-X45*Inputs!$E$75/30</f>
        <v>22189.2175996598</v>
      </c>
      <c r="Y86" s="69" t="n">
        <f aca="false">-Y45*Inputs!$E$75/30</f>
        <v>22488.2855956984</v>
      </c>
      <c r="Z86" s="69" t="n">
        <f aca="false">-Z45*Inputs!$E$75/30</f>
        <v>18686.5459197554</v>
      </c>
      <c r="AA86" s="69" t="n">
        <f aca="false">-AA45*Inputs!$E$75/30</f>
        <v>19398.2562991465</v>
      </c>
      <c r="AB86" s="69" t="n">
        <f aca="false">-AB45*Inputs!$E$75/30</f>
        <v>19585.0836484758</v>
      </c>
      <c r="AC86" s="69" t="n">
        <f aca="false">-AC45*Inputs!$E$75/30</f>
        <v>24078.212322995</v>
      </c>
      <c r="AD86" s="69" t="n">
        <f aca="false">-AD45*Inputs!$E$75/30</f>
        <v>24351.5397784432</v>
      </c>
      <c r="AE86" s="69" t="n">
        <f aca="false">-AE45*Inputs!$E$75/30</f>
        <v>24613.9341356734</v>
      </c>
      <c r="AF86" s="69" t="n">
        <f aca="false">-AF45*Inputs!$E$75/30</f>
        <v>24865.8327186144</v>
      </c>
      <c r="AG86" s="69" t="n">
        <f aca="false">-AG45*Inputs!$E$75/30</f>
        <v>25107.6553582377</v>
      </c>
      <c r="AH86" s="69" t="n">
        <f aca="false">-AH45*Inputs!$E$75/30</f>
        <v>25339.8050922762</v>
      </c>
      <c r="AI86" s="69" t="n">
        <f aca="false">-AI45*Inputs!$E$75/30</f>
        <v>25562.6688369531</v>
      </c>
      <c r="AJ86" s="69" t="n">
        <f aca="false">-AJ45*Inputs!$E$75/30</f>
        <v>25776.6180318429</v>
      </c>
      <c r="AK86" s="69" t="n">
        <f aca="false">-AK45*Inputs!$E$75/30</f>
        <v>25982.0092589371</v>
      </c>
      <c r="AL86" s="69" t="n">
        <f aca="false">-AL45*Inputs!$E$75/30</f>
        <v>21523.9256478349</v>
      </c>
      <c r="AM86" s="69" t="n">
        <f aca="false">-AM45*Inputs!$E$75/30</f>
        <v>22240.513553345</v>
      </c>
      <c r="AN86" s="69" t="n">
        <f aca="false">-AN45*Inputs!$E$75/30</f>
        <v>22355.4384446114</v>
      </c>
      <c r="AO86" s="69" t="n">
        <f aca="false">-AO45*Inputs!$E$75/30</f>
        <v>27320.9569762693</v>
      </c>
      <c r="AP86" s="69" t="n">
        <f aca="false">-AP45*Inputs!$E$75/30</f>
        <v>27517.1258044031</v>
      </c>
      <c r="AQ86" s="69" t="n">
        <f aca="false">-AQ45*Inputs!$E$75/30</f>
        <v>27705.4478794115</v>
      </c>
      <c r="AR86" s="69" t="n">
        <f aca="false">-AR45*Inputs!$E$75/30</f>
        <v>27886.2370714195</v>
      </c>
      <c r="AS86" s="69" t="n">
        <f aca="false">-AS45*Inputs!$E$75/30</f>
        <v>28059.7946957473</v>
      </c>
      <c r="AT86" s="69" t="n">
        <f aca="false">-AT45*Inputs!$E$75/30</f>
        <v>28226.4100151019</v>
      </c>
      <c r="AU86" s="69" t="n">
        <f aca="false">-AU45*Inputs!$E$75/30</f>
        <v>28386.3607216824</v>
      </c>
      <c r="AV86" s="69" t="n">
        <f aca="false">-AV45*Inputs!$E$75/30</f>
        <v>28539.9133999996</v>
      </c>
      <c r="AW86" s="69" t="n">
        <f aca="false">-AW45*Inputs!$E$75/30</f>
        <v>28687.3239711841</v>
      </c>
      <c r="AX86" s="69" t="n">
        <f aca="false">-AX45*Inputs!$E$75/30</f>
        <v>23728.2121968321</v>
      </c>
      <c r="AY86" s="69" t="n">
        <f aca="false">-AY45*Inputs!$E$75/30</f>
        <v>24460.2194797916</v>
      </c>
      <c r="AZ86" s="69" t="n">
        <f aca="false">-AZ45*Inputs!$E$75/30</f>
        <v>24530.5091478215</v>
      </c>
      <c r="BA86" s="69" t="n">
        <f aca="false">-BA45*Inputs!$E$75/30</f>
        <v>29885.6999368221</v>
      </c>
      <c r="BB86" s="69" t="n">
        <f aca="false">-BB45*Inputs!$E$75/30</f>
        <v>30034.7454548475</v>
      </c>
      <c r="BC86" s="69" t="n">
        <f aca="false">-BC45*Inputs!$E$75/30</f>
        <v>30177.8291521518</v>
      </c>
      <c r="BD86" s="69" t="n">
        <f aca="false">-BD45*Inputs!$E$75/30</f>
        <v>30315.189501564</v>
      </c>
      <c r="BE86" s="69" t="n">
        <f aca="false">-BE45*Inputs!$E$75/30</f>
        <v>30447.0554369998</v>
      </c>
      <c r="BF86" s="69" t="n">
        <f aca="false">-BF45*Inputs!$E$75/30</f>
        <v>30573.6467350181</v>
      </c>
      <c r="BG86" s="69" t="n">
        <f aca="false">-BG45*Inputs!$E$75/30</f>
        <v>30695.1743811156</v>
      </c>
      <c r="BH86" s="69" t="n">
        <f aca="false">-BH45*Inputs!$E$75/30</f>
        <v>30811.8409213693</v>
      </c>
      <c r="BI86" s="69" t="n">
        <f aca="false">-BI45*Inputs!$E$75/30</f>
        <v>30923.8408000128</v>
      </c>
      <c r="BJ86" s="69" t="n">
        <f aca="false">-BJ45*Inputs!$E$75/30</f>
        <v>25556.9069628375</v>
      </c>
    </row>
    <row r="87" customFormat="false" ht="15" hidden="false" customHeight="false" outlineLevel="0" collapsed="false">
      <c r="A87" s="6" t="s">
        <v>346</v>
      </c>
      <c r="C87" s="69" t="n">
        <f aca="false">-C84</f>
        <v>-3196.22386666667</v>
      </c>
      <c r="D87" s="69" t="n">
        <f aca="false">C84-D84</f>
        <v>-433.705193481482</v>
      </c>
      <c r="E87" s="69" t="n">
        <f aca="false">D84-E84</f>
        <v>-1221.6310598163</v>
      </c>
      <c r="F87" s="69" t="n">
        <f aca="false">E84-F84</f>
        <v>-551.899802608829</v>
      </c>
      <c r="G87" s="69" t="n">
        <f aca="false">F84-G84</f>
        <v>-562.558506800773</v>
      </c>
      <c r="H87" s="69" t="n">
        <f aca="false">G84-H84</f>
        <v>-572.790862825039</v>
      </c>
      <c r="I87" s="69" t="n">
        <f aca="false">H84-I84</f>
        <v>-582.613924608332</v>
      </c>
      <c r="J87" s="69" t="n">
        <f aca="false">I84-J84</f>
        <v>-592.044063920296</v>
      </c>
      <c r="K87" s="69" t="n">
        <f aca="false">J84-K84</f>
        <v>-601.096997659782</v>
      </c>
      <c r="L87" s="69" t="n">
        <f aca="false">K84-L84</f>
        <v>-609.787814049685</v>
      </c>
      <c r="M87" s="69" t="n">
        <f aca="false">L84-M84</f>
        <v>-178.684582969179</v>
      </c>
      <c r="N87" s="69" t="n">
        <f aca="false">M84-N84</f>
        <v>1187.05480034959</v>
      </c>
      <c r="O87" s="69" t="n">
        <f aca="false">N84-O84</f>
        <v>-303.290256998819</v>
      </c>
      <c r="P87" s="69" t="n">
        <f aca="false">O84-P84</f>
        <v>-142.146794717777</v>
      </c>
      <c r="Q87" s="69" t="n">
        <f aca="false">P84-Q84</f>
        <v>-1522.22476292907</v>
      </c>
      <c r="R87" s="69" t="n">
        <f aca="false">Q84-R84</f>
        <v>-156.976092411904</v>
      </c>
      <c r="S87" s="69" t="n">
        <f aca="false">R84-S84</f>
        <v>-150.697048715427</v>
      </c>
      <c r="T87" s="69" t="n">
        <f aca="false">S84-T84</f>
        <v>-144.669166766809</v>
      </c>
      <c r="U87" s="69" t="n">
        <f aca="false">T84-U84</f>
        <v>-138.882400096136</v>
      </c>
      <c r="V87" s="69" t="n">
        <f aca="false">U84-V84</f>
        <v>-133.327104092292</v>
      </c>
      <c r="W87" s="69" t="n">
        <f aca="false">V84-W84</f>
        <v>-127.994019928599</v>
      </c>
      <c r="X87" s="69" t="n">
        <f aca="false">W84-X84</f>
        <v>-122.874259131457</v>
      </c>
      <c r="Y87" s="69" t="n">
        <f aca="false">X84-Y84</f>
        <v>-117.959288766197</v>
      </c>
      <c r="Z87" s="69" t="n">
        <f aca="false">Y84-Z84</f>
        <v>1272.52292278445</v>
      </c>
      <c r="AA87" s="69" t="n">
        <f aca="false">Z84-AA84</f>
        <v>-281.668655546002</v>
      </c>
      <c r="AB87" s="69" t="n">
        <f aca="false">AA84-AB84</f>
        <v>-87.2617315050902</v>
      </c>
      <c r="AC87" s="69" t="n">
        <f aca="false">AB84-AC84</f>
        <v>-1497.25037904488</v>
      </c>
      <c r="AD87" s="69" t="n">
        <f aca="false">AC84-AD84</f>
        <v>-106.913490283088</v>
      </c>
      <c r="AE87" s="69" t="n">
        <f aca="false">AD84-AE84</f>
        <v>-102.636950671766</v>
      </c>
      <c r="AF87" s="69" t="n">
        <f aca="false">AE84-AF84</f>
        <v>-98.5314726448942</v>
      </c>
      <c r="AG87" s="69" t="n">
        <f aca="false">AF84-AG84</f>
        <v>-94.5902137390985</v>
      </c>
      <c r="AH87" s="69" t="n">
        <f aca="false">AG84-AH84</f>
        <v>-90.806605189533</v>
      </c>
      <c r="AI87" s="69" t="n">
        <f aca="false">AH84-AI84</f>
        <v>-87.1743409819555</v>
      </c>
      <c r="AJ87" s="69" t="n">
        <f aca="false">AI84-AJ84</f>
        <v>-83.6873673426744</v>
      </c>
      <c r="AK87" s="69" t="n">
        <f aca="false">AJ84-AK84</f>
        <v>-80.3398726489686</v>
      </c>
      <c r="AL87" s="69" t="n">
        <f aca="false">AK84-AL84</f>
        <v>1336.35283905699</v>
      </c>
      <c r="AM87" s="69" t="n">
        <f aca="false">AL84-AM84</f>
        <v>-271.491725789752</v>
      </c>
      <c r="AN87" s="69" t="n">
        <f aca="false">AM84-AN84</f>
        <v>-53.2475426956989</v>
      </c>
      <c r="AO87" s="69" t="n">
        <f aca="false">AN84-AO84</f>
        <v>-1492.86634012387</v>
      </c>
      <c r="AP87" s="69" t="n">
        <f aca="false">AO84-AP84</f>
        <v>-76.0958754469157</v>
      </c>
      <c r="AQ87" s="69" t="n">
        <f aca="false">AP84-AQ84</f>
        <v>-73.0520404290382</v>
      </c>
      <c r="AR87" s="69" t="n">
        <f aca="false">AQ84-AR84</f>
        <v>-70.12995881188</v>
      </c>
      <c r="AS87" s="69" t="n">
        <f aca="false">AR84-AS84</f>
        <v>-67.3247604594017</v>
      </c>
      <c r="AT87" s="69" t="n">
        <f aca="false">AS84-AT84</f>
        <v>-64.6317700410273</v>
      </c>
      <c r="AU87" s="69" t="n">
        <f aca="false">AT84-AU84</f>
        <v>-62.0464992393845</v>
      </c>
      <c r="AV87" s="69" t="n">
        <f aca="false">AU84-AV84</f>
        <v>-59.5646392698109</v>
      </c>
      <c r="AW87" s="69" t="n">
        <f aca="false">AV84-AW84</f>
        <v>-57.1820536990163</v>
      </c>
      <c r="AX87" s="69" t="n">
        <f aca="false">AW84-AX84</f>
        <v>1386.85392758494</v>
      </c>
      <c r="AY87" s="69" t="n">
        <f aca="false">AX84-AY84</f>
        <v>-268.640045428259</v>
      </c>
      <c r="AZ87" s="69" t="n">
        <f aca="false">AY84-AZ84</f>
        <v>-32.3052511382139</v>
      </c>
      <c r="BA87" s="69" t="n">
        <f aca="false">AZ84-BA84</f>
        <v>-1501.59671421141</v>
      </c>
      <c r="BB87" s="69" t="n">
        <f aca="false">BA84-BB84</f>
        <v>-57.3359183495086</v>
      </c>
      <c r="BC87" s="69" t="n">
        <f aca="false">BB84-BC84</f>
        <v>-55.0424816155301</v>
      </c>
      <c r="BD87" s="69" t="n">
        <f aca="false">BC84-BD84</f>
        <v>-52.8407823509078</v>
      </c>
      <c r="BE87" s="69" t="n">
        <f aca="false">BD84-BE84</f>
        <v>-50.7271510568717</v>
      </c>
      <c r="BF87" s="69" t="n">
        <f aca="false">BE84-BF84</f>
        <v>-48.6980650145961</v>
      </c>
      <c r="BG87" s="69" t="n">
        <f aca="false">BF84-BG84</f>
        <v>-46.7501424140137</v>
      </c>
      <c r="BH87" s="69" t="n">
        <f aca="false">BG84-BH84</f>
        <v>-44.880136717451</v>
      </c>
      <c r="BI87" s="69" t="n">
        <f aca="false">BH84-BI84</f>
        <v>-43.0849312487553</v>
      </c>
      <c r="BJ87" s="69" t="n">
        <f aca="false">BI84-BJ84</f>
        <v>1429.22213911992</v>
      </c>
    </row>
    <row r="88" customFormat="false" ht="15" hidden="false" customHeight="false" outlineLevel="0" collapsed="false">
      <c r="A88" s="6" t="s">
        <v>347</v>
      </c>
      <c r="C88" s="69" t="n">
        <f aca="false">-C85</f>
        <v>-3535.97287295</v>
      </c>
      <c r="D88" s="69" t="n">
        <f aca="false">C85-D85</f>
        <v>-479.751530209779</v>
      </c>
      <c r="E88" s="69" t="n">
        <f aca="false">D85-E85</f>
        <v>-1522.69322532158</v>
      </c>
      <c r="F88" s="69" t="n">
        <f aca="false">E85-F85</f>
        <v>-642.430812210746</v>
      </c>
      <c r="G88" s="69" t="n">
        <f aca="false">F85-G85</f>
        <v>-658.510799822315</v>
      </c>
      <c r="H88" s="69" t="n">
        <f aca="false">G85-H85</f>
        <v>-673.947587929423</v>
      </c>
      <c r="I88" s="69" t="n">
        <f aca="false">H85-I85</f>
        <v>-688.766904512245</v>
      </c>
      <c r="J88" s="69" t="n">
        <f aca="false">I85-J85</f>
        <v>-702.993448431758</v>
      </c>
      <c r="K88" s="69" t="n">
        <f aca="false">J85-K85</f>
        <v>-716.650930594486</v>
      </c>
      <c r="L88" s="69" t="n">
        <f aca="false">K85-L85</f>
        <v>-729.762113470708</v>
      </c>
      <c r="M88" s="69" t="n">
        <f aca="false">L85-M85</f>
        <v>-269.568028981877</v>
      </c>
      <c r="N88" s="69" t="n">
        <f aca="false">M85-N85</f>
        <v>1735.26571662878</v>
      </c>
      <c r="O88" s="69" t="n">
        <f aca="false">N85-O85</f>
        <v>-433.500389473948</v>
      </c>
      <c r="P88" s="69" t="n">
        <f aca="false">O85-P85</f>
        <v>-181.139437343798</v>
      </c>
      <c r="Q88" s="69" t="n">
        <f aca="false">P85-Q85</f>
        <v>-2329.28982865731</v>
      </c>
      <c r="R88" s="69" t="n">
        <f aca="false">Q85-R85</f>
        <v>-238.793532283751</v>
      </c>
      <c r="S88" s="69" t="n">
        <f aca="false">R85-S85</f>
        <v>-229.241790992404</v>
      </c>
      <c r="T88" s="69" t="n">
        <f aca="false">S85-T85</f>
        <v>-220.072119352706</v>
      </c>
      <c r="U88" s="69" t="n">
        <f aca="false">T85-U85</f>
        <v>-211.269234578596</v>
      </c>
      <c r="V88" s="69" t="n">
        <f aca="false">U85-V85</f>
        <v>-202.818465195453</v>
      </c>
      <c r="W88" s="69" t="n">
        <f aca="false">V85-W85</f>
        <v>-194.705726587636</v>
      </c>
      <c r="X88" s="69" t="n">
        <f aca="false">W85-X85</f>
        <v>-186.917497524129</v>
      </c>
      <c r="Y88" s="69" t="n">
        <f aca="false">X85-Y85</f>
        <v>-179.440797623163</v>
      </c>
      <c r="Z88" s="69" t="n">
        <f aca="false">Y85-Z85</f>
        <v>2281.04380556581</v>
      </c>
      <c r="AA88" s="69" t="n">
        <f aca="false">Z85-AA85</f>
        <v>-427.026227634677</v>
      </c>
      <c r="AB88" s="69" t="n">
        <f aca="false">AA85-AB85</f>
        <v>-112.096409597598</v>
      </c>
      <c r="AC88" s="69" t="n">
        <f aca="false">AB85-AC85</f>
        <v>-2695.87720471152</v>
      </c>
      <c r="AD88" s="69" t="n">
        <f aca="false">AC85-AD85</f>
        <v>-163.996473268882</v>
      </c>
      <c r="AE88" s="69" t="n">
        <f aca="false">AD85-AE85</f>
        <v>-157.436614338127</v>
      </c>
      <c r="AF88" s="69" t="n">
        <f aca="false">AE85-AF85</f>
        <v>-151.139149764602</v>
      </c>
      <c r="AG88" s="69" t="n">
        <f aca="false">AF85-AG85</f>
        <v>-145.093583774014</v>
      </c>
      <c r="AH88" s="69" t="n">
        <f aca="false">AG85-AH85</f>
        <v>-139.289840423056</v>
      </c>
      <c r="AI88" s="69" t="n">
        <f aca="false">AH85-AI85</f>
        <v>-133.718246806135</v>
      </c>
      <c r="AJ88" s="69" t="n">
        <f aca="false">AI85-AJ85</f>
        <v>-128.369516933886</v>
      </c>
      <c r="AK88" s="69" t="n">
        <f aca="false">AJ85-AK85</f>
        <v>-123.234736256534</v>
      </c>
      <c r="AL88" s="69" t="n">
        <f aca="false">AK85-AL85</f>
        <v>2674.85016666134</v>
      </c>
      <c r="AM88" s="69" t="n">
        <f aca="false">AL85-AM85</f>
        <v>-429.952743306061</v>
      </c>
      <c r="AN88" s="69" t="n">
        <f aca="false">AM85-AN85</f>
        <v>-68.9549347598422</v>
      </c>
      <c r="AO88" s="69" t="n">
        <f aca="false">AN85-AO85</f>
        <v>-2979.31111899478</v>
      </c>
      <c r="AP88" s="69" t="n">
        <f aca="false">AO85-AP85</f>
        <v>-117.701296880256</v>
      </c>
      <c r="AQ88" s="69" t="n">
        <f aca="false">AP85-AQ85</f>
        <v>-112.99324500504</v>
      </c>
      <c r="AR88" s="69" t="n">
        <f aca="false">AQ85-AR85</f>
        <v>-108.473515204838</v>
      </c>
      <c r="AS88" s="69" t="n">
        <f aca="false">AR85-AS85</f>
        <v>-104.134574596646</v>
      </c>
      <c r="AT88" s="69" t="n">
        <f aca="false">AS85-AT85</f>
        <v>-99.9691916127777</v>
      </c>
      <c r="AU88" s="69" t="n">
        <f aca="false">AT85-AU85</f>
        <v>-95.9704239482708</v>
      </c>
      <c r="AV88" s="69" t="n">
        <f aca="false">AU85-AV85</f>
        <v>-92.1316069903369</v>
      </c>
      <c r="AW88" s="69" t="n">
        <f aca="false">AV85-AW85</f>
        <v>-88.4463427107257</v>
      </c>
      <c r="AX88" s="69" t="n">
        <f aca="false">AW85-AX85</f>
        <v>2975.46706461122</v>
      </c>
      <c r="AY88" s="69" t="n">
        <f aca="false">AX85-AY85</f>
        <v>-439.204369775691</v>
      </c>
      <c r="AZ88" s="69" t="n">
        <f aca="false">AY85-AZ85</f>
        <v>-42.1738008179291</v>
      </c>
      <c r="BA88" s="69" t="n">
        <f aca="false">AZ85-BA85</f>
        <v>-3213.11447340035</v>
      </c>
      <c r="BB88" s="69" t="n">
        <f aca="false">BA85-BB85</f>
        <v>-89.4273108152374</v>
      </c>
      <c r="BC88" s="69" t="n">
        <f aca="false">BB85-BC85</f>
        <v>-85.8502183826349</v>
      </c>
      <c r="BD88" s="69" t="n">
        <f aca="false">BC85-BD85</f>
        <v>-82.4162096473228</v>
      </c>
      <c r="BE88" s="69" t="n">
        <f aca="false">BD85-BE85</f>
        <v>-79.119561261432</v>
      </c>
      <c r="BF88" s="69" t="n">
        <f aca="false">BE85-BF85</f>
        <v>-75.9547788109776</v>
      </c>
      <c r="BG88" s="69" t="n">
        <f aca="false">BF85-BG85</f>
        <v>-72.9165876585357</v>
      </c>
      <c r="BH88" s="69" t="n">
        <f aca="false">BG85-BH85</f>
        <v>-69.9999241521909</v>
      </c>
      <c r="BI88" s="69" t="n">
        <f aca="false">BH85-BI85</f>
        <v>-67.1999271861059</v>
      </c>
      <c r="BJ88" s="69" t="n">
        <f aca="false">BI85-BJ85</f>
        <v>3220.16030230516</v>
      </c>
    </row>
    <row r="89" customFormat="false" ht="15" hidden="false" customHeight="false" outlineLevel="0" collapsed="false">
      <c r="A89" s="6" t="s">
        <v>348</v>
      </c>
      <c r="C89" s="69" t="n">
        <f aca="false">C86</f>
        <v>5893.28812158333</v>
      </c>
      <c r="D89" s="69" t="n">
        <f aca="false">D86-C86</f>
        <v>799.585883682964</v>
      </c>
      <c r="E89" s="69" t="n">
        <f aca="false">E86-D86</f>
        <v>2537.82204220264</v>
      </c>
      <c r="F89" s="69" t="n">
        <f aca="false">F86-E86</f>
        <v>1070.71802035124</v>
      </c>
      <c r="G89" s="69" t="n">
        <f aca="false">G86-F86</f>
        <v>1097.51799970386</v>
      </c>
      <c r="H89" s="69" t="n">
        <f aca="false">H86-G86</f>
        <v>1123.24597988237</v>
      </c>
      <c r="I89" s="69" t="n">
        <f aca="false">I86-H86</f>
        <v>1147.94484085374</v>
      </c>
      <c r="J89" s="69" t="n">
        <f aca="false">J86-I86</f>
        <v>1171.65574738627</v>
      </c>
      <c r="K89" s="69" t="n">
        <f aca="false">K86-J86</f>
        <v>1194.41821765747</v>
      </c>
      <c r="L89" s="69" t="n">
        <f aca="false">L86-K86</f>
        <v>1216.27018911785</v>
      </c>
      <c r="M89" s="69" t="n">
        <f aca="false">M86-L86</f>
        <v>449.280048303132</v>
      </c>
      <c r="N89" s="69" t="n">
        <f aca="false">N86-M86</f>
        <v>-2892.10952771463</v>
      </c>
      <c r="O89" s="69" t="n">
        <f aca="false">O86-N86</f>
        <v>722.500649123245</v>
      </c>
      <c r="P89" s="69" t="n">
        <f aca="false">P86-O86</f>
        <v>301.899062239663</v>
      </c>
      <c r="Q89" s="69" t="n">
        <f aca="false">Q86-P86</f>
        <v>3882.14971442885</v>
      </c>
      <c r="R89" s="69" t="n">
        <f aca="false">R86-Q86</f>
        <v>397.989220472919</v>
      </c>
      <c r="S89" s="69" t="n">
        <f aca="false">S86-R86</f>
        <v>382.069651654008</v>
      </c>
      <c r="T89" s="69" t="n">
        <f aca="false">T86-S86</f>
        <v>366.786865587845</v>
      </c>
      <c r="U89" s="69" t="n">
        <f aca="false">U86-T86</f>
        <v>352.115390964325</v>
      </c>
      <c r="V89" s="69" t="n">
        <f aca="false">V86-U86</f>
        <v>338.030775325755</v>
      </c>
      <c r="W89" s="69" t="n">
        <f aca="false">W86-V86</f>
        <v>324.509544312728</v>
      </c>
      <c r="X89" s="69" t="n">
        <f aca="false">X86-W86</f>
        <v>311.529162540213</v>
      </c>
      <c r="Y89" s="69" t="n">
        <f aca="false">Y86-X86</f>
        <v>299.067996038604</v>
      </c>
      <c r="Z89" s="69" t="n">
        <f aca="false">Z86-Y86</f>
        <v>-3801.73967594301</v>
      </c>
      <c r="AA89" s="69" t="n">
        <f aca="false">AA86-Z86</f>
        <v>711.71037939113</v>
      </c>
      <c r="AB89" s="69" t="n">
        <f aca="false">AB86-AA86</f>
        <v>186.827349329327</v>
      </c>
      <c r="AC89" s="69" t="n">
        <f aca="false">AC86-AB86</f>
        <v>4493.1286745192</v>
      </c>
      <c r="AD89" s="69" t="n">
        <f aca="false">AD86-AC86</f>
        <v>273.32745544814</v>
      </c>
      <c r="AE89" s="69" t="n">
        <f aca="false">AE86-AD86</f>
        <v>262.394357230209</v>
      </c>
      <c r="AF89" s="69" t="n">
        <f aca="false">AF86-AE86</f>
        <v>251.898582941005</v>
      </c>
      <c r="AG89" s="69" t="n">
        <f aca="false">AG86-AF86</f>
        <v>241.822639623355</v>
      </c>
      <c r="AH89" s="69" t="n">
        <f aca="false">AH86-AG86</f>
        <v>232.14973403843</v>
      </c>
      <c r="AI89" s="69" t="n">
        <f aca="false">AI86-AH86</f>
        <v>222.863744676888</v>
      </c>
      <c r="AJ89" s="69" t="n">
        <f aca="false">AJ86-AI86</f>
        <v>213.94919488981</v>
      </c>
      <c r="AK89" s="69" t="n">
        <f aca="false">AK86-AJ86</f>
        <v>205.391227094224</v>
      </c>
      <c r="AL89" s="69" t="n">
        <f aca="false">AL86-AK86</f>
        <v>-4458.08361110224</v>
      </c>
      <c r="AM89" s="69" t="n">
        <f aca="false">AM86-AL86</f>
        <v>716.5879055101</v>
      </c>
      <c r="AN89" s="69" t="n">
        <f aca="false">AN86-AM86</f>
        <v>114.924891266408</v>
      </c>
      <c r="AO89" s="69" t="n">
        <f aca="false">AO86-AN86</f>
        <v>4965.51853165796</v>
      </c>
      <c r="AP89" s="69" t="n">
        <f aca="false">AP86-AO86</f>
        <v>196.168828133759</v>
      </c>
      <c r="AQ89" s="69" t="n">
        <f aca="false">AQ86-AP86</f>
        <v>188.322075008397</v>
      </c>
      <c r="AR89" s="69" t="n">
        <f aca="false">AR86-AQ86</f>
        <v>180.789192008066</v>
      </c>
      <c r="AS89" s="69" t="n">
        <f aca="false">AS86-AR86</f>
        <v>173.557624327746</v>
      </c>
      <c r="AT89" s="69" t="n">
        <f aca="false">AT86-AS86</f>
        <v>166.615319354627</v>
      </c>
      <c r="AU89" s="69" t="n">
        <f aca="false">AU86-AT86</f>
        <v>159.95070658045</v>
      </c>
      <c r="AV89" s="69" t="n">
        <f aca="false">AV86-AU86</f>
        <v>153.552678317232</v>
      </c>
      <c r="AW89" s="69" t="n">
        <f aca="false">AW86-AV86</f>
        <v>147.41057118454</v>
      </c>
      <c r="AX89" s="69" t="n">
        <f aca="false">AX86-AW86</f>
        <v>-4959.11177435203</v>
      </c>
      <c r="AY89" s="69" t="n">
        <f aca="false">AY86-AX86</f>
        <v>732.007282959483</v>
      </c>
      <c r="AZ89" s="69" t="n">
        <f aca="false">AZ86-AY86</f>
        <v>70.28966802988</v>
      </c>
      <c r="BA89" s="69" t="n">
        <f aca="false">BA86-AZ86</f>
        <v>5355.19078900058</v>
      </c>
      <c r="BB89" s="69" t="n">
        <f aca="false">BB86-BA86</f>
        <v>149.045518025399</v>
      </c>
      <c r="BC89" s="69" t="n">
        <f aca="false">BC86-BB86</f>
        <v>143.083697304388</v>
      </c>
      <c r="BD89" s="69" t="n">
        <f aca="false">BD86-BC86</f>
        <v>137.360349412204</v>
      </c>
      <c r="BE89" s="69" t="n">
        <f aca="false">BE86-BD86</f>
        <v>131.865935435722</v>
      </c>
      <c r="BF89" s="69" t="n">
        <f aca="false">BF86-BE86</f>
        <v>126.591298018295</v>
      </c>
      <c r="BG89" s="69" t="n">
        <f aca="false">BG86-BF86</f>
        <v>121.527646097558</v>
      </c>
      <c r="BH89" s="69" t="n">
        <f aca="false">BH86-BG86</f>
        <v>116.666540253653</v>
      </c>
      <c r="BI89" s="69" t="n">
        <f aca="false">BI86-BH86</f>
        <v>111.99987864351</v>
      </c>
      <c r="BJ89" s="69" t="n">
        <f aca="false">BJ86-BI86</f>
        <v>-5366.93383717527</v>
      </c>
    </row>
    <row r="91" customFormat="false" ht="15.75" hidden="false" customHeight="true" outlineLevel="0" collapsed="false">
      <c r="A91" s="7" t="s">
        <v>455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customFormat="false" ht="15" hidden="false" customHeight="false" outlineLevel="0" collapsed="false">
      <c r="A92" s="4" t="s">
        <v>52</v>
      </c>
      <c r="C92" s="75" t="n">
        <f aca="false">C64-C73+C87+C88+C89</f>
        <v>-74804.1630306</v>
      </c>
      <c r="D92" s="75" t="n">
        <f aca="false">D64-D73+D87+D88+D89</f>
        <v>-68444.5087441057</v>
      </c>
      <c r="E92" s="75" t="n">
        <f aca="false">E64-E73+E87+E88+E89</f>
        <v>-53080.977367098</v>
      </c>
      <c r="F92" s="75" t="n">
        <f aca="false">F64-F73+F87+F88+F89</f>
        <v>-45827.3689705868</v>
      </c>
      <c r="G92" s="75" t="n">
        <f aca="false">G64-G73+G87+G88+G89</f>
        <v>-38528.8683473374</v>
      </c>
      <c r="H92" s="75" t="n">
        <f aca="false">H64-H73+H87+H88+H89</f>
        <v>-31107.7584114402</v>
      </c>
      <c r="I92" s="75" t="n">
        <f aca="false">I64-I73+I87+I88+I89</f>
        <v>-23568.9435354011</v>
      </c>
      <c r="J92" s="75" t="n">
        <f aca="false">J64-J73+J87+J88+J89</f>
        <v>-15917.1319168258</v>
      </c>
      <c r="K92" s="75" t="n">
        <f aca="false">K64-K73+K87+K88+K89</f>
        <v>-8156.84342541571</v>
      </c>
      <c r="L92" s="75" t="n">
        <f aca="false">L64-L73+L87+L88+L89</f>
        <v>-292.417136084256</v>
      </c>
      <c r="M92" s="75" t="n">
        <f aca="false">M64-M73+M87+M88+M89</f>
        <v>2150.10605857762</v>
      </c>
      <c r="N92" s="75" t="n">
        <f aca="false">N64-N73+N87+N88+N89</f>
        <v>-11978.9176271636</v>
      </c>
      <c r="O92" s="75" t="n">
        <f aca="false">O64-O73+O87+O88+O89</f>
        <v>-8211.58220440918</v>
      </c>
      <c r="P92" s="75" t="n">
        <f aca="false">P64-P73+P87+P88+P89</f>
        <v>-6271.67299746916</v>
      </c>
      <c r="Q92" s="75" t="n">
        <f aca="false">Q64-Q73+Q87+Q88+Q89</f>
        <v>12132.2244151499</v>
      </c>
      <c r="R92" s="75" t="n">
        <f aca="false">R64-R73+R87+R88+R89</f>
        <v>14157.9465430291</v>
      </c>
      <c r="S92" s="75" t="n">
        <f aca="false">S64-S73+S87+S88+S89</f>
        <v>16136.9132412779</v>
      </c>
      <c r="T92" s="75" t="n">
        <f aca="false">T64-T73+T87+T88+T89</f>
        <v>18043.8046049301</v>
      </c>
      <c r="U92" s="75" t="n">
        <f aca="false">U64-U73+U87+U88+U89</f>
        <v>19881.5036473696</v>
      </c>
      <c r="V92" s="75" t="n">
        <f aca="false">V64-V73+V87+V88+V89</f>
        <v>21652.7780614448</v>
      </c>
      <c r="W92" s="75" t="n">
        <f aca="false">W64-W73+W87+W88+W89</f>
        <v>23360.2848322903</v>
      </c>
      <c r="X92" s="75" t="n">
        <f aca="false">X64-X73+X87+X88+X89</f>
        <v>25006.5746656354</v>
      </c>
      <c r="Y92" s="75" t="n">
        <f aca="false">Y64-Y73+Y87+Y88+Y89</f>
        <v>26594.0962389799</v>
      </c>
      <c r="Z92" s="75" t="n">
        <f aca="false">Z64-Z73+Z87+Z88+Z89</f>
        <v>11995.5824844361</v>
      </c>
      <c r="AA92" s="75" t="n">
        <f aca="false">AA64-AA73+AA87+AA88+AA89</f>
        <v>15193.8036394933</v>
      </c>
      <c r="AB92" s="75" t="n">
        <f aca="false">AB64-AB73+AB87+AB88+AB89</f>
        <v>16440.073838224</v>
      </c>
      <c r="AC92" s="75" t="n">
        <f aca="false">AC64-AC73+AC87+AC88+AC89</f>
        <v>33996.6903303437</v>
      </c>
      <c r="AD92" s="75" t="n">
        <f aca="false">AD64-AD73+AD87+AD88+AD89</f>
        <v>35151.899472519</v>
      </c>
      <c r="AE92" s="75" t="n">
        <f aca="false">AE64-AE73+AE87+AE88+AE89</f>
        <v>36553.5671375767</v>
      </c>
      <c r="AF92" s="75" t="n">
        <f aca="false">AF64-AF73+AF87+AF88+AF89</f>
        <v>37906.2514293654</v>
      </c>
      <c r="AG92" s="75" t="n">
        <f aca="false">AG64-AG73+AG87+AG88+AG89</f>
        <v>39211.9116828159</v>
      </c>
      <c r="AH92" s="75" t="n">
        <f aca="false">AH64-AH73+AH87+AH88+AH89</f>
        <v>40472.4288594618</v>
      </c>
      <c r="AI92" s="75" t="n">
        <f aca="false">AI64-AI73+AI87+AI88+AI89</f>
        <v>41689.6086823751</v>
      </c>
      <c r="AJ92" s="75" t="n">
        <f aca="false">AJ64-AJ73+AJ87+AJ88+AJ89</f>
        <v>42865.1846457052</v>
      </c>
      <c r="AK92" s="75" t="n">
        <f aca="false">AK64-AK73+AK87+AK88+AK89</f>
        <v>44000.8209038355</v>
      </c>
      <c r="AL92" s="75" t="n">
        <f aca="false">AL64-AL73+AL87+AL88+AL89</f>
        <v>29033.6147610641</v>
      </c>
      <c r="AM92" s="75" t="n">
        <f aca="false">AM64-AM73+AM87+AM88+AM89</f>
        <v>31824.5336964297</v>
      </c>
      <c r="AN92" s="75" t="n">
        <f aca="false">AN64-AN73+AN87+AN88+AN89</f>
        <v>32639.9992780755</v>
      </c>
      <c r="AO92" s="75" t="n">
        <f aca="false">AO64-AO73+AO87+AO88+AO89</f>
        <v>49752.0741340058</v>
      </c>
      <c r="AP92" s="75" t="n">
        <f aca="false">AP64-AP73+AP87+AP88+AP89</f>
        <v>50344.2235885496</v>
      </c>
      <c r="AQ92" s="75" t="n">
        <f aca="false">AQ64-AQ73+AQ87+AQ88+AQ89</f>
        <v>51391.0061720762</v>
      </c>
      <c r="AR92" s="75" t="n">
        <f aca="false">AR64-AR73+AR87+AR88+AR89</f>
        <v>52403.000785595</v>
      </c>
      <c r="AS92" s="75" t="n">
        <f aca="false">AS64-AS73+AS87+AS88+AS89</f>
        <v>53381.5989479065</v>
      </c>
      <c r="AT92" s="75" t="n">
        <f aca="false">AT64-AT73+AT87+AT88+AT89</f>
        <v>54328.1365170588</v>
      </c>
      <c r="AU92" s="75" t="n">
        <f aca="false">AU64-AU73+AU87+AU88+AU89</f>
        <v>55243.8959167783</v>
      </c>
      <c r="AV92" s="75" t="n">
        <f aca="false">AV64-AV73+AV87+AV88+AV89</f>
        <v>56130.1082738424</v>
      </c>
      <c r="AW92" s="75" t="n">
        <f aca="false">AW64-AW73+AW87+AW88+AW89</f>
        <v>56987.9554699573</v>
      </c>
      <c r="AX92" s="75" t="n">
        <f aca="false">AX64-AX73+AX87+AX88+AX89</f>
        <v>41714.5910618083</v>
      </c>
      <c r="AY92" s="75" t="n">
        <f aca="false">AY64-AY73+AY87+AY88+AY89</f>
        <v>44218.0613817255</v>
      </c>
      <c r="AZ92" s="75" t="n">
        <f aca="false">AZ64-AZ73+AZ87+AZ88+AZ89</f>
        <v>44767.0236288144</v>
      </c>
      <c r="BA92" s="75" t="n">
        <f aca="false">BA64-BA73+BA87+BA88+BA89</f>
        <v>61686.4977138332</v>
      </c>
      <c r="BB92" s="75" t="n">
        <f aca="false">BB64-BB73+BB87+BB88+BB89</f>
        <v>61906.5678882506</v>
      </c>
      <c r="BC92" s="75" t="n">
        <f aca="false">BC64-BC73+BC87+BC88+BC89</f>
        <v>62737.4967174972</v>
      </c>
      <c r="BD92" s="75" t="n">
        <f aca="false">BD64-BD73+BD87+BD88+BD89</f>
        <v>63542.2717269072</v>
      </c>
      <c r="BE92" s="75" t="n">
        <f aca="false">BE64-BE73+BE87+BE88+BE89</f>
        <v>64321.9390692742</v>
      </c>
      <c r="BF92" s="75" t="n">
        <f aca="false">BF64-BF73+BF87+BF88+BF89</f>
        <v>65077.5030512798</v>
      </c>
      <c r="BG92" s="75" t="n">
        <f aca="false">BG64-BG73+BG87+BG88+BG89</f>
        <v>65809.9278073385</v>
      </c>
      <c r="BH92" s="75" t="n">
        <f aca="false">BH64-BH73+BH87+BH88+BH89</f>
        <v>66520.1389064883</v>
      </c>
      <c r="BI92" s="75" t="n">
        <f aca="false">BI64-BI73+BI87+BI88+BI89</f>
        <v>67209.0248950054</v>
      </c>
      <c r="BJ92" s="75" t="n">
        <f aca="false">BJ64-BJ73+BJ87+BJ88+BJ89</f>
        <v>51668.8303301914</v>
      </c>
    </row>
    <row r="93" customFormat="false" ht="15" hidden="false" customHeight="false" outlineLevel="0" collapsed="false">
      <c r="A93" s="6" t="s">
        <v>456</v>
      </c>
      <c r="C93" s="69" t="n">
        <f aca="false">-C71</f>
        <v>-4100000</v>
      </c>
      <c r="D93" s="69" t="n">
        <f aca="false">-D71</f>
        <v>-0</v>
      </c>
      <c r="E93" s="69" t="n">
        <f aca="false">-E71</f>
        <v>-0</v>
      </c>
      <c r="F93" s="69" t="n">
        <f aca="false">-F71</f>
        <v>-0</v>
      </c>
      <c r="G93" s="69" t="n">
        <f aca="false">-G71</f>
        <v>-0</v>
      </c>
      <c r="H93" s="69" t="n">
        <f aca="false">-H71</f>
        <v>-0</v>
      </c>
      <c r="I93" s="69" t="n">
        <f aca="false">-I71</f>
        <v>-0</v>
      </c>
      <c r="J93" s="69" t="n">
        <f aca="false">-J71</f>
        <v>-0</v>
      </c>
      <c r="K93" s="69" t="n">
        <f aca="false">-K71</f>
        <v>-0</v>
      </c>
      <c r="L93" s="69" t="n">
        <f aca="false">-L71</f>
        <v>-0</v>
      </c>
      <c r="M93" s="69" t="n">
        <f aca="false">-M71</f>
        <v>-0</v>
      </c>
      <c r="N93" s="69" t="n">
        <f aca="false">-N71</f>
        <v>-0</v>
      </c>
      <c r="O93" s="69" t="n">
        <f aca="false">-O71</f>
        <v>-40000</v>
      </c>
      <c r="P93" s="69" t="n">
        <f aca="false">-P71</f>
        <v>-0</v>
      </c>
      <c r="Q93" s="69" t="n">
        <f aca="false">-Q71</f>
        <v>-0</v>
      </c>
      <c r="R93" s="69" t="n">
        <f aca="false">-R71</f>
        <v>-0</v>
      </c>
      <c r="S93" s="69" t="n">
        <f aca="false">-S71</f>
        <v>-0</v>
      </c>
      <c r="T93" s="69" t="n">
        <f aca="false">-T71</f>
        <v>-0</v>
      </c>
      <c r="U93" s="69" t="n">
        <f aca="false">-U71</f>
        <v>-0</v>
      </c>
      <c r="V93" s="69" t="n">
        <f aca="false">-V71</f>
        <v>-0</v>
      </c>
      <c r="W93" s="69" t="n">
        <f aca="false">-W71</f>
        <v>-0</v>
      </c>
      <c r="X93" s="69" t="n">
        <f aca="false">-X71</f>
        <v>-0</v>
      </c>
      <c r="Y93" s="69" t="n">
        <f aca="false">-Y71</f>
        <v>-0</v>
      </c>
      <c r="Z93" s="69" t="n">
        <f aca="false">-Z71</f>
        <v>-0</v>
      </c>
      <c r="AA93" s="69" t="n">
        <f aca="false">-AA71</f>
        <v>-40000</v>
      </c>
      <c r="AB93" s="69" t="n">
        <f aca="false">-AB71</f>
        <v>-0</v>
      </c>
      <c r="AC93" s="69" t="n">
        <f aca="false">-AC71</f>
        <v>-0</v>
      </c>
      <c r="AD93" s="69" t="n">
        <f aca="false">-AD71</f>
        <v>-0</v>
      </c>
      <c r="AE93" s="69" t="n">
        <f aca="false">-AE71</f>
        <v>-0</v>
      </c>
      <c r="AF93" s="69" t="n">
        <f aca="false">-AF71</f>
        <v>-0</v>
      </c>
      <c r="AG93" s="69" t="n">
        <f aca="false">-AG71</f>
        <v>-0</v>
      </c>
      <c r="AH93" s="69" t="n">
        <f aca="false">-AH71</f>
        <v>-0</v>
      </c>
      <c r="AI93" s="69" t="n">
        <f aca="false">-AI71</f>
        <v>-0</v>
      </c>
      <c r="AJ93" s="69" t="n">
        <f aca="false">-AJ71</f>
        <v>-0</v>
      </c>
      <c r="AK93" s="69" t="n">
        <f aca="false">-AK71</f>
        <v>-0</v>
      </c>
      <c r="AL93" s="69" t="n">
        <f aca="false">-AL71</f>
        <v>-0</v>
      </c>
      <c r="AM93" s="69" t="n">
        <f aca="false">-AM71</f>
        <v>-40000</v>
      </c>
      <c r="AN93" s="69" t="n">
        <f aca="false">-AN71</f>
        <v>-0</v>
      </c>
      <c r="AO93" s="69" t="n">
        <f aca="false">-AO71</f>
        <v>-0</v>
      </c>
      <c r="AP93" s="69" t="n">
        <f aca="false">-AP71</f>
        <v>-0</v>
      </c>
      <c r="AQ93" s="69" t="n">
        <f aca="false">-AQ71</f>
        <v>-0</v>
      </c>
      <c r="AR93" s="69" t="n">
        <f aca="false">-AR71</f>
        <v>-0</v>
      </c>
      <c r="AS93" s="69" t="n">
        <f aca="false">-AS71</f>
        <v>-0</v>
      </c>
      <c r="AT93" s="69" t="n">
        <f aca="false">-AT71</f>
        <v>-0</v>
      </c>
      <c r="AU93" s="69" t="n">
        <f aca="false">-AU71</f>
        <v>-0</v>
      </c>
      <c r="AV93" s="69" t="n">
        <f aca="false">-AV71</f>
        <v>-0</v>
      </c>
      <c r="AW93" s="69" t="n">
        <f aca="false">-AW71</f>
        <v>-0</v>
      </c>
      <c r="AX93" s="69" t="n">
        <f aca="false">-AX71</f>
        <v>-0</v>
      </c>
      <c r="AY93" s="69" t="n">
        <f aca="false">-AY71</f>
        <v>-40000</v>
      </c>
      <c r="AZ93" s="69" t="n">
        <f aca="false">-AZ71</f>
        <v>-0</v>
      </c>
      <c r="BA93" s="69" t="n">
        <f aca="false">-BA71</f>
        <v>-0</v>
      </c>
      <c r="BB93" s="69" t="n">
        <f aca="false">-BB71</f>
        <v>-0</v>
      </c>
      <c r="BC93" s="69" t="n">
        <f aca="false">-BC71</f>
        <v>-0</v>
      </c>
      <c r="BD93" s="69" t="n">
        <f aca="false">-BD71</f>
        <v>-0</v>
      </c>
      <c r="BE93" s="69" t="n">
        <f aca="false">-BE71</f>
        <v>-0</v>
      </c>
      <c r="BF93" s="69" t="n">
        <f aca="false">-BF71</f>
        <v>-0</v>
      </c>
      <c r="BG93" s="69" t="n">
        <f aca="false">-BG71</f>
        <v>-0</v>
      </c>
      <c r="BH93" s="69" t="n">
        <f aca="false">-BH71</f>
        <v>-0</v>
      </c>
      <c r="BI93" s="69" t="n">
        <f aca="false">-BI71</f>
        <v>-0</v>
      </c>
      <c r="BJ93" s="69" t="n">
        <f aca="false">-BJ71</f>
        <v>-0</v>
      </c>
    </row>
    <row r="94" customFormat="false" ht="15" hidden="false" customHeight="false" outlineLevel="0" collapsed="false">
      <c r="A94" s="6" t="s">
        <v>64</v>
      </c>
      <c r="C94" s="69" t="n">
        <f aca="false">IF(C$4=1,Inputs!$E$67,0)</f>
        <v>2100000</v>
      </c>
      <c r="D94" s="69" t="n">
        <f aca="false">IF(D$4=1,Inputs!$E$67,0)</f>
        <v>0</v>
      </c>
      <c r="E94" s="69" t="n">
        <f aca="false">IF(E$4=1,Inputs!$E$67,0)</f>
        <v>0</v>
      </c>
      <c r="F94" s="69" t="n">
        <f aca="false">IF(F$4=1,Inputs!$E$67,0)</f>
        <v>0</v>
      </c>
      <c r="G94" s="69" t="n">
        <f aca="false">IF(G$4=1,Inputs!$E$67,0)</f>
        <v>0</v>
      </c>
      <c r="H94" s="69" t="n">
        <f aca="false">IF(H$4=1,Inputs!$E$67,0)</f>
        <v>0</v>
      </c>
      <c r="I94" s="69" t="n">
        <f aca="false">IF(I$4=1,Inputs!$E$67,0)</f>
        <v>0</v>
      </c>
      <c r="J94" s="69" t="n">
        <f aca="false">IF(J$4=1,Inputs!$E$67,0)</f>
        <v>0</v>
      </c>
      <c r="K94" s="69" t="n">
        <f aca="false">IF(K$4=1,Inputs!$E$67,0)</f>
        <v>0</v>
      </c>
      <c r="L94" s="69" t="n">
        <f aca="false">IF(L$4=1,Inputs!$E$67,0)</f>
        <v>0</v>
      </c>
      <c r="M94" s="69" t="n">
        <f aca="false">IF(M$4=1,Inputs!$E$67,0)</f>
        <v>0</v>
      </c>
      <c r="N94" s="69" t="n">
        <f aca="false">IF(N$4=1,Inputs!$E$67,0)</f>
        <v>0</v>
      </c>
      <c r="O94" s="69" t="n">
        <f aca="false">IF(O$4=1,Inputs!$E$67,0)</f>
        <v>0</v>
      </c>
      <c r="P94" s="69" t="n">
        <f aca="false">IF(P$4=1,Inputs!$E$67,0)</f>
        <v>0</v>
      </c>
      <c r="Q94" s="69" t="n">
        <f aca="false">IF(Q$4=1,Inputs!$E$67,0)</f>
        <v>0</v>
      </c>
      <c r="R94" s="69" t="n">
        <f aca="false">IF(R$4=1,Inputs!$E$67,0)</f>
        <v>0</v>
      </c>
      <c r="S94" s="69" t="n">
        <f aca="false">IF(S$4=1,Inputs!$E$67,0)</f>
        <v>0</v>
      </c>
      <c r="T94" s="69" t="n">
        <f aca="false">IF(T$4=1,Inputs!$E$67,0)</f>
        <v>0</v>
      </c>
      <c r="U94" s="69" t="n">
        <f aca="false">IF(U$4=1,Inputs!$E$67,0)</f>
        <v>0</v>
      </c>
      <c r="V94" s="69" t="n">
        <f aca="false">IF(V$4=1,Inputs!$E$67,0)</f>
        <v>0</v>
      </c>
      <c r="W94" s="69" t="n">
        <f aca="false">IF(W$4=1,Inputs!$E$67,0)</f>
        <v>0</v>
      </c>
      <c r="X94" s="69" t="n">
        <f aca="false">IF(X$4=1,Inputs!$E$67,0)</f>
        <v>0</v>
      </c>
      <c r="Y94" s="69" t="n">
        <f aca="false">IF(Y$4=1,Inputs!$E$67,0)</f>
        <v>0</v>
      </c>
      <c r="Z94" s="69" t="n">
        <f aca="false">IF(Z$4=1,Inputs!$E$67,0)</f>
        <v>0</v>
      </c>
      <c r="AA94" s="69" t="n">
        <f aca="false">IF(AA$4=1,Inputs!$E$67,0)</f>
        <v>0</v>
      </c>
      <c r="AB94" s="69" t="n">
        <f aca="false">IF(AB$4=1,Inputs!$E$67,0)</f>
        <v>0</v>
      </c>
      <c r="AC94" s="69" t="n">
        <f aca="false">IF(AC$4=1,Inputs!$E$67,0)</f>
        <v>0</v>
      </c>
      <c r="AD94" s="69" t="n">
        <f aca="false">IF(AD$4=1,Inputs!$E$67,0)</f>
        <v>0</v>
      </c>
      <c r="AE94" s="69" t="n">
        <f aca="false">IF(AE$4=1,Inputs!$E$67,0)</f>
        <v>0</v>
      </c>
      <c r="AF94" s="69" t="n">
        <f aca="false">IF(AF$4=1,Inputs!$E$67,0)</f>
        <v>0</v>
      </c>
      <c r="AG94" s="69" t="n">
        <f aca="false">IF(AG$4=1,Inputs!$E$67,0)</f>
        <v>0</v>
      </c>
      <c r="AH94" s="69" t="n">
        <f aca="false">IF(AH$4=1,Inputs!$E$67,0)</f>
        <v>0</v>
      </c>
      <c r="AI94" s="69" t="n">
        <f aca="false">IF(AI$4=1,Inputs!$E$67,0)</f>
        <v>0</v>
      </c>
      <c r="AJ94" s="69" t="n">
        <f aca="false">IF(AJ$4=1,Inputs!$E$67,0)</f>
        <v>0</v>
      </c>
      <c r="AK94" s="69" t="n">
        <f aca="false">IF(AK$4=1,Inputs!$E$67,0)</f>
        <v>0</v>
      </c>
      <c r="AL94" s="69" t="n">
        <f aca="false">IF(AL$4=1,Inputs!$E$67,0)</f>
        <v>0</v>
      </c>
      <c r="AM94" s="69" t="n">
        <f aca="false">IF(AM$4=1,Inputs!$E$67,0)</f>
        <v>0</v>
      </c>
      <c r="AN94" s="69" t="n">
        <f aca="false">IF(AN$4=1,Inputs!$E$67,0)</f>
        <v>0</v>
      </c>
      <c r="AO94" s="69" t="n">
        <f aca="false">IF(AO$4=1,Inputs!$E$67,0)</f>
        <v>0</v>
      </c>
      <c r="AP94" s="69" t="n">
        <f aca="false">IF(AP$4=1,Inputs!$E$67,0)</f>
        <v>0</v>
      </c>
      <c r="AQ94" s="69" t="n">
        <f aca="false">IF(AQ$4=1,Inputs!$E$67,0)</f>
        <v>0</v>
      </c>
      <c r="AR94" s="69" t="n">
        <f aca="false">IF(AR$4=1,Inputs!$E$67,0)</f>
        <v>0</v>
      </c>
      <c r="AS94" s="69" t="n">
        <f aca="false">IF(AS$4=1,Inputs!$E$67,0)</f>
        <v>0</v>
      </c>
      <c r="AT94" s="69" t="n">
        <f aca="false">IF(AT$4=1,Inputs!$E$67,0)</f>
        <v>0</v>
      </c>
      <c r="AU94" s="69" t="n">
        <f aca="false">IF(AU$4=1,Inputs!$E$67,0)</f>
        <v>0</v>
      </c>
      <c r="AV94" s="69" t="n">
        <f aca="false">IF(AV$4=1,Inputs!$E$67,0)</f>
        <v>0</v>
      </c>
      <c r="AW94" s="69" t="n">
        <f aca="false">IF(AW$4=1,Inputs!$E$67,0)</f>
        <v>0</v>
      </c>
      <c r="AX94" s="69" t="n">
        <f aca="false">IF(AX$4=1,Inputs!$E$67,0)</f>
        <v>0</v>
      </c>
      <c r="AY94" s="69" t="n">
        <f aca="false">IF(AY$4=1,Inputs!$E$67,0)</f>
        <v>0</v>
      </c>
      <c r="AZ94" s="69" t="n">
        <f aca="false">IF(AZ$4=1,Inputs!$E$67,0)</f>
        <v>0</v>
      </c>
      <c r="BA94" s="69" t="n">
        <f aca="false">IF(BA$4=1,Inputs!$E$67,0)</f>
        <v>0</v>
      </c>
      <c r="BB94" s="69" t="n">
        <f aca="false">IF(BB$4=1,Inputs!$E$67,0)</f>
        <v>0</v>
      </c>
      <c r="BC94" s="69" t="n">
        <f aca="false">IF(BC$4=1,Inputs!$E$67,0)</f>
        <v>0</v>
      </c>
      <c r="BD94" s="69" t="n">
        <f aca="false">IF(BD$4=1,Inputs!$E$67,0)</f>
        <v>0</v>
      </c>
      <c r="BE94" s="69" t="n">
        <f aca="false">IF(BE$4=1,Inputs!$E$67,0)</f>
        <v>0</v>
      </c>
      <c r="BF94" s="69" t="n">
        <f aca="false">IF(BF$4=1,Inputs!$E$67,0)</f>
        <v>0</v>
      </c>
      <c r="BG94" s="69" t="n">
        <f aca="false">IF(BG$4=1,Inputs!$E$67,0)</f>
        <v>0</v>
      </c>
      <c r="BH94" s="69" t="n">
        <f aca="false">IF(BH$4=1,Inputs!$E$67,0)</f>
        <v>0</v>
      </c>
      <c r="BI94" s="69" t="n">
        <f aca="false">IF(BI$4=1,Inputs!$E$67,0)</f>
        <v>0</v>
      </c>
      <c r="BJ94" s="69" t="n">
        <f aca="false">IF(BJ$4=1,Inputs!$E$67,0)</f>
        <v>0</v>
      </c>
    </row>
    <row r="95" customFormat="false" ht="15" hidden="false" customHeight="false" outlineLevel="0" collapsed="false">
      <c r="A95" s="6" t="s">
        <v>54</v>
      </c>
      <c r="C95" s="69" t="n">
        <f aca="false">C94+C79+C80</f>
        <v>5100000</v>
      </c>
      <c r="D95" s="69" t="n">
        <f aca="false">D94+D79+D80</f>
        <v>-25000</v>
      </c>
      <c r="E95" s="69" t="n">
        <f aca="false">E94+E79+E80</f>
        <v>-25000</v>
      </c>
      <c r="F95" s="69" t="n">
        <f aca="false">F94+F79+F80</f>
        <v>-25000</v>
      </c>
      <c r="G95" s="69" t="n">
        <f aca="false">G94+G79+G80</f>
        <v>-25000</v>
      </c>
      <c r="H95" s="69" t="n">
        <f aca="false">H94+H79+H80</f>
        <v>-25000</v>
      </c>
      <c r="I95" s="69" t="n">
        <f aca="false">I94+I79+I80</f>
        <v>-25000</v>
      </c>
      <c r="J95" s="69" t="n">
        <f aca="false">J94+J79+J80</f>
        <v>-25000</v>
      </c>
      <c r="K95" s="69" t="n">
        <f aca="false">K94+K79+K80</f>
        <v>-25000</v>
      </c>
      <c r="L95" s="69" t="n">
        <f aca="false">L94+L79+L80</f>
        <v>-25000</v>
      </c>
      <c r="M95" s="69" t="n">
        <f aca="false">M94+M79+M80</f>
        <v>-25000</v>
      </c>
      <c r="N95" s="69" t="n">
        <f aca="false">N94+N79+N80</f>
        <v>-25000</v>
      </c>
      <c r="O95" s="69" t="n">
        <f aca="false">O94+O79+O80</f>
        <v>-25000</v>
      </c>
      <c r="P95" s="69" t="n">
        <f aca="false">P94+P79+P80</f>
        <v>-25000</v>
      </c>
      <c r="Q95" s="69" t="n">
        <f aca="false">Q94+Q79+Q80</f>
        <v>-25000</v>
      </c>
      <c r="R95" s="69" t="n">
        <f aca="false">R94+R79+R80</f>
        <v>-25000</v>
      </c>
      <c r="S95" s="69" t="n">
        <f aca="false">S94+S79+S80</f>
        <v>-25000</v>
      </c>
      <c r="T95" s="69" t="n">
        <f aca="false">T94+T79+T80</f>
        <v>-25000</v>
      </c>
      <c r="U95" s="69" t="n">
        <f aca="false">U94+U79+U80</f>
        <v>-25000</v>
      </c>
      <c r="V95" s="69" t="n">
        <f aca="false">V94+V79+V80</f>
        <v>-25000</v>
      </c>
      <c r="W95" s="69" t="n">
        <f aca="false">W94+W79+W80</f>
        <v>-25000</v>
      </c>
      <c r="X95" s="69" t="n">
        <f aca="false">X94+X79+X80</f>
        <v>-25000</v>
      </c>
      <c r="Y95" s="69" t="n">
        <f aca="false">Y94+Y79+Y80</f>
        <v>-25000</v>
      </c>
      <c r="Z95" s="69" t="n">
        <f aca="false">Z94+Z79+Z80</f>
        <v>-25000</v>
      </c>
      <c r="AA95" s="69" t="n">
        <f aca="false">AA94+AA79+AA80</f>
        <v>-25000</v>
      </c>
      <c r="AB95" s="69" t="n">
        <f aca="false">AB94+AB79+AB80</f>
        <v>-25000</v>
      </c>
      <c r="AC95" s="69" t="n">
        <f aca="false">AC94+AC79+AC80</f>
        <v>-25000</v>
      </c>
      <c r="AD95" s="69" t="n">
        <f aca="false">AD94+AD79+AD80</f>
        <v>-25000</v>
      </c>
      <c r="AE95" s="69" t="n">
        <f aca="false">AE94+AE79+AE80</f>
        <v>-25000</v>
      </c>
      <c r="AF95" s="69" t="n">
        <f aca="false">AF94+AF79+AF80</f>
        <v>-25000</v>
      </c>
      <c r="AG95" s="69" t="n">
        <f aca="false">AG94+AG79+AG80</f>
        <v>-25000</v>
      </c>
      <c r="AH95" s="69" t="n">
        <f aca="false">AH94+AH79+AH80</f>
        <v>-25000</v>
      </c>
      <c r="AI95" s="69" t="n">
        <f aca="false">AI94+AI79+AI80</f>
        <v>-25000</v>
      </c>
      <c r="AJ95" s="69" t="n">
        <f aca="false">AJ94+AJ79+AJ80</f>
        <v>-25000</v>
      </c>
      <c r="AK95" s="69" t="n">
        <f aca="false">AK94+AK79+AK80</f>
        <v>-25000</v>
      </c>
      <c r="AL95" s="69" t="n">
        <f aca="false">AL94+AL79+AL80</f>
        <v>-25000</v>
      </c>
      <c r="AM95" s="69" t="n">
        <f aca="false">AM94+AM79+AM80</f>
        <v>-25000</v>
      </c>
      <c r="AN95" s="69" t="n">
        <f aca="false">AN94+AN79+AN80</f>
        <v>-25000</v>
      </c>
      <c r="AO95" s="69" t="n">
        <f aca="false">AO94+AO79+AO80</f>
        <v>-25000</v>
      </c>
      <c r="AP95" s="69" t="n">
        <f aca="false">AP94+AP79+AP80</f>
        <v>-25000</v>
      </c>
      <c r="AQ95" s="69" t="n">
        <f aca="false">AQ94+AQ79+AQ80</f>
        <v>-25000</v>
      </c>
      <c r="AR95" s="69" t="n">
        <f aca="false">AR94+AR79+AR80</f>
        <v>-25000</v>
      </c>
      <c r="AS95" s="69" t="n">
        <f aca="false">AS94+AS79+AS80</f>
        <v>-25000</v>
      </c>
      <c r="AT95" s="69" t="n">
        <f aca="false">AT94+AT79+AT80</f>
        <v>-25000</v>
      </c>
      <c r="AU95" s="69" t="n">
        <f aca="false">AU94+AU79+AU80</f>
        <v>-25000</v>
      </c>
      <c r="AV95" s="69" t="n">
        <f aca="false">AV94+AV79+AV80</f>
        <v>-25000</v>
      </c>
      <c r="AW95" s="69" t="n">
        <f aca="false">AW94+AW79+AW80</f>
        <v>-25000</v>
      </c>
      <c r="AX95" s="69" t="n">
        <f aca="false">AX94+AX79+AX80</f>
        <v>-25000</v>
      </c>
      <c r="AY95" s="69" t="n">
        <f aca="false">AY94+AY79+AY80</f>
        <v>-25000</v>
      </c>
      <c r="AZ95" s="69" t="n">
        <f aca="false">AZ94+AZ79+AZ80</f>
        <v>-25000</v>
      </c>
      <c r="BA95" s="69" t="n">
        <f aca="false">BA94+BA79+BA80</f>
        <v>-25000</v>
      </c>
      <c r="BB95" s="69" t="n">
        <f aca="false">BB94+BB79+BB80</f>
        <v>-25000</v>
      </c>
      <c r="BC95" s="69" t="n">
        <f aca="false">BC94+BC79+BC80</f>
        <v>-25000</v>
      </c>
      <c r="BD95" s="69" t="n">
        <f aca="false">BD94+BD79+BD80</f>
        <v>-25000</v>
      </c>
      <c r="BE95" s="69" t="n">
        <f aca="false">BE94+BE79+BE80</f>
        <v>-25000</v>
      </c>
      <c r="BF95" s="69" t="n">
        <f aca="false">BF94+BF79+BF80</f>
        <v>-25000</v>
      </c>
      <c r="BG95" s="69" t="n">
        <f aca="false">BG94+BG79+BG80</f>
        <v>-25000</v>
      </c>
      <c r="BH95" s="69" t="n">
        <f aca="false">BH94+BH79+BH80</f>
        <v>-25000</v>
      </c>
      <c r="BI95" s="69" t="n">
        <f aca="false">BI94+BI79+BI80</f>
        <v>-25000</v>
      </c>
      <c r="BJ95" s="69" t="n">
        <f aca="false">BJ94+BJ79+BJ80</f>
        <v>-25000</v>
      </c>
    </row>
    <row r="96" customFormat="false" ht="15" hidden="false" customHeight="false" outlineLevel="0" collapsed="false">
      <c r="A96" s="113" t="s">
        <v>457</v>
      </c>
      <c r="C96" s="70" t="n">
        <f aca="false">C92+C93+C95</f>
        <v>925195.8369694</v>
      </c>
      <c r="D96" s="70" t="n">
        <f aca="false">D92+D93+D95</f>
        <v>-93444.5087441057</v>
      </c>
      <c r="E96" s="70" t="n">
        <f aca="false">E92+E93+E95</f>
        <v>-78080.977367098</v>
      </c>
      <c r="F96" s="70" t="n">
        <f aca="false">F92+F93+F95</f>
        <v>-70827.3689705868</v>
      </c>
      <c r="G96" s="70" t="n">
        <f aca="false">G92+G93+G95</f>
        <v>-63528.8683473374</v>
      </c>
      <c r="H96" s="70" t="n">
        <f aca="false">H92+H93+H95</f>
        <v>-56107.7584114402</v>
      </c>
      <c r="I96" s="70" t="n">
        <f aca="false">I92+I93+I95</f>
        <v>-48568.9435354011</v>
      </c>
      <c r="J96" s="70" t="n">
        <f aca="false">J92+J93+J95</f>
        <v>-40917.1319168258</v>
      </c>
      <c r="K96" s="70" t="n">
        <f aca="false">K92+K93+K95</f>
        <v>-33156.8434254157</v>
      </c>
      <c r="L96" s="70" t="n">
        <f aca="false">L92+L93+L95</f>
        <v>-25292.4171360843</v>
      </c>
      <c r="M96" s="70" t="n">
        <f aca="false">M92+M93+M95</f>
        <v>-22849.8939414224</v>
      </c>
      <c r="N96" s="70" t="n">
        <f aca="false">N92+N93+N95</f>
        <v>-36978.9176271636</v>
      </c>
      <c r="O96" s="70" t="n">
        <f aca="false">O92+O93+O95</f>
        <v>-73211.5822044092</v>
      </c>
      <c r="P96" s="70" t="n">
        <f aca="false">P92+P93+P95</f>
        <v>-31271.6729974692</v>
      </c>
      <c r="Q96" s="70" t="n">
        <f aca="false">Q92+Q93+Q95</f>
        <v>-12867.7755848501</v>
      </c>
      <c r="R96" s="70" t="n">
        <f aca="false">R92+R93+R95</f>
        <v>-10842.0534569709</v>
      </c>
      <c r="S96" s="70" t="n">
        <f aca="false">S92+S93+S95</f>
        <v>-8863.08675872211</v>
      </c>
      <c r="T96" s="70" t="n">
        <f aca="false">T92+T93+T95</f>
        <v>-6956.19539506988</v>
      </c>
      <c r="U96" s="70" t="n">
        <f aca="false">U92+U93+U95</f>
        <v>-5118.49635263045</v>
      </c>
      <c r="V96" s="70" t="n">
        <f aca="false">V92+V93+V95</f>
        <v>-3347.22193855521</v>
      </c>
      <c r="W96" s="70" t="n">
        <f aca="false">W92+W93+W95</f>
        <v>-1639.71516770967</v>
      </c>
      <c r="X96" s="70" t="n">
        <f aca="false">X92+X93+X95</f>
        <v>6.5746656354022</v>
      </c>
      <c r="Y96" s="70" t="n">
        <f aca="false">Y92+Y93+Y95</f>
        <v>1594.09623897995</v>
      </c>
      <c r="Z96" s="70" t="n">
        <f aca="false">Z92+Z93+Z95</f>
        <v>-13004.4175155639</v>
      </c>
      <c r="AA96" s="70" t="n">
        <f aca="false">AA92+AA93+AA95</f>
        <v>-49806.1963605067</v>
      </c>
      <c r="AB96" s="70" t="n">
        <f aca="false">AB92+AB93+AB95</f>
        <v>-8559.92616177598</v>
      </c>
      <c r="AC96" s="70" t="n">
        <f aca="false">AC92+AC93+AC95</f>
        <v>8996.69033034372</v>
      </c>
      <c r="AD96" s="70" t="n">
        <f aca="false">AD92+AD93+AD95</f>
        <v>10151.899472519</v>
      </c>
      <c r="AE96" s="70" t="n">
        <f aca="false">AE92+AE93+AE95</f>
        <v>11553.5671375767</v>
      </c>
      <c r="AF96" s="70" t="n">
        <f aca="false">AF92+AF93+AF95</f>
        <v>12906.2514293654</v>
      </c>
      <c r="AG96" s="70" t="n">
        <f aca="false">AG92+AG93+AG95</f>
        <v>14211.9116828159</v>
      </c>
      <c r="AH96" s="70" t="n">
        <f aca="false">AH92+AH93+AH95</f>
        <v>15472.4288594618</v>
      </c>
      <c r="AI96" s="70" t="n">
        <f aca="false">AI92+AI93+AI95</f>
        <v>16689.6086823751</v>
      </c>
      <c r="AJ96" s="70" t="n">
        <f aca="false">AJ92+AJ93+AJ95</f>
        <v>17865.1846457052</v>
      </c>
      <c r="AK96" s="70" t="n">
        <f aca="false">AK92+AK93+AK95</f>
        <v>19000.8209038355</v>
      </c>
      <c r="AL96" s="70" t="n">
        <f aca="false">AL92+AL93+AL95</f>
        <v>4033.61476106406</v>
      </c>
      <c r="AM96" s="70" t="n">
        <f aca="false">AM92+AM93+AM95</f>
        <v>-33175.4663035703</v>
      </c>
      <c r="AN96" s="70" t="n">
        <f aca="false">AN92+AN93+AN95</f>
        <v>7639.99927807547</v>
      </c>
      <c r="AO96" s="70" t="n">
        <f aca="false">AO92+AO93+AO95</f>
        <v>24752.0741340058</v>
      </c>
      <c r="AP96" s="70" t="n">
        <f aca="false">AP92+AP93+AP95</f>
        <v>25344.2235885496</v>
      </c>
      <c r="AQ96" s="70" t="n">
        <f aca="false">AQ92+AQ93+AQ95</f>
        <v>26391.0061720762</v>
      </c>
      <c r="AR96" s="70" t="n">
        <f aca="false">AR92+AR93+AR95</f>
        <v>27403.000785595</v>
      </c>
      <c r="AS96" s="70" t="n">
        <f aca="false">AS92+AS93+AS95</f>
        <v>28381.5989479065</v>
      </c>
      <c r="AT96" s="70" t="n">
        <f aca="false">AT92+AT93+AT95</f>
        <v>29328.1365170588</v>
      </c>
      <c r="AU96" s="70" t="n">
        <f aca="false">AU92+AU93+AU95</f>
        <v>30243.8959167783</v>
      </c>
      <c r="AV96" s="70" t="n">
        <f aca="false">AV92+AV93+AV95</f>
        <v>31130.1082738424</v>
      </c>
      <c r="AW96" s="70" t="n">
        <f aca="false">AW92+AW93+AW95</f>
        <v>31987.9554699573</v>
      </c>
      <c r="AX96" s="70" t="n">
        <f aca="false">AX92+AX93+AX95</f>
        <v>16714.5910618083</v>
      </c>
      <c r="AY96" s="70" t="n">
        <f aca="false">AY92+AY93+AY95</f>
        <v>-20781.9386182745</v>
      </c>
      <c r="AZ96" s="70" t="n">
        <f aca="false">AZ92+AZ93+AZ95</f>
        <v>19767.0236288144</v>
      </c>
      <c r="BA96" s="70" t="n">
        <f aca="false">BA92+BA93+BA95</f>
        <v>36686.4977138332</v>
      </c>
      <c r="BB96" s="70" t="n">
        <f aca="false">BB92+BB93+BB95</f>
        <v>36906.5678882506</v>
      </c>
      <c r="BC96" s="70" t="n">
        <f aca="false">BC92+BC93+BC95</f>
        <v>37737.4967174972</v>
      </c>
      <c r="BD96" s="70" t="n">
        <f aca="false">BD92+BD93+BD95</f>
        <v>38542.2717269072</v>
      </c>
      <c r="BE96" s="70" t="n">
        <f aca="false">BE92+BE93+BE95</f>
        <v>39321.9390692742</v>
      </c>
      <c r="BF96" s="70" t="n">
        <f aca="false">BF92+BF93+BF95</f>
        <v>40077.5030512798</v>
      </c>
      <c r="BG96" s="70" t="n">
        <f aca="false">BG92+BG93+BG95</f>
        <v>40809.9278073385</v>
      </c>
      <c r="BH96" s="70" t="n">
        <f aca="false">BH92+BH93+BH95</f>
        <v>41520.1389064883</v>
      </c>
      <c r="BI96" s="70" t="n">
        <f aca="false">BI92+BI93+BI95</f>
        <v>42209.0248950054</v>
      </c>
      <c r="BJ96" s="70" t="n">
        <f aca="false">BJ92+BJ93+BJ95</f>
        <v>26668.8303301914</v>
      </c>
    </row>
    <row r="97" customFormat="false" ht="15" hidden="false" customHeight="false" outlineLevel="0" collapsed="false">
      <c r="A97" s="6" t="s">
        <v>349</v>
      </c>
      <c r="C97" s="69" t="n">
        <f aca="false">0</f>
        <v>0</v>
      </c>
      <c r="D97" s="69" t="n">
        <f aca="false">C98</f>
        <v>925195.8369694</v>
      </c>
      <c r="E97" s="69" t="n">
        <f aca="false">D98</f>
        <v>831751.328225294</v>
      </c>
      <c r="F97" s="69" t="n">
        <f aca="false">E98</f>
        <v>753670.350858196</v>
      </c>
      <c r="G97" s="69" t="n">
        <f aca="false">F98</f>
        <v>682842.981887609</v>
      </c>
      <c r="H97" s="69" t="n">
        <f aca="false">G98</f>
        <v>619314.113540272</v>
      </c>
      <c r="I97" s="69" t="n">
        <f aca="false">H98</f>
        <v>563206.355128832</v>
      </c>
      <c r="J97" s="69" t="n">
        <f aca="false">I98</f>
        <v>514637.411593431</v>
      </c>
      <c r="K97" s="69" t="n">
        <f aca="false">J98</f>
        <v>473720.279676605</v>
      </c>
      <c r="L97" s="69" t="n">
        <f aca="false">K98</f>
        <v>440563.436251189</v>
      </c>
      <c r="M97" s="69" t="n">
        <f aca="false">L98</f>
        <v>415271.019115105</v>
      </c>
      <c r="N97" s="69" t="n">
        <f aca="false">M98</f>
        <v>392421.125173683</v>
      </c>
      <c r="O97" s="69" t="n">
        <f aca="false">N98</f>
        <v>355442.207546519</v>
      </c>
      <c r="P97" s="69" t="n">
        <f aca="false">O98</f>
        <v>282230.62534211</v>
      </c>
      <c r="Q97" s="69" t="n">
        <f aca="false">P98</f>
        <v>250958.952344641</v>
      </c>
      <c r="R97" s="69" t="n">
        <f aca="false">Q98</f>
        <v>238091.176759791</v>
      </c>
      <c r="S97" s="69" t="n">
        <f aca="false">R98</f>
        <v>227249.12330282</v>
      </c>
      <c r="T97" s="69" t="n">
        <f aca="false">S98</f>
        <v>218386.036544098</v>
      </c>
      <c r="U97" s="69" t="n">
        <f aca="false">T98</f>
        <v>211429.841149028</v>
      </c>
      <c r="V97" s="69" t="n">
        <f aca="false">U98</f>
        <v>206311.344796397</v>
      </c>
      <c r="W97" s="69" t="n">
        <f aca="false">V98</f>
        <v>202964.122857842</v>
      </c>
      <c r="X97" s="69" t="n">
        <f aca="false">W98</f>
        <v>201324.407690132</v>
      </c>
      <c r="Y97" s="69" t="n">
        <f aca="false">X98</f>
        <v>201330.982355768</v>
      </c>
      <c r="Z97" s="69" t="n">
        <f aca="false">Y98</f>
        <v>202925.078594748</v>
      </c>
      <c r="AA97" s="69" t="n">
        <f aca="false">Z98</f>
        <v>189920.661079184</v>
      </c>
      <c r="AB97" s="69" t="n">
        <f aca="false">AA98</f>
        <v>140114.464718677</v>
      </c>
      <c r="AC97" s="69" t="n">
        <f aca="false">AB98</f>
        <v>131554.538556901</v>
      </c>
      <c r="AD97" s="69" t="n">
        <f aca="false">AC98</f>
        <v>140551.228887245</v>
      </c>
      <c r="AE97" s="69" t="n">
        <f aca="false">AD98</f>
        <v>150703.128359764</v>
      </c>
      <c r="AF97" s="69" t="n">
        <f aca="false">AE98</f>
        <v>162256.695497341</v>
      </c>
      <c r="AG97" s="69" t="n">
        <f aca="false">AF98</f>
        <v>175162.946926706</v>
      </c>
      <c r="AH97" s="69" t="n">
        <f aca="false">AG98</f>
        <v>189374.858609522</v>
      </c>
      <c r="AI97" s="69" t="n">
        <f aca="false">AH98</f>
        <v>204847.287468984</v>
      </c>
      <c r="AJ97" s="69" t="n">
        <f aca="false">AI98</f>
        <v>221536.896151359</v>
      </c>
      <c r="AK97" s="69" t="n">
        <f aca="false">AJ98</f>
        <v>239402.080797064</v>
      </c>
      <c r="AL97" s="69" t="n">
        <f aca="false">AK98</f>
        <v>258402.901700899</v>
      </c>
      <c r="AM97" s="69" t="n">
        <f aca="false">AL98</f>
        <v>262436.516461964</v>
      </c>
      <c r="AN97" s="69" t="n">
        <f aca="false">AM98</f>
        <v>229261.050158393</v>
      </c>
      <c r="AO97" s="69" t="n">
        <f aca="false">AN98</f>
        <v>236901.049436469</v>
      </c>
      <c r="AP97" s="69" t="n">
        <f aca="false">AO98</f>
        <v>261653.123570474</v>
      </c>
      <c r="AQ97" s="69" t="n">
        <f aca="false">AP98</f>
        <v>286997.347159024</v>
      </c>
      <c r="AR97" s="69" t="n">
        <f aca="false">AQ98</f>
        <v>313388.3533311</v>
      </c>
      <c r="AS97" s="69" t="n">
        <f aca="false">AR98</f>
        <v>340791.354116695</v>
      </c>
      <c r="AT97" s="69" t="n">
        <f aca="false">AS98</f>
        <v>369172.953064602</v>
      </c>
      <c r="AU97" s="69" t="n">
        <f aca="false">AT98</f>
        <v>398501.08958166</v>
      </c>
      <c r="AV97" s="69" t="n">
        <f aca="false">AU98</f>
        <v>428744.985498439</v>
      </c>
      <c r="AW97" s="69" t="n">
        <f aca="false">AV98</f>
        <v>459875.093772281</v>
      </c>
      <c r="AX97" s="69" t="n">
        <f aca="false">AW98</f>
        <v>491863.049242238</v>
      </c>
      <c r="AY97" s="69" t="n">
        <f aca="false">AX98</f>
        <v>508577.640304047</v>
      </c>
      <c r="AZ97" s="69" t="n">
        <f aca="false">AY98</f>
        <v>487795.701685772</v>
      </c>
      <c r="BA97" s="69" t="n">
        <f aca="false">AZ98</f>
        <v>507562.725314587</v>
      </c>
      <c r="BB97" s="69" t="n">
        <f aca="false">BA98</f>
        <v>544249.22302842</v>
      </c>
      <c r="BC97" s="69" t="n">
        <f aca="false">BB98</f>
        <v>581155.79091667</v>
      </c>
      <c r="BD97" s="69" t="n">
        <f aca="false">BC98</f>
        <v>618893.287634168</v>
      </c>
      <c r="BE97" s="69" t="n">
        <f aca="false">BD98</f>
        <v>657435.559361075</v>
      </c>
      <c r="BF97" s="69" t="n">
        <f aca="false">BE98</f>
        <v>696757.498430349</v>
      </c>
      <c r="BG97" s="69" t="n">
        <f aca="false">BF98</f>
        <v>736835.001481629</v>
      </c>
      <c r="BH97" s="69" t="n">
        <f aca="false">BG98</f>
        <v>777644.929288967</v>
      </c>
      <c r="BI97" s="69" t="n">
        <f aca="false">BH98</f>
        <v>819165.068195456</v>
      </c>
      <c r="BJ97" s="69" t="n">
        <f aca="false">BI98</f>
        <v>861374.093090461</v>
      </c>
    </row>
    <row r="98" customFormat="false" ht="15" hidden="false" customHeight="false" outlineLevel="0" collapsed="false">
      <c r="A98" s="113" t="s">
        <v>87</v>
      </c>
      <c r="C98" s="70" t="n">
        <f aca="false">C97+C96</f>
        <v>925195.8369694</v>
      </c>
      <c r="D98" s="70" t="n">
        <f aca="false">D97+D96</f>
        <v>831751.328225294</v>
      </c>
      <c r="E98" s="70" t="n">
        <f aca="false">E97+E96</f>
        <v>753670.350858196</v>
      </c>
      <c r="F98" s="70" t="n">
        <f aca="false">F97+F96</f>
        <v>682842.981887609</v>
      </c>
      <c r="G98" s="70" t="n">
        <f aca="false">G97+G96</f>
        <v>619314.113540272</v>
      </c>
      <c r="H98" s="70" t="n">
        <f aca="false">H97+H96</f>
        <v>563206.355128832</v>
      </c>
      <c r="I98" s="70" t="n">
        <f aca="false">I97+I96</f>
        <v>514637.411593431</v>
      </c>
      <c r="J98" s="70" t="n">
        <f aca="false">J97+J96</f>
        <v>473720.279676605</v>
      </c>
      <c r="K98" s="70" t="n">
        <f aca="false">K97+K96</f>
        <v>440563.436251189</v>
      </c>
      <c r="L98" s="70" t="n">
        <f aca="false">L97+L96</f>
        <v>415271.019115105</v>
      </c>
      <c r="M98" s="70" t="n">
        <f aca="false">M97+M96</f>
        <v>392421.125173683</v>
      </c>
      <c r="N98" s="70" t="n">
        <f aca="false">N97+N96</f>
        <v>355442.207546519</v>
      </c>
      <c r="O98" s="70" t="n">
        <f aca="false">O97+O96</f>
        <v>282230.62534211</v>
      </c>
      <c r="P98" s="70" t="n">
        <f aca="false">P97+P96</f>
        <v>250958.952344641</v>
      </c>
      <c r="Q98" s="70" t="n">
        <f aca="false">Q97+Q96</f>
        <v>238091.176759791</v>
      </c>
      <c r="R98" s="70" t="n">
        <f aca="false">R97+R96</f>
        <v>227249.12330282</v>
      </c>
      <c r="S98" s="70" t="n">
        <f aca="false">S97+S96</f>
        <v>218386.036544098</v>
      </c>
      <c r="T98" s="70" t="n">
        <f aca="false">T97+T96</f>
        <v>211429.841149028</v>
      </c>
      <c r="U98" s="70" t="n">
        <f aca="false">U97+U96</f>
        <v>206311.344796397</v>
      </c>
      <c r="V98" s="70" t="n">
        <f aca="false">V97+V96</f>
        <v>202964.122857842</v>
      </c>
      <c r="W98" s="70" t="n">
        <f aca="false">W97+W96</f>
        <v>201324.407690132</v>
      </c>
      <c r="X98" s="70" t="n">
        <f aca="false">X97+X96</f>
        <v>201330.982355768</v>
      </c>
      <c r="Y98" s="70" t="n">
        <f aca="false">Y97+Y96</f>
        <v>202925.078594748</v>
      </c>
      <c r="Z98" s="70" t="n">
        <f aca="false">Z97+Z96</f>
        <v>189920.661079184</v>
      </c>
      <c r="AA98" s="70" t="n">
        <f aca="false">AA97+AA96</f>
        <v>140114.464718677</v>
      </c>
      <c r="AB98" s="70" t="n">
        <f aca="false">AB97+AB96</f>
        <v>131554.538556901</v>
      </c>
      <c r="AC98" s="70" t="n">
        <f aca="false">AC97+AC96</f>
        <v>140551.228887245</v>
      </c>
      <c r="AD98" s="70" t="n">
        <f aca="false">AD97+AD96</f>
        <v>150703.128359764</v>
      </c>
      <c r="AE98" s="70" t="n">
        <f aca="false">AE97+AE96</f>
        <v>162256.695497341</v>
      </c>
      <c r="AF98" s="70" t="n">
        <f aca="false">AF97+AF96</f>
        <v>175162.946926706</v>
      </c>
      <c r="AG98" s="70" t="n">
        <f aca="false">AG97+AG96</f>
        <v>189374.858609522</v>
      </c>
      <c r="AH98" s="70" t="n">
        <f aca="false">AH97+AH96</f>
        <v>204847.287468984</v>
      </c>
      <c r="AI98" s="70" t="n">
        <f aca="false">AI97+AI96</f>
        <v>221536.896151359</v>
      </c>
      <c r="AJ98" s="70" t="n">
        <f aca="false">AJ97+AJ96</f>
        <v>239402.080797064</v>
      </c>
      <c r="AK98" s="70" t="n">
        <f aca="false">AK97+AK96</f>
        <v>258402.901700899</v>
      </c>
      <c r="AL98" s="70" t="n">
        <f aca="false">AL97+AL96</f>
        <v>262436.516461964</v>
      </c>
      <c r="AM98" s="70" t="n">
        <f aca="false">AM97+AM96</f>
        <v>229261.050158393</v>
      </c>
      <c r="AN98" s="70" t="n">
        <f aca="false">AN97+AN96</f>
        <v>236901.049436469</v>
      </c>
      <c r="AO98" s="70" t="n">
        <f aca="false">AO97+AO96</f>
        <v>261653.123570474</v>
      </c>
      <c r="AP98" s="70" t="n">
        <f aca="false">AP97+AP96</f>
        <v>286997.347159024</v>
      </c>
      <c r="AQ98" s="70" t="n">
        <f aca="false">AQ97+AQ96</f>
        <v>313388.3533311</v>
      </c>
      <c r="AR98" s="70" t="n">
        <f aca="false">AR97+AR96</f>
        <v>340791.354116695</v>
      </c>
      <c r="AS98" s="70" t="n">
        <f aca="false">AS97+AS96</f>
        <v>369172.953064602</v>
      </c>
      <c r="AT98" s="70" t="n">
        <f aca="false">AT97+AT96</f>
        <v>398501.08958166</v>
      </c>
      <c r="AU98" s="70" t="n">
        <f aca="false">AU97+AU96</f>
        <v>428744.985498439</v>
      </c>
      <c r="AV98" s="70" t="n">
        <f aca="false">AV97+AV96</f>
        <v>459875.093772281</v>
      </c>
      <c r="AW98" s="70" t="n">
        <f aca="false">AW97+AW96</f>
        <v>491863.049242238</v>
      </c>
      <c r="AX98" s="70" t="n">
        <f aca="false">AX97+AX96</f>
        <v>508577.640304047</v>
      </c>
      <c r="AY98" s="70" t="n">
        <f aca="false">AY97+AY96</f>
        <v>487795.701685772</v>
      </c>
      <c r="AZ98" s="70" t="n">
        <f aca="false">AZ97+AZ96</f>
        <v>507562.725314587</v>
      </c>
      <c r="BA98" s="70" t="n">
        <f aca="false">BA97+BA96</f>
        <v>544249.22302842</v>
      </c>
      <c r="BB98" s="70" t="n">
        <f aca="false">BB97+BB96</f>
        <v>581155.79091667</v>
      </c>
      <c r="BC98" s="70" t="n">
        <f aca="false">BC97+BC96</f>
        <v>618893.287634168</v>
      </c>
      <c r="BD98" s="70" t="n">
        <f aca="false">BD97+BD96</f>
        <v>657435.559361075</v>
      </c>
      <c r="BE98" s="70" t="n">
        <f aca="false">BE97+BE96</f>
        <v>696757.498430349</v>
      </c>
      <c r="BF98" s="70" t="n">
        <f aca="false">BF97+BF96</f>
        <v>736835.001481629</v>
      </c>
      <c r="BG98" s="70" t="n">
        <f aca="false">BG97+BG96</f>
        <v>777644.929288967</v>
      </c>
      <c r="BH98" s="70" t="n">
        <f aca="false">BH97+BH96</f>
        <v>819165.068195456</v>
      </c>
      <c r="BI98" s="70" t="n">
        <f aca="false">BI97+BI96</f>
        <v>861374.093090461</v>
      </c>
      <c r="BJ98" s="70" t="n">
        <f aca="false">BJ97+BJ96</f>
        <v>888042.923420652</v>
      </c>
    </row>
    <row r="99" customFormat="false" ht="15" hidden="false" customHeight="false" outlineLevel="0" collapsed="false">
      <c r="A99" s="116" t="s">
        <v>458</v>
      </c>
      <c r="C99" s="118" t="n">
        <f aca="false">IF(C55&gt;0,1,0)</f>
        <v>0</v>
      </c>
      <c r="D99" s="118" t="n">
        <f aca="false">IF(D55&gt;0,1,0)</f>
        <v>0</v>
      </c>
      <c r="E99" s="118" t="n">
        <f aca="false">IF(E55&gt;0,1,0)</f>
        <v>0</v>
      </c>
      <c r="F99" s="118" t="n">
        <f aca="false">IF(F55&gt;0,1,0)</f>
        <v>0</v>
      </c>
      <c r="G99" s="118" t="n">
        <f aca="false">IF(G55&gt;0,1,0)</f>
        <v>0</v>
      </c>
      <c r="H99" s="118" t="n">
        <f aca="false">IF(H55&gt;0,1,0)</f>
        <v>0</v>
      </c>
      <c r="I99" s="118" t="n">
        <f aca="false">IF(I55&gt;0,1,0)</f>
        <v>0</v>
      </c>
      <c r="J99" s="118" t="n">
        <f aca="false">IF(J55&gt;0,1,0)</f>
        <v>1</v>
      </c>
      <c r="K99" s="118" t="n">
        <f aca="false">IF(K55&gt;0,1,0)</f>
        <v>1</v>
      </c>
      <c r="L99" s="118" t="n">
        <f aca="false">IF(L55&gt;0,1,0)</f>
        <v>1</v>
      </c>
      <c r="M99" s="118" t="n">
        <f aca="false">IF(M55&gt;0,1,0)</f>
        <v>1</v>
      </c>
      <c r="N99" s="118" t="n">
        <f aca="false">IF(N55&gt;0,1,0)</f>
        <v>1</v>
      </c>
      <c r="O99" s="118" t="n">
        <f aca="false">IF(O55&gt;0,1,0)</f>
        <v>1</v>
      </c>
      <c r="P99" s="118" t="n">
        <f aca="false">IF(P55&gt;0,1,0)</f>
        <v>1</v>
      </c>
      <c r="Q99" s="118" t="n">
        <f aca="false">IF(Q55&gt;0,1,0)</f>
        <v>1</v>
      </c>
      <c r="R99" s="118" t="n">
        <f aca="false">IF(R55&gt;0,1,0)</f>
        <v>1</v>
      </c>
      <c r="S99" s="118" t="n">
        <f aca="false">IF(S55&gt;0,1,0)</f>
        <v>1</v>
      </c>
      <c r="T99" s="118" t="n">
        <f aca="false">IF(T55&gt;0,1,0)</f>
        <v>1</v>
      </c>
      <c r="U99" s="118" t="n">
        <f aca="false">IF(U55&gt;0,1,0)</f>
        <v>1</v>
      </c>
      <c r="V99" s="118" t="n">
        <f aca="false">IF(V55&gt;0,1,0)</f>
        <v>1</v>
      </c>
      <c r="W99" s="118" t="n">
        <f aca="false">IF(W55&gt;0,1,0)</f>
        <v>1</v>
      </c>
      <c r="X99" s="118" t="n">
        <f aca="false">IF(X55&gt;0,1,0)</f>
        <v>1</v>
      </c>
      <c r="Y99" s="118" t="n">
        <f aca="false">IF(Y55&gt;0,1,0)</f>
        <v>1</v>
      </c>
      <c r="Z99" s="118" t="n">
        <f aca="false">IF(Z55&gt;0,1,0)</f>
        <v>1</v>
      </c>
      <c r="AA99" s="118" t="n">
        <f aca="false">IF(AA55&gt;0,1,0)</f>
        <v>1</v>
      </c>
      <c r="AB99" s="118" t="n">
        <f aca="false">IF(AB55&gt;0,1,0)</f>
        <v>1</v>
      </c>
      <c r="AC99" s="118" t="n">
        <f aca="false">IF(AC55&gt;0,1,0)</f>
        <v>1</v>
      </c>
      <c r="AD99" s="118" t="n">
        <f aca="false">IF(AD55&gt;0,1,0)</f>
        <v>1</v>
      </c>
      <c r="AE99" s="118" t="n">
        <f aca="false">IF(AE55&gt;0,1,0)</f>
        <v>1</v>
      </c>
      <c r="AF99" s="118" t="n">
        <f aca="false">IF(AF55&gt;0,1,0)</f>
        <v>1</v>
      </c>
      <c r="AG99" s="118" t="n">
        <f aca="false">IF(AG55&gt;0,1,0)</f>
        <v>1</v>
      </c>
      <c r="AH99" s="118" t="n">
        <f aca="false">IF(AH55&gt;0,1,0)</f>
        <v>1</v>
      </c>
      <c r="AI99" s="118" t="n">
        <f aca="false">IF(AI55&gt;0,1,0)</f>
        <v>1</v>
      </c>
      <c r="AJ99" s="118" t="n">
        <f aca="false">IF(AJ55&gt;0,1,0)</f>
        <v>1</v>
      </c>
      <c r="AK99" s="118" t="n">
        <f aca="false">IF(AK55&gt;0,1,0)</f>
        <v>1</v>
      </c>
      <c r="AL99" s="118" t="n">
        <f aca="false">IF(AL55&gt;0,1,0)</f>
        <v>1</v>
      </c>
      <c r="AM99" s="118" t="n">
        <f aca="false">IF(AM55&gt;0,1,0)</f>
        <v>1</v>
      </c>
      <c r="AN99" s="118" t="n">
        <f aca="false">IF(AN55&gt;0,1,0)</f>
        <v>1</v>
      </c>
      <c r="AO99" s="118" t="n">
        <f aca="false">IF(AO55&gt;0,1,0)</f>
        <v>1</v>
      </c>
      <c r="AP99" s="118" t="n">
        <f aca="false">IF(AP55&gt;0,1,0)</f>
        <v>1</v>
      </c>
      <c r="AQ99" s="118" t="n">
        <f aca="false">IF(AQ55&gt;0,1,0)</f>
        <v>1</v>
      </c>
      <c r="AR99" s="118" t="n">
        <f aca="false">IF(AR55&gt;0,1,0)</f>
        <v>1</v>
      </c>
      <c r="AS99" s="118" t="n">
        <f aca="false">IF(AS55&gt;0,1,0)</f>
        <v>1</v>
      </c>
      <c r="AT99" s="118" t="n">
        <f aca="false">IF(AT55&gt;0,1,0)</f>
        <v>1</v>
      </c>
      <c r="AU99" s="118" t="n">
        <f aca="false">IF(AU55&gt;0,1,0)</f>
        <v>1</v>
      </c>
      <c r="AV99" s="118" t="n">
        <f aca="false">IF(AV55&gt;0,1,0)</f>
        <v>1</v>
      </c>
      <c r="AW99" s="118" t="n">
        <f aca="false">IF(AW55&gt;0,1,0)</f>
        <v>1</v>
      </c>
      <c r="AX99" s="118" t="n">
        <f aca="false">IF(AX55&gt;0,1,0)</f>
        <v>1</v>
      </c>
      <c r="AY99" s="118" t="n">
        <f aca="false">IF(AY55&gt;0,1,0)</f>
        <v>1</v>
      </c>
      <c r="AZ99" s="118" t="n">
        <f aca="false">IF(AZ55&gt;0,1,0)</f>
        <v>1</v>
      </c>
      <c r="BA99" s="118" t="n">
        <f aca="false">IF(BA55&gt;0,1,0)</f>
        <v>1</v>
      </c>
      <c r="BB99" s="118" t="n">
        <f aca="false">IF(BB55&gt;0,1,0)</f>
        <v>1</v>
      </c>
      <c r="BC99" s="118" t="n">
        <f aca="false">IF(BC55&gt;0,1,0)</f>
        <v>1</v>
      </c>
      <c r="BD99" s="118" t="n">
        <f aca="false">IF(BD55&gt;0,1,0)</f>
        <v>1</v>
      </c>
      <c r="BE99" s="118" t="n">
        <f aca="false">IF(BE55&gt;0,1,0)</f>
        <v>1</v>
      </c>
      <c r="BF99" s="118" t="n">
        <f aca="false">IF(BF55&gt;0,1,0)</f>
        <v>1</v>
      </c>
      <c r="BG99" s="118" t="n">
        <f aca="false">IF(BG55&gt;0,1,0)</f>
        <v>1</v>
      </c>
      <c r="BH99" s="118" t="n">
        <f aca="false">IF(BH55&gt;0,1,0)</f>
        <v>1</v>
      </c>
      <c r="BI99" s="118" t="n">
        <f aca="false">IF(BI55&gt;0,1,0)</f>
        <v>1</v>
      </c>
      <c r="BJ99" s="118" t="n">
        <f aca="false">IF(BJ55&gt;0,1,0)</f>
        <v>1</v>
      </c>
    </row>
    <row r="101" customFormat="false" ht="15.75" hidden="false" customHeight="true" outlineLevel="0" collapsed="false">
      <c r="A101" s="7" t="s">
        <v>459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customFormat="false" ht="15" hidden="false" customHeight="false" outlineLevel="0" collapsed="false">
      <c r="A102" s="116" t="s">
        <v>460</v>
      </c>
      <c r="C102" s="118" t="n">
        <f aca="false">IF(C64&gt;0,1,0)</f>
        <v>0</v>
      </c>
      <c r="D102" s="118" t="n">
        <f aca="false">IF(D64&gt;0,1,0)</f>
        <v>0</v>
      </c>
      <c r="E102" s="118" t="n">
        <f aca="false">IF(E64&gt;0,1,0)</f>
        <v>0</v>
      </c>
      <c r="F102" s="118" t="n">
        <f aca="false">IF(F64&gt;0,1,0)</f>
        <v>0</v>
      </c>
      <c r="G102" s="118" t="n">
        <f aca="false">IF(G64&gt;0,1,0)</f>
        <v>0</v>
      </c>
      <c r="H102" s="118" t="n">
        <f aca="false">IF(H64&gt;0,1,0)</f>
        <v>0</v>
      </c>
      <c r="I102" s="118" t="n">
        <f aca="false">IF(I64&gt;0,1,0)</f>
        <v>0</v>
      </c>
      <c r="J102" s="118" t="n">
        <f aca="false">IF(J64&gt;0,1,0)</f>
        <v>0</v>
      </c>
      <c r="K102" s="118" t="n">
        <f aca="false">IF(K64&gt;0,1,0)</f>
        <v>0</v>
      </c>
      <c r="L102" s="118" t="n">
        <f aca="false">IF(L64&gt;0,1,0)</f>
        <v>0</v>
      </c>
      <c r="M102" s="118" t="n">
        <f aca="false">IF(M64&gt;0,1,0)</f>
        <v>0</v>
      </c>
      <c r="N102" s="118" t="n">
        <f aca="false">IF(N64&gt;0,1,0)</f>
        <v>0</v>
      </c>
      <c r="O102" s="118" t="n">
        <f aca="false">IF(O64&gt;0,1,0)</f>
        <v>0</v>
      </c>
      <c r="P102" s="118" t="n">
        <f aca="false">IF(P64&gt;0,1,0)</f>
        <v>0</v>
      </c>
      <c r="Q102" s="118" t="n">
        <f aca="false">IF(Q64&gt;0,1,0)</f>
        <v>0</v>
      </c>
      <c r="R102" s="118" t="n">
        <f aca="false">IF(R64&gt;0,1,0)</f>
        <v>0</v>
      </c>
      <c r="S102" s="118" t="n">
        <f aca="false">IF(S64&gt;0,1,0)</f>
        <v>0</v>
      </c>
      <c r="T102" s="118" t="n">
        <f aca="false">IF(T64&gt;0,1,0)</f>
        <v>0</v>
      </c>
      <c r="U102" s="118" t="n">
        <f aca="false">IF(U64&gt;0,1,0)</f>
        <v>0</v>
      </c>
      <c r="V102" s="118" t="n">
        <f aca="false">IF(V64&gt;0,1,0)</f>
        <v>0</v>
      </c>
      <c r="W102" s="118" t="n">
        <f aca="false">IF(W64&gt;0,1,0)</f>
        <v>0</v>
      </c>
      <c r="X102" s="118" t="n">
        <f aca="false">IF(X64&gt;0,1,0)</f>
        <v>0</v>
      </c>
      <c r="Y102" s="118" t="n">
        <f aca="false">IF(Y64&gt;0,1,0)</f>
        <v>0</v>
      </c>
      <c r="Z102" s="118" t="n">
        <f aca="false">IF(Z64&gt;0,1,0)</f>
        <v>0</v>
      </c>
      <c r="AA102" s="118" t="n">
        <f aca="false">IF(AA64&gt;0,1,0)</f>
        <v>0</v>
      </c>
      <c r="AB102" s="118" t="n">
        <f aca="false">IF(AB64&gt;0,1,0)</f>
        <v>0</v>
      </c>
      <c r="AC102" s="118" t="n">
        <f aca="false">IF(AC64&gt;0,1,0)</f>
        <v>1</v>
      </c>
      <c r="AD102" s="118" t="n">
        <f aca="false">IF(AD64&gt;0,1,0)</f>
        <v>1</v>
      </c>
      <c r="AE102" s="118" t="n">
        <f aca="false">IF(AE64&gt;0,1,0)</f>
        <v>1</v>
      </c>
      <c r="AF102" s="118" t="n">
        <f aca="false">IF(AF64&gt;0,1,0)</f>
        <v>1</v>
      </c>
      <c r="AG102" s="118" t="n">
        <f aca="false">IF(AG64&gt;0,1,0)</f>
        <v>1</v>
      </c>
      <c r="AH102" s="118" t="n">
        <f aca="false">IF(AH64&gt;0,1,0)</f>
        <v>1</v>
      </c>
      <c r="AI102" s="118" t="n">
        <f aca="false">IF(AI64&gt;0,1,0)</f>
        <v>1</v>
      </c>
      <c r="AJ102" s="118" t="n">
        <f aca="false">IF(AJ64&gt;0,1,0)</f>
        <v>1</v>
      </c>
      <c r="AK102" s="118" t="n">
        <f aca="false">IF(AK64&gt;0,1,0)</f>
        <v>1</v>
      </c>
      <c r="AL102" s="118" t="n">
        <f aca="false">IF(AL64&gt;0,1,0)</f>
        <v>1</v>
      </c>
      <c r="AM102" s="118" t="n">
        <f aca="false">IF(AM64&gt;0,1,0)</f>
        <v>1</v>
      </c>
      <c r="AN102" s="118" t="n">
        <f aca="false">IF(AN64&gt;0,1,0)</f>
        <v>1</v>
      </c>
      <c r="AO102" s="118" t="n">
        <f aca="false">IF(AO64&gt;0,1,0)</f>
        <v>1</v>
      </c>
      <c r="AP102" s="118" t="n">
        <f aca="false">IF(AP64&gt;0,1,0)</f>
        <v>1</v>
      </c>
      <c r="AQ102" s="118" t="n">
        <f aca="false">IF(AQ64&gt;0,1,0)</f>
        <v>1</v>
      </c>
      <c r="AR102" s="118" t="n">
        <f aca="false">IF(AR64&gt;0,1,0)</f>
        <v>1</v>
      </c>
      <c r="AS102" s="118" t="n">
        <f aca="false">IF(AS64&gt;0,1,0)</f>
        <v>1</v>
      </c>
      <c r="AT102" s="118" t="n">
        <f aca="false">IF(AT64&gt;0,1,0)</f>
        <v>1</v>
      </c>
      <c r="AU102" s="118" t="n">
        <f aca="false">IF(AU64&gt;0,1,0)</f>
        <v>1</v>
      </c>
      <c r="AV102" s="118" t="n">
        <f aca="false">IF(AV64&gt;0,1,0)</f>
        <v>1</v>
      </c>
      <c r="AW102" s="118" t="n">
        <f aca="false">IF(AW64&gt;0,1,0)</f>
        <v>1</v>
      </c>
      <c r="AX102" s="118" t="n">
        <f aca="false">IF(AX64&gt;0,1,0)</f>
        <v>1</v>
      </c>
      <c r="AY102" s="118" t="n">
        <f aca="false">IF(AY64&gt;0,1,0)</f>
        <v>1</v>
      </c>
      <c r="AZ102" s="118" t="n">
        <f aca="false">IF(AZ64&gt;0,1,0)</f>
        <v>1</v>
      </c>
      <c r="BA102" s="118" t="n">
        <f aca="false">IF(BA64&gt;0,1,0)</f>
        <v>1</v>
      </c>
      <c r="BB102" s="118" t="n">
        <f aca="false">IF(BB64&gt;0,1,0)</f>
        <v>1</v>
      </c>
      <c r="BC102" s="118" t="n">
        <f aca="false">IF(BC64&gt;0,1,0)</f>
        <v>1</v>
      </c>
      <c r="BD102" s="118" t="n">
        <f aca="false">IF(BD64&gt;0,1,0)</f>
        <v>1</v>
      </c>
      <c r="BE102" s="118" t="n">
        <f aca="false">IF(BE64&gt;0,1,0)</f>
        <v>1</v>
      </c>
      <c r="BF102" s="118" t="n">
        <f aca="false">IF(BF64&gt;0,1,0)</f>
        <v>1</v>
      </c>
      <c r="BG102" s="118" t="n">
        <f aca="false">IF(BG64&gt;0,1,0)</f>
        <v>1</v>
      </c>
      <c r="BH102" s="118" t="n">
        <f aca="false">IF(BH64&gt;0,1,0)</f>
        <v>1</v>
      </c>
      <c r="BI102" s="118" t="n">
        <f aca="false">IF(BI64&gt;0,1,0)</f>
        <v>1</v>
      </c>
      <c r="BJ102" s="118" t="n">
        <f aca="false">IF(BJ64&gt;0,1,0)</f>
        <v>1</v>
      </c>
    </row>
    <row r="103" customFormat="false" ht="15" hidden="false" customHeight="false" outlineLevel="0" collapsed="false">
      <c r="A103" s="6" t="s">
        <v>461</v>
      </c>
      <c r="C103" s="69" t="n">
        <f aca="false">C92+C93</f>
        <v>-4174804.1630306</v>
      </c>
      <c r="D103" s="69" t="n">
        <f aca="false">D92+D93</f>
        <v>-68444.5087441057</v>
      </c>
      <c r="E103" s="69" t="n">
        <f aca="false">E92+E93</f>
        <v>-53080.977367098</v>
      </c>
      <c r="F103" s="69" t="n">
        <f aca="false">F92+F93</f>
        <v>-45827.3689705868</v>
      </c>
      <c r="G103" s="69" t="n">
        <f aca="false">G92+G93</f>
        <v>-38528.8683473374</v>
      </c>
      <c r="H103" s="69" t="n">
        <f aca="false">H92+H93</f>
        <v>-31107.7584114402</v>
      </c>
      <c r="I103" s="69" t="n">
        <f aca="false">I92+I93</f>
        <v>-23568.9435354011</v>
      </c>
      <c r="J103" s="69" t="n">
        <f aca="false">J92+J93</f>
        <v>-15917.1319168258</v>
      </c>
      <c r="K103" s="69" t="n">
        <f aca="false">K92+K93</f>
        <v>-8156.84342541571</v>
      </c>
      <c r="L103" s="69" t="n">
        <f aca="false">L92+L93</f>
        <v>-292.417136084256</v>
      </c>
      <c r="M103" s="69" t="n">
        <f aca="false">M92+M93</f>
        <v>2150.10605857762</v>
      </c>
      <c r="N103" s="69" t="n">
        <f aca="false">N92+N93</f>
        <v>-11978.9176271636</v>
      </c>
      <c r="O103" s="69" t="n">
        <f aca="false">O92+O93</f>
        <v>-48211.5822044092</v>
      </c>
      <c r="P103" s="69" t="n">
        <f aca="false">P92+P93</f>
        <v>-6271.67299746916</v>
      </c>
      <c r="Q103" s="69" t="n">
        <f aca="false">Q92+Q93</f>
        <v>12132.2244151499</v>
      </c>
      <c r="R103" s="69" t="n">
        <f aca="false">R92+R93</f>
        <v>14157.9465430291</v>
      </c>
      <c r="S103" s="69" t="n">
        <f aca="false">S92+S93</f>
        <v>16136.9132412779</v>
      </c>
      <c r="T103" s="69" t="n">
        <f aca="false">T92+T93</f>
        <v>18043.8046049301</v>
      </c>
      <c r="U103" s="69" t="n">
        <f aca="false">U92+U93</f>
        <v>19881.5036473696</v>
      </c>
      <c r="V103" s="69" t="n">
        <f aca="false">V92+V93</f>
        <v>21652.7780614448</v>
      </c>
      <c r="W103" s="69" t="n">
        <f aca="false">W92+W93</f>
        <v>23360.2848322903</v>
      </c>
      <c r="X103" s="69" t="n">
        <f aca="false">X92+X93</f>
        <v>25006.5746656354</v>
      </c>
      <c r="Y103" s="69" t="n">
        <f aca="false">Y92+Y93</f>
        <v>26594.0962389799</v>
      </c>
      <c r="Z103" s="69" t="n">
        <f aca="false">Z92+Z93</f>
        <v>11995.5824844361</v>
      </c>
      <c r="AA103" s="69" t="n">
        <f aca="false">AA92+AA93</f>
        <v>-24806.1963605067</v>
      </c>
      <c r="AB103" s="69" t="n">
        <f aca="false">AB92+AB93</f>
        <v>16440.073838224</v>
      </c>
      <c r="AC103" s="69" t="n">
        <f aca="false">AC92+AC93</f>
        <v>33996.6903303437</v>
      </c>
      <c r="AD103" s="69" t="n">
        <f aca="false">AD92+AD93</f>
        <v>35151.899472519</v>
      </c>
      <c r="AE103" s="69" t="n">
        <f aca="false">AE92+AE93</f>
        <v>36553.5671375767</v>
      </c>
      <c r="AF103" s="69" t="n">
        <f aca="false">AF92+AF93</f>
        <v>37906.2514293654</v>
      </c>
      <c r="AG103" s="69" t="n">
        <f aca="false">AG92+AG93</f>
        <v>39211.9116828159</v>
      </c>
      <c r="AH103" s="69" t="n">
        <f aca="false">AH92+AH93</f>
        <v>40472.4288594618</v>
      </c>
      <c r="AI103" s="69" t="n">
        <f aca="false">AI92+AI93</f>
        <v>41689.6086823751</v>
      </c>
      <c r="AJ103" s="69" t="n">
        <f aca="false">AJ92+AJ93</f>
        <v>42865.1846457052</v>
      </c>
      <c r="AK103" s="69" t="n">
        <f aca="false">AK92+AK93</f>
        <v>44000.8209038355</v>
      </c>
      <c r="AL103" s="69" t="n">
        <f aca="false">AL92+AL93</f>
        <v>29033.6147610641</v>
      </c>
      <c r="AM103" s="69" t="n">
        <f aca="false">AM92+AM93</f>
        <v>-8175.46630357025</v>
      </c>
      <c r="AN103" s="69" t="n">
        <f aca="false">AN92+AN93</f>
        <v>32639.9992780755</v>
      </c>
      <c r="AO103" s="69" t="n">
        <f aca="false">AO92+AO93</f>
        <v>49752.0741340058</v>
      </c>
      <c r="AP103" s="69" t="n">
        <f aca="false">AP92+AP93</f>
        <v>50344.2235885496</v>
      </c>
      <c r="AQ103" s="69" t="n">
        <f aca="false">AQ92+AQ93</f>
        <v>51391.0061720762</v>
      </c>
      <c r="AR103" s="69" t="n">
        <f aca="false">AR92+AR93</f>
        <v>52403.000785595</v>
      </c>
      <c r="AS103" s="69" t="n">
        <f aca="false">AS92+AS93</f>
        <v>53381.5989479065</v>
      </c>
      <c r="AT103" s="69" t="n">
        <f aca="false">AT92+AT93</f>
        <v>54328.1365170588</v>
      </c>
      <c r="AU103" s="69" t="n">
        <f aca="false">AU92+AU93</f>
        <v>55243.8959167783</v>
      </c>
      <c r="AV103" s="69" t="n">
        <f aca="false">AV92+AV93</f>
        <v>56130.1082738424</v>
      </c>
      <c r="AW103" s="69" t="n">
        <f aca="false">AW92+AW93</f>
        <v>56987.9554699573</v>
      </c>
      <c r="AX103" s="69" t="n">
        <f aca="false">AX92+AX93</f>
        <v>41714.5910618083</v>
      </c>
      <c r="AY103" s="69" t="n">
        <f aca="false">AY92+AY93</f>
        <v>4218.06138172551</v>
      </c>
      <c r="AZ103" s="69" t="n">
        <f aca="false">AZ92+AZ93</f>
        <v>44767.0236288144</v>
      </c>
      <c r="BA103" s="69" t="n">
        <f aca="false">BA92+BA93</f>
        <v>61686.4977138332</v>
      </c>
      <c r="BB103" s="69" t="n">
        <f aca="false">BB92+BB93</f>
        <v>61906.5678882506</v>
      </c>
      <c r="BC103" s="69" t="n">
        <f aca="false">BC92+BC93</f>
        <v>62737.4967174972</v>
      </c>
      <c r="BD103" s="69" t="n">
        <f aca="false">BD92+BD93</f>
        <v>63542.2717269072</v>
      </c>
      <c r="BE103" s="69" t="n">
        <f aca="false">BE92+BE93</f>
        <v>64321.9390692742</v>
      </c>
      <c r="BF103" s="69" t="n">
        <f aca="false">BF92+BF93</f>
        <v>65077.5030512798</v>
      </c>
      <c r="BG103" s="69" t="n">
        <f aca="false">BG92+BG93</f>
        <v>65809.9278073385</v>
      </c>
      <c r="BH103" s="69" t="n">
        <f aca="false">BH92+BH93</f>
        <v>66520.1389064883</v>
      </c>
      <c r="BI103" s="69" t="n">
        <f aca="false">BI92+BI93</f>
        <v>67209.0248950054</v>
      </c>
      <c r="BJ103" s="69" t="n">
        <f aca="false">BJ92+BJ93</f>
        <v>51668.8303301914</v>
      </c>
    </row>
    <row r="104" customFormat="false" ht="15" hidden="false" customHeight="false" outlineLevel="0" collapsed="false">
      <c r="A104" s="6" t="s">
        <v>462</v>
      </c>
      <c r="C104" s="69" t="n">
        <f aca="false">C103</f>
        <v>-4174804.1630306</v>
      </c>
      <c r="D104" s="69" t="n">
        <f aca="false">C104+D103</f>
        <v>-4243248.67177471</v>
      </c>
      <c r="E104" s="69" t="n">
        <f aca="false">D104+E103</f>
        <v>-4296329.6491418</v>
      </c>
      <c r="F104" s="69" t="n">
        <f aca="false">E104+F103</f>
        <v>-4342157.01811239</v>
      </c>
      <c r="G104" s="69" t="n">
        <f aca="false">F104+G103</f>
        <v>-4380685.88645973</v>
      </c>
      <c r="H104" s="69" t="n">
        <f aca="false">G104+H103</f>
        <v>-4411793.64487117</v>
      </c>
      <c r="I104" s="69" t="n">
        <f aca="false">H104+I103</f>
        <v>-4435362.58840657</v>
      </c>
      <c r="J104" s="69" t="n">
        <f aca="false">I104+J103</f>
        <v>-4451279.7203234</v>
      </c>
      <c r="K104" s="69" t="n">
        <f aca="false">J104+K103</f>
        <v>-4459436.56374881</v>
      </c>
      <c r="L104" s="69" t="n">
        <f aca="false">K104+L103</f>
        <v>-4459728.9808849</v>
      </c>
      <c r="M104" s="69" t="n">
        <f aca="false">L104+M103</f>
        <v>-4457578.87482632</v>
      </c>
      <c r="N104" s="69" t="n">
        <f aca="false">M104+N103</f>
        <v>-4469557.79245348</v>
      </c>
      <c r="O104" s="69" t="n">
        <f aca="false">N104+O103</f>
        <v>-4517769.37465789</v>
      </c>
      <c r="P104" s="69" t="n">
        <f aca="false">O104+P103</f>
        <v>-4524041.04765536</v>
      </c>
      <c r="Q104" s="69" t="n">
        <f aca="false">P104+Q103</f>
        <v>-4511908.82324021</v>
      </c>
      <c r="R104" s="69" t="n">
        <f aca="false">Q104+R103</f>
        <v>-4497750.87669718</v>
      </c>
      <c r="S104" s="69" t="n">
        <f aca="false">R104+S103</f>
        <v>-4481613.9634559</v>
      </c>
      <c r="T104" s="69" t="n">
        <f aca="false">S104+T103</f>
        <v>-4463570.15885097</v>
      </c>
      <c r="U104" s="69" t="n">
        <f aca="false">T104+U103</f>
        <v>-4443688.6552036</v>
      </c>
      <c r="V104" s="69" t="n">
        <f aca="false">U104+V103</f>
        <v>-4422035.87714216</v>
      </c>
      <c r="W104" s="69" t="n">
        <f aca="false">V104+W103</f>
        <v>-4398675.59230987</v>
      </c>
      <c r="X104" s="69" t="n">
        <f aca="false">W104+X103</f>
        <v>-4373669.01764423</v>
      </c>
      <c r="Y104" s="69" t="n">
        <f aca="false">X104+Y103</f>
        <v>-4347074.92140525</v>
      </c>
      <c r="Z104" s="69" t="n">
        <f aca="false">Y104+Z103</f>
        <v>-4335079.33892082</v>
      </c>
      <c r="AA104" s="69" t="n">
        <f aca="false">Z104+AA103</f>
        <v>-4359885.53528132</v>
      </c>
      <c r="AB104" s="69" t="n">
        <f aca="false">AA104+AB103</f>
        <v>-4343445.4614431</v>
      </c>
      <c r="AC104" s="69" t="n">
        <f aca="false">AB104+AC103</f>
        <v>-4309448.77111276</v>
      </c>
      <c r="AD104" s="69" t="n">
        <f aca="false">AC104+AD103</f>
        <v>-4274296.87164024</v>
      </c>
      <c r="AE104" s="69" t="n">
        <f aca="false">AD104+AE103</f>
        <v>-4237743.30450266</v>
      </c>
      <c r="AF104" s="69" t="n">
        <f aca="false">AE104+AF103</f>
        <v>-4199837.05307329</v>
      </c>
      <c r="AG104" s="69" t="n">
        <f aca="false">AF104+AG103</f>
        <v>-4160625.14139048</v>
      </c>
      <c r="AH104" s="69" t="n">
        <f aca="false">AG104+AH103</f>
        <v>-4120152.71253102</v>
      </c>
      <c r="AI104" s="69" t="n">
        <f aca="false">AH104+AI103</f>
        <v>-4078463.10384864</v>
      </c>
      <c r="AJ104" s="69" t="n">
        <f aca="false">AI104+AJ103</f>
        <v>-4035597.91920294</v>
      </c>
      <c r="AK104" s="69" t="n">
        <f aca="false">AJ104+AK103</f>
        <v>-3991597.0982991</v>
      </c>
      <c r="AL104" s="69" t="n">
        <f aca="false">AK104+AL103</f>
        <v>-3962563.48353804</v>
      </c>
      <c r="AM104" s="69" t="n">
        <f aca="false">AL104+AM103</f>
        <v>-3970738.94984161</v>
      </c>
      <c r="AN104" s="69" t="n">
        <f aca="false">AM104+AN103</f>
        <v>-3938098.95056353</v>
      </c>
      <c r="AO104" s="69" t="n">
        <f aca="false">AN104+AO103</f>
        <v>-3888346.87642953</v>
      </c>
      <c r="AP104" s="69" t="n">
        <f aca="false">AO104+AP103</f>
        <v>-3838002.65284098</v>
      </c>
      <c r="AQ104" s="69" t="n">
        <f aca="false">AP104+AQ103</f>
        <v>-3786611.6466689</v>
      </c>
      <c r="AR104" s="69" t="n">
        <f aca="false">AQ104+AR103</f>
        <v>-3734208.64588331</v>
      </c>
      <c r="AS104" s="69" t="n">
        <f aca="false">AR104+AS103</f>
        <v>-3680827.0469354</v>
      </c>
      <c r="AT104" s="69" t="n">
        <f aca="false">AS104+AT103</f>
        <v>-3626498.91041834</v>
      </c>
      <c r="AU104" s="69" t="n">
        <f aca="false">AT104+AU103</f>
        <v>-3571255.01450156</v>
      </c>
      <c r="AV104" s="69" t="n">
        <f aca="false">AU104+AV103</f>
        <v>-3515124.90622772</v>
      </c>
      <c r="AW104" s="69" t="n">
        <f aca="false">AV104+AW103</f>
        <v>-3458136.95075776</v>
      </c>
      <c r="AX104" s="69" t="n">
        <f aca="false">AW104+AX103</f>
        <v>-3416422.35969596</v>
      </c>
      <c r="AY104" s="69" t="n">
        <f aca="false">AX104+AY103</f>
        <v>-3412204.29831423</v>
      </c>
      <c r="AZ104" s="69" t="n">
        <f aca="false">AY104+AZ103</f>
        <v>-3367437.27468542</v>
      </c>
      <c r="BA104" s="69" t="n">
        <f aca="false">AZ104+BA103</f>
        <v>-3305750.77697158</v>
      </c>
      <c r="BB104" s="69" t="n">
        <f aca="false">BA104+BB103</f>
        <v>-3243844.20908333</v>
      </c>
      <c r="BC104" s="69" t="n">
        <f aca="false">BB104+BC103</f>
        <v>-3181106.71236583</v>
      </c>
      <c r="BD104" s="69" t="n">
        <f aca="false">BC104+BD103</f>
        <v>-3117564.44063893</v>
      </c>
      <c r="BE104" s="69" t="n">
        <f aca="false">BD104+BE103</f>
        <v>-3053242.50156965</v>
      </c>
      <c r="BF104" s="69" t="n">
        <f aca="false">BE104+BF103</f>
        <v>-2988164.99851837</v>
      </c>
      <c r="BG104" s="69" t="n">
        <f aca="false">BF104+BG103</f>
        <v>-2922355.07071103</v>
      </c>
      <c r="BH104" s="69" t="n">
        <f aca="false">BG104+BH103</f>
        <v>-2855834.93180455</v>
      </c>
      <c r="BI104" s="69" t="n">
        <f aca="false">BH104+BI103</f>
        <v>-2788625.90690954</v>
      </c>
      <c r="BJ104" s="69" t="n">
        <f aca="false">BI104+BJ103</f>
        <v>-2736957.07657935</v>
      </c>
    </row>
    <row r="105" customFormat="false" ht="15" hidden="false" customHeight="false" outlineLevel="0" collapsed="false">
      <c r="A105" s="116" t="s">
        <v>463</v>
      </c>
      <c r="C105" s="69" t="n">
        <f aca="false">C104</f>
        <v>-4174804.1630306</v>
      </c>
      <c r="D105" s="69" t="n">
        <f aca="false">MIN(C105,D104)</f>
        <v>-4243248.67177471</v>
      </c>
      <c r="E105" s="69" t="n">
        <f aca="false">MIN(D105,E104)</f>
        <v>-4296329.6491418</v>
      </c>
      <c r="F105" s="69" t="n">
        <f aca="false">MIN(E105,F104)</f>
        <v>-4342157.01811239</v>
      </c>
      <c r="G105" s="69" t="n">
        <f aca="false">MIN(F105,G104)</f>
        <v>-4380685.88645973</v>
      </c>
      <c r="H105" s="69" t="n">
        <f aca="false">MIN(G105,H104)</f>
        <v>-4411793.64487117</v>
      </c>
      <c r="I105" s="69" t="n">
        <f aca="false">MIN(H105,I104)</f>
        <v>-4435362.58840657</v>
      </c>
      <c r="J105" s="69" t="n">
        <f aca="false">MIN(I105,J104)</f>
        <v>-4451279.7203234</v>
      </c>
      <c r="K105" s="69" t="n">
        <f aca="false">MIN(J105,K104)</f>
        <v>-4459436.56374881</v>
      </c>
      <c r="L105" s="69" t="n">
        <f aca="false">MIN(K105,L104)</f>
        <v>-4459728.9808849</v>
      </c>
      <c r="M105" s="69" t="n">
        <f aca="false">MIN(L105,M104)</f>
        <v>-4459728.9808849</v>
      </c>
      <c r="N105" s="69" t="n">
        <f aca="false">MIN(M105,N104)</f>
        <v>-4469557.79245348</v>
      </c>
      <c r="O105" s="69" t="n">
        <f aca="false">MIN(N105,O104)</f>
        <v>-4517769.37465789</v>
      </c>
      <c r="P105" s="69" t="n">
        <f aca="false">MIN(O105,P104)</f>
        <v>-4524041.04765536</v>
      </c>
      <c r="Q105" s="69" t="n">
        <f aca="false">MIN(P105,Q104)</f>
        <v>-4524041.04765536</v>
      </c>
      <c r="R105" s="69" t="n">
        <f aca="false">MIN(Q105,R104)</f>
        <v>-4524041.04765536</v>
      </c>
      <c r="S105" s="69" t="n">
        <f aca="false">MIN(R105,S104)</f>
        <v>-4524041.04765536</v>
      </c>
      <c r="T105" s="69" t="n">
        <f aca="false">MIN(S105,T104)</f>
        <v>-4524041.04765536</v>
      </c>
      <c r="U105" s="69" t="n">
        <f aca="false">MIN(T105,U104)</f>
        <v>-4524041.04765536</v>
      </c>
      <c r="V105" s="69" t="n">
        <f aca="false">MIN(U105,V104)</f>
        <v>-4524041.04765536</v>
      </c>
      <c r="W105" s="69" t="n">
        <f aca="false">MIN(V105,W104)</f>
        <v>-4524041.04765536</v>
      </c>
      <c r="X105" s="69" t="n">
        <f aca="false">MIN(W105,X104)</f>
        <v>-4524041.04765536</v>
      </c>
      <c r="Y105" s="69" t="n">
        <f aca="false">MIN(X105,Y104)</f>
        <v>-4524041.04765536</v>
      </c>
      <c r="Z105" s="69" t="n">
        <f aca="false">MIN(Y105,Z104)</f>
        <v>-4524041.04765536</v>
      </c>
      <c r="AA105" s="69" t="n">
        <f aca="false">MIN(Z105,AA104)</f>
        <v>-4524041.04765536</v>
      </c>
      <c r="AB105" s="69" t="n">
        <f aca="false">MIN(AA105,AB104)</f>
        <v>-4524041.04765536</v>
      </c>
      <c r="AC105" s="69" t="n">
        <f aca="false">MIN(AB105,AC104)</f>
        <v>-4524041.04765536</v>
      </c>
      <c r="AD105" s="69" t="n">
        <f aca="false">MIN(AC105,AD104)</f>
        <v>-4524041.04765536</v>
      </c>
      <c r="AE105" s="69" t="n">
        <f aca="false">MIN(AD105,AE104)</f>
        <v>-4524041.04765536</v>
      </c>
      <c r="AF105" s="69" t="n">
        <f aca="false">MIN(AE105,AF104)</f>
        <v>-4524041.04765536</v>
      </c>
      <c r="AG105" s="69" t="n">
        <f aca="false">MIN(AF105,AG104)</f>
        <v>-4524041.04765536</v>
      </c>
      <c r="AH105" s="69" t="n">
        <f aca="false">MIN(AG105,AH104)</f>
        <v>-4524041.04765536</v>
      </c>
      <c r="AI105" s="69" t="n">
        <f aca="false">MIN(AH105,AI104)</f>
        <v>-4524041.04765536</v>
      </c>
      <c r="AJ105" s="69" t="n">
        <f aca="false">MIN(AI105,AJ104)</f>
        <v>-4524041.04765536</v>
      </c>
      <c r="AK105" s="69" t="n">
        <f aca="false">MIN(AJ105,AK104)</f>
        <v>-4524041.04765536</v>
      </c>
      <c r="AL105" s="69" t="n">
        <f aca="false">MIN(AK105,AL104)</f>
        <v>-4524041.04765536</v>
      </c>
      <c r="AM105" s="69" t="n">
        <f aca="false">MIN(AL105,AM104)</f>
        <v>-4524041.04765536</v>
      </c>
      <c r="AN105" s="69" t="n">
        <f aca="false">MIN(AM105,AN104)</f>
        <v>-4524041.04765536</v>
      </c>
      <c r="AO105" s="69" t="n">
        <f aca="false">MIN(AN105,AO104)</f>
        <v>-4524041.04765536</v>
      </c>
      <c r="AP105" s="69" t="n">
        <f aca="false">MIN(AO105,AP104)</f>
        <v>-4524041.04765536</v>
      </c>
      <c r="AQ105" s="69" t="n">
        <f aca="false">MIN(AP105,AQ104)</f>
        <v>-4524041.04765536</v>
      </c>
      <c r="AR105" s="69" t="n">
        <f aca="false">MIN(AQ105,AR104)</f>
        <v>-4524041.04765536</v>
      </c>
      <c r="AS105" s="69" t="n">
        <f aca="false">MIN(AR105,AS104)</f>
        <v>-4524041.04765536</v>
      </c>
      <c r="AT105" s="69" t="n">
        <f aca="false">MIN(AS105,AT104)</f>
        <v>-4524041.04765536</v>
      </c>
      <c r="AU105" s="69" t="n">
        <f aca="false">MIN(AT105,AU104)</f>
        <v>-4524041.04765536</v>
      </c>
      <c r="AV105" s="69" t="n">
        <f aca="false">MIN(AU105,AV104)</f>
        <v>-4524041.04765536</v>
      </c>
      <c r="AW105" s="69" t="n">
        <f aca="false">MIN(AV105,AW104)</f>
        <v>-4524041.04765536</v>
      </c>
      <c r="AX105" s="69" t="n">
        <f aca="false">MIN(AW105,AX104)</f>
        <v>-4524041.04765536</v>
      </c>
      <c r="AY105" s="69" t="n">
        <f aca="false">MIN(AX105,AY104)</f>
        <v>-4524041.04765536</v>
      </c>
      <c r="AZ105" s="69" t="n">
        <f aca="false">MIN(AY105,AZ104)</f>
        <v>-4524041.04765536</v>
      </c>
      <c r="BA105" s="69" t="n">
        <f aca="false">MIN(AZ105,BA104)</f>
        <v>-4524041.04765536</v>
      </c>
      <c r="BB105" s="69" t="n">
        <f aca="false">MIN(BA105,BB104)</f>
        <v>-4524041.04765536</v>
      </c>
      <c r="BC105" s="69" t="n">
        <f aca="false">MIN(BB105,BC104)</f>
        <v>-4524041.04765536</v>
      </c>
      <c r="BD105" s="69" t="n">
        <f aca="false">MIN(BC105,BD104)</f>
        <v>-4524041.04765536</v>
      </c>
      <c r="BE105" s="69" t="n">
        <f aca="false">MIN(BD105,BE104)</f>
        <v>-4524041.04765536</v>
      </c>
      <c r="BF105" s="69" t="n">
        <f aca="false">MIN(BE105,BF104)</f>
        <v>-4524041.04765536</v>
      </c>
      <c r="BG105" s="69" t="n">
        <f aca="false">MIN(BF105,BG104)</f>
        <v>-4524041.04765536</v>
      </c>
      <c r="BH105" s="69" t="n">
        <f aca="false">MIN(BG105,BH104)</f>
        <v>-4524041.04765536</v>
      </c>
      <c r="BI105" s="69" t="n">
        <f aca="false">MIN(BH105,BI104)</f>
        <v>-4524041.04765536</v>
      </c>
      <c r="BJ105" s="69" t="n">
        <f aca="false">MIN(BI105,BJ104)</f>
        <v>-4524041.04765536</v>
      </c>
    </row>
    <row r="106" customFormat="false" ht="15" hidden="false" customHeight="false" outlineLevel="0" collapsed="false">
      <c r="A106" s="116" t="s">
        <v>464</v>
      </c>
      <c r="C106" s="118" t="n">
        <f aca="false">IF(AND(C104&gt;=0,C105&lt;0),1,0)</f>
        <v>0</v>
      </c>
      <c r="D106" s="118" t="n">
        <f aca="false">IF(AND(D104&gt;=0,D105&lt;0),1,0)</f>
        <v>0</v>
      </c>
      <c r="E106" s="118" t="n">
        <f aca="false">IF(AND(E104&gt;=0,E105&lt;0),1,0)</f>
        <v>0</v>
      </c>
      <c r="F106" s="118" t="n">
        <f aca="false">IF(AND(F104&gt;=0,F105&lt;0),1,0)</f>
        <v>0</v>
      </c>
      <c r="G106" s="118" t="n">
        <f aca="false">IF(AND(G104&gt;=0,G105&lt;0),1,0)</f>
        <v>0</v>
      </c>
      <c r="H106" s="118" t="n">
        <f aca="false">IF(AND(H104&gt;=0,H105&lt;0),1,0)</f>
        <v>0</v>
      </c>
      <c r="I106" s="118" t="n">
        <f aca="false">IF(AND(I104&gt;=0,I105&lt;0),1,0)</f>
        <v>0</v>
      </c>
      <c r="J106" s="118" t="n">
        <f aca="false">IF(AND(J104&gt;=0,J105&lt;0),1,0)</f>
        <v>0</v>
      </c>
      <c r="K106" s="118" t="n">
        <f aca="false">IF(AND(K104&gt;=0,K105&lt;0),1,0)</f>
        <v>0</v>
      </c>
      <c r="L106" s="118" t="n">
        <f aca="false">IF(AND(L104&gt;=0,L105&lt;0),1,0)</f>
        <v>0</v>
      </c>
      <c r="M106" s="118" t="n">
        <f aca="false">IF(AND(M104&gt;=0,M105&lt;0),1,0)</f>
        <v>0</v>
      </c>
      <c r="N106" s="118" t="n">
        <f aca="false">IF(AND(N104&gt;=0,N105&lt;0),1,0)</f>
        <v>0</v>
      </c>
      <c r="O106" s="118" t="n">
        <f aca="false">IF(AND(O104&gt;=0,O105&lt;0),1,0)</f>
        <v>0</v>
      </c>
      <c r="P106" s="118" t="n">
        <f aca="false">IF(AND(P104&gt;=0,P105&lt;0),1,0)</f>
        <v>0</v>
      </c>
      <c r="Q106" s="118" t="n">
        <f aca="false">IF(AND(Q104&gt;=0,Q105&lt;0),1,0)</f>
        <v>0</v>
      </c>
      <c r="R106" s="118" t="n">
        <f aca="false">IF(AND(R104&gt;=0,R105&lt;0),1,0)</f>
        <v>0</v>
      </c>
      <c r="S106" s="118" t="n">
        <f aca="false">IF(AND(S104&gt;=0,S105&lt;0),1,0)</f>
        <v>0</v>
      </c>
      <c r="T106" s="118" t="n">
        <f aca="false">IF(AND(T104&gt;=0,T105&lt;0),1,0)</f>
        <v>0</v>
      </c>
      <c r="U106" s="118" t="n">
        <f aca="false">IF(AND(U104&gt;=0,U105&lt;0),1,0)</f>
        <v>0</v>
      </c>
      <c r="V106" s="118" t="n">
        <f aca="false">IF(AND(V104&gt;=0,V105&lt;0),1,0)</f>
        <v>0</v>
      </c>
      <c r="W106" s="118" t="n">
        <f aca="false">IF(AND(W104&gt;=0,W105&lt;0),1,0)</f>
        <v>0</v>
      </c>
      <c r="X106" s="118" t="n">
        <f aca="false">IF(AND(X104&gt;=0,X105&lt;0),1,0)</f>
        <v>0</v>
      </c>
      <c r="Y106" s="118" t="n">
        <f aca="false">IF(AND(Y104&gt;=0,Y105&lt;0),1,0)</f>
        <v>0</v>
      </c>
      <c r="Z106" s="118" t="n">
        <f aca="false">IF(AND(Z104&gt;=0,Z105&lt;0),1,0)</f>
        <v>0</v>
      </c>
      <c r="AA106" s="118" t="n">
        <f aca="false">IF(AND(AA104&gt;=0,AA105&lt;0),1,0)</f>
        <v>0</v>
      </c>
      <c r="AB106" s="118" t="n">
        <f aca="false">IF(AND(AB104&gt;=0,AB105&lt;0),1,0)</f>
        <v>0</v>
      </c>
      <c r="AC106" s="118" t="n">
        <f aca="false">IF(AND(AC104&gt;=0,AC105&lt;0),1,0)</f>
        <v>0</v>
      </c>
      <c r="AD106" s="118" t="n">
        <f aca="false">IF(AND(AD104&gt;=0,AD105&lt;0),1,0)</f>
        <v>0</v>
      </c>
      <c r="AE106" s="118" t="n">
        <f aca="false">IF(AND(AE104&gt;=0,AE105&lt;0),1,0)</f>
        <v>0</v>
      </c>
      <c r="AF106" s="118" t="n">
        <f aca="false">IF(AND(AF104&gt;=0,AF105&lt;0),1,0)</f>
        <v>0</v>
      </c>
      <c r="AG106" s="118" t="n">
        <f aca="false">IF(AND(AG104&gt;=0,AG105&lt;0),1,0)</f>
        <v>0</v>
      </c>
      <c r="AH106" s="118" t="n">
        <f aca="false">IF(AND(AH104&gt;=0,AH105&lt;0),1,0)</f>
        <v>0</v>
      </c>
      <c r="AI106" s="118" t="n">
        <f aca="false">IF(AND(AI104&gt;=0,AI105&lt;0),1,0)</f>
        <v>0</v>
      </c>
      <c r="AJ106" s="118" t="n">
        <f aca="false">IF(AND(AJ104&gt;=0,AJ105&lt;0),1,0)</f>
        <v>0</v>
      </c>
      <c r="AK106" s="118" t="n">
        <f aca="false">IF(AND(AK104&gt;=0,AK105&lt;0),1,0)</f>
        <v>0</v>
      </c>
      <c r="AL106" s="118" t="n">
        <f aca="false">IF(AND(AL104&gt;=0,AL105&lt;0),1,0)</f>
        <v>0</v>
      </c>
      <c r="AM106" s="118" t="n">
        <f aca="false">IF(AND(AM104&gt;=0,AM105&lt;0),1,0)</f>
        <v>0</v>
      </c>
      <c r="AN106" s="118" t="n">
        <f aca="false">IF(AND(AN104&gt;=0,AN105&lt;0),1,0)</f>
        <v>0</v>
      </c>
      <c r="AO106" s="118" t="n">
        <f aca="false">IF(AND(AO104&gt;=0,AO105&lt;0),1,0)</f>
        <v>0</v>
      </c>
      <c r="AP106" s="118" t="n">
        <f aca="false">IF(AND(AP104&gt;=0,AP105&lt;0),1,0)</f>
        <v>0</v>
      </c>
      <c r="AQ106" s="118" t="n">
        <f aca="false">IF(AND(AQ104&gt;=0,AQ105&lt;0),1,0)</f>
        <v>0</v>
      </c>
      <c r="AR106" s="118" t="n">
        <f aca="false">IF(AND(AR104&gt;=0,AR105&lt;0),1,0)</f>
        <v>0</v>
      </c>
      <c r="AS106" s="118" t="n">
        <f aca="false">IF(AND(AS104&gt;=0,AS105&lt;0),1,0)</f>
        <v>0</v>
      </c>
      <c r="AT106" s="118" t="n">
        <f aca="false">IF(AND(AT104&gt;=0,AT105&lt;0),1,0)</f>
        <v>0</v>
      </c>
      <c r="AU106" s="118" t="n">
        <f aca="false">IF(AND(AU104&gt;=0,AU105&lt;0),1,0)</f>
        <v>0</v>
      </c>
      <c r="AV106" s="118" t="n">
        <f aca="false">IF(AND(AV104&gt;=0,AV105&lt;0),1,0)</f>
        <v>0</v>
      </c>
      <c r="AW106" s="118" t="n">
        <f aca="false">IF(AND(AW104&gt;=0,AW105&lt;0),1,0)</f>
        <v>0</v>
      </c>
      <c r="AX106" s="118" t="n">
        <f aca="false">IF(AND(AX104&gt;=0,AX105&lt;0),1,0)</f>
        <v>0</v>
      </c>
      <c r="AY106" s="118" t="n">
        <f aca="false">IF(AND(AY104&gt;=0,AY105&lt;0),1,0)</f>
        <v>0</v>
      </c>
      <c r="AZ106" s="118" t="n">
        <f aca="false">IF(AND(AZ104&gt;=0,AZ105&lt;0),1,0)</f>
        <v>0</v>
      </c>
      <c r="BA106" s="118" t="n">
        <f aca="false">IF(AND(BA104&gt;=0,BA105&lt;0),1,0)</f>
        <v>0</v>
      </c>
      <c r="BB106" s="118" t="n">
        <f aca="false">IF(AND(BB104&gt;=0,BB105&lt;0),1,0)</f>
        <v>0</v>
      </c>
      <c r="BC106" s="118" t="n">
        <f aca="false">IF(AND(BC104&gt;=0,BC105&lt;0),1,0)</f>
        <v>0</v>
      </c>
      <c r="BD106" s="118" t="n">
        <f aca="false">IF(AND(BD104&gt;=0,BD105&lt;0),1,0)</f>
        <v>0</v>
      </c>
      <c r="BE106" s="118" t="n">
        <f aca="false">IF(AND(BE104&gt;=0,BE105&lt;0),1,0)</f>
        <v>0</v>
      </c>
      <c r="BF106" s="118" t="n">
        <f aca="false">IF(AND(BF104&gt;=0,BF105&lt;0),1,0)</f>
        <v>0</v>
      </c>
      <c r="BG106" s="118" t="n">
        <f aca="false">IF(AND(BG104&gt;=0,BG105&lt;0),1,0)</f>
        <v>0</v>
      </c>
      <c r="BH106" s="118" t="n">
        <f aca="false">IF(AND(BH104&gt;=0,BH105&lt;0),1,0)</f>
        <v>0</v>
      </c>
      <c r="BI106" s="118" t="n">
        <f aca="false">IF(AND(BI104&gt;=0,BI105&lt;0),1,0)</f>
        <v>0</v>
      </c>
      <c r="BJ106" s="118" t="n">
        <f aca="false">IF(AND(BJ104&gt;=0,BJ105&lt;0),1,0)</f>
        <v>0</v>
      </c>
    </row>
    <row r="107" customFormat="false" ht="15" hidden="false" customHeight="false" outlineLevel="0" collapsed="false">
      <c r="A107" s="6" t="s">
        <v>465</v>
      </c>
      <c r="C107" s="69" t="n">
        <f aca="false">C92-C59*(1-Inputs!$E$79)+C93</f>
        <v>-4158016.6630306</v>
      </c>
      <c r="D107" s="69" t="n">
        <f aca="false">D92-D59*(1-Inputs!$E$79)+D93</f>
        <v>-51726.9566607723</v>
      </c>
      <c r="E107" s="69" t="n">
        <f aca="false">E92-E59*(1-Inputs!$E$79)+E93</f>
        <v>-36503.321117098</v>
      </c>
      <c r="F107" s="69" t="n">
        <f aca="false">F92-F59*(1-Inputs!$E$79)+F93</f>
        <v>-29389.6085539201</v>
      </c>
      <c r="G107" s="69" t="n">
        <f aca="false">G92-G59*(1-Inputs!$E$79)+G93</f>
        <v>-22231.0037640041</v>
      </c>
      <c r="H107" s="69" t="n">
        <f aca="false">H92-H59*(1-Inputs!$E$79)+H93</f>
        <v>-14949.7896614402</v>
      </c>
      <c r="I107" s="69" t="n">
        <f aca="false">I92-I59*(1-Inputs!$E$79)+I93</f>
        <v>-7550.87061873443</v>
      </c>
      <c r="J107" s="69" t="n">
        <f aca="false">J92-J59*(1-Inputs!$E$79)+J93</f>
        <v>-38.9548334924384</v>
      </c>
      <c r="K107" s="69" t="n">
        <f aca="false">K92-K59*(1-Inputs!$E$79)+K93</f>
        <v>7581.4378245843</v>
      </c>
      <c r="L107" s="69" t="n">
        <f aca="false">L92-L59*(1-Inputs!$E$79)+L93</f>
        <v>15305.9682805824</v>
      </c>
      <c r="M107" s="69" t="n">
        <f aca="false">M92-M59*(1-Inputs!$E$79)+M93</f>
        <v>17608.595641911</v>
      </c>
      <c r="N107" s="69" t="n">
        <f aca="false">N92-N59*(1-Inputs!$E$79)+N93</f>
        <v>3339.67612283636</v>
      </c>
      <c r="O107" s="69" t="n">
        <f aca="false">O92-O59*(1-Inputs!$E$79)+O93</f>
        <v>-33032.8842877425</v>
      </c>
      <c r="P107" s="69" t="n">
        <f aca="false">P92-P59*(1-Inputs!$E$79)+P93</f>
        <v>8767.12908586418</v>
      </c>
      <c r="Q107" s="69" t="n">
        <f aca="false">Q92-Q59*(1-Inputs!$E$79)+Q93</f>
        <v>27031.1306651499</v>
      </c>
      <c r="R107" s="69" t="n">
        <f aca="false">R92-R59*(1-Inputs!$E$79)+R93</f>
        <v>28916.9569596957</v>
      </c>
      <c r="S107" s="69" t="n">
        <f aca="false">S92-S59*(1-Inputs!$E$79)+S93</f>
        <v>30756.0278246112</v>
      </c>
      <c r="T107" s="69" t="n">
        <f aca="false">T92-T59*(1-Inputs!$E$79)+T93</f>
        <v>32523.0233549301</v>
      </c>
      <c r="U107" s="69" t="n">
        <f aca="false">U92-U59*(1-Inputs!$E$79)+U93</f>
        <v>34220.8265640362</v>
      </c>
      <c r="V107" s="69" t="n">
        <f aca="false">V92-V59*(1-Inputs!$E$79)+V93</f>
        <v>35852.2051447781</v>
      </c>
      <c r="W107" s="69" t="n">
        <f aca="false">W92-W59*(1-Inputs!$E$79)+W93</f>
        <v>37419.8160822903</v>
      </c>
      <c r="X107" s="69" t="n">
        <f aca="false">X92-X59*(1-Inputs!$E$79)+X93</f>
        <v>38926.2100823021</v>
      </c>
      <c r="Y107" s="69" t="n">
        <f aca="false">Y92-Y59*(1-Inputs!$E$79)+Y93</f>
        <v>40373.8358223133</v>
      </c>
      <c r="Z107" s="69" t="n">
        <f aca="false">Z92-Z59*(1-Inputs!$E$79)+Z93</f>
        <v>25635.4262344361</v>
      </c>
      <c r="AA107" s="69" t="n">
        <f aca="false">AA92-AA59*(1-Inputs!$E$79)+AA93</f>
        <v>-11306.24844384</v>
      </c>
      <c r="AB107" s="69" t="n">
        <f aca="false">AB92-AB59*(1-Inputs!$E$79)+AB93</f>
        <v>29800.1259215574</v>
      </c>
      <c r="AC107" s="69" t="n">
        <f aca="false">AC92-AC59*(1-Inputs!$E$79)+AC93</f>
        <v>47216.8465803437</v>
      </c>
      <c r="AD107" s="69" t="n">
        <f aca="false">AD92-AD59*(1-Inputs!$E$79)+AD93</f>
        <v>48232.1598891856</v>
      </c>
      <c r="AE107" s="69" t="n">
        <f aca="false">AE92-AE59*(1-Inputs!$E$79)+AE93</f>
        <v>49493.93172091</v>
      </c>
      <c r="AF107" s="69" t="n">
        <f aca="false">AF92-AF59*(1-Inputs!$E$79)+AF93</f>
        <v>50706.7201793654</v>
      </c>
      <c r="AG107" s="69" t="n">
        <f aca="false">AG92-AG59*(1-Inputs!$E$79)+AG93</f>
        <v>51872.4845994826</v>
      </c>
      <c r="AH107" s="69" t="n">
        <f aca="false">AH92-AH59*(1-Inputs!$E$79)+AH93</f>
        <v>52993.1059427951</v>
      </c>
      <c r="AI107" s="69" t="n">
        <f aca="false">AI92-AI59*(1-Inputs!$E$79)+AI93</f>
        <v>54070.3899323751</v>
      </c>
      <c r="AJ107" s="69" t="n">
        <f aca="false">AJ92-AJ59*(1-Inputs!$E$79)+AJ93</f>
        <v>55106.0700623719</v>
      </c>
      <c r="AK107" s="69" t="n">
        <f aca="false">AK92-AK59*(1-Inputs!$E$79)+AK93</f>
        <v>56101.8104871688</v>
      </c>
      <c r="AL107" s="69" t="n">
        <f aca="false">AL92-AL59*(1-Inputs!$E$79)+AL93</f>
        <v>40994.7085110641</v>
      </c>
      <c r="AM107" s="69" t="n">
        <f aca="false">AM92-AM59*(1-Inputs!$E$79)+AM93</f>
        <v>3645.73161309641</v>
      </c>
      <c r="AN107" s="69" t="n">
        <f aca="false">AN92-AN59*(1-Inputs!$E$79)+AN93</f>
        <v>44321.3013614088</v>
      </c>
      <c r="AO107" s="69" t="n">
        <f aca="false">AO92-AO59*(1-Inputs!$E$79)+AO93</f>
        <v>61293.4803840058</v>
      </c>
      <c r="AP107" s="69" t="n">
        <f aca="false">AP92-AP59*(1-Inputs!$E$79)+AP93</f>
        <v>61745.7340052163</v>
      </c>
      <c r="AQ107" s="69" t="n">
        <f aca="false">AQ92-AQ59*(1-Inputs!$E$79)+AQ93</f>
        <v>62652.6207554095</v>
      </c>
      <c r="AR107" s="69" t="n">
        <f aca="false">AR92-AR59*(1-Inputs!$E$79)+AR93</f>
        <v>63524.719535595</v>
      </c>
      <c r="AS107" s="69" t="n">
        <f aca="false">AS92-AS59*(1-Inputs!$E$79)+AS93</f>
        <v>64363.4218645731</v>
      </c>
      <c r="AT107" s="69" t="n">
        <f aca="false">AT92-AT59*(1-Inputs!$E$79)+AT93</f>
        <v>65170.0636003921</v>
      </c>
      <c r="AU107" s="69" t="n">
        <f aca="false">AU92-AU59*(1-Inputs!$E$79)+AU93</f>
        <v>65945.9271667783</v>
      </c>
      <c r="AV107" s="69" t="n">
        <f aca="false">AV92-AV59*(1-Inputs!$E$79)+AV93</f>
        <v>66692.2436905091</v>
      </c>
      <c r="AW107" s="69" t="n">
        <f aca="false">AW92-AW59*(1-Inputs!$E$79)+AW93</f>
        <v>67410.1950532906</v>
      </c>
      <c r="AX107" s="69" t="n">
        <f aca="false">AX92-AX59*(1-Inputs!$E$79)+AX93</f>
        <v>51996.9348118083</v>
      </c>
      <c r="AY107" s="69" t="n">
        <f aca="false">AY92-AY59*(1-Inputs!$E$79)+AY93</f>
        <v>14360.5092983922</v>
      </c>
      <c r="AZ107" s="69" t="n">
        <f aca="false">AZ92-AZ59*(1-Inputs!$E$79)+AZ93</f>
        <v>54769.5757121477</v>
      </c>
      <c r="BA107" s="69" t="n">
        <f aca="false">BA92-BA59*(1-Inputs!$E$79)+BA93</f>
        <v>71549.1539638332</v>
      </c>
      <c r="BB107" s="69" t="n">
        <f aca="false">BB92-BB59*(1-Inputs!$E$79)+BB93</f>
        <v>71629.3283049172</v>
      </c>
      <c r="BC107" s="69" t="n">
        <f aca="false">BC92-BC59*(1-Inputs!$E$79)+BC93</f>
        <v>72320.3613008305</v>
      </c>
      <c r="BD107" s="69" t="n">
        <f aca="false">BD92-BD59*(1-Inputs!$E$79)+BD93</f>
        <v>72985.2404769072</v>
      </c>
      <c r="BE107" s="69" t="n">
        <f aca="false">BE92-BE59*(1-Inputs!$E$79)+BE93</f>
        <v>73625.0119859409</v>
      </c>
      <c r="BF107" s="69" t="n">
        <f aca="false">BF92-BF59*(1-Inputs!$E$79)+BF93</f>
        <v>74240.6801346131</v>
      </c>
      <c r="BG107" s="69" t="n">
        <f aca="false">BG92-BG59*(1-Inputs!$E$79)+BG93</f>
        <v>74833.2090573385</v>
      </c>
      <c r="BH107" s="69" t="n">
        <f aca="false">BH92-BH59*(1-Inputs!$E$79)+BH93</f>
        <v>75403.524323155</v>
      </c>
      <c r="BI107" s="69" t="n">
        <f aca="false">BI92-BI59*(1-Inputs!$E$79)+BI93</f>
        <v>75952.5144783387</v>
      </c>
      <c r="BJ107" s="69" t="n">
        <f aca="false">BJ92-BJ59*(1-Inputs!$E$79)+BJ93</f>
        <v>60272.4240801914</v>
      </c>
    </row>
    <row r="109" customFormat="false" ht="15.75" hidden="false" customHeight="true" outlineLevel="0" collapsed="false">
      <c r="A109" s="7" t="s">
        <v>466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customFormat="false" ht="15" hidden="false" customHeight="false" outlineLevel="0" collapsed="false">
      <c r="A110" s="6" t="s">
        <v>97</v>
      </c>
      <c r="C110" s="69" t="n">
        <f aca="false">C94</f>
        <v>2100000</v>
      </c>
      <c r="D110" s="69" t="n">
        <f aca="false">C110+D94</f>
        <v>2100000</v>
      </c>
      <c r="E110" s="69" t="n">
        <f aca="false">D110+E94</f>
        <v>2100000</v>
      </c>
      <c r="F110" s="69" t="n">
        <f aca="false">E110+F94</f>
        <v>2100000</v>
      </c>
      <c r="G110" s="69" t="n">
        <f aca="false">F110+G94</f>
        <v>2100000</v>
      </c>
      <c r="H110" s="69" t="n">
        <f aca="false">G110+H94</f>
        <v>2100000</v>
      </c>
      <c r="I110" s="69" t="n">
        <f aca="false">H110+I94</f>
        <v>2100000</v>
      </c>
      <c r="J110" s="69" t="n">
        <f aca="false">I110+J94</f>
        <v>2100000</v>
      </c>
      <c r="K110" s="69" t="n">
        <f aca="false">J110+K94</f>
        <v>2100000</v>
      </c>
      <c r="L110" s="69" t="n">
        <f aca="false">K110+L94</f>
        <v>2100000</v>
      </c>
      <c r="M110" s="69" t="n">
        <f aca="false">L110+M94</f>
        <v>2100000</v>
      </c>
      <c r="N110" s="69" t="n">
        <f aca="false">M110+N94</f>
        <v>2100000</v>
      </c>
      <c r="O110" s="69" t="n">
        <f aca="false">N110+O94</f>
        <v>2100000</v>
      </c>
      <c r="P110" s="69" t="n">
        <f aca="false">O110+P94</f>
        <v>2100000</v>
      </c>
      <c r="Q110" s="69" t="n">
        <f aca="false">P110+Q94</f>
        <v>2100000</v>
      </c>
      <c r="R110" s="69" t="n">
        <f aca="false">Q110+R94</f>
        <v>2100000</v>
      </c>
      <c r="S110" s="69" t="n">
        <f aca="false">R110+S94</f>
        <v>2100000</v>
      </c>
      <c r="T110" s="69" t="n">
        <f aca="false">S110+T94</f>
        <v>2100000</v>
      </c>
      <c r="U110" s="69" t="n">
        <f aca="false">T110+U94</f>
        <v>2100000</v>
      </c>
      <c r="V110" s="69" t="n">
        <f aca="false">U110+V94</f>
        <v>2100000</v>
      </c>
      <c r="W110" s="69" t="n">
        <f aca="false">V110+W94</f>
        <v>2100000</v>
      </c>
      <c r="X110" s="69" t="n">
        <f aca="false">W110+X94</f>
        <v>2100000</v>
      </c>
      <c r="Y110" s="69" t="n">
        <f aca="false">X110+Y94</f>
        <v>2100000</v>
      </c>
      <c r="Z110" s="69" t="n">
        <f aca="false">Y110+Z94</f>
        <v>2100000</v>
      </c>
      <c r="AA110" s="69" t="n">
        <f aca="false">Z110+AA94</f>
        <v>2100000</v>
      </c>
      <c r="AB110" s="69" t="n">
        <f aca="false">AA110+AB94</f>
        <v>2100000</v>
      </c>
      <c r="AC110" s="69" t="n">
        <f aca="false">AB110+AC94</f>
        <v>2100000</v>
      </c>
      <c r="AD110" s="69" t="n">
        <f aca="false">AC110+AD94</f>
        <v>2100000</v>
      </c>
      <c r="AE110" s="69" t="n">
        <f aca="false">AD110+AE94</f>
        <v>2100000</v>
      </c>
      <c r="AF110" s="69" t="n">
        <f aca="false">AE110+AF94</f>
        <v>2100000</v>
      </c>
      <c r="AG110" s="69" t="n">
        <f aca="false">AF110+AG94</f>
        <v>2100000</v>
      </c>
      <c r="AH110" s="69" t="n">
        <f aca="false">AG110+AH94</f>
        <v>2100000</v>
      </c>
      <c r="AI110" s="69" t="n">
        <f aca="false">AH110+AI94</f>
        <v>2100000</v>
      </c>
      <c r="AJ110" s="69" t="n">
        <f aca="false">AI110+AJ94</f>
        <v>2100000</v>
      </c>
      <c r="AK110" s="69" t="n">
        <f aca="false">AJ110+AK94</f>
        <v>2100000</v>
      </c>
      <c r="AL110" s="69" t="n">
        <f aca="false">AK110+AL94</f>
        <v>2100000</v>
      </c>
      <c r="AM110" s="69" t="n">
        <f aca="false">AL110+AM94</f>
        <v>2100000</v>
      </c>
      <c r="AN110" s="69" t="n">
        <f aca="false">AM110+AN94</f>
        <v>2100000</v>
      </c>
      <c r="AO110" s="69" t="n">
        <f aca="false">AN110+AO94</f>
        <v>2100000</v>
      </c>
      <c r="AP110" s="69" t="n">
        <f aca="false">AO110+AP94</f>
        <v>2100000</v>
      </c>
      <c r="AQ110" s="69" t="n">
        <f aca="false">AP110+AQ94</f>
        <v>2100000</v>
      </c>
      <c r="AR110" s="69" t="n">
        <f aca="false">AQ110+AR94</f>
        <v>2100000</v>
      </c>
      <c r="AS110" s="69" t="n">
        <f aca="false">AR110+AS94</f>
        <v>2100000</v>
      </c>
      <c r="AT110" s="69" t="n">
        <f aca="false">AS110+AT94</f>
        <v>2100000</v>
      </c>
      <c r="AU110" s="69" t="n">
        <f aca="false">AT110+AU94</f>
        <v>2100000</v>
      </c>
      <c r="AV110" s="69" t="n">
        <f aca="false">AU110+AV94</f>
        <v>2100000</v>
      </c>
      <c r="AW110" s="69" t="n">
        <f aca="false">AV110+AW94</f>
        <v>2100000</v>
      </c>
      <c r="AX110" s="69" t="n">
        <f aca="false">AW110+AX94</f>
        <v>2100000</v>
      </c>
      <c r="AY110" s="69" t="n">
        <f aca="false">AX110+AY94</f>
        <v>2100000</v>
      </c>
      <c r="AZ110" s="69" t="n">
        <f aca="false">AY110+AZ94</f>
        <v>2100000</v>
      </c>
      <c r="BA110" s="69" t="n">
        <f aca="false">AZ110+BA94</f>
        <v>2100000</v>
      </c>
      <c r="BB110" s="69" t="n">
        <f aca="false">BA110+BB94</f>
        <v>2100000</v>
      </c>
      <c r="BC110" s="69" t="n">
        <f aca="false">BB110+BC94</f>
        <v>2100000</v>
      </c>
      <c r="BD110" s="69" t="n">
        <f aca="false">BC110+BD94</f>
        <v>2100000</v>
      </c>
      <c r="BE110" s="69" t="n">
        <f aca="false">BD110+BE94</f>
        <v>2100000</v>
      </c>
      <c r="BF110" s="69" t="n">
        <f aca="false">BE110+BF94</f>
        <v>2100000</v>
      </c>
      <c r="BG110" s="69" t="n">
        <f aca="false">BF110+BG94</f>
        <v>2100000</v>
      </c>
      <c r="BH110" s="69" t="n">
        <f aca="false">BG110+BH94</f>
        <v>2100000</v>
      </c>
      <c r="BI110" s="69" t="n">
        <f aca="false">BH110+BI94</f>
        <v>2100000</v>
      </c>
      <c r="BJ110" s="69" t="n">
        <f aca="false">BI110+BJ94</f>
        <v>2100000</v>
      </c>
    </row>
    <row r="111" customFormat="false" ht="15" hidden="false" customHeight="false" outlineLevel="0" collapsed="false">
      <c r="A111" s="6" t="s">
        <v>98</v>
      </c>
      <c r="C111" s="69" t="n">
        <f aca="false">C64</f>
        <v>-102437.476634789</v>
      </c>
      <c r="D111" s="69" t="n">
        <f aca="false">C111+D64</f>
        <v>-199240.336761108</v>
      </c>
      <c r="E111" s="69" t="n">
        <f aca="false">D111+E64</f>
        <v>-280587.034107493</v>
      </c>
      <c r="F111" s="69" t="n">
        <f aca="false">E111+F64</f>
        <v>-354763.012705834</v>
      </c>
      <c r="G111" s="69" t="n">
        <f aca="false">F111+G64</f>
        <v>-421640.551968474</v>
      </c>
      <c r="H111" s="69" t="n">
        <f aca="false">G111+H64</f>
        <v>-481097.040131265</v>
      </c>
      <c r="I111" s="69" t="n">
        <f aca="false">H111+I64</f>
        <v>-533014.769900621</v>
      </c>
      <c r="J111" s="69" t="n">
        <f aca="false">I111+J64</f>
        <v>-577280.742274703</v>
      </c>
      <c r="K111" s="69" t="n">
        <f aca="false">J111+K64</f>
        <v>-613786.478211745</v>
      </c>
      <c r="L111" s="69" t="n">
        <f aca="false">K111+L64</f>
        <v>-642427.837831648</v>
      </c>
      <c r="M111" s="69" t="n">
        <f aca="false">L111+M64</f>
        <v>-668750.981431645</v>
      </c>
      <c r="N111" s="69" t="n">
        <f aca="false">M111+N64</f>
        <v>-709232.332270295</v>
      </c>
      <c r="O111" s="69" t="n">
        <f aca="false">N111+O64</f>
        <v>-746179.624477354</v>
      </c>
      <c r="P111" s="69" t="n">
        <f aca="false">O111+P64</f>
        <v>-781179.910305002</v>
      </c>
      <c r="Q111" s="69" t="n">
        <f aca="false">P111+Q64</f>
        <v>-797828.321012694</v>
      </c>
      <c r="R111" s="69" t="n">
        <f aca="false">Q111+R64</f>
        <v>-812422.594065442</v>
      </c>
      <c r="S111" s="69" t="n">
        <f aca="false">R111+S64</f>
        <v>-825037.811636111</v>
      </c>
      <c r="T111" s="69" t="n">
        <f aca="false">S111+T64</f>
        <v>-835746.052610649</v>
      </c>
      <c r="U111" s="69" t="n">
        <f aca="false">T111+U64</f>
        <v>-844616.512719569</v>
      </c>
      <c r="V111" s="69" t="n">
        <f aca="false">U111+V64</f>
        <v>-851715.619864162</v>
      </c>
      <c r="W111" s="69" t="n">
        <f aca="false">V111+W64</f>
        <v>-857107.144829668</v>
      </c>
      <c r="X111" s="69" t="n">
        <f aca="false">W111+X64</f>
        <v>-860852.307569918</v>
      </c>
      <c r="Y111" s="69" t="n">
        <f aca="false">X111+Y64</f>
        <v>-863009.879240587</v>
      </c>
      <c r="Z111" s="69" t="n">
        <f aca="false">Y111+Z64</f>
        <v>-879516.123808558</v>
      </c>
      <c r="AA111" s="69" t="n">
        <f aca="false">Z111+AA64</f>
        <v>-893353.113443053</v>
      </c>
      <c r="AB111" s="69" t="n">
        <f aca="false">AA111+AB64</f>
        <v>-905928.286590833</v>
      </c>
      <c r="AC111" s="69" t="n">
        <f aca="false">AB111+AC64</f>
        <v>-901259.37512903</v>
      </c>
      <c r="AD111" s="69" t="n">
        <f aca="false">AC111+AD64</f>
        <v>-895137.670926185</v>
      </c>
      <c r="AE111" s="69" t="n">
        <f aca="false">AD111+AE64</f>
        <v>-887614.202358606</v>
      </c>
      <c r="AF111" s="69" t="n">
        <f aca="false">AE111+AF64</f>
        <v>-878737.95666755</v>
      </c>
      <c r="AG111" s="69" t="n">
        <f aca="false">AF111+AG64</f>
        <v>-868555.961604622</v>
      </c>
      <c r="AH111" s="69" t="n">
        <f aca="false">AG111+AH64</f>
        <v>-857113.363811364</v>
      </c>
      <c r="AI111" s="69" t="n">
        <f aca="false">AH111+AI64</f>
        <v>-844453.504063656</v>
      </c>
      <c r="AJ111" s="69" t="n">
        <f aca="false">AI111+AJ64</f>
        <v>-830617.989506341</v>
      </c>
      <c r="AK111" s="69" t="n">
        <f aca="false">AJ111+AK64</f>
        <v>-815646.762998472</v>
      </c>
      <c r="AL111" s="69" t="n">
        <f aca="false">AK111+AL64</f>
        <v>-815194.045409802</v>
      </c>
      <c r="AM111" s="69" t="n">
        <f aca="false">AL111+AM64</f>
        <v>-812690.210705342</v>
      </c>
      <c r="AN111" s="69" t="n">
        <f aca="false">AM111+AN64</f>
        <v>-809348.489396633</v>
      </c>
      <c r="AO111" s="69" t="n">
        <f aca="false">AN111+AO64</f>
        <v>-789395.311890723</v>
      </c>
      <c r="AP111" s="69" t="n">
        <f aca="false">AO111+AP64</f>
        <v>-768359.015513535</v>
      </c>
      <c r="AQ111" s="69" t="n">
        <f aca="false">AP111+AQ64</f>
        <v>-746275.841686589</v>
      </c>
      <c r="AR111" s="69" t="n">
        <f aca="false">AQ111+AR64</f>
        <v>-723180.582174541</v>
      </c>
      <c r="AS111" s="69" t="n">
        <f aca="false">AR111+AS64</f>
        <v>-699106.637071461</v>
      </c>
      <c r="AT111" s="69" t="n">
        <f aca="false">AS111+AT64</f>
        <v>-674086.070467659</v>
      </c>
      <c r="AU111" s="69" t="n">
        <f aca="false">AT111+AU64</f>
        <v>-648149.663889829</v>
      </c>
      <c r="AV111" s="69" t="n">
        <f aca="false">AU111+AV64</f>
        <v>-621326.967603599</v>
      </c>
      <c r="AW111" s="69" t="n">
        <f aca="false">AV111+AW64</f>
        <v>-593646.349863972</v>
      </c>
      <c r="AX111" s="69" t="n">
        <f aca="false">AW111+AX64</f>
        <v>-580640.523575564</v>
      </c>
      <c r="AY111" s="69" t="n">
        <f aca="false">AX111+AY64</f>
        <v>-566029.958394927</v>
      </c>
      <c r="AZ111" s="69" t="n">
        <f aca="false">AY111+AZ64</f>
        <v>-550842.07871552</v>
      </c>
      <c r="BA111" s="69" t="n">
        <f aca="false">AZ111+BA64</f>
        <v>-519379.393936409</v>
      </c>
      <c r="BB111" s="69" t="n">
        <f aca="false">BA111+BB64</f>
        <v>-487058.441670352</v>
      </c>
      <c r="BC111" s="69" t="n">
        <f aca="false">BB111+BC64</f>
        <v>-453906.469283495</v>
      </c>
      <c r="BD111" s="69" t="n">
        <f aca="false">BC111+BD64</f>
        <v>-419949.634247335</v>
      </c>
      <c r="BE111" s="69" t="n">
        <f aca="false">BD111+BE64</f>
        <v>-385213.047734511</v>
      </c>
      <c r="BF111" s="69" t="n">
        <f aca="false">BE111+BF64</f>
        <v>-349720.816470758</v>
      </c>
      <c r="BG111" s="69" t="n">
        <f aca="false">BF111+BG64</f>
        <v>-313496.082912777</v>
      </c>
      <c r="BH111" s="69" t="n">
        <f aca="false">BG111+BH64</f>
        <v>-276561.063819007</v>
      </c>
      <c r="BI111" s="69" t="n">
        <f aca="false">BH111+BI64</f>
        <v>-238937.087277543</v>
      </c>
      <c r="BJ111" s="69" t="n">
        <f aca="false">BI111+BJ64</f>
        <v>-216134.038884935</v>
      </c>
    </row>
    <row r="112" customFormat="false" ht="15" hidden="false" customHeight="false" outlineLevel="0" collapsed="false">
      <c r="A112" s="4" t="s">
        <v>93</v>
      </c>
      <c r="C112" s="75" t="n">
        <f aca="false">C98+C84+C85+C75</f>
        <v>5003455.8114868</v>
      </c>
      <c r="D112" s="75" t="n">
        <f aca="false">D98+D84+D85+D75</f>
        <v>4882452.53724416</v>
      </c>
      <c r="E112" s="75" t="n">
        <f aca="false">E98+E84+E85+E75</f>
        <v>4778643.66193998</v>
      </c>
      <c r="F112" s="75" t="n">
        <f aca="false">F98+F84+F85+F75</f>
        <v>4680538.40136199</v>
      </c>
      <c r="G112" s="75" t="n">
        <f aca="false">G98+G84+G85+G75</f>
        <v>4589758.38009905</v>
      </c>
      <c r="H112" s="75" t="n">
        <f aca="false">H98+H84+H85+H75</f>
        <v>4506425.13791614</v>
      </c>
      <c r="I112" s="75" t="n">
        <f aca="false">I98+I84+I85+I75</f>
        <v>4430655.35298764</v>
      </c>
      <c r="J112" s="75" t="n">
        <f aca="false">J98+J84+J85+J75</f>
        <v>4362561.03636094</v>
      </c>
      <c r="K112" s="75" t="n">
        <f aca="false">K98+K84+K85+K75</f>
        <v>4302249.71864156</v>
      </c>
      <c r="L112" s="75" t="n">
        <f aca="false">L98+L84+L85+L75</f>
        <v>4249824.62921077</v>
      </c>
      <c r="M112" s="75" t="n">
        <f aca="false">M98+M84+M85+M75</f>
        <v>4198950.76565908</v>
      </c>
      <c r="N112" s="75" t="n">
        <f aca="false">N98+N84+N85+N75</f>
        <v>4130577.30529272</v>
      </c>
      <c r="O112" s="75" t="n">
        <f aca="false">O98+O84+O85+O75</f>
        <v>4069352.51373478</v>
      </c>
      <c r="P112" s="75" t="n">
        <f aca="false">P98+P84+P85+P75</f>
        <v>4009654.12696937</v>
      </c>
      <c r="Q112" s="75" t="n">
        <f aca="false">Q98+Q84+Q85+Q75</f>
        <v>3971887.86597611</v>
      </c>
      <c r="R112" s="75" t="n">
        <f aca="false">R98+R84+R85+R75</f>
        <v>3932691.58214383</v>
      </c>
      <c r="S112" s="75" t="n">
        <f aca="false">S98+S84+S85+S75</f>
        <v>3895458.43422482</v>
      </c>
      <c r="T112" s="75" t="n">
        <f aca="false">T98+T84+T85+T75</f>
        <v>3860116.98011587</v>
      </c>
      <c r="U112" s="75" t="n">
        <f aca="false">U98+U84+U85+U75</f>
        <v>3826598.63539791</v>
      </c>
      <c r="V112" s="75" t="n">
        <f aca="false">V98+V84+V85+V75</f>
        <v>3794837.55902864</v>
      </c>
      <c r="W112" s="75" t="n">
        <f aca="false">W98+W84+W85+W75</f>
        <v>3764770.54360745</v>
      </c>
      <c r="X112" s="75" t="n">
        <f aca="false">X98+X84+X85+X75</f>
        <v>3736336.91002974</v>
      </c>
      <c r="Y112" s="75" t="n">
        <f aca="false">Y98+Y84+Y85+Y75</f>
        <v>3709478.40635511</v>
      </c>
      <c r="Z112" s="75" t="n">
        <f aca="false">Z98+Z84+Z85+Z75</f>
        <v>3664170.4221112</v>
      </c>
      <c r="AA112" s="75" t="n">
        <f aca="false">AA98+AA84+AA85+AA75</f>
        <v>3626045.14285609</v>
      </c>
      <c r="AB112" s="75" t="n">
        <f aca="false">AB98+AB84+AB85+AB75</f>
        <v>3588656.79705764</v>
      </c>
      <c r="AC112" s="75" t="n">
        <f aca="false">AC98+AC84+AC85+AC75</f>
        <v>3572818.83719396</v>
      </c>
      <c r="AD112" s="75" t="n">
        <f aca="false">AD98+AD84+AD85+AD75</f>
        <v>3554213.86885226</v>
      </c>
      <c r="AE112" s="75" t="n">
        <f aca="false">AE98+AE84+AE85+AE75</f>
        <v>3536999.73177707</v>
      </c>
      <c r="AF112" s="75" t="n">
        <f aca="false">AF98+AF84+AF85+AF75</f>
        <v>3521127.87605106</v>
      </c>
      <c r="AG112" s="75" t="n">
        <f aca="false">AG98+AG84+AG85+AG75</f>
        <v>3506551.69375362</v>
      </c>
      <c r="AH112" s="75" t="n">
        <f aca="false">AH98+AH84+AH85+AH75</f>
        <v>3493226.44128091</v>
      </c>
      <c r="AI112" s="75" t="n">
        <f aca="false">AI98+AI84+AI85+AI75</f>
        <v>3481109.1647733</v>
      </c>
      <c r="AJ112" s="75" t="n">
        <f aca="false">AJ98+AJ84+AJ85+AJ75</f>
        <v>3470158.6285255</v>
      </c>
      <c r="AK112" s="75" t="n">
        <f aca="false">AK98+AK84+AK85+AK75</f>
        <v>3460335.24626046</v>
      </c>
      <c r="AL112" s="75" t="n">
        <f aca="false">AL98+AL84+AL85+AL75</f>
        <v>3431329.88023803</v>
      </c>
      <c r="AM112" s="75" t="n">
        <f aca="false">AM98+AM84+AM85+AM75</f>
        <v>3409550.302848</v>
      </c>
      <c r="AN112" s="75" t="n">
        <f aca="false">AN98+AN84+AN85+AN75</f>
        <v>3388006.94904798</v>
      </c>
      <c r="AO112" s="75" t="n">
        <f aca="false">AO98+AO84+AO85+AO75</f>
        <v>3387925.64508555</v>
      </c>
      <c r="AP112" s="75" t="n">
        <f aca="false">AP98+AP84+AP85+AP75</f>
        <v>3384158.11029087</v>
      </c>
      <c r="AQ112" s="75" t="n">
        <f aca="false">AQ98+AQ84+AQ85+AQ75</f>
        <v>3381429.60619282</v>
      </c>
      <c r="AR112" s="75" t="n">
        <f aca="false">AR98+AR84+AR85+AR75</f>
        <v>3379705.65489688</v>
      </c>
      <c r="AS112" s="75" t="n">
        <f aca="false">AS98+AS84+AS85+AS75</f>
        <v>3378953.15762429</v>
      </c>
      <c r="AT112" s="75" t="n">
        <f aca="false">AT98+AT84+AT85+AT75</f>
        <v>3379140.33954744</v>
      </c>
      <c r="AU112" s="75" t="n">
        <f aca="false">AU98+AU84+AU85+AU75</f>
        <v>3380236.69683185</v>
      </c>
      <c r="AV112" s="75" t="n">
        <f aca="false">AV98+AV84+AV85+AV75</f>
        <v>3382212.9457964</v>
      </c>
      <c r="AW112" s="75" t="n">
        <f aca="false">AW98+AW84+AW85+AW75</f>
        <v>3385040.97410721</v>
      </c>
      <c r="AX112" s="75" t="n">
        <f aca="false">AX98+AX84+AX85+AX75</f>
        <v>3368087.68862127</v>
      </c>
      <c r="AY112" s="75" t="n">
        <f aca="false">AY98+AY84+AY85+AY75</f>
        <v>3358430.26108487</v>
      </c>
      <c r="AZ112" s="75" t="n">
        <f aca="false">AZ98+AZ84+AZ85+AZ75</f>
        <v>3348688.4304323</v>
      </c>
      <c r="BA112" s="75" t="n">
        <f aca="false">BA98+BA84+BA85+BA75</f>
        <v>3360506.30600041</v>
      </c>
      <c r="BB112" s="75" t="n">
        <f aca="false">BB98+BB84+BB85+BB75</f>
        <v>3367976.3037845</v>
      </c>
      <c r="BC112" s="75" t="n">
        <f aca="false">BC98+BC84+BC85+BC75</f>
        <v>3376271.35986866</v>
      </c>
      <c r="BD112" s="75" t="n">
        <f aca="false">BD98+BD84+BD85+BD75</f>
        <v>3385365.55525423</v>
      </c>
      <c r="BE112" s="75" t="n">
        <f aca="false">BE98+BE84+BE85+BE75</f>
        <v>3395234.00770249</v>
      </c>
      <c r="BF112" s="75" t="n">
        <f aca="false">BF98+BF84+BF85+BF75</f>
        <v>3405852.83026426</v>
      </c>
      <c r="BG112" s="75" t="n">
        <f aca="false">BG98+BG84+BG85+BG75</f>
        <v>3417199.09146834</v>
      </c>
      <c r="BH112" s="75" t="n">
        <f aca="false">BH98+BH84+BH85+BH75</f>
        <v>3429250.77710236</v>
      </c>
      <c r="BI112" s="75" t="n">
        <f aca="false">BI98+BI84+BI85+BI75</f>
        <v>3441986.75352247</v>
      </c>
      <c r="BJ112" s="75" t="n">
        <f aca="false">BJ98+BJ84+BJ85+BJ75</f>
        <v>3434422.8680779</v>
      </c>
    </row>
    <row r="113" customFormat="false" ht="15" hidden="false" customHeight="false" outlineLevel="0" collapsed="false">
      <c r="A113" s="6" t="s">
        <v>96</v>
      </c>
      <c r="C113" s="69" t="n">
        <f aca="false">C86+C81</f>
        <v>3005893.28812158</v>
      </c>
      <c r="D113" s="69" t="n">
        <f aca="false">D86+D81</f>
        <v>2981692.87400527</v>
      </c>
      <c r="E113" s="69" t="n">
        <f aca="false">E86+E81</f>
        <v>2959230.69604747</v>
      </c>
      <c r="F113" s="69" t="n">
        <f aca="false">F86+F81</f>
        <v>2935301.41406782</v>
      </c>
      <c r="G113" s="69" t="n">
        <f aca="false">G86+G81</f>
        <v>2911398.93206752</v>
      </c>
      <c r="H113" s="69" t="n">
        <f aca="false">H86+H81</f>
        <v>2887522.17804741</v>
      </c>
      <c r="I113" s="69" t="n">
        <f aca="false">I86+I81</f>
        <v>2863670.12288826</v>
      </c>
      <c r="J113" s="69" t="n">
        <f aca="false">J86+J81</f>
        <v>2839841.77863565</v>
      </c>
      <c r="K113" s="69" t="n">
        <f aca="false">K86+K81</f>
        <v>2816036.1968533</v>
      </c>
      <c r="L113" s="69" t="n">
        <f aca="false">L86+L81</f>
        <v>2792252.46704242</v>
      </c>
      <c r="M113" s="69" t="n">
        <f aca="false">M86+M81</f>
        <v>2767701.74709072</v>
      </c>
      <c r="N113" s="69" t="n">
        <f aca="false">N86+N81</f>
        <v>2739809.63756301</v>
      </c>
      <c r="O113" s="69" t="n">
        <f aca="false">O86+O81</f>
        <v>2715532.13821213</v>
      </c>
      <c r="P113" s="69" t="n">
        <f aca="false">P86+P81</f>
        <v>2690834.03727437</v>
      </c>
      <c r="Q113" s="69" t="n">
        <f aca="false">Q86+Q81</f>
        <v>2669716.1869888</v>
      </c>
      <c r="R113" s="69" t="n">
        <f aca="false">R86+R81</f>
        <v>2645114.17620927</v>
      </c>
      <c r="S113" s="69" t="n">
        <f aca="false">S86+S81</f>
        <v>2620496.24586093</v>
      </c>
      <c r="T113" s="69" t="n">
        <f aca="false">T86+T81</f>
        <v>2595863.03272652</v>
      </c>
      <c r="U113" s="69" t="n">
        <f aca="false">U86+U81</f>
        <v>2571215.14811748</v>
      </c>
      <c r="V113" s="69" t="n">
        <f aca="false">V86+V81</f>
        <v>2546553.17889281</v>
      </c>
      <c r="W113" s="69" t="n">
        <f aca="false">W86+W81</f>
        <v>2521877.68843712</v>
      </c>
      <c r="X113" s="69" t="n">
        <f aca="false">X86+X81</f>
        <v>2497189.21759966</v>
      </c>
      <c r="Y113" s="69" t="n">
        <f aca="false">Y86+Y81</f>
        <v>2472488.2855957</v>
      </c>
      <c r="Z113" s="69" t="n">
        <f aca="false">Z86+Z81</f>
        <v>2443686.54591976</v>
      </c>
      <c r="AA113" s="69" t="n">
        <f aca="false">AA86+AA81</f>
        <v>2419398.25629915</v>
      </c>
      <c r="AB113" s="69" t="n">
        <f aca="false">AB86+AB81</f>
        <v>2394585.08364848</v>
      </c>
      <c r="AC113" s="69" t="n">
        <f aca="false">AC86+AC81</f>
        <v>2374078.212323</v>
      </c>
      <c r="AD113" s="69" t="n">
        <f aca="false">AD86+AD81</f>
        <v>2349351.53977844</v>
      </c>
      <c r="AE113" s="69" t="n">
        <f aca="false">AE86+AE81</f>
        <v>2324613.93413567</v>
      </c>
      <c r="AF113" s="69" t="n">
        <f aca="false">AF86+AF81</f>
        <v>2299865.83271861</v>
      </c>
      <c r="AG113" s="69" t="n">
        <f aca="false">AG86+AG81</f>
        <v>2275107.65535824</v>
      </c>
      <c r="AH113" s="69" t="n">
        <f aca="false">AH86+AH81</f>
        <v>2250339.80509228</v>
      </c>
      <c r="AI113" s="69" t="n">
        <f aca="false">AI86+AI81</f>
        <v>2225562.66883695</v>
      </c>
      <c r="AJ113" s="69" t="n">
        <f aca="false">AJ86+AJ81</f>
        <v>2200776.61803184</v>
      </c>
      <c r="AK113" s="69" t="n">
        <f aca="false">AK86+AK81</f>
        <v>2175982.00925894</v>
      </c>
      <c r="AL113" s="69" t="n">
        <f aca="false">AL86+AL81</f>
        <v>2146523.92564784</v>
      </c>
      <c r="AM113" s="69" t="n">
        <f aca="false">AM86+AM81</f>
        <v>2122240.51355335</v>
      </c>
      <c r="AN113" s="69" t="n">
        <f aca="false">AN86+AN81</f>
        <v>2097355.43844461</v>
      </c>
      <c r="AO113" s="69" t="n">
        <f aca="false">AO86+AO81</f>
        <v>2077320.95697627</v>
      </c>
      <c r="AP113" s="69" t="n">
        <f aca="false">AP86+AP81</f>
        <v>2052517.1258044</v>
      </c>
      <c r="AQ113" s="69" t="n">
        <f aca="false">AQ86+AQ81</f>
        <v>2027705.44787941</v>
      </c>
      <c r="AR113" s="69" t="n">
        <f aca="false">AR86+AR81</f>
        <v>2002886.23707142</v>
      </c>
      <c r="AS113" s="69" t="n">
        <f aca="false">AS86+AS81</f>
        <v>1978059.79469575</v>
      </c>
      <c r="AT113" s="69" t="n">
        <f aca="false">AT86+AT81</f>
        <v>1953226.4100151</v>
      </c>
      <c r="AU113" s="69" t="n">
        <f aca="false">AU86+AU81</f>
        <v>1928386.36072168</v>
      </c>
      <c r="AV113" s="69" t="n">
        <f aca="false">AV86+AV81</f>
        <v>1903539.9134</v>
      </c>
      <c r="AW113" s="69" t="n">
        <f aca="false">AW86+AW81</f>
        <v>1878687.32397118</v>
      </c>
      <c r="AX113" s="69" t="n">
        <f aca="false">AX86+AX81</f>
        <v>1848728.21219683</v>
      </c>
      <c r="AY113" s="69" t="n">
        <f aca="false">AY86+AY81</f>
        <v>1824460.21947979</v>
      </c>
      <c r="AZ113" s="69" t="n">
        <f aca="false">AZ86+AZ81</f>
        <v>1799530.50914782</v>
      </c>
      <c r="BA113" s="69" t="n">
        <f aca="false">BA86+BA81</f>
        <v>1779885.69993682</v>
      </c>
      <c r="BB113" s="69" t="n">
        <f aca="false">BB86+BB81</f>
        <v>1755034.74545485</v>
      </c>
      <c r="BC113" s="69" t="n">
        <f aca="false">BC86+BC81</f>
        <v>1730177.82915215</v>
      </c>
      <c r="BD113" s="69" t="n">
        <f aca="false">BD86+BD81</f>
        <v>1705315.18950156</v>
      </c>
      <c r="BE113" s="69" t="n">
        <f aca="false">BE86+BE81</f>
        <v>1680447.055437</v>
      </c>
      <c r="BF113" s="69" t="n">
        <f aca="false">BF86+BF81</f>
        <v>1655573.64673502</v>
      </c>
      <c r="BG113" s="69" t="n">
        <f aca="false">BG86+BG81</f>
        <v>1630695.17438112</v>
      </c>
      <c r="BH113" s="69" t="n">
        <f aca="false">BH86+BH81</f>
        <v>1605811.84092137</v>
      </c>
      <c r="BI113" s="69" t="n">
        <f aca="false">BI86+BI81</f>
        <v>1580923.84080001</v>
      </c>
      <c r="BJ113" s="69" t="n">
        <f aca="false">BJ86+BJ81</f>
        <v>1550556.90696284</v>
      </c>
    </row>
    <row r="114" customFormat="false" ht="15" hidden="false" customHeight="false" outlineLevel="0" collapsed="false">
      <c r="A114" s="6" t="s">
        <v>99</v>
      </c>
      <c r="C114" s="69" t="n">
        <f aca="false">C110+C111</f>
        <v>1997562.52336521</v>
      </c>
      <c r="D114" s="69" t="n">
        <f aca="false">D110+D111</f>
        <v>1900759.66323889</v>
      </c>
      <c r="E114" s="69" t="n">
        <f aca="false">E110+E111</f>
        <v>1819412.96589251</v>
      </c>
      <c r="F114" s="69" t="n">
        <f aca="false">F110+F111</f>
        <v>1745236.98729417</v>
      </c>
      <c r="G114" s="69" t="n">
        <f aca="false">G110+G111</f>
        <v>1678359.44803153</v>
      </c>
      <c r="H114" s="69" t="n">
        <f aca="false">H110+H111</f>
        <v>1618902.95986874</v>
      </c>
      <c r="I114" s="69" t="n">
        <f aca="false">I110+I111</f>
        <v>1566985.23009938</v>
      </c>
      <c r="J114" s="69" t="n">
        <f aca="false">J110+J111</f>
        <v>1522719.2577253</v>
      </c>
      <c r="K114" s="69" t="n">
        <f aca="false">K110+K111</f>
        <v>1486213.52178826</v>
      </c>
      <c r="L114" s="69" t="n">
        <f aca="false">L110+L111</f>
        <v>1457572.16216835</v>
      </c>
      <c r="M114" s="69" t="n">
        <f aca="false">M110+M111</f>
        <v>1431249.01856836</v>
      </c>
      <c r="N114" s="69" t="n">
        <f aca="false">N110+N111</f>
        <v>1390767.66772971</v>
      </c>
      <c r="O114" s="69" t="n">
        <f aca="false">O110+O111</f>
        <v>1353820.37552265</v>
      </c>
      <c r="P114" s="69" t="n">
        <f aca="false">P110+P111</f>
        <v>1318820.089695</v>
      </c>
      <c r="Q114" s="69" t="n">
        <f aca="false">Q110+Q111</f>
        <v>1302171.67898731</v>
      </c>
      <c r="R114" s="69" t="n">
        <f aca="false">R110+R111</f>
        <v>1287577.40593456</v>
      </c>
      <c r="S114" s="69" t="n">
        <f aca="false">S110+S111</f>
        <v>1274962.18836389</v>
      </c>
      <c r="T114" s="69" t="n">
        <f aca="false">T110+T111</f>
        <v>1264253.94738935</v>
      </c>
      <c r="U114" s="69" t="n">
        <f aca="false">U110+U111</f>
        <v>1255383.48728043</v>
      </c>
      <c r="V114" s="69" t="n">
        <f aca="false">V110+V111</f>
        <v>1248284.38013584</v>
      </c>
      <c r="W114" s="69" t="n">
        <f aca="false">W110+W111</f>
        <v>1242892.85517033</v>
      </c>
      <c r="X114" s="69" t="n">
        <f aca="false">X110+X111</f>
        <v>1239147.69243008</v>
      </c>
      <c r="Y114" s="69" t="n">
        <f aca="false">Y110+Y111</f>
        <v>1236990.12075941</v>
      </c>
      <c r="Z114" s="69" t="n">
        <f aca="false">Z110+Z111</f>
        <v>1220483.87619144</v>
      </c>
      <c r="AA114" s="69" t="n">
        <f aca="false">AA110+AA111</f>
        <v>1206646.88655695</v>
      </c>
      <c r="AB114" s="69" t="n">
        <f aca="false">AB110+AB111</f>
        <v>1194071.71340917</v>
      </c>
      <c r="AC114" s="69" t="n">
        <f aca="false">AC110+AC111</f>
        <v>1198740.62487097</v>
      </c>
      <c r="AD114" s="69" t="n">
        <f aca="false">AD110+AD111</f>
        <v>1204862.32907382</v>
      </c>
      <c r="AE114" s="69" t="n">
        <f aca="false">AE110+AE111</f>
        <v>1212385.79764139</v>
      </c>
      <c r="AF114" s="69" t="n">
        <f aca="false">AF110+AF111</f>
        <v>1221262.04333245</v>
      </c>
      <c r="AG114" s="69" t="n">
        <f aca="false">AG110+AG111</f>
        <v>1231444.03839538</v>
      </c>
      <c r="AH114" s="69" t="n">
        <f aca="false">AH110+AH111</f>
        <v>1242886.63618864</v>
      </c>
      <c r="AI114" s="69" t="n">
        <f aca="false">AI110+AI111</f>
        <v>1255546.49593634</v>
      </c>
      <c r="AJ114" s="69" t="n">
        <f aca="false">AJ110+AJ111</f>
        <v>1269382.01049366</v>
      </c>
      <c r="AK114" s="69" t="n">
        <f aca="false">AK110+AK111</f>
        <v>1284353.23700153</v>
      </c>
      <c r="AL114" s="69" t="n">
        <f aca="false">AL110+AL111</f>
        <v>1284805.9545902</v>
      </c>
      <c r="AM114" s="69" t="n">
        <f aca="false">AM110+AM111</f>
        <v>1287309.78929466</v>
      </c>
      <c r="AN114" s="69" t="n">
        <f aca="false">AN110+AN111</f>
        <v>1290651.51060337</v>
      </c>
      <c r="AO114" s="69" t="n">
        <f aca="false">AO110+AO111</f>
        <v>1310604.68810928</v>
      </c>
      <c r="AP114" s="69" t="n">
        <f aca="false">AP110+AP111</f>
        <v>1331640.98448646</v>
      </c>
      <c r="AQ114" s="69" t="n">
        <f aca="false">AQ110+AQ111</f>
        <v>1353724.15831341</v>
      </c>
      <c r="AR114" s="69" t="n">
        <f aca="false">AR110+AR111</f>
        <v>1376819.41782546</v>
      </c>
      <c r="AS114" s="69" t="n">
        <f aca="false">AS110+AS111</f>
        <v>1400893.36292854</v>
      </c>
      <c r="AT114" s="69" t="n">
        <f aca="false">AT110+AT111</f>
        <v>1425913.92953234</v>
      </c>
      <c r="AU114" s="69" t="n">
        <f aca="false">AU110+AU111</f>
        <v>1451850.33611017</v>
      </c>
      <c r="AV114" s="69" t="n">
        <f aca="false">AV110+AV111</f>
        <v>1478673.0323964</v>
      </c>
      <c r="AW114" s="69" t="n">
        <f aca="false">AW110+AW111</f>
        <v>1506353.65013603</v>
      </c>
      <c r="AX114" s="69" t="n">
        <f aca="false">AX110+AX111</f>
        <v>1519359.47642444</v>
      </c>
      <c r="AY114" s="69" t="n">
        <f aca="false">AY110+AY111</f>
        <v>1533970.04160507</v>
      </c>
      <c r="AZ114" s="69" t="n">
        <f aca="false">AZ110+AZ111</f>
        <v>1549157.92128448</v>
      </c>
      <c r="BA114" s="69" t="n">
        <f aca="false">BA110+BA111</f>
        <v>1580620.60606359</v>
      </c>
      <c r="BB114" s="69" t="n">
        <f aca="false">BB110+BB111</f>
        <v>1612941.55832965</v>
      </c>
      <c r="BC114" s="69" t="n">
        <f aca="false">BC110+BC111</f>
        <v>1646093.53071651</v>
      </c>
      <c r="BD114" s="69" t="n">
        <f aca="false">BD110+BD111</f>
        <v>1680050.36575267</v>
      </c>
      <c r="BE114" s="69" t="n">
        <f aca="false">BE110+BE111</f>
        <v>1714786.95226549</v>
      </c>
      <c r="BF114" s="69" t="n">
        <f aca="false">BF110+BF111</f>
        <v>1750279.18352924</v>
      </c>
      <c r="BG114" s="69" t="n">
        <f aca="false">BG110+BG111</f>
        <v>1786503.91708722</v>
      </c>
      <c r="BH114" s="69" t="n">
        <f aca="false">BH110+BH111</f>
        <v>1823438.93618099</v>
      </c>
      <c r="BI114" s="69" t="n">
        <f aca="false">BI110+BI111</f>
        <v>1861062.91272246</v>
      </c>
      <c r="BJ114" s="69" t="n">
        <f aca="false">BJ110+BJ111</f>
        <v>1883865.96111507</v>
      </c>
    </row>
    <row r="115" customFormat="false" ht="15" hidden="false" customHeight="false" outlineLevel="0" collapsed="false">
      <c r="A115" s="4" t="s">
        <v>100</v>
      </c>
      <c r="C115" s="75" t="n">
        <f aca="false">C113+C114</f>
        <v>5003455.8114868</v>
      </c>
      <c r="D115" s="75" t="n">
        <f aca="false">D113+D114</f>
        <v>4882452.53724416</v>
      </c>
      <c r="E115" s="75" t="n">
        <f aca="false">E113+E114</f>
        <v>4778643.66193998</v>
      </c>
      <c r="F115" s="75" t="n">
        <f aca="false">F113+F114</f>
        <v>4680538.40136199</v>
      </c>
      <c r="G115" s="75" t="n">
        <f aca="false">G113+G114</f>
        <v>4589758.38009905</v>
      </c>
      <c r="H115" s="75" t="n">
        <f aca="false">H113+H114</f>
        <v>4506425.13791614</v>
      </c>
      <c r="I115" s="75" t="n">
        <f aca="false">I113+I114</f>
        <v>4430655.35298764</v>
      </c>
      <c r="J115" s="75" t="n">
        <f aca="false">J113+J114</f>
        <v>4362561.03636094</v>
      </c>
      <c r="K115" s="75" t="n">
        <f aca="false">K113+K114</f>
        <v>4302249.71864156</v>
      </c>
      <c r="L115" s="75" t="n">
        <f aca="false">L113+L114</f>
        <v>4249824.62921077</v>
      </c>
      <c r="M115" s="75" t="n">
        <f aca="false">M113+M114</f>
        <v>4198950.76565908</v>
      </c>
      <c r="N115" s="75" t="n">
        <f aca="false">N113+N114</f>
        <v>4130577.30529272</v>
      </c>
      <c r="O115" s="75" t="n">
        <f aca="false">O113+O114</f>
        <v>4069352.51373478</v>
      </c>
      <c r="P115" s="75" t="n">
        <f aca="false">P113+P114</f>
        <v>4009654.12696937</v>
      </c>
      <c r="Q115" s="75" t="n">
        <f aca="false">Q113+Q114</f>
        <v>3971887.86597611</v>
      </c>
      <c r="R115" s="75" t="n">
        <f aca="false">R113+R114</f>
        <v>3932691.58214383</v>
      </c>
      <c r="S115" s="75" t="n">
        <f aca="false">S113+S114</f>
        <v>3895458.43422482</v>
      </c>
      <c r="T115" s="75" t="n">
        <f aca="false">T113+T114</f>
        <v>3860116.98011587</v>
      </c>
      <c r="U115" s="75" t="n">
        <f aca="false">U113+U114</f>
        <v>3826598.63539791</v>
      </c>
      <c r="V115" s="75" t="n">
        <f aca="false">V113+V114</f>
        <v>3794837.55902864</v>
      </c>
      <c r="W115" s="75" t="n">
        <f aca="false">W113+W114</f>
        <v>3764770.54360745</v>
      </c>
      <c r="X115" s="75" t="n">
        <f aca="false">X113+X114</f>
        <v>3736336.91002974</v>
      </c>
      <c r="Y115" s="75" t="n">
        <f aca="false">Y113+Y114</f>
        <v>3709478.40635511</v>
      </c>
      <c r="Z115" s="75" t="n">
        <f aca="false">Z113+Z114</f>
        <v>3664170.4221112</v>
      </c>
      <c r="AA115" s="75" t="n">
        <f aca="false">AA113+AA114</f>
        <v>3626045.14285609</v>
      </c>
      <c r="AB115" s="75" t="n">
        <f aca="false">AB113+AB114</f>
        <v>3588656.79705764</v>
      </c>
      <c r="AC115" s="75" t="n">
        <f aca="false">AC113+AC114</f>
        <v>3572818.83719397</v>
      </c>
      <c r="AD115" s="75" t="n">
        <f aca="false">AD113+AD114</f>
        <v>3554213.86885226</v>
      </c>
      <c r="AE115" s="75" t="n">
        <f aca="false">AE113+AE114</f>
        <v>3536999.73177707</v>
      </c>
      <c r="AF115" s="75" t="n">
        <f aca="false">AF113+AF114</f>
        <v>3521127.87605106</v>
      </c>
      <c r="AG115" s="75" t="n">
        <f aca="false">AG113+AG114</f>
        <v>3506551.69375362</v>
      </c>
      <c r="AH115" s="75" t="n">
        <f aca="false">AH113+AH114</f>
        <v>3493226.44128091</v>
      </c>
      <c r="AI115" s="75" t="n">
        <f aca="false">AI113+AI114</f>
        <v>3481109.1647733</v>
      </c>
      <c r="AJ115" s="75" t="n">
        <f aca="false">AJ113+AJ114</f>
        <v>3470158.6285255</v>
      </c>
      <c r="AK115" s="75" t="n">
        <f aca="false">AK113+AK114</f>
        <v>3460335.24626046</v>
      </c>
      <c r="AL115" s="75" t="n">
        <f aca="false">AL113+AL114</f>
        <v>3431329.88023803</v>
      </c>
      <c r="AM115" s="75" t="n">
        <f aca="false">AM113+AM114</f>
        <v>3409550.302848</v>
      </c>
      <c r="AN115" s="75" t="n">
        <f aca="false">AN113+AN114</f>
        <v>3388006.94904798</v>
      </c>
      <c r="AO115" s="75" t="n">
        <f aca="false">AO113+AO114</f>
        <v>3387925.64508555</v>
      </c>
      <c r="AP115" s="75" t="n">
        <f aca="false">AP113+AP114</f>
        <v>3384158.11029087</v>
      </c>
      <c r="AQ115" s="75" t="n">
        <f aca="false">AQ113+AQ114</f>
        <v>3381429.60619282</v>
      </c>
      <c r="AR115" s="75" t="n">
        <f aca="false">AR113+AR114</f>
        <v>3379705.65489688</v>
      </c>
      <c r="AS115" s="75" t="n">
        <f aca="false">AS113+AS114</f>
        <v>3378953.15762429</v>
      </c>
      <c r="AT115" s="75" t="n">
        <f aca="false">AT113+AT114</f>
        <v>3379140.33954744</v>
      </c>
      <c r="AU115" s="75" t="n">
        <f aca="false">AU113+AU114</f>
        <v>3380236.69683185</v>
      </c>
      <c r="AV115" s="75" t="n">
        <f aca="false">AV113+AV114</f>
        <v>3382212.9457964</v>
      </c>
      <c r="AW115" s="75" t="n">
        <f aca="false">AW113+AW114</f>
        <v>3385040.97410721</v>
      </c>
      <c r="AX115" s="75" t="n">
        <f aca="false">AX113+AX114</f>
        <v>3368087.68862127</v>
      </c>
      <c r="AY115" s="75" t="n">
        <f aca="false">AY113+AY114</f>
        <v>3358430.26108486</v>
      </c>
      <c r="AZ115" s="75" t="n">
        <f aca="false">AZ113+AZ114</f>
        <v>3348688.4304323</v>
      </c>
      <c r="BA115" s="75" t="n">
        <f aca="false">BA113+BA114</f>
        <v>3360506.30600041</v>
      </c>
      <c r="BB115" s="75" t="n">
        <f aca="false">BB113+BB114</f>
        <v>3367976.3037845</v>
      </c>
      <c r="BC115" s="75" t="n">
        <f aca="false">BC113+BC114</f>
        <v>3376271.35986866</v>
      </c>
      <c r="BD115" s="75" t="n">
        <f aca="false">BD113+BD114</f>
        <v>3385365.55525423</v>
      </c>
      <c r="BE115" s="75" t="n">
        <f aca="false">BE113+BE114</f>
        <v>3395234.00770249</v>
      </c>
      <c r="BF115" s="75" t="n">
        <f aca="false">BF113+BF114</f>
        <v>3405852.83026426</v>
      </c>
      <c r="BG115" s="75" t="n">
        <f aca="false">BG113+BG114</f>
        <v>3417199.09146834</v>
      </c>
      <c r="BH115" s="75" t="n">
        <f aca="false">BH113+BH114</f>
        <v>3429250.77710236</v>
      </c>
      <c r="BI115" s="75" t="n">
        <f aca="false">BI113+BI114</f>
        <v>3441986.75352247</v>
      </c>
      <c r="BJ115" s="75" t="n">
        <f aca="false">BJ113+BJ114</f>
        <v>3434422.8680779</v>
      </c>
    </row>
    <row r="116" customFormat="false" ht="15" hidden="false" customHeight="false" outlineLevel="0" collapsed="false">
      <c r="A116" s="6" t="s">
        <v>467</v>
      </c>
      <c r="C116" s="69" t="n">
        <f aca="false">C112-C115</f>
        <v>0</v>
      </c>
      <c r="D116" s="69" t="n">
        <f aca="false">D112-D115</f>
        <v>0</v>
      </c>
      <c r="E116" s="69" t="n">
        <f aca="false">E112-E115</f>
        <v>0</v>
      </c>
      <c r="F116" s="69" t="n">
        <f aca="false">F112-F115</f>
        <v>0</v>
      </c>
      <c r="G116" s="69" t="n">
        <f aca="false">G112-G115</f>
        <v>0</v>
      </c>
      <c r="H116" s="69" t="n">
        <f aca="false">H112-H115</f>
        <v>0</v>
      </c>
      <c r="I116" s="69" t="n">
        <f aca="false">I112-I115</f>
        <v>0</v>
      </c>
      <c r="J116" s="69" t="n">
        <f aca="false">J112-J115</f>
        <v>0</v>
      </c>
      <c r="K116" s="69" t="n">
        <f aca="false">K112-K115</f>
        <v>0</v>
      </c>
      <c r="L116" s="69" t="n">
        <f aca="false">L112-L115</f>
        <v>0</v>
      </c>
      <c r="M116" s="69" t="n">
        <f aca="false">M112-M115</f>
        <v>0</v>
      </c>
      <c r="N116" s="69" t="n">
        <f aca="false">N112-N115</f>
        <v>0</v>
      </c>
      <c r="O116" s="69" t="n">
        <f aca="false">O112-O115</f>
        <v>0</v>
      </c>
      <c r="P116" s="69" t="n">
        <f aca="false">P112-P115</f>
        <v>0</v>
      </c>
      <c r="Q116" s="69" t="n">
        <f aca="false">Q112-Q115</f>
        <v>0</v>
      </c>
      <c r="R116" s="69" t="n">
        <f aca="false">R112-R115</f>
        <v>0</v>
      </c>
      <c r="S116" s="69" t="n">
        <f aca="false">S112-S115</f>
        <v>0</v>
      </c>
      <c r="T116" s="69" t="n">
        <f aca="false">T112-T115</f>
        <v>0</v>
      </c>
      <c r="U116" s="69" t="n">
        <f aca="false">U112-U115</f>
        <v>0</v>
      </c>
      <c r="V116" s="69" t="n">
        <f aca="false">V112-V115</f>
        <v>0</v>
      </c>
      <c r="W116" s="69" t="n">
        <f aca="false">W112-W115</f>
        <v>0</v>
      </c>
      <c r="X116" s="69" t="n">
        <f aca="false">X112-X115</f>
        <v>0</v>
      </c>
      <c r="Y116" s="69" t="n">
        <f aca="false">Y112-Y115</f>
        <v>0</v>
      </c>
      <c r="Z116" s="69" t="n">
        <f aca="false">Z112-Z115</f>
        <v>0</v>
      </c>
      <c r="AA116" s="69" t="n">
        <f aca="false">AA112-AA115</f>
        <v>0</v>
      </c>
      <c r="AB116" s="69" t="n">
        <f aca="false">AB112-AB115</f>
        <v>0</v>
      </c>
      <c r="AC116" s="69" t="n">
        <f aca="false">AC112-AC115</f>
        <v>0</v>
      </c>
      <c r="AD116" s="69" t="n">
        <f aca="false">AD112-AD115</f>
        <v>0</v>
      </c>
      <c r="AE116" s="69" t="n">
        <f aca="false">AE112-AE115</f>
        <v>0</v>
      </c>
      <c r="AF116" s="69" t="n">
        <f aca="false">AF112-AF115</f>
        <v>0</v>
      </c>
      <c r="AG116" s="69" t="n">
        <f aca="false">AG112-AG115</f>
        <v>0</v>
      </c>
      <c r="AH116" s="69" t="n">
        <f aca="false">AH112-AH115</f>
        <v>0</v>
      </c>
      <c r="AI116" s="69" t="n">
        <f aca="false">AI112-AI115</f>
        <v>0</v>
      </c>
      <c r="AJ116" s="69" t="n">
        <f aca="false">AJ112-AJ115</f>
        <v>0</v>
      </c>
      <c r="AK116" s="69" t="n">
        <f aca="false">AK112-AK115</f>
        <v>0</v>
      </c>
      <c r="AL116" s="69" t="n">
        <f aca="false">AL112-AL115</f>
        <v>0</v>
      </c>
      <c r="AM116" s="69" t="n">
        <f aca="false">AM112-AM115</f>
        <v>0</v>
      </c>
      <c r="AN116" s="69" t="n">
        <f aca="false">AN112-AN115</f>
        <v>0</v>
      </c>
      <c r="AO116" s="69" t="n">
        <f aca="false">AO112-AO115</f>
        <v>0</v>
      </c>
      <c r="AP116" s="69" t="n">
        <f aca="false">AP112-AP115</f>
        <v>0</v>
      </c>
      <c r="AQ116" s="69" t="n">
        <f aca="false">AQ112-AQ115</f>
        <v>0</v>
      </c>
      <c r="AR116" s="69" t="n">
        <f aca="false">AR112-AR115</f>
        <v>0</v>
      </c>
      <c r="AS116" s="69" t="n">
        <f aca="false">AS112-AS115</f>
        <v>0</v>
      </c>
      <c r="AT116" s="69" t="n">
        <f aca="false">AT112-AT115</f>
        <v>0</v>
      </c>
      <c r="AU116" s="69" t="n">
        <f aca="false">AU112-AU115</f>
        <v>0</v>
      </c>
      <c r="AV116" s="69" t="n">
        <f aca="false">AV112-AV115</f>
        <v>0</v>
      </c>
      <c r="AW116" s="69" t="n">
        <f aca="false">AW112-AW115</f>
        <v>0</v>
      </c>
      <c r="AX116" s="69" t="n">
        <f aca="false">AX112-AX115</f>
        <v>0</v>
      </c>
      <c r="AY116" s="69" t="n">
        <f aca="false">AY112-AY115</f>
        <v>0</v>
      </c>
      <c r="AZ116" s="69" t="n">
        <f aca="false">AZ112-AZ115</f>
        <v>0</v>
      </c>
      <c r="BA116" s="69" t="n">
        <f aca="false">BA112-BA115</f>
        <v>0</v>
      </c>
      <c r="BB116" s="69" t="n">
        <f aca="false">BB112-BB115</f>
        <v>0</v>
      </c>
      <c r="BC116" s="69" t="n">
        <f aca="false">BC112-BC115</f>
        <v>0</v>
      </c>
      <c r="BD116" s="69" t="n">
        <f aca="false">BD112-BD115</f>
        <v>0</v>
      </c>
      <c r="BE116" s="69" t="n">
        <f aca="false">BE112-BE115</f>
        <v>0</v>
      </c>
      <c r="BF116" s="69" t="n">
        <f aca="false">BF112-BF115</f>
        <v>0</v>
      </c>
      <c r="BG116" s="69" t="n">
        <f aca="false">BG112-BG115</f>
        <v>0</v>
      </c>
      <c r="BH116" s="69" t="n">
        <f aca="false">BH112-BH115</f>
        <v>0</v>
      </c>
      <c r="BI116" s="69" t="n">
        <f aca="false">BI112-BI115</f>
        <v>0</v>
      </c>
      <c r="BJ116" s="69" t="n">
        <f aca="false">BJ112-BJ115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1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468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352</v>
      </c>
    </row>
    <row r="3" customFormat="false" ht="15" hidden="false" customHeight="false" outlineLevel="0" collapsed="false">
      <c r="A3" s="33" t="s">
        <v>353</v>
      </c>
      <c r="C3" s="52" t="s">
        <v>354</v>
      </c>
      <c r="D3" s="52" t="s">
        <v>355</v>
      </c>
      <c r="E3" s="52" t="s">
        <v>356</v>
      </c>
      <c r="F3" s="52" t="s">
        <v>357</v>
      </c>
      <c r="G3" s="52" t="s">
        <v>358</v>
      </c>
      <c r="H3" s="52" t="s">
        <v>359</v>
      </c>
      <c r="I3" s="52" t="s">
        <v>360</v>
      </c>
      <c r="J3" s="52" t="s">
        <v>361</v>
      </c>
      <c r="K3" s="52" t="s">
        <v>362</v>
      </c>
      <c r="L3" s="52" t="s">
        <v>363</v>
      </c>
      <c r="M3" s="52" t="s">
        <v>364</v>
      </c>
      <c r="N3" s="52" t="s">
        <v>365</v>
      </c>
      <c r="O3" s="52" t="s">
        <v>366</v>
      </c>
      <c r="P3" s="52" t="s">
        <v>367</v>
      </c>
      <c r="Q3" s="52" t="s">
        <v>368</v>
      </c>
      <c r="R3" s="52" t="s">
        <v>369</v>
      </c>
      <c r="S3" s="52" t="s">
        <v>370</v>
      </c>
      <c r="T3" s="52" t="s">
        <v>371</v>
      </c>
      <c r="U3" s="52" t="s">
        <v>372</v>
      </c>
      <c r="V3" s="52" t="s">
        <v>373</v>
      </c>
      <c r="W3" s="52" t="s">
        <v>374</v>
      </c>
      <c r="X3" s="52" t="s">
        <v>375</v>
      </c>
      <c r="Y3" s="52" t="s">
        <v>376</v>
      </c>
      <c r="Z3" s="52" t="s">
        <v>377</v>
      </c>
      <c r="AA3" s="52" t="s">
        <v>378</v>
      </c>
      <c r="AB3" s="52" t="s">
        <v>379</v>
      </c>
      <c r="AC3" s="52" t="s">
        <v>380</v>
      </c>
      <c r="AD3" s="52" t="s">
        <v>381</v>
      </c>
      <c r="AE3" s="52" t="s">
        <v>382</v>
      </c>
      <c r="AF3" s="52" t="s">
        <v>383</v>
      </c>
      <c r="AG3" s="52" t="s">
        <v>384</v>
      </c>
      <c r="AH3" s="52" t="s">
        <v>385</v>
      </c>
      <c r="AI3" s="52" t="s">
        <v>386</v>
      </c>
      <c r="AJ3" s="52" t="s">
        <v>387</v>
      </c>
      <c r="AK3" s="52" t="s">
        <v>388</v>
      </c>
      <c r="AL3" s="52" t="s">
        <v>389</v>
      </c>
      <c r="AM3" s="52" t="s">
        <v>390</v>
      </c>
      <c r="AN3" s="52" t="s">
        <v>391</v>
      </c>
      <c r="AO3" s="52" t="s">
        <v>392</v>
      </c>
      <c r="AP3" s="52" t="s">
        <v>393</v>
      </c>
      <c r="AQ3" s="52" t="s">
        <v>394</v>
      </c>
      <c r="AR3" s="52" t="s">
        <v>395</v>
      </c>
      <c r="AS3" s="52" t="s">
        <v>396</v>
      </c>
      <c r="AT3" s="52" t="s">
        <v>397</v>
      </c>
      <c r="AU3" s="52" t="s">
        <v>398</v>
      </c>
      <c r="AV3" s="52" t="s">
        <v>399</v>
      </c>
      <c r="AW3" s="52" t="s">
        <v>400</v>
      </c>
      <c r="AX3" s="52" t="s">
        <v>401</v>
      </c>
      <c r="AY3" s="52" t="s">
        <v>402</v>
      </c>
      <c r="AZ3" s="52" t="s">
        <v>403</v>
      </c>
      <c r="BA3" s="52" t="s">
        <v>404</v>
      </c>
      <c r="BB3" s="52" t="s">
        <v>405</v>
      </c>
      <c r="BC3" s="52" t="s">
        <v>406</v>
      </c>
      <c r="BD3" s="52" t="s">
        <v>407</v>
      </c>
      <c r="BE3" s="52" t="s">
        <v>408</v>
      </c>
      <c r="BF3" s="52" t="s">
        <v>409</v>
      </c>
      <c r="BG3" s="52" t="s">
        <v>410</v>
      </c>
      <c r="BH3" s="52" t="s">
        <v>411</v>
      </c>
      <c r="BI3" s="52" t="s">
        <v>412</v>
      </c>
      <c r="BJ3" s="52" t="s">
        <v>413</v>
      </c>
    </row>
    <row r="4" customFormat="false" ht="15" hidden="false" customHeight="false" outlineLevel="0" collapsed="false">
      <c r="A4" s="74" t="s">
        <v>414</v>
      </c>
      <c r="C4" s="74" t="n">
        <v>1</v>
      </c>
      <c r="D4" s="74" t="n">
        <v>2</v>
      </c>
      <c r="E4" s="74" t="n">
        <v>3</v>
      </c>
      <c r="F4" s="74" t="n">
        <v>4</v>
      </c>
      <c r="G4" s="74" t="n">
        <v>5</v>
      </c>
      <c r="H4" s="74" t="n">
        <v>6</v>
      </c>
      <c r="I4" s="74" t="n">
        <v>7</v>
      </c>
      <c r="J4" s="74" t="n">
        <v>8</v>
      </c>
      <c r="K4" s="74" t="n">
        <v>9</v>
      </c>
      <c r="L4" s="74" t="n">
        <v>10</v>
      </c>
      <c r="M4" s="74" t="n">
        <v>11</v>
      </c>
      <c r="N4" s="74" t="n">
        <v>12</v>
      </c>
      <c r="O4" s="74" t="n">
        <v>13</v>
      </c>
      <c r="P4" s="74" t="n">
        <v>14</v>
      </c>
      <c r="Q4" s="74" t="n">
        <v>15</v>
      </c>
      <c r="R4" s="74" t="n">
        <v>16</v>
      </c>
      <c r="S4" s="74" t="n">
        <v>17</v>
      </c>
      <c r="T4" s="74" t="n">
        <v>18</v>
      </c>
      <c r="U4" s="74" t="n">
        <v>19</v>
      </c>
      <c r="V4" s="74" t="n">
        <v>20</v>
      </c>
      <c r="W4" s="74" t="n">
        <v>21</v>
      </c>
      <c r="X4" s="74" t="n">
        <v>22</v>
      </c>
      <c r="Y4" s="74" t="n">
        <v>23</v>
      </c>
      <c r="Z4" s="74" t="n">
        <v>24</v>
      </c>
      <c r="AA4" s="74" t="n">
        <v>25</v>
      </c>
      <c r="AB4" s="74" t="n">
        <v>26</v>
      </c>
      <c r="AC4" s="74" t="n">
        <v>27</v>
      </c>
      <c r="AD4" s="74" t="n">
        <v>28</v>
      </c>
      <c r="AE4" s="74" t="n">
        <v>29</v>
      </c>
      <c r="AF4" s="74" t="n">
        <v>30</v>
      </c>
      <c r="AG4" s="74" t="n">
        <v>31</v>
      </c>
      <c r="AH4" s="74" t="n">
        <v>32</v>
      </c>
      <c r="AI4" s="74" t="n">
        <v>33</v>
      </c>
      <c r="AJ4" s="74" t="n">
        <v>34</v>
      </c>
      <c r="AK4" s="74" t="n">
        <v>35</v>
      </c>
      <c r="AL4" s="74" t="n">
        <v>36</v>
      </c>
      <c r="AM4" s="74" t="n">
        <v>37</v>
      </c>
      <c r="AN4" s="74" t="n">
        <v>38</v>
      </c>
      <c r="AO4" s="74" t="n">
        <v>39</v>
      </c>
      <c r="AP4" s="74" t="n">
        <v>40</v>
      </c>
      <c r="AQ4" s="74" t="n">
        <v>41</v>
      </c>
      <c r="AR4" s="74" t="n">
        <v>42</v>
      </c>
      <c r="AS4" s="74" t="n">
        <v>43</v>
      </c>
      <c r="AT4" s="74" t="n">
        <v>44</v>
      </c>
      <c r="AU4" s="74" t="n">
        <v>45</v>
      </c>
      <c r="AV4" s="74" t="n">
        <v>46</v>
      </c>
      <c r="AW4" s="74" t="n">
        <v>47</v>
      </c>
      <c r="AX4" s="74" t="n">
        <v>48</v>
      </c>
      <c r="AY4" s="74" t="n">
        <v>49</v>
      </c>
      <c r="AZ4" s="74" t="n">
        <v>50</v>
      </c>
      <c r="BA4" s="74" t="n">
        <v>51</v>
      </c>
      <c r="BB4" s="74" t="n">
        <v>52</v>
      </c>
      <c r="BC4" s="74" t="n">
        <v>53</v>
      </c>
      <c r="BD4" s="74" t="n">
        <v>54</v>
      </c>
      <c r="BE4" s="74" t="n">
        <v>55</v>
      </c>
      <c r="BF4" s="74" t="n">
        <v>56</v>
      </c>
      <c r="BG4" s="74" t="n">
        <v>57</v>
      </c>
      <c r="BH4" s="74" t="n">
        <v>58</v>
      </c>
      <c r="BI4" s="74" t="n">
        <v>59</v>
      </c>
      <c r="BJ4" s="74" t="n">
        <v>60</v>
      </c>
    </row>
    <row r="5" customFormat="false" ht="15" hidden="false" customHeight="false" outlineLevel="0" collapsed="false">
      <c r="A5" s="74" t="s">
        <v>155</v>
      </c>
      <c r="C5" s="74" t="n">
        <f aca="false">ROUNDUP(C4*1/12,0)</f>
        <v>1</v>
      </c>
      <c r="D5" s="74" t="n">
        <f aca="false">ROUNDUP(D4*1/12,0)</f>
        <v>1</v>
      </c>
      <c r="E5" s="74" t="n">
        <f aca="false">ROUNDUP(E4*1/12,0)</f>
        <v>1</v>
      </c>
      <c r="F5" s="74" t="n">
        <f aca="false">ROUNDUP(F4*1/12,0)</f>
        <v>1</v>
      </c>
      <c r="G5" s="74" t="n">
        <f aca="false">ROUNDUP(G4*1/12,0)</f>
        <v>1</v>
      </c>
      <c r="H5" s="74" t="n">
        <f aca="false">ROUNDUP(H4*1/12,0)</f>
        <v>1</v>
      </c>
      <c r="I5" s="74" t="n">
        <f aca="false">ROUNDUP(I4*1/12,0)</f>
        <v>1</v>
      </c>
      <c r="J5" s="74" t="n">
        <f aca="false">ROUNDUP(J4*1/12,0)</f>
        <v>1</v>
      </c>
      <c r="K5" s="74" t="n">
        <f aca="false">ROUNDUP(K4*1/12,0)</f>
        <v>1</v>
      </c>
      <c r="L5" s="74" t="n">
        <f aca="false">ROUNDUP(L4*1/12,0)</f>
        <v>1</v>
      </c>
      <c r="M5" s="74" t="n">
        <f aca="false">ROUNDUP(M4*1/12,0)</f>
        <v>1</v>
      </c>
      <c r="N5" s="74" t="n">
        <f aca="false">ROUNDUP(N4*1/12,0)</f>
        <v>1</v>
      </c>
      <c r="O5" s="74" t="n">
        <f aca="false">ROUNDUP(O4*1/12,0)</f>
        <v>2</v>
      </c>
      <c r="P5" s="74" t="n">
        <f aca="false">ROUNDUP(P4*1/12,0)</f>
        <v>2</v>
      </c>
      <c r="Q5" s="74" t="n">
        <f aca="false">ROUNDUP(Q4*1/12,0)</f>
        <v>2</v>
      </c>
      <c r="R5" s="74" t="n">
        <f aca="false">ROUNDUP(R4*1/12,0)</f>
        <v>2</v>
      </c>
      <c r="S5" s="74" t="n">
        <f aca="false">ROUNDUP(S4*1/12,0)</f>
        <v>2</v>
      </c>
      <c r="T5" s="74" t="n">
        <f aca="false">ROUNDUP(T4*1/12,0)</f>
        <v>2</v>
      </c>
      <c r="U5" s="74" t="n">
        <f aca="false">ROUNDUP(U4*1/12,0)</f>
        <v>2</v>
      </c>
      <c r="V5" s="74" t="n">
        <f aca="false">ROUNDUP(V4*1/12,0)</f>
        <v>2</v>
      </c>
      <c r="W5" s="74" t="n">
        <f aca="false">ROUNDUP(W4*1/12,0)</f>
        <v>2</v>
      </c>
      <c r="X5" s="74" t="n">
        <f aca="false">ROUNDUP(X4*1/12,0)</f>
        <v>2</v>
      </c>
      <c r="Y5" s="74" t="n">
        <f aca="false">ROUNDUP(Y4*1/12,0)</f>
        <v>2</v>
      </c>
      <c r="Z5" s="74" t="n">
        <f aca="false">ROUNDUP(Z4*1/12,0)</f>
        <v>2</v>
      </c>
      <c r="AA5" s="74" t="n">
        <f aca="false">ROUNDUP(AA4*1/12,0)</f>
        <v>3</v>
      </c>
      <c r="AB5" s="74" t="n">
        <f aca="false">ROUNDUP(AB4*1/12,0)</f>
        <v>3</v>
      </c>
      <c r="AC5" s="74" t="n">
        <f aca="false">ROUNDUP(AC4*1/12,0)</f>
        <v>3</v>
      </c>
      <c r="AD5" s="74" t="n">
        <f aca="false">ROUNDUP(AD4*1/12,0)</f>
        <v>3</v>
      </c>
      <c r="AE5" s="74" t="n">
        <f aca="false">ROUNDUP(AE4*1/12,0)</f>
        <v>3</v>
      </c>
      <c r="AF5" s="74" t="n">
        <f aca="false">ROUNDUP(AF4*1/12,0)</f>
        <v>3</v>
      </c>
      <c r="AG5" s="74" t="n">
        <f aca="false">ROUNDUP(AG4*1/12,0)</f>
        <v>3</v>
      </c>
      <c r="AH5" s="74" t="n">
        <f aca="false">ROUNDUP(AH4*1/12,0)</f>
        <v>3</v>
      </c>
      <c r="AI5" s="74" t="n">
        <f aca="false">ROUNDUP(AI4*1/12,0)</f>
        <v>3</v>
      </c>
      <c r="AJ5" s="74" t="n">
        <f aca="false">ROUNDUP(AJ4*1/12,0)</f>
        <v>3</v>
      </c>
      <c r="AK5" s="74" t="n">
        <f aca="false">ROUNDUP(AK4*1/12,0)</f>
        <v>3</v>
      </c>
      <c r="AL5" s="74" t="n">
        <f aca="false">ROUNDUP(AL4*1/12,0)</f>
        <v>3</v>
      </c>
      <c r="AM5" s="74" t="n">
        <f aca="false">ROUNDUP(AM4*1/12,0)</f>
        <v>4</v>
      </c>
      <c r="AN5" s="74" t="n">
        <f aca="false">ROUNDUP(AN4*1/12,0)</f>
        <v>4</v>
      </c>
      <c r="AO5" s="74" t="n">
        <f aca="false">ROUNDUP(AO4*1/12,0)</f>
        <v>4</v>
      </c>
      <c r="AP5" s="74" t="n">
        <f aca="false">ROUNDUP(AP4*1/12,0)</f>
        <v>4</v>
      </c>
      <c r="AQ5" s="74" t="n">
        <f aca="false">ROUNDUP(AQ4*1/12,0)</f>
        <v>4</v>
      </c>
      <c r="AR5" s="74" t="n">
        <f aca="false">ROUNDUP(AR4*1/12,0)</f>
        <v>4</v>
      </c>
      <c r="AS5" s="74" t="n">
        <f aca="false">ROUNDUP(AS4*1/12,0)</f>
        <v>4</v>
      </c>
      <c r="AT5" s="74" t="n">
        <f aca="false">ROUNDUP(AT4*1/12,0)</f>
        <v>4</v>
      </c>
      <c r="AU5" s="74" t="n">
        <f aca="false">ROUNDUP(AU4*1/12,0)</f>
        <v>4</v>
      </c>
      <c r="AV5" s="74" t="n">
        <f aca="false">ROUNDUP(AV4*1/12,0)</f>
        <v>4</v>
      </c>
      <c r="AW5" s="74" t="n">
        <f aca="false">ROUNDUP(AW4*1/12,0)</f>
        <v>4</v>
      </c>
      <c r="AX5" s="74" t="n">
        <f aca="false">ROUNDUP(AX4*1/12,0)</f>
        <v>4</v>
      </c>
      <c r="AY5" s="74" t="n">
        <f aca="false">ROUNDUP(AY4*1/12,0)</f>
        <v>5</v>
      </c>
      <c r="AZ5" s="74" t="n">
        <f aca="false">ROUNDUP(AZ4*1/12,0)</f>
        <v>5</v>
      </c>
      <c r="BA5" s="74" t="n">
        <f aca="false">ROUNDUP(BA4*1/12,0)</f>
        <v>5</v>
      </c>
      <c r="BB5" s="74" t="n">
        <f aca="false">ROUNDUP(BB4*1/12,0)</f>
        <v>5</v>
      </c>
      <c r="BC5" s="74" t="n">
        <f aca="false">ROUNDUP(BC4*1/12,0)</f>
        <v>5</v>
      </c>
      <c r="BD5" s="74" t="n">
        <f aca="false">ROUNDUP(BD4*1/12,0)</f>
        <v>5</v>
      </c>
      <c r="BE5" s="74" t="n">
        <f aca="false">ROUNDUP(BE4*1/12,0)</f>
        <v>5</v>
      </c>
      <c r="BF5" s="74" t="n">
        <f aca="false">ROUNDUP(BF4*1/12,0)</f>
        <v>5</v>
      </c>
      <c r="BG5" s="74" t="n">
        <f aca="false">ROUNDUP(BG4*1/12,0)</f>
        <v>5</v>
      </c>
      <c r="BH5" s="74" t="n">
        <f aca="false">ROUNDUP(BH4*1/12,0)</f>
        <v>5</v>
      </c>
      <c r="BI5" s="74" t="n">
        <f aca="false">ROUNDUP(BI4*1/12,0)</f>
        <v>5</v>
      </c>
      <c r="BJ5" s="74" t="n">
        <f aca="false">ROUNDUP(BJ4*1/12,0)</f>
        <v>5</v>
      </c>
    </row>
    <row r="7" customFormat="false" ht="15.75" hidden="false" customHeight="true" outlineLevel="0" collapsed="false">
      <c r="A7" s="7" t="s">
        <v>469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470</v>
      </c>
      <c r="C8" s="117" t="n">
        <f aca="false">Inputs!$E$55*(1+Inputs!$E$57)^(C$5-1)*MAX(0,MIN(1,C$4*1-Inputs!$E$58+1))/1</f>
        <v>1</v>
      </c>
      <c r="D8" s="117" t="n">
        <f aca="false">Inputs!$E$55*(1+Inputs!$E$57)^(D$5-1)*MAX(0,MIN(1,D$4*1-Inputs!$E$58+1))/1</f>
        <v>1</v>
      </c>
      <c r="E8" s="117" t="n">
        <f aca="false">Inputs!$E$55*(1+Inputs!$E$57)^(E$5-1)*MAX(0,MIN(1,E$4*1-Inputs!$E$58+1))/1</f>
        <v>1</v>
      </c>
      <c r="F8" s="117" t="n">
        <f aca="false">Inputs!$E$55*(1+Inputs!$E$57)^(F$5-1)*MAX(0,MIN(1,F$4*1-Inputs!$E$58+1))/1</f>
        <v>1</v>
      </c>
      <c r="G8" s="117" t="n">
        <f aca="false">Inputs!$E$55*(1+Inputs!$E$57)^(G$5-1)*MAX(0,MIN(1,G$4*1-Inputs!$E$58+1))/1</f>
        <v>1</v>
      </c>
      <c r="H8" s="117" t="n">
        <f aca="false">Inputs!$E$55*(1+Inputs!$E$57)^(H$5-1)*MAX(0,MIN(1,H$4*1-Inputs!$E$58+1))/1</f>
        <v>1</v>
      </c>
      <c r="I8" s="117" t="n">
        <f aca="false">Inputs!$E$55*(1+Inputs!$E$57)^(I$5-1)*MAX(0,MIN(1,I$4*1-Inputs!$E$58+1))/1</f>
        <v>1</v>
      </c>
      <c r="J8" s="117" t="n">
        <f aca="false">Inputs!$E$55*(1+Inputs!$E$57)^(J$5-1)*MAX(0,MIN(1,J$4*1-Inputs!$E$58+1))/1</f>
        <v>1</v>
      </c>
      <c r="K8" s="117" t="n">
        <f aca="false">Inputs!$E$55*(1+Inputs!$E$57)^(K$5-1)*MAX(0,MIN(1,K$4*1-Inputs!$E$58+1))/1</f>
        <v>1</v>
      </c>
      <c r="L8" s="117" t="n">
        <f aca="false">Inputs!$E$55*(1+Inputs!$E$57)^(L$5-1)*MAX(0,MIN(1,L$4*1-Inputs!$E$58+1))/1</f>
        <v>1</v>
      </c>
      <c r="M8" s="117" t="n">
        <f aca="false">Inputs!$E$55*(1+Inputs!$E$57)^(M$5-1)*MAX(0,MIN(1,M$4*1-Inputs!$E$58+1))/1</f>
        <v>1</v>
      </c>
      <c r="N8" s="117" t="n">
        <f aca="false">Inputs!$E$55*(1+Inputs!$E$57)^(N$5-1)*MAX(0,MIN(1,N$4*1-Inputs!$E$58+1))/1</f>
        <v>1</v>
      </c>
      <c r="O8" s="117" t="n">
        <f aca="false">Inputs!$E$55*(1+Inputs!$E$57)^(O$5-1)*MAX(0,MIN(1,O$4*1-Inputs!$E$58+1))/1</f>
        <v>1</v>
      </c>
      <c r="P8" s="117" t="n">
        <f aca="false">Inputs!$E$55*(1+Inputs!$E$57)^(P$5-1)*MAX(0,MIN(1,P$4*1-Inputs!$E$58+1))/1</f>
        <v>1</v>
      </c>
      <c r="Q8" s="117" t="n">
        <f aca="false">Inputs!$E$55*(1+Inputs!$E$57)^(Q$5-1)*MAX(0,MIN(1,Q$4*1-Inputs!$E$58+1))/1</f>
        <v>1</v>
      </c>
      <c r="R8" s="117" t="n">
        <f aca="false">Inputs!$E$55*(1+Inputs!$E$57)^(R$5-1)*MAX(0,MIN(1,R$4*1-Inputs!$E$58+1))/1</f>
        <v>1</v>
      </c>
      <c r="S8" s="117" t="n">
        <f aca="false">Inputs!$E$55*(1+Inputs!$E$57)^(S$5-1)*MAX(0,MIN(1,S$4*1-Inputs!$E$58+1))/1</f>
        <v>1</v>
      </c>
      <c r="T8" s="117" t="n">
        <f aca="false">Inputs!$E$55*(1+Inputs!$E$57)^(T$5-1)*MAX(0,MIN(1,T$4*1-Inputs!$E$58+1))/1</f>
        <v>1</v>
      </c>
      <c r="U8" s="117" t="n">
        <f aca="false">Inputs!$E$55*(1+Inputs!$E$57)^(U$5-1)*MAX(0,MIN(1,U$4*1-Inputs!$E$58+1))/1</f>
        <v>1</v>
      </c>
      <c r="V8" s="117" t="n">
        <f aca="false">Inputs!$E$55*(1+Inputs!$E$57)^(V$5-1)*MAX(0,MIN(1,V$4*1-Inputs!$E$58+1))/1</f>
        <v>1</v>
      </c>
      <c r="W8" s="117" t="n">
        <f aca="false">Inputs!$E$55*(1+Inputs!$E$57)^(W$5-1)*MAX(0,MIN(1,W$4*1-Inputs!$E$58+1))/1</f>
        <v>1</v>
      </c>
      <c r="X8" s="117" t="n">
        <f aca="false">Inputs!$E$55*(1+Inputs!$E$57)^(X$5-1)*MAX(0,MIN(1,X$4*1-Inputs!$E$58+1))/1</f>
        <v>1</v>
      </c>
      <c r="Y8" s="117" t="n">
        <f aca="false">Inputs!$E$55*(1+Inputs!$E$57)^(Y$5-1)*MAX(0,MIN(1,Y$4*1-Inputs!$E$58+1))/1</f>
        <v>1</v>
      </c>
      <c r="Z8" s="117" t="n">
        <f aca="false">Inputs!$E$55*(1+Inputs!$E$57)^(Z$5-1)*MAX(0,MIN(1,Z$4*1-Inputs!$E$58+1))/1</f>
        <v>1</v>
      </c>
      <c r="AA8" s="117" t="n">
        <f aca="false">Inputs!$E$55*(1+Inputs!$E$57)^(AA$5-1)*MAX(0,MIN(1,AA$4*1-Inputs!$E$58+1))/1</f>
        <v>1</v>
      </c>
      <c r="AB8" s="117" t="n">
        <f aca="false">Inputs!$E$55*(1+Inputs!$E$57)^(AB$5-1)*MAX(0,MIN(1,AB$4*1-Inputs!$E$58+1))/1</f>
        <v>1</v>
      </c>
      <c r="AC8" s="117" t="n">
        <f aca="false">Inputs!$E$55*(1+Inputs!$E$57)^(AC$5-1)*MAX(0,MIN(1,AC$4*1-Inputs!$E$58+1))/1</f>
        <v>1</v>
      </c>
      <c r="AD8" s="117" t="n">
        <f aca="false">Inputs!$E$55*(1+Inputs!$E$57)^(AD$5-1)*MAX(0,MIN(1,AD$4*1-Inputs!$E$58+1))/1</f>
        <v>1</v>
      </c>
      <c r="AE8" s="117" t="n">
        <f aca="false">Inputs!$E$55*(1+Inputs!$E$57)^(AE$5-1)*MAX(0,MIN(1,AE$4*1-Inputs!$E$58+1))/1</f>
        <v>1</v>
      </c>
      <c r="AF8" s="117" t="n">
        <f aca="false">Inputs!$E$55*(1+Inputs!$E$57)^(AF$5-1)*MAX(0,MIN(1,AF$4*1-Inputs!$E$58+1))/1</f>
        <v>1</v>
      </c>
      <c r="AG8" s="117" t="n">
        <f aca="false">Inputs!$E$55*(1+Inputs!$E$57)^(AG$5-1)*MAX(0,MIN(1,AG$4*1-Inputs!$E$58+1))/1</f>
        <v>1</v>
      </c>
      <c r="AH8" s="117" t="n">
        <f aca="false">Inputs!$E$55*(1+Inputs!$E$57)^(AH$5-1)*MAX(0,MIN(1,AH$4*1-Inputs!$E$58+1))/1</f>
        <v>1</v>
      </c>
      <c r="AI8" s="117" t="n">
        <f aca="false">Inputs!$E$55*(1+Inputs!$E$57)^(AI$5-1)*MAX(0,MIN(1,AI$4*1-Inputs!$E$58+1))/1</f>
        <v>1</v>
      </c>
      <c r="AJ8" s="117" t="n">
        <f aca="false">Inputs!$E$55*(1+Inputs!$E$57)^(AJ$5-1)*MAX(0,MIN(1,AJ$4*1-Inputs!$E$58+1))/1</f>
        <v>1</v>
      </c>
      <c r="AK8" s="117" t="n">
        <f aca="false">Inputs!$E$55*(1+Inputs!$E$57)^(AK$5-1)*MAX(0,MIN(1,AK$4*1-Inputs!$E$58+1))/1</f>
        <v>1</v>
      </c>
      <c r="AL8" s="117" t="n">
        <f aca="false">Inputs!$E$55*(1+Inputs!$E$57)^(AL$5-1)*MAX(0,MIN(1,AL$4*1-Inputs!$E$58+1))/1</f>
        <v>1</v>
      </c>
      <c r="AM8" s="117" t="n">
        <f aca="false">Inputs!$E$55*(1+Inputs!$E$57)^(AM$5-1)*MAX(0,MIN(1,AM$4*1-Inputs!$E$58+1))/1</f>
        <v>1</v>
      </c>
      <c r="AN8" s="117" t="n">
        <f aca="false">Inputs!$E$55*(1+Inputs!$E$57)^(AN$5-1)*MAX(0,MIN(1,AN$4*1-Inputs!$E$58+1))/1</f>
        <v>1</v>
      </c>
      <c r="AO8" s="117" t="n">
        <f aca="false">Inputs!$E$55*(1+Inputs!$E$57)^(AO$5-1)*MAX(0,MIN(1,AO$4*1-Inputs!$E$58+1))/1</f>
        <v>1</v>
      </c>
      <c r="AP8" s="117" t="n">
        <f aca="false">Inputs!$E$55*(1+Inputs!$E$57)^(AP$5-1)*MAX(0,MIN(1,AP$4*1-Inputs!$E$58+1))/1</f>
        <v>1</v>
      </c>
      <c r="AQ8" s="117" t="n">
        <f aca="false">Inputs!$E$55*(1+Inputs!$E$57)^(AQ$5-1)*MAX(0,MIN(1,AQ$4*1-Inputs!$E$58+1))/1</f>
        <v>1</v>
      </c>
      <c r="AR8" s="117" t="n">
        <f aca="false">Inputs!$E$55*(1+Inputs!$E$57)^(AR$5-1)*MAX(0,MIN(1,AR$4*1-Inputs!$E$58+1))/1</f>
        <v>1</v>
      </c>
      <c r="AS8" s="117" t="n">
        <f aca="false">Inputs!$E$55*(1+Inputs!$E$57)^(AS$5-1)*MAX(0,MIN(1,AS$4*1-Inputs!$E$58+1))/1</f>
        <v>1</v>
      </c>
      <c r="AT8" s="117" t="n">
        <f aca="false">Inputs!$E$55*(1+Inputs!$E$57)^(AT$5-1)*MAX(0,MIN(1,AT$4*1-Inputs!$E$58+1))/1</f>
        <v>1</v>
      </c>
      <c r="AU8" s="117" t="n">
        <f aca="false">Inputs!$E$55*(1+Inputs!$E$57)^(AU$5-1)*MAX(0,MIN(1,AU$4*1-Inputs!$E$58+1))/1</f>
        <v>1</v>
      </c>
      <c r="AV8" s="117" t="n">
        <f aca="false">Inputs!$E$55*(1+Inputs!$E$57)^(AV$5-1)*MAX(0,MIN(1,AV$4*1-Inputs!$E$58+1))/1</f>
        <v>1</v>
      </c>
      <c r="AW8" s="117" t="n">
        <f aca="false">Inputs!$E$55*(1+Inputs!$E$57)^(AW$5-1)*MAX(0,MIN(1,AW$4*1-Inputs!$E$58+1))/1</f>
        <v>1</v>
      </c>
      <c r="AX8" s="117" t="n">
        <f aca="false">Inputs!$E$55*(1+Inputs!$E$57)^(AX$5-1)*MAX(0,MIN(1,AX$4*1-Inputs!$E$58+1))/1</f>
        <v>1</v>
      </c>
      <c r="AY8" s="117" t="n">
        <f aca="false">Inputs!$E$55*(1+Inputs!$E$57)^(AY$5-1)*MAX(0,MIN(1,AY$4*1-Inputs!$E$58+1))/1</f>
        <v>1</v>
      </c>
      <c r="AZ8" s="117" t="n">
        <f aca="false">Inputs!$E$55*(1+Inputs!$E$57)^(AZ$5-1)*MAX(0,MIN(1,AZ$4*1-Inputs!$E$58+1))/1</f>
        <v>1</v>
      </c>
      <c r="BA8" s="117" t="n">
        <f aca="false">Inputs!$E$55*(1+Inputs!$E$57)^(BA$5-1)*MAX(0,MIN(1,BA$4*1-Inputs!$E$58+1))/1</f>
        <v>1</v>
      </c>
      <c r="BB8" s="117" t="n">
        <f aca="false">Inputs!$E$55*(1+Inputs!$E$57)^(BB$5-1)*MAX(0,MIN(1,BB$4*1-Inputs!$E$58+1))/1</f>
        <v>1</v>
      </c>
      <c r="BC8" s="117" t="n">
        <f aca="false">Inputs!$E$55*(1+Inputs!$E$57)^(BC$5-1)*MAX(0,MIN(1,BC$4*1-Inputs!$E$58+1))/1</f>
        <v>1</v>
      </c>
      <c r="BD8" s="117" t="n">
        <f aca="false">Inputs!$E$55*(1+Inputs!$E$57)^(BD$5-1)*MAX(0,MIN(1,BD$4*1-Inputs!$E$58+1))/1</f>
        <v>1</v>
      </c>
      <c r="BE8" s="117" t="n">
        <f aca="false">Inputs!$E$55*(1+Inputs!$E$57)^(BE$5-1)*MAX(0,MIN(1,BE$4*1-Inputs!$E$58+1))/1</f>
        <v>1</v>
      </c>
      <c r="BF8" s="117" t="n">
        <f aca="false">Inputs!$E$55*(1+Inputs!$E$57)^(BF$5-1)*MAX(0,MIN(1,BF$4*1-Inputs!$E$58+1))/1</f>
        <v>1</v>
      </c>
      <c r="BG8" s="117" t="n">
        <f aca="false">Inputs!$E$55*(1+Inputs!$E$57)^(BG$5-1)*MAX(0,MIN(1,BG$4*1-Inputs!$E$58+1))/1</f>
        <v>1</v>
      </c>
      <c r="BH8" s="117" t="n">
        <f aca="false">Inputs!$E$55*(1+Inputs!$E$57)^(BH$5-1)*MAX(0,MIN(1,BH$4*1-Inputs!$E$58+1))/1</f>
        <v>1</v>
      </c>
      <c r="BI8" s="117" t="n">
        <f aca="false">Inputs!$E$55*(1+Inputs!$E$57)^(BI$5-1)*MAX(0,MIN(1,BI$4*1-Inputs!$E$58+1))/1</f>
        <v>1</v>
      </c>
      <c r="BJ8" s="117" t="n">
        <f aca="false">Inputs!$E$55*(1+Inputs!$E$57)^(BJ$5-1)*MAX(0,MIN(1,BJ$4*1-Inputs!$E$58+1))/1</f>
        <v>1</v>
      </c>
    </row>
    <row r="9" customFormat="false" ht="15" hidden="false" customHeight="false" outlineLevel="0" collapsed="false">
      <c r="A9" s="6" t="s">
        <v>471</v>
      </c>
      <c r="C9" s="117" t="n">
        <f aca="false">Inputs!$E$59*(1+Inputs!$E$61)^(C$5-1)*MAX(0,MIN(1,C$4*1-Inputs!$E$62+1))/1</f>
        <v>10</v>
      </c>
      <c r="D9" s="117" t="n">
        <f aca="false">Inputs!$E$59*(1+Inputs!$E$61)^(D$5-1)*MAX(0,MIN(1,D$4*1-Inputs!$E$62+1))/1</f>
        <v>10</v>
      </c>
      <c r="E9" s="117" t="n">
        <f aca="false">Inputs!$E$59*(1+Inputs!$E$61)^(E$5-1)*MAX(0,MIN(1,E$4*1-Inputs!$E$62+1))/1</f>
        <v>10</v>
      </c>
      <c r="F9" s="117" t="n">
        <f aca="false">Inputs!$E$59*(1+Inputs!$E$61)^(F$5-1)*MAX(0,MIN(1,F$4*1-Inputs!$E$62+1))/1</f>
        <v>10</v>
      </c>
      <c r="G9" s="117" t="n">
        <f aca="false">Inputs!$E$59*(1+Inputs!$E$61)^(G$5-1)*MAX(0,MIN(1,G$4*1-Inputs!$E$62+1))/1</f>
        <v>10</v>
      </c>
      <c r="H9" s="117" t="n">
        <f aca="false">Inputs!$E$59*(1+Inputs!$E$61)^(H$5-1)*MAX(0,MIN(1,H$4*1-Inputs!$E$62+1))/1</f>
        <v>10</v>
      </c>
      <c r="I9" s="117" t="n">
        <f aca="false">Inputs!$E$59*(1+Inputs!$E$61)^(I$5-1)*MAX(0,MIN(1,I$4*1-Inputs!$E$62+1))/1</f>
        <v>10</v>
      </c>
      <c r="J9" s="117" t="n">
        <f aca="false">Inputs!$E$59*(1+Inputs!$E$61)^(J$5-1)*MAX(0,MIN(1,J$4*1-Inputs!$E$62+1))/1</f>
        <v>10</v>
      </c>
      <c r="K9" s="117" t="n">
        <f aca="false">Inputs!$E$59*(1+Inputs!$E$61)^(K$5-1)*MAX(0,MIN(1,K$4*1-Inputs!$E$62+1))/1</f>
        <v>10</v>
      </c>
      <c r="L9" s="117" t="n">
        <f aca="false">Inputs!$E$59*(1+Inputs!$E$61)^(L$5-1)*MAX(0,MIN(1,L$4*1-Inputs!$E$62+1))/1</f>
        <v>10</v>
      </c>
      <c r="M9" s="117" t="n">
        <f aca="false">Inputs!$E$59*(1+Inputs!$E$61)^(M$5-1)*MAX(0,MIN(1,M$4*1-Inputs!$E$62+1))/1</f>
        <v>10</v>
      </c>
      <c r="N9" s="117" t="n">
        <f aca="false">Inputs!$E$59*(1+Inputs!$E$61)^(N$5-1)*MAX(0,MIN(1,N$4*1-Inputs!$E$62+1))/1</f>
        <v>10</v>
      </c>
      <c r="O9" s="117" t="n">
        <f aca="false">Inputs!$E$59*(1+Inputs!$E$61)^(O$5-1)*MAX(0,MIN(1,O$4*1-Inputs!$E$62+1))/1</f>
        <v>10</v>
      </c>
      <c r="P9" s="117" t="n">
        <f aca="false">Inputs!$E$59*(1+Inputs!$E$61)^(P$5-1)*MAX(0,MIN(1,P$4*1-Inputs!$E$62+1))/1</f>
        <v>10</v>
      </c>
      <c r="Q9" s="117" t="n">
        <f aca="false">Inputs!$E$59*(1+Inputs!$E$61)^(Q$5-1)*MAX(0,MIN(1,Q$4*1-Inputs!$E$62+1))/1</f>
        <v>10</v>
      </c>
      <c r="R9" s="117" t="n">
        <f aca="false">Inputs!$E$59*(1+Inputs!$E$61)^(R$5-1)*MAX(0,MIN(1,R$4*1-Inputs!$E$62+1))/1</f>
        <v>10</v>
      </c>
      <c r="S9" s="117" t="n">
        <f aca="false">Inputs!$E$59*(1+Inputs!$E$61)^(S$5-1)*MAX(0,MIN(1,S$4*1-Inputs!$E$62+1))/1</f>
        <v>10</v>
      </c>
      <c r="T9" s="117" t="n">
        <f aca="false">Inputs!$E$59*(1+Inputs!$E$61)^(T$5-1)*MAX(0,MIN(1,T$4*1-Inputs!$E$62+1))/1</f>
        <v>10</v>
      </c>
      <c r="U9" s="117" t="n">
        <f aca="false">Inputs!$E$59*(1+Inputs!$E$61)^(U$5-1)*MAX(0,MIN(1,U$4*1-Inputs!$E$62+1))/1</f>
        <v>10</v>
      </c>
      <c r="V9" s="117" t="n">
        <f aca="false">Inputs!$E$59*(1+Inputs!$E$61)^(V$5-1)*MAX(0,MIN(1,V$4*1-Inputs!$E$62+1))/1</f>
        <v>10</v>
      </c>
      <c r="W9" s="117" t="n">
        <f aca="false">Inputs!$E$59*(1+Inputs!$E$61)^(W$5-1)*MAX(0,MIN(1,W$4*1-Inputs!$E$62+1))/1</f>
        <v>10</v>
      </c>
      <c r="X9" s="117" t="n">
        <f aca="false">Inputs!$E$59*(1+Inputs!$E$61)^(X$5-1)*MAX(0,MIN(1,X$4*1-Inputs!$E$62+1))/1</f>
        <v>10</v>
      </c>
      <c r="Y9" s="117" t="n">
        <f aca="false">Inputs!$E$59*(1+Inputs!$E$61)^(Y$5-1)*MAX(0,MIN(1,Y$4*1-Inputs!$E$62+1))/1</f>
        <v>10</v>
      </c>
      <c r="Z9" s="117" t="n">
        <f aca="false">Inputs!$E$59*(1+Inputs!$E$61)^(Z$5-1)*MAX(0,MIN(1,Z$4*1-Inputs!$E$62+1))/1</f>
        <v>10</v>
      </c>
      <c r="AA9" s="117" t="n">
        <f aca="false">Inputs!$E$59*(1+Inputs!$E$61)^(AA$5-1)*MAX(0,MIN(1,AA$4*1-Inputs!$E$62+1))/1</f>
        <v>10</v>
      </c>
      <c r="AB9" s="117" t="n">
        <f aca="false">Inputs!$E$59*(1+Inputs!$E$61)^(AB$5-1)*MAX(0,MIN(1,AB$4*1-Inputs!$E$62+1))/1</f>
        <v>10</v>
      </c>
      <c r="AC9" s="117" t="n">
        <f aca="false">Inputs!$E$59*(1+Inputs!$E$61)^(AC$5-1)*MAX(0,MIN(1,AC$4*1-Inputs!$E$62+1))/1</f>
        <v>10</v>
      </c>
      <c r="AD9" s="117" t="n">
        <f aca="false">Inputs!$E$59*(1+Inputs!$E$61)^(AD$5-1)*MAX(0,MIN(1,AD$4*1-Inputs!$E$62+1))/1</f>
        <v>10</v>
      </c>
      <c r="AE9" s="117" t="n">
        <f aca="false">Inputs!$E$59*(1+Inputs!$E$61)^(AE$5-1)*MAX(0,MIN(1,AE$4*1-Inputs!$E$62+1))/1</f>
        <v>10</v>
      </c>
      <c r="AF9" s="117" t="n">
        <f aca="false">Inputs!$E$59*(1+Inputs!$E$61)^(AF$5-1)*MAX(0,MIN(1,AF$4*1-Inputs!$E$62+1))/1</f>
        <v>10</v>
      </c>
      <c r="AG9" s="117" t="n">
        <f aca="false">Inputs!$E$59*(1+Inputs!$E$61)^(AG$5-1)*MAX(0,MIN(1,AG$4*1-Inputs!$E$62+1))/1</f>
        <v>10</v>
      </c>
      <c r="AH9" s="117" t="n">
        <f aca="false">Inputs!$E$59*(1+Inputs!$E$61)^(AH$5-1)*MAX(0,MIN(1,AH$4*1-Inputs!$E$62+1))/1</f>
        <v>10</v>
      </c>
      <c r="AI9" s="117" t="n">
        <f aca="false">Inputs!$E$59*(1+Inputs!$E$61)^(AI$5-1)*MAX(0,MIN(1,AI$4*1-Inputs!$E$62+1))/1</f>
        <v>10</v>
      </c>
      <c r="AJ9" s="117" t="n">
        <f aca="false">Inputs!$E$59*(1+Inputs!$E$61)^(AJ$5-1)*MAX(0,MIN(1,AJ$4*1-Inputs!$E$62+1))/1</f>
        <v>10</v>
      </c>
      <c r="AK9" s="117" t="n">
        <f aca="false">Inputs!$E$59*(1+Inputs!$E$61)^(AK$5-1)*MAX(0,MIN(1,AK$4*1-Inputs!$E$62+1))/1</f>
        <v>10</v>
      </c>
      <c r="AL9" s="117" t="n">
        <f aca="false">Inputs!$E$59*(1+Inputs!$E$61)^(AL$5-1)*MAX(0,MIN(1,AL$4*1-Inputs!$E$62+1))/1</f>
        <v>10</v>
      </c>
      <c r="AM9" s="117" t="n">
        <f aca="false">Inputs!$E$59*(1+Inputs!$E$61)^(AM$5-1)*MAX(0,MIN(1,AM$4*1-Inputs!$E$62+1))/1</f>
        <v>10</v>
      </c>
      <c r="AN9" s="117" t="n">
        <f aca="false">Inputs!$E$59*(1+Inputs!$E$61)^(AN$5-1)*MAX(0,MIN(1,AN$4*1-Inputs!$E$62+1))/1</f>
        <v>10</v>
      </c>
      <c r="AO9" s="117" t="n">
        <f aca="false">Inputs!$E$59*(1+Inputs!$E$61)^(AO$5-1)*MAX(0,MIN(1,AO$4*1-Inputs!$E$62+1))/1</f>
        <v>10</v>
      </c>
      <c r="AP9" s="117" t="n">
        <f aca="false">Inputs!$E$59*(1+Inputs!$E$61)^(AP$5-1)*MAX(0,MIN(1,AP$4*1-Inputs!$E$62+1))/1</f>
        <v>10</v>
      </c>
      <c r="AQ9" s="117" t="n">
        <f aca="false">Inputs!$E$59*(1+Inputs!$E$61)^(AQ$5-1)*MAX(0,MIN(1,AQ$4*1-Inputs!$E$62+1))/1</f>
        <v>10</v>
      </c>
      <c r="AR9" s="117" t="n">
        <f aca="false">Inputs!$E$59*(1+Inputs!$E$61)^(AR$5-1)*MAX(0,MIN(1,AR$4*1-Inputs!$E$62+1))/1</f>
        <v>10</v>
      </c>
      <c r="AS9" s="117" t="n">
        <f aca="false">Inputs!$E$59*(1+Inputs!$E$61)^(AS$5-1)*MAX(0,MIN(1,AS$4*1-Inputs!$E$62+1))/1</f>
        <v>10</v>
      </c>
      <c r="AT9" s="117" t="n">
        <f aca="false">Inputs!$E$59*(1+Inputs!$E$61)^(AT$5-1)*MAX(0,MIN(1,AT$4*1-Inputs!$E$62+1))/1</f>
        <v>10</v>
      </c>
      <c r="AU9" s="117" t="n">
        <f aca="false">Inputs!$E$59*(1+Inputs!$E$61)^(AU$5-1)*MAX(0,MIN(1,AU$4*1-Inputs!$E$62+1))/1</f>
        <v>10</v>
      </c>
      <c r="AV9" s="117" t="n">
        <f aca="false">Inputs!$E$59*(1+Inputs!$E$61)^(AV$5-1)*MAX(0,MIN(1,AV$4*1-Inputs!$E$62+1))/1</f>
        <v>10</v>
      </c>
      <c r="AW9" s="117" t="n">
        <f aca="false">Inputs!$E$59*(1+Inputs!$E$61)^(AW$5-1)*MAX(0,MIN(1,AW$4*1-Inputs!$E$62+1))/1</f>
        <v>10</v>
      </c>
      <c r="AX9" s="117" t="n">
        <f aca="false">Inputs!$E$59*(1+Inputs!$E$61)^(AX$5-1)*MAX(0,MIN(1,AX$4*1-Inputs!$E$62+1))/1</f>
        <v>10</v>
      </c>
      <c r="AY9" s="117" t="n">
        <f aca="false">Inputs!$E$59*(1+Inputs!$E$61)^(AY$5-1)*MAX(0,MIN(1,AY$4*1-Inputs!$E$62+1))/1</f>
        <v>10</v>
      </c>
      <c r="AZ9" s="117" t="n">
        <f aca="false">Inputs!$E$59*(1+Inputs!$E$61)^(AZ$5-1)*MAX(0,MIN(1,AZ$4*1-Inputs!$E$62+1))/1</f>
        <v>10</v>
      </c>
      <c r="BA9" s="117" t="n">
        <f aca="false">Inputs!$E$59*(1+Inputs!$E$61)^(BA$5-1)*MAX(0,MIN(1,BA$4*1-Inputs!$E$62+1))/1</f>
        <v>10</v>
      </c>
      <c r="BB9" s="117" t="n">
        <f aca="false">Inputs!$E$59*(1+Inputs!$E$61)^(BB$5-1)*MAX(0,MIN(1,BB$4*1-Inputs!$E$62+1))/1</f>
        <v>10</v>
      </c>
      <c r="BC9" s="117" t="n">
        <f aca="false">Inputs!$E$59*(1+Inputs!$E$61)^(BC$5-1)*MAX(0,MIN(1,BC$4*1-Inputs!$E$62+1))/1</f>
        <v>10</v>
      </c>
      <c r="BD9" s="117" t="n">
        <f aca="false">Inputs!$E$59*(1+Inputs!$E$61)^(BD$5-1)*MAX(0,MIN(1,BD$4*1-Inputs!$E$62+1))/1</f>
        <v>10</v>
      </c>
      <c r="BE9" s="117" t="n">
        <f aca="false">Inputs!$E$59*(1+Inputs!$E$61)^(BE$5-1)*MAX(0,MIN(1,BE$4*1-Inputs!$E$62+1))/1</f>
        <v>10</v>
      </c>
      <c r="BF9" s="117" t="n">
        <f aca="false">Inputs!$E$59*(1+Inputs!$E$61)^(BF$5-1)*MAX(0,MIN(1,BF$4*1-Inputs!$E$62+1))/1</f>
        <v>10</v>
      </c>
      <c r="BG9" s="117" t="n">
        <f aca="false">Inputs!$E$59*(1+Inputs!$E$61)^(BG$5-1)*MAX(0,MIN(1,BG$4*1-Inputs!$E$62+1))/1</f>
        <v>10</v>
      </c>
      <c r="BH9" s="117" t="n">
        <f aca="false">Inputs!$E$59*(1+Inputs!$E$61)^(BH$5-1)*MAX(0,MIN(1,BH$4*1-Inputs!$E$62+1))/1</f>
        <v>10</v>
      </c>
      <c r="BI9" s="117" t="n">
        <f aca="false">Inputs!$E$59*(1+Inputs!$E$61)^(BI$5-1)*MAX(0,MIN(1,BI$4*1-Inputs!$E$62+1))/1</f>
        <v>10</v>
      </c>
      <c r="BJ9" s="117" t="n">
        <f aca="false">Inputs!$E$59*(1+Inputs!$E$61)^(BJ$5-1)*MAX(0,MIN(1,BJ$4*1-Inputs!$E$62+1))/1</f>
        <v>10</v>
      </c>
    </row>
    <row r="10" customFormat="false" ht="15" hidden="false" customHeight="false" outlineLevel="0" collapsed="false">
      <c r="A10" s="113" t="s">
        <v>472</v>
      </c>
      <c r="C10" s="123" t="n">
        <f aca="false">C8+C9</f>
        <v>11</v>
      </c>
      <c r="D10" s="123" t="n">
        <f aca="false">D8+D9</f>
        <v>11</v>
      </c>
      <c r="E10" s="123" t="n">
        <f aca="false">E8+E9</f>
        <v>11</v>
      </c>
      <c r="F10" s="123" t="n">
        <f aca="false">F8+F9</f>
        <v>11</v>
      </c>
      <c r="G10" s="123" t="n">
        <f aca="false">G8+G9</f>
        <v>11</v>
      </c>
      <c r="H10" s="123" t="n">
        <f aca="false">H8+H9</f>
        <v>11</v>
      </c>
      <c r="I10" s="123" t="n">
        <f aca="false">I8+I9</f>
        <v>11</v>
      </c>
      <c r="J10" s="123" t="n">
        <f aca="false">J8+J9</f>
        <v>11</v>
      </c>
      <c r="K10" s="123" t="n">
        <f aca="false">K8+K9</f>
        <v>11</v>
      </c>
      <c r="L10" s="123" t="n">
        <f aca="false">L8+L9</f>
        <v>11</v>
      </c>
      <c r="M10" s="123" t="n">
        <f aca="false">M8+M9</f>
        <v>11</v>
      </c>
      <c r="N10" s="123" t="n">
        <f aca="false">N8+N9</f>
        <v>11</v>
      </c>
      <c r="O10" s="123" t="n">
        <f aca="false">O8+O9</f>
        <v>11</v>
      </c>
      <c r="P10" s="123" t="n">
        <f aca="false">P8+P9</f>
        <v>11</v>
      </c>
      <c r="Q10" s="123" t="n">
        <f aca="false">Q8+Q9</f>
        <v>11</v>
      </c>
      <c r="R10" s="123" t="n">
        <f aca="false">R8+R9</f>
        <v>11</v>
      </c>
      <c r="S10" s="123" t="n">
        <f aca="false">S8+S9</f>
        <v>11</v>
      </c>
      <c r="T10" s="123" t="n">
        <f aca="false">T8+T9</f>
        <v>11</v>
      </c>
      <c r="U10" s="123" t="n">
        <f aca="false">U8+U9</f>
        <v>11</v>
      </c>
      <c r="V10" s="123" t="n">
        <f aca="false">V8+V9</f>
        <v>11</v>
      </c>
      <c r="W10" s="123" t="n">
        <f aca="false">W8+W9</f>
        <v>11</v>
      </c>
      <c r="X10" s="123" t="n">
        <f aca="false">X8+X9</f>
        <v>11</v>
      </c>
      <c r="Y10" s="123" t="n">
        <f aca="false">Y8+Y9</f>
        <v>11</v>
      </c>
      <c r="Z10" s="123" t="n">
        <f aca="false">Z8+Z9</f>
        <v>11</v>
      </c>
      <c r="AA10" s="123" t="n">
        <f aca="false">AA8+AA9</f>
        <v>11</v>
      </c>
      <c r="AB10" s="123" t="n">
        <f aca="false">AB8+AB9</f>
        <v>11</v>
      </c>
      <c r="AC10" s="123" t="n">
        <f aca="false">AC8+AC9</f>
        <v>11</v>
      </c>
      <c r="AD10" s="123" t="n">
        <f aca="false">AD8+AD9</f>
        <v>11</v>
      </c>
      <c r="AE10" s="123" t="n">
        <f aca="false">AE8+AE9</f>
        <v>11</v>
      </c>
      <c r="AF10" s="123" t="n">
        <f aca="false">AF8+AF9</f>
        <v>11</v>
      </c>
      <c r="AG10" s="123" t="n">
        <f aca="false">AG8+AG9</f>
        <v>11</v>
      </c>
      <c r="AH10" s="123" t="n">
        <f aca="false">AH8+AH9</f>
        <v>11</v>
      </c>
      <c r="AI10" s="123" t="n">
        <f aca="false">AI8+AI9</f>
        <v>11</v>
      </c>
      <c r="AJ10" s="123" t="n">
        <f aca="false">AJ8+AJ9</f>
        <v>11</v>
      </c>
      <c r="AK10" s="123" t="n">
        <f aca="false">AK8+AK9</f>
        <v>11</v>
      </c>
      <c r="AL10" s="123" t="n">
        <f aca="false">AL8+AL9</f>
        <v>11</v>
      </c>
      <c r="AM10" s="123" t="n">
        <f aca="false">AM8+AM9</f>
        <v>11</v>
      </c>
      <c r="AN10" s="123" t="n">
        <f aca="false">AN8+AN9</f>
        <v>11</v>
      </c>
      <c r="AO10" s="123" t="n">
        <f aca="false">AO8+AO9</f>
        <v>11</v>
      </c>
      <c r="AP10" s="123" t="n">
        <f aca="false">AP8+AP9</f>
        <v>11</v>
      </c>
      <c r="AQ10" s="123" t="n">
        <f aca="false">AQ8+AQ9</f>
        <v>11</v>
      </c>
      <c r="AR10" s="123" t="n">
        <f aca="false">AR8+AR9</f>
        <v>11</v>
      </c>
      <c r="AS10" s="123" t="n">
        <f aca="false">AS8+AS9</f>
        <v>11</v>
      </c>
      <c r="AT10" s="123" t="n">
        <f aca="false">AT8+AT9</f>
        <v>11</v>
      </c>
      <c r="AU10" s="123" t="n">
        <f aca="false">AU8+AU9</f>
        <v>11</v>
      </c>
      <c r="AV10" s="123" t="n">
        <f aca="false">AV8+AV9</f>
        <v>11</v>
      </c>
      <c r="AW10" s="123" t="n">
        <f aca="false">AW8+AW9</f>
        <v>11</v>
      </c>
      <c r="AX10" s="123" t="n">
        <f aca="false">AX8+AX9</f>
        <v>11</v>
      </c>
      <c r="AY10" s="123" t="n">
        <f aca="false">AY8+AY9</f>
        <v>11</v>
      </c>
      <c r="AZ10" s="123" t="n">
        <f aca="false">AZ8+AZ9</f>
        <v>11</v>
      </c>
      <c r="BA10" s="123" t="n">
        <f aca="false">BA8+BA9</f>
        <v>11</v>
      </c>
      <c r="BB10" s="123" t="n">
        <f aca="false">BB8+BB9</f>
        <v>11</v>
      </c>
      <c r="BC10" s="123" t="n">
        <f aca="false">BC8+BC9</f>
        <v>11</v>
      </c>
      <c r="BD10" s="123" t="n">
        <f aca="false">BD8+BD9</f>
        <v>11</v>
      </c>
      <c r="BE10" s="123" t="n">
        <f aca="false">BE8+BE9</f>
        <v>11</v>
      </c>
      <c r="BF10" s="123" t="n">
        <f aca="false">BF8+BF9</f>
        <v>11</v>
      </c>
      <c r="BG10" s="123" t="n">
        <f aca="false">BG8+BG9</f>
        <v>11</v>
      </c>
      <c r="BH10" s="123" t="n">
        <f aca="false">BH8+BH9</f>
        <v>11</v>
      </c>
      <c r="BI10" s="123" t="n">
        <f aca="false">BI8+BI9</f>
        <v>11</v>
      </c>
      <c r="BJ10" s="123" t="n">
        <f aca="false">BJ8+BJ9</f>
        <v>11</v>
      </c>
    </row>
    <row r="12" customFormat="false" ht="15.75" hidden="false" customHeight="true" outlineLevel="0" collapsed="false">
      <c r="A12" s="7" t="s">
        <v>473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customFormat="false" ht="15" hidden="false" customHeight="false" outlineLevel="0" collapsed="false">
      <c r="A13" s="6" t="s">
        <v>474</v>
      </c>
      <c r="C13" s="69" t="n">
        <f aca="false">-C8*Inputs!$E$56/12*1*(1+Inputs!$E$63)*(1+Inputs!$E$64)^(C$5-1)</f>
        <v>-6720</v>
      </c>
      <c r="D13" s="69" t="n">
        <f aca="false">-D8*Inputs!$E$56/12*1*(1+Inputs!$E$63)*(1+Inputs!$E$64)^(D$5-1)</f>
        <v>-6720</v>
      </c>
      <c r="E13" s="69" t="n">
        <f aca="false">-E8*Inputs!$E$56/12*1*(1+Inputs!$E$63)*(1+Inputs!$E$64)^(E$5-1)</f>
        <v>-6720</v>
      </c>
      <c r="F13" s="69" t="n">
        <f aca="false">-F8*Inputs!$E$56/12*1*(1+Inputs!$E$63)*(1+Inputs!$E$64)^(F$5-1)</f>
        <v>-6720</v>
      </c>
      <c r="G13" s="69" t="n">
        <f aca="false">-G8*Inputs!$E$56/12*1*(1+Inputs!$E$63)*(1+Inputs!$E$64)^(G$5-1)</f>
        <v>-6720</v>
      </c>
      <c r="H13" s="69" t="n">
        <f aca="false">-H8*Inputs!$E$56/12*1*(1+Inputs!$E$63)*(1+Inputs!$E$64)^(H$5-1)</f>
        <v>-6720</v>
      </c>
      <c r="I13" s="69" t="n">
        <f aca="false">-I8*Inputs!$E$56/12*1*(1+Inputs!$E$63)*(1+Inputs!$E$64)^(I$5-1)</f>
        <v>-6720</v>
      </c>
      <c r="J13" s="69" t="n">
        <f aca="false">-J8*Inputs!$E$56/12*1*(1+Inputs!$E$63)*(1+Inputs!$E$64)^(J$5-1)</f>
        <v>-6720</v>
      </c>
      <c r="K13" s="69" t="n">
        <f aca="false">-K8*Inputs!$E$56/12*1*(1+Inputs!$E$63)*(1+Inputs!$E$64)^(K$5-1)</f>
        <v>-6720</v>
      </c>
      <c r="L13" s="69" t="n">
        <f aca="false">-L8*Inputs!$E$56/12*1*(1+Inputs!$E$63)*(1+Inputs!$E$64)^(L$5-1)</f>
        <v>-6720</v>
      </c>
      <c r="M13" s="69" t="n">
        <f aca="false">-M8*Inputs!$E$56/12*1*(1+Inputs!$E$63)*(1+Inputs!$E$64)^(M$5-1)</f>
        <v>-6720</v>
      </c>
      <c r="N13" s="69" t="n">
        <f aca="false">-N8*Inputs!$E$56/12*1*(1+Inputs!$E$63)*(1+Inputs!$E$64)^(N$5-1)</f>
        <v>-6720</v>
      </c>
      <c r="O13" s="69" t="n">
        <f aca="false">-O8*Inputs!$E$56/12*1*(1+Inputs!$E$63)*(1+Inputs!$E$64)^(O$5-1)</f>
        <v>-6921.6</v>
      </c>
      <c r="P13" s="69" t="n">
        <f aca="false">-P8*Inputs!$E$56/12*1*(1+Inputs!$E$63)*(1+Inputs!$E$64)^(P$5-1)</f>
        <v>-6921.6</v>
      </c>
      <c r="Q13" s="69" t="n">
        <f aca="false">-Q8*Inputs!$E$56/12*1*(1+Inputs!$E$63)*(1+Inputs!$E$64)^(Q$5-1)</f>
        <v>-6921.6</v>
      </c>
      <c r="R13" s="69" t="n">
        <f aca="false">-R8*Inputs!$E$56/12*1*(1+Inputs!$E$63)*(1+Inputs!$E$64)^(R$5-1)</f>
        <v>-6921.6</v>
      </c>
      <c r="S13" s="69" t="n">
        <f aca="false">-S8*Inputs!$E$56/12*1*(1+Inputs!$E$63)*(1+Inputs!$E$64)^(S$5-1)</f>
        <v>-6921.6</v>
      </c>
      <c r="T13" s="69" t="n">
        <f aca="false">-T8*Inputs!$E$56/12*1*(1+Inputs!$E$63)*(1+Inputs!$E$64)^(T$5-1)</f>
        <v>-6921.6</v>
      </c>
      <c r="U13" s="69" t="n">
        <f aca="false">-U8*Inputs!$E$56/12*1*(1+Inputs!$E$63)*(1+Inputs!$E$64)^(U$5-1)</f>
        <v>-6921.6</v>
      </c>
      <c r="V13" s="69" t="n">
        <f aca="false">-V8*Inputs!$E$56/12*1*(1+Inputs!$E$63)*(1+Inputs!$E$64)^(V$5-1)</f>
        <v>-6921.6</v>
      </c>
      <c r="W13" s="69" t="n">
        <f aca="false">-W8*Inputs!$E$56/12*1*(1+Inputs!$E$63)*(1+Inputs!$E$64)^(W$5-1)</f>
        <v>-6921.6</v>
      </c>
      <c r="X13" s="69" t="n">
        <f aca="false">-X8*Inputs!$E$56/12*1*(1+Inputs!$E$63)*(1+Inputs!$E$64)^(X$5-1)</f>
        <v>-6921.6</v>
      </c>
      <c r="Y13" s="69" t="n">
        <f aca="false">-Y8*Inputs!$E$56/12*1*(1+Inputs!$E$63)*(1+Inputs!$E$64)^(Y$5-1)</f>
        <v>-6921.6</v>
      </c>
      <c r="Z13" s="69" t="n">
        <f aca="false">-Z8*Inputs!$E$56/12*1*(1+Inputs!$E$63)*(1+Inputs!$E$64)^(Z$5-1)</f>
        <v>-6921.6</v>
      </c>
      <c r="AA13" s="69" t="n">
        <f aca="false">-AA8*Inputs!$E$56/12*1*(1+Inputs!$E$63)*(1+Inputs!$E$64)^(AA$5-1)</f>
        <v>-7129.248</v>
      </c>
      <c r="AB13" s="69" t="n">
        <f aca="false">-AB8*Inputs!$E$56/12*1*(1+Inputs!$E$63)*(1+Inputs!$E$64)^(AB$5-1)</f>
        <v>-7129.248</v>
      </c>
      <c r="AC13" s="69" t="n">
        <f aca="false">-AC8*Inputs!$E$56/12*1*(1+Inputs!$E$63)*(1+Inputs!$E$64)^(AC$5-1)</f>
        <v>-7129.248</v>
      </c>
      <c r="AD13" s="69" t="n">
        <f aca="false">-AD8*Inputs!$E$56/12*1*(1+Inputs!$E$63)*(1+Inputs!$E$64)^(AD$5-1)</f>
        <v>-7129.248</v>
      </c>
      <c r="AE13" s="69" t="n">
        <f aca="false">-AE8*Inputs!$E$56/12*1*(1+Inputs!$E$63)*(1+Inputs!$E$64)^(AE$5-1)</f>
        <v>-7129.248</v>
      </c>
      <c r="AF13" s="69" t="n">
        <f aca="false">-AF8*Inputs!$E$56/12*1*(1+Inputs!$E$63)*(1+Inputs!$E$64)^(AF$5-1)</f>
        <v>-7129.248</v>
      </c>
      <c r="AG13" s="69" t="n">
        <f aca="false">-AG8*Inputs!$E$56/12*1*(1+Inputs!$E$63)*(1+Inputs!$E$64)^(AG$5-1)</f>
        <v>-7129.248</v>
      </c>
      <c r="AH13" s="69" t="n">
        <f aca="false">-AH8*Inputs!$E$56/12*1*(1+Inputs!$E$63)*(1+Inputs!$E$64)^(AH$5-1)</f>
        <v>-7129.248</v>
      </c>
      <c r="AI13" s="69" t="n">
        <f aca="false">-AI8*Inputs!$E$56/12*1*(1+Inputs!$E$63)*(1+Inputs!$E$64)^(AI$5-1)</f>
        <v>-7129.248</v>
      </c>
      <c r="AJ13" s="69" t="n">
        <f aca="false">-AJ8*Inputs!$E$56/12*1*(1+Inputs!$E$63)*(1+Inputs!$E$64)^(AJ$5-1)</f>
        <v>-7129.248</v>
      </c>
      <c r="AK13" s="69" t="n">
        <f aca="false">-AK8*Inputs!$E$56/12*1*(1+Inputs!$E$63)*(1+Inputs!$E$64)^(AK$5-1)</f>
        <v>-7129.248</v>
      </c>
      <c r="AL13" s="69" t="n">
        <f aca="false">-AL8*Inputs!$E$56/12*1*(1+Inputs!$E$63)*(1+Inputs!$E$64)^(AL$5-1)</f>
        <v>-7129.248</v>
      </c>
      <c r="AM13" s="69" t="n">
        <f aca="false">-AM8*Inputs!$E$56/12*1*(1+Inputs!$E$63)*(1+Inputs!$E$64)^(AM$5-1)</f>
        <v>-7343.12544</v>
      </c>
      <c r="AN13" s="69" t="n">
        <f aca="false">-AN8*Inputs!$E$56/12*1*(1+Inputs!$E$63)*(1+Inputs!$E$64)^(AN$5-1)</f>
        <v>-7343.12544</v>
      </c>
      <c r="AO13" s="69" t="n">
        <f aca="false">-AO8*Inputs!$E$56/12*1*(1+Inputs!$E$63)*(1+Inputs!$E$64)^(AO$5-1)</f>
        <v>-7343.12544</v>
      </c>
      <c r="AP13" s="69" t="n">
        <f aca="false">-AP8*Inputs!$E$56/12*1*(1+Inputs!$E$63)*(1+Inputs!$E$64)^(AP$5-1)</f>
        <v>-7343.12544</v>
      </c>
      <c r="AQ13" s="69" t="n">
        <f aca="false">-AQ8*Inputs!$E$56/12*1*(1+Inputs!$E$63)*(1+Inputs!$E$64)^(AQ$5-1)</f>
        <v>-7343.12544</v>
      </c>
      <c r="AR13" s="69" t="n">
        <f aca="false">-AR8*Inputs!$E$56/12*1*(1+Inputs!$E$63)*(1+Inputs!$E$64)^(AR$5-1)</f>
        <v>-7343.12544</v>
      </c>
      <c r="AS13" s="69" t="n">
        <f aca="false">-AS8*Inputs!$E$56/12*1*(1+Inputs!$E$63)*(1+Inputs!$E$64)^(AS$5-1)</f>
        <v>-7343.12544</v>
      </c>
      <c r="AT13" s="69" t="n">
        <f aca="false">-AT8*Inputs!$E$56/12*1*(1+Inputs!$E$63)*(1+Inputs!$E$64)^(AT$5-1)</f>
        <v>-7343.12544</v>
      </c>
      <c r="AU13" s="69" t="n">
        <f aca="false">-AU8*Inputs!$E$56/12*1*(1+Inputs!$E$63)*(1+Inputs!$E$64)^(AU$5-1)</f>
        <v>-7343.12544</v>
      </c>
      <c r="AV13" s="69" t="n">
        <f aca="false">-AV8*Inputs!$E$56/12*1*(1+Inputs!$E$63)*(1+Inputs!$E$64)^(AV$5-1)</f>
        <v>-7343.12544</v>
      </c>
      <c r="AW13" s="69" t="n">
        <f aca="false">-AW8*Inputs!$E$56/12*1*(1+Inputs!$E$63)*(1+Inputs!$E$64)^(AW$5-1)</f>
        <v>-7343.12544</v>
      </c>
      <c r="AX13" s="69" t="n">
        <f aca="false">-AX8*Inputs!$E$56/12*1*(1+Inputs!$E$63)*(1+Inputs!$E$64)^(AX$5-1)</f>
        <v>-7343.12544</v>
      </c>
      <c r="AY13" s="69" t="n">
        <f aca="false">-AY8*Inputs!$E$56/12*1*(1+Inputs!$E$63)*(1+Inputs!$E$64)^(AY$5-1)</f>
        <v>-7563.4192032</v>
      </c>
      <c r="AZ13" s="69" t="n">
        <f aca="false">-AZ8*Inputs!$E$56/12*1*(1+Inputs!$E$63)*(1+Inputs!$E$64)^(AZ$5-1)</f>
        <v>-7563.4192032</v>
      </c>
      <c r="BA13" s="69" t="n">
        <f aca="false">-BA8*Inputs!$E$56/12*1*(1+Inputs!$E$63)*(1+Inputs!$E$64)^(BA$5-1)</f>
        <v>-7563.4192032</v>
      </c>
      <c r="BB13" s="69" t="n">
        <f aca="false">-BB8*Inputs!$E$56/12*1*(1+Inputs!$E$63)*(1+Inputs!$E$64)^(BB$5-1)</f>
        <v>-7563.4192032</v>
      </c>
      <c r="BC13" s="69" t="n">
        <f aca="false">-BC8*Inputs!$E$56/12*1*(1+Inputs!$E$63)*(1+Inputs!$E$64)^(BC$5-1)</f>
        <v>-7563.4192032</v>
      </c>
      <c r="BD13" s="69" t="n">
        <f aca="false">-BD8*Inputs!$E$56/12*1*(1+Inputs!$E$63)*(1+Inputs!$E$64)^(BD$5-1)</f>
        <v>-7563.4192032</v>
      </c>
      <c r="BE13" s="69" t="n">
        <f aca="false">-BE8*Inputs!$E$56/12*1*(1+Inputs!$E$63)*(1+Inputs!$E$64)^(BE$5-1)</f>
        <v>-7563.4192032</v>
      </c>
      <c r="BF13" s="69" t="n">
        <f aca="false">-BF8*Inputs!$E$56/12*1*(1+Inputs!$E$63)*(1+Inputs!$E$64)^(BF$5-1)</f>
        <v>-7563.4192032</v>
      </c>
      <c r="BG13" s="69" t="n">
        <f aca="false">-BG8*Inputs!$E$56/12*1*(1+Inputs!$E$63)*(1+Inputs!$E$64)^(BG$5-1)</f>
        <v>-7563.4192032</v>
      </c>
      <c r="BH13" s="69" t="n">
        <f aca="false">-BH8*Inputs!$E$56/12*1*(1+Inputs!$E$63)*(1+Inputs!$E$64)^(BH$5-1)</f>
        <v>-7563.4192032</v>
      </c>
      <c r="BI13" s="69" t="n">
        <f aca="false">-BI8*Inputs!$E$56/12*1*(1+Inputs!$E$63)*(1+Inputs!$E$64)^(BI$5-1)</f>
        <v>-7563.4192032</v>
      </c>
      <c r="BJ13" s="69" t="n">
        <f aca="false">-BJ8*Inputs!$E$56/12*1*(1+Inputs!$E$63)*(1+Inputs!$E$64)^(BJ$5-1)</f>
        <v>-7563.4192032</v>
      </c>
    </row>
    <row r="14" customFormat="false" ht="15" hidden="false" customHeight="false" outlineLevel="0" collapsed="false">
      <c r="A14" s="6" t="s">
        <v>475</v>
      </c>
      <c r="C14" s="69" t="n">
        <f aca="false">-C9*Inputs!$E$60/12*1*(1+Inputs!$E$63)*(1+Inputs!$E$64)^(C$5-1)</f>
        <v>-29866.6666666667</v>
      </c>
      <c r="D14" s="69" t="n">
        <f aca="false">-D9*Inputs!$E$60/12*1*(1+Inputs!$E$63)*(1+Inputs!$E$64)^(D$5-1)</f>
        <v>-29866.6666666667</v>
      </c>
      <c r="E14" s="69" t="n">
        <f aca="false">-E9*Inputs!$E$60/12*1*(1+Inputs!$E$63)*(1+Inputs!$E$64)^(E$5-1)</f>
        <v>-29866.6666666667</v>
      </c>
      <c r="F14" s="69" t="n">
        <f aca="false">-F9*Inputs!$E$60/12*1*(1+Inputs!$E$63)*(1+Inputs!$E$64)^(F$5-1)</f>
        <v>-29866.6666666667</v>
      </c>
      <c r="G14" s="69" t="n">
        <f aca="false">-G9*Inputs!$E$60/12*1*(1+Inputs!$E$63)*(1+Inputs!$E$64)^(G$5-1)</f>
        <v>-29866.6666666667</v>
      </c>
      <c r="H14" s="69" t="n">
        <f aca="false">-H9*Inputs!$E$60/12*1*(1+Inputs!$E$63)*(1+Inputs!$E$64)^(H$5-1)</f>
        <v>-29866.6666666667</v>
      </c>
      <c r="I14" s="69" t="n">
        <f aca="false">-I9*Inputs!$E$60/12*1*(1+Inputs!$E$63)*(1+Inputs!$E$64)^(I$5-1)</f>
        <v>-29866.6666666667</v>
      </c>
      <c r="J14" s="69" t="n">
        <f aca="false">-J9*Inputs!$E$60/12*1*(1+Inputs!$E$63)*(1+Inputs!$E$64)^(J$5-1)</f>
        <v>-29866.6666666667</v>
      </c>
      <c r="K14" s="69" t="n">
        <f aca="false">-K9*Inputs!$E$60/12*1*(1+Inputs!$E$63)*(1+Inputs!$E$64)^(K$5-1)</f>
        <v>-29866.6666666667</v>
      </c>
      <c r="L14" s="69" t="n">
        <f aca="false">-L9*Inputs!$E$60/12*1*(1+Inputs!$E$63)*(1+Inputs!$E$64)^(L$5-1)</f>
        <v>-29866.6666666667</v>
      </c>
      <c r="M14" s="69" t="n">
        <f aca="false">-M9*Inputs!$E$60/12*1*(1+Inputs!$E$63)*(1+Inputs!$E$64)^(M$5-1)</f>
        <v>-29866.6666666667</v>
      </c>
      <c r="N14" s="69" t="n">
        <f aca="false">-N9*Inputs!$E$60/12*1*(1+Inputs!$E$63)*(1+Inputs!$E$64)^(N$5-1)</f>
        <v>-29866.6666666667</v>
      </c>
      <c r="O14" s="69" t="n">
        <f aca="false">-O9*Inputs!$E$60/12*1*(1+Inputs!$E$63)*(1+Inputs!$E$64)^(O$5-1)</f>
        <v>-30762.6666666667</v>
      </c>
      <c r="P14" s="69" t="n">
        <f aca="false">-P9*Inputs!$E$60/12*1*(1+Inputs!$E$63)*(1+Inputs!$E$64)^(P$5-1)</f>
        <v>-30762.6666666667</v>
      </c>
      <c r="Q14" s="69" t="n">
        <f aca="false">-Q9*Inputs!$E$60/12*1*(1+Inputs!$E$63)*(1+Inputs!$E$64)^(Q$5-1)</f>
        <v>-30762.6666666667</v>
      </c>
      <c r="R14" s="69" t="n">
        <f aca="false">-R9*Inputs!$E$60/12*1*(1+Inputs!$E$63)*(1+Inputs!$E$64)^(R$5-1)</f>
        <v>-30762.6666666667</v>
      </c>
      <c r="S14" s="69" t="n">
        <f aca="false">-S9*Inputs!$E$60/12*1*(1+Inputs!$E$63)*(1+Inputs!$E$64)^(S$5-1)</f>
        <v>-30762.6666666667</v>
      </c>
      <c r="T14" s="69" t="n">
        <f aca="false">-T9*Inputs!$E$60/12*1*(1+Inputs!$E$63)*(1+Inputs!$E$64)^(T$5-1)</f>
        <v>-30762.6666666667</v>
      </c>
      <c r="U14" s="69" t="n">
        <f aca="false">-U9*Inputs!$E$60/12*1*(1+Inputs!$E$63)*(1+Inputs!$E$64)^(U$5-1)</f>
        <v>-30762.6666666667</v>
      </c>
      <c r="V14" s="69" t="n">
        <f aca="false">-V9*Inputs!$E$60/12*1*(1+Inputs!$E$63)*(1+Inputs!$E$64)^(V$5-1)</f>
        <v>-30762.6666666667</v>
      </c>
      <c r="W14" s="69" t="n">
        <f aca="false">-W9*Inputs!$E$60/12*1*(1+Inputs!$E$63)*(1+Inputs!$E$64)^(W$5-1)</f>
        <v>-30762.6666666667</v>
      </c>
      <c r="X14" s="69" t="n">
        <f aca="false">-X9*Inputs!$E$60/12*1*(1+Inputs!$E$63)*(1+Inputs!$E$64)^(X$5-1)</f>
        <v>-30762.6666666667</v>
      </c>
      <c r="Y14" s="69" t="n">
        <f aca="false">-Y9*Inputs!$E$60/12*1*(1+Inputs!$E$63)*(1+Inputs!$E$64)^(Y$5-1)</f>
        <v>-30762.6666666667</v>
      </c>
      <c r="Z14" s="69" t="n">
        <f aca="false">-Z9*Inputs!$E$60/12*1*(1+Inputs!$E$63)*(1+Inputs!$E$64)^(Z$5-1)</f>
        <v>-30762.6666666667</v>
      </c>
      <c r="AA14" s="69" t="n">
        <f aca="false">-AA9*Inputs!$E$60/12*1*(1+Inputs!$E$63)*(1+Inputs!$E$64)^(AA$5-1)</f>
        <v>-31685.5466666667</v>
      </c>
      <c r="AB14" s="69" t="n">
        <f aca="false">-AB9*Inputs!$E$60/12*1*(1+Inputs!$E$63)*(1+Inputs!$E$64)^(AB$5-1)</f>
        <v>-31685.5466666667</v>
      </c>
      <c r="AC14" s="69" t="n">
        <f aca="false">-AC9*Inputs!$E$60/12*1*(1+Inputs!$E$63)*(1+Inputs!$E$64)^(AC$5-1)</f>
        <v>-31685.5466666667</v>
      </c>
      <c r="AD14" s="69" t="n">
        <f aca="false">-AD9*Inputs!$E$60/12*1*(1+Inputs!$E$63)*(1+Inputs!$E$64)^(AD$5-1)</f>
        <v>-31685.5466666667</v>
      </c>
      <c r="AE14" s="69" t="n">
        <f aca="false">-AE9*Inputs!$E$60/12*1*(1+Inputs!$E$63)*(1+Inputs!$E$64)^(AE$5-1)</f>
        <v>-31685.5466666667</v>
      </c>
      <c r="AF14" s="69" t="n">
        <f aca="false">-AF9*Inputs!$E$60/12*1*(1+Inputs!$E$63)*(1+Inputs!$E$64)^(AF$5-1)</f>
        <v>-31685.5466666667</v>
      </c>
      <c r="AG14" s="69" t="n">
        <f aca="false">-AG9*Inputs!$E$60/12*1*(1+Inputs!$E$63)*(1+Inputs!$E$64)^(AG$5-1)</f>
        <v>-31685.5466666667</v>
      </c>
      <c r="AH14" s="69" t="n">
        <f aca="false">-AH9*Inputs!$E$60/12*1*(1+Inputs!$E$63)*(1+Inputs!$E$64)^(AH$5-1)</f>
        <v>-31685.5466666667</v>
      </c>
      <c r="AI14" s="69" t="n">
        <f aca="false">-AI9*Inputs!$E$60/12*1*(1+Inputs!$E$63)*(1+Inputs!$E$64)^(AI$5-1)</f>
        <v>-31685.5466666667</v>
      </c>
      <c r="AJ14" s="69" t="n">
        <f aca="false">-AJ9*Inputs!$E$60/12*1*(1+Inputs!$E$63)*(1+Inputs!$E$64)^(AJ$5-1)</f>
        <v>-31685.5466666667</v>
      </c>
      <c r="AK14" s="69" t="n">
        <f aca="false">-AK9*Inputs!$E$60/12*1*(1+Inputs!$E$63)*(1+Inputs!$E$64)^(AK$5-1)</f>
        <v>-31685.5466666667</v>
      </c>
      <c r="AL14" s="69" t="n">
        <f aca="false">-AL9*Inputs!$E$60/12*1*(1+Inputs!$E$63)*(1+Inputs!$E$64)^(AL$5-1)</f>
        <v>-31685.5466666667</v>
      </c>
      <c r="AM14" s="69" t="n">
        <f aca="false">-AM9*Inputs!$E$60/12*1*(1+Inputs!$E$63)*(1+Inputs!$E$64)^(AM$5-1)</f>
        <v>-32636.1130666667</v>
      </c>
      <c r="AN14" s="69" t="n">
        <f aca="false">-AN9*Inputs!$E$60/12*1*(1+Inputs!$E$63)*(1+Inputs!$E$64)^(AN$5-1)</f>
        <v>-32636.1130666667</v>
      </c>
      <c r="AO14" s="69" t="n">
        <f aca="false">-AO9*Inputs!$E$60/12*1*(1+Inputs!$E$63)*(1+Inputs!$E$64)^(AO$5-1)</f>
        <v>-32636.1130666667</v>
      </c>
      <c r="AP14" s="69" t="n">
        <f aca="false">-AP9*Inputs!$E$60/12*1*(1+Inputs!$E$63)*(1+Inputs!$E$64)^(AP$5-1)</f>
        <v>-32636.1130666667</v>
      </c>
      <c r="AQ14" s="69" t="n">
        <f aca="false">-AQ9*Inputs!$E$60/12*1*(1+Inputs!$E$63)*(1+Inputs!$E$64)^(AQ$5-1)</f>
        <v>-32636.1130666667</v>
      </c>
      <c r="AR14" s="69" t="n">
        <f aca="false">-AR9*Inputs!$E$60/12*1*(1+Inputs!$E$63)*(1+Inputs!$E$64)^(AR$5-1)</f>
        <v>-32636.1130666667</v>
      </c>
      <c r="AS14" s="69" t="n">
        <f aca="false">-AS9*Inputs!$E$60/12*1*(1+Inputs!$E$63)*(1+Inputs!$E$64)^(AS$5-1)</f>
        <v>-32636.1130666667</v>
      </c>
      <c r="AT14" s="69" t="n">
        <f aca="false">-AT9*Inputs!$E$60/12*1*(1+Inputs!$E$63)*(1+Inputs!$E$64)^(AT$5-1)</f>
        <v>-32636.1130666667</v>
      </c>
      <c r="AU14" s="69" t="n">
        <f aca="false">-AU9*Inputs!$E$60/12*1*(1+Inputs!$E$63)*(1+Inputs!$E$64)^(AU$5-1)</f>
        <v>-32636.1130666667</v>
      </c>
      <c r="AV14" s="69" t="n">
        <f aca="false">-AV9*Inputs!$E$60/12*1*(1+Inputs!$E$63)*(1+Inputs!$E$64)^(AV$5-1)</f>
        <v>-32636.1130666667</v>
      </c>
      <c r="AW14" s="69" t="n">
        <f aca="false">-AW9*Inputs!$E$60/12*1*(1+Inputs!$E$63)*(1+Inputs!$E$64)^(AW$5-1)</f>
        <v>-32636.1130666667</v>
      </c>
      <c r="AX14" s="69" t="n">
        <f aca="false">-AX9*Inputs!$E$60/12*1*(1+Inputs!$E$63)*(1+Inputs!$E$64)^(AX$5-1)</f>
        <v>-32636.1130666667</v>
      </c>
      <c r="AY14" s="69" t="n">
        <f aca="false">-AY9*Inputs!$E$60/12*1*(1+Inputs!$E$63)*(1+Inputs!$E$64)^(AY$5-1)</f>
        <v>-33615.1964586667</v>
      </c>
      <c r="AZ14" s="69" t="n">
        <f aca="false">-AZ9*Inputs!$E$60/12*1*(1+Inputs!$E$63)*(1+Inputs!$E$64)^(AZ$5-1)</f>
        <v>-33615.1964586667</v>
      </c>
      <c r="BA14" s="69" t="n">
        <f aca="false">-BA9*Inputs!$E$60/12*1*(1+Inputs!$E$63)*(1+Inputs!$E$64)^(BA$5-1)</f>
        <v>-33615.1964586667</v>
      </c>
      <c r="BB14" s="69" t="n">
        <f aca="false">-BB9*Inputs!$E$60/12*1*(1+Inputs!$E$63)*(1+Inputs!$E$64)^(BB$5-1)</f>
        <v>-33615.1964586667</v>
      </c>
      <c r="BC14" s="69" t="n">
        <f aca="false">-BC9*Inputs!$E$60/12*1*(1+Inputs!$E$63)*(1+Inputs!$E$64)^(BC$5-1)</f>
        <v>-33615.1964586667</v>
      </c>
      <c r="BD14" s="69" t="n">
        <f aca="false">-BD9*Inputs!$E$60/12*1*(1+Inputs!$E$63)*(1+Inputs!$E$64)^(BD$5-1)</f>
        <v>-33615.1964586667</v>
      </c>
      <c r="BE14" s="69" t="n">
        <f aca="false">-BE9*Inputs!$E$60/12*1*(1+Inputs!$E$63)*(1+Inputs!$E$64)^(BE$5-1)</f>
        <v>-33615.1964586667</v>
      </c>
      <c r="BF14" s="69" t="n">
        <f aca="false">-BF9*Inputs!$E$60/12*1*(1+Inputs!$E$63)*(1+Inputs!$E$64)^(BF$5-1)</f>
        <v>-33615.1964586667</v>
      </c>
      <c r="BG14" s="69" t="n">
        <f aca="false">-BG9*Inputs!$E$60/12*1*(1+Inputs!$E$63)*(1+Inputs!$E$64)^(BG$5-1)</f>
        <v>-33615.1964586667</v>
      </c>
      <c r="BH14" s="69" t="n">
        <f aca="false">-BH9*Inputs!$E$60/12*1*(1+Inputs!$E$63)*(1+Inputs!$E$64)^(BH$5-1)</f>
        <v>-33615.1964586667</v>
      </c>
      <c r="BI14" s="69" t="n">
        <f aca="false">-BI9*Inputs!$E$60/12*1*(1+Inputs!$E$63)*(1+Inputs!$E$64)^(BI$5-1)</f>
        <v>-33615.1964586667</v>
      </c>
      <c r="BJ14" s="69" t="n">
        <f aca="false">-BJ9*Inputs!$E$60/12*1*(1+Inputs!$E$63)*(1+Inputs!$E$64)^(BJ$5-1)</f>
        <v>-33615.1964586667</v>
      </c>
    </row>
    <row r="15" customFormat="false" ht="15" hidden="false" customHeight="false" outlineLevel="0" collapsed="false">
      <c r="A15" s="113" t="s">
        <v>476</v>
      </c>
      <c r="C15" s="70" t="n">
        <f aca="false">C13+C14</f>
        <v>-36586.6666666667</v>
      </c>
      <c r="D15" s="70" t="n">
        <f aca="false">D13+D14</f>
        <v>-36586.6666666667</v>
      </c>
      <c r="E15" s="70" t="n">
        <f aca="false">E13+E14</f>
        <v>-36586.6666666667</v>
      </c>
      <c r="F15" s="70" t="n">
        <f aca="false">F13+F14</f>
        <v>-36586.6666666667</v>
      </c>
      <c r="G15" s="70" t="n">
        <f aca="false">G13+G14</f>
        <v>-36586.6666666667</v>
      </c>
      <c r="H15" s="70" t="n">
        <f aca="false">H13+H14</f>
        <v>-36586.6666666667</v>
      </c>
      <c r="I15" s="70" t="n">
        <f aca="false">I13+I14</f>
        <v>-36586.6666666667</v>
      </c>
      <c r="J15" s="70" t="n">
        <f aca="false">J13+J14</f>
        <v>-36586.6666666667</v>
      </c>
      <c r="K15" s="70" t="n">
        <f aca="false">K13+K14</f>
        <v>-36586.6666666667</v>
      </c>
      <c r="L15" s="70" t="n">
        <f aca="false">L13+L14</f>
        <v>-36586.6666666667</v>
      </c>
      <c r="M15" s="70" t="n">
        <f aca="false">M13+M14</f>
        <v>-36586.6666666667</v>
      </c>
      <c r="N15" s="70" t="n">
        <f aca="false">N13+N14</f>
        <v>-36586.6666666667</v>
      </c>
      <c r="O15" s="70" t="n">
        <f aca="false">O13+O14</f>
        <v>-37684.2666666667</v>
      </c>
      <c r="P15" s="70" t="n">
        <f aca="false">P13+P14</f>
        <v>-37684.2666666667</v>
      </c>
      <c r="Q15" s="70" t="n">
        <f aca="false">Q13+Q14</f>
        <v>-37684.2666666667</v>
      </c>
      <c r="R15" s="70" t="n">
        <f aca="false">R13+R14</f>
        <v>-37684.2666666667</v>
      </c>
      <c r="S15" s="70" t="n">
        <f aca="false">S13+S14</f>
        <v>-37684.2666666667</v>
      </c>
      <c r="T15" s="70" t="n">
        <f aca="false">T13+T14</f>
        <v>-37684.2666666667</v>
      </c>
      <c r="U15" s="70" t="n">
        <f aca="false">U13+U14</f>
        <v>-37684.2666666667</v>
      </c>
      <c r="V15" s="70" t="n">
        <f aca="false">V13+V14</f>
        <v>-37684.2666666667</v>
      </c>
      <c r="W15" s="70" t="n">
        <f aca="false">W13+W14</f>
        <v>-37684.2666666667</v>
      </c>
      <c r="X15" s="70" t="n">
        <f aca="false">X13+X14</f>
        <v>-37684.2666666667</v>
      </c>
      <c r="Y15" s="70" t="n">
        <f aca="false">Y13+Y14</f>
        <v>-37684.2666666667</v>
      </c>
      <c r="Z15" s="70" t="n">
        <f aca="false">Z13+Z14</f>
        <v>-37684.2666666667</v>
      </c>
      <c r="AA15" s="70" t="n">
        <f aca="false">AA13+AA14</f>
        <v>-38814.7946666667</v>
      </c>
      <c r="AB15" s="70" t="n">
        <f aca="false">AB13+AB14</f>
        <v>-38814.7946666667</v>
      </c>
      <c r="AC15" s="70" t="n">
        <f aca="false">AC13+AC14</f>
        <v>-38814.7946666667</v>
      </c>
      <c r="AD15" s="70" t="n">
        <f aca="false">AD13+AD14</f>
        <v>-38814.7946666667</v>
      </c>
      <c r="AE15" s="70" t="n">
        <f aca="false">AE13+AE14</f>
        <v>-38814.7946666667</v>
      </c>
      <c r="AF15" s="70" t="n">
        <f aca="false">AF13+AF14</f>
        <v>-38814.7946666667</v>
      </c>
      <c r="AG15" s="70" t="n">
        <f aca="false">AG13+AG14</f>
        <v>-38814.7946666667</v>
      </c>
      <c r="AH15" s="70" t="n">
        <f aca="false">AH13+AH14</f>
        <v>-38814.7946666667</v>
      </c>
      <c r="AI15" s="70" t="n">
        <f aca="false">AI13+AI14</f>
        <v>-38814.7946666667</v>
      </c>
      <c r="AJ15" s="70" t="n">
        <f aca="false">AJ13+AJ14</f>
        <v>-38814.7946666667</v>
      </c>
      <c r="AK15" s="70" t="n">
        <f aca="false">AK13+AK14</f>
        <v>-38814.7946666667</v>
      </c>
      <c r="AL15" s="70" t="n">
        <f aca="false">AL13+AL14</f>
        <v>-38814.7946666667</v>
      </c>
      <c r="AM15" s="70" t="n">
        <f aca="false">AM13+AM14</f>
        <v>-39979.2385066667</v>
      </c>
      <c r="AN15" s="70" t="n">
        <f aca="false">AN13+AN14</f>
        <v>-39979.2385066667</v>
      </c>
      <c r="AO15" s="70" t="n">
        <f aca="false">AO13+AO14</f>
        <v>-39979.2385066667</v>
      </c>
      <c r="AP15" s="70" t="n">
        <f aca="false">AP13+AP14</f>
        <v>-39979.2385066667</v>
      </c>
      <c r="AQ15" s="70" t="n">
        <f aca="false">AQ13+AQ14</f>
        <v>-39979.2385066667</v>
      </c>
      <c r="AR15" s="70" t="n">
        <f aca="false">AR13+AR14</f>
        <v>-39979.2385066667</v>
      </c>
      <c r="AS15" s="70" t="n">
        <f aca="false">AS13+AS14</f>
        <v>-39979.2385066667</v>
      </c>
      <c r="AT15" s="70" t="n">
        <f aca="false">AT13+AT14</f>
        <v>-39979.2385066667</v>
      </c>
      <c r="AU15" s="70" t="n">
        <f aca="false">AU13+AU14</f>
        <v>-39979.2385066667</v>
      </c>
      <c r="AV15" s="70" t="n">
        <f aca="false">AV13+AV14</f>
        <v>-39979.2385066667</v>
      </c>
      <c r="AW15" s="70" t="n">
        <f aca="false">AW13+AW14</f>
        <v>-39979.2385066667</v>
      </c>
      <c r="AX15" s="70" t="n">
        <f aca="false">AX13+AX14</f>
        <v>-39979.2385066667</v>
      </c>
      <c r="AY15" s="70" t="n">
        <f aca="false">AY13+AY14</f>
        <v>-41178.6156618667</v>
      </c>
      <c r="AZ15" s="70" t="n">
        <f aca="false">AZ13+AZ14</f>
        <v>-41178.6156618667</v>
      </c>
      <c r="BA15" s="70" t="n">
        <f aca="false">BA13+BA14</f>
        <v>-41178.6156618667</v>
      </c>
      <c r="BB15" s="70" t="n">
        <f aca="false">BB13+BB14</f>
        <v>-41178.6156618667</v>
      </c>
      <c r="BC15" s="70" t="n">
        <f aca="false">BC13+BC14</f>
        <v>-41178.6156618667</v>
      </c>
      <c r="BD15" s="70" t="n">
        <f aca="false">BD13+BD14</f>
        <v>-41178.6156618667</v>
      </c>
      <c r="BE15" s="70" t="n">
        <f aca="false">BE13+BE14</f>
        <v>-41178.6156618667</v>
      </c>
      <c r="BF15" s="70" t="n">
        <f aca="false">BF13+BF14</f>
        <v>-41178.6156618667</v>
      </c>
      <c r="BG15" s="70" t="n">
        <f aca="false">BG13+BG14</f>
        <v>-41178.6156618667</v>
      </c>
      <c r="BH15" s="70" t="n">
        <f aca="false">BH13+BH14</f>
        <v>-41178.6156618667</v>
      </c>
      <c r="BI15" s="70" t="n">
        <f aca="false">BI13+BI14</f>
        <v>-41178.6156618667</v>
      </c>
      <c r="BJ15" s="70" t="n">
        <f aca="false">BJ13+BJ14</f>
        <v>-41178.6156618667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38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477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478</v>
      </c>
    </row>
    <row r="4" customFormat="false" ht="15.75" hidden="false" customHeight="true" outlineLevel="0" collapsed="false">
      <c r="A4" s="7" t="s">
        <v>479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false" outlineLevel="0" collapsed="false">
      <c r="A5" s="33" t="s">
        <v>353</v>
      </c>
      <c r="C5" s="52" t="s">
        <v>354</v>
      </c>
      <c r="D5" s="52" t="s">
        <v>355</v>
      </c>
      <c r="E5" s="52" t="s">
        <v>356</v>
      </c>
      <c r="F5" s="52" t="s">
        <v>357</v>
      </c>
      <c r="G5" s="52" t="s">
        <v>358</v>
      </c>
      <c r="H5" s="52" t="s">
        <v>359</v>
      </c>
      <c r="I5" s="52" t="s">
        <v>360</v>
      </c>
      <c r="J5" s="52" t="s">
        <v>361</v>
      </c>
      <c r="K5" s="52" t="s">
        <v>362</v>
      </c>
      <c r="L5" s="52" t="s">
        <v>363</v>
      </c>
      <c r="M5" s="52" t="s">
        <v>364</v>
      </c>
      <c r="N5" s="52" t="s">
        <v>365</v>
      </c>
      <c r="O5" s="52" t="s">
        <v>366</v>
      </c>
      <c r="P5" s="52" t="s">
        <v>367</v>
      </c>
      <c r="Q5" s="52" t="s">
        <v>368</v>
      </c>
      <c r="R5" s="52" t="s">
        <v>369</v>
      </c>
      <c r="S5" s="52" t="s">
        <v>370</v>
      </c>
      <c r="T5" s="52" t="s">
        <v>371</v>
      </c>
      <c r="U5" s="52" t="s">
        <v>372</v>
      </c>
      <c r="V5" s="52" t="s">
        <v>373</v>
      </c>
      <c r="W5" s="52" t="s">
        <v>374</v>
      </c>
      <c r="X5" s="52" t="s">
        <v>375</v>
      </c>
      <c r="Y5" s="52" t="s">
        <v>376</v>
      </c>
      <c r="Z5" s="52" t="s">
        <v>377</v>
      </c>
      <c r="AA5" s="52" t="s">
        <v>378</v>
      </c>
      <c r="AB5" s="52" t="s">
        <v>379</v>
      </c>
      <c r="AC5" s="52" t="s">
        <v>380</v>
      </c>
      <c r="AD5" s="52" t="s">
        <v>381</v>
      </c>
      <c r="AE5" s="52" t="s">
        <v>382</v>
      </c>
      <c r="AF5" s="52" t="s">
        <v>383</v>
      </c>
      <c r="AG5" s="52" t="s">
        <v>384</v>
      </c>
      <c r="AH5" s="52" t="s">
        <v>385</v>
      </c>
      <c r="AI5" s="52" t="s">
        <v>386</v>
      </c>
      <c r="AJ5" s="52" t="s">
        <v>387</v>
      </c>
      <c r="AK5" s="52" t="s">
        <v>388</v>
      </c>
      <c r="AL5" s="52" t="s">
        <v>389</v>
      </c>
      <c r="AM5" s="52" t="s">
        <v>390</v>
      </c>
      <c r="AN5" s="52" t="s">
        <v>391</v>
      </c>
      <c r="AO5" s="52" t="s">
        <v>392</v>
      </c>
      <c r="AP5" s="52" t="s">
        <v>393</v>
      </c>
      <c r="AQ5" s="52" t="s">
        <v>394</v>
      </c>
      <c r="AR5" s="52" t="s">
        <v>395</v>
      </c>
      <c r="AS5" s="52" t="s">
        <v>396</v>
      </c>
      <c r="AT5" s="52" t="s">
        <v>397</v>
      </c>
      <c r="AU5" s="52" t="s">
        <v>398</v>
      </c>
      <c r="AV5" s="52" t="s">
        <v>399</v>
      </c>
      <c r="AW5" s="52" t="s">
        <v>400</v>
      </c>
      <c r="AX5" s="52" t="s">
        <v>401</v>
      </c>
      <c r="AY5" s="52" t="s">
        <v>402</v>
      </c>
      <c r="AZ5" s="52" t="s">
        <v>403</v>
      </c>
      <c r="BA5" s="52" t="s">
        <v>404</v>
      </c>
      <c r="BB5" s="52" t="s">
        <v>405</v>
      </c>
      <c r="BC5" s="52" t="s">
        <v>406</v>
      </c>
      <c r="BD5" s="52" t="s">
        <v>407</v>
      </c>
      <c r="BE5" s="52" t="s">
        <v>408</v>
      </c>
      <c r="BF5" s="52" t="s">
        <v>409</v>
      </c>
      <c r="BG5" s="52" t="s">
        <v>410</v>
      </c>
      <c r="BH5" s="52" t="s">
        <v>411</v>
      </c>
      <c r="BI5" s="52" t="s">
        <v>412</v>
      </c>
      <c r="BJ5" s="52" t="s">
        <v>413</v>
      </c>
    </row>
    <row r="6" customFormat="false" ht="15" hidden="false" customHeight="false" outlineLevel="0" collapsed="false">
      <c r="A6" s="74" t="s">
        <v>414</v>
      </c>
      <c r="C6" s="74" t="n">
        <v>1</v>
      </c>
      <c r="D6" s="74" t="n">
        <v>2</v>
      </c>
      <c r="E6" s="74" t="n">
        <v>3</v>
      </c>
      <c r="F6" s="74" t="n">
        <v>4</v>
      </c>
      <c r="G6" s="74" t="n">
        <v>5</v>
      </c>
      <c r="H6" s="74" t="n">
        <v>6</v>
      </c>
      <c r="I6" s="74" t="n">
        <v>7</v>
      </c>
      <c r="J6" s="74" t="n">
        <v>8</v>
      </c>
      <c r="K6" s="74" t="n">
        <v>9</v>
      </c>
      <c r="L6" s="74" t="n">
        <v>10</v>
      </c>
      <c r="M6" s="74" t="n">
        <v>11</v>
      </c>
      <c r="N6" s="74" t="n">
        <v>12</v>
      </c>
      <c r="O6" s="74" t="n">
        <v>13</v>
      </c>
      <c r="P6" s="74" t="n">
        <v>14</v>
      </c>
      <c r="Q6" s="74" t="n">
        <v>15</v>
      </c>
      <c r="R6" s="74" t="n">
        <v>16</v>
      </c>
      <c r="S6" s="74" t="n">
        <v>17</v>
      </c>
      <c r="T6" s="74" t="n">
        <v>18</v>
      </c>
      <c r="U6" s="74" t="n">
        <v>19</v>
      </c>
      <c r="V6" s="74" t="n">
        <v>20</v>
      </c>
      <c r="W6" s="74" t="n">
        <v>21</v>
      </c>
      <c r="X6" s="74" t="n">
        <v>22</v>
      </c>
      <c r="Y6" s="74" t="n">
        <v>23</v>
      </c>
      <c r="Z6" s="74" t="n">
        <v>24</v>
      </c>
      <c r="AA6" s="74" t="n">
        <v>25</v>
      </c>
      <c r="AB6" s="74" t="n">
        <v>26</v>
      </c>
      <c r="AC6" s="74" t="n">
        <v>27</v>
      </c>
      <c r="AD6" s="74" t="n">
        <v>28</v>
      </c>
      <c r="AE6" s="74" t="n">
        <v>29</v>
      </c>
      <c r="AF6" s="74" t="n">
        <v>30</v>
      </c>
      <c r="AG6" s="74" t="n">
        <v>31</v>
      </c>
      <c r="AH6" s="74" t="n">
        <v>32</v>
      </c>
      <c r="AI6" s="74" t="n">
        <v>33</v>
      </c>
      <c r="AJ6" s="74" t="n">
        <v>34</v>
      </c>
      <c r="AK6" s="74" t="n">
        <v>35</v>
      </c>
      <c r="AL6" s="74" t="n">
        <v>36</v>
      </c>
      <c r="AM6" s="74" t="n">
        <v>37</v>
      </c>
      <c r="AN6" s="74" t="n">
        <v>38</v>
      </c>
      <c r="AO6" s="74" t="n">
        <v>39</v>
      </c>
      <c r="AP6" s="74" t="n">
        <v>40</v>
      </c>
      <c r="AQ6" s="74" t="n">
        <v>41</v>
      </c>
      <c r="AR6" s="74" t="n">
        <v>42</v>
      </c>
      <c r="AS6" s="74" t="n">
        <v>43</v>
      </c>
      <c r="AT6" s="74" t="n">
        <v>44</v>
      </c>
      <c r="AU6" s="74" t="n">
        <v>45</v>
      </c>
      <c r="AV6" s="74" t="n">
        <v>46</v>
      </c>
      <c r="AW6" s="74" t="n">
        <v>47</v>
      </c>
      <c r="AX6" s="74" t="n">
        <v>48</v>
      </c>
      <c r="AY6" s="74" t="n">
        <v>49</v>
      </c>
      <c r="AZ6" s="74" t="n">
        <v>50</v>
      </c>
      <c r="BA6" s="74" t="n">
        <v>51</v>
      </c>
      <c r="BB6" s="74" t="n">
        <v>52</v>
      </c>
      <c r="BC6" s="74" t="n">
        <v>53</v>
      </c>
      <c r="BD6" s="74" t="n">
        <v>54</v>
      </c>
      <c r="BE6" s="74" t="n">
        <v>55</v>
      </c>
      <c r="BF6" s="74" t="n">
        <v>56</v>
      </c>
      <c r="BG6" s="74" t="n">
        <v>57</v>
      </c>
      <c r="BH6" s="74" t="n">
        <v>58</v>
      </c>
      <c r="BI6" s="74" t="n">
        <v>59</v>
      </c>
      <c r="BJ6" s="74" t="n">
        <v>60</v>
      </c>
    </row>
    <row r="7" customFormat="false" ht="15" hidden="false" customHeight="false" outlineLevel="0" collapsed="false">
      <c r="A7" s="74" t="s">
        <v>155</v>
      </c>
      <c r="C7" s="74" t="n">
        <f aca="false">ROUNDUP(C6*1/12,0)</f>
        <v>1</v>
      </c>
      <c r="D7" s="74" t="n">
        <f aca="false">ROUNDUP(D6*1/12,0)</f>
        <v>1</v>
      </c>
      <c r="E7" s="74" t="n">
        <f aca="false">ROUNDUP(E6*1/12,0)</f>
        <v>1</v>
      </c>
      <c r="F7" s="74" t="n">
        <f aca="false">ROUNDUP(F6*1/12,0)</f>
        <v>1</v>
      </c>
      <c r="G7" s="74" t="n">
        <f aca="false">ROUNDUP(G6*1/12,0)</f>
        <v>1</v>
      </c>
      <c r="H7" s="74" t="n">
        <f aca="false">ROUNDUP(H6*1/12,0)</f>
        <v>1</v>
      </c>
      <c r="I7" s="74" t="n">
        <f aca="false">ROUNDUP(I6*1/12,0)</f>
        <v>1</v>
      </c>
      <c r="J7" s="74" t="n">
        <f aca="false">ROUNDUP(J6*1/12,0)</f>
        <v>1</v>
      </c>
      <c r="K7" s="74" t="n">
        <f aca="false">ROUNDUP(K6*1/12,0)</f>
        <v>1</v>
      </c>
      <c r="L7" s="74" t="n">
        <f aca="false">ROUNDUP(L6*1/12,0)</f>
        <v>1</v>
      </c>
      <c r="M7" s="74" t="n">
        <f aca="false">ROUNDUP(M6*1/12,0)</f>
        <v>1</v>
      </c>
      <c r="N7" s="74" t="n">
        <f aca="false">ROUNDUP(N6*1/12,0)</f>
        <v>1</v>
      </c>
      <c r="O7" s="74" t="n">
        <f aca="false">ROUNDUP(O6*1/12,0)</f>
        <v>2</v>
      </c>
      <c r="P7" s="74" t="n">
        <f aca="false">ROUNDUP(P6*1/12,0)</f>
        <v>2</v>
      </c>
      <c r="Q7" s="74" t="n">
        <f aca="false">ROUNDUP(Q6*1/12,0)</f>
        <v>2</v>
      </c>
      <c r="R7" s="74" t="n">
        <f aca="false">ROUNDUP(R6*1/12,0)</f>
        <v>2</v>
      </c>
      <c r="S7" s="74" t="n">
        <f aca="false">ROUNDUP(S6*1/12,0)</f>
        <v>2</v>
      </c>
      <c r="T7" s="74" t="n">
        <f aca="false">ROUNDUP(T6*1/12,0)</f>
        <v>2</v>
      </c>
      <c r="U7" s="74" t="n">
        <f aca="false">ROUNDUP(U6*1/12,0)</f>
        <v>2</v>
      </c>
      <c r="V7" s="74" t="n">
        <f aca="false">ROUNDUP(V6*1/12,0)</f>
        <v>2</v>
      </c>
      <c r="W7" s="74" t="n">
        <f aca="false">ROUNDUP(W6*1/12,0)</f>
        <v>2</v>
      </c>
      <c r="X7" s="74" t="n">
        <f aca="false">ROUNDUP(X6*1/12,0)</f>
        <v>2</v>
      </c>
      <c r="Y7" s="74" t="n">
        <f aca="false">ROUNDUP(Y6*1/12,0)</f>
        <v>2</v>
      </c>
      <c r="Z7" s="74" t="n">
        <f aca="false">ROUNDUP(Z6*1/12,0)</f>
        <v>2</v>
      </c>
      <c r="AA7" s="74" t="n">
        <f aca="false">ROUNDUP(AA6*1/12,0)</f>
        <v>3</v>
      </c>
      <c r="AB7" s="74" t="n">
        <f aca="false">ROUNDUP(AB6*1/12,0)</f>
        <v>3</v>
      </c>
      <c r="AC7" s="74" t="n">
        <f aca="false">ROUNDUP(AC6*1/12,0)</f>
        <v>3</v>
      </c>
      <c r="AD7" s="74" t="n">
        <f aca="false">ROUNDUP(AD6*1/12,0)</f>
        <v>3</v>
      </c>
      <c r="AE7" s="74" t="n">
        <f aca="false">ROUNDUP(AE6*1/12,0)</f>
        <v>3</v>
      </c>
      <c r="AF7" s="74" t="n">
        <f aca="false">ROUNDUP(AF6*1/12,0)</f>
        <v>3</v>
      </c>
      <c r="AG7" s="74" t="n">
        <f aca="false">ROUNDUP(AG6*1/12,0)</f>
        <v>3</v>
      </c>
      <c r="AH7" s="74" t="n">
        <f aca="false">ROUNDUP(AH6*1/12,0)</f>
        <v>3</v>
      </c>
      <c r="AI7" s="74" t="n">
        <f aca="false">ROUNDUP(AI6*1/12,0)</f>
        <v>3</v>
      </c>
      <c r="AJ7" s="74" t="n">
        <f aca="false">ROUNDUP(AJ6*1/12,0)</f>
        <v>3</v>
      </c>
      <c r="AK7" s="74" t="n">
        <f aca="false">ROUNDUP(AK6*1/12,0)</f>
        <v>3</v>
      </c>
      <c r="AL7" s="74" t="n">
        <f aca="false">ROUNDUP(AL6*1/12,0)</f>
        <v>3</v>
      </c>
      <c r="AM7" s="74" t="n">
        <f aca="false">ROUNDUP(AM6*1/12,0)</f>
        <v>4</v>
      </c>
      <c r="AN7" s="74" t="n">
        <f aca="false">ROUNDUP(AN6*1/12,0)</f>
        <v>4</v>
      </c>
      <c r="AO7" s="74" t="n">
        <f aca="false">ROUNDUP(AO6*1/12,0)</f>
        <v>4</v>
      </c>
      <c r="AP7" s="74" t="n">
        <f aca="false">ROUNDUP(AP6*1/12,0)</f>
        <v>4</v>
      </c>
      <c r="AQ7" s="74" t="n">
        <f aca="false">ROUNDUP(AQ6*1/12,0)</f>
        <v>4</v>
      </c>
      <c r="AR7" s="74" t="n">
        <f aca="false">ROUNDUP(AR6*1/12,0)</f>
        <v>4</v>
      </c>
      <c r="AS7" s="74" t="n">
        <f aca="false">ROUNDUP(AS6*1/12,0)</f>
        <v>4</v>
      </c>
      <c r="AT7" s="74" t="n">
        <f aca="false">ROUNDUP(AT6*1/12,0)</f>
        <v>4</v>
      </c>
      <c r="AU7" s="74" t="n">
        <f aca="false">ROUNDUP(AU6*1/12,0)</f>
        <v>4</v>
      </c>
      <c r="AV7" s="74" t="n">
        <f aca="false">ROUNDUP(AV6*1/12,0)</f>
        <v>4</v>
      </c>
      <c r="AW7" s="74" t="n">
        <f aca="false">ROUNDUP(AW6*1/12,0)</f>
        <v>4</v>
      </c>
      <c r="AX7" s="74" t="n">
        <f aca="false">ROUNDUP(AX6*1/12,0)</f>
        <v>4</v>
      </c>
      <c r="AY7" s="74" t="n">
        <f aca="false">ROUNDUP(AY6*1/12,0)</f>
        <v>5</v>
      </c>
      <c r="AZ7" s="74" t="n">
        <f aca="false">ROUNDUP(AZ6*1/12,0)</f>
        <v>5</v>
      </c>
      <c r="BA7" s="74" t="n">
        <f aca="false">ROUNDUP(BA6*1/12,0)</f>
        <v>5</v>
      </c>
      <c r="BB7" s="74" t="n">
        <f aca="false">ROUNDUP(BB6*1/12,0)</f>
        <v>5</v>
      </c>
      <c r="BC7" s="74" t="n">
        <f aca="false">ROUNDUP(BC6*1/12,0)</f>
        <v>5</v>
      </c>
      <c r="BD7" s="74" t="n">
        <f aca="false">ROUNDUP(BD6*1/12,0)</f>
        <v>5</v>
      </c>
      <c r="BE7" s="74" t="n">
        <f aca="false">ROUNDUP(BE6*1/12,0)</f>
        <v>5</v>
      </c>
      <c r="BF7" s="74" t="n">
        <f aca="false">ROUNDUP(BF6*1/12,0)</f>
        <v>5</v>
      </c>
      <c r="BG7" s="74" t="n">
        <f aca="false">ROUNDUP(BG6*1/12,0)</f>
        <v>5</v>
      </c>
      <c r="BH7" s="74" t="n">
        <f aca="false">ROUNDUP(BH6*1/12,0)</f>
        <v>5</v>
      </c>
      <c r="BI7" s="74" t="n">
        <f aca="false">ROUNDUP(BI6*1/12,0)</f>
        <v>5</v>
      </c>
      <c r="BJ7" s="74" t="n">
        <f aca="false">ROUNDUP(BJ6*1/12,0)</f>
        <v>5</v>
      </c>
    </row>
    <row r="9" customFormat="false" ht="15.75" hidden="false" customHeight="true" outlineLevel="0" collapsed="false">
      <c r="A9" s="7" t="s">
        <v>415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116" t="s">
        <v>416</v>
      </c>
      <c r="C10" s="117" t="n">
        <f aca="false">MAX(0,MIN(1,Inputs!$B$9-(C$6-1)*1))</f>
        <v>1</v>
      </c>
      <c r="D10" s="117" t="n">
        <f aca="false">MAX(0,MIN(1,Inputs!$B$9-(D$6-1)*1))</f>
        <v>1</v>
      </c>
      <c r="E10" s="117" t="n">
        <f aca="false">MAX(0,MIN(1,Inputs!$B$9-(E$6-1)*1))</f>
        <v>1</v>
      </c>
      <c r="F10" s="117" t="n">
        <f aca="false">MAX(0,MIN(1,Inputs!$B$9-(F$6-1)*1))</f>
        <v>1</v>
      </c>
      <c r="G10" s="117" t="n">
        <f aca="false">MAX(0,MIN(1,Inputs!$B$9-(G$6-1)*1))</f>
        <v>1</v>
      </c>
      <c r="H10" s="117" t="n">
        <f aca="false">MAX(0,MIN(1,Inputs!$B$9-(H$6-1)*1))</f>
        <v>1</v>
      </c>
      <c r="I10" s="117" t="n">
        <f aca="false">MAX(0,MIN(1,Inputs!$B$9-(I$6-1)*1))</f>
        <v>1</v>
      </c>
      <c r="J10" s="117" t="n">
        <f aca="false">MAX(0,MIN(1,Inputs!$B$9-(J$6-1)*1))</f>
        <v>1</v>
      </c>
      <c r="K10" s="117" t="n">
        <f aca="false">MAX(0,MIN(1,Inputs!$B$9-(K$6-1)*1))</f>
        <v>1</v>
      </c>
      <c r="L10" s="117" t="n">
        <f aca="false">MAX(0,MIN(1,Inputs!$B$9-(L$6-1)*1))</f>
        <v>1</v>
      </c>
      <c r="M10" s="117" t="n">
        <f aca="false">MAX(0,MIN(1,Inputs!$B$9-(M$6-1)*1))</f>
        <v>1</v>
      </c>
      <c r="N10" s="117" t="n">
        <f aca="false">MAX(0,MIN(1,Inputs!$B$9-(N$6-1)*1))</f>
        <v>1</v>
      </c>
      <c r="O10" s="117" t="n">
        <f aca="false">MAX(0,MIN(1,Inputs!$B$9-(O$6-1)*1))</f>
        <v>0</v>
      </c>
      <c r="P10" s="117" t="n">
        <f aca="false">MAX(0,MIN(1,Inputs!$B$9-(P$6-1)*1))</f>
        <v>0</v>
      </c>
      <c r="Q10" s="117" t="n">
        <f aca="false">MAX(0,MIN(1,Inputs!$B$9-(Q$6-1)*1))</f>
        <v>0</v>
      </c>
      <c r="R10" s="117" t="n">
        <f aca="false">MAX(0,MIN(1,Inputs!$B$9-(R$6-1)*1))</f>
        <v>0</v>
      </c>
      <c r="S10" s="117" t="n">
        <f aca="false">MAX(0,MIN(1,Inputs!$B$9-(S$6-1)*1))</f>
        <v>0</v>
      </c>
      <c r="T10" s="117" t="n">
        <f aca="false">MAX(0,MIN(1,Inputs!$B$9-(T$6-1)*1))</f>
        <v>0</v>
      </c>
      <c r="U10" s="117" t="n">
        <f aca="false">MAX(0,MIN(1,Inputs!$B$9-(U$6-1)*1))</f>
        <v>0</v>
      </c>
      <c r="V10" s="117" t="n">
        <f aca="false">MAX(0,MIN(1,Inputs!$B$9-(V$6-1)*1))</f>
        <v>0</v>
      </c>
      <c r="W10" s="117" t="n">
        <f aca="false">MAX(0,MIN(1,Inputs!$B$9-(W$6-1)*1))</f>
        <v>0</v>
      </c>
      <c r="X10" s="117" t="n">
        <f aca="false">MAX(0,MIN(1,Inputs!$B$9-(X$6-1)*1))</f>
        <v>0</v>
      </c>
      <c r="Y10" s="117" t="n">
        <f aca="false">MAX(0,MIN(1,Inputs!$B$9-(Y$6-1)*1))</f>
        <v>0</v>
      </c>
      <c r="Z10" s="117" t="n">
        <f aca="false">MAX(0,MIN(1,Inputs!$B$9-(Z$6-1)*1))</f>
        <v>0</v>
      </c>
      <c r="AA10" s="117" t="n">
        <f aca="false">MAX(0,MIN(1,Inputs!$B$9-(AA$6-1)*1))</f>
        <v>0</v>
      </c>
      <c r="AB10" s="117" t="n">
        <f aca="false">MAX(0,MIN(1,Inputs!$B$9-(AB$6-1)*1))</f>
        <v>0</v>
      </c>
      <c r="AC10" s="117" t="n">
        <f aca="false">MAX(0,MIN(1,Inputs!$B$9-(AC$6-1)*1))</f>
        <v>0</v>
      </c>
      <c r="AD10" s="117" t="n">
        <f aca="false">MAX(0,MIN(1,Inputs!$B$9-(AD$6-1)*1))</f>
        <v>0</v>
      </c>
      <c r="AE10" s="117" t="n">
        <f aca="false">MAX(0,MIN(1,Inputs!$B$9-(AE$6-1)*1))</f>
        <v>0</v>
      </c>
      <c r="AF10" s="117" t="n">
        <f aca="false">MAX(0,MIN(1,Inputs!$B$9-(AF$6-1)*1))</f>
        <v>0</v>
      </c>
      <c r="AG10" s="117" t="n">
        <f aca="false">MAX(0,MIN(1,Inputs!$B$9-(AG$6-1)*1))</f>
        <v>0</v>
      </c>
      <c r="AH10" s="117" t="n">
        <f aca="false">MAX(0,MIN(1,Inputs!$B$9-(AH$6-1)*1))</f>
        <v>0</v>
      </c>
      <c r="AI10" s="117" t="n">
        <f aca="false">MAX(0,MIN(1,Inputs!$B$9-(AI$6-1)*1))</f>
        <v>0</v>
      </c>
      <c r="AJ10" s="117" t="n">
        <f aca="false">MAX(0,MIN(1,Inputs!$B$9-(AJ$6-1)*1))</f>
        <v>0</v>
      </c>
      <c r="AK10" s="117" t="n">
        <f aca="false">MAX(0,MIN(1,Inputs!$B$9-(AK$6-1)*1))</f>
        <v>0</v>
      </c>
      <c r="AL10" s="117" t="n">
        <f aca="false">MAX(0,MIN(1,Inputs!$B$9-(AL$6-1)*1))</f>
        <v>0</v>
      </c>
      <c r="AM10" s="117" t="n">
        <f aca="false">MAX(0,MIN(1,Inputs!$B$9-(AM$6-1)*1))</f>
        <v>0</v>
      </c>
      <c r="AN10" s="117" t="n">
        <f aca="false">MAX(0,MIN(1,Inputs!$B$9-(AN$6-1)*1))</f>
        <v>0</v>
      </c>
      <c r="AO10" s="117" t="n">
        <f aca="false">MAX(0,MIN(1,Inputs!$B$9-(AO$6-1)*1))</f>
        <v>0</v>
      </c>
      <c r="AP10" s="117" t="n">
        <f aca="false">MAX(0,MIN(1,Inputs!$B$9-(AP$6-1)*1))</f>
        <v>0</v>
      </c>
      <c r="AQ10" s="117" t="n">
        <f aca="false">MAX(0,MIN(1,Inputs!$B$9-(AQ$6-1)*1))</f>
        <v>0</v>
      </c>
      <c r="AR10" s="117" t="n">
        <f aca="false">MAX(0,MIN(1,Inputs!$B$9-(AR$6-1)*1))</f>
        <v>0</v>
      </c>
      <c r="AS10" s="117" t="n">
        <f aca="false">MAX(0,MIN(1,Inputs!$B$9-(AS$6-1)*1))</f>
        <v>0</v>
      </c>
      <c r="AT10" s="117" t="n">
        <f aca="false">MAX(0,MIN(1,Inputs!$B$9-(AT$6-1)*1))</f>
        <v>0</v>
      </c>
      <c r="AU10" s="117" t="n">
        <f aca="false">MAX(0,MIN(1,Inputs!$B$9-(AU$6-1)*1))</f>
        <v>0</v>
      </c>
      <c r="AV10" s="117" t="n">
        <f aca="false">MAX(0,MIN(1,Inputs!$B$9-(AV$6-1)*1))</f>
        <v>0</v>
      </c>
      <c r="AW10" s="117" t="n">
        <f aca="false">MAX(0,MIN(1,Inputs!$B$9-(AW$6-1)*1))</f>
        <v>0</v>
      </c>
      <c r="AX10" s="117" t="n">
        <f aca="false">MAX(0,MIN(1,Inputs!$B$9-(AX$6-1)*1))</f>
        <v>0</v>
      </c>
      <c r="AY10" s="117" t="n">
        <f aca="false">MAX(0,MIN(1,Inputs!$B$9-(AY$6-1)*1))</f>
        <v>0</v>
      </c>
      <c r="AZ10" s="117" t="n">
        <f aca="false">MAX(0,MIN(1,Inputs!$B$9-(AZ$6-1)*1))</f>
        <v>0</v>
      </c>
      <c r="BA10" s="117" t="n">
        <f aca="false">MAX(0,MIN(1,Inputs!$B$9-(BA$6-1)*1))</f>
        <v>0</v>
      </c>
      <c r="BB10" s="117" t="n">
        <f aca="false">MAX(0,MIN(1,Inputs!$B$9-(BB$6-1)*1))</f>
        <v>0</v>
      </c>
      <c r="BC10" s="117" t="n">
        <f aca="false">MAX(0,MIN(1,Inputs!$B$9-(BC$6-1)*1))</f>
        <v>0</v>
      </c>
      <c r="BD10" s="117" t="n">
        <f aca="false">MAX(0,MIN(1,Inputs!$B$9-(BD$6-1)*1))</f>
        <v>0</v>
      </c>
      <c r="BE10" s="117" t="n">
        <f aca="false">MAX(0,MIN(1,Inputs!$B$9-(BE$6-1)*1))</f>
        <v>0</v>
      </c>
      <c r="BF10" s="117" t="n">
        <f aca="false">MAX(0,MIN(1,Inputs!$B$9-(BF$6-1)*1))</f>
        <v>0</v>
      </c>
      <c r="BG10" s="117" t="n">
        <f aca="false">MAX(0,MIN(1,Inputs!$B$9-(BG$6-1)*1))</f>
        <v>0</v>
      </c>
      <c r="BH10" s="117" t="n">
        <f aca="false">MAX(0,MIN(1,Inputs!$B$9-(BH$6-1)*1))</f>
        <v>0</v>
      </c>
      <c r="BI10" s="117" t="n">
        <f aca="false">MAX(0,MIN(1,Inputs!$B$9-(BI$6-1)*1))</f>
        <v>0</v>
      </c>
      <c r="BJ10" s="117" t="n">
        <f aca="false">MAX(0,MIN(1,Inputs!$B$9-(BJ$6-1)*1))</f>
        <v>0</v>
      </c>
    </row>
    <row r="11" customFormat="false" ht="15" hidden="false" customHeight="false" outlineLevel="0" collapsed="false">
      <c r="A11" s="38" t="s">
        <v>417</v>
      </c>
      <c r="C11" s="76" t="n">
        <f aca="false">IF(Inputs!$B$9&lt;=0,1,(C10*Inputs!$B$10+(1-Inputs!$B$10)/MAX(1,Inputs!$B$9)*(C10*(C$6-1)*1+C10*(C10-1)/2)+1-C10)/1)</f>
        <v>0.35</v>
      </c>
      <c r="D11" s="76" t="n">
        <f aca="false">IF(Inputs!$B$9&lt;=0,1,(D10*Inputs!$B$10+(1-Inputs!$B$10)/MAX(1,Inputs!$B$9)*(D10*(D$6-1)*1+D10*(D10-1)/2)+1-D10)/1)</f>
        <v>0.404166666666667</v>
      </c>
      <c r="E11" s="76" t="n">
        <f aca="false">IF(Inputs!$B$9&lt;=0,1,(E10*Inputs!$B$10+(1-Inputs!$B$10)/MAX(1,Inputs!$B$9)*(E10*(E$6-1)*1+E10*(E10-1)/2)+1-E10)/1)</f>
        <v>0.458333333333333</v>
      </c>
      <c r="F11" s="76" t="n">
        <f aca="false">IF(Inputs!$B$9&lt;=0,1,(F10*Inputs!$B$10+(1-Inputs!$B$10)/MAX(1,Inputs!$B$9)*(F10*(F$6-1)*1+F10*(F10-1)/2)+1-F10)/1)</f>
        <v>0.5125</v>
      </c>
      <c r="G11" s="76" t="n">
        <f aca="false">IF(Inputs!$B$9&lt;=0,1,(G10*Inputs!$B$10+(1-Inputs!$B$10)/MAX(1,Inputs!$B$9)*(G10*(G$6-1)*1+G10*(G10-1)/2)+1-G10)/1)</f>
        <v>0.566666666666667</v>
      </c>
      <c r="H11" s="76" t="n">
        <f aca="false">IF(Inputs!$B$9&lt;=0,1,(H10*Inputs!$B$10+(1-Inputs!$B$10)/MAX(1,Inputs!$B$9)*(H10*(H$6-1)*1+H10*(H10-1)/2)+1-H10)/1)</f>
        <v>0.620833333333333</v>
      </c>
      <c r="I11" s="76" t="n">
        <f aca="false">IF(Inputs!$B$9&lt;=0,1,(I10*Inputs!$B$10+(1-Inputs!$B$10)/MAX(1,Inputs!$B$9)*(I10*(I$6-1)*1+I10*(I10-1)/2)+1-I10)/1)</f>
        <v>0.675</v>
      </c>
      <c r="J11" s="76" t="n">
        <f aca="false">IF(Inputs!$B$9&lt;=0,1,(J10*Inputs!$B$10+(1-Inputs!$B$10)/MAX(1,Inputs!$B$9)*(J10*(J$6-1)*1+J10*(J10-1)/2)+1-J10)/1)</f>
        <v>0.729166666666667</v>
      </c>
      <c r="K11" s="76" t="n">
        <f aca="false">IF(Inputs!$B$9&lt;=0,1,(K10*Inputs!$B$10+(1-Inputs!$B$10)/MAX(1,Inputs!$B$9)*(K10*(K$6-1)*1+K10*(K10-1)/2)+1-K10)/1)</f>
        <v>0.783333333333333</v>
      </c>
      <c r="L11" s="76" t="n">
        <f aca="false">IF(Inputs!$B$9&lt;=0,1,(L10*Inputs!$B$10+(1-Inputs!$B$10)/MAX(1,Inputs!$B$9)*(L10*(L$6-1)*1+L10*(L10-1)/2)+1-L10)/1)</f>
        <v>0.8375</v>
      </c>
      <c r="M11" s="76" t="n">
        <f aca="false">IF(Inputs!$B$9&lt;=0,1,(M10*Inputs!$B$10+(1-Inputs!$B$10)/MAX(1,Inputs!$B$9)*(M10*(M$6-1)*1+M10*(M10-1)/2)+1-M10)/1)</f>
        <v>0.891666666666667</v>
      </c>
      <c r="N11" s="76" t="n">
        <f aca="false">IF(Inputs!$B$9&lt;=0,1,(N10*Inputs!$B$10+(1-Inputs!$B$10)/MAX(1,Inputs!$B$9)*(N10*(N$6-1)*1+N10*(N10-1)/2)+1-N10)/1)</f>
        <v>0.945833333333333</v>
      </c>
      <c r="O11" s="76" t="n">
        <f aca="false">IF(Inputs!$B$9&lt;=0,1,(O10*Inputs!$B$10+(1-Inputs!$B$10)/MAX(1,Inputs!$B$9)*(O10*(O$6-1)*1+O10*(O10-1)/2)+1-O10)/1)</f>
        <v>1</v>
      </c>
      <c r="P11" s="76" t="n">
        <f aca="false">IF(Inputs!$B$9&lt;=0,1,(P10*Inputs!$B$10+(1-Inputs!$B$10)/MAX(1,Inputs!$B$9)*(P10*(P$6-1)*1+P10*(P10-1)/2)+1-P10)/1)</f>
        <v>1</v>
      </c>
      <c r="Q11" s="76" t="n">
        <f aca="false">IF(Inputs!$B$9&lt;=0,1,(Q10*Inputs!$B$10+(1-Inputs!$B$10)/MAX(1,Inputs!$B$9)*(Q10*(Q$6-1)*1+Q10*(Q10-1)/2)+1-Q10)/1)</f>
        <v>1</v>
      </c>
      <c r="R11" s="76" t="n">
        <f aca="false">IF(Inputs!$B$9&lt;=0,1,(R10*Inputs!$B$10+(1-Inputs!$B$10)/MAX(1,Inputs!$B$9)*(R10*(R$6-1)*1+R10*(R10-1)/2)+1-R10)/1)</f>
        <v>1</v>
      </c>
      <c r="S11" s="76" t="n">
        <f aca="false">IF(Inputs!$B$9&lt;=0,1,(S10*Inputs!$B$10+(1-Inputs!$B$10)/MAX(1,Inputs!$B$9)*(S10*(S$6-1)*1+S10*(S10-1)/2)+1-S10)/1)</f>
        <v>1</v>
      </c>
      <c r="T11" s="76" t="n">
        <f aca="false">IF(Inputs!$B$9&lt;=0,1,(T10*Inputs!$B$10+(1-Inputs!$B$10)/MAX(1,Inputs!$B$9)*(T10*(T$6-1)*1+T10*(T10-1)/2)+1-T10)/1)</f>
        <v>1</v>
      </c>
      <c r="U11" s="76" t="n">
        <f aca="false">IF(Inputs!$B$9&lt;=0,1,(U10*Inputs!$B$10+(1-Inputs!$B$10)/MAX(1,Inputs!$B$9)*(U10*(U$6-1)*1+U10*(U10-1)/2)+1-U10)/1)</f>
        <v>1</v>
      </c>
      <c r="V11" s="76" t="n">
        <f aca="false">IF(Inputs!$B$9&lt;=0,1,(V10*Inputs!$B$10+(1-Inputs!$B$10)/MAX(1,Inputs!$B$9)*(V10*(V$6-1)*1+V10*(V10-1)/2)+1-V10)/1)</f>
        <v>1</v>
      </c>
      <c r="W11" s="76" t="n">
        <f aca="false">IF(Inputs!$B$9&lt;=0,1,(W10*Inputs!$B$10+(1-Inputs!$B$10)/MAX(1,Inputs!$B$9)*(W10*(W$6-1)*1+W10*(W10-1)/2)+1-W10)/1)</f>
        <v>1</v>
      </c>
      <c r="X11" s="76" t="n">
        <f aca="false">IF(Inputs!$B$9&lt;=0,1,(X10*Inputs!$B$10+(1-Inputs!$B$10)/MAX(1,Inputs!$B$9)*(X10*(X$6-1)*1+X10*(X10-1)/2)+1-X10)/1)</f>
        <v>1</v>
      </c>
      <c r="Y11" s="76" t="n">
        <f aca="false">IF(Inputs!$B$9&lt;=0,1,(Y10*Inputs!$B$10+(1-Inputs!$B$10)/MAX(1,Inputs!$B$9)*(Y10*(Y$6-1)*1+Y10*(Y10-1)/2)+1-Y10)/1)</f>
        <v>1</v>
      </c>
      <c r="Z11" s="76" t="n">
        <f aca="false">IF(Inputs!$B$9&lt;=0,1,(Z10*Inputs!$B$10+(1-Inputs!$B$10)/MAX(1,Inputs!$B$9)*(Z10*(Z$6-1)*1+Z10*(Z10-1)/2)+1-Z10)/1)</f>
        <v>1</v>
      </c>
      <c r="AA11" s="76" t="n">
        <f aca="false">IF(Inputs!$B$9&lt;=0,1,(AA10*Inputs!$B$10+(1-Inputs!$B$10)/MAX(1,Inputs!$B$9)*(AA10*(AA$6-1)*1+AA10*(AA10-1)/2)+1-AA10)/1)</f>
        <v>1</v>
      </c>
      <c r="AB11" s="76" t="n">
        <f aca="false">IF(Inputs!$B$9&lt;=0,1,(AB10*Inputs!$B$10+(1-Inputs!$B$10)/MAX(1,Inputs!$B$9)*(AB10*(AB$6-1)*1+AB10*(AB10-1)/2)+1-AB10)/1)</f>
        <v>1</v>
      </c>
      <c r="AC11" s="76" t="n">
        <f aca="false">IF(Inputs!$B$9&lt;=0,1,(AC10*Inputs!$B$10+(1-Inputs!$B$10)/MAX(1,Inputs!$B$9)*(AC10*(AC$6-1)*1+AC10*(AC10-1)/2)+1-AC10)/1)</f>
        <v>1</v>
      </c>
      <c r="AD11" s="76" t="n">
        <f aca="false">IF(Inputs!$B$9&lt;=0,1,(AD10*Inputs!$B$10+(1-Inputs!$B$10)/MAX(1,Inputs!$B$9)*(AD10*(AD$6-1)*1+AD10*(AD10-1)/2)+1-AD10)/1)</f>
        <v>1</v>
      </c>
      <c r="AE11" s="76" t="n">
        <f aca="false">IF(Inputs!$B$9&lt;=0,1,(AE10*Inputs!$B$10+(1-Inputs!$B$10)/MAX(1,Inputs!$B$9)*(AE10*(AE$6-1)*1+AE10*(AE10-1)/2)+1-AE10)/1)</f>
        <v>1</v>
      </c>
      <c r="AF11" s="76" t="n">
        <f aca="false">IF(Inputs!$B$9&lt;=0,1,(AF10*Inputs!$B$10+(1-Inputs!$B$10)/MAX(1,Inputs!$B$9)*(AF10*(AF$6-1)*1+AF10*(AF10-1)/2)+1-AF10)/1)</f>
        <v>1</v>
      </c>
      <c r="AG11" s="76" t="n">
        <f aca="false">IF(Inputs!$B$9&lt;=0,1,(AG10*Inputs!$B$10+(1-Inputs!$B$10)/MAX(1,Inputs!$B$9)*(AG10*(AG$6-1)*1+AG10*(AG10-1)/2)+1-AG10)/1)</f>
        <v>1</v>
      </c>
      <c r="AH11" s="76" t="n">
        <f aca="false">IF(Inputs!$B$9&lt;=0,1,(AH10*Inputs!$B$10+(1-Inputs!$B$10)/MAX(1,Inputs!$B$9)*(AH10*(AH$6-1)*1+AH10*(AH10-1)/2)+1-AH10)/1)</f>
        <v>1</v>
      </c>
      <c r="AI11" s="76" t="n">
        <f aca="false">IF(Inputs!$B$9&lt;=0,1,(AI10*Inputs!$B$10+(1-Inputs!$B$10)/MAX(1,Inputs!$B$9)*(AI10*(AI$6-1)*1+AI10*(AI10-1)/2)+1-AI10)/1)</f>
        <v>1</v>
      </c>
      <c r="AJ11" s="76" t="n">
        <f aca="false">IF(Inputs!$B$9&lt;=0,1,(AJ10*Inputs!$B$10+(1-Inputs!$B$10)/MAX(1,Inputs!$B$9)*(AJ10*(AJ$6-1)*1+AJ10*(AJ10-1)/2)+1-AJ10)/1)</f>
        <v>1</v>
      </c>
      <c r="AK11" s="76" t="n">
        <f aca="false">IF(Inputs!$B$9&lt;=0,1,(AK10*Inputs!$B$10+(1-Inputs!$B$10)/MAX(1,Inputs!$B$9)*(AK10*(AK$6-1)*1+AK10*(AK10-1)/2)+1-AK10)/1)</f>
        <v>1</v>
      </c>
      <c r="AL11" s="76" t="n">
        <f aca="false">IF(Inputs!$B$9&lt;=0,1,(AL10*Inputs!$B$10+(1-Inputs!$B$10)/MAX(1,Inputs!$B$9)*(AL10*(AL$6-1)*1+AL10*(AL10-1)/2)+1-AL10)/1)</f>
        <v>1</v>
      </c>
      <c r="AM11" s="76" t="n">
        <f aca="false">IF(Inputs!$B$9&lt;=0,1,(AM10*Inputs!$B$10+(1-Inputs!$B$10)/MAX(1,Inputs!$B$9)*(AM10*(AM$6-1)*1+AM10*(AM10-1)/2)+1-AM10)/1)</f>
        <v>1</v>
      </c>
      <c r="AN11" s="76" t="n">
        <f aca="false">IF(Inputs!$B$9&lt;=0,1,(AN10*Inputs!$B$10+(1-Inputs!$B$10)/MAX(1,Inputs!$B$9)*(AN10*(AN$6-1)*1+AN10*(AN10-1)/2)+1-AN10)/1)</f>
        <v>1</v>
      </c>
      <c r="AO11" s="76" t="n">
        <f aca="false">IF(Inputs!$B$9&lt;=0,1,(AO10*Inputs!$B$10+(1-Inputs!$B$10)/MAX(1,Inputs!$B$9)*(AO10*(AO$6-1)*1+AO10*(AO10-1)/2)+1-AO10)/1)</f>
        <v>1</v>
      </c>
      <c r="AP11" s="76" t="n">
        <f aca="false">IF(Inputs!$B$9&lt;=0,1,(AP10*Inputs!$B$10+(1-Inputs!$B$10)/MAX(1,Inputs!$B$9)*(AP10*(AP$6-1)*1+AP10*(AP10-1)/2)+1-AP10)/1)</f>
        <v>1</v>
      </c>
      <c r="AQ11" s="76" t="n">
        <f aca="false">IF(Inputs!$B$9&lt;=0,1,(AQ10*Inputs!$B$10+(1-Inputs!$B$10)/MAX(1,Inputs!$B$9)*(AQ10*(AQ$6-1)*1+AQ10*(AQ10-1)/2)+1-AQ10)/1)</f>
        <v>1</v>
      </c>
      <c r="AR11" s="76" t="n">
        <f aca="false">IF(Inputs!$B$9&lt;=0,1,(AR10*Inputs!$B$10+(1-Inputs!$B$10)/MAX(1,Inputs!$B$9)*(AR10*(AR$6-1)*1+AR10*(AR10-1)/2)+1-AR10)/1)</f>
        <v>1</v>
      </c>
      <c r="AS11" s="76" t="n">
        <f aca="false">IF(Inputs!$B$9&lt;=0,1,(AS10*Inputs!$B$10+(1-Inputs!$B$10)/MAX(1,Inputs!$B$9)*(AS10*(AS$6-1)*1+AS10*(AS10-1)/2)+1-AS10)/1)</f>
        <v>1</v>
      </c>
      <c r="AT11" s="76" t="n">
        <f aca="false">IF(Inputs!$B$9&lt;=0,1,(AT10*Inputs!$B$10+(1-Inputs!$B$10)/MAX(1,Inputs!$B$9)*(AT10*(AT$6-1)*1+AT10*(AT10-1)/2)+1-AT10)/1)</f>
        <v>1</v>
      </c>
      <c r="AU11" s="76" t="n">
        <f aca="false">IF(Inputs!$B$9&lt;=0,1,(AU10*Inputs!$B$10+(1-Inputs!$B$10)/MAX(1,Inputs!$B$9)*(AU10*(AU$6-1)*1+AU10*(AU10-1)/2)+1-AU10)/1)</f>
        <v>1</v>
      </c>
      <c r="AV11" s="76" t="n">
        <f aca="false">IF(Inputs!$B$9&lt;=0,1,(AV10*Inputs!$B$10+(1-Inputs!$B$10)/MAX(1,Inputs!$B$9)*(AV10*(AV$6-1)*1+AV10*(AV10-1)/2)+1-AV10)/1)</f>
        <v>1</v>
      </c>
      <c r="AW11" s="76" t="n">
        <f aca="false">IF(Inputs!$B$9&lt;=0,1,(AW10*Inputs!$B$10+(1-Inputs!$B$10)/MAX(1,Inputs!$B$9)*(AW10*(AW$6-1)*1+AW10*(AW10-1)/2)+1-AW10)/1)</f>
        <v>1</v>
      </c>
      <c r="AX11" s="76" t="n">
        <f aca="false">IF(Inputs!$B$9&lt;=0,1,(AX10*Inputs!$B$10+(1-Inputs!$B$10)/MAX(1,Inputs!$B$9)*(AX10*(AX$6-1)*1+AX10*(AX10-1)/2)+1-AX10)/1)</f>
        <v>1</v>
      </c>
      <c r="AY11" s="76" t="n">
        <f aca="false">IF(Inputs!$B$9&lt;=0,1,(AY10*Inputs!$B$10+(1-Inputs!$B$10)/MAX(1,Inputs!$B$9)*(AY10*(AY$6-1)*1+AY10*(AY10-1)/2)+1-AY10)/1)</f>
        <v>1</v>
      </c>
      <c r="AZ11" s="76" t="n">
        <f aca="false">IF(Inputs!$B$9&lt;=0,1,(AZ10*Inputs!$B$10+(1-Inputs!$B$10)/MAX(1,Inputs!$B$9)*(AZ10*(AZ$6-1)*1+AZ10*(AZ10-1)/2)+1-AZ10)/1)</f>
        <v>1</v>
      </c>
      <c r="BA11" s="76" t="n">
        <f aca="false">IF(Inputs!$B$9&lt;=0,1,(BA10*Inputs!$B$10+(1-Inputs!$B$10)/MAX(1,Inputs!$B$9)*(BA10*(BA$6-1)*1+BA10*(BA10-1)/2)+1-BA10)/1)</f>
        <v>1</v>
      </c>
      <c r="BB11" s="76" t="n">
        <f aca="false">IF(Inputs!$B$9&lt;=0,1,(BB10*Inputs!$B$10+(1-Inputs!$B$10)/MAX(1,Inputs!$B$9)*(BB10*(BB$6-1)*1+BB10*(BB10-1)/2)+1-BB10)/1)</f>
        <v>1</v>
      </c>
      <c r="BC11" s="76" t="n">
        <f aca="false">IF(Inputs!$B$9&lt;=0,1,(BC10*Inputs!$B$10+(1-Inputs!$B$10)/MAX(1,Inputs!$B$9)*(BC10*(BC$6-1)*1+BC10*(BC10-1)/2)+1-BC10)/1)</f>
        <v>1</v>
      </c>
      <c r="BD11" s="76" t="n">
        <f aca="false">IF(Inputs!$B$9&lt;=0,1,(BD10*Inputs!$B$10+(1-Inputs!$B$10)/MAX(1,Inputs!$B$9)*(BD10*(BD$6-1)*1+BD10*(BD10-1)/2)+1-BD10)/1)</f>
        <v>1</v>
      </c>
      <c r="BE11" s="76" t="n">
        <f aca="false">IF(Inputs!$B$9&lt;=0,1,(BE10*Inputs!$B$10+(1-Inputs!$B$10)/MAX(1,Inputs!$B$9)*(BE10*(BE$6-1)*1+BE10*(BE10-1)/2)+1-BE10)/1)</f>
        <v>1</v>
      </c>
      <c r="BF11" s="76" t="n">
        <f aca="false">IF(Inputs!$B$9&lt;=0,1,(BF10*Inputs!$B$10+(1-Inputs!$B$10)/MAX(1,Inputs!$B$9)*(BF10*(BF$6-1)*1+BF10*(BF10-1)/2)+1-BF10)/1)</f>
        <v>1</v>
      </c>
      <c r="BG11" s="76" t="n">
        <f aca="false">IF(Inputs!$B$9&lt;=0,1,(BG10*Inputs!$B$10+(1-Inputs!$B$10)/MAX(1,Inputs!$B$9)*(BG10*(BG$6-1)*1+BG10*(BG10-1)/2)+1-BG10)/1)</f>
        <v>1</v>
      </c>
      <c r="BH11" s="76" t="n">
        <f aca="false">IF(Inputs!$B$9&lt;=0,1,(BH10*Inputs!$B$10+(1-Inputs!$B$10)/MAX(1,Inputs!$B$9)*(BH10*(BH$6-1)*1+BH10*(BH10-1)/2)+1-BH10)/1)</f>
        <v>1</v>
      </c>
      <c r="BI11" s="76" t="n">
        <f aca="false">IF(Inputs!$B$9&lt;=0,1,(BI10*Inputs!$B$10+(1-Inputs!$B$10)/MAX(1,Inputs!$B$9)*(BI10*(BI$6-1)*1+BI10*(BI10-1)/2)+1-BI10)/1)</f>
        <v>1</v>
      </c>
      <c r="BJ11" s="76" t="n">
        <f aca="false">IF(Inputs!$B$9&lt;=0,1,(BJ10*Inputs!$B$10+(1-Inputs!$B$10)/MAX(1,Inputs!$B$9)*(BJ10*(BJ$6-1)*1+BJ10*(BJ10-1)/2)+1-BJ10)/1)</f>
        <v>1</v>
      </c>
    </row>
    <row r="12" customFormat="false" ht="15" hidden="false" customHeight="false" outlineLevel="0" collapsed="false">
      <c r="A12" s="6" t="s">
        <v>418</v>
      </c>
      <c r="C12" s="79" t="n">
        <f aca="false">IF(OR(MOD(C$6-1,12)&gt;=11,MOD(C$6-1,12)&lt;=1),1-Inputs!$B$11,1+Inputs!$B$11/3)</f>
        <v>0.8</v>
      </c>
      <c r="D12" s="79" t="n">
        <f aca="false">IF(OR(MOD(D$6-1,12)&gt;=11,MOD(D$6-1,12)&lt;=1),1-Inputs!$B$11,1+Inputs!$B$11/3)</f>
        <v>0.8</v>
      </c>
      <c r="E12" s="79" t="n">
        <f aca="false">IF(OR(MOD(E$6-1,12)&gt;=11,MOD(E$6-1,12)&lt;=1),1-Inputs!$B$11,1+Inputs!$B$11/3)</f>
        <v>1.06666666666667</v>
      </c>
      <c r="F12" s="79" t="n">
        <f aca="false">IF(OR(MOD(F$6-1,12)&gt;=11,MOD(F$6-1,12)&lt;=1),1-Inputs!$B$11,1+Inputs!$B$11/3)</f>
        <v>1.06666666666667</v>
      </c>
      <c r="G12" s="79" t="n">
        <f aca="false">IF(OR(MOD(G$6-1,12)&gt;=11,MOD(G$6-1,12)&lt;=1),1-Inputs!$B$11,1+Inputs!$B$11/3)</f>
        <v>1.06666666666667</v>
      </c>
      <c r="H12" s="79" t="n">
        <f aca="false">IF(OR(MOD(H$6-1,12)&gt;=11,MOD(H$6-1,12)&lt;=1),1-Inputs!$B$11,1+Inputs!$B$11/3)</f>
        <v>1.06666666666667</v>
      </c>
      <c r="I12" s="79" t="n">
        <f aca="false">IF(OR(MOD(I$6-1,12)&gt;=11,MOD(I$6-1,12)&lt;=1),1-Inputs!$B$11,1+Inputs!$B$11/3)</f>
        <v>1.06666666666667</v>
      </c>
      <c r="J12" s="79" t="n">
        <f aca="false">IF(OR(MOD(J$6-1,12)&gt;=11,MOD(J$6-1,12)&lt;=1),1-Inputs!$B$11,1+Inputs!$B$11/3)</f>
        <v>1.06666666666667</v>
      </c>
      <c r="K12" s="79" t="n">
        <f aca="false">IF(OR(MOD(K$6-1,12)&gt;=11,MOD(K$6-1,12)&lt;=1),1-Inputs!$B$11,1+Inputs!$B$11/3)</f>
        <v>1.06666666666667</v>
      </c>
      <c r="L12" s="79" t="n">
        <f aca="false">IF(OR(MOD(L$6-1,12)&gt;=11,MOD(L$6-1,12)&lt;=1),1-Inputs!$B$11,1+Inputs!$B$11/3)</f>
        <v>1.06666666666667</v>
      </c>
      <c r="M12" s="79" t="n">
        <f aca="false">IF(OR(MOD(M$6-1,12)&gt;=11,MOD(M$6-1,12)&lt;=1),1-Inputs!$B$11,1+Inputs!$B$11/3)</f>
        <v>1.06666666666667</v>
      </c>
      <c r="N12" s="79" t="n">
        <f aca="false">IF(OR(MOD(N$6-1,12)&gt;=11,MOD(N$6-1,12)&lt;=1),1-Inputs!$B$11,1+Inputs!$B$11/3)</f>
        <v>0.8</v>
      </c>
      <c r="O12" s="79" t="n">
        <f aca="false">IF(OR(MOD(O$6-1,12)&gt;=11,MOD(O$6-1,12)&lt;=1),1-Inputs!$B$11,1+Inputs!$B$11/3)</f>
        <v>0.8</v>
      </c>
      <c r="P12" s="79" t="n">
        <f aca="false">IF(OR(MOD(P$6-1,12)&gt;=11,MOD(P$6-1,12)&lt;=1),1-Inputs!$B$11,1+Inputs!$B$11/3)</f>
        <v>0.8</v>
      </c>
      <c r="Q12" s="79" t="n">
        <f aca="false">IF(OR(MOD(Q$6-1,12)&gt;=11,MOD(Q$6-1,12)&lt;=1),1-Inputs!$B$11,1+Inputs!$B$11/3)</f>
        <v>1.06666666666667</v>
      </c>
      <c r="R12" s="79" t="n">
        <f aca="false">IF(OR(MOD(R$6-1,12)&gt;=11,MOD(R$6-1,12)&lt;=1),1-Inputs!$B$11,1+Inputs!$B$11/3)</f>
        <v>1.06666666666667</v>
      </c>
      <c r="S12" s="79" t="n">
        <f aca="false">IF(OR(MOD(S$6-1,12)&gt;=11,MOD(S$6-1,12)&lt;=1),1-Inputs!$B$11,1+Inputs!$B$11/3)</f>
        <v>1.06666666666667</v>
      </c>
      <c r="T12" s="79" t="n">
        <f aca="false">IF(OR(MOD(T$6-1,12)&gt;=11,MOD(T$6-1,12)&lt;=1),1-Inputs!$B$11,1+Inputs!$B$11/3)</f>
        <v>1.06666666666667</v>
      </c>
      <c r="U12" s="79" t="n">
        <f aca="false">IF(OR(MOD(U$6-1,12)&gt;=11,MOD(U$6-1,12)&lt;=1),1-Inputs!$B$11,1+Inputs!$B$11/3)</f>
        <v>1.06666666666667</v>
      </c>
      <c r="V12" s="79" t="n">
        <f aca="false">IF(OR(MOD(V$6-1,12)&gt;=11,MOD(V$6-1,12)&lt;=1),1-Inputs!$B$11,1+Inputs!$B$11/3)</f>
        <v>1.06666666666667</v>
      </c>
      <c r="W12" s="79" t="n">
        <f aca="false">IF(OR(MOD(W$6-1,12)&gt;=11,MOD(W$6-1,12)&lt;=1),1-Inputs!$B$11,1+Inputs!$B$11/3)</f>
        <v>1.06666666666667</v>
      </c>
      <c r="X12" s="79" t="n">
        <f aca="false">IF(OR(MOD(X$6-1,12)&gt;=11,MOD(X$6-1,12)&lt;=1),1-Inputs!$B$11,1+Inputs!$B$11/3)</f>
        <v>1.06666666666667</v>
      </c>
      <c r="Y12" s="79" t="n">
        <f aca="false">IF(OR(MOD(Y$6-1,12)&gt;=11,MOD(Y$6-1,12)&lt;=1),1-Inputs!$B$11,1+Inputs!$B$11/3)</f>
        <v>1.06666666666667</v>
      </c>
      <c r="Z12" s="79" t="n">
        <f aca="false">IF(OR(MOD(Z$6-1,12)&gt;=11,MOD(Z$6-1,12)&lt;=1),1-Inputs!$B$11,1+Inputs!$B$11/3)</f>
        <v>0.8</v>
      </c>
      <c r="AA12" s="79" t="n">
        <f aca="false">IF(OR(MOD(AA$6-1,12)&gt;=11,MOD(AA$6-1,12)&lt;=1),1-Inputs!$B$11,1+Inputs!$B$11/3)</f>
        <v>0.8</v>
      </c>
      <c r="AB12" s="79" t="n">
        <f aca="false">IF(OR(MOD(AB$6-1,12)&gt;=11,MOD(AB$6-1,12)&lt;=1),1-Inputs!$B$11,1+Inputs!$B$11/3)</f>
        <v>0.8</v>
      </c>
      <c r="AC12" s="79" t="n">
        <f aca="false">IF(OR(MOD(AC$6-1,12)&gt;=11,MOD(AC$6-1,12)&lt;=1),1-Inputs!$B$11,1+Inputs!$B$11/3)</f>
        <v>1.06666666666667</v>
      </c>
      <c r="AD12" s="79" t="n">
        <f aca="false">IF(OR(MOD(AD$6-1,12)&gt;=11,MOD(AD$6-1,12)&lt;=1),1-Inputs!$B$11,1+Inputs!$B$11/3)</f>
        <v>1.06666666666667</v>
      </c>
      <c r="AE12" s="79" t="n">
        <f aca="false">IF(OR(MOD(AE$6-1,12)&gt;=11,MOD(AE$6-1,12)&lt;=1),1-Inputs!$B$11,1+Inputs!$B$11/3)</f>
        <v>1.06666666666667</v>
      </c>
      <c r="AF12" s="79" t="n">
        <f aca="false">IF(OR(MOD(AF$6-1,12)&gt;=11,MOD(AF$6-1,12)&lt;=1),1-Inputs!$B$11,1+Inputs!$B$11/3)</f>
        <v>1.06666666666667</v>
      </c>
      <c r="AG12" s="79" t="n">
        <f aca="false">IF(OR(MOD(AG$6-1,12)&gt;=11,MOD(AG$6-1,12)&lt;=1),1-Inputs!$B$11,1+Inputs!$B$11/3)</f>
        <v>1.06666666666667</v>
      </c>
      <c r="AH12" s="79" t="n">
        <f aca="false">IF(OR(MOD(AH$6-1,12)&gt;=11,MOD(AH$6-1,12)&lt;=1),1-Inputs!$B$11,1+Inputs!$B$11/3)</f>
        <v>1.06666666666667</v>
      </c>
      <c r="AI12" s="79" t="n">
        <f aca="false">IF(OR(MOD(AI$6-1,12)&gt;=11,MOD(AI$6-1,12)&lt;=1),1-Inputs!$B$11,1+Inputs!$B$11/3)</f>
        <v>1.06666666666667</v>
      </c>
      <c r="AJ12" s="79" t="n">
        <f aca="false">IF(OR(MOD(AJ$6-1,12)&gt;=11,MOD(AJ$6-1,12)&lt;=1),1-Inputs!$B$11,1+Inputs!$B$11/3)</f>
        <v>1.06666666666667</v>
      </c>
      <c r="AK12" s="79" t="n">
        <f aca="false">IF(OR(MOD(AK$6-1,12)&gt;=11,MOD(AK$6-1,12)&lt;=1),1-Inputs!$B$11,1+Inputs!$B$11/3)</f>
        <v>1.06666666666667</v>
      </c>
      <c r="AL12" s="79" t="n">
        <f aca="false">IF(OR(MOD(AL$6-1,12)&gt;=11,MOD(AL$6-1,12)&lt;=1),1-Inputs!$B$11,1+Inputs!$B$11/3)</f>
        <v>0.8</v>
      </c>
      <c r="AM12" s="79" t="n">
        <f aca="false">IF(OR(MOD(AM$6-1,12)&gt;=11,MOD(AM$6-1,12)&lt;=1),1-Inputs!$B$11,1+Inputs!$B$11/3)</f>
        <v>0.8</v>
      </c>
      <c r="AN12" s="79" t="n">
        <f aca="false">IF(OR(MOD(AN$6-1,12)&gt;=11,MOD(AN$6-1,12)&lt;=1),1-Inputs!$B$11,1+Inputs!$B$11/3)</f>
        <v>0.8</v>
      </c>
      <c r="AO12" s="79" t="n">
        <f aca="false">IF(OR(MOD(AO$6-1,12)&gt;=11,MOD(AO$6-1,12)&lt;=1),1-Inputs!$B$11,1+Inputs!$B$11/3)</f>
        <v>1.06666666666667</v>
      </c>
      <c r="AP12" s="79" t="n">
        <f aca="false">IF(OR(MOD(AP$6-1,12)&gt;=11,MOD(AP$6-1,12)&lt;=1),1-Inputs!$B$11,1+Inputs!$B$11/3)</f>
        <v>1.06666666666667</v>
      </c>
      <c r="AQ12" s="79" t="n">
        <f aca="false">IF(OR(MOD(AQ$6-1,12)&gt;=11,MOD(AQ$6-1,12)&lt;=1),1-Inputs!$B$11,1+Inputs!$B$11/3)</f>
        <v>1.06666666666667</v>
      </c>
      <c r="AR12" s="79" t="n">
        <f aca="false">IF(OR(MOD(AR$6-1,12)&gt;=11,MOD(AR$6-1,12)&lt;=1),1-Inputs!$B$11,1+Inputs!$B$11/3)</f>
        <v>1.06666666666667</v>
      </c>
      <c r="AS12" s="79" t="n">
        <f aca="false">IF(OR(MOD(AS$6-1,12)&gt;=11,MOD(AS$6-1,12)&lt;=1),1-Inputs!$B$11,1+Inputs!$B$11/3)</f>
        <v>1.06666666666667</v>
      </c>
      <c r="AT12" s="79" t="n">
        <f aca="false">IF(OR(MOD(AT$6-1,12)&gt;=11,MOD(AT$6-1,12)&lt;=1),1-Inputs!$B$11,1+Inputs!$B$11/3)</f>
        <v>1.06666666666667</v>
      </c>
      <c r="AU12" s="79" t="n">
        <f aca="false">IF(OR(MOD(AU$6-1,12)&gt;=11,MOD(AU$6-1,12)&lt;=1),1-Inputs!$B$11,1+Inputs!$B$11/3)</f>
        <v>1.06666666666667</v>
      </c>
      <c r="AV12" s="79" t="n">
        <f aca="false">IF(OR(MOD(AV$6-1,12)&gt;=11,MOD(AV$6-1,12)&lt;=1),1-Inputs!$B$11,1+Inputs!$B$11/3)</f>
        <v>1.06666666666667</v>
      </c>
      <c r="AW12" s="79" t="n">
        <f aca="false">IF(OR(MOD(AW$6-1,12)&gt;=11,MOD(AW$6-1,12)&lt;=1),1-Inputs!$B$11,1+Inputs!$B$11/3)</f>
        <v>1.06666666666667</v>
      </c>
      <c r="AX12" s="79" t="n">
        <f aca="false">IF(OR(MOD(AX$6-1,12)&gt;=11,MOD(AX$6-1,12)&lt;=1),1-Inputs!$B$11,1+Inputs!$B$11/3)</f>
        <v>0.8</v>
      </c>
      <c r="AY12" s="79" t="n">
        <f aca="false">IF(OR(MOD(AY$6-1,12)&gt;=11,MOD(AY$6-1,12)&lt;=1),1-Inputs!$B$11,1+Inputs!$B$11/3)</f>
        <v>0.8</v>
      </c>
      <c r="AZ12" s="79" t="n">
        <f aca="false">IF(OR(MOD(AZ$6-1,12)&gt;=11,MOD(AZ$6-1,12)&lt;=1),1-Inputs!$B$11,1+Inputs!$B$11/3)</f>
        <v>0.8</v>
      </c>
      <c r="BA12" s="79" t="n">
        <f aca="false">IF(OR(MOD(BA$6-1,12)&gt;=11,MOD(BA$6-1,12)&lt;=1),1-Inputs!$B$11,1+Inputs!$B$11/3)</f>
        <v>1.06666666666667</v>
      </c>
      <c r="BB12" s="79" t="n">
        <f aca="false">IF(OR(MOD(BB$6-1,12)&gt;=11,MOD(BB$6-1,12)&lt;=1),1-Inputs!$B$11,1+Inputs!$B$11/3)</f>
        <v>1.06666666666667</v>
      </c>
      <c r="BC12" s="79" t="n">
        <f aca="false">IF(OR(MOD(BC$6-1,12)&gt;=11,MOD(BC$6-1,12)&lt;=1),1-Inputs!$B$11,1+Inputs!$B$11/3)</f>
        <v>1.06666666666667</v>
      </c>
      <c r="BD12" s="79" t="n">
        <f aca="false">IF(OR(MOD(BD$6-1,12)&gt;=11,MOD(BD$6-1,12)&lt;=1),1-Inputs!$B$11,1+Inputs!$B$11/3)</f>
        <v>1.06666666666667</v>
      </c>
      <c r="BE12" s="79" t="n">
        <f aca="false">IF(OR(MOD(BE$6-1,12)&gt;=11,MOD(BE$6-1,12)&lt;=1),1-Inputs!$B$11,1+Inputs!$B$11/3)</f>
        <v>1.06666666666667</v>
      </c>
      <c r="BF12" s="79" t="n">
        <f aca="false">IF(OR(MOD(BF$6-1,12)&gt;=11,MOD(BF$6-1,12)&lt;=1),1-Inputs!$B$11,1+Inputs!$B$11/3)</f>
        <v>1.06666666666667</v>
      </c>
      <c r="BG12" s="79" t="n">
        <f aca="false">IF(OR(MOD(BG$6-1,12)&gt;=11,MOD(BG$6-1,12)&lt;=1),1-Inputs!$B$11,1+Inputs!$B$11/3)</f>
        <v>1.06666666666667</v>
      </c>
      <c r="BH12" s="79" t="n">
        <f aca="false">IF(OR(MOD(BH$6-1,12)&gt;=11,MOD(BH$6-1,12)&lt;=1),1-Inputs!$B$11,1+Inputs!$B$11/3)</f>
        <v>1.06666666666667</v>
      </c>
      <c r="BI12" s="79" t="n">
        <f aca="false">IF(OR(MOD(BI$6-1,12)&gt;=11,MOD(BI$6-1,12)&lt;=1),1-Inputs!$B$11,1+Inputs!$B$11/3)</f>
        <v>1.06666666666667</v>
      </c>
      <c r="BJ12" s="79" t="n">
        <f aca="false">IF(OR(MOD(BJ$6-1,12)&gt;=11,MOD(BJ$6-1,12)&lt;=1),1-Inputs!$B$11,1+Inputs!$B$11/3)</f>
        <v>0.8</v>
      </c>
    </row>
    <row r="13" customFormat="false" ht="15" hidden="false" customHeight="false" outlineLevel="0" collapsed="false">
      <c r="A13" s="6" t="s">
        <v>419</v>
      </c>
      <c r="C13" s="118" t="n">
        <f aca="false">Inputs!$B$7*Inputs!$B$8*1*C11*C12</f>
        <v>1624</v>
      </c>
      <c r="D13" s="118" t="n">
        <f aca="false">Inputs!$B$7*Inputs!$B$8*1*D11*D12</f>
        <v>1875.33333333333</v>
      </c>
      <c r="E13" s="118" t="n">
        <f aca="false">Inputs!$B$7*Inputs!$B$8*1*E11*E12</f>
        <v>2835.55555555556</v>
      </c>
      <c r="F13" s="118" t="n">
        <f aca="false">Inputs!$B$7*Inputs!$B$8*1*F11*F12</f>
        <v>3170.66666666667</v>
      </c>
      <c r="G13" s="118" t="n">
        <f aca="false">Inputs!$B$7*Inputs!$B$8*1*G11*G12</f>
        <v>3505.77777777778</v>
      </c>
      <c r="H13" s="118" t="n">
        <f aca="false">Inputs!$B$7*Inputs!$B$8*1*H11*H12</f>
        <v>3840.88888888889</v>
      </c>
      <c r="I13" s="118" t="n">
        <f aca="false">Inputs!$B$7*Inputs!$B$8*1*I11*I12</f>
        <v>4176</v>
      </c>
      <c r="J13" s="118" t="n">
        <f aca="false">Inputs!$B$7*Inputs!$B$8*1*J11*J12</f>
        <v>4511.11111111111</v>
      </c>
      <c r="K13" s="118" t="n">
        <f aca="false">Inputs!$B$7*Inputs!$B$8*1*K11*K12</f>
        <v>4846.22222222222</v>
      </c>
      <c r="L13" s="118" t="n">
        <f aca="false">Inputs!$B$7*Inputs!$B$8*1*L11*L12</f>
        <v>5181.33333333333</v>
      </c>
      <c r="M13" s="118" t="n">
        <f aca="false">Inputs!$B$7*Inputs!$B$8*1*M11*M12</f>
        <v>5516.44444444444</v>
      </c>
      <c r="N13" s="118" t="n">
        <f aca="false">Inputs!$B$7*Inputs!$B$8*1*N11*N12</f>
        <v>4388.66666666667</v>
      </c>
      <c r="O13" s="118" t="n">
        <f aca="false">Inputs!$B$7*Inputs!$B$8*1*O11*O12</f>
        <v>4640</v>
      </c>
      <c r="P13" s="118" t="n">
        <f aca="false">Inputs!$B$7*Inputs!$B$8*1*P11*P12</f>
        <v>4640</v>
      </c>
      <c r="Q13" s="118" t="n">
        <f aca="false">Inputs!$B$7*Inputs!$B$8*1*Q11*Q12</f>
        <v>6186.66666666667</v>
      </c>
      <c r="R13" s="118" t="n">
        <f aca="false">Inputs!$B$7*Inputs!$B$8*1*R11*R12</f>
        <v>6186.66666666667</v>
      </c>
      <c r="S13" s="118" t="n">
        <f aca="false">Inputs!$B$7*Inputs!$B$8*1*S11*S12</f>
        <v>6186.66666666667</v>
      </c>
      <c r="T13" s="118" t="n">
        <f aca="false">Inputs!$B$7*Inputs!$B$8*1*T11*T12</f>
        <v>6186.66666666667</v>
      </c>
      <c r="U13" s="118" t="n">
        <f aca="false">Inputs!$B$7*Inputs!$B$8*1*U11*U12</f>
        <v>6186.66666666667</v>
      </c>
      <c r="V13" s="118" t="n">
        <f aca="false">Inputs!$B$7*Inputs!$B$8*1*V11*V12</f>
        <v>6186.66666666667</v>
      </c>
      <c r="W13" s="118" t="n">
        <f aca="false">Inputs!$B$7*Inputs!$B$8*1*W11*W12</f>
        <v>6186.66666666667</v>
      </c>
      <c r="X13" s="118" t="n">
        <f aca="false">Inputs!$B$7*Inputs!$B$8*1*X11*X12</f>
        <v>6186.66666666667</v>
      </c>
      <c r="Y13" s="118" t="n">
        <f aca="false">Inputs!$B$7*Inputs!$B$8*1*Y11*Y12</f>
        <v>6186.66666666667</v>
      </c>
      <c r="Z13" s="118" t="n">
        <f aca="false">Inputs!$B$7*Inputs!$B$8*1*Z11*Z12</f>
        <v>4640</v>
      </c>
      <c r="AA13" s="118" t="n">
        <f aca="false">Inputs!$B$7*Inputs!$B$8*1*AA11*AA12</f>
        <v>4640</v>
      </c>
      <c r="AB13" s="118" t="n">
        <f aca="false">Inputs!$B$7*Inputs!$B$8*1*AB11*AB12</f>
        <v>4640</v>
      </c>
      <c r="AC13" s="118" t="n">
        <f aca="false">Inputs!$B$7*Inputs!$B$8*1*AC11*AC12</f>
        <v>6186.66666666667</v>
      </c>
      <c r="AD13" s="118" t="n">
        <f aca="false">Inputs!$B$7*Inputs!$B$8*1*AD11*AD12</f>
        <v>6186.66666666667</v>
      </c>
      <c r="AE13" s="118" t="n">
        <f aca="false">Inputs!$B$7*Inputs!$B$8*1*AE11*AE12</f>
        <v>6186.66666666667</v>
      </c>
      <c r="AF13" s="118" t="n">
        <f aca="false">Inputs!$B$7*Inputs!$B$8*1*AF11*AF12</f>
        <v>6186.66666666667</v>
      </c>
      <c r="AG13" s="118" t="n">
        <f aca="false">Inputs!$B$7*Inputs!$B$8*1*AG11*AG12</f>
        <v>6186.66666666667</v>
      </c>
      <c r="AH13" s="118" t="n">
        <f aca="false">Inputs!$B$7*Inputs!$B$8*1*AH11*AH12</f>
        <v>6186.66666666667</v>
      </c>
      <c r="AI13" s="118" t="n">
        <f aca="false">Inputs!$B$7*Inputs!$B$8*1*AI11*AI12</f>
        <v>6186.66666666667</v>
      </c>
      <c r="AJ13" s="118" t="n">
        <f aca="false">Inputs!$B$7*Inputs!$B$8*1*AJ11*AJ12</f>
        <v>6186.66666666667</v>
      </c>
      <c r="AK13" s="118" t="n">
        <f aca="false">Inputs!$B$7*Inputs!$B$8*1*AK11*AK12</f>
        <v>6186.66666666667</v>
      </c>
      <c r="AL13" s="118" t="n">
        <f aca="false">Inputs!$B$7*Inputs!$B$8*1*AL11*AL12</f>
        <v>4640</v>
      </c>
      <c r="AM13" s="118" t="n">
        <f aca="false">Inputs!$B$7*Inputs!$B$8*1*AM11*AM12</f>
        <v>4640</v>
      </c>
      <c r="AN13" s="118" t="n">
        <f aca="false">Inputs!$B$7*Inputs!$B$8*1*AN11*AN12</f>
        <v>4640</v>
      </c>
      <c r="AO13" s="118" t="n">
        <f aca="false">Inputs!$B$7*Inputs!$B$8*1*AO11*AO12</f>
        <v>6186.66666666667</v>
      </c>
      <c r="AP13" s="118" t="n">
        <f aca="false">Inputs!$B$7*Inputs!$B$8*1*AP11*AP12</f>
        <v>6186.66666666667</v>
      </c>
      <c r="AQ13" s="118" t="n">
        <f aca="false">Inputs!$B$7*Inputs!$B$8*1*AQ11*AQ12</f>
        <v>6186.66666666667</v>
      </c>
      <c r="AR13" s="118" t="n">
        <f aca="false">Inputs!$B$7*Inputs!$B$8*1*AR11*AR12</f>
        <v>6186.66666666667</v>
      </c>
      <c r="AS13" s="118" t="n">
        <f aca="false">Inputs!$B$7*Inputs!$B$8*1*AS11*AS12</f>
        <v>6186.66666666667</v>
      </c>
      <c r="AT13" s="118" t="n">
        <f aca="false">Inputs!$B$7*Inputs!$B$8*1*AT11*AT12</f>
        <v>6186.66666666667</v>
      </c>
      <c r="AU13" s="118" t="n">
        <f aca="false">Inputs!$B$7*Inputs!$B$8*1*AU11*AU12</f>
        <v>6186.66666666667</v>
      </c>
      <c r="AV13" s="118" t="n">
        <f aca="false">Inputs!$B$7*Inputs!$B$8*1*AV11*AV12</f>
        <v>6186.66666666667</v>
      </c>
      <c r="AW13" s="118" t="n">
        <f aca="false">Inputs!$B$7*Inputs!$B$8*1*AW11*AW12</f>
        <v>6186.66666666667</v>
      </c>
      <c r="AX13" s="118" t="n">
        <f aca="false">Inputs!$B$7*Inputs!$B$8*1*AX11*AX12</f>
        <v>4640</v>
      </c>
      <c r="AY13" s="118" t="n">
        <f aca="false">Inputs!$B$7*Inputs!$B$8*1*AY11*AY12</f>
        <v>4640</v>
      </c>
      <c r="AZ13" s="118" t="n">
        <f aca="false">Inputs!$B$7*Inputs!$B$8*1*AZ11*AZ12</f>
        <v>4640</v>
      </c>
      <c r="BA13" s="118" t="n">
        <f aca="false">Inputs!$B$7*Inputs!$B$8*1*BA11*BA12</f>
        <v>6186.66666666667</v>
      </c>
      <c r="BB13" s="118" t="n">
        <f aca="false">Inputs!$B$7*Inputs!$B$8*1*BB11*BB12</f>
        <v>6186.66666666667</v>
      </c>
      <c r="BC13" s="118" t="n">
        <f aca="false">Inputs!$B$7*Inputs!$B$8*1*BC11*BC12</f>
        <v>6186.66666666667</v>
      </c>
      <c r="BD13" s="118" t="n">
        <f aca="false">Inputs!$B$7*Inputs!$B$8*1*BD11*BD12</f>
        <v>6186.66666666667</v>
      </c>
      <c r="BE13" s="118" t="n">
        <f aca="false">Inputs!$B$7*Inputs!$B$8*1*BE11*BE12</f>
        <v>6186.66666666667</v>
      </c>
      <c r="BF13" s="118" t="n">
        <f aca="false">Inputs!$B$7*Inputs!$B$8*1*BF11*BF12</f>
        <v>6186.66666666667</v>
      </c>
      <c r="BG13" s="118" t="n">
        <f aca="false">Inputs!$B$7*Inputs!$B$8*1*BG11*BG12</f>
        <v>6186.66666666667</v>
      </c>
      <c r="BH13" s="118" t="n">
        <f aca="false">Inputs!$B$7*Inputs!$B$8*1*BH11*BH12</f>
        <v>6186.66666666667</v>
      </c>
      <c r="BI13" s="118" t="n">
        <f aca="false">Inputs!$B$7*Inputs!$B$8*1*BI11*BI12</f>
        <v>6186.66666666667</v>
      </c>
      <c r="BJ13" s="118" t="n">
        <f aca="false">Inputs!$B$7*Inputs!$B$8*1*BJ11*BJ12</f>
        <v>4640</v>
      </c>
    </row>
    <row r="15" customFormat="false" ht="15.75" hidden="false" customHeight="true" outlineLevel="0" collapsed="false">
      <c r="A15" s="7" t="s">
        <v>420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customFormat="false" ht="15" hidden="false" customHeight="false" outlineLevel="0" collapsed="false">
      <c r="A16" s="6" t="s">
        <v>421</v>
      </c>
      <c r="C16" s="117" t="n">
        <f aca="false">C13*Inputs!$B$22</f>
        <v>9.744</v>
      </c>
      <c r="D16" s="117" t="n">
        <f aca="false">D13*Inputs!$B$22</f>
        <v>11.252</v>
      </c>
      <c r="E16" s="117" t="n">
        <f aca="false">E13*Inputs!$B$22</f>
        <v>17.0133333333333</v>
      </c>
      <c r="F16" s="117" t="n">
        <f aca="false">F13*Inputs!$B$22</f>
        <v>19.024</v>
      </c>
      <c r="G16" s="117" t="n">
        <f aca="false">G13*Inputs!$B$22</f>
        <v>21.0346666666667</v>
      </c>
      <c r="H16" s="117" t="n">
        <f aca="false">H13*Inputs!$B$22</f>
        <v>23.0453333333333</v>
      </c>
      <c r="I16" s="117" t="n">
        <f aca="false">I13*Inputs!$B$22</f>
        <v>25.056</v>
      </c>
      <c r="J16" s="117" t="n">
        <f aca="false">J13*Inputs!$B$22</f>
        <v>27.0666666666667</v>
      </c>
      <c r="K16" s="117" t="n">
        <f aca="false">K13*Inputs!$B$22</f>
        <v>29.0773333333333</v>
      </c>
      <c r="L16" s="117" t="n">
        <f aca="false">L13*Inputs!$B$22</f>
        <v>31.088</v>
      </c>
      <c r="M16" s="117" t="n">
        <f aca="false">M13*Inputs!$B$22</f>
        <v>33.0986666666667</v>
      </c>
      <c r="N16" s="117" t="n">
        <f aca="false">N13*Inputs!$B$22</f>
        <v>26.332</v>
      </c>
      <c r="O16" s="117" t="n">
        <f aca="false">O13*Inputs!$B$22</f>
        <v>27.84</v>
      </c>
      <c r="P16" s="117" t="n">
        <f aca="false">P13*Inputs!$B$22</f>
        <v>27.84</v>
      </c>
      <c r="Q16" s="117" t="n">
        <f aca="false">Q13*Inputs!$B$22</f>
        <v>37.12</v>
      </c>
      <c r="R16" s="117" t="n">
        <f aca="false">R13*Inputs!$B$22</f>
        <v>37.12</v>
      </c>
      <c r="S16" s="117" t="n">
        <f aca="false">S13*Inputs!$B$22</f>
        <v>37.12</v>
      </c>
      <c r="T16" s="117" t="n">
        <f aca="false">T13*Inputs!$B$22</f>
        <v>37.12</v>
      </c>
      <c r="U16" s="117" t="n">
        <f aca="false">U13*Inputs!$B$22</f>
        <v>37.12</v>
      </c>
      <c r="V16" s="117" t="n">
        <f aca="false">V13*Inputs!$B$22</f>
        <v>37.12</v>
      </c>
      <c r="W16" s="117" t="n">
        <f aca="false">W13*Inputs!$B$22</f>
        <v>37.12</v>
      </c>
      <c r="X16" s="117" t="n">
        <f aca="false">X13*Inputs!$B$22</f>
        <v>37.12</v>
      </c>
      <c r="Y16" s="117" t="n">
        <f aca="false">Y13*Inputs!$B$22</f>
        <v>37.12</v>
      </c>
      <c r="Z16" s="117" t="n">
        <f aca="false">Z13*Inputs!$B$22</f>
        <v>27.84</v>
      </c>
      <c r="AA16" s="117" t="n">
        <f aca="false">AA13*Inputs!$B$22</f>
        <v>27.84</v>
      </c>
      <c r="AB16" s="117" t="n">
        <f aca="false">AB13*Inputs!$B$22</f>
        <v>27.84</v>
      </c>
      <c r="AC16" s="117" t="n">
        <f aca="false">AC13*Inputs!$B$22</f>
        <v>37.12</v>
      </c>
      <c r="AD16" s="117" t="n">
        <f aca="false">AD13*Inputs!$B$22</f>
        <v>37.12</v>
      </c>
      <c r="AE16" s="117" t="n">
        <f aca="false">AE13*Inputs!$B$22</f>
        <v>37.12</v>
      </c>
      <c r="AF16" s="117" t="n">
        <f aca="false">AF13*Inputs!$B$22</f>
        <v>37.12</v>
      </c>
      <c r="AG16" s="117" t="n">
        <f aca="false">AG13*Inputs!$B$22</f>
        <v>37.12</v>
      </c>
      <c r="AH16" s="117" t="n">
        <f aca="false">AH13*Inputs!$B$22</f>
        <v>37.12</v>
      </c>
      <c r="AI16" s="117" t="n">
        <f aca="false">AI13*Inputs!$B$22</f>
        <v>37.12</v>
      </c>
      <c r="AJ16" s="117" t="n">
        <f aca="false">AJ13*Inputs!$B$22</f>
        <v>37.12</v>
      </c>
      <c r="AK16" s="117" t="n">
        <f aca="false">AK13*Inputs!$B$22</f>
        <v>37.12</v>
      </c>
      <c r="AL16" s="117" t="n">
        <f aca="false">AL13*Inputs!$B$22</f>
        <v>27.84</v>
      </c>
      <c r="AM16" s="117" t="n">
        <f aca="false">AM13*Inputs!$B$22</f>
        <v>27.84</v>
      </c>
      <c r="AN16" s="117" t="n">
        <f aca="false">AN13*Inputs!$B$22</f>
        <v>27.84</v>
      </c>
      <c r="AO16" s="117" t="n">
        <f aca="false">AO13*Inputs!$B$22</f>
        <v>37.12</v>
      </c>
      <c r="AP16" s="117" t="n">
        <f aca="false">AP13*Inputs!$B$22</f>
        <v>37.12</v>
      </c>
      <c r="AQ16" s="117" t="n">
        <f aca="false">AQ13*Inputs!$B$22</f>
        <v>37.12</v>
      </c>
      <c r="AR16" s="117" t="n">
        <f aca="false">AR13*Inputs!$B$22</f>
        <v>37.12</v>
      </c>
      <c r="AS16" s="117" t="n">
        <f aca="false">AS13*Inputs!$B$22</f>
        <v>37.12</v>
      </c>
      <c r="AT16" s="117" t="n">
        <f aca="false">AT13*Inputs!$B$22</f>
        <v>37.12</v>
      </c>
      <c r="AU16" s="117" t="n">
        <f aca="false">AU13*Inputs!$B$22</f>
        <v>37.12</v>
      </c>
      <c r="AV16" s="117" t="n">
        <f aca="false">AV13*Inputs!$B$22</f>
        <v>37.12</v>
      </c>
      <c r="AW16" s="117" t="n">
        <f aca="false">AW13*Inputs!$B$22</f>
        <v>37.12</v>
      </c>
      <c r="AX16" s="117" t="n">
        <f aca="false">AX13*Inputs!$B$22</f>
        <v>27.84</v>
      </c>
      <c r="AY16" s="117" t="n">
        <f aca="false">AY13*Inputs!$B$22</f>
        <v>27.84</v>
      </c>
      <c r="AZ16" s="117" t="n">
        <f aca="false">AZ13*Inputs!$B$22</f>
        <v>27.84</v>
      </c>
      <c r="BA16" s="117" t="n">
        <f aca="false">BA13*Inputs!$B$22</f>
        <v>37.12</v>
      </c>
      <c r="BB16" s="117" t="n">
        <f aca="false">BB13*Inputs!$B$22</f>
        <v>37.12</v>
      </c>
      <c r="BC16" s="117" t="n">
        <f aca="false">BC13*Inputs!$B$22</f>
        <v>37.12</v>
      </c>
      <c r="BD16" s="117" t="n">
        <f aca="false">BD13*Inputs!$B$22</f>
        <v>37.12</v>
      </c>
      <c r="BE16" s="117" t="n">
        <f aca="false">BE13*Inputs!$B$22</f>
        <v>37.12</v>
      </c>
      <c r="BF16" s="117" t="n">
        <f aca="false">BF13*Inputs!$B$22</f>
        <v>37.12</v>
      </c>
      <c r="BG16" s="117" t="n">
        <f aca="false">BG13*Inputs!$B$22</f>
        <v>37.12</v>
      </c>
      <c r="BH16" s="117" t="n">
        <f aca="false">BH13*Inputs!$B$22</f>
        <v>37.12</v>
      </c>
      <c r="BI16" s="117" t="n">
        <f aca="false">BI13*Inputs!$B$22</f>
        <v>37.12</v>
      </c>
      <c r="BJ16" s="117" t="n">
        <f aca="false">BJ13*Inputs!$B$22</f>
        <v>27.84</v>
      </c>
    </row>
    <row r="17" customFormat="false" ht="15" hidden="false" customHeight="false" outlineLevel="0" collapsed="false">
      <c r="A17" s="6" t="s">
        <v>422</v>
      </c>
      <c r="C17" s="117" t="n">
        <f aca="false">Inputs!$B$20*(1+Inputs!$B$21)^(C$7-1)*1*C11</f>
        <v>14</v>
      </c>
      <c r="D17" s="117" t="n">
        <f aca="false">Inputs!$B$20*(1+Inputs!$B$21)^(D$7-1)*1*D11</f>
        <v>16.1666666666667</v>
      </c>
      <c r="E17" s="117" t="n">
        <f aca="false">Inputs!$B$20*(1+Inputs!$B$21)^(E$7-1)*1*E11</f>
        <v>18.3333333333333</v>
      </c>
      <c r="F17" s="117" t="n">
        <f aca="false">Inputs!$B$20*(1+Inputs!$B$21)^(F$7-1)*1*F11</f>
        <v>20.5</v>
      </c>
      <c r="G17" s="117" t="n">
        <f aca="false">Inputs!$B$20*(1+Inputs!$B$21)^(G$7-1)*1*G11</f>
        <v>22.6666666666667</v>
      </c>
      <c r="H17" s="117" t="n">
        <f aca="false">Inputs!$B$20*(1+Inputs!$B$21)^(H$7-1)*1*H11</f>
        <v>24.8333333333333</v>
      </c>
      <c r="I17" s="117" t="n">
        <f aca="false">Inputs!$B$20*(1+Inputs!$B$21)^(I$7-1)*1*I11</f>
        <v>27</v>
      </c>
      <c r="J17" s="117" t="n">
        <f aca="false">Inputs!$B$20*(1+Inputs!$B$21)^(J$7-1)*1*J11</f>
        <v>29.1666666666667</v>
      </c>
      <c r="K17" s="117" t="n">
        <f aca="false">Inputs!$B$20*(1+Inputs!$B$21)^(K$7-1)*1*K11</f>
        <v>31.3333333333333</v>
      </c>
      <c r="L17" s="117" t="n">
        <f aca="false">Inputs!$B$20*(1+Inputs!$B$21)^(L$7-1)*1*L11</f>
        <v>33.5</v>
      </c>
      <c r="M17" s="117" t="n">
        <f aca="false">Inputs!$B$20*(1+Inputs!$B$21)^(M$7-1)*1*M11</f>
        <v>35.6666666666667</v>
      </c>
      <c r="N17" s="117" t="n">
        <f aca="false">Inputs!$B$20*(1+Inputs!$B$21)^(N$7-1)*1*N11</f>
        <v>37.8333333333333</v>
      </c>
      <c r="O17" s="117" t="n">
        <f aca="false">Inputs!$B$20*(1+Inputs!$B$21)^(O$7-1)*1*O11</f>
        <v>40</v>
      </c>
      <c r="P17" s="117" t="n">
        <f aca="false">Inputs!$B$20*(1+Inputs!$B$21)^(P$7-1)*1*P11</f>
        <v>40</v>
      </c>
      <c r="Q17" s="117" t="n">
        <f aca="false">Inputs!$B$20*(1+Inputs!$B$21)^(Q$7-1)*1*Q11</f>
        <v>40</v>
      </c>
      <c r="R17" s="117" t="n">
        <f aca="false">Inputs!$B$20*(1+Inputs!$B$21)^(R$7-1)*1*R11</f>
        <v>40</v>
      </c>
      <c r="S17" s="117" t="n">
        <f aca="false">Inputs!$B$20*(1+Inputs!$B$21)^(S$7-1)*1*S11</f>
        <v>40</v>
      </c>
      <c r="T17" s="117" t="n">
        <f aca="false">Inputs!$B$20*(1+Inputs!$B$21)^(T$7-1)*1*T11</f>
        <v>40</v>
      </c>
      <c r="U17" s="117" t="n">
        <f aca="false">Inputs!$B$20*(1+Inputs!$B$21)^(U$7-1)*1*U11</f>
        <v>40</v>
      </c>
      <c r="V17" s="117" t="n">
        <f aca="false">Inputs!$B$20*(1+Inputs!$B$21)^(V$7-1)*1*V11</f>
        <v>40</v>
      </c>
      <c r="W17" s="117" t="n">
        <f aca="false">Inputs!$B$20*(1+Inputs!$B$21)^(W$7-1)*1*W11</f>
        <v>40</v>
      </c>
      <c r="X17" s="117" t="n">
        <f aca="false">Inputs!$B$20*(1+Inputs!$B$21)^(X$7-1)*1*X11</f>
        <v>40</v>
      </c>
      <c r="Y17" s="117" t="n">
        <f aca="false">Inputs!$B$20*(1+Inputs!$B$21)^(Y$7-1)*1*Y11</f>
        <v>40</v>
      </c>
      <c r="Z17" s="117" t="n">
        <f aca="false">Inputs!$B$20*(1+Inputs!$B$21)^(Z$7-1)*1*Z11</f>
        <v>40</v>
      </c>
      <c r="AA17" s="117" t="n">
        <f aca="false">Inputs!$B$20*(1+Inputs!$B$21)^(AA$7-1)*1*AA11</f>
        <v>40</v>
      </c>
      <c r="AB17" s="117" t="n">
        <f aca="false">Inputs!$B$20*(1+Inputs!$B$21)^(AB$7-1)*1*AB11</f>
        <v>40</v>
      </c>
      <c r="AC17" s="117" t="n">
        <f aca="false">Inputs!$B$20*(1+Inputs!$B$21)^(AC$7-1)*1*AC11</f>
        <v>40</v>
      </c>
      <c r="AD17" s="117" t="n">
        <f aca="false">Inputs!$B$20*(1+Inputs!$B$21)^(AD$7-1)*1*AD11</f>
        <v>40</v>
      </c>
      <c r="AE17" s="117" t="n">
        <f aca="false">Inputs!$B$20*(1+Inputs!$B$21)^(AE$7-1)*1*AE11</f>
        <v>40</v>
      </c>
      <c r="AF17" s="117" t="n">
        <f aca="false">Inputs!$B$20*(1+Inputs!$B$21)^(AF$7-1)*1*AF11</f>
        <v>40</v>
      </c>
      <c r="AG17" s="117" t="n">
        <f aca="false">Inputs!$B$20*(1+Inputs!$B$21)^(AG$7-1)*1*AG11</f>
        <v>40</v>
      </c>
      <c r="AH17" s="117" t="n">
        <f aca="false">Inputs!$B$20*(1+Inputs!$B$21)^(AH$7-1)*1*AH11</f>
        <v>40</v>
      </c>
      <c r="AI17" s="117" t="n">
        <f aca="false">Inputs!$B$20*(1+Inputs!$B$21)^(AI$7-1)*1*AI11</f>
        <v>40</v>
      </c>
      <c r="AJ17" s="117" t="n">
        <f aca="false">Inputs!$B$20*(1+Inputs!$B$21)^(AJ$7-1)*1*AJ11</f>
        <v>40</v>
      </c>
      <c r="AK17" s="117" t="n">
        <f aca="false">Inputs!$B$20*(1+Inputs!$B$21)^(AK$7-1)*1*AK11</f>
        <v>40</v>
      </c>
      <c r="AL17" s="117" t="n">
        <f aca="false">Inputs!$B$20*(1+Inputs!$B$21)^(AL$7-1)*1*AL11</f>
        <v>40</v>
      </c>
      <c r="AM17" s="117" t="n">
        <f aca="false">Inputs!$B$20*(1+Inputs!$B$21)^(AM$7-1)*1*AM11</f>
        <v>40</v>
      </c>
      <c r="AN17" s="117" t="n">
        <f aca="false">Inputs!$B$20*(1+Inputs!$B$21)^(AN$7-1)*1*AN11</f>
        <v>40</v>
      </c>
      <c r="AO17" s="117" t="n">
        <f aca="false">Inputs!$B$20*(1+Inputs!$B$21)^(AO$7-1)*1*AO11</f>
        <v>40</v>
      </c>
      <c r="AP17" s="117" t="n">
        <f aca="false">Inputs!$B$20*(1+Inputs!$B$21)^(AP$7-1)*1*AP11</f>
        <v>40</v>
      </c>
      <c r="AQ17" s="117" t="n">
        <f aca="false">Inputs!$B$20*(1+Inputs!$B$21)^(AQ$7-1)*1*AQ11</f>
        <v>40</v>
      </c>
      <c r="AR17" s="117" t="n">
        <f aca="false">Inputs!$B$20*(1+Inputs!$B$21)^(AR$7-1)*1*AR11</f>
        <v>40</v>
      </c>
      <c r="AS17" s="117" t="n">
        <f aca="false">Inputs!$B$20*(1+Inputs!$B$21)^(AS$7-1)*1*AS11</f>
        <v>40</v>
      </c>
      <c r="AT17" s="117" t="n">
        <f aca="false">Inputs!$B$20*(1+Inputs!$B$21)^(AT$7-1)*1*AT11</f>
        <v>40</v>
      </c>
      <c r="AU17" s="117" t="n">
        <f aca="false">Inputs!$B$20*(1+Inputs!$B$21)^(AU$7-1)*1*AU11</f>
        <v>40</v>
      </c>
      <c r="AV17" s="117" t="n">
        <f aca="false">Inputs!$B$20*(1+Inputs!$B$21)^(AV$7-1)*1*AV11</f>
        <v>40</v>
      </c>
      <c r="AW17" s="117" t="n">
        <f aca="false">Inputs!$B$20*(1+Inputs!$B$21)^(AW$7-1)*1*AW11</f>
        <v>40</v>
      </c>
      <c r="AX17" s="117" t="n">
        <f aca="false">Inputs!$B$20*(1+Inputs!$B$21)^(AX$7-1)*1*AX11</f>
        <v>40</v>
      </c>
      <c r="AY17" s="117" t="n">
        <f aca="false">Inputs!$B$20*(1+Inputs!$B$21)^(AY$7-1)*1*AY11</f>
        <v>40</v>
      </c>
      <c r="AZ17" s="117" t="n">
        <f aca="false">Inputs!$B$20*(1+Inputs!$B$21)^(AZ$7-1)*1*AZ11</f>
        <v>40</v>
      </c>
      <c r="BA17" s="117" t="n">
        <f aca="false">Inputs!$B$20*(1+Inputs!$B$21)^(BA$7-1)*1*BA11</f>
        <v>40</v>
      </c>
      <c r="BB17" s="117" t="n">
        <f aca="false">Inputs!$B$20*(1+Inputs!$B$21)^(BB$7-1)*1*BB11</f>
        <v>40</v>
      </c>
      <c r="BC17" s="117" t="n">
        <f aca="false">Inputs!$B$20*(1+Inputs!$B$21)^(BC$7-1)*1*BC11</f>
        <v>40</v>
      </c>
      <c r="BD17" s="117" t="n">
        <f aca="false">Inputs!$B$20*(1+Inputs!$B$21)^(BD$7-1)*1*BD11</f>
        <v>40</v>
      </c>
      <c r="BE17" s="117" t="n">
        <f aca="false">Inputs!$B$20*(1+Inputs!$B$21)^(BE$7-1)*1*BE11</f>
        <v>40</v>
      </c>
      <c r="BF17" s="117" t="n">
        <f aca="false">Inputs!$B$20*(1+Inputs!$B$21)^(BF$7-1)*1*BF11</f>
        <v>40</v>
      </c>
      <c r="BG17" s="117" t="n">
        <f aca="false">Inputs!$B$20*(1+Inputs!$B$21)^(BG$7-1)*1*BG11</f>
        <v>40</v>
      </c>
      <c r="BH17" s="117" t="n">
        <f aca="false">Inputs!$B$20*(1+Inputs!$B$21)^(BH$7-1)*1*BH11</f>
        <v>40</v>
      </c>
      <c r="BI17" s="117" t="n">
        <f aca="false">Inputs!$B$20*(1+Inputs!$B$21)^(BI$7-1)*1*BI11</f>
        <v>40</v>
      </c>
      <c r="BJ17" s="117" t="n">
        <f aca="false">Inputs!$B$20*(1+Inputs!$B$21)^(BJ$7-1)*1*BJ11</f>
        <v>40</v>
      </c>
    </row>
    <row r="18" customFormat="false" ht="15" hidden="false" customHeight="false" outlineLevel="0" collapsed="false">
      <c r="A18" s="4" t="s">
        <v>423</v>
      </c>
      <c r="C18" s="119" t="n">
        <f aca="false">C16+C17</f>
        <v>23.744</v>
      </c>
      <c r="D18" s="119" t="n">
        <f aca="false">D16+D17</f>
        <v>27.4186666666667</v>
      </c>
      <c r="E18" s="119" t="n">
        <f aca="false">E16+E17</f>
        <v>35.3466666666667</v>
      </c>
      <c r="F18" s="119" t="n">
        <f aca="false">F16+F17</f>
        <v>39.524</v>
      </c>
      <c r="G18" s="119" t="n">
        <f aca="false">G16+G17</f>
        <v>43.7013333333333</v>
      </c>
      <c r="H18" s="119" t="n">
        <f aca="false">H16+H17</f>
        <v>47.8786666666667</v>
      </c>
      <c r="I18" s="119" t="n">
        <f aca="false">I16+I17</f>
        <v>52.056</v>
      </c>
      <c r="J18" s="119" t="n">
        <f aca="false">J16+J17</f>
        <v>56.2333333333333</v>
      </c>
      <c r="K18" s="119" t="n">
        <f aca="false">K16+K17</f>
        <v>60.4106666666667</v>
      </c>
      <c r="L18" s="119" t="n">
        <f aca="false">L16+L17</f>
        <v>64.588</v>
      </c>
      <c r="M18" s="119" t="n">
        <f aca="false">M16+M17</f>
        <v>68.7653333333333</v>
      </c>
      <c r="N18" s="119" t="n">
        <f aca="false">N16+N17</f>
        <v>64.1653333333333</v>
      </c>
      <c r="O18" s="119" t="n">
        <f aca="false">O16+O17</f>
        <v>67.84</v>
      </c>
      <c r="P18" s="119" t="n">
        <f aca="false">P16+P17</f>
        <v>67.84</v>
      </c>
      <c r="Q18" s="119" t="n">
        <f aca="false">Q16+Q17</f>
        <v>77.12</v>
      </c>
      <c r="R18" s="119" t="n">
        <f aca="false">R16+R17</f>
        <v>77.12</v>
      </c>
      <c r="S18" s="119" t="n">
        <f aca="false">S16+S17</f>
        <v>77.12</v>
      </c>
      <c r="T18" s="119" t="n">
        <f aca="false">T16+T17</f>
        <v>77.12</v>
      </c>
      <c r="U18" s="119" t="n">
        <f aca="false">U16+U17</f>
        <v>77.12</v>
      </c>
      <c r="V18" s="119" t="n">
        <f aca="false">V16+V17</f>
        <v>77.12</v>
      </c>
      <c r="W18" s="119" t="n">
        <f aca="false">W16+W17</f>
        <v>77.12</v>
      </c>
      <c r="X18" s="119" t="n">
        <f aca="false">X16+X17</f>
        <v>77.12</v>
      </c>
      <c r="Y18" s="119" t="n">
        <f aca="false">Y16+Y17</f>
        <v>77.12</v>
      </c>
      <c r="Z18" s="119" t="n">
        <f aca="false">Z16+Z17</f>
        <v>67.84</v>
      </c>
      <c r="AA18" s="119" t="n">
        <f aca="false">AA16+AA17</f>
        <v>67.84</v>
      </c>
      <c r="AB18" s="119" t="n">
        <f aca="false">AB16+AB17</f>
        <v>67.84</v>
      </c>
      <c r="AC18" s="119" t="n">
        <f aca="false">AC16+AC17</f>
        <v>77.12</v>
      </c>
      <c r="AD18" s="119" t="n">
        <f aca="false">AD16+AD17</f>
        <v>77.12</v>
      </c>
      <c r="AE18" s="119" t="n">
        <f aca="false">AE16+AE17</f>
        <v>77.12</v>
      </c>
      <c r="AF18" s="119" t="n">
        <f aca="false">AF16+AF17</f>
        <v>77.12</v>
      </c>
      <c r="AG18" s="119" t="n">
        <f aca="false">AG16+AG17</f>
        <v>77.12</v>
      </c>
      <c r="AH18" s="119" t="n">
        <f aca="false">AH16+AH17</f>
        <v>77.12</v>
      </c>
      <c r="AI18" s="119" t="n">
        <f aca="false">AI16+AI17</f>
        <v>77.12</v>
      </c>
      <c r="AJ18" s="119" t="n">
        <f aca="false">AJ16+AJ17</f>
        <v>77.12</v>
      </c>
      <c r="AK18" s="119" t="n">
        <f aca="false">AK16+AK17</f>
        <v>77.12</v>
      </c>
      <c r="AL18" s="119" t="n">
        <f aca="false">AL16+AL17</f>
        <v>67.84</v>
      </c>
      <c r="AM18" s="119" t="n">
        <f aca="false">AM16+AM17</f>
        <v>67.84</v>
      </c>
      <c r="AN18" s="119" t="n">
        <f aca="false">AN16+AN17</f>
        <v>67.84</v>
      </c>
      <c r="AO18" s="119" t="n">
        <f aca="false">AO16+AO17</f>
        <v>77.12</v>
      </c>
      <c r="AP18" s="119" t="n">
        <f aca="false">AP16+AP17</f>
        <v>77.12</v>
      </c>
      <c r="AQ18" s="119" t="n">
        <f aca="false">AQ16+AQ17</f>
        <v>77.12</v>
      </c>
      <c r="AR18" s="119" t="n">
        <f aca="false">AR16+AR17</f>
        <v>77.12</v>
      </c>
      <c r="AS18" s="119" t="n">
        <f aca="false">AS16+AS17</f>
        <v>77.12</v>
      </c>
      <c r="AT18" s="119" t="n">
        <f aca="false">AT16+AT17</f>
        <v>77.12</v>
      </c>
      <c r="AU18" s="119" t="n">
        <f aca="false">AU16+AU17</f>
        <v>77.12</v>
      </c>
      <c r="AV18" s="119" t="n">
        <f aca="false">AV16+AV17</f>
        <v>77.12</v>
      </c>
      <c r="AW18" s="119" t="n">
        <f aca="false">AW16+AW17</f>
        <v>77.12</v>
      </c>
      <c r="AX18" s="119" t="n">
        <f aca="false">AX16+AX17</f>
        <v>67.84</v>
      </c>
      <c r="AY18" s="119" t="n">
        <f aca="false">AY16+AY17</f>
        <v>67.84</v>
      </c>
      <c r="AZ18" s="119" t="n">
        <f aca="false">AZ16+AZ17</f>
        <v>67.84</v>
      </c>
      <c r="BA18" s="119" t="n">
        <f aca="false">BA16+BA17</f>
        <v>77.12</v>
      </c>
      <c r="BB18" s="119" t="n">
        <f aca="false">BB16+BB17</f>
        <v>77.12</v>
      </c>
      <c r="BC18" s="119" t="n">
        <f aca="false">BC16+BC17</f>
        <v>77.12</v>
      </c>
      <c r="BD18" s="119" t="n">
        <f aca="false">BD16+BD17</f>
        <v>77.12</v>
      </c>
      <c r="BE18" s="119" t="n">
        <f aca="false">BE16+BE17</f>
        <v>77.12</v>
      </c>
      <c r="BF18" s="119" t="n">
        <f aca="false">BF16+BF17</f>
        <v>77.12</v>
      </c>
      <c r="BG18" s="119" t="n">
        <f aca="false">BG16+BG17</f>
        <v>77.12</v>
      </c>
      <c r="BH18" s="119" t="n">
        <f aca="false">BH16+BH17</f>
        <v>77.12</v>
      </c>
      <c r="BI18" s="119" t="n">
        <f aca="false">BI16+BI17</f>
        <v>77.12</v>
      </c>
      <c r="BJ18" s="119" t="n">
        <f aca="false">BJ16+BJ17</f>
        <v>67.84</v>
      </c>
    </row>
    <row r="19" customFormat="false" ht="15" hidden="false" customHeight="false" outlineLevel="0" collapsed="false">
      <c r="A19" s="6" t="s">
        <v>424</v>
      </c>
      <c r="C19" s="120" t="n">
        <f aca="false">Inputs!$B$19</f>
        <v>150</v>
      </c>
      <c r="D19" s="117" t="n">
        <f aca="false">C21</f>
        <v>166.244</v>
      </c>
      <c r="E19" s="117" t="n">
        <f aca="false">D21</f>
        <v>185.350466666667</v>
      </c>
      <c r="F19" s="117" t="n">
        <f aca="false">E21</f>
        <v>211.42961</v>
      </c>
      <c r="G19" s="117" t="n">
        <f aca="false">F21</f>
        <v>240.3821295</v>
      </c>
      <c r="H19" s="117" t="n">
        <f aca="false">G21</f>
        <v>272.064356358333</v>
      </c>
      <c r="I19" s="117" t="n">
        <f aca="false">H21</f>
        <v>306.339805207083</v>
      </c>
      <c r="J19" s="117" t="n">
        <f aca="false">I21</f>
        <v>343.078814946729</v>
      </c>
      <c r="K19" s="117" t="n">
        <f aca="false">J21</f>
        <v>382.158207532726</v>
      </c>
      <c r="L19" s="117" t="n">
        <f aca="false">K21</f>
        <v>423.460963822756</v>
      </c>
      <c r="M19" s="117" t="n">
        <f aca="false">L21</f>
        <v>466.875915631618</v>
      </c>
      <c r="N19" s="117" t="n">
        <f aca="false">M21</f>
        <v>512.297453183371</v>
      </c>
      <c r="O19" s="117" t="n">
        <f aca="false">N21</f>
        <v>550.847913857536</v>
      </c>
      <c r="P19" s="117" t="n">
        <f aca="false">O21</f>
        <v>591.145518164659</v>
      </c>
      <c r="Q19" s="117" t="n">
        <f aca="false">P21</f>
        <v>629.428242256426</v>
      </c>
      <c r="R19" s="117" t="n">
        <f aca="false">Q21</f>
        <v>675.076830143605</v>
      </c>
      <c r="S19" s="117" t="n">
        <f aca="false">R21</f>
        <v>718.442988636424</v>
      </c>
      <c r="T19" s="117" t="n">
        <f aca="false">S21</f>
        <v>759.640839204603</v>
      </c>
      <c r="U19" s="117" t="n">
        <f aca="false">T21</f>
        <v>798.778797244373</v>
      </c>
      <c r="V19" s="117" t="n">
        <f aca="false">U21</f>
        <v>835.959857382154</v>
      </c>
      <c r="W19" s="117" t="n">
        <f aca="false">V21</f>
        <v>871.281864513047</v>
      </c>
      <c r="X19" s="117" t="n">
        <f aca="false">W21</f>
        <v>904.837771287394</v>
      </c>
      <c r="Y19" s="117" t="n">
        <f aca="false">X21</f>
        <v>936.715882723024</v>
      </c>
      <c r="Z19" s="117" t="n">
        <f aca="false">Y21</f>
        <v>967.000088586873</v>
      </c>
      <c r="AA19" s="117" t="n">
        <f aca="false">Z21</f>
        <v>986.49008415753</v>
      </c>
      <c r="AB19" s="117" t="n">
        <f aca="false">AA21</f>
        <v>1005.00557994965</v>
      </c>
      <c r="AC19" s="117" t="n">
        <f aca="false">AB21</f>
        <v>1022.59530095217</v>
      </c>
      <c r="AD19" s="117" t="n">
        <f aca="false">AC21</f>
        <v>1048.58553590456</v>
      </c>
      <c r="AE19" s="117" t="n">
        <f aca="false">AD21</f>
        <v>1073.27625910933</v>
      </c>
      <c r="AF19" s="117" t="n">
        <f aca="false">AE21</f>
        <v>1096.73244615387</v>
      </c>
      <c r="AG19" s="117" t="n">
        <f aca="false">AF21</f>
        <v>1119.01582384617</v>
      </c>
      <c r="AH19" s="117" t="n">
        <f aca="false">AG21</f>
        <v>1140.18503265386</v>
      </c>
      <c r="AI19" s="117" t="n">
        <f aca="false">AH21</f>
        <v>1160.29578102117</v>
      </c>
      <c r="AJ19" s="117" t="n">
        <f aca="false">AI21</f>
        <v>1179.40099197011</v>
      </c>
      <c r="AK19" s="117" t="n">
        <f aca="false">AJ21</f>
        <v>1197.55094237161</v>
      </c>
      <c r="AL19" s="117" t="n">
        <f aca="false">AK21</f>
        <v>1214.79339525303</v>
      </c>
      <c r="AM19" s="117" t="n">
        <f aca="false">AL21</f>
        <v>1221.89372549038</v>
      </c>
      <c r="AN19" s="117" t="n">
        <f aca="false">AM21</f>
        <v>1228.63903921586</v>
      </c>
      <c r="AO19" s="117" t="n">
        <f aca="false">AN21</f>
        <v>1235.04708725506</v>
      </c>
      <c r="AP19" s="117" t="n">
        <f aca="false">AO21</f>
        <v>1250.41473289231</v>
      </c>
      <c r="AQ19" s="117" t="n">
        <f aca="false">AP21</f>
        <v>1265.01399624769</v>
      </c>
      <c r="AR19" s="117" t="n">
        <f aca="false">AQ21</f>
        <v>1278.88329643531</v>
      </c>
      <c r="AS19" s="117" t="n">
        <f aca="false">AR21</f>
        <v>1292.05913161354</v>
      </c>
      <c r="AT19" s="117" t="n">
        <f aca="false">AS21</f>
        <v>1304.57617503287</v>
      </c>
      <c r="AU19" s="117" t="n">
        <f aca="false">AT21</f>
        <v>1316.46736628122</v>
      </c>
      <c r="AV19" s="117" t="n">
        <f aca="false">AU21</f>
        <v>1327.76399796716</v>
      </c>
      <c r="AW19" s="117" t="n">
        <f aca="false">AV21</f>
        <v>1338.49579806881</v>
      </c>
      <c r="AX19" s="117" t="n">
        <f aca="false">AW21</f>
        <v>1348.69100816536</v>
      </c>
      <c r="AY19" s="117" t="n">
        <f aca="false">AX21</f>
        <v>1349.0964577571</v>
      </c>
      <c r="AZ19" s="117" t="n">
        <f aca="false">AY21</f>
        <v>1349.48163486924</v>
      </c>
      <c r="BA19" s="117" t="n">
        <f aca="false">AZ21</f>
        <v>1349.84755312578</v>
      </c>
      <c r="BB19" s="117" t="n">
        <f aca="false">BA21</f>
        <v>1359.47517546949</v>
      </c>
      <c r="BC19" s="117" t="n">
        <f aca="false">BB21</f>
        <v>1368.62141669602</v>
      </c>
      <c r="BD19" s="117" t="n">
        <f aca="false">BC21</f>
        <v>1377.31034586122</v>
      </c>
      <c r="BE19" s="117" t="n">
        <f aca="false">BD21</f>
        <v>1385.56482856815</v>
      </c>
      <c r="BF19" s="117" t="n">
        <f aca="false">BE21</f>
        <v>1393.40658713975</v>
      </c>
      <c r="BG19" s="117" t="n">
        <f aca="false">BF21</f>
        <v>1400.85625778276</v>
      </c>
      <c r="BH19" s="117" t="n">
        <f aca="false">BG21</f>
        <v>1407.93344489362</v>
      </c>
      <c r="BI19" s="117" t="n">
        <f aca="false">BH21</f>
        <v>1414.65677264894</v>
      </c>
      <c r="BJ19" s="117" t="n">
        <f aca="false">BI21</f>
        <v>1421.04393401649</v>
      </c>
    </row>
    <row r="20" customFormat="false" ht="15" hidden="false" customHeight="false" outlineLevel="0" collapsed="false">
      <c r="A20" s="6" t="s">
        <v>425</v>
      </c>
      <c r="C20" s="117" t="n">
        <f aca="false">C21-C19-C18</f>
        <v>-7.50000000000001</v>
      </c>
      <c r="D20" s="117" t="n">
        <f aca="false">D21-D19-D18</f>
        <v>-8.31220000000003</v>
      </c>
      <c r="E20" s="117" t="n">
        <f aca="false">E21-E19-E18</f>
        <v>-9.26752333333334</v>
      </c>
      <c r="F20" s="117" t="n">
        <f aca="false">F21-F19-F18</f>
        <v>-10.5714805</v>
      </c>
      <c r="G20" s="117" t="n">
        <f aca="false">G21-G19-G18</f>
        <v>-12.019106475</v>
      </c>
      <c r="H20" s="117" t="n">
        <f aca="false">H21-H19-H18</f>
        <v>-13.6032178179167</v>
      </c>
      <c r="I20" s="117" t="n">
        <f aca="false">I21-I19-I18</f>
        <v>-15.3169902603542</v>
      </c>
      <c r="J20" s="117" t="n">
        <f aca="false">J21-J19-J18</f>
        <v>-17.1539407473365</v>
      </c>
      <c r="K20" s="117" t="n">
        <f aca="false">K21-K19-K18</f>
        <v>-19.1079103766363</v>
      </c>
      <c r="L20" s="117" t="n">
        <f aca="false">L21-L19-L18</f>
        <v>-21.1730481911378</v>
      </c>
      <c r="M20" s="117" t="n">
        <f aca="false">M21-M19-M18</f>
        <v>-23.3437957815809</v>
      </c>
      <c r="N20" s="117" t="n">
        <f aca="false">N21-N19-N18</f>
        <v>-25.6148726591685</v>
      </c>
      <c r="O20" s="117" t="n">
        <f aca="false">O21-O19-O18</f>
        <v>-27.5423956928767</v>
      </c>
      <c r="P20" s="117" t="n">
        <f aca="false">P21-P19-P18</f>
        <v>-29.557275908233</v>
      </c>
      <c r="Q20" s="117" t="n">
        <f aca="false">Q21-Q19-Q18</f>
        <v>-31.4714121128213</v>
      </c>
      <c r="R20" s="117" t="n">
        <f aca="false">R21-R19-R18</f>
        <v>-33.7538415071803</v>
      </c>
      <c r="S20" s="117" t="n">
        <f aca="false">S21-S19-S18</f>
        <v>-35.9221494318213</v>
      </c>
      <c r="T20" s="117" t="n">
        <f aca="false">T21-T19-T18</f>
        <v>-37.9820419602302</v>
      </c>
      <c r="U20" s="117" t="n">
        <f aca="false">U21-U19-U18</f>
        <v>-39.9389398622187</v>
      </c>
      <c r="V20" s="117" t="n">
        <f aca="false">V21-V19-V18</f>
        <v>-41.7979928691077</v>
      </c>
      <c r="W20" s="117" t="n">
        <f aca="false">W21-W19-W18</f>
        <v>-43.5640932256524</v>
      </c>
      <c r="X20" s="117" t="n">
        <f aca="false">X21-X19-X18</f>
        <v>-45.2418885643698</v>
      </c>
      <c r="Y20" s="117" t="n">
        <f aca="false">Y21-Y19-Y18</f>
        <v>-46.8357941361512</v>
      </c>
      <c r="Z20" s="117" t="n">
        <f aca="false">Z21-Z19-Z18</f>
        <v>-48.3500044293437</v>
      </c>
      <c r="AA20" s="117" t="n">
        <f aca="false">AA21-AA19-AA18</f>
        <v>-49.3245042078765</v>
      </c>
      <c r="AB20" s="117" t="n">
        <f aca="false">AB21-AB19-AB18</f>
        <v>-50.2502789974827</v>
      </c>
      <c r="AC20" s="117" t="n">
        <f aca="false">AC21-AC19-AC18</f>
        <v>-51.1297650476085</v>
      </c>
      <c r="AD20" s="117" t="n">
        <f aca="false">AD21-AD19-AD18</f>
        <v>-52.429276795228</v>
      </c>
      <c r="AE20" s="117" t="n">
        <f aca="false">AE21-AE19-AE18</f>
        <v>-53.6638129554668</v>
      </c>
      <c r="AF20" s="117" t="n">
        <f aca="false">AF21-AF19-AF18</f>
        <v>-54.8366223076934</v>
      </c>
      <c r="AG20" s="117" t="n">
        <f aca="false">AG21-AG19-AG18</f>
        <v>-55.9507911923089</v>
      </c>
      <c r="AH20" s="117" t="n">
        <f aca="false">AH21-AH19-AH18</f>
        <v>-57.0092516326932</v>
      </c>
      <c r="AI20" s="117" t="n">
        <f aca="false">AI21-AI19-AI18</f>
        <v>-58.0147890510585</v>
      </c>
      <c r="AJ20" s="117" t="n">
        <f aca="false">AJ21-AJ19-AJ18</f>
        <v>-58.9700495985059</v>
      </c>
      <c r="AK20" s="117" t="n">
        <f aca="false">AK21-AK19-AK18</f>
        <v>-59.8775471185805</v>
      </c>
      <c r="AL20" s="117" t="n">
        <f aca="false">AL21-AL19-AL18</f>
        <v>-60.7396697626515</v>
      </c>
      <c r="AM20" s="117" t="n">
        <f aca="false">AM21-AM19-AM18</f>
        <v>-61.0946862745189</v>
      </c>
      <c r="AN20" s="117" t="n">
        <f aca="false">AN21-AN19-AN18</f>
        <v>-61.431951960793</v>
      </c>
      <c r="AO20" s="117" t="n">
        <f aca="false">AO21-AO19-AO18</f>
        <v>-61.7523543627532</v>
      </c>
      <c r="AP20" s="117" t="n">
        <f aca="false">AP21-AP19-AP18</f>
        <v>-62.5207366446153</v>
      </c>
      <c r="AQ20" s="117" t="n">
        <f aca="false">AQ21-AQ19-AQ18</f>
        <v>-63.2506998123846</v>
      </c>
      <c r="AR20" s="117" t="n">
        <f aca="false">AR21-AR19-AR18</f>
        <v>-63.9441648217654</v>
      </c>
      <c r="AS20" s="117" t="n">
        <f aca="false">AS21-AS19-AS18</f>
        <v>-64.6029565806772</v>
      </c>
      <c r="AT20" s="117" t="n">
        <f aca="false">AT21-AT19-AT18</f>
        <v>-65.2288087516432</v>
      </c>
      <c r="AU20" s="117" t="n">
        <f aca="false">AU21-AU19-AU18</f>
        <v>-65.8233683140612</v>
      </c>
      <c r="AV20" s="117" t="n">
        <f aca="false">AV21-AV19-AV18</f>
        <v>-66.388199898358</v>
      </c>
      <c r="AW20" s="117" t="n">
        <f aca="false">AW21-AW19-AW18</f>
        <v>-66.9247899034405</v>
      </c>
      <c r="AX20" s="117" t="n">
        <f aca="false">AX21-AX19-AX18</f>
        <v>-67.4345504082683</v>
      </c>
      <c r="AY20" s="117" t="n">
        <f aca="false">AY21-AY19-AY18</f>
        <v>-67.4548228878549</v>
      </c>
      <c r="AZ20" s="117" t="n">
        <f aca="false">AZ21-AZ19-AZ18</f>
        <v>-67.4740817434623</v>
      </c>
      <c r="BA20" s="117" t="n">
        <f aca="false">BA21-BA19-BA18</f>
        <v>-67.4923776562888</v>
      </c>
      <c r="BB20" s="117" t="n">
        <f aca="false">BB21-BB19-BB18</f>
        <v>-67.9737587734745</v>
      </c>
      <c r="BC20" s="117" t="n">
        <f aca="false">BC21-BC19-BC18</f>
        <v>-68.4310708348008</v>
      </c>
      <c r="BD20" s="117" t="n">
        <f aca="false">BD21-BD19-BD18</f>
        <v>-68.8655172930609</v>
      </c>
      <c r="BE20" s="117" t="n">
        <f aca="false">BE21-BE19-BE18</f>
        <v>-69.2782414284076</v>
      </c>
      <c r="BF20" s="117" t="n">
        <f aca="false">BF21-BF19-BF18</f>
        <v>-69.6703293569873</v>
      </c>
      <c r="BG20" s="117" t="n">
        <f aca="false">BG21-BG19-BG18</f>
        <v>-70.0428128891382</v>
      </c>
      <c r="BH20" s="117" t="n">
        <f aca="false">BH21-BH19-BH18</f>
        <v>-70.3966722446813</v>
      </c>
      <c r="BI20" s="117" t="n">
        <f aca="false">BI21-BI19-BI18</f>
        <v>-70.7328386324472</v>
      </c>
      <c r="BJ20" s="117" t="n">
        <f aca="false">BJ21-BJ19-BJ18</f>
        <v>-71.0521967008247</v>
      </c>
    </row>
    <row r="21" customFormat="false" ht="15" hidden="false" customHeight="false" outlineLevel="0" collapsed="false">
      <c r="A21" s="4" t="s">
        <v>426</v>
      </c>
      <c r="C21" s="119" t="n">
        <f aca="false">C19*(1-Inputs!$B$23)+C18</f>
        <v>166.244</v>
      </c>
      <c r="D21" s="119" t="n">
        <f aca="false">D19*(1-Inputs!$B$23)+D18</f>
        <v>185.350466666667</v>
      </c>
      <c r="E21" s="119" t="n">
        <f aca="false">E19*(1-Inputs!$B$23)+E18</f>
        <v>211.42961</v>
      </c>
      <c r="F21" s="119" t="n">
        <f aca="false">F19*(1-Inputs!$B$23)+F18</f>
        <v>240.3821295</v>
      </c>
      <c r="G21" s="119" t="n">
        <f aca="false">G19*(1-Inputs!$B$23)+G18</f>
        <v>272.064356358333</v>
      </c>
      <c r="H21" s="119" t="n">
        <f aca="false">H19*(1-Inputs!$B$23)+H18</f>
        <v>306.339805207083</v>
      </c>
      <c r="I21" s="119" t="n">
        <f aca="false">I19*(1-Inputs!$B$23)+I18</f>
        <v>343.078814946729</v>
      </c>
      <c r="J21" s="119" t="n">
        <f aca="false">J19*(1-Inputs!$B$23)+J18</f>
        <v>382.158207532726</v>
      </c>
      <c r="K21" s="119" t="n">
        <f aca="false">K19*(1-Inputs!$B$23)+K18</f>
        <v>423.460963822756</v>
      </c>
      <c r="L21" s="119" t="n">
        <f aca="false">L19*(1-Inputs!$B$23)+L18</f>
        <v>466.875915631618</v>
      </c>
      <c r="M21" s="119" t="n">
        <f aca="false">M19*(1-Inputs!$B$23)+M18</f>
        <v>512.297453183371</v>
      </c>
      <c r="N21" s="119" t="n">
        <f aca="false">N19*(1-Inputs!$B$23)+N18</f>
        <v>550.847913857536</v>
      </c>
      <c r="O21" s="119" t="n">
        <f aca="false">O19*(1-Inputs!$B$23)+O18</f>
        <v>591.145518164659</v>
      </c>
      <c r="P21" s="119" t="n">
        <f aca="false">P19*(1-Inputs!$B$23)+P18</f>
        <v>629.428242256426</v>
      </c>
      <c r="Q21" s="119" t="n">
        <f aca="false">Q19*(1-Inputs!$B$23)+Q18</f>
        <v>675.076830143605</v>
      </c>
      <c r="R21" s="119" t="n">
        <f aca="false">R19*(1-Inputs!$B$23)+R18</f>
        <v>718.442988636424</v>
      </c>
      <c r="S21" s="119" t="n">
        <f aca="false">S19*(1-Inputs!$B$23)+S18</f>
        <v>759.640839204603</v>
      </c>
      <c r="T21" s="119" t="n">
        <f aca="false">T19*(1-Inputs!$B$23)+T18</f>
        <v>798.778797244373</v>
      </c>
      <c r="U21" s="119" t="n">
        <f aca="false">U19*(1-Inputs!$B$23)+U18</f>
        <v>835.959857382154</v>
      </c>
      <c r="V21" s="119" t="n">
        <f aca="false">V19*(1-Inputs!$B$23)+V18</f>
        <v>871.281864513047</v>
      </c>
      <c r="W21" s="119" t="n">
        <f aca="false">W19*(1-Inputs!$B$23)+W18</f>
        <v>904.837771287394</v>
      </c>
      <c r="X21" s="119" t="n">
        <f aca="false">X19*(1-Inputs!$B$23)+X18</f>
        <v>936.715882723024</v>
      </c>
      <c r="Y21" s="119" t="n">
        <f aca="false">Y19*(1-Inputs!$B$23)+Y18</f>
        <v>967.000088586873</v>
      </c>
      <c r="Z21" s="119" t="n">
        <f aca="false">Z19*(1-Inputs!$B$23)+Z18</f>
        <v>986.49008415753</v>
      </c>
      <c r="AA21" s="119" t="n">
        <f aca="false">AA19*(1-Inputs!$B$23)+AA18</f>
        <v>1005.00557994965</v>
      </c>
      <c r="AB21" s="119" t="n">
        <f aca="false">AB19*(1-Inputs!$B$23)+AB18</f>
        <v>1022.59530095217</v>
      </c>
      <c r="AC21" s="119" t="n">
        <f aca="false">AC19*(1-Inputs!$B$23)+AC18</f>
        <v>1048.58553590456</v>
      </c>
      <c r="AD21" s="119" t="n">
        <f aca="false">AD19*(1-Inputs!$B$23)+AD18</f>
        <v>1073.27625910933</v>
      </c>
      <c r="AE21" s="119" t="n">
        <f aca="false">AE19*(1-Inputs!$B$23)+AE18</f>
        <v>1096.73244615387</v>
      </c>
      <c r="AF21" s="119" t="n">
        <f aca="false">AF19*(1-Inputs!$B$23)+AF18</f>
        <v>1119.01582384617</v>
      </c>
      <c r="AG21" s="119" t="n">
        <f aca="false">AG19*(1-Inputs!$B$23)+AG18</f>
        <v>1140.18503265386</v>
      </c>
      <c r="AH21" s="119" t="n">
        <f aca="false">AH19*(1-Inputs!$B$23)+AH18</f>
        <v>1160.29578102117</v>
      </c>
      <c r="AI21" s="119" t="n">
        <f aca="false">AI19*(1-Inputs!$B$23)+AI18</f>
        <v>1179.40099197011</v>
      </c>
      <c r="AJ21" s="119" t="n">
        <f aca="false">AJ19*(1-Inputs!$B$23)+AJ18</f>
        <v>1197.55094237161</v>
      </c>
      <c r="AK21" s="119" t="n">
        <f aca="false">AK19*(1-Inputs!$B$23)+AK18</f>
        <v>1214.79339525303</v>
      </c>
      <c r="AL21" s="119" t="n">
        <f aca="false">AL19*(1-Inputs!$B$23)+AL18</f>
        <v>1221.89372549038</v>
      </c>
      <c r="AM21" s="119" t="n">
        <f aca="false">AM19*(1-Inputs!$B$23)+AM18</f>
        <v>1228.63903921586</v>
      </c>
      <c r="AN21" s="119" t="n">
        <f aca="false">AN19*(1-Inputs!$B$23)+AN18</f>
        <v>1235.04708725506</v>
      </c>
      <c r="AO21" s="119" t="n">
        <f aca="false">AO19*(1-Inputs!$B$23)+AO18</f>
        <v>1250.41473289231</v>
      </c>
      <c r="AP21" s="119" t="n">
        <f aca="false">AP19*(1-Inputs!$B$23)+AP18</f>
        <v>1265.01399624769</v>
      </c>
      <c r="AQ21" s="119" t="n">
        <f aca="false">AQ19*(1-Inputs!$B$23)+AQ18</f>
        <v>1278.88329643531</v>
      </c>
      <c r="AR21" s="119" t="n">
        <f aca="false">AR19*(1-Inputs!$B$23)+AR18</f>
        <v>1292.05913161354</v>
      </c>
      <c r="AS21" s="119" t="n">
        <f aca="false">AS19*(1-Inputs!$B$23)+AS18</f>
        <v>1304.57617503287</v>
      </c>
      <c r="AT21" s="119" t="n">
        <f aca="false">AT19*(1-Inputs!$B$23)+AT18</f>
        <v>1316.46736628122</v>
      </c>
      <c r="AU21" s="119" t="n">
        <f aca="false">AU19*(1-Inputs!$B$23)+AU18</f>
        <v>1327.76399796716</v>
      </c>
      <c r="AV21" s="119" t="n">
        <f aca="false">AV19*(1-Inputs!$B$23)+AV18</f>
        <v>1338.49579806881</v>
      </c>
      <c r="AW21" s="119" t="n">
        <f aca="false">AW19*(1-Inputs!$B$23)+AW18</f>
        <v>1348.69100816536</v>
      </c>
      <c r="AX21" s="119" t="n">
        <f aca="false">AX19*(1-Inputs!$B$23)+AX18</f>
        <v>1349.0964577571</v>
      </c>
      <c r="AY21" s="119" t="n">
        <f aca="false">AY19*(1-Inputs!$B$23)+AY18</f>
        <v>1349.48163486924</v>
      </c>
      <c r="AZ21" s="119" t="n">
        <f aca="false">AZ19*(1-Inputs!$B$23)+AZ18</f>
        <v>1349.84755312578</v>
      </c>
      <c r="BA21" s="119" t="n">
        <f aca="false">BA19*(1-Inputs!$B$23)+BA18</f>
        <v>1359.47517546949</v>
      </c>
      <c r="BB21" s="119" t="n">
        <f aca="false">BB19*(1-Inputs!$B$23)+BB18</f>
        <v>1368.62141669602</v>
      </c>
      <c r="BC21" s="119" t="n">
        <f aca="false">BC19*(1-Inputs!$B$23)+BC18</f>
        <v>1377.31034586122</v>
      </c>
      <c r="BD21" s="119" t="n">
        <f aca="false">BD19*(1-Inputs!$B$23)+BD18</f>
        <v>1385.56482856815</v>
      </c>
      <c r="BE21" s="119" t="n">
        <f aca="false">BE19*(1-Inputs!$B$23)+BE18</f>
        <v>1393.40658713975</v>
      </c>
      <c r="BF21" s="119" t="n">
        <f aca="false">BF19*(1-Inputs!$B$23)+BF18</f>
        <v>1400.85625778276</v>
      </c>
      <c r="BG21" s="119" t="n">
        <f aca="false">BG19*(1-Inputs!$B$23)+BG18</f>
        <v>1407.93344489362</v>
      </c>
      <c r="BH21" s="119" t="n">
        <f aca="false">BH19*(1-Inputs!$B$23)+BH18</f>
        <v>1414.65677264894</v>
      </c>
      <c r="BI21" s="119" t="n">
        <f aca="false">BI19*(1-Inputs!$B$23)+BI18</f>
        <v>1421.04393401649</v>
      </c>
      <c r="BJ21" s="119" t="n">
        <f aca="false">BJ19*(1-Inputs!$B$23)+BJ18</f>
        <v>1417.83173731567</v>
      </c>
    </row>
    <row r="22" customFormat="false" ht="15" hidden="false" customHeight="false" outlineLevel="0" collapsed="false">
      <c r="A22" s="6" t="s">
        <v>427</v>
      </c>
      <c r="C22" s="117" t="n">
        <f aca="false">(C19+C21)/2</f>
        <v>158.122</v>
      </c>
      <c r="D22" s="117" t="n">
        <f aca="false">(D19+D21)/2</f>
        <v>175.797233333333</v>
      </c>
      <c r="E22" s="117" t="n">
        <f aca="false">(E19+E21)/2</f>
        <v>198.390038333333</v>
      </c>
      <c r="F22" s="117" t="n">
        <f aca="false">(F19+F21)/2</f>
        <v>225.90586975</v>
      </c>
      <c r="G22" s="117" t="n">
        <f aca="false">(G19+G21)/2</f>
        <v>256.223242929167</v>
      </c>
      <c r="H22" s="117" t="n">
        <f aca="false">(H19+H21)/2</f>
        <v>289.202080782708</v>
      </c>
      <c r="I22" s="117" t="n">
        <f aca="false">(I19+I21)/2</f>
        <v>324.709310076906</v>
      </c>
      <c r="J22" s="117" t="n">
        <f aca="false">(J19+J21)/2</f>
        <v>362.618511239727</v>
      </c>
      <c r="K22" s="117" t="n">
        <f aca="false">(K19+K21)/2</f>
        <v>402.809585677741</v>
      </c>
      <c r="L22" s="117" t="n">
        <f aca="false">(L19+L21)/2</f>
        <v>445.168439727187</v>
      </c>
      <c r="M22" s="117" t="n">
        <f aca="false">(M19+M21)/2</f>
        <v>489.586684407495</v>
      </c>
      <c r="N22" s="117" t="n">
        <f aca="false">(N19+N21)/2</f>
        <v>531.572683520453</v>
      </c>
      <c r="O22" s="117" t="n">
        <f aca="false">(O19+O21)/2</f>
        <v>570.996716011097</v>
      </c>
      <c r="P22" s="117" t="n">
        <f aca="false">(P19+P21)/2</f>
        <v>610.286880210542</v>
      </c>
      <c r="Q22" s="117" t="n">
        <f aca="false">(Q19+Q21)/2</f>
        <v>652.252536200015</v>
      </c>
      <c r="R22" s="117" t="n">
        <f aca="false">(R19+R21)/2</f>
        <v>696.759909390015</v>
      </c>
      <c r="S22" s="117" t="n">
        <f aca="false">(S19+S21)/2</f>
        <v>739.041913920514</v>
      </c>
      <c r="T22" s="117" t="n">
        <f aca="false">(T19+T21)/2</f>
        <v>779.209818224488</v>
      </c>
      <c r="U22" s="117" t="n">
        <f aca="false">(U19+U21)/2</f>
        <v>817.369327313264</v>
      </c>
      <c r="V22" s="117" t="n">
        <f aca="false">(V19+V21)/2</f>
        <v>853.620860947601</v>
      </c>
      <c r="W22" s="117" t="n">
        <f aca="false">(W19+W21)/2</f>
        <v>888.05981790022</v>
      </c>
      <c r="X22" s="117" t="n">
        <f aca="false">(X19+X21)/2</f>
        <v>920.776827005209</v>
      </c>
      <c r="Y22" s="117" t="n">
        <f aca="false">(Y19+Y21)/2</f>
        <v>951.857985654949</v>
      </c>
      <c r="Z22" s="117" t="n">
        <f aca="false">(Z19+Z21)/2</f>
        <v>976.745086372201</v>
      </c>
      <c r="AA22" s="117" t="n">
        <f aca="false">(AA19+AA21)/2</f>
        <v>995.747832053591</v>
      </c>
      <c r="AB22" s="117" t="n">
        <f aca="false">(AB19+AB21)/2</f>
        <v>1013.80044045091</v>
      </c>
      <c r="AC22" s="117" t="n">
        <f aca="false">(AC19+AC21)/2</f>
        <v>1035.59041842837</v>
      </c>
      <c r="AD22" s="117" t="n">
        <f aca="false">(AD19+AD21)/2</f>
        <v>1060.93089750695</v>
      </c>
      <c r="AE22" s="117" t="n">
        <f aca="false">(AE19+AE21)/2</f>
        <v>1085.0043526316</v>
      </c>
      <c r="AF22" s="117" t="n">
        <f aca="false">(AF19+AF21)/2</f>
        <v>1107.87413500002</v>
      </c>
      <c r="AG22" s="117" t="n">
        <f aca="false">(AG19+AG21)/2</f>
        <v>1129.60042825002</v>
      </c>
      <c r="AH22" s="117" t="n">
        <f aca="false">(AH19+AH21)/2</f>
        <v>1150.24040683752</v>
      </c>
      <c r="AI22" s="117" t="n">
        <f aca="false">(AI19+AI21)/2</f>
        <v>1169.84838649564</v>
      </c>
      <c r="AJ22" s="117" t="n">
        <f aca="false">(AJ19+AJ21)/2</f>
        <v>1188.47596717086</v>
      </c>
      <c r="AK22" s="117" t="n">
        <f aca="false">(AK19+AK21)/2</f>
        <v>1206.17216881232</v>
      </c>
      <c r="AL22" s="117" t="n">
        <f aca="false">(AL19+AL21)/2</f>
        <v>1218.3435603717</v>
      </c>
      <c r="AM22" s="117" t="n">
        <f aca="false">(AM19+AM21)/2</f>
        <v>1225.26638235312</v>
      </c>
      <c r="AN22" s="117" t="n">
        <f aca="false">(AN19+AN21)/2</f>
        <v>1231.84306323546</v>
      </c>
      <c r="AO22" s="117" t="n">
        <f aca="false">(AO19+AO21)/2</f>
        <v>1242.73091007369</v>
      </c>
      <c r="AP22" s="117" t="n">
        <f aca="false">(AP19+AP21)/2</f>
        <v>1257.71436457</v>
      </c>
      <c r="AQ22" s="117" t="n">
        <f aca="false">(AQ19+AQ21)/2</f>
        <v>1271.9486463415</v>
      </c>
      <c r="AR22" s="117" t="n">
        <f aca="false">(AR19+AR21)/2</f>
        <v>1285.47121402443</v>
      </c>
      <c r="AS22" s="117" t="n">
        <f aca="false">(AS19+AS21)/2</f>
        <v>1298.31765332321</v>
      </c>
      <c r="AT22" s="117" t="n">
        <f aca="false">(AT19+AT21)/2</f>
        <v>1310.52177065705</v>
      </c>
      <c r="AU22" s="117" t="n">
        <f aca="false">(AU19+AU21)/2</f>
        <v>1322.11568212419</v>
      </c>
      <c r="AV22" s="117" t="n">
        <f aca="false">(AV19+AV21)/2</f>
        <v>1333.12989801798</v>
      </c>
      <c r="AW22" s="117" t="n">
        <f aca="false">(AW19+AW21)/2</f>
        <v>1343.59340311708</v>
      </c>
      <c r="AX22" s="117" t="n">
        <f aca="false">(AX19+AX21)/2</f>
        <v>1348.89373296123</v>
      </c>
      <c r="AY22" s="117" t="n">
        <f aca="false">(AY19+AY21)/2</f>
        <v>1349.28904631317</v>
      </c>
      <c r="AZ22" s="117" t="n">
        <f aca="false">(AZ19+AZ21)/2</f>
        <v>1349.66459399751</v>
      </c>
      <c r="BA22" s="117" t="n">
        <f aca="false">(BA19+BA21)/2</f>
        <v>1354.66136429763</v>
      </c>
      <c r="BB22" s="117" t="n">
        <f aca="false">(BB19+BB21)/2</f>
        <v>1364.04829608275</v>
      </c>
      <c r="BC22" s="117" t="n">
        <f aca="false">(BC19+BC21)/2</f>
        <v>1372.96588127862</v>
      </c>
      <c r="BD22" s="117" t="n">
        <f aca="false">(BD19+BD21)/2</f>
        <v>1381.43758721468</v>
      </c>
      <c r="BE22" s="117" t="n">
        <f aca="false">(BE19+BE21)/2</f>
        <v>1389.48570785395</v>
      </c>
      <c r="BF22" s="117" t="n">
        <f aca="false">(BF19+BF21)/2</f>
        <v>1397.13142246125</v>
      </c>
      <c r="BG22" s="117" t="n">
        <f aca="false">(BG19+BG21)/2</f>
        <v>1404.39485133819</v>
      </c>
      <c r="BH22" s="117" t="n">
        <f aca="false">(BH19+BH21)/2</f>
        <v>1411.29510877128</v>
      </c>
      <c r="BI22" s="117" t="n">
        <f aca="false">(BI19+BI21)/2</f>
        <v>1417.85035333272</v>
      </c>
      <c r="BJ22" s="117" t="n">
        <f aca="false">(BJ19+BJ21)/2</f>
        <v>1419.43783566608</v>
      </c>
    </row>
    <row r="24" customFormat="false" ht="15.75" hidden="false" customHeight="true" outlineLevel="0" collapsed="false">
      <c r="A24" s="7" t="s">
        <v>428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customFormat="false" ht="15" hidden="false" customHeight="false" outlineLevel="0" collapsed="false">
      <c r="A25" s="6" t="s">
        <v>429</v>
      </c>
      <c r="C25" s="118" t="n">
        <f aca="false">C22*Inputs!$B$24*C12*1</f>
        <v>480.69088</v>
      </c>
      <c r="D25" s="118" t="n">
        <f aca="false">D22*Inputs!$B$24*D12*1</f>
        <v>534.423589333333</v>
      </c>
      <c r="E25" s="118" t="n">
        <f aca="false">E22*Inputs!$B$24*E12*1</f>
        <v>804.140955377778</v>
      </c>
      <c r="F25" s="118" t="n">
        <f aca="false">F22*Inputs!$B$24*F12*1</f>
        <v>915.671792053333</v>
      </c>
      <c r="G25" s="118" t="n">
        <f aca="false">G22*Inputs!$B$24*G12*1</f>
        <v>1038.55821133956</v>
      </c>
      <c r="H25" s="118" t="n">
        <f aca="false">H22*Inputs!$B$24*H12*1</f>
        <v>1172.23243410591</v>
      </c>
      <c r="I25" s="118" t="n">
        <f aca="false">I22*Inputs!$B$24*I12*1</f>
        <v>1316.15507017839</v>
      </c>
      <c r="J25" s="118" t="n">
        <f aca="false">J22*Inputs!$B$24*J12*1</f>
        <v>1469.8136988917</v>
      </c>
      <c r="K25" s="118" t="n">
        <f aca="false">K22*Inputs!$B$24*K12*1</f>
        <v>1632.72152061378</v>
      </c>
      <c r="L25" s="118" t="n">
        <f aca="false">L22*Inputs!$B$24*L12*1</f>
        <v>1804.4160756942</v>
      </c>
      <c r="M25" s="118" t="n">
        <f aca="false">M22*Inputs!$B$24*M12*1</f>
        <v>1984.45802746504</v>
      </c>
      <c r="N25" s="118" t="n">
        <f aca="false">N22*Inputs!$B$24*N12*1</f>
        <v>1615.98095790218</v>
      </c>
      <c r="O25" s="118" t="n">
        <f aca="false">O22*Inputs!$B$24*O12*1</f>
        <v>1735.83001667374</v>
      </c>
      <c r="P25" s="118" t="n">
        <f aca="false">P22*Inputs!$B$24*P12*1</f>
        <v>1855.27211584005</v>
      </c>
      <c r="Q25" s="118" t="n">
        <f aca="false">Q22*Inputs!$B$24*Q12*1</f>
        <v>2643.79694673073</v>
      </c>
      <c r="R25" s="118" t="n">
        <f aca="false">R22*Inputs!$B$24*R12*1</f>
        <v>2824.20016606086</v>
      </c>
      <c r="S25" s="118" t="n">
        <f aca="false">S22*Inputs!$B$24*S12*1</f>
        <v>2995.58322442448</v>
      </c>
      <c r="T25" s="118" t="n">
        <f aca="false">T22*Inputs!$B$24*T12*1</f>
        <v>3158.39712986993</v>
      </c>
      <c r="U25" s="118" t="n">
        <f aca="false">U22*Inputs!$B$24*U12*1</f>
        <v>3313.0703400431</v>
      </c>
      <c r="V25" s="118" t="n">
        <f aca="false">V22*Inputs!$B$24*V12*1</f>
        <v>3460.00988970761</v>
      </c>
      <c r="W25" s="118" t="n">
        <f aca="false">W22*Inputs!$B$24*W12*1</f>
        <v>3599.60246188889</v>
      </c>
      <c r="X25" s="118" t="n">
        <f aca="false">X22*Inputs!$B$24*X12*1</f>
        <v>3732.21540546111</v>
      </c>
      <c r="Y25" s="118" t="n">
        <f aca="false">Y22*Inputs!$B$24*Y12*1</f>
        <v>3858.19770185473</v>
      </c>
      <c r="Z25" s="118" t="n">
        <f aca="false">Z22*Inputs!$B$24*Z12*1</f>
        <v>2969.30506257149</v>
      </c>
      <c r="AA25" s="118" t="n">
        <f aca="false">AA22*Inputs!$B$24*AA12*1</f>
        <v>3027.07340944292</v>
      </c>
      <c r="AB25" s="118" t="n">
        <f aca="false">AB22*Inputs!$B$24*AB12*1</f>
        <v>3081.95333897077</v>
      </c>
      <c r="AC25" s="118" t="n">
        <f aca="false">AC22*Inputs!$B$24*AC12*1</f>
        <v>4197.59316269631</v>
      </c>
      <c r="AD25" s="118" t="n">
        <f aca="false">AD22*Inputs!$B$24*AD12*1</f>
        <v>4300.30657122816</v>
      </c>
      <c r="AE25" s="118" t="n">
        <f aca="false">AE22*Inputs!$B$24*AE12*1</f>
        <v>4397.88430933342</v>
      </c>
      <c r="AF25" s="118" t="n">
        <f aca="false">AF22*Inputs!$B$24*AF12*1</f>
        <v>4490.58316053342</v>
      </c>
      <c r="AG25" s="118" t="n">
        <f aca="false">AG22*Inputs!$B$24*AG12*1</f>
        <v>4578.64706917341</v>
      </c>
      <c r="AH25" s="118" t="n">
        <f aca="false">AH22*Inputs!$B$24*AH12*1</f>
        <v>4662.30778238141</v>
      </c>
      <c r="AI25" s="118" t="n">
        <f aca="false">AI22*Inputs!$B$24*AI12*1</f>
        <v>4741.785459929</v>
      </c>
      <c r="AJ25" s="118" t="n">
        <f aca="false">AJ22*Inputs!$B$24*AJ12*1</f>
        <v>4817.28925359922</v>
      </c>
      <c r="AK25" s="118" t="n">
        <f aca="false">AK22*Inputs!$B$24*AK12*1</f>
        <v>4889.01785758592</v>
      </c>
      <c r="AL25" s="118" t="n">
        <f aca="false">AL22*Inputs!$B$24*AL12*1</f>
        <v>3703.76442352997</v>
      </c>
      <c r="AM25" s="118" t="n">
        <f aca="false">AM22*Inputs!$B$24*AM12*1</f>
        <v>3724.80980235347</v>
      </c>
      <c r="AN25" s="118" t="n">
        <f aca="false">AN22*Inputs!$B$24*AN12*1</f>
        <v>3744.8029122358</v>
      </c>
      <c r="AO25" s="118" t="n">
        <f aca="false">AO22*Inputs!$B$24*AO12*1</f>
        <v>5037.20262216534</v>
      </c>
      <c r="AP25" s="118" t="n">
        <f aca="false">AP22*Inputs!$B$24*AP12*1</f>
        <v>5097.93555772374</v>
      </c>
      <c r="AQ25" s="118" t="n">
        <f aca="false">AQ22*Inputs!$B$24*AQ12*1</f>
        <v>5155.63184650422</v>
      </c>
      <c r="AR25" s="118" t="n">
        <f aca="false">AR22*Inputs!$B$24*AR12*1</f>
        <v>5210.44332084568</v>
      </c>
      <c r="AS25" s="118" t="n">
        <f aca="false">AS22*Inputs!$B$24*AS12*1</f>
        <v>5262.51422147006</v>
      </c>
      <c r="AT25" s="118" t="n">
        <f aca="false">AT22*Inputs!$B$24*AT12*1</f>
        <v>5311.98157706323</v>
      </c>
      <c r="AU25" s="118" t="n">
        <f aca="false">AU22*Inputs!$B$24*AU12*1</f>
        <v>5358.97556487673</v>
      </c>
      <c r="AV25" s="118" t="n">
        <f aca="false">AV22*Inputs!$B$24*AV12*1</f>
        <v>5403.61985329956</v>
      </c>
      <c r="AW25" s="118" t="n">
        <f aca="false">AW22*Inputs!$B$24*AW12*1</f>
        <v>5446.03192730125</v>
      </c>
      <c r="AX25" s="118" t="n">
        <f aca="false">AX22*Inputs!$B$24*AX12*1</f>
        <v>4100.63694820214</v>
      </c>
      <c r="AY25" s="118" t="n">
        <f aca="false">AY22*Inputs!$B$24*AY12*1</f>
        <v>4101.83870079203</v>
      </c>
      <c r="AZ25" s="118" t="n">
        <f aca="false">AZ22*Inputs!$B$24*AZ12*1</f>
        <v>4102.98036575243</v>
      </c>
      <c r="BA25" s="118" t="n">
        <f aca="false">BA22*Inputs!$B$24*BA12*1</f>
        <v>5490.89406328641</v>
      </c>
      <c r="BB25" s="118" t="n">
        <f aca="false">BB22*Inputs!$B$24*BB12*1</f>
        <v>5528.94242678876</v>
      </c>
      <c r="BC25" s="118" t="n">
        <f aca="false">BC22*Inputs!$B$24*BC12*1</f>
        <v>5565.08837211599</v>
      </c>
      <c r="BD25" s="118" t="n">
        <f aca="false">BD22*Inputs!$B$24*BD12*1</f>
        <v>5599.42702017685</v>
      </c>
      <c r="BE25" s="118" t="n">
        <f aca="false">BE22*Inputs!$B$24*BE12*1</f>
        <v>5632.04873583468</v>
      </c>
      <c r="BF25" s="118" t="n">
        <f aca="false">BF22*Inputs!$B$24*BF12*1</f>
        <v>5663.03936570961</v>
      </c>
      <c r="BG25" s="118" t="n">
        <f aca="false">BG22*Inputs!$B$24*BG12*1</f>
        <v>5692.4804640908</v>
      </c>
      <c r="BH25" s="118" t="n">
        <f aca="false">BH22*Inputs!$B$24*BH12*1</f>
        <v>5720.44950755292</v>
      </c>
      <c r="BI25" s="118" t="n">
        <f aca="false">BI22*Inputs!$B$24*BI12*1</f>
        <v>5747.02009884194</v>
      </c>
      <c r="BJ25" s="118" t="n">
        <f aca="false">BJ22*Inputs!$B$24*BJ12*1</f>
        <v>4315.09102042488</v>
      </c>
    </row>
    <row r="26" customFormat="false" ht="15" hidden="false" customHeight="false" outlineLevel="0" collapsed="false">
      <c r="A26" s="6" t="s">
        <v>430</v>
      </c>
      <c r="C26" s="118" t="n">
        <f aca="false">Inputs!$B$14*Inputs!$B$15*Inputs!$B$16*Inputs!$B$8*1</f>
        <v>24563</v>
      </c>
      <c r="D26" s="118" t="n">
        <f aca="false">Inputs!$B$14*Inputs!$B$15*Inputs!$B$16*Inputs!$B$8*1</f>
        <v>24563</v>
      </c>
      <c r="E26" s="118" t="n">
        <f aca="false">Inputs!$B$14*Inputs!$B$15*Inputs!$B$16*Inputs!$B$8*1</f>
        <v>24563</v>
      </c>
      <c r="F26" s="118" t="n">
        <f aca="false">Inputs!$B$14*Inputs!$B$15*Inputs!$B$16*Inputs!$B$8*1</f>
        <v>24563</v>
      </c>
      <c r="G26" s="118" t="n">
        <f aca="false">Inputs!$B$14*Inputs!$B$15*Inputs!$B$16*Inputs!$B$8*1</f>
        <v>24563</v>
      </c>
      <c r="H26" s="118" t="n">
        <f aca="false">Inputs!$B$14*Inputs!$B$15*Inputs!$B$16*Inputs!$B$8*1</f>
        <v>24563</v>
      </c>
      <c r="I26" s="118" t="n">
        <f aca="false">Inputs!$B$14*Inputs!$B$15*Inputs!$B$16*Inputs!$B$8*1</f>
        <v>24563</v>
      </c>
      <c r="J26" s="118" t="n">
        <f aca="false">Inputs!$B$14*Inputs!$B$15*Inputs!$B$16*Inputs!$B$8*1</f>
        <v>24563</v>
      </c>
      <c r="K26" s="118" t="n">
        <f aca="false">Inputs!$B$14*Inputs!$B$15*Inputs!$B$16*Inputs!$B$8*1</f>
        <v>24563</v>
      </c>
      <c r="L26" s="118" t="n">
        <f aca="false">Inputs!$B$14*Inputs!$B$15*Inputs!$B$16*Inputs!$B$8*1</f>
        <v>24563</v>
      </c>
      <c r="M26" s="118" t="n">
        <f aca="false">Inputs!$B$14*Inputs!$B$15*Inputs!$B$16*Inputs!$B$8*1</f>
        <v>24563</v>
      </c>
      <c r="N26" s="118" t="n">
        <f aca="false">Inputs!$B$14*Inputs!$B$15*Inputs!$B$16*Inputs!$B$8*1</f>
        <v>24563</v>
      </c>
      <c r="O26" s="118" t="n">
        <f aca="false">Inputs!$B$14*Inputs!$B$15*Inputs!$B$16*Inputs!$B$8*1</f>
        <v>24563</v>
      </c>
      <c r="P26" s="118" t="n">
        <f aca="false">Inputs!$B$14*Inputs!$B$15*Inputs!$B$16*Inputs!$B$8*1</f>
        <v>24563</v>
      </c>
      <c r="Q26" s="118" t="n">
        <f aca="false">Inputs!$B$14*Inputs!$B$15*Inputs!$B$16*Inputs!$B$8*1</f>
        <v>24563</v>
      </c>
      <c r="R26" s="118" t="n">
        <f aca="false">Inputs!$B$14*Inputs!$B$15*Inputs!$B$16*Inputs!$B$8*1</f>
        <v>24563</v>
      </c>
      <c r="S26" s="118" t="n">
        <f aca="false">Inputs!$B$14*Inputs!$B$15*Inputs!$B$16*Inputs!$B$8*1</f>
        <v>24563</v>
      </c>
      <c r="T26" s="118" t="n">
        <f aca="false">Inputs!$B$14*Inputs!$B$15*Inputs!$B$16*Inputs!$B$8*1</f>
        <v>24563</v>
      </c>
      <c r="U26" s="118" t="n">
        <f aca="false">Inputs!$B$14*Inputs!$B$15*Inputs!$B$16*Inputs!$B$8*1</f>
        <v>24563</v>
      </c>
      <c r="V26" s="118" t="n">
        <f aca="false">Inputs!$B$14*Inputs!$B$15*Inputs!$B$16*Inputs!$B$8*1</f>
        <v>24563</v>
      </c>
      <c r="W26" s="118" t="n">
        <f aca="false">Inputs!$B$14*Inputs!$B$15*Inputs!$B$16*Inputs!$B$8*1</f>
        <v>24563</v>
      </c>
      <c r="X26" s="118" t="n">
        <f aca="false">Inputs!$B$14*Inputs!$B$15*Inputs!$B$16*Inputs!$B$8*1</f>
        <v>24563</v>
      </c>
      <c r="Y26" s="118" t="n">
        <f aca="false">Inputs!$B$14*Inputs!$B$15*Inputs!$B$16*Inputs!$B$8*1</f>
        <v>24563</v>
      </c>
      <c r="Z26" s="118" t="n">
        <f aca="false">Inputs!$B$14*Inputs!$B$15*Inputs!$B$16*Inputs!$B$8*1</f>
        <v>24563</v>
      </c>
      <c r="AA26" s="118" t="n">
        <f aca="false">Inputs!$B$14*Inputs!$B$15*Inputs!$B$16*Inputs!$B$8*1</f>
        <v>24563</v>
      </c>
      <c r="AB26" s="118" t="n">
        <f aca="false">Inputs!$B$14*Inputs!$B$15*Inputs!$B$16*Inputs!$B$8*1</f>
        <v>24563</v>
      </c>
      <c r="AC26" s="118" t="n">
        <f aca="false">Inputs!$B$14*Inputs!$B$15*Inputs!$B$16*Inputs!$B$8*1</f>
        <v>24563</v>
      </c>
      <c r="AD26" s="118" t="n">
        <f aca="false">Inputs!$B$14*Inputs!$B$15*Inputs!$B$16*Inputs!$B$8*1</f>
        <v>24563</v>
      </c>
      <c r="AE26" s="118" t="n">
        <f aca="false">Inputs!$B$14*Inputs!$B$15*Inputs!$B$16*Inputs!$B$8*1</f>
        <v>24563</v>
      </c>
      <c r="AF26" s="118" t="n">
        <f aca="false">Inputs!$B$14*Inputs!$B$15*Inputs!$B$16*Inputs!$B$8*1</f>
        <v>24563</v>
      </c>
      <c r="AG26" s="118" t="n">
        <f aca="false">Inputs!$B$14*Inputs!$B$15*Inputs!$B$16*Inputs!$B$8*1</f>
        <v>24563</v>
      </c>
      <c r="AH26" s="118" t="n">
        <f aca="false">Inputs!$B$14*Inputs!$B$15*Inputs!$B$16*Inputs!$B$8*1</f>
        <v>24563</v>
      </c>
      <c r="AI26" s="118" t="n">
        <f aca="false">Inputs!$B$14*Inputs!$B$15*Inputs!$B$16*Inputs!$B$8*1</f>
        <v>24563</v>
      </c>
      <c r="AJ26" s="118" t="n">
        <f aca="false">Inputs!$B$14*Inputs!$B$15*Inputs!$B$16*Inputs!$B$8*1</f>
        <v>24563</v>
      </c>
      <c r="AK26" s="118" t="n">
        <f aca="false">Inputs!$B$14*Inputs!$B$15*Inputs!$B$16*Inputs!$B$8*1</f>
        <v>24563</v>
      </c>
      <c r="AL26" s="118" t="n">
        <f aca="false">Inputs!$B$14*Inputs!$B$15*Inputs!$B$16*Inputs!$B$8*1</f>
        <v>24563</v>
      </c>
      <c r="AM26" s="118" t="n">
        <f aca="false">Inputs!$B$14*Inputs!$B$15*Inputs!$B$16*Inputs!$B$8*1</f>
        <v>24563</v>
      </c>
      <c r="AN26" s="118" t="n">
        <f aca="false">Inputs!$B$14*Inputs!$B$15*Inputs!$B$16*Inputs!$B$8*1</f>
        <v>24563</v>
      </c>
      <c r="AO26" s="118" t="n">
        <f aca="false">Inputs!$B$14*Inputs!$B$15*Inputs!$B$16*Inputs!$B$8*1</f>
        <v>24563</v>
      </c>
      <c r="AP26" s="118" t="n">
        <f aca="false">Inputs!$B$14*Inputs!$B$15*Inputs!$B$16*Inputs!$B$8*1</f>
        <v>24563</v>
      </c>
      <c r="AQ26" s="118" t="n">
        <f aca="false">Inputs!$B$14*Inputs!$B$15*Inputs!$B$16*Inputs!$B$8*1</f>
        <v>24563</v>
      </c>
      <c r="AR26" s="118" t="n">
        <f aca="false">Inputs!$B$14*Inputs!$B$15*Inputs!$B$16*Inputs!$B$8*1</f>
        <v>24563</v>
      </c>
      <c r="AS26" s="118" t="n">
        <f aca="false">Inputs!$B$14*Inputs!$B$15*Inputs!$B$16*Inputs!$B$8*1</f>
        <v>24563</v>
      </c>
      <c r="AT26" s="118" t="n">
        <f aca="false">Inputs!$B$14*Inputs!$B$15*Inputs!$B$16*Inputs!$B$8*1</f>
        <v>24563</v>
      </c>
      <c r="AU26" s="118" t="n">
        <f aca="false">Inputs!$B$14*Inputs!$B$15*Inputs!$B$16*Inputs!$B$8*1</f>
        <v>24563</v>
      </c>
      <c r="AV26" s="118" t="n">
        <f aca="false">Inputs!$B$14*Inputs!$B$15*Inputs!$B$16*Inputs!$B$8*1</f>
        <v>24563</v>
      </c>
      <c r="AW26" s="118" t="n">
        <f aca="false">Inputs!$B$14*Inputs!$B$15*Inputs!$B$16*Inputs!$B$8*1</f>
        <v>24563</v>
      </c>
      <c r="AX26" s="118" t="n">
        <f aca="false">Inputs!$B$14*Inputs!$B$15*Inputs!$B$16*Inputs!$B$8*1</f>
        <v>24563</v>
      </c>
      <c r="AY26" s="118" t="n">
        <f aca="false">Inputs!$B$14*Inputs!$B$15*Inputs!$B$16*Inputs!$B$8*1</f>
        <v>24563</v>
      </c>
      <c r="AZ26" s="118" t="n">
        <f aca="false">Inputs!$B$14*Inputs!$B$15*Inputs!$B$16*Inputs!$B$8*1</f>
        <v>24563</v>
      </c>
      <c r="BA26" s="118" t="n">
        <f aca="false">Inputs!$B$14*Inputs!$B$15*Inputs!$B$16*Inputs!$B$8*1</f>
        <v>24563</v>
      </c>
      <c r="BB26" s="118" t="n">
        <f aca="false">Inputs!$B$14*Inputs!$B$15*Inputs!$B$16*Inputs!$B$8*1</f>
        <v>24563</v>
      </c>
      <c r="BC26" s="118" t="n">
        <f aca="false">Inputs!$B$14*Inputs!$B$15*Inputs!$B$16*Inputs!$B$8*1</f>
        <v>24563</v>
      </c>
      <c r="BD26" s="118" t="n">
        <f aca="false">Inputs!$B$14*Inputs!$B$15*Inputs!$B$16*Inputs!$B$8*1</f>
        <v>24563</v>
      </c>
      <c r="BE26" s="118" t="n">
        <f aca="false">Inputs!$B$14*Inputs!$B$15*Inputs!$B$16*Inputs!$B$8*1</f>
        <v>24563</v>
      </c>
      <c r="BF26" s="118" t="n">
        <f aca="false">Inputs!$B$14*Inputs!$B$15*Inputs!$B$16*Inputs!$B$8*1</f>
        <v>24563</v>
      </c>
      <c r="BG26" s="118" t="n">
        <f aca="false">Inputs!$B$14*Inputs!$B$15*Inputs!$B$16*Inputs!$B$8*1</f>
        <v>24563</v>
      </c>
      <c r="BH26" s="118" t="n">
        <f aca="false">Inputs!$B$14*Inputs!$B$15*Inputs!$B$16*Inputs!$B$8*1</f>
        <v>24563</v>
      </c>
      <c r="BI26" s="118" t="n">
        <f aca="false">Inputs!$B$14*Inputs!$B$15*Inputs!$B$16*Inputs!$B$8*1</f>
        <v>24563</v>
      </c>
      <c r="BJ26" s="118" t="n">
        <f aca="false">Inputs!$B$14*Inputs!$B$15*Inputs!$B$16*Inputs!$B$8*1</f>
        <v>24563</v>
      </c>
    </row>
    <row r="27" customFormat="false" ht="15" hidden="false" customHeight="false" outlineLevel="0" collapsed="false">
      <c r="A27" s="38" t="s">
        <v>431</v>
      </c>
      <c r="C27" s="76" t="n">
        <f aca="false">MIN(1,C26/MAX(1,C13+C25))</f>
        <v>1</v>
      </c>
      <c r="D27" s="76" t="n">
        <f aca="false">MIN(1,D26/MAX(1,D13+D25))</f>
        <v>1</v>
      </c>
      <c r="E27" s="76" t="n">
        <f aca="false">MIN(1,E26/MAX(1,E13+E25))</f>
        <v>1</v>
      </c>
      <c r="F27" s="76" t="n">
        <f aca="false">MIN(1,F26/MAX(1,F13+F25))</f>
        <v>1</v>
      </c>
      <c r="G27" s="76" t="n">
        <f aca="false">MIN(1,G26/MAX(1,G13+G25))</f>
        <v>1</v>
      </c>
      <c r="H27" s="76" t="n">
        <f aca="false">MIN(1,H26/MAX(1,H13+H25))</f>
        <v>1</v>
      </c>
      <c r="I27" s="76" t="n">
        <f aca="false">MIN(1,I26/MAX(1,I13+I25))</f>
        <v>1</v>
      </c>
      <c r="J27" s="76" t="n">
        <f aca="false">MIN(1,J26/MAX(1,J13+J25))</f>
        <v>1</v>
      </c>
      <c r="K27" s="76" t="n">
        <f aca="false">MIN(1,K26/MAX(1,K13+K25))</f>
        <v>1</v>
      </c>
      <c r="L27" s="76" t="n">
        <f aca="false">MIN(1,L26/MAX(1,L13+L25))</f>
        <v>1</v>
      </c>
      <c r="M27" s="76" t="n">
        <f aca="false">MIN(1,M26/MAX(1,M13+M25))</f>
        <v>1</v>
      </c>
      <c r="N27" s="76" t="n">
        <f aca="false">MIN(1,N26/MAX(1,N13+N25))</f>
        <v>1</v>
      </c>
      <c r="O27" s="76" t="n">
        <f aca="false">MIN(1,O26/MAX(1,O13+O25))</f>
        <v>1</v>
      </c>
      <c r="P27" s="76" t="n">
        <f aca="false">MIN(1,P26/MAX(1,P13+P25))</f>
        <v>1</v>
      </c>
      <c r="Q27" s="76" t="n">
        <f aca="false">MIN(1,Q26/MAX(1,Q13+Q25))</f>
        <v>1</v>
      </c>
      <c r="R27" s="76" t="n">
        <f aca="false">MIN(1,R26/MAX(1,R13+R25))</f>
        <v>1</v>
      </c>
      <c r="S27" s="76" t="n">
        <f aca="false">MIN(1,S26/MAX(1,S13+S25))</f>
        <v>1</v>
      </c>
      <c r="T27" s="76" t="n">
        <f aca="false">MIN(1,T26/MAX(1,T13+T25))</f>
        <v>1</v>
      </c>
      <c r="U27" s="76" t="n">
        <f aca="false">MIN(1,U26/MAX(1,U13+U25))</f>
        <v>1</v>
      </c>
      <c r="V27" s="76" t="n">
        <f aca="false">MIN(1,V26/MAX(1,V13+V25))</f>
        <v>1</v>
      </c>
      <c r="W27" s="76" t="n">
        <f aca="false">MIN(1,W26/MAX(1,W13+W25))</f>
        <v>1</v>
      </c>
      <c r="X27" s="76" t="n">
        <f aca="false">MIN(1,X26/MAX(1,X13+X25))</f>
        <v>1</v>
      </c>
      <c r="Y27" s="76" t="n">
        <f aca="false">MIN(1,Y26/MAX(1,Y13+Y25))</f>
        <v>1</v>
      </c>
      <c r="Z27" s="76" t="n">
        <f aca="false">MIN(1,Z26/MAX(1,Z13+Z25))</f>
        <v>1</v>
      </c>
      <c r="AA27" s="76" t="n">
        <f aca="false">MIN(1,AA26/MAX(1,AA13+AA25))</f>
        <v>1</v>
      </c>
      <c r="AB27" s="76" t="n">
        <f aca="false">MIN(1,AB26/MAX(1,AB13+AB25))</f>
        <v>1</v>
      </c>
      <c r="AC27" s="76" t="n">
        <f aca="false">MIN(1,AC26/MAX(1,AC13+AC25))</f>
        <v>1</v>
      </c>
      <c r="AD27" s="76" t="n">
        <f aca="false">MIN(1,AD26/MAX(1,AD13+AD25))</f>
        <v>1</v>
      </c>
      <c r="AE27" s="76" t="n">
        <f aca="false">MIN(1,AE26/MAX(1,AE13+AE25))</f>
        <v>1</v>
      </c>
      <c r="AF27" s="76" t="n">
        <f aca="false">MIN(1,AF26/MAX(1,AF13+AF25))</f>
        <v>1</v>
      </c>
      <c r="AG27" s="76" t="n">
        <f aca="false">MIN(1,AG26/MAX(1,AG13+AG25))</f>
        <v>1</v>
      </c>
      <c r="AH27" s="76" t="n">
        <f aca="false">MIN(1,AH26/MAX(1,AH13+AH25))</f>
        <v>1</v>
      </c>
      <c r="AI27" s="76" t="n">
        <f aca="false">MIN(1,AI26/MAX(1,AI13+AI25))</f>
        <v>1</v>
      </c>
      <c r="AJ27" s="76" t="n">
        <f aca="false">MIN(1,AJ26/MAX(1,AJ13+AJ25))</f>
        <v>1</v>
      </c>
      <c r="AK27" s="76" t="n">
        <f aca="false">MIN(1,AK26/MAX(1,AK13+AK25))</f>
        <v>1</v>
      </c>
      <c r="AL27" s="76" t="n">
        <f aca="false">MIN(1,AL26/MAX(1,AL13+AL25))</f>
        <v>1</v>
      </c>
      <c r="AM27" s="76" t="n">
        <f aca="false">MIN(1,AM26/MAX(1,AM13+AM25))</f>
        <v>1</v>
      </c>
      <c r="AN27" s="76" t="n">
        <f aca="false">MIN(1,AN26/MAX(1,AN13+AN25))</f>
        <v>1</v>
      </c>
      <c r="AO27" s="76" t="n">
        <f aca="false">MIN(1,AO26/MAX(1,AO13+AO25))</f>
        <v>1</v>
      </c>
      <c r="AP27" s="76" t="n">
        <f aca="false">MIN(1,AP26/MAX(1,AP13+AP25))</f>
        <v>1</v>
      </c>
      <c r="AQ27" s="76" t="n">
        <f aca="false">MIN(1,AQ26/MAX(1,AQ13+AQ25))</f>
        <v>1</v>
      </c>
      <c r="AR27" s="76" t="n">
        <f aca="false">MIN(1,AR26/MAX(1,AR13+AR25))</f>
        <v>1</v>
      </c>
      <c r="AS27" s="76" t="n">
        <f aca="false">MIN(1,AS26/MAX(1,AS13+AS25))</f>
        <v>1</v>
      </c>
      <c r="AT27" s="76" t="n">
        <f aca="false">MIN(1,AT26/MAX(1,AT13+AT25))</f>
        <v>1</v>
      </c>
      <c r="AU27" s="76" t="n">
        <f aca="false">MIN(1,AU26/MAX(1,AU13+AU25))</f>
        <v>1</v>
      </c>
      <c r="AV27" s="76" t="n">
        <f aca="false">MIN(1,AV26/MAX(1,AV13+AV25))</f>
        <v>1</v>
      </c>
      <c r="AW27" s="76" t="n">
        <f aca="false">MIN(1,AW26/MAX(1,AW13+AW25))</f>
        <v>1</v>
      </c>
      <c r="AX27" s="76" t="n">
        <f aca="false">MIN(1,AX26/MAX(1,AX13+AX25))</f>
        <v>1</v>
      </c>
      <c r="AY27" s="76" t="n">
        <f aca="false">MIN(1,AY26/MAX(1,AY13+AY25))</f>
        <v>1</v>
      </c>
      <c r="AZ27" s="76" t="n">
        <f aca="false">MIN(1,AZ26/MAX(1,AZ13+AZ25))</f>
        <v>1</v>
      </c>
      <c r="BA27" s="76" t="n">
        <f aca="false">MIN(1,BA26/MAX(1,BA13+BA25))</f>
        <v>1</v>
      </c>
      <c r="BB27" s="76" t="n">
        <f aca="false">MIN(1,BB26/MAX(1,BB13+BB25))</f>
        <v>1</v>
      </c>
      <c r="BC27" s="76" t="n">
        <f aca="false">MIN(1,BC26/MAX(1,BC13+BC25))</f>
        <v>1</v>
      </c>
      <c r="BD27" s="76" t="n">
        <f aca="false">MIN(1,BD26/MAX(1,BD13+BD25))</f>
        <v>1</v>
      </c>
      <c r="BE27" s="76" t="n">
        <f aca="false">MIN(1,BE26/MAX(1,BE13+BE25))</f>
        <v>1</v>
      </c>
      <c r="BF27" s="76" t="n">
        <f aca="false">MIN(1,BF26/MAX(1,BF13+BF25))</f>
        <v>1</v>
      </c>
      <c r="BG27" s="76" t="n">
        <f aca="false">MIN(1,BG26/MAX(1,BG13+BG25))</f>
        <v>1</v>
      </c>
      <c r="BH27" s="76" t="n">
        <f aca="false">MIN(1,BH26/MAX(1,BH13+BH25))</f>
        <v>1</v>
      </c>
      <c r="BI27" s="76" t="n">
        <f aca="false">MIN(1,BI26/MAX(1,BI13+BI25))</f>
        <v>1</v>
      </c>
      <c r="BJ27" s="76" t="n">
        <f aca="false">MIN(1,BJ26/MAX(1,BJ13+BJ25))</f>
        <v>1</v>
      </c>
    </row>
    <row r="28" customFormat="false" ht="15" hidden="false" customHeight="false" outlineLevel="0" collapsed="false">
      <c r="A28" s="6" t="s">
        <v>238</v>
      </c>
      <c r="C28" s="118" t="n">
        <f aca="false">C13*C27</f>
        <v>1624</v>
      </c>
      <c r="D28" s="118" t="n">
        <f aca="false">D13*D27</f>
        <v>1875.33333333333</v>
      </c>
      <c r="E28" s="118" t="n">
        <f aca="false">E13*E27</f>
        <v>2835.55555555556</v>
      </c>
      <c r="F28" s="118" t="n">
        <f aca="false">F13*F27</f>
        <v>3170.66666666667</v>
      </c>
      <c r="G28" s="118" t="n">
        <f aca="false">G13*G27</f>
        <v>3505.77777777778</v>
      </c>
      <c r="H28" s="118" t="n">
        <f aca="false">H13*H27</f>
        <v>3840.88888888889</v>
      </c>
      <c r="I28" s="118" t="n">
        <f aca="false">I13*I27</f>
        <v>4176</v>
      </c>
      <c r="J28" s="118" t="n">
        <f aca="false">J13*J27</f>
        <v>4511.11111111111</v>
      </c>
      <c r="K28" s="118" t="n">
        <f aca="false">K13*K27</f>
        <v>4846.22222222222</v>
      </c>
      <c r="L28" s="118" t="n">
        <f aca="false">L13*L27</f>
        <v>5181.33333333333</v>
      </c>
      <c r="M28" s="118" t="n">
        <f aca="false">M13*M27</f>
        <v>5516.44444444444</v>
      </c>
      <c r="N28" s="118" t="n">
        <f aca="false">N13*N27</f>
        <v>4388.66666666667</v>
      </c>
      <c r="O28" s="118" t="n">
        <f aca="false">O13*O27</f>
        <v>4640</v>
      </c>
      <c r="P28" s="118" t="n">
        <f aca="false">P13*P27</f>
        <v>4640</v>
      </c>
      <c r="Q28" s="118" t="n">
        <f aca="false">Q13*Q27</f>
        <v>6186.66666666667</v>
      </c>
      <c r="R28" s="118" t="n">
        <f aca="false">R13*R27</f>
        <v>6186.66666666667</v>
      </c>
      <c r="S28" s="118" t="n">
        <f aca="false">S13*S27</f>
        <v>6186.66666666667</v>
      </c>
      <c r="T28" s="118" t="n">
        <f aca="false">T13*T27</f>
        <v>6186.66666666667</v>
      </c>
      <c r="U28" s="118" t="n">
        <f aca="false">U13*U27</f>
        <v>6186.66666666667</v>
      </c>
      <c r="V28" s="118" t="n">
        <f aca="false">V13*V27</f>
        <v>6186.66666666667</v>
      </c>
      <c r="W28" s="118" t="n">
        <f aca="false">W13*W27</f>
        <v>6186.66666666667</v>
      </c>
      <c r="X28" s="118" t="n">
        <f aca="false">X13*X27</f>
        <v>6186.66666666667</v>
      </c>
      <c r="Y28" s="118" t="n">
        <f aca="false">Y13*Y27</f>
        <v>6186.66666666667</v>
      </c>
      <c r="Z28" s="118" t="n">
        <f aca="false">Z13*Z27</f>
        <v>4640</v>
      </c>
      <c r="AA28" s="118" t="n">
        <f aca="false">AA13*AA27</f>
        <v>4640</v>
      </c>
      <c r="AB28" s="118" t="n">
        <f aca="false">AB13*AB27</f>
        <v>4640</v>
      </c>
      <c r="AC28" s="118" t="n">
        <f aca="false">AC13*AC27</f>
        <v>6186.66666666667</v>
      </c>
      <c r="AD28" s="118" t="n">
        <f aca="false">AD13*AD27</f>
        <v>6186.66666666667</v>
      </c>
      <c r="AE28" s="118" t="n">
        <f aca="false">AE13*AE27</f>
        <v>6186.66666666667</v>
      </c>
      <c r="AF28" s="118" t="n">
        <f aca="false">AF13*AF27</f>
        <v>6186.66666666667</v>
      </c>
      <c r="AG28" s="118" t="n">
        <f aca="false">AG13*AG27</f>
        <v>6186.66666666667</v>
      </c>
      <c r="AH28" s="118" t="n">
        <f aca="false">AH13*AH27</f>
        <v>6186.66666666667</v>
      </c>
      <c r="AI28" s="118" t="n">
        <f aca="false">AI13*AI27</f>
        <v>6186.66666666667</v>
      </c>
      <c r="AJ28" s="118" t="n">
        <f aca="false">AJ13*AJ27</f>
        <v>6186.66666666667</v>
      </c>
      <c r="AK28" s="118" t="n">
        <f aca="false">AK13*AK27</f>
        <v>6186.66666666667</v>
      </c>
      <c r="AL28" s="118" t="n">
        <f aca="false">AL13*AL27</f>
        <v>4640</v>
      </c>
      <c r="AM28" s="118" t="n">
        <f aca="false">AM13*AM27</f>
        <v>4640</v>
      </c>
      <c r="AN28" s="118" t="n">
        <f aca="false">AN13*AN27</f>
        <v>4640</v>
      </c>
      <c r="AO28" s="118" t="n">
        <f aca="false">AO13*AO27</f>
        <v>6186.66666666667</v>
      </c>
      <c r="AP28" s="118" t="n">
        <f aca="false">AP13*AP27</f>
        <v>6186.66666666667</v>
      </c>
      <c r="AQ28" s="118" t="n">
        <f aca="false">AQ13*AQ27</f>
        <v>6186.66666666667</v>
      </c>
      <c r="AR28" s="118" t="n">
        <f aca="false">AR13*AR27</f>
        <v>6186.66666666667</v>
      </c>
      <c r="AS28" s="118" t="n">
        <f aca="false">AS13*AS27</f>
        <v>6186.66666666667</v>
      </c>
      <c r="AT28" s="118" t="n">
        <f aca="false">AT13*AT27</f>
        <v>6186.66666666667</v>
      </c>
      <c r="AU28" s="118" t="n">
        <f aca="false">AU13*AU27</f>
        <v>6186.66666666667</v>
      </c>
      <c r="AV28" s="118" t="n">
        <f aca="false">AV13*AV27</f>
        <v>6186.66666666667</v>
      </c>
      <c r="AW28" s="118" t="n">
        <f aca="false">AW13*AW27</f>
        <v>6186.66666666667</v>
      </c>
      <c r="AX28" s="118" t="n">
        <f aca="false">AX13*AX27</f>
        <v>4640</v>
      </c>
      <c r="AY28" s="118" t="n">
        <f aca="false">AY13*AY27</f>
        <v>4640</v>
      </c>
      <c r="AZ28" s="118" t="n">
        <f aca="false">AZ13*AZ27</f>
        <v>4640</v>
      </c>
      <c r="BA28" s="118" t="n">
        <f aca="false">BA13*BA27</f>
        <v>6186.66666666667</v>
      </c>
      <c r="BB28" s="118" t="n">
        <f aca="false">BB13*BB27</f>
        <v>6186.66666666667</v>
      </c>
      <c r="BC28" s="118" t="n">
        <f aca="false">BC13*BC27</f>
        <v>6186.66666666667</v>
      </c>
      <c r="BD28" s="118" t="n">
        <f aca="false">BD13*BD27</f>
        <v>6186.66666666667</v>
      </c>
      <c r="BE28" s="118" t="n">
        <f aca="false">BE13*BE27</f>
        <v>6186.66666666667</v>
      </c>
      <c r="BF28" s="118" t="n">
        <f aca="false">BF13*BF27</f>
        <v>6186.66666666667</v>
      </c>
      <c r="BG28" s="118" t="n">
        <f aca="false">BG13*BG27</f>
        <v>6186.66666666667</v>
      </c>
      <c r="BH28" s="118" t="n">
        <f aca="false">BH13*BH27</f>
        <v>6186.66666666667</v>
      </c>
      <c r="BI28" s="118" t="n">
        <f aca="false">BI13*BI27</f>
        <v>6186.66666666667</v>
      </c>
      <c r="BJ28" s="118" t="n">
        <f aca="false">BJ13*BJ27</f>
        <v>4640</v>
      </c>
    </row>
    <row r="29" customFormat="false" ht="15" hidden="false" customHeight="false" outlineLevel="0" collapsed="false">
      <c r="A29" s="6" t="s">
        <v>239</v>
      </c>
      <c r="C29" s="118" t="n">
        <f aca="false">C25*C27</f>
        <v>480.69088</v>
      </c>
      <c r="D29" s="118" t="n">
        <f aca="false">D25*D27</f>
        <v>534.423589333333</v>
      </c>
      <c r="E29" s="118" t="n">
        <f aca="false">E25*E27</f>
        <v>804.140955377778</v>
      </c>
      <c r="F29" s="118" t="n">
        <f aca="false">F25*F27</f>
        <v>915.671792053333</v>
      </c>
      <c r="G29" s="118" t="n">
        <f aca="false">G25*G27</f>
        <v>1038.55821133956</v>
      </c>
      <c r="H29" s="118" t="n">
        <f aca="false">H25*H27</f>
        <v>1172.23243410591</v>
      </c>
      <c r="I29" s="118" t="n">
        <f aca="false">I25*I27</f>
        <v>1316.15507017839</v>
      </c>
      <c r="J29" s="118" t="n">
        <f aca="false">J25*J27</f>
        <v>1469.8136988917</v>
      </c>
      <c r="K29" s="118" t="n">
        <f aca="false">K25*K27</f>
        <v>1632.72152061378</v>
      </c>
      <c r="L29" s="118" t="n">
        <f aca="false">L25*L27</f>
        <v>1804.4160756942</v>
      </c>
      <c r="M29" s="118" t="n">
        <f aca="false">M25*M27</f>
        <v>1984.45802746504</v>
      </c>
      <c r="N29" s="118" t="n">
        <f aca="false">N25*N27</f>
        <v>1615.98095790218</v>
      </c>
      <c r="O29" s="118" t="n">
        <f aca="false">O25*O27</f>
        <v>1735.83001667374</v>
      </c>
      <c r="P29" s="118" t="n">
        <f aca="false">P25*P27</f>
        <v>1855.27211584005</v>
      </c>
      <c r="Q29" s="118" t="n">
        <f aca="false">Q25*Q27</f>
        <v>2643.79694673073</v>
      </c>
      <c r="R29" s="118" t="n">
        <f aca="false">R25*R27</f>
        <v>2824.20016606086</v>
      </c>
      <c r="S29" s="118" t="n">
        <f aca="false">S25*S27</f>
        <v>2995.58322442448</v>
      </c>
      <c r="T29" s="118" t="n">
        <f aca="false">T25*T27</f>
        <v>3158.39712986993</v>
      </c>
      <c r="U29" s="118" t="n">
        <f aca="false">U25*U27</f>
        <v>3313.0703400431</v>
      </c>
      <c r="V29" s="118" t="n">
        <f aca="false">V25*V27</f>
        <v>3460.00988970761</v>
      </c>
      <c r="W29" s="118" t="n">
        <f aca="false">W25*W27</f>
        <v>3599.60246188889</v>
      </c>
      <c r="X29" s="118" t="n">
        <f aca="false">X25*X27</f>
        <v>3732.21540546111</v>
      </c>
      <c r="Y29" s="118" t="n">
        <f aca="false">Y25*Y27</f>
        <v>3858.19770185473</v>
      </c>
      <c r="Z29" s="118" t="n">
        <f aca="false">Z25*Z27</f>
        <v>2969.30506257149</v>
      </c>
      <c r="AA29" s="118" t="n">
        <f aca="false">AA25*AA27</f>
        <v>3027.07340944292</v>
      </c>
      <c r="AB29" s="118" t="n">
        <f aca="false">AB25*AB27</f>
        <v>3081.95333897077</v>
      </c>
      <c r="AC29" s="118" t="n">
        <f aca="false">AC25*AC27</f>
        <v>4197.59316269631</v>
      </c>
      <c r="AD29" s="118" t="n">
        <f aca="false">AD25*AD27</f>
        <v>4300.30657122816</v>
      </c>
      <c r="AE29" s="118" t="n">
        <f aca="false">AE25*AE27</f>
        <v>4397.88430933342</v>
      </c>
      <c r="AF29" s="118" t="n">
        <f aca="false">AF25*AF27</f>
        <v>4490.58316053342</v>
      </c>
      <c r="AG29" s="118" t="n">
        <f aca="false">AG25*AG27</f>
        <v>4578.64706917341</v>
      </c>
      <c r="AH29" s="118" t="n">
        <f aca="false">AH25*AH27</f>
        <v>4662.30778238141</v>
      </c>
      <c r="AI29" s="118" t="n">
        <f aca="false">AI25*AI27</f>
        <v>4741.785459929</v>
      </c>
      <c r="AJ29" s="118" t="n">
        <f aca="false">AJ25*AJ27</f>
        <v>4817.28925359922</v>
      </c>
      <c r="AK29" s="118" t="n">
        <f aca="false">AK25*AK27</f>
        <v>4889.01785758592</v>
      </c>
      <c r="AL29" s="118" t="n">
        <f aca="false">AL25*AL27</f>
        <v>3703.76442352997</v>
      </c>
      <c r="AM29" s="118" t="n">
        <f aca="false">AM25*AM27</f>
        <v>3724.80980235347</v>
      </c>
      <c r="AN29" s="118" t="n">
        <f aca="false">AN25*AN27</f>
        <v>3744.8029122358</v>
      </c>
      <c r="AO29" s="118" t="n">
        <f aca="false">AO25*AO27</f>
        <v>5037.20262216534</v>
      </c>
      <c r="AP29" s="118" t="n">
        <f aca="false">AP25*AP27</f>
        <v>5097.93555772374</v>
      </c>
      <c r="AQ29" s="118" t="n">
        <f aca="false">AQ25*AQ27</f>
        <v>5155.63184650422</v>
      </c>
      <c r="AR29" s="118" t="n">
        <f aca="false">AR25*AR27</f>
        <v>5210.44332084568</v>
      </c>
      <c r="AS29" s="118" t="n">
        <f aca="false">AS25*AS27</f>
        <v>5262.51422147006</v>
      </c>
      <c r="AT29" s="118" t="n">
        <f aca="false">AT25*AT27</f>
        <v>5311.98157706323</v>
      </c>
      <c r="AU29" s="118" t="n">
        <f aca="false">AU25*AU27</f>
        <v>5358.97556487673</v>
      </c>
      <c r="AV29" s="118" t="n">
        <f aca="false">AV25*AV27</f>
        <v>5403.61985329956</v>
      </c>
      <c r="AW29" s="118" t="n">
        <f aca="false">AW25*AW27</f>
        <v>5446.03192730125</v>
      </c>
      <c r="AX29" s="118" t="n">
        <f aca="false">AX25*AX27</f>
        <v>4100.63694820214</v>
      </c>
      <c r="AY29" s="118" t="n">
        <f aca="false">AY25*AY27</f>
        <v>4101.83870079203</v>
      </c>
      <c r="AZ29" s="118" t="n">
        <f aca="false">AZ25*AZ27</f>
        <v>4102.98036575243</v>
      </c>
      <c r="BA29" s="118" t="n">
        <f aca="false">BA25*BA27</f>
        <v>5490.89406328641</v>
      </c>
      <c r="BB29" s="118" t="n">
        <f aca="false">BB25*BB27</f>
        <v>5528.94242678876</v>
      </c>
      <c r="BC29" s="118" t="n">
        <f aca="false">BC25*BC27</f>
        <v>5565.08837211599</v>
      </c>
      <c r="BD29" s="118" t="n">
        <f aca="false">BD25*BD27</f>
        <v>5599.42702017685</v>
      </c>
      <c r="BE29" s="118" t="n">
        <f aca="false">BE25*BE27</f>
        <v>5632.04873583468</v>
      </c>
      <c r="BF29" s="118" t="n">
        <f aca="false">BF25*BF27</f>
        <v>5663.03936570961</v>
      </c>
      <c r="BG29" s="118" t="n">
        <f aca="false">BG25*BG27</f>
        <v>5692.4804640908</v>
      </c>
      <c r="BH29" s="118" t="n">
        <f aca="false">BH25*BH27</f>
        <v>5720.44950755292</v>
      </c>
      <c r="BI29" s="118" t="n">
        <f aca="false">BI25*BI27</f>
        <v>5747.02009884194</v>
      </c>
      <c r="BJ29" s="118" t="n">
        <f aca="false">BJ25*BJ27</f>
        <v>4315.09102042488</v>
      </c>
    </row>
    <row r="30" customFormat="false" ht="15" hidden="false" customHeight="false" outlineLevel="0" collapsed="false">
      <c r="A30" s="4" t="s">
        <v>432</v>
      </c>
      <c r="C30" s="121" t="n">
        <f aca="false">C28+C29</f>
        <v>2104.69088</v>
      </c>
      <c r="D30" s="121" t="n">
        <f aca="false">D28+D29</f>
        <v>2409.75692266667</v>
      </c>
      <c r="E30" s="121" t="n">
        <f aca="false">E28+E29</f>
        <v>3639.69651093333</v>
      </c>
      <c r="F30" s="121" t="n">
        <f aca="false">F28+F29</f>
        <v>4086.33845872</v>
      </c>
      <c r="G30" s="121" t="n">
        <f aca="false">G28+G29</f>
        <v>4544.33598911733</v>
      </c>
      <c r="H30" s="121" t="n">
        <f aca="false">H28+H29</f>
        <v>5013.1213229948</v>
      </c>
      <c r="I30" s="121" t="n">
        <f aca="false">I28+I29</f>
        <v>5492.15507017839</v>
      </c>
      <c r="J30" s="121" t="n">
        <f aca="false">J28+J29</f>
        <v>5980.92481000281</v>
      </c>
      <c r="K30" s="121" t="n">
        <f aca="false">K28+K29</f>
        <v>6478.943742836</v>
      </c>
      <c r="L30" s="121" t="n">
        <f aca="false">L28+L29</f>
        <v>6985.74940902753</v>
      </c>
      <c r="M30" s="121" t="n">
        <f aca="false">M28+M29</f>
        <v>7500.90247190949</v>
      </c>
      <c r="N30" s="121" t="n">
        <f aca="false">N28+N29</f>
        <v>6004.64762456885</v>
      </c>
      <c r="O30" s="121" t="n">
        <f aca="false">O28+O29</f>
        <v>6375.83001667374</v>
      </c>
      <c r="P30" s="121" t="n">
        <f aca="false">P28+P29</f>
        <v>6495.27211584005</v>
      </c>
      <c r="Q30" s="121" t="n">
        <f aca="false">Q28+Q29</f>
        <v>8830.4636133974</v>
      </c>
      <c r="R30" s="121" t="n">
        <f aca="false">R28+R29</f>
        <v>9010.86683272753</v>
      </c>
      <c r="S30" s="121" t="n">
        <f aca="false">S28+S29</f>
        <v>9182.24989109115</v>
      </c>
      <c r="T30" s="121" t="n">
        <f aca="false">T28+T29</f>
        <v>9345.06379653659</v>
      </c>
      <c r="U30" s="121" t="n">
        <f aca="false">U28+U29</f>
        <v>9499.73700670976</v>
      </c>
      <c r="V30" s="121" t="n">
        <f aca="false">V28+V29</f>
        <v>9646.67655637427</v>
      </c>
      <c r="W30" s="121" t="n">
        <f aca="false">W28+W29</f>
        <v>9786.26912855556</v>
      </c>
      <c r="X30" s="121" t="n">
        <f aca="false">X28+X29</f>
        <v>9918.88207212778</v>
      </c>
      <c r="Y30" s="121" t="n">
        <f aca="false">Y28+Y29</f>
        <v>10044.8643685214</v>
      </c>
      <c r="Z30" s="121" t="n">
        <f aca="false">Z28+Z29</f>
        <v>7609.30506257149</v>
      </c>
      <c r="AA30" s="121" t="n">
        <f aca="false">AA28+AA29</f>
        <v>7667.07340944292</v>
      </c>
      <c r="AB30" s="121" t="n">
        <f aca="false">AB28+AB29</f>
        <v>7721.95333897077</v>
      </c>
      <c r="AC30" s="121" t="n">
        <f aca="false">AC28+AC29</f>
        <v>10384.259829363</v>
      </c>
      <c r="AD30" s="121" t="n">
        <f aca="false">AD28+AD29</f>
        <v>10486.9732378948</v>
      </c>
      <c r="AE30" s="121" t="n">
        <f aca="false">AE28+AE29</f>
        <v>10584.5509760001</v>
      </c>
      <c r="AF30" s="121" t="n">
        <f aca="false">AF28+AF29</f>
        <v>10677.2498272001</v>
      </c>
      <c r="AG30" s="121" t="n">
        <f aca="false">AG28+AG29</f>
        <v>10765.3137358401</v>
      </c>
      <c r="AH30" s="121" t="n">
        <f aca="false">AH28+AH29</f>
        <v>10848.9744490481</v>
      </c>
      <c r="AI30" s="121" t="n">
        <f aca="false">AI28+AI29</f>
        <v>10928.4521265957</v>
      </c>
      <c r="AJ30" s="121" t="n">
        <f aca="false">AJ28+AJ29</f>
        <v>11003.9559202659</v>
      </c>
      <c r="AK30" s="121" t="n">
        <f aca="false">AK28+AK29</f>
        <v>11075.6845242526</v>
      </c>
      <c r="AL30" s="121" t="n">
        <f aca="false">AL28+AL29</f>
        <v>8343.76442352997</v>
      </c>
      <c r="AM30" s="121" t="n">
        <f aca="false">AM28+AM29</f>
        <v>8364.80980235347</v>
      </c>
      <c r="AN30" s="121" t="n">
        <f aca="false">AN28+AN29</f>
        <v>8384.8029122358</v>
      </c>
      <c r="AO30" s="121" t="n">
        <f aca="false">AO28+AO29</f>
        <v>11223.869288832</v>
      </c>
      <c r="AP30" s="121" t="n">
        <f aca="false">AP28+AP29</f>
        <v>11284.6022243904</v>
      </c>
      <c r="AQ30" s="121" t="n">
        <f aca="false">AQ28+AQ29</f>
        <v>11342.2985131709</v>
      </c>
      <c r="AR30" s="121" t="n">
        <f aca="false">AR28+AR29</f>
        <v>11397.1099875123</v>
      </c>
      <c r="AS30" s="121" t="n">
        <f aca="false">AS28+AS29</f>
        <v>11449.1808881367</v>
      </c>
      <c r="AT30" s="121" t="n">
        <f aca="false">AT28+AT29</f>
        <v>11498.6482437299</v>
      </c>
      <c r="AU30" s="121" t="n">
        <f aca="false">AU28+AU29</f>
        <v>11545.6422315434</v>
      </c>
      <c r="AV30" s="121" t="n">
        <f aca="false">AV28+AV29</f>
        <v>11590.2865199662</v>
      </c>
      <c r="AW30" s="121" t="n">
        <f aca="false">AW28+AW29</f>
        <v>11632.6985939679</v>
      </c>
      <c r="AX30" s="121" t="n">
        <f aca="false">AX28+AX29</f>
        <v>8740.63694820214</v>
      </c>
      <c r="AY30" s="121" t="n">
        <f aca="false">AY28+AY29</f>
        <v>8741.83870079203</v>
      </c>
      <c r="AZ30" s="121" t="n">
        <f aca="false">AZ28+AZ29</f>
        <v>8742.98036575243</v>
      </c>
      <c r="BA30" s="121" t="n">
        <f aca="false">BA28+BA29</f>
        <v>11677.5607299531</v>
      </c>
      <c r="BB30" s="121" t="n">
        <f aca="false">BB28+BB29</f>
        <v>11715.6090934554</v>
      </c>
      <c r="BC30" s="121" t="n">
        <f aca="false">BC28+BC29</f>
        <v>11751.7550387827</v>
      </c>
      <c r="BD30" s="121" t="n">
        <f aca="false">BD28+BD29</f>
        <v>11786.0936868435</v>
      </c>
      <c r="BE30" s="121" t="n">
        <f aca="false">BE28+BE29</f>
        <v>11818.7154025013</v>
      </c>
      <c r="BF30" s="121" t="n">
        <f aca="false">BF28+BF29</f>
        <v>11849.7060323763</v>
      </c>
      <c r="BG30" s="121" t="n">
        <f aca="false">BG28+BG29</f>
        <v>11879.1471307575</v>
      </c>
      <c r="BH30" s="121" t="n">
        <f aca="false">BH28+BH29</f>
        <v>11907.1161742196</v>
      </c>
      <c r="BI30" s="121" t="n">
        <f aca="false">BI28+BI29</f>
        <v>11933.6867655086</v>
      </c>
      <c r="BJ30" s="121" t="n">
        <f aca="false">BJ28+BJ29</f>
        <v>8955.09102042488</v>
      </c>
    </row>
    <row r="31" customFormat="false" ht="15" hidden="false" customHeight="false" outlineLevel="0" collapsed="false">
      <c r="A31" s="6" t="s">
        <v>242</v>
      </c>
      <c r="C31" s="118" t="n">
        <f aca="false">C13+C25-C30</f>
        <v>0</v>
      </c>
      <c r="D31" s="118" t="n">
        <f aca="false">D13+D25-D30</f>
        <v>0</v>
      </c>
      <c r="E31" s="118" t="n">
        <f aca="false">E13+E25-E30</f>
        <v>0</v>
      </c>
      <c r="F31" s="118" t="n">
        <f aca="false">F13+F25-F30</f>
        <v>0</v>
      </c>
      <c r="G31" s="118" t="n">
        <f aca="false">G13+G25-G30</f>
        <v>0</v>
      </c>
      <c r="H31" s="118" t="n">
        <f aca="false">H13+H25-H30</f>
        <v>0</v>
      </c>
      <c r="I31" s="118" t="n">
        <f aca="false">I13+I25-I30</f>
        <v>0</v>
      </c>
      <c r="J31" s="118" t="n">
        <f aca="false">J13+J25-J30</f>
        <v>0</v>
      </c>
      <c r="K31" s="118" t="n">
        <f aca="false">K13+K25-K30</f>
        <v>0</v>
      </c>
      <c r="L31" s="118" t="n">
        <f aca="false">L13+L25-L30</f>
        <v>0</v>
      </c>
      <c r="M31" s="118" t="n">
        <f aca="false">M13+M25-M30</f>
        <v>0</v>
      </c>
      <c r="N31" s="118" t="n">
        <f aca="false">N13+N25-N30</f>
        <v>0</v>
      </c>
      <c r="O31" s="118" t="n">
        <f aca="false">O13+O25-O30</f>
        <v>0</v>
      </c>
      <c r="P31" s="118" t="n">
        <f aca="false">P13+P25-P30</f>
        <v>0</v>
      </c>
      <c r="Q31" s="118" t="n">
        <f aca="false">Q13+Q25-Q30</f>
        <v>0</v>
      </c>
      <c r="R31" s="118" t="n">
        <f aca="false">R13+R25-R30</f>
        <v>0</v>
      </c>
      <c r="S31" s="118" t="n">
        <f aca="false">S13+S25-S30</f>
        <v>0</v>
      </c>
      <c r="T31" s="118" t="n">
        <f aca="false">T13+T25-T30</f>
        <v>0</v>
      </c>
      <c r="U31" s="118" t="n">
        <f aca="false">U13+U25-U30</f>
        <v>0</v>
      </c>
      <c r="V31" s="118" t="n">
        <f aca="false">V13+V25-V30</f>
        <v>0</v>
      </c>
      <c r="W31" s="118" t="n">
        <f aca="false">W13+W25-W30</f>
        <v>0</v>
      </c>
      <c r="X31" s="118" t="n">
        <f aca="false">X13+X25-X30</f>
        <v>0</v>
      </c>
      <c r="Y31" s="118" t="n">
        <f aca="false">Y13+Y25-Y30</f>
        <v>0</v>
      </c>
      <c r="Z31" s="118" t="n">
        <f aca="false">Z13+Z25-Z30</f>
        <v>0</v>
      </c>
      <c r="AA31" s="118" t="n">
        <f aca="false">AA13+AA25-AA30</f>
        <v>0</v>
      </c>
      <c r="AB31" s="118" t="n">
        <f aca="false">AB13+AB25-AB30</f>
        <v>0</v>
      </c>
      <c r="AC31" s="118" t="n">
        <f aca="false">AC13+AC25-AC30</f>
        <v>0</v>
      </c>
      <c r="AD31" s="118" t="n">
        <f aca="false">AD13+AD25-AD30</f>
        <v>0</v>
      </c>
      <c r="AE31" s="118" t="n">
        <f aca="false">AE13+AE25-AE30</f>
        <v>0</v>
      </c>
      <c r="AF31" s="118" t="n">
        <f aca="false">AF13+AF25-AF30</f>
        <v>0</v>
      </c>
      <c r="AG31" s="118" t="n">
        <f aca="false">AG13+AG25-AG30</f>
        <v>0</v>
      </c>
      <c r="AH31" s="118" t="n">
        <f aca="false">AH13+AH25-AH30</f>
        <v>0</v>
      </c>
      <c r="AI31" s="118" t="n">
        <f aca="false">AI13+AI25-AI30</f>
        <v>0</v>
      </c>
      <c r="AJ31" s="118" t="n">
        <f aca="false">AJ13+AJ25-AJ30</f>
        <v>0</v>
      </c>
      <c r="AK31" s="118" t="n">
        <f aca="false">AK13+AK25-AK30</f>
        <v>0</v>
      </c>
      <c r="AL31" s="118" t="n">
        <f aca="false">AL13+AL25-AL30</f>
        <v>0</v>
      </c>
      <c r="AM31" s="118" t="n">
        <f aca="false">AM13+AM25-AM30</f>
        <v>0</v>
      </c>
      <c r="AN31" s="118" t="n">
        <f aca="false">AN13+AN25-AN30</f>
        <v>0</v>
      </c>
      <c r="AO31" s="118" t="n">
        <f aca="false">AO13+AO25-AO30</f>
        <v>0</v>
      </c>
      <c r="AP31" s="118" t="n">
        <f aca="false">AP13+AP25-AP30</f>
        <v>0</v>
      </c>
      <c r="AQ31" s="118" t="n">
        <f aca="false">AQ13+AQ25-AQ30</f>
        <v>0</v>
      </c>
      <c r="AR31" s="118" t="n">
        <f aca="false">AR13+AR25-AR30</f>
        <v>0</v>
      </c>
      <c r="AS31" s="118" t="n">
        <f aca="false">AS13+AS25-AS30</f>
        <v>0</v>
      </c>
      <c r="AT31" s="118" t="n">
        <f aca="false">AT13+AT25-AT30</f>
        <v>0</v>
      </c>
      <c r="AU31" s="118" t="n">
        <f aca="false">AU13+AU25-AU30</f>
        <v>0</v>
      </c>
      <c r="AV31" s="118" t="n">
        <f aca="false">AV13+AV25-AV30</f>
        <v>0</v>
      </c>
      <c r="AW31" s="118" t="n">
        <f aca="false">AW13+AW25-AW30</f>
        <v>0</v>
      </c>
      <c r="AX31" s="118" t="n">
        <f aca="false">AX13+AX25-AX30</f>
        <v>0</v>
      </c>
      <c r="AY31" s="118" t="n">
        <f aca="false">AY13+AY25-AY30</f>
        <v>0</v>
      </c>
      <c r="AZ31" s="118" t="n">
        <f aca="false">AZ13+AZ25-AZ30</f>
        <v>0</v>
      </c>
      <c r="BA31" s="118" t="n">
        <f aca="false">BA13+BA25-BA30</f>
        <v>0</v>
      </c>
      <c r="BB31" s="118" t="n">
        <f aca="false">BB13+BB25-BB30</f>
        <v>0</v>
      </c>
      <c r="BC31" s="118" t="n">
        <f aca="false">BC13+BC25-BC30</f>
        <v>0</v>
      </c>
      <c r="BD31" s="118" t="n">
        <f aca="false">BD13+BD25-BD30</f>
        <v>0</v>
      </c>
      <c r="BE31" s="118" t="n">
        <f aca="false">BE13+BE25-BE30</f>
        <v>0</v>
      </c>
      <c r="BF31" s="118" t="n">
        <f aca="false">BF13+BF25-BF30</f>
        <v>0</v>
      </c>
      <c r="BG31" s="118" t="n">
        <f aca="false">BG13+BG25-BG30</f>
        <v>0</v>
      </c>
      <c r="BH31" s="118" t="n">
        <f aca="false">BH13+BH25-BH30</f>
        <v>0</v>
      </c>
      <c r="BI31" s="118" t="n">
        <f aca="false">BI13+BI25-BI30</f>
        <v>0</v>
      </c>
      <c r="BJ31" s="118" t="n">
        <f aca="false">BJ13+BJ25-BJ30</f>
        <v>0</v>
      </c>
    </row>
    <row r="33" customFormat="false" ht="15.75" hidden="false" customHeight="true" outlineLevel="0" collapsed="false">
      <c r="A33" s="7" t="s">
        <v>44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customFormat="false" ht="15" hidden="false" customHeight="false" outlineLevel="0" collapsed="false">
      <c r="A34" s="6" t="s">
        <v>433</v>
      </c>
      <c r="C34" s="122" t="n">
        <f aca="false">Inputs!$B$27*(1+Inputs!$B$30)^(C$7-1)</f>
        <v>12</v>
      </c>
      <c r="D34" s="122" t="n">
        <f aca="false">Inputs!$B$27*(1+Inputs!$B$30)^(D$7-1)</f>
        <v>12</v>
      </c>
      <c r="E34" s="122" t="n">
        <f aca="false">Inputs!$B$27*(1+Inputs!$B$30)^(E$7-1)</f>
        <v>12</v>
      </c>
      <c r="F34" s="122" t="n">
        <f aca="false">Inputs!$B$27*(1+Inputs!$B$30)^(F$7-1)</f>
        <v>12</v>
      </c>
      <c r="G34" s="122" t="n">
        <f aca="false">Inputs!$B$27*(1+Inputs!$B$30)^(G$7-1)</f>
        <v>12</v>
      </c>
      <c r="H34" s="122" t="n">
        <f aca="false">Inputs!$B$27*(1+Inputs!$B$30)^(H$7-1)</f>
        <v>12</v>
      </c>
      <c r="I34" s="122" t="n">
        <f aca="false">Inputs!$B$27*(1+Inputs!$B$30)^(I$7-1)</f>
        <v>12</v>
      </c>
      <c r="J34" s="122" t="n">
        <f aca="false">Inputs!$B$27*(1+Inputs!$B$30)^(J$7-1)</f>
        <v>12</v>
      </c>
      <c r="K34" s="122" t="n">
        <f aca="false">Inputs!$B$27*(1+Inputs!$B$30)^(K$7-1)</f>
        <v>12</v>
      </c>
      <c r="L34" s="122" t="n">
        <f aca="false">Inputs!$B$27*(1+Inputs!$B$30)^(L$7-1)</f>
        <v>12</v>
      </c>
      <c r="M34" s="122" t="n">
        <f aca="false">Inputs!$B$27*(1+Inputs!$B$30)^(M$7-1)</f>
        <v>12</v>
      </c>
      <c r="N34" s="122" t="n">
        <f aca="false">Inputs!$B$27*(1+Inputs!$B$30)^(N$7-1)</f>
        <v>12</v>
      </c>
      <c r="O34" s="122" t="n">
        <f aca="false">Inputs!$B$27*(1+Inputs!$B$30)^(O$7-1)</f>
        <v>12.12</v>
      </c>
      <c r="P34" s="122" t="n">
        <f aca="false">Inputs!$B$27*(1+Inputs!$B$30)^(P$7-1)</f>
        <v>12.12</v>
      </c>
      <c r="Q34" s="122" t="n">
        <f aca="false">Inputs!$B$27*(1+Inputs!$B$30)^(Q$7-1)</f>
        <v>12.12</v>
      </c>
      <c r="R34" s="122" t="n">
        <f aca="false">Inputs!$B$27*(1+Inputs!$B$30)^(R$7-1)</f>
        <v>12.12</v>
      </c>
      <c r="S34" s="122" t="n">
        <f aca="false">Inputs!$B$27*(1+Inputs!$B$30)^(S$7-1)</f>
        <v>12.12</v>
      </c>
      <c r="T34" s="122" t="n">
        <f aca="false">Inputs!$B$27*(1+Inputs!$B$30)^(T$7-1)</f>
        <v>12.12</v>
      </c>
      <c r="U34" s="122" t="n">
        <f aca="false">Inputs!$B$27*(1+Inputs!$B$30)^(U$7-1)</f>
        <v>12.12</v>
      </c>
      <c r="V34" s="122" t="n">
        <f aca="false">Inputs!$B$27*(1+Inputs!$B$30)^(V$7-1)</f>
        <v>12.12</v>
      </c>
      <c r="W34" s="122" t="n">
        <f aca="false">Inputs!$B$27*(1+Inputs!$B$30)^(W$7-1)</f>
        <v>12.12</v>
      </c>
      <c r="X34" s="122" t="n">
        <f aca="false">Inputs!$B$27*(1+Inputs!$B$30)^(X$7-1)</f>
        <v>12.12</v>
      </c>
      <c r="Y34" s="122" t="n">
        <f aca="false">Inputs!$B$27*(1+Inputs!$B$30)^(Y$7-1)</f>
        <v>12.12</v>
      </c>
      <c r="Z34" s="122" t="n">
        <f aca="false">Inputs!$B$27*(1+Inputs!$B$30)^(Z$7-1)</f>
        <v>12.12</v>
      </c>
      <c r="AA34" s="122" t="n">
        <f aca="false">Inputs!$B$27*(1+Inputs!$B$30)^(AA$7-1)</f>
        <v>12.2412</v>
      </c>
      <c r="AB34" s="122" t="n">
        <f aca="false">Inputs!$B$27*(1+Inputs!$B$30)^(AB$7-1)</f>
        <v>12.2412</v>
      </c>
      <c r="AC34" s="122" t="n">
        <f aca="false">Inputs!$B$27*(1+Inputs!$B$30)^(AC$7-1)</f>
        <v>12.2412</v>
      </c>
      <c r="AD34" s="122" t="n">
        <f aca="false">Inputs!$B$27*(1+Inputs!$B$30)^(AD$7-1)</f>
        <v>12.2412</v>
      </c>
      <c r="AE34" s="122" t="n">
        <f aca="false">Inputs!$B$27*(1+Inputs!$B$30)^(AE$7-1)</f>
        <v>12.2412</v>
      </c>
      <c r="AF34" s="122" t="n">
        <f aca="false">Inputs!$B$27*(1+Inputs!$B$30)^(AF$7-1)</f>
        <v>12.2412</v>
      </c>
      <c r="AG34" s="122" t="n">
        <f aca="false">Inputs!$B$27*(1+Inputs!$B$30)^(AG$7-1)</f>
        <v>12.2412</v>
      </c>
      <c r="AH34" s="122" t="n">
        <f aca="false">Inputs!$B$27*(1+Inputs!$B$30)^(AH$7-1)</f>
        <v>12.2412</v>
      </c>
      <c r="AI34" s="122" t="n">
        <f aca="false">Inputs!$B$27*(1+Inputs!$B$30)^(AI$7-1)</f>
        <v>12.2412</v>
      </c>
      <c r="AJ34" s="122" t="n">
        <f aca="false">Inputs!$B$27*(1+Inputs!$B$30)^(AJ$7-1)</f>
        <v>12.2412</v>
      </c>
      <c r="AK34" s="122" t="n">
        <f aca="false">Inputs!$B$27*(1+Inputs!$B$30)^(AK$7-1)</f>
        <v>12.2412</v>
      </c>
      <c r="AL34" s="122" t="n">
        <f aca="false">Inputs!$B$27*(1+Inputs!$B$30)^(AL$7-1)</f>
        <v>12.2412</v>
      </c>
      <c r="AM34" s="122" t="n">
        <f aca="false">Inputs!$B$27*(1+Inputs!$B$30)^(AM$7-1)</f>
        <v>12.363612</v>
      </c>
      <c r="AN34" s="122" t="n">
        <f aca="false">Inputs!$B$27*(1+Inputs!$B$30)^(AN$7-1)</f>
        <v>12.363612</v>
      </c>
      <c r="AO34" s="122" t="n">
        <f aca="false">Inputs!$B$27*(1+Inputs!$B$30)^(AO$7-1)</f>
        <v>12.363612</v>
      </c>
      <c r="AP34" s="122" t="n">
        <f aca="false">Inputs!$B$27*(1+Inputs!$B$30)^(AP$7-1)</f>
        <v>12.363612</v>
      </c>
      <c r="AQ34" s="122" t="n">
        <f aca="false">Inputs!$B$27*(1+Inputs!$B$30)^(AQ$7-1)</f>
        <v>12.363612</v>
      </c>
      <c r="AR34" s="122" t="n">
        <f aca="false">Inputs!$B$27*(1+Inputs!$B$30)^(AR$7-1)</f>
        <v>12.363612</v>
      </c>
      <c r="AS34" s="122" t="n">
        <f aca="false">Inputs!$B$27*(1+Inputs!$B$30)^(AS$7-1)</f>
        <v>12.363612</v>
      </c>
      <c r="AT34" s="122" t="n">
        <f aca="false">Inputs!$B$27*(1+Inputs!$B$30)^(AT$7-1)</f>
        <v>12.363612</v>
      </c>
      <c r="AU34" s="122" t="n">
        <f aca="false">Inputs!$B$27*(1+Inputs!$B$30)^(AU$7-1)</f>
        <v>12.363612</v>
      </c>
      <c r="AV34" s="122" t="n">
        <f aca="false">Inputs!$B$27*(1+Inputs!$B$30)^(AV$7-1)</f>
        <v>12.363612</v>
      </c>
      <c r="AW34" s="122" t="n">
        <f aca="false">Inputs!$B$27*(1+Inputs!$B$30)^(AW$7-1)</f>
        <v>12.363612</v>
      </c>
      <c r="AX34" s="122" t="n">
        <f aca="false">Inputs!$B$27*(1+Inputs!$B$30)^(AX$7-1)</f>
        <v>12.363612</v>
      </c>
      <c r="AY34" s="122" t="n">
        <f aca="false">Inputs!$B$27*(1+Inputs!$B$30)^(AY$7-1)</f>
        <v>12.48724812</v>
      </c>
      <c r="AZ34" s="122" t="n">
        <f aca="false">Inputs!$B$27*(1+Inputs!$B$30)^(AZ$7-1)</f>
        <v>12.48724812</v>
      </c>
      <c r="BA34" s="122" t="n">
        <f aca="false">Inputs!$B$27*(1+Inputs!$B$30)^(BA$7-1)</f>
        <v>12.48724812</v>
      </c>
      <c r="BB34" s="122" t="n">
        <f aca="false">Inputs!$B$27*(1+Inputs!$B$30)^(BB$7-1)</f>
        <v>12.48724812</v>
      </c>
      <c r="BC34" s="122" t="n">
        <f aca="false">Inputs!$B$27*(1+Inputs!$B$30)^(BC$7-1)</f>
        <v>12.48724812</v>
      </c>
      <c r="BD34" s="122" t="n">
        <f aca="false">Inputs!$B$27*(1+Inputs!$B$30)^(BD$7-1)</f>
        <v>12.48724812</v>
      </c>
      <c r="BE34" s="122" t="n">
        <f aca="false">Inputs!$B$27*(1+Inputs!$B$30)^(BE$7-1)</f>
        <v>12.48724812</v>
      </c>
      <c r="BF34" s="122" t="n">
        <f aca="false">Inputs!$B$27*(1+Inputs!$B$30)^(BF$7-1)</f>
        <v>12.48724812</v>
      </c>
      <c r="BG34" s="122" t="n">
        <f aca="false">Inputs!$B$27*(1+Inputs!$B$30)^(BG$7-1)</f>
        <v>12.48724812</v>
      </c>
      <c r="BH34" s="122" t="n">
        <f aca="false">Inputs!$B$27*(1+Inputs!$B$30)^(BH$7-1)</f>
        <v>12.48724812</v>
      </c>
      <c r="BI34" s="122" t="n">
        <f aca="false">Inputs!$B$27*(1+Inputs!$B$30)^(BI$7-1)</f>
        <v>12.48724812</v>
      </c>
      <c r="BJ34" s="122" t="n">
        <f aca="false">Inputs!$B$27*(1+Inputs!$B$30)^(BJ$7-1)</f>
        <v>12.48724812</v>
      </c>
    </row>
    <row r="35" customFormat="false" ht="15" hidden="false" customHeight="false" outlineLevel="0" collapsed="false">
      <c r="A35" s="6" t="s">
        <v>434</v>
      </c>
      <c r="C35" s="122" t="n">
        <f aca="false">Inputs!$B$29*(1+Inputs!$B$30)^(C$7-1)</f>
        <v>32</v>
      </c>
      <c r="D35" s="122" t="n">
        <f aca="false">Inputs!$B$29*(1+Inputs!$B$30)^(D$7-1)</f>
        <v>32</v>
      </c>
      <c r="E35" s="122" t="n">
        <f aca="false">Inputs!$B$29*(1+Inputs!$B$30)^(E$7-1)</f>
        <v>32</v>
      </c>
      <c r="F35" s="122" t="n">
        <f aca="false">Inputs!$B$29*(1+Inputs!$B$30)^(F$7-1)</f>
        <v>32</v>
      </c>
      <c r="G35" s="122" t="n">
        <f aca="false">Inputs!$B$29*(1+Inputs!$B$30)^(G$7-1)</f>
        <v>32</v>
      </c>
      <c r="H35" s="122" t="n">
        <f aca="false">Inputs!$B$29*(1+Inputs!$B$30)^(H$7-1)</f>
        <v>32</v>
      </c>
      <c r="I35" s="122" t="n">
        <f aca="false">Inputs!$B$29*(1+Inputs!$B$30)^(I$7-1)</f>
        <v>32</v>
      </c>
      <c r="J35" s="122" t="n">
        <f aca="false">Inputs!$B$29*(1+Inputs!$B$30)^(J$7-1)</f>
        <v>32</v>
      </c>
      <c r="K35" s="122" t="n">
        <f aca="false">Inputs!$B$29*(1+Inputs!$B$30)^(K$7-1)</f>
        <v>32</v>
      </c>
      <c r="L35" s="122" t="n">
        <f aca="false">Inputs!$B$29*(1+Inputs!$B$30)^(L$7-1)</f>
        <v>32</v>
      </c>
      <c r="M35" s="122" t="n">
        <f aca="false">Inputs!$B$29*(1+Inputs!$B$30)^(M$7-1)</f>
        <v>32</v>
      </c>
      <c r="N35" s="122" t="n">
        <f aca="false">Inputs!$B$29*(1+Inputs!$B$30)^(N$7-1)</f>
        <v>32</v>
      </c>
      <c r="O35" s="122" t="n">
        <f aca="false">Inputs!$B$29*(1+Inputs!$B$30)^(O$7-1)</f>
        <v>32.32</v>
      </c>
      <c r="P35" s="122" t="n">
        <f aca="false">Inputs!$B$29*(1+Inputs!$B$30)^(P$7-1)</f>
        <v>32.32</v>
      </c>
      <c r="Q35" s="122" t="n">
        <f aca="false">Inputs!$B$29*(1+Inputs!$B$30)^(Q$7-1)</f>
        <v>32.32</v>
      </c>
      <c r="R35" s="122" t="n">
        <f aca="false">Inputs!$B$29*(1+Inputs!$B$30)^(R$7-1)</f>
        <v>32.32</v>
      </c>
      <c r="S35" s="122" t="n">
        <f aca="false">Inputs!$B$29*(1+Inputs!$B$30)^(S$7-1)</f>
        <v>32.32</v>
      </c>
      <c r="T35" s="122" t="n">
        <f aca="false">Inputs!$B$29*(1+Inputs!$B$30)^(T$7-1)</f>
        <v>32.32</v>
      </c>
      <c r="U35" s="122" t="n">
        <f aca="false">Inputs!$B$29*(1+Inputs!$B$30)^(U$7-1)</f>
        <v>32.32</v>
      </c>
      <c r="V35" s="122" t="n">
        <f aca="false">Inputs!$B$29*(1+Inputs!$B$30)^(V$7-1)</f>
        <v>32.32</v>
      </c>
      <c r="W35" s="122" t="n">
        <f aca="false">Inputs!$B$29*(1+Inputs!$B$30)^(W$7-1)</f>
        <v>32.32</v>
      </c>
      <c r="X35" s="122" t="n">
        <f aca="false">Inputs!$B$29*(1+Inputs!$B$30)^(X$7-1)</f>
        <v>32.32</v>
      </c>
      <c r="Y35" s="122" t="n">
        <f aca="false">Inputs!$B$29*(1+Inputs!$B$30)^(Y$7-1)</f>
        <v>32.32</v>
      </c>
      <c r="Z35" s="122" t="n">
        <f aca="false">Inputs!$B$29*(1+Inputs!$B$30)^(Z$7-1)</f>
        <v>32.32</v>
      </c>
      <c r="AA35" s="122" t="n">
        <f aca="false">Inputs!$B$29*(1+Inputs!$B$30)^(AA$7-1)</f>
        <v>32.6432</v>
      </c>
      <c r="AB35" s="122" t="n">
        <f aca="false">Inputs!$B$29*(1+Inputs!$B$30)^(AB$7-1)</f>
        <v>32.6432</v>
      </c>
      <c r="AC35" s="122" t="n">
        <f aca="false">Inputs!$B$29*(1+Inputs!$B$30)^(AC$7-1)</f>
        <v>32.6432</v>
      </c>
      <c r="AD35" s="122" t="n">
        <f aca="false">Inputs!$B$29*(1+Inputs!$B$30)^(AD$7-1)</f>
        <v>32.6432</v>
      </c>
      <c r="AE35" s="122" t="n">
        <f aca="false">Inputs!$B$29*(1+Inputs!$B$30)^(AE$7-1)</f>
        <v>32.6432</v>
      </c>
      <c r="AF35" s="122" t="n">
        <f aca="false">Inputs!$B$29*(1+Inputs!$B$30)^(AF$7-1)</f>
        <v>32.6432</v>
      </c>
      <c r="AG35" s="122" t="n">
        <f aca="false">Inputs!$B$29*(1+Inputs!$B$30)^(AG$7-1)</f>
        <v>32.6432</v>
      </c>
      <c r="AH35" s="122" t="n">
        <f aca="false">Inputs!$B$29*(1+Inputs!$B$30)^(AH$7-1)</f>
        <v>32.6432</v>
      </c>
      <c r="AI35" s="122" t="n">
        <f aca="false">Inputs!$B$29*(1+Inputs!$B$30)^(AI$7-1)</f>
        <v>32.6432</v>
      </c>
      <c r="AJ35" s="122" t="n">
        <f aca="false">Inputs!$B$29*(1+Inputs!$B$30)^(AJ$7-1)</f>
        <v>32.6432</v>
      </c>
      <c r="AK35" s="122" t="n">
        <f aca="false">Inputs!$B$29*(1+Inputs!$B$30)^(AK$7-1)</f>
        <v>32.6432</v>
      </c>
      <c r="AL35" s="122" t="n">
        <f aca="false">Inputs!$B$29*(1+Inputs!$B$30)^(AL$7-1)</f>
        <v>32.6432</v>
      </c>
      <c r="AM35" s="122" t="n">
        <f aca="false">Inputs!$B$29*(1+Inputs!$B$30)^(AM$7-1)</f>
        <v>32.969632</v>
      </c>
      <c r="AN35" s="122" t="n">
        <f aca="false">Inputs!$B$29*(1+Inputs!$B$30)^(AN$7-1)</f>
        <v>32.969632</v>
      </c>
      <c r="AO35" s="122" t="n">
        <f aca="false">Inputs!$B$29*(1+Inputs!$B$30)^(AO$7-1)</f>
        <v>32.969632</v>
      </c>
      <c r="AP35" s="122" t="n">
        <f aca="false">Inputs!$B$29*(1+Inputs!$B$30)^(AP$7-1)</f>
        <v>32.969632</v>
      </c>
      <c r="AQ35" s="122" t="n">
        <f aca="false">Inputs!$B$29*(1+Inputs!$B$30)^(AQ$7-1)</f>
        <v>32.969632</v>
      </c>
      <c r="AR35" s="122" t="n">
        <f aca="false">Inputs!$B$29*(1+Inputs!$B$30)^(AR$7-1)</f>
        <v>32.969632</v>
      </c>
      <c r="AS35" s="122" t="n">
        <f aca="false">Inputs!$B$29*(1+Inputs!$B$30)^(AS$7-1)</f>
        <v>32.969632</v>
      </c>
      <c r="AT35" s="122" t="n">
        <f aca="false">Inputs!$B$29*(1+Inputs!$B$30)^(AT$7-1)</f>
        <v>32.969632</v>
      </c>
      <c r="AU35" s="122" t="n">
        <f aca="false">Inputs!$B$29*(1+Inputs!$B$30)^(AU$7-1)</f>
        <v>32.969632</v>
      </c>
      <c r="AV35" s="122" t="n">
        <f aca="false">Inputs!$B$29*(1+Inputs!$B$30)^(AV$7-1)</f>
        <v>32.969632</v>
      </c>
      <c r="AW35" s="122" t="n">
        <f aca="false">Inputs!$B$29*(1+Inputs!$B$30)^(AW$7-1)</f>
        <v>32.969632</v>
      </c>
      <c r="AX35" s="122" t="n">
        <f aca="false">Inputs!$B$29*(1+Inputs!$B$30)^(AX$7-1)</f>
        <v>32.969632</v>
      </c>
      <c r="AY35" s="122" t="n">
        <f aca="false">Inputs!$B$29*(1+Inputs!$B$30)^(AY$7-1)</f>
        <v>33.29932832</v>
      </c>
      <c r="AZ35" s="122" t="n">
        <f aca="false">Inputs!$B$29*(1+Inputs!$B$30)^(AZ$7-1)</f>
        <v>33.29932832</v>
      </c>
      <c r="BA35" s="122" t="n">
        <f aca="false">Inputs!$B$29*(1+Inputs!$B$30)^(BA$7-1)</f>
        <v>33.29932832</v>
      </c>
      <c r="BB35" s="122" t="n">
        <f aca="false">Inputs!$B$29*(1+Inputs!$B$30)^(BB$7-1)</f>
        <v>33.29932832</v>
      </c>
      <c r="BC35" s="122" t="n">
        <f aca="false">Inputs!$B$29*(1+Inputs!$B$30)^(BC$7-1)</f>
        <v>33.29932832</v>
      </c>
      <c r="BD35" s="122" t="n">
        <f aca="false">Inputs!$B$29*(1+Inputs!$B$30)^(BD$7-1)</f>
        <v>33.29932832</v>
      </c>
      <c r="BE35" s="122" t="n">
        <f aca="false">Inputs!$B$29*(1+Inputs!$B$30)^(BE$7-1)</f>
        <v>33.29932832</v>
      </c>
      <c r="BF35" s="122" t="n">
        <f aca="false">Inputs!$B$29*(1+Inputs!$B$30)^(BF$7-1)</f>
        <v>33.29932832</v>
      </c>
      <c r="BG35" s="122" t="n">
        <f aca="false">Inputs!$B$29*(1+Inputs!$B$30)^(BG$7-1)</f>
        <v>33.29932832</v>
      </c>
      <c r="BH35" s="122" t="n">
        <f aca="false">Inputs!$B$29*(1+Inputs!$B$30)^(BH$7-1)</f>
        <v>33.29932832</v>
      </c>
      <c r="BI35" s="122" t="n">
        <f aca="false">Inputs!$B$29*(1+Inputs!$B$30)^(BI$7-1)</f>
        <v>33.29932832</v>
      </c>
      <c r="BJ35" s="122" t="n">
        <f aca="false">Inputs!$B$29*(1+Inputs!$B$30)^(BJ$7-1)</f>
        <v>33.29932832</v>
      </c>
    </row>
    <row r="36" customFormat="false" ht="15" hidden="false" customHeight="false" outlineLevel="0" collapsed="false">
      <c r="A36" s="6" t="s">
        <v>435</v>
      </c>
      <c r="C36" s="69" t="n">
        <f aca="false">C28*C34</f>
        <v>19488</v>
      </c>
      <c r="D36" s="69" t="n">
        <f aca="false">D28*D34</f>
        <v>22504</v>
      </c>
      <c r="E36" s="69" t="n">
        <f aca="false">E28*E34</f>
        <v>34026.6666666667</v>
      </c>
      <c r="F36" s="69" t="n">
        <f aca="false">F28*F34</f>
        <v>38048</v>
      </c>
      <c r="G36" s="69" t="n">
        <f aca="false">G28*G34</f>
        <v>42069.3333333333</v>
      </c>
      <c r="H36" s="69" t="n">
        <f aca="false">H28*H34</f>
        <v>46090.6666666667</v>
      </c>
      <c r="I36" s="69" t="n">
        <f aca="false">I28*I34</f>
        <v>50112</v>
      </c>
      <c r="J36" s="69" t="n">
        <f aca="false">J28*J34</f>
        <v>54133.3333333333</v>
      </c>
      <c r="K36" s="69" t="n">
        <f aca="false">K28*K34</f>
        <v>58154.6666666667</v>
      </c>
      <c r="L36" s="69" t="n">
        <f aca="false">L28*L34</f>
        <v>62176</v>
      </c>
      <c r="M36" s="69" t="n">
        <f aca="false">M28*M34</f>
        <v>66197.3333333333</v>
      </c>
      <c r="N36" s="69" t="n">
        <f aca="false">N28*N34</f>
        <v>52664</v>
      </c>
      <c r="O36" s="69" t="n">
        <f aca="false">O28*O34</f>
        <v>56236.8</v>
      </c>
      <c r="P36" s="69" t="n">
        <f aca="false">P28*P34</f>
        <v>56236.8</v>
      </c>
      <c r="Q36" s="69" t="n">
        <f aca="false">Q28*Q34</f>
        <v>74982.4</v>
      </c>
      <c r="R36" s="69" t="n">
        <f aca="false">R28*R34</f>
        <v>74982.4</v>
      </c>
      <c r="S36" s="69" t="n">
        <f aca="false">S28*S34</f>
        <v>74982.4</v>
      </c>
      <c r="T36" s="69" t="n">
        <f aca="false">T28*T34</f>
        <v>74982.4</v>
      </c>
      <c r="U36" s="69" t="n">
        <f aca="false">U28*U34</f>
        <v>74982.4</v>
      </c>
      <c r="V36" s="69" t="n">
        <f aca="false">V28*V34</f>
        <v>74982.4</v>
      </c>
      <c r="W36" s="69" t="n">
        <f aca="false">W28*W34</f>
        <v>74982.4</v>
      </c>
      <c r="X36" s="69" t="n">
        <f aca="false">X28*X34</f>
        <v>74982.4</v>
      </c>
      <c r="Y36" s="69" t="n">
        <f aca="false">Y28*Y34</f>
        <v>74982.4</v>
      </c>
      <c r="Z36" s="69" t="n">
        <f aca="false">Z28*Z34</f>
        <v>56236.8</v>
      </c>
      <c r="AA36" s="69" t="n">
        <f aca="false">AA28*AA34</f>
        <v>56799.168</v>
      </c>
      <c r="AB36" s="69" t="n">
        <f aca="false">AB28*AB34</f>
        <v>56799.168</v>
      </c>
      <c r="AC36" s="69" t="n">
        <f aca="false">AC28*AC34</f>
        <v>75732.224</v>
      </c>
      <c r="AD36" s="69" t="n">
        <f aca="false">AD28*AD34</f>
        <v>75732.224</v>
      </c>
      <c r="AE36" s="69" t="n">
        <f aca="false">AE28*AE34</f>
        <v>75732.224</v>
      </c>
      <c r="AF36" s="69" t="n">
        <f aca="false">AF28*AF34</f>
        <v>75732.224</v>
      </c>
      <c r="AG36" s="69" t="n">
        <f aca="false">AG28*AG34</f>
        <v>75732.224</v>
      </c>
      <c r="AH36" s="69" t="n">
        <f aca="false">AH28*AH34</f>
        <v>75732.224</v>
      </c>
      <c r="AI36" s="69" t="n">
        <f aca="false">AI28*AI34</f>
        <v>75732.224</v>
      </c>
      <c r="AJ36" s="69" t="n">
        <f aca="false">AJ28*AJ34</f>
        <v>75732.224</v>
      </c>
      <c r="AK36" s="69" t="n">
        <f aca="false">AK28*AK34</f>
        <v>75732.224</v>
      </c>
      <c r="AL36" s="69" t="n">
        <f aca="false">AL28*AL34</f>
        <v>56799.168</v>
      </c>
      <c r="AM36" s="69" t="n">
        <f aca="false">AM28*AM34</f>
        <v>57367.15968</v>
      </c>
      <c r="AN36" s="69" t="n">
        <f aca="false">AN28*AN34</f>
        <v>57367.15968</v>
      </c>
      <c r="AO36" s="69" t="n">
        <f aca="false">AO28*AO34</f>
        <v>76489.54624</v>
      </c>
      <c r="AP36" s="69" t="n">
        <f aca="false">AP28*AP34</f>
        <v>76489.54624</v>
      </c>
      <c r="AQ36" s="69" t="n">
        <f aca="false">AQ28*AQ34</f>
        <v>76489.54624</v>
      </c>
      <c r="AR36" s="69" t="n">
        <f aca="false">AR28*AR34</f>
        <v>76489.54624</v>
      </c>
      <c r="AS36" s="69" t="n">
        <f aca="false">AS28*AS34</f>
        <v>76489.54624</v>
      </c>
      <c r="AT36" s="69" t="n">
        <f aca="false">AT28*AT34</f>
        <v>76489.54624</v>
      </c>
      <c r="AU36" s="69" t="n">
        <f aca="false">AU28*AU34</f>
        <v>76489.54624</v>
      </c>
      <c r="AV36" s="69" t="n">
        <f aca="false">AV28*AV34</f>
        <v>76489.54624</v>
      </c>
      <c r="AW36" s="69" t="n">
        <f aca="false">AW28*AW34</f>
        <v>76489.54624</v>
      </c>
      <c r="AX36" s="69" t="n">
        <f aca="false">AX28*AX34</f>
        <v>57367.15968</v>
      </c>
      <c r="AY36" s="69" t="n">
        <f aca="false">AY28*AY34</f>
        <v>57940.8312768</v>
      </c>
      <c r="AZ36" s="69" t="n">
        <f aca="false">AZ28*AZ34</f>
        <v>57940.8312768</v>
      </c>
      <c r="BA36" s="69" t="n">
        <f aca="false">BA28*BA34</f>
        <v>77254.4417024</v>
      </c>
      <c r="BB36" s="69" t="n">
        <f aca="false">BB28*BB34</f>
        <v>77254.4417024</v>
      </c>
      <c r="BC36" s="69" t="n">
        <f aca="false">BC28*BC34</f>
        <v>77254.4417024</v>
      </c>
      <c r="BD36" s="69" t="n">
        <f aca="false">BD28*BD34</f>
        <v>77254.4417024</v>
      </c>
      <c r="BE36" s="69" t="n">
        <f aca="false">BE28*BE34</f>
        <v>77254.4417024</v>
      </c>
      <c r="BF36" s="69" t="n">
        <f aca="false">BF28*BF34</f>
        <v>77254.4417024</v>
      </c>
      <c r="BG36" s="69" t="n">
        <f aca="false">BG28*BG34</f>
        <v>77254.4417024</v>
      </c>
      <c r="BH36" s="69" t="n">
        <f aca="false">BH28*BH34</f>
        <v>77254.4417024</v>
      </c>
      <c r="BI36" s="69" t="n">
        <f aca="false">BI28*BI34</f>
        <v>77254.4417024</v>
      </c>
      <c r="BJ36" s="69" t="n">
        <f aca="false">BJ28*BJ34</f>
        <v>57940.8312768</v>
      </c>
    </row>
    <row r="37" customFormat="false" ht="15" hidden="false" customHeight="false" outlineLevel="0" collapsed="false">
      <c r="A37" s="6" t="s">
        <v>436</v>
      </c>
      <c r="C37" s="69" t="n">
        <f aca="false">C28*Inputs!$B$28*(1+Inputs!$B$30)^(C$7-1)</f>
        <v>1948.8</v>
      </c>
      <c r="D37" s="69" t="n">
        <f aca="false">D28*Inputs!$B$28*(1+Inputs!$B$30)^(D$7-1)</f>
        <v>2250.4</v>
      </c>
      <c r="E37" s="69" t="n">
        <f aca="false">E28*Inputs!$B$28*(1+Inputs!$B$30)^(E$7-1)</f>
        <v>3402.66666666667</v>
      </c>
      <c r="F37" s="69" t="n">
        <f aca="false">F28*Inputs!$B$28*(1+Inputs!$B$30)^(F$7-1)</f>
        <v>3804.8</v>
      </c>
      <c r="G37" s="69" t="n">
        <f aca="false">G28*Inputs!$B$28*(1+Inputs!$B$30)^(G$7-1)</f>
        <v>4206.93333333333</v>
      </c>
      <c r="H37" s="69" t="n">
        <f aca="false">H28*Inputs!$B$28*(1+Inputs!$B$30)^(H$7-1)</f>
        <v>4609.06666666667</v>
      </c>
      <c r="I37" s="69" t="n">
        <f aca="false">I28*Inputs!$B$28*(1+Inputs!$B$30)^(I$7-1)</f>
        <v>5011.2</v>
      </c>
      <c r="J37" s="69" t="n">
        <f aca="false">J28*Inputs!$B$28*(1+Inputs!$B$30)^(J$7-1)</f>
        <v>5413.33333333333</v>
      </c>
      <c r="K37" s="69" t="n">
        <f aca="false">K28*Inputs!$B$28*(1+Inputs!$B$30)^(K$7-1)</f>
        <v>5815.46666666667</v>
      </c>
      <c r="L37" s="69" t="n">
        <f aca="false">L28*Inputs!$B$28*(1+Inputs!$B$30)^(L$7-1)</f>
        <v>6217.6</v>
      </c>
      <c r="M37" s="69" t="n">
        <f aca="false">M28*Inputs!$B$28*(1+Inputs!$B$30)^(M$7-1)</f>
        <v>6619.73333333333</v>
      </c>
      <c r="N37" s="69" t="n">
        <f aca="false">N28*Inputs!$B$28*(1+Inputs!$B$30)^(N$7-1)</f>
        <v>5266.4</v>
      </c>
      <c r="O37" s="69" t="n">
        <f aca="false">O28*Inputs!$B$28*(1+Inputs!$B$30)^(O$7-1)</f>
        <v>5623.68</v>
      </c>
      <c r="P37" s="69" t="n">
        <f aca="false">P28*Inputs!$B$28*(1+Inputs!$B$30)^(P$7-1)</f>
        <v>5623.68</v>
      </c>
      <c r="Q37" s="69" t="n">
        <f aca="false">Q28*Inputs!$B$28*(1+Inputs!$B$30)^(Q$7-1)</f>
        <v>7498.24</v>
      </c>
      <c r="R37" s="69" t="n">
        <f aca="false">R28*Inputs!$B$28*(1+Inputs!$B$30)^(R$7-1)</f>
        <v>7498.24</v>
      </c>
      <c r="S37" s="69" t="n">
        <f aca="false">S28*Inputs!$B$28*(1+Inputs!$B$30)^(S$7-1)</f>
        <v>7498.24</v>
      </c>
      <c r="T37" s="69" t="n">
        <f aca="false">T28*Inputs!$B$28*(1+Inputs!$B$30)^(T$7-1)</f>
        <v>7498.24</v>
      </c>
      <c r="U37" s="69" t="n">
        <f aca="false">U28*Inputs!$B$28*(1+Inputs!$B$30)^(U$7-1)</f>
        <v>7498.24</v>
      </c>
      <c r="V37" s="69" t="n">
        <f aca="false">V28*Inputs!$B$28*(1+Inputs!$B$30)^(V$7-1)</f>
        <v>7498.24</v>
      </c>
      <c r="W37" s="69" t="n">
        <f aca="false">W28*Inputs!$B$28*(1+Inputs!$B$30)^(W$7-1)</f>
        <v>7498.24</v>
      </c>
      <c r="X37" s="69" t="n">
        <f aca="false">X28*Inputs!$B$28*(1+Inputs!$B$30)^(X$7-1)</f>
        <v>7498.24</v>
      </c>
      <c r="Y37" s="69" t="n">
        <f aca="false">Y28*Inputs!$B$28*(1+Inputs!$B$30)^(Y$7-1)</f>
        <v>7498.24</v>
      </c>
      <c r="Z37" s="69" t="n">
        <f aca="false">Z28*Inputs!$B$28*(1+Inputs!$B$30)^(Z$7-1)</f>
        <v>5623.68</v>
      </c>
      <c r="AA37" s="69" t="n">
        <f aca="false">AA28*Inputs!$B$28*(1+Inputs!$B$30)^(AA$7-1)</f>
        <v>5679.9168</v>
      </c>
      <c r="AB37" s="69" t="n">
        <f aca="false">AB28*Inputs!$B$28*(1+Inputs!$B$30)^(AB$7-1)</f>
        <v>5679.9168</v>
      </c>
      <c r="AC37" s="69" t="n">
        <f aca="false">AC28*Inputs!$B$28*(1+Inputs!$B$30)^(AC$7-1)</f>
        <v>7573.2224</v>
      </c>
      <c r="AD37" s="69" t="n">
        <f aca="false">AD28*Inputs!$B$28*(1+Inputs!$B$30)^(AD$7-1)</f>
        <v>7573.2224</v>
      </c>
      <c r="AE37" s="69" t="n">
        <f aca="false">AE28*Inputs!$B$28*(1+Inputs!$B$30)^(AE$7-1)</f>
        <v>7573.2224</v>
      </c>
      <c r="AF37" s="69" t="n">
        <f aca="false">AF28*Inputs!$B$28*(1+Inputs!$B$30)^(AF$7-1)</f>
        <v>7573.2224</v>
      </c>
      <c r="AG37" s="69" t="n">
        <f aca="false">AG28*Inputs!$B$28*(1+Inputs!$B$30)^(AG$7-1)</f>
        <v>7573.2224</v>
      </c>
      <c r="AH37" s="69" t="n">
        <f aca="false">AH28*Inputs!$B$28*(1+Inputs!$B$30)^(AH$7-1)</f>
        <v>7573.2224</v>
      </c>
      <c r="AI37" s="69" t="n">
        <f aca="false">AI28*Inputs!$B$28*(1+Inputs!$B$30)^(AI$7-1)</f>
        <v>7573.2224</v>
      </c>
      <c r="AJ37" s="69" t="n">
        <f aca="false">AJ28*Inputs!$B$28*(1+Inputs!$B$30)^(AJ$7-1)</f>
        <v>7573.2224</v>
      </c>
      <c r="AK37" s="69" t="n">
        <f aca="false">AK28*Inputs!$B$28*(1+Inputs!$B$30)^(AK$7-1)</f>
        <v>7573.2224</v>
      </c>
      <c r="AL37" s="69" t="n">
        <f aca="false">AL28*Inputs!$B$28*(1+Inputs!$B$30)^(AL$7-1)</f>
        <v>5679.9168</v>
      </c>
      <c r="AM37" s="69" t="n">
        <f aca="false">AM28*Inputs!$B$28*(1+Inputs!$B$30)^(AM$7-1)</f>
        <v>5736.715968</v>
      </c>
      <c r="AN37" s="69" t="n">
        <f aca="false">AN28*Inputs!$B$28*(1+Inputs!$B$30)^(AN$7-1)</f>
        <v>5736.715968</v>
      </c>
      <c r="AO37" s="69" t="n">
        <f aca="false">AO28*Inputs!$B$28*(1+Inputs!$B$30)^(AO$7-1)</f>
        <v>7648.954624</v>
      </c>
      <c r="AP37" s="69" t="n">
        <f aca="false">AP28*Inputs!$B$28*(1+Inputs!$B$30)^(AP$7-1)</f>
        <v>7648.954624</v>
      </c>
      <c r="AQ37" s="69" t="n">
        <f aca="false">AQ28*Inputs!$B$28*(1+Inputs!$B$30)^(AQ$7-1)</f>
        <v>7648.954624</v>
      </c>
      <c r="AR37" s="69" t="n">
        <f aca="false">AR28*Inputs!$B$28*(1+Inputs!$B$30)^(AR$7-1)</f>
        <v>7648.954624</v>
      </c>
      <c r="AS37" s="69" t="n">
        <f aca="false">AS28*Inputs!$B$28*(1+Inputs!$B$30)^(AS$7-1)</f>
        <v>7648.954624</v>
      </c>
      <c r="AT37" s="69" t="n">
        <f aca="false">AT28*Inputs!$B$28*(1+Inputs!$B$30)^(AT$7-1)</f>
        <v>7648.954624</v>
      </c>
      <c r="AU37" s="69" t="n">
        <f aca="false">AU28*Inputs!$B$28*(1+Inputs!$B$30)^(AU$7-1)</f>
        <v>7648.954624</v>
      </c>
      <c r="AV37" s="69" t="n">
        <f aca="false">AV28*Inputs!$B$28*(1+Inputs!$B$30)^(AV$7-1)</f>
        <v>7648.954624</v>
      </c>
      <c r="AW37" s="69" t="n">
        <f aca="false">AW28*Inputs!$B$28*(1+Inputs!$B$30)^(AW$7-1)</f>
        <v>7648.954624</v>
      </c>
      <c r="AX37" s="69" t="n">
        <f aca="false">AX28*Inputs!$B$28*(1+Inputs!$B$30)^(AX$7-1)</f>
        <v>5736.715968</v>
      </c>
      <c r="AY37" s="69" t="n">
        <f aca="false">AY28*Inputs!$B$28*(1+Inputs!$B$30)^(AY$7-1)</f>
        <v>5794.08312768</v>
      </c>
      <c r="AZ37" s="69" t="n">
        <f aca="false">AZ28*Inputs!$B$28*(1+Inputs!$B$30)^(AZ$7-1)</f>
        <v>5794.08312768</v>
      </c>
      <c r="BA37" s="69" t="n">
        <f aca="false">BA28*Inputs!$B$28*(1+Inputs!$B$30)^(BA$7-1)</f>
        <v>7725.44417024</v>
      </c>
      <c r="BB37" s="69" t="n">
        <f aca="false">BB28*Inputs!$B$28*(1+Inputs!$B$30)^(BB$7-1)</f>
        <v>7725.44417024</v>
      </c>
      <c r="BC37" s="69" t="n">
        <f aca="false">BC28*Inputs!$B$28*(1+Inputs!$B$30)^(BC$7-1)</f>
        <v>7725.44417024</v>
      </c>
      <c r="BD37" s="69" t="n">
        <f aca="false">BD28*Inputs!$B$28*(1+Inputs!$B$30)^(BD$7-1)</f>
        <v>7725.44417024</v>
      </c>
      <c r="BE37" s="69" t="n">
        <f aca="false">BE28*Inputs!$B$28*(1+Inputs!$B$30)^(BE$7-1)</f>
        <v>7725.44417024</v>
      </c>
      <c r="BF37" s="69" t="n">
        <f aca="false">BF28*Inputs!$B$28*(1+Inputs!$B$30)^(BF$7-1)</f>
        <v>7725.44417024</v>
      </c>
      <c r="BG37" s="69" t="n">
        <f aca="false">BG28*Inputs!$B$28*(1+Inputs!$B$30)^(BG$7-1)</f>
        <v>7725.44417024</v>
      </c>
      <c r="BH37" s="69" t="n">
        <f aca="false">BH28*Inputs!$B$28*(1+Inputs!$B$30)^(BH$7-1)</f>
        <v>7725.44417024</v>
      </c>
      <c r="BI37" s="69" t="n">
        <f aca="false">BI28*Inputs!$B$28*(1+Inputs!$B$30)^(BI$7-1)</f>
        <v>7725.44417024</v>
      </c>
      <c r="BJ37" s="69" t="n">
        <f aca="false">BJ28*Inputs!$B$28*(1+Inputs!$B$30)^(BJ$7-1)</f>
        <v>5794.08312768</v>
      </c>
    </row>
    <row r="38" customFormat="false" ht="15" hidden="false" customHeight="false" outlineLevel="0" collapsed="false">
      <c r="A38" s="6" t="s">
        <v>243</v>
      </c>
      <c r="C38" s="69" t="n">
        <f aca="false">C22*C35*1</f>
        <v>5059.904</v>
      </c>
      <c r="D38" s="69" t="n">
        <f aca="false">D22*D35*1</f>
        <v>5625.51146666667</v>
      </c>
      <c r="E38" s="69" t="n">
        <f aca="false">E22*E35*1</f>
        <v>6348.48122666667</v>
      </c>
      <c r="F38" s="69" t="n">
        <f aca="false">F22*F35*1</f>
        <v>7228.987832</v>
      </c>
      <c r="G38" s="69" t="n">
        <f aca="false">G22*G35*1</f>
        <v>8199.14377373333</v>
      </c>
      <c r="H38" s="69" t="n">
        <f aca="false">H22*H35*1</f>
        <v>9254.46658504666</v>
      </c>
      <c r="I38" s="69" t="n">
        <f aca="false">I22*I35*1</f>
        <v>10390.697922461</v>
      </c>
      <c r="J38" s="69" t="n">
        <f aca="false">J22*J35*1</f>
        <v>11603.7923596713</v>
      </c>
      <c r="K38" s="69" t="n">
        <f aca="false">K22*K35*1</f>
        <v>12889.9067416877</v>
      </c>
      <c r="L38" s="69" t="n">
        <f aca="false">L22*L35*1</f>
        <v>14245.39007127</v>
      </c>
      <c r="M38" s="69" t="n">
        <f aca="false">M22*M35*1</f>
        <v>15666.7739010398</v>
      </c>
      <c r="N38" s="69" t="n">
        <f aca="false">N22*N35*1</f>
        <v>17010.3258726545</v>
      </c>
      <c r="O38" s="69" t="n">
        <f aca="false">O22*O35*1</f>
        <v>18454.6138614787</v>
      </c>
      <c r="P38" s="69" t="n">
        <f aca="false">P22*P35*1</f>
        <v>19724.4719684047</v>
      </c>
      <c r="Q38" s="69" t="n">
        <f aca="false">Q22*Q35*1</f>
        <v>21080.8019699845</v>
      </c>
      <c r="R38" s="69" t="n">
        <f aca="false">R22*R35*1</f>
        <v>22519.2802714853</v>
      </c>
      <c r="S38" s="69" t="n">
        <f aca="false">S22*S35*1</f>
        <v>23885.834657911</v>
      </c>
      <c r="T38" s="69" t="n">
        <f aca="false">T22*T35*1</f>
        <v>25184.0613250155</v>
      </c>
      <c r="U38" s="69" t="n">
        <f aca="false">U22*U35*1</f>
        <v>26417.3766587647</v>
      </c>
      <c r="V38" s="69" t="n">
        <f aca="false">V22*V35*1</f>
        <v>27589.0262258265</v>
      </c>
      <c r="W38" s="69" t="n">
        <f aca="false">W22*W35*1</f>
        <v>28702.0933145351</v>
      </c>
      <c r="X38" s="69" t="n">
        <f aca="false">X22*X35*1</f>
        <v>29759.5070488084</v>
      </c>
      <c r="Y38" s="69" t="n">
        <f aca="false">Y22*Y35*1</f>
        <v>30764.0500963679</v>
      </c>
      <c r="Z38" s="69" t="n">
        <f aca="false">Z22*Z35*1</f>
        <v>31568.4011915495</v>
      </c>
      <c r="AA38" s="69" t="n">
        <f aca="false">AA22*AA35*1</f>
        <v>32504.3956312918</v>
      </c>
      <c r="AB38" s="69" t="n">
        <f aca="false">AB22*AB35*1</f>
        <v>33093.6905377272</v>
      </c>
      <c r="AC38" s="69" t="n">
        <f aca="false">AC22*AC35*1</f>
        <v>33804.9851468408</v>
      </c>
      <c r="AD38" s="69" t="n">
        <f aca="false">AD22*AD35*1</f>
        <v>34632.1794734988</v>
      </c>
      <c r="AE38" s="69" t="n">
        <f aca="false">AE22*AE35*1</f>
        <v>35418.0140838239</v>
      </c>
      <c r="AF38" s="69" t="n">
        <f aca="false">AF22*AF35*1</f>
        <v>36164.5569636327</v>
      </c>
      <c r="AG38" s="69" t="n">
        <f aca="false">AG22*AG35*1</f>
        <v>36873.772699451</v>
      </c>
      <c r="AH38" s="69" t="n">
        <f aca="false">AH22*AH35*1</f>
        <v>37547.5276484785</v>
      </c>
      <c r="AI38" s="69" t="n">
        <f aca="false">AI22*AI35*1</f>
        <v>38187.5948500546</v>
      </c>
      <c r="AJ38" s="69" t="n">
        <f aca="false">AJ22*AJ35*1</f>
        <v>38795.6586915518</v>
      </c>
      <c r="AK38" s="69" t="n">
        <f aca="false">AK22*AK35*1</f>
        <v>39373.3193409742</v>
      </c>
      <c r="AL38" s="69" t="n">
        <f aca="false">AL22*AL35*1</f>
        <v>39770.6325099255</v>
      </c>
      <c r="AM38" s="69" t="n">
        <f aca="false">AM22*AM35*1</f>
        <v>40396.5817281535</v>
      </c>
      <c r="AN38" s="69" t="n">
        <f aca="false">AN22*AN35*1</f>
        <v>40613.4124766259</v>
      </c>
      <c r="AO38" s="69" t="n">
        <f aca="false">AO22*AO35*1</f>
        <v>40972.3807801546</v>
      </c>
      <c r="AP38" s="69" t="n">
        <f aca="false">AP22*AP35*1</f>
        <v>41466.3797609868</v>
      </c>
      <c r="AQ38" s="69" t="n">
        <f aca="false">AQ22*AQ35*1</f>
        <v>41935.6787927775</v>
      </c>
      <c r="AR38" s="69" t="n">
        <f aca="false">AR22*AR35*1</f>
        <v>42381.5128729786</v>
      </c>
      <c r="AS38" s="69" t="n">
        <f aca="false">AS22*AS35*1</f>
        <v>42805.0552491697</v>
      </c>
      <c r="AT38" s="69" t="n">
        <f aca="false">AT22*AT35*1</f>
        <v>43207.4205065512</v>
      </c>
      <c r="AU38" s="69" t="n">
        <f aca="false">AU22*AU35*1</f>
        <v>43589.6675010636</v>
      </c>
      <c r="AV38" s="69" t="n">
        <f aca="false">AV22*AV35*1</f>
        <v>43952.8021458505</v>
      </c>
      <c r="AW38" s="69" t="n">
        <f aca="false">AW22*AW35*1</f>
        <v>44297.7800583979</v>
      </c>
      <c r="AX38" s="69" t="n">
        <f aca="false">AX22*AX35*1</f>
        <v>44472.529982838</v>
      </c>
      <c r="AY38" s="69" t="n">
        <f aca="false">AY22*AY35*1</f>
        <v>44930.4189517619</v>
      </c>
      <c r="AZ38" s="69" t="n">
        <f aca="false">AZ22*AZ35*1</f>
        <v>44942.9244374026</v>
      </c>
      <c r="BA38" s="69" t="n">
        <f aca="false">BA22*BA35*1</f>
        <v>45109.3135321661</v>
      </c>
      <c r="BB38" s="69" t="n">
        <f aca="false">BB22*BB35*1</f>
        <v>45421.8920555962</v>
      </c>
      <c r="BC38" s="69" t="n">
        <f aca="false">BC22*BC35*1</f>
        <v>45718.8416528548</v>
      </c>
      <c r="BD38" s="69" t="n">
        <f aca="false">BD22*BD35*1</f>
        <v>46000.9437702504</v>
      </c>
      <c r="BE38" s="69" t="n">
        <f aca="false">BE22*BE35*1</f>
        <v>46268.9407817763</v>
      </c>
      <c r="BF38" s="69" t="n">
        <f aca="false">BF22*BF35*1</f>
        <v>46523.5379427259</v>
      </c>
      <c r="BG38" s="69" t="n">
        <f aca="false">BG22*BG35*1</f>
        <v>46765.405245628</v>
      </c>
      <c r="BH38" s="69" t="n">
        <f aca="false">BH22*BH35*1</f>
        <v>46995.179183385</v>
      </c>
      <c r="BI38" s="69" t="n">
        <f aca="false">BI22*BI35*1</f>
        <v>47213.4644242541</v>
      </c>
      <c r="BJ38" s="69" t="n">
        <f aca="false">BJ22*BJ35*1</f>
        <v>47266.326519675</v>
      </c>
    </row>
    <row r="39" customFormat="false" ht="15" hidden="false" customHeight="false" outlineLevel="0" collapsed="false">
      <c r="A39" s="113" t="s">
        <v>44</v>
      </c>
      <c r="C39" s="70" t="n">
        <f aca="false">C36+C37+C38</f>
        <v>26496.704</v>
      </c>
      <c r="D39" s="70" t="n">
        <f aca="false">D36+D37+D38</f>
        <v>30379.9114666667</v>
      </c>
      <c r="E39" s="70" t="n">
        <f aca="false">E36+E37+E38</f>
        <v>43777.81456</v>
      </c>
      <c r="F39" s="70" t="n">
        <f aca="false">F36+F37+F38</f>
        <v>49081.787832</v>
      </c>
      <c r="G39" s="70" t="n">
        <f aca="false">G36+G37+G38</f>
        <v>54475.4104404</v>
      </c>
      <c r="H39" s="70" t="n">
        <f aca="false">H36+H37+H38</f>
        <v>59954.19991838</v>
      </c>
      <c r="I39" s="70" t="n">
        <f aca="false">I36+I37+I38</f>
        <v>65513.897922461</v>
      </c>
      <c r="J39" s="70" t="n">
        <f aca="false">J36+J37+J38</f>
        <v>71150.4590263379</v>
      </c>
      <c r="K39" s="70" t="n">
        <f aca="false">K36+K37+K38</f>
        <v>76860.040075021</v>
      </c>
      <c r="L39" s="70" t="n">
        <f aca="false">L36+L37+L38</f>
        <v>82638.99007127</v>
      </c>
      <c r="M39" s="70" t="n">
        <f aca="false">M36+M37+M38</f>
        <v>88483.8405677065</v>
      </c>
      <c r="N39" s="70" t="n">
        <f aca="false">N36+N37+N38</f>
        <v>74940.7258726545</v>
      </c>
      <c r="O39" s="70" t="n">
        <f aca="false">O36+O37+O38</f>
        <v>80315.0938614787</v>
      </c>
      <c r="P39" s="70" t="n">
        <f aca="false">P36+P37+P38</f>
        <v>81584.9519684047</v>
      </c>
      <c r="Q39" s="70" t="n">
        <f aca="false">Q36+Q37+Q38</f>
        <v>103561.441969985</v>
      </c>
      <c r="R39" s="70" t="n">
        <f aca="false">R36+R37+R38</f>
        <v>104999.920271485</v>
      </c>
      <c r="S39" s="70" t="n">
        <f aca="false">S36+S37+S38</f>
        <v>106366.474657911</v>
      </c>
      <c r="T39" s="70" t="n">
        <f aca="false">T36+T37+T38</f>
        <v>107664.701325015</v>
      </c>
      <c r="U39" s="70" t="n">
        <f aca="false">U36+U37+U38</f>
        <v>108898.016658765</v>
      </c>
      <c r="V39" s="70" t="n">
        <f aca="false">V36+V37+V38</f>
        <v>110069.666225826</v>
      </c>
      <c r="W39" s="70" t="n">
        <f aca="false">W36+W37+W38</f>
        <v>111182.733314535</v>
      </c>
      <c r="X39" s="70" t="n">
        <f aca="false">X36+X37+X38</f>
        <v>112240.147048808</v>
      </c>
      <c r="Y39" s="70" t="n">
        <f aca="false">Y36+Y37+Y38</f>
        <v>113244.690096368</v>
      </c>
      <c r="Z39" s="70" t="n">
        <f aca="false">Z36+Z37+Z38</f>
        <v>93428.8811915496</v>
      </c>
      <c r="AA39" s="70" t="n">
        <f aca="false">AA36+AA37+AA38</f>
        <v>94983.4804312918</v>
      </c>
      <c r="AB39" s="70" t="n">
        <f aca="false">AB36+AB37+AB38</f>
        <v>95572.7753377272</v>
      </c>
      <c r="AC39" s="70" t="n">
        <f aca="false">AC36+AC37+AC38</f>
        <v>117110.431546841</v>
      </c>
      <c r="AD39" s="70" t="n">
        <f aca="false">AD36+AD37+AD38</f>
        <v>117937.625873499</v>
      </c>
      <c r="AE39" s="70" t="n">
        <f aca="false">AE36+AE37+AE38</f>
        <v>118723.460483824</v>
      </c>
      <c r="AF39" s="70" t="n">
        <f aca="false">AF36+AF37+AF38</f>
        <v>119470.003363633</v>
      </c>
      <c r="AG39" s="70" t="n">
        <f aca="false">AG36+AG37+AG38</f>
        <v>120179.219099451</v>
      </c>
      <c r="AH39" s="70" t="n">
        <f aca="false">AH36+AH37+AH38</f>
        <v>120852.974048478</v>
      </c>
      <c r="AI39" s="70" t="n">
        <f aca="false">AI36+AI37+AI38</f>
        <v>121493.041250055</v>
      </c>
      <c r="AJ39" s="70" t="n">
        <f aca="false">AJ36+AJ37+AJ38</f>
        <v>122101.105091552</v>
      </c>
      <c r="AK39" s="70" t="n">
        <f aca="false">AK36+AK37+AK38</f>
        <v>122678.765740974</v>
      </c>
      <c r="AL39" s="70" t="n">
        <f aca="false">AL36+AL37+AL38</f>
        <v>102249.717309926</v>
      </c>
      <c r="AM39" s="70" t="n">
        <f aca="false">AM36+AM37+AM38</f>
        <v>103500.457376154</v>
      </c>
      <c r="AN39" s="70" t="n">
        <f aca="false">AN36+AN37+AN38</f>
        <v>103717.288124626</v>
      </c>
      <c r="AO39" s="70" t="n">
        <f aca="false">AO36+AO37+AO38</f>
        <v>125110.881644155</v>
      </c>
      <c r="AP39" s="70" t="n">
        <f aca="false">AP36+AP37+AP38</f>
        <v>125604.880624987</v>
      </c>
      <c r="AQ39" s="70" t="n">
        <f aca="false">AQ36+AQ37+AQ38</f>
        <v>126074.179656778</v>
      </c>
      <c r="AR39" s="70" t="n">
        <f aca="false">AR36+AR37+AR38</f>
        <v>126520.013736979</v>
      </c>
      <c r="AS39" s="70" t="n">
        <f aca="false">AS36+AS37+AS38</f>
        <v>126943.55611317</v>
      </c>
      <c r="AT39" s="70" t="n">
        <f aca="false">AT36+AT37+AT38</f>
        <v>127345.921370551</v>
      </c>
      <c r="AU39" s="70" t="n">
        <f aca="false">AU36+AU37+AU38</f>
        <v>127728.168365064</v>
      </c>
      <c r="AV39" s="70" t="n">
        <f aca="false">AV36+AV37+AV38</f>
        <v>128091.30300985</v>
      </c>
      <c r="AW39" s="70" t="n">
        <f aca="false">AW36+AW37+AW38</f>
        <v>128436.280922398</v>
      </c>
      <c r="AX39" s="70" t="n">
        <f aca="false">AX36+AX37+AX38</f>
        <v>107576.405630838</v>
      </c>
      <c r="AY39" s="70" t="n">
        <f aca="false">AY36+AY37+AY38</f>
        <v>108665.333356242</v>
      </c>
      <c r="AZ39" s="70" t="n">
        <f aca="false">AZ36+AZ37+AZ38</f>
        <v>108677.838841883</v>
      </c>
      <c r="BA39" s="70" t="n">
        <f aca="false">BA36+BA37+BA38</f>
        <v>130089.199404806</v>
      </c>
      <c r="BB39" s="70" t="n">
        <f aca="false">BB36+BB37+BB38</f>
        <v>130401.777928236</v>
      </c>
      <c r="BC39" s="70" t="n">
        <f aca="false">BC36+BC37+BC38</f>
        <v>130698.727525495</v>
      </c>
      <c r="BD39" s="70" t="n">
        <f aca="false">BD36+BD37+BD38</f>
        <v>130980.82964289</v>
      </c>
      <c r="BE39" s="70" t="n">
        <f aca="false">BE36+BE37+BE38</f>
        <v>131248.826654416</v>
      </c>
      <c r="BF39" s="70" t="n">
        <f aca="false">BF36+BF37+BF38</f>
        <v>131503.423815366</v>
      </c>
      <c r="BG39" s="70" t="n">
        <f aca="false">BG36+BG37+BG38</f>
        <v>131745.291118268</v>
      </c>
      <c r="BH39" s="70" t="n">
        <f aca="false">BH36+BH37+BH38</f>
        <v>131975.065056025</v>
      </c>
      <c r="BI39" s="70" t="n">
        <f aca="false">BI36+BI37+BI38</f>
        <v>132193.350296894</v>
      </c>
      <c r="BJ39" s="70" t="n">
        <f aca="false">BJ36+BJ37+BJ38</f>
        <v>111001.240924155</v>
      </c>
    </row>
    <row r="41" customFormat="false" ht="15.75" hidden="false" customHeight="true" outlineLevel="0" collapsed="false">
      <c r="A41" s="7" t="s">
        <v>76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customFormat="false" ht="15" hidden="false" customHeight="false" outlineLevel="0" collapsed="false">
      <c r="A42" s="6" t="s">
        <v>437</v>
      </c>
      <c r="C42" s="69" t="n">
        <f aca="false">-C30*Inputs!$B$33*(1+Inputs!$B$38)^(C$7-1)</f>
        <v>-1999.456336</v>
      </c>
      <c r="D42" s="69" t="n">
        <f aca="false">-D30*Inputs!$B$33*(1+Inputs!$B$38)^(D$7-1)</f>
        <v>-2289.26907653333</v>
      </c>
      <c r="E42" s="69" t="n">
        <f aca="false">-E30*Inputs!$B$33*(1+Inputs!$B$38)^(E$7-1)</f>
        <v>-3457.71168538667</v>
      </c>
      <c r="F42" s="69" t="n">
        <f aca="false">-F30*Inputs!$B$33*(1+Inputs!$B$38)^(F$7-1)</f>
        <v>-3882.021535784</v>
      </c>
      <c r="G42" s="69" t="n">
        <f aca="false">-G30*Inputs!$B$33*(1+Inputs!$B$38)^(G$7-1)</f>
        <v>-4317.11918966147</v>
      </c>
      <c r="H42" s="69" t="n">
        <f aca="false">-H30*Inputs!$B$33*(1+Inputs!$B$38)^(H$7-1)</f>
        <v>-4762.46525684506</v>
      </c>
      <c r="I42" s="69" t="n">
        <f aca="false">-I30*Inputs!$B$33*(1+Inputs!$B$38)^(I$7-1)</f>
        <v>-5217.54731666947</v>
      </c>
      <c r="J42" s="69" t="n">
        <f aca="false">-J30*Inputs!$B$33*(1+Inputs!$B$38)^(J$7-1)</f>
        <v>-5681.87856950266</v>
      </c>
      <c r="K42" s="69" t="n">
        <f aca="false">-K30*Inputs!$B$33*(1+Inputs!$B$38)^(K$7-1)</f>
        <v>-6154.9965556942</v>
      </c>
      <c r="L42" s="69" t="n">
        <f aca="false">-L30*Inputs!$B$33*(1+Inputs!$B$38)^(L$7-1)</f>
        <v>-6636.46193857615</v>
      </c>
      <c r="M42" s="69" t="n">
        <f aca="false">-M30*Inputs!$B$33*(1+Inputs!$B$38)^(M$7-1)</f>
        <v>-7125.85734831401</v>
      </c>
      <c r="N42" s="69" t="n">
        <f aca="false">-N30*Inputs!$B$33*(1+Inputs!$B$38)^(N$7-1)</f>
        <v>-5704.4152433404</v>
      </c>
      <c r="O42" s="69" t="n">
        <f aca="false">-O30*Inputs!$B$33*(1+Inputs!$B$38)^(O$7-1)</f>
        <v>-6299.32005647365</v>
      </c>
      <c r="P42" s="69" t="n">
        <f aca="false">-P30*Inputs!$B$33*(1+Inputs!$B$38)^(P$7-1)</f>
        <v>-6417.32885044997</v>
      </c>
      <c r="Q42" s="69" t="n">
        <f aca="false">-Q30*Inputs!$B$33*(1+Inputs!$B$38)^(Q$7-1)</f>
        <v>-8724.49805003663</v>
      </c>
      <c r="R42" s="69" t="n">
        <f aca="false">-R30*Inputs!$B$33*(1+Inputs!$B$38)^(R$7-1)</f>
        <v>-8902.73643073479</v>
      </c>
      <c r="S42" s="69" t="n">
        <f aca="false">-S30*Inputs!$B$33*(1+Inputs!$B$38)^(S$7-1)</f>
        <v>-9072.06289239806</v>
      </c>
      <c r="T42" s="69" t="n">
        <f aca="false">-T30*Inputs!$B$33*(1+Inputs!$B$38)^(T$7-1)</f>
        <v>-9232.92303097815</v>
      </c>
      <c r="U42" s="69" t="n">
        <f aca="false">-U30*Inputs!$B$33*(1+Inputs!$B$38)^(U$7-1)</f>
        <v>-9385.74016262925</v>
      </c>
      <c r="V42" s="69" t="n">
        <f aca="false">-V30*Inputs!$B$33*(1+Inputs!$B$38)^(V$7-1)</f>
        <v>-9530.91643769778</v>
      </c>
      <c r="W42" s="69" t="n">
        <f aca="false">-W30*Inputs!$B$33*(1+Inputs!$B$38)^(W$7-1)</f>
        <v>-9668.83389901289</v>
      </c>
      <c r="X42" s="69" t="n">
        <f aca="false">-X30*Inputs!$B$33*(1+Inputs!$B$38)^(X$7-1)</f>
        <v>-9799.85548726225</v>
      </c>
      <c r="Y42" s="69" t="n">
        <f aca="false">-Y30*Inputs!$B$33*(1+Inputs!$B$38)^(Y$7-1)</f>
        <v>-9924.32599609914</v>
      </c>
      <c r="Z42" s="69" t="n">
        <f aca="false">-Z30*Inputs!$B$33*(1+Inputs!$B$38)^(Z$7-1)</f>
        <v>-7517.99340182063</v>
      </c>
      <c r="AA42" s="69" t="n">
        <f aca="false">-AA30*Inputs!$B$33*(1+Inputs!$B$38)^(AA$7-1)</f>
        <v>-7878.07126967079</v>
      </c>
      <c r="AB42" s="69" t="n">
        <f aca="false">-AB30*Inputs!$B$33*(1+Inputs!$B$38)^(AB$7-1)</f>
        <v>-7934.46149485925</v>
      </c>
      <c r="AC42" s="69" t="n">
        <f aca="false">-AC30*Inputs!$B$33*(1+Inputs!$B$38)^(AC$7-1)</f>
        <v>-10670.034659867</v>
      </c>
      <c r="AD42" s="69" t="n">
        <f aca="false">-AD30*Inputs!$B$33*(1+Inputs!$B$38)^(AD$7-1)</f>
        <v>-10775.5747414017</v>
      </c>
      <c r="AE42" s="69" t="n">
        <f aca="false">-AE30*Inputs!$B$33*(1+Inputs!$B$38)^(AE$7-1)</f>
        <v>-10875.8378188596</v>
      </c>
      <c r="AF42" s="69" t="n">
        <f aca="false">-AF30*Inputs!$B$33*(1+Inputs!$B$38)^(AF$7-1)</f>
        <v>-10971.0877424446</v>
      </c>
      <c r="AG42" s="69" t="n">
        <f aca="false">-AG30*Inputs!$B$33*(1+Inputs!$B$38)^(AG$7-1)</f>
        <v>-11061.5751698504</v>
      </c>
      <c r="AH42" s="69" t="n">
        <f aca="false">-AH30*Inputs!$B$33*(1+Inputs!$B$38)^(AH$7-1)</f>
        <v>-11147.5382258859</v>
      </c>
      <c r="AI42" s="69" t="n">
        <f aca="false">-AI30*Inputs!$B$33*(1+Inputs!$B$38)^(AI$7-1)</f>
        <v>-11229.2031291196</v>
      </c>
      <c r="AJ42" s="69" t="n">
        <f aca="false">-AJ30*Inputs!$B$33*(1+Inputs!$B$38)^(AJ$7-1)</f>
        <v>-11306.7847871916</v>
      </c>
      <c r="AK42" s="69" t="n">
        <f aca="false">-AK30*Inputs!$B$33*(1+Inputs!$B$38)^(AK$7-1)</f>
        <v>-11380.48736236</v>
      </c>
      <c r="AL42" s="69" t="n">
        <f aca="false">-AL30*Inputs!$B$33*(1+Inputs!$B$38)^(AL$7-1)</f>
        <v>-8573.38482046552</v>
      </c>
      <c r="AM42" s="69" t="n">
        <f aca="false">-AM30*Inputs!$B$33*(1+Inputs!$B$38)^(AM$7-1)</f>
        <v>-8938.80974283881</v>
      </c>
      <c r="AN42" s="69" t="n">
        <f aca="false">-AN30*Inputs!$B$33*(1+Inputs!$B$38)^(AN$7-1)</f>
        <v>-8960.17479591575</v>
      </c>
      <c r="AO42" s="69" t="n">
        <f aca="false">-AO30*Inputs!$B$33*(1+Inputs!$B$38)^(AO$7-1)</f>
        <v>-11994.0601785271</v>
      </c>
      <c r="AP42" s="69" t="n">
        <f aca="false">-AP30*Inputs!$B$33*(1+Inputs!$B$38)^(AP$7-1)</f>
        <v>-12058.9606567099</v>
      </c>
      <c r="AQ42" s="69" t="n">
        <f aca="false">-AQ30*Inputs!$B$33*(1+Inputs!$B$38)^(AQ$7-1)</f>
        <v>-12120.6161109835</v>
      </c>
      <c r="AR42" s="69" t="n">
        <f aca="false">-AR30*Inputs!$B$33*(1+Inputs!$B$38)^(AR$7-1)</f>
        <v>-12179.1887925434</v>
      </c>
      <c r="AS42" s="69" t="n">
        <f aca="false">-AS30*Inputs!$B$33*(1+Inputs!$B$38)^(AS$7-1)</f>
        <v>-12234.8328400254</v>
      </c>
      <c r="AT42" s="69" t="n">
        <f aca="false">-AT30*Inputs!$B$33*(1+Inputs!$B$38)^(AT$7-1)</f>
        <v>-12287.6946851332</v>
      </c>
      <c r="AU42" s="69" t="n">
        <f aca="false">-AU30*Inputs!$B$33*(1+Inputs!$B$38)^(AU$7-1)</f>
        <v>-12337.9134379857</v>
      </c>
      <c r="AV42" s="69" t="n">
        <f aca="false">-AV30*Inputs!$B$33*(1+Inputs!$B$38)^(AV$7-1)</f>
        <v>-12385.6212531955</v>
      </c>
      <c r="AW42" s="69" t="n">
        <f aca="false">-AW30*Inputs!$B$33*(1+Inputs!$B$38)^(AW$7-1)</f>
        <v>-12430.9436776449</v>
      </c>
      <c r="AX42" s="69" t="n">
        <f aca="false">-AX30*Inputs!$B$33*(1+Inputs!$B$38)^(AX$7-1)</f>
        <v>-9340.42644809733</v>
      </c>
      <c r="AY42" s="69" t="n">
        <f aca="false">-AY30*Inputs!$B$33*(1+Inputs!$B$38)^(AY$7-1)</f>
        <v>-9715.3790925478</v>
      </c>
      <c r="AZ42" s="69" t="n">
        <f aca="false">-AZ30*Inputs!$B$33*(1+Inputs!$B$38)^(AZ$7-1)</f>
        <v>-9716.64789974804</v>
      </c>
      <c r="BA42" s="69" t="n">
        <f aca="false">-BA30*Inputs!$B$33*(1+Inputs!$B$38)^(BA$7-1)</f>
        <v>-12978.0396608627</v>
      </c>
      <c r="BB42" s="69" t="n">
        <f aca="false">-BB30*Inputs!$B$33*(1+Inputs!$B$38)^(BB$7-1)</f>
        <v>-13020.325304413</v>
      </c>
      <c r="BC42" s="69" t="n">
        <f aca="false">-BC30*Inputs!$B$33*(1+Inputs!$B$38)^(BC$7-1)</f>
        <v>-13060.4966657859</v>
      </c>
      <c r="BD42" s="69" t="n">
        <f aca="false">-BD30*Inputs!$B$33*(1+Inputs!$B$38)^(BD$7-1)</f>
        <v>-13098.6594590901</v>
      </c>
      <c r="BE42" s="69" t="n">
        <f aca="false">-BE30*Inputs!$B$33*(1+Inputs!$B$38)^(BE$7-1)</f>
        <v>-13134.914112729</v>
      </c>
      <c r="BF42" s="69" t="n">
        <f aca="false">-BF30*Inputs!$B$33*(1+Inputs!$B$38)^(BF$7-1)</f>
        <v>-13169.3560336861</v>
      </c>
      <c r="BG42" s="69" t="n">
        <f aca="false">-BG30*Inputs!$B$33*(1+Inputs!$B$38)^(BG$7-1)</f>
        <v>-13202.0758585953</v>
      </c>
      <c r="BH42" s="69" t="n">
        <f aca="false">-BH30*Inputs!$B$33*(1+Inputs!$B$38)^(BH$7-1)</f>
        <v>-13233.159692259</v>
      </c>
      <c r="BI42" s="69" t="n">
        <f aca="false">-BI30*Inputs!$B$33*(1+Inputs!$B$38)^(BI$7-1)</f>
        <v>-13262.6893342395</v>
      </c>
      <c r="BJ42" s="69" t="n">
        <f aca="false">-BJ30*Inputs!$B$33*(1+Inputs!$B$38)^(BJ$7-1)</f>
        <v>-9952.38039153203</v>
      </c>
    </row>
    <row r="43" customFormat="false" ht="15" hidden="false" customHeight="false" outlineLevel="0" collapsed="false">
      <c r="A43" s="6" t="s">
        <v>438</v>
      </c>
      <c r="C43" s="69" t="n">
        <f aca="false">-C30*Inputs!$B$34/1000*Inputs!$B$35*(1+Inputs!$B$38)^(C$7-1)</f>
        <v>-947.110896</v>
      </c>
      <c r="D43" s="69" t="n">
        <f aca="false">-D30*Inputs!$B$34/1000*Inputs!$B$35*(1+Inputs!$B$38)^(D$7-1)</f>
        <v>-1084.3906152</v>
      </c>
      <c r="E43" s="69" t="n">
        <f aca="false">-E30*Inputs!$B$34/1000*Inputs!$B$35*(1+Inputs!$B$38)^(E$7-1)</f>
        <v>-1637.86342992</v>
      </c>
      <c r="F43" s="69" t="n">
        <f aca="false">-F30*Inputs!$B$34/1000*Inputs!$B$35*(1+Inputs!$B$38)^(F$7-1)</f>
        <v>-1838.852306424</v>
      </c>
      <c r="G43" s="69" t="n">
        <f aca="false">-G30*Inputs!$B$34/1000*Inputs!$B$35*(1+Inputs!$B$38)^(G$7-1)</f>
        <v>-2044.9511951028</v>
      </c>
      <c r="H43" s="69" t="n">
        <f aca="false">-H30*Inputs!$B$34/1000*Inputs!$B$35*(1+Inputs!$B$38)^(H$7-1)</f>
        <v>-2255.90459534766</v>
      </c>
      <c r="I43" s="69" t="n">
        <f aca="false">-I30*Inputs!$B$34/1000*Inputs!$B$35*(1+Inputs!$B$38)^(I$7-1)</f>
        <v>-2471.46978158028</v>
      </c>
      <c r="J43" s="69" t="n">
        <f aca="false">-J30*Inputs!$B$34/1000*Inputs!$B$35*(1+Inputs!$B$38)^(J$7-1)</f>
        <v>-2691.41616450126</v>
      </c>
      <c r="K43" s="69" t="n">
        <f aca="false">-K30*Inputs!$B$34/1000*Inputs!$B$35*(1+Inputs!$B$38)^(K$7-1)</f>
        <v>-2915.5246842762</v>
      </c>
      <c r="L43" s="69" t="n">
        <f aca="false">-L30*Inputs!$B$34/1000*Inputs!$B$35*(1+Inputs!$B$38)^(L$7-1)</f>
        <v>-3143.58723406239</v>
      </c>
      <c r="M43" s="69" t="n">
        <f aca="false">-M30*Inputs!$B$34/1000*Inputs!$B$35*(1+Inputs!$B$38)^(M$7-1)</f>
        <v>-3375.40611235927</v>
      </c>
      <c r="N43" s="69" t="n">
        <f aca="false">-N30*Inputs!$B$34/1000*Inputs!$B$35*(1+Inputs!$B$38)^(N$7-1)</f>
        <v>-2702.09143105598</v>
      </c>
      <c r="O43" s="69" t="n">
        <f aca="false">-O30*Inputs!$B$34/1000*Inputs!$B$35*(1+Inputs!$B$38)^(O$7-1)</f>
        <v>-2983.88844780331</v>
      </c>
      <c r="P43" s="69" t="n">
        <f aca="false">-P30*Inputs!$B$34/1000*Inputs!$B$35*(1+Inputs!$B$38)^(P$7-1)</f>
        <v>-3039.78735021314</v>
      </c>
      <c r="Q43" s="69" t="n">
        <f aca="false">-Q30*Inputs!$B$34/1000*Inputs!$B$35*(1+Inputs!$B$38)^(Q$7-1)</f>
        <v>-4132.65697106998</v>
      </c>
      <c r="R43" s="69" t="n">
        <f aca="false">-R30*Inputs!$B$34/1000*Inputs!$B$35*(1+Inputs!$B$38)^(R$7-1)</f>
        <v>-4217.08567771648</v>
      </c>
      <c r="S43" s="69" t="n">
        <f aca="false">-S30*Inputs!$B$34/1000*Inputs!$B$35*(1+Inputs!$B$38)^(S$7-1)</f>
        <v>-4297.29294903066</v>
      </c>
      <c r="T43" s="69" t="n">
        <f aca="false">-T30*Inputs!$B$34/1000*Inputs!$B$35*(1+Inputs!$B$38)^(T$7-1)</f>
        <v>-4373.48985677912</v>
      </c>
      <c r="U43" s="69" t="n">
        <f aca="false">-U30*Inputs!$B$34/1000*Inputs!$B$35*(1+Inputs!$B$38)^(U$7-1)</f>
        <v>-4445.87691914017</v>
      </c>
      <c r="V43" s="69" t="n">
        <f aca="false">-V30*Inputs!$B$34/1000*Inputs!$B$35*(1+Inputs!$B$38)^(V$7-1)</f>
        <v>-4514.64462838316</v>
      </c>
      <c r="W43" s="69" t="n">
        <f aca="false">-W30*Inputs!$B$34/1000*Inputs!$B$35*(1+Inputs!$B$38)^(W$7-1)</f>
        <v>-4579.973952164</v>
      </c>
      <c r="X43" s="69" t="n">
        <f aca="false">-X30*Inputs!$B$34/1000*Inputs!$B$35*(1+Inputs!$B$38)^(X$7-1)</f>
        <v>-4642.0368097558</v>
      </c>
      <c r="Y43" s="69" t="n">
        <f aca="false">-Y30*Inputs!$B$34/1000*Inputs!$B$35*(1+Inputs!$B$38)^(Y$7-1)</f>
        <v>-4700.99652446801</v>
      </c>
      <c r="Z43" s="69" t="n">
        <f aca="false">-Z30*Inputs!$B$34/1000*Inputs!$B$35*(1+Inputs!$B$38)^(Z$7-1)</f>
        <v>-3561.15476928346</v>
      </c>
      <c r="AA43" s="69" t="n">
        <f aca="false">-AA30*Inputs!$B$34/1000*Inputs!$B$35*(1+Inputs!$B$38)^(AA$7-1)</f>
        <v>-3731.71796984406</v>
      </c>
      <c r="AB43" s="69" t="n">
        <f aca="false">-AB30*Inputs!$B$34/1000*Inputs!$B$35*(1+Inputs!$B$38)^(AB$7-1)</f>
        <v>-3758.42912914385</v>
      </c>
      <c r="AC43" s="69" t="n">
        <f aca="false">-AC30*Inputs!$B$34/1000*Inputs!$B$35*(1+Inputs!$B$38)^(AC$7-1)</f>
        <v>-5054.22694414755</v>
      </c>
      <c r="AD43" s="69" t="n">
        <f aca="false">-AD30*Inputs!$B$34/1000*Inputs!$B$35*(1+Inputs!$B$38)^(AD$7-1)</f>
        <v>-5104.21961434817</v>
      </c>
      <c r="AE43" s="69" t="n">
        <f aca="false">-AE30*Inputs!$B$34/1000*Inputs!$B$35*(1+Inputs!$B$38)^(AE$7-1)</f>
        <v>-5151.71265103876</v>
      </c>
      <c r="AF43" s="69" t="n">
        <f aca="false">-AF30*Inputs!$B$34/1000*Inputs!$B$35*(1+Inputs!$B$38)^(AF$7-1)</f>
        <v>-5196.83103589482</v>
      </c>
      <c r="AG43" s="69" t="n">
        <f aca="false">-AG30*Inputs!$B$34/1000*Inputs!$B$35*(1+Inputs!$B$38)^(AG$7-1)</f>
        <v>-5239.69350150808</v>
      </c>
      <c r="AH43" s="69" t="n">
        <f aca="false">-AH30*Inputs!$B$34/1000*Inputs!$B$35*(1+Inputs!$B$38)^(AH$7-1)</f>
        <v>-5280.41284384068</v>
      </c>
      <c r="AI43" s="69" t="n">
        <f aca="false">-AI30*Inputs!$B$34/1000*Inputs!$B$35*(1+Inputs!$B$38)^(AI$7-1)</f>
        <v>-5319.09621905665</v>
      </c>
      <c r="AJ43" s="69" t="n">
        <f aca="false">-AJ30*Inputs!$B$34/1000*Inputs!$B$35*(1+Inputs!$B$38)^(AJ$7-1)</f>
        <v>-5355.84542551181</v>
      </c>
      <c r="AK43" s="69" t="n">
        <f aca="false">-AK30*Inputs!$B$34/1000*Inputs!$B$35*(1+Inputs!$B$38)^(AK$7-1)</f>
        <v>-5390.75717164422</v>
      </c>
      <c r="AL43" s="69" t="n">
        <f aca="false">-AL30*Inputs!$B$34/1000*Inputs!$B$35*(1+Inputs!$B$38)^(AL$7-1)</f>
        <v>-4061.07702022051</v>
      </c>
      <c r="AM43" s="69" t="n">
        <f aca="false">-AM30*Inputs!$B$34/1000*Inputs!$B$35*(1+Inputs!$B$38)^(AM$7-1)</f>
        <v>-4234.17303608154</v>
      </c>
      <c r="AN43" s="69" t="n">
        <f aca="false">-AN30*Inputs!$B$34/1000*Inputs!$B$35*(1+Inputs!$B$38)^(AN$7-1)</f>
        <v>-4244.29332438114</v>
      </c>
      <c r="AO43" s="69" t="n">
        <f aca="false">-AO30*Inputs!$B$34/1000*Inputs!$B$35*(1+Inputs!$B$38)^(AO$7-1)</f>
        <v>-5681.39692667073</v>
      </c>
      <c r="AP43" s="69" t="n">
        <f aca="false">-AP30*Inputs!$B$34/1000*Inputs!$B$35*(1+Inputs!$B$38)^(AP$7-1)</f>
        <v>-5712.13925844151</v>
      </c>
      <c r="AQ43" s="69" t="n">
        <f aca="false">-AQ30*Inputs!$B$34/1000*Inputs!$B$35*(1+Inputs!$B$38)^(AQ$7-1)</f>
        <v>-5741.34447362376</v>
      </c>
      <c r="AR43" s="69" t="n">
        <f aca="false">-AR30*Inputs!$B$34/1000*Inputs!$B$35*(1+Inputs!$B$38)^(AR$7-1)</f>
        <v>-5769.08942804689</v>
      </c>
      <c r="AS43" s="69" t="n">
        <f aca="false">-AS30*Inputs!$B$34/1000*Inputs!$B$35*(1+Inputs!$B$38)^(AS$7-1)</f>
        <v>-5795.44713474887</v>
      </c>
      <c r="AT43" s="69" t="n">
        <f aca="false">-AT30*Inputs!$B$34/1000*Inputs!$B$35*(1+Inputs!$B$38)^(AT$7-1)</f>
        <v>-5820.48695611574</v>
      </c>
      <c r="AU43" s="69" t="n">
        <f aca="false">-AU30*Inputs!$B$34/1000*Inputs!$B$35*(1+Inputs!$B$38)^(AU$7-1)</f>
        <v>-5844.27478641428</v>
      </c>
      <c r="AV43" s="69" t="n">
        <f aca="false">-AV30*Inputs!$B$34/1000*Inputs!$B$35*(1+Inputs!$B$38)^(AV$7-1)</f>
        <v>-5866.87322519788</v>
      </c>
      <c r="AW43" s="69" t="n">
        <f aca="false">-AW30*Inputs!$B$34/1000*Inputs!$B$35*(1+Inputs!$B$38)^(AW$7-1)</f>
        <v>-5888.34174204231</v>
      </c>
      <c r="AX43" s="69" t="n">
        <f aca="false">-AX30*Inputs!$B$34/1000*Inputs!$B$35*(1+Inputs!$B$38)^(AX$7-1)</f>
        <v>-4424.4125280461</v>
      </c>
      <c r="AY43" s="69" t="n">
        <f aca="false">-AY30*Inputs!$B$34/1000*Inputs!$B$35*(1+Inputs!$B$38)^(AY$7-1)</f>
        <v>-4602.02167541738</v>
      </c>
      <c r="AZ43" s="69" t="n">
        <f aca="false">-AZ30*Inputs!$B$34/1000*Inputs!$B$35*(1+Inputs!$B$38)^(AZ$7-1)</f>
        <v>-4602.62268935434</v>
      </c>
      <c r="BA43" s="69" t="n">
        <f aca="false">-BA30*Inputs!$B$34/1000*Inputs!$B$35*(1+Inputs!$B$38)^(BA$7-1)</f>
        <v>-6147.49247093496</v>
      </c>
      <c r="BB43" s="69" t="n">
        <f aca="false">-BB30*Inputs!$B$34/1000*Inputs!$B$35*(1+Inputs!$B$38)^(BB$7-1)</f>
        <v>-6167.5225126167</v>
      </c>
      <c r="BC43" s="69" t="n">
        <f aca="false">-BC30*Inputs!$B$34/1000*Inputs!$B$35*(1+Inputs!$B$38)^(BC$7-1)</f>
        <v>-6186.55105221436</v>
      </c>
      <c r="BD43" s="69" t="n">
        <f aca="false">-BD30*Inputs!$B$34/1000*Inputs!$B$35*(1+Inputs!$B$38)^(BD$7-1)</f>
        <v>-6204.62816483214</v>
      </c>
      <c r="BE43" s="69" t="n">
        <f aca="false">-BE30*Inputs!$B$34/1000*Inputs!$B$35*(1+Inputs!$B$38)^(BE$7-1)</f>
        <v>-6221.80142181902</v>
      </c>
      <c r="BF43" s="69" t="n">
        <f aca="false">-BF30*Inputs!$B$34/1000*Inputs!$B$35*(1+Inputs!$B$38)^(BF$7-1)</f>
        <v>-6238.11601595656</v>
      </c>
      <c r="BG43" s="69" t="n">
        <f aca="false">-BG30*Inputs!$B$34/1000*Inputs!$B$35*(1+Inputs!$B$38)^(BG$7-1)</f>
        <v>-6253.61488038723</v>
      </c>
      <c r="BH43" s="69" t="n">
        <f aca="false">-BH30*Inputs!$B$34/1000*Inputs!$B$35*(1+Inputs!$B$38)^(BH$7-1)</f>
        <v>-6268.33880159636</v>
      </c>
      <c r="BI43" s="69" t="n">
        <f aca="false">-BI30*Inputs!$B$34/1000*Inputs!$B$35*(1+Inputs!$B$38)^(BI$7-1)</f>
        <v>-6282.32652674503</v>
      </c>
      <c r="BJ43" s="69" t="n">
        <f aca="false">-BJ30*Inputs!$B$34/1000*Inputs!$B$35*(1+Inputs!$B$38)^(BJ$7-1)</f>
        <v>-4714.28544862043</v>
      </c>
    </row>
    <row r="44" customFormat="false" ht="15" hidden="false" customHeight="false" outlineLevel="0" collapsed="false">
      <c r="A44" s="6" t="s">
        <v>439</v>
      </c>
      <c r="C44" s="69" t="n">
        <f aca="false">-C30*Inputs!$B$36*(1+Inputs!$B$38)^(C$7-1)</f>
        <v>-947.110896</v>
      </c>
      <c r="D44" s="69" t="n">
        <f aca="false">-D30*Inputs!$B$36*(1+Inputs!$B$38)^(D$7-1)</f>
        <v>-1084.3906152</v>
      </c>
      <c r="E44" s="69" t="n">
        <f aca="false">-E30*Inputs!$B$36*(1+Inputs!$B$38)^(E$7-1)</f>
        <v>-1637.86342992</v>
      </c>
      <c r="F44" s="69" t="n">
        <f aca="false">-F30*Inputs!$B$36*(1+Inputs!$B$38)^(F$7-1)</f>
        <v>-1838.852306424</v>
      </c>
      <c r="G44" s="69" t="n">
        <f aca="false">-G30*Inputs!$B$36*(1+Inputs!$B$38)^(G$7-1)</f>
        <v>-2044.9511951028</v>
      </c>
      <c r="H44" s="69" t="n">
        <f aca="false">-H30*Inputs!$B$36*(1+Inputs!$B$38)^(H$7-1)</f>
        <v>-2255.90459534766</v>
      </c>
      <c r="I44" s="69" t="n">
        <f aca="false">-I30*Inputs!$B$36*(1+Inputs!$B$38)^(I$7-1)</f>
        <v>-2471.46978158028</v>
      </c>
      <c r="J44" s="69" t="n">
        <f aca="false">-J30*Inputs!$B$36*(1+Inputs!$B$38)^(J$7-1)</f>
        <v>-2691.41616450126</v>
      </c>
      <c r="K44" s="69" t="n">
        <f aca="false">-K30*Inputs!$B$36*(1+Inputs!$B$38)^(K$7-1)</f>
        <v>-2915.5246842762</v>
      </c>
      <c r="L44" s="69" t="n">
        <f aca="false">-L30*Inputs!$B$36*(1+Inputs!$B$38)^(L$7-1)</f>
        <v>-3143.58723406239</v>
      </c>
      <c r="M44" s="69" t="n">
        <f aca="false">-M30*Inputs!$B$36*(1+Inputs!$B$38)^(M$7-1)</f>
        <v>-3375.40611235927</v>
      </c>
      <c r="N44" s="69" t="n">
        <f aca="false">-N30*Inputs!$B$36*(1+Inputs!$B$38)^(N$7-1)</f>
        <v>-2702.09143105598</v>
      </c>
      <c r="O44" s="69" t="n">
        <f aca="false">-O30*Inputs!$B$36*(1+Inputs!$B$38)^(O$7-1)</f>
        <v>-2983.88844780331</v>
      </c>
      <c r="P44" s="69" t="n">
        <f aca="false">-P30*Inputs!$B$36*(1+Inputs!$B$38)^(P$7-1)</f>
        <v>-3039.78735021314</v>
      </c>
      <c r="Q44" s="69" t="n">
        <f aca="false">-Q30*Inputs!$B$36*(1+Inputs!$B$38)^(Q$7-1)</f>
        <v>-4132.65697106998</v>
      </c>
      <c r="R44" s="69" t="n">
        <f aca="false">-R30*Inputs!$B$36*(1+Inputs!$B$38)^(R$7-1)</f>
        <v>-4217.08567771648</v>
      </c>
      <c r="S44" s="69" t="n">
        <f aca="false">-S30*Inputs!$B$36*(1+Inputs!$B$38)^(S$7-1)</f>
        <v>-4297.29294903066</v>
      </c>
      <c r="T44" s="69" t="n">
        <f aca="false">-T30*Inputs!$B$36*(1+Inputs!$B$38)^(T$7-1)</f>
        <v>-4373.48985677912</v>
      </c>
      <c r="U44" s="69" t="n">
        <f aca="false">-U30*Inputs!$B$36*(1+Inputs!$B$38)^(U$7-1)</f>
        <v>-4445.87691914017</v>
      </c>
      <c r="V44" s="69" t="n">
        <f aca="false">-V30*Inputs!$B$36*(1+Inputs!$B$38)^(V$7-1)</f>
        <v>-4514.64462838316</v>
      </c>
      <c r="W44" s="69" t="n">
        <f aca="false">-W30*Inputs!$B$36*(1+Inputs!$B$38)^(W$7-1)</f>
        <v>-4579.973952164</v>
      </c>
      <c r="X44" s="69" t="n">
        <f aca="false">-X30*Inputs!$B$36*(1+Inputs!$B$38)^(X$7-1)</f>
        <v>-4642.0368097558</v>
      </c>
      <c r="Y44" s="69" t="n">
        <f aca="false">-Y30*Inputs!$B$36*(1+Inputs!$B$38)^(Y$7-1)</f>
        <v>-4700.99652446801</v>
      </c>
      <c r="Z44" s="69" t="n">
        <f aca="false">-Z30*Inputs!$B$36*(1+Inputs!$B$38)^(Z$7-1)</f>
        <v>-3561.15476928346</v>
      </c>
      <c r="AA44" s="69" t="n">
        <f aca="false">-AA30*Inputs!$B$36*(1+Inputs!$B$38)^(AA$7-1)</f>
        <v>-3731.71796984406</v>
      </c>
      <c r="AB44" s="69" t="n">
        <f aca="false">-AB30*Inputs!$B$36*(1+Inputs!$B$38)^(AB$7-1)</f>
        <v>-3758.42912914386</v>
      </c>
      <c r="AC44" s="69" t="n">
        <f aca="false">-AC30*Inputs!$B$36*(1+Inputs!$B$38)^(AC$7-1)</f>
        <v>-5054.22694414755</v>
      </c>
      <c r="AD44" s="69" t="n">
        <f aca="false">-AD30*Inputs!$B$36*(1+Inputs!$B$38)^(AD$7-1)</f>
        <v>-5104.21961434817</v>
      </c>
      <c r="AE44" s="69" t="n">
        <f aca="false">-AE30*Inputs!$B$36*(1+Inputs!$B$38)^(AE$7-1)</f>
        <v>-5151.71265103876</v>
      </c>
      <c r="AF44" s="69" t="n">
        <f aca="false">-AF30*Inputs!$B$36*(1+Inputs!$B$38)^(AF$7-1)</f>
        <v>-5196.83103589482</v>
      </c>
      <c r="AG44" s="69" t="n">
        <f aca="false">-AG30*Inputs!$B$36*(1+Inputs!$B$38)^(AG$7-1)</f>
        <v>-5239.69350150808</v>
      </c>
      <c r="AH44" s="69" t="n">
        <f aca="false">-AH30*Inputs!$B$36*(1+Inputs!$B$38)^(AH$7-1)</f>
        <v>-5280.41284384068</v>
      </c>
      <c r="AI44" s="69" t="n">
        <f aca="false">-AI30*Inputs!$B$36*(1+Inputs!$B$38)^(AI$7-1)</f>
        <v>-5319.09621905665</v>
      </c>
      <c r="AJ44" s="69" t="n">
        <f aca="false">-AJ30*Inputs!$B$36*(1+Inputs!$B$38)^(AJ$7-1)</f>
        <v>-5355.84542551181</v>
      </c>
      <c r="AK44" s="69" t="n">
        <f aca="false">-AK30*Inputs!$B$36*(1+Inputs!$B$38)^(AK$7-1)</f>
        <v>-5390.75717164422</v>
      </c>
      <c r="AL44" s="69" t="n">
        <f aca="false">-AL30*Inputs!$B$36*(1+Inputs!$B$38)^(AL$7-1)</f>
        <v>-4061.07702022051</v>
      </c>
      <c r="AM44" s="69" t="n">
        <f aca="false">-AM30*Inputs!$B$36*(1+Inputs!$B$38)^(AM$7-1)</f>
        <v>-4234.17303608154</v>
      </c>
      <c r="AN44" s="69" t="n">
        <f aca="false">-AN30*Inputs!$B$36*(1+Inputs!$B$38)^(AN$7-1)</f>
        <v>-4244.29332438114</v>
      </c>
      <c r="AO44" s="69" t="n">
        <f aca="false">-AO30*Inputs!$B$36*(1+Inputs!$B$38)^(AO$7-1)</f>
        <v>-5681.39692667073</v>
      </c>
      <c r="AP44" s="69" t="n">
        <f aca="false">-AP30*Inputs!$B$36*(1+Inputs!$B$38)^(AP$7-1)</f>
        <v>-5712.13925844151</v>
      </c>
      <c r="AQ44" s="69" t="n">
        <f aca="false">-AQ30*Inputs!$B$36*(1+Inputs!$B$38)^(AQ$7-1)</f>
        <v>-5741.34447362376</v>
      </c>
      <c r="AR44" s="69" t="n">
        <f aca="false">-AR30*Inputs!$B$36*(1+Inputs!$B$38)^(AR$7-1)</f>
        <v>-5769.08942804689</v>
      </c>
      <c r="AS44" s="69" t="n">
        <f aca="false">-AS30*Inputs!$B$36*(1+Inputs!$B$38)^(AS$7-1)</f>
        <v>-5795.44713474887</v>
      </c>
      <c r="AT44" s="69" t="n">
        <f aca="false">-AT30*Inputs!$B$36*(1+Inputs!$B$38)^(AT$7-1)</f>
        <v>-5820.48695611574</v>
      </c>
      <c r="AU44" s="69" t="n">
        <f aca="false">-AU30*Inputs!$B$36*(1+Inputs!$B$38)^(AU$7-1)</f>
        <v>-5844.27478641428</v>
      </c>
      <c r="AV44" s="69" t="n">
        <f aca="false">-AV30*Inputs!$B$36*(1+Inputs!$B$38)^(AV$7-1)</f>
        <v>-5866.87322519788</v>
      </c>
      <c r="AW44" s="69" t="n">
        <f aca="false">-AW30*Inputs!$B$36*(1+Inputs!$B$38)^(AW$7-1)</f>
        <v>-5888.34174204231</v>
      </c>
      <c r="AX44" s="69" t="n">
        <f aca="false">-AX30*Inputs!$B$36*(1+Inputs!$B$38)^(AX$7-1)</f>
        <v>-4424.4125280461</v>
      </c>
      <c r="AY44" s="69" t="n">
        <f aca="false">-AY30*Inputs!$B$36*(1+Inputs!$B$38)^(AY$7-1)</f>
        <v>-4602.02167541738</v>
      </c>
      <c r="AZ44" s="69" t="n">
        <f aca="false">-AZ30*Inputs!$B$36*(1+Inputs!$B$38)^(AZ$7-1)</f>
        <v>-4602.62268935434</v>
      </c>
      <c r="BA44" s="69" t="n">
        <f aca="false">-BA30*Inputs!$B$36*(1+Inputs!$B$38)^(BA$7-1)</f>
        <v>-6147.49247093496</v>
      </c>
      <c r="BB44" s="69" t="n">
        <f aca="false">-BB30*Inputs!$B$36*(1+Inputs!$B$38)^(BB$7-1)</f>
        <v>-6167.5225126167</v>
      </c>
      <c r="BC44" s="69" t="n">
        <f aca="false">-BC30*Inputs!$B$36*(1+Inputs!$B$38)^(BC$7-1)</f>
        <v>-6186.55105221436</v>
      </c>
      <c r="BD44" s="69" t="n">
        <f aca="false">-BD30*Inputs!$B$36*(1+Inputs!$B$38)^(BD$7-1)</f>
        <v>-6204.62816483213</v>
      </c>
      <c r="BE44" s="69" t="n">
        <f aca="false">-BE30*Inputs!$B$36*(1+Inputs!$B$38)^(BE$7-1)</f>
        <v>-6221.80142181902</v>
      </c>
      <c r="BF44" s="69" t="n">
        <f aca="false">-BF30*Inputs!$B$36*(1+Inputs!$B$38)^(BF$7-1)</f>
        <v>-6238.11601595656</v>
      </c>
      <c r="BG44" s="69" t="n">
        <f aca="false">-BG30*Inputs!$B$36*(1+Inputs!$B$38)^(BG$7-1)</f>
        <v>-6253.61488038723</v>
      </c>
      <c r="BH44" s="69" t="n">
        <f aca="false">-BH30*Inputs!$B$36*(1+Inputs!$B$38)^(BH$7-1)</f>
        <v>-6268.33880159636</v>
      </c>
      <c r="BI44" s="69" t="n">
        <f aca="false">-BI30*Inputs!$B$36*(1+Inputs!$B$38)^(BI$7-1)</f>
        <v>-6282.32652674503</v>
      </c>
      <c r="BJ44" s="69" t="n">
        <f aca="false">-BJ30*Inputs!$B$36*(1+Inputs!$B$38)^(BJ$7-1)</f>
        <v>-4714.28544862043</v>
      </c>
    </row>
    <row r="45" customFormat="false" ht="15" hidden="false" customHeight="false" outlineLevel="0" collapsed="false">
      <c r="A45" s="6" t="s">
        <v>248</v>
      </c>
      <c r="C45" s="69" t="n">
        <f aca="false">C42+C43+C44</f>
        <v>-3893.678128</v>
      </c>
      <c r="D45" s="69" t="n">
        <f aca="false">D42+D43+D44</f>
        <v>-4458.05030693334</v>
      </c>
      <c r="E45" s="69" t="n">
        <f aca="false">E42+E43+E44</f>
        <v>-6733.43854522667</v>
      </c>
      <c r="F45" s="69" t="n">
        <f aca="false">F42+F43+F44</f>
        <v>-7559.726148632</v>
      </c>
      <c r="G45" s="69" t="n">
        <f aca="false">G42+G43+G44</f>
        <v>-8407.02157986707</v>
      </c>
      <c r="H45" s="69" t="n">
        <f aca="false">H42+H43+H44</f>
        <v>-9274.27444754038</v>
      </c>
      <c r="I45" s="69" t="n">
        <f aca="false">I42+I43+I44</f>
        <v>-10160.48687983</v>
      </c>
      <c r="J45" s="69" t="n">
        <f aca="false">J42+J43+J44</f>
        <v>-11064.7108985052</v>
      </c>
      <c r="K45" s="69" t="n">
        <f aca="false">K42+K43+K44</f>
        <v>-11986.0459242466</v>
      </c>
      <c r="L45" s="69" t="n">
        <f aca="false">L42+L43+L44</f>
        <v>-12923.6364067009</v>
      </c>
      <c r="M45" s="69" t="n">
        <f aca="false">M42+M43+M44</f>
        <v>-13876.6695730326</v>
      </c>
      <c r="N45" s="69" t="n">
        <f aca="false">N42+N43+N44</f>
        <v>-11108.5981054524</v>
      </c>
      <c r="O45" s="69" t="n">
        <f aca="false">O42+O43+O44</f>
        <v>-12267.0969520803</v>
      </c>
      <c r="P45" s="69" t="n">
        <f aca="false">P42+P43+P44</f>
        <v>-12496.9035508763</v>
      </c>
      <c r="Q45" s="69" t="n">
        <f aca="false">Q42+Q43+Q44</f>
        <v>-16989.8119921766</v>
      </c>
      <c r="R45" s="69" t="n">
        <f aca="false">R42+R43+R44</f>
        <v>-17336.9077861678</v>
      </c>
      <c r="S45" s="69" t="n">
        <f aca="false">S42+S43+S44</f>
        <v>-17666.6487904594</v>
      </c>
      <c r="T45" s="69" t="n">
        <f aca="false">T42+T43+T44</f>
        <v>-17979.9027445364</v>
      </c>
      <c r="U45" s="69" t="n">
        <f aca="false">U42+U43+U44</f>
        <v>-18277.4940009096</v>
      </c>
      <c r="V45" s="69" t="n">
        <f aca="false">V42+V43+V44</f>
        <v>-18560.2056944641</v>
      </c>
      <c r="W45" s="69" t="n">
        <f aca="false">W42+W43+W44</f>
        <v>-18828.7818033409</v>
      </c>
      <c r="X45" s="69" t="n">
        <f aca="false">X42+X43+X44</f>
        <v>-19083.9291067739</v>
      </c>
      <c r="Y45" s="69" t="n">
        <f aca="false">Y42+Y43+Y44</f>
        <v>-19326.3190450352</v>
      </c>
      <c r="Z45" s="69" t="n">
        <f aca="false">Z42+Z43+Z44</f>
        <v>-14640.3029403876</v>
      </c>
      <c r="AA45" s="69" t="n">
        <f aca="false">AA42+AA43+AA44</f>
        <v>-15341.5072093589</v>
      </c>
      <c r="AB45" s="69" t="n">
        <f aca="false">AB42+AB43+AB44</f>
        <v>-15451.319753147</v>
      </c>
      <c r="AC45" s="69" t="n">
        <f aca="false">AC42+AC43+AC44</f>
        <v>-20778.4885481621</v>
      </c>
      <c r="AD45" s="69" t="n">
        <f aca="false">AD42+AD43+AD44</f>
        <v>-20984.013970098</v>
      </c>
      <c r="AE45" s="69" t="n">
        <f aca="false">AE42+AE43+AE44</f>
        <v>-21179.2631209371</v>
      </c>
      <c r="AF45" s="69" t="n">
        <f aca="false">AF42+AF43+AF44</f>
        <v>-21364.7498142343</v>
      </c>
      <c r="AG45" s="69" t="n">
        <f aca="false">AG42+AG43+AG44</f>
        <v>-21540.9621728666</v>
      </c>
      <c r="AH45" s="69" t="n">
        <f aca="false">AH42+AH43+AH44</f>
        <v>-21708.3639135672</v>
      </c>
      <c r="AI45" s="69" t="n">
        <f aca="false">AI42+AI43+AI44</f>
        <v>-21867.3955672329</v>
      </c>
      <c r="AJ45" s="69" t="n">
        <f aca="false">AJ42+AJ43+AJ44</f>
        <v>-22018.4756382152</v>
      </c>
      <c r="AK45" s="69" t="n">
        <f aca="false">AK42+AK43+AK44</f>
        <v>-22162.0017056485</v>
      </c>
      <c r="AL45" s="69" t="n">
        <f aca="false">AL42+AL43+AL44</f>
        <v>-16695.5388609065</v>
      </c>
      <c r="AM45" s="69" t="n">
        <f aca="false">AM42+AM43+AM44</f>
        <v>-17407.1558150019</v>
      </c>
      <c r="AN45" s="69" t="n">
        <f aca="false">AN42+AN43+AN44</f>
        <v>-17448.761444678</v>
      </c>
      <c r="AO45" s="69" t="n">
        <f aca="false">AO42+AO43+AO44</f>
        <v>-23356.8540318686</v>
      </c>
      <c r="AP45" s="69" t="n">
        <f aca="false">AP42+AP43+AP44</f>
        <v>-23483.2391735929</v>
      </c>
      <c r="AQ45" s="69" t="n">
        <f aca="false">AQ42+AQ43+AQ44</f>
        <v>-23603.305058231</v>
      </c>
      <c r="AR45" s="69" t="n">
        <f aca="false">AR42+AR43+AR44</f>
        <v>-23717.3676486372</v>
      </c>
      <c r="AS45" s="69" t="n">
        <f aca="false">AS42+AS43+AS44</f>
        <v>-23825.7271095231</v>
      </c>
      <c r="AT45" s="69" t="n">
        <f aca="false">AT42+AT43+AT44</f>
        <v>-23928.6685973647</v>
      </c>
      <c r="AU45" s="69" t="n">
        <f aca="false">AU42+AU43+AU44</f>
        <v>-24026.4630108142</v>
      </c>
      <c r="AV45" s="69" t="n">
        <f aca="false">AV42+AV43+AV44</f>
        <v>-24119.3677035913</v>
      </c>
      <c r="AW45" s="69" t="n">
        <f aca="false">AW42+AW43+AW44</f>
        <v>-24207.6271617295</v>
      </c>
      <c r="AX45" s="69" t="n">
        <f aca="false">AX42+AX43+AX44</f>
        <v>-18189.2515041895</v>
      </c>
      <c r="AY45" s="69" t="n">
        <f aca="false">AY42+AY43+AY44</f>
        <v>-18919.4224433826</v>
      </c>
      <c r="AZ45" s="69" t="n">
        <f aca="false">AZ42+AZ43+AZ44</f>
        <v>-18921.8932784567</v>
      </c>
      <c r="BA45" s="69" t="n">
        <f aca="false">BA42+BA43+BA44</f>
        <v>-25273.0246027326</v>
      </c>
      <c r="BB45" s="69" t="n">
        <f aca="false">BB42+BB43+BB44</f>
        <v>-25355.3703296464</v>
      </c>
      <c r="BC45" s="69" t="n">
        <f aca="false">BC42+BC43+BC44</f>
        <v>-25433.5987702146</v>
      </c>
      <c r="BD45" s="69" t="n">
        <f aca="false">BD42+BD43+BD44</f>
        <v>-25507.9157887543</v>
      </c>
      <c r="BE45" s="69" t="n">
        <f aca="false">BE42+BE43+BE44</f>
        <v>-25578.5169563671</v>
      </c>
      <c r="BF45" s="69" t="n">
        <f aca="false">BF42+BF43+BF44</f>
        <v>-25645.5880655992</v>
      </c>
      <c r="BG45" s="69" t="n">
        <f aca="false">BG42+BG43+BG44</f>
        <v>-25709.3056193697</v>
      </c>
      <c r="BH45" s="69" t="n">
        <f aca="false">BH42+BH43+BH44</f>
        <v>-25769.8372954517</v>
      </c>
      <c r="BI45" s="69" t="n">
        <f aca="false">BI42+BI43+BI44</f>
        <v>-25827.3423877296</v>
      </c>
      <c r="BJ45" s="69" t="n">
        <f aca="false">BJ42+BJ43+BJ44</f>
        <v>-19380.9512887729</v>
      </c>
    </row>
    <row r="46" customFormat="false" ht="15" hidden="false" customHeight="false" outlineLevel="0" collapsed="false">
      <c r="A46" s="6" t="s">
        <v>440</v>
      </c>
      <c r="C46" s="69" t="n">
        <f aca="false">-C39*Inputs!$B$37</f>
        <v>-847.894528</v>
      </c>
      <c r="D46" s="69" t="n">
        <f aca="false">-D39*Inputs!$B$37</f>
        <v>-972.157166933334</v>
      </c>
      <c r="E46" s="69" t="n">
        <f aca="false">-E39*Inputs!$B$37</f>
        <v>-1400.89006592</v>
      </c>
      <c r="F46" s="69" t="n">
        <f aca="false">-F39*Inputs!$B$37</f>
        <v>-1570.617210624</v>
      </c>
      <c r="G46" s="69" t="n">
        <f aca="false">-G39*Inputs!$B$37</f>
        <v>-1743.2131340928</v>
      </c>
      <c r="H46" s="69" t="n">
        <f aca="false">-H39*Inputs!$B$37</f>
        <v>-1918.53439738816</v>
      </c>
      <c r="I46" s="69" t="n">
        <f aca="false">-I39*Inputs!$B$37</f>
        <v>-2096.44473351875</v>
      </c>
      <c r="J46" s="69" t="n">
        <f aca="false">-J39*Inputs!$B$37</f>
        <v>-2276.81468884281</v>
      </c>
      <c r="K46" s="69" t="n">
        <f aca="false">-K39*Inputs!$B$37</f>
        <v>-2459.52128240067</v>
      </c>
      <c r="L46" s="69" t="n">
        <f aca="false">-L39*Inputs!$B$37</f>
        <v>-2644.44768228064</v>
      </c>
      <c r="M46" s="69" t="n">
        <f aca="false">-M39*Inputs!$B$37</f>
        <v>-2831.48289816661</v>
      </c>
      <c r="N46" s="69" t="n">
        <f aca="false">-N39*Inputs!$B$37</f>
        <v>-2398.10322792494</v>
      </c>
      <c r="O46" s="69" t="n">
        <f aca="false">-O39*Inputs!$B$37</f>
        <v>-2570.08300356732</v>
      </c>
      <c r="P46" s="69" t="n">
        <f aca="false">-P39*Inputs!$B$37</f>
        <v>-2610.71846298895</v>
      </c>
      <c r="Q46" s="69" t="n">
        <f aca="false">-Q39*Inputs!$B$37</f>
        <v>-3313.9661430395</v>
      </c>
      <c r="R46" s="69" t="n">
        <f aca="false">-R39*Inputs!$B$37</f>
        <v>-3359.99744868753</v>
      </c>
      <c r="S46" s="69" t="n">
        <f aca="false">-S39*Inputs!$B$37</f>
        <v>-3403.72718905315</v>
      </c>
      <c r="T46" s="69" t="n">
        <f aca="false">-T39*Inputs!$B$37</f>
        <v>-3445.2704424005</v>
      </c>
      <c r="U46" s="69" t="n">
        <f aca="false">-U39*Inputs!$B$37</f>
        <v>-3484.73653308047</v>
      </c>
      <c r="V46" s="69" t="n">
        <f aca="false">-V39*Inputs!$B$37</f>
        <v>-3522.22931922645</v>
      </c>
      <c r="W46" s="69" t="n">
        <f aca="false">-W39*Inputs!$B$37</f>
        <v>-3557.84746606512</v>
      </c>
      <c r="X46" s="69" t="n">
        <f aca="false">-X39*Inputs!$B$37</f>
        <v>-3591.68470556187</v>
      </c>
      <c r="Y46" s="69" t="n">
        <f aca="false">-Y39*Inputs!$B$37</f>
        <v>-3623.83008308377</v>
      </c>
      <c r="Z46" s="69" t="n">
        <f aca="false">-Z39*Inputs!$B$37</f>
        <v>-2989.72419812959</v>
      </c>
      <c r="AA46" s="69" t="n">
        <f aca="false">-AA39*Inputs!$B$37</f>
        <v>-3039.47137380134</v>
      </c>
      <c r="AB46" s="69" t="n">
        <f aca="false">-AB39*Inputs!$B$37</f>
        <v>-3058.32881080727</v>
      </c>
      <c r="AC46" s="69" t="n">
        <f aca="false">-AC39*Inputs!$B$37</f>
        <v>-3747.53380949891</v>
      </c>
      <c r="AD46" s="69" t="n">
        <f aca="false">-AD39*Inputs!$B$37</f>
        <v>-3774.00402795196</v>
      </c>
      <c r="AE46" s="69" t="n">
        <f aca="false">-AE39*Inputs!$B$37</f>
        <v>-3799.15073548236</v>
      </c>
      <c r="AF46" s="69" t="n">
        <f aca="false">-AF39*Inputs!$B$37</f>
        <v>-3823.04010763625</v>
      </c>
      <c r="AG46" s="69" t="n">
        <f aca="false">-AG39*Inputs!$B$37</f>
        <v>-3845.73501118243</v>
      </c>
      <c r="AH46" s="69" t="n">
        <f aca="false">-AH39*Inputs!$B$37</f>
        <v>-3867.29516955131</v>
      </c>
      <c r="AI46" s="69" t="n">
        <f aca="false">-AI39*Inputs!$B$37</f>
        <v>-3887.77732000175</v>
      </c>
      <c r="AJ46" s="69" t="n">
        <f aca="false">-AJ39*Inputs!$B$37</f>
        <v>-3907.23536292966</v>
      </c>
      <c r="AK46" s="69" t="n">
        <f aca="false">-AK39*Inputs!$B$37</f>
        <v>-3925.72050371118</v>
      </c>
      <c r="AL46" s="69" t="n">
        <f aca="false">-AL39*Inputs!$B$37</f>
        <v>-3271.99095391762</v>
      </c>
      <c r="AM46" s="69" t="n">
        <f aca="false">-AM39*Inputs!$B$37</f>
        <v>-3312.01463603691</v>
      </c>
      <c r="AN46" s="69" t="n">
        <f aca="false">-AN39*Inputs!$B$37</f>
        <v>-3318.95321998803</v>
      </c>
      <c r="AO46" s="69" t="n">
        <f aca="false">-AO39*Inputs!$B$37</f>
        <v>-4003.54821261295</v>
      </c>
      <c r="AP46" s="69" t="n">
        <f aca="false">-AP39*Inputs!$B$37</f>
        <v>-4019.35617999958</v>
      </c>
      <c r="AQ46" s="69" t="n">
        <f aca="false">-AQ39*Inputs!$B$37</f>
        <v>-4034.37374901688</v>
      </c>
      <c r="AR46" s="69" t="n">
        <f aca="false">-AR39*Inputs!$B$37</f>
        <v>-4048.64043958332</v>
      </c>
      <c r="AS46" s="69" t="n">
        <f aca="false">-AS39*Inputs!$B$37</f>
        <v>-4062.19379562143</v>
      </c>
      <c r="AT46" s="69" t="n">
        <f aca="false">-AT39*Inputs!$B$37</f>
        <v>-4075.06948385764</v>
      </c>
      <c r="AU46" s="69" t="n">
        <f aca="false">-AU39*Inputs!$B$37</f>
        <v>-4087.30138768204</v>
      </c>
      <c r="AV46" s="69" t="n">
        <f aca="false">-AV39*Inputs!$B$37</f>
        <v>-4098.92169631522</v>
      </c>
      <c r="AW46" s="69" t="n">
        <f aca="false">-AW39*Inputs!$B$37</f>
        <v>-4109.96098951674</v>
      </c>
      <c r="AX46" s="69" t="n">
        <f aca="false">-AX39*Inputs!$B$37</f>
        <v>-3442.44498018682</v>
      </c>
      <c r="AY46" s="69" t="n">
        <f aca="false">-AY39*Inputs!$B$37</f>
        <v>-3477.29066739974</v>
      </c>
      <c r="AZ46" s="69" t="n">
        <f aca="false">-AZ39*Inputs!$B$37</f>
        <v>-3477.69084294024</v>
      </c>
      <c r="BA46" s="69" t="n">
        <f aca="false">-BA39*Inputs!$B$37</f>
        <v>-4162.85438095379</v>
      </c>
      <c r="BB46" s="69" t="n">
        <f aca="false">-BB39*Inputs!$B$37</f>
        <v>-4172.85689370356</v>
      </c>
      <c r="BC46" s="69" t="n">
        <f aca="false">-BC39*Inputs!$B$37</f>
        <v>-4182.35928081583</v>
      </c>
      <c r="BD46" s="69" t="n">
        <f aca="false">-BD39*Inputs!$B$37</f>
        <v>-4191.38654857249</v>
      </c>
      <c r="BE46" s="69" t="n">
        <f aca="false">-BE39*Inputs!$B$37</f>
        <v>-4199.96245294132</v>
      </c>
      <c r="BF46" s="69" t="n">
        <f aca="false">-BF39*Inputs!$B$37</f>
        <v>-4208.10956209171</v>
      </c>
      <c r="BG46" s="69" t="n">
        <f aca="false">-BG39*Inputs!$B$37</f>
        <v>-4215.84931578458</v>
      </c>
      <c r="BH46" s="69" t="n">
        <f aca="false">-BH39*Inputs!$B$37</f>
        <v>-4223.2020817928</v>
      </c>
      <c r="BI46" s="69" t="n">
        <f aca="false">-BI39*Inputs!$B$37</f>
        <v>-4230.18720950061</v>
      </c>
      <c r="BJ46" s="69" t="n">
        <f aca="false">-BJ39*Inputs!$B$37</f>
        <v>-3552.03970957296</v>
      </c>
    </row>
    <row r="47" customFormat="false" ht="15" hidden="false" customHeight="false" outlineLevel="0" collapsed="false">
      <c r="A47" s="4" t="s">
        <v>76</v>
      </c>
      <c r="C47" s="75" t="n">
        <f aca="false">C45+C46</f>
        <v>-4741.572656</v>
      </c>
      <c r="D47" s="75" t="n">
        <f aca="false">D45+D46</f>
        <v>-5430.20747386667</v>
      </c>
      <c r="E47" s="75" t="n">
        <f aca="false">E45+E46</f>
        <v>-8134.32861114667</v>
      </c>
      <c r="F47" s="75" t="n">
        <f aca="false">F45+F46</f>
        <v>-9130.343359256</v>
      </c>
      <c r="G47" s="75" t="n">
        <f aca="false">G45+G46</f>
        <v>-10150.2347139599</v>
      </c>
      <c r="H47" s="75" t="n">
        <f aca="false">H45+H46</f>
        <v>-11192.8088449285</v>
      </c>
      <c r="I47" s="75" t="n">
        <f aca="false">I45+I46</f>
        <v>-12256.9316133488</v>
      </c>
      <c r="J47" s="75" t="n">
        <f aca="false">J45+J46</f>
        <v>-13341.525587348</v>
      </c>
      <c r="K47" s="75" t="n">
        <f aca="false">K45+K46</f>
        <v>-14445.5672066473</v>
      </c>
      <c r="L47" s="75" t="n">
        <f aca="false">L45+L46</f>
        <v>-15568.0840889816</v>
      </c>
      <c r="M47" s="75" t="n">
        <f aca="false">M45+M46</f>
        <v>-16708.1524711992</v>
      </c>
      <c r="N47" s="75" t="n">
        <f aca="false">N45+N46</f>
        <v>-13506.7013333773</v>
      </c>
      <c r="O47" s="75" t="n">
        <f aca="false">O45+O46</f>
        <v>-14837.1799556476</v>
      </c>
      <c r="P47" s="75" t="n">
        <f aca="false">P45+P46</f>
        <v>-15107.6220138652</v>
      </c>
      <c r="Q47" s="75" t="n">
        <f aca="false">Q45+Q46</f>
        <v>-20303.7781352161</v>
      </c>
      <c r="R47" s="75" t="n">
        <f aca="false">R45+R46</f>
        <v>-20696.9052348553</v>
      </c>
      <c r="S47" s="75" t="n">
        <f aca="false">S45+S46</f>
        <v>-21070.3759795125</v>
      </c>
      <c r="T47" s="75" t="n">
        <f aca="false">T45+T46</f>
        <v>-21425.1731869369</v>
      </c>
      <c r="U47" s="75" t="n">
        <f aca="false">U45+U46</f>
        <v>-21762.2305339901</v>
      </c>
      <c r="V47" s="75" t="n">
        <f aca="false">V45+V46</f>
        <v>-22082.4350136906</v>
      </c>
      <c r="W47" s="75" t="n">
        <f aca="false">W45+W46</f>
        <v>-22386.629269406</v>
      </c>
      <c r="X47" s="75" t="n">
        <f aca="false">X45+X46</f>
        <v>-22675.6138123357</v>
      </c>
      <c r="Y47" s="75" t="n">
        <f aca="false">Y45+Y46</f>
        <v>-22950.1491281189</v>
      </c>
      <c r="Z47" s="75" t="n">
        <f aca="false">Z45+Z46</f>
        <v>-17630.0271385171</v>
      </c>
      <c r="AA47" s="75" t="n">
        <f aca="false">AA45+AA46</f>
        <v>-18380.9785831602</v>
      </c>
      <c r="AB47" s="75" t="n">
        <f aca="false">AB45+AB46</f>
        <v>-18509.6485639542</v>
      </c>
      <c r="AC47" s="75" t="n">
        <f aca="false">AC45+AC46</f>
        <v>-24526.0223576611</v>
      </c>
      <c r="AD47" s="75" t="n">
        <f aca="false">AD45+AD46</f>
        <v>-24758.01799805</v>
      </c>
      <c r="AE47" s="75" t="n">
        <f aca="false">AE45+AE46</f>
        <v>-24978.4138564195</v>
      </c>
      <c r="AF47" s="75" t="n">
        <f aca="false">AF45+AF46</f>
        <v>-25187.7899218705</v>
      </c>
      <c r="AG47" s="75" t="n">
        <f aca="false">AG45+AG46</f>
        <v>-25386.697184049</v>
      </c>
      <c r="AH47" s="75" t="n">
        <f aca="false">AH45+AH46</f>
        <v>-25575.6590831185</v>
      </c>
      <c r="AI47" s="75" t="n">
        <f aca="false">AI45+AI46</f>
        <v>-25755.1728872346</v>
      </c>
      <c r="AJ47" s="75" t="n">
        <f aca="false">AJ45+AJ46</f>
        <v>-25925.7110011449</v>
      </c>
      <c r="AK47" s="75" t="n">
        <f aca="false">AK45+AK46</f>
        <v>-26087.7222093596</v>
      </c>
      <c r="AL47" s="75" t="n">
        <f aca="false">AL45+AL46</f>
        <v>-19967.5298148241</v>
      </c>
      <c r="AM47" s="75" t="n">
        <f aca="false">AM45+AM46</f>
        <v>-20719.1704510388</v>
      </c>
      <c r="AN47" s="75" t="n">
        <f aca="false">AN45+AN46</f>
        <v>-20767.7146646661</v>
      </c>
      <c r="AO47" s="75" t="n">
        <f aca="false">AO45+AO46</f>
        <v>-27360.4022444815</v>
      </c>
      <c r="AP47" s="75" t="n">
        <f aca="false">AP45+AP46</f>
        <v>-27502.5953535925</v>
      </c>
      <c r="AQ47" s="75" t="n">
        <f aca="false">AQ45+AQ46</f>
        <v>-27637.6788072479</v>
      </c>
      <c r="AR47" s="75" t="n">
        <f aca="false">AR45+AR46</f>
        <v>-27766.0080882205</v>
      </c>
      <c r="AS47" s="75" t="n">
        <f aca="false">AS45+AS46</f>
        <v>-27887.9209051445</v>
      </c>
      <c r="AT47" s="75" t="n">
        <f aca="false">AT45+AT46</f>
        <v>-28003.7380812224</v>
      </c>
      <c r="AU47" s="75" t="n">
        <f aca="false">AU45+AU46</f>
        <v>-28113.7643984963</v>
      </c>
      <c r="AV47" s="75" t="n">
        <f aca="false">AV45+AV46</f>
        <v>-28218.2893999065</v>
      </c>
      <c r="AW47" s="75" t="n">
        <f aca="false">AW45+AW46</f>
        <v>-28317.5881512462</v>
      </c>
      <c r="AX47" s="75" t="n">
        <f aca="false">AX45+AX46</f>
        <v>-21631.6964843764</v>
      </c>
      <c r="AY47" s="75" t="n">
        <f aca="false">AY45+AY46</f>
        <v>-22396.7131107823</v>
      </c>
      <c r="AZ47" s="75" t="n">
        <f aca="false">AZ45+AZ46</f>
        <v>-22399.584121397</v>
      </c>
      <c r="BA47" s="75" t="n">
        <f aca="false">BA45+BA46</f>
        <v>-29435.8789836864</v>
      </c>
      <c r="BB47" s="75" t="n">
        <f aca="false">BB45+BB46</f>
        <v>-29528.22722335</v>
      </c>
      <c r="BC47" s="75" t="n">
        <f aca="false">BC45+BC46</f>
        <v>-29615.9580510304</v>
      </c>
      <c r="BD47" s="75" t="n">
        <f aca="false">BD45+BD46</f>
        <v>-29699.3023373268</v>
      </c>
      <c r="BE47" s="75" t="n">
        <f aca="false">BE45+BE46</f>
        <v>-29778.4794093084</v>
      </c>
      <c r="BF47" s="75" t="n">
        <f aca="false">BF45+BF46</f>
        <v>-29853.6976276909</v>
      </c>
      <c r="BG47" s="75" t="n">
        <f aca="false">BG45+BG46</f>
        <v>-29925.1549351543</v>
      </c>
      <c r="BH47" s="75" t="n">
        <f aca="false">BH45+BH46</f>
        <v>-29993.0393772445</v>
      </c>
      <c r="BI47" s="75" t="n">
        <f aca="false">BI45+BI46</f>
        <v>-30057.5295972302</v>
      </c>
      <c r="BJ47" s="75" t="n">
        <f aca="false">BJ45+BJ46</f>
        <v>-22932.9909983459</v>
      </c>
    </row>
    <row r="48" customFormat="false" ht="15" hidden="false" customHeight="false" outlineLevel="0" collapsed="false">
      <c r="A48" s="113" t="s">
        <v>45</v>
      </c>
      <c r="C48" s="70" t="n">
        <f aca="false">C39+C47</f>
        <v>21755.131344</v>
      </c>
      <c r="D48" s="70" t="n">
        <f aca="false">D39+D47</f>
        <v>24949.7039928</v>
      </c>
      <c r="E48" s="70" t="n">
        <f aca="false">E39+E47</f>
        <v>35643.4859488533</v>
      </c>
      <c r="F48" s="70" t="n">
        <f aca="false">F39+F47</f>
        <v>39951.444472744</v>
      </c>
      <c r="G48" s="70" t="n">
        <f aca="false">G39+G47</f>
        <v>44325.1757264401</v>
      </c>
      <c r="H48" s="70" t="n">
        <f aca="false">H39+H47</f>
        <v>48761.3910734515</v>
      </c>
      <c r="I48" s="70" t="n">
        <f aca="false">I39+I47</f>
        <v>53256.9663091122</v>
      </c>
      <c r="J48" s="70" t="n">
        <f aca="false">J39+J47</f>
        <v>57808.9334389899</v>
      </c>
      <c r="K48" s="70" t="n">
        <f aca="false">K39+K47</f>
        <v>62414.4728683738</v>
      </c>
      <c r="L48" s="70" t="n">
        <f aca="false">L39+L47</f>
        <v>67070.9059822884</v>
      </c>
      <c r="M48" s="70" t="n">
        <f aca="false">M39+M47</f>
        <v>71775.6880965073</v>
      </c>
      <c r="N48" s="70" t="n">
        <f aca="false">N39+N47</f>
        <v>61434.0245392772</v>
      </c>
      <c r="O48" s="70" t="n">
        <f aca="false">O39+O47</f>
        <v>65477.9139058311</v>
      </c>
      <c r="P48" s="70" t="n">
        <f aca="false">P39+P47</f>
        <v>66477.3299545395</v>
      </c>
      <c r="Q48" s="70" t="n">
        <f aca="false">Q39+Q47</f>
        <v>83257.6638347684</v>
      </c>
      <c r="R48" s="70" t="n">
        <f aca="false">R39+R47</f>
        <v>84303.01503663</v>
      </c>
      <c r="S48" s="70" t="n">
        <f aca="false">S39+S47</f>
        <v>85296.0986783985</v>
      </c>
      <c r="T48" s="70" t="n">
        <f aca="false">T39+T47</f>
        <v>86239.5281380786</v>
      </c>
      <c r="U48" s="70" t="n">
        <f aca="false">U39+U47</f>
        <v>87135.7861247746</v>
      </c>
      <c r="V48" s="70" t="n">
        <f aca="false">V39+V47</f>
        <v>87987.2312121359</v>
      </c>
      <c r="W48" s="70" t="n">
        <f aca="false">W39+W47</f>
        <v>88796.1040451291</v>
      </c>
      <c r="X48" s="70" t="n">
        <f aca="false">X39+X47</f>
        <v>89564.5332364727</v>
      </c>
      <c r="Y48" s="70" t="n">
        <f aca="false">Y39+Y47</f>
        <v>90294.540968249</v>
      </c>
      <c r="Z48" s="70" t="n">
        <f aca="false">Z39+Z47</f>
        <v>75798.8540530324</v>
      </c>
      <c r="AA48" s="70" t="n">
        <f aca="false">AA39+AA47</f>
        <v>76602.5018481316</v>
      </c>
      <c r="AB48" s="70" t="n">
        <f aca="false">AB39+AB47</f>
        <v>77063.126773773</v>
      </c>
      <c r="AC48" s="70" t="n">
        <f aca="false">AC39+AC47</f>
        <v>92584.4091891798</v>
      </c>
      <c r="AD48" s="70" t="n">
        <f aca="false">AD39+AD47</f>
        <v>93179.6078754488</v>
      </c>
      <c r="AE48" s="70" t="n">
        <f aca="false">AE39+AE47</f>
        <v>93745.0466274044</v>
      </c>
      <c r="AF48" s="70" t="n">
        <f aca="false">AF39+AF47</f>
        <v>94282.2134417621</v>
      </c>
      <c r="AG48" s="70" t="n">
        <f aca="false">AG39+AG47</f>
        <v>94792.521915402</v>
      </c>
      <c r="AH48" s="70" t="n">
        <f aca="false">AH39+AH47</f>
        <v>95277.3149653599</v>
      </c>
      <c r="AI48" s="70" t="n">
        <f aca="false">AI39+AI47</f>
        <v>95737.8683628199</v>
      </c>
      <c r="AJ48" s="70" t="n">
        <f aca="false">AJ39+AJ47</f>
        <v>96175.3940904069</v>
      </c>
      <c r="AK48" s="70" t="n">
        <f aca="false">AK39+AK47</f>
        <v>96591.0435316146</v>
      </c>
      <c r="AL48" s="70" t="n">
        <f aca="false">AL39+AL47</f>
        <v>82282.1874951014</v>
      </c>
      <c r="AM48" s="70" t="n">
        <f aca="false">AM39+AM47</f>
        <v>82781.2869251147</v>
      </c>
      <c r="AN48" s="70" t="n">
        <f aca="false">AN39+AN47</f>
        <v>82949.5734599598</v>
      </c>
      <c r="AO48" s="70" t="n">
        <f aca="false">AO39+AO47</f>
        <v>97750.4793996731</v>
      </c>
      <c r="AP48" s="70" t="n">
        <f aca="false">AP39+AP47</f>
        <v>98102.2852713944</v>
      </c>
      <c r="AQ48" s="70" t="n">
        <f aca="false">AQ39+AQ47</f>
        <v>98436.5008495296</v>
      </c>
      <c r="AR48" s="70" t="n">
        <f aca="false">AR39+AR47</f>
        <v>98754.0056487581</v>
      </c>
      <c r="AS48" s="70" t="n">
        <f aca="false">AS39+AS47</f>
        <v>99055.6352080252</v>
      </c>
      <c r="AT48" s="70" t="n">
        <f aca="false">AT39+AT47</f>
        <v>99342.1832893289</v>
      </c>
      <c r="AU48" s="70" t="n">
        <f aca="false">AU39+AU47</f>
        <v>99614.4039665674</v>
      </c>
      <c r="AV48" s="70" t="n">
        <f aca="false">AV39+AV47</f>
        <v>99873.013609944</v>
      </c>
      <c r="AW48" s="70" t="n">
        <f aca="false">AW39+AW47</f>
        <v>100118.692771152</v>
      </c>
      <c r="AX48" s="70" t="n">
        <f aca="false">AX39+AX47</f>
        <v>85944.7091464617</v>
      </c>
      <c r="AY48" s="70" t="n">
        <f aca="false">AY39+AY47</f>
        <v>86268.6202454596</v>
      </c>
      <c r="AZ48" s="70" t="n">
        <f aca="false">AZ39+AZ47</f>
        <v>86278.2547204856</v>
      </c>
      <c r="BA48" s="70" t="n">
        <f aca="false">BA39+BA47</f>
        <v>100653.32042112</v>
      </c>
      <c r="BB48" s="70" t="n">
        <f aca="false">BB39+BB47</f>
        <v>100873.550704886</v>
      </c>
      <c r="BC48" s="70" t="n">
        <f aca="false">BC39+BC47</f>
        <v>101082.769474464</v>
      </c>
      <c r="BD48" s="70" t="n">
        <f aca="false">BD39+BD47</f>
        <v>101281.527305564</v>
      </c>
      <c r="BE48" s="70" t="n">
        <f aca="false">BE39+BE47</f>
        <v>101470.347245108</v>
      </c>
      <c r="BF48" s="70" t="n">
        <f aca="false">BF39+BF47</f>
        <v>101649.726187675</v>
      </c>
      <c r="BG48" s="70" t="n">
        <f aca="false">BG39+BG47</f>
        <v>101820.136183114</v>
      </c>
      <c r="BH48" s="70" t="n">
        <f aca="false">BH39+BH47</f>
        <v>101982.025678781</v>
      </c>
      <c r="BI48" s="70" t="n">
        <f aca="false">BI39+BI47</f>
        <v>102135.820699664</v>
      </c>
      <c r="BJ48" s="70" t="n">
        <f aca="false">BJ39+BJ47</f>
        <v>88068.2499258092</v>
      </c>
    </row>
    <row r="50" customFormat="false" ht="15.75" hidden="false" customHeight="true" outlineLevel="0" collapsed="false">
      <c r="A50" s="7" t="s">
        <v>47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customFormat="false" ht="15" hidden="false" customHeight="false" outlineLevel="0" collapsed="false">
      <c r="A51" s="6" t="s">
        <v>340</v>
      </c>
      <c r="C51" s="69" t="n">
        <f aca="false">C128</f>
        <v>-36586.6666666667</v>
      </c>
      <c r="D51" s="69" t="n">
        <f aca="false">D128</f>
        <v>-36586.6666666667</v>
      </c>
      <c r="E51" s="69" t="n">
        <f aca="false">E128</f>
        <v>-36586.6666666667</v>
      </c>
      <c r="F51" s="69" t="n">
        <f aca="false">F128</f>
        <v>-36586.6666666667</v>
      </c>
      <c r="G51" s="69" t="n">
        <f aca="false">G128</f>
        <v>-36586.6666666667</v>
      </c>
      <c r="H51" s="69" t="n">
        <f aca="false">H128</f>
        <v>-36586.6666666667</v>
      </c>
      <c r="I51" s="69" t="n">
        <f aca="false">I128</f>
        <v>-36586.6666666667</v>
      </c>
      <c r="J51" s="69" t="n">
        <f aca="false">J128</f>
        <v>-36586.6666666667</v>
      </c>
      <c r="K51" s="69" t="n">
        <f aca="false">K128</f>
        <v>-36586.6666666667</v>
      </c>
      <c r="L51" s="69" t="n">
        <f aca="false">L128</f>
        <v>-36586.6666666667</v>
      </c>
      <c r="M51" s="69" t="n">
        <f aca="false">M128</f>
        <v>-36586.6666666667</v>
      </c>
      <c r="N51" s="69" t="n">
        <f aca="false">N128</f>
        <v>-36586.6666666667</v>
      </c>
      <c r="O51" s="69" t="n">
        <f aca="false">O128</f>
        <v>-37684.2666666667</v>
      </c>
      <c r="P51" s="69" t="n">
        <f aca="false">P128</f>
        <v>-37684.2666666667</v>
      </c>
      <c r="Q51" s="69" t="n">
        <f aca="false">Q128</f>
        <v>-37684.2666666667</v>
      </c>
      <c r="R51" s="69" t="n">
        <f aca="false">R128</f>
        <v>-37684.2666666667</v>
      </c>
      <c r="S51" s="69" t="n">
        <f aca="false">S128</f>
        <v>-37684.2666666667</v>
      </c>
      <c r="T51" s="69" t="n">
        <f aca="false">T128</f>
        <v>-37684.2666666667</v>
      </c>
      <c r="U51" s="69" t="n">
        <f aca="false">U128</f>
        <v>-37684.2666666667</v>
      </c>
      <c r="V51" s="69" t="n">
        <f aca="false">V128</f>
        <v>-37684.2666666667</v>
      </c>
      <c r="W51" s="69" t="n">
        <f aca="false">W128</f>
        <v>-37684.2666666667</v>
      </c>
      <c r="X51" s="69" t="n">
        <f aca="false">X128</f>
        <v>-37684.2666666667</v>
      </c>
      <c r="Y51" s="69" t="n">
        <f aca="false">Y128</f>
        <v>-37684.2666666667</v>
      </c>
      <c r="Z51" s="69" t="n">
        <f aca="false">Z128</f>
        <v>-37684.2666666667</v>
      </c>
      <c r="AA51" s="69" t="n">
        <f aca="false">AA128</f>
        <v>-38814.7946666667</v>
      </c>
      <c r="AB51" s="69" t="n">
        <f aca="false">AB128</f>
        <v>-38814.7946666667</v>
      </c>
      <c r="AC51" s="69" t="n">
        <f aca="false">AC128</f>
        <v>-38814.7946666667</v>
      </c>
      <c r="AD51" s="69" t="n">
        <f aca="false">AD128</f>
        <v>-38814.7946666667</v>
      </c>
      <c r="AE51" s="69" t="n">
        <f aca="false">AE128</f>
        <v>-38814.7946666667</v>
      </c>
      <c r="AF51" s="69" t="n">
        <f aca="false">AF128</f>
        <v>-38814.7946666667</v>
      </c>
      <c r="AG51" s="69" t="n">
        <f aca="false">AG128</f>
        <v>-38814.7946666667</v>
      </c>
      <c r="AH51" s="69" t="n">
        <f aca="false">AH128</f>
        <v>-38814.7946666667</v>
      </c>
      <c r="AI51" s="69" t="n">
        <f aca="false">AI128</f>
        <v>-38814.7946666667</v>
      </c>
      <c r="AJ51" s="69" t="n">
        <f aca="false">AJ128</f>
        <v>-38814.7946666667</v>
      </c>
      <c r="AK51" s="69" t="n">
        <f aca="false">AK128</f>
        <v>-38814.7946666667</v>
      </c>
      <c r="AL51" s="69" t="n">
        <f aca="false">AL128</f>
        <v>-38814.7946666667</v>
      </c>
      <c r="AM51" s="69" t="n">
        <f aca="false">AM128</f>
        <v>-39979.2385066667</v>
      </c>
      <c r="AN51" s="69" t="n">
        <f aca="false">AN128</f>
        <v>-39979.2385066667</v>
      </c>
      <c r="AO51" s="69" t="n">
        <f aca="false">AO128</f>
        <v>-39979.2385066667</v>
      </c>
      <c r="AP51" s="69" t="n">
        <f aca="false">AP128</f>
        <v>-39979.2385066667</v>
      </c>
      <c r="AQ51" s="69" t="n">
        <f aca="false">AQ128</f>
        <v>-39979.2385066667</v>
      </c>
      <c r="AR51" s="69" t="n">
        <f aca="false">AR128</f>
        <v>-39979.2385066667</v>
      </c>
      <c r="AS51" s="69" t="n">
        <f aca="false">AS128</f>
        <v>-39979.2385066667</v>
      </c>
      <c r="AT51" s="69" t="n">
        <f aca="false">AT128</f>
        <v>-39979.2385066667</v>
      </c>
      <c r="AU51" s="69" t="n">
        <f aca="false">AU128</f>
        <v>-39979.2385066667</v>
      </c>
      <c r="AV51" s="69" t="n">
        <f aca="false">AV128</f>
        <v>-39979.2385066667</v>
      </c>
      <c r="AW51" s="69" t="n">
        <f aca="false">AW128</f>
        <v>-39979.2385066667</v>
      </c>
      <c r="AX51" s="69" t="n">
        <f aca="false">AX128</f>
        <v>-39979.2385066667</v>
      </c>
      <c r="AY51" s="69" t="n">
        <f aca="false">AY128</f>
        <v>-41178.6156618667</v>
      </c>
      <c r="AZ51" s="69" t="n">
        <f aca="false">AZ128</f>
        <v>-41178.6156618667</v>
      </c>
      <c r="BA51" s="69" t="n">
        <f aca="false">BA128</f>
        <v>-41178.6156618667</v>
      </c>
      <c r="BB51" s="69" t="n">
        <f aca="false">BB128</f>
        <v>-41178.6156618667</v>
      </c>
      <c r="BC51" s="69" t="n">
        <f aca="false">BC128</f>
        <v>-41178.6156618667</v>
      </c>
      <c r="BD51" s="69" t="n">
        <f aca="false">BD128</f>
        <v>-41178.6156618667</v>
      </c>
      <c r="BE51" s="69" t="n">
        <f aca="false">BE128</f>
        <v>-41178.6156618667</v>
      </c>
      <c r="BF51" s="69" t="n">
        <f aca="false">BF128</f>
        <v>-41178.6156618667</v>
      </c>
      <c r="BG51" s="69" t="n">
        <f aca="false">BG128</f>
        <v>-41178.6156618667</v>
      </c>
      <c r="BH51" s="69" t="n">
        <f aca="false">BH128</f>
        <v>-41178.6156618667</v>
      </c>
      <c r="BI51" s="69" t="n">
        <f aca="false">BI128</f>
        <v>-41178.6156618667</v>
      </c>
      <c r="BJ51" s="69" t="n">
        <f aca="false">BJ128</f>
        <v>-41178.6156618667</v>
      </c>
    </row>
    <row r="52" customFormat="false" ht="15" hidden="false" customHeight="false" outlineLevel="0" collapsed="false">
      <c r="A52" s="6" t="s">
        <v>341</v>
      </c>
      <c r="C52" s="69" t="n">
        <f aca="false">-Inputs!$B$41*(1+Inputs!$B$42)^(C$7-1)*1</f>
        <v>-30000</v>
      </c>
      <c r="D52" s="69" t="n">
        <f aca="false">-Inputs!$B$41*(1+Inputs!$B$42)^(D$7-1)*1</f>
        <v>-30000</v>
      </c>
      <c r="E52" s="69" t="n">
        <f aca="false">-Inputs!$B$41*(1+Inputs!$B$42)^(E$7-1)*1</f>
        <v>-30000</v>
      </c>
      <c r="F52" s="69" t="n">
        <f aca="false">-Inputs!$B$41*(1+Inputs!$B$42)^(F$7-1)*1</f>
        <v>-30000</v>
      </c>
      <c r="G52" s="69" t="n">
        <f aca="false">-Inputs!$B$41*(1+Inputs!$B$42)^(G$7-1)*1</f>
        <v>-30000</v>
      </c>
      <c r="H52" s="69" t="n">
        <f aca="false">-Inputs!$B$41*(1+Inputs!$B$42)^(H$7-1)*1</f>
        <v>-30000</v>
      </c>
      <c r="I52" s="69" t="n">
        <f aca="false">-Inputs!$B$41*(1+Inputs!$B$42)^(I$7-1)*1</f>
        <v>-30000</v>
      </c>
      <c r="J52" s="69" t="n">
        <f aca="false">-Inputs!$B$41*(1+Inputs!$B$42)^(J$7-1)*1</f>
        <v>-30000</v>
      </c>
      <c r="K52" s="69" t="n">
        <f aca="false">-Inputs!$B$41*(1+Inputs!$B$42)^(K$7-1)*1</f>
        <v>-30000</v>
      </c>
      <c r="L52" s="69" t="n">
        <f aca="false">-Inputs!$B$41*(1+Inputs!$B$42)^(L$7-1)*1</f>
        <v>-30000</v>
      </c>
      <c r="M52" s="69" t="n">
        <f aca="false">-Inputs!$B$41*(1+Inputs!$B$42)^(M$7-1)*1</f>
        <v>-30000</v>
      </c>
      <c r="N52" s="69" t="n">
        <f aca="false">-Inputs!$B$41*(1+Inputs!$B$42)^(N$7-1)*1</f>
        <v>-30000</v>
      </c>
      <c r="O52" s="69" t="n">
        <f aca="false">-Inputs!$B$41*(1+Inputs!$B$42)^(O$7-1)*1</f>
        <v>-30900</v>
      </c>
      <c r="P52" s="69" t="n">
        <f aca="false">-Inputs!$B$41*(1+Inputs!$B$42)^(P$7-1)*1</f>
        <v>-30900</v>
      </c>
      <c r="Q52" s="69" t="n">
        <f aca="false">-Inputs!$B$41*(1+Inputs!$B$42)^(Q$7-1)*1</f>
        <v>-30900</v>
      </c>
      <c r="R52" s="69" t="n">
        <f aca="false">-Inputs!$B$41*(1+Inputs!$B$42)^(R$7-1)*1</f>
        <v>-30900</v>
      </c>
      <c r="S52" s="69" t="n">
        <f aca="false">-Inputs!$B$41*(1+Inputs!$B$42)^(S$7-1)*1</f>
        <v>-30900</v>
      </c>
      <c r="T52" s="69" t="n">
        <f aca="false">-Inputs!$B$41*(1+Inputs!$B$42)^(T$7-1)*1</f>
        <v>-30900</v>
      </c>
      <c r="U52" s="69" t="n">
        <f aca="false">-Inputs!$B$41*(1+Inputs!$B$42)^(U$7-1)*1</f>
        <v>-30900</v>
      </c>
      <c r="V52" s="69" t="n">
        <f aca="false">-Inputs!$B$41*(1+Inputs!$B$42)^(V$7-1)*1</f>
        <v>-30900</v>
      </c>
      <c r="W52" s="69" t="n">
        <f aca="false">-Inputs!$B$41*(1+Inputs!$B$42)^(W$7-1)*1</f>
        <v>-30900</v>
      </c>
      <c r="X52" s="69" t="n">
        <f aca="false">-Inputs!$B$41*(1+Inputs!$B$42)^(X$7-1)*1</f>
        <v>-30900</v>
      </c>
      <c r="Y52" s="69" t="n">
        <f aca="false">-Inputs!$B$41*(1+Inputs!$B$42)^(Y$7-1)*1</f>
        <v>-30900</v>
      </c>
      <c r="Z52" s="69" t="n">
        <f aca="false">-Inputs!$B$41*(1+Inputs!$B$42)^(Z$7-1)*1</f>
        <v>-30900</v>
      </c>
      <c r="AA52" s="69" t="n">
        <f aca="false">-Inputs!$B$41*(1+Inputs!$B$42)^(AA$7-1)*1</f>
        <v>-31827</v>
      </c>
      <c r="AB52" s="69" t="n">
        <f aca="false">-Inputs!$B$41*(1+Inputs!$B$42)^(AB$7-1)*1</f>
        <v>-31827</v>
      </c>
      <c r="AC52" s="69" t="n">
        <f aca="false">-Inputs!$B$41*(1+Inputs!$B$42)^(AC$7-1)*1</f>
        <v>-31827</v>
      </c>
      <c r="AD52" s="69" t="n">
        <f aca="false">-Inputs!$B$41*(1+Inputs!$B$42)^(AD$7-1)*1</f>
        <v>-31827</v>
      </c>
      <c r="AE52" s="69" t="n">
        <f aca="false">-Inputs!$B$41*(1+Inputs!$B$42)^(AE$7-1)*1</f>
        <v>-31827</v>
      </c>
      <c r="AF52" s="69" t="n">
        <f aca="false">-Inputs!$B$41*(1+Inputs!$B$42)^(AF$7-1)*1</f>
        <v>-31827</v>
      </c>
      <c r="AG52" s="69" t="n">
        <f aca="false">-Inputs!$B$41*(1+Inputs!$B$42)^(AG$7-1)*1</f>
        <v>-31827</v>
      </c>
      <c r="AH52" s="69" t="n">
        <f aca="false">-Inputs!$B$41*(1+Inputs!$B$42)^(AH$7-1)*1</f>
        <v>-31827</v>
      </c>
      <c r="AI52" s="69" t="n">
        <f aca="false">-Inputs!$B$41*(1+Inputs!$B$42)^(AI$7-1)*1</f>
        <v>-31827</v>
      </c>
      <c r="AJ52" s="69" t="n">
        <f aca="false">-Inputs!$B$41*(1+Inputs!$B$42)^(AJ$7-1)*1</f>
        <v>-31827</v>
      </c>
      <c r="AK52" s="69" t="n">
        <f aca="false">-Inputs!$B$41*(1+Inputs!$B$42)^(AK$7-1)*1</f>
        <v>-31827</v>
      </c>
      <c r="AL52" s="69" t="n">
        <f aca="false">-Inputs!$B$41*(1+Inputs!$B$42)^(AL$7-1)*1</f>
        <v>-31827</v>
      </c>
      <c r="AM52" s="69" t="n">
        <f aca="false">-Inputs!$B$41*(1+Inputs!$B$42)^(AM$7-1)*1</f>
        <v>-32781.81</v>
      </c>
      <c r="AN52" s="69" t="n">
        <f aca="false">-Inputs!$B$41*(1+Inputs!$B$42)^(AN$7-1)*1</f>
        <v>-32781.81</v>
      </c>
      <c r="AO52" s="69" t="n">
        <f aca="false">-Inputs!$B$41*(1+Inputs!$B$42)^(AO$7-1)*1</f>
        <v>-32781.81</v>
      </c>
      <c r="AP52" s="69" t="n">
        <f aca="false">-Inputs!$B$41*(1+Inputs!$B$42)^(AP$7-1)*1</f>
        <v>-32781.81</v>
      </c>
      <c r="AQ52" s="69" t="n">
        <f aca="false">-Inputs!$B$41*(1+Inputs!$B$42)^(AQ$7-1)*1</f>
        <v>-32781.81</v>
      </c>
      <c r="AR52" s="69" t="n">
        <f aca="false">-Inputs!$B$41*(1+Inputs!$B$42)^(AR$7-1)*1</f>
        <v>-32781.81</v>
      </c>
      <c r="AS52" s="69" t="n">
        <f aca="false">-Inputs!$B$41*(1+Inputs!$B$42)^(AS$7-1)*1</f>
        <v>-32781.81</v>
      </c>
      <c r="AT52" s="69" t="n">
        <f aca="false">-Inputs!$B$41*(1+Inputs!$B$42)^(AT$7-1)*1</f>
        <v>-32781.81</v>
      </c>
      <c r="AU52" s="69" t="n">
        <f aca="false">-Inputs!$B$41*(1+Inputs!$B$42)^(AU$7-1)*1</f>
        <v>-32781.81</v>
      </c>
      <c r="AV52" s="69" t="n">
        <f aca="false">-Inputs!$B$41*(1+Inputs!$B$42)^(AV$7-1)*1</f>
        <v>-32781.81</v>
      </c>
      <c r="AW52" s="69" t="n">
        <f aca="false">-Inputs!$B$41*(1+Inputs!$B$42)^(AW$7-1)*1</f>
        <v>-32781.81</v>
      </c>
      <c r="AX52" s="69" t="n">
        <f aca="false">-Inputs!$B$41*(1+Inputs!$B$42)^(AX$7-1)*1</f>
        <v>-32781.81</v>
      </c>
      <c r="AY52" s="69" t="n">
        <f aca="false">-Inputs!$B$41*(1+Inputs!$B$42)^(AY$7-1)*1</f>
        <v>-33765.2643</v>
      </c>
      <c r="AZ52" s="69" t="n">
        <f aca="false">-Inputs!$B$41*(1+Inputs!$B$42)^(AZ$7-1)*1</f>
        <v>-33765.2643</v>
      </c>
      <c r="BA52" s="69" t="n">
        <f aca="false">-Inputs!$B$41*(1+Inputs!$B$42)^(BA$7-1)*1</f>
        <v>-33765.2643</v>
      </c>
      <c r="BB52" s="69" t="n">
        <f aca="false">-Inputs!$B$41*(1+Inputs!$B$42)^(BB$7-1)*1</f>
        <v>-33765.2643</v>
      </c>
      <c r="BC52" s="69" t="n">
        <f aca="false">-Inputs!$B$41*(1+Inputs!$B$42)^(BC$7-1)*1</f>
        <v>-33765.2643</v>
      </c>
      <c r="BD52" s="69" t="n">
        <f aca="false">-Inputs!$B$41*(1+Inputs!$B$42)^(BD$7-1)*1</f>
        <v>-33765.2643</v>
      </c>
      <c r="BE52" s="69" t="n">
        <f aca="false">-Inputs!$B$41*(1+Inputs!$B$42)^(BE$7-1)*1</f>
        <v>-33765.2643</v>
      </c>
      <c r="BF52" s="69" t="n">
        <f aca="false">-Inputs!$B$41*(1+Inputs!$B$42)^(BF$7-1)*1</f>
        <v>-33765.2643</v>
      </c>
      <c r="BG52" s="69" t="n">
        <f aca="false">-Inputs!$B$41*(1+Inputs!$B$42)^(BG$7-1)*1</f>
        <v>-33765.2643</v>
      </c>
      <c r="BH52" s="69" t="n">
        <f aca="false">-Inputs!$B$41*(1+Inputs!$B$42)^(BH$7-1)*1</f>
        <v>-33765.2643</v>
      </c>
      <c r="BI52" s="69" t="n">
        <f aca="false">-Inputs!$B$41*(1+Inputs!$B$42)^(BI$7-1)*1</f>
        <v>-33765.2643</v>
      </c>
      <c r="BJ52" s="69" t="n">
        <f aca="false">-Inputs!$B$41*(1+Inputs!$B$42)^(BJ$7-1)*1</f>
        <v>-33765.2643</v>
      </c>
    </row>
    <row r="53" customFormat="false" ht="15" hidden="false" customHeight="false" outlineLevel="0" collapsed="false">
      <c r="A53" s="6" t="s">
        <v>342</v>
      </c>
      <c r="C53" s="69" t="n">
        <f aca="false">-Inputs!$B$43*(1+Inputs!$B$38)^(C$7-1)*1</f>
        <v>-5500</v>
      </c>
      <c r="D53" s="69" t="n">
        <f aca="false">-Inputs!$B$43*(1+Inputs!$B$38)^(D$7-1)*1</f>
        <v>-5500</v>
      </c>
      <c r="E53" s="69" t="n">
        <f aca="false">-Inputs!$B$43*(1+Inputs!$B$38)^(E$7-1)*1</f>
        <v>-5500</v>
      </c>
      <c r="F53" s="69" t="n">
        <f aca="false">-Inputs!$B$43*(1+Inputs!$B$38)^(F$7-1)*1</f>
        <v>-5500</v>
      </c>
      <c r="G53" s="69" t="n">
        <f aca="false">-Inputs!$B$43*(1+Inputs!$B$38)^(G$7-1)*1</f>
        <v>-5500</v>
      </c>
      <c r="H53" s="69" t="n">
        <f aca="false">-Inputs!$B$43*(1+Inputs!$B$38)^(H$7-1)*1</f>
        <v>-5500</v>
      </c>
      <c r="I53" s="69" t="n">
        <f aca="false">-Inputs!$B$43*(1+Inputs!$B$38)^(I$7-1)*1</f>
        <v>-5500</v>
      </c>
      <c r="J53" s="69" t="n">
        <f aca="false">-Inputs!$B$43*(1+Inputs!$B$38)^(J$7-1)*1</f>
        <v>-5500</v>
      </c>
      <c r="K53" s="69" t="n">
        <f aca="false">-Inputs!$B$43*(1+Inputs!$B$38)^(K$7-1)*1</f>
        <v>-5500</v>
      </c>
      <c r="L53" s="69" t="n">
        <f aca="false">-Inputs!$B$43*(1+Inputs!$B$38)^(L$7-1)*1</f>
        <v>-5500</v>
      </c>
      <c r="M53" s="69" t="n">
        <f aca="false">-Inputs!$B$43*(1+Inputs!$B$38)^(M$7-1)*1</f>
        <v>-5500</v>
      </c>
      <c r="N53" s="69" t="n">
        <f aca="false">-Inputs!$B$43*(1+Inputs!$B$38)^(N$7-1)*1</f>
        <v>-5500</v>
      </c>
      <c r="O53" s="69" t="n">
        <f aca="false">-Inputs!$B$43*(1+Inputs!$B$38)^(O$7-1)*1</f>
        <v>-5720</v>
      </c>
      <c r="P53" s="69" t="n">
        <f aca="false">-Inputs!$B$43*(1+Inputs!$B$38)^(P$7-1)*1</f>
        <v>-5720</v>
      </c>
      <c r="Q53" s="69" t="n">
        <f aca="false">-Inputs!$B$43*(1+Inputs!$B$38)^(Q$7-1)*1</f>
        <v>-5720</v>
      </c>
      <c r="R53" s="69" t="n">
        <f aca="false">-Inputs!$B$43*(1+Inputs!$B$38)^(R$7-1)*1</f>
        <v>-5720</v>
      </c>
      <c r="S53" s="69" t="n">
        <f aca="false">-Inputs!$B$43*(1+Inputs!$B$38)^(S$7-1)*1</f>
        <v>-5720</v>
      </c>
      <c r="T53" s="69" t="n">
        <f aca="false">-Inputs!$B$43*(1+Inputs!$B$38)^(T$7-1)*1</f>
        <v>-5720</v>
      </c>
      <c r="U53" s="69" t="n">
        <f aca="false">-Inputs!$B$43*(1+Inputs!$B$38)^(U$7-1)*1</f>
        <v>-5720</v>
      </c>
      <c r="V53" s="69" t="n">
        <f aca="false">-Inputs!$B$43*(1+Inputs!$B$38)^(V$7-1)*1</f>
        <v>-5720</v>
      </c>
      <c r="W53" s="69" t="n">
        <f aca="false">-Inputs!$B$43*(1+Inputs!$B$38)^(W$7-1)*1</f>
        <v>-5720</v>
      </c>
      <c r="X53" s="69" t="n">
        <f aca="false">-Inputs!$B$43*(1+Inputs!$B$38)^(X$7-1)*1</f>
        <v>-5720</v>
      </c>
      <c r="Y53" s="69" t="n">
        <f aca="false">-Inputs!$B$43*(1+Inputs!$B$38)^(Y$7-1)*1</f>
        <v>-5720</v>
      </c>
      <c r="Z53" s="69" t="n">
        <f aca="false">-Inputs!$B$43*(1+Inputs!$B$38)^(Z$7-1)*1</f>
        <v>-5720</v>
      </c>
      <c r="AA53" s="69" t="n">
        <f aca="false">-Inputs!$B$43*(1+Inputs!$B$38)^(AA$7-1)*1</f>
        <v>-5948.8</v>
      </c>
      <c r="AB53" s="69" t="n">
        <f aca="false">-Inputs!$B$43*(1+Inputs!$B$38)^(AB$7-1)*1</f>
        <v>-5948.8</v>
      </c>
      <c r="AC53" s="69" t="n">
        <f aca="false">-Inputs!$B$43*(1+Inputs!$B$38)^(AC$7-1)*1</f>
        <v>-5948.8</v>
      </c>
      <c r="AD53" s="69" t="n">
        <f aca="false">-Inputs!$B$43*(1+Inputs!$B$38)^(AD$7-1)*1</f>
        <v>-5948.8</v>
      </c>
      <c r="AE53" s="69" t="n">
        <f aca="false">-Inputs!$B$43*(1+Inputs!$B$38)^(AE$7-1)*1</f>
        <v>-5948.8</v>
      </c>
      <c r="AF53" s="69" t="n">
        <f aca="false">-Inputs!$B$43*(1+Inputs!$B$38)^(AF$7-1)*1</f>
        <v>-5948.8</v>
      </c>
      <c r="AG53" s="69" t="n">
        <f aca="false">-Inputs!$B$43*(1+Inputs!$B$38)^(AG$7-1)*1</f>
        <v>-5948.8</v>
      </c>
      <c r="AH53" s="69" t="n">
        <f aca="false">-Inputs!$B$43*(1+Inputs!$B$38)^(AH$7-1)*1</f>
        <v>-5948.8</v>
      </c>
      <c r="AI53" s="69" t="n">
        <f aca="false">-Inputs!$B$43*(1+Inputs!$B$38)^(AI$7-1)*1</f>
        <v>-5948.8</v>
      </c>
      <c r="AJ53" s="69" t="n">
        <f aca="false">-Inputs!$B$43*(1+Inputs!$B$38)^(AJ$7-1)*1</f>
        <v>-5948.8</v>
      </c>
      <c r="AK53" s="69" t="n">
        <f aca="false">-Inputs!$B$43*(1+Inputs!$B$38)^(AK$7-1)*1</f>
        <v>-5948.8</v>
      </c>
      <c r="AL53" s="69" t="n">
        <f aca="false">-Inputs!$B$43*(1+Inputs!$B$38)^(AL$7-1)*1</f>
        <v>-5948.8</v>
      </c>
      <c r="AM53" s="69" t="n">
        <f aca="false">-Inputs!$B$43*(1+Inputs!$B$38)^(AM$7-1)*1</f>
        <v>-6186.752</v>
      </c>
      <c r="AN53" s="69" t="n">
        <f aca="false">-Inputs!$B$43*(1+Inputs!$B$38)^(AN$7-1)*1</f>
        <v>-6186.752</v>
      </c>
      <c r="AO53" s="69" t="n">
        <f aca="false">-Inputs!$B$43*(1+Inputs!$B$38)^(AO$7-1)*1</f>
        <v>-6186.752</v>
      </c>
      <c r="AP53" s="69" t="n">
        <f aca="false">-Inputs!$B$43*(1+Inputs!$B$38)^(AP$7-1)*1</f>
        <v>-6186.752</v>
      </c>
      <c r="AQ53" s="69" t="n">
        <f aca="false">-Inputs!$B$43*(1+Inputs!$B$38)^(AQ$7-1)*1</f>
        <v>-6186.752</v>
      </c>
      <c r="AR53" s="69" t="n">
        <f aca="false">-Inputs!$B$43*(1+Inputs!$B$38)^(AR$7-1)*1</f>
        <v>-6186.752</v>
      </c>
      <c r="AS53" s="69" t="n">
        <f aca="false">-Inputs!$B$43*(1+Inputs!$B$38)^(AS$7-1)*1</f>
        <v>-6186.752</v>
      </c>
      <c r="AT53" s="69" t="n">
        <f aca="false">-Inputs!$B$43*(1+Inputs!$B$38)^(AT$7-1)*1</f>
        <v>-6186.752</v>
      </c>
      <c r="AU53" s="69" t="n">
        <f aca="false">-Inputs!$B$43*(1+Inputs!$B$38)^(AU$7-1)*1</f>
        <v>-6186.752</v>
      </c>
      <c r="AV53" s="69" t="n">
        <f aca="false">-Inputs!$B$43*(1+Inputs!$B$38)^(AV$7-1)*1</f>
        <v>-6186.752</v>
      </c>
      <c r="AW53" s="69" t="n">
        <f aca="false">-Inputs!$B$43*(1+Inputs!$B$38)^(AW$7-1)*1</f>
        <v>-6186.752</v>
      </c>
      <c r="AX53" s="69" t="n">
        <f aca="false">-Inputs!$B$43*(1+Inputs!$B$38)^(AX$7-1)*1</f>
        <v>-6186.752</v>
      </c>
      <c r="AY53" s="69" t="n">
        <f aca="false">-Inputs!$B$43*(1+Inputs!$B$38)^(AY$7-1)*1</f>
        <v>-6434.22208</v>
      </c>
      <c r="AZ53" s="69" t="n">
        <f aca="false">-Inputs!$B$43*(1+Inputs!$B$38)^(AZ$7-1)*1</f>
        <v>-6434.22208</v>
      </c>
      <c r="BA53" s="69" t="n">
        <f aca="false">-Inputs!$B$43*(1+Inputs!$B$38)^(BA$7-1)*1</f>
        <v>-6434.22208</v>
      </c>
      <c r="BB53" s="69" t="n">
        <f aca="false">-Inputs!$B$43*(1+Inputs!$B$38)^(BB$7-1)*1</f>
        <v>-6434.22208</v>
      </c>
      <c r="BC53" s="69" t="n">
        <f aca="false">-Inputs!$B$43*(1+Inputs!$B$38)^(BC$7-1)*1</f>
        <v>-6434.22208</v>
      </c>
      <c r="BD53" s="69" t="n">
        <f aca="false">-Inputs!$B$43*(1+Inputs!$B$38)^(BD$7-1)*1</f>
        <v>-6434.22208</v>
      </c>
      <c r="BE53" s="69" t="n">
        <f aca="false">-Inputs!$B$43*(1+Inputs!$B$38)^(BE$7-1)*1</f>
        <v>-6434.22208</v>
      </c>
      <c r="BF53" s="69" t="n">
        <f aca="false">-Inputs!$B$43*(1+Inputs!$B$38)^(BF$7-1)*1</f>
        <v>-6434.22208</v>
      </c>
      <c r="BG53" s="69" t="n">
        <f aca="false">-Inputs!$B$43*(1+Inputs!$B$38)^(BG$7-1)*1</f>
        <v>-6434.22208</v>
      </c>
      <c r="BH53" s="69" t="n">
        <f aca="false">-Inputs!$B$43*(1+Inputs!$B$38)^(BH$7-1)*1</f>
        <v>-6434.22208</v>
      </c>
      <c r="BI53" s="69" t="n">
        <f aca="false">-Inputs!$B$43*(1+Inputs!$B$38)^(BI$7-1)*1</f>
        <v>-6434.22208</v>
      </c>
      <c r="BJ53" s="69" t="n">
        <f aca="false">-Inputs!$B$43*(1+Inputs!$B$38)^(BJ$7-1)*1</f>
        <v>-6434.22208</v>
      </c>
    </row>
    <row r="54" customFormat="false" ht="15" hidden="false" customHeight="false" outlineLevel="0" collapsed="false">
      <c r="A54" s="6" t="s">
        <v>343</v>
      </c>
      <c r="C54" s="69" t="n">
        <f aca="false">-Inputs!$B$44*(1+Inputs!$B$38)^(C$7-1)*1</f>
        <v>-9500</v>
      </c>
      <c r="D54" s="69" t="n">
        <f aca="false">-Inputs!$B$44*(1+Inputs!$B$38)^(D$7-1)*1</f>
        <v>-9500</v>
      </c>
      <c r="E54" s="69" t="n">
        <f aca="false">-Inputs!$B$44*(1+Inputs!$B$38)^(E$7-1)*1</f>
        <v>-9500</v>
      </c>
      <c r="F54" s="69" t="n">
        <f aca="false">-Inputs!$B$44*(1+Inputs!$B$38)^(F$7-1)*1</f>
        <v>-9500</v>
      </c>
      <c r="G54" s="69" t="n">
        <f aca="false">-Inputs!$B$44*(1+Inputs!$B$38)^(G$7-1)*1</f>
        <v>-9500</v>
      </c>
      <c r="H54" s="69" t="n">
        <f aca="false">-Inputs!$B$44*(1+Inputs!$B$38)^(H$7-1)*1</f>
        <v>-9500</v>
      </c>
      <c r="I54" s="69" t="n">
        <f aca="false">-Inputs!$B$44*(1+Inputs!$B$38)^(I$7-1)*1</f>
        <v>-9500</v>
      </c>
      <c r="J54" s="69" t="n">
        <f aca="false">-Inputs!$B$44*(1+Inputs!$B$38)^(J$7-1)*1</f>
        <v>-9500</v>
      </c>
      <c r="K54" s="69" t="n">
        <f aca="false">-Inputs!$B$44*(1+Inputs!$B$38)^(K$7-1)*1</f>
        <v>-9500</v>
      </c>
      <c r="L54" s="69" t="n">
        <f aca="false">-Inputs!$B$44*(1+Inputs!$B$38)^(L$7-1)*1</f>
        <v>-9500</v>
      </c>
      <c r="M54" s="69" t="n">
        <f aca="false">-Inputs!$B$44*(1+Inputs!$B$38)^(M$7-1)*1</f>
        <v>-9500</v>
      </c>
      <c r="N54" s="69" t="n">
        <f aca="false">-Inputs!$B$44*(1+Inputs!$B$38)^(N$7-1)*1</f>
        <v>-9500</v>
      </c>
      <c r="O54" s="69" t="n">
        <f aca="false">-Inputs!$B$44*(1+Inputs!$B$38)^(O$7-1)*1</f>
        <v>-9880</v>
      </c>
      <c r="P54" s="69" t="n">
        <f aca="false">-Inputs!$B$44*(1+Inputs!$B$38)^(P$7-1)*1</f>
        <v>-9880</v>
      </c>
      <c r="Q54" s="69" t="n">
        <f aca="false">-Inputs!$B$44*(1+Inputs!$B$38)^(Q$7-1)*1</f>
        <v>-9880</v>
      </c>
      <c r="R54" s="69" t="n">
        <f aca="false">-Inputs!$B$44*(1+Inputs!$B$38)^(R$7-1)*1</f>
        <v>-9880</v>
      </c>
      <c r="S54" s="69" t="n">
        <f aca="false">-Inputs!$B$44*(1+Inputs!$B$38)^(S$7-1)*1</f>
        <v>-9880</v>
      </c>
      <c r="T54" s="69" t="n">
        <f aca="false">-Inputs!$B$44*(1+Inputs!$B$38)^(T$7-1)*1</f>
        <v>-9880</v>
      </c>
      <c r="U54" s="69" t="n">
        <f aca="false">-Inputs!$B$44*(1+Inputs!$B$38)^(U$7-1)*1</f>
        <v>-9880</v>
      </c>
      <c r="V54" s="69" t="n">
        <f aca="false">-Inputs!$B$44*(1+Inputs!$B$38)^(V$7-1)*1</f>
        <v>-9880</v>
      </c>
      <c r="W54" s="69" t="n">
        <f aca="false">-Inputs!$B$44*(1+Inputs!$B$38)^(W$7-1)*1</f>
        <v>-9880</v>
      </c>
      <c r="X54" s="69" t="n">
        <f aca="false">-Inputs!$B$44*(1+Inputs!$B$38)^(X$7-1)*1</f>
        <v>-9880</v>
      </c>
      <c r="Y54" s="69" t="n">
        <f aca="false">-Inputs!$B$44*(1+Inputs!$B$38)^(Y$7-1)*1</f>
        <v>-9880</v>
      </c>
      <c r="Z54" s="69" t="n">
        <f aca="false">-Inputs!$B$44*(1+Inputs!$B$38)^(Z$7-1)*1</f>
        <v>-9880</v>
      </c>
      <c r="AA54" s="69" t="n">
        <f aca="false">-Inputs!$B$44*(1+Inputs!$B$38)^(AA$7-1)*1</f>
        <v>-10275.2</v>
      </c>
      <c r="AB54" s="69" t="n">
        <f aca="false">-Inputs!$B$44*(1+Inputs!$B$38)^(AB$7-1)*1</f>
        <v>-10275.2</v>
      </c>
      <c r="AC54" s="69" t="n">
        <f aca="false">-Inputs!$B$44*(1+Inputs!$B$38)^(AC$7-1)*1</f>
        <v>-10275.2</v>
      </c>
      <c r="AD54" s="69" t="n">
        <f aca="false">-Inputs!$B$44*(1+Inputs!$B$38)^(AD$7-1)*1</f>
        <v>-10275.2</v>
      </c>
      <c r="AE54" s="69" t="n">
        <f aca="false">-Inputs!$B$44*(1+Inputs!$B$38)^(AE$7-1)*1</f>
        <v>-10275.2</v>
      </c>
      <c r="AF54" s="69" t="n">
        <f aca="false">-Inputs!$B$44*(1+Inputs!$B$38)^(AF$7-1)*1</f>
        <v>-10275.2</v>
      </c>
      <c r="AG54" s="69" t="n">
        <f aca="false">-Inputs!$B$44*(1+Inputs!$B$38)^(AG$7-1)*1</f>
        <v>-10275.2</v>
      </c>
      <c r="AH54" s="69" t="n">
        <f aca="false">-Inputs!$B$44*(1+Inputs!$B$38)^(AH$7-1)*1</f>
        <v>-10275.2</v>
      </c>
      <c r="AI54" s="69" t="n">
        <f aca="false">-Inputs!$B$44*(1+Inputs!$B$38)^(AI$7-1)*1</f>
        <v>-10275.2</v>
      </c>
      <c r="AJ54" s="69" t="n">
        <f aca="false">-Inputs!$B$44*(1+Inputs!$B$38)^(AJ$7-1)*1</f>
        <v>-10275.2</v>
      </c>
      <c r="AK54" s="69" t="n">
        <f aca="false">-Inputs!$B$44*(1+Inputs!$B$38)^(AK$7-1)*1</f>
        <v>-10275.2</v>
      </c>
      <c r="AL54" s="69" t="n">
        <f aca="false">-Inputs!$B$44*(1+Inputs!$B$38)^(AL$7-1)*1</f>
        <v>-10275.2</v>
      </c>
      <c r="AM54" s="69" t="n">
        <f aca="false">-Inputs!$B$44*(1+Inputs!$B$38)^(AM$7-1)*1</f>
        <v>-10686.208</v>
      </c>
      <c r="AN54" s="69" t="n">
        <f aca="false">-Inputs!$B$44*(1+Inputs!$B$38)^(AN$7-1)*1</f>
        <v>-10686.208</v>
      </c>
      <c r="AO54" s="69" t="n">
        <f aca="false">-Inputs!$B$44*(1+Inputs!$B$38)^(AO$7-1)*1</f>
        <v>-10686.208</v>
      </c>
      <c r="AP54" s="69" t="n">
        <f aca="false">-Inputs!$B$44*(1+Inputs!$B$38)^(AP$7-1)*1</f>
        <v>-10686.208</v>
      </c>
      <c r="AQ54" s="69" t="n">
        <f aca="false">-Inputs!$B$44*(1+Inputs!$B$38)^(AQ$7-1)*1</f>
        <v>-10686.208</v>
      </c>
      <c r="AR54" s="69" t="n">
        <f aca="false">-Inputs!$B$44*(1+Inputs!$B$38)^(AR$7-1)*1</f>
        <v>-10686.208</v>
      </c>
      <c r="AS54" s="69" t="n">
        <f aca="false">-Inputs!$B$44*(1+Inputs!$B$38)^(AS$7-1)*1</f>
        <v>-10686.208</v>
      </c>
      <c r="AT54" s="69" t="n">
        <f aca="false">-Inputs!$B$44*(1+Inputs!$B$38)^(AT$7-1)*1</f>
        <v>-10686.208</v>
      </c>
      <c r="AU54" s="69" t="n">
        <f aca="false">-Inputs!$B$44*(1+Inputs!$B$38)^(AU$7-1)*1</f>
        <v>-10686.208</v>
      </c>
      <c r="AV54" s="69" t="n">
        <f aca="false">-Inputs!$B$44*(1+Inputs!$B$38)^(AV$7-1)*1</f>
        <v>-10686.208</v>
      </c>
      <c r="AW54" s="69" t="n">
        <f aca="false">-Inputs!$B$44*(1+Inputs!$B$38)^(AW$7-1)*1</f>
        <v>-10686.208</v>
      </c>
      <c r="AX54" s="69" t="n">
        <f aca="false">-Inputs!$B$44*(1+Inputs!$B$38)^(AX$7-1)*1</f>
        <v>-10686.208</v>
      </c>
      <c r="AY54" s="69" t="n">
        <f aca="false">-Inputs!$B$44*(1+Inputs!$B$38)^(AY$7-1)*1</f>
        <v>-11113.65632</v>
      </c>
      <c r="AZ54" s="69" t="n">
        <f aca="false">-Inputs!$B$44*(1+Inputs!$B$38)^(AZ$7-1)*1</f>
        <v>-11113.65632</v>
      </c>
      <c r="BA54" s="69" t="n">
        <f aca="false">-Inputs!$B$44*(1+Inputs!$B$38)^(BA$7-1)*1</f>
        <v>-11113.65632</v>
      </c>
      <c r="BB54" s="69" t="n">
        <f aca="false">-Inputs!$B$44*(1+Inputs!$B$38)^(BB$7-1)*1</f>
        <v>-11113.65632</v>
      </c>
      <c r="BC54" s="69" t="n">
        <f aca="false">-Inputs!$B$44*(1+Inputs!$B$38)^(BC$7-1)*1</f>
        <v>-11113.65632</v>
      </c>
      <c r="BD54" s="69" t="n">
        <f aca="false">-Inputs!$B$44*(1+Inputs!$B$38)^(BD$7-1)*1</f>
        <v>-11113.65632</v>
      </c>
      <c r="BE54" s="69" t="n">
        <f aca="false">-Inputs!$B$44*(1+Inputs!$B$38)^(BE$7-1)*1</f>
        <v>-11113.65632</v>
      </c>
      <c r="BF54" s="69" t="n">
        <f aca="false">-Inputs!$B$44*(1+Inputs!$B$38)^(BF$7-1)*1</f>
        <v>-11113.65632</v>
      </c>
      <c r="BG54" s="69" t="n">
        <f aca="false">-Inputs!$B$44*(1+Inputs!$B$38)^(BG$7-1)*1</f>
        <v>-11113.65632</v>
      </c>
      <c r="BH54" s="69" t="n">
        <f aca="false">-Inputs!$B$44*(1+Inputs!$B$38)^(BH$7-1)*1</f>
        <v>-11113.65632</v>
      </c>
      <c r="BI54" s="69" t="n">
        <f aca="false">-Inputs!$B$44*(1+Inputs!$B$38)^(BI$7-1)*1</f>
        <v>-11113.65632</v>
      </c>
      <c r="BJ54" s="69" t="n">
        <f aca="false">-Inputs!$B$44*(1+Inputs!$B$38)^(BJ$7-1)*1</f>
        <v>-11113.65632</v>
      </c>
    </row>
    <row r="55" customFormat="false" ht="15" hidden="false" customHeight="false" outlineLevel="0" collapsed="false">
      <c r="A55" s="6" t="s">
        <v>344</v>
      </c>
      <c r="C55" s="69" t="n">
        <f aca="false">-Inputs!$B$45*(1+Inputs!$B$46)^(C$7-1)*1</f>
        <v>-12000</v>
      </c>
      <c r="D55" s="69" t="n">
        <f aca="false">-Inputs!$B$45*(1+Inputs!$B$46)^(D$7-1)*1</f>
        <v>-12000</v>
      </c>
      <c r="E55" s="69" t="n">
        <f aca="false">-Inputs!$B$45*(1+Inputs!$B$46)^(E$7-1)*1</f>
        <v>-12000</v>
      </c>
      <c r="F55" s="69" t="n">
        <f aca="false">-Inputs!$B$45*(1+Inputs!$B$46)^(F$7-1)*1</f>
        <v>-12000</v>
      </c>
      <c r="G55" s="69" t="n">
        <f aca="false">-Inputs!$B$45*(1+Inputs!$B$46)^(G$7-1)*1</f>
        <v>-12000</v>
      </c>
      <c r="H55" s="69" t="n">
        <f aca="false">-Inputs!$B$45*(1+Inputs!$B$46)^(H$7-1)*1</f>
        <v>-12000</v>
      </c>
      <c r="I55" s="69" t="n">
        <f aca="false">-Inputs!$B$45*(1+Inputs!$B$46)^(I$7-1)*1</f>
        <v>-12000</v>
      </c>
      <c r="J55" s="69" t="n">
        <f aca="false">-Inputs!$B$45*(1+Inputs!$B$46)^(J$7-1)*1</f>
        <v>-12000</v>
      </c>
      <c r="K55" s="69" t="n">
        <f aca="false">-Inputs!$B$45*(1+Inputs!$B$46)^(K$7-1)*1</f>
        <v>-12000</v>
      </c>
      <c r="L55" s="69" t="n">
        <f aca="false">-Inputs!$B$45*(1+Inputs!$B$46)^(L$7-1)*1</f>
        <v>-12000</v>
      </c>
      <c r="M55" s="69" t="n">
        <f aca="false">-Inputs!$B$45*(1+Inputs!$B$46)^(M$7-1)*1</f>
        <v>-12000</v>
      </c>
      <c r="N55" s="69" t="n">
        <f aca="false">-Inputs!$B$45*(1+Inputs!$B$46)^(N$7-1)*1</f>
        <v>-12000</v>
      </c>
      <c r="O55" s="69" t="n">
        <f aca="false">-Inputs!$B$45*(1+Inputs!$B$46)^(O$7-1)*1</f>
        <v>-8400</v>
      </c>
      <c r="P55" s="69" t="n">
        <f aca="false">-Inputs!$B$45*(1+Inputs!$B$46)^(P$7-1)*1</f>
        <v>-8400</v>
      </c>
      <c r="Q55" s="69" t="n">
        <f aca="false">-Inputs!$B$45*(1+Inputs!$B$46)^(Q$7-1)*1</f>
        <v>-8400</v>
      </c>
      <c r="R55" s="69" t="n">
        <f aca="false">-Inputs!$B$45*(1+Inputs!$B$46)^(R$7-1)*1</f>
        <v>-8400</v>
      </c>
      <c r="S55" s="69" t="n">
        <f aca="false">-Inputs!$B$45*(1+Inputs!$B$46)^(S$7-1)*1</f>
        <v>-8400</v>
      </c>
      <c r="T55" s="69" t="n">
        <f aca="false">-Inputs!$B$45*(1+Inputs!$B$46)^(T$7-1)*1</f>
        <v>-8400</v>
      </c>
      <c r="U55" s="69" t="n">
        <f aca="false">-Inputs!$B$45*(1+Inputs!$B$46)^(U$7-1)*1</f>
        <v>-8400</v>
      </c>
      <c r="V55" s="69" t="n">
        <f aca="false">-Inputs!$B$45*(1+Inputs!$B$46)^(V$7-1)*1</f>
        <v>-8400</v>
      </c>
      <c r="W55" s="69" t="n">
        <f aca="false">-Inputs!$B$45*(1+Inputs!$B$46)^(W$7-1)*1</f>
        <v>-8400</v>
      </c>
      <c r="X55" s="69" t="n">
        <f aca="false">-Inputs!$B$45*(1+Inputs!$B$46)^(X$7-1)*1</f>
        <v>-8400</v>
      </c>
      <c r="Y55" s="69" t="n">
        <f aca="false">-Inputs!$B$45*(1+Inputs!$B$46)^(Y$7-1)*1</f>
        <v>-8400</v>
      </c>
      <c r="Z55" s="69" t="n">
        <f aca="false">-Inputs!$B$45*(1+Inputs!$B$46)^(Z$7-1)*1</f>
        <v>-8400</v>
      </c>
      <c r="AA55" s="69" t="n">
        <f aca="false">-Inputs!$B$45*(1+Inputs!$B$46)^(AA$7-1)*1</f>
        <v>-5880</v>
      </c>
      <c r="AB55" s="69" t="n">
        <f aca="false">-Inputs!$B$45*(1+Inputs!$B$46)^(AB$7-1)*1</f>
        <v>-5880</v>
      </c>
      <c r="AC55" s="69" t="n">
        <f aca="false">-Inputs!$B$45*(1+Inputs!$B$46)^(AC$7-1)*1</f>
        <v>-5880</v>
      </c>
      <c r="AD55" s="69" t="n">
        <f aca="false">-Inputs!$B$45*(1+Inputs!$B$46)^(AD$7-1)*1</f>
        <v>-5880</v>
      </c>
      <c r="AE55" s="69" t="n">
        <f aca="false">-Inputs!$B$45*(1+Inputs!$B$46)^(AE$7-1)*1</f>
        <v>-5880</v>
      </c>
      <c r="AF55" s="69" t="n">
        <f aca="false">-Inputs!$B$45*(1+Inputs!$B$46)^(AF$7-1)*1</f>
        <v>-5880</v>
      </c>
      <c r="AG55" s="69" t="n">
        <f aca="false">-Inputs!$B$45*(1+Inputs!$B$46)^(AG$7-1)*1</f>
        <v>-5880</v>
      </c>
      <c r="AH55" s="69" t="n">
        <f aca="false">-Inputs!$B$45*(1+Inputs!$B$46)^(AH$7-1)*1</f>
        <v>-5880</v>
      </c>
      <c r="AI55" s="69" t="n">
        <f aca="false">-Inputs!$B$45*(1+Inputs!$B$46)^(AI$7-1)*1</f>
        <v>-5880</v>
      </c>
      <c r="AJ55" s="69" t="n">
        <f aca="false">-Inputs!$B$45*(1+Inputs!$B$46)^(AJ$7-1)*1</f>
        <v>-5880</v>
      </c>
      <c r="AK55" s="69" t="n">
        <f aca="false">-Inputs!$B$45*(1+Inputs!$B$46)^(AK$7-1)*1</f>
        <v>-5880</v>
      </c>
      <c r="AL55" s="69" t="n">
        <f aca="false">-Inputs!$B$45*(1+Inputs!$B$46)^(AL$7-1)*1</f>
        <v>-5880</v>
      </c>
      <c r="AM55" s="69" t="n">
        <f aca="false">-Inputs!$B$45*(1+Inputs!$B$46)^(AM$7-1)*1</f>
        <v>-4116</v>
      </c>
      <c r="AN55" s="69" t="n">
        <f aca="false">-Inputs!$B$45*(1+Inputs!$B$46)^(AN$7-1)*1</f>
        <v>-4116</v>
      </c>
      <c r="AO55" s="69" t="n">
        <f aca="false">-Inputs!$B$45*(1+Inputs!$B$46)^(AO$7-1)*1</f>
        <v>-4116</v>
      </c>
      <c r="AP55" s="69" t="n">
        <f aca="false">-Inputs!$B$45*(1+Inputs!$B$46)^(AP$7-1)*1</f>
        <v>-4116</v>
      </c>
      <c r="AQ55" s="69" t="n">
        <f aca="false">-Inputs!$B$45*(1+Inputs!$B$46)^(AQ$7-1)*1</f>
        <v>-4116</v>
      </c>
      <c r="AR55" s="69" t="n">
        <f aca="false">-Inputs!$B$45*(1+Inputs!$B$46)^(AR$7-1)*1</f>
        <v>-4116</v>
      </c>
      <c r="AS55" s="69" t="n">
        <f aca="false">-Inputs!$B$45*(1+Inputs!$B$46)^(AS$7-1)*1</f>
        <v>-4116</v>
      </c>
      <c r="AT55" s="69" t="n">
        <f aca="false">-Inputs!$B$45*(1+Inputs!$B$46)^(AT$7-1)*1</f>
        <v>-4116</v>
      </c>
      <c r="AU55" s="69" t="n">
        <f aca="false">-Inputs!$B$45*(1+Inputs!$B$46)^(AU$7-1)*1</f>
        <v>-4116</v>
      </c>
      <c r="AV55" s="69" t="n">
        <f aca="false">-Inputs!$B$45*(1+Inputs!$B$46)^(AV$7-1)*1</f>
        <v>-4116</v>
      </c>
      <c r="AW55" s="69" t="n">
        <f aca="false">-Inputs!$B$45*(1+Inputs!$B$46)^(AW$7-1)*1</f>
        <v>-4116</v>
      </c>
      <c r="AX55" s="69" t="n">
        <f aca="false">-Inputs!$B$45*(1+Inputs!$B$46)^(AX$7-1)*1</f>
        <v>-4116</v>
      </c>
      <c r="AY55" s="69" t="n">
        <f aca="false">-Inputs!$B$45*(1+Inputs!$B$46)^(AY$7-1)*1</f>
        <v>-2881.2</v>
      </c>
      <c r="AZ55" s="69" t="n">
        <f aca="false">-Inputs!$B$45*(1+Inputs!$B$46)^(AZ$7-1)*1</f>
        <v>-2881.2</v>
      </c>
      <c r="BA55" s="69" t="n">
        <f aca="false">-Inputs!$B$45*(1+Inputs!$B$46)^(BA$7-1)*1</f>
        <v>-2881.2</v>
      </c>
      <c r="BB55" s="69" t="n">
        <f aca="false">-Inputs!$B$45*(1+Inputs!$B$46)^(BB$7-1)*1</f>
        <v>-2881.2</v>
      </c>
      <c r="BC55" s="69" t="n">
        <f aca="false">-Inputs!$B$45*(1+Inputs!$B$46)^(BC$7-1)*1</f>
        <v>-2881.2</v>
      </c>
      <c r="BD55" s="69" t="n">
        <f aca="false">-Inputs!$B$45*(1+Inputs!$B$46)^(BD$7-1)*1</f>
        <v>-2881.2</v>
      </c>
      <c r="BE55" s="69" t="n">
        <f aca="false">-Inputs!$B$45*(1+Inputs!$B$46)^(BE$7-1)*1</f>
        <v>-2881.2</v>
      </c>
      <c r="BF55" s="69" t="n">
        <f aca="false">-Inputs!$B$45*(1+Inputs!$B$46)^(BF$7-1)*1</f>
        <v>-2881.2</v>
      </c>
      <c r="BG55" s="69" t="n">
        <f aca="false">-Inputs!$B$45*(1+Inputs!$B$46)^(BG$7-1)*1</f>
        <v>-2881.2</v>
      </c>
      <c r="BH55" s="69" t="n">
        <f aca="false">-Inputs!$B$45*(1+Inputs!$B$46)^(BH$7-1)*1</f>
        <v>-2881.2</v>
      </c>
      <c r="BI55" s="69" t="n">
        <f aca="false">-Inputs!$B$45*(1+Inputs!$B$46)^(BI$7-1)*1</f>
        <v>-2881.2</v>
      </c>
      <c r="BJ55" s="69" t="n">
        <f aca="false">-Inputs!$B$45*(1+Inputs!$B$46)^(BJ$7-1)*1</f>
        <v>-2881.2</v>
      </c>
    </row>
    <row r="56" customFormat="false" ht="15" hidden="false" customHeight="false" outlineLevel="0" collapsed="false">
      <c r="A56" s="113" t="s">
        <v>77</v>
      </c>
      <c r="C56" s="70" t="n">
        <f aca="false">C51+C52+C53+C54+C55</f>
        <v>-93586.6666666667</v>
      </c>
      <c r="D56" s="70" t="n">
        <f aca="false">D51+D52+D53+D54+D55</f>
        <v>-93586.6666666667</v>
      </c>
      <c r="E56" s="70" t="n">
        <f aca="false">E51+E52+E53+E54+E55</f>
        <v>-93586.6666666667</v>
      </c>
      <c r="F56" s="70" t="n">
        <f aca="false">F51+F52+F53+F54+F55</f>
        <v>-93586.6666666667</v>
      </c>
      <c r="G56" s="70" t="n">
        <f aca="false">G51+G52+G53+G54+G55</f>
        <v>-93586.6666666667</v>
      </c>
      <c r="H56" s="70" t="n">
        <f aca="false">H51+H52+H53+H54+H55</f>
        <v>-93586.6666666667</v>
      </c>
      <c r="I56" s="70" t="n">
        <f aca="false">I51+I52+I53+I54+I55</f>
        <v>-93586.6666666667</v>
      </c>
      <c r="J56" s="70" t="n">
        <f aca="false">J51+J52+J53+J54+J55</f>
        <v>-93586.6666666667</v>
      </c>
      <c r="K56" s="70" t="n">
        <f aca="false">K51+K52+K53+K54+K55</f>
        <v>-93586.6666666667</v>
      </c>
      <c r="L56" s="70" t="n">
        <f aca="false">L51+L52+L53+L54+L55</f>
        <v>-93586.6666666667</v>
      </c>
      <c r="M56" s="70" t="n">
        <f aca="false">M51+M52+M53+M54+M55</f>
        <v>-93586.6666666667</v>
      </c>
      <c r="N56" s="70" t="n">
        <f aca="false">N51+N52+N53+N54+N55</f>
        <v>-93586.6666666667</v>
      </c>
      <c r="O56" s="70" t="n">
        <f aca="false">O51+O52+O53+O54+O55</f>
        <v>-92584.2666666667</v>
      </c>
      <c r="P56" s="70" t="n">
        <f aca="false">P51+P52+P53+P54+P55</f>
        <v>-92584.2666666667</v>
      </c>
      <c r="Q56" s="70" t="n">
        <f aca="false">Q51+Q52+Q53+Q54+Q55</f>
        <v>-92584.2666666667</v>
      </c>
      <c r="R56" s="70" t="n">
        <f aca="false">R51+R52+R53+R54+R55</f>
        <v>-92584.2666666667</v>
      </c>
      <c r="S56" s="70" t="n">
        <f aca="false">S51+S52+S53+S54+S55</f>
        <v>-92584.2666666667</v>
      </c>
      <c r="T56" s="70" t="n">
        <f aca="false">T51+T52+T53+T54+T55</f>
        <v>-92584.2666666667</v>
      </c>
      <c r="U56" s="70" t="n">
        <f aca="false">U51+U52+U53+U54+U55</f>
        <v>-92584.2666666667</v>
      </c>
      <c r="V56" s="70" t="n">
        <f aca="false">V51+V52+V53+V54+V55</f>
        <v>-92584.2666666667</v>
      </c>
      <c r="W56" s="70" t="n">
        <f aca="false">W51+W52+W53+W54+W55</f>
        <v>-92584.2666666667</v>
      </c>
      <c r="X56" s="70" t="n">
        <f aca="false">X51+X52+X53+X54+X55</f>
        <v>-92584.2666666667</v>
      </c>
      <c r="Y56" s="70" t="n">
        <f aca="false">Y51+Y52+Y53+Y54+Y55</f>
        <v>-92584.2666666667</v>
      </c>
      <c r="Z56" s="70" t="n">
        <f aca="false">Z51+Z52+Z53+Z54+Z55</f>
        <v>-92584.2666666667</v>
      </c>
      <c r="AA56" s="70" t="n">
        <f aca="false">AA51+AA52+AA53+AA54+AA55</f>
        <v>-92745.7946666667</v>
      </c>
      <c r="AB56" s="70" t="n">
        <f aca="false">AB51+AB52+AB53+AB54+AB55</f>
        <v>-92745.7946666667</v>
      </c>
      <c r="AC56" s="70" t="n">
        <f aca="false">AC51+AC52+AC53+AC54+AC55</f>
        <v>-92745.7946666667</v>
      </c>
      <c r="AD56" s="70" t="n">
        <f aca="false">AD51+AD52+AD53+AD54+AD55</f>
        <v>-92745.7946666667</v>
      </c>
      <c r="AE56" s="70" t="n">
        <f aca="false">AE51+AE52+AE53+AE54+AE55</f>
        <v>-92745.7946666667</v>
      </c>
      <c r="AF56" s="70" t="n">
        <f aca="false">AF51+AF52+AF53+AF54+AF55</f>
        <v>-92745.7946666667</v>
      </c>
      <c r="AG56" s="70" t="n">
        <f aca="false">AG51+AG52+AG53+AG54+AG55</f>
        <v>-92745.7946666667</v>
      </c>
      <c r="AH56" s="70" t="n">
        <f aca="false">AH51+AH52+AH53+AH54+AH55</f>
        <v>-92745.7946666667</v>
      </c>
      <c r="AI56" s="70" t="n">
        <f aca="false">AI51+AI52+AI53+AI54+AI55</f>
        <v>-92745.7946666667</v>
      </c>
      <c r="AJ56" s="70" t="n">
        <f aca="false">AJ51+AJ52+AJ53+AJ54+AJ55</f>
        <v>-92745.7946666667</v>
      </c>
      <c r="AK56" s="70" t="n">
        <f aca="false">AK51+AK52+AK53+AK54+AK55</f>
        <v>-92745.7946666667</v>
      </c>
      <c r="AL56" s="70" t="n">
        <f aca="false">AL51+AL52+AL53+AL54+AL55</f>
        <v>-92745.7946666667</v>
      </c>
      <c r="AM56" s="70" t="n">
        <f aca="false">AM51+AM52+AM53+AM54+AM55</f>
        <v>-93750.0085066667</v>
      </c>
      <c r="AN56" s="70" t="n">
        <f aca="false">AN51+AN52+AN53+AN54+AN55</f>
        <v>-93750.0085066667</v>
      </c>
      <c r="AO56" s="70" t="n">
        <f aca="false">AO51+AO52+AO53+AO54+AO55</f>
        <v>-93750.0085066667</v>
      </c>
      <c r="AP56" s="70" t="n">
        <f aca="false">AP51+AP52+AP53+AP54+AP55</f>
        <v>-93750.0085066667</v>
      </c>
      <c r="AQ56" s="70" t="n">
        <f aca="false">AQ51+AQ52+AQ53+AQ54+AQ55</f>
        <v>-93750.0085066667</v>
      </c>
      <c r="AR56" s="70" t="n">
        <f aca="false">AR51+AR52+AR53+AR54+AR55</f>
        <v>-93750.0085066667</v>
      </c>
      <c r="AS56" s="70" t="n">
        <f aca="false">AS51+AS52+AS53+AS54+AS55</f>
        <v>-93750.0085066667</v>
      </c>
      <c r="AT56" s="70" t="n">
        <f aca="false">AT51+AT52+AT53+AT54+AT55</f>
        <v>-93750.0085066667</v>
      </c>
      <c r="AU56" s="70" t="n">
        <f aca="false">AU51+AU52+AU53+AU54+AU55</f>
        <v>-93750.0085066667</v>
      </c>
      <c r="AV56" s="70" t="n">
        <f aca="false">AV51+AV52+AV53+AV54+AV55</f>
        <v>-93750.0085066667</v>
      </c>
      <c r="AW56" s="70" t="n">
        <f aca="false">AW51+AW52+AW53+AW54+AW55</f>
        <v>-93750.0085066667</v>
      </c>
      <c r="AX56" s="70" t="n">
        <f aca="false">AX51+AX52+AX53+AX54+AX55</f>
        <v>-93750.0085066667</v>
      </c>
      <c r="AY56" s="70" t="n">
        <f aca="false">AY51+AY52+AY53+AY54+AY55</f>
        <v>-95372.9583618667</v>
      </c>
      <c r="AZ56" s="70" t="n">
        <f aca="false">AZ51+AZ52+AZ53+AZ54+AZ55</f>
        <v>-95372.9583618667</v>
      </c>
      <c r="BA56" s="70" t="n">
        <f aca="false">BA51+BA52+BA53+BA54+BA55</f>
        <v>-95372.9583618667</v>
      </c>
      <c r="BB56" s="70" t="n">
        <f aca="false">BB51+BB52+BB53+BB54+BB55</f>
        <v>-95372.9583618667</v>
      </c>
      <c r="BC56" s="70" t="n">
        <f aca="false">BC51+BC52+BC53+BC54+BC55</f>
        <v>-95372.9583618667</v>
      </c>
      <c r="BD56" s="70" t="n">
        <f aca="false">BD51+BD52+BD53+BD54+BD55</f>
        <v>-95372.9583618667</v>
      </c>
      <c r="BE56" s="70" t="n">
        <f aca="false">BE51+BE52+BE53+BE54+BE55</f>
        <v>-95372.9583618667</v>
      </c>
      <c r="BF56" s="70" t="n">
        <f aca="false">BF51+BF52+BF53+BF54+BF55</f>
        <v>-95372.9583618667</v>
      </c>
      <c r="BG56" s="70" t="n">
        <f aca="false">BG51+BG52+BG53+BG54+BG55</f>
        <v>-95372.9583618667</v>
      </c>
      <c r="BH56" s="70" t="n">
        <f aca="false">BH51+BH52+BH53+BH54+BH55</f>
        <v>-95372.9583618667</v>
      </c>
      <c r="BI56" s="70" t="n">
        <f aca="false">BI51+BI52+BI53+BI54+BI55</f>
        <v>-95372.9583618667</v>
      </c>
      <c r="BJ56" s="70" t="n">
        <f aca="false">BJ51+BJ52+BJ53+BJ54+BJ55</f>
        <v>-95372.9583618667</v>
      </c>
    </row>
    <row r="57" customFormat="false" ht="15" hidden="false" customHeight="false" outlineLevel="0" collapsed="false">
      <c r="A57" s="113" t="s">
        <v>48</v>
      </c>
      <c r="C57" s="70" t="n">
        <f aca="false">C48+C56</f>
        <v>-71831.5353226667</v>
      </c>
      <c r="D57" s="70" t="n">
        <f aca="false">D48+D56</f>
        <v>-68636.9626738667</v>
      </c>
      <c r="E57" s="70" t="n">
        <f aca="false">E48+E56</f>
        <v>-57943.1807178133</v>
      </c>
      <c r="F57" s="70" t="n">
        <f aca="false">F48+F56</f>
        <v>-53635.2221939227</v>
      </c>
      <c r="G57" s="70" t="n">
        <f aca="false">G48+G56</f>
        <v>-49261.4909402266</v>
      </c>
      <c r="H57" s="70" t="n">
        <f aca="false">H48+H56</f>
        <v>-44825.2755932152</v>
      </c>
      <c r="I57" s="70" t="n">
        <f aca="false">I48+I56</f>
        <v>-40329.7003575545</v>
      </c>
      <c r="J57" s="70" t="n">
        <f aca="false">J48+J56</f>
        <v>-35777.7332276767</v>
      </c>
      <c r="K57" s="70" t="n">
        <f aca="false">K48+K56</f>
        <v>-31172.1937982929</v>
      </c>
      <c r="L57" s="70" t="n">
        <f aca="false">L48+L56</f>
        <v>-26515.7606843783</v>
      </c>
      <c r="M57" s="70" t="n">
        <f aca="false">M48+M56</f>
        <v>-21810.9785701594</v>
      </c>
      <c r="N57" s="70" t="n">
        <f aca="false">N48+N56</f>
        <v>-32152.6421273895</v>
      </c>
      <c r="O57" s="70" t="n">
        <f aca="false">O48+O56</f>
        <v>-27106.3527608356</v>
      </c>
      <c r="P57" s="70" t="n">
        <f aca="false">P48+P56</f>
        <v>-26106.9367121271</v>
      </c>
      <c r="Q57" s="70" t="n">
        <f aca="false">Q48+Q56</f>
        <v>-9326.60283189826</v>
      </c>
      <c r="R57" s="70" t="n">
        <f aca="false">R48+R56</f>
        <v>-8281.25163003666</v>
      </c>
      <c r="S57" s="70" t="n">
        <f aca="false">S48+S56</f>
        <v>-7288.16798826816</v>
      </c>
      <c r="T57" s="70" t="n">
        <f aca="false">T48+T56</f>
        <v>-6344.73852858809</v>
      </c>
      <c r="U57" s="70" t="n">
        <f aca="false">U48+U56</f>
        <v>-5448.48054189203</v>
      </c>
      <c r="V57" s="70" t="n">
        <f aca="false">V48+V56</f>
        <v>-4597.03545453076</v>
      </c>
      <c r="W57" s="70" t="n">
        <f aca="false">W48+W56</f>
        <v>-3788.16262153754</v>
      </c>
      <c r="X57" s="70" t="n">
        <f aca="false">X48+X56</f>
        <v>-3019.73343019401</v>
      </c>
      <c r="Y57" s="70" t="n">
        <f aca="false">Y48+Y56</f>
        <v>-2289.72569841763</v>
      </c>
      <c r="Z57" s="70" t="n">
        <f aca="false">Z48+Z56</f>
        <v>-16785.4126136343</v>
      </c>
      <c r="AA57" s="70" t="n">
        <f aca="false">AA48+AA56</f>
        <v>-16143.2928185351</v>
      </c>
      <c r="AB57" s="70" t="n">
        <f aca="false">AB48+AB56</f>
        <v>-15682.6678928937</v>
      </c>
      <c r="AC57" s="70" t="n">
        <f aca="false">AC48+AC56</f>
        <v>-161.385477486867</v>
      </c>
      <c r="AD57" s="70" t="n">
        <f aca="false">AD48+AD56</f>
        <v>433.813208782129</v>
      </c>
      <c r="AE57" s="70" t="n">
        <f aca="false">AE48+AE56</f>
        <v>999.251960737704</v>
      </c>
      <c r="AF57" s="70" t="n">
        <f aca="false">AF48+AF56</f>
        <v>1536.41877509547</v>
      </c>
      <c r="AG57" s="70" t="n">
        <f aca="false">AG48+AG56</f>
        <v>2046.72724873536</v>
      </c>
      <c r="AH57" s="70" t="n">
        <f aca="false">AH48+AH56</f>
        <v>2531.52029869326</v>
      </c>
      <c r="AI57" s="70" t="n">
        <f aca="false">AI48+AI56</f>
        <v>2992.07369615325</v>
      </c>
      <c r="AJ57" s="70" t="n">
        <f aca="false">AJ48+AJ56</f>
        <v>3429.59942374026</v>
      </c>
      <c r="AK57" s="70" t="n">
        <f aca="false">AK48+AK56</f>
        <v>3845.24886494792</v>
      </c>
      <c r="AL57" s="70" t="n">
        <f aca="false">AL48+AL56</f>
        <v>-10463.6071715653</v>
      </c>
      <c r="AM57" s="70" t="n">
        <f aca="false">AM48+AM56</f>
        <v>-10968.721581552</v>
      </c>
      <c r="AN57" s="70" t="n">
        <f aca="false">AN48+AN56</f>
        <v>-10800.4350467069</v>
      </c>
      <c r="AO57" s="70" t="n">
        <f aca="false">AO48+AO56</f>
        <v>4000.47089300639</v>
      </c>
      <c r="AP57" s="70" t="n">
        <f aca="false">AP48+AP56</f>
        <v>4352.27676472769</v>
      </c>
      <c r="AQ57" s="70" t="n">
        <f aca="false">AQ48+AQ56</f>
        <v>4686.49234286294</v>
      </c>
      <c r="AR57" s="70" t="n">
        <f aca="false">AR48+AR56</f>
        <v>5003.99714209144</v>
      </c>
      <c r="AS57" s="70" t="n">
        <f aca="false">AS48+AS56</f>
        <v>5305.62670135849</v>
      </c>
      <c r="AT57" s="70" t="n">
        <f aca="false">AT48+AT56</f>
        <v>5592.17478266219</v>
      </c>
      <c r="AU57" s="70" t="n">
        <f aca="false">AU48+AU56</f>
        <v>5864.39545990071</v>
      </c>
      <c r="AV57" s="70" t="n">
        <f aca="false">AV48+AV56</f>
        <v>6123.00510327729</v>
      </c>
      <c r="AW57" s="70" t="n">
        <f aca="false">AW48+AW56</f>
        <v>6368.68426448506</v>
      </c>
      <c r="AX57" s="70" t="n">
        <f aca="false">AX48+AX56</f>
        <v>-7805.299360205</v>
      </c>
      <c r="AY57" s="70" t="n">
        <f aca="false">AY48+AY56</f>
        <v>-9104.33811640709</v>
      </c>
      <c r="AZ57" s="70" t="n">
        <f aca="false">AZ48+AZ56</f>
        <v>-9094.70364138106</v>
      </c>
      <c r="BA57" s="70" t="n">
        <f aca="false">BA48+BA56</f>
        <v>5280.36205925299</v>
      </c>
      <c r="BB57" s="70" t="n">
        <f aca="false">BB48+BB56</f>
        <v>5500.59234301948</v>
      </c>
      <c r="BC57" s="70" t="n">
        <f aca="false">BC48+BC56</f>
        <v>5709.81111259764</v>
      </c>
      <c r="BD57" s="70" t="n">
        <f aca="false">BD48+BD56</f>
        <v>5908.56894369691</v>
      </c>
      <c r="BE57" s="70" t="n">
        <f aca="false">BE48+BE56</f>
        <v>6097.38888324121</v>
      </c>
      <c r="BF57" s="70" t="n">
        <f aca="false">BF48+BF56</f>
        <v>6276.76782580827</v>
      </c>
      <c r="BG57" s="70" t="n">
        <f aca="false">BG48+BG56</f>
        <v>6447.17782124701</v>
      </c>
      <c r="BH57" s="70" t="n">
        <f aca="false">BH48+BH56</f>
        <v>6609.0673169138</v>
      </c>
      <c r="BI57" s="70" t="n">
        <f aca="false">BI48+BI56</f>
        <v>6762.86233779725</v>
      </c>
      <c r="BJ57" s="70" t="n">
        <f aca="false">BJ48+BJ56</f>
        <v>-7304.70843605754</v>
      </c>
    </row>
    <row r="59" customFormat="false" ht="15.75" hidden="false" customHeight="true" outlineLevel="0" collapsed="false">
      <c r="A59" s="7" t="s">
        <v>441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customFormat="false" ht="15" hidden="false" customHeight="false" outlineLevel="0" collapsed="false">
      <c r="A60" s="4" t="s">
        <v>79</v>
      </c>
      <c r="C60" s="75" t="n">
        <f aca="false">C57+C75</f>
        <v>-100303.757544889</v>
      </c>
      <c r="D60" s="75" t="n">
        <f aca="false">D57+D75</f>
        <v>-97109.1848960889</v>
      </c>
      <c r="E60" s="75" t="n">
        <f aca="false">E57+E75</f>
        <v>-86415.4029400356</v>
      </c>
      <c r="F60" s="75" t="n">
        <f aca="false">F57+F75</f>
        <v>-82107.4444161449</v>
      </c>
      <c r="G60" s="75" t="n">
        <f aca="false">G57+G75</f>
        <v>-77733.7131624488</v>
      </c>
      <c r="H60" s="75" t="n">
        <f aca="false">H57+H75</f>
        <v>-73297.4978154374</v>
      </c>
      <c r="I60" s="75" t="n">
        <f aca="false">I57+I75</f>
        <v>-68801.9225797767</v>
      </c>
      <c r="J60" s="75" t="n">
        <f aca="false">J57+J75</f>
        <v>-64249.955449899</v>
      </c>
      <c r="K60" s="75" t="n">
        <f aca="false">K57+K75</f>
        <v>-59644.4160205151</v>
      </c>
      <c r="L60" s="75" t="n">
        <f aca="false">L57+L75</f>
        <v>-54987.9829066005</v>
      </c>
      <c r="M60" s="75" t="n">
        <f aca="false">M57+M75</f>
        <v>-50283.2007923816</v>
      </c>
      <c r="N60" s="75" t="n">
        <f aca="false">N57+N75</f>
        <v>-60624.8643496117</v>
      </c>
      <c r="O60" s="75" t="n">
        <f aca="false">O57+O75</f>
        <v>-55856.3527608356</v>
      </c>
      <c r="P60" s="75" t="n">
        <f aca="false">P57+P75</f>
        <v>-54856.9367121271</v>
      </c>
      <c r="Q60" s="75" t="n">
        <f aca="false">Q57+Q75</f>
        <v>-38076.6028318983</v>
      </c>
      <c r="R60" s="75" t="n">
        <f aca="false">R57+R75</f>
        <v>-37031.2516300367</v>
      </c>
      <c r="S60" s="75" t="n">
        <f aca="false">S57+S75</f>
        <v>-36038.1679882682</v>
      </c>
      <c r="T60" s="75" t="n">
        <f aca="false">T57+T75</f>
        <v>-35094.7385285881</v>
      </c>
      <c r="U60" s="75" t="n">
        <f aca="false">U57+U75</f>
        <v>-34198.480541892</v>
      </c>
      <c r="V60" s="75" t="n">
        <f aca="false">V57+V75</f>
        <v>-33347.0354545308</v>
      </c>
      <c r="W60" s="75" t="n">
        <f aca="false">W57+W75</f>
        <v>-32538.1626215375</v>
      </c>
      <c r="X60" s="75" t="n">
        <f aca="false">X57+X75</f>
        <v>-31769.733430194</v>
      </c>
      <c r="Y60" s="75" t="n">
        <f aca="false">Y57+Y75</f>
        <v>-31039.7256984176</v>
      </c>
      <c r="Z60" s="75" t="n">
        <f aca="false">Z57+Z75</f>
        <v>-45535.4126136343</v>
      </c>
      <c r="AA60" s="75" t="n">
        <f aca="false">AA57+AA75</f>
        <v>-45171.0705963129</v>
      </c>
      <c r="AB60" s="75" t="n">
        <f aca="false">AB57+AB75</f>
        <v>-44710.4456706715</v>
      </c>
      <c r="AC60" s="75" t="n">
        <f aca="false">AC57+AC75</f>
        <v>-29189.1632552646</v>
      </c>
      <c r="AD60" s="75" t="n">
        <f aca="false">AD57+AD75</f>
        <v>-28593.9645689957</v>
      </c>
      <c r="AE60" s="75" t="n">
        <f aca="false">AE57+AE75</f>
        <v>-28028.5258170401</v>
      </c>
      <c r="AF60" s="75" t="n">
        <f aca="false">AF57+AF75</f>
        <v>-27491.3590026823</v>
      </c>
      <c r="AG60" s="75" t="n">
        <f aca="false">AG57+AG75</f>
        <v>-26981.0505290424</v>
      </c>
      <c r="AH60" s="75" t="n">
        <f aca="false">AH57+AH75</f>
        <v>-26496.2574790845</v>
      </c>
      <c r="AI60" s="75" t="n">
        <f aca="false">AI57+AI75</f>
        <v>-26035.7040816245</v>
      </c>
      <c r="AJ60" s="75" t="n">
        <f aca="false">AJ57+AJ75</f>
        <v>-25598.1783540375</v>
      </c>
      <c r="AK60" s="75" t="n">
        <f aca="false">AK57+AK75</f>
        <v>-25182.5289128299</v>
      </c>
      <c r="AL60" s="75" t="n">
        <f aca="false">AL57+AL75</f>
        <v>-39491.3849493431</v>
      </c>
      <c r="AM60" s="75" t="n">
        <f aca="false">AM57+AM75</f>
        <v>-40274.2771371075</v>
      </c>
      <c r="AN60" s="75" t="n">
        <f aca="false">AN57+AN75</f>
        <v>-40105.9906022624</v>
      </c>
      <c r="AO60" s="75" t="n">
        <f aca="false">AO57+AO75</f>
        <v>-25305.0846625492</v>
      </c>
      <c r="AP60" s="75" t="n">
        <f aca="false">AP57+AP75</f>
        <v>-24953.2787908279</v>
      </c>
      <c r="AQ60" s="75" t="n">
        <f aca="false">AQ57+AQ75</f>
        <v>-24619.0632126926</v>
      </c>
      <c r="AR60" s="75" t="n">
        <f aca="false">AR57+AR75</f>
        <v>-24301.5584134641</v>
      </c>
      <c r="AS60" s="75" t="n">
        <f aca="false">AS57+AS75</f>
        <v>-23999.9288541971</v>
      </c>
      <c r="AT60" s="75" t="n">
        <f aca="false">AT57+AT75</f>
        <v>-23713.3807728934</v>
      </c>
      <c r="AU60" s="75" t="n">
        <f aca="false">AU57+AU75</f>
        <v>-23441.1600956548</v>
      </c>
      <c r="AV60" s="75" t="n">
        <f aca="false">AV57+AV75</f>
        <v>-23182.5504522783</v>
      </c>
      <c r="AW60" s="75" t="n">
        <f aca="false">AW57+AW75</f>
        <v>-22936.8712910705</v>
      </c>
      <c r="AX60" s="75" t="n">
        <f aca="false">AX57+AX75</f>
        <v>-37110.8549157606</v>
      </c>
      <c r="AY60" s="75" t="n">
        <f aca="false">AY57+AY75</f>
        <v>-38687.6714497404</v>
      </c>
      <c r="AZ60" s="75" t="n">
        <f aca="false">AZ57+AZ75</f>
        <v>-38678.0369747144</v>
      </c>
      <c r="BA60" s="75" t="n">
        <f aca="false">BA57+BA75</f>
        <v>-24302.9712740803</v>
      </c>
      <c r="BB60" s="75" t="n">
        <f aca="false">BB57+BB75</f>
        <v>-24082.7409903139</v>
      </c>
      <c r="BC60" s="75" t="n">
        <f aca="false">BC57+BC75</f>
        <v>-23873.5222207357</v>
      </c>
      <c r="BD60" s="75" t="n">
        <f aca="false">BD57+BD75</f>
        <v>-23674.7643896364</v>
      </c>
      <c r="BE60" s="75" t="n">
        <f aca="false">BE57+BE75</f>
        <v>-23485.9444500921</v>
      </c>
      <c r="BF60" s="75" t="n">
        <f aca="false">BF57+BF75</f>
        <v>-23306.5655075251</v>
      </c>
      <c r="BG60" s="75" t="n">
        <f aca="false">BG57+BG75</f>
        <v>-23136.1555120863</v>
      </c>
      <c r="BH60" s="75" t="n">
        <f aca="false">BH57+BH75</f>
        <v>-22974.2660164195</v>
      </c>
      <c r="BI60" s="75" t="n">
        <f aca="false">BI57+BI75</f>
        <v>-22820.4709955361</v>
      </c>
      <c r="BJ60" s="75" t="n">
        <f aca="false">BJ57+BJ75</f>
        <v>-36888.0417693909</v>
      </c>
    </row>
    <row r="61" customFormat="false" ht="15" hidden="false" customHeight="false" outlineLevel="0" collapsed="false">
      <c r="A61" s="6" t="s">
        <v>442</v>
      </c>
      <c r="C61" s="69" t="n">
        <f aca="false">-(C80+C81+C83)/2*Inputs!$B$69/12</f>
        <v>-21250</v>
      </c>
      <c r="D61" s="69" t="n">
        <f aca="false">-(D80+D81+D83)/2*Inputs!$B$69/12</f>
        <v>-21161.4583333333</v>
      </c>
      <c r="E61" s="69" t="n">
        <f aca="false">-(E80+E81+E83)/2*Inputs!$B$69/12</f>
        <v>-20984.375</v>
      </c>
      <c r="F61" s="69" t="n">
        <f aca="false">-(F80+F81+F83)/2*Inputs!$B$69/12</f>
        <v>-20807.2916666667</v>
      </c>
      <c r="G61" s="69" t="n">
        <f aca="false">-(G80+G81+G83)/2*Inputs!$B$69/12</f>
        <v>-20630.2083333333</v>
      </c>
      <c r="H61" s="69" t="n">
        <f aca="false">-(H80+H81+H83)/2*Inputs!$B$69/12</f>
        <v>-20453.125</v>
      </c>
      <c r="I61" s="69" t="n">
        <f aca="false">-(I80+I81+I83)/2*Inputs!$B$69/12</f>
        <v>-20276.0416666667</v>
      </c>
      <c r="J61" s="69" t="n">
        <f aca="false">-(J80+J81+J83)/2*Inputs!$B$69/12</f>
        <v>-20098.9583333333</v>
      </c>
      <c r="K61" s="69" t="n">
        <f aca="false">-(K80+K81+K83)/2*Inputs!$B$69/12</f>
        <v>-19921.875</v>
      </c>
      <c r="L61" s="69" t="n">
        <f aca="false">-(L80+L81+L83)/2*Inputs!$B$69/12</f>
        <v>-19744.7916666667</v>
      </c>
      <c r="M61" s="69" t="n">
        <f aca="false">-(M80+M81+M83)/2*Inputs!$B$69/12</f>
        <v>-19567.7083333333</v>
      </c>
      <c r="N61" s="69" t="n">
        <f aca="false">-(N80+N81+N83)/2*Inputs!$B$69/12</f>
        <v>-19390.625</v>
      </c>
      <c r="O61" s="69" t="n">
        <f aca="false">-(O80+O81+O83)/2*Inputs!$B$69/12</f>
        <v>-19213.5416666667</v>
      </c>
      <c r="P61" s="69" t="n">
        <f aca="false">-(P80+P81+P83)/2*Inputs!$B$69/12</f>
        <v>-19036.4583333333</v>
      </c>
      <c r="Q61" s="69" t="n">
        <f aca="false">-(Q80+Q81+Q83)/2*Inputs!$B$69/12</f>
        <v>-18859.375</v>
      </c>
      <c r="R61" s="69" t="n">
        <f aca="false">-(R80+R81+R83)/2*Inputs!$B$69/12</f>
        <v>-18682.2916666667</v>
      </c>
      <c r="S61" s="69" t="n">
        <f aca="false">-(S80+S81+S83)/2*Inputs!$B$69/12</f>
        <v>-18505.2083333333</v>
      </c>
      <c r="T61" s="69" t="n">
        <f aca="false">-(T80+T81+T83)/2*Inputs!$B$69/12</f>
        <v>-18328.125</v>
      </c>
      <c r="U61" s="69" t="n">
        <f aca="false">-(U80+U81+U83)/2*Inputs!$B$69/12</f>
        <v>-18151.0416666667</v>
      </c>
      <c r="V61" s="69" t="n">
        <f aca="false">-(V80+V81+V83)/2*Inputs!$B$69/12</f>
        <v>-17973.9583333333</v>
      </c>
      <c r="W61" s="69" t="n">
        <f aca="false">-(W80+W81+W83)/2*Inputs!$B$69/12</f>
        <v>-17796.875</v>
      </c>
      <c r="X61" s="69" t="n">
        <f aca="false">-(X80+X81+X83)/2*Inputs!$B$69/12</f>
        <v>-17619.7916666667</v>
      </c>
      <c r="Y61" s="69" t="n">
        <f aca="false">-(Y80+Y81+Y83)/2*Inputs!$B$69/12</f>
        <v>-17442.7083333333</v>
      </c>
      <c r="Z61" s="69" t="n">
        <f aca="false">-(Z80+Z81+Z83)/2*Inputs!$B$69/12</f>
        <v>-17265.625</v>
      </c>
      <c r="AA61" s="69" t="n">
        <f aca="false">-(AA80+AA81+AA83)/2*Inputs!$B$69/12</f>
        <v>-17088.5416666667</v>
      </c>
      <c r="AB61" s="69" t="n">
        <f aca="false">-(AB80+AB81+AB83)/2*Inputs!$B$69/12</f>
        <v>-16911.4583333333</v>
      </c>
      <c r="AC61" s="69" t="n">
        <f aca="false">-(AC80+AC81+AC83)/2*Inputs!$B$69/12</f>
        <v>-16734.375</v>
      </c>
      <c r="AD61" s="69" t="n">
        <f aca="false">-(AD80+AD81+AD83)/2*Inputs!$B$69/12</f>
        <v>-16557.2916666667</v>
      </c>
      <c r="AE61" s="69" t="n">
        <f aca="false">-(AE80+AE81+AE83)/2*Inputs!$B$69/12</f>
        <v>-16380.2083333333</v>
      </c>
      <c r="AF61" s="69" t="n">
        <f aca="false">-(AF80+AF81+AF83)/2*Inputs!$B$69/12</f>
        <v>-16203.125</v>
      </c>
      <c r="AG61" s="69" t="n">
        <f aca="false">-(AG80+AG81+AG83)/2*Inputs!$B$69/12</f>
        <v>-16026.0416666667</v>
      </c>
      <c r="AH61" s="69" t="n">
        <f aca="false">-(AH80+AH81+AH83)/2*Inputs!$B$69/12</f>
        <v>-15848.9583333333</v>
      </c>
      <c r="AI61" s="69" t="n">
        <f aca="false">-(AI80+AI81+AI83)/2*Inputs!$B$69/12</f>
        <v>-15671.875</v>
      </c>
      <c r="AJ61" s="69" t="n">
        <f aca="false">-(AJ80+AJ81+AJ83)/2*Inputs!$B$69/12</f>
        <v>-15494.7916666667</v>
      </c>
      <c r="AK61" s="69" t="n">
        <f aca="false">-(AK80+AK81+AK83)/2*Inputs!$B$69/12</f>
        <v>-15317.7083333333</v>
      </c>
      <c r="AL61" s="69" t="n">
        <f aca="false">-(AL80+AL81+AL83)/2*Inputs!$B$69/12</f>
        <v>-15140.625</v>
      </c>
      <c r="AM61" s="69" t="n">
        <f aca="false">-(AM80+AM81+AM83)/2*Inputs!$B$69/12</f>
        <v>-14963.5416666667</v>
      </c>
      <c r="AN61" s="69" t="n">
        <f aca="false">-(AN80+AN81+AN83)/2*Inputs!$B$69/12</f>
        <v>-14786.4583333333</v>
      </c>
      <c r="AO61" s="69" t="n">
        <f aca="false">-(AO80+AO81+AO83)/2*Inputs!$B$69/12</f>
        <v>-14609.375</v>
      </c>
      <c r="AP61" s="69" t="n">
        <f aca="false">-(AP80+AP81+AP83)/2*Inputs!$B$69/12</f>
        <v>-14432.2916666667</v>
      </c>
      <c r="AQ61" s="69" t="n">
        <f aca="false">-(AQ80+AQ81+AQ83)/2*Inputs!$B$69/12</f>
        <v>-14255.2083333333</v>
      </c>
      <c r="AR61" s="69" t="n">
        <f aca="false">-(AR80+AR81+AR83)/2*Inputs!$B$69/12</f>
        <v>-14078.125</v>
      </c>
      <c r="AS61" s="69" t="n">
        <f aca="false">-(AS80+AS81+AS83)/2*Inputs!$B$69/12</f>
        <v>-13901.0416666667</v>
      </c>
      <c r="AT61" s="69" t="n">
        <f aca="false">-(AT80+AT81+AT83)/2*Inputs!$B$69/12</f>
        <v>-13723.9583333333</v>
      </c>
      <c r="AU61" s="69" t="n">
        <f aca="false">-(AU80+AU81+AU83)/2*Inputs!$B$69/12</f>
        <v>-13546.875</v>
      </c>
      <c r="AV61" s="69" t="n">
        <f aca="false">-(AV80+AV81+AV83)/2*Inputs!$B$69/12</f>
        <v>-13369.7916666667</v>
      </c>
      <c r="AW61" s="69" t="n">
        <f aca="false">-(AW80+AW81+AW83)/2*Inputs!$B$69/12</f>
        <v>-13192.7083333333</v>
      </c>
      <c r="AX61" s="69" t="n">
        <f aca="false">-(AX80+AX81+AX83)/2*Inputs!$B$69/12</f>
        <v>-13015.625</v>
      </c>
      <c r="AY61" s="69" t="n">
        <f aca="false">-(AY80+AY81+AY83)/2*Inputs!$B$69/12</f>
        <v>-12838.5416666667</v>
      </c>
      <c r="AZ61" s="69" t="n">
        <f aca="false">-(AZ80+AZ81+AZ83)/2*Inputs!$B$69/12</f>
        <v>-12661.4583333333</v>
      </c>
      <c r="BA61" s="69" t="n">
        <f aca="false">-(BA80+BA81+BA83)/2*Inputs!$B$69/12</f>
        <v>-12484.375</v>
      </c>
      <c r="BB61" s="69" t="n">
        <f aca="false">-(BB80+BB81+BB83)/2*Inputs!$B$69/12</f>
        <v>-12307.2916666667</v>
      </c>
      <c r="BC61" s="69" t="n">
        <f aca="false">-(BC80+BC81+BC83)/2*Inputs!$B$69/12</f>
        <v>-12130.2083333333</v>
      </c>
      <c r="BD61" s="69" t="n">
        <f aca="false">-(BD80+BD81+BD83)/2*Inputs!$B$69/12</f>
        <v>-11953.125</v>
      </c>
      <c r="BE61" s="69" t="n">
        <f aca="false">-(BE80+BE81+BE83)/2*Inputs!$B$69/12</f>
        <v>-11776.0416666667</v>
      </c>
      <c r="BF61" s="69" t="n">
        <f aca="false">-(BF80+BF81+BF83)/2*Inputs!$B$69/12</f>
        <v>-11598.9583333333</v>
      </c>
      <c r="BG61" s="69" t="n">
        <f aca="false">-(BG80+BG81+BG83)/2*Inputs!$B$69/12</f>
        <v>-11421.875</v>
      </c>
      <c r="BH61" s="69" t="n">
        <f aca="false">-(BH80+BH81+BH83)/2*Inputs!$B$69/12</f>
        <v>-11244.7916666667</v>
      </c>
      <c r="BI61" s="69" t="n">
        <f aca="false">-(BI80+BI81+BI83)/2*Inputs!$B$69/12</f>
        <v>-11067.7083333333</v>
      </c>
      <c r="BJ61" s="69" t="n">
        <f aca="false">-(BJ80+BJ81+BJ83)/2*Inputs!$B$69/12</f>
        <v>-10890.625</v>
      </c>
    </row>
    <row r="62" customFormat="false" ht="15" hidden="false" customHeight="false" outlineLevel="0" collapsed="false">
      <c r="A62" s="113" t="s">
        <v>81</v>
      </c>
      <c r="C62" s="70" t="n">
        <f aca="false">C60+C61</f>
        <v>-121553.757544889</v>
      </c>
      <c r="D62" s="70" t="n">
        <f aca="false">D60+D61</f>
        <v>-118270.643229422</v>
      </c>
      <c r="E62" s="70" t="n">
        <f aca="false">E60+E61</f>
        <v>-107399.777940036</v>
      </c>
      <c r="F62" s="70" t="n">
        <f aca="false">F60+F61</f>
        <v>-102914.736082812</v>
      </c>
      <c r="G62" s="70" t="n">
        <f aca="false">G60+G61</f>
        <v>-98363.9214957821</v>
      </c>
      <c r="H62" s="70" t="n">
        <f aca="false">H60+H61</f>
        <v>-93750.6228154374</v>
      </c>
      <c r="I62" s="70" t="n">
        <f aca="false">I60+I61</f>
        <v>-89077.9642464434</v>
      </c>
      <c r="J62" s="70" t="n">
        <f aca="false">J60+J61</f>
        <v>-84348.9137832323</v>
      </c>
      <c r="K62" s="70" t="n">
        <f aca="false">K60+K61</f>
        <v>-79566.2910205151</v>
      </c>
      <c r="L62" s="70" t="n">
        <f aca="false">L60+L61</f>
        <v>-74732.7745732672</v>
      </c>
      <c r="M62" s="70" t="n">
        <f aca="false">M60+M61</f>
        <v>-69850.9091257149</v>
      </c>
      <c r="N62" s="70" t="n">
        <f aca="false">N60+N61</f>
        <v>-80015.4893496117</v>
      </c>
      <c r="O62" s="70" t="n">
        <f aca="false">O60+O61</f>
        <v>-75069.8944275023</v>
      </c>
      <c r="P62" s="70" t="n">
        <f aca="false">P60+P61</f>
        <v>-73893.3950454605</v>
      </c>
      <c r="Q62" s="70" t="n">
        <f aca="false">Q60+Q61</f>
        <v>-56935.9778318983</v>
      </c>
      <c r="R62" s="70" t="n">
        <f aca="false">R60+R61</f>
        <v>-55713.5432967033</v>
      </c>
      <c r="S62" s="70" t="n">
        <f aca="false">S60+S61</f>
        <v>-54543.3763216015</v>
      </c>
      <c r="T62" s="70" t="n">
        <f aca="false">T60+T61</f>
        <v>-53422.8635285881</v>
      </c>
      <c r="U62" s="70" t="n">
        <f aca="false">U60+U61</f>
        <v>-52349.5222085587</v>
      </c>
      <c r="V62" s="70" t="n">
        <f aca="false">V60+V61</f>
        <v>-51320.9937878641</v>
      </c>
      <c r="W62" s="70" t="n">
        <f aca="false">W60+W61</f>
        <v>-50335.0376215375</v>
      </c>
      <c r="X62" s="70" t="n">
        <f aca="false">X60+X61</f>
        <v>-49389.5250968607</v>
      </c>
      <c r="Y62" s="70" t="n">
        <f aca="false">Y60+Y61</f>
        <v>-48482.434031751</v>
      </c>
      <c r="Z62" s="70" t="n">
        <f aca="false">Z60+Z61</f>
        <v>-62801.0376136343</v>
      </c>
      <c r="AA62" s="70" t="n">
        <f aca="false">AA60+AA61</f>
        <v>-62259.6122629796</v>
      </c>
      <c r="AB62" s="70" t="n">
        <f aca="false">AB60+AB61</f>
        <v>-61621.9040040048</v>
      </c>
      <c r="AC62" s="70" t="n">
        <f aca="false">AC60+AC61</f>
        <v>-45923.5382552647</v>
      </c>
      <c r="AD62" s="70" t="n">
        <f aca="false">AD60+AD61</f>
        <v>-45151.2562356623</v>
      </c>
      <c r="AE62" s="70" t="n">
        <f aca="false">AE60+AE61</f>
        <v>-44408.7341503734</v>
      </c>
      <c r="AF62" s="70" t="n">
        <f aca="false">AF60+AF61</f>
        <v>-43694.4840026823</v>
      </c>
      <c r="AG62" s="70" t="n">
        <f aca="false">AG60+AG61</f>
        <v>-43007.0921957091</v>
      </c>
      <c r="AH62" s="70" t="n">
        <f aca="false">AH60+AH61</f>
        <v>-42345.2158124179</v>
      </c>
      <c r="AI62" s="70" t="n">
        <f aca="false">AI60+AI61</f>
        <v>-41707.5790816245</v>
      </c>
      <c r="AJ62" s="70" t="n">
        <f aca="false">AJ60+AJ61</f>
        <v>-41092.9700207042</v>
      </c>
      <c r="AK62" s="70" t="n">
        <f aca="false">AK60+AK61</f>
        <v>-40500.2372461632</v>
      </c>
      <c r="AL62" s="70" t="n">
        <f aca="false">AL60+AL61</f>
        <v>-54632.0099493431</v>
      </c>
      <c r="AM62" s="70" t="n">
        <f aca="false">AM60+AM61</f>
        <v>-55237.8188037742</v>
      </c>
      <c r="AN62" s="70" t="n">
        <f aca="false">AN60+AN61</f>
        <v>-54892.4489355958</v>
      </c>
      <c r="AO62" s="70" t="n">
        <f aca="false">AO60+AO61</f>
        <v>-39914.4596625492</v>
      </c>
      <c r="AP62" s="70" t="n">
        <f aca="false">AP60+AP61</f>
        <v>-39385.5704574945</v>
      </c>
      <c r="AQ62" s="70" t="n">
        <f aca="false">AQ60+AQ61</f>
        <v>-38874.271546026</v>
      </c>
      <c r="AR62" s="70" t="n">
        <f aca="false">AR60+AR61</f>
        <v>-38379.6834134641</v>
      </c>
      <c r="AS62" s="70" t="n">
        <f aca="false">AS60+AS61</f>
        <v>-37900.9705208637</v>
      </c>
      <c r="AT62" s="70" t="n">
        <f aca="false">AT60+AT61</f>
        <v>-37437.3391062267</v>
      </c>
      <c r="AU62" s="70" t="n">
        <f aca="false">AU60+AU61</f>
        <v>-36988.0350956548</v>
      </c>
      <c r="AV62" s="70" t="n">
        <f aca="false">AV60+AV61</f>
        <v>-36552.3421189449</v>
      </c>
      <c r="AW62" s="70" t="n">
        <f aca="false">AW60+AW61</f>
        <v>-36129.5796244038</v>
      </c>
      <c r="AX62" s="70" t="n">
        <f aca="false">AX60+AX61</f>
        <v>-50126.4799157606</v>
      </c>
      <c r="AY62" s="70" t="n">
        <f aca="false">AY60+AY61</f>
        <v>-51526.2131164071</v>
      </c>
      <c r="AZ62" s="70" t="n">
        <f aca="false">AZ60+AZ61</f>
        <v>-51339.4953080477</v>
      </c>
      <c r="BA62" s="70" t="n">
        <f aca="false">BA60+BA61</f>
        <v>-36787.3462740803</v>
      </c>
      <c r="BB62" s="70" t="n">
        <f aca="false">BB60+BB61</f>
        <v>-36390.0326569805</v>
      </c>
      <c r="BC62" s="70" t="n">
        <f aca="false">BC60+BC61</f>
        <v>-36003.730554069</v>
      </c>
      <c r="BD62" s="70" t="n">
        <f aca="false">BD60+BD61</f>
        <v>-35627.8893896364</v>
      </c>
      <c r="BE62" s="70" t="n">
        <f aca="false">BE60+BE61</f>
        <v>-35261.9861167588</v>
      </c>
      <c r="BF62" s="70" t="n">
        <f aca="false">BF60+BF61</f>
        <v>-34905.5238408584</v>
      </c>
      <c r="BG62" s="70" t="n">
        <f aca="false">BG60+BG61</f>
        <v>-34558.0305120863</v>
      </c>
      <c r="BH62" s="70" t="n">
        <f aca="false">BH60+BH61</f>
        <v>-34219.0576830862</v>
      </c>
      <c r="BI62" s="70" t="n">
        <f aca="false">BI60+BI61</f>
        <v>-33888.1793288694</v>
      </c>
      <c r="BJ62" s="70" t="n">
        <f aca="false">BJ60+BJ61</f>
        <v>-47778.6667693909</v>
      </c>
    </row>
    <row r="63" customFormat="false" ht="15" hidden="false" customHeight="false" outlineLevel="0" collapsed="false">
      <c r="A63" s="116" t="s">
        <v>443</v>
      </c>
      <c r="C63" s="69" t="n">
        <f aca="false">C62</f>
        <v>-121553.757544889</v>
      </c>
      <c r="D63" s="69" t="n">
        <f aca="false">C63+D62</f>
        <v>-239824.400774311</v>
      </c>
      <c r="E63" s="69" t="n">
        <f aca="false">D63+E62</f>
        <v>-347224.178714347</v>
      </c>
      <c r="F63" s="69" t="n">
        <f aca="false">E63+F62</f>
        <v>-450138.914797158</v>
      </c>
      <c r="G63" s="69" t="n">
        <f aca="false">F63+G62</f>
        <v>-548502.83629294</v>
      </c>
      <c r="H63" s="69" t="n">
        <f aca="false">G63+H62</f>
        <v>-642253.459108378</v>
      </c>
      <c r="I63" s="69" t="n">
        <f aca="false">H63+I62</f>
        <v>-731331.423354821</v>
      </c>
      <c r="J63" s="69" t="n">
        <f aca="false">I63+J62</f>
        <v>-815680.337138053</v>
      </c>
      <c r="K63" s="69" t="n">
        <f aca="false">J63+K62</f>
        <v>-895246.628158569</v>
      </c>
      <c r="L63" s="69" t="n">
        <f aca="false">K63+L62</f>
        <v>-969979.402731836</v>
      </c>
      <c r="M63" s="69" t="n">
        <f aca="false">L63+M62</f>
        <v>-1039830.31185755</v>
      </c>
      <c r="N63" s="69" t="n">
        <f aca="false">M63+N62</f>
        <v>-1119845.80120716</v>
      </c>
      <c r="O63" s="69" t="n">
        <f aca="false">N63+O62</f>
        <v>-1194915.69563466</v>
      </c>
      <c r="P63" s="69" t="n">
        <f aca="false">O63+P62</f>
        <v>-1268809.09068013</v>
      </c>
      <c r="Q63" s="69" t="n">
        <f aca="false">P63+Q62</f>
        <v>-1325745.06851202</v>
      </c>
      <c r="R63" s="69" t="n">
        <f aca="false">Q63+R62</f>
        <v>-1381458.61180873</v>
      </c>
      <c r="S63" s="69" t="n">
        <f aca="false">R63+S62</f>
        <v>-1436001.98813033</v>
      </c>
      <c r="T63" s="69" t="n">
        <f aca="false">S63+T62</f>
        <v>-1489424.85165892</v>
      </c>
      <c r="U63" s="69" t="n">
        <f aca="false">T63+U62</f>
        <v>-1541774.37386748</v>
      </c>
      <c r="V63" s="69" t="n">
        <f aca="false">U63+V62</f>
        <v>-1593095.36765534</v>
      </c>
      <c r="W63" s="69" t="n">
        <f aca="false">V63+W62</f>
        <v>-1643430.40527688</v>
      </c>
      <c r="X63" s="69" t="n">
        <f aca="false">W63+X62</f>
        <v>-1692819.93037374</v>
      </c>
      <c r="Y63" s="69" t="n">
        <f aca="false">X63+Y62</f>
        <v>-1741302.36440549</v>
      </c>
      <c r="Z63" s="69" t="n">
        <f aca="false">Y63+Z62</f>
        <v>-1804103.40201912</v>
      </c>
      <c r="AA63" s="69" t="n">
        <f aca="false">Z63+AA62</f>
        <v>-1866363.0142821</v>
      </c>
      <c r="AB63" s="69" t="n">
        <f aca="false">AA63+AB62</f>
        <v>-1927984.91828611</v>
      </c>
      <c r="AC63" s="69" t="n">
        <f aca="false">AB63+AC62</f>
        <v>-1973908.45654137</v>
      </c>
      <c r="AD63" s="69" t="n">
        <f aca="false">AC63+AD62</f>
        <v>-2019059.71277703</v>
      </c>
      <c r="AE63" s="69" t="n">
        <f aca="false">AD63+AE62</f>
        <v>-2063468.44692741</v>
      </c>
      <c r="AF63" s="69" t="n">
        <f aca="false">AE63+AF62</f>
        <v>-2107162.93093009</v>
      </c>
      <c r="AG63" s="69" t="n">
        <f aca="false">AF63+AG62</f>
        <v>-2150170.0231258</v>
      </c>
      <c r="AH63" s="69" t="n">
        <f aca="false">AG63+AH62</f>
        <v>-2192515.23893822</v>
      </c>
      <c r="AI63" s="69" t="n">
        <f aca="false">AH63+AI62</f>
        <v>-2234222.81801984</v>
      </c>
      <c r="AJ63" s="69" t="n">
        <f aca="false">AI63+AJ62</f>
        <v>-2275315.78804055</v>
      </c>
      <c r="AK63" s="69" t="n">
        <f aca="false">AJ63+AK62</f>
        <v>-2315816.02528671</v>
      </c>
      <c r="AL63" s="69" t="n">
        <f aca="false">AK63+AL62</f>
        <v>-2370448.03523605</v>
      </c>
      <c r="AM63" s="69" t="n">
        <f aca="false">AL63+AM62</f>
        <v>-2425685.85403983</v>
      </c>
      <c r="AN63" s="69" t="n">
        <f aca="false">AM63+AN62</f>
        <v>-2480578.30297542</v>
      </c>
      <c r="AO63" s="69" t="n">
        <f aca="false">AN63+AO62</f>
        <v>-2520492.76263797</v>
      </c>
      <c r="AP63" s="69" t="n">
        <f aca="false">AO63+AP62</f>
        <v>-2559878.33309547</v>
      </c>
      <c r="AQ63" s="69" t="n">
        <f aca="false">AP63+AQ62</f>
        <v>-2598752.60464149</v>
      </c>
      <c r="AR63" s="69" t="n">
        <f aca="false">AQ63+AR62</f>
        <v>-2637132.28805496</v>
      </c>
      <c r="AS63" s="69" t="n">
        <f aca="false">AR63+AS62</f>
        <v>-2675033.25857582</v>
      </c>
      <c r="AT63" s="69" t="n">
        <f aca="false">AS63+AT62</f>
        <v>-2712470.59768205</v>
      </c>
      <c r="AU63" s="69" t="n">
        <f aca="false">AT63+AU62</f>
        <v>-2749458.6327777</v>
      </c>
      <c r="AV63" s="69" t="n">
        <f aca="false">AU63+AV62</f>
        <v>-2786010.97489665</v>
      </c>
      <c r="AW63" s="69" t="n">
        <f aca="false">AV63+AW62</f>
        <v>-2822140.55452105</v>
      </c>
      <c r="AX63" s="69" t="n">
        <f aca="false">AW63+AX62</f>
        <v>-2872267.03443681</v>
      </c>
      <c r="AY63" s="69" t="n">
        <f aca="false">AX63+AY62</f>
        <v>-2923793.24755322</v>
      </c>
      <c r="AZ63" s="69" t="n">
        <f aca="false">AY63+AZ62</f>
        <v>-2975132.74286126</v>
      </c>
      <c r="BA63" s="69" t="n">
        <f aca="false">AZ63+BA62</f>
        <v>-3011920.08913534</v>
      </c>
      <c r="BB63" s="69" t="n">
        <f aca="false">BA63+BB62</f>
        <v>-3048310.12179233</v>
      </c>
      <c r="BC63" s="69" t="n">
        <f aca="false">BB63+BC62</f>
        <v>-3084313.85234639</v>
      </c>
      <c r="BD63" s="69" t="n">
        <f aca="false">BC63+BD62</f>
        <v>-3119941.74173603</v>
      </c>
      <c r="BE63" s="69" t="n">
        <f aca="false">BD63+BE62</f>
        <v>-3155203.72785279</v>
      </c>
      <c r="BF63" s="69" t="n">
        <f aca="false">BE63+BF62</f>
        <v>-3190109.25169365</v>
      </c>
      <c r="BG63" s="69" t="n">
        <f aca="false">BF63+BG62</f>
        <v>-3224667.28220573</v>
      </c>
      <c r="BH63" s="69" t="n">
        <f aca="false">BG63+BH62</f>
        <v>-3258886.33988882</v>
      </c>
      <c r="BI63" s="69" t="n">
        <f aca="false">BH63+BI62</f>
        <v>-3292774.51921769</v>
      </c>
      <c r="BJ63" s="69" t="n">
        <f aca="false">BI63+BJ62</f>
        <v>-3340553.18598708</v>
      </c>
    </row>
    <row r="64" customFormat="false" ht="15" hidden="false" customHeight="false" outlineLevel="0" collapsed="false">
      <c r="A64" s="116" t="s">
        <v>444</v>
      </c>
      <c r="C64" s="69" t="n">
        <f aca="false">MAX(0,C63)</f>
        <v>0</v>
      </c>
      <c r="D64" s="69" t="n">
        <f aca="false">MAX(C64,D63)</f>
        <v>0</v>
      </c>
      <c r="E64" s="69" t="n">
        <f aca="false">MAX(D64,E63)</f>
        <v>0</v>
      </c>
      <c r="F64" s="69" t="n">
        <f aca="false">MAX(E64,F63)</f>
        <v>0</v>
      </c>
      <c r="G64" s="69" t="n">
        <f aca="false">MAX(F64,G63)</f>
        <v>0</v>
      </c>
      <c r="H64" s="69" t="n">
        <f aca="false">MAX(G64,H63)</f>
        <v>0</v>
      </c>
      <c r="I64" s="69" t="n">
        <f aca="false">MAX(H64,I63)</f>
        <v>0</v>
      </c>
      <c r="J64" s="69" t="n">
        <f aca="false">MAX(I64,J63)</f>
        <v>0</v>
      </c>
      <c r="K64" s="69" t="n">
        <f aca="false">MAX(J64,K63)</f>
        <v>0</v>
      </c>
      <c r="L64" s="69" t="n">
        <f aca="false">MAX(K64,L63)</f>
        <v>0</v>
      </c>
      <c r="M64" s="69" t="n">
        <f aca="false">MAX(L64,M63)</f>
        <v>0</v>
      </c>
      <c r="N64" s="69" t="n">
        <f aca="false">MAX(M64,N63)</f>
        <v>0</v>
      </c>
      <c r="O64" s="69" t="n">
        <f aca="false">MAX(N64,O63)</f>
        <v>0</v>
      </c>
      <c r="P64" s="69" t="n">
        <f aca="false">MAX(O64,P63)</f>
        <v>0</v>
      </c>
      <c r="Q64" s="69" t="n">
        <f aca="false">MAX(P64,Q63)</f>
        <v>0</v>
      </c>
      <c r="R64" s="69" t="n">
        <f aca="false">MAX(Q64,R63)</f>
        <v>0</v>
      </c>
      <c r="S64" s="69" t="n">
        <f aca="false">MAX(R64,S63)</f>
        <v>0</v>
      </c>
      <c r="T64" s="69" t="n">
        <f aca="false">MAX(S64,T63)</f>
        <v>0</v>
      </c>
      <c r="U64" s="69" t="n">
        <f aca="false">MAX(T64,U63)</f>
        <v>0</v>
      </c>
      <c r="V64" s="69" t="n">
        <f aca="false">MAX(U64,V63)</f>
        <v>0</v>
      </c>
      <c r="W64" s="69" t="n">
        <f aca="false">MAX(V64,W63)</f>
        <v>0</v>
      </c>
      <c r="X64" s="69" t="n">
        <f aca="false">MAX(W64,X63)</f>
        <v>0</v>
      </c>
      <c r="Y64" s="69" t="n">
        <f aca="false">MAX(X64,Y63)</f>
        <v>0</v>
      </c>
      <c r="Z64" s="69" t="n">
        <f aca="false">MAX(Y64,Z63)</f>
        <v>0</v>
      </c>
      <c r="AA64" s="69" t="n">
        <f aca="false">MAX(Z64,AA63)</f>
        <v>0</v>
      </c>
      <c r="AB64" s="69" t="n">
        <f aca="false">MAX(AA64,AB63)</f>
        <v>0</v>
      </c>
      <c r="AC64" s="69" t="n">
        <f aca="false">MAX(AB64,AC63)</f>
        <v>0</v>
      </c>
      <c r="AD64" s="69" t="n">
        <f aca="false">MAX(AC64,AD63)</f>
        <v>0</v>
      </c>
      <c r="AE64" s="69" t="n">
        <f aca="false">MAX(AD64,AE63)</f>
        <v>0</v>
      </c>
      <c r="AF64" s="69" t="n">
        <f aca="false">MAX(AE64,AF63)</f>
        <v>0</v>
      </c>
      <c r="AG64" s="69" t="n">
        <f aca="false">MAX(AF64,AG63)</f>
        <v>0</v>
      </c>
      <c r="AH64" s="69" t="n">
        <f aca="false">MAX(AG64,AH63)</f>
        <v>0</v>
      </c>
      <c r="AI64" s="69" t="n">
        <f aca="false">MAX(AH64,AI63)</f>
        <v>0</v>
      </c>
      <c r="AJ64" s="69" t="n">
        <f aca="false">MAX(AI64,AJ63)</f>
        <v>0</v>
      </c>
      <c r="AK64" s="69" t="n">
        <f aca="false">MAX(AJ64,AK63)</f>
        <v>0</v>
      </c>
      <c r="AL64" s="69" t="n">
        <f aca="false">MAX(AK64,AL63)</f>
        <v>0</v>
      </c>
      <c r="AM64" s="69" t="n">
        <f aca="false">MAX(AL64,AM63)</f>
        <v>0</v>
      </c>
      <c r="AN64" s="69" t="n">
        <f aca="false">MAX(AM64,AN63)</f>
        <v>0</v>
      </c>
      <c r="AO64" s="69" t="n">
        <f aca="false">MAX(AN64,AO63)</f>
        <v>0</v>
      </c>
      <c r="AP64" s="69" t="n">
        <f aca="false">MAX(AO64,AP63)</f>
        <v>0</v>
      </c>
      <c r="AQ64" s="69" t="n">
        <f aca="false">MAX(AP64,AQ63)</f>
        <v>0</v>
      </c>
      <c r="AR64" s="69" t="n">
        <f aca="false">MAX(AQ64,AR63)</f>
        <v>0</v>
      </c>
      <c r="AS64" s="69" t="n">
        <f aca="false">MAX(AR64,AS63)</f>
        <v>0</v>
      </c>
      <c r="AT64" s="69" t="n">
        <f aca="false">MAX(AS64,AT63)</f>
        <v>0</v>
      </c>
      <c r="AU64" s="69" t="n">
        <f aca="false">MAX(AT64,AU63)</f>
        <v>0</v>
      </c>
      <c r="AV64" s="69" t="n">
        <f aca="false">MAX(AU64,AV63)</f>
        <v>0</v>
      </c>
      <c r="AW64" s="69" t="n">
        <f aca="false">MAX(AV64,AW63)</f>
        <v>0</v>
      </c>
      <c r="AX64" s="69" t="n">
        <f aca="false">MAX(AW64,AX63)</f>
        <v>0</v>
      </c>
      <c r="AY64" s="69" t="n">
        <f aca="false">MAX(AX64,AY63)</f>
        <v>0</v>
      </c>
      <c r="AZ64" s="69" t="n">
        <f aca="false">MAX(AY64,AZ63)</f>
        <v>0</v>
      </c>
      <c r="BA64" s="69" t="n">
        <f aca="false">MAX(AZ64,BA63)</f>
        <v>0</v>
      </c>
      <c r="BB64" s="69" t="n">
        <f aca="false">MAX(BA64,BB63)</f>
        <v>0</v>
      </c>
      <c r="BC64" s="69" t="n">
        <f aca="false">MAX(BB64,BC63)</f>
        <v>0</v>
      </c>
      <c r="BD64" s="69" t="n">
        <f aca="false">MAX(BC64,BD63)</f>
        <v>0</v>
      </c>
      <c r="BE64" s="69" t="n">
        <f aca="false">MAX(BD64,BE63)</f>
        <v>0</v>
      </c>
      <c r="BF64" s="69" t="n">
        <f aca="false">MAX(BE64,BF63)</f>
        <v>0</v>
      </c>
      <c r="BG64" s="69" t="n">
        <f aca="false">MAX(BF64,BG63)</f>
        <v>0</v>
      </c>
      <c r="BH64" s="69" t="n">
        <f aca="false">MAX(BG64,BH63)</f>
        <v>0</v>
      </c>
      <c r="BI64" s="69" t="n">
        <f aca="false">MAX(BH64,BI63)</f>
        <v>0</v>
      </c>
      <c r="BJ64" s="69" t="n">
        <f aca="false">MAX(BI64,BJ63)</f>
        <v>0</v>
      </c>
    </row>
    <row r="65" customFormat="false" ht="15" hidden="false" customHeight="false" outlineLevel="0" collapsed="false">
      <c r="A65" s="6" t="s">
        <v>82</v>
      </c>
      <c r="C65" s="69" t="n">
        <f aca="false">-C64*Inputs!$B$79</f>
        <v>-0</v>
      </c>
      <c r="D65" s="69" t="n">
        <f aca="false">-(D64-C64)*Inputs!$B$79</f>
        <v>-0</v>
      </c>
      <c r="E65" s="69" t="n">
        <f aca="false">-(E64-D64)*Inputs!$B$79</f>
        <v>-0</v>
      </c>
      <c r="F65" s="69" t="n">
        <f aca="false">-(F64-E64)*Inputs!$B$79</f>
        <v>-0</v>
      </c>
      <c r="G65" s="69" t="n">
        <f aca="false">-(G64-F64)*Inputs!$B$79</f>
        <v>-0</v>
      </c>
      <c r="H65" s="69" t="n">
        <f aca="false">-(H64-G64)*Inputs!$B$79</f>
        <v>-0</v>
      </c>
      <c r="I65" s="69" t="n">
        <f aca="false">-(I64-H64)*Inputs!$B$79</f>
        <v>-0</v>
      </c>
      <c r="J65" s="69" t="n">
        <f aca="false">-(J64-I64)*Inputs!$B$79</f>
        <v>-0</v>
      </c>
      <c r="K65" s="69" t="n">
        <f aca="false">-(K64-J64)*Inputs!$B$79</f>
        <v>-0</v>
      </c>
      <c r="L65" s="69" t="n">
        <f aca="false">-(L64-K64)*Inputs!$B$79</f>
        <v>-0</v>
      </c>
      <c r="M65" s="69" t="n">
        <f aca="false">-(M64-L64)*Inputs!$B$79</f>
        <v>-0</v>
      </c>
      <c r="N65" s="69" t="n">
        <f aca="false">-(N64-M64)*Inputs!$B$79</f>
        <v>-0</v>
      </c>
      <c r="O65" s="69" t="n">
        <f aca="false">-(O64-N64)*Inputs!$B$79</f>
        <v>-0</v>
      </c>
      <c r="P65" s="69" t="n">
        <f aca="false">-(P64-O64)*Inputs!$B$79</f>
        <v>-0</v>
      </c>
      <c r="Q65" s="69" t="n">
        <f aca="false">-(Q64-P64)*Inputs!$B$79</f>
        <v>-0</v>
      </c>
      <c r="R65" s="69" t="n">
        <f aca="false">-(R64-Q64)*Inputs!$B$79</f>
        <v>-0</v>
      </c>
      <c r="S65" s="69" t="n">
        <f aca="false">-(S64-R64)*Inputs!$B$79</f>
        <v>-0</v>
      </c>
      <c r="T65" s="69" t="n">
        <f aca="false">-(T64-S64)*Inputs!$B$79</f>
        <v>-0</v>
      </c>
      <c r="U65" s="69" t="n">
        <f aca="false">-(U64-T64)*Inputs!$B$79</f>
        <v>-0</v>
      </c>
      <c r="V65" s="69" t="n">
        <f aca="false">-(V64-U64)*Inputs!$B$79</f>
        <v>-0</v>
      </c>
      <c r="W65" s="69" t="n">
        <f aca="false">-(W64-V64)*Inputs!$B$79</f>
        <v>-0</v>
      </c>
      <c r="X65" s="69" t="n">
        <f aca="false">-(X64-W64)*Inputs!$B$79</f>
        <v>-0</v>
      </c>
      <c r="Y65" s="69" t="n">
        <f aca="false">-(Y64-X64)*Inputs!$B$79</f>
        <v>-0</v>
      </c>
      <c r="Z65" s="69" t="n">
        <f aca="false">-(Z64-Y64)*Inputs!$B$79</f>
        <v>-0</v>
      </c>
      <c r="AA65" s="69" t="n">
        <f aca="false">-(AA64-Z64)*Inputs!$B$79</f>
        <v>-0</v>
      </c>
      <c r="AB65" s="69" t="n">
        <f aca="false">-(AB64-AA64)*Inputs!$B$79</f>
        <v>-0</v>
      </c>
      <c r="AC65" s="69" t="n">
        <f aca="false">-(AC64-AB64)*Inputs!$B$79</f>
        <v>-0</v>
      </c>
      <c r="AD65" s="69" t="n">
        <f aca="false">-(AD64-AC64)*Inputs!$B$79</f>
        <v>-0</v>
      </c>
      <c r="AE65" s="69" t="n">
        <f aca="false">-(AE64-AD64)*Inputs!$B$79</f>
        <v>-0</v>
      </c>
      <c r="AF65" s="69" t="n">
        <f aca="false">-(AF64-AE64)*Inputs!$B$79</f>
        <v>-0</v>
      </c>
      <c r="AG65" s="69" t="n">
        <f aca="false">-(AG64-AF64)*Inputs!$B$79</f>
        <v>-0</v>
      </c>
      <c r="AH65" s="69" t="n">
        <f aca="false">-(AH64-AG64)*Inputs!$B$79</f>
        <v>-0</v>
      </c>
      <c r="AI65" s="69" t="n">
        <f aca="false">-(AI64-AH64)*Inputs!$B$79</f>
        <v>-0</v>
      </c>
      <c r="AJ65" s="69" t="n">
        <f aca="false">-(AJ64-AI64)*Inputs!$B$79</f>
        <v>-0</v>
      </c>
      <c r="AK65" s="69" t="n">
        <f aca="false">-(AK64-AJ64)*Inputs!$B$79</f>
        <v>-0</v>
      </c>
      <c r="AL65" s="69" t="n">
        <f aca="false">-(AL64-AK64)*Inputs!$B$79</f>
        <v>-0</v>
      </c>
      <c r="AM65" s="69" t="n">
        <f aca="false">-(AM64-AL64)*Inputs!$B$79</f>
        <v>-0</v>
      </c>
      <c r="AN65" s="69" t="n">
        <f aca="false">-(AN64-AM64)*Inputs!$B$79</f>
        <v>-0</v>
      </c>
      <c r="AO65" s="69" t="n">
        <f aca="false">-(AO64-AN64)*Inputs!$B$79</f>
        <v>-0</v>
      </c>
      <c r="AP65" s="69" t="n">
        <f aca="false">-(AP64-AO64)*Inputs!$B$79</f>
        <v>-0</v>
      </c>
      <c r="AQ65" s="69" t="n">
        <f aca="false">-(AQ64-AP64)*Inputs!$B$79</f>
        <v>-0</v>
      </c>
      <c r="AR65" s="69" t="n">
        <f aca="false">-(AR64-AQ64)*Inputs!$B$79</f>
        <v>-0</v>
      </c>
      <c r="AS65" s="69" t="n">
        <f aca="false">-(AS64-AR64)*Inputs!$B$79</f>
        <v>-0</v>
      </c>
      <c r="AT65" s="69" t="n">
        <f aca="false">-(AT64-AS64)*Inputs!$B$79</f>
        <v>-0</v>
      </c>
      <c r="AU65" s="69" t="n">
        <f aca="false">-(AU64-AT64)*Inputs!$B$79</f>
        <v>-0</v>
      </c>
      <c r="AV65" s="69" t="n">
        <f aca="false">-(AV64-AU64)*Inputs!$B$79</f>
        <v>-0</v>
      </c>
      <c r="AW65" s="69" t="n">
        <f aca="false">-(AW64-AV64)*Inputs!$B$79</f>
        <v>-0</v>
      </c>
      <c r="AX65" s="69" t="n">
        <f aca="false">-(AX64-AW64)*Inputs!$B$79</f>
        <v>-0</v>
      </c>
      <c r="AY65" s="69" t="n">
        <f aca="false">-(AY64-AX64)*Inputs!$B$79</f>
        <v>-0</v>
      </c>
      <c r="AZ65" s="69" t="n">
        <f aca="false">-(AZ64-AY64)*Inputs!$B$79</f>
        <v>-0</v>
      </c>
      <c r="BA65" s="69" t="n">
        <f aca="false">-(BA64-AZ64)*Inputs!$B$79</f>
        <v>-0</v>
      </c>
      <c r="BB65" s="69" t="n">
        <f aca="false">-(BB64-BA64)*Inputs!$B$79</f>
        <v>-0</v>
      </c>
      <c r="BC65" s="69" t="n">
        <f aca="false">-(BC64-BB64)*Inputs!$B$79</f>
        <v>-0</v>
      </c>
      <c r="BD65" s="69" t="n">
        <f aca="false">-(BD64-BC64)*Inputs!$B$79</f>
        <v>-0</v>
      </c>
      <c r="BE65" s="69" t="n">
        <f aca="false">-(BE64-BD64)*Inputs!$B$79</f>
        <v>-0</v>
      </c>
      <c r="BF65" s="69" t="n">
        <f aca="false">-(BF64-BE64)*Inputs!$B$79</f>
        <v>-0</v>
      </c>
      <c r="BG65" s="69" t="n">
        <f aca="false">-(BG64-BF64)*Inputs!$B$79</f>
        <v>-0</v>
      </c>
      <c r="BH65" s="69" t="n">
        <f aca="false">-(BH64-BG64)*Inputs!$B$79</f>
        <v>-0</v>
      </c>
      <c r="BI65" s="69" t="n">
        <f aca="false">-(BI64-BH64)*Inputs!$B$79</f>
        <v>-0</v>
      </c>
      <c r="BJ65" s="69" t="n">
        <f aca="false">-(BJ64-BI64)*Inputs!$B$79</f>
        <v>-0</v>
      </c>
    </row>
    <row r="66" customFormat="false" ht="15" hidden="false" customHeight="false" outlineLevel="0" collapsed="false">
      <c r="A66" s="113" t="s">
        <v>50</v>
      </c>
      <c r="C66" s="70" t="n">
        <f aca="false">C62+C65</f>
        <v>-121553.757544889</v>
      </c>
      <c r="D66" s="70" t="n">
        <f aca="false">D62+D65</f>
        <v>-118270.643229422</v>
      </c>
      <c r="E66" s="70" t="n">
        <f aca="false">E62+E65</f>
        <v>-107399.777940036</v>
      </c>
      <c r="F66" s="70" t="n">
        <f aca="false">F62+F65</f>
        <v>-102914.736082812</v>
      </c>
      <c r="G66" s="70" t="n">
        <f aca="false">G62+G65</f>
        <v>-98363.9214957821</v>
      </c>
      <c r="H66" s="70" t="n">
        <f aca="false">H62+H65</f>
        <v>-93750.6228154374</v>
      </c>
      <c r="I66" s="70" t="n">
        <f aca="false">I62+I65</f>
        <v>-89077.9642464434</v>
      </c>
      <c r="J66" s="70" t="n">
        <f aca="false">J62+J65</f>
        <v>-84348.9137832323</v>
      </c>
      <c r="K66" s="70" t="n">
        <f aca="false">K62+K65</f>
        <v>-79566.2910205151</v>
      </c>
      <c r="L66" s="70" t="n">
        <f aca="false">L62+L65</f>
        <v>-74732.7745732672</v>
      </c>
      <c r="M66" s="70" t="n">
        <f aca="false">M62+M65</f>
        <v>-69850.9091257149</v>
      </c>
      <c r="N66" s="70" t="n">
        <f aca="false">N62+N65</f>
        <v>-80015.4893496117</v>
      </c>
      <c r="O66" s="70" t="n">
        <f aca="false">O62+O65</f>
        <v>-75069.8944275023</v>
      </c>
      <c r="P66" s="70" t="n">
        <f aca="false">P62+P65</f>
        <v>-73893.3950454605</v>
      </c>
      <c r="Q66" s="70" t="n">
        <f aca="false">Q62+Q65</f>
        <v>-56935.9778318983</v>
      </c>
      <c r="R66" s="70" t="n">
        <f aca="false">R62+R65</f>
        <v>-55713.5432967033</v>
      </c>
      <c r="S66" s="70" t="n">
        <f aca="false">S62+S65</f>
        <v>-54543.3763216015</v>
      </c>
      <c r="T66" s="70" t="n">
        <f aca="false">T62+T65</f>
        <v>-53422.8635285881</v>
      </c>
      <c r="U66" s="70" t="n">
        <f aca="false">U62+U65</f>
        <v>-52349.5222085587</v>
      </c>
      <c r="V66" s="70" t="n">
        <f aca="false">V62+V65</f>
        <v>-51320.9937878641</v>
      </c>
      <c r="W66" s="70" t="n">
        <f aca="false">W62+W65</f>
        <v>-50335.0376215375</v>
      </c>
      <c r="X66" s="70" t="n">
        <f aca="false">X62+X65</f>
        <v>-49389.5250968607</v>
      </c>
      <c r="Y66" s="70" t="n">
        <f aca="false">Y62+Y65</f>
        <v>-48482.434031751</v>
      </c>
      <c r="Z66" s="70" t="n">
        <f aca="false">Z62+Z65</f>
        <v>-62801.0376136343</v>
      </c>
      <c r="AA66" s="70" t="n">
        <f aca="false">AA62+AA65</f>
        <v>-62259.6122629796</v>
      </c>
      <c r="AB66" s="70" t="n">
        <f aca="false">AB62+AB65</f>
        <v>-61621.9040040048</v>
      </c>
      <c r="AC66" s="70" t="n">
        <f aca="false">AC62+AC65</f>
        <v>-45923.5382552647</v>
      </c>
      <c r="AD66" s="70" t="n">
        <f aca="false">AD62+AD65</f>
        <v>-45151.2562356623</v>
      </c>
      <c r="AE66" s="70" t="n">
        <f aca="false">AE62+AE65</f>
        <v>-44408.7341503734</v>
      </c>
      <c r="AF66" s="70" t="n">
        <f aca="false">AF62+AF65</f>
        <v>-43694.4840026823</v>
      </c>
      <c r="AG66" s="70" t="n">
        <f aca="false">AG62+AG65</f>
        <v>-43007.0921957091</v>
      </c>
      <c r="AH66" s="70" t="n">
        <f aca="false">AH62+AH65</f>
        <v>-42345.2158124179</v>
      </c>
      <c r="AI66" s="70" t="n">
        <f aca="false">AI62+AI65</f>
        <v>-41707.5790816245</v>
      </c>
      <c r="AJ66" s="70" t="n">
        <f aca="false">AJ62+AJ65</f>
        <v>-41092.9700207042</v>
      </c>
      <c r="AK66" s="70" t="n">
        <f aca="false">AK62+AK65</f>
        <v>-40500.2372461632</v>
      </c>
      <c r="AL66" s="70" t="n">
        <f aca="false">AL62+AL65</f>
        <v>-54632.0099493431</v>
      </c>
      <c r="AM66" s="70" t="n">
        <f aca="false">AM62+AM65</f>
        <v>-55237.8188037742</v>
      </c>
      <c r="AN66" s="70" t="n">
        <f aca="false">AN62+AN65</f>
        <v>-54892.4489355958</v>
      </c>
      <c r="AO66" s="70" t="n">
        <f aca="false">AO62+AO65</f>
        <v>-39914.4596625492</v>
      </c>
      <c r="AP66" s="70" t="n">
        <f aca="false">AP62+AP65</f>
        <v>-39385.5704574945</v>
      </c>
      <c r="AQ66" s="70" t="n">
        <f aca="false">AQ62+AQ65</f>
        <v>-38874.271546026</v>
      </c>
      <c r="AR66" s="70" t="n">
        <f aca="false">AR62+AR65</f>
        <v>-38379.6834134641</v>
      </c>
      <c r="AS66" s="70" t="n">
        <f aca="false">AS62+AS65</f>
        <v>-37900.9705208637</v>
      </c>
      <c r="AT66" s="70" t="n">
        <f aca="false">AT62+AT65</f>
        <v>-37437.3391062267</v>
      </c>
      <c r="AU66" s="70" t="n">
        <f aca="false">AU62+AU65</f>
        <v>-36988.0350956548</v>
      </c>
      <c r="AV66" s="70" t="n">
        <f aca="false">AV62+AV65</f>
        <v>-36552.3421189449</v>
      </c>
      <c r="AW66" s="70" t="n">
        <f aca="false">AW62+AW65</f>
        <v>-36129.5796244038</v>
      </c>
      <c r="AX66" s="70" t="n">
        <f aca="false">AX62+AX65</f>
        <v>-50126.4799157606</v>
      </c>
      <c r="AY66" s="70" t="n">
        <f aca="false">AY62+AY65</f>
        <v>-51526.2131164071</v>
      </c>
      <c r="AZ66" s="70" t="n">
        <f aca="false">AZ62+AZ65</f>
        <v>-51339.4953080477</v>
      </c>
      <c r="BA66" s="70" t="n">
        <f aca="false">BA62+BA65</f>
        <v>-36787.3462740803</v>
      </c>
      <c r="BB66" s="70" t="n">
        <f aca="false">BB62+BB65</f>
        <v>-36390.0326569805</v>
      </c>
      <c r="BC66" s="70" t="n">
        <f aca="false">BC62+BC65</f>
        <v>-36003.730554069</v>
      </c>
      <c r="BD66" s="70" t="n">
        <f aca="false">BD62+BD65</f>
        <v>-35627.8893896364</v>
      </c>
      <c r="BE66" s="70" t="n">
        <f aca="false">BE62+BE65</f>
        <v>-35261.9861167588</v>
      </c>
      <c r="BF66" s="70" t="n">
        <f aca="false">BF62+BF65</f>
        <v>-34905.5238408584</v>
      </c>
      <c r="BG66" s="70" t="n">
        <f aca="false">BG62+BG65</f>
        <v>-34558.0305120863</v>
      </c>
      <c r="BH66" s="70" t="n">
        <f aca="false">BH62+BH65</f>
        <v>-34219.0576830862</v>
      </c>
      <c r="BI66" s="70" t="n">
        <f aca="false">BI62+BI65</f>
        <v>-33888.1793288694</v>
      </c>
      <c r="BJ66" s="70" t="n">
        <f aca="false">BJ62+BJ65</f>
        <v>-47778.6667693909</v>
      </c>
    </row>
    <row r="68" customFormat="false" ht="15.75" hidden="false" customHeight="true" outlineLevel="0" collapsed="false">
      <c r="A68" s="7" t="s">
        <v>445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customFormat="false" ht="15" hidden="false" customHeight="false" outlineLevel="0" collapsed="false">
      <c r="A69" s="6" t="s">
        <v>446</v>
      </c>
      <c r="C69" s="69" t="n">
        <f aca="false">IF(C$6=1,Inputs!$B$49,0)</f>
        <v>1650000</v>
      </c>
      <c r="D69" s="69" t="n">
        <f aca="false">IF(D$6=1,Inputs!$B$49,0)</f>
        <v>0</v>
      </c>
      <c r="E69" s="69" t="n">
        <f aca="false">IF(E$6=1,Inputs!$B$49,0)</f>
        <v>0</v>
      </c>
      <c r="F69" s="69" t="n">
        <f aca="false">IF(F$6=1,Inputs!$B$49,0)</f>
        <v>0</v>
      </c>
      <c r="G69" s="69" t="n">
        <f aca="false">IF(G$6=1,Inputs!$B$49,0)</f>
        <v>0</v>
      </c>
      <c r="H69" s="69" t="n">
        <f aca="false">IF(H$6=1,Inputs!$B$49,0)</f>
        <v>0</v>
      </c>
      <c r="I69" s="69" t="n">
        <f aca="false">IF(I$6=1,Inputs!$B$49,0)</f>
        <v>0</v>
      </c>
      <c r="J69" s="69" t="n">
        <f aca="false">IF(J$6=1,Inputs!$B$49,0)</f>
        <v>0</v>
      </c>
      <c r="K69" s="69" t="n">
        <f aca="false">IF(K$6=1,Inputs!$B$49,0)</f>
        <v>0</v>
      </c>
      <c r="L69" s="69" t="n">
        <f aca="false">IF(L$6=1,Inputs!$B$49,0)</f>
        <v>0</v>
      </c>
      <c r="M69" s="69" t="n">
        <f aca="false">IF(M$6=1,Inputs!$B$49,0)</f>
        <v>0</v>
      </c>
      <c r="N69" s="69" t="n">
        <f aca="false">IF(N$6=1,Inputs!$B$49,0)</f>
        <v>0</v>
      </c>
      <c r="O69" s="69" t="n">
        <f aca="false">IF(O$6=1,Inputs!$B$49,0)</f>
        <v>0</v>
      </c>
      <c r="P69" s="69" t="n">
        <f aca="false">IF(P$6=1,Inputs!$B$49,0)</f>
        <v>0</v>
      </c>
      <c r="Q69" s="69" t="n">
        <f aca="false">IF(Q$6=1,Inputs!$B$49,0)</f>
        <v>0</v>
      </c>
      <c r="R69" s="69" t="n">
        <f aca="false">IF(R$6=1,Inputs!$B$49,0)</f>
        <v>0</v>
      </c>
      <c r="S69" s="69" t="n">
        <f aca="false">IF(S$6=1,Inputs!$B$49,0)</f>
        <v>0</v>
      </c>
      <c r="T69" s="69" t="n">
        <f aca="false">IF(T$6=1,Inputs!$B$49,0)</f>
        <v>0</v>
      </c>
      <c r="U69" s="69" t="n">
        <f aca="false">IF(U$6=1,Inputs!$B$49,0)</f>
        <v>0</v>
      </c>
      <c r="V69" s="69" t="n">
        <f aca="false">IF(V$6=1,Inputs!$B$49,0)</f>
        <v>0</v>
      </c>
      <c r="W69" s="69" t="n">
        <f aca="false">IF(W$6=1,Inputs!$B$49,0)</f>
        <v>0</v>
      </c>
      <c r="X69" s="69" t="n">
        <f aca="false">IF(X$6=1,Inputs!$B$49,0)</f>
        <v>0</v>
      </c>
      <c r="Y69" s="69" t="n">
        <f aca="false">IF(Y$6=1,Inputs!$B$49,0)</f>
        <v>0</v>
      </c>
      <c r="Z69" s="69" t="n">
        <f aca="false">IF(Z$6=1,Inputs!$B$49,0)</f>
        <v>0</v>
      </c>
      <c r="AA69" s="69" t="n">
        <f aca="false">IF(AA$6=1,Inputs!$B$49,0)</f>
        <v>0</v>
      </c>
      <c r="AB69" s="69" t="n">
        <f aca="false">IF(AB$6=1,Inputs!$B$49,0)</f>
        <v>0</v>
      </c>
      <c r="AC69" s="69" t="n">
        <f aca="false">IF(AC$6=1,Inputs!$B$49,0)</f>
        <v>0</v>
      </c>
      <c r="AD69" s="69" t="n">
        <f aca="false">IF(AD$6=1,Inputs!$B$49,0)</f>
        <v>0</v>
      </c>
      <c r="AE69" s="69" t="n">
        <f aca="false">IF(AE$6=1,Inputs!$B$49,0)</f>
        <v>0</v>
      </c>
      <c r="AF69" s="69" t="n">
        <f aca="false">IF(AF$6=1,Inputs!$B$49,0)</f>
        <v>0</v>
      </c>
      <c r="AG69" s="69" t="n">
        <f aca="false">IF(AG$6=1,Inputs!$B$49,0)</f>
        <v>0</v>
      </c>
      <c r="AH69" s="69" t="n">
        <f aca="false">IF(AH$6=1,Inputs!$B$49,0)</f>
        <v>0</v>
      </c>
      <c r="AI69" s="69" t="n">
        <f aca="false">IF(AI$6=1,Inputs!$B$49,0)</f>
        <v>0</v>
      </c>
      <c r="AJ69" s="69" t="n">
        <f aca="false">IF(AJ$6=1,Inputs!$B$49,0)</f>
        <v>0</v>
      </c>
      <c r="AK69" s="69" t="n">
        <f aca="false">IF(AK$6=1,Inputs!$B$49,0)</f>
        <v>0</v>
      </c>
      <c r="AL69" s="69" t="n">
        <f aca="false">IF(AL$6=1,Inputs!$B$49,0)</f>
        <v>0</v>
      </c>
      <c r="AM69" s="69" t="n">
        <f aca="false">IF(AM$6=1,Inputs!$B$49,0)</f>
        <v>0</v>
      </c>
      <c r="AN69" s="69" t="n">
        <f aca="false">IF(AN$6=1,Inputs!$B$49,0)</f>
        <v>0</v>
      </c>
      <c r="AO69" s="69" t="n">
        <f aca="false">IF(AO$6=1,Inputs!$B$49,0)</f>
        <v>0</v>
      </c>
      <c r="AP69" s="69" t="n">
        <f aca="false">IF(AP$6=1,Inputs!$B$49,0)</f>
        <v>0</v>
      </c>
      <c r="AQ69" s="69" t="n">
        <f aca="false">IF(AQ$6=1,Inputs!$B$49,0)</f>
        <v>0</v>
      </c>
      <c r="AR69" s="69" t="n">
        <f aca="false">IF(AR$6=1,Inputs!$B$49,0)</f>
        <v>0</v>
      </c>
      <c r="AS69" s="69" t="n">
        <f aca="false">IF(AS$6=1,Inputs!$B$49,0)</f>
        <v>0</v>
      </c>
      <c r="AT69" s="69" t="n">
        <f aca="false">IF(AT$6=1,Inputs!$B$49,0)</f>
        <v>0</v>
      </c>
      <c r="AU69" s="69" t="n">
        <f aca="false">IF(AU$6=1,Inputs!$B$49,0)</f>
        <v>0</v>
      </c>
      <c r="AV69" s="69" t="n">
        <f aca="false">IF(AV$6=1,Inputs!$B$49,0)</f>
        <v>0</v>
      </c>
      <c r="AW69" s="69" t="n">
        <f aca="false">IF(AW$6=1,Inputs!$B$49,0)</f>
        <v>0</v>
      </c>
      <c r="AX69" s="69" t="n">
        <f aca="false">IF(AX$6=1,Inputs!$B$49,0)</f>
        <v>0</v>
      </c>
      <c r="AY69" s="69" t="n">
        <f aca="false">IF(AY$6=1,Inputs!$B$49,0)</f>
        <v>0</v>
      </c>
      <c r="AZ69" s="69" t="n">
        <f aca="false">IF(AZ$6=1,Inputs!$B$49,0)</f>
        <v>0</v>
      </c>
      <c r="BA69" s="69" t="n">
        <f aca="false">IF(BA$6=1,Inputs!$B$49,0)</f>
        <v>0</v>
      </c>
      <c r="BB69" s="69" t="n">
        <f aca="false">IF(BB$6=1,Inputs!$B$49,0)</f>
        <v>0</v>
      </c>
      <c r="BC69" s="69" t="n">
        <f aca="false">IF(BC$6=1,Inputs!$B$49,0)</f>
        <v>0</v>
      </c>
      <c r="BD69" s="69" t="n">
        <f aca="false">IF(BD$6=1,Inputs!$B$49,0)</f>
        <v>0</v>
      </c>
      <c r="BE69" s="69" t="n">
        <f aca="false">IF(BE$6=1,Inputs!$B$49,0)</f>
        <v>0</v>
      </c>
      <c r="BF69" s="69" t="n">
        <f aca="false">IF(BF$6=1,Inputs!$B$49,0)</f>
        <v>0</v>
      </c>
      <c r="BG69" s="69" t="n">
        <f aca="false">IF(BG$6=1,Inputs!$B$49,0)</f>
        <v>0</v>
      </c>
      <c r="BH69" s="69" t="n">
        <f aca="false">IF(BH$6=1,Inputs!$B$49,0)</f>
        <v>0</v>
      </c>
      <c r="BI69" s="69" t="n">
        <f aca="false">IF(BI$6=1,Inputs!$B$49,0)</f>
        <v>0</v>
      </c>
      <c r="BJ69" s="69" t="n">
        <f aca="false">IF(BJ$6=1,Inputs!$B$49,0)</f>
        <v>0</v>
      </c>
    </row>
    <row r="70" customFormat="false" ht="15" hidden="false" customHeight="false" outlineLevel="0" collapsed="false">
      <c r="A70" s="6" t="s">
        <v>447</v>
      </c>
      <c r="C70" s="69" t="n">
        <f aca="false">IF(C$6=1,Inputs!$B$50,0)</f>
        <v>2300000</v>
      </c>
      <c r="D70" s="69" t="n">
        <f aca="false">IF(D$6=1,Inputs!$B$50,0)</f>
        <v>0</v>
      </c>
      <c r="E70" s="69" t="n">
        <f aca="false">IF(E$6=1,Inputs!$B$50,0)</f>
        <v>0</v>
      </c>
      <c r="F70" s="69" t="n">
        <f aca="false">IF(F$6=1,Inputs!$B$50,0)</f>
        <v>0</v>
      </c>
      <c r="G70" s="69" t="n">
        <f aca="false">IF(G$6=1,Inputs!$B$50,0)</f>
        <v>0</v>
      </c>
      <c r="H70" s="69" t="n">
        <f aca="false">IF(H$6=1,Inputs!$B$50,0)</f>
        <v>0</v>
      </c>
      <c r="I70" s="69" t="n">
        <f aca="false">IF(I$6=1,Inputs!$B$50,0)</f>
        <v>0</v>
      </c>
      <c r="J70" s="69" t="n">
        <f aca="false">IF(J$6=1,Inputs!$B$50,0)</f>
        <v>0</v>
      </c>
      <c r="K70" s="69" t="n">
        <f aca="false">IF(K$6=1,Inputs!$B$50,0)</f>
        <v>0</v>
      </c>
      <c r="L70" s="69" t="n">
        <f aca="false">IF(L$6=1,Inputs!$B$50,0)</f>
        <v>0</v>
      </c>
      <c r="M70" s="69" t="n">
        <f aca="false">IF(M$6=1,Inputs!$B$50,0)</f>
        <v>0</v>
      </c>
      <c r="N70" s="69" t="n">
        <f aca="false">IF(N$6=1,Inputs!$B$50,0)</f>
        <v>0</v>
      </c>
      <c r="O70" s="69" t="n">
        <f aca="false">IF(O$6=1,Inputs!$B$50,0)</f>
        <v>0</v>
      </c>
      <c r="P70" s="69" t="n">
        <f aca="false">IF(P$6=1,Inputs!$B$50,0)</f>
        <v>0</v>
      </c>
      <c r="Q70" s="69" t="n">
        <f aca="false">IF(Q$6=1,Inputs!$B$50,0)</f>
        <v>0</v>
      </c>
      <c r="R70" s="69" t="n">
        <f aca="false">IF(R$6=1,Inputs!$B$50,0)</f>
        <v>0</v>
      </c>
      <c r="S70" s="69" t="n">
        <f aca="false">IF(S$6=1,Inputs!$B$50,0)</f>
        <v>0</v>
      </c>
      <c r="T70" s="69" t="n">
        <f aca="false">IF(T$6=1,Inputs!$B$50,0)</f>
        <v>0</v>
      </c>
      <c r="U70" s="69" t="n">
        <f aca="false">IF(U$6=1,Inputs!$B$50,0)</f>
        <v>0</v>
      </c>
      <c r="V70" s="69" t="n">
        <f aca="false">IF(V$6=1,Inputs!$B$50,0)</f>
        <v>0</v>
      </c>
      <c r="W70" s="69" t="n">
        <f aca="false">IF(W$6=1,Inputs!$B$50,0)</f>
        <v>0</v>
      </c>
      <c r="X70" s="69" t="n">
        <f aca="false">IF(X$6=1,Inputs!$B$50,0)</f>
        <v>0</v>
      </c>
      <c r="Y70" s="69" t="n">
        <f aca="false">IF(Y$6=1,Inputs!$B$50,0)</f>
        <v>0</v>
      </c>
      <c r="Z70" s="69" t="n">
        <f aca="false">IF(Z$6=1,Inputs!$B$50,0)</f>
        <v>0</v>
      </c>
      <c r="AA70" s="69" t="n">
        <f aca="false">IF(AA$6=1,Inputs!$B$50,0)</f>
        <v>0</v>
      </c>
      <c r="AB70" s="69" t="n">
        <f aca="false">IF(AB$6=1,Inputs!$B$50,0)</f>
        <v>0</v>
      </c>
      <c r="AC70" s="69" t="n">
        <f aca="false">IF(AC$6=1,Inputs!$B$50,0)</f>
        <v>0</v>
      </c>
      <c r="AD70" s="69" t="n">
        <f aca="false">IF(AD$6=1,Inputs!$B$50,0)</f>
        <v>0</v>
      </c>
      <c r="AE70" s="69" t="n">
        <f aca="false">IF(AE$6=1,Inputs!$B$50,0)</f>
        <v>0</v>
      </c>
      <c r="AF70" s="69" t="n">
        <f aca="false">IF(AF$6=1,Inputs!$B$50,0)</f>
        <v>0</v>
      </c>
      <c r="AG70" s="69" t="n">
        <f aca="false">IF(AG$6=1,Inputs!$B$50,0)</f>
        <v>0</v>
      </c>
      <c r="AH70" s="69" t="n">
        <f aca="false">IF(AH$6=1,Inputs!$B$50,0)</f>
        <v>0</v>
      </c>
      <c r="AI70" s="69" t="n">
        <f aca="false">IF(AI$6=1,Inputs!$B$50,0)</f>
        <v>0</v>
      </c>
      <c r="AJ70" s="69" t="n">
        <f aca="false">IF(AJ$6=1,Inputs!$B$50,0)</f>
        <v>0</v>
      </c>
      <c r="AK70" s="69" t="n">
        <f aca="false">IF(AK$6=1,Inputs!$B$50,0)</f>
        <v>0</v>
      </c>
      <c r="AL70" s="69" t="n">
        <f aca="false">IF(AL$6=1,Inputs!$B$50,0)</f>
        <v>0</v>
      </c>
      <c r="AM70" s="69" t="n">
        <f aca="false">IF(AM$6=1,Inputs!$B$50,0)</f>
        <v>0</v>
      </c>
      <c r="AN70" s="69" t="n">
        <f aca="false">IF(AN$6=1,Inputs!$B$50,0)</f>
        <v>0</v>
      </c>
      <c r="AO70" s="69" t="n">
        <f aca="false">IF(AO$6=1,Inputs!$B$50,0)</f>
        <v>0</v>
      </c>
      <c r="AP70" s="69" t="n">
        <f aca="false">IF(AP$6=1,Inputs!$B$50,0)</f>
        <v>0</v>
      </c>
      <c r="AQ70" s="69" t="n">
        <f aca="false">IF(AQ$6=1,Inputs!$B$50,0)</f>
        <v>0</v>
      </c>
      <c r="AR70" s="69" t="n">
        <f aca="false">IF(AR$6=1,Inputs!$B$50,0)</f>
        <v>0</v>
      </c>
      <c r="AS70" s="69" t="n">
        <f aca="false">IF(AS$6=1,Inputs!$B$50,0)</f>
        <v>0</v>
      </c>
      <c r="AT70" s="69" t="n">
        <f aca="false">IF(AT$6=1,Inputs!$B$50,0)</f>
        <v>0</v>
      </c>
      <c r="AU70" s="69" t="n">
        <f aca="false">IF(AU$6=1,Inputs!$B$50,0)</f>
        <v>0</v>
      </c>
      <c r="AV70" s="69" t="n">
        <f aca="false">IF(AV$6=1,Inputs!$B$50,0)</f>
        <v>0</v>
      </c>
      <c r="AW70" s="69" t="n">
        <f aca="false">IF(AW$6=1,Inputs!$B$50,0)</f>
        <v>0</v>
      </c>
      <c r="AX70" s="69" t="n">
        <f aca="false">IF(AX$6=1,Inputs!$B$50,0)</f>
        <v>0</v>
      </c>
      <c r="AY70" s="69" t="n">
        <f aca="false">IF(AY$6=1,Inputs!$B$50,0)</f>
        <v>0</v>
      </c>
      <c r="AZ70" s="69" t="n">
        <f aca="false">IF(AZ$6=1,Inputs!$B$50,0)</f>
        <v>0</v>
      </c>
      <c r="BA70" s="69" t="n">
        <f aca="false">IF(BA$6=1,Inputs!$B$50,0)</f>
        <v>0</v>
      </c>
      <c r="BB70" s="69" t="n">
        <f aca="false">IF(BB$6=1,Inputs!$B$50,0)</f>
        <v>0</v>
      </c>
      <c r="BC70" s="69" t="n">
        <f aca="false">IF(BC$6=1,Inputs!$B$50,0)</f>
        <v>0</v>
      </c>
      <c r="BD70" s="69" t="n">
        <f aca="false">IF(BD$6=1,Inputs!$B$50,0)</f>
        <v>0</v>
      </c>
      <c r="BE70" s="69" t="n">
        <f aca="false">IF(BE$6=1,Inputs!$B$50,0)</f>
        <v>0</v>
      </c>
      <c r="BF70" s="69" t="n">
        <f aca="false">IF(BF$6=1,Inputs!$B$50,0)</f>
        <v>0</v>
      </c>
      <c r="BG70" s="69" t="n">
        <f aca="false">IF(BG$6=1,Inputs!$B$50,0)</f>
        <v>0</v>
      </c>
      <c r="BH70" s="69" t="n">
        <f aca="false">IF(BH$6=1,Inputs!$B$50,0)</f>
        <v>0</v>
      </c>
      <c r="BI70" s="69" t="n">
        <f aca="false">IF(BI$6=1,Inputs!$B$50,0)</f>
        <v>0</v>
      </c>
      <c r="BJ70" s="69" t="n">
        <f aca="false">IF(BJ$6=1,Inputs!$B$50,0)</f>
        <v>0</v>
      </c>
    </row>
    <row r="71" customFormat="false" ht="15" hidden="false" customHeight="false" outlineLevel="0" collapsed="false">
      <c r="A71" s="6" t="s">
        <v>448</v>
      </c>
      <c r="C71" s="69" t="n">
        <f aca="false">IF(C$6=1,Inputs!$B$51,0)</f>
        <v>150000</v>
      </c>
      <c r="D71" s="69" t="n">
        <f aca="false">IF(D$6=1,Inputs!$B$51,0)</f>
        <v>0</v>
      </c>
      <c r="E71" s="69" t="n">
        <f aca="false">IF(E$6=1,Inputs!$B$51,0)</f>
        <v>0</v>
      </c>
      <c r="F71" s="69" t="n">
        <f aca="false">IF(F$6=1,Inputs!$B$51,0)</f>
        <v>0</v>
      </c>
      <c r="G71" s="69" t="n">
        <f aca="false">IF(G$6=1,Inputs!$B$51,0)</f>
        <v>0</v>
      </c>
      <c r="H71" s="69" t="n">
        <f aca="false">IF(H$6=1,Inputs!$B$51,0)</f>
        <v>0</v>
      </c>
      <c r="I71" s="69" t="n">
        <f aca="false">IF(I$6=1,Inputs!$B$51,0)</f>
        <v>0</v>
      </c>
      <c r="J71" s="69" t="n">
        <f aca="false">IF(J$6=1,Inputs!$B$51,0)</f>
        <v>0</v>
      </c>
      <c r="K71" s="69" t="n">
        <f aca="false">IF(K$6=1,Inputs!$B$51,0)</f>
        <v>0</v>
      </c>
      <c r="L71" s="69" t="n">
        <f aca="false">IF(L$6=1,Inputs!$B$51,0)</f>
        <v>0</v>
      </c>
      <c r="M71" s="69" t="n">
        <f aca="false">IF(M$6=1,Inputs!$B$51,0)</f>
        <v>0</v>
      </c>
      <c r="N71" s="69" t="n">
        <f aca="false">IF(N$6=1,Inputs!$B$51,0)</f>
        <v>0</v>
      </c>
      <c r="O71" s="69" t="n">
        <f aca="false">IF(O$6=1,Inputs!$B$51,0)</f>
        <v>0</v>
      </c>
      <c r="P71" s="69" t="n">
        <f aca="false">IF(P$6=1,Inputs!$B$51,0)</f>
        <v>0</v>
      </c>
      <c r="Q71" s="69" t="n">
        <f aca="false">IF(Q$6=1,Inputs!$B$51,0)</f>
        <v>0</v>
      </c>
      <c r="R71" s="69" t="n">
        <f aca="false">IF(R$6=1,Inputs!$B$51,0)</f>
        <v>0</v>
      </c>
      <c r="S71" s="69" t="n">
        <f aca="false">IF(S$6=1,Inputs!$B$51,0)</f>
        <v>0</v>
      </c>
      <c r="T71" s="69" t="n">
        <f aca="false">IF(T$6=1,Inputs!$B$51,0)</f>
        <v>0</v>
      </c>
      <c r="U71" s="69" t="n">
        <f aca="false">IF(U$6=1,Inputs!$B$51,0)</f>
        <v>0</v>
      </c>
      <c r="V71" s="69" t="n">
        <f aca="false">IF(V$6=1,Inputs!$B$51,0)</f>
        <v>0</v>
      </c>
      <c r="W71" s="69" t="n">
        <f aca="false">IF(W$6=1,Inputs!$B$51,0)</f>
        <v>0</v>
      </c>
      <c r="X71" s="69" t="n">
        <f aca="false">IF(X$6=1,Inputs!$B$51,0)</f>
        <v>0</v>
      </c>
      <c r="Y71" s="69" t="n">
        <f aca="false">IF(Y$6=1,Inputs!$B$51,0)</f>
        <v>0</v>
      </c>
      <c r="Z71" s="69" t="n">
        <f aca="false">IF(Z$6=1,Inputs!$B$51,0)</f>
        <v>0</v>
      </c>
      <c r="AA71" s="69" t="n">
        <f aca="false">IF(AA$6=1,Inputs!$B$51,0)</f>
        <v>0</v>
      </c>
      <c r="AB71" s="69" t="n">
        <f aca="false">IF(AB$6=1,Inputs!$B$51,0)</f>
        <v>0</v>
      </c>
      <c r="AC71" s="69" t="n">
        <f aca="false">IF(AC$6=1,Inputs!$B$51,0)</f>
        <v>0</v>
      </c>
      <c r="AD71" s="69" t="n">
        <f aca="false">IF(AD$6=1,Inputs!$B$51,0)</f>
        <v>0</v>
      </c>
      <c r="AE71" s="69" t="n">
        <f aca="false">IF(AE$6=1,Inputs!$B$51,0)</f>
        <v>0</v>
      </c>
      <c r="AF71" s="69" t="n">
        <f aca="false">IF(AF$6=1,Inputs!$B$51,0)</f>
        <v>0</v>
      </c>
      <c r="AG71" s="69" t="n">
        <f aca="false">IF(AG$6=1,Inputs!$B$51,0)</f>
        <v>0</v>
      </c>
      <c r="AH71" s="69" t="n">
        <f aca="false">IF(AH$6=1,Inputs!$B$51,0)</f>
        <v>0</v>
      </c>
      <c r="AI71" s="69" t="n">
        <f aca="false">IF(AI$6=1,Inputs!$B$51,0)</f>
        <v>0</v>
      </c>
      <c r="AJ71" s="69" t="n">
        <f aca="false">IF(AJ$6=1,Inputs!$B$51,0)</f>
        <v>0</v>
      </c>
      <c r="AK71" s="69" t="n">
        <f aca="false">IF(AK$6=1,Inputs!$B$51,0)</f>
        <v>0</v>
      </c>
      <c r="AL71" s="69" t="n">
        <f aca="false">IF(AL$6=1,Inputs!$B$51,0)</f>
        <v>0</v>
      </c>
      <c r="AM71" s="69" t="n">
        <f aca="false">IF(AM$6=1,Inputs!$B$51,0)</f>
        <v>0</v>
      </c>
      <c r="AN71" s="69" t="n">
        <f aca="false">IF(AN$6=1,Inputs!$B$51,0)</f>
        <v>0</v>
      </c>
      <c r="AO71" s="69" t="n">
        <f aca="false">IF(AO$6=1,Inputs!$B$51,0)</f>
        <v>0</v>
      </c>
      <c r="AP71" s="69" t="n">
        <f aca="false">IF(AP$6=1,Inputs!$B$51,0)</f>
        <v>0</v>
      </c>
      <c r="AQ71" s="69" t="n">
        <f aca="false">IF(AQ$6=1,Inputs!$B$51,0)</f>
        <v>0</v>
      </c>
      <c r="AR71" s="69" t="n">
        <f aca="false">IF(AR$6=1,Inputs!$B$51,0)</f>
        <v>0</v>
      </c>
      <c r="AS71" s="69" t="n">
        <f aca="false">IF(AS$6=1,Inputs!$B$51,0)</f>
        <v>0</v>
      </c>
      <c r="AT71" s="69" t="n">
        <f aca="false">IF(AT$6=1,Inputs!$B$51,0)</f>
        <v>0</v>
      </c>
      <c r="AU71" s="69" t="n">
        <f aca="false">IF(AU$6=1,Inputs!$B$51,0)</f>
        <v>0</v>
      </c>
      <c r="AV71" s="69" t="n">
        <f aca="false">IF(AV$6=1,Inputs!$B$51,0)</f>
        <v>0</v>
      </c>
      <c r="AW71" s="69" t="n">
        <f aca="false">IF(AW$6=1,Inputs!$B$51,0)</f>
        <v>0</v>
      </c>
      <c r="AX71" s="69" t="n">
        <f aca="false">IF(AX$6=1,Inputs!$B$51,0)</f>
        <v>0</v>
      </c>
      <c r="AY71" s="69" t="n">
        <f aca="false">IF(AY$6=1,Inputs!$B$51,0)</f>
        <v>0</v>
      </c>
      <c r="AZ71" s="69" t="n">
        <f aca="false">IF(AZ$6=1,Inputs!$B$51,0)</f>
        <v>0</v>
      </c>
      <c r="BA71" s="69" t="n">
        <f aca="false">IF(BA$6=1,Inputs!$B$51,0)</f>
        <v>0</v>
      </c>
      <c r="BB71" s="69" t="n">
        <f aca="false">IF(BB$6=1,Inputs!$B$51,0)</f>
        <v>0</v>
      </c>
      <c r="BC71" s="69" t="n">
        <f aca="false">IF(BC$6=1,Inputs!$B$51,0)</f>
        <v>0</v>
      </c>
      <c r="BD71" s="69" t="n">
        <f aca="false">IF(BD$6=1,Inputs!$B$51,0)</f>
        <v>0</v>
      </c>
      <c r="BE71" s="69" t="n">
        <f aca="false">IF(BE$6=1,Inputs!$B$51,0)</f>
        <v>0</v>
      </c>
      <c r="BF71" s="69" t="n">
        <f aca="false">IF(BF$6=1,Inputs!$B$51,0)</f>
        <v>0</v>
      </c>
      <c r="BG71" s="69" t="n">
        <f aca="false">IF(BG$6=1,Inputs!$B$51,0)</f>
        <v>0</v>
      </c>
      <c r="BH71" s="69" t="n">
        <f aca="false">IF(BH$6=1,Inputs!$B$51,0)</f>
        <v>0</v>
      </c>
      <c r="BI71" s="69" t="n">
        <f aca="false">IF(BI$6=1,Inputs!$B$51,0)</f>
        <v>0</v>
      </c>
      <c r="BJ71" s="69" t="n">
        <f aca="false">IF(BJ$6=1,Inputs!$B$51,0)</f>
        <v>0</v>
      </c>
    </row>
    <row r="72" customFormat="false" ht="15" hidden="false" customHeight="false" outlineLevel="0" collapsed="false">
      <c r="A72" s="6" t="s">
        <v>449</v>
      </c>
      <c r="C72" s="69" t="n">
        <f aca="false">IF(AND(C$7&gt;1,MOD(C$6-1,12)=0),Inputs!$B$52,0)</f>
        <v>0</v>
      </c>
      <c r="D72" s="69" t="n">
        <f aca="false">IF(AND(D$7&gt;1,MOD(D$6-1,12)=0),Inputs!$B$52,0)</f>
        <v>0</v>
      </c>
      <c r="E72" s="69" t="n">
        <f aca="false">IF(AND(E$7&gt;1,MOD(E$6-1,12)=0),Inputs!$B$52,0)</f>
        <v>0</v>
      </c>
      <c r="F72" s="69" t="n">
        <f aca="false">IF(AND(F$7&gt;1,MOD(F$6-1,12)=0),Inputs!$B$52,0)</f>
        <v>0</v>
      </c>
      <c r="G72" s="69" t="n">
        <f aca="false">IF(AND(G$7&gt;1,MOD(G$6-1,12)=0),Inputs!$B$52,0)</f>
        <v>0</v>
      </c>
      <c r="H72" s="69" t="n">
        <f aca="false">IF(AND(H$7&gt;1,MOD(H$6-1,12)=0),Inputs!$B$52,0)</f>
        <v>0</v>
      </c>
      <c r="I72" s="69" t="n">
        <f aca="false">IF(AND(I$7&gt;1,MOD(I$6-1,12)=0),Inputs!$B$52,0)</f>
        <v>0</v>
      </c>
      <c r="J72" s="69" t="n">
        <f aca="false">IF(AND(J$7&gt;1,MOD(J$6-1,12)=0),Inputs!$B$52,0)</f>
        <v>0</v>
      </c>
      <c r="K72" s="69" t="n">
        <f aca="false">IF(AND(K$7&gt;1,MOD(K$6-1,12)=0),Inputs!$B$52,0)</f>
        <v>0</v>
      </c>
      <c r="L72" s="69" t="n">
        <f aca="false">IF(AND(L$7&gt;1,MOD(L$6-1,12)=0),Inputs!$B$52,0)</f>
        <v>0</v>
      </c>
      <c r="M72" s="69" t="n">
        <f aca="false">IF(AND(M$7&gt;1,MOD(M$6-1,12)=0),Inputs!$B$52,0)</f>
        <v>0</v>
      </c>
      <c r="N72" s="69" t="n">
        <f aca="false">IF(AND(N$7&gt;1,MOD(N$6-1,12)=0),Inputs!$B$52,0)</f>
        <v>0</v>
      </c>
      <c r="O72" s="69" t="n">
        <f aca="false">IF(AND(O$7&gt;1,MOD(O$6-1,12)=0),Inputs!$B$52,0)</f>
        <v>40000</v>
      </c>
      <c r="P72" s="69" t="n">
        <f aca="false">IF(AND(P$7&gt;1,MOD(P$6-1,12)=0),Inputs!$B$52,0)</f>
        <v>0</v>
      </c>
      <c r="Q72" s="69" t="n">
        <f aca="false">IF(AND(Q$7&gt;1,MOD(Q$6-1,12)=0),Inputs!$B$52,0)</f>
        <v>0</v>
      </c>
      <c r="R72" s="69" t="n">
        <f aca="false">IF(AND(R$7&gt;1,MOD(R$6-1,12)=0),Inputs!$B$52,0)</f>
        <v>0</v>
      </c>
      <c r="S72" s="69" t="n">
        <f aca="false">IF(AND(S$7&gt;1,MOD(S$6-1,12)=0),Inputs!$B$52,0)</f>
        <v>0</v>
      </c>
      <c r="T72" s="69" t="n">
        <f aca="false">IF(AND(T$7&gt;1,MOD(T$6-1,12)=0),Inputs!$B$52,0)</f>
        <v>0</v>
      </c>
      <c r="U72" s="69" t="n">
        <f aca="false">IF(AND(U$7&gt;1,MOD(U$6-1,12)=0),Inputs!$B$52,0)</f>
        <v>0</v>
      </c>
      <c r="V72" s="69" t="n">
        <f aca="false">IF(AND(V$7&gt;1,MOD(V$6-1,12)=0),Inputs!$B$52,0)</f>
        <v>0</v>
      </c>
      <c r="W72" s="69" t="n">
        <f aca="false">IF(AND(W$7&gt;1,MOD(W$6-1,12)=0),Inputs!$B$52,0)</f>
        <v>0</v>
      </c>
      <c r="X72" s="69" t="n">
        <f aca="false">IF(AND(X$7&gt;1,MOD(X$6-1,12)=0),Inputs!$B$52,0)</f>
        <v>0</v>
      </c>
      <c r="Y72" s="69" t="n">
        <f aca="false">IF(AND(Y$7&gt;1,MOD(Y$6-1,12)=0),Inputs!$B$52,0)</f>
        <v>0</v>
      </c>
      <c r="Z72" s="69" t="n">
        <f aca="false">IF(AND(Z$7&gt;1,MOD(Z$6-1,12)=0),Inputs!$B$52,0)</f>
        <v>0</v>
      </c>
      <c r="AA72" s="69" t="n">
        <f aca="false">IF(AND(AA$7&gt;1,MOD(AA$6-1,12)=0),Inputs!$B$52,0)</f>
        <v>40000</v>
      </c>
      <c r="AB72" s="69" t="n">
        <f aca="false">IF(AND(AB$7&gt;1,MOD(AB$6-1,12)=0),Inputs!$B$52,0)</f>
        <v>0</v>
      </c>
      <c r="AC72" s="69" t="n">
        <f aca="false">IF(AND(AC$7&gt;1,MOD(AC$6-1,12)=0),Inputs!$B$52,0)</f>
        <v>0</v>
      </c>
      <c r="AD72" s="69" t="n">
        <f aca="false">IF(AND(AD$7&gt;1,MOD(AD$6-1,12)=0),Inputs!$B$52,0)</f>
        <v>0</v>
      </c>
      <c r="AE72" s="69" t="n">
        <f aca="false">IF(AND(AE$7&gt;1,MOD(AE$6-1,12)=0),Inputs!$B$52,0)</f>
        <v>0</v>
      </c>
      <c r="AF72" s="69" t="n">
        <f aca="false">IF(AND(AF$7&gt;1,MOD(AF$6-1,12)=0),Inputs!$B$52,0)</f>
        <v>0</v>
      </c>
      <c r="AG72" s="69" t="n">
        <f aca="false">IF(AND(AG$7&gt;1,MOD(AG$6-1,12)=0),Inputs!$B$52,0)</f>
        <v>0</v>
      </c>
      <c r="AH72" s="69" t="n">
        <f aca="false">IF(AND(AH$7&gt;1,MOD(AH$6-1,12)=0),Inputs!$B$52,0)</f>
        <v>0</v>
      </c>
      <c r="AI72" s="69" t="n">
        <f aca="false">IF(AND(AI$7&gt;1,MOD(AI$6-1,12)=0),Inputs!$B$52,0)</f>
        <v>0</v>
      </c>
      <c r="AJ72" s="69" t="n">
        <f aca="false">IF(AND(AJ$7&gt;1,MOD(AJ$6-1,12)=0),Inputs!$B$52,0)</f>
        <v>0</v>
      </c>
      <c r="AK72" s="69" t="n">
        <f aca="false">IF(AND(AK$7&gt;1,MOD(AK$6-1,12)=0),Inputs!$B$52,0)</f>
        <v>0</v>
      </c>
      <c r="AL72" s="69" t="n">
        <f aca="false">IF(AND(AL$7&gt;1,MOD(AL$6-1,12)=0),Inputs!$B$52,0)</f>
        <v>0</v>
      </c>
      <c r="AM72" s="69" t="n">
        <f aca="false">IF(AND(AM$7&gt;1,MOD(AM$6-1,12)=0),Inputs!$B$52,0)</f>
        <v>40000</v>
      </c>
      <c r="AN72" s="69" t="n">
        <f aca="false">IF(AND(AN$7&gt;1,MOD(AN$6-1,12)=0),Inputs!$B$52,0)</f>
        <v>0</v>
      </c>
      <c r="AO72" s="69" t="n">
        <f aca="false">IF(AND(AO$7&gt;1,MOD(AO$6-1,12)=0),Inputs!$B$52,0)</f>
        <v>0</v>
      </c>
      <c r="AP72" s="69" t="n">
        <f aca="false">IF(AND(AP$7&gt;1,MOD(AP$6-1,12)=0),Inputs!$B$52,0)</f>
        <v>0</v>
      </c>
      <c r="AQ72" s="69" t="n">
        <f aca="false">IF(AND(AQ$7&gt;1,MOD(AQ$6-1,12)=0),Inputs!$B$52,0)</f>
        <v>0</v>
      </c>
      <c r="AR72" s="69" t="n">
        <f aca="false">IF(AND(AR$7&gt;1,MOD(AR$6-1,12)=0),Inputs!$B$52,0)</f>
        <v>0</v>
      </c>
      <c r="AS72" s="69" t="n">
        <f aca="false">IF(AND(AS$7&gt;1,MOD(AS$6-1,12)=0),Inputs!$B$52,0)</f>
        <v>0</v>
      </c>
      <c r="AT72" s="69" t="n">
        <f aca="false">IF(AND(AT$7&gt;1,MOD(AT$6-1,12)=0),Inputs!$B$52,0)</f>
        <v>0</v>
      </c>
      <c r="AU72" s="69" t="n">
        <f aca="false">IF(AND(AU$7&gt;1,MOD(AU$6-1,12)=0),Inputs!$B$52,0)</f>
        <v>0</v>
      </c>
      <c r="AV72" s="69" t="n">
        <f aca="false">IF(AND(AV$7&gt;1,MOD(AV$6-1,12)=0),Inputs!$B$52,0)</f>
        <v>0</v>
      </c>
      <c r="AW72" s="69" t="n">
        <f aca="false">IF(AND(AW$7&gt;1,MOD(AW$6-1,12)=0),Inputs!$B$52,0)</f>
        <v>0</v>
      </c>
      <c r="AX72" s="69" t="n">
        <f aca="false">IF(AND(AX$7&gt;1,MOD(AX$6-1,12)=0),Inputs!$B$52,0)</f>
        <v>0</v>
      </c>
      <c r="AY72" s="69" t="n">
        <f aca="false">IF(AND(AY$7&gt;1,MOD(AY$6-1,12)=0),Inputs!$B$52,0)</f>
        <v>40000</v>
      </c>
      <c r="AZ72" s="69" t="n">
        <f aca="false">IF(AND(AZ$7&gt;1,MOD(AZ$6-1,12)=0),Inputs!$B$52,0)</f>
        <v>0</v>
      </c>
      <c r="BA72" s="69" t="n">
        <f aca="false">IF(AND(BA$7&gt;1,MOD(BA$6-1,12)=0),Inputs!$B$52,0)</f>
        <v>0</v>
      </c>
      <c r="BB72" s="69" t="n">
        <f aca="false">IF(AND(BB$7&gt;1,MOD(BB$6-1,12)=0),Inputs!$B$52,0)</f>
        <v>0</v>
      </c>
      <c r="BC72" s="69" t="n">
        <f aca="false">IF(AND(BC$7&gt;1,MOD(BC$6-1,12)=0),Inputs!$B$52,0)</f>
        <v>0</v>
      </c>
      <c r="BD72" s="69" t="n">
        <f aca="false">IF(AND(BD$7&gt;1,MOD(BD$6-1,12)=0),Inputs!$B$52,0)</f>
        <v>0</v>
      </c>
      <c r="BE72" s="69" t="n">
        <f aca="false">IF(AND(BE$7&gt;1,MOD(BE$6-1,12)=0),Inputs!$B$52,0)</f>
        <v>0</v>
      </c>
      <c r="BF72" s="69" t="n">
        <f aca="false">IF(AND(BF$7&gt;1,MOD(BF$6-1,12)=0),Inputs!$B$52,0)</f>
        <v>0</v>
      </c>
      <c r="BG72" s="69" t="n">
        <f aca="false">IF(AND(BG$7&gt;1,MOD(BG$6-1,12)=0),Inputs!$B$52,0)</f>
        <v>0</v>
      </c>
      <c r="BH72" s="69" t="n">
        <f aca="false">IF(AND(BH$7&gt;1,MOD(BH$6-1,12)=0),Inputs!$B$52,0)</f>
        <v>0</v>
      </c>
      <c r="BI72" s="69" t="n">
        <f aca="false">IF(AND(BI$7&gt;1,MOD(BI$6-1,12)=0),Inputs!$B$52,0)</f>
        <v>0</v>
      </c>
      <c r="BJ72" s="69" t="n">
        <f aca="false">IF(AND(BJ$7&gt;1,MOD(BJ$6-1,12)=0),Inputs!$B$52,0)</f>
        <v>0</v>
      </c>
    </row>
    <row r="73" customFormat="false" ht="15" hidden="false" customHeight="false" outlineLevel="0" collapsed="false">
      <c r="A73" s="4" t="s">
        <v>84</v>
      </c>
      <c r="C73" s="75" t="n">
        <f aca="false">C69+C70+C71+C72</f>
        <v>4100000</v>
      </c>
      <c r="D73" s="75" t="n">
        <f aca="false">D69+D70+D71+D72</f>
        <v>0</v>
      </c>
      <c r="E73" s="75" t="n">
        <f aca="false">E69+E70+E71+E72</f>
        <v>0</v>
      </c>
      <c r="F73" s="75" t="n">
        <f aca="false">F69+F70+F71+F72</f>
        <v>0</v>
      </c>
      <c r="G73" s="75" t="n">
        <f aca="false">G69+G70+G71+G72</f>
        <v>0</v>
      </c>
      <c r="H73" s="75" t="n">
        <f aca="false">H69+H70+H71+H72</f>
        <v>0</v>
      </c>
      <c r="I73" s="75" t="n">
        <f aca="false">I69+I70+I71+I72</f>
        <v>0</v>
      </c>
      <c r="J73" s="75" t="n">
        <f aca="false">J69+J70+J71+J72</f>
        <v>0</v>
      </c>
      <c r="K73" s="75" t="n">
        <f aca="false">K69+K70+K71+K72</f>
        <v>0</v>
      </c>
      <c r="L73" s="75" t="n">
        <f aca="false">L69+L70+L71+L72</f>
        <v>0</v>
      </c>
      <c r="M73" s="75" t="n">
        <f aca="false">M69+M70+M71+M72</f>
        <v>0</v>
      </c>
      <c r="N73" s="75" t="n">
        <f aca="false">N69+N70+N71+N72</f>
        <v>0</v>
      </c>
      <c r="O73" s="75" t="n">
        <f aca="false">O69+O70+O71+O72</f>
        <v>40000</v>
      </c>
      <c r="P73" s="75" t="n">
        <f aca="false">P69+P70+P71+P72</f>
        <v>0</v>
      </c>
      <c r="Q73" s="75" t="n">
        <f aca="false">Q69+Q70+Q71+Q72</f>
        <v>0</v>
      </c>
      <c r="R73" s="75" t="n">
        <f aca="false">R69+R70+R71+R72</f>
        <v>0</v>
      </c>
      <c r="S73" s="75" t="n">
        <f aca="false">S69+S70+S71+S72</f>
        <v>0</v>
      </c>
      <c r="T73" s="75" t="n">
        <f aca="false">T69+T70+T71+T72</f>
        <v>0</v>
      </c>
      <c r="U73" s="75" t="n">
        <f aca="false">U69+U70+U71+U72</f>
        <v>0</v>
      </c>
      <c r="V73" s="75" t="n">
        <f aca="false">V69+V70+V71+V72</f>
        <v>0</v>
      </c>
      <c r="W73" s="75" t="n">
        <f aca="false">W69+W70+W71+W72</f>
        <v>0</v>
      </c>
      <c r="X73" s="75" t="n">
        <f aca="false">X69+X70+X71+X72</f>
        <v>0</v>
      </c>
      <c r="Y73" s="75" t="n">
        <f aca="false">Y69+Y70+Y71+Y72</f>
        <v>0</v>
      </c>
      <c r="Z73" s="75" t="n">
        <f aca="false">Z69+Z70+Z71+Z72</f>
        <v>0</v>
      </c>
      <c r="AA73" s="75" t="n">
        <f aca="false">AA69+AA70+AA71+AA72</f>
        <v>40000</v>
      </c>
      <c r="AB73" s="75" t="n">
        <f aca="false">AB69+AB70+AB71+AB72</f>
        <v>0</v>
      </c>
      <c r="AC73" s="75" t="n">
        <f aca="false">AC69+AC70+AC71+AC72</f>
        <v>0</v>
      </c>
      <c r="AD73" s="75" t="n">
        <f aca="false">AD69+AD70+AD71+AD72</f>
        <v>0</v>
      </c>
      <c r="AE73" s="75" t="n">
        <f aca="false">AE69+AE70+AE71+AE72</f>
        <v>0</v>
      </c>
      <c r="AF73" s="75" t="n">
        <f aca="false">AF69+AF70+AF71+AF72</f>
        <v>0</v>
      </c>
      <c r="AG73" s="75" t="n">
        <f aca="false">AG69+AG70+AG71+AG72</f>
        <v>0</v>
      </c>
      <c r="AH73" s="75" t="n">
        <f aca="false">AH69+AH70+AH71+AH72</f>
        <v>0</v>
      </c>
      <c r="AI73" s="75" t="n">
        <f aca="false">AI69+AI70+AI71+AI72</f>
        <v>0</v>
      </c>
      <c r="AJ73" s="75" t="n">
        <f aca="false">AJ69+AJ70+AJ71+AJ72</f>
        <v>0</v>
      </c>
      <c r="AK73" s="75" t="n">
        <f aca="false">AK69+AK70+AK71+AK72</f>
        <v>0</v>
      </c>
      <c r="AL73" s="75" t="n">
        <f aca="false">AL69+AL70+AL71+AL72</f>
        <v>0</v>
      </c>
      <c r="AM73" s="75" t="n">
        <f aca="false">AM69+AM70+AM71+AM72</f>
        <v>40000</v>
      </c>
      <c r="AN73" s="75" t="n">
        <f aca="false">AN69+AN70+AN71+AN72</f>
        <v>0</v>
      </c>
      <c r="AO73" s="75" t="n">
        <f aca="false">AO69+AO70+AO71+AO72</f>
        <v>0</v>
      </c>
      <c r="AP73" s="75" t="n">
        <f aca="false">AP69+AP70+AP71+AP72</f>
        <v>0</v>
      </c>
      <c r="AQ73" s="75" t="n">
        <f aca="false">AQ69+AQ70+AQ71+AQ72</f>
        <v>0</v>
      </c>
      <c r="AR73" s="75" t="n">
        <f aca="false">AR69+AR70+AR71+AR72</f>
        <v>0</v>
      </c>
      <c r="AS73" s="75" t="n">
        <f aca="false">AS69+AS70+AS71+AS72</f>
        <v>0</v>
      </c>
      <c r="AT73" s="75" t="n">
        <f aca="false">AT69+AT70+AT71+AT72</f>
        <v>0</v>
      </c>
      <c r="AU73" s="75" t="n">
        <f aca="false">AU69+AU70+AU71+AU72</f>
        <v>0</v>
      </c>
      <c r="AV73" s="75" t="n">
        <f aca="false">AV69+AV70+AV71+AV72</f>
        <v>0</v>
      </c>
      <c r="AW73" s="75" t="n">
        <f aca="false">AW69+AW70+AW71+AW72</f>
        <v>0</v>
      </c>
      <c r="AX73" s="75" t="n">
        <f aca="false">AX69+AX70+AX71+AX72</f>
        <v>0</v>
      </c>
      <c r="AY73" s="75" t="n">
        <f aca="false">AY69+AY70+AY71+AY72</f>
        <v>40000</v>
      </c>
      <c r="AZ73" s="75" t="n">
        <f aca="false">AZ69+AZ70+AZ71+AZ72</f>
        <v>0</v>
      </c>
      <c r="BA73" s="75" t="n">
        <f aca="false">BA69+BA70+BA71+BA72</f>
        <v>0</v>
      </c>
      <c r="BB73" s="75" t="n">
        <f aca="false">BB69+BB70+BB71+BB72</f>
        <v>0</v>
      </c>
      <c r="BC73" s="75" t="n">
        <f aca="false">BC69+BC70+BC71+BC72</f>
        <v>0</v>
      </c>
      <c r="BD73" s="75" t="n">
        <f aca="false">BD69+BD70+BD71+BD72</f>
        <v>0</v>
      </c>
      <c r="BE73" s="75" t="n">
        <f aca="false">BE69+BE70+BE71+BE72</f>
        <v>0</v>
      </c>
      <c r="BF73" s="75" t="n">
        <f aca="false">BF69+BF70+BF71+BF72</f>
        <v>0</v>
      </c>
      <c r="BG73" s="75" t="n">
        <f aca="false">BG69+BG70+BG71+BG72</f>
        <v>0</v>
      </c>
      <c r="BH73" s="75" t="n">
        <f aca="false">BH69+BH70+BH71+BH72</f>
        <v>0</v>
      </c>
      <c r="BI73" s="75" t="n">
        <f aca="false">BI69+BI70+BI71+BI72</f>
        <v>0</v>
      </c>
      <c r="BJ73" s="75" t="n">
        <f aca="false">BJ69+BJ70+BJ71+BJ72</f>
        <v>0</v>
      </c>
    </row>
    <row r="74" customFormat="false" ht="15" hidden="false" customHeight="false" outlineLevel="0" collapsed="false">
      <c r="A74" s="6" t="s">
        <v>450</v>
      </c>
      <c r="C74" s="69" t="n">
        <f aca="false">C73</f>
        <v>4100000</v>
      </c>
      <c r="D74" s="69" t="n">
        <f aca="false">C74+D73</f>
        <v>4100000</v>
      </c>
      <c r="E74" s="69" t="n">
        <f aca="false">D74+E73</f>
        <v>4100000</v>
      </c>
      <c r="F74" s="69" t="n">
        <f aca="false">E74+F73</f>
        <v>4100000</v>
      </c>
      <c r="G74" s="69" t="n">
        <f aca="false">F74+G73</f>
        <v>4100000</v>
      </c>
      <c r="H74" s="69" t="n">
        <f aca="false">G74+H73</f>
        <v>4100000</v>
      </c>
      <c r="I74" s="69" t="n">
        <f aca="false">H74+I73</f>
        <v>4100000</v>
      </c>
      <c r="J74" s="69" t="n">
        <f aca="false">I74+J73</f>
        <v>4100000</v>
      </c>
      <c r="K74" s="69" t="n">
        <f aca="false">J74+K73</f>
        <v>4100000</v>
      </c>
      <c r="L74" s="69" t="n">
        <f aca="false">K74+L73</f>
        <v>4100000</v>
      </c>
      <c r="M74" s="69" t="n">
        <f aca="false">L74+M73</f>
        <v>4100000</v>
      </c>
      <c r="N74" s="69" t="n">
        <f aca="false">M74+N73</f>
        <v>4100000</v>
      </c>
      <c r="O74" s="69" t="n">
        <f aca="false">N74+O73</f>
        <v>4140000</v>
      </c>
      <c r="P74" s="69" t="n">
        <f aca="false">O74+P73</f>
        <v>4140000</v>
      </c>
      <c r="Q74" s="69" t="n">
        <f aca="false">P74+Q73</f>
        <v>4140000</v>
      </c>
      <c r="R74" s="69" t="n">
        <f aca="false">Q74+R73</f>
        <v>4140000</v>
      </c>
      <c r="S74" s="69" t="n">
        <f aca="false">R74+S73</f>
        <v>4140000</v>
      </c>
      <c r="T74" s="69" t="n">
        <f aca="false">S74+T73</f>
        <v>4140000</v>
      </c>
      <c r="U74" s="69" t="n">
        <f aca="false">T74+U73</f>
        <v>4140000</v>
      </c>
      <c r="V74" s="69" t="n">
        <f aca="false">U74+V73</f>
        <v>4140000</v>
      </c>
      <c r="W74" s="69" t="n">
        <f aca="false">V74+W73</f>
        <v>4140000</v>
      </c>
      <c r="X74" s="69" t="n">
        <f aca="false">W74+X73</f>
        <v>4140000</v>
      </c>
      <c r="Y74" s="69" t="n">
        <f aca="false">X74+Y73</f>
        <v>4140000</v>
      </c>
      <c r="Z74" s="69" t="n">
        <f aca="false">Y74+Z73</f>
        <v>4140000</v>
      </c>
      <c r="AA74" s="69" t="n">
        <f aca="false">Z74+AA73</f>
        <v>4180000</v>
      </c>
      <c r="AB74" s="69" t="n">
        <f aca="false">AA74+AB73</f>
        <v>4180000</v>
      </c>
      <c r="AC74" s="69" t="n">
        <f aca="false">AB74+AC73</f>
        <v>4180000</v>
      </c>
      <c r="AD74" s="69" t="n">
        <f aca="false">AC74+AD73</f>
        <v>4180000</v>
      </c>
      <c r="AE74" s="69" t="n">
        <f aca="false">AD74+AE73</f>
        <v>4180000</v>
      </c>
      <c r="AF74" s="69" t="n">
        <f aca="false">AE74+AF73</f>
        <v>4180000</v>
      </c>
      <c r="AG74" s="69" t="n">
        <f aca="false">AF74+AG73</f>
        <v>4180000</v>
      </c>
      <c r="AH74" s="69" t="n">
        <f aca="false">AG74+AH73</f>
        <v>4180000</v>
      </c>
      <c r="AI74" s="69" t="n">
        <f aca="false">AH74+AI73</f>
        <v>4180000</v>
      </c>
      <c r="AJ74" s="69" t="n">
        <f aca="false">AI74+AJ73</f>
        <v>4180000</v>
      </c>
      <c r="AK74" s="69" t="n">
        <f aca="false">AJ74+AK73</f>
        <v>4180000</v>
      </c>
      <c r="AL74" s="69" t="n">
        <f aca="false">AK74+AL73</f>
        <v>4180000</v>
      </c>
      <c r="AM74" s="69" t="n">
        <f aca="false">AL74+AM73</f>
        <v>4220000</v>
      </c>
      <c r="AN74" s="69" t="n">
        <f aca="false">AM74+AN73</f>
        <v>4220000</v>
      </c>
      <c r="AO74" s="69" t="n">
        <f aca="false">AN74+AO73</f>
        <v>4220000</v>
      </c>
      <c r="AP74" s="69" t="n">
        <f aca="false">AO74+AP73</f>
        <v>4220000</v>
      </c>
      <c r="AQ74" s="69" t="n">
        <f aca="false">AP74+AQ73</f>
        <v>4220000</v>
      </c>
      <c r="AR74" s="69" t="n">
        <f aca="false">AQ74+AR73</f>
        <v>4220000</v>
      </c>
      <c r="AS74" s="69" t="n">
        <f aca="false">AR74+AS73</f>
        <v>4220000</v>
      </c>
      <c r="AT74" s="69" t="n">
        <f aca="false">AS74+AT73</f>
        <v>4220000</v>
      </c>
      <c r="AU74" s="69" t="n">
        <f aca="false">AT74+AU73</f>
        <v>4220000</v>
      </c>
      <c r="AV74" s="69" t="n">
        <f aca="false">AU74+AV73</f>
        <v>4220000</v>
      </c>
      <c r="AW74" s="69" t="n">
        <f aca="false">AV74+AW73</f>
        <v>4220000</v>
      </c>
      <c r="AX74" s="69" t="n">
        <f aca="false">AW74+AX73</f>
        <v>4220000</v>
      </c>
      <c r="AY74" s="69" t="n">
        <f aca="false">AX74+AY73</f>
        <v>4260000</v>
      </c>
      <c r="AZ74" s="69" t="n">
        <f aca="false">AY74+AZ73</f>
        <v>4260000</v>
      </c>
      <c r="BA74" s="69" t="n">
        <f aca="false">AZ74+BA73</f>
        <v>4260000</v>
      </c>
      <c r="BB74" s="69" t="n">
        <f aca="false">BA74+BB73</f>
        <v>4260000</v>
      </c>
      <c r="BC74" s="69" t="n">
        <f aca="false">BB74+BC73</f>
        <v>4260000</v>
      </c>
      <c r="BD74" s="69" t="n">
        <f aca="false">BC74+BD73</f>
        <v>4260000</v>
      </c>
      <c r="BE74" s="69" t="n">
        <f aca="false">BD74+BE73</f>
        <v>4260000</v>
      </c>
      <c r="BF74" s="69" t="n">
        <f aca="false">BE74+BF73</f>
        <v>4260000</v>
      </c>
      <c r="BG74" s="69" t="n">
        <f aca="false">BF74+BG73</f>
        <v>4260000</v>
      </c>
      <c r="BH74" s="69" t="n">
        <f aca="false">BG74+BH73</f>
        <v>4260000</v>
      </c>
      <c r="BI74" s="69" t="n">
        <f aca="false">BH74+BI73</f>
        <v>4260000</v>
      </c>
      <c r="BJ74" s="69" t="n">
        <f aca="false">BI74+BJ73</f>
        <v>4260000</v>
      </c>
    </row>
    <row r="75" customFormat="false" ht="15" hidden="false" customHeight="false" outlineLevel="0" collapsed="false">
      <c r="A75" s="6" t="s">
        <v>78</v>
      </c>
      <c r="C75" s="69" t="n">
        <f aca="false">-MIN(C74/MAX(1,Inputs!$B$78*12),C73)</f>
        <v>-28472.2222222222</v>
      </c>
      <c r="D75" s="69" t="n">
        <f aca="false">-MIN(D74/MAX(1,Inputs!$B$78*12),C77+D73)</f>
        <v>-28472.2222222222</v>
      </c>
      <c r="E75" s="69" t="n">
        <f aca="false">-MIN(E74/MAX(1,Inputs!$B$78*12),D77+E73)</f>
        <v>-28472.2222222222</v>
      </c>
      <c r="F75" s="69" t="n">
        <f aca="false">-MIN(F74/MAX(1,Inputs!$B$78*12),E77+F73)</f>
        <v>-28472.2222222222</v>
      </c>
      <c r="G75" s="69" t="n">
        <f aca="false">-MIN(G74/MAX(1,Inputs!$B$78*12),F77+G73)</f>
        <v>-28472.2222222222</v>
      </c>
      <c r="H75" s="69" t="n">
        <f aca="false">-MIN(H74/MAX(1,Inputs!$B$78*12),G77+H73)</f>
        <v>-28472.2222222222</v>
      </c>
      <c r="I75" s="69" t="n">
        <f aca="false">-MIN(I74/MAX(1,Inputs!$B$78*12),H77+I73)</f>
        <v>-28472.2222222222</v>
      </c>
      <c r="J75" s="69" t="n">
        <f aca="false">-MIN(J74/MAX(1,Inputs!$B$78*12),I77+J73)</f>
        <v>-28472.2222222222</v>
      </c>
      <c r="K75" s="69" t="n">
        <f aca="false">-MIN(K74/MAX(1,Inputs!$B$78*12),J77+K73)</f>
        <v>-28472.2222222222</v>
      </c>
      <c r="L75" s="69" t="n">
        <f aca="false">-MIN(L74/MAX(1,Inputs!$B$78*12),K77+L73)</f>
        <v>-28472.2222222222</v>
      </c>
      <c r="M75" s="69" t="n">
        <f aca="false">-MIN(M74/MAX(1,Inputs!$B$78*12),L77+M73)</f>
        <v>-28472.2222222222</v>
      </c>
      <c r="N75" s="69" t="n">
        <f aca="false">-MIN(N74/MAX(1,Inputs!$B$78*12),M77+N73)</f>
        <v>-28472.2222222222</v>
      </c>
      <c r="O75" s="69" t="n">
        <f aca="false">-MIN(O74/MAX(1,Inputs!$B$78*12),N77+O73)</f>
        <v>-28750</v>
      </c>
      <c r="P75" s="69" t="n">
        <f aca="false">-MIN(P74/MAX(1,Inputs!$B$78*12),O77+P73)</f>
        <v>-28750</v>
      </c>
      <c r="Q75" s="69" t="n">
        <f aca="false">-MIN(Q74/MAX(1,Inputs!$B$78*12),P77+Q73)</f>
        <v>-28750</v>
      </c>
      <c r="R75" s="69" t="n">
        <f aca="false">-MIN(R74/MAX(1,Inputs!$B$78*12),Q77+R73)</f>
        <v>-28750</v>
      </c>
      <c r="S75" s="69" t="n">
        <f aca="false">-MIN(S74/MAX(1,Inputs!$B$78*12),R77+S73)</f>
        <v>-28750</v>
      </c>
      <c r="T75" s="69" t="n">
        <f aca="false">-MIN(T74/MAX(1,Inputs!$B$78*12),S77+T73)</f>
        <v>-28750</v>
      </c>
      <c r="U75" s="69" t="n">
        <f aca="false">-MIN(U74/MAX(1,Inputs!$B$78*12),T77+U73)</f>
        <v>-28750</v>
      </c>
      <c r="V75" s="69" t="n">
        <f aca="false">-MIN(V74/MAX(1,Inputs!$B$78*12),U77+V73)</f>
        <v>-28750</v>
      </c>
      <c r="W75" s="69" t="n">
        <f aca="false">-MIN(W74/MAX(1,Inputs!$B$78*12),V77+W73)</f>
        <v>-28750</v>
      </c>
      <c r="X75" s="69" t="n">
        <f aca="false">-MIN(X74/MAX(1,Inputs!$B$78*12),W77+X73)</f>
        <v>-28750</v>
      </c>
      <c r="Y75" s="69" t="n">
        <f aca="false">-MIN(Y74/MAX(1,Inputs!$B$78*12),X77+Y73)</f>
        <v>-28750</v>
      </c>
      <c r="Z75" s="69" t="n">
        <f aca="false">-MIN(Z74/MAX(1,Inputs!$B$78*12),Y77+Z73)</f>
        <v>-28750</v>
      </c>
      <c r="AA75" s="69" t="n">
        <f aca="false">-MIN(AA74/MAX(1,Inputs!$B$78*12),Z77+AA73)</f>
        <v>-29027.7777777778</v>
      </c>
      <c r="AB75" s="69" t="n">
        <f aca="false">-MIN(AB74/MAX(1,Inputs!$B$78*12),AA77+AB73)</f>
        <v>-29027.7777777778</v>
      </c>
      <c r="AC75" s="69" t="n">
        <f aca="false">-MIN(AC74/MAX(1,Inputs!$B$78*12),AB77+AC73)</f>
        <v>-29027.7777777778</v>
      </c>
      <c r="AD75" s="69" t="n">
        <f aca="false">-MIN(AD74/MAX(1,Inputs!$B$78*12),AC77+AD73)</f>
        <v>-29027.7777777778</v>
      </c>
      <c r="AE75" s="69" t="n">
        <f aca="false">-MIN(AE74/MAX(1,Inputs!$B$78*12),AD77+AE73)</f>
        <v>-29027.7777777778</v>
      </c>
      <c r="AF75" s="69" t="n">
        <f aca="false">-MIN(AF74/MAX(1,Inputs!$B$78*12),AE77+AF73)</f>
        <v>-29027.7777777778</v>
      </c>
      <c r="AG75" s="69" t="n">
        <f aca="false">-MIN(AG74/MAX(1,Inputs!$B$78*12),AF77+AG73)</f>
        <v>-29027.7777777778</v>
      </c>
      <c r="AH75" s="69" t="n">
        <f aca="false">-MIN(AH74/MAX(1,Inputs!$B$78*12),AG77+AH73)</f>
        <v>-29027.7777777778</v>
      </c>
      <c r="AI75" s="69" t="n">
        <f aca="false">-MIN(AI74/MAX(1,Inputs!$B$78*12),AH77+AI73)</f>
        <v>-29027.7777777778</v>
      </c>
      <c r="AJ75" s="69" t="n">
        <f aca="false">-MIN(AJ74/MAX(1,Inputs!$B$78*12),AI77+AJ73)</f>
        <v>-29027.7777777778</v>
      </c>
      <c r="AK75" s="69" t="n">
        <f aca="false">-MIN(AK74/MAX(1,Inputs!$B$78*12),AJ77+AK73)</f>
        <v>-29027.7777777778</v>
      </c>
      <c r="AL75" s="69" t="n">
        <f aca="false">-MIN(AL74/MAX(1,Inputs!$B$78*12),AK77+AL73)</f>
        <v>-29027.7777777778</v>
      </c>
      <c r="AM75" s="69" t="n">
        <f aca="false">-MIN(AM74/MAX(1,Inputs!$B$78*12),AL77+AM73)</f>
        <v>-29305.5555555556</v>
      </c>
      <c r="AN75" s="69" t="n">
        <f aca="false">-MIN(AN74/MAX(1,Inputs!$B$78*12),AM77+AN73)</f>
        <v>-29305.5555555556</v>
      </c>
      <c r="AO75" s="69" t="n">
        <f aca="false">-MIN(AO74/MAX(1,Inputs!$B$78*12),AN77+AO73)</f>
        <v>-29305.5555555556</v>
      </c>
      <c r="AP75" s="69" t="n">
        <f aca="false">-MIN(AP74/MAX(1,Inputs!$B$78*12),AO77+AP73)</f>
        <v>-29305.5555555556</v>
      </c>
      <c r="AQ75" s="69" t="n">
        <f aca="false">-MIN(AQ74/MAX(1,Inputs!$B$78*12),AP77+AQ73)</f>
        <v>-29305.5555555556</v>
      </c>
      <c r="AR75" s="69" t="n">
        <f aca="false">-MIN(AR74/MAX(1,Inputs!$B$78*12),AQ77+AR73)</f>
        <v>-29305.5555555556</v>
      </c>
      <c r="AS75" s="69" t="n">
        <f aca="false">-MIN(AS74/MAX(1,Inputs!$B$78*12),AR77+AS73)</f>
        <v>-29305.5555555556</v>
      </c>
      <c r="AT75" s="69" t="n">
        <f aca="false">-MIN(AT74/MAX(1,Inputs!$B$78*12),AS77+AT73)</f>
        <v>-29305.5555555556</v>
      </c>
      <c r="AU75" s="69" t="n">
        <f aca="false">-MIN(AU74/MAX(1,Inputs!$B$78*12),AT77+AU73)</f>
        <v>-29305.5555555556</v>
      </c>
      <c r="AV75" s="69" t="n">
        <f aca="false">-MIN(AV74/MAX(1,Inputs!$B$78*12),AU77+AV73)</f>
        <v>-29305.5555555556</v>
      </c>
      <c r="AW75" s="69" t="n">
        <f aca="false">-MIN(AW74/MAX(1,Inputs!$B$78*12),AV77+AW73)</f>
        <v>-29305.5555555556</v>
      </c>
      <c r="AX75" s="69" t="n">
        <f aca="false">-MIN(AX74/MAX(1,Inputs!$B$78*12),AW77+AX73)</f>
        <v>-29305.5555555556</v>
      </c>
      <c r="AY75" s="69" t="n">
        <f aca="false">-MIN(AY74/MAX(1,Inputs!$B$78*12),AX77+AY73)</f>
        <v>-29583.3333333333</v>
      </c>
      <c r="AZ75" s="69" t="n">
        <f aca="false">-MIN(AZ74/MAX(1,Inputs!$B$78*12),AY77+AZ73)</f>
        <v>-29583.3333333333</v>
      </c>
      <c r="BA75" s="69" t="n">
        <f aca="false">-MIN(BA74/MAX(1,Inputs!$B$78*12),AZ77+BA73)</f>
        <v>-29583.3333333333</v>
      </c>
      <c r="BB75" s="69" t="n">
        <f aca="false">-MIN(BB74/MAX(1,Inputs!$B$78*12),BA77+BB73)</f>
        <v>-29583.3333333333</v>
      </c>
      <c r="BC75" s="69" t="n">
        <f aca="false">-MIN(BC74/MAX(1,Inputs!$B$78*12),BB77+BC73)</f>
        <v>-29583.3333333333</v>
      </c>
      <c r="BD75" s="69" t="n">
        <f aca="false">-MIN(BD74/MAX(1,Inputs!$B$78*12),BC77+BD73)</f>
        <v>-29583.3333333333</v>
      </c>
      <c r="BE75" s="69" t="n">
        <f aca="false">-MIN(BE74/MAX(1,Inputs!$B$78*12),BD77+BE73)</f>
        <v>-29583.3333333333</v>
      </c>
      <c r="BF75" s="69" t="n">
        <f aca="false">-MIN(BF74/MAX(1,Inputs!$B$78*12),BE77+BF73)</f>
        <v>-29583.3333333333</v>
      </c>
      <c r="BG75" s="69" t="n">
        <f aca="false">-MIN(BG74/MAX(1,Inputs!$B$78*12),BF77+BG73)</f>
        <v>-29583.3333333333</v>
      </c>
      <c r="BH75" s="69" t="n">
        <f aca="false">-MIN(BH74/MAX(1,Inputs!$B$78*12),BG77+BH73)</f>
        <v>-29583.3333333333</v>
      </c>
      <c r="BI75" s="69" t="n">
        <f aca="false">-MIN(BI74/MAX(1,Inputs!$B$78*12),BH77+BI73)</f>
        <v>-29583.3333333333</v>
      </c>
      <c r="BJ75" s="69" t="n">
        <f aca="false">-MIN(BJ74/MAX(1,Inputs!$B$78*12),BI77+BJ73)</f>
        <v>-29583.3333333333</v>
      </c>
    </row>
    <row r="76" customFormat="false" ht="15" hidden="false" customHeight="false" outlineLevel="0" collapsed="false">
      <c r="A76" s="6" t="s">
        <v>451</v>
      </c>
      <c r="C76" s="69" t="n">
        <f aca="false">C75</f>
        <v>-28472.2222222222</v>
      </c>
      <c r="D76" s="69" t="n">
        <f aca="false">C76+D75</f>
        <v>-56944.4444444444</v>
      </c>
      <c r="E76" s="69" t="n">
        <f aca="false">D76+E75</f>
        <v>-85416.6666666667</v>
      </c>
      <c r="F76" s="69" t="n">
        <f aca="false">E76+F75</f>
        <v>-113888.888888889</v>
      </c>
      <c r="G76" s="69" t="n">
        <f aca="false">F76+G75</f>
        <v>-142361.111111111</v>
      </c>
      <c r="H76" s="69" t="n">
        <f aca="false">G76+H75</f>
        <v>-170833.333333333</v>
      </c>
      <c r="I76" s="69" t="n">
        <f aca="false">H76+I75</f>
        <v>-199305.555555556</v>
      </c>
      <c r="J76" s="69" t="n">
        <f aca="false">I76+J75</f>
        <v>-227777.777777778</v>
      </c>
      <c r="K76" s="69" t="n">
        <f aca="false">J76+K75</f>
        <v>-256250</v>
      </c>
      <c r="L76" s="69" t="n">
        <f aca="false">K76+L75</f>
        <v>-284722.222222222</v>
      </c>
      <c r="M76" s="69" t="n">
        <f aca="false">L76+M75</f>
        <v>-313194.444444445</v>
      </c>
      <c r="N76" s="69" t="n">
        <f aca="false">M76+N75</f>
        <v>-341666.666666667</v>
      </c>
      <c r="O76" s="69" t="n">
        <f aca="false">N76+O75</f>
        <v>-370416.666666667</v>
      </c>
      <c r="P76" s="69" t="n">
        <f aca="false">O76+P75</f>
        <v>-399166.666666667</v>
      </c>
      <c r="Q76" s="69" t="n">
        <f aca="false">P76+Q75</f>
        <v>-427916.666666667</v>
      </c>
      <c r="R76" s="69" t="n">
        <f aca="false">Q76+R75</f>
        <v>-456666.666666667</v>
      </c>
      <c r="S76" s="69" t="n">
        <f aca="false">R76+S75</f>
        <v>-485416.666666667</v>
      </c>
      <c r="T76" s="69" t="n">
        <f aca="false">S76+T75</f>
        <v>-514166.666666667</v>
      </c>
      <c r="U76" s="69" t="n">
        <f aca="false">T76+U75</f>
        <v>-542916.666666667</v>
      </c>
      <c r="V76" s="69" t="n">
        <f aca="false">U76+V75</f>
        <v>-571666.666666667</v>
      </c>
      <c r="W76" s="69" t="n">
        <f aca="false">V76+W75</f>
        <v>-600416.666666667</v>
      </c>
      <c r="X76" s="69" t="n">
        <f aca="false">W76+X75</f>
        <v>-629166.666666667</v>
      </c>
      <c r="Y76" s="69" t="n">
        <f aca="false">X76+Y75</f>
        <v>-657916.666666667</v>
      </c>
      <c r="Z76" s="69" t="n">
        <f aca="false">Y76+Z75</f>
        <v>-686666.666666667</v>
      </c>
      <c r="AA76" s="69" t="n">
        <f aca="false">Z76+AA75</f>
        <v>-715694.444444445</v>
      </c>
      <c r="AB76" s="69" t="n">
        <f aca="false">AA76+AB75</f>
        <v>-744722.222222222</v>
      </c>
      <c r="AC76" s="69" t="n">
        <f aca="false">AB76+AC75</f>
        <v>-773750</v>
      </c>
      <c r="AD76" s="69" t="n">
        <f aca="false">AC76+AD75</f>
        <v>-802777.777777778</v>
      </c>
      <c r="AE76" s="69" t="n">
        <f aca="false">AD76+AE75</f>
        <v>-831805.555555556</v>
      </c>
      <c r="AF76" s="69" t="n">
        <f aca="false">AE76+AF75</f>
        <v>-860833.333333333</v>
      </c>
      <c r="AG76" s="69" t="n">
        <f aca="false">AF76+AG75</f>
        <v>-889861.111111111</v>
      </c>
      <c r="AH76" s="69" t="n">
        <f aca="false">AG76+AH75</f>
        <v>-918888.888888889</v>
      </c>
      <c r="AI76" s="69" t="n">
        <f aca="false">AH76+AI75</f>
        <v>-947916.666666667</v>
      </c>
      <c r="AJ76" s="69" t="n">
        <f aca="false">AI76+AJ75</f>
        <v>-976944.444444444</v>
      </c>
      <c r="AK76" s="69" t="n">
        <f aca="false">AJ76+AK75</f>
        <v>-1005972.22222222</v>
      </c>
      <c r="AL76" s="69" t="n">
        <f aca="false">AK76+AL75</f>
        <v>-1035000</v>
      </c>
      <c r="AM76" s="69" t="n">
        <f aca="false">AL76+AM75</f>
        <v>-1064305.55555556</v>
      </c>
      <c r="AN76" s="69" t="n">
        <f aca="false">AM76+AN75</f>
        <v>-1093611.11111111</v>
      </c>
      <c r="AO76" s="69" t="n">
        <f aca="false">AN76+AO75</f>
        <v>-1122916.66666667</v>
      </c>
      <c r="AP76" s="69" t="n">
        <f aca="false">AO76+AP75</f>
        <v>-1152222.22222222</v>
      </c>
      <c r="AQ76" s="69" t="n">
        <f aca="false">AP76+AQ75</f>
        <v>-1181527.77777778</v>
      </c>
      <c r="AR76" s="69" t="n">
        <f aca="false">AQ76+AR75</f>
        <v>-1210833.33333333</v>
      </c>
      <c r="AS76" s="69" t="n">
        <f aca="false">AR76+AS75</f>
        <v>-1240138.88888889</v>
      </c>
      <c r="AT76" s="69" t="n">
        <f aca="false">AS76+AT75</f>
        <v>-1269444.44444444</v>
      </c>
      <c r="AU76" s="69" t="n">
        <f aca="false">AT76+AU75</f>
        <v>-1298750</v>
      </c>
      <c r="AV76" s="69" t="n">
        <f aca="false">AU76+AV75</f>
        <v>-1328055.55555555</v>
      </c>
      <c r="AW76" s="69" t="n">
        <f aca="false">AV76+AW75</f>
        <v>-1357361.11111111</v>
      </c>
      <c r="AX76" s="69" t="n">
        <f aca="false">AW76+AX75</f>
        <v>-1386666.66666667</v>
      </c>
      <c r="AY76" s="69" t="n">
        <f aca="false">AX76+AY75</f>
        <v>-1416250</v>
      </c>
      <c r="AZ76" s="69" t="n">
        <f aca="false">AY76+AZ75</f>
        <v>-1445833.33333333</v>
      </c>
      <c r="BA76" s="69" t="n">
        <f aca="false">AZ76+BA75</f>
        <v>-1475416.66666667</v>
      </c>
      <c r="BB76" s="69" t="n">
        <f aca="false">BA76+BB75</f>
        <v>-1505000</v>
      </c>
      <c r="BC76" s="69" t="n">
        <f aca="false">BB76+BC75</f>
        <v>-1534583.33333333</v>
      </c>
      <c r="BD76" s="69" t="n">
        <f aca="false">BC76+BD75</f>
        <v>-1564166.66666667</v>
      </c>
      <c r="BE76" s="69" t="n">
        <f aca="false">BD76+BE75</f>
        <v>-1593750</v>
      </c>
      <c r="BF76" s="69" t="n">
        <f aca="false">BE76+BF75</f>
        <v>-1623333.33333333</v>
      </c>
      <c r="BG76" s="69" t="n">
        <f aca="false">BF76+BG75</f>
        <v>-1652916.66666667</v>
      </c>
      <c r="BH76" s="69" t="n">
        <f aca="false">BG76+BH75</f>
        <v>-1682500</v>
      </c>
      <c r="BI76" s="69" t="n">
        <f aca="false">BH76+BI75</f>
        <v>-1712083.33333333</v>
      </c>
      <c r="BJ76" s="69" t="n">
        <f aca="false">BI76+BJ75</f>
        <v>-1741666.66666666</v>
      </c>
    </row>
    <row r="77" customFormat="false" ht="15" hidden="false" customHeight="false" outlineLevel="0" collapsed="false">
      <c r="A77" s="4" t="s">
        <v>92</v>
      </c>
      <c r="C77" s="75" t="n">
        <f aca="false">C74+C76</f>
        <v>4071527.77777778</v>
      </c>
      <c r="D77" s="75" t="n">
        <f aca="false">D74+D76</f>
        <v>4043055.55555556</v>
      </c>
      <c r="E77" s="75" t="n">
        <f aca="false">E74+E76</f>
        <v>4014583.33333333</v>
      </c>
      <c r="F77" s="75" t="n">
        <f aca="false">F74+F76</f>
        <v>3986111.11111111</v>
      </c>
      <c r="G77" s="75" t="n">
        <f aca="false">G74+G76</f>
        <v>3957638.88888889</v>
      </c>
      <c r="H77" s="75" t="n">
        <f aca="false">H74+H76</f>
        <v>3929166.66666667</v>
      </c>
      <c r="I77" s="75" t="n">
        <f aca="false">I74+I76</f>
        <v>3900694.44444444</v>
      </c>
      <c r="J77" s="75" t="n">
        <f aca="false">J74+J76</f>
        <v>3872222.22222222</v>
      </c>
      <c r="K77" s="75" t="n">
        <f aca="false">K74+K76</f>
        <v>3843750</v>
      </c>
      <c r="L77" s="75" t="n">
        <f aca="false">L74+L76</f>
        <v>3815277.77777778</v>
      </c>
      <c r="M77" s="75" t="n">
        <f aca="false">M74+M76</f>
        <v>3786805.55555556</v>
      </c>
      <c r="N77" s="75" t="n">
        <f aca="false">N74+N76</f>
        <v>3758333.33333333</v>
      </c>
      <c r="O77" s="75" t="n">
        <f aca="false">O74+O76</f>
        <v>3769583.33333333</v>
      </c>
      <c r="P77" s="75" t="n">
        <f aca="false">P74+P76</f>
        <v>3740833.33333333</v>
      </c>
      <c r="Q77" s="75" t="n">
        <f aca="false">Q74+Q76</f>
        <v>3712083.33333333</v>
      </c>
      <c r="R77" s="75" t="n">
        <f aca="false">R74+R76</f>
        <v>3683333.33333333</v>
      </c>
      <c r="S77" s="75" t="n">
        <f aca="false">S74+S76</f>
        <v>3654583.33333333</v>
      </c>
      <c r="T77" s="75" t="n">
        <f aca="false">T74+T76</f>
        <v>3625833.33333333</v>
      </c>
      <c r="U77" s="75" t="n">
        <f aca="false">U74+U76</f>
        <v>3597083.33333333</v>
      </c>
      <c r="V77" s="75" t="n">
        <f aca="false">V74+V76</f>
        <v>3568333.33333333</v>
      </c>
      <c r="W77" s="75" t="n">
        <f aca="false">W74+W76</f>
        <v>3539583.33333333</v>
      </c>
      <c r="X77" s="75" t="n">
        <f aca="false">X74+X76</f>
        <v>3510833.33333333</v>
      </c>
      <c r="Y77" s="75" t="n">
        <f aca="false">Y74+Y76</f>
        <v>3482083.33333333</v>
      </c>
      <c r="Z77" s="75" t="n">
        <f aca="false">Z74+Z76</f>
        <v>3453333.33333333</v>
      </c>
      <c r="AA77" s="75" t="n">
        <f aca="false">AA74+AA76</f>
        <v>3464305.55555556</v>
      </c>
      <c r="AB77" s="75" t="n">
        <f aca="false">AB74+AB76</f>
        <v>3435277.77777778</v>
      </c>
      <c r="AC77" s="75" t="n">
        <f aca="false">AC74+AC76</f>
        <v>3406250</v>
      </c>
      <c r="AD77" s="75" t="n">
        <f aca="false">AD74+AD76</f>
        <v>3377222.22222222</v>
      </c>
      <c r="AE77" s="75" t="n">
        <f aca="false">AE74+AE76</f>
        <v>3348194.44444444</v>
      </c>
      <c r="AF77" s="75" t="n">
        <f aca="false">AF74+AF76</f>
        <v>3319166.66666667</v>
      </c>
      <c r="AG77" s="75" t="n">
        <f aca="false">AG74+AG76</f>
        <v>3290138.88888889</v>
      </c>
      <c r="AH77" s="75" t="n">
        <f aca="false">AH74+AH76</f>
        <v>3261111.11111111</v>
      </c>
      <c r="AI77" s="75" t="n">
        <f aca="false">AI74+AI76</f>
        <v>3232083.33333333</v>
      </c>
      <c r="AJ77" s="75" t="n">
        <f aca="false">AJ74+AJ76</f>
        <v>3203055.55555556</v>
      </c>
      <c r="AK77" s="75" t="n">
        <f aca="false">AK74+AK76</f>
        <v>3174027.77777778</v>
      </c>
      <c r="AL77" s="75" t="n">
        <f aca="false">AL74+AL76</f>
        <v>3145000</v>
      </c>
      <c r="AM77" s="75" t="n">
        <f aca="false">AM74+AM76</f>
        <v>3155694.44444445</v>
      </c>
      <c r="AN77" s="75" t="n">
        <f aca="false">AN74+AN76</f>
        <v>3126388.88888889</v>
      </c>
      <c r="AO77" s="75" t="n">
        <f aca="false">AO74+AO76</f>
        <v>3097083.33333333</v>
      </c>
      <c r="AP77" s="75" t="n">
        <f aca="false">AP74+AP76</f>
        <v>3067777.77777778</v>
      </c>
      <c r="AQ77" s="75" t="n">
        <f aca="false">AQ74+AQ76</f>
        <v>3038472.22222222</v>
      </c>
      <c r="AR77" s="75" t="n">
        <f aca="false">AR74+AR76</f>
        <v>3009166.66666667</v>
      </c>
      <c r="AS77" s="75" t="n">
        <f aca="false">AS74+AS76</f>
        <v>2979861.11111111</v>
      </c>
      <c r="AT77" s="75" t="n">
        <f aca="false">AT74+AT76</f>
        <v>2950555.55555556</v>
      </c>
      <c r="AU77" s="75" t="n">
        <f aca="false">AU74+AU76</f>
        <v>2921250</v>
      </c>
      <c r="AV77" s="75" t="n">
        <f aca="false">AV74+AV76</f>
        <v>2891944.44444445</v>
      </c>
      <c r="AW77" s="75" t="n">
        <f aca="false">AW74+AW76</f>
        <v>2862638.88888889</v>
      </c>
      <c r="AX77" s="75" t="n">
        <f aca="false">AX74+AX76</f>
        <v>2833333.33333333</v>
      </c>
      <c r="AY77" s="75" t="n">
        <f aca="false">AY74+AY76</f>
        <v>2843750</v>
      </c>
      <c r="AZ77" s="75" t="n">
        <f aca="false">AZ74+AZ76</f>
        <v>2814166.66666667</v>
      </c>
      <c r="BA77" s="75" t="n">
        <f aca="false">BA74+BA76</f>
        <v>2784583.33333333</v>
      </c>
      <c r="BB77" s="75" t="n">
        <f aca="false">BB74+BB76</f>
        <v>2755000</v>
      </c>
      <c r="BC77" s="75" t="n">
        <f aca="false">BC74+BC76</f>
        <v>2725416.66666667</v>
      </c>
      <c r="BD77" s="75" t="n">
        <f aca="false">BD74+BD76</f>
        <v>2695833.33333334</v>
      </c>
      <c r="BE77" s="75" t="n">
        <f aca="false">BE74+BE76</f>
        <v>2666250</v>
      </c>
      <c r="BF77" s="75" t="n">
        <f aca="false">BF74+BF76</f>
        <v>2636666.66666667</v>
      </c>
      <c r="BG77" s="75" t="n">
        <f aca="false">BG74+BG76</f>
        <v>2607083.33333334</v>
      </c>
      <c r="BH77" s="75" t="n">
        <f aca="false">BH74+BH76</f>
        <v>2577500</v>
      </c>
      <c r="BI77" s="75" t="n">
        <f aca="false">BI74+BI76</f>
        <v>2547916.66666667</v>
      </c>
      <c r="BJ77" s="75" t="n">
        <f aca="false">BJ74+BJ76</f>
        <v>2518333.33333334</v>
      </c>
    </row>
    <row r="79" customFormat="false" ht="15.75" hidden="false" customHeight="true" outlineLevel="0" collapsed="false">
      <c r="A79" s="7" t="s">
        <v>452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customFormat="false" ht="15" hidden="false" customHeight="false" outlineLevel="0" collapsed="false">
      <c r="A80" s="6" t="s">
        <v>453</v>
      </c>
      <c r="C80" s="69" t="n">
        <f aca="false">0</f>
        <v>0</v>
      </c>
      <c r="D80" s="69" t="n">
        <f aca="false">C83</f>
        <v>3000000</v>
      </c>
      <c r="E80" s="69" t="n">
        <f aca="false">D83</f>
        <v>2975000</v>
      </c>
      <c r="F80" s="69" t="n">
        <f aca="false">E83</f>
        <v>2950000</v>
      </c>
      <c r="G80" s="69" t="n">
        <f aca="false">F83</f>
        <v>2925000</v>
      </c>
      <c r="H80" s="69" t="n">
        <f aca="false">G83</f>
        <v>2900000</v>
      </c>
      <c r="I80" s="69" t="n">
        <f aca="false">H83</f>
        <v>2875000</v>
      </c>
      <c r="J80" s="69" t="n">
        <f aca="false">I83</f>
        <v>2850000</v>
      </c>
      <c r="K80" s="69" t="n">
        <f aca="false">J83</f>
        <v>2825000</v>
      </c>
      <c r="L80" s="69" t="n">
        <f aca="false">K83</f>
        <v>2800000</v>
      </c>
      <c r="M80" s="69" t="n">
        <f aca="false">L83</f>
        <v>2775000</v>
      </c>
      <c r="N80" s="69" t="n">
        <f aca="false">M83</f>
        <v>2750000</v>
      </c>
      <c r="O80" s="69" t="n">
        <f aca="false">N83</f>
        <v>2725000</v>
      </c>
      <c r="P80" s="69" t="n">
        <f aca="false">O83</f>
        <v>2700000</v>
      </c>
      <c r="Q80" s="69" t="n">
        <f aca="false">P83</f>
        <v>2675000</v>
      </c>
      <c r="R80" s="69" t="n">
        <f aca="false">Q83</f>
        <v>2650000</v>
      </c>
      <c r="S80" s="69" t="n">
        <f aca="false">R83</f>
        <v>2625000</v>
      </c>
      <c r="T80" s="69" t="n">
        <f aca="false">S83</f>
        <v>2600000</v>
      </c>
      <c r="U80" s="69" t="n">
        <f aca="false">T83</f>
        <v>2575000</v>
      </c>
      <c r="V80" s="69" t="n">
        <f aca="false">U83</f>
        <v>2550000</v>
      </c>
      <c r="W80" s="69" t="n">
        <f aca="false">V83</f>
        <v>2525000</v>
      </c>
      <c r="X80" s="69" t="n">
        <f aca="false">W83</f>
        <v>2500000</v>
      </c>
      <c r="Y80" s="69" t="n">
        <f aca="false">X83</f>
        <v>2475000</v>
      </c>
      <c r="Z80" s="69" t="n">
        <f aca="false">Y83</f>
        <v>2450000</v>
      </c>
      <c r="AA80" s="69" t="n">
        <f aca="false">Z83</f>
        <v>2425000</v>
      </c>
      <c r="AB80" s="69" t="n">
        <f aca="false">AA83</f>
        <v>2400000</v>
      </c>
      <c r="AC80" s="69" t="n">
        <f aca="false">AB83</f>
        <v>2375000</v>
      </c>
      <c r="AD80" s="69" t="n">
        <f aca="false">AC83</f>
        <v>2350000</v>
      </c>
      <c r="AE80" s="69" t="n">
        <f aca="false">AD83</f>
        <v>2325000</v>
      </c>
      <c r="AF80" s="69" t="n">
        <f aca="false">AE83</f>
        <v>2300000</v>
      </c>
      <c r="AG80" s="69" t="n">
        <f aca="false">AF83</f>
        <v>2275000</v>
      </c>
      <c r="AH80" s="69" t="n">
        <f aca="false">AG83</f>
        <v>2250000</v>
      </c>
      <c r="AI80" s="69" t="n">
        <f aca="false">AH83</f>
        <v>2225000</v>
      </c>
      <c r="AJ80" s="69" t="n">
        <f aca="false">AI83</f>
        <v>2200000</v>
      </c>
      <c r="AK80" s="69" t="n">
        <f aca="false">AJ83</f>
        <v>2175000</v>
      </c>
      <c r="AL80" s="69" t="n">
        <f aca="false">AK83</f>
        <v>2150000</v>
      </c>
      <c r="AM80" s="69" t="n">
        <f aca="false">AL83</f>
        <v>2125000</v>
      </c>
      <c r="AN80" s="69" t="n">
        <f aca="false">AM83</f>
        <v>2100000</v>
      </c>
      <c r="AO80" s="69" t="n">
        <f aca="false">AN83</f>
        <v>2075000</v>
      </c>
      <c r="AP80" s="69" t="n">
        <f aca="false">AO83</f>
        <v>2050000</v>
      </c>
      <c r="AQ80" s="69" t="n">
        <f aca="false">AP83</f>
        <v>2025000</v>
      </c>
      <c r="AR80" s="69" t="n">
        <f aca="false">AQ83</f>
        <v>2000000</v>
      </c>
      <c r="AS80" s="69" t="n">
        <f aca="false">AR83</f>
        <v>1975000</v>
      </c>
      <c r="AT80" s="69" t="n">
        <f aca="false">AS83</f>
        <v>1950000</v>
      </c>
      <c r="AU80" s="69" t="n">
        <f aca="false">AT83</f>
        <v>1925000</v>
      </c>
      <c r="AV80" s="69" t="n">
        <f aca="false">AU83</f>
        <v>1900000</v>
      </c>
      <c r="AW80" s="69" t="n">
        <f aca="false">AV83</f>
        <v>1875000</v>
      </c>
      <c r="AX80" s="69" t="n">
        <f aca="false">AW83</f>
        <v>1850000</v>
      </c>
      <c r="AY80" s="69" t="n">
        <f aca="false">AX83</f>
        <v>1825000</v>
      </c>
      <c r="AZ80" s="69" t="n">
        <f aca="false">AY83</f>
        <v>1800000</v>
      </c>
      <c r="BA80" s="69" t="n">
        <f aca="false">AZ83</f>
        <v>1775000</v>
      </c>
      <c r="BB80" s="69" t="n">
        <f aca="false">BA83</f>
        <v>1750000</v>
      </c>
      <c r="BC80" s="69" t="n">
        <f aca="false">BB83</f>
        <v>1725000</v>
      </c>
      <c r="BD80" s="69" t="n">
        <f aca="false">BC83</f>
        <v>1700000</v>
      </c>
      <c r="BE80" s="69" t="n">
        <f aca="false">BD83</f>
        <v>1675000</v>
      </c>
      <c r="BF80" s="69" t="n">
        <f aca="false">BE83</f>
        <v>1650000</v>
      </c>
      <c r="BG80" s="69" t="n">
        <f aca="false">BF83</f>
        <v>1625000</v>
      </c>
      <c r="BH80" s="69" t="n">
        <f aca="false">BG83</f>
        <v>1600000</v>
      </c>
      <c r="BI80" s="69" t="n">
        <f aca="false">BH83</f>
        <v>1575000</v>
      </c>
      <c r="BJ80" s="69" t="n">
        <f aca="false">BI83</f>
        <v>1550000</v>
      </c>
    </row>
    <row r="81" customFormat="false" ht="15" hidden="false" customHeight="false" outlineLevel="0" collapsed="false">
      <c r="A81" s="6" t="s">
        <v>85</v>
      </c>
      <c r="C81" s="69" t="n">
        <f aca="false">IF(C$6=1,Inputs!$B$68,0)</f>
        <v>3000000</v>
      </c>
      <c r="D81" s="69" t="n">
        <f aca="false">IF(D$6=1,Inputs!$B$68,0)</f>
        <v>0</v>
      </c>
      <c r="E81" s="69" t="n">
        <f aca="false">IF(E$6=1,Inputs!$B$68,0)</f>
        <v>0</v>
      </c>
      <c r="F81" s="69" t="n">
        <f aca="false">IF(F$6=1,Inputs!$B$68,0)</f>
        <v>0</v>
      </c>
      <c r="G81" s="69" t="n">
        <f aca="false">IF(G$6=1,Inputs!$B$68,0)</f>
        <v>0</v>
      </c>
      <c r="H81" s="69" t="n">
        <f aca="false">IF(H$6=1,Inputs!$B$68,0)</f>
        <v>0</v>
      </c>
      <c r="I81" s="69" t="n">
        <f aca="false">IF(I$6=1,Inputs!$B$68,0)</f>
        <v>0</v>
      </c>
      <c r="J81" s="69" t="n">
        <f aca="false">IF(J$6=1,Inputs!$B$68,0)</f>
        <v>0</v>
      </c>
      <c r="K81" s="69" t="n">
        <f aca="false">IF(K$6=1,Inputs!$B$68,0)</f>
        <v>0</v>
      </c>
      <c r="L81" s="69" t="n">
        <f aca="false">IF(L$6=1,Inputs!$B$68,0)</f>
        <v>0</v>
      </c>
      <c r="M81" s="69" t="n">
        <f aca="false">IF(M$6=1,Inputs!$B$68,0)</f>
        <v>0</v>
      </c>
      <c r="N81" s="69" t="n">
        <f aca="false">IF(N$6=1,Inputs!$B$68,0)</f>
        <v>0</v>
      </c>
      <c r="O81" s="69" t="n">
        <f aca="false">IF(O$6=1,Inputs!$B$68,0)</f>
        <v>0</v>
      </c>
      <c r="P81" s="69" t="n">
        <f aca="false">IF(P$6=1,Inputs!$B$68,0)</f>
        <v>0</v>
      </c>
      <c r="Q81" s="69" t="n">
        <f aca="false">IF(Q$6=1,Inputs!$B$68,0)</f>
        <v>0</v>
      </c>
      <c r="R81" s="69" t="n">
        <f aca="false">IF(R$6=1,Inputs!$B$68,0)</f>
        <v>0</v>
      </c>
      <c r="S81" s="69" t="n">
        <f aca="false">IF(S$6=1,Inputs!$B$68,0)</f>
        <v>0</v>
      </c>
      <c r="T81" s="69" t="n">
        <f aca="false">IF(T$6=1,Inputs!$B$68,0)</f>
        <v>0</v>
      </c>
      <c r="U81" s="69" t="n">
        <f aca="false">IF(U$6=1,Inputs!$B$68,0)</f>
        <v>0</v>
      </c>
      <c r="V81" s="69" t="n">
        <f aca="false">IF(V$6=1,Inputs!$B$68,0)</f>
        <v>0</v>
      </c>
      <c r="W81" s="69" t="n">
        <f aca="false">IF(W$6=1,Inputs!$B$68,0)</f>
        <v>0</v>
      </c>
      <c r="X81" s="69" t="n">
        <f aca="false">IF(X$6=1,Inputs!$B$68,0)</f>
        <v>0</v>
      </c>
      <c r="Y81" s="69" t="n">
        <f aca="false">IF(Y$6=1,Inputs!$B$68,0)</f>
        <v>0</v>
      </c>
      <c r="Z81" s="69" t="n">
        <f aca="false">IF(Z$6=1,Inputs!$B$68,0)</f>
        <v>0</v>
      </c>
      <c r="AA81" s="69" t="n">
        <f aca="false">IF(AA$6=1,Inputs!$B$68,0)</f>
        <v>0</v>
      </c>
      <c r="AB81" s="69" t="n">
        <f aca="false">IF(AB$6=1,Inputs!$B$68,0)</f>
        <v>0</v>
      </c>
      <c r="AC81" s="69" t="n">
        <f aca="false">IF(AC$6=1,Inputs!$B$68,0)</f>
        <v>0</v>
      </c>
      <c r="AD81" s="69" t="n">
        <f aca="false">IF(AD$6=1,Inputs!$B$68,0)</f>
        <v>0</v>
      </c>
      <c r="AE81" s="69" t="n">
        <f aca="false">IF(AE$6=1,Inputs!$B$68,0)</f>
        <v>0</v>
      </c>
      <c r="AF81" s="69" t="n">
        <f aca="false">IF(AF$6=1,Inputs!$B$68,0)</f>
        <v>0</v>
      </c>
      <c r="AG81" s="69" t="n">
        <f aca="false">IF(AG$6=1,Inputs!$B$68,0)</f>
        <v>0</v>
      </c>
      <c r="AH81" s="69" t="n">
        <f aca="false">IF(AH$6=1,Inputs!$B$68,0)</f>
        <v>0</v>
      </c>
      <c r="AI81" s="69" t="n">
        <f aca="false">IF(AI$6=1,Inputs!$B$68,0)</f>
        <v>0</v>
      </c>
      <c r="AJ81" s="69" t="n">
        <f aca="false">IF(AJ$6=1,Inputs!$B$68,0)</f>
        <v>0</v>
      </c>
      <c r="AK81" s="69" t="n">
        <f aca="false">IF(AK$6=1,Inputs!$B$68,0)</f>
        <v>0</v>
      </c>
      <c r="AL81" s="69" t="n">
        <f aca="false">IF(AL$6=1,Inputs!$B$68,0)</f>
        <v>0</v>
      </c>
      <c r="AM81" s="69" t="n">
        <f aca="false">IF(AM$6=1,Inputs!$B$68,0)</f>
        <v>0</v>
      </c>
      <c r="AN81" s="69" t="n">
        <f aca="false">IF(AN$6=1,Inputs!$B$68,0)</f>
        <v>0</v>
      </c>
      <c r="AO81" s="69" t="n">
        <f aca="false">IF(AO$6=1,Inputs!$B$68,0)</f>
        <v>0</v>
      </c>
      <c r="AP81" s="69" t="n">
        <f aca="false">IF(AP$6=1,Inputs!$B$68,0)</f>
        <v>0</v>
      </c>
      <c r="AQ81" s="69" t="n">
        <f aca="false">IF(AQ$6=1,Inputs!$B$68,0)</f>
        <v>0</v>
      </c>
      <c r="AR81" s="69" t="n">
        <f aca="false">IF(AR$6=1,Inputs!$B$68,0)</f>
        <v>0</v>
      </c>
      <c r="AS81" s="69" t="n">
        <f aca="false">IF(AS$6=1,Inputs!$B$68,0)</f>
        <v>0</v>
      </c>
      <c r="AT81" s="69" t="n">
        <f aca="false">IF(AT$6=1,Inputs!$B$68,0)</f>
        <v>0</v>
      </c>
      <c r="AU81" s="69" t="n">
        <f aca="false">IF(AU$6=1,Inputs!$B$68,0)</f>
        <v>0</v>
      </c>
      <c r="AV81" s="69" t="n">
        <f aca="false">IF(AV$6=1,Inputs!$B$68,0)</f>
        <v>0</v>
      </c>
      <c r="AW81" s="69" t="n">
        <f aca="false">IF(AW$6=1,Inputs!$B$68,0)</f>
        <v>0</v>
      </c>
      <c r="AX81" s="69" t="n">
        <f aca="false">IF(AX$6=1,Inputs!$B$68,0)</f>
        <v>0</v>
      </c>
      <c r="AY81" s="69" t="n">
        <f aca="false">IF(AY$6=1,Inputs!$B$68,0)</f>
        <v>0</v>
      </c>
      <c r="AZ81" s="69" t="n">
        <f aca="false">IF(AZ$6=1,Inputs!$B$68,0)</f>
        <v>0</v>
      </c>
      <c r="BA81" s="69" t="n">
        <f aca="false">IF(BA$6=1,Inputs!$B$68,0)</f>
        <v>0</v>
      </c>
      <c r="BB81" s="69" t="n">
        <f aca="false">IF(BB$6=1,Inputs!$B$68,0)</f>
        <v>0</v>
      </c>
      <c r="BC81" s="69" t="n">
        <f aca="false">IF(BC$6=1,Inputs!$B$68,0)</f>
        <v>0</v>
      </c>
      <c r="BD81" s="69" t="n">
        <f aca="false">IF(BD$6=1,Inputs!$B$68,0)</f>
        <v>0</v>
      </c>
      <c r="BE81" s="69" t="n">
        <f aca="false">IF(BE$6=1,Inputs!$B$68,0)</f>
        <v>0</v>
      </c>
      <c r="BF81" s="69" t="n">
        <f aca="false">IF(BF$6=1,Inputs!$B$68,0)</f>
        <v>0</v>
      </c>
      <c r="BG81" s="69" t="n">
        <f aca="false">IF(BG$6=1,Inputs!$B$68,0)</f>
        <v>0</v>
      </c>
      <c r="BH81" s="69" t="n">
        <f aca="false">IF(BH$6=1,Inputs!$B$68,0)</f>
        <v>0</v>
      </c>
      <c r="BI81" s="69" t="n">
        <f aca="false">IF(BI$6=1,Inputs!$B$68,0)</f>
        <v>0</v>
      </c>
      <c r="BJ81" s="69" t="n">
        <f aca="false">IF(BJ$6=1,Inputs!$B$68,0)</f>
        <v>0</v>
      </c>
    </row>
    <row r="82" customFormat="false" ht="15" hidden="false" customHeight="false" outlineLevel="0" collapsed="false">
      <c r="A82" s="6" t="s">
        <v>86</v>
      </c>
      <c r="C82" s="69" t="n">
        <f aca="false">-MIN(C80,Inputs!$B$68/MAX(1,Inputs!$B$70*12))</f>
        <v>-0</v>
      </c>
      <c r="D82" s="69" t="n">
        <f aca="false">-MIN(D80,Inputs!$B$68/MAX(1,Inputs!$B$70*12))</f>
        <v>-25000</v>
      </c>
      <c r="E82" s="69" t="n">
        <f aca="false">-MIN(E80,Inputs!$B$68/MAX(1,Inputs!$B$70*12))</f>
        <v>-25000</v>
      </c>
      <c r="F82" s="69" t="n">
        <f aca="false">-MIN(F80,Inputs!$B$68/MAX(1,Inputs!$B$70*12))</f>
        <v>-25000</v>
      </c>
      <c r="G82" s="69" t="n">
        <f aca="false">-MIN(G80,Inputs!$B$68/MAX(1,Inputs!$B$70*12))</f>
        <v>-25000</v>
      </c>
      <c r="H82" s="69" t="n">
        <f aca="false">-MIN(H80,Inputs!$B$68/MAX(1,Inputs!$B$70*12))</f>
        <v>-25000</v>
      </c>
      <c r="I82" s="69" t="n">
        <f aca="false">-MIN(I80,Inputs!$B$68/MAX(1,Inputs!$B$70*12))</f>
        <v>-25000</v>
      </c>
      <c r="J82" s="69" t="n">
        <f aca="false">-MIN(J80,Inputs!$B$68/MAX(1,Inputs!$B$70*12))</f>
        <v>-25000</v>
      </c>
      <c r="K82" s="69" t="n">
        <f aca="false">-MIN(K80,Inputs!$B$68/MAX(1,Inputs!$B$70*12))</f>
        <v>-25000</v>
      </c>
      <c r="L82" s="69" t="n">
        <f aca="false">-MIN(L80,Inputs!$B$68/MAX(1,Inputs!$B$70*12))</f>
        <v>-25000</v>
      </c>
      <c r="M82" s="69" t="n">
        <f aca="false">-MIN(M80,Inputs!$B$68/MAX(1,Inputs!$B$70*12))</f>
        <v>-25000</v>
      </c>
      <c r="N82" s="69" t="n">
        <f aca="false">-MIN(N80,Inputs!$B$68/MAX(1,Inputs!$B$70*12))</f>
        <v>-25000</v>
      </c>
      <c r="O82" s="69" t="n">
        <f aca="false">-MIN(O80,Inputs!$B$68/MAX(1,Inputs!$B$70*12))</f>
        <v>-25000</v>
      </c>
      <c r="P82" s="69" t="n">
        <f aca="false">-MIN(P80,Inputs!$B$68/MAX(1,Inputs!$B$70*12))</f>
        <v>-25000</v>
      </c>
      <c r="Q82" s="69" t="n">
        <f aca="false">-MIN(Q80,Inputs!$B$68/MAX(1,Inputs!$B$70*12))</f>
        <v>-25000</v>
      </c>
      <c r="R82" s="69" t="n">
        <f aca="false">-MIN(R80,Inputs!$B$68/MAX(1,Inputs!$B$70*12))</f>
        <v>-25000</v>
      </c>
      <c r="S82" s="69" t="n">
        <f aca="false">-MIN(S80,Inputs!$B$68/MAX(1,Inputs!$B$70*12))</f>
        <v>-25000</v>
      </c>
      <c r="T82" s="69" t="n">
        <f aca="false">-MIN(T80,Inputs!$B$68/MAX(1,Inputs!$B$70*12))</f>
        <v>-25000</v>
      </c>
      <c r="U82" s="69" t="n">
        <f aca="false">-MIN(U80,Inputs!$B$68/MAX(1,Inputs!$B$70*12))</f>
        <v>-25000</v>
      </c>
      <c r="V82" s="69" t="n">
        <f aca="false">-MIN(V80,Inputs!$B$68/MAX(1,Inputs!$B$70*12))</f>
        <v>-25000</v>
      </c>
      <c r="W82" s="69" t="n">
        <f aca="false">-MIN(W80,Inputs!$B$68/MAX(1,Inputs!$B$70*12))</f>
        <v>-25000</v>
      </c>
      <c r="X82" s="69" t="n">
        <f aca="false">-MIN(X80,Inputs!$B$68/MAX(1,Inputs!$B$70*12))</f>
        <v>-25000</v>
      </c>
      <c r="Y82" s="69" t="n">
        <f aca="false">-MIN(Y80,Inputs!$B$68/MAX(1,Inputs!$B$70*12))</f>
        <v>-25000</v>
      </c>
      <c r="Z82" s="69" t="n">
        <f aca="false">-MIN(Z80,Inputs!$B$68/MAX(1,Inputs!$B$70*12))</f>
        <v>-25000</v>
      </c>
      <c r="AA82" s="69" t="n">
        <f aca="false">-MIN(AA80,Inputs!$B$68/MAX(1,Inputs!$B$70*12))</f>
        <v>-25000</v>
      </c>
      <c r="AB82" s="69" t="n">
        <f aca="false">-MIN(AB80,Inputs!$B$68/MAX(1,Inputs!$B$70*12))</f>
        <v>-25000</v>
      </c>
      <c r="AC82" s="69" t="n">
        <f aca="false">-MIN(AC80,Inputs!$B$68/MAX(1,Inputs!$B$70*12))</f>
        <v>-25000</v>
      </c>
      <c r="AD82" s="69" t="n">
        <f aca="false">-MIN(AD80,Inputs!$B$68/MAX(1,Inputs!$B$70*12))</f>
        <v>-25000</v>
      </c>
      <c r="AE82" s="69" t="n">
        <f aca="false">-MIN(AE80,Inputs!$B$68/MAX(1,Inputs!$B$70*12))</f>
        <v>-25000</v>
      </c>
      <c r="AF82" s="69" t="n">
        <f aca="false">-MIN(AF80,Inputs!$B$68/MAX(1,Inputs!$B$70*12))</f>
        <v>-25000</v>
      </c>
      <c r="AG82" s="69" t="n">
        <f aca="false">-MIN(AG80,Inputs!$B$68/MAX(1,Inputs!$B$70*12))</f>
        <v>-25000</v>
      </c>
      <c r="AH82" s="69" t="n">
        <f aca="false">-MIN(AH80,Inputs!$B$68/MAX(1,Inputs!$B$70*12))</f>
        <v>-25000</v>
      </c>
      <c r="AI82" s="69" t="n">
        <f aca="false">-MIN(AI80,Inputs!$B$68/MAX(1,Inputs!$B$70*12))</f>
        <v>-25000</v>
      </c>
      <c r="AJ82" s="69" t="n">
        <f aca="false">-MIN(AJ80,Inputs!$B$68/MAX(1,Inputs!$B$70*12))</f>
        <v>-25000</v>
      </c>
      <c r="AK82" s="69" t="n">
        <f aca="false">-MIN(AK80,Inputs!$B$68/MAX(1,Inputs!$B$70*12))</f>
        <v>-25000</v>
      </c>
      <c r="AL82" s="69" t="n">
        <f aca="false">-MIN(AL80,Inputs!$B$68/MAX(1,Inputs!$B$70*12))</f>
        <v>-25000</v>
      </c>
      <c r="AM82" s="69" t="n">
        <f aca="false">-MIN(AM80,Inputs!$B$68/MAX(1,Inputs!$B$70*12))</f>
        <v>-25000</v>
      </c>
      <c r="AN82" s="69" t="n">
        <f aca="false">-MIN(AN80,Inputs!$B$68/MAX(1,Inputs!$B$70*12))</f>
        <v>-25000</v>
      </c>
      <c r="AO82" s="69" t="n">
        <f aca="false">-MIN(AO80,Inputs!$B$68/MAX(1,Inputs!$B$70*12))</f>
        <v>-25000</v>
      </c>
      <c r="AP82" s="69" t="n">
        <f aca="false">-MIN(AP80,Inputs!$B$68/MAX(1,Inputs!$B$70*12))</f>
        <v>-25000</v>
      </c>
      <c r="AQ82" s="69" t="n">
        <f aca="false">-MIN(AQ80,Inputs!$B$68/MAX(1,Inputs!$B$70*12))</f>
        <v>-25000</v>
      </c>
      <c r="AR82" s="69" t="n">
        <f aca="false">-MIN(AR80,Inputs!$B$68/MAX(1,Inputs!$B$70*12))</f>
        <v>-25000</v>
      </c>
      <c r="AS82" s="69" t="n">
        <f aca="false">-MIN(AS80,Inputs!$B$68/MAX(1,Inputs!$B$70*12))</f>
        <v>-25000</v>
      </c>
      <c r="AT82" s="69" t="n">
        <f aca="false">-MIN(AT80,Inputs!$B$68/MAX(1,Inputs!$B$70*12))</f>
        <v>-25000</v>
      </c>
      <c r="AU82" s="69" t="n">
        <f aca="false">-MIN(AU80,Inputs!$B$68/MAX(1,Inputs!$B$70*12))</f>
        <v>-25000</v>
      </c>
      <c r="AV82" s="69" t="n">
        <f aca="false">-MIN(AV80,Inputs!$B$68/MAX(1,Inputs!$B$70*12))</f>
        <v>-25000</v>
      </c>
      <c r="AW82" s="69" t="n">
        <f aca="false">-MIN(AW80,Inputs!$B$68/MAX(1,Inputs!$B$70*12))</f>
        <v>-25000</v>
      </c>
      <c r="AX82" s="69" t="n">
        <f aca="false">-MIN(AX80,Inputs!$B$68/MAX(1,Inputs!$B$70*12))</f>
        <v>-25000</v>
      </c>
      <c r="AY82" s="69" t="n">
        <f aca="false">-MIN(AY80,Inputs!$B$68/MAX(1,Inputs!$B$70*12))</f>
        <v>-25000</v>
      </c>
      <c r="AZ82" s="69" t="n">
        <f aca="false">-MIN(AZ80,Inputs!$B$68/MAX(1,Inputs!$B$70*12))</f>
        <v>-25000</v>
      </c>
      <c r="BA82" s="69" t="n">
        <f aca="false">-MIN(BA80,Inputs!$B$68/MAX(1,Inputs!$B$70*12))</f>
        <v>-25000</v>
      </c>
      <c r="BB82" s="69" t="n">
        <f aca="false">-MIN(BB80,Inputs!$B$68/MAX(1,Inputs!$B$70*12))</f>
        <v>-25000</v>
      </c>
      <c r="BC82" s="69" t="n">
        <f aca="false">-MIN(BC80,Inputs!$B$68/MAX(1,Inputs!$B$70*12))</f>
        <v>-25000</v>
      </c>
      <c r="BD82" s="69" t="n">
        <f aca="false">-MIN(BD80,Inputs!$B$68/MAX(1,Inputs!$B$70*12))</f>
        <v>-25000</v>
      </c>
      <c r="BE82" s="69" t="n">
        <f aca="false">-MIN(BE80,Inputs!$B$68/MAX(1,Inputs!$B$70*12))</f>
        <v>-25000</v>
      </c>
      <c r="BF82" s="69" t="n">
        <f aca="false">-MIN(BF80,Inputs!$B$68/MAX(1,Inputs!$B$70*12))</f>
        <v>-25000</v>
      </c>
      <c r="BG82" s="69" t="n">
        <f aca="false">-MIN(BG80,Inputs!$B$68/MAX(1,Inputs!$B$70*12))</f>
        <v>-25000</v>
      </c>
      <c r="BH82" s="69" t="n">
        <f aca="false">-MIN(BH80,Inputs!$B$68/MAX(1,Inputs!$B$70*12))</f>
        <v>-25000</v>
      </c>
      <c r="BI82" s="69" t="n">
        <f aca="false">-MIN(BI80,Inputs!$B$68/MAX(1,Inputs!$B$70*12))</f>
        <v>-25000</v>
      </c>
      <c r="BJ82" s="69" t="n">
        <f aca="false">-MIN(BJ80,Inputs!$B$68/MAX(1,Inputs!$B$70*12))</f>
        <v>-25000</v>
      </c>
    </row>
    <row r="83" customFormat="false" ht="15" hidden="false" customHeight="false" outlineLevel="0" collapsed="false">
      <c r="A83" s="4" t="s">
        <v>454</v>
      </c>
      <c r="C83" s="75" t="n">
        <f aca="false">C80+C81+C82</f>
        <v>3000000</v>
      </c>
      <c r="D83" s="75" t="n">
        <f aca="false">D80+D81+D82</f>
        <v>2975000</v>
      </c>
      <c r="E83" s="75" t="n">
        <f aca="false">E80+E81+E82</f>
        <v>2950000</v>
      </c>
      <c r="F83" s="75" t="n">
        <f aca="false">F80+F81+F82</f>
        <v>2925000</v>
      </c>
      <c r="G83" s="75" t="n">
        <f aca="false">G80+G81+G82</f>
        <v>2900000</v>
      </c>
      <c r="H83" s="75" t="n">
        <f aca="false">H80+H81+H82</f>
        <v>2875000</v>
      </c>
      <c r="I83" s="75" t="n">
        <f aca="false">I80+I81+I82</f>
        <v>2850000</v>
      </c>
      <c r="J83" s="75" t="n">
        <f aca="false">J80+J81+J82</f>
        <v>2825000</v>
      </c>
      <c r="K83" s="75" t="n">
        <f aca="false">K80+K81+K82</f>
        <v>2800000</v>
      </c>
      <c r="L83" s="75" t="n">
        <f aca="false">L80+L81+L82</f>
        <v>2775000</v>
      </c>
      <c r="M83" s="75" t="n">
        <f aca="false">M80+M81+M82</f>
        <v>2750000</v>
      </c>
      <c r="N83" s="75" t="n">
        <f aca="false">N80+N81+N82</f>
        <v>2725000</v>
      </c>
      <c r="O83" s="75" t="n">
        <f aca="false">O80+O81+O82</f>
        <v>2700000</v>
      </c>
      <c r="P83" s="75" t="n">
        <f aca="false">P80+P81+P82</f>
        <v>2675000</v>
      </c>
      <c r="Q83" s="75" t="n">
        <f aca="false">Q80+Q81+Q82</f>
        <v>2650000</v>
      </c>
      <c r="R83" s="75" t="n">
        <f aca="false">R80+R81+R82</f>
        <v>2625000</v>
      </c>
      <c r="S83" s="75" t="n">
        <f aca="false">S80+S81+S82</f>
        <v>2600000</v>
      </c>
      <c r="T83" s="75" t="n">
        <f aca="false">T80+T81+T82</f>
        <v>2575000</v>
      </c>
      <c r="U83" s="75" t="n">
        <f aca="false">U80+U81+U82</f>
        <v>2550000</v>
      </c>
      <c r="V83" s="75" t="n">
        <f aca="false">V80+V81+V82</f>
        <v>2525000</v>
      </c>
      <c r="W83" s="75" t="n">
        <f aca="false">W80+W81+W82</f>
        <v>2500000</v>
      </c>
      <c r="X83" s="75" t="n">
        <f aca="false">X80+X81+X82</f>
        <v>2475000</v>
      </c>
      <c r="Y83" s="75" t="n">
        <f aca="false">Y80+Y81+Y82</f>
        <v>2450000</v>
      </c>
      <c r="Z83" s="75" t="n">
        <f aca="false">Z80+Z81+Z82</f>
        <v>2425000</v>
      </c>
      <c r="AA83" s="75" t="n">
        <f aca="false">AA80+AA81+AA82</f>
        <v>2400000</v>
      </c>
      <c r="AB83" s="75" t="n">
        <f aca="false">AB80+AB81+AB82</f>
        <v>2375000</v>
      </c>
      <c r="AC83" s="75" t="n">
        <f aca="false">AC80+AC81+AC82</f>
        <v>2350000</v>
      </c>
      <c r="AD83" s="75" t="n">
        <f aca="false">AD80+AD81+AD82</f>
        <v>2325000</v>
      </c>
      <c r="AE83" s="75" t="n">
        <f aca="false">AE80+AE81+AE82</f>
        <v>2300000</v>
      </c>
      <c r="AF83" s="75" t="n">
        <f aca="false">AF80+AF81+AF82</f>
        <v>2275000</v>
      </c>
      <c r="AG83" s="75" t="n">
        <f aca="false">AG80+AG81+AG82</f>
        <v>2250000</v>
      </c>
      <c r="AH83" s="75" t="n">
        <f aca="false">AH80+AH81+AH82</f>
        <v>2225000</v>
      </c>
      <c r="AI83" s="75" t="n">
        <f aca="false">AI80+AI81+AI82</f>
        <v>2200000</v>
      </c>
      <c r="AJ83" s="75" t="n">
        <f aca="false">AJ80+AJ81+AJ82</f>
        <v>2175000</v>
      </c>
      <c r="AK83" s="75" t="n">
        <f aca="false">AK80+AK81+AK82</f>
        <v>2150000</v>
      </c>
      <c r="AL83" s="75" t="n">
        <f aca="false">AL80+AL81+AL82</f>
        <v>2125000</v>
      </c>
      <c r="AM83" s="75" t="n">
        <f aca="false">AM80+AM81+AM82</f>
        <v>2100000</v>
      </c>
      <c r="AN83" s="75" t="n">
        <f aca="false">AN80+AN81+AN82</f>
        <v>2075000</v>
      </c>
      <c r="AO83" s="75" t="n">
        <f aca="false">AO80+AO81+AO82</f>
        <v>2050000</v>
      </c>
      <c r="AP83" s="75" t="n">
        <f aca="false">AP80+AP81+AP82</f>
        <v>2025000</v>
      </c>
      <c r="AQ83" s="75" t="n">
        <f aca="false">AQ80+AQ81+AQ82</f>
        <v>2000000</v>
      </c>
      <c r="AR83" s="75" t="n">
        <f aca="false">AR80+AR81+AR82</f>
        <v>1975000</v>
      </c>
      <c r="AS83" s="75" t="n">
        <f aca="false">AS80+AS81+AS82</f>
        <v>1950000</v>
      </c>
      <c r="AT83" s="75" t="n">
        <f aca="false">AT80+AT81+AT82</f>
        <v>1925000</v>
      </c>
      <c r="AU83" s="75" t="n">
        <f aca="false">AU80+AU81+AU82</f>
        <v>1900000</v>
      </c>
      <c r="AV83" s="75" t="n">
        <f aca="false">AV80+AV81+AV82</f>
        <v>1875000</v>
      </c>
      <c r="AW83" s="75" t="n">
        <f aca="false">AW80+AW81+AW82</f>
        <v>1850000</v>
      </c>
      <c r="AX83" s="75" t="n">
        <f aca="false">AX80+AX81+AX82</f>
        <v>1825000</v>
      </c>
      <c r="AY83" s="75" t="n">
        <f aca="false">AY80+AY81+AY82</f>
        <v>1800000</v>
      </c>
      <c r="AZ83" s="75" t="n">
        <f aca="false">AZ80+AZ81+AZ82</f>
        <v>1775000</v>
      </c>
      <c r="BA83" s="75" t="n">
        <f aca="false">BA80+BA81+BA82</f>
        <v>1750000</v>
      </c>
      <c r="BB83" s="75" t="n">
        <f aca="false">BB80+BB81+BB82</f>
        <v>1725000</v>
      </c>
      <c r="BC83" s="75" t="n">
        <f aca="false">BC80+BC81+BC82</f>
        <v>1700000</v>
      </c>
      <c r="BD83" s="75" t="n">
        <f aca="false">BD80+BD81+BD82</f>
        <v>1675000</v>
      </c>
      <c r="BE83" s="75" t="n">
        <f aca="false">BE80+BE81+BE82</f>
        <v>1650000</v>
      </c>
      <c r="BF83" s="75" t="n">
        <f aca="false">BF80+BF81+BF82</f>
        <v>1625000</v>
      </c>
      <c r="BG83" s="75" t="n">
        <f aca="false">BG80+BG81+BG82</f>
        <v>1600000</v>
      </c>
      <c r="BH83" s="75" t="n">
        <f aca="false">BH80+BH81+BH82</f>
        <v>1575000</v>
      </c>
      <c r="BI83" s="75" t="n">
        <f aca="false">BI80+BI81+BI82</f>
        <v>1550000</v>
      </c>
      <c r="BJ83" s="75" t="n">
        <f aca="false">BJ80+BJ81+BJ82</f>
        <v>1525000</v>
      </c>
    </row>
    <row r="85" customFormat="false" ht="15.75" hidden="false" customHeight="true" outlineLevel="0" collapsed="false">
      <c r="A85" s="7" t="s">
        <v>324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customFormat="false" ht="15" hidden="false" customHeight="false" outlineLevel="0" collapsed="false">
      <c r="A86" s="6" t="s">
        <v>90</v>
      </c>
      <c r="C86" s="69" t="n">
        <f aca="false">C39*Inputs!$B$73/30</f>
        <v>1766.44693333333</v>
      </c>
      <c r="D86" s="69" t="n">
        <f aca="false">D39*Inputs!$B$73/30</f>
        <v>2025.32743111111</v>
      </c>
      <c r="E86" s="69" t="n">
        <f aca="false">E39*Inputs!$B$73/30</f>
        <v>2918.52097066667</v>
      </c>
      <c r="F86" s="69" t="n">
        <f aca="false">F39*Inputs!$B$73/30</f>
        <v>3272.1191888</v>
      </c>
      <c r="G86" s="69" t="n">
        <f aca="false">G39*Inputs!$B$73/30</f>
        <v>3631.69402936</v>
      </c>
      <c r="H86" s="69" t="n">
        <f aca="false">H39*Inputs!$B$73/30</f>
        <v>3996.94666122533</v>
      </c>
      <c r="I86" s="69" t="n">
        <f aca="false">I39*Inputs!$B$73/30</f>
        <v>4367.59319483073</v>
      </c>
      <c r="J86" s="69" t="n">
        <f aca="false">J39*Inputs!$B$73/30</f>
        <v>4743.3639350892</v>
      </c>
      <c r="K86" s="69" t="n">
        <f aca="false">K39*Inputs!$B$73/30</f>
        <v>5124.00267166807</v>
      </c>
      <c r="L86" s="69" t="n">
        <f aca="false">L39*Inputs!$B$73/30</f>
        <v>5509.26600475133</v>
      </c>
      <c r="M86" s="69" t="n">
        <f aca="false">M39*Inputs!$B$73/30</f>
        <v>5898.92270451377</v>
      </c>
      <c r="N86" s="69" t="n">
        <f aca="false">N39*Inputs!$B$73/30</f>
        <v>4996.0483915103</v>
      </c>
      <c r="O86" s="69" t="n">
        <f aca="false">O39*Inputs!$B$73/30</f>
        <v>5354.33959076525</v>
      </c>
      <c r="P86" s="69" t="n">
        <f aca="false">P39*Inputs!$B$73/30</f>
        <v>5438.99679789365</v>
      </c>
      <c r="Q86" s="69" t="n">
        <f aca="false">Q39*Inputs!$B$73/30</f>
        <v>6904.0961313323</v>
      </c>
      <c r="R86" s="69" t="n">
        <f aca="false">R39*Inputs!$B$73/30</f>
        <v>6999.99468476569</v>
      </c>
      <c r="S86" s="69" t="n">
        <f aca="false">S39*Inputs!$B$73/30</f>
        <v>7091.0983105274</v>
      </c>
      <c r="T86" s="69" t="n">
        <f aca="false">T39*Inputs!$B$73/30</f>
        <v>7177.64675500103</v>
      </c>
      <c r="U86" s="69" t="n">
        <f aca="false">U39*Inputs!$B$73/30</f>
        <v>7259.86777725098</v>
      </c>
      <c r="V86" s="69" t="n">
        <f aca="false">V39*Inputs!$B$73/30</f>
        <v>7337.97774838843</v>
      </c>
      <c r="W86" s="69" t="n">
        <f aca="false">W39*Inputs!$B$73/30</f>
        <v>7412.18222096901</v>
      </c>
      <c r="X86" s="69" t="n">
        <f aca="false">X39*Inputs!$B$73/30</f>
        <v>7482.67646992056</v>
      </c>
      <c r="Y86" s="69" t="n">
        <f aca="false">Y39*Inputs!$B$73/30</f>
        <v>7549.64600642453</v>
      </c>
      <c r="Z86" s="69" t="n">
        <f aca="false">Z39*Inputs!$B$73/30</f>
        <v>6228.59207943664</v>
      </c>
      <c r="AA86" s="69" t="n">
        <f aca="false">AA39*Inputs!$B$73/30</f>
        <v>6332.23202875279</v>
      </c>
      <c r="AB86" s="69" t="n">
        <f aca="false">AB39*Inputs!$B$73/30</f>
        <v>6371.51835584848</v>
      </c>
      <c r="AC86" s="69" t="n">
        <f aca="false">AC39*Inputs!$B$73/30</f>
        <v>7807.36210312272</v>
      </c>
      <c r="AD86" s="69" t="n">
        <f aca="false">AD39*Inputs!$B$73/30</f>
        <v>7862.50839156659</v>
      </c>
      <c r="AE86" s="69" t="n">
        <f aca="false">AE39*Inputs!$B$73/30</f>
        <v>7914.89736558826</v>
      </c>
      <c r="AF86" s="69" t="n">
        <f aca="false">AF39*Inputs!$B$73/30</f>
        <v>7964.66689090884</v>
      </c>
      <c r="AG86" s="69" t="n">
        <f aca="false">AG39*Inputs!$B$73/30</f>
        <v>8011.9479399634</v>
      </c>
      <c r="AH86" s="69" t="n">
        <f aca="false">AH39*Inputs!$B$73/30</f>
        <v>8056.86493656523</v>
      </c>
      <c r="AI86" s="69" t="n">
        <f aca="false">AI39*Inputs!$B$73/30</f>
        <v>8099.53608333697</v>
      </c>
      <c r="AJ86" s="69" t="n">
        <f aca="false">AJ39*Inputs!$B$73/30</f>
        <v>8140.07367277012</v>
      </c>
      <c r="AK86" s="69" t="n">
        <f aca="false">AK39*Inputs!$B$73/30</f>
        <v>8178.58438273162</v>
      </c>
      <c r="AL86" s="69" t="n">
        <f aca="false">AL39*Inputs!$B$73/30</f>
        <v>6816.6478206617</v>
      </c>
      <c r="AM86" s="69" t="n">
        <f aca="false">AM39*Inputs!$B$73/30</f>
        <v>6900.03049174357</v>
      </c>
      <c r="AN86" s="69" t="n">
        <f aca="false">AN39*Inputs!$B$73/30</f>
        <v>6914.48587497506</v>
      </c>
      <c r="AO86" s="69" t="n">
        <f aca="false">AO39*Inputs!$B$73/30</f>
        <v>8340.72544294364</v>
      </c>
      <c r="AP86" s="69" t="n">
        <f aca="false">AP39*Inputs!$B$73/30</f>
        <v>8373.65870833246</v>
      </c>
      <c r="AQ86" s="69" t="n">
        <f aca="false">AQ39*Inputs!$B$73/30</f>
        <v>8404.94531045183</v>
      </c>
      <c r="AR86" s="69" t="n">
        <f aca="false">AR39*Inputs!$B$73/30</f>
        <v>8434.66758246524</v>
      </c>
      <c r="AS86" s="69" t="n">
        <f aca="false">AS39*Inputs!$B$73/30</f>
        <v>8462.90374087798</v>
      </c>
      <c r="AT86" s="69" t="n">
        <f aca="false">AT39*Inputs!$B$73/30</f>
        <v>8489.72809137008</v>
      </c>
      <c r="AU86" s="69" t="n">
        <f aca="false">AU39*Inputs!$B$73/30</f>
        <v>8515.21122433758</v>
      </c>
      <c r="AV86" s="69" t="n">
        <f aca="false">AV39*Inputs!$B$73/30</f>
        <v>8539.4202006567</v>
      </c>
      <c r="AW86" s="69" t="n">
        <f aca="false">AW39*Inputs!$B$73/30</f>
        <v>8562.41872815986</v>
      </c>
      <c r="AX86" s="69" t="n">
        <f aca="false">AX39*Inputs!$B$73/30</f>
        <v>7171.7603753892</v>
      </c>
      <c r="AY86" s="69" t="n">
        <f aca="false">AY39*Inputs!$B$73/30</f>
        <v>7244.35555708279</v>
      </c>
      <c r="AZ86" s="69" t="n">
        <f aca="false">AZ39*Inputs!$B$73/30</f>
        <v>7245.18925612551</v>
      </c>
      <c r="BA86" s="69" t="n">
        <f aca="false">BA39*Inputs!$B$73/30</f>
        <v>8672.61329365374</v>
      </c>
      <c r="BB86" s="69" t="n">
        <f aca="false">BB39*Inputs!$B$73/30</f>
        <v>8693.45186188241</v>
      </c>
      <c r="BC86" s="69" t="n">
        <f aca="false">BC39*Inputs!$B$73/30</f>
        <v>8713.24850169965</v>
      </c>
      <c r="BD86" s="69" t="n">
        <f aca="false">BD39*Inputs!$B$73/30</f>
        <v>8732.05530952603</v>
      </c>
      <c r="BE86" s="69" t="n">
        <f aca="false">BE39*Inputs!$B$73/30</f>
        <v>8749.92177696109</v>
      </c>
      <c r="BF86" s="69" t="n">
        <f aca="false">BF39*Inputs!$B$73/30</f>
        <v>8766.89492102439</v>
      </c>
      <c r="BG86" s="69" t="n">
        <f aca="false">BG39*Inputs!$B$73/30</f>
        <v>8783.01940788453</v>
      </c>
      <c r="BH86" s="69" t="n">
        <f aca="false">BH39*Inputs!$B$73/30</f>
        <v>8798.33767040167</v>
      </c>
      <c r="BI86" s="69" t="n">
        <f aca="false">BI39*Inputs!$B$73/30</f>
        <v>8812.89001979294</v>
      </c>
      <c r="BJ86" s="69" t="n">
        <f aca="false">BJ39*Inputs!$B$73/30</f>
        <v>7400.082728277</v>
      </c>
    </row>
    <row r="87" customFormat="false" ht="15" hidden="false" customHeight="false" outlineLevel="0" collapsed="false">
      <c r="A87" s="6" t="s">
        <v>91</v>
      </c>
      <c r="C87" s="69" t="n">
        <f aca="false">-C47*Inputs!$B$74/30</f>
        <v>2370.786328</v>
      </c>
      <c r="D87" s="69" t="n">
        <f aca="false">-D47*Inputs!$B$74/30</f>
        <v>2715.10373693333</v>
      </c>
      <c r="E87" s="69" t="n">
        <f aca="false">-E47*Inputs!$B$74/30</f>
        <v>4067.16430557333</v>
      </c>
      <c r="F87" s="69" t="n">
        <f aca="false">-F47*Inputs!$B$74/30</f>
        <v>4565.171679628</v>
      </c>
      <c r="G87" s="69" t="n">
        <f aca="false">-G47*Inputs!$B$74/30</f>
        <v>5075.11735697993</v>
      </c>
      <c r="H87" s="69" t="n">
        <f aca="false">-H47*Inputs!$B$74/30</f>
        <v>5596.40442246427</v>
      </c>
      <c r="I87" s="69" t="n">
        <f aca="false">-I47*Inputs!$B$74/30</f>
        <v>6128.46580667439</v>
      </c>
      <c r="J87" s="69" t="n">
        <f aca="false">-J47*Inputs!$B$74/30</f>
        <v>6670.762793674</v>
      </c>
      <c r="K87" s="69" t="n">
        <f aca="false">-K47*Inputs!$B$74/30</f>
        <v>7222.78360332364</v>
      </c>
      <c r="L87" s="69" t="n">
        <f aca="false">-L47*Inputs!$B$74/30</f>
        <v>7784.04204449079</v>
      </c>
      <c r="M87" s="69" t="n">
        <f aca="false">-M47*Inputs!$B$74/30</f>
        <v>8354.07623559958</v>
      </c>
      <c r="N87" s="69" t="n">
        <f aca="false">-N47*Inputs!$B$74/30</f>
        <v>6753.35066668865</v>
      </c>
      <c r="O87" s="69" t="n">
        <f aca="false">-O47*Inputs!$B$74/30</f>
        <v>7418.58997782379</v>
      </c>
      <c r="P87" s="69" t="n">
        <f aca="false">-P47*Inputs!$B$74/30</f>
        <v>7553.8110069326</v>
      </c>
      <c r="Q87" s="69" t="n">
        <f aca="false">-Q47*Inputs!$B$74/30</f>
        <v>10151.889067608</v>
      </c>
      <c r="R87" s="69" t="n">
        <f aca="false">-R47*Inputs!$B$74/30</f>
        <v>10348.4526174276</v>
      </c>
      <c r="S87" s="69" t="n">
        <f aca="false">-S47*Inputs!$B$74/30</f>
        <v>10535.1879897563</v>
      </c>
      <c r="T87" s="69" t="n">
        <f aca="false">-T47*Inputs!$B$74/30</f>
        <v>10712.5865934684</v>
      </c>
      <c r="U87" s="69" t="n">
        <f aca="false">-U47*Inputs!$B$74/30</f>
        <v>10881.115266995</v>
      </c>
      <c r="V87" s="69" t="n">
        <f aca="false">-V47*Inputs!$B$74/30</f>
        <v>11041.2175068453</v>
      </c>
      <c r="W87" s="69" t="n">
        <f aca="false">-W47*Inputs!$B$74/30</f>
        <v>11193.314634703</v>
      </c>
      <c r="X87" s="69" t="n">
        <f aca="false">-X47*Inputs!$B$74/30</f>
        <v>11337.8069061679</v>
      </c>
      <c r="Y87" s="69" t="n">
        <f aca="false">-Y47*Inputs!$B$74/30</f>
        <v>11475.0745640595</v>
      </c>
      <c r="Z87" s="69" t="n">
        <f aca="false">-Z47*Inputs!$B$74/30</f>
        <v>8815.01356925857</v>
      </c>
      <c r="AA87" s="69" t="n">
        <f aca="false">-AA47*Inputs!$B$74/30</f>
        <v>9190.48929158012</v>
      </c>
      <c r="AB87" s="69" t="n">
        <f aca="false">-AB47*Inputs!$B$74/30</f>
        <v>9254.82428197712</v>
      </c>
      <c r="AC87" s="69" t="n">
        <f aca="false">-AC47*Inputs!$B$74/30</f>
        <v>12263.0111788305</v>
      </c>
      <c r="AD87" s="69" t="n">
        <f aca="false">-AD47*Inputs!$B$74/30</f>
        <v>12379.008999025</v>
      </c>
      <c r="AE87" s="69" t="n">
        <f aca="false">-AE47*Inputs!$B$74/30</f>
        <v>12489.2069282097</v>
      </c>
      <c r="AF87" s="69" t="n">
        <f aca="false">-AF47*Inputs!$B$74/30</f>
        <v>12593.8949609353</v>
      </c>
      <c r="AG87" s="69" t="n">
        <f aca="false">-AG47*Inputs!$B$74/30</f>
        <v>12693.3485920245</v>
      </c>
      <c r="AH87" s="69" t="n">
        <f aca="false">-AH47*Inputs!$B$74/30</f>
        <v>12787.8295415593</v>
      </c>
      <c r="AI87" s="69" t="n">
        <f aca="false">-AI47*Inputs!$B$74/30</f>
        <v>12877.5864436173</v>
      </c>
      <c r="AJ87" s="69" t="n">
        <f aca="false">-AJ47*Inputs!$B$74/30</f>
        <v>12962.8555005724</v>
      </c>
      <c r="AK87" s="69" t="n">
        <f aca="false">-AK47*Inputs!$B$74/30</f>
        <v>13043.8611046798</v>
      </c>
      <c r="AL87" s="69" t="n">
        <f aca="false">-AL47*Inputs!$B$74/30</f>
        <v>9983.76490741207</v>
      </c>
      <c r="AM87" s="69" t="n">
        <f aca="false">-AM47*Inputs!$B$74/30</f>
        <v>10359.5852255194</v>
      </c>
      <c r="AN87" s="69" t="n">
        <f aca="false">-AN47*Inputs!$B$74/30</f>
        <v>10383.857332333</v>
      </c>
      <c r="AO87" s="69" t="n">
        <f aca="false">-AO47*Inputs!$B$74/30</f>
        <v>13680.2011222407</v>
      </c>
      <c r="AP87" s="69" t="n">
        <f aca="false">-AP47*Inputs!$B$74/30</f>
        <v>13751.2976767962</v>
      </c>
      <c r="AQ87" s="69" t="n">
        <f aca="false">-AQ47*Inputs!$B$74/30</f>
        <v>13818.8394036239</v>
      </c>
      <c r="AR87" s="69" t="n">
        <f aca="false">-AR47*Inputs!$B$74/30</f>
        <v>13883.0040441103</v>
      </c>
      <c r="AS87" s="69" t="n">
        <f aca="false">-AS47*Inputs!$B$74/30</f>
        <v>13943.9604525723</v>
      </c>
      <c r="AT87" s="69" t="n">
        <f aca="false">-AT47*Inputs!$B$74/30</f>
        <v>14001.8690406112</v>
      </c>
      <c r="AU87" s="69" t="n">
        <f aca="false">-AU47*Inputs!$B$74/30</f>
        <v>14056.8821992481</v>
      </c>
      <c r="AV87" s="69" t="n">
        <f aca="false">-AV47*Inputs!$B$74/30</f>
        <v>14109.1446999533</v>
      </c>
      <c r="AW87" s="69" t="n">
        <f aca="false">-AW47*Inputs!$B$74/30</f>
        <v>14158.7940756231</v>
      </c>
      <c r="AX87" s="69" t="n">
        <f aca="false">-AX47*Inputs!$B$74/30</f>
        <v>10815.8482421882</v>
      </c>
      <c r="AY87" s="69" t="n">
        <f aca="false">-AY47*Inputs!$B$74/30</f>
        <v>11198.3565553911</v>
      </c>
      <c r="AZ87" s="69" t="n">
        <f aca="false">-AZ47*Inputs!$B$74/30</f>
        <v>11199.7920606985</v>
      </c>
      <c r="BA87" s="69" t="n">
        <f aca="false">-BA47*Inputs!$B$74/30</f>
        <v>14717.9394918432</v>
      </c>
      <c r="BB87" s="69" t="n">
        <f aca="false">-BB47*Inputs!$B$74/30</f>
        <v>14764.113611675</v>
      </c>
      <c r="BC87" s="69" t="n">
        <f aca="false">-BC47*Inputs!$B$74/30</f>
        <v>14807.9790255152</v>
      </c>
      <c r="BD87" s="69" t="n">
        <f aca="false">-BD47*Inputs!$B$74/30</f>
        <v>14849.6511686634</v>
      </c>
      <c r="BE87" s="69" t="n">
        <f aca="false">-BE47*Inputs!$B$74/30</f>
        <v>14889.2397046542</v>
      </c>
      <c r="BF87" s="69" t="n">
        <f aca="false">-BF47*Inputs!$B$74/30</f>
        <v>14926.8488138455</v>
      </c>
      <c r="BG87" s="69" t="n">
        <f aca="false">-BG47*Inputs!$B$74/30</f>
        <v>14962.5774675771</v>
      </c>
      <c r="BH87" s="69" t="n">
        <f aca="false">-BH47*Inputs!$B$74/30</f>
        <v>14996.5196886222</v>
      </c>
      <c r="BI87" s="69" t="n">
        <f aca="false">-BI47*Inputs!$B$74/30</f>
        <v>15028.7647986151</v>
      </c>
      <c r="BJ87" s="69" t="n">
        <f aca="false">-BJ47*Inputs!$B$74/30</f>
        <v>11466.4954991729</v>
      </c>
    </row>
    <row r="88" customFormat="false" ht="15" hidden="false" customHeight="false" outlineLevel="0" collapsed="false">
      <c r="A88" s="6" t="s">
        <v>94</v>
      </c>
      <c r="C88" s="69" t="n">
        <f aca="false">-C47*Inputs!$B$75/30</f>
        <v>3951.31054666667</v>
      </c>
      <c r="D88" s="69" t="n">
        <f aca="false">-D47*Inputs!$B$75/30</f>
        <v>4525.17289488889</v>
      </c>
      <c r="E88" s="69" t="n">
        <f aca="false">-E47*Inputs!$B$75/30</f>
        <v>6778.60717595555</v>
      </c>
      <c r="F88" s="69" t="n">
        <f aca="false">-F47*Inputs!$B$75/30</f>
        <v>7608.61946604667</v>
      </c>
      <c r="G88" s="69" t="n">
        <f aca="false">-G47*Inputs!$B$75/30</f>
        <v>8458.52892829989</v>
      </c>
      <c r="H88" s="69" t="n">
        <f aca="false">-H47*Inputs!$B$75/30</f>
        <v>9327.34070410712</v>
      </c>
      <c r="I88" s="69" t="n">
        <f aca="false">-I47*Inputs!$B$75/30</f>
        <v>10214.1096777906</v>
      </c>
      <c r="J88" s="69" t="n">
        <f aca="false">-J47*Inputs!$B$75/30</f>
        <v>11117.9379894567</v>
      </c>
      <c r="K88" s="69" t="n">
        <f aca="false">-K47*Inputs!$B$75/30</f>
        <v>12037.9726722061</v>
      </c>
      <c r="L88" s="69" t="n">
        <f aca="false">-L47*Inputs!$B$75/30</f>
        <v>12973.4034074846</v>
      </c>
      <c r="M88" s="69" t="n">
        <f aca="false">-M47*Inputs!$B$75/30</f>
        <v>13923.460392666</v>
      </c>
      <c r="N88" s="69" t="n">
        <f aca="false">-N47*Inputs!$B$75/30</f>
        <v>11255.5844444811</v>
      </c>
      <c r="O88" s="69" t="n">
        <f aca="false">-O47*Inputs!$B$75/30</f>
        <v>12364.3166297063</v>
      </c>
      <c r="P88" s="69" t="n">
        <f aca="false">-P47*Inputs!$B$75/30</f>
        <v>12589.6850115543</v>
      </c>
      <c r="Q88" s="69" t="n">
        <f aca="false">-Q47*Inputs!$B$75/30</f>
        <v>16919.8151126801</v>
      </c>
      <c r="R88" s="69" t="n">
        <f aca="false">-R47*Inputs!$B$75/30</f>
        <v>17247.4210290461</v>
      </c>
      <c r="S88" s="69" t="n">
        <f aca="false">-S47*Inputs!$B$75/30</f>
        <v>17558.6466495938</v>
      </c>
      <c r="T88" s="69" t="n">
        <f aca="false">-T47*Inputs!$B$75/30</f>
        <v>17854.3109891141</v>
      </c>
      <c r="U88" s="69" t="n">
        <f aca="false">-U47*Inputs!$B$75/30</f>
        <v>18135.1921116584</v>
      </c>
      <c r="V88" s="69" t="n">
        <f aca="false">-V47*Inputs!$B$75/30</f>
        <v>18402.0291780755</v>
      </c>
      <c r="W88" s="69" t="n">
        <f aca="false">-W47*Inputs!$B$75/30</f>
        <v>18655.5243911717</v>
      </c>
      <c r="X88" s="69" t="n">
        <f aca="false">-X47*Inputs!$B$75/30</f>
        <v>18896.3448436131</v>
      </c>
      <c r="Y88" s="69" t="n">
        <f aca="false">-Y47*Inputs!$B$75/30</f>
        <v>19125.1242734325</v>
      </c>
      <c r="Z88" s="69" t="n">
        <f aca="false">-Z47*Inputs!$B$75/30</f>
        <v>14691.6892820976</v>
      </c>
      <c r="AA88" s="69" t="n">
        <f aca="false">-AA47*Inputs!$B$75/30</f>
        <v>15317.4821526335</v>
      </c>
      <c r="AB88" s="69" t="n">
        <f aca="false">-AB47*Inputs!$B$75/30</f>
        <v>15424.7071366285</v>
      </c>
      <c r="AC88" s="69" t="n">
        <f aca="false">-AC47*Inputs!$B$75/30</f>
        <v>20438.3519647175</v>
      </c>
      <c r="AD88" s="69" t="n">
        <f aca="false">-AD47*Inputs!$B$75/30</f>
        <v>20631.6816650417</v>
      </c>
      <c r="AE88" s="69" t="n">
        <f aca="false">-AE47*Inputs!$B$75/30</f>
        <v>20815.3448803496</v>
      </c>
      <c r="AF88" s="69" t="n">
        <f aca="false">-AF47*Inputs!$B$75/30</f>
        <v>20989.8249348921</v>
      </c>
      <c r="AG88" s="69" t="n">
        <f aca="false">-AG47*Inputs!$B$75/30</f>
        <v>21155.5809867075</v>
      </c>
      <c r="AH88" s="69" t="n">
        <f aca="false">-AH47*Inputs!$B$75/30</f>
        <v>21313.0492359321</v>
      </c>
      <c r="AI88" s="69" t="n">
        <f aca="false">-AI47*Inputs!$B$75/30</f>
        <v>21462.6440726955</v>
      </c>
      <c r="AJ88" s="69" t="n">
        <f aca="false">-AJ47*Inputs!$B$75/30</f>
        <v>21604.7591676207</v>
      </c>
      <c r="AK88" s="69" t="n">
        <f aca="false">-AK47*Inputs!$B$75/30</f>
        <v>21739.7685077997</v>
      </c>
      <c r="AL88" s="69" t="n">
        <f aca="false">-AL47*Inputs!$B$75/30</f>
        <v>16639.6081790201</v>
      </c>
      <c r="AM88" s="69" t="n">
        <f aca="false">-AM47*Inputs!$B$75/30</f>
        <v>17265.9753758657</v>
      </c>
      <c r="AN88" s="69" t="n">
        <f aca="false">-AN47*Inputs!$B$75/30</f>
        <v>17306.4288872217</v>
      </c>
      <c r="AO88" s="69" t="n">
        <f aca="false">-AO47*Inputs!$B$75/30</f>
        <v>22800.3352037346</v>
      </c>
      <c r="AP88" s="69" t="n">
        <f aca="false">-AP47*Inputs!$B$75/30</f>
        <v>22918.8294613271</v>
      </c>
      <c r="AQ88" s="69" t="n">
        <f aca="false">-AQ47*Inputs!$B$75/30</f>
        <v>23031.3990060399</v>
      </c>
      <c r="AR88" s="69" t="n">
        <f aca="false">-AR47*Inputs!$B$75/30</f>
        <v>23138.3400735171</v>
      </c>
      <c r="AS88" s="69" t="n">
        <f aca="false">-AS47*Inputs!$B$75/30</f>
        <v>23239.9340876205</v>
      </c>
      <c r="AT88" s="69" t="n">
        <f aca="false">-AT47*Inputs!$B$75/30</f>
        <v>23336.4484010186</v>
      </c>
      <c r="AU88" s="69" t="n">
        <f aca="false">-AU47*Inputs!$B$75/30</f>
        <v>23428.1369987469</v>
      </c>
      <c r="AV88" s="69" t="n">
        <f aca="false">-AV47*Inputs!$B$75/30</f>
        <v>23515.2411665888</v>
      </c>
      <c r="AW88" s="69" t="n">
        <f aca="false">-AW47*Inputs!$B$75/30</f>
        <v>23597.9901260385</v>
      </c>
      <c r="AX88" s="69" t="n">
        <f aca="false">-AX47*Inputs!$B$75/30</f>
        <v>18026.4137369803</v>
      </c>
      <c r="AY88" s="69" t="n">
        <f aca="false">-AY47*Inputs!$B$75/30</f>
        <v>18663.9275923186</v>
      </c>
      <c r="AZ88" s="69" t="n">
        <f aca="false">-AZ47*Inputs!$B$75/30</f>
        <v>18666.3201011641</v>
      </c>
      <c r="BA88" s="69" t="n">
        <f aca="false">-BA47*Inputs!$B$75/30</f>
        <v>24529.899153072</v>
      </c>
      <c r="BB88" s="69" t="n">
        <f aca="false">-BB47*Inputs!$B$75/30</f>
        <v>24606.8560194583</v>
      </c>
      <c r="BC88" s="69" t="n">
        <f aca="false">-BC47*Inputs!$B$75/30</f>
        <v>24679.9650425254</v>
      </c>
      <c r="BD88" s="69" t="n">
        <f aca="false">-BD47*Inputs!$B$75/30</f>
        <v>24749.418614439</v>
      </c>
      <c r="BE88" s="69" t="n">
        <f aca="false">-BE47*Inputs!$B$75/30</f>
        <v>24815.399507757</v>
      </c>
      <c r="BF88" s="69" t="n">
        <f aca="false">-BF47*Inputs!$B$75/30</f>
        <v>24878.0813564091</v>
      </c>
      <c r="BG88" s="69" t="n">
        <f aca="false">-BG47*Inputs!$B$75/30</f>
        <v>24937.6291126286</v>
      </c>
      <c r="BH88" s="69" t="n">
        <f aca="false">-BH47*Inputs!$B$75/30</f>
        <v>24994.1994810371</v>
      </c>
      <c r="BI88" s="69" t="n">
        <f aca="false">-BI47*Inputs!$B$75/30</f>
        <v>25047.9413310252</v>
      </c>
      <c r="BJ88" s="69" t="n">
        <f aca="false">-BJ47*Inputs!$B$75/30</f>
        <v>19110.8258319549</v>
      </c>
    </row>
    <row r="89" customFormat="false" ht="15" hidden="false" customHeight="false" outlineLevel="0" collapsed="false">
      <c r="A89" s="6" t="s">
        <v>346</v>
      </c>
      <c r="C89" s="69" t="n">
        <f aca="false">-C86</f>
        <v>-1766.44693333333</v>
      </c>
      <c r="D89" s="69" t="n">
        <f aca="false">C86-D86</f>
        <v>-258.880497777778</v>
      </c>
      <c r="E89" s="69" t="n">
        <f aca="false">D86-E86</f>
        <v>-893.193539555554</v>
      </c>
      <c r="F89" s="69" t="n">
        <f aca="false">E86-F86</f>
        <v>-353.598218133333</v>
      </c>
      <c r="G89" s="69" t="n">
        <f aca="false">F86-G86</f>
        <v>-359.574840560001</v>
      </c>
      <c r="H89" s="69" t="n">
        <f aca="false">G86-H86</f>
        <v>-365.252631865334</v>
      </c>
      <c r="I89" s="69" t="n">
        <f aca="false">H86-I86</f>
        <v>-370.646533605399</v>
      </c>
      <c r="J89" s="69" t="n">
        <f aca="false">I86-J86</f>
        <v>-375.770740258463</v>
      </c>
      <c r="K89" s="69" t="n">
        <f aca="false">J86-K86</f>
        <v>-380.638736578874</v>
      </c>
      <c r="L89" s="69" t="n">
        <f aca="false">K86-L86</f>
        <v>-385.263333083262</v>
      </c>
      <c r="M89" s="69" t="n">
        <f aca="false">L86-M86</f>
        <v>-389.656699762433</v>
      </c>
      <c r="N89" s="69" t="n">
        <f aca="false">M86-N86</f>
        <v>902.874313003465</v>
      </c>
      <c r="O89" s="69" t="n">
        <f aca="false">N86-O86</f>
        <v>-358.291199254945</v>
      </c>
      <c r="P89" s="69" t="n">
        <f aca="false">O86-P86</f>
        <v>-84.6572071284036</v>
      </c>
      <c r="Q89" s="69" t="n">
        <f aca="false">P86-Q86</f>
        <v>-1465.09933343865</v>
      </c>
      <c r="R89" s="69" t="n">
        <f aca="false">Q86-R86</f>
        <v>-95.8985534333851</v>
      </c>
      <c r="S89" s="69" t="n">
        <f aca="false">R86-S86</f>
        <v>-91.1036257617161</v>
      </c>
      <c r="T89" s="69" t="n">
        <f aca="false">S86-T86</f>
        <v>-86.5484444736294</v>
      </c>
      <c r="U89" s="69" t="n">
        <f aca="false">T86-U86</f>
        <v>-82.2210222499489</v>
      </c>
      <c r="V89" s="69" t="n">
        <f aca="false">U86-V86</f>
        <v>-78.10997113745</v>
      </c>
      <c r="W89" s="69" t="n">
        <f aca="false">V86-W86</f>
        <v>-74.2044725805799</v>
      </c>
      <c r="X89" s="69" t="n">
        <f aca="false">W86-X86</f>
        <v>-70.4942489515479</v>
      </c>
      <c r="Y89" s="69" t="n">
        <f aca="false">X86-Y86</f>
        <v>-66.9695365039734</v>
      </c>
      <c r="Z89" s="69" t="n">
        <f aca="false">Y86-Z86</f>
        <v>1321.05392698789</v>
      </c>
      <c r="AA89" s="69" t="n">
        <f aca="false">Z86-AA86</f>
        <v>-103.639949316149</v>
      </c>
      <c r="AB89" s="69" t="n">
        <f aca="false">AA86-AB86</f>
        <v>-39.2863270956941</v>
      </c>
      <c r="AC89" s="69" t="n">
        <f aca="false">AB86-AC86</f>
        <v>-1435.84374727424</v>
      </c>
      <c r="AD89" s="69" t="n">
        <f aca="false">AC86-AD86</f>
        <v>-55.1462884438633</v>
      </c>
      <c r="AE89" s="69" t="n">
        <f aca="false">AD86-AE86</f>
        <v>-52.388974021671</v>
      </c>
      <c r="AF89" s="69" t="n">
        <f aca="false">AE86-AF86</f>
        <v>-49.7695253205866</v>
      </c>
      <c r="AG89" s="69" t="n">
        <f aca="false">AF86-AG86</f>
        <v>-47.281049054558</v>
      </c>
      <c r="AH89" s="69" t="n">
        <f aca="false">AG86-AH86</f>
        <v>-44.9169966018299</v>
      </c>
      <c r="AI89" s="69" t="n">
        <f aca="false">AH86-AI86</f>
        <v>-42.6711467717378</v>
      </c>
      <c r="AJ89" s="69" t="n">
        <f aca="false">AI86-AJ86</f>
        <v>-40.537589433151</v>
      </c>
      <c r="AK89" s="69" t="n">
        <f aca="false">AJ86-AK86</f>
        <v>-38.5107099614943</v>
      </c>
      <c r="AL89" s="69" t="n">
        <f aca="false">AK86-AL86</f>
        <v>1361.93656206991</v>
      </c>
      <c r="AM89" s="69" t="n">
        <f aca="false">AL86-AM86</f>
        <v>-83.3826710818685</v>
      </c>
      <c r="AN89" s="69" t="n">
        <f aca="false">AM86-AN86</f>
        <v>-14.4553832314878</v>
      </c>
      <c r="AO89" s="69" t="n">
        <f aca="false">AN86-AO86</f>
        <v>-1426.23956796858</v>
      </c>
      <c r="AP89" s="69" t="n">
        <f aca="false">AO86-AP86</f>
        <v>-32.9332653888177</v>
      </c>
      <c r="AQ89" s="69" t="n">
        <f aca="false">AP86-AQ86</f>
        <v>-31.2866021193786</v>
      </c>
      <c r="AR89" s="69" t="n">
        <f aca="false">AQ86-AR86</f>
        <v>-29.7222720134087</v>
      </c>
      <c r="AS89" s="69" t="n">
        <f aca="false">AR86-AS86</f>
        <v>-28.2361584127375</v>
      </c>
      <c r="AT89" s="69" t="n">
        <f aca="false">AS86-AT86</f>
        <v>-26.8243504921011</v>
      </c>
      <c r="AU89" s="69" t="n">
        <f aca="false">AT86-AU86</f>
        <v>-25.4831329674962</v>
      </c>
      <c r="AV89" s="69" t="n">
        <f aca="false">AU86-AV86</f>
        <v>-24.2089763191216</v>
      </c>
      <c r="AW89" s="69" t="n">
        <f aca="false">AV86-AW86</f>
        <v>-22.998527503165</v>
      </c>
      <c r="AX89" s="69" t="n">
        <f aca="false">AW86-AX86</f>
        <v>1390.65835277066</v>
      </c>
      <c r="AY89" s="69" t="n">
        <f aca="false">AX86-AY86</f>
        <v>-72.5951816935904</v>
      </c>
      <c r="AZ89" s="69" t="n">
        <f aca="false">AY86-AZ86</f>
        <v>-0.833699042713306</v>
      </c>
      <c r="BA89" s="69" t="n">
        <f aca="false">AZ86-BA86</f>
        <v>-1427.42403752823</v>
      </c>
      <c r="BB89" s="69" t="n">
        <f aca="false">BA86-BB86</f>
        <v>-20.8385682286735</v>
      </c>
      <c r="BC89" s="69" t="n">
        <f aca="false">BB86-BC86</f>
        <v>-19.7966398172393</v>
      </c>
      <c r="BD89" s="69" t="n">
        <f aca="false">BC86-BD86</f>
        <v>-18.8068078263786</v>
      </c>
      <c r="BE89" s="69" t="n">
        <f aca="false">BD86-BE86</f>
        <v>-17.8664674350584</v>
      </c>
      <c r="BF89" s="69" t="n">
        <f aca="false">BE86-BF86</f>
        <v>-16.9731440633041</v>
      </c>
      <c r="BG89" s="69" t="n">
        <f aca="false">BF86-BG86</f>
        <v>-16.1244868601407</v>
      </c>
      <c r="BH89" s="69" t="n">
        <f aca="false">BG86-BH86</f>
        <v>-15.3182625171339</v>
      </c>
      <c r="BI89" s="69" t="n">
        <f aca="false">BH86-BI86</f>
        <v>-14.5523493912769</v>
      </c>
      <c r="BJ89" s="69" t="n">
        <f aca="false">BI86-BJ86</f>
        <v>1412.80729151594</v>
      </c>
    </row>
    <row r="90" customFormat="false" ht="15" hidden="false" customHeight="false" outlineLevel="0" collapsed="false">
      <c r="A90" s="6" t="s">
        <v>347</v>
      </c>
      <c r="C90" s="69" t="n">
        <f aca="false">-C87</f>
        <v>-2370.786328</v>
      </c>
      <c r="D90" s="69" t="n">
        <f aca="false">C87-D87</f>
        <v>-344.317408933334</v>
      </c>
      <c r="E90" s="69" t="n">
        <f aca="false">D87-E87</f>
        <v>-1352.06056864</v>
      </c>
      <c r="F90" s="69" t="n">
        <f aca="false">E87-F87</f>
        <v>-498.007374054666</v>
      </c>
      <c r="G90" s="69" t="n">
        <f aca="false">F87-G87</f>
        <v>-509.945677351935</v>
      </c>
      <c r="H90" s="69" t="n">
        <f aca="false">G87-H87</f>
        <v>-521.287065484336</v>
      </c>
      <c r="I90" s="69" t="n">
        <f aca="false">H87-I87</f>
        <v>-532.06138421012</v>
      </c>
      <c r="J90" s="69" t="n">
        <f aca="false">I87-J87</f>
        <v>-542.296986999612</v>
      </c>
      <c r="K90" s="69" t="n">
        <f aca="false">J87-K87</f>
        <v>-552.020809649634</v>
      </c>
      <c r="L90" s="69" t="n">
        <f aca="false">K87-L87</f>
        <v>-561.25844116715</v>
      </c>
      <c r="M90" s="69" t="n">
        <f aca="false">L87-M87</f>
        <v>-570.034191108794</v>
      </c>
      <c r="N90" s="69" t="n">
        <f aca="false">M87-N87</f>
        <v>1600.72556891093</v>
      </c>
      <c r="O90" s="69" t="n">
        <f aca="false">N87-O87</f>
        <v>-665.239311135139</v>
      </c>
      <c r="P90" s="69" t="n">
        <f aca="false">O87-P87</f>
        <v>-135.22102910881</v>
      </c>
      <c r="Q90" s="69" t="n">
        <f aca="false">P87-Q87</f>
        <v>-2598.07806067544</v>
      </c>
      <c r="R90" s="69" t="n">
        <f aca="false">Q87-R87</f>
        <v>-196.563549819599</v>
      </c>
      <c r="S90" s="69" t="n">
        <f aca="false">R87-S87</f>
        <v>-186.735372328616</v>
      </c>
      <c r="T90" s="69" t="n">
        <f aca="false">S87-T87</f>
        <v>-177.398603712189</v>
      </c>
      <c r="U90" s="69" t="n">
        <f aca="false">T87-U87</f>
        <v>-168.52867352658</v>
      </c>
      <c r="V90" s="69" t="n">
        <f aca="false">U87-V87</f>
        <v>-160.102239850248</v>
      </c>
      <c r="W90" s="69" t="n">
        <f aca="false">V87-W87</f>
        <v>-152.097127857736</v>
      </c>
      <c r="X90" s="69" t="n">
        <f aca="false">W87-X87</f>
        <v>-144.492271464847</v>
      </c>
      <c r="Y90" s="69" t="n">
        <f aca="false">X87-Y87</f>
        <v>-137.267657891609</v>
      </c>
      <c r="Z90" s="69" t="n">
        <f aca="false">Y87-Z87</f>
        <v>2660.0609948009</v>
      </c>
      <c r="AA90" s="69" t="n">
        <f aca="false">Z87-AA87</f>
        <v>-375.475722321551</v>
      </c>
      <c r="AB90" s="69" t="n">
        <f aca="false">AA87-AB87</f>
        <v>-64.3349903969956</v>
      </c>
      <c r="AC90" s="69" t="n">
        <f aca="false">AB87-AC87</f>
        <v>-3008.18689685341</v>
      </c>
      <c r="AD90" s="69" t="n">
        <f aca="false">AC87-AD87</f>
        <v>-115.997820194474</v>
      </c>
      <c r="AE90" s="69" t="n">
        <f aca="false">AD87-AE87</f>
        <v>-110.197929184747</v>
      </c>
      <c r="AF90" s="69" t="n">
        <f aca="false">AE87-AF87</f>
        <v>-104.688032725513</v>
      </c>
      <c r="AG90" s="69" t="n">
        <f aca="false">AF87-AG87</f>
        <v>-99.4536310892399</v>
      </c>
      <c r="AH90" s="69" t="n">
        <f aca="false">AG87-AH87</f>
        <v>-94.4809495347727</v>
      </c>
      <c r="AI90" s="69" t="n">
        <f aca="false">AH87-AI87</f>
        <v>-89.7569020580377</v>
      </c>
      <c r="AJ90" s="69" t="n">
        <f aca="false">AI87-AJ87</f>
        <v>-85.2690569551323</v>
      </c>
      <c r="AK90" s="69" t="n">
        <f aca="false">AJ87-AK87</f>
        <v>-81.0056041073767</v>
      </c>
      <c r="AL90" s="69" t="n">
        <f aca="false">AK87-AL87</f>
        <v>3060.09619726775</v>
      </c>
      <c r="AM90" s="69" t="n">
        <f aca="false">AL87-AM87</f>
        <v>-375.82031810733</v>
      </c>
      <c r="AN90" s="69" t="n">
        <f aca="false">AM87-AN87</f>
        <v>-24.2721068136289</v>
      </c>
      <c r="AO90" s="69" t="n">
        <f aca="false">AN87-AO87</f>
        <v>-3296.34378990772</v>
      </c>
      <c r="AP90" s="69" t="n">
        <f aca="false">AO87-AP87</f>
        <v>-71.0965545554845</v>
      </c>
      <c r="AQ90" s="69" t="n">
        <f aca="false">AP87-AQ87</f>
        <v>-67.5417268277088</v>
      </c>
      <c r="AR90" s="69" t="n">
        <f aca="false">AQ87-AR87</f>
        <v>-64.1646404863222</v>
      </c>
      <c r="AS90" s="69" t="n">
        <f aca="false">AR87-AS87</f>
        <v>-60.9564084620088</v>
      </c>
      <c r="AT90" s="69" t="n">
        <f aca="false">AS87-AT87</f>
        <v>-57.9085880389066</v>
      </c>
      <c r="AU90" s="69" t="n">
        <f aca="false">AT87-AU87</f>
        <v>-55.0131586369625</v>
      </c>
      <c r="AV90" s="69" t="n">
        <f aca="false">AU87-AV87</f>
        <v>-52.262500705112</v>
      </c>
      <c r="AW90" s="69" t="n">
        <f aca="false">AV87-AW87</f>
        <v>-49.6493756698565</v>
      </c>
      <c r="AX90" s="69" t="n">
        <f aca="false">AW87-AX87</f>
        <v>3342.94583343493</v>
      </c>
      <c r="AY90" s="69" t="n">
        <f aca="false">AX87-AY87</f>
        <v>-382.508313202969</v>
      </c>
      <c r="AZ90" s="69" t="n">
        <f aca="false">AY87-AZ87</f>
        <v>-1.43550530733046</v>
      </c>
      <c r="BA90" s="69" t="n">
        <f aca="false">AZ87-BA87</f>
        <v>-3518.14743114472</v>
      </c>
      <c r="BB90" s="69" t="n">
        <f aca="false">BA87-BB87</f>
        <v>-46.1741198318032</v>
      </c>
      <c r="BC90" s="69" t="n">
        <f aca="false">BB87-BC87</f>
        <v>-43.8654138402126</v>
      </c>
      <c r="BD90" s="69" t="n">
        <f aca="false">BC87-BD87</f>
        <v>-41.6721431481983</v>
      </c>
      <c r="BE90" s="69" t="n">
        <f aca="false">BD87-BE87</f>
        <v>-39.5885359907934</v>
      </c>
      <c r="BF90" s="69" t="n">
        <f aca="false">BE87-BF87</f>
        <v>-37.6091091912513</v>
      </c>
      <c r="BG90" s="69" t="n">
        <f aca="false">BF87-BG87</f>
        <v>-35.7286537316868</v>
      </c>
      <c r="BH90" s="69" t="n">
        <f aca="false">BG87-BH87</f>
        <v>-33.9422210451048</v>
      </c>
      <c r="BI90" s="69" t="n">
        <f aca="false">BH87-BI87</f>
        <v>-32.2451099928476</v>
      </c>
      <c r="BJ90" s="69" t="n">
        <f aca="false">BI87-BJ87</f>
        <v>3562.26929944217</v>
      </c>
    </row>
    <row r="91" customFormat="false" ht="15" hidden="false" customHeight="false" outlineLevel="0" collapsed="false">
      <c r="A91" s="6" t="s">
        <v>348</v>
      </c>
      <c r="C91" s="69" t="n">
        <f aca="false">C88</f>
        <v>3951.31054666667</v>
      </c>
      <c r="D91" s="69" t="n">
        <f aca="false">D88-C88</f>
        <v>573.862348222223</v>
      </c>
      <c r="E91" s="69" t="n">
        <f aca="false">E88-D88</f>
        <v>2253.43428106666</v>
      </c>
      <c r="F91" s="69" t="n">
        <f aca="false">F88-E88</f>
        <v>830.012290091112</v>
      </c>
      <c r="G91" s="69" t="n">
        <f aca="false">G88-F88</f>
        <v>849.909462253224</v>
      </c>
      <c r="H91" s="69" t="n">
        <f aca="false">H88-G88</f>
        <v>868.811775807226</v>
      </c>
      <c r="I91" s="69" t="n">
        <f aca="false">I88-H88</f>
        <v>886.768973683533</v>
      </c>
      <c r="J91" s="69" t="n">
        <f aca="false">J88-I88</f>
        <v>903.828311666022</v>
      </c>
      <c r="K91" s="69" t="n">
        <f aca="false">K88-J88</f>
        <v>920.034682749389</v>
      </c>
      <c r="L91" s="69" t="n">
        <f aca="false">L88-K88</f>
        <v>935.430735278584</v>
      </c>
      <c r="M91" s="69" t="n">
        <f aca="false">M88-L88</f>
        <v>950.056985181323</v>
      </c>
      <c r="N91" s="69" t="n">
        <f aca="false">N88-M88</f>
        <v>-2667.87594818488</v>
      </c>
      <c r="O91" s="69" t="n">
        <f aca="false">O88-N88</f>
        <v>1108.73218522523</v>
      </c>
      <c r="P91" s="69" t="n">
        <f aca="false">P88-O88</f>
        <v>225.368381848015</v>
      </c>
      <c r="Q91" s="69" t="n">
        <f aca="false">Q88-P88</f>
        <v>4330.13010112574</v>
      </c>
      <c r="R91" s="69" t="n">
        <f aca="false">R88-Q88</f>
        <v>327.605916365999</v>
      </c>
      <c r="S91" s="69" t="n">
        <f aca="false">S88-R88</f>
        <v>311.225620547695</v>
      </c>
      <c r="T91" s="69" t="n">
        <f aca="false">T88-S88</f>
        <v>295.664339520314</v>
      </c>
      <c r="U91" s="69" t="n">
        <f aca="false">U88-T88</f>
        <v>280.881122544299</v>
      </c>
      <c r="V91" s="69" t="n">
        <f aca="false">V88-U88</f>
        <v>266.83706641708</v>
      </c>
      <c r="W91" s="69" t="n">
        <f aca="false">W88-V88</f>
        <v>253.495213096227</v>
      </c>
      <c r="X91" s="69" t="n">
        <f aca="false">X88-W88</f>
        <v>240.820452441414</v>
      </c>
      <c r="Y91" s="69" t="n">
        <f aca="false">Y88-X88</f>
        <v>228.779429819351</v>
      </c>
      <c r="Z91" s="69" t="n">
        <f aca="false">Z88-Y88</f>
        <v>-4433.43499133484</v>
      </c>
      <c r="AA91" s="69" t="n">
        <f aca="false">AA88-Z88</f>
        <v>625.792870535919</v>
      </c>
      <c r="AB91" s="69" t="n">
        <f aca="false">AB88-AA88</f>
        <v>107.224983994993</v>
      </c>
      <c r="AC91" s="69" t="n">
        <f aca="false">AC88-AB88</f>
        <v>5013.64482808902</v>
      </c>
      <c r="AD91" s="69" t="n">
        <f aca="false">AD88-AC88</f>
        <v>193.329700324117</v>
      </c>
      <c r="AE91" s="69" t="n">
        <f aca="false">AE88-AD88</f>
        <v>183.663215307915</v>
      </c>
      <c r="AF91" s="69" t="n">
        <f aca="false">AF88-AE88</f>
        <v>174.480054542524</v>
      </c>
      <c r="AG91" s="69" t="n">
        <f aca="false">AG88-AF88</f>
        <v>165.756051815402</v>
      </c>
      <c r="AH91" s="69" t="n">
        <f aca="false">AH88-AG88</f>
        <v>157.468249224617</v>
      </c>
      <c r="AI91" s="69" t="n">
        <f aca="false">AI88-AH88</f>
        <v>149.594836763397</v>
      </c>
      <c r="AJ91" s="69" t="n">
        <f aca="false">AJ88-AI88</f>
        <v>142.115094925219</v>
      </c>
      <c r="AK91" s="69" t="n">
        <f aca="false">AK88-AJ88</f>
        <v>135.009340178964</v>
      </c>
      <c r="AL91" s="69" t="n">
        <f aca="false">AL88-AK88</f>
        <v>-5100.16032877958</v>
      </c>
      <c r="AM91" s="69" t="n">
        <f aca="false">AM88-AL88</f>
        <v>626.367196845549</v>
      </c>
      <c r="AN91" s="69" t="n">
        <f aca="false">AN88-AM88</f>
        <v>40.4535113560487</v>
      </c>
      <c r="AO91" s="69" t="n">
        <f aca="false">AO88-AN88</f>
        <v>5493.90631651286</v>
      </c>
      <c r="AP91" s="69" t="n">
        <f aca="false">AP88-AO88</f>
        <v>118.494257592472</v>
      </c>
      <c r="AQ91" s="69" t="n">
        <f aca="false">AQ88-AP88</f>
        <v>112.569544712849</v>
      </c>
      <c r="AR91" s="69" t="n">
        <f aca="false">AR88-AQ88</f>
        <v>106.941067477204</v>
      </c>
      <c r="AS91" s="69" t="n">
        <f aca="false">AS88-AR88</f>
        <v>101.59401410335</v>
      </c>
      <c r="AT91" s="69" t="n">
        <f aca="false">AT88-AS88</f>
        <v>96.5143133981765</v>
      </c>
      <c r="AU91" s="69" t="n">
        <f aca="false">AU88-AT88</f>
        <v>91.6885977282691</v>
      </c>
      <c r="AV91" s="69" t="n">
        <f aca="false">AV88-AU88</f>
        <v>87.1041678418515</v>
      </c>
      <c r="AW91" s="69" t="n">
        <f aca="false">AW88-AV88</f>
        <v>82.7489594497602</v>
      </c>
      <c r="AX91" s="69" t="n">
        <f aca="false">AX88-AW88</f>
        <v>-5571.57638905822</v>
      </c>
      <c r="AY91" s="69" t="n">
        <f aca="false">AY88-AX88</f>
        <v>637.513855338286</v>
      </c>
      <c r="AZ91" s="69" t="n">
        <f aca="false">AZ88-AY88</f>
        <v>2.39250884554713</v>
      </c>
      <c r="BA91" s="69" t="n">
        <f aca="false">BA88-AZ88</f>
        <v>5863.57905190787</v>
      </c>
      <c r="BB91" s="69" t="n">
        <f aca="false">BB88-BA88</f>
        <v>76.9568663863356</v>
      </c>
      <c r="BC91" s="69" t="n">
        <f aca="false">BC88-BB88</f>
        <v>73.109023067027</v>
      </c>
      <c r="BD91" s="69" t="n">
        <f aca="false">BD88-BC88</f>
        <v>69.453571913662</v>
      </c>
      <c r="BE91" s="69" t="n">
        <f aca="false">BE88-BD88</f>
        <v>65.9808933179884</v>
      </c>
      <c r="BF91" s="69" t="n">
        <f aca="false">BF88-BE88</f>
        <v>62.6818486520824</v>
      </c>
      <c r="BG91" s="69" t="n">
        <f aca="false">BG88-BF88</f>
        <v>59.5477562194828</v>
      </c>
      <c r="BH91" s="69" t="n">
        <f aca="false">BH88-BG88</f>
        <v>56.5703684085092</v>
      </c>
      <c r="BI91" s="69" t="n">
        <f aca="false">BI88-BH88</f>
        <v>53.7418499880769</v>
      </c>
      <c r="BJ91" s="69" t="n">
        <f aca="false">BJ88-BI88</f>
        <v>-5937.11549907028</v>
      </c>
    </row>
    <row r="93" customFormat="false" ht="15.75" hidden="false" customHeight="true" outlineLevel="0" collapsed="false">
      <c r="A93" s="7" t="s">
        <v>455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customFormat="false" ht="15" hidden="false" customHeight="false" outlineLevel="0" collapsed="false">
      <c r="A94" s="4" t="s">
        <v>52</v>
      </c>
      <c r="C94" s="75" t="n">
        <f aca="false">C66-C75+C89+C90+C91</f>
        <v>-93267.4580373333</v>
      </c>
      <c r="D94" s="75" t="n">
        <f aca="false">D66-D75+D89+D90+D91</f>
        <v>-89827.7565656889</v>
      </c>
      <c r="E94" s="75" t="n">
        <f aca="false">E66-E75+E89+E90+E91</f>
        <v>-78919.3755449422</v>
      </c>
      <c r="F94" s="75" t="n">
        <f aca="false">F66-F75+F89+F90+F91</f>
        <v>-74464.1071626863</v>
      </c>
      <c r="G94" s="75" t="n">
        <f aca="false">G66-G75+G89+G90+G91</f>
        <v>-69911.3103292186</v>
      </c>
      <c r="H94" s="75" t="n">
        <f aca="false">H66-H75+H89+H90+H91</f>
        <v>-65296.1285147577</v>
      </c>
      <c r="I94" s="75" t="n">
        <f aca="false">I66-I75+I89+I90+I91</f>
        <v>-60621.6809683531</v>
      </c>
      <c r="J94" s="75" t="n">
        <f aca="false">J66-J75+J89+J90+J91</f>
        <v>-55890.9309766021</v>
      </c>
      <c r="K94" s="75" t="n">
        <f aca="false">K66-K75+K89+K90+K91</f>
        <v>-51106.693661772</v>
      </c>
      <c r="L94" s="75" t="n">
        <f aca="false">L66-L75+L89+L90+L91</f>
        <v>-46271.6433900168</v>
      </c>
      <c r="M94" s="75" t="n">
        <f aca="false">M66-M75+M89+M90+M91</f>
        <v>-41388.3208091826</v>
      </c>
      <c r="N94" s="75" t="n">
        <f aca="false">N66-N75+N89+N90+N91</f>
        <v>-51707.54319366</v>
      </c>
      <c r="O94" s="75" t="n">
        <f aca="false">O66-O75+O89+O90+O91</f>
        <v>-46234.6927526671</v>
      </c>
      <c r="P94" s="75" t="n">
        <f aca="false">P66-P75+P89+P90+P91</f>
        <v>-45137.9048998497</v>
      </c>
      <c r="Q94" s="75" t="n">
        <f aca="false">Q66-Q75+Q89+Q90+Q91</f>
        <v>-27919.0251248866</v>
      </c>
      <c r="R94" s="75" t="n">
        <f aca="false">R66-R75+R89+R90+R91</f>
        <v>-26928.3994835903</v>
      </c>
      <c r="S94" s="75" t="n">
        <f aca="false">S66-S75+S89+S90+S91</f>
        <v>-25759.9896991441</v>
      </c>
      <c r="T94" s="75" t="n">
        <f aca="false">T66-T75+T89+T90+T91</f>
        <v>-24641.1462372536</v>
      </c>
      <c r="U94" s="75" t="n">
        <f aca="false">U66-U75+U89+U90+U91</f>
        <v>-23569.3907817909</v>
      </c>
      <c r="V94" s="75" t="n">
        <f aca="false">V66-V75+V89+V90+V91</f>
        <v>-22542.3689324347</v>
      </c>
      <c r="W94" s="75" t="n">
        <f aca="false">W66-W75+W89+W90+W91</f>
        <v>-21557.8440088796</v>
      </c>
      <c r="X94" s="75" t="n">
        <f aca="false">X66-X75+X89+X90+X91</f>
        <v>-20613.6911648357</v>
      </c>
      <c r="Y94" s="75" t="n">
        <f aca="false">Y66-Y75+Y89+Y90+Y91</f>
        <v>-19707.8917963272</v>
      </c>
      <c r="Z94" s="75" t="n">
        <f aca="false">Z66-Z75+Z89+Z90+Z91</f>
        <v>-34503.3576831803</v>
      </c>
      <c r="AA94" s="75" t="n">
        <f aca="false">AA66-AA75+AA89+AA90+AA91</f>
        <v>-33085.1572863036</v>
      </c>
      <c r="AB94" s="75" t="n">
        <f aca="false">AB66-AB75+AB89+AB90+AB91</f>
        <v>-32590.5225597247</v>
      </c>
      <c r="AC94" s="75" t="n">
        <f aca="false">AC66-AC75+AC89+AC90+AC91</f>
        <v>-16326.1462935255</v>
      </c>
      <c r="AD94" s="75" t="n">
        <f aca="false">AD66-AD75+AD89+AD90+AD91</f>
        <v>-16101.2928661988</v>
      </c>
      <c r="AE94" s="75" t="n">
        <f aca="false">AE66-AE75+AE89+AE90+AE91</f>
        <v>-15359.8800604941</v>
      </c>
      <c r="AF94" s="75" t="n">
        <f aca="false">AF66-AF75+AF89+AF90+AF91</f>
        <v>-14646.6837284081</v>
      </c>
      <c r="AG94" s="75" t="n">
        <f aca="false">AG66-AG75+AG89+AG90+AG91</f>
        <v>-13960.2930462597</v>
      </c>
      <c r="AH94" s="75" t="n">
        <f aca="false">AH66-AH75+AH89+AH90+AH91</f>
        <v>-13299.3677315521</v>
      </c>
      <c r="AI94" s="75" t="n">
        <f aca="false">AI66-AI75+AI89+AI90+AI91</f>
        <v>-12662.6345159131</v>
      </c>
      <c r="AJ94" s="75" t="n">
        <f aca="false">AJ66-AJ75+AJ89+AJ90+AJ91</f>
        <v>-12048.8837943895</v>
      </c>
      <c r="AK94" s="75" t="n">
        <f aca="false">AK66-AK75+AK89+AK90+AK91</f>
        <v>-11456.9664422753</v>
      </c>
      <c r="AL94" s="75" t="n">
        <f aca="false">AL66-AL75+AL89+AL90+AL91</f>
        <v>-26282.3597410072</v>
      </c>
      <c r="AM94" s="75" t="n">
        <f aca="false">AM66-AM75+AM89+AM90+AM91</f>
        <v>-25765.0990405623</v>
      </c>
      <c r="AN94" s="75" t="n">
        <f aca="false">AN66-AN75+AN89+AN90+AN91</f>
        <v>-25585.1673587293</v>
      </c>
      <c r="AO94" s="75" t="n">
        <f aca="false">AO66-AO75+AO89+AO90+AO91</f>
        <v>-9837.58114835704</v>
      </c>
      <c r="AP94" s="75" t="n">
        <f aca="false">AP66-AP75+AP89+AP90+AP91</f>
        <v>-10065.5504642908</v>
      </c>
      <c r="AQ94" s="75" t="n">
        <f aca="false">AQ66-AQ75+AQ89+AQ90+AQ91</f>
        <v>-9554.97477470463</v>
      </c>
      <c r="AR94" s="75" t="n">
        <f aca="false">AR66-AR75+AR89+AR90+AR91</f>
        <v>-9061.07370293109</v>
      </c>
      <c r="AS94" s="75" t="n">
        <f aca="false">AS66-AS75+AS89+AS90+AS91</f>
        <v>-8583.01351807957</v>
      </c>
      <c r="AT94" s="75" t="n">
        <f aca="false">AT66-AT75+AT89+AT90+AT91</f>
        <v>-8120.00217580398</v>
      </c>
      <c r="AU94" s="75" t="n">
        <f aca="false">AU66-AU75+AU89+AU90+AU91</f>
        <v>-7671.28723397548</v>
      </c>
      <c r="AV94" s="75" t="n">
        <f aca="false">AV66-AV75+AV89+AV90+AV91</f>
        <v>-7236.15387257176</v>
      </c>
      <c r="AW94" s="75" t="n">
        <f aca="false">AW66-AW75+AW89+AW90+AW91</f>
        <v>-6813.92301257154</v>
      </c>
      <c r="AX94" s="75" t="n">
        <f aca="false">AX66-AX75+AX89+AX90+AX91</f>
        <v>-21658.8965630576</v>
      </c>
      <c r="AY94" s="75" t="n">
        <f aca="false">AY66-AY75+AY89+AY90+AY91</f>
        <v>-21760.469422632</v>
      </c>
      <c r="AZ94" s="75" t="n">
        <f aca="false">AZ66-AZ75+AZ89+AZ90+AZ91</f>
        <v>-21756.0386702189</v>
      </c>
      <c r="BA94" s="75" t="n">
        <f aca="false">BA66-BA75+BA89+BA90+BA91</f>
        <v>-6286.00535751209</v>
      </c>
      <c r="BB94" s="75" t="n">
        <f aca="false">BB66-BB75+BB89+BB90+BB91</f>
        <v>-6796.75514532133</v>
      </c>
      <c r="BC94" s="75" t="n">
        <f aca="false">BC66-BC75+BC89+BC90+BC91</f>
        <v>-6410.95025132611</v>
      </c>
      <c r="BD94" s="75" t="n">
        <f aca="false">BD66-BD75+BD89+BD90+BD91</f>
        <v>-6035.581435364</v>
      </c>
      <c r="BE94" s="75" t="n">
        <f aca="false">BE66-BE75+BE89+BE90+BE91</f>
        <v>-5670.12689353333</v>
      </c>
      <c r="BF94" s="75" t="n">
        <f aca="false">BF66-BF75+BF89+BF90+BF91</f>
        <v>-5314.09091212753</v>
      </c>
      <c r="BG94" s="75" t="n">
        <f aca="false">BG66-BG75+BG89+BG90+BG91</f>
        <v>-4967.00256312533</v>
      </c>
      <c r="BH94" s="75" t="n">
        <f aca="false">BH66-BH75+BH89+BH90+BH91</f>
        <v>-4628.4144649066</v>
      </c>
      <c r="BI94" s="75" t="n">
        <f aca="false">BI66-BI75+BI89+BI90+BI91</f>
        <v>-4297.90160493213</v>
      </c>
      <c r="BJ94" s="75" t="n">
        <f aca="false">BJ66-BJ75+BJ89+BJ90+BJ91</f>
        <v>-19157.3723441697</v>
      </c>
    </row>
    <row r="95" customFormat="false" ht="15" hidden="false" customHeight="false" outlineLevel="0" collapsed="false">
      <c r="A95" s="6" t="s">
        <v>456</v>
      </c>
      <c r="C95" s="69" t="n">
        <f aca="false">-C73</f>
        <v>-4100000</v>
      </c>
      <c r="D95" s="69" t="n">
        <f aca="false">-D73</f>
        <v>-0</v>
      </c>
      <c r="E95" s="69" t="n">
        <f aca="false">-E73</f>
        <v>-0</v>
      </c>
      <c r="F95" s="69" t="n">
        <f aca="false">-F73</f>
        <v>-0</v>
      </c>
      <c r="G95" s="69" t="n">
        <f aca="false">-G73</f>
        <v>-0</v>
      </c>
      <c r="H95" s="69" t="n">
        <f aca="false">-H73</f>
        <v>-0</v>
      </c>
      <c r="I95" s="69" t="n">
        <f aca="false">-I73</f>
        <v>-0</v>
      </c>
      <c r="J95" s="69" t="n">
        <f aca="false">-J73</f>
        <v>-0</v>
      </c>
      <c r="K95" s="69" t="n">
        <f aca="false">-K73</f>
        <v>-0</v>
      </c>
      <c r="L95" s="69" t="n">
        <f aca="false">-L73</f>
        <v>-0</v>
      </c>
      <c r="M95" s="69" t="n">
        <f aca="false">-M73</f>
        <v>-0</v>
      </c>
      <c r="N95" s="69" t="n">
        <f aca="false">-N73</f>
        <v>-0</v>
      </c>
      <c r="O95" s="69" t="n">
        <f aca="false">-O73</f>
        <v>-40000</v>
      </c>
      <c r="P95" s="69" t="n">
        <f aca="false">-P73</f>
        <v>-0</v>
      </c>
      <c r="Q95" s="69" t="n">
        <f aca="false">-Q73</f>
        <v>-0</v>
      </c>
      <c r="R95" s="69" t="n">
        <f aca="false">-R73</f>
        <v>-0</v>
      </c>
      <c r="S95" s="69" t="n">
        <f aca="false">-S73</f>
        <v>-0</v>
      </c>
      <c r="T95" s="69" t="n">
        <f aca="false">-T73</f>
        <v>-0</v>
      </c>
      <c r="U95" s="69" t="n">
        <f aca="false">-U73</f>
        <v>-0</v>
      </c>
      <c r="V95" s="69" t="n">
        <f aca="false">-V73</f>
        <v>-0</v>
      </c>
      <c r="W95" s="69" t="n">
        <f aca="false">-W73</f>
        <v>-0</v>
      </c>
      <c r="X95" s="69" t="n">
        <f aca="false">-X73</f>
        <v>-0</v>
      </c>
      <c r="Y95" s="69" t="n">
        <f aca="false">-Y73</f>
        <v>-0</v>
      </c>
      <c r="Z95" s="69" t="n">
        <f aca="false">-Z73</f>
        <v>-0</v>
      </c>
      <c r="AA95" s="69" t="n">
        <f aca="false">-AA73</f>
        <v>-40000</v>
      </c>
      <c r="AB95" s="69" t="n">
        <f aca="false">-AB73</f>
        <v>-0</v>
      </c>
      <c r="AC95" s="69" t="n">
        <f aca="false">-AC73</f>
        <v>-0</v>
      </c>
      <c r="AD95" s="69" t="n">
        <f aca="false">-AD73</f>
        <v>-0</v>
      </c>
      <c r="AE95" s="69" t="n">
        <f aca="false">-AE73</f>
        <v>-0</v>
      </c>
      <c r="AF95" s="69" t="n">
        <f aca="false">-AF73</f>
        <v>-0</v>
      </c>
      <c r="AG95" s="69" t="n">
        <f aca="false">-AG73</f>
        <v>-0</v>
      </c>
      <c r="AH95" s="69" t="n">
        <f aca="false">-AH73</f>
        <v>-0</v>
      </c>
      <c r="AI95" s="69" t="n">
        <f aca="false">-AI73</f>
        <v>-0</v>
      </c>
      <c r="AJ95" s="69" t="n">
        <f aca="false">-AJ73</f>
        <v>-0</v>
      </c>
      <c r="AK95" s="69" t="n">
        <f aca="false">-AK73</f>
        <v>-0</v>
      </c>
      <c r="AL95" s="69" t="n">
        <f aca="false">-AL73</f>
        <v>-0</v>
      </c>
      <c r="AM95" s="69" t="n">
        <f aca="false">-AM73</f>
        <v>-40000</v>
      </c>
      <c r="AN95" s="69" t="n">
        <f aca="false">-AN73</f>
        <v>-0</v>
      </c>
      <c r="AO95" s="69" t="n">
        <f aca="false">-AO73</f>
        <v>-0</v>
      </c>
      <c r="AP95" s="69" t="n">
        <f aca="false">-AP73</f>
        <v>-0</v>
      </c>
      <c r="AQ95" s="69" t="n">
        <f aca="false">-AQ73</f>
        <v>-0</v>
      </c>
      <c r="AR95" s="69" t="n">
        <f aca="false">-AR73</f>
        <v>-0</v>
      </c>
      <c r="AS95" s="69" t="n">
        <f aca="false">-AS73</f>
        <v>-0</v>
      </c>
      <c r="AT95" s="69" t="n">
        <f aca="false">-AT73</f>
        <v>-0</v>
      </c>
      <c r="AU95" s="69" t="n">
        <f aca="false">-AU73</f>
        <v>-0</v>
      </c>
      <c r="AV95" s="69" t="n">
        <f aca="false">-AV73</f>
        <v>-0</v>
      </c>
      <c r="AW95" s="69" t="n">
        <f aca="false">-AW73</f>
        <v>-0</v>
      </c>
      <c r="AX95" s="69" t="n">
        <f aca="false">-AX73</f>
        <v>-0</v>
      </c>
      <c r="AY95" s="69" t="n">
        <f aca="false">-AY73</f>
        <v>-40000</v>
      </c>
      <c r="AZ95" s="69" t="n">
        <f aca="false">-AZ73</f>
        <v>-0</v>
      </c>
      <c r="BA95" s="69" t="n">
        <f aca="false">-BA73</f>
        <v>-0</v>
      </c>
      <c r="BB95" s="69" t="n">
        <f aca="false">-BB73</f>
        <v>-0</v>
      </c>
      <c r="BC95" s="69" t="n">
        <f aca="false">-BC73</f>
        <v>-0</v>
      </c>
      <c r="BD95" s="69" t="n">
        <f aca="false">-BD73</f>
        <v>-0</v>
      </c>
      <c r="BE95" s="69" t="n">
        <f aca="false">-BE73</f>
        <v>-0</v>
      </c>
      <c r="BF95" s="69" t="n">
        <f aca="false">-BF73</f>
        <v>-0</v>
      </c>
      <c r="BG95" s="69" t="n">
        <f aca="false">-BG73</f>
        <v>-0</v>
      </c>
      <c r="BH95" s="69" t="n">
        <f aca="false">-BH73</f>
        <v>-0</v>
      </c>
      <c r="BI95" s="69" t="n">
        <f aca="false">-BI73</f>
        <v>-0</v>
      </c>
      <c r="BJ95" s="69" t="n">
        <f aca="false">-BJ73</f>
        <v>-0</v>
      </c>
    </row>
    <row r="96" customFormat="false" ht="15" hidden="false" customHeight="false" outlineLevel="0" collapsed="false">
      <c r="A96" s="6" t="s">
        <v>64</v>
      </c>
      <c r="C96" s="69" t="n">
        <f aca="false">IF(C$6=1,Inputs!$B$67,0)</f>
        <v>2100000</v>
      </c>
      <c r="D96" s="69" t="n">
        <f aca="false">IF(D$6=1,Inputs!$B$67,0)</f>
        <v>0</v>
      </c>
      <c r="E96" s="69" t="n">
        <f aca="false">IF(E$6=1,Inputs!$B$67,0)</f>
        <v>0</v>
      </c>
      <c r="F96" s="69" t="n">
        <f aca="false">IF(F$6=1,Inputs!$B$67,0)</f>
        <v>0</v>
      </c>
      <c r="G96" s="69" t="n">
        <f aca="false">IF(G$6=1,Inputs!$B$67,0)</f>
        <v>0</v>
      </c>
      <c r="H96" s="69" t="n">
        <f aca="false">IF(H$6=1,Inputs!$B$67,0)</f>
        <v>0</v>
      </c>
      <c r="I96" s="69" t="n">
        <f aca="false">IF(I$6=1,Inputs!$B$67,0)</f>
        <v>0</v>
      </c>
      <c r="J96" s="69" t="n">
        <f aca="false">IF(J$6=1,Inputs!$B$67,0)</f>
        <v>0</v>
      </c>
      <c r="K96" s="69" t="n">
        <f aca="false">IF(K$6=1,Inputs!$B$67,0)</f>
        <v>0</v>
      </c>
      <c r="L96" s="69" t="n">
        <f aca="false">IF(L$6=1,Inputs!$B$67,0)</f>
        <v>0</v>
      </c>
      <c r="M96" s="69" t="n">
        <f aca="false">IF(M$6=1,Inputs!$B$67,0)</f>
        <v>0</v>
      </c>
      <c r="N96" s="69" t="n">
        <f aca="false">IF(N$6=1,Inputs!$B$67,0)</f>
        <v>0</v>
      </c>
      <c r="O96" s="69" t="n">
        <f aca="false">IF(O$6=1,Inputs!$B$67,0)</f>
        <v>0</v>
      </c>
      <c r="P96" s="69" t="n">
        <f aca="false">IF(P$6=1,Inputs!$B$67,0)</f>
        <v>0</v>
      </c>
      <c r="Q96" s="69" t="n">
        <f aca="false">IF(Q$6=1,Inputs!$B$67,0)</f>
        <v>0</v>
      </c>
      <c r="R96" s="69" t="n">
        <f aca="false">IF(R$6=1,Inputs!$B$67,0)</f>
        <v>0</v>
      </c>
      <c r="S96" s="69" t="n">
        <f aca="false">IF(S$6=1,Inputs!$B$67,0)</f>
        <v>0</v>
      </c>
      <c r="T96" s="69" t="n">
        <f aca="false">IF(T$6=1,Inputs!$B$67,0)</f>
        <v>0</v>
      </c>
      <c r="U96" s="69" t="n">
        <f aca="false">IF(U$6=1,Inputs!$B$67,0)</f>
        <v>0</v>
      </c>
      <c r="V96" s="69" t="n">
        <f aca="false">IF(V$6=1,Inputs!$B$67,0)</f>
        <v>0</v>
      </c>
      <c r="W96" s="69" t="n">
        <f aca="false">IF(W$6=1,Inputs!$B$67,0)</f>
        <v>0</v>
      </c>
      <c r="X96" s="69" t="n">
        <f aca="false">IF(X$6=1,Inputs!$B$67,0)</f>
        <v>0</v>
      </c>
      <c r="Y96" s="69" t="n">
        <f aca="false">IF(Y$6=1,Inputs!$B$67,0)</f>
        <v>0</v>
      </c>
      <c r="Z96" s="69" t="n">
        <f aca="false">IF(Z$6=1,Inputs!$B$67,0)</f>
        <v>0</v>
      </c>
      <c r="AA96" s="69" t="n">
        <f aca="false">IF(AA$6=1,Inputs!$B$67,0)</f>
        <v>0</v>
      </c>
      <c r="AB96" s="69" t="n">
        <f aca="false">IF(AB$6=1,Inputs!$B$67,0)</f>
        <v>0</v>
      </c>
      <c r="AC96" s="69" t="n">
        <f aca="false">IF(AC$6=1,Inputs!$B$67,0)</f>
        <v>0</v>
      </c>
      <c r="AD96" s="69" t="n">
        <f aca="false">IF(AD$6=1,Inputs!$B$67,0)</f>
        <v>0</v>
      </c>
      <c r="AE96" s="69" t="n">
        <f aca="false">IF(AE$6=1,Inputs!$B$67,0)</f>
        <v>0</v>
      </c>
      <c r="AF96" s="69" t="n">
        <f aca="false">IF(AF$6=1,Inputs!$B$67,0)</f>
        <v>0</v>
      </c>
      <c r="AG96" s="69" t="n">
        <f aca="false">IF(AG$6=1,Inputs!$B$67,0)</f>
        <v>0</v>
      </c>
      <c r="AH96" s="69" t="n">
        <f aca="false">IF(AH$6=1,Inputs!$B$67,0)</f>
        <v>0</v>
      </c>
      <c r="AI96" s="69" t="n">
        <f aca="false">IF(AI$6=1,Inputs!$B$67,0)</f>
        <v>0</v>
      </c>
      <c r="AJ96" s="69" t="n">
        <f aca="false">IF(AJ$6=1,Inputs!$B$67,0)</f>
        <v>0</v>
      </c>
      <c r="AK96" s="69" t="n">
        <f aca="false">IF(AK$6=1,Inputs!$B$67,0)</f>
        <v>0</v>
      </c>
      <c r="AL96" s="69" t="n">
        <f aca="false">IF(AL$6=1,Inputs!$B$67,0)</f>
        <v>0</v>
      </c>
      <c r="AM96" s="69" t="n">
        <f aca="false">IF(AM$6=1,Inputs!$B$67,0)</f>
        <v>0</v>
      </c>
      <c r="AN96" s="69" t="n">
        <f aca="false">IF(AN$6=1,Inputs!$B$67,0)</f>
        <v>0</v>
      </c>
      <c r="AO96" s="69" t="n">
        <f aca="false">IF(AO$6=1,Inputs!$B$67,0)</f>
        <v>0</v>
      </c>
      <c r="AP96" s="69" t="n">
        <f aca="false">IF(AP$6=1,Inputs!$B$67,0)</f>
        <v>0</v>
      </c>
      <c r="AQ96" s="69" t="n">
        <f aca="false">IF(AQ$6=1,Inputs!$B$67,0)</f>
        <v>0</v>
      </c>
      <c r="AR96" s="69" t="n">
        <f aca="false">IF(AR$6=1,Inputs!$B$67,0)</f>
        <v>0</v>
      </c>
      <c r="AS96" s="69" t="n">
        <f aca="false">IF(AS$6=1,Inputs!$B$67,0)</f>
        <v>0</v>
      </c>
      <c r="AT96" s="69" t="n">
        <f aca="false">IF(AT$6=1,Inputs!$B$67,0)</f>
        <v>0</v>
      </c>
      <c r="AU96" s="69" t="n">
        <f aca="false">IF(AU$6=1,Inputs!$B$67,0)</f>
        <v>0</v>
      </c>
      <c r="AV96" s="69" t="n">
        <f aca="false">IF(AV$6=1,Inputs!$B$67,0)</f>
        <v>0</v>
      </c>
      <c r="AW96" s="69" t="n">
        <f aca="false">IF(AW$6=1,Inputs!$B$67,0)</f>
        <v>0</v>
      </c>
      <c r="AX96" s="69" t="n">
        <f aca="false">IF(AX$6=1,Inputs!$B$67,0)</f>
        <v>0</v>
      </c>
      <c r="AY96" s="69" t="n">
        <f aca="false">IF(AY$6=1,Inputs!$B$67,0)</f>
        <v>0</v>
      </c>
      <c r="AZ96" s="69" t="n">
        <f aca="false">IF(AZ$6=1,Inputs!$B$67,0)</f>
        <v>0</v>
      </c>
      <c r="BA96" s="69" t="n">
        <f aca="false">IF(BA$6=1,Inputs!$B$67,0)</f>
        <v>0</v>
      </c>
      <c r="BB96" s="69" t="n">
        <f aca="false">IF(BB$6=1,Inputs!$B$67,0)</f>
        <v>0</v>
      </c>
      <c r="BC96" s="69" t="n">
        <f aca="false">IF(BC$6=1,Inputs!$B$67,0)</f>
        <v>0</v>
      </c>
      <c r="BD96" s="69" t="n">
        <f aca="false">IF(BD$6=1,Inputs!$B$67,0)</f>
        <v>0</v>
      </c>
      <c r="BE96" s="69" t="n">
        <f aca="false">IF(BE$6=1,Inputs!$B$67,0)</f>
        <v>0</v>
      </c>
      <c r="BF96" s="69" t="n">
        <f aca="false">IF(BF$6=1,Inputs!$B$67,0)</f>
        <v>0</v>
      </c>
      <c r="BG96" s="69" t="n">
        <f aca="false">IF(BG$6=1,Inputs!$B$67,0)</f>
        <v>0</v>
      </c>
      <c r="BH96" s="69" t="n">
        <f aca="false">IF(BH$6=1,Inputs!$B$67,0)</f>
        <v>0</v>
      </c>
      <c r="BI96" s="69" t="n">
        <f aca="false">IF(BI$6=1,Inputs!$B$67,0)</f>
        <v>0</v>
      </c>
      <c r="BJ96" s="69" t="n">
        <f aca="false">IF(BJ$6=1,Inputs!$B$67,0)</f>
        <v>0</v>
      </c>
    </row>
    <row r="97" customFormat="false" ht="15" hidden="false" customHeight="false" outlineLevel="0" collapsed="false">
      <c r="A97" s="6" t="s">
        <v>54</v>
      </c>
      <c r="C97" s="69" t="n">
        <f aca="false">C96+C81+C82</f>
        <v>5100000</v>
      </c>
      <c r="D97" s="69" t="n">
        <f aca="false">D96+D81+D82</f>
        <v>-25000</v>
      </c>
      <c r="E97" s="69" t="n">
        <f aca="false">E96+E81+E82</f>
        <v>-25000</v>
      </c>
      <c r="F97" s="69" t="n">
        <f aca="false">F96+F81+F82</f>
        <v>-25000</v>
      </c>
      <c r="G97" s="69" t="n">
        <f aca="false">G96+G81+G82</f>
        <v>-25000</v>
      </c>
      <c r="H97" s="69" t="n">
        <f aca="false">H96+H81+H82</f>
        <v>-25000</v>
      </c>
      <c r="I97" s="69" t="n">
        <f aca="false">I96+I81+I82</f>
        <v>-25000</v>
      </c>
      <c r="J97" s="69" t="n">
        <f aca="false">J96+J81+J82</f>
        <v>-25000</v>
      </c>
      <c r="K97" s="69" t="n">
        <f aca="false">K96+K81+K82</f>
        <v>-25000</v>
      </c>
      <c r="L97" s="69" t="n">
        <f aca="false">L96+L81+L82</f>
        <v>-25000</v>
      </c>
      <c r="M97" s="69" t="n">
        <f aca="false">M96+M81+M82</f>
        <v>-25000</v>
      </c>
      <c r="N97" s="69" t="n">
        <f aca="false">N96+N81+N82</f>
        <v>-25000</v>
      </c>
      <c r="O97" s="69" t="n">
        <f aca="false">O96+O81+O82</f>
        <v>-25000</v>
      </c>
      <c r="P97" s="69" t="n">
        <f aca="false">P96+P81+P82</f>
        <v>-25000</v>
      </c>
      <c r="Q97" s="69" t="n">
        <f aca="false">Q96+Q81+Q82</f>
        <v>-25000</v>
      </c>
      <c r="R97" s="69" t="n">
        <f aca="false">R96+R81+R82</f>
        <v>-25000</v>
      </c>
      <c r="S97" s="69" t="n">
        <f aca="false">S96+S81+S82</f>
        <v>-25000</v>
      </c>
      <c r="T97" s="69" t="n">
        <f aca="false">T96+T81+T82</f>
        <v>-25000</v>
      </c>
      <c r="U97" s="69" t="n">
        <f aca="false">U96+U81+U82</f>
        <v>-25000</v>
      </c>
      <c r="V97" s="69" t="n">
        <f aca="false">V96+V81+V82</f>
        <v>-25000</v>
      </c>
      <c r="W97" s="69" t="n">
        <f aca="false">W96+W81+W82</f>
        <v>-25000</v>
      </c>
      <c r="X97" s="69" t="n">
        <f aca="false">X96+X81+X82</f>
        <v>-25000</v>
      </c>
      <c r="Y97" s="69" t="n">
        <f aca="false">Y96+Y81+Y82</f>
        <v>-25000</v>
      </c>
      <c r="Z97" s="69" t="n">
        <f aca="false">Z96+Z81+Z82</f>
        <v>-25000</v>
      </c>
      <c r="AA97" s="69" t="n">
        <f aca="false">AA96+AA81+AA82</f>
        <v>-25000</v>
      </c>
      <c r="AB97" s="69" t="n">
        <f aca="false">AB96+AB81+AB82</f>
        <v>-25000</v>
      </c>
      <c r="AC97" s="69" t="n">
        <f aca="false">AC96+AC81+AC82</f>
        <v>-25000</v>
      </c>
      <c r="AD97" s="69" t="n">
        <f aca="false">AD96+AD81+AD82</f>
        <v>-25000</v>
      </c>
      <c r="AE97" s="69" t="n">
        <f aca="false">AE96+AE81+AE82</f>
        <v>-25000</v>
      </c>
      <c r="AF97" s="69" t="n">
        <f aca="false">AF96+AF81+AF82</f>
        <v>-25000</v>
      </c>
      <c r="AG97" s="69" t="n">
        <f aca="false">AG96+AG81+AG82</f>
        <v>-25000</v>
      </c>
      <c r="AH97" s="69" t="n">
        <f aca="false">AH96+AH81+AH82</f>
        <v>-25000</v>
      </c>
      <c r="AI97" s="69" t="n">
        <f aca="false">AI96+AI81+AI82</f>
        <v>-25000</v>
      </c>
      <c r="AJ97" s="69" t="n">
        <f aca="false">AJ96+AJ81+AJ82</f>
        <v>-25000</v>
      </c>
      <c r="AK97" s="69" t="n">
        <f aca="false">AK96+AK81+AK82</f>
        <v>-25000</v>
      </c>
      <c r="AL97" s="69" t="n">
        <f aca="false">AL96+AL81+AL82</f>
        <v>-25000</v>
      </c>
      <c r="AM97" s="69" t="n">
        <f aca="false">AM96+AM81+AM82</f>
        <v>-25000</v>
      </c>
      <c r="AN97" s="69" t="n">
        <f aca="false">AN96+AN81+AN82</f>
        <v>-25000</v>
      </c>
      <c r="AO97" s="69" t="n">
        <f aca="false">AO96+AO81+AO82</f>
        <v>-25000</v>
      </c>
      <c r="AP97" s="69" t="n">
        <f aca="false">AP96+AP81+AP82</f>
        <v>-25000</v>
      </c>
      <c r="AQ97" s="69" t="n">
        <f aca="false">AQ96+AQ81+AQ82</f>
        <v>-25000</v>
      </c>
      <c r="AR97" s="69" t="n">
        <f aca="false">AR96+AR81+AR82</f>
        <v>-25000</v>
      </c>
      <c r="AS97" s="69" t="n">
        <f aca="false">AS96+AS81+AS82</f>
        <v>-25000</v>
      </c>
      <c r="AT97" s="69" t="n">
        <f aca="false">AT96+AT81+AT82</f>
        <v>-25000</v>
      </c>
      <c r="AU97" s="69" t="n">
        <f aca="false">AU96+AU81+AU82</f>
        <v>-25000</v>
      </c>
      <c r="AV97" s="69" t="n">
        <f aca="false">AV96+AV81+AV82</f>
        <v>-25000</v>
      </c>
      <c r="AW97" s="69" t="n">
        <f aca="false">AW96+AW81+AW82</f>
        <v>-25000</v>
      </c>
      <c r="AX97" s="69" t="n">
        <f aca="false">AX96+AX81+AX82</f>
        <v>-25000</v>
      </c>
      <c r="AY97" s="69" t="n">
        <f aca="false">AY96+AY81+AY82</f>
        <v>-25000</v>
      </c>
      <c r="AZ97" s="69" t="n">
        <f aca="false">AZ96+AZ81+AZ82</f>
        <v>-25000</v>
      </c>
      <c r="BA97" s="69" t="n">
        <f aca="false">BA96+BA81+BA82</f>
        <v>-25000</v>
      </c>
      <c r="BB97" s="69" t="n">
        <f aca="false">BB96+BB81+BB82</f>
        <v>-25000</v>
      </c>
      <c r="BC97" s="69" t="n">
        <f aca="false">BC96+BC81+BC82</f>
        <v>-25000</v>
      </c>
      <c r="BD97" s="69" t="n">
        <f aca="false">BD96+BD81+BD82</f>
        <v>-25000</v>
      </c>
      <c r="BE97" s="69" t="n">
        <f aca="false">BE96+BE81+BE82</f>
        <v>-25000</v>
      </c>
      <c r="BF97" s="69" t="n">
        <f aca="false">BF96+BF81+BF82</f>
        <v>-25000</v>
      </c>
      <c r="BG97" s="69" t="n">
        <f aca="false">BG96+BG81+BG82</f>
        <v>-25000</v>
      </c>
      <c r="BH97" s="69" t="n">
        <f aca="false">BH96+BH81+BH82</f>
        <v>-25000</v>
      </c>
      <c r="BI97" s="69" t="n">
        <f aca="false">BI96+BI81+BI82</f>
        <v>-25000</v>
      </c>
      <c r="BJ97" s="69" t="n">
        <f aca="false">BJ96+BJ81+BJ82</f>
        <v>-25000</v>
      </c>
    </row>
    <row r="98" customFormat="false" ht="15" hidden="false" customHeight="false" outlineLevel="0" collapsed="false">
      <c r="A98" s="113" t="s">
        <v>457</v>
      </c>
      <c r="C98" s="70" t="n">
        <f aca="false">C94+C95+C97</f>
        <v>906732.541962666</v>
      </c>
      <c r="D98" s="70" t="n">
        <f aca="false">D94+D95+D97</f>
        <v>-114827.756565689</v>
      </c>
      <c r="E98" s="70" t="n">
        <f aca="false">E94+E95+E97</f>
        <v>-103919.375544942</v>
      </c>
      <c r="F98" s="70" t="n">
        <f aca="false">F94+F95+F97</f>
        <v>-99464.1071626863</v>
      </c>
      <c r="G98" s="70" t="n">
        <f aca="false">G94+G95+G97</f>
        <v>-94911.3103292186</v>
      </c>
      <c r="H98" s="70" t="n">
        <f aca="false">H94+H95+H97</f>
        <v>-90296.1285147576</v>
      </c>
      <c r="I98" s="70" t="n">
        <f aca="false">I94+I95+I97</f>
        <v>-85621.6809683531</v>
      </c>
      <c r="J98" s="70" t="n">
        <f aca="false">J94+J95+J97</f>
        <v>-80890.9309766021</v>
      </c>
      <c r="K98" s="70" t="n">
        <f aca="false">K94+K95+K97</f>
        <v>-76106.693661772</v>
      </c>
      <c r="L98" s="70" t="n">
        <f aca="false">L94+L95+L97</f>
        <v>-71271.6433900168</v>
      </c>
      <c r="M98" s="70" t="n">
        <f aca="false">M94+M95+M97</f>
        <v>-66388.3208091826</v>
      </c>
      <c r="N98" s="70" t="n">
        <f aca="false">N94+N95+N97</f>
        <v>-76707.54319366</v>
      </c>
      <c r="O98" s="70" t="n">
        <f aca="false">O94+O95+O97</f>
        <v>-111234.692752667</v>
      </c>
      <c r="P98" s="70" t="n">
        <f aca="false">P94+P95+P97</f>
        <v>-70137.9048998497</v>
      </c>
      <c r="Q98" s="70" t="n">
        <f aca="false">Q94+Q95+Q97</f>
        <v>-52919.0251248866</v>
      </c>
      <c r="R98" s="70" t="n">
        <f aca="false">R94+R95+R97</f>
        <v>-51928.3994835903</v>
      </c>
      <c r="S98" s="70" t="n">
        <f aca="false">S94+S95+S97</f>
        <v>-50759.9896991441</v>
      </c>
      <c r="T98" s="70" t="n">
        <f aca="false">T94+T95+T97</f>
        <v>-49641.1462372536</v>
      </c>
      <c r="U98" s="70" t="n">
        <f aca="false">U94+U95+U97</f>
        <v>-48569.3907817909</v>
      </c>
      <c r="V98" s="70" t="n">
        <f aca="false">V94+V95+V97</f>
        <v>-47542.3689324347</v>
      </c>
      <c r="W98" s="70" t="n">
        <f aca="false">W94+W95+W97</f>
        <v>-46557.8440088796</v>
      </c>
      <c r="X98" s="70" t="n">
        <f aca="false">X94+X95+X97</f>
        <v>-45613.6911648357</v>
      </c>
      <c r="Y98" s="70" t="n">
        <f aca="false">Y94+Y95+Y97</f>
        <v>-44707.8917963272</v>
      </c>
      <c r="Z98" s="70" t="n">
        <f aca="false">Z94+Z95+Z97</f>
        <v>-59503.3576831803</v>
      </c>
      <c r="AA98" s="70" t="n">
        <f aca="false">AA94+AA95+AA97</f>
        <v>-98085.1572863036</v>
      </c>
      <c r="AB98" s="70" t="n">
        <f aca="false">AB94+AB95+AB97</f>
        <v>-57590.5225597247</v>
      </c>
      <c r="AC98" s="70" t="n">
        <f aca="false">AC94+AC95+AC97</f>
        <v>-41326.1462935255</v>
      </c>
      <c r="AD98" s="70" t="n">
        <f aca="false">AD94+AD95+AD97</f>
        <v>-41101.2928661988</v>
      </c>
      <c r="AE98" s="70" t="n">
        <f aca="false">AE94+AE95+AE97</f>
        <v>-40359.8800604941</v>
      </c>
      <c r="AF98" s="70" t="n">
        <f aca="false">AF94+AF95+AF97</f>
        <v>-39646.6837284081</v>
      </c>
      <c r="AG98" s="70" t="n">
        <f aca="false">AG94+AG95+AG97</f>
        <v>-38960.2930462597</v>
      </c>
      <c r="AH98" s="70" t="n">
        <f aca="false">AH94+AH95+AH97</f>
        <v>-38299.3677315521</v>
      </c>
      <c r="AI98" s="70" t="n">
        <f aca="false">AI94+AI95+AI97</f>
        <v>-37662.6345159131</v>
      </c>
      <c r="AJ98" s="70" t="n">
        <f aca="false">AJ94+AJ95+AJ97</f>
        <v>-37048.8837943895</v>
      </c>
      <c r="AK98" s="70" t="n">
        <f aca="false">AK94+AK95+AK97</f>
        <v>-36456.9664422753</v>
      </c>
      <c r="AL98" s="70" t="n">
        <f aca="false">AL94+AL95+AL97</f>
        <v>-51282.3597410072</v>
      </c>
      <c r="AM98" s="70" t="n">
        <f aca="false">AM94+AM95+AM97</f>
        <v>-90765.0990405623</v>
      </c>
      <c r="AN98" s="70" t="n">
        <f aca="false">AN94+AN95+AN97</f>
        <v>-50585.1673587293</v>
      </c>
      <c r="AO98" s="70" t="n">
        <f aca="false">AO94+AO95+AO97</f>
        <v>-34837.581148357</v>
      </c>
      <c r="AP98" s="70" t="n">
        <f aca="false">AP94+AP95+AP97</f>
        <v>-35065.5504642908</v>
      </c>
      <c r="AQ98" s="70" t="n">
        <f aca="false">AQ94+AQ95+AQ97</f>
        <v>-34554.9747747046</v>
      </c>
      <c r="AR98" s="70" t="n">
        <f aca="false">AR94+AR95+AR97</f>
        <v>-34061.0737029311</v>
      </c>
      <c r="AS98" s="70" t="n">
        <f aca="false">AS94+AS95+AS97</f>
        <v>-33583.0135180796</v>
      </c>
      <c r="AT98" s="70" t="n">
        <f aca="false">AT94+AT95+AT97</f>
        <v>-33120.002175804</v>
      </c>
      <c r="AU98" s="70" t="n">
        <f aca="false">AU94+AU95+AU97</f>
        <v>-32671.2872339755</v>
      </c>
      <c r="AV98" s="70" t="n">
        <f aca="false">AV94+AV95+AV97</f>
        <v>-32236.1538725718</v>
      </c>
      <c r="AW98" s="70" t="n">
        <f aca="false">AW94+AW95+AW97</f>
        <v>-31813.9230125715</v>
      </c>
      <c r="AX98" s="70" t="n">
        <f aca="false">AX94+AX95+AX97</f>
        <v>-46658.8965630576</v>
      </c>
      <c r="AY98" s="70" t="n">
        <f aca="false">AY94+AY95+AY97</f>
        <v>-86760.469422632</v>
      </c>
      <c r="AZ98" s="70" t="n">
        <f aca="false">AZ94+AZ95+AZ97</f>
        <v>-46756.0386702189</v>
      </c>
      <c r="BA98" s="70" t="n">
        <f aca="false">BA94+BA95+BA97</f>
        <v>-31286.0053575121</v>
      </c>
      <c r="BB98" s="70" t="n">
        <f aca="false">BB94+BB95+BB97</f>
        <v>-31796.7551453213</v>
      </c>
      <c r="BC98" s="70" t="n">
        <f aca="false">BC94+BC95+BC97</f>
        <v>-31410.9502513261</v>
      </c>
      <c r="BD98" s="70" t="n">
        <f aca="false">BD94+BD95+BD97</f>
        <v>-31035.581435364</v>
      </c>
      <c r="BE98" s="70" t="n">
        <f aca="false">BE94+BE95+BE97</f>
        <v>-30670.1268935333</v>
      </c>
      <c r="BF98" s="70" t="n">
        <f aca="false">BF94+BF95+BF97</f>
        <v>-30314.0909121275</v>
      </c>
      <c r="BG98" s="70" t="n">
        <f aca="false">BG94+BG95+BG97</f>
        <v>-29967.0025631253</v>
      </c>
      <c r="BH98" s="70" t="n">
        <f aca="false">BH94+BH95+BH97</f>
        <v>-29628.4144649066</v>
      </c>
      <c r="BI98" s="70" t="n">
        <f aca="false">BI94+BI95+BI97</f>
        <v>-29297.9016049321</v>
      </c>
      <c r="BJ98" s="70" t="n">
        <f aca="false">BJ94+BJ95+BJ97</f>
        <v>-44157.3723441697</v>
      </c>
    </row>
    <row r="99" customFormat="false" ht="15" hidden="false" customHeight="false" outlineLevel="0" collapsed="false">
      <c r="A99" s="6" t="s">
        <v>349</v>
      </c>
      <c r="C99" s="69" t="n">
        <f aca="false">0</f>
        <v>0</v>
      </c>
      <c r="D99" s="69" t="n">
        <f aca="false">C100</f>
        <v>906732.541962666</v>
      </c>
      <c r="E99" s="69" t="n">
        <f aca="false">D100</f>
        <v>791904.785396978</v>
      </c>
      <c r="F99" s="69" t="n">
        <f aca="false">E100</f>
        <v>687985.409852035</v>
      </c>
      <c r="G99" s="69" t="n">
        <f aca="false">F100</f>
        <v>588521.302689349</v>
      </c>
      <c r="H99" s="69" t="n">
        <f aca="false">G100</f>
        <v>493609.992360131</v>
      </c>
      <c r="I99" s="69" t="n">
        <f aca="false">H100</f>
        <v>403313.863845373</v>
      </c>
      <c r="J99" s="69" t="n">
        <f aca="false">I100</f>
        <v>317692.18287702</v>
      </c>
      <c r="K99" s="69" t="n">
        <f aca="false">J100</f>
        <v>236801.251900418</v>
      </c>
      <c r="L99" s="69" t="n">
        <f aca="false">K100</f>
        <v>160694.558238646</v>
      </c>
      <c r="M99" s="69" t="n">
        <f aca="false">L100</f>
        <v>89422.9148486287</v>
      </c>
      <c r="N99" s="69" t="n">
        <f aca="false">M100</f>
        <v>23034.5940394462</v>
      </c>
      <c r="O99" s="69" t="n">
        <f aca="false">N100</f>
        <v>-53672.9491542138</v>
      </c>
      <c r="P99" s="69" t="n">
        <f aca="false">O100</f>
        <v>-164907.641906881</v>
      </c>
      <c r="Q99" s="69" t="n">
        <f aca="false">P100</f>
        <v>-235045.546806731</v>
      </c>
      <c r="R99" s="69" t="n">
        <f aca="false">Q100</f>
        <v>-287964.571931617</v>
      </c>
      <c r="S99" s="69" t="n">
        <f aca="false">R100</f>
        <v>-339892.971415208</v>
      </c>
      <c r="T99" s="69" t="n">
        <f aca="false">S100</f>
        <v>-390652.961114352</v>
      </c>
      <c r="U99" s="69" t="n">
        <f aca="false">T100</f>
        <v>-440294.107351605</v>
      </c>
      <c r="V99" s="69" t="n">
        <f aca="false">U100</f>
        <v>-488863.498133396</v>
      </c>
      <c r="W99" s="69" t="n">
        <f aca="false">V100</f>
        <v>-536405.867065831</v>
      </c>
      <c r="X99" s="69" t="n">
        <f aca="false">W100</f>
        <v>-582963.711074711</v>
      </c>
      <c r="Y99" s="69" t="n">
        <f aca="false">X100</f>
        <v>-628577.402239546</v>
      </c>
      <c r="Z99" s="69" t="n">
        <f aca="false">Y100</f>
        <v>-673285.294035874</v>
      </c>
      <c r="AA99" s="69" t="n">
        <f aca="false">Z100</f>
        <v>-732788.651719054</v>
      </c>
      <c r="AB99" s="69" t="n">
        <f aca="false">AA100</f>
        <v>-830873.809005357</v>
      </c>
      <c r="AC99" s="69" t="n">
        <f aca="false">AB100</f>
        <v>-888464.331565082</v>
      </c>
      <c r="AD99" s="69" t="n">
        <f aca="false">AC100</f>
        <v>-929790.477858608</v>
      </c>
      <c r="AE99" s="69" t="n">
        <f aca="false">AD100</f>
        <v>-970891.770724806</v>
      </c>
      <c r="AF99" s="69" t="n">
        <f aca="false">AE100</f>
        <v>-1011251.6507853</v>
      </c>
      <c r="AG99" s="69" t="n">
        <f aca="false">AF100</f>
        <v>-1050898.33451371</v>
      </c>
      <c r="AH99" s="69" t="n">
        <f aca="false">AG100</f>
        <v>-1089858.62755997</v>
      </c>
      <c r="AI99" s="69" t="n">
        <f aca="false">AH100</f>
        <v>-1128157.99529152</v>
      </c>
      <c r="AJ99" s="69" t="n">
        <f aca="false">AI100</f>
        <v>-1165820.62980743</v>
      </c>
      <c r="AK99" s="69" t="n">
        <f aca="false">AJ100</f>
        <v>-1202869.51360182</v>
      </c>
      <c r="AL99" s="69" t="n">
        <f aca="false">AK100</f>
        <v>-1239326.4800441</v>
      </c>
      <c r="AM99" s="69" t="n">
        <f aca="false">AL100</f>
        <v>-1290608.83978511</v>
      </c>
      <c r="AN99" s="69" t="n">
        <f aca="false">AM100</f>
        <v>-1381373.93882567</v>
      </c>
      <c r="AO99" s="69" t="n">
        <f aca="false">AN100</f>
        <v>-1431959.1061844</v>
      </c>
      <c r="AP99" s="69" t="n">
        <f aca="false">AO100</f>
        <v>-1466796.68733275</v>
      </c>
      <c r="AQ99" s="69" t="n">
        <f aca="false">AP100</f>
        <v>-1501862.23779705</v>
      </c>
      <c r="AR99" s="69" t="n">
        <f aca="false">AQ100</f>
        <v>-1536417.21257175</v>
      </c>
      <c r="AS99" s="69" t="n">
        <f aca="false">AR100</f>
        <v>-1570478.28627468</v>
      </c>
      <c r="AT99" s="69" t="n">
        <f aca="false">AS100</f>
        <v>-1604061.29979276</v>
      </c>
      <c r="AU99" s="69" t="n">
        <f aca="false">AT100</f>
        <v>-1637181.30196856</v>
      </c>
      <c r="AV99" s="69" t="n">
        <f aca="false">AU100</f>
        <v>-1669852.58920254</v>
      </c>
      <c r="AW99" s="69" t="n">
        <f aca="false">AV100</f>
        <v>-1702088.74307511</v>
      </c>
      <c r="AX99" s="69" t="n">
        <f aca="false">AW100</f>
        <v>-1733902.66608768</v>
      </c>
      <c r="AY99" s="69" t="n">
        <f aca="false">AX100</f>
        <v>-1780561.56265074</v>
      </c>
      <c r="AZ99" s="69" t="n">
        <f aca="false">AY100</f>
        <v>-1867322.03207337</v>
      </c>
      <c r="BA99" s="69" t="n">
        <f aca="false">AZ100</f>
        <v>-1914078.07074359</v>
      </c>
      <c r="BB99" s="69" t="n">
        <f aca="false">BA100</f>
        <v>-1945364.0761011</v>
      </c>
      <c r="BC99" s="69" t="n">
        <f aca="false">BB100</f>
        <v>-1977160.83124643</v>
      </c>
      <c r="BD99" s="69" t="n">
        <f aca="false">BC100</f>
        <v>-2008571.78149775</v>
      </c>
      <c r="BE99" s="69" t="n">
        <f aca="false">BD100</f>
        <v>-2039607.36293312</v>
      </c>
      <c r="BF99" s="69" t="n">
        <f aca="false">BE100</f>
        <v>-2070277.48982665</v>
      </c>
      <c r="BG99" s="69" t="n">
        <f aca="false">BF100</f>
        <v>-2100591.58073878</v>
      </c>
      <c r="BH99" s="69" t="n">
        <f aca="false">BG100</f>
        <v>-2130558.5833019</v>
      </c>
      <c r="BI99" s="69" t="n">
        <f aca="false">BH100</f>
        <v>-2160186.99776681</v>
      </c>
      <c r="BJ99" s="69" t="n">
        <f aca="false">BI100</f>
        <v>-2189484.89937174</v>
      </c>
    </row>
    <row r="100" customFormat="false" ht="15" hidden="false" customHeight="false" outlineLevel="0" collapsed="false">
      <c r="A100" s="113" t="s">
        <v>87</v>
      </c>
      <c r="C100" s="70" t="n">
        <f aca="false">C99+C98</f>
        <v>906732.541962666</v>
      </c>
      <c r="D100" s="70" t="n">
        <f aca="false">D99+D98</f>
        <v>791904.785396978</v>
      </c>
      <c r="E100" s="70" t="n">
        <f aca="false">E99+E98</f>
        <v>687985.409852035</v>
      </c>
      <c r="F100" s="70" t="n">
        <f aca="false">F99+F98</f>
        <v>588521.302689349</v>
      </c>
      <c r="G100" s="70" t="n">
        <f aca="false">G99+G98</f>
        <v>493609.992360131</v>
      </c>
      <c r="H100" s="70" t="n">
        <f aca="false">H99+H98</f>
        <v>403313.863845373</v>
      </c>
      <c r="I100" s="70" t="n">
        <f aca="false">I99+I98</f>
        <v>317692.18287702</v>
      </c>
      <c r="J100" s="70" t="n">
        <f aca="false">J99+J98</f>
        <v>236801.251900418</v>
      </c>
      <c r="K100" s="70" t="n">
        <f aca="false">K99+K98</f>
        <v>160694.558238646</v>
      </c>
      <c r="L100" s="70" t="n">
        <f aca="false">L99+L98</f>
        <v>89422.9148486287</v>
      </c>
      <c r="M100" s="70" t="n">
        <f aca="false">M99+M98</f>
        <v>23034.5940394462</v>
      </c>
      <c r="N100" s="70" t="n">
        <f aca="false">N99+N98</f>
        <v>-53672.9491542138</v>
      </c>
      <c r="O100" s="70" t="n">
        <f aca="false">O99+O98</f>
        <v>-164907.641906881</v>
      </c>
      <c r="P100" s="70" t="n">
        <f aca="false">P99+P98</f>
        <v>-235045.546806731</v>
      </c>
      <c r="Q100" s="70" t="n">
        <f aca="false">Q99+Q98</f>
        <v>-287964.571931617</v>
      </c>
      <c r="R100" s="70" t="n">
        <f aca="false">R99+R98</f>
        <v>-339892.971415208</v>
      </c>
      <c r="S100" s="70" t="n">
        <f aca="false">S99+S98</f>
        <v>-390652.961114352</v>
      </c>
      <c r="T100" s="70" t="n">
        <f aca="false">T99+T98</f>
        <v>-440294.107351605</v>
      </c>
      <c r="U100" s="70" t="n">
        <f aca="false">U99+U98</f>
        <v>-488863.498133396</v>
      </c>
      <c r="V100" s="70" t="n">
        <f aca="false">V99+V98</f>
        <v>-536405.867065831</v>
      </c>
      <c r="W100" s="70" t="n">
        <f aca="false">W99+W98</f>
        <v>-582963.711074711</v>
      </c>
      <c r="X100" s="70" t="n">
        <f aca="false">X99+X98</f>
        <v>-628577.402239546</v>
      </c>
      <c r="Y100" s="70" t="n">
        <f aca="false">Y99+Y98</f>
        <v>-673285.294035874</v>
      </c>
      <c r="Z100" s="70" t="n">
        <f aca="false">Z99+Z98</f>
        <v>-732788.651719054</v>
      </c>
      <c r="AA100" s="70" t="n">
        <f aca="false">AA99+AA98</f>
        <v>-830873.809005357</v>
      </c>
      <c r="AB100" s="70" t="n">
        <f aca="false">AB99+AB98</f>
        <v>-888464.331565082</v>
      </c>
      <c r="AC100" s="70" t="n">
        <f aca="false">AC99+AC98</f>
        <v>-929790.477858608</v>
      </c>
      <c r="AD100" s="70" t="n">
        <f aca="false">AD99+AD98</f>
        <v>-970891.770724806</v>
      </c>
      <c r="AE100" s="70" t="n">
        <f aca="false">AE99+AE98</f>
        <v>-1011251.6507853</v>
      </c>
      <c r="AF100" s="70" t="n">
        <f aca="false">AF99+AF98</f>
        <v>-1050898.33451371</v>
      </c>
      <c r="AG100" s="70" t="n">
        <f aca="false">AG99+AG98</f>
        <v>-1089858.62755997</v>
      </c>
      <c r="AH100" s="70" t="n">
        <f aca="false">AH99+AH98</f>
        <v>-1128157.99529152</v>
      </c>
      <c r="AI100" s="70" t="n">
        <f aca="false">AI99+AI98</f>
        <v>-1165820.62980743</v>
      </c>
      <c r="AJ100" s="70" t="n">
        <f aca="false">AJ99+AJ98</f>
        <v>-1202869.51360182</v>
      </c>
      <c r="AK100" s="70" t="n">
        <f aca="false">AK99+AK98</f>
        <v>-1239326.4800441</v>
      </c>
      <c r="AL100" s="70" t="n">
        <f aca="false">AL99+AL98</f>
        <v>-1290608.83978511</v>
      </c>
      <c r="AM100" s="70" t="n">
        <f aca="false">AM99+AM98</f>
        <v>-1381373.93882567</v>
      </c>
      <c r="AN100" s="70" t="n">
        <f aca="false">AN99+AN98</f>
        <v>-1431959.1061844</v>
      </c>
      <c r="AO100" s="70" t="n">
        <f aca="false">AO99+AO98</f>
        <v>-1466796.68733275</v>
      </c>
      <c r="AP100" s="70" t="n">
        <f aca="false">AP99+AP98</f>
        <v>-1501862.23779705</v>
      </c>
      <c r="AQ100" s="70" t="n">
        <f aca="false">AQ99+AQ98</f>
        <v>-1536417.21257175</v>
      </c>
      <c r="AR100" s="70" t="n">
        <f aca="false">AR99+AR98</f>
        <v>-1570478.28627468</v>
      </c>
      <c r="AS100" s="70" t="n">
        <f aca="false">AS99+AS98</f>
        <v>-1604061.29979276</v>
      </c>
      <c r="AT100" s="70" t="n">
        <f aca="false">AT99+AT98</f>
        <v>-1637181.30196856</v>
      </c>
      <c r="AU100" s="70" t="n">
        <f aca="false">AU99+AU98</f>
        <v>-1669852.58920254</v>
      </c>
      <c r="AV100" s="70" t="n">
        <f aca="false">AV99+AV98</f>
        <v>-1702088.74307511</v>
      </c>
      <c r="AW100" s="70" t="n">
        <f aca="false">AW99+AW98</f>
        <v>-1733902.66608768</v>
      </c>
      <c r="AX100" s="70" t="n">
        <f aca="false">AX99+AX98</f>
        <v>-1780561.56265074</v>
      </c>
      <c r="AY100" s="70" t="n">
        <f aca="false">AY99+AY98</f>
        <v>-1867322.03207337</v>
      </c>
      <c r="AZ100" s="70" t="n">
        <f aca="false">AZ99+AZ98</f>
        <v>-1914078.07074359</v>
      </c>
      <c r="BA100" s="70" t="n">
        <f aca="false">BA99+BA98</f>
        <v>-1945364.0761011</v>
      </c>
      <c r="BB100" s="70" t="n">
        <f aca="false">BB99+BB98</f>
        <v>-1977160.83124643</v>
      </c>
      <c r="BC100" s="70" t="n">
        <f aca="false">BC99+BC98</f>
        <v>-2008571.78149775</v>
      </c>
      <c r="BD100" s="70" t="n">
        <f aca="false">BD99+BD98</f>
        <v>-2039607.36293312</v>
      </c>
      <c r="BE100" s="70" t="n">
        <f aca="false">BE99+BE98</f>
        <v>-2070277.48982665</v>
      </c>
      <c r="BF100" s="70" t="n">
        <f aca="false">BF99+BF98</f>
        <v>-2100591.58073878</v>
      </c>
      <c r="BG100" s="70" t="n">
        <f aca="false">BG99+BG98</f>
        <v>-2130558.5833019</v>
      </c>
      <c r="BH100" s="70" t="n">
        <f aca="false">BH99+BH98</f>
        <v>-2160186.99776681</v>
      </c>
      <c r="BI100" s="70" t="n">
        <f aca="false">BI99+BI98</f>
        <v>-2189484.89937174</v>
      </c>
      <c r="BJ100" s="70" t="n">
        <f aca="false">BJ99+BJ98</f>
        <v>-2233642.27171591</v>
      </c>
    </row>
    <row r="101" customFormat="false" ht="15" hidden="false" customHeight="false" outlineLevel="0" collapsed="false">
      <c r="A101" s="116" t="s">
        <v>458</v>
      </c>
      <c r="C101" s="118" t="n">
        <f aca="false">IF(C57&gt;0,1,0)</f>
        <v>0</v>
      </c>
      <c r="D101" s="118" t="n">
        <f aca="false">IF(D57&gt;0,1,0)</f>
        <v>0</v>
      </c>
      <c r="E101" s="118" t="n">
        <f aca="false">IF(E57&gt;0,1,0)</f>
        <v>0</v>
      </c>
      <c r="F101" s="118" t="n">
        <f aca="false">IF(F57&gt;0,1,0)</f>
        <v>0</v>
      </c>
      <c r="G101" s="118" t="n">
        <f aca="false">IF(G57&gt;0,1,0)</f>
        <v>0</v>
      </c>
      <c r="H101" s="118" t="n">
        <f aca="false">IF(H57&gt;0,1,0)</f>
        <v>0</v>
      </c>
      <c r="I101" s="118" t="n">
        <f aca="false">IF(I57&gt;0,1,0)</f>
        <v>0</v>
      </c>
      <c r="J101" s="118" t="n">
        <f aca="false">IF(J57&gt;0,1,0)</f>
        <v>0</v>
      </c>
      <c r="K101" s="118" t="n">
        <f aca="false">IF(K57&gt;0,1,0)</f>
        <v>0</v>
      </c>
      <c r="L101" s="118" t="n">
        <f aca="false">IF(L57&gt;0,1,0)</f>
        <v>0</v>
      </c>
      <c r="M101" s="118" t="n">
        <f aca="false">IF(M57&gt;0,1,0)</f>
        <v>0</v>
      </c>
      <c r="N101" s="118" t="n">
        <f aca="false">IF(N57&gt;0,1,0)</f>
        <v>0</v>
      </c>
      <c r="O101" s="118" t="n">
        <f aca="false">IF(O57&gt;0,1,0)</f>
        <v>0</v>
      </c>
      <c r="P101" s="118" t="n">
        <f aca="false">IF(P57&gt;0,1,0)</f>
        <v>0</v>
      </c>
      <c r="Q101" s="118" t="n">
        <f aca="false">IF(Q57&gt;0,1,0)</f>
        <v>0</v>
      </c>
      <c r="R101" s="118" t="n">
        <f aca="false">IF(R57&gt;0,1,0)</f>
        <v>0</v>
      </c>
      <c r="S101" s="118" t="n">
        <f aca="false">IF(S57&gt;0,1,0)</f>
        <v>0</v>
      </c>
      <c r="T101" s="118" t="n">
        <f aca="false">IF(T57&gt;0,1,0)</f>
        <v>0</v>
      </c>
      <c r="U101" s="118" t="n">
        <f aca="false">IF(U57&gt;0,1,0)</f>
        <v>0</v>
      </c>
      <c r="V101" s="118" t="n">
        <f aca="false">IF(V57&gt;0,1,0)</f>
        <v>0</v>
      </c>
      <c r="W101" s="118" t="n">
        <f aca="false">IF(W57&gt;0,1,0)</f>
        <v>0</v>
      </c>
      <c r="X101" s="118" t="n">
        <f aca="false">IF(X57&gt;0,1,0)</f>
        <v>0</v>
      </c>
      <c r="Y101" s="118" t="n">
        <f aca="false">IF(Y57&gt;0,1,0)</f>
        <v>0</v>
      </c>
      <c r="Z101" s="118" t="n">
        <f aca="false">IF(Z57&gt;0,1,0)</f>
        <v>0</v>
      </c>
      <c r="AA101" s="118" t="n">
        <f aca="false">IF(AA57&gt;0,1,0)</f>
        <v>0</v>
      </c>
      <c r="AB101" s="118" t="n">
        <f aca="false">IF(AB57&gt;0,1,0)</f>
        <v>0</v>
      </c>
      <c r="AC101" s="118" t="n">
        <f aca="false">IF(AC57&gt;0,1,0)</f>
        <v>0</v>
      </c>
      <c r="AD101" s="118" t="n">
        <f aca="false">IF(AD57&gt;0,1,0)</f>
        <v>1</v>
      </c>
      <c r="AE101" s="118" t="n">
        <f aca="false">IF(AE57&gt;0,1,0)</f>
        <v>1</v>
      </c>
      <c r="AF101" s="118" t="n">
        <f aca="false">IF(AF57&gt;0,1,0)</f>
        <v>1</v>
      </c>
      <c r="AG101" s="118" t="n">
        <f aca="false">IF(AG57&gt;0,1,0)</f>
        <v>1</v>
      </c>
      <c r="AH101" s="118" t="n">
        <f aca="false">IF(AH57&gt;0,1,0)</f>
        <v>1</v>
      </c>
      <c r="AI101" s="118" t="n">
        <f aca="false">IF(AI57&gt;0,1,0)</f>
        <v>1</v>
      </c>
      <c r="AJ101" s="118" t="n">
        <f aca="false">IF(AJ57&gt;0,1,0)</f>
        <v>1</v>
      </c>
      <c r="AK101" s="118" t="n">
        <f aca="false">IF(AK57&gt;0,1,0)</f>
        <v>1</v>
      </c>
      <c r="AL101" s="118" t="n">
        <f aca="false">IF(AL57&gt;0,1,0)</f>
        <v>0</v>
      </c>
      <c r="AM101" s="118" t="n">
        <f aca="false">IF(AM57&gt;0,1,0)</f>
        <v>0</v>
      </c>
      <c r="AN101" s="118" t="n">
        <f aca="false">IF(AN57&gt;0,1,0)</f>
        <v>0</v>
      </c>
      <c r="AO101" s="118" t="n">
        <f aca="false">IF(AO57&gt;0,1,0)</f>
        <v>1</v>
      </c>
      <c r="AP101" s="118" t="n">
        <f aca="false">IF(AP57&gt;0,1,0)</f>
        <v>1</v>
      </c>
      <c r="AQ101" s="118" t="n">
        <f aca="false">IF(AQ57&gt;0,1,0)</f>
        <v>1</v>
      </c>
      <c r="AR101" s="118" t="n">
        <f aca="false">IF(AR57&gt;0,1,0)</f>
        <v>1</v>
      </c>
      <c r="AS101" s="118" t="n">
        <f aca="false">IF(AS57&gt;0,1,0)</f>
        <v>1</v>
      </c>
      <c r="AT101" s="118" t="n">
        <f aca="false">IF(AT57&gt;0,1,0)</f>
        <v>1</v>
      </c>
      <c r="AU101" s="118" t="n">
        <f aca="false">IF(AU57&gt;0,1,0)</f>
        <v>1</v>
      </c>
      <c r="AV101" s="118" t="n">
        <f aca="false">IF(AV57&gt;0,1,0)</f>
        <v>1</v>
      </c>
      <c r="AW101" s="118" t="n">
        <f aca="false">IF(AW57&gt;0,1,0)</f>
        <v>1</v>
      </c>
      <c r="AX101" s="118" t="n">
        <f aca="false">IF(AX57&gt;0,1,0)</f>
        <v>0</v>
      </c>
      <c r="AY101" s="118" t="n">
        <f aca="false">IF(AY57&gt;0,1,0)</f>
        <v>0</v>
      </c>
      <c r="AZ101" s="118" t="n">
        <f aca="false">IF(AZ57&gt;0,1,0)</f>
        <v>0</v>
      </c>
      <c r="BA101" s="118" t="n">
        <f aca="false">IF(BA57&gt;0,1,0)</f>
        <v>1</v>
      </c>
      <c r="BB101" s="118" t="n">
        <f aca="false">IF(BB57&gt;0,1,0)</f>
        <v>1</v>
      </c>
      <c r="BC101" s="118" t="n">
        <f aca="false">IF(BC57&gt;0,1,0)</f>
        <v>1</v>
      </c>
      <c r="BD101" s="118" t="n">
        <f aca="false">IF(BD57&gt;0,1,0)</f>
        <v>1</v>
      </c>
      <c r="BE101" s="118" t="n">
        <f aca="false">IF(BE57&gt;0,1,0)</f>
        <v>1</v>
      </c>
      <c r="BF101" s="118" t="n">
        <f aca="false">IF(BF57&gt;0,1,0)</f>
        <v>1</v>
      </c>
      <c r="BG101" s="118" t="n">
        <f aca="false">IF(BG57&gt;0,1,0)</f>
        <v>1</v>
      </c>
      <c r="BH101" s="118" t="n">
        <f aca="false">IF(BH57&gt;0,1,0)</f>
        <v>1</v>
      </c>
      <c r="BI101" s="118" t="n">
        <f aca="false">IF(BI57&gt;0,1,0)</f>
        <v>1</v>
      </c>
      <c r="BJ101" s="118" t="n">
        <f aca="false">IF(BJ57&gt;0,1,0)</f>
        <v>0</v>
      </c>
    </row>
    <row r="103" customFormat="false" ht="15.75" hidden="false" customHeight="true" outlineLevel="0" collapsed="false">
      <c r="A103" s="7" t="s">
        <v>459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customFormat="false" ht="15" hidden="false" customHeight="false" outlineLevel="0" collapsed="false">
      <c r="A104" s="116" t="s">
        <v>460</v>
      </c>
      <c r="C104" s="118" t="n">
        <f aca="false">IF(C66&gt;0,1,0)</f>
        <v>0</v>
      </c>
      <c r="D104" s="118" t="n">
        <f aca="false">IF(D66&gt;0,1,0)</f>
        <v>0</v>
      </c>
      <c r="E104" s="118" t="n">
        <f aca="false">IF(E66&gt;0,1,0)</f>
        <v>0</v>
      </c>
      <c r="F104" s="118" t="n">
        <f aca="false">IF(F66&gt;0,1,0)</f>
        <v>0</v>
      </c>
      <c r="G104" s="118" t="n">
        <f aca="false">IF(G66&gt;0,1,0)</f>
        <v>0</v>
      </c>
      <c r="H104" s="118" t="n">
        <f aca="false">IF(H66&gt;0,1,0)</f>
        <v>0</v>
      </c>
      <c r="I104" s="118" t="n">
        <f aca="false">IF(I66&gt;0,1,0)</f>
        <v>0</v>
      </c>
      <c r="J104" s="118" t="n">
        <f aca="false">IF(J66&gt;0,1,0)</f>
        <v>0</v>
      </c>
      <c r="K104" s="118" t="n">
        <f aca="false">IF(K66&gt;0,1,0)</f>
        <v>0</v>
      </c>
      <c r="L104" s="118" t="n">
        <f aca="false">IF(L66&gt;0,1,0)</f>
        <v>0</v>
      </c>
      <c r="M104" s="118" t="n">
        <f aca="false">IF(M66&gt;0,1,0)</f>
        <v>0</v>
      </c>
      <c r="N104" s="118" t="n">
        <f aca="false">IF(N66&gt;0,1,0)</f>
        <v>0</v>
      </c>
      <c r="O104" s="118" t="n">
        <f aca="false">IF(O66&gt;0,1,0)</f>
        <v>0</v>
      </c>
      <c r="P104" s="118" t="n">
        <f aca="false">IF(P66&gt;0,1,0)</f>
        <v>0</v>
      </c>
      <c r="Q104" s="118" t="n">
        <f aca="false">IF(Q66&gt;0,1,0)</f>
        <v>0</v>
      </c>
      <c r="R104" s="118" t="n">
        <f aca="false">IF(R66&gt;0,1,0)</f>
        <v>0</v>
      </c>
      <c r="S104" s="118" t="n">
        <f aca="false">IF(S66&gt;0,1,0)</f>
        <v>0</v>
      </c>
      <c r="T104" s="118" t="n">
        <f aca="false">IF(T66&gt;0,1,0)</f>
        <v>0</v>
      </c>
      <c r="U104" s="118" t="n">
        <f aca="false">IF(U66&gt;0,1,0)</f>
        <v>0</v>
      </c>
      <c r="V104" s="118" t="n">
        <f aca="false">IF(V66&gt;0,1,0)</f>
        <v>0</v>
      </c>
      <c r="W104" s="118" t="n">
        <f aca="false">IF(W66&gt;0,1,0)</f>
        <v>0</v>
      </c>
      <c r="X104" s="118" t="n">
        <f aca="false">IF(X66&gt;0,1,0)</f>
        <v>0</v>
      </c>
      <c r="Y104" s="118" t="n">
        <f aca="false">IF(Y66&gt;0,1,0)</f>
        <v>0</v>
      </c>
      <c r="Z104" s="118" t="n">
        <f aca="false">IF(Z66&gt;0,1,0)</f>
        <v>0</v>
      </c>
      <c r="AA104" s="118" t="n">
        <f aca="false">IF(AA66&gt;0,1,0)</f>
        <v>0</v>
      </c>
      <c r="AB104" s="118" t="n">
        <f aca="false">IF(AB66&gt;0,1,0)</f>
        <v>0</v>
      </c>
      <c r="AC104" s="118" t="n">
        <f aca="false">IF(AC66&gt;0,1,0)</f>
        <v>0</v>
      </c>
      <c r="AD104" s="118" t="n">
        <f aca="false">IF(AD66&gt;0,1,0)</f>
        <v>0</v>
      </c>
      <c r="AE104" s="118" t="n">
        <f aca="false">IF(AE66&gt;0,1,0)</f>
        <v>0</v>
      </c>
      <c r="AF104" s="118" t="n">
        <f aca="false">IF(AF66&gt;0,1,0)</f>
        <v>0</v>
      </c>
      <c r="AG104" s="118" t="n">
        <f aca="false">IF(AG66&gt;0,1,0)</f>
        <v>0</v>
      </c>
      <c r="AH104" s="118" t="n">
        <f aca="false">IF(AH66&gt;0,1,0)</f>
        <v>0</v>
      </c>
      <c r="AI104" s="118" t="n">
        <f aca="false">IF(AI66&gt;0,1,0)</f>
        <v>0</v>
      </c>
      <c r="AJ104" s="118" t="n">
        <f aca="false">IF(AJ66&gt;0,1,0)</f>
        <v>0</v>
      </c>
      <c r="AK104" s="118" t="n">
        <f aca="false">IF(AK66&gt;0,1,0)</f>
        <v>0</v>
      </c>
      <c r="AL104" s="118" t="n">
        <f aca="false">IF(AL66&gt;0,1,0)</f>
        <v>0</v>
      </c>
      <c r="AM104" s="118" t="n">
        <f aca="false">IF(AM66&gt;0,1,0)</f>
        <v>0</v>
      </c>
      <c r="AN104" s="118" t="n">
        <f aca="false">IF(AN66&gt;0,1,0)</f>
        <v>0</v>
      </c>
      <c r="AO104" s="118" t="n">
        <f aca="false">IF(AO66&gt;0,1,0)</f>
        <v>0</v>
      </c>
      <c r="AP104" s="118" t="n">
        <f aca="false">IF(AP66&gt;0,1,0)</f>
        <v>0</v>
      </c>
      <c r="AQ104" s="118" t="n">
        <f aca="false">IF(AQ66&gt;0,1,0)</f>
        <v>0</v>
      </c>
      <c r="AR104" s="118" t="n">
        <f aca="false">IF(AR66&gt;0,1,0)</f>
        <v>0</v>
      </c>
      <c r="AS104" s="118" t="n">
        <f aca="false">IF(AS66&gt;0,1,0)</f>
        <v>0</v>
      </c>
      <c r="AT104" s="118" t="n">
        <f aca="false">IF(AT66&gt;0,1,0)</f>
        <v>0</v>
      </c>
      <c r="AU104" s="118" t="n">
        <f aca="false">IF(AU66&gt;0,1,0)</f>
        <v>0</v>
      </c>
      <c r="AV104" s="118" t="n">
        <f aca="false">IF(AV66&gt;0,1,0)</f>
        <v>0</v>
      </c>
      <c r="AW104" s="118" t="n">
        <f aca="false">IF(AW66&gt;0,1,0)</f>
        <v>0</v>
      </c>
      <c r="AX104" s="118" t="n">
        <f aca="false">IF(AX66&gt;0,1,0)</f>
        <v>0</v>
      </c>
      <c r="AY104" s="118" t="n">
        <f aca="false">IF(AY66&gt;0,1,0)</f>
        <v>0</v>
      </c>
      <c r="AZ104" s="118" t="n">
        <f aca="false">IF(AZ66&gt;0,1,0)</f>
        <v>0</v>
      </c>
      <c r="BA104" s="118" t="n">
        <f aca="false">IF(BA66&gt;0,1,0)</f>
        <v>0</v>
      </c>
      <c r="BB104" s="118" t="n">
        <f aca="false">IF(BB66&gt;0,1,0)</f>
        <v>0</v>
      </c>
      <c r="BC104" s="118" t="n">
        <f aca="false">IF(BC66&gt;0,1,0)</f>
        <v>0</v>
      </c>
      <c r="BD104" s="118" t="n">
        <f aca="false">IF(BD66&gt;0,1,0)</f>
        <v>0</v>
      </c>
      <c r="BE104" s="118" t="n">
        <f aca="false">IF(BE66&gt;0,1,0)</f>
        <v>0</v>
      </c>
      <c r="BF104" s="118" t="n">
        <f aca="false">IF(BF66&gt;0,1,0)</f>
        <v>0</v>
      </c>
      <c r="BG104" s="118" t="n">
        <f aca="false">IF(BG66&gt;0,1,0)</f>
        <v>0</v>
      </c>
      <c r="BH104" s="118" t="n">
        <f aca="false">IF(BH66&gt;0,1,0)</f>
        <v>0</v>
      </c>
      <c r="BI104" s="118" t="n">
        <f aca="false">IF(BI66&gt;0,1,0)</f>
        <v>0</v>
      </c>
      <c r="BJ104" s="118" t="n">
        <f aca="false">IF(BJ66&gt;0,1,0)</f>
        <v>0</v>
      </c>
    </row>
    <row r="105" customFormat="false" ht="15" hidden="false" customHeight="false" outlineLevel="0" collapsed="false">
      <c r="A105" s="6" t="s">
        <v>461</v>
      </c>
      <c r="C105" s="69" t="n">
        <f aca="false">C94+C95</f>
        <v>-4193267.45803733</v>
      </c>
      <c r="D105" s="69" t="n">
        <f aca="false">D94+D95</f>
        <v>-89827.7565656889</v>
      </c>
      <c r="E105" s="69" t="n">
        <f aca="false">E94+E95</f>
        <v>-78919.3755449422</v>
      </c>
      <c r="F105" s="69" t="n">
        <f aca="false">F94+F95</f>
        <v>-74464.1071626863</v>
      </c>
      <c r="G105" s="69" t="n">
        <f aca="false">G94+G95</f>
        <v>-69911.3103292186</v>
      </c>
      <c r="H105" s="69" t="n">
        <f aca="false">H94+H95</f>
        <v>-65296.1285147577</v>
      </c>
      <c r="I105" s="69" t="n">
        <f aca="false">I94+I95</f>
        <v>-60621.6809683531</v>
      </c>
      <c r="J105" s="69" t="n">
        <f aca="false">J94+J95</f>
        <v>-55890.9309766021</v>
      </c>
      <c r="K105" s="69" t="n">
        <f aca="false">K94+K95</f>
        <v>-51106.693661772</v>
      </c>
      <c r="L105" s="69" t="n">
        <f aca="false">L94+L95</f>
        <v>-46271.6433900168</v>
      </c>
      <c r="M105" s="69" t="n">
        <f aca="false">M94+M95</f>
        <v>-41388.3208091826</v>
      </c>
      <c r="N105" s="69" t="n">
        <f aca="false">N94+N95</f>
        <v>-51707.54319366</v>
      </c>
      <c r="O105" s="69" t="n">
        <f aca="false">O94+O95</f>
        <v>-86234.6927526671</v>
      </c>
      <c r="P105" s="69" t="n">
        <f aca="false">P94+P95</f>
        <v>-45137.9048998497</v>
      </c>
      <c r="Q105" s="69" t="n">
        <f aca="false">Q94+Q95</f>
        <v>-27919.0251248866</v>
      </c>
      <c r="R105" s="69" t="n">
        <f aca="false">R94+R95</f>
        <v>-26928.3994835903</v>
      </c>
      <c r="S105" s="69" t="n">
        <f aca="false">S94+S95</f>
        <v>-25759.9896991441</v>
      </c>
      <c r="T105" s="69" t="n">
        <f aca="false">T94+T95</f>
        <v>-24641.1462372536</v>
      </c>
      <c r="U105" s="69" t="n">
        <f aca="false">U94+U95</f>
        <v>-23569.3907817909</v>
      </c>
      <c r="V105" s="69" t="n">
        <f aca="false">V94+V95</f>
        <v>-22542.3689324347</v>
      </c>
      <c r="W105" s="69" t="n">
        <f aca="false">W94+W95</f>
        <v>-21557.8440088796</v>
      </c>
      <c r="X105" s="69" t="n">
        <f aca="false">X94+X95</f>
        <v>-20613.6911648357</v>
      </c>
      <c r="Y105" s="69" t="n">
        <f aca="false">Y94+Y95</f>
        <v>-19707.8917963272</v>
      </c>
      <c r="Z105" s="69" t="n">
        <f aca="false">Z94+Z95</f>
        <v>-34503.3576831803</v>
      </c>
      <c r="AA105" s="69" t="n">
        <f aca="false">AA94+AA95</f>
        <v>-73085.1572863036</v>
      </c>
      <c r="AB105" s="69" t="n">
        <f aca="false">AB94+AB95</f>
        <v>-32590.5225597247</v>
      </c>
      <c r="AC105" s="69" t="n">
        <f aca="false">AC94+AC95</f>
        <v>-16326.1462935255</v>
      </c>
      <c r="AD105" s="69" t="n">
        <f aca="false">AD94+AD95</f>
        <v>-16101.2928661988</v>
      </c>
      <c r="AE105" s="69" t="n">
        <f aca="false">AE94+AE95</f>
        <v>-15359.8800604941</v>
      </c>
      <c r="AF105" s="69" t="n">
        <f aca="false">AF94+AF95</f>
        <v>-14646.6837284081</v>
      </c>
      <c r="AG105" s="69" t="n">
        <f aca="false">AG94+AG95</f>
        <v>-13960.2930462597</v>
      </c>
      <c r="AH105" s="69" t="n">
        <f aca="false">AH94+AH95</f>
        <v>-13299.3677315521</v>
      </c>
      <c r="AI105" s="69" t="n">
        <f aca="false">AI94+AI95</f>
        <v>-12662.6345159131</v>
      </c>
      <c r="AJ105" s="69" t="n">
        <f aca="false">AJ94+AJ95</f>
        <v>-12048.8837943895</v>
      </c>
      <c r="AK105" s="69" t="n">
        <f aca="false">AK94+AK95</f>
        <v>-11456.9664422753</v>
      </c>
      <c r="AL105" s="69" t="n">
        <f aca="false">AL94+AL95</f>
        <v>-26282.3597410072</v>
      </c>
      <c r="AM105" s="69" t="n">
        <f aca="false">AM94+AM95</f>
        <v>-65765.0990405623</v>
      </c>
      <c r="AN105" s="69" t="n">
        <f aca="false">AN94+AN95</f>
        <v>-25585.1673587293</v>
      </c>
      <c r="AO105" s="69" t="n">
        <f aca="false">AO94+AO95</f>
        <v>-9837.58114835704</v>
      </c>
      <c r="AP105" s="69" t="n">
        <f aca="false">AP94+AP95</f>
        <v>-10065.5504642908</v>
      </c>
      <c r="AQ105" s="69" t="n">
        <f aca="false">AQ94+AQ95</f>
        <v>-9554.97477470463</v>
      </c>
      <c r="AR105" s="69" t="n">
        <f aca="false">AR94+AR95</f>
        <v>-9061.07370293109</v>
      </c>
      <c r="AS105" s="69" t="n">
        <f aca="false">AS94+AS95</f>
        <v>-8583.01351807957</v>
      </c>
      <c r="AT105" s="69" t="n">
        <f aca="false">AT94+AT95</f>
        <v>-8120.00217580398</v>
      </c>
      <c r="AU105" s="69" t="n">
        <f aca="false">AU94+AU95</f>
        <v>-7671.28723397548</v>
      </c>
      <c r="AV105" s="69" t="n">
        <f aca="false">AV94+AV95</f>
        <v>-7236.15387257176</v>
      </c>
      <c r="AW105" s="69" t="n">
        <f aca="false">AW94+AW95</f>
        <v>-6813.92301257154</v>
      </c>
      <c r="AX105" s="69" t="n">
        <f aca="false">AX94+AX95</f>
        <v>-21658.8965630576</v>
      </c>
      <c r="AY105" s="69" t="n">
        <f aca="false">AY94+AY95</f>
        <v>-61760.469422632</v>
      </c>
      <c r="AZ105" s="69" t="n">
        <f aca="false">AZ94+AZ95</f>
        <v>-21756.0386702189</v>
      </c>
      <c r="BA105" s="69" t="n">
        <f aca="false">BA94+BA95</f>
        <v>-6286.00535751209</v>
      </c>
      <c r="BB105" s="69" t="n">
        <f aca="false">BB94+BB95</f>
        <v>-6796.75514532133</v>
      </c>
      <c r="BC105" s="69" t="n">
        <f aca="false">BC94+BC95</f>
        <v>-6410.95025132611</v>
      </c>
      <c r="BD105" s="69" t="n">
        <f aca="false">BD94+BD95</f>
        <v>-6035.581435364</v>
      </c>
      <c r="BE105" s="69" t="n">
        <f aca="false">BE94+BE95</f>
        <v>-5670.12689353333</v>
      </c>
      <c r="BF105" s="69" t="n">
        <f aca="false">BF94+BF95</f>
        <v>-5314.09091212753</v>
      </c>
      <c r="BG105" s="69" t="n">
        <f aca="false">BG94+BG95</f>
        <v>-4967.00256312533</v>
      </c>
      <c r="BH105" s="69" t="n">
        <f aca="false">BH94+BH95</f>
        <v>-4628.4144649066</v>
      </c>
      <c r="BI105" s="69" t="n">
        <f aca="false">BI94+BI95</f>
        <v>-4297.90160493213</v>
      </c>
      <c r="BJ105" s="69" t="n">
        <f aca="false">BJ94+BJ95</f>
        <v>-19157.3723441697</v>
      </c>
    </row>
    <row r="106" customFormat="false" ht="15" hidden="false" customHeight="false" outlineLevel="0" collapsed="false">
      <c r="A106" s="6" t="s">
        <v>462</v>
      </c>
      <c r="C106" s="69" t="n">
        <f aca="false">C105</f>
        <v>-4193267.45803733</v>
      </c>
      <c r="D106" s="69" t="n">
        <f aca="false">C106+D105</f>
        <v>-4283095.21460302</v>
      </c>
      <c r="E106" s="69" t="n">
        <f aca="false">D106+E105</f>
        <v>-4362014.59014797</v>
      </c>
      <c r="F106" s="69" t="n">
        <f aca="false">E106+F105</f>
        <v>-4436478.69731065</v>
      </c>
      <c r="G106" s="69" t="n">
        <f aca="false">F106+G105</f>
        <v>-4506390.00763987</v>
      </c>
      <c r="H106" s="69" t="n">
        <f aca="false">G106+H105</f>
        <v>-4571686.13615463</v>
      </c>
      <c r="I106" s="69" t="n">
        <f aca="false">H106+I105</f>
        <v>-4632307.81712298</v>
      </c>
      <c r="J106" s="69" t="n">
        <f aca="false">I106+J105</f>
        <v>-4688198.74809958</v>
      </c>
      <c r="K106" s="69" t="n">
        <f aca="false">J106+K105</f>
        <v>-4739305.44176135</v>
      </c>
      <c r="L106" s="69" t="n">
        <f aca="false">K106+L105</f>
        <v>-4785577.08515137</v>
      </c>
      <c r="M106" s="69" t="n">
        <f aca="false">L106+M105</f>
        <v>-4826965.40596055</v>
      </c>
      <c r="N106" s="69" t="n">
        <f aca="false">M106+N105</f>
        <v>-4878672.94915421</v>
      </c>
      <c r="O106" s="69" t="n">
        <f aca="false">N106+O105</f>
        <v>-4964907.64190688</v>
      </c>
      <c r="P106" s="69" t="n">
        <f aca="false">O106+P105</f>
        <v>-5010045.54680673</v>
      </c>
      <c r="Q106" s="69" t="n">
        <f aca="false">P106+Q105</f>
        <v>-5037964.57193162</v>
      </c>
      <c r="R106" s="69" t="n">
        <f aca="false">Q106+R105</f>
        <v>-5064892.97141521</v>
      </c>
      <c r="S106" s="69" t="n">
        <f aca="false">R106+S105</f>
        <v>-5090652.96111435</v>
      </c>
      <c r="T106" s="69" t="n">
        <f aca="false">S106+T105</f>
        <v>-5115294.1073516</v>
      </c>
      <c r="U106" s="69" t="n">
        <f aca="false">T106+U105</f>
        <v>-5138863.4981334</v>
      </c>
      <c r="V106" s="69" t="n">
        <f aca="false">U106+V105</f>
        <v>-5161405.86706583</v>
      </c>
      <c r="W106" s="69" t="n">
        <f aca="false">V106+W105</f>
        <v>-5182963.71107471</v>
      </c>
      <c r="X106" s="69" t="n">
        <f aca="false">W106+X105</f>
        <v>-5203577.40223954</v>
      </c>
      <c r="Y106" s="69" t="n">
        <f aca="false">X106+Y105</f>
        <v>-5223285.29403587</v>
      </c>
      <c r="Z106" s="69" t="n">
        <f aca="false">Y106+Z105</f>
        <v>-5257788.65171905</v>
      </c>
      <c r="AA106" s="69" t="n">
        <f aca="false">Z106+AA105</f>
        <v>-5330873.80900535</v>
      </c>
      <c r="AB106" s="69" t="n">
        <f aca="false">AA106+AB105</f>
        <v>-5363464.33156508</v>
      </c>
      <c r="AC106" s="69" t="n">
        <f aca="false">AB106+AC105</f>
        <v>-5379790.47785861</v>
      </c>
      <c r="AD106" s="69" t="n">
        <f aca="false">AC106+AD105</f>
        <v>-5395891.7707248</v>
      </c>
      <c r="AE106" s="69" t="n">
        <f aca="false">AD106+AE105</f>
        <v>-5411251.6507853</v>
      </c>
      <c r="AF106" s="69" t="n">
        <f aca="false">AE106+AF105</f>
        <v>-5425898.33451371</v>
      </c>
      <c r="AG106" s="69" t="n">
        <f aca="false">AF106+AG105</f>
        <v>-5439858.62755997</v>
      </c>
      <c r="AH106" s="69" t="n">
        <f aca="false">AG106+AH105</f>
        <v>-5453157.99529152</v>
      </c>
      <c r="AI106" s="69" t="n">
        <f aca="false">AH106+AI105</f>
        <v>-5465820.62980743</v>
      </c>
      <c r="AJ106" s="69" t="n">
        <f aca="false">AI106+AJ105</f>
        <v>-5477869.51360182</v>
      </c>
      <c r="AK106" s="69" t="n">
        <f aca="false">AJ106+AK105</f>
        <v>-5489326.48004409</v>
      </c>
      <c r="AL106" s="69" t="n">
        <f aca="false">AK106+AL105</f>
        <v>-5515608.8397851</v>
      </c>
      <c r="AM106" s="69" t="n">
        <f aca="false">AL106+AM105</f>
        <v>-5581373.93882566</v>
      </c>
      <c r="AN106" s="69" t="n">
        <f aca="false">AM106+AN105</f>
        <v>-5606959.10618439</v>
      </c>
      <c r="AO106" s="69" t="n">
        <f aca="false">AN106+AO105</f>
        <v>-5616796.68733275</v>
      </c>
      <c r="AP106" s="69" t="n">
        <f aca="false">AO106+AP105</f>
        <v>-5626862.23779704</v>
      </c>
      <c r="AQ106" s="69" t="n">
        <f aca="false">AP106+AQ105</f>
        <v>-5636417.21257175</v>
      </c>
      <c r="AR106" s="69" t="n">
        <f aca="false">AQ106+AR105</f>
        <v>-5645478.28627468</v>
      </c>
      <c r="AS106" s="69" t="n">
        <f aca="false">AR106+AS105</f>
        <v>-5654061.29979276</v>
      </c>
      <c r="AT106" s="69" t="n">
        <f aca="false">AS106+AT105</f>
        <v>-5662181.30196856</v>
      </c>
      <c r="AU106" s="69" t="n">
        <f aca="false">AT106+AU105</f>
        <v>-5669852.58920254</v>
      </c>
      <c r="AV106" s="69" t="n">
        <f aca="false">AU106+AV105</f>
        <v>-5677088.74307511</v>
      </c>
      <c r="AW106" s="69" t="n">
        <f aca="false">AV106+AW105</f>
        <v>-5683902.66608768</v>
      </c>
      <c r="AX106" s="69" t="n">
        <f aca="false">AW106+AX105</f>
        <v>-5705561.56265074</v>
      </c>
      <c r="AY106" s="69" t="n">
        <f aca="false">AX106+AY105</f>
        <v>-5767322.03207337</v>
      </c>
      <c r="AZ106" s="69" t="n">
        <f aca="false">AY106+AZ105</f>
        <v>-5789078.07074359</v>
      </c>
      <c r="BA106" s="69" t="n">
        <f aca="false">AZ106+BA105</f>
        <v>-5795364.0761011</v>
      </c>
      <c r="BB106" s="69" t="n">
        <f aca="false">BA106+BB105</f>
        <v>-5802160.83124642</v>
      </c>
      <c r="BC106" s="69" t="n">
        <f aca="false">BB106+BC105</f>
        <v>-5808571.78149775</v>
      </c>
      <c r="BD106" s="69" t="n">
        <f aca="false">BC106+BD105</f>
        <v>-5814607.36293311</v>
      </c>
      <c r="BE106" s="69" t="n">
        <f aca="false">BD106+BE105</f>
        <v>-5820277.48982664</v>
      </c>
      <c r="BF106" s="69" t="n">
        <f aca="false">BE106+BF105</f>
        <v>-5825591.58073877</v>
      </c>
      <c r="BG106" s="69" t="n">
        <f aca="false">BF106+BG105</f>
        <v>-5830558.5833019</v>
      </c>
      <c r="BH106" s="69" t="n">
        <f aca="false">BG106+BH105</f>
        <v>-5835186.9977668</v>
      </c>
      <c r="BI106" s="69" t="n">
        <f aca="false">BH106+BI105</f>
        <v>-5839484.89937174</v>
      </c>
      <c r="BJ106" s="69" t="n">
        <f aca="false">BI106+BJ105</f>
        <v>-5858642.27171591</v>
      </c>
    </row>
    <row r="107" customFormat="false" ht="15" hidden="false" customHeight="false" outlineLevel="0" collapsed="false">
      <c r="A107" s="116" t="s">
        <v>463</v>
      </c>
      <c r="C107" s="69" t="n">
        <f aca="false">C106</f>
        <v>-4193267.45803733</v>
      </c>
      <c r="D107" s="69" t="n">
        <f aca="false">MIN(C107,D106)</f>
        <v>-4283095.21460302</v>
      </c>
      <c r="E107" s="69" t="n">
        <f aca="false">MIN(D107,E106)</f>
        <v>-4362014.59014797</v>
      </c>
      <c r="F107" s="69" t="n">
        <f aca="false">MIN(E107,F106)</f>
        <v>-4436478.69731065</v>
      </c>
      <c r="G107" s="69" t="n">
        <f aca="false">MIN(F107,G106)</f>
        <v>-4506390.00763987</v>
      </c>
      <c r="H107" s="69" t="n">
        <f aca="false">MIN(G107,H106)</f>
        <v>-4571686.13615463</v>
      </c>
      <c r="I107" s="69" t="n">
        <f aca="false">MIN(H107,I106)</f>
        <v>-4632307.81712298</v>
      </c>
      <c r="J107" s="69" t="n">
        <f aca="false">MIN(I107,J106)</f>
        <v>-4688198.74809958</v>
      </c>
      <c r="K107" s="69" t="n">
        <f aca="false">MIN(J107,K106)</f>
        <v>-4739305.44176135</v>
      </c>
      <c r="L107" s="69" t="n">
        <f aca="false">MIN(K107,L106)</f>
        <v>-4785577.08515137</v>
      </c>
      <c r="M107" s="69" t="n">
        <f aca="false">MIN(L107,M106)</f>
        <v>-4826965.40596055</v>
      </c>
      <c r="N107" s="69" t="n">
        <f aca="false">MIN(M107,N106)</f>
        <v>-4878672.94915421</v>
      </c>
      <c r="O107" s="69" t="n">
        <f aca="false">MIN(N107,O106)</f>
        <v>-4964907.64190688</v>
      </c>
      <c r="P107" s="69" t="n">
        <f aca="false">MIN(O107,P106)</f>
        <v>-5010045.54680673</v>
      </c>
      <c r="Q107" s="69" t="n">
        <f aca="false">MIN(P107,Q106)</f>
        <v>-5037964.57193162</v>
      </c>
      <c r="R107" s="69" t="n">
        <f aca="false">MIN(Q107,R106)</f>
        <v>-5064892.97141521</v>
      </c>
      <c r="S107" s="69" t="n">
        <f aca="false">MIN(R107,S106)</f>
        <v>-5090652.96111435</v>
      </c>
      <c r="T107" s="69" t="n">
        <f aca="false">MIN(S107,T106)</f>
        <v>-5115294.1073516</v>
      </c>
      <c r="U107" s="69" t="n">
        <f aca="false">MIN(T107,U106)</f>
        <v>-5138863.4981334</v>
      </c>
      <c r="V107" s="69" t="n">
        <f aca="false">MIN(U107,V106)</f>
        <v>-5161405.86706583</v>
      </c>
      <c r="W107" s="69" t="n">
        <f aca="false">MIN(V107,W106)</f>
        <v>-5182963.71107471</v>
      </c>
      <c r="X107" s="69" t="n">
        <f aca="false">MIN(W107,X106)</f>
        <v>-5203577.40223954</v>
      </c>
      <c r="Y107" s="69" t="n">
        <f aca="false">MIN(X107,Y106)</f>
        <v>-5223285.29403587</v>
      </c>
      <c r="Z107" s="69" t="n">
        <f aca="false">MIN(Y107,Z106)</f>
        <v>-5257788.65171905</v>
      </c>
      <c r="AA107" s="69" t="n">
        <f aca="false">MIN(Z107,AA106)</f>
        <v>-5330873.80900535</v>
      </c>
      <c r="AB107" s="69" t="n">
        <f aca="false">MIN(AA107,AB106)</f>
        <v>-5363464.33156508</v>
      </c>
      <c r="AC107" s="69" t="n">
        <f aca="false">MIN(AB107,AC106)</f>
        <v>-5379790.47785861</v>
      </c>
      <c r="AD107" s="69" t="n">
        <f aca="false">MIN(AC107,AD106)</f>
        <v>-5395891.7707248</v>
      </c>
      <c r="AE107" s="69" t="n">
        <f aca="false">MIN(AD107,AE106)</f>
        <v>-5411251.6507853</v>
      </c>
      <c r="AF107" s="69" t="n">
        <f aca="false">MIN(AE107,AF106)</f>
        <v>-5425898.33451371</v>
      </c>
      <c r="AG107" s="69" t="n">
        <f aca="false">MIN(AF107,AG106)</f>
        <v>-5439858.62755997</v>
      </c>
      <c r="AH107" s="69" t="n">
        <f aca="false">MIN(AG107,AH106)</f>
        <v>-5453157.99529152</v>
      </c>
      <c r="AI107" s="69" t="n">
        <f aca="false">MIN(AH107,AI106)</f>
        <v>-5465820.62980743</v>
      </c>
      <c r="AJ107" s="69" t="n">
        <f aca="false">MIN(AI107,AJ106)</f>
        <v>-5477869.51360182</v>
      </c>
      <c r="AK107" s="69" t="n">
        <f aca="false">MIN(AJ107,AK106)</f>
        <v>-5489326.48004409</v>
      </c>
      <c r="AL107" s="69" t="n">
        <f aca="false">MIN(AK107,AL106)</f>
        <v>-5515608.8397851</v>
      </c>
      <c r="AM107" s="69" t="n">
        <f aca="false">MIN(AL107,AM106)</f>
        <v>-5581373.93882566</v>
      </c>
      <c r="AN107" s="69" t="n">
        <f aca="false">MIN(AM107,AN106)</f>
        <v>-5606959.10618439</v>
      </c>
      <c r="AO107" s="69" t="n">
        <f aca="false">MIN(AN107,AO106)</f>
        <v>-5616796.68733275</v>
      </c>
      <c r="AP107" s="69" t="n">
        <f aca="false">MIN(AO107,AP106)</f>
        <v>-5626862.23779704</v>
      </c>
      <c r="AQ107" s="69" t="n">
        <f aca="false">MIN(AP107,AQ106)</f>
        <v>-5636417.21257175</v>
      </c>
      <c r="AR107" s="69" t="n">
        <f aca="false">MIN(AQ107,AR106)</f>
        <v>-5645478.28627468</v>
      </c>
      <c r="AS107" s="69" t="n">
        <f aca="false">MIN(AR107,AS106)</f>
        <v>-5654061.29979276</v>
      </c>
      <c r="AT107" s="69" t="n">
        <f aca="false">MIN(AS107,AT106)</f>
        <v>-5662181.30196856</v>
      </c>
      <c r="AU107" s="69" t="n">
        <f aca="false">MIN(AT107,AU106)</f>
        <v>-5669852.58920254</v>
      </c>
      <c r="AV107" s="69" t="n">
        <f aca="false">MIN(AU107,AV106)</f>
        <v>-5677088.74307511</v>
      </c>
      <c r="AW107" s="69" t="n">
        <f aca="false">MIN(AV107,AW106)</f>
        <v>-5683902.66608768</v>
      </c>
      <c r="AX107" s="69" t="n">
        <f aca="false">MIN(AW107,AX106)</f>
        <v>-5705561.56265074</v>
      </c>
      <c r="AY107" s="69" t="n">
        <f aca="false">MIN(AX107,AY106)</f>
        <v>-5767322.03207337</v>
      </c>
      <c r="AZ107" s="69" t="n">
        <f aca="false">MIN(AY107,AZ106)</f>
        <v>-5789078.07074359</v>
      </c>
      <c r="BA107" s="69" t="n">
        <f aca="false">MIN(AZ107,BA106)</f>
        <v>-5795364.0761011</v>
      </c>
      <c r="BB107" s="69" t="n">
        <f aca="false">MIN(BA107,BB106)</f>
        <v>-5802160.83124642</v>
      </c>
      <c r="BC107" s="69" t="n">
        <f aca="false">MIN(BB107,BC106)</f>
        <v>-5808571.78149775</v>
      </c>
      <c r="BD107" s="69" t="n">
        <f aca="false">MIN(BC107,BD106)</f>
        <v>-5814607.36293311</v>
      </c>
      <c r="BE107" s="69" t="n">
        <f aca="false">MIN(BD107,BE106)</f>
        <v>-5820277.48982664</v>
      </c>
      <c r="BF107" s="69" t="n">
        <f aca="false">MIN(BE107,BF106)</f>
        <v>-5825591.58073877</v>
      </c>
      <c r="BG107" s="69" t="n">
        <f aca="false">MIN(BF107,BG106)</f>
        <v>-5830558.5833019</v>
      </c>
      <c r="BH107" s="69" t="n">
        <f aca="false">MIN(BG107,BH106)</f>
        <v>-5835186.9977668</v>
      </c>
      <c r="BI107" s="69" t="n">
        <f aca="false">MIN(BH107,BI106)</f>
        <v>-5839484.89937174</v>
      </c>
      <c r="BJ107" s="69" t="n">
        <f aca="false">MIN(BI107,BJ106)</f>
        <v>-5858642.27171591</v>
      </c>
    </row>
    <row r="108" customFormat="false" ht="15" hidden="false" customHeight="false" outlineLevel="0" collapsed="false">
      <c r="A108" s="116" t="s">
        <v>464</v>
      </c>
      <c r="C108" s="118" t="n">
        <f aca="false">IF(AND(C106&gt;=0,C107&lt;0),1,0)</f>
        <v>0</v>
      </c>
      <c r="D108" s="118" t="n">
        <f aca="false">IF(AND(D106&gt;=0,D107&lt;0),1,0)</f>
        <v>0</v>
      </c>
      <c r="E108" s="118" t="n">
        <f aca="false">IF(AND(E106&gt;=0,E107&lt;0),1,0)</f>
        <v>0</v>
      </c>
      <c r="F108" s="118" t="n">
        <f aca="false">IF(AND(F106&gt;=0,F107&lt;0),1,0)</f>
        <v>0</v>
      </c>
      <c r="G108" s="118" t="n">
        <f aca="false">IF(AND(G106&gt;=0,G107&lt;0),1,0)</f>
        <v>0</v>
      </c>
      <c r="H108" s="118" t="n">
        <f aca="false">IF(AND(H106&gt;=0,H107&lt;0),1,0)</f>
        <v>0</v>
      </c>
      <c r="I108" s="118" t="n">
        <f aca="false">IF(AND(I106&gt;=0,I107&lt;0),1,0)</f>
        <v>0</v>
      </c>
      <c r="J108" s="118" t="n">
        <f aca="false">IF(AND(J106&gt;=0,J107&lt;0),1,0)</f>
        <v>0</v>
      </c>
      <c r="K108" s="118" t="n">
        <f aca="false">IF(AND(K106&gt;=0,K107&lt;0),1,0)</f>
        <v>0</v>
      </c>
      <c r="L108" s="118" t="n">
        <f aca="false">IF(AND(L106&gt;=0,L107&lt;0),1,0)</f>
        <v>0</v>
      </c>
      <c r="M108" s="118" t="n">
        <f aca="false">IF(AND(M106&gt;=0,M107&lt;0),1,0)</f>
        <v>0</v>
      </c>
      <c r="N108" s="118" t="n">
        <f aca="false">IF(AND(N106&gt;=0,N107&lt;0),1,0)</f>
        <v>0</v>
      </c>
      <c r="O108" s="118" t="n">
        <f aca="false">IF(AND(O106&gt;=0,O107&lt;0),1,0)</f>
        <v>0</v>
      </c>
      <c r="P108" s="118" t="n">
        <f aca="false">IF(AND(P106&gt;=0,P107&lt;0),1,0)</f>
        <v>0</v>
      </c>
      <c r="Q108" s="118" t="n">
        <f aca="false">IF(AND(Q106&gt;=0,Q107&lt;0),1,0)</f>
        <v>0</v>
      </c>
      <c r="R108" s="118" t="n">
        <f aca="false">IF(AND(R106&gt;=0,R107&lt;0),1,0)</f>
        <v>0</v>
      </c>
      <c r="S108" s="118" t="n">
        <f aca="false">IF(AND(S106&gt;=0,S107&lt;0),1,0)</f>
        <v>0</v>
      </c>
      <c r="T108" s="118" t="n">
        <f aca="false">IF(AND(T106&gt;=0,T107&lt;0),1,0)</f>
        <v>0</v>
      </c>
      <c r="U108" s="118" t="n">
        <f aca="false">IF(AND(U106&gt;=0,U107&lt;0),1,0)</f>
        <v>0</v>
      </c>
      <c r="V108" s="118" t="n">
        <f aca="false">IF(AND(V106&gt;=0,V107&lt;0),1,0)</f>
        <v>0</v>
      </c>
      <c r="W108" s="118" t="n">
        <f aca="false">IF(AND(W106&gt;=0,W107&lt;0),1,0)</f>
        <v>0</v>
      </c>
      <c r="X108" s="118" t="n">
        <f aca="false">IF(AND(X106&gt;=0,X107&lt;0),1,0)</f>
        <v>0</v>
      </c>
      <c r="Y108" s="118" t="n">
        <f aca="false">IF(AND(Y106&gt;=0,Y107&lt;0),1,0)</f>
        <v>0</v>
      </c>
      <c r="Z108" s="118" t="n">
        <f aca="false">IF(AND(Z106&gt;=0,Z107&lt;0),1,0)</f>
        <v>0</v>
      </c>
      <c r="AA108" s="118" t="n">
        <f aca="false">IF(AND(AA106&gt;=0,AA107&lt;0),1,0)</f>
        <v>0</v>
      </c>
      <c r="AB108" s="118" t="n">
        <f aca="false">IF(AND(AB106&gt;=0,AB107&lt;0),1,0)</f>
        <v>0</v>
      </c>
      <c r="AC108" s="118" t="n">
        <f aca="false">IF(AND(AC106&gt;=0,AC107&lt;0),1,0)</f>
        <v>0</v>
      </c>
      <c r="AD108" s="118" t="n">
        <f aca="false">IF(AND(AD106&gt;=0,AD107&lt;0),1,0)</f>
        <v>0</v>
      </c>
      <c r="AE108" s="118" t="n">
        <f aca="false">IF(AND(AE106&gt;=0,AE107&lt;0),1,0)</f>
        <v>0</v>
      </c>
      <c r="AF108" s="118" t="n">
        <f aca="false">IF(AND(AF106&gt;=0,AF107&lt;0),1,0)</f>
        <v>0</v>
      </c>
      <c r="AG108" s="118" t="n">
        <f aca="false">IF(AND(AG106&gt;=0,AG107&lt;0),1,0)</f>
        <v>0</v>
      </c>
      <c r="AH108" s="118" t="n">
        <f aca="false">IF(AND(AH106&gt;=0,AH107&lt;0),1,0)</f>
        <v>0</v>
      </c>
      <c r="AI108" s="118" t="n">
        <f aca="false">IF(AND(AI106&gt;=0,AI107&lt;0),1,0)</f>
        <v>0</v>
      </c>
      <c r="AJ108" s="118" t="n">
        <f aca="false">IF(AND(AJ106&gt;=0,AJ107&lt;0),1,0)</f>
        <v>0</v>
      </c>
      <c r="AK108" s="118" t="n">
        <f aca="false">IF(AND(AK106&gt;=0,AK107&lt;0),1,0)</f>
        <v>0</v>
      </c>
      <c r="AL108" s="118" t="n">
        <f aca="false">IF(AND(AL106&gt;=0,AL107&lt;0),1,0)</f>
        <v>0</v>
      </c>
      <c r="AM108" s="118" t="n">
        <f aca="false">IF(AND(AM106&gt;=0,AM107&lt;0),1,0)</f>
        <v>0</v>
      </c>
      <c r="AN108" s="118" t="n">
        <f aca="false">IF(AND(AN106&gt;=0,AN107&lt;0),1,0)</f>
        <v>0</v>
      </c>
      <c r="AO108" s="118" t="n">
        <f aca="false">IF(AND(AO106&gt;=0,AO107&lt;0),1,0)</f>
        <v>0</v>
      </c>
      <c r="AP108" s="118" t="n">
        <f aca="false">IF(AND(AP106&gt;=0,AP107&lt;0),1,0)</f>
        <v>0</v>
      </c>
      <c r="AQ108" s="118" t="n">
        <f aca="false">IF(AND(AQ106&gt;=0,AQ107&lt;0),1,0)</f>
        <v>0</v>
      </c>
      <c r="AR108" s="118" t="n">
        <f aca="false">IF(AND(AR106&gt;=0,AR107&lt;0),1,0)</f>
        <v>0</v>
      </c>
      <c r="AS108" s="118" t="n">
        <f aca="false">IF(AND(AS106&gt;=0,AS107&lt;0),1,0)</f>
        <v>0</v>
      </c>
      <c r="AT108" s="118" t="n">
        <f aca="false">IF(AND(AT106&gt;=0,AT107&lt;0),1,0)</f>
        <v>0</v>
      </c>
      <c r="AU108" s="118" t="n">
        <f aca="false">IF(AND(AU106&gt;=0,AU107&lt;0),1,0)</f>
        <v>0</v>
      </c>
      <c r="AV108" s="118" t="n">
        <f aca="false">IF(AND(AV106&gt;=0,AV107&lt;0),1,0)</f>
        <v>0</v>
      </c>
      <c r="AW108" s="118" t="n">
        <f aca="false">IF(AND(AW106&gt;=0,AW107&lt;0),1,0)</f>
        <v>0</v>
      </c>
      <c r="AX108" s="118" t="n">
        <f aca="false">IF(AND(AX106&gt;=0,AX107&lt;0),1,0)</f>
        <v>0</v>
      </c>
      <c r="AY108" s="118" t="n">
        <f aca="false">IF(AND(AY106&gt;=0,AY107&lt;0),1,0)</f>
        <v>0</v>
      </c>
      <c r="AZ108" s="118" t="n">
        <f aca="false">IF(AND(AZ106&gt;=0,AZ107&lt;0),1,0)</f>
        <v>0</v>
      </c>
      <c r="BA108" s="118" t="n">
        <f aca="false">IF(AND(BA106&gt;=0,BA107&lt;0),1,0)</f>
        <v>0</v>
      </c>
      <c r="BB108" s="118" t="n">
        <f aca="false">IF(AND(BB106&gt;=0,BB107&lt;0),1,0)</f>
        <v>0</v>
      </c>
      <c r="BC108" s="118" t="n">
        <f aca="false">IF(AND(BC106&gt;=0,BC107&lt;0),1,0)</f>
        <v>0</v>
      </c>
      <c r="BD108" s="118" t="n">
        <f aca="false">IF(AND(BD106&gt;=0,BD107&lt;0),1,0)</f>
        <v>0</v>
      </c>
      <c r="BE108" s="118" t="n">
        <f aca="false">IF(AND(BE106&gt;=0,BE107&lt;0),1,0)</f>
        <v>0</v>
      </c>
      <c r="BF108" s="118" t="n">
        <f aca="false">IF(AND(BF106&gt;=0,BF107&lt;0),1,0)</f>
        <v>0</v>
      </c>
      <c r="BG108" s="118" t="n">
        <f aca="false">IF(AND(BG106&gt;=0,BG107&lt;0),1,0)</f>
        <v>0</v>
      </c>
      <c r="BH108" s="118" t="n">
        <f aca="false">IF(AND(BH106&gt;=0,BH107&lt;0),1,0)</f>
        <v>0</v>
      </c>
      <c r="BI108" s="118" t="n">
        <f aca="false">IF(AND(BI106&gt;=0,BI107&lt;0),1,0)</f>
        <v>0</v>
      </c>
      <c r="BJ108" s="118" t="n">
        <f aca="false">IF(AND(BJ106&gt;=0,BJ107&lt;0),1,0)</f>
        <v>0</v>
      </c>
    </row>
    <row r="109" customFormat="false" ht="15" hidden="false" customHeight="false" outlineLevel="0" collapsed="false">
      <c r="A109" s="6" t="s">
        <v>465</v>
      </c>
      <c r="C109" s="69" t="n">
        <f aca="false">C94-C61*(1-Inputs!$B$79)+C95</f>
        <v>-4176479.95803733</v>
      </c>
      <c r="D109" s="69" t="n">
        <f aca="false">D94-D61*(1-Inputs!$B$79)+D95</f>
        <v>-73110.2044823556</v>
      </c>
      <c r="E109" s="69" t="n">
        <f aca="false">E94-E61*(1-Inputs!$B$79)+E95</f>
        <v>-62341.7192949422</v>
      </c>
      <c r="F109" s="69" t="n">
        <f aca="false">F94-F61*(1-Inputs!$B$79)+F95</f>
        <v>-58026.3467460196</v>
      </c>
      <c r="G109" s="69" t="n">
        <f aca="false">G94-G61*(1-Inputs!$B$79)+G95</f>
        <v>-53613.4457458853</v>
      </c>
      <c r="H109" s="69" t="n">
        <f aca="false">H94-H61*(1-Inputs!$B$79)+H95</f>
        <v>-49138.1597647576</v>
      </c>
      <c r="I109" s="69" t="n">
        <f aca="false">I94-I61*(1-Inputs!$B$79)+I95</f>
        <v>-44603.6080516865</v>
      </c>
      <c r="J109" s="69" t="n">
        <f aca="false">J94-J61*(1-Inputs!$B$79)+J95</f>
        <v>-40012.7538932688</v>
      </c>
      <c r="K109" s="69" t="n">
        <f aca="false">K94-K61*(1-Inputs!$B$79)+K95</f>
        <v>-35368.412411772</v>
      </c>
      <c r="L109" s="69" t="n">
        <f aca="false">L94-L61*(1-Inputs!$B$79)+L95</f>
        <v>-30673.2579733501</v>
      </c>
      <c r="M109" s="69" t="n">
        <f aca="false">M94-M61*(1-Inputs!$B$79)+M95</f>
        <v>-25929.8312258493</v>
      </c>
      <c r="N109" s="69" t="n">
        <f aca="false">N94-N61*(1-Inputs!$B$79)+N95</f>
        <v>-36388.94944366</v>
      </c>
      <c r="O109" s="69" t="n">
        <f aca="false">O94-O61*(1-Inputs!$B$79)+O95</f>
        <v>-71055.9948360004</v>
      </c>
      <c r="P109" s="69" t="n">
        <f aca="false">P94-P61*(1-Inputs!$B$79)+P95</f>
        <v>-30099.1028165163</v>
      </c>
      <c r="Q109" s="69" t="n">
        <f aca="false">Q94-Q61*(1-Inputs!$B$79)+Q95</f>
        <v>-13020.1188748866</v>
      </c>
      <c r="R109" s="69" t="n">
        <f aca="false">R94-R61*(1-Inputs!$B$79)+R95</f>
        <v>-12169.3890669236</v>
      </c>
      <c r="S109" s="69" t="n">
        <f aca="false">S94-S61*(1-Inputs!$B$79)+S95</f>
        <v>-11140.8751158108</v>
      </c>
      <c r="T109" s="69" t="n">
        <f aca="false">T94-T61*(1-Inputs!$B$79)+T95</f>
        <v>-10161.9274872536</v>
      </c>
      <c r="U109" s="69" t="n">
        <f aca="false">U94-U61*(1-Inputs!$B$79)+U95</f>
        <v>-9230.06786512426</v>
      </c>
      <c r="V109" s="69" t="n">
        <f aca="false">V94-V61*(1-Inputs!$B$79)+V95</f>
        <v>-8342.94184910138</v>
      </c>
      <c r="W109" s="69" t="n">
        <f aca="false">W94-W61*(1-Inputs!$B$79)+W95</f>
        <v>-7498.31275887963</v>
      </c>
      <c r="X109" s="69" t="n">
        <f aca="false">X94-X61*(1-Inputs!$B$79)+X95</f>
        <v>-6694.055748169</v>
      </c>
      <c r="Y109" s="69" t="n">
        <f aca="false">Y94-Y61*(1-Inputs!$B$79)+Y95</f>
        <v>-5928.15221299386</v>
      </c>
      <c r="Z109" s="69" t="n">
        <f aca="false">Z94-Z61*(1-Inputs!$B$79)+Z95</f>
        <v>-20863.5139331803</v>
      </c>
      <c r="AA109" s="69" t="n">
        <f aca="false">AA94-AA61*(1-Inputs!$B$79)+AA95</f>
        <v>-59585.2093696369</v>
      </c>
      <c r="AB109" s="69" t="n">
        <f aca="false">AB94-AB61*(1-Inputs!$B$79)+AB95</f>
        <v>-19230.4704763914</v>
      </c>
      <c r="AC109" s="69" t="n">
        <f aca="false">AC94-AC61*(1-Inputs!$B$79)+AC95</f>
        <v>-3105.99004352551</v>
      </c>
      <c r="AD109" s="69" t="n">
        <f aca="false">AD94-AD61*(1-Inputs!$B$79)+AD95</f>
        <v>-3021.03244953209</v>
      </c>
      <c r="AE109" s="69" t="n">
        <f aca="false">AE94-AE61*(1-Inputs!$B$79)+AE95</f>
        <v>-2419.5154771608</v>
      </c>
      <c r="AF109" s="69" t="n">
        <f aca="false">AF94-AF61*(1-Inputs!$B$79)+AF95</f>
        <v>-1846.2149784081</v>
      </c>
      <c r="AG109" s="69" t="n">
        <f aca="false">AG94-AG61*(1-Inputs!$B$79)+AG95</f>
        <v>-1299.72012959304</v>
      </c>
      <c r="AH109" s="69" t="n">
        <f aca="false">AH94-AH61*(1-Inputs!$B$79)+AH95</f>
        <v>-778.690648218728</v>
      </c>
      <c r="AI109" s="69" t="n">
        <f aca="false">AI94-AI61*(1-Inputs!$B$79)+AI95</f>
        <v>-281.853265913129</v>
      </c>
      <c r="AJ109" s="69" t="n">
        <f aca="false">AJ94-AJ61*(1-Inputs!$B$79)+AJ95</f>
        <v>192.001622277196</v>
      </c>
      <c r="AK109" s="69" t="n">
        <f aca="false">AK94-AK61*(1-Inputs!$B$79)+AK95</f>
        <v>644.023141058015</v>
      </c>
      <c r="AL109" s="69" t="n">
        <f aca="false">AL94-AL61*(1-Inputs!$B$79)+AL95</f>
        <v>-14321.2659910072</v>
      </c>
      <c r="AM109" s="69" t="n">
        <f aca="false">AM94-AM61*(1-Inputs!$B$79)+AM95</f>
        <v>-53943.9011238956</v>
      </c>
      <c r="AN109" s="69" t="n">
        <f aca="false">AN94-AN61*(1-Inputs!$B$79)+AN95</f>
        <v>-13903.865275396</v>
      </c>
      <c r="AO109" s="69" t="n">
        <f aca="false">AO94-AO61*(1-Inputs!$B$79)+AO95</f>
        <v>1703.82510164296</v>
      </c>
      <c r="AP109" s="69" t="n">
        <f aca="false">AP94-AP61*(1-Inputs!$B$79)+AP95</f>
        <v>1335.95995237586</v>
      </c>
      <c r="AQ109" s="69" t="n">
        <f aca="false">AQ94-AQ61*(1-Inputs!$B$79)+AQ95</f>
        <v>1706.6398086287</v>
      </c>
      <c r="AR109" s="69" t="n">
        <f aca="false">AR94-AR61*(1-Inputs!$B$79)+AR95</f>
        <v>2060.64504706891</v>
      </c>
      <c r="AS109" s="69" t="n">
        <f aca="false">AS94-AS61*(1-Inputs!$B$79)+AS95</f>
        <v>2398.80939858709</v>
      </c>
      <c r="AT109" s="69" t="n">
        <f aca="false">AT94-AT61*(1-Inputs!$B$79)+AT95</f>
        <v>2721.92490752935</v>
      </c>
      <c r="AU109" s="69" t="n">
        <f aca="false">AU94-AU61*(1-Inputs!$B$79)+AU95</f>
        <v>3030.74401602452</v>
      </c>
      <c r="AV109" s="69" t="n">
        <f aca="false">AV94-AV61*(1-Inputs!$B$79)+AV95</f>
        <v>3325.98154409491</v>
      </c>
      <c r="AW109" s="69" t="n">
        <f aca="false">AW94-AW61*(1-Inputs!$B$79)+AW95</f>
        <v>3608.31657076179</v>
      </c>
      <c r="AX109" s="69" t="n">
        <f aca="false">AX94-AX61*(1-Inputs!$B$79)+AX95</f>
        <v>-11376.5528130576</v>
      </c>
      <c r="AY109" s="69" t="n">
        <f aca="false">AY94-AY61*(1-Inputs!$B$79)+AY95</f>
        <v>-51618.0215059654</v>
      </c>
      <c r="AZ109" s="69" t="n">
        <f aca="false">AZ94-AZ61*(1-Inputs!$B$79)+AZ95</f>
        <v>-11753.4865868856</v>
      </c>
      <c r="BA109" s="69" t="n">
        <f aca="false">BA94-BA61*(1-Inputs!$B$79)+BA95</f>
        <v>3576.65089248791</v>
      </c>
      <c r="BB109" s="69" t="n">
        <f aca="false">BB94-BB61*(1-Inputs!$B$79)+BB95</f>
        <v>2926.00527134534</v>
      </c>
      <c r="BC109" s="69" t="n">
        <f aca="false">BC94-BC61*(1-Inputs!$B$79)+BC95</f>
        <v>3171.91433200722</v>
      </c>
      <c r="BD109" s="69" t="n">
        <f aca="false">BD94-BD61*(1-Inputs!$B$79)+BD95</f>
        <v>3407.387314636</v>
      </c>
      <c r="BE109" s="69" t="n">
        <f aca="false">BE94-BE61*(1-Inputs!$B$79)+BE95</f>
        <v>3632.94602313334</v>
      </c>
      <c r="BF109" s="69" t="n">
        <f aca="false">BF94-BF61*(1-Inputs!$B$79)+BF95</f>
        <v>3849.0861712058</v>
      </c>
      <c r="BG109" s="69" t="n">
        <f aca="false">BG94-BG61*(1-Inputs!$B$79)+BG95</f>
        <v>4056.27868687467</v>
      </c>
      <c r="BH109" s="69" t="n">
        <f aca="false">BH94-BH61*(1-Inputs!$B$79)+BH95</f>
        <v>4254.97095176007</v>
      </c>
      <c r="BI109" s="69" t="n">
        <f aca="false">BI94-BI61*(1-Inputs!$B$79)+BI95</f>
        <v>4445.58797840121</v>
      </c>
      <c r="BJ109" s="69" t="n">
        <f aca="false">BJ94-BJ61*(1-Inputs!$B$79)+BJ95</f>
        <v>-10553.7785941697</v>
      </c>
    </row>
    <row r="111" customFormat="false" ht="15.75" hidden="false" customHeight="true" outlineLevel="0" collapsed="false">
      <c r="A111" s="7" t="s">
        <v>466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customFormat="false" ht="15" hidden="false" customHeight="false" outlineLevel="0" collapsed="false">
      <c r="A112" s="6" t="s">
        <v>97</v>
      </c>
      <c r="C112" s="69" t="n">
        <f aca="false">C96</f>
        <v>2100000</v>
      </c>
      <c r="D112" s="69" t="n">
        <f aca="false">C112+D96</f>
        <v>2100000</v>
      </c>
      <c r="E112" s="69" t="n">
        <f aca="false">D112+E96</f>
        <v>2100000</v>
      </c>
      <c r="F112" s="69" t="n">
        <f aca="false">E112+F96</f>
        <v>2100000</v>
      </c>
      <c r="G112" s="69" t="n">
        <f aca="false">F112+G96</f>
        <v>2100000</v>
      </c>
      <c r="H112" s="69" t="n">
        <f aca="false">G112+H96</f>
        <v>2100000</v>
      </c>
      <c r="I112" s="69" t="n">
        <f aca="false">H112+I96</f>
        <v>2100000</v>
      </c>
      <c r="J112" s="69" t="n">
        <f aca="false">I112+J96</f>
        <v>2100000</v>
      </c>
      <c r="K112" s="69" t="n">
        <f aca="false">J112+K96</f>
        <v>2100000</v>
      </c>
      <c r="L112" s="69" t="n">
        <f aca="false">K112+L96</f>
        <v>2100000</v>
      </c>
      <c r="M112" s="69" t="n">
        <f aca="false">L112+M96</f>
        <v>2100000</v>
      </c>
      <c r="N112" s="69" t="n">
        <f aca="false">M112+N96</f>
        <v>2100000</v>
      </c>
      <c r="O112" s="69" t="n">
        <f aca="false">N112+O96</f>
        <v>2100000</v>
      </c>
      <c r="P112" s="69" t="n">
        <f aca="false">O112+P96</f>
        <v>2100000</v>
      </c>
      <c r="Q112" s="69" t="n">
        <f aca="false">P112+Q96</f>
        <v>2100000</v>
      </c>
      <c r="R112" s="69" t="n">
        <f aca="false">Q112+R96</f>
        <v>2100000</v>
      </c>
      <c r="S112" s="69" t="n">
        <f aca="false">R112+S96</f>
        <v>2100000</v>
      </c>
      <c r="T112" s="69" t="n">
        <f aca="false">S112+T96</f>
        <v>2100000</v>
      </c>
      <c r="U112" s="69" t="n">
        <f aca="false">T112+U96</f>
        <v>2100000</v>
      </c>
      <c r="V112" s="69" t="n">
        <f aca="false">U112+V96</f>
        <v>2100000</v>
      </c>
      <c r="W112" s="69" t="n">
        <f aca="false">V112+W96</f>
        <v>2100000</v>
      </c>
      <c r="X112" s="69" t="n">
        <f aca="false">W112+X96</f>
        <v>2100000</v>
      </c>
      <c r="Y112" s="69" t="n">
        <f aca="false">X112+Y96</f>
        <v>2100000</v>
      </c>
      <c r="Z112" s="69" t="n">
        <f aca="false">Y112+Z96</f>
        <v>2100000</v>
      </c>
      <c r="AA112" s="69" t="n">
        <f aca="false">Z112+AA96</f>
        <v>2100000</v>
      </c>
      <c r="AB112" s="69" t="n">
        <f aca="false">AA112+AB96</f>
        <v>2100000</v>
      </c>
      <c r="AC112" s="69" t="n">
        <f aca="false">AB112+AC96</f>
        <v>2100000</v>
      </c>
      <c r="AD112" s="69" t="n">
        <f aca="false">AC112+AD96</f>
        <v>2100000</v>
      </c>
      <c r="AE112" s="69" t="n">
        <f aca="false">AD112+AE96</f>
        <v>2100000</v>
      </c>
      <c r="AF112" s="69" t="n">
        <f aca="false">AE112+AF96</f>
        <v>2100000</v>
      </c>
      <c r="AG112" s="69" t="n">
        <f aca="false">AF112+AG96</f>
        <v>2100000</v>
      </c>
      <c r="AH112" s="69" t="n">
        <f aca="false">AG112+AH96</f>
        <v>2100000</v>
      </c>
      <c r="AI112" s="69" t="n">
        <f aca="false">AH112+AI96</f>
        <v>2100000</v>
      </c>
      <c r="AJ112" s="69" t="n">
        <f aca="false">AI112+AJ96</f>
        <v>2100000</v>
      </c>
      <c r="AK112" s="69" t="n">
        <f aca="false">AJ112+AK96</f>
        <v>2100000</v>
      </c>
      <c r="AL112" s="69" t="n">
        <f aca="false">AK112+AL96</f>
        <v>2100000</v>
      </c>
      <c r="AM112" s="69" t="n">
        <f aca="false">AL112+AM96</f>
        <v>2100000</v>
      </c>
      <c r="AN112" s="69" t="n">
        <f aca="false">AM112+AN96</f>
        <v>2100000</v>
      </c>
      <c r="AO112" s="69" t="n">
        <f aca="false">AN112+AO96</f>
        <v>2100000</v>
      </c>
      <c r="AP112" s="69" t="n">
        <f aca="false">AO112+AP96</f>
        <v>2100000</v>
      </c>
      <c r="AQ112" s="69" t="n">
        <f aca="false">AP112+AQ96</f>
        <v>2100000</v>
      </c>
      <c r="AR112" s="69" t="n">
        <f aca="false">AQ112+AR96</f>
        <v>2100000</v>
      </c>
      <c r="AS112" s="69" t="n">
        <f aca="false">AR112+AS96</f>
        <v>2100000</v>
      </c>
      <c r="AT112" s="69" t="n">
        <f aca="false">AS112+AT96</f>
        <v>2100000</v>
      </c>
      <c r="AU112" s="69" t="n">
        <f aca="false">AT112+AU96</f>
        <v>2100000</v>
      </c>
      <c r="AV112" s="69" t="n">
        <f aca="false">AU112+AV96</f>
        <v>2100000</v>
      </c>
      <c r="AW112" s="69" t="n">
        <f aca="false">AV112+AW96</f>
        <v>2100000</v>
      </c>
      <c r="AX112" s="69" t="n">
        <f aca="false">AW112+AX96</f>
        <v>2100000</v>
      </c>
      <c r="AY112" s="69" t="n">
        <f aca="false">AX112+AY96</f>
        <v>2100000</v>
      </c>
      <c r="AZ112" s="69" t="n">
        <f aca="false">AY112+AZ96</f>
        <v>2100000</v>
      </c>
      <c r="BA112" s="69" t="n">
        <f aca="false">AZ112+BA96</f>
        <v>2100000</v>
      </c>
      <c r="BB112" s="69" t="n">
        <f aca="false">BA112+BB96</f>
        <v>2100000</v>
      </c>
      <c r="BC112" s="69" t="n">
        <f aca="false">BB112+BC96</f>
        <v>2100000</v>
      </c>
      <c r="BD112" s="69" t="n">
        <f aca="false">BC112+BD96</f>
        <v>2100000</v>
      </c>
      <c r="BE112" s="69" t="n">
        <f aca="false">BD112+BE96</f>
        <v>2100000</v>
      </c>
      <c r="BF112" s="69" t="n">
        <f aca="false">BE112+BF96</f>
        <v>2100000</v>
      </c>
      <c r="BG112" s="69" t="n">
        <f aca="false">BF112+BG96</f>
        <v>2100000</v>
      </c>
      <c r="BH112" s="69" t="n">
        <f aca="false">BG112+BH96</f>
        <v>2100000</v>
      </c>
      <c r="BI112" s="69" t="n">
        <f aca="false">BH112+BI96</f>
        <v>2100000</v>
      </c>
      <c r="BJ112" s="69" t="n">
        <f aca="false">BI112+BJ96</f>
        <v>2100000</v>
      </c>
    </row>
    <row r="113" customFormat="false" ht="15" hidden="false" customHeight="false" outlineLevel="0" collapsed="false">
      <c r="A113" s="6" t="s">
        <v>98</v>
      </c>
      <c r="C113" s="69" t="n">
        <f aca="false">C66</f>
        <v>-121553.757544889</v>
      </c>
      <c r="D113" s="69" t="n">
        <f aca="false">C113+D66</f>
        <v>-239824.400774311</v>
      </c>
      <c r="E113" s="69" t="n">
        <f aca="false">D113+E66</f>
        <v>-347224.178714347</v>
      </c>
      <c r="F113" s="69" t="n">
        <f aca="false">E113+F66</f>
        <v>-450138.914797158</v>
      </c>
      <c r="G113" s="69" t="n">
        <f aca="false">F113+G66</f>
        <v>-548502.83629294</v>
      </c>
      <c r="H113" s="69" t="n">
        <f aca="false">G113+H66</f>
        <v>-642253.459108378</v>
      </c>
      <c r="I113" s="69" t="n">
        <f aca="false">H113+I66</f>
        <v>-731331.423354821</v>
      </c>
      <c r="J113" s="69" t="n">
        <f aca="false">I113+J66</f>
        <v>-815680.337138053</v>
      </c>
      <c r="K113" s="69" t="n">
        <f aca="false">J113+K66</f>
        <v>-895246.628158569</v>
      </c>
      <c r="L113" s="69" t="n">
        <f aca="false">K113+L66</f>
        <v>-969979.402731836</v>
      </c>
      <c r="M113" s="69" t="n">
        <f aca="false">L113+M66</f>
        <v>-1039830.31185755</v>
      </c>
      <c r="N113" s="69" t="n">
        <f aca="false">M113+N66</f>
        <v>-1119845.80120716</v>
      </c>
      <c r="O113" s="69" t="n">
        <f aca="false">N113+O66</f>
        <v>-1194915.69563466</v>
      </c>
      <c r="P113" s="69" t="n">
        <f aca="false">O113+P66</f>
        <v>-1268809.09068013</v>
      </c>
      <c r="Q113" s="69" t="n">
        <f aca="false">P113+Q66</f>
        <v>-1325745.06851202</v>
      </c>
      <c r="R113" s="69" t="n">
        <f aca="false">Q113+R66</f>
        <v>-1381458.61180873</v>
      </c>
      <c r="S113" s="69" t="n">
        <f aca="false">R113+S66</f>
        <v>-1436001.98813033</v>
      </c>
      <c r="T113" s="69" t="n">
        <f aca="false">S113+T66</f>
        <v>-1489424.85165892</v>
      </c>
      <c r="U113" s="69" t="n">
        <f aca="false">T113+U66</f>
        <v>-1541774.37386748</v>
      </c>
      <c r="V113" s="69" t="n">
        <f aca="false">U113+V66</f>
        <v>-1593095.36765534</v>
      </c>
      <c r="W113" s="69" t="n">
        <f aca="false">V113+W66</f>
        <v>-1643430.40527688</v>
      </c>
      <c r="X113" s="69" t="n">
        <f aca="false">W113+X66</f>
        <v>-1692819.93037374</v>
      </c>
      <c r="Y113" s="69" t="n">
        <f aca="false">X113+Y66</f>
        <v>-1741302.36440549</v>
      </c>
      <c r="Z113" s="69" t="n">
        <f aca="false">Y113+Z66</f>
        <v>-1804103.40201912</v>
      </c>
      <c r="AA113" s="69" t="n">
        <f aca="false">Z113+AA66</f>
        <v>-1866363.0142821</v>
      </c>
      <c r="AB113" s="69" t="n">
        <f aca="false">AA113+AB66</f>
        <v>-1927984.91828611</v>
      </c>
      <c r="AC113" s="69" t="n">
        <f aca="false">AB113+AC66</f>
        <v>-1973908.45654137</v>
      </c>
      <c r="AD113" s="69" t="n">
        <f aca="false">AC113+AD66</f>
        <v>-2019059.71277703</v>
      </c>
      <c r="AE113" s="69" t="n">
        <f aca="false">AD113+AE66</f>
        <v>-2063468.44692741</v>
      </c>
      <c r="AF113" s="69" t="n">
        <f aca="false">AE113+AF66</f>
        <v>-2107162.93093009</v>
      </c>
      <c r="AG113" s="69" t="n">
        <f aca="false">AF113+AG66</f>
        <v>-2150170.0231258</v>
      </c>
      <c r="AH113" s="69" t="n">
        <f aca="false">AG113+AH66</f>
        <v>-2192515.23893822</v>
      </c>
      <c r="AI113" s="69" t="n">
        <f aca="false">AH113+AI66</f>
        <v>-2234222.81801984</v>
      </c>
      <c r="AJ113" s="69" t="n">
        <f aca="false">AI113+AJ66</f>
        <v>-2275315.78804055</v>
      </c>
      <c r="AK113" s="69" t="n">
        <f aca="false">AJ113+AK66</f>
        <v>-2315816.02528671</v>
      </c>
      <c r="AL113" s="69" t="n">
        <f aca="false">AK113+AL66</f>
        <v>-2370448.03523605</v>
      </c>
      <c r="AM113" s="69" t="n">
        <f aca="false">AL113+AM66</f>
        <v>-2425685.85403983</v>
      </c>
      <c r="AN113" s="69" t="n">
        <f aca="false">AM113+AN66</f>
        <v>-2480578.30297542</v>
      </c>
      <c r="AO113" s="69" t="n">
        <f aca="false">AN113+AO66</f>
        <v>-2520492.76263797</v>
      </c>
      <c r="AP113" s="69" t="n">
        <f aca="false">AO113+AP66</f>
        <v>-2559878.33309547</v>
      </c>
      <c r="AQ113" s="69" t="n">
        <f aca="false">AP113+AQ66</f>
        <v>-2598752.60464149</v>
      </c>
      <c r="AR113" s="69" t="n">
        <f aca="false">AQ113+AR66</f>
        <v>-2637132.28805496</v>
      </c>
      <c r="AS113" s="69" t="n">
        <f aca="false">AR113+AS66</f>
        <v>-2675033.25857582</v>
      </c>
      <c r="AT113" s="69" t="n">
        <f aca="false">AS113+AT66</f>
        <v>-2712470.59768205</v>
      </c>
      <c r="AU113" s="69" t="n">
        <f aca="false">AT113+AU66</f>
        <v>-2749458.6327777</v>
      </c>
      <c r="AV113" s="69" t="n">
        <f aca="false">AU113+AV66</f>
        <v>-2786010.97489665</v>
      </c>
      <c r="AW113" s="69" t="n">
        <f aca="false">AV113+AW66</f>
        <v>-2822140.55452105</v>
      </c>
      <c r="AX113" s="69" t="n">
        <f aca="false">AW113+AX66</f>
        <v>-2872267.03443681</v>
      </c>
      <c r="AY113" s="69" t="n">
        <f aca="false">AX113+AY66</f>
        <v>-2923793.24755322</v>
      </c>
      <c r="AZ113" s="69" t="n">
        <f aca="false">AY113+AZ66</f>
        <v>-2975132.74286126</v>
      </c>
      <c r="BA113" s="69" t="n">
        <f aca="false">AZ113+BA66</f>
        <v>-3011920.08913534</v>
      </c>
      <c r="BB113" s="69" t="n">
        <f aca="false">BA113+BB66</f>
        <v>-3048310.12179233</v>
      </c>
      <c r="BC113" s="69" t="n">
        <f aca="false">BB113+BC66</f>
        <v>-3084313.85234639</v>
      </c>
      <c r="BD113" s="69" t="n">
        <f aca="false">BC113+BD66</f>
        <v>-3119941.74173603</v>
      </c>
      <c r="BE113" s="69" t="n">
        <f aca="false">BD113+BE66</f>
        <v>-3155203.72785279</v>
      </c>
      <c r="BF113" s="69" t="n">
        <f aca="false">BE113+BF66</f>
        <v>-3190109.25169365</v>
      </c>
      <c r="BG113" s="69" t="n">
        <f aca="false">BF113+BG66</f>
        <v>-3224667.28220573</v>
      </c>
      <c r="BH113" s="69" t="n">
        <f aca="false">BG113+BH66</f>
        <v>-3258886.33988882</v>
      </c>
      <c r="BI113" s="69" t="n">
        <f aca="false">BH113+BI66</f>
        <v>-3292774.51921769</v>
      </c>
      <c r="BJ113" s="69" t="n">
        <f aca="false">BI113+BJ66</f>
        <v>-3340553.18598708</v>
      </c>
    </row>
    <row r="114" customFormat="false" ht="15" hidden="false" customHeight="false" outlineLevel="0" collapsed="false">
      <c r="A114" s="4" t="s">
        <v>93</v>
      </c>
      <c r="C114" s="75" t="n">
        <f aca="false">C100+C86+C87+C77</f>
        <v>4982397.55300178</v>
      </c>
      <c r="D114" s="75" t="n">
        <f aca="false">D100+D86+D87+D77</f>
        <v>4839700.77212058</v>
      </c>
      <c r="E114" s="75" t="n">
        <f aca="false">E100+E86+E87+E77</f>
        <v>4709554.42846161</v>
      </c>
      <c r="F114" s="75" t="n">
        <f aca="false">F100+F86+F87+F77</f>
        <v>4582469.70466889</v>
      </c>
      <c r="G114" s="75" t="n">
        <f aca="false">G100+G86+G87+G77</f>
        <v>4459955.69263536</v>
      </c>
      <c r="H114" s="75" t="n">
        <f aca="false">H100+H86+H87+H77</f>
        <v>4342073.88159573</v>
      </c>
      <c r="I114" s="75" t="n">
        <f aca="false">I100+I86+I87+I77</f>
        <v>4228882.68632297</v>
      </c>
      <c r="J114" s="75" t="n">
        <f aca="false">J100+J86+J87+J77</f>
        <v>4120437.6008514</v>
      </c>
      <c r="K114" s="75" t="n">
        <f aca="false">K100+K86+K87+K77</f>
        <v>4016791.34451364</v>
      </c>
      <c r="L114" s="75" t="n">
        <f aca="false">L100+L86+L87+L77</f>
        <v>3917994.00067565</v>
      </c>
      <c r="M114" s="75" t="n">
        <f aca="false">M100+M86+M87+M77</f>
        <v>3824093.14853512</v>
      </c>
      <c r="N114" s="75" t="n">
        <f aca="false">N100+N86+N87+N77</f>
        <v>3716409.78323732</v>
      </c>
      <c r="O114" s="75" t="n">
        <f aca="false">O100+O86+O87+O77</f>
        <v>3617448.62099504</v>
      </c>
      <c r="P114" s="75" t="n">
        <f aca="false">P100+P86+P87+P77</f>
        <v>3518780.59433143</v>
      </c>
      <c r="Q114" s="75" t="n">
        <f aca="false">Q100+Q86+Q87+Q77</f>
        <v>3441174.74660066</v>
      </c>
      <c r="R114" s="75" t="n">
        <f aca="false">R100+R86+R87+R77</f>
        <v>3360788.80922032</v>
      </c>
      <c r="S114" s="75" t="n">
        <f aca="false">S100+S86+S87+S77</f>
        <v>3281556.65851927</v>
      </c>
      <c r="T114" s="75" t="n">
        <f aca="false">T100+T86+T87+T77</f>
        <v>3203429.4593302</v>
      </c>
      <c r="U114" s="75" t="n">
        <f aca="false">U100+U86+U87+U77</f>
        <v>3126360.81824418</v>
      </c>
      <c r="V114" s="75" t="n">
        <f aca="false">V100+V86+V87+V77</f>
        <v>3050306.66152274</v>
      </c>
      <c r="W114" s="75" t="n">
        <f aca="false">W100+W86+W87+W77</f>
        <v>2975225.11911429</v>
      </c>
      <c r="X114" s="75" t="n">
        <f aca="false">X100+X86+X87+X77</f>
        <v>2901076.41446988</v>
      </c>
      <c r="Y114" s="75" t="n">
        <f aca="false">Y100+Y86+Y87+Y77</f>
        <v>2827822.75986794</v>
      </c>
      <c r="Z114" s="75" t="n">
        <f aca="false">Z100+Z86+Z87+Z77</f>
        <v>2735588.28726297</v>
      </c>
      <c r="AA114" s="75" t="n">
        <f aca="false">AA100+AA86+AA87+AA77</f>
        <v>2648954.46787053</v>
      </c>
      <c r="AB114" s="75" t="n">
        <f aca="false">AB100+AB86+AB87+AB77</f>
        <v>2562439.78885052</v>
      </c>
      <c r="AC114" s="75" t="n">
        <f aca="false">AC100+AC86+AC87+AC77</f>
        <v>2496529.89542335</v>
      </c>
      <c r="AD114" s="75" t="n">
        <f aca="false">AD100+AD86+AD87+AD77</f>
        <v>2426571.96888801</v>
      </c>
      <c r="AE114" s="75" t="n">
        <f aca="false">AE100+AE86+AE87+AE77</f>
        <v>2357346.89795294</v>
      </c>
      <c r="AF114" s="75" t="n">
        <f aca="false">AF100+AF86+AF87+AF77</f>
        <v>2288826.8940048</v>
      </c>
      <c r="AG114" s="75" t="n">
        <f aca="false">AG100+AG86+AG87+AG77</f>
        <v>2220985.55786091</v>
      </c>
      <c r="AH114" s="75" t="n">
        <f aca="false">AH100+AH86+AH87+AH77</f>
        <v>2153797.81029772</v>
      </c>
      <c r="AI114" s="75" t="n">
        <f aca="false">AI100+AI86+AI87+AI77</f>
        <v>2087239.82605285</v>
      </c>
      <c r="AJ114" s="75" t="n">
        <f aca="false">AJ100+AJ86+AJ87+AJ77</f>
        <v>2021288.97112708</v>
      </c>
      <c r="AK114" s="75" t="n">
        <f aca="false">AK100+AK86+AK87+AK77</f>
        <v>1955923.74322109</v>
      </c>
      <c r="AL114" s="75" t="n">
        <f aca="false">AL100+AL86+AL87+AL77</f>
        <v>1871191.57294297</v>
      </c>
      <c r="AM114" s="75" t="n">
        <f aca="false">AM100+AM86+AM87+AM77</f>
        <v>1791580.12133604</v>
      </c>
      <c r="AN114" s="75" t="n">
        <f aca="false">AN100+AN86+AN87+AN77</f>
        <v>1711728.1259118</v>
      </c>
      <c r="AO114" s="75" t="n">
        <f aca="false">AO100+AO86+AO87+AO77</f>
        <v>1652307.57256576</v>
      </c>
      <c r="AP114" s="75" t="n">
        <f aca="false">AP100+AP86+AP87+AP77</f>
        <v>1588040.49636586</v>
      </c>
      <c r="AQ114" s="75" t="n">
        <f aca="false">AQ100+AQ86+AQ87+AQ77</f>
        <v>1524278.79436455</v>
      </c>
      <c r="AR114" s="75" t="n">
        <f aca="false">AR100+AR86+AR87+AR77</f>
        <v>1461006.05201856</v>
      </c>
      <c r="AS114" s="75" t="n">
        <f aca="false">AS100+AS86+AS87+AS77</f>
        <v>1398206.6755118</v>
      </c>
      <c r="AT114" s="75" t="n">
        <f aca="false">AT100+AT86+AT87+AT77</f>
        <v>1335865.85071897</v>
      </c>
      <c r="AU114" s="75" t="n">
        <f aca="false">AU100+AU86+AU87+AU77</f>
        <v>1273969.50422105</v>
      </c>
      <c r="AV114" s="75" t="n">
        <f aca="false">AV100+AV86+AV87+AV77</f>
        <v>1212504.26626994</v>
      </c>
      <c r="AW114" s="75" t="n">
        <f aca="false">AW100+AW86+AW87+AW77</f>
        <v>1151457.43560499</v>
      </c>
      <c r="AX114" s="75" t="n">
        <f aca="false">AX100+AX86+AX87+AX77</f>
        <v>1070759.37930017</v>
      </c>
      <c r="AY114" s="75" t="n">
        <f aca="false">AY100+AY86+AY87+AY77</f>
        <v>994870.680039102</v>
      </c>
      <c r="AZ114" s="75" t="n">
        <f aca="false">AZ100+AZ86+AZ87+AZ77</f>
        <v>918533.5772399</v>
      </c>
      <c r="BA114" s="75" t="n">
        <f aca="false">BA100+BA86+BA87+BA77</f>
        <v>862609.810017728</v>
      </c>
      <c r="BB114" s="75" t="n">
        <f aca="false">BB100+BB86+BB87+BB77</f>
        <v>801296.734227133</v>
      </c>
      <c r="BC114" s="75" t="n">
        <f aca="false">BC100+BC86+BC87+BC77</f>
        <v>740366.112696132</v>
      </c>
      <c r="BD114" s="75" t="n">
        <f aca="false">BD100+BD86+BD87+BD77</f>
        <v>679807.676878409</v>
      </c>
      <c r="BE114" s="75" t="n">
        <f aca="false">BE100+BE86+BE87+BE77</f>
        <v>619611.671654968</v>
      </c>
      <c r="BF114" s="75" t="n">
        <f aca="false">BF100+BF86+BF87+BF77</f>
        <v>559768.829662761</v>
      </c>
      <c r="BG114" s="75" t="n">
        <f aca="false">BG100+BG86+BG87+BG77</f>
        <v>500270.346906895</v>
      </c>
      <c r="BH114" s="75" t="n">
        <f aca="false">BH100+BH86+BH87+BH77</f>
        <v>441107.859592217</v>
      </c>
      <c r="BI114" s="75" t="n">
        <f aca="false">BI100+BI86+BI87+BI77</f>
        <v>382273.422113336</v>
      </c>
      <c r="BJ114" s="75" t="n">
        <f aca="false">BJ100+BJ86+BJ87+BJ77</f>
        <v>303557.639844874</v>
      </c>
    </row>
    <row r="115" customFormat="false" ht="15" hidden="false" customHeight="false" outlineLevel="0" collapsed="false">
      <c r="A115" s="6" t="s">
        <v>96</v>
      </c>
      <c r="C115" s="69" t="n">
        <f aca="false">C88+C83</f>
        <v>3003951.31054667</v>
      </c>
      <c r="D115" s="69" t="n">
        <f aca="false">D88+D83</f>
        <v>2979525.17289489</v>
      </c>
      <c r="E115" s="69" t="n">
        <f aca="false">E88+E83</f>
        <v>2956778.60717596</v>
      </c>
      <c r="F115" s="69" t="n">
        <f aca="false">F88+F83</f>
        <v>2932608.61946605</v>
      </c>
      <c r="G115" s="69" t="n">
        <f aca="false">G88+G83</f>
        <v>2908458.5289283</v>
      </c>
      <c r="H115" s="69" t="n">
        <f aca="false">H88+H83</f>
        <v>2884327.34070411</v>
      </c>
      <c r="I115" s="69" t="n">
        <f aca="false">I88+I83</f>
        <v>2860214.10967779</v>
      </c>
      <c r="J115" s="69" t="n">
        <f aca="false">J88+J83</f>
        <v>2836117.93798946</v>
      </c>
      <c r="K115" s="69" t="n">
        <f aca="false">K88+K83</f>
        <v>2812037.97267221</v>
      </c>
      <c r="L115" s="69" t="n">
        <f aca="false">L88+L83</f>
        <v>2787973.40340748</v>
      </c>
      <c r="M115" s="69" t="n">
        <f aca="false">M88+M83</f>
        <v>2763923.46039267</v>
      </c>
      <c r="N115" s="69" t="n">
        <f aca="false">N88+N83</f>
        <v>2736255.58444448</v>
      </c>
      <c r="O115" s="69" t="n">
        <f aca="false">O88+O83</f>
        <v>2712364.31662971</v>
      </c>
      <c r="P115" s="69" t="n">
        <f aca="false">P88+P83</f>
        <v>2687589.68501155</v>
      </c>
      <c r="Q115" s="69" t="n">
        <f aca="false">Q88+Q83</f>
        <v>2666919.81511268</v>
      </c>
      <c r="R115" s="69" t="n">
        <f aca="false">R88+R83</f>
        <v>2642247.42102905</v>
      </c>
      <c r="S115" s="69" t="n">
        <f aca="false">S88+S83</f>
        <v>2617558.64664959</v>
      </c>
      <c r="T115" s="69" t="n">
        <f aca="false">T88+T83</f>
        <v>2592854.31098911</v>
      </c>
      <c r="U115" s="69" t="n">
        <f aca="false">U88+U83</f>
        <v>2568135.19211166</v>
      </c>
      <c r="V115" s="69" t="n">
        <f aca="false">V88+V83</f>
        <v>2543402.02917808</v>
      </c>
      <c r="W115" s="69" t="n">
        <f aca="false">W88+W83</f>
        <v>2518655.52439117</v>
      </c>
      <c r="X115" s="69" t="n">
        <f aca="false">X88+X83</f>
        <v>2493896.34484361</v>
      </c>
      <c r="Y115" s="69" t="n">
        <f aca="false">Y88+Y83</f>
        <v>2469125.12427343</v>
      </c>
      <c r="Z115" s="69" t="n">
        <f aca="false">Z88+Z83</f>
        <v>2439691.6892821</v>
      </c>
      <c r="AA115" s="69" t="n">
        <f aca="false">AA88+AA83</f>
        <v>2415317.48215263</v>
      </c>
      <c r="AB115" s="69" t="n">
        <f aca="false">AB88+AB83</f>
        <v>2390424.70713663</v>
      </c>
      <c r="AC115" s="69" t="n">
        <f aca="false">AC88+AC83</f>
        <v>2370438.35196472</v>
      </c>
      <c r="AD115" s="69" t="n">
        <f aca="false">AD88+AD83</f>
        <v>2345631.68166504</v>
      </c>
      <c r="AE115" s="69" t="n">
        <f aca="false">AE88+AE83</f>
        <v>2320815.34488035</v>
      </c>
      <c r="AF115" s="69" t="n">
        <f aca="false">AF88+AF83</f>
        <v>2295989.82493489</v>
      </c>
      <c r="AG115" s="69" t="n">
        <f aca="false">AG88+AG83</f>
        <v>2271155.58098671</v>
      </c>
      <c r="AH115" s="69" t="n">
        <f aca="false">AH88+AH83</f>
        <v>2246313.04923593</v>
      </c>
      <c r="AI115" s="69" t="n">
        <f aca="false">AI88+AI83</f>
        <v>2221462.6440727</v>
      </c>
      <c r="AJ115" s="69" t="n">
        <f aca="false">AJ88+AJ83</f>
        <v>2196604.75916762</v>
      </c>
      <c r="AK115" s="69" t="n">
        <f aca="false">AK88+AK83</f>
        <v>2171739.7685078</v>
      </c>
      <c r="AL115" s="69" t="n">
        <f aca="false">AL88+AL83</f>
        <v>2141639.60817902</v>
      </c>
      <c r="AM115" s="69" t="n">
        <f aca="false">AM88+AM83</f>
        <v>2117265.97537587</v>
      </c>
      <c r="AN115" s="69" t="n">
        <f aca="false">AN88+AN83</f>
        <v>2092306.42888722</v>
      </c>
      <c r="AO115" s="69" t="n">
        <f aca="false">AO88+AO83</f>
        <v>2072800.33520373</v>
      </c>
      <c r="AP115" s="69" t="n">
        <f aca="false">AP88+AP83</f>
        <v>2047918.82946133</v>
      </c>
      <c r="AQ115" s="69" t="n">
        <f aca="false">AQ88+AQ83</f>
        <v>2023031.39900604</v>
      </c>
      <c r="AR115" s="69" t="n">
        <f aca="false">AR88+AR83</f>
        <v>1998138.34007352</v>
      </c>
      <c r="AS115" s="69" t="n">
        <f aca="false">AS88+AS83</f>
        <v>1973239.93408762</v>
      </c>
      <c r="AT115" s="69" t="n">
        <f aca="false">AT88+AT83</f>
        <v>1948336.44840102</v>
      </c>
      <c r="AU115" s="69" t="n">
        <f aca="false">AU88+AU83</f>
        <v>1923428.13699875</v>
      </c>
      <c r="AV115" s="69" t="n">
        <f aca="false">AV88+AV83</f>
        <v>1898515.24116659</v>
      </c>
      <c r="AW115" s="69" t="n">
        <f aca="false">AW88+AW83</f>
        <v>1873597.99012604</v>
      </c>
      <c r="AX115" s="69" t="n">
        <f aca="false">AX88+AX83</f>
        <v>1843026.41373698</v>
      </c>
      <c r="AY115" s="69" t="n">
        <f aca="false">AY88+AY83</f>
        <v>1818663.92759232</v>
      </c>
      <c r="AZ115" s="69" t="n">
        <f aca="false">AZ88+AZ83</f>
        <v>1793666.32010116</v>
      </c>
      <c r="BA115" s="69" t="n">
        <f aca="false">BA88+BA83</f>
        <v>1774529.89915307</v>
      </c>
      <c r="BB115" s="69" t="n">
        <f aca="false">BB88+BB83</f>
        <v>1749606.85601946</v>
      </c>
      <c r="BC115" s="69" t="n">
        <f aca="false">BC88+BC83</f>
        <v>1724679.96504253</v>
      </c>
      <c r="BD115" s="69" t="n">
        <f aca="false">BD88+BD83</f>
        <v>1699749.41861444</v>
      </c>
      <c r="BE115" s="69" t="n">
        <f aca="false">BE88+BE83</f>
        <v>1674815.39950776</v>
      </c>
      <c r="BF115" s="69" t="n">
        <f aca="false">BF88+BF83</f>
        <v>1649878.08135641</v>
      </c>
      <c r="BG115" s="69" t="n">
        <f aca="false">BG88+BG83</f>
        <v>1624937.62911263</v>
      </c>
      <c r="BH115" s="69" t="n">
        <f aca="false">BH88+BH83</f>
        <v>1599994.19948104</v>
      </c>
      <c r="BI115" s="69" t="n">
        <f aca="false">BI88+BI83</f>
        <v>1575047.94133103</v>
      </c>
      <c r="BJ115" s="69" t="n">
        <f aca="false">BJ88+BJ83</f>
        <v>1544110.82583195</v>
      </c>
    </row>
    <row r="116" customFormat="false" ht="15" hidden="false" customHeight="false" outlineLevel="0" collapsed="false">
      <c r="A116" s="6" t="s">
        <v>99</v>
      </c>
      <c r="C116" s="69" t="n">
        <f aca="false">C112+C113</f>
        <v>1978446.24245511</v>
      </c>
      <c r="D116" s="69" t="n">
        <f aca="false">D112+D113</f>
        <v>1860175.59922569</v>
      </c>
      <c r="E116" s="69" t="n">
        <f aca="false">E112+E113</f>
        <v>1752775.82128565</v>
      </c>
      <c r="F116" s="69" t="n">
        <f aca="false">F112+F113</f>
        <v>1649861.08520284</v>
      </c>
      <c r="G116" s="69" t="n">
        <f aca="false">G112+G113</f>
        <v>1551497.16370706</v>
      </c>
      <c r="H116" s="69" t="n">
        <f aca="false">H112+H113</f>
        <v>1457746.54089162</v>
      </c>
      <c r="I116" s="69" t="n">
        <f aca="false">I112+I113</f>
        <v>1368668.57664518</v>
      </c>
      <c r="J116" s="69" t="n">
        <f aca="false">J112+J113</f>
        <v>1284319.66286195</v>
      </c>
      <c r="K116" s="69" t="n">
        <f aca="false">K112+K113</f>
        <v>1204753.37184143</v>
      </c>
      <c r="L116" s="69" t="n">
        <f aca="false">L112+L113</f>
        <v>1130020.59726816</v>
      </c>
      <c r="M116" s="69" t="n">
        <f aca="false">M112+M113</f>
        <v>1060169.68814245</v>
      </c>
      <c r="N116" s="69" t="n">
        <f aca="false">N112+N113</f>
        <v>980154.198792838</v>
      </c>
      <c r="O116" s="69" t="n">
        <f aca="false">O112+O113</f>
        <v>905084.304365335</v>
      </c>
      <c r="P116" s="69" t="n">
        <f aca="false">P112+P113</f>
        <v>831190.909319875</v>
      </c>
      <c r="Q116" s="69" t="n">
        <f aca="false">Q112+Q113</f>
        <v>774254.931487977</v>
      </c>
      <c r="R116" s="69" t="n">
        <f aca="false">R112+R113</f>
        <v>718541.388191273</v>
      </c>
      <c r="S116" s="69" t="n">
        <f aca="false">S112+S113</f>
        <v>663998.011869672</v>
      </c>
      <c r="T116" s="69" t="n">
        <f aca="false">T112+T113</f>
        <v>610575.148341084</v>
      </c>
      <c r="U116" s="69" t="n">
        <f aca="false">U112+U113</f>
        <v>558225.626132525</v>
      </c>
      <c r="V116" s="69" t="n">
        <f aca="false">V112+V113</f>
        <v>506904.632344661</v>
      </c>
      <c r="W116" s="69" t="n">
        <f aca="false">W112+W113</f>
        <v>456569.594723124</v>
      </c>
      <c r="X116" s="69" t="n">
        <f aca="false">X112+X113</f>
        <v>407180.069626263</v>
      </c>
      <c r="Y116" s="69" t="n">
        <f aca="false">Y112+Y113</f>
        <v>358697.635594512</v>
      </c>
      <c r="Z116" s="69" t="n">
        <f aca="false">Z112+Z113</f>
        <v>295896.597980878</v>
      </c>
      <c r="AA116" s="69" t="n">
        <f aca="false">AA112+AA113</f>
        <v>233636.985717898</v>
      </c>
      <c r="AB116" s="69" t="n">
        <f aca="false">AB112+AB113</f>
        <v>172015.081713893</v>
      </c>
      <c r="AC116" s="69" t="n">
        <f aca="false">AC112+AC113</f>
        <v>126091.543458628</v>
      </c>
      <c r="AD116" s="69" t="n">
        <f aca="false">AD112+AD113</f>
        <v>80940.2872229661</v>
      </c>
      <c r="AE116" s="69" t="n">
        <f aca="false">AE112+AE113</f>
        <v>36531.5530725927</v>
      </c>
      <c r="AF116" s="69" t="n">
        <f aca="false">AF112+AF113</f>
        <v>-7162.93093008967</v>
      </c>
      <c r="AG116" s="69" t="n">
        <f aca="false">AG112+AG113</f>
        <v>-50170.0231257989</v>
      </c>
      <c r="AH116" s="69" t="n">
        <f aca="false">AH112+AH113</f>
        <v>-92515.2389382166</v>
      </c>
      <c r="AI116" s="69" t="n">
        <f aca="false">AI112+AI113</f>
        <v>-134222.818019841</v>
      </c>
      <c r="AJ116" s="69" t="n">
        <f aca="false">AJ112+AJ113</f>
        <v>-175315.788040545</v>
      </c>
      <c r="AK116" s="69" t="n">
        <f aca="false">AK112+AK113</f>
        <v>-215816.025286709</v>
      </c>
      <c r="AL116" s="69" t="n">
        <f aca="false">AL112+AL113</f>
        <v>-270448.035236052</v>
      </c>
      <c r="AM116" s="69" t="n">
        <f aca="false">AM112+AM113</f>
        <v>-325685.854039826</v>
      </c>
      <c r="AN116" s="69" t="n">
        <f aca="false">AN112+AN113</f>
        <v>-380578.302975422</v>
      </c>
      <c r="AO116" s="69" t="n">
        <f aca="false">AO112+AO113</f>
        <v>-420492.762637971</v>
      </c>
      <c r="AP116" s="69" t="n">
        <f aca="false">AP112+AP113</f>
        <v>-459878.333095465</v>
      </c>
      <c r="AQ116" s="69" t="n">
        <f aca="false">AQ112+AQ113</f>
        <v>-498752.604641491</v>
      </c>
      <c r="AR116" s="69" t="n">
        <f aca="false">AR112+AR113</f>
        <v>-537132.288054955</v>
      </c>
      <c r="AS116" s="69" t="n">
        <f aca="false">AS112+AS113</f>
        <v>-575033.258575819</v>
      </c>
      <c r="AT116" s="69" t="n">
        <f aca="false">AT112+AT113</f>
        <v>-612470.597682046</v>
      </c>
      <c r="AU116" s="69" t="n">
        <f aca="false">AU112+AU113</f>
        <v>-649458.632777701</v>
      </c>
      <c r="AV116" s="69" t="n">
        <f aca="false">AV112+AV113</f>
        <v>-686010.974896646</v>
      </c>
      <c r="AW116" s="69" t="n">
        <f aca="false">AW112+AW113</f>
        <v>-722140.554521049</v>
      </c>
      <c r="AX116" s="69" t="n">
        <f aca="false">AX112+AX113</f>
        <v>-772267.03443681</v>
      </c>
      <c r="AY116" s="69" t="n">
        <f aca="false">AY112+AY113</f>
        <v>-823793.247553217</v>
      </c>
      <c r="AZ116" s="69" t="n">
        <f aca="false">AZ112+AZ113</f>
        <v>-875132.742861264</v>
      </c>
      <c r="BA116" s="69" t="n">
        <f aca="false">BA112+BA113</f>
        <v>-911920.089135345</v>
      </c>
      <c r="BB116" s="69" t="n">
        <f aca="false">BB112+BB113</f>
        <v>-948310.121792325</v>
      </c>
      <c r="BC116" s="69" t="n">
        <f aca="false">BC112+BC113</f>
        <v>-984313.852346394</v>
      </c>
      <c r="BD116" s="69" t="n">
        <f aca="false">BD112+BD113</f>
        <v>-1019941.74173603</v>
      </c>
      <c r="BE116" s="69" t="n">
        <f aca="false">BE112+BE113</f>
        <v>-1055203.72785279</v>
      </c>
      <c r="BF116" s="69" t="n">
        <f aca="false">BF112+BF113</f>
        <v>-1090109.25169365</v>
      </c>
      <c r="BG116" s="69" t="n">
        <f aca="false">BG112+BG113</f>
        <v>-1124667.28220573</v>
      </c>
      <c r="BH116" s="69" t="n">
        <f aca="false">BH112+BH113</f>
        <v>-1158886.33988882</v>
      </c>
      <c r="BI116" s="69" t="n">
        <f aca="false">BI112+BI113</f>
        <v>-1192774.51921769</v>
      </c>
      <c r="BJ116" s="69" t="n">
        <f aca="false">BJ112+BJ113</f>
        <v>-1240553.18598708</v>
      </c>
    </row>
    <row r="117" customFormat="false" ht="15" hidden="false" customHeight="false" outlineLevel="0" collapsed="false">
      <c r="A117" s="4" t="s">
        <v>100</v>
      </c>
      <c r="C117" s="75" t="n">
        <f aca="false">C115+C116</f>
        <v>4982397.55300178</v>
      </c>
      <c r="D117" s="75" t="n">
        <f aca="false">D115+D116</f>
        <v>4839700.77212058</v>
      </c>
      <c r="E117" s="75" t="n">
        <f aca="false">E115+E116</f>
        <v>4709554.42846161</v>
      </c>
      <c r="F117" s="75" t="n">
        <f aca="false">F115+F116</f>
        <v>4582469.70466889</v>
      </c>
      <c r="G117" s="75" t="n">
        <f aca="false">G115+G116</f>
        <v>4459955.69263536</v>
      </c>
      <c r="H117" s="75" t="n">
        <f aca="false">H115+H116</f>
        <v>4342073.88159573</v>
      </c>
      <c r="I117" s="75" t="n">
        <f aca="false">I115+I116</f>
        <v>4228882.68632297</v>
      </c>
      <c r="J117" s="75" t="n">
        <f aca="false">J115+J116</f>
        <v>4120437.6008514</v>
      </c>
      <c r="K117" s="75" t="n">
        <f aca="false">K115+K116</f>
        <v>4016791.34451364</v>
      </c>
      <c r="L117" s="75" t="n">
        <f aca="false">L115+L116</f>
        <v>3917994.00067565</v>
      </c>
      <c r="M117" s="75" t="n">
        <f aca="false">M115+M116</f>
        <v>3824093.14853512</v>
      </c>
      <c r="N117" s="75" t="n">
        <f aca="false">N115+N116</f>
        <v>3716409.78323732</v>
      </c>
      <c r="O117" s="75" t="n">
        <f aca="false">O115+O116</f>
        <v>3617448.62099504</v>
      </c>
      <c r="P117" s="75" t="n">
        <f aca="false">P115+P116</f>
        <v>3518780.59433143</v>
      </c>
      <c r="Q117" s="75" t="n">
        <f aca="false">Q115+Q116</f>
        <v>3441174.74660066</v>
      </c>
      <c r="R117" s="75" t="n">
        <f aca="false">R115+R116</f>
        <v>3360788.80922032</v>
      </c>
      <c r="S117" s="75" t="n">
        <f aca="false">S115+S116</f>
        <v>3281556.65851927</v>
      </c>
      <c r="T117" s="75" t="n">
        <f aca="false">T115+T116</f>
        <v>3203429.4593302</v>
      </c>
      <c r="U117" s="75" t="n">
        <f aca="false">U115+U116</f>
        <v>3126360.81824418</v>
      </c>
      <c r="V117" s="75" t="n">
        <f aca="false">V115+V116</f>
        <v>3050306.66152274</v>
      </c>
      <c r="W117" s="75" t="n">
        <f aca="false">W115+W116</f>
        <v>2975225.1191143</v>
      </c>
      <c r="X117" s="75" t="n">
        <f aca="false">X115+X116</f>
        <v>2901076.41446988</v>
      </c>
      <c r="Y117" s="75" t="n">
        <f aca="false">Y115+Y116</f>
        <v>2827822.75986794</v>
      </c>
      <c r="Z117" s="75" t="n">
        <f aca="false">Z115+Z116</f>
        <v>2735588.28726298</v>
      </c>
      <c r="AA117" s="75" t="n">
        <f aca="false">AA115+AA116</f>
        <v>2648954.46787053</v>
      </c>
      <c r="AB117" s="75" t="n">
        <f aca="false">AB115+AB116</f>
        <v>2562439.78885052</v>
      </c>
      <c r="AC117" s="75" t="n">
        <f aca="false">AC115+AC116</f>
        <v>2496529.89542335</v>
      </c>
      <c r="AD117" s="75" t="n">
        <f aca="false">AD115+AD116</f>
        <v>2426571.96888801</v>
      </c>
      <c r="AE117" s="75" t="n">
        <f aca="false">AE115+AE116</f>
        <v>2357346.89795294</v>
      </c>
      <c r="AF117" s="75" t="n">
        <f aca="false">AF115+AF116</f>
        <v>2288826.8940048</v>
      </c>
      <c r="AG117" s="75" t="n">
        <f aca="false">AG115+AG116</f>
        <v>2220985.55786091</v>
      </c>
      <c r="AH117" s="75" t="n">
        <f aca="false">AH115+AH116</f>
        <v>2153797.81029772</v>
      </c>
      <c r="AI117" s="75" t="n">
        <f aca="false">AI115+AI116</f>
        <v>2087239.82605285</v>
      </c>
      <c r="AJ117" s="75" t="n">
        <f aca="false">AJ115+AJ116</f>
        <v>2021288.97112708</v>
      </c>
      <c r="AK117" s="75" t="n">
        <f aca="false">AK115+AK116</f>
        <v>1955923.74322109</v>
      </c>
      <c r="AL117" s="75" t="n">
        <f aca="false">AL115+AL116</f>
        <v>1871191.57294297</v>
      </c>
      <c r="AM117" s="75" t="n">
        <f aca="false">AM115+AM116</f>
        <v>1791580.12133604</v>
      </c>
      <c r="AN117" s="75" t="n">
        <f aca="false">AN115+AN116</f>
        <v>1711728.1259118</v>
      </c>
      <c r="AO117" s="75" t="n">
        <f aca="false">AO115+AO116</f>
        <v>1652307.57256576</v>
      </c>
      <c r="AP117" s="75" t="n">
        <f aca="false">AP115+AP116</f>
        <v>1588040.49636586</v>
      </c>
      <c r="AQ117" s="75" t="n">
        <f aca="false">AQ115+AQ116</f>
        <v>1524278.79436455</v>
      </c>
      <c r="AR117" s="75" t="n">
        <f aca="false">AR115+AR116</f>
        <v>1461006.05201856</v>
      </c>
      <c r="AS117" s="75" t="n">
        <f aca="false">AS115+AS116</f>
        <v>1398206.6755118</v>
      </c>
      <c r="AT117" s="75" t="n">
        <f aca="false">AT115+AT116</f>
        <v>1335865.85071897</v>
      </c>
      <c r="AU117" s="75" t="n">
        <f aca="false">AU115+AU116</f>
        <v>1273969.50422105</v>
      </c>
      <c r="AV117" s="75" t="n">
        <f aca="false">AV115+AV116</f>
        <v>1212504.26626994</v>
      </c>
      <c r="AW117" s="75" t="n">
        <f aca="false">AW115+AW116</f>
        <v>1151457.43560499</v>
      </c>
      <c r="AX117" s="75" t="n">
        <f aca="false">AX115+AX116</f>
        <v>1070759.37930017</v>
      </c>
      <c r="AY117" s="75" t="n">
        <f aca="false">AY115+AY116</f>
        <v>994870.680039102</v>
      </c>
      <c r="AZ117" s="75" t="n">
        <f aca="false">AZ115+AZ116</f>
        <v>918533.5772399</v>
      </c>
      <c r="BA117" s="75" t="n">
        <f aca="false">BA115+BA116</f>
        <v>862609.810017727</v>
      </c>
      <c r="BB117" s="75" t="n">
        <f aca="false">BB115+BB116</f>
        <v>801296.734227133</v>
      </c>
      <c r="BC117" s="75" t="n">
        <f aca="false">BC115+BC116</f>
        <v>740366.112696131</v>
      </c>
      <c r="BD117" s="75" t="n">
        <f aca="false">BD115+BD116</f>
        <v>679807.676878408</v>
      </c>
      <c r="BE117" s="75" t="n">
        <f aca="false">BE115+BE116</f>
        <v>619611.671654967</v>
      </c>
      <c r="BF117" s="75" t="n">
        <f aca="false">BF115+BF116</f>
        <v>559768.829662761</v>
      </c>
      <c r="BG117" s="75" t="n">
        <f aca="false">BG115+BG116</f>
        <v>500270.346906894</v>
      </c>
      <c r="BH117" s="75" t="n">
        <f aca="false">BH115+BH116</f>
        <v>441107.859592217</v>
      </c>
      <c r="BI117" s="75" t="n">
        <f aca="false">BI115+BI116</f>
        <v>382273.422113335</v>
      </c>
      <c r="BJ117" s="75" t="n">
        <f aca="false">BJ115+BJ116</f>
        <v>303557.639844874</v>
      </c>
    </row>
    <row r="118" customFormat="false" ht="15" hidden="false" customHeight="false" outlineLevel="0" collapsed="false">
      <c r="A118" s="6" t="s">
        <v>467</v>
      </c>
      <c r="C118" s="69" t="n">
        <f aca="false">C114-C117</f>
        <v>0</v>
      </c>
      <c r="D118" s="69" t="n">
        <f aca="false">D114-D117</f>
        <v>0</v>
      </c>
      <c r="E118" s="69" t="n">
        <f aca="false">E114-E117</f>
        <v>0</v>
      </c>
      <c r="F118" s="69" t="n">
        <f aca="false">F114-F117</f>
        <v>0</v>
      </c>
      <c r="G118" s="69" t="n">
        <f aca="false">G114-G117</f>
        <v>0</v>
      </c>
      <c r="H118" s="69" t="n">
        <f aca="false">H114-H117</f>
        <v>0</v>
      </c>
      <c r="I118" s="69" t="n">
        <f aca="false">I114-I117</f>
        <v>0</v>
      </c>
      <c r="J118" s="69" t="n">
        <f aca="false">J114-J117</f>
        <v>0</v>
      </c>
      <c r="K118" s="69" t="n">
        <f aca="false">K114-K117</f>
        <v>0</v>
      </c>
      <c r="L118" s="69" t="n">
        <f aca="false">L114-L117</f>
        <v>0</v>
      </c>
      <c r="M118" s="69" t="n">
        <f aca="false">M114-M117</f>
        <v>0</v>
      </c>
      <c r="N118" s="69" t="n">
        <f aca="false">N114-N117</f>
        <v>0</v>
      </c>
      <c r="O118" s="69" t="n">
        <f aca="false">O114-O117</f>
        <v>0</v>
      </c>
      <c r="P118" s="69" t="n">
        <f aca="false">P114-P117</f>
        <v>0</v>
      </c>
      <c r="Q118" s="69" t="n">
        <f aca="false">Q114-Q117</f>
        <v>0</v>
      </c>
      <c r="R118" s="69" t="n">
        <f aca="false">R114-R117</f>
        <v>0</v>
      </c>
      <c r="S118" s="69" t="n">
        <f aca="false">S114-S117</f>
        <v>0</v>
      </c>
      <c r="T118" s="69" t="n">
        <f aca="false">T114-T117</f>
        <v>0</v>
      </c>
      <c r="U118" s="69" t="n">
        <f aca="false">U114-U117</f>
        <v>0</v>
      </c>
      <c r="V118" s="69" t="n">
        <f aca="false">V114-V117</f>
        <v>0</v>
      </c>
      <c r="W118" s="69" t="n">
        <f aca="false">W114-W117</f>
        <v>0</v>
      </c>
      <c r="X118" s="69" t="n">
        <f aca="false">X114-X117</f>
        <v>0</v>
      </c>
      <c r="Y118" s="69" t="n">
        <f aca="false">Y114-Y117</f>
        <v>0</v>
      </c>
      <c r="Z118" s="69" t="n">
        <f aca="false">Z114-Z117</f>
        <v>0</v>
      </c>
      <c r="AA118" s="69" t="n">
        <f aca="false">AA114-AA117</f>
        <v>0</v>
      </c>
      <c r="AB118" s="69" t="n">
        <f aca="false">AB114-AB117</f>
        <v>0</v>
      </c>
      <c r="AC118" s="69" t="n">
        <f aca="false">AC114-AC117</f>
        <v>0</v>
      </c>
      <c r="AD118" s="69" t="n">
        <f aca="false">AD114-AD117</f>
        <v>0</v>
      </c>
      <c r="AE118" s="69" t="n">
        <f aca="false">AE114-AE117</f>
        <v>0</v>
      </c>
      <c r="AF118" s="69" t="n">
        <f aca="false">AF114-AF117</f>
        <v>0</v>
      </c>
      <c r="AG118" s="69" t="n">
        <f aca="false">AG114-AG117</f>
        <v>0</v>
      </c>
      <c r="AH118" s="69" t="n">
        <f aca="false">AH114-AH117</f>
        <v>0</v>
      </c>
      <c r="AI118" s="69" t="n">
        <f aca="false">AI114-AI117</f>
        <v>0</v>
      </c>
      <c r="AJ118" s="69" t="n">
        <f aca="false">AJ114-AJ117</f>
        <v>0</v>
      </c>
      <c r="AK118" s="69" t="n">
        <f aca="false">AK114-AK117</f>
        <v>0</v>
      </c>
      <c r="AL118" s="69" t="n">
        <f aca="false">AL114-AL117</f>
        <v>0</v>
      </c>
      <c r="AM118" s="69" t="n">
        <f aca="false">AM114-AM117</f>
        <v>0</v>
      </c>
      <c r="AN118" s="69" t="n">
        <f aca="false">AN114-AN117</f>
        <v>0</v>
      </c>
      <c r="AO118" s="69" t="n">
        <f aca="false">AO114-AO117</f>
        <v>0</v>
      </c>
      <c r="AP118" s="69" t="n">
        <f aca="false">AP114-AP117</f>
        <v>0</v>
      </c>
      <c r="AQ118" s="69" t="n">
        <f aca="false">AQ114-AQ117</f>
        <v>0</v>
      </c>
      <c r="AR118" s="69" t="n">
        <f aca="false">AR114-AR117</f>
        <v>0</v>
      </c>
      <c r="AS118" s="69" t="n">
        <f aca="false">AS114-AS117</f>
        <v>0</v>
      </c>
      <c r="AT118" s="69" t="n">
        <f aca="false">AT114-AT117</f>
        <v>0</v>
      </c>
      <c r="AU118" s="69" t="n">
        <f aca="false">AU114-AU117</f>
        <v>0</v>
      </c>
      <c r="AV118" s="69" t="n">
        <f aca="false">AV114-AV117</f>
        <v>0</v>
      </c>
      <c r="AW118" s="69" t="n">
        <f aca="false">AW114-AW117</f>
        <v>0</v>
      </c>
      <c r="AX118" s="69" t="n">
        <f aca="false">AX114-AX117</f>
        <v>0</v>
      </c>
      <c r="AY118" s="69" t="n">
        <f aca="false">AY114-AY117</f>
        <v>0</v>
      </c>
      <c r="AZ118" s="69" t="n">
        <f aca="false">AZ114-AZ117</f>
        <v>0</v>
      </c>
      <c r="BA118" s="69" t="n">
        <f aca="false">BA114-BA117</f>
        <v>0</v>
      </c>
      <c r="BB118" s="69" t="n">
        <f aca="false">BB114-BB117</f>
        <v>0</v>
      </c>
      <c r="BC118" s="69" t="n">
        <f aca="false">BC114-BC117</f>
        <v>0</v>
      </c>
      <c r="BD118" s="69" t="n">
        <f aca="false">BD114-BD117</f>
        <v>0</v>
      </c>
      <c r="BE118" s="69" t="n">
        <f aca="false">BE114-BE117</f>
        <v>0</v>
      </c>
      <c r="BF118" s="69" t="n">
        <f aca="false">BF114-BF117</f>
        <v>0</v>
      </c>
      <c r="BG118" s="69" t="n">
        <f aca="false">BG114-BG117</f>
        <v>0</v>
      </c>
      <c r="BH118" s="69" t="n">
        <f aca="false">BH114-BH117</f>
        <v>0</v>
      </c>
      <c r="BI118" s="69" t="n">
        <f aca="false">BI114-BI117</f>
        <v>0</v>
      </c>
      <c r="BJ118" s="69" t="n">
        <f aca="false">BJ114-BJ117</f>
        <v>0</v>
      </c>
    </row>
    <row r="120" customFormat="false" ht="15.75" hidden="false" customHeight="true" outlineLevel="0" collapsed="false">
      <c r="A120" s="7" t="s">
        <v>469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customFormat="false" ht="15" hidden="false" customHeight="false" outlineLevel="0" collapsed="false">
      <c r="A121" s="6" t="s">
        <v>470</v>
      </c>
      <c r="C121" s="117" t="n">
        <f aca="false">Inputs!$B$55*(1+Inputs!$B$57)^(C$7-1)*MAX(0,MIN(1,C$6*1-Inputs!$B$58+1))/1</f>
        <v>1</v>
      </c>
      <c r="D121" s="117" t="n">
        <f aca="false">Inputs!$B$55*(1+Inputs!$B$57)^(D$7-1)*MAX(0,MIN(1,D$6*1-Inputs!$B$58+1))/1</f>
        <v>1</v>
      </c>
      <c r="E121" s="117" t="n">
        <f aca="false">Inputs!$B$55*(1+Inputs!$B$57)^(E$7-1)*MAX(0,MIN(1,E$6*1-Inputs!$B$58+1))/1</f>
        <v>1</v>
      </c>
      <c r="F121" s="117" t="n">
        <f aca="false">Inputs!$B$55*(1+Inputs!$B$57)^(F$7-1)*MAX(0,MIN(1,F$6*1-Inputs!$B$58+1))/1</f>
        <v>1</v>
      </c>
      <c r="G121" s="117" t="n">
        <f aca="false">Inputs!$B$55*(1+Inputs!$B$57)^(G$7-1)*MAX(0,MIN(1,G$6*1-Inputs!$B$58+1))/1</f>
        <v>1</v>
      </c>
      <c r="H121" s="117" t="n">
        <f aca="false">Inputs!$B$55*(1+Inputs!$B$57)^(H$7-1)*MAX(0,MIN(1,H$6*1-Inputs!$B$58+1))/1</f>
        <v>1</v>
      </c>
      <c r="I121" s="117" t="n">
        <f aca="false">Inputs!$B$55*(1+Inputs!$B$57)^(I$7-1)*MAX(0,MIN(1,I$6*1-Inputs!$B$58+1))/1</f>
        <v>1</v>
      </c>
      <c r="J121" s="117" t="n">
        <f aca="false">Inputs!$B$55*(1+Inputs!$B$57)^(J$7-1)*MAX(0,MIN(1,J$6*1-Inputs!$B$58+1))/1</f>
        <v>1</v>
      </c>
      <c r="K121" s="117" t="n">
        <f aca="false">Inputs!$B$55*(1+Inputs!$B$57)^(K$7-1)*MAX(0,MIN(1,K$6*1-Inputs!$B$58+1))/1</f>
        <v>1</v>
      </c>
      <c r="L121" s="117" t="n">
        <f aca="false">Inputs!$B$55*(1+Inputs!$B$57)^(L$7-1)*MAX(0,MIN(1,L$6*1-Inputs!$B$58+1))/1</f>
        <v>1</v>
      </c>
      <c r="M121" s="117" t="n">
        <f aca="false">Inputs!$B$55*(1+Inputs!$B$57)^(M$7-1)*MAX(0,MIN(1,M$6*1-Inputs!$B$58+1))/1</f>
        <v>1</v>
      </c>
      <c r="N121" s="117" t="n">
        <f aca="false">Inputs!$B$55*(1+Inputs!$B$57)^(N$7-1)*MAX(0,MIN(1,N$6*1-Inputs!$B$58+1))/1</f>
        <v>1</v>
      </c>
      <c r="O121" s="117" t="n">
        <f aca="false">Inputs!$B$55*(1+Inputs!$B$57)^(O$7-1)*MAX(0,MIN(1,O$6*1-Inputs!$B$58+1))/1</f>
        <v>1</v>
      </c>
      <c r="P121" s="117" t="n">
        <f aca="false">Inputs!$B$55*(1+Inputs!$B$57)^(P$7-1)*MAX(0,MIN(1,P$6*1-Inputs!$B$58+1))/1</f>
        <v>1</v>
      </c>
      <c r="Q121" s="117" t="n">
        <f aca="false">Inputs!$B$55*(1+Inputs!$B$57)^(Q$7-1)*MAX(0,MIN(1,Q$6*1-Inputs!$B$58+1))/1</f>
        <v>1</v>
      </c>
      <c r="R121" s="117" t="n">
        <f aca="false">Inputs!$B$55*(1+Inputs!$B$57)^(R$7-1)*MAX(0,MIN(1,R$6*1-Inputs!$B$58+1))/1</f>
        <v>1</v>
      </c>
      <c r="S121" s="117" t="n">
        <f aca="false">Inputs!$B$55*(1+Inputs!$B$57)^(S$7-1)*MAX(0,MIN(1,S$6*1-Inputs!$B$58+1))/1</f>
        <v>1</v>
      </c>
      <c r="T121" s="117" t="n">
        <f aca="false">Inputs!$B$55*(1+Inputs!$B$57)^(T$7-1)*MAX(0,MIN(1,T$6*1-Inputs!$B$58+1))/1</f>
        <v>1</v>
      </c>
      <c r="U121" s="117" t="n">
        <f aca="false">Inputs!$B$55*(1+Inputs!$B$57)^(U$7-1)*MAX(0,MIN(1,U$6*1-Inputs!$B$58+1))/1</f>
        <v>1</v>
      </c>
      <c r="V121" s="117" t="n">
        <f aca="false">Inputs!$B$55*(1+Inputs!$B$57)^(V$7-1)*MAX(0,MIN(1,V$6*1-Inputs!$B$58+1))/1</f>
        <v>1</v>
      </c>
      <c r="W121" s="117" t="n">
        <f aca="false">Inputs!$B$55*(1+Inputs!$B$57)^(W$7-1)*MAX(0,MIN(1,W$6*1-Inputs!$B$58+1))/1</f>
        <v>1</v>
      </c>
      <c r="X121" s="117" t="n">
        <f aca="false">Inputs!$B$55*(1+Inputs!$B$57)^(X$7-1)*MAX(0,MIN(1,X$6*1-Inputs!$B$58+1))/1</f>
        <v>1</v>
      </c>
      <c r="Y121" s="117" t="n">
        <f aca="false">Inputs!$B$55*(1+Inputs!$B$57)^(Y$7-1)*MAX(0,MIN(1,Y$6*1-Inputs!$B$58+1))/1</f>
        <v>1</v>
      </c>
      <c r="Z121" s="117" t="n">
        <f aca="false">Inputs!$B$55*(1+Inputs!$B$57)^(Z$7-1)*MAX(0,MIN(1,Z$6*1-Inputs!$B$58+1))/1</f>
        <v>1</v>
      </c>
      <c r="AA121" s="117" t="n">
        <f aca="false">Inputs!$B$55*(1+Inputs!$B$57)^(AA$7-1)*MAX(0,MIN(1,AA$6*1-Inputs!$B$58+1))/1</f>
        <v>1</v>
      </c>
      <c r="AB121" s="117" t="n">
        <f aca="false">Inputs!$B$55*(1+Inputs!$B$57)^(AB$7-1)*MAX(0,MIN(1,AB$6*1-Inputs!$B$58+1))/1</f>
        <v>1</v>
      </c>
      <c r="AC121" s="117" t="n">
        <f aca="false">Inputs!$B$55*(1+Inputs!$B$57)^(AC$7-1)*MAX(0,MIN(1,AC$6*1-Inputs!$B$58+1))/1</f>
        <v>1</v>
      </c>
      <c r="AD121" s="117" t="n">
        <f aca="false">Inputs!$B$55*(1+Inputs!$B$57)^(AD$7-1)*MAX(0,MIN(1,AD$6*1-Inputs!$B$58+1))/1</f>
        <v>1</v>
      </c>
      <c r="AE121" s="117" t="n">
        <f aca="false">Inputs!$B$55*(1+Inputs!$B$57)^(AE$7-1)*MAX(0,MIN(1,AE$6*1-Inputs!$B$58+1))/1</f>
        <v>1</v>
      </c>
      <c r="AF121" s="117" t="n">
        <f aca="false">Inputs!$B$55*(1+Inputs!$B$57)^(AF$7-1)*MAX(0,MIN(1,AF$6*1-Inputs!$B$58+1))/1</f>
        <v>1</v>
      </c>
      <c r="AG121" s="117" t="n">
        <f aca="false">Inputs!$B$55*(1+Inputs!$B$57)^(AG$7-1)*MAX(0,MIN(1,AG$6*1-Inputs!$B$58+1))/1</f>
        <v>1</v>
      </c>
      <c r="AH121" s="117" t="n">
        <f aca="false">Inputs!$B$55*(1+Inputs!$B$57)^(AH$7-1)*MAX(0,MIN(1,AH$6*1-Inputs!$B$58+1))/1</f>
        <v>1</v>
      </c>
      <c r="AI121" s="117" t="n">
        <f aca="false">Inputs!$B$55*(1+Inputs!$B$57)^(AI$7-1)*MAX(0,MIN(1,AI$6*1-Inputs!$B$58+1))/1</f>
        <v>1</v>
      </c>
      <c r="AJ121" s="117" t="n">
        <f aca="false">Inputs!$B$55*(1+Inputs!$B$57)^(AJ$7-1)*MAX(0,MIN(1,AJ$6*1-Inputs!$B$58+1))/1</f>
        <v>1</v>
      </c>
      <c r="AK121" s="117" t="n">
        <f aca="false">Inputs!$B$55*(1+Inputs!$B$57)^(AK$7-1)*MAX(0,MIN(1,AK$6*1-Inputs!$B$58+1))/1</f>
        <v>1</v>
      </c>
      <c r="AL121" s="117" t="n">
        <f aca="false">Inputs!$B$55*(1+Inputs!$B$57)^(AL$7-1)*MAX(0,MIN(1,AL$6*1-Inputs!$B$58+1))/1</f>
        <v>1</v>
      </c>
      <c r="AM121" s="117" t="n">
        <f aca="false">Inputs!$B$55*(1+Inputs!$B$57)^(AM$7-1)*MAX(0,MIN(1,AM$6*1-Inputs!$B$58+1))/1</f>
        <v>1</v>
      </c>
      <c r="AN121" s="117" t="n">
        <f aca="false">Inputs!$B$55*(1+Inputs!$B$57)^(AN$7-1)*MAX(0,MIN(1,AN$6*1-Inputs!$B$58+1))/1</f>
        <v>1</v>
      </c>
      <c r="AO121" s="117" t="n">
        <f aca="false">Inputs!$B$55*(1+Inputs!$B$57)^(AO$7-1)*MAX(0,MIN(1,AO$6*1-Inputs!$B$58+1))/1</f>
        <v>1</v>
      </c>
      <c r="AP121" s="117" t="n">
        <f aca="false">Inputs!$B$55*(1+Inputs!$B$57)^(AP$7-1)*MAX(0,MIN(1,AP$6*1-Inputs!$B$58+1))/1</f>
        <v>1</v>
      </c>
      <c r="AQ121" s="117" t="n">
        <f aca="false">Inputs!$B$55*(1+Inputs!$B$57)^(AQ$7-1)*MAX(0,MIN(1,AQ$6*1-Inputs!$B$58+1))/1</f>
        <v>1</v>
      </c>
      <c r="AR121" s="117" t="n">
        <f aca="false">Inputs!$B$55*(1+Inputs!$B$57)^(AR$7-1)*MAX(0,MIN(1,AR$6*1-Inputs!$B$58+1))/1</f>
        <v>1</v>
      </c>
      <c r="AS121" s="117" t="n">
        <f aca="false">Inputs!$B$55*(1+Inputs!$B$57)^(AS$7-1)*MAX(0,MIN(1,AS$6*1-Inputs!$B$58+1))/1</f>
        <v>1</v>
      </c>
      <c r="AT121" s="117" t="n">
        <f aca="false">Inputs!$B$55*(1+Inputs!$B$57)^(AT$7-1)*MAX(0,MIN(1,AT$6*1-Inputs!$B$58+1))/1</f>
        <v>1</v>
      </c>
      <c r="AU121" s="117" t="n">
        <f aca="false">Inputs!$B$55*(1+Inputs!$B$57)^(AU$7-1)*MAX(0,MIN(1,AU$6*1-Inputs!$B$58+1))/1</f>
        <v>1</v>
      </c>
      <c r="AV121" s="117" t="n">
        <f aca="false">Inputs!$B$55*(1+Inputs!$B$57)^(AV$7-1)*MAX(0,MIN(1,AV$6*1-Inputs!$B$58+1))/1</f>
        <v>1</v>
      </c>
      <c r="AW121" s="117" t="n">
        <f aca="false">Inputs!$B$55*(1+Inputs!$B$57)^(AW$7-1)*MAX(0,MIN(1,AW$6*1-Inputs!$B$58+1))/1</f>
        <v>1</v>
      </c>
      <c r="AX121" s="117" t="n">
        <f aca="false">Inputs!$B$55*(1+Inputs!$B$57)^(AX$7-1)*MAX(0,MIN(1,AX$6*1-Inputs!$B$58+1))/1</f>
        <v>1</v>
      </c>
      <c r="AY121" s="117" t="n">
        <f aca="false">Inputs!$B$55*(1+Inputs!$B$57)^(AY$7-1)*MAX(0,MIN(1,AY$6*1-Inputs!$B$58+1))/1</f>
        <v>1</v>
      </c>
      <c r="AZ121" s="117" t="n">
        <f aca="false">Inputs!$B$55*(1+Inputs!$B$57)^(AZ$7-1)*MAX(0,MIN(1,AZ$6*1-Inputs!$B$58+1))/1</f>
        <v>1</v>
      </c>
      <c r="BA121" s="117" t="n">
        <f aca="false">Inputs!$B$55*(1+Inputs!$B$57)^(BA$7-1)*MAX(0,MIN(1,BA$6*1-Inputs!$B$58+1))/1</f>
        <v>1</v>
      </c>
      <c r="BB121" s="117" t="n">
        <f aca="false">Inputs!$B$55*(1+Inputs!$B$57)^(BB$7-1)*MAX(0,MIN(1,BB$6*1-Inputs!$B$58+1))/1</f>
        <v>1</v>
      </c>
      <c r="BC121" s="117" t="n">
        <f aca="false">Inputs!$B$55*(1+Inputs!$B$57)^(BC$7-1)*MAX(0,MIN(1,BC$6*1-Inputs!$B$58+1))/1</f>
        <v>1</v>
      </c>
      <c r="BD121" s="117" t="n">
        <f aca="false">Inputs!$B$55*(1+Inputs!$B$57)^(BD$7-1)*MAX(0,MIN(1,BD$6*1-Inputs!$B$58+1))/1</f>
        <v>1</v>
      </c>
      <c r="BE121" s="117" t="n">
        <f aca="false">Inputs!$B$55*(1+Inputs!$B$57)^(BE$7-1)*MAX(0,MIN(1,BE$6*1-Inputs!$B$58+1))/1</f>
        <v>1</v>
      </c>
      <c r="BF121" s="117" t="n">
        <f aca="false">Inputs!$B$55*(1+Inputs!$B$57)^(BF$7-1)*MAX(0,MIN(1,BF$6*1-Inputs!$B$58+1))/1</f>
        <v>1</v>
      </c>
      <c r="BG121" s="117" t="n">
        <f aca="false">Inputs!$B$55*(1+Inputs!$B$57)^(BG$7-1)*MAX(0,MIN(1,BG$6*1-Inputs!$B$58+1))/1</f>
        <v>1</v>
      </c>
      <c r="BH121" s="117" t="n">
        <f aca="false">Inputs!$B$55*(1+Inputs!$B$57)^(BH$7-1)*MAX(0,MIN(1,BH$6*1-Inputs!$B$58+1))/1</f>
        <v>1</v>
      </c>
      <c r="BI121" s="117" t="n">
        <f aca="false">Inputs!$B$55*(1+Inputs!$B$57)^(BI$7-1)*MAX(0,MIN(1,BI$6*1-Inputs!$B$58+1))/1</f>
        <v>1</v>
      </c>
      <c r="BJ121" s="117" t="n">
        <f aca="false">Inputs!$B$55*(1+Inputs!$B$57)^(BJ$7-1)*MAX(0,MIN(1,BJ$6*1-Inputs!$B$58+1))/1</f>
        <v>1</v>
      </c>
    </row>
    <row r="122" customFormat="false" ht="15" hidden="false" customHeight="false" outlineLevel="0" collapsed="false">
      <c r="A122" s="6" t="s">
        <v>471</v>
      </c>
      <c r="C122" s="117" t="n">
        <f aca="false">Inputs!$B$59*(1+Inputs!$B$61)^(C$7-1)*MAX(0,MIN(1,C$6*1-Inputs!$B$62+1))/1</f>
        <v>10</v>
      </c>
      <c r="D122" s="117" t="n">
        <f aca="false">Inputs!$B$59*(1+Inputs!$B$61)^(D$7-1)*MAX(0,MIN(1,D$6*1-Inputs!$B$62+1))/1</f>
        <v>10</v>
      </c>
      <c r="E122" s="117" t="n">
        <f aca="false">Inputs!$B$59*(1+Inputs!$B$61)^(E$7-1)*MAX(0,MIN(1,E$6*1-Inputs!$B$62+1))/1</f>
        <v>10</v>
      </c>
      <c r="F122" s="117" t="n">
        <f aca="false">Inputs!$B$59*(1+Inputs!$B$61)^(F$7-1)*MAX(0,MIN(1,F$6*1-Inputs!$B$62+1))/1</f>
        <v>10</v>
      </c>
      <c r="G122" s="117" t="n">
        <f aca="false">Inputs!$B$59*(1+Inputs!$B$61)^(G$7-1)*MAX(0,MIN(1,G$6*1-Inputs!$B$62+1))/1</f>
        <v>10</v>
      </c>
      <c r="H122" s="117" t="n">
        <f aca="false">Inputs!$B$59*(1+Inputs!$B$61)^(H$7-1)*MAX(0,MIN(1,H$6*1-Inputs!$B$62+1))/1</f>
        <v>10</v>
      </c>
      <c r="I122" s="117" t="n">
        <f aca="false">Inputs!$B$59*(1+Inputs!$B$61)^(I$7-1)*MAX(0,MIN(1,I$6*1-Inputs!$B$62+1))/1</f>
        <v>10</v>
      </c>
      <c r="J122" s="117" t="n">
        <f aca="false">Inputs!$B$59*(1+Inputs!$B$61)^(J$7-1)*MAX(0,MIN(1,J$6*1-Inputs!$B$62+1))/1</f>
        <v>10</v>
      </c>
      <c r="K122" s="117" t="n">
        <f aca="false">Inputs!$B$59*(1+Inputs!$B$61)^(K$7-1)*MAX(0,MIN(1,K$6*1-Inputs!$B$62+1))/1</f>
        <v>10</v>
      </c>
      <c r="L122" s="117" t="n">
        <f aca="false">Inputs!$B$59*(1+Inputs!$B$61)^(L$7-1)*MAX(0,MIN(1,L$6*1-Inputs!$B$62+1))/1</f>
        <v>10</v>
      </c>
      <c r="M122" s="117" t="n">
        <f aca="false">Inputs!$B$59*(1+Inputs!$B$61)^(M$7-1)*MAX(0,MIN(1,M$6*1-Inputs!$B$62+1))/1</f>
        <v>10</v>
      </c>
      <c r="N122" s="117" t="n">
        <f aca="false">Inputs!$B$59*(1+Inputs!$B$61)^(N$7-1)*MAX(0,MIN(1,N$6*1-Inputs!$B$62+1))/1</f>
        <v>10</v>
      </c>
      <c r="O122" s="117" t="n">
        <f aca="false">Inputs!$B$59*(1+Inputs!$B$61)^(O$7-1)*MAX(0,MIN(1,O$6*1-Inputs!$B$62+1))/1</f>
        <v>10</v>
      </c>
      <c r="P122" s="117" t="n">
        <f aca="false">Inputs!$B$59*(1+Inputs!$B$61)^(P$7-1)*MAX(0,MIN(1,P$6*1-Inputs!$B$62+1))/1</f>
        <v>10</v>
      </c>
      <c r="Q122" s="117" t="n">
        <f aca="false">Inputs!$B$59*(1+Inputs!$B$61)^(Q$7-1)*MAX(0,MIN(1,Q$6*1-Inputs!$B$62+1))/1</f>
        <v>10</v>
      </c>
      <c r="R122" s="117" t="n">
        <f aca="false">Inputs!$B$59*(1+Inputs!$B$61)^(R$7-1)*MAX(0,MIN(1,R$6*1-Inputs!$B$62+1))/1</f>
        <v>10</v>
      </c>
      <c r="S122" s="117" t="n">
        <f aca="false">Inputs!$B$59*(1+Inputs!$B$61)^(S$7-1)*MAX(0,MIN(1,S$6*1-Inputs!$B$62+1))/1</f>
        <v>10</v>
      </c>
      <c r="T122" s="117" t="n">
        <f aca="false">Inputs!$B$59*(1+Inputs!$B$61)^(T$7-1)*MAX(0,MIN(1,T$6*1-Inputs!$B$62+1))/1</f>
        <v>10</v>
      </c>
      <c r="U122" s="117" t="n">
        <f aca="false">Inputs!$B$59*(1+Inputs!$B$61)^(U$7-1)*MAX(0,MIN(1,U$6*1-Inputs!$B$62+1))/1</f>
        <v>10</v>
      </c>
      <c r="V122" s="117" t="n">
        <f aca="false">Inputs!$B$59*(1+Inputs!$B$61)^(V$7-1)*MAX(0,MIN(1,V$6*1-Inputs!$B$62+1))/1</f>
        <v>10</v>
      </c>
      <c r="W122" s="117" t="n">
        <f aca="false">Inputs!$B$59*(1+Inputs!$B$61)^(W$7-1)*MAX(0,MIN(1,W$6*1-Inputs!$B$62+1))/1</f>
        <v>10</v>
      </c>
      <c r="X122" s="117" t="n">
        <f aca="false">Inputs!$B$59*(1+Inputs!$B$61)^(X$7-1)*MAX(0,MIN(1,X$6*1-Inputs!$B$62+1))/1</f>
        <v>10</v>
      </c>
      <c r="Y122" s="117" t="n">
        <f aca="false">Inputs!$B$59*(1+Inputs!$B$61)^(Y$7-1)*MAX(0,MIN(1,Y$6*1-Inputs!$B$62+1))/1</f>
        <v>10</v>
      </c>
      <c r="Z122" s="117" t="n">
        <f aca="false">Inputs!$B$59*(1+Inputs!$B$61)^(Z$7-1)*MAX(0,MIN(1,Z$6*1-Inputs!$B$62+1))/1</f>
        <v>10</v>
      </c>
      <c r="AA122" s="117" t="n">
        <f aca="false">Inputs!$B$59*(1+Inputs!$B$61)^(AA$7-1)*MAX(0,MIN(1,AA$6*1-Inputs!$B$62+1))/1</f>
        <v>10</v>
      </c>
      <c r="AB122" s="117" t="n">
        <f aca="false">Inputs!$B$59*(1+Inputs!$B$61)^(AB$7-1)*MAX(0,MIN(1,AB$6*1-Inputs!$B$62+1))/1</f>
        <v>10</v>
      </c>
      <c r="AC122" s="117" t="n">
        <f aca="false">Inputs!$B$59*(1+Inputs!$B$61)^(AC$7-1)*MAX(0,MIN(1,AC$6*1-Inputs!$B$62+1))/1</f>
        <v>10</v>
      </c>
      <c r="AD122" s="117" t="n">
        <f aca="false">Inputs!$B$59*(1+Inputs!$B$61)^(AD$7-1)*MAX(0,MIN(1,AD$6*1-Inputs!$B$62+1))/1</f>
        <v>10</v>
      </c>
      <c r="AE122" s="117" t="n">
        <f aca="false">Inputs!$B$59*(1+Inputs!$B$61)^(AE$7-1)*MAX(0,MIN(1,AE$6*1-Inputs!$B$62+1))/1</f>
        <v>10</v>
      </c>
      <c r="AF122" s="117" t="n">
        <f aca="false">Inputs!$B$59*(1+Inputs!$B$61)^(AF$7-1)*MAX(0,MIN(1,AF$6*1-Inputs!$B$62+1))/1</f>
        <v>10</v>
      </c>
      <c r="AG122" s="117" t="n">
        <f aca="false">Inputs!$B$59*(1+Inputs!$B$61)^(AG$7-1)*MAX(0,MIN(1,AG$6*1-Inputs!$B$62+1))/1</f>
        <v>10</v>
      </c>
      <c r="AH122" s="117" t="n">
        <f aca="false">Inputs!$B$59*(1+Inputs!$B$61)^(AH$7-1)*MAX(0,MIN(1,AH$6*1-Inputs!$B$62+1))/1</f>
        <v>10</v>
      </c>
      <c r="AI122" s="117" t="n">
        <f aca="false">Inputs!$B$59*(1+Inputs!$B$61)^(AI$7-1)*MAX(0,MIN(1,AI$6*1-Inputs!$B$62+1))/1</f>
        <v>10</v>
      </c>
      <c r="AJ122" s="117" t="n">
        <f aca="false">Inputs!$B$59*(1+Inputs!$B$61)^(AJ$7-1)*MAX(0,MIN(1,AJ$6*1-Inputs!$B$62+1))/1</f>
        <v>10</v>
      </c>
      <c r="AK122" s="117" t="n">
        <f aca="false">Inputs!$B$59*(1+Inputs!$B$61)^(AK$7-1)*MAX(0,MIN(1,AK$6*1-Inputs!$B$62+1))/1</f>
        <v>10</v>
      </c>
      <c r="AL122" s="117" t="n">
        <f aca="false">Inputs!$B$59*(1+Inputs!$B$61)^(AL$7-1)*MAX(0,MIN(1,AL$6*1-Inputs!$B$62+1))/1</f>
        <v>10</v>
      </c>
      <c r="AM122" s="117" t="n">
        <f aca="false">Inputs!$B$59*(1+Inputs!$B$61)^(AM$7-1)*MAX(0,MIN(1,AM$6*1-Inputs!$B$62+1))/1</f>
        <v>10</v>
      </c>
      <c r="AN122" s="117" t="n">
        <f aca="false">Inputs!$B$59*(1+Inputs!$B$61)^(AN$7-1)*MAX(0,MIN(1,AN$6*1-Inputs!$B$62+1))/1</f>
        <v>10</v>
      </c>
      <c r="AO122" s="117" t="n">
        <f aca="false">Inputs!$B$59*(1+Inputs!$B$61)^(AO$7-1)*MAX(0,MIN(1,AO$6*1-Inputs!$B$62+1))/1</f>
        <v>10</v>
      </c>
      <c r="AP122" s="117" t="n">
        <f aca="false">Inputs!$B$59*(1+Inputs!$B$61)^(AP$7-1)*MAX(0,MIN(1,AP$6*1-Inputs!$B$62+1))/1</f>
        <v>10</v>
      </c>
      <c r="AQ122" s="117" t="n">
        <f aca="false">Inputs!$B$59*(1+Inputs!$B$61)^(AQ$7-1)*MAX(0,MIN(1,AQ$6*1-Inputs!$B$62+1))/1</f>
        <v>10</v>
      </c>
      <c r="AR122" s="117" t="n">
        <f aca="false">Inputs!$B$59*(1+Inputs!$B$61)^(AR$7-1)*MAX(0,MIN(1,AR$6*1-Inputs!$B$62+1))/1</f>
        <v>10</v>
      </c>
      <c r="AS122" s="117" t="n">
        <f aca="false">Inputs!$B$59*(1+Inputs!$B$61)^(AS$7-1)*MAX(0,MIN(1,AS$6*1-Inputs!$B$62+1))/1</f>
        <v>10</v>
      </c>
      <c r="AT122" s="117" t="n">
        <f aca="false">Inputs!$B$59*(1+Inputs!$B$61)^(AT$7-1)*MAX(0,MIN(1,AT$6*1-Inputs!$B$62+1))/1</f>
        <v>10</v>
      </c>
      <c r="AU122" s="117" t="n">
        <f aca="false">Inputs!$B$59*(1+Inputs!$B$61)^(AU$7-1)*MAX(0,MIN(1,AU$6*1-Inputs!$B$62+1))/1</f>
        <v>10</v>
      </c>
      <c r="AV122" s="117" t="n">
        <f aca="false">Inputs!$B$59*(1+Inputs!$B$61)^(AV$7-1)*MAX(0,MIN(1,AV$6*1-Inputs!$B$62+1))/1</f>
        <v>10</v>
      </c>
      <c r="AW122" s="117" t="n">
        <f aca="false">Inputs!$B$59*(1+Inputs!$B$61)^(AW$7-1)*MAX(0,MIN(1,AW$6*1-Inputs!$B$62+1))/1</f>
        <v>10</v>
      </c>
      <c r="AX122" s="117" t="n">
        <f aca="false">Inputs!$B$59*(1+Inputs!$B$61)^(AX$7-1)*MAX(0,MIN(1,AX$6*1-Inputs!$B$62+1))/1</f>
        <v>10</v>
      </c>
      <c r="AY122" s="117" t="n">
        <f aca="false">Inputs!$B$59*(1+Inputs!$B$61)^(AY$7-1)*MAX(0,MIN(1,AY$6*1-Inputs!$B$62+1))/1</f>
        <v>10</v>
      </c>
      <c r="AZ122" s="117" t="n">
        <f aca="false">Inputs!$B$59*(1+Inputs!$B$61)^(AZ$7-1)*MAX(0,MIN(1,AZ$6*1-Inputs!$B$62+1))/1</f>
        <v>10</v>
      </c>
      <c r="BA122" s="117" t="n">
        <f aca="false">Inputs!$B$59*(1+Inputs!$B$61)^(BA$7-1)*MAX(0,MIN(1,BA$6*1-Inputs!$B$62+1))/1</f>
        <v>10</v>
      </c>
      <c r="BB122" s="117" t="n">
        <f aca="false">Inputs!$B$59*(1+Inputs!$B$61)^(BB$7-1)*MAX(0,MIN(1,BB$6*1-Inputs!$B$62+1))/1</f>
        <v>10</v>
      </c>
      <c r="BC122" s="117" t="n">
        <f aca="false">Inputs!$B$59*(1+Inputs!$B$61)^(BC$7-1)*MAX(0,MIN(1,BC$6*1-Inputs!$B$62+1))/1</f>
        <v>10</v>
      </c>
      <c r="BD122" s="117" t="n">
        <f aca="false">Inputs!$B$59*(1+Inputs!$B$61)^(BD$7-1)*MAX(0,MIN(1,BD$6*1-Inputs!$B$62+1))/1</f>
        <v>10</v>
      </c>
      <c r="BE122" s="117" t="n">
        <f aca="false">Inputs!$B$59*(1+Inputs!$B$61)^(BE$7-1)*MAX(0,MIN(1,BE$6*1-Inputs!$B$62+1))/1</f>
        <v>10</v>
      </c>
      <c r="BF122" s="117" t="n">
        <f aca="false">Inputs!$B$59*(1+Inputs!$B$61)^(BF$7-1)*MAX(0,MIN(1,BF$6*1-Inputs!$B$62+1))/1</f>
        <v>10</v>
      </c>
      <c r="BG122" s="117" t="n">
        <f aca="false">Inputs!$B$59*(1+Inputs!$B$61)^(BG$7-1)*MAX(0,MIN(1,BG$6*1-Inputs!$B$62+1))/1</f>
        <v>10</v>
      </c>
      <c r="BH122" s="117" t="n">
        <f aca="false">Inputs!$B$59*(1+Inputs!$B$61)^(BH$7-1)*MAX(0,MIN(1,BH$6*1-Inputs!$B$62+1))/1</f>
        <v>10</v>
      </c>
      <c r="BI122" s="117" t="n">
        <f aca="false">Inputs!$B$59*(1+Inputs!$B$61)^(BI$7-1)*MAX(0,MIN(1,BI$6*1-Inputs!$B$62+1))/1</f>
        <v>10</v>
      </c>
      <c r="BJ122" s="117" t="n">
        <f aca="false">Inputs!$B$59*(1+Inputs!$B$61)^(BJ$7-1)*MAX(0,MIN(1,BJ$6*1-Inputs!$B$62+1))/1</f>
        <v>10</v>
      </c>
    </row>
    <row r="123" customFormat="false" ht="15" hidden="false" customHeight="false" outlineLevel="0" collapsed="false">
      <c r="A123" s="113" t="s">
        <v>472</v>
      </c>
      <c r="C123" s="123" t="n">
        <f aca="false">C121+C122</f>
        <v>11</v>
      </c>
      <c r="D123" s="123" t="n">
        <f aca="false">D121+D122</f>
        <v>11</v>
      </c>
      <c r="E123" s="123" t="n">
        <f aca="false">E121+E122</f>
        <v>11</v>
      </c>
      <c r="F123" s="123" t="n">
        <f aca="false">F121+F122</f>
        <v>11</v>
      </c>
      <c r="G123" s="123" t="n">
        <f aca="false">G121+G122</f>
        <v>11</v>
      </c>
      <c r="H123" s="123" t="n">
        <f aca="false">H121+H122</f>
        <v>11</v>
      </c>
      <c r="I123" s="123" t="n">
        <f aca="false">I121+I122</f>
        <v>11</v>
      </c>
      <c r="J123" s="123" t="n">
        <f aca="false">J121+J122</f>
        <v>11</v>
      </c>
      <c r="K123" s="123" t="n">
        <f aca="false">K121+K122</f>
        <v>11</v>
      </c>
      <c r="L123" s="123" t="n">
        <f aca="false">L121+L122</f>
        <v>11</v>
      </c>
      <c r="M123" s="123" t="n">
        <f aca="false">M121+M122</f>
        <v>11</v>
      </c>
      <c r="N123" s="123" t="n">
        <f aca="false">N121+N122</f>
        <v>11</v>
      </c>
      <c r="O123" s="123" t="n">
        <f aca="false">O121+O122</f>
        <v>11</v>
      </c>
      <c r="P123" s="123" t="n">
        <f aca="false">P121+P122</f>
        <v>11</v>
      </c>
      <c r="Q123" s="123" t="n">
        <f aca="false">Q121+Q122</f>
        <v>11</v>
      </c>
      <c r="R123" s="123" t="n">
        <f aca="false">R121+R122</f>
        <v>11</v>
      </c>
      <c r="S123" s="123" t="n">
        <f aca="false">S121+S122</f>
        <v>11</v>
      </c>
      <c r="T123" s="123" t="n">
        <f aca="false">T121+T122</f>
        <v>11</v>
      </c>
      <c r="U123" s="123" t="n">
        <f aca="false">U121+U122</f>
        <v>11</v>
      </c>
      <c r="V123" s="123" t="n">
        <f aca="false">V121+V122</f>
        <v>11</v>
      </c>
      <c r="W123" s="123" t="n">
        <f aca="false">W121+W122</f>
        <v>11</v>
      </c>
      <c r="X123" s="123" t="n">
        <f aca="false">X121+X122</f>
        <v>11</v>
      </c>
      <c r="Y123" s="123" t="n">
        <f aca="false">Y121+Y122</f>
        <v>11</v>
      </c>
      <c r="Z123" s="123" t="n">
        <f aca="false">Z121+Z122</f>
        <v>11</v>
      </c>
      <c r="AA123" s="123" t="n">
        <f aca="false">AA121+AA122</f>
        <v>11</v>
      </c>
      <c r="AB123" s="123" t="n">
        <f aca="false">AB121+AB122</f>
        <v>11</v>
      </c>
      <c r="AC123" s="123" t="n">
        <f aca="false">AC121+AC122</f>
        <v>11</v>
      </c>
      <c r="AD123" s="123" t="n">
        <f aca="false">AD121+AD122</f>
        <v>11</v>
      </c>
      <c r="AE123" s="123" t="n">
        <f aca="false">AE121+AE122</f>
        <v>11</v>
      </c>
      <c r="AF123" s="123" t="n">
        <f aca="false">AF121+AF122</f>
        <v>11</v>
      </c>
      <c r="AG123" s="123" t="n">
        <f aca="false">AG121+AG122</f>
        <v>11</v>
      </c>
      <c r="AH123" s="123" t="n">
        <f aca="false">AH121+AH122</f>
        <v>11</v>
      </c>
      <c r="AI123" s="123" t="n">
        <f aca="false">AI121+AI122</f>
        <v>11</v>
      </c>
      <c r="AJ123" s="123" t="n">
        <f aca="false">AJ121+AJ122</f>
        <v>11</v>
      </c>
      <c r="AK123" s="123" t="n">
        <f aca="false">AK121+AK122</f>
        <v>11</v>
      </c>
      <c r="AL123" s="123" t="n">
        <f aca="false">AL121+AL122</f>
        <v>11</v>
      </c>
      <c r="AM123" s="123" t="n">
        <f aca="false">AM121+AM122</f>
        <v>11</v>
      </c>
      <c r="AN123" s="123" t="n">
        <f aca="false">AN121+AN122</f>
        <v>11</v>
      </c>
      <c r="AO123" s="123" t="n">
        <f aca="false">AO121+AO122</f>
        <v>11</v>
      </c>
      <c r="AP123" s="123" t="n">
        <f aca="false">AP121+AP122</f>
        <v>11</v>
      </c>
      <c r="AQ123" s="123" t="n">
        <f aca="false">AQ121+AQ122</f>
        <v>11</v>
      </c>
      <c r="AR123" s="123" t="n">
        <f aca="false">AR121+AR122</f>
        <v>11</v>
      </c>
      <c r="AS123" s="123" t="n">
        <f aca="false">AS121+AS122</f>
        <v>11</v>
      </c>
      <c r="AT123" s="123" t="n">
        <f aca="false">AT121+AT122</f>
        <v>11</v>
      </c>
      <c r="AU123" s="123" t="n">
        <f aca="false">AU121+AU122</f>
        <v>11</v>
      </c>
      <c r="AV123" s="123" t="n">
        <f aca="false">AV121+AV122</f>
        <v>11</v>
      </c>
      <c r="AW123" s="123" t="n">
        <f aca="false">AW121+AW122</f>
        <v>11</v>
      </c>
      <c r="AX123" s="123" t="n">
        <f aca="false">AX121+AX122</f>
        <v>11</v>
      </c>
      <c r="AY123" s="123" t="n">
        <f aca="false">AY121+AY122</f>
        <v>11</v>
      </c>
      <c r="AZ123" s="123" t="n">
        <f aca="false">AZ121+AZ122</f>
        <v>11</v>
      </c>
      <c r="BA123" s="123" t="n">
        <f aca="false">BA121+BA122</f>
        <v>11</v>
      </c>
      <c r="BB123" s="123" t="n">
        <f aca="false">BB121+BB122</f>
        <v>11</v>
      </c>
      <c r="BC123" s="123" t="n">
        <f aca="false">BC121+BC122</f>
        <v>11</v>
      </c>
      <c r="BD123" s="123" t="n">
        <f aca="false">BD121+BD122</f>
        <v>11</v>
      </c>
      <c r="BE123" s="123" t="n">
        <f aca="false">BE121+BE122</f>
        <v>11</v>
      </c>
      <c r="BF123" s="123" t="n">
        <f aca="false">BF121+BF122</f>
        <v>11</v>
      </c>
      <c r="BG123" s="123" t="n">
        <f aca="false">BG121+BG122</f>
        <v>11</v>
      </c>
      <c r="BH123" s="123" t="n">
        <f aca="false">BH121+BH122</f>
        <v>11</v>
      </c>
      <c r="BI123" s="123" t="n">
        <f aca="false">BI121+BI122</f>
        <v>11</v>
      </c>
      <c r="BJ123" s="123" t="n">
        <f aca="false">BJ121+BJ122</f>
        <v>11</v>
      </c>
    </row>
    <row r="125" customFormat="false" ht="15.75" hidden="false" customHeight="true" outlineLevel="0" collapsed="false">
      <c r="A125" s="7" t="s">
        <v>473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customFormat="false" ht="15" hidden="false" customHeight="false" outlineLevel="0" collapsed="false">
      <c r="A126" s="6" t="s">
        <v>474</v>
      </c>
      <c r="C126" s="69" t="n">
        <f aca="false">-C121*Inputs!$B$56/12*1*(1+Inputs!$B$63)*(1+Inputs!$B$64)^(C$7-1)</f>
        <v>-6720</v>
      </c>
      <c r="D126" s="69" t="n">
        <f aca="false">-D121*Inputs!$B$56/12*1*(1+Inputs!$B$63)*(1+Inputs!$B$64)^(D$7-1)</f>
        <v>-6720</v>
      </c>
      <c r="E126" s="69" t="n">
        <f aca="false">-E121*Inputs!$B$56/12*1*(1+Inputs!$B$63)*(1+Inputs!$B$64)^(E$7-1)</f>
        <v>-6720</v>
      </c>
      <c r="F126" s="69" t="n">
        <f aca="false">-F121*Inputs!$B$56/12*1*(1+Inputs!$B$63)*(1+Inputs!$B$64)^(F$7-1)</f>
        <v>-6720</v>
      </c>
      <c r="G126" s="69" t="n">
        <f aca="false">-G121*Inputs!$B$56/12*1*(1+Inputs!$B$63)*(1+Inputs!$B$64)^(G$7-1)</f>
        <v>-6720</v>
      </c>
      <c r="H126" s="69" t="n">
        <f aca="false">-H121*Inputs!$B$56/12*1*(1+Inputs!$B$63)*(1+Inputs!$B$64)^(H$7-1)</f>
        <v>-6720</v>
      </c>
      <c r="I126" s="69" t="n">
        <f aca="false">-I121*Inputs!$B$56/12*1*(1+Inputs!$B$63)*(1+Inputs!$B$64)^(I$7-1)</f>
        <v>-6720</v>
      </c>
      <c r="J126" s="69" t="n">
        <f aca="false">-J121*Inputs!$B$56/12*1*(1+Inputs!$B$63)*(1+Inputs!$B$64)^(J$7-1)</f>
        <v>-6720</v>
      </c>
      <c r="K126" s="69" t="n">
        <f aca="false">-K121*Inputs!$B$56/12*1*(1+Inputs!$B$63)*(1+Inputs!$B$64)^(K$7-1)</f>
        <v>-6720</v>
      </c>
      <c r="L126" s="69" t="n">
        <f aca="false">-L121*Inputs!$B$56/12*1*(1+Inputs!$B$63)*(1+Inputs!$B$64)^(L$7-1)</f>
        <v>-6720</v>
      </c>
      <c r="M126" s="69" t="n">
        <f aca="false">-M121*Inputs!$B$56/12*1*(1+Inputs!$B$63)*(1+Inputs!$B$64)^(M$7-1)</f>
        <v>-6720</v>
      </c>
      <c r="N126" s="69" t="n">
        <f aca="false">-N121*Inputs!$B$56/12*1*(1+Inputs!$B$63)*(1+Inputs!$B$64)^(N$7-1)</f>
        <v>-6720</v>
      </c>
      <c r="O126" s="69" t="n">
        <f aca="false">-O121*Inputs!$B$56/12*1*(1+Inputs!$B$63)*(1+Inputs!$B$64)^(O$7-1)</f>
        <v>-6921.6</v>
      </c>
      <c r="P126" s="69" t="n">
        <f aca="false">-P121*Inputs!$B$56/12*1*(1+Inputs!$B$63)*(1+Inputs!$B$64)^(P$7-1)</f>
        <v>-6921.6</v>
      </c>
      <c r="Q126" s="69" t="n">
        <f aca="false">-Q121*Inputs!$B$56/12*1*(1+Inputs!$B$63)*(1+Inputs!$B$64)^(Q$7-1)</f>
        <v>-6921.6</v>
      </c>
      <c r="R126" s="69" t="n">
        <f aca="false">-R121*Inputs!$B$56/12*1*(1+Inputs!$B$63)*(1+Inputs!$B$64)^(R$7-1)</f>
        <v>-6921.6</v>
      </c>
      <c r="S126" s="69" t="n">
        <f aca="false">-S121*Inputs!$B$56/12*1*(1+Inputs!$B$63)*(1+Inputs!$B$64)^(S$7-1)</f>
        <v>-6921.6</v>
      </c>
      <c r="T126" s="69" t="n">
        <f aca="false">-T121*Inputs!$B$56/12*1*(1+Inputs!$B$63)*(1+Inputs!$B$64)^(T$7-1)</f>
        <v>-6921.6</v>
      </c>
      <c r="U126" s="69" t="n">
        <f aca="false">-U121*Inputs!$B$56/12*1*(1+Inputs!$B$63)*(1+Inputs!$B$64)^(U$7-1)</f>
        <v>-6921.6</v>
      </c>
      <c r="V126" s="69" t="n">
        <f aca="false">-V121*Inputs!$B$56/12*1*(1+Inputs!$B$63)*(1+Inputs!$B$64)^(V$7-1)</f>
        <v>-6921.6</v>
      </c>
      <c r="W126" s="69" t="n">
        <f aca="false">-W121*Inputs!$B$56/12*1*(1+Inputs!$B$63)*(1+Inputs!$B$64)^(W$7-1)</f>
        <v>-6921.6</v>
      </c>
      <c r="X126" s="69" t="n">
        <f aca="false">-X121*Inputs!$B$56/12*1*(1+Inputs!$B$63)*(1+Inputs!$B$64)^(X$7-1)</f>
        <v>-6921.6</v>
      </c>
      <c r="Y126" s="69" t="n">
        <f aca="false">-Y121*Inputs!$B$56/12*1*(1+Inputs!$B$63)*(1+Inputs!$B$64)^(Y$7-1)</f>
        <v>-6921.6</v>
      </c>
      <c r="Z126" s="69" t="n">
        <f aca="false">-Z121*Inputs!$B$56/12*1*(1+Inputs!$B$63)*(1+Inputs!$B$64)^(Z$7-1)</f>
        <v>-6921.6</v>
      </c>
      <c r="AA126" s="69" t="n">
        <f aca="false">-AA121*Inputs!$B$56/12*1*(1+Inputs!$B$63)*(1+Inputs!$B$64)^(AA$7-1)</f>
        <v>-7129.248</v>
      </c>
      <c r="AB126" s="69" t="n">
        <f aca="false">-AB121*Inputs!$B$56/12*1*(1+Inputs!$B$63)*(1+Inputs!$B$64)^(AB$7-1)</f>
        <v>-7129.248</v>
      </c>
      <c r="AC126" s="69" t="n">
        <f aca="false">-AC121*Inputs!$B$56/12*1*(1+Inputs!$B$63)*(1+Inputs!$B$64)^(AC$7-1)</f>
        <v>-7129.248</v>
      </c>
      <c r="AD126" s="69" t="n">
        <f aca="false">-AD121*Inputs!$B$56/12*1*(1+Inputs!$B$63)*(1+Inputs!$B$64)^(AD$7-1)</f>
        <v>-7129.248</v>
      </c>
      <c r="AE126" s="69" t="n">
        <f aca="false">-AE121*Inputs!$B$56/12*1*(1+Inputs!$B$63)*(1+Inputs!$B$64)^(AE$7-1)</f>
        <v>-7129.248</v>
      </c>
      <c r="AF126" s="69" t="n">
        <f aca="false">-AF121*Inputs!$B$56/12*1*(1+Inputs!$B$63)*(1+Inputs!$B$64)^(AF$7-1)</f>
        <v>-7129.248</v>
      </c>
      <c r="AG126" s="69" t="n">
        <f aca="false">-AG121*Inputs!$B$56/12*1*(1+Inputs!$B$63)*(1+Inputs!$B$64)^(AG$7-1)</f>
        <v>-7129.248</v>
      </c>
      <c r="AH126" s="69" t="n">
        <f aca="false">-AH121*Inputs!$B$56/12*1*(1+Inputs!$B$63)*(1+Inputs!$B$64)^(AH$7-1)</f>
        <v>-7129.248</v>
      </c>
      <c r="AI126" s="69" t="n">
        <f aca="false">-AI121*Inputs!$B$56/12*1*(1+Inputs!$B$63)*(1+Inputs!$B$64)^(AI$7-1)</f>
        <v>-7129.248</v>
      </c>
      <c r="AJ126" s="69" t="n">
        <f aca="false">-AJ121*Inputs!$B$56/12*1*(1+Inputs!$B$63)*(1+Inputs!$B$64)^(AJ$7-1)</f>
        <v>-7129.248</v>
      </c>
      <c r="AK126" s="69" t="n">
        <f aca="false">-AK121*Inputs!$B$56/12*1*(1+Inputs!$B$63)*(1+Inputs!$B$64)^(AK$7-1)</f>
        <v>-7129.248</v>
      </c>
      <c r="AL126" s="69" t="n">
        <f aca="false">-AL121*Inputs!$B$56/12*1*(1+Inputs!$B$63)*(1+Inputs!$B$64)^(AL$7-1)</f>
        <v>-7129.248</v>
      </c>
      <c r="AM126" s="69" t="n">
        <f aca="false">-AM121*Inputs!$B$56/12*1*(1+Inputs!$B$63)*(1+Inputs!$B$64)^(AM$7-1)</f>
        <v>-7343.12544</v>
      </c>
      <c r="AN126" s="69" t="n">
        <f aca="false">-AN121*Inputs!$B$56/12*1*(1+Inputs!$B$63)*(1+Inputs!$B$64)^(AN$7-1)</f>
        <v>-7343.12544</v>
      </c>
      <c r="AO126" s="69" t="n">
        <f aca="false">-AO121*Inputs!$B$56/12*1*(1+Inputs!$B$63)*(1+Inputs!$B$64)^(AO$7-1)</f>
        <v>-7343.12544</v>
      </c>
      <c r="AP126" s="69" t="n">
        <f aca="false">-AP121*Inputs!$B$56/12*1*(1+Inputs!$B$63)*(1+Inputs!$B$64)^(AP$7-1)</f>
        <v>-7343.12544</v>
      </c>
      <c r="AQ126" s="69" t="n">
        <f aca="false">-AQ121*Inputs!$B$56/12*1*(1+Inputs!$B$63)*(1+Inputs!$B$64)^(AQ$7-1)</f>
        <v>-7343.12544</v>
      </c>
      <c r="AR126" s="69" t="n">
        <f aca="false">-AR121*Inputs!$B$56/12*1*(1+Inputs!$B$63)*(1+Inputs!$B$64)^(AR$7-1)</f>
        <v>-7343.12544</v>
      </c>
      <c r="AS126" s="69" t="n">
        <f aca="false">-AS121*Inputs!$B$56/12*1*(1+Inputs!$B$63)*(1+Inputs!$B$64)^(AS$7-1)</f>
        <v>-7343.12544</v>
      </c>
      <c r="AT126" s="69" t="n">
        <f aca="false">-AT121*Inputs!$B$56/12*1*(1+Inputs!$B$63)*(1+Inputs!$B$64)^(AT$7-1)</f>
        <v>-7343.12544</v>
      </c>
      <c r="AU126" s="69" t="n">
        <f aca="false">-AU121*Inputs!$B$56/12*1*(1+Inputs!$B$63)*(1+Inputs!$B$64)^(AU$7-1)</f>
        <v>-7343.12544</v>
      </c>
      <c r="AV126" s="69" t="n">
        <f aca="false">-AV121*Inputs!$B$56/12*1*(1+Inputs!$B$63)*(1+Inputs!$B$64)^(AV$7-1)</f>
        <v>-7343.12544</v>
      </c>
      <c r="AW126" s="69" t="n">
        <f aca="false">-AW121*Inputs!$B$56/12*1*(1+Inputs!$B$63)*(1+Inputs!$B$64)^(AW$7-1)</f>
        <v>-7343.12544</v>
      </c>
      <c r="AX126" s="69" t="n">
        <f aca="false">-AX121*Inputs!$B$56/12*1*(1+Inputs!$B$63)*(1+Inputs!$B$64)^(AX$7-1)</f>
        <v>-7343.12544</v>
      </c>
      <c r="AY126" s="69" t="n">
        <f aca="false">-AY121*Inputs!$B$56/12*1*(1+Inputs!$B$63)*(1+Inputs!$B$64)^(AY$7-1)</f>
        <v>-7563.4192032</v>
      </c>
      <c r="AZ126" s="69" t="n">
        <f aca="false">-AZ121*Inputs!$B$56/12*1*(1+Inputs!$B$63)*(1+Inputs!$B$64)^(AZ$7-1)</f>
        <v>-7563.4192032</v>
      </c>
      <c r="BA126" s="69" t="n">
        <f aca="false">-BA121*Inputs!$B$56/12*1*(1+Inputs!$B$63)*(1+Inputs!$B$64)^(BA$7-1)</f>
        <v>-7563.4192032</v>
      </c>
      <c r="BB126" s="69" t="n">
        <f aca="false">-BB121*Inputs!$B$56/12*1*(1+Inputs!$B$63)*(1+Inputs!$B$64)^(BB$7-1)</f>
        <v>-7563.4192032</v>
      </c>
      <c r="BC126" s="69" t="n">
        <f aca="false">-BC121*Inputs!$B$56/12*1*(1+Inputs!$B$63)*(1+Inputs!$B$64)^(BC$7-1)</f>
        <v>-7563.4192032</v>
      </c>
      <c r="BD126" s="69" t="n">
        <f aca="false">-BD121*Inputs!$B$56/12*1*(1+Inputs!$B$63)*(1+Inputs!$B$64)^(BD$7-1)</f>
        <v>-7563.4192032</v>
      </c>
      <c r="BE126" s="69" t="n">
        <f aca="false">-BE121*Inputs!$B$56/12*1*(1+Inputs!$B$63)*(1+Inputs!$B$64)^(BE$7-1)</f>
        <v>-7563.4192032</v>
      </c>
      <c r="BF126" s="69" t="n">
        <f aca="false">-BF121*Inputs!$B$56/12*1*(1+Inputs!$B$63)*(1+Inputs!$B$64)^(BF$7-1)</f>
        <v>-7563.4192032</v>
      </c>
      <c r="BG126" s="69" t="n">
        <f aca="false">-BG121*Inputs!$B$56/12*1*(1+Inputs!$B$63)*(1+Inputs!$B$64)^(BG$7-1)</f>
        <v>-7563.4192032</v>
      </c>
      <c r="BH126" s="69" t="n">
        <f aca="false">-BH121*Inputs!$B$56/12*1*(1+Inputs!$B$63)*(1+Inputs!$B$64)^(BH$7-1)</f>
        <v>-7563.4192032</v>
      </c>
      <c r="BI126" s="69" t="n">
        <f aca="false">-BI121*Inputs!$B$56/12*1*(1+Inputs!$B$63)*(1+Inputs!$B$64)^(BI$7-1)</f>
        <v>-7563.4192032</v>
      </c>
      <c r="BJ126" s="69" t="n">
        <f aca="false">-BJ121*Inputs!$B$56/12*1*(1+Inputs!$B$63)*(1+Inputs!$B$64)^(BJ$7-1)</f>
        <v>-7563.4192032</v>
      </c>
    </row>
    <row r="127" customFormat="false" ht="15" hidden="false" customHeight="false" outlineLevel="0" collapsed="false">
      <c r="A127" s="6" t="s">
        <v>475</v>
      </c>
      <c r="C127" s="69" t="n">
        <f aca="false">-C122*Inputs!$B$60/12*1*(1+Inputs!$B$63)*(1+Inputs!$B$64)^(C$7-1)</f>
        <v>-29866.6666666667</v>
      </c>
      <c r="D127" s="69" t="n">
        <f aca="false">-D122*Inputs!$B$60/12*1*(1+Inputs!$B$63)*(1+Inputs!$B$64)^(D$7-1)</f>
        <v>-29866.6666666667</v>
      </c>
      <c r="E127" s="69" t="n">
        <f aca="false">-E122*Inputs!$B$60/12*1*(1+Inputs!$B$63)*(1+Inputs!$B$64)^(E$7-1)</f>
        <v>-29866.6666666667</v>
      </c>
      <c r="F127" s="69" t="n">
        <f aca="false">-F122*Inputs!$B$60/12*1*(1+Inputs!$B$63)*(1+Inputs!$B$64)^(F$7-1)</f>
        <v>-29866.6666666667</v>
      </c>
      <c r="G127" s="69" t="n">
        <f aca="false">-G122*Inputs!$B$60/12*1*(1+Inputs!$B$63)*(1+Inputs!$B$64)^(G$7-1)</f>
        <v>-29866.6666666667</v>
      </c>
      <c r="H127" s="69" t="n">
        <f aca="false">-H122*Inputs!$B$60/12*1*(1+Inputs!$B$63)*(1+Inputs!$B$64)^(H$7-1)</f>
        <v>-29866.6666666667</v>
      </c>
      <c r="I127" s="69" t="n">
        <f aca="false">-I122*Inputs!$B$60/12*1*(1+Inputs!$B$63)*(1+Inputs!$B$64)^(I$7-1)</f>
        <v>-29866.6666666667</v>
      </c>
      <c r="J127" s="69" t="n">
        <f aca="false">-J122*Inputs!$B$60/12*1*(1+Inputs!$B$63)*(1+Inputs!$B$64)^(J$7-1)</f>
        <v>-29866.6666666667</v>
      </c>
      <c r="K127" s="69" t="n">
        <f aca="false">-K122*Inputs!$B$60/12*1*(1+Inputs!$B$63)*(1+Inputs!$B$64)^(K$7-1)</f>
        <v>-29866.6666666667</v>
      </c>
      <c r="L127" s="69" t="n">
        <f aca="false">-L122*Inputs!$B$60/12*1*(1+Inputs!$B$63)*(1+Inputs!$B$64)^(L$7-1)</f>
        <v>-29866.6666666667</v>
      </c>
      <c r="M127" s="69" t="n">
        <f aca="false">-M122*Inputs!$B$60/12*1*(1+Inputs!$B$63)*(1+Inputs!$B$64)^(M$7-1)</f>
        <v>-29866.6666666667</v>
      </c>
      <c r="N127" s="69" t="n">
        <f aca="false">-N122*Inputs!$B$60/12*1*(1+Inputs!$B$63)*(1+Inputs!$B$64)^(N$7-1)</f>
        <v>-29866.6666666667</v>
      </c>
      <c r="O127" s="69" t="n">
        <f aca="false">-O122*Inputs!$B$60/12*1*(1+Inputs!$B$63)*(1+Inputs!$B$64)^(O$7-1)</f>
        <v>-30762.6666666667</v>
      </c>
      <c r="P127" s="69" t="n">
        <f aca="false">-P122*Inputs!$B$60/12*1*(1+Inputs!$B$63)*(1+Inputs!$B$64)^(P$7-1)</f>
        <v>-30762.6666666667</v>
      </c>
      <c r="Q127" s="69" t="n">
        <f aca="false">-Q122*Inputs!$B$60/12*1*(1+Inputs!$B$63)*(1+Inputs!$B$64)^(Q$7-1)</f>
        <v>-30762.6666666667</v>
      </c>
      <c r="R127" s="69" t="n">
        <f aca="false">-R122*Inputs!$B$60/12*1*(1+Inputs!$B$63)*(1+Inputs!$B$64)^(R$7-1)</f>
        <v>-30762.6666666667</v>
      </c>
      <c r="S127" s="69" t="n">
        <f aca="false">-S122*Inputs!$B$60/12*1*(1+Inputs!$B$63)*(1+Inputs!$B$64)^(S$7-1)</f>
        <v>-30762.6666666667</v>
      </c>
      <c r="T127" s="69" t="n">
        <f aca="false">-T122*Inputs!$B$60/12*1*(1+Inputs!$B$63)*(1+Inputs!$B$64)^(T$7-1)</f>
        <v>-30762.6666666667</v>
      </c>
      <c r="U127" s="69" t="n">
        <f aca="false">-U122*Inputs!$B$60/12*1*(1+Inputs!$B$63)*(1+Inputs!$B$64)^(U$7-1)</f>
        <v>-30762.6666666667</v>
      </c>
      <c r="V127" s="69" t="n">
        <f aca="false">-V122*Inputs!$B$60/12*1*(1+Inputs!$B$63)*(1+Inputs!$B$64)^(V$7-1)</f>
        <v>-30762.6666666667</v>
      </c>
      <c r="W127" s="69" t="n">
        <f aca="false">-W122*Inputs!$B$60/12*1*(1+Inputs!$B$63)*(1+Inputs!$B$64)^(W$7-1)</f>
        <v>-30762.6666666667</v>
      </c>
      <c r="X127" s="69" t="n">
        <f aca="false">-X122*Inputs!$B$60/12*1*(1+Inputs!$B$63)*(1+Inputs!$B$64)^(X$7-1)</f>
        <v>-30762.6666666667</v>
      </c>
      <c r="Y127" s="69" t="n">
        <f aca="false">-Y122*Inputs!$B$60/12*1*(1+Inputs!$B$63)*(1+Inputs!$B$64)^(Y$7-1)</f>
        <v>-30762.6666666667</v>
      </c>
      <c r="Z127" s="69" t="n">
        <f aca="false">-Z122*Inputs!$B$60/12*1*(1+Inputs!$B$63)*(1+Inputs!$B$64)^(Z$7-1)</f>
        <v>-30762.6666666667</v>
      </c>
      <c r="AA127" s="69" t="n">
        <f aca="false">-AA122*Inputs!$B$60/12*1*(1+Inputs!$B$63)*(1+Inputs!$B$64)^(AA$7-1)</f>
        <v>-31685.5466666667</v>
      </c>
      <c r="AB127" s="69" t="n">
        <f aca="false">-AB122*Inputs!$B$60/12*1*(1+Inputs!$B$63)*(1+Inputs!$B$64)^(AB$7-1)</f>
        <v>-31685.5466666667</v>
      </c>
      <c r="AC127" s="69" t="n">
        <f aca="false">-AC122*Inputs!$B$60/12*1*(1+Inputs!$B$63)*(1+Inputs!$B$64)^(AC$7-1)</f>
        <v>-31685.5466666667</v>
      </c>
      <c r="AD127" s="69" t="n">
        <f aca="false">-AD122*Inputs!$B$60/12*1*(1+Inputs!$B$63)*(1+Inputs!$B$64)^(AD$7-1)</f>
        <v>-31685.5466666667</v>
      </c>
      <c r="AE127" s="69" t="n">
        <f aca="false">-AE122*Inputs!$B$60/12*1*(1+Inputs!$B$63)*(1+Inputs!$B$64)^(AE$7-1)</f>
        <v>-31685.5466666667</v>
      </c>
      <c r="AF127" s="69" t="n">
        <f aca="false">-AF122*Inputs!$B$60/12*1*(1+Inputs!$B$63)*(1+Inputs!$B$64)^(AF$7-1)</f>
        <v>-31685.5466666667</v>
      </c>
      <c r="AG127" s="69" t="n">
        <f aca="false">-AG122*Inputs!$B$60/12*1*(1+Inputs!$B$63)*(1+Inputs!$B$64)^(AG$7-1)</f>
        <v>-31685.5466666667</v>
      </c>
      <c r="AH127" s="69" t="n">
        <f aca="false">-AH122*Inputs!$B$60/12*1*(1+Inputs!$B$63)*(1+Inputs!$B$64)^(AH$7-1)</f>
        <v>-31685.5466666667</v>
      </c>
      <c r="AI127" s="69" t="n">
        <f aca="false">-AI122*Inputs!$B$60/12*1*(1+Inputs!$B$63)*(1+Inputs!$B$64)^(AI$7-1)</f>
        <v>-31685.5466666667</v>
      </c>
      <c r="AJ127" s="69" t="n">
        <f aca="false">-AJ122*Inputs!$B$60/12*1*(1+Inputs!$B$63)*(1+Inputs!$B$64)^(AJ$7-1)</f>
        <v>-31685.5466666667</v>
      </c>
      <c r="AK127" s="69" t="n">
        <f aca="false">-AK122*Inputs!$B$60/12*1*(1+Inputs!$B$63)*(1+Inputs!$B$64)^(AK$7-1)</f>
        <v>-31685.5466666667</v>
      </c>
      <c r="AL127" s="69" t="n">
        <f aca="false">-AL122*Inputs!$B$60/12*1*(1+Inputs!$B$63)*(1+Inputs!$B$64)^(AL$7-1)</f>
        <v>-31685.5466666667</v>
      </c>
      <c r="AM127" s="69" t="n">
        <f aca="false">-AM122*Inputs!$B$60/12*1*(1+Inputs!$B$63)*(1+Inputs!$B$64)^(AM$7-1)</f>
        <v>-32636.1130666667</v>
      </c>
      <c r="AN127" s="69" t="n">
        <f aca="false">-AN122*Inputs!$B$60/12*1*(1+Inputs!$B$63)*(1+Inputs!$B$64)^(AN$7-1)</f>
        <v>-32636.1130666667</v>
      </c>
      <c r="AO127" s="69" t="n">
        <f aca="false">-AO122*Inputs!$B$60/12*1*(1+Inputs!$B$63)*(1+Inputs!$B$64)^(AO$7-1)</f>
        <v>-32636.1130666667</v>
      </c>
      <c r="AP127" s="69" t="n">
        <f aca="false">-AP122*Inputs!$B$60/12*1*(1+Inputs!$B$63)*(1+Inputs!$B$64)^(AP$7-1)</f>
        <v>-32636.1130666667</v>
      </c>
      <c r="AQ127" s="69" t="n">
        <f aca="false">-AQ122*Inputs!$B$60/12*1*(1+Inputs!$B$63)*(1+Inputs!$B$64)^(AQ$7-1)</f>
        <v>-32636.1130666667</v>
      </c>
      <c r="AR127" s="69" t="n">
        <f aca="false">-AR122*Inputs!$B$60/12*1*(1+Inputs!$B$63)*(1+Inputs!$B$64)^(AR$7-1)</f>
        <v>-32636.1130666667</v>
      </c>
      <c r="AS127" s="69" t="n">
        <f aca="false">-AS122*Inputs!$B$60/12*1*(1+Inputs!$B$63)*(1+Inputs!$B$64)^(AS$7-1)</f>
        <v>-32636.1130666667</v>
      </c>
      <c r="AT127" s="69" t="n">
        <f aca="false">-AT122*Inputs!$B$60/12*1*(1+Inputs!$B$63)*(1+Inputs!$B$64)^(AT$7-1)</f>
        <v>-32636.1130666667</v>
      </c>
      <c r="AU127" s="69" t="n">
        <f aca="false">-AU122*Inputs!$B$60/12*1*(1+Inputs!$B$63)*(1+Inputs!$B$64)^(AU$7-1)</f>
        <v>-32636.1130666667</v>
      </c>
      <c r="AV127" s="69" t="n">
        <f aca="false">-AV122*Inputs!$B$60/12*1*(1+Inputs!$B$63)*(1+Inputs!$B$64)^(AV$7-1)</f>
        <v>-32636.1130666667</v>
      </c>
      <c r="AW127" s="69" t="n">
        <f aca="false">-AW122*Inputs!$B$60/12*1*(1+Inputs!$B$63)*(1+Inputs!$B$64)^(AW$7-1)</f>
        <v>-32636.1130666667</v>
      </c>
      <c r="AX127" s="69" t="n">
        <f aca="false">-AX122*Inputs!$B$60/12*1*(1+Inputs!$B$63)*(1+Inputs!$B$64)^(AX$7-1)</f>
        <v>-32636.1130666667</v>
      </c>
      <c r="AY127" s="69" t="n">
        <f aca="false">-AY122*Inputs!$B$60/12*1*(1+Inputs!$B$63)*(1+Inputs!$B$64)^(AY$7-1)</f>
        <v>-33615.1964586667</v>
      </c>
      <c r="AZ127" s="69" t="n">
        <f aca="false">-AZ122*Inputs!$B$60/12*1*(1+Inputs!$B$63)*(1+Inputs!$B$64)^(AZ$7-1)</f>
        <v>-33615.1964586667</v>
      </c>
      <c r="BA127" s="69" t="n">
        <f aca="false">-BA122*Inputs!$B$60/12*1*(1+Inputs!$B$63)*(1+Inputs!$B$64)^(BA$7-1)</f>
        <v>-33615.1964586667</v>
      </c>
      <c r="BB127" s="69" t="n">
        <f aca="false">-BB122*Inputs!$B$60/12*1*(1+Inputs!$B$63)*(1+Inputs!$B$64)^(BB$7-1)</f>
        <v>-33615.1964586667</v>
      </c>
      <c r="BC127" s="69" t="n">
        <f aca="false">-BC122*Inputs!$B$60/12*1*(1+Inputs!$B$63)*(1+Inputs!$B$64)^(BC$7-1)</f>
        <v>-33615.1964586667</v>
      </c>
      <c r="BD127" s="69" t="n">
        <f aca="false">-BD122*Inputs!$B$60/12*1*(1+Inputs!$B$63)*(1+Inputs!$B$64)^(BD$7-1)</f>
        <v>-33615.1964586667</v>
      </c>
      <c r="BE127" s="69" t="n">
        <f aca="false">-BE122*Inputs!$B$60/12*1*(1+Inputs!$B$63)*(1+Inputs!$B$64)^(BE$7-1)</f>
        <v>-33615.1964586667</v>
      </c>
      <c r="BF127" s="69" t="n">
        <f aca="false">-BF122*Inputs!$B$60/12*1*(1+Inputs!$B$63)*(1+Inputs!$B$64)^(BF$7-1)</f>
        <v>-33615.1964586667</v>
      </c>
      <c r="BG127" s="69" t="n">
        <f aca="false">-BG122*Inputs!$B$60/12*1*(1+Inputs!$B$63)*(1+Inputs!$B$64)^(BG$7-1)</f>
        <v>-33615.1964586667</v>
      </c>
      <c r="BH127" s="69" t="n">
        <f aca="false">-BH122*Inputs!$B$60/12*1*(1+Inputs!$B$63)*(1+Inputs!$B$64)^(BH$7-1)</f>
        <v>-33615.1964586667</v>
      </c>
      <c r="BI127" s="69" t="n">
        <f aca="false">-BI122*Inputs!$B$60/12*1*(1+Inputs!$B$63)*(1+Inputs!$B$64)^(BI$7-1)</f>
        <v>-33615.1964586667</v>
      </c>
      <c r="BJ127" s="69" t="n">
        <f aca="false">-BJ122*Inputs!$B$60/12*1*(1+Inputs!$B$63)*(1+Inputs!$B$64)^(BJ$7-1)</f>
        <v>-33615.1964586667</v>
      </c>
    </row>
    <row r="128" customFormat="false" ht="15" hidden="false" customHeight="false" outlineLevel="0" collapsed="false">
      <c r="A128" s="113" t="s">
        <v>476</v>
      </c>
      <c r="C128" s="70" t="n">
        <f aca="false">C126+C127</f>
        <v>-36586.6666666667</v>
      </c>
      <c r="D128" s="70" t="n">
        <f aca="false">D126+D127</f>
        <v>-36586.6666666667</v>
      </c>
      <c r="E128" s="70" t="n">
        <f aca="false">E126+E127</f>
        <v>-36586.6666666667</v>
      </c>
      <c r="F128" s="70" t="n">
        <f aca="false">F126+F127</f>
        <v>-36586.6666666667</v>
      </c>
      <c r="G128" s="70" t="n">
        <f aca="false">G126+G127</f>
        <v>-36586.6666666667</v>
      </c>
      <c r="H128" s="70" t="n">
        <f aca="false">H126+H127</f>
        <v>-36586.6666666667</v>
      </c>
      <c r="I128" s="70" t="n">
        <f aca="false">I126+I127</f>
        <v>-36586.6666666667</v>
      </c>
      <c r="J128" s="70" t="n">
        <f aca="false">J126+J127</f>
        <v>-36586.6666666667</v>
      </c>
      <c r="K128" s="70" t="n">
        <f aca="false">K126+K127</f>
        <v>-36586.6666666667</v>
      </c>
      <c r="L128" s="70" t="n">
        <f aca="false">L126+L127</f>
        <v>-36586.6666666667</v>
      </c>
      <c r="M128" s="70" t="n">
        <f aca="false">M126+M127</f>
        <v>-36586.6666666667</v>
      </c>
      <c r="N128" s="70" t="n">
        <f aca="false">N126+N127</f>
        <v>-36586.6666666667</v>
      </c>
      <c r="O128" s="70" t="n">
        <f aca="false">O126+O127</f>
        <v>-37684.2666666667</v>
      </c>
      <c r="P128" s="70" t="n">
        <f aca="false">P126+P127</f>
        <v>-37684.2666666667</v>
      </c>
      <c r="Q128" s="70" t="n">
        <f aca="false">Q126+Q127</f>
        <v>-37684.2666666667</v>
      </c>
      <c r="R128" s="70" t="n">
        <f aca="false">R126+R127</f>
        <v>-37684.2666666667</v>
      </c>
      <c r="S128" s="70" t="n">
        <f aca="false">S126+S127</f>
        <v>-37684.2666666667</v>
      </c>
      <c r="T128" s="70" t="n">
        <f aca="false">T126+T127</f>
        <v>-37684.2666666667</v>
      </c>
      <c r="U128" s="70" t="n">
        <f aca="false">U126+U127</f>
        <v>-37684.2666666667</v>
      </c>
      <c r="V128" s="70" t="n">
        <f aca="false">V126+V127</f>
        <v>-37684.2666666667</v>
      </c>
      <c r="W128" s="70" t="n">
        <f aca="false">W126+W127</f>
        <v>-37684.2666666667</v>
      </c>
      <c r="X128" s="70" t="n">
        <f aca="false">X126+X127</f>
        <v>-37684.2666666667</v>
      </c>
      <c r="Y128" s="70" t="n">
        <f aca="false">Y126+Y127</f>
        <v>-37684.2666666667</v>
      </c>
      <c r="Z128" s="70" t="n">
        <f aca="false">Z126+Z127</f>
        <v>-37684.2666666667</v>
      </c>
      <c r="AA128" s="70" t="n">
        <f aca="false">AA126+AA127</f>
        <v>-38814.7946666667</v>
      </c>
      <c r="AB128" s="70" t="n">
        <f aca="false">AB126+AB127</f>
        <v>-38814.7946666667</v>
      </c>
      <c r="AC128" s="70" t="n">
        <f aca="false">AC126+AC127</f>
        <v>-38814.7946666667</v>
      </c>
      <c r="AD128" s="70" t="n">
        <f aca="false">AD126+AD127</f>
        <v>-38814.7946666667</v>
      </c>
      <c r="AE128" s="70" t="n">
        <f aca="false">AE126+AE127</f>
        <v>-38814.7946666667</v>
      </c>
      <c r="AF128" s="70" t="n">
        <f aca="false">AF126+AF127</f>
        <v>-38814.7946666667</v>
      </c>
      <c r="AG128" s="70" t="n">
        <f aca="false">AG126+AG127</f>
        <v>-38814.7946666667</v>
      </c>
      <c r="AH128" s="70" t="n">
        <f aca="false">AH126+AH127</f>
        <v>-38814.7946666667</v>
      </c>
      <c r="AI128" s="70" t="n">
        <f aca="false">AI126+AI127</f>
        <v>-38814.7946666667</v>
      </c>
      <c r="AJ128" s="70" t="n">
        <f aca="false">AJ126+AJ127</f>
        <v>-38814.7946666667</v>
      </c>
      <c r="AK128" s="70" t="n">
        <f aca="false">AK126+AK127</f>
        <v>-38814.7946666667</v>
      </c>
      <c r="AL128" s="70" t="n">
        <f aca="false">AL126+AL127</f>
        <v>-38814.7946666667</v>
      </c>
      <c r="AM128" s="70" t="n">
        <f aca="false">AM126+AM127</f>
        <v>-39979.2385066667</v>
      </c>
      <c r="AN128" s="70" t="n">
        <f aca="false">AN126+AN127</f>
        <v>-39979.2385066667</v>
      </c>
      <c r="AO128" s="70" t="n">
        <f aca="false">AO126+AO127</f>
        <v>-39979.2385066667</v>
      </c>
      <c r="AP128" s="70" t="n">
        <f aca="false">AP126+AP127</f>
        <v>-39979.2385066667</v>
      </c>
      <c r="AQ128" s="70" t="n">
        <f aca="false">AQ126+AQ127</f>
        <v>-39979.2385066667</v>
      </c>
      <c r="AR128" s="70" t="n">
        <f aca="false">AR126+AR127</f>
        <v>-39979.2385066667</v>
      </c>
      <c r="AS128" s="70" t="n">
        <f aca="false">AS126+AS127</f>
        <v>-39979.2385066667</v>
      </c>
      <c r="AT128" s="70" t="n">
        <f aca="false">AT126+AT127</f>
        <v>-39979.2385066667</v>
      </c>
      <c r="AU128" s="70" t="n">
        <f aca="false">AU126+AU127</f>
        <v>-39979.2385066667</v>
      </c>
      <c r="AV128" s="70" t="n">
        <f aca="false">AV126+AV127</f>
        <v>-39979.2385066667</v>
      </c>
      <c r="AW128" s="70" t="n">
        <f aca="false">AW126+AW127</f>
        <v>-39979.2385066667</v>
      </c>
      <c r="AX128" s="70" t="n">
        <f aca="false">AX126+AX127</f>
        <v>-39979.2385066667</v>
      </c>
      <c r="AY128" s="70" t="n">
        <f aca="false">AY126+AY127</f>
        <v>-41178.6156618667</v>
      </c>
      <c r="AZ128" s="70" t="n">
        <f aca="false">AZ126+AZ127</f>
        <v>-41178.6156618667</v>
      </c>
      <c r="BA128" s="70" t="n">
        <f aca="false">BA126+BA127</f>
        <v>-41178.6156618667</v>
      </c>
      <c r="BB128" s="70" t="n">
        <f aca="false">BB126+BB127</f>
        <v>-41178.6156618667</v>
      </c>
      <c r="BC128" s="70" t="n">
        <f aca="false">BC126+BC127</f>
        <v>-41178.6156618667</v>
      </c>
      <c r="BD128" s="70" t="n">
        <f aca="false">BD126+BD127</f>
        <v>-41178.6156618667</v>
      </c>
      <c r="BE128" s="70" t="n">
        <f aca="false">BE126+BE127</f>
        <v>-41178.6156618667</v>
      </c>
      <c r="BF128" s="70" t="n">
        <f aca="false">BF126+BF127</f>
        <v>-41178.6156618667</v>
      </c>
      <c r="BG128" s="70" t="n">
        <f aca="false">BG126+BG127</f>
        <v>-41178.6156618667</v>
      </c>
      <c r="BH128" s="70" t="n">
        <f aca="false">BH126+BH127</f>
        <v>-41178.6156618667</v>
      </c>
      <c r="BI128" s="70" t="n">
        <f aca="false">BI126+BI127</f>
        <v>-41178.6156618667</v>
      </c>
      <c r="BJ128" s="70" t="n">
        <f aca="false">BJ126+BJ127</f>
        <v>-41178.6156618667</v>
      </c>
    </row>
    <row r="131" customFormat="false" ht="15.75" hidden="false" customHeight="true" outlineLevel="0" collapsed="false">
      <c r="A131" s="7" t="s">
        <v>480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customFormat="false" ht="15" hidden="false" customHeight="false" outlineLevel="0" collapsed="false">
      <c r="A132" s="33" t="s">
        <v>353</v>
      </c>
      <c r="C132" s="52" t="s">
        <v>354</v>
      </c>
      <c r="D132" s="52" t="s">
        <v>355</v>
      </c>
      <c r="E132" s="52" t="s">
        <v>356</v>
      </c>
      <c r="F132" s="52" t="s">
        <v>357</v>
      </c>
      <c r="G132" s="52" t="s">
        <v>358</v>
      </c>
      <c r="H132" s="52" t="s">
        <v>359</v>
      </c>
      <c r="I132" s="52" t="s">
        <v>360</v>
      </c>
      <c r="J132" s="52" t="s">
        <v>361</v>
      </c>
      <c r="K132" s="52" t="s">
        <v>362</v>
      </c>
      <c r="L132" s="52" t="s">
        <v>363</v>
      </c>
      <c r="M132" s="52" t="s">
        <v>364</v>
      </c>
      <c r="N132" s="52" t="s">
        <v>365</v>
      </c>
      <c r="O132" s="52" t="s">
        <v>366</v>
      </c>
      <c r="P132" s="52" t="s">
        <v>367</v>
      </c>
      <c r="Q132" s="52" t="s">
        <v>368</v>
      </c>
      <c r="R132" s="52" t="s">
        <v>369</v>
      </c>
      <c r="S132" s="52" t="s">
        <v>370</v>
      </c>
      <c r="T132" s="52" t="s">
        <v>371</v>
      </c>
      <c r="U132" s="52" t="s">
        <v>372</v>
      </c>
      <c r="V132" s="52" t="s">
        <v>373</v>
      </c>
      <c r="W132" s="52" t="s">
        <v>374</v>
      </c>
      <c r="X132" s="52" t="s">
        <v>375</v>
      </c>
      <c r="Y132" s="52" t="s">
        <v>376</v>
      </c>
      <c r="Z132" s="52" t="s">
        <v>377</v>
      </c>
      <c r="AA132" s="52" t="s">
        <v>378</v>
      </c>
      <c r="AB132" s="52" t="s">
        <v>379</v>
      </c>
      <c r="AC132" s="52" t="s">
        <v>380</v>
      </c>
      <c r="AD132" s="52" t="s">
        <v>381</v>
      </c>
      <c r="AE132" s="52" t="s">
        <v>382</v>
      </c>
      <c r="AF132" s="52" t="s">
        <v>383</v>
      </c>
      <c r="AG132" s="52" t="s">
        <v>384</v>
      </c>
      <c r="AH132" s="52" t="s">
        <v>385</v>
      </c>
      <c r="AI132" s="52" t="s">
        <v>386</v>
      </c>
      <c r="AJ132" s="52" t="s">
        <v>387</v>
      </c>
      <c r="AK132" s="52" t="s">
        <v>388</v>
      </c>
      <c r="AL132" s="52" t="s">
        <v>389</v>
      </c>
      <c r="AM132" s="52" t="s">
        <v>390</v>
      </c>
      <c r="AN132" s="52" t="s">
        <v>391</v>
      </c>
      <c r="AO132" s="52" t="s">
        <v>392</v>
      </c>
      <c r="AP132" s="52" t="s">
        <v>393</v>
      </c>
      <c r="AQ132" s="52" t="s">
        <v>394</v>
      </c>
      <c r="AR132" s="52" t="s">
        <v>395</v>
      </c>
      <c r="AS132" s="52" t="s">
        <v>396</v>
      </c>
      <c r="AT132" s="52" t="s">
        <v>397</v>
      </c>
      <c r="AU132" s="52" t="s">
        <v>398</v>
      </c>
      <c r="AV132" s="52" t="s">
        <v>399</v>
      </c>
      <c r="AW132" s="52" t="s">
        <v>400</v>
      </c>
      <c r="AX132" s="52" t="s">
        <v>401</v>
      </c>
      <c r="AY132" s="52" t="s">
        <v>402</v>
      </c>
      <c r="AZ132" s="52" t="s">
        <v>403</v>
      </c>
      <c r="BA132" s="52" t="s">
        <v>404</v>
      </c>
      <c r="BB132" s="52" t="s">
        <v>405</v>
      </c>
      <c r="BC132" s="52" t="s">
        <v>406</v>
      </c>
      <c r="BD132" s="52" t="s">
        <v>407</v>
      </c>
      <c r="BE132" s="52" t="s">
        <v>408</v>
      </c>
      <c r="BF132" s="52" t="s">
        <v>409</v>
      </c>
      <c r="BG132" s="52" t="s">
        <v>410</v>
      </c>
      <c r="BH132" s="52" t="s">
        <v>411</v>
      </c>
      <c r="BI132" s="52" t="s">
        <v>412</v>
      </c>
      <c r="BJ132" s="52" t="s">
        <v>413</v>
      </c>
    </row>
    <row r="133" customFormat="false" ht="15" hidden="false" customHeight="false" outlineLevel="0" collapsed="false">
      <c r="A133" s="74" t="s">
        <v>414</v>
      </c>
      <c r="C133" s="74" t="n">
        <v>1</v>
      </c>
      <c r="D133" s="74" t="n">
        <v>2</v>
      </c>
      <c r="E133" s="74" t="n">
        <v>3</v>
      </c>
      <c r="F133" s="74" t="n">
        <v>4</v>
      </c>
      <c r="G133" s="74" t="n">
        <v>5</v>
      </c>
      <c r="H133" s="74" t="n">
        <v>6</v>
      </c>
      <c r="I133" s="74" t="n">
        <v>7</v>
      </c>
      <c r="J133" s="74" t="n">
        <v>8</v>
      </c>
      <c r="K133" s="74" t="n">
        <v>9</v>
      </c>
      <c r="L133" s="74" t="n">
        <v>10</v>
      </c>
      <c r="M133" s="74" t="n">
        <v>11</v>
      </c>
      <c r="N133" s="74" t="n">
        <v>12</v>
      </c>
      <c r="O133" s="74" t="n">
        <v>13</v>
      </c>
      <c r="P133" s="74" t="n">
        <v>14</v>
      </c>
      <c r="Q133" s="74" t="n">
        <v>15</v>
      </c>
      <c r="R133" s="74" t="n">
        <v>16</v>
      </c>
      <c r="S133" s="74" t="n">
        <v>17</v>
      </c>
      <c r="T133" s="74" t="n">
        <v>18</v>
      </c>
      <c r="U133" s="74" t="n">
        <v>19</v>
      </c>
      <c r="V133" s="74" t="n">
        <v>20</v>
      </c>
      <c r="W133" s="74" t="n">
        <v>21</v>
      </c>
      <c r="X133" s="74" t="n">
        <v>22</v>
      </c>
      <c r="Y133" s="74" t="n">
        <v>23</v>
      </c>
      <c r="Z133" s="74" t="n">
        <v>24</v>
      </c>
      <c r="AA133" s="74" t="n">
        <v>25</v>
      </c>
      <c r="AB133" s="74" t="n">
        <v>26</v>
      </c>
      <c r="AC133" s="74" t="n">
        <v>27</v>
      </c>
      <c r="AD133" s="74" t="n">
        <v>28</v>
      </c>
      <c r="AE133" s="74" t="n">
        <v>29</v>
      </c>
      <c r="AF133" s="74" t="n">
        <v>30</v>
      </c>
      <c r="AG133" s="74" t="n">
        <v>31</v>
      </c>
      <c r="AH133" s="74" t="n">
        <v>32</v>
      </c>
      <c r="AI133" s="74" t="n">
        <v>33</v>
      </c>
      <c r="AJ133" s="74" t="n">
        <v>34</v>
      </c>
      <c r="AK133" s="74" t="n">
        <v>35</v>
      </c>
      <c r="AL133" s="74" t="n">
        <v>36</v>
      </c>
      <c r="AM133" s="74" t="n">
        <v>37</v>
      </c>
      <c r="AN133" s="74" t="n">
        <v>38</v>
      </c>
      <c r="AO133" s="74" t="n">
        <v>39</v>
      </c>
      <c r="AP133" s="74" t="n">
        <v>40</v>
      </c>
      <c r="AQ133" s="74" t="n">
        <v>41</v>
      </c>
      <c r="AR133" s="74" t="n">
        <v>42</v>
      </c>
      <c r="AS133" s="74" t="n">
        <v>43</v>
      </c>
      <c r="AT133" s="74" t="n">
        <v>44</v>
      </c>
      <c r="AU133" s="74" t="n">
        <v>45</v>
      </c>
      <c r="AV133" s="74" t="n">
        <v>46</v>
      </c>
      <c r="AW133" s="74" t="n">
        <v>47</v>
      </c>
      <c r="AX133" s="74" t="n">
        <v>48</v>
      </c>
      <c r="AY133" s="74" t="n">
        <v>49</v>
      </c>
      <c r="AZ133" s="74" t="n">
        <v>50</v>
      </c>
      <c r="BA133" s="74" t="n">
        <v>51</v>
      </c>
      <c r="BB133" s="74" t="n">
        <v>52</v>
      </c>
      <c r="BC133" s="74" t="n">
        <v>53</v>
      </c>
      <c r="BD133" s="74" t="n">
        <v>54</v>
      </c>
      <c r="BE133" s="74" t="n">
        <v>55</v>
      </c>
      <c r="BF133" s="74" t="n">
        <v>56</v>
      </c>
      <c r="BG133" s="74" t="n">
        <v>57</v>
      </c>
      <c r="BH133" s="74" t="n">
        <v>58</v>
      </c>
      <c r="BI133" s="74" t="n">
        <v>59</v>
      </c>
      <c r="BJ133" s="74" t="n">
        <v>60</v>
      </c>
    </row>
    <row r="134" customFormat="false" ht="15" hidden="false" customHeight="false" outlineLevel="0" collapsed="false">
      <c r="A134" s="74" t="s">
        <v>155</v>
      </c>
      <c r="C134" s="74" t="n">
        <f aca="false">ROUNDUP(C133*1/12,0)</f>
        <v>1</v>
      </c>
      <c r="D134" s="74" t="n">
        <f aca="false">ROUNDUP(D133*1/12,0)</f>
        <v>1</v>
      </c>
      <c r="E134" s="74" t="n">
        <f aca="false">ROUNDUP(E133*1/12,0)</f>
        <v>1</v>
      </c>
      <c r="F134" s="74" t="n">
        <f aca="false">ROUNDUP(F133*1/12,0)</f>
        <v>1</v>
      </c>
      <c r="G134" s="74" t="n">
        <f aca="false">ROUNDUP(G133*1/12,0)</f>
        <v>1</v>
      </c>
      <c r="H134" s="74" t="n">
        <f aca="false">ROUNDUP(H133*1/12,0)</f>
        <v>1</v>
      </c>
      <c r="I134" s="74" t="n">
        <f aca="false">ROUNDUP(I133*1/12,0)</f>
        <v>1</v>
      </c>
      <c r="J134" s="74" t="n">
        <f aca="false">ROUNDUP(J133*1/12,0)</f>
        <v>1</v>
      </c>
      <c r="K134" s="74" t="n">
        <f aca="false">ROUNDUP(K133*1/12,0)</f>
        <v>1</v>
      </c>
      <c r="L134" s="74" t="n">
        <f aca="false">ROUNDUP(L133*1/12,0)</f>
        <v>1</v>
      </c>
      <c r="M134" s="74" t="n">
        <f aca="false">ROUNDUP(M133*1/12,0)</f>
        <v>1</v>
      </c>
      <c r="N134" s="74" t="n">
        <f aca="false">ROUNDUP(N133*1/12,0)</f>
        <v>1</v>
      </c>
      <c r="O134" s="74" t="n">
        <f aca="false">ROUNDUP(O133*1/12,0)</f>
        <v>2</v>
      </c>
      <c r="P134" s="74" t="n">
        <f aca="false">ROUNDUP(P133*1/12,0)</f>
        <v>2</v>
      </c>
      <c r="Q134" s="74" t="n">
        <f aca="false">ROUNDUP(Q133*1/12,0)</f>
        <v>2</v>
      </c>
      <c r="R134" s="74" t="n">
        <f aca="false">ROUNDUP(R133*1/12,0)</f>
        <v>2</v>
      </c>
      <c r="S134" s="74" t="n">
        <f aca="false">ROUNDUP(S133*1/12,0)</f>
        <v>2</v>
      </c>
      <c r="T134" s="74" t="n">
        <f aca="false">ROUNDUP(T133*1/12,0)</f>
        <v>2</v>
      </c>
      <c r="U134" s="74" t="n">
        <f aca="false">ROUNDUP(U133*1/12,0)</f>
        <v>2</v>
      </c>
      <c r="V134" s="74" t="n">
        <f aca="false">ROUNDUP(V133*1/12,0)</f>
        <v>2</v>
      </c>
      <c r="W134" s="74" t="n">
        <f aca="false">ROUNDUP(W133*1/12,0)</f>
        <v>2</v>
      </c>
      <c r="X134" s="74" t="n">
        <f aca="false">ROUNDUP(X133*1/12,0)</f>
        <v>2</v>
      </c>
      <c r="Y134" s="74" t="n">
        <f aca="false">ROUNDUP(Y133*1/12,0)</f>
        <v>2</v>
      </c>
      <c r="Z134" s="74" t="n">
        <f aca="false">ROUNDUP(Z133*1/12,0)</f>
        <v>2</v>
      </c>
      <c r="AA134" s="74" t="n">
        <f aca="false">ROUNDUP(AA133*1/12,0)</f>
        <v>3</v>
      </c>
      <c r="AB134" s="74" t="n">
        <f aca="false">ROUNDUP(AB133*1/12,0)</f>
        <v>3</v>
      </c>
      <c r="AC134" s="74" t="n">
        <f aca="false">ROUNDUP(AC133*1/12,0)</f>
        <v>3</v>
      </c>
      <c r="AD134" s="74" t="n">
        <f aca="false">ROUNDUP(AD133*1/12,0)</f>
        <v>3</v>
      </c>
      <c r="AE134" s="74" t="n">
        <f aca="false">ROUNDUP(AE133*1/12,0)</f>
        <v>3</v>
      </c>
      <c r="AF134" s="74" t="n">
        <f aca="false">ROUNDUP(AF133*1/12,0)</f>
        <v>3</v>
      </c>
      <c r="AG134" s="74" t="n">
        <f aca="false">ROUNDUP(AG133*1/12,0)</f>
        <v>3</v>
      </c>
      <c r="AH134" s="74" t="n">
        <f aca="false">ROUNDUP(AH133*1/12,0)</f>
        <v>3</v>
      </c>
      <c r="AI134" s="74" t="n">
        <f aca="false">ROUNDUP(AI133*1/12,0)</f>
        <v>3</v>
      </c>
      <c r="AJ134" s="74" t="n">
        <f aca="false">ROUNDUP(AJ133*1/12,0)</f>
        <v>3</v>
      </c>
      <c r="AK134" s="74" t="n">
        <f aca="false">ROUNDUP(AK133*1/12,0)</f>
        <v>3</v>
      </c>
      <c r="AL134" s="74" t="n">
        <f aca="false">ROUNDUP(AL133*1/12,0)</f>
        <v>3</v>
      </c>
      <c r="AM134" s="74" t="n">
        <f aca="false">ROUNDUP(AM133*1/12,0)</f>
        <v>4</v>
      </c>
      <c r="AN134" s="74" t="n">
        <f aca="false">ROUNDUP(AN133*1/12,0)</f>
        <v>4</v>
      </c>
      <c r="AO134" s="74" t="n">
        <f aca="false">ROUNDUP(AO133*1/12,0)</f>
        <v>4</v>
      </c>
      <c r="AP134" s="74" t="n">
        <f aca="false">ROUNDUP(AP133*1/12,0)</f>
        <v>4</v>
      </c>
      <c r="AQ134" s="74" t="n">
        <f aca="false">ROUNDUP(AQ133*1/12,0)</f>
        <v>4</v>
      </c>
      <c r="AR134" s="74" t="n">
        <f aca="false">ROUNDUP(AR133*1/12,0)</f>
        <v>4</v>
      </c>
      <c r="AS134" s="74" t="n">
        <f aca="false">ROUNDUP(AS133*1/12,0)</f>
        <v>4</v>
      </c>
      <c r="AT134" s="74" t="n">
        <f aca="false">ROUNDUP(AT133*1/12,0)</f>
        <v>4</v>
      </c>
      <c r="AU134" s="74" t="n">
        <f aca="false">ROUNDUP(AU133*1/12,0)</f>
        <v>4</v>
      </c>
      <c r="AV134" s="74" t="n">
        <f aca="false">ROUNDUP(AV133*1/12,0)</f>
        <v>4</v>
      </c>
      <c r="AW134" s="74" t="n">
        <f aca="false">ROUNDUP(AW133*1/12,0)</f>
        <v>4</v>
      </c>
      <c r="AX134" s="74" t="n">
        <f aca="false">ROUNDUP(AX133*1/12,0)</f>
        <v>4</v>
      </c>
      <c r="AY134" s="74" t="n">
        <f aca="false">ROUNDUP(AY133*1/12,0)</f>
        <v>5</v>
      </c>
      <c r="AZ134" s="74" t="n">
        <f aca="false">ROUNDUP(AZ133*1/12,0)</f>
        <v>5</v>
      </c>
      <c r="BA134" s="74" t="n">
        <f aca="false">ROUNDUP(BA133*1/12,0)</f>
        <v>5</v>
      </c>
      <c r="BB134" s="74" t="n">
        <f aca="false">ROUNDUP(BB133*1/12,0)</f>
        <v>5</v>
      </c>
      <c r="BC134" s="74" t="n">
        <f aca="false">ROUNDUP(BC133*1/12,0)</f>
        <v>5</v>
      </c>
      <c r="BD134" s="74" t="n">
        <f aca="false">ROUNDUP(BD133*1/12,0)</f>
        <v>5</v>
      </c>
      <c r="BE134" s="74" t="n">
        <f aca="false">ROUNDUP(BE133*1/12,0)</f>
        <v>5</v>
      </c>
      <c r="BF134" s="74" t="n">
        <f aca="false">ROUNDUP(BF133*1/12,0)</f>
        <v>5</v>
      </c>
      <c r="BG134" s="74" t="n">
        <f aca="false">ROUNDUP(BG133*1/12,0)</f>
        <v>5</v>
      </c>
      <c r="BH134" s="74" t="n">
        <f aca="false">ROUNDUP(BH133*1/12,0)</f>
        <v>5</v>
      </c>
      <c r="BI134" s="74" t="n">
        <f aca="false">ROUNDUP(BI133*1/12,0)</f>
        <v>5</v>
      </c>
      <c r="BJ134" s="74" t="n">
        <f aca="false">ROUNDUP(BJ133*1/12,0)</f>
        <v>5</v>
      </c>
    </row>
    <row r="136" customFormat="false" ht="15.75" hidden="false" customHeight="true" outlineLevel="0" collapsed="false">
      <c r="A136" s="7" t="s">
        <v>415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customFormat="false" ht="15" hidden="false" customHeight="false" outlineLevel="0" collapsed="false">
      <c r="A137" s="116" t="s">
        <v>416</v>
      </c>
      <c r="C137" s="117" t="n">
        <f aca="false">MAX(0,MIN(1,Inputs!$C$9-(C$133-1)*1))</f>
        <v>1</v>
      </c>
      <c r="D137" s="117" t="n">
        <f aca="false">MAX(0,MIN(1,Inputs!$C$9-(D$133-1)*1))</f>
        <v>1</v>
      </c>
      <c r="E137" s="117" t="n">
        <f aca="false">MAX(0,MIN(1,Inputs!$C$9-(E$133-1)*1))</f>
        <v>1</v>
      </c>
      <c r="F137" s="117" t="n">
        <f aca="false">MAX(0,MIN(1,Inputs!$C$9-(F$133-1)*1))</f>
        <v>1</v>
      </c>
      <c r="G137" s="117" t="n">
        <f aca="false">MAX(0,MIN(1,Inputs!$C$9-(G$133-1)*1))</f>
        <v>1</v>
      </c>
      <c r="H137" s="117" t="n">
        <f aca="false">MAX(0,MIN(1,Inputs!$C$9-(H$133-1)*1))</f>
        <v>1</v>
      </c>
      <c r="I137" s="117" t="n">
        <f aca="false">MAX(0,MIN(1,Inputs!$C$9-(I$133-1)*1))</f>
        <v>1</v>
      </c>
      <c r="J137" s="117" t="n">
        <f aca="false">MAX(0,MIN(1,Inputs!$C$9-(J$133-1)*1))</f>
        <v>1</v>
      </c>
      <c r="K137" s="117" t="n">
        <f aca="false">MAX(0,MIN(1,Inputs!$C$9-(K$133-1)*1))</f>
        <v>1</v>
      </c>
      <c r="L137" s="117" t="n">
        <f aca="false">MAX(0,MIN(1,Inputs!$C$9-(L$133-1)*1))</f>
        <v>0</v>
      </c>
      <c r="M137" s="117" t="n">
        <f aca="false">MAX(0,MIN(1,Inputs!$C$9-(M$133-1)*1))</f>
        <v>0</v>
      </c>
      <c r="N137" s="117" t="n">
        <f aca="false">MAX(0,MIN(1,Inputs!$C$9-(N$133-1)*1))</f>
        <v>0</v>
      </c>
      <c r="O137" s="117" t="n">
        <f aca="false">MAX(0,MIN(1,Inputs!$C$9-(O$133-1)*1))</f>
        <v>0</v>
      </c>
      <c r="P137" s="117" t="n">
        <f aca="false">MAX(0,MIN(1,Inputs!$C$9-(P$133-1)*1))</f>
        <v>0</v>
      </c>
      <c r="Q137" s="117" t="n">
        <f aca="false">MAX(0,MIN(1,Inputs!$C$9-(Q$133-1)*1))</f>
        <v>0</v>
      </c>
      <c r="R137" s="117" t="n">
        <f aca="false">MAX(0,MIN(1,Inputs!$C$9-(R$133-1)*1))</f>
        <v>0</v>
      </c>
      <c r="S137" s="117" t="n">
        <f aca="false">MAX(0,MIN(1,Inputs!$C$9-(S$133-1)*1))</f>
        <v>0</v>
      </c>
      <c r="T137" s="117" t="n">
        <f aca="false">MAX(0,MIN(1,Inputs!$C$9-(T$133-1)*1))</f>
        <v>0</v>
      </c>
      <c r="U137" s="117" t="n">
        <f aca="false">MAX(0,MIN(1,Inputs!$C$9-(U$133-1)*1))</f>
        <v>0</v>
      </c>
      <c r="V137" s="117" t="n">
        <f aca="false">MAX(0,MIN(1,Inputs!$C$9-(V$133-1)*1))</f>
        <v>0</v>
      </c>
      <c r="W137" s="117" t="n">
        <f aca="false">MAX(0,MIN(1,Inputs!$C$9-(W$133-1)*1))</f>
        <v>0</v>
      </c>
      <c r="X137" s="117" t="n">
        <f aca="false">MAX(0,MIN(1,Inputs!$C$9-(X$133-1)*1))</f>
        <v>0</v>
      </c>
      <c r="Y137" s="117" t="n">
        <f aca="false">MAX(0,MIN(1,Inputs!$C$9-(Y$133-1)*1))</f>
        <v>0</v>
      </c>
      <c r="Z137" s="117" t="n">
        <f aca="false">MAX(0,MIN(1,Inputs!$C$9-(Z$133-1)*1))</f>
        <v>0</v>
      </c>
      <c r="AA137" s="117" t="n">
        <f aca="false">MAX(0,MIN(1,Inputs!$C$9-(AA$133-1)*1))</f>
        <v>0</v>
      </c>
      <c r="AB137" s="117" t="n">
        <f aca="false">MAX(0,MIN(1,Inputs!$C$9-(AB$133-1)*1))</f>
        <v>0</v>
      </c>
      <c r="AC137" s="117" t="n">
        <f aca="false">MAX(0,MIN(1,Inputs!$C$9-(AC$133-1)*1))</f>
        <v>0</v>
      </c>
      <c r="AD137" s="117" t="n">
        <f aca="false">MAX(0,MIN(1,Inputs!$C$9-(AD$133-1)*1))</f>
        <v>0</v>
      </c>
      <c r="AE137" s="117" t="n">
        <f aca="false">MAX(0,MIN(1,Inputs!$C$9-(AE$133-1)*1))</f>
        <v>0</v>
      </c>
      <c r="AF137" s="117" t="n">
        <f aca="false">MAX(0,MIN(1,Inputs!$C$9-(AF$133-1)*1))</f>
        <v>0</v>
      </c>
      <c r="AG137" s="117" t="n">
        <f aca="false">MAX(0,MIN(1,Inputs!$C$9-(AG$133-1)*1))</f>
        <v>0</v>
      </c>
      <c r="AH137" s="117" t="n">
        <f aca="false">MAX(0,MIN(1,Inputs!$C$9-(AH$133-1)*1))</f>
        <v>0</v>
      </c>
      <c r="AI137" s="117" t="n">
        <f aca="false">MAX(0,MIN(1,Inputs!$C$9-(AI$133-1)*1))</f>
        <v>0</v>
      </c>
      <c r="AJ137" s="117" t="n">
        <f aca="false">MAX(0,MIN(1,Inputs!$C$9-(AJ$133-1)*1))</f>
        <v>0</v>
      </c>
      <c r="AK137" s="117" t="n">
        <f aca="false">MAX(0,MIN(1,Inputs!$C$9-(AK$133-1)*1))</f>
        <v>0</v>
      </c>
      <c r="AL137" s="117" t="n">
        <f aca="false">MAX(0,MIN(1,Inputs!$C$9-(AL$133-1)*1))</f>
        <v>0</v>
      </c>
      <c r="AM137" s="117" t="n">
        <f aca="false">MAX(0,MIN(1,Inputs!$C$9-(AM$133-1)*1))</f>
        <v>0</v>
      </c>
      <c r="AN137" s="117" t="n">
        <f aca="false">MAX(0,MIN(1,Inputs!$C$9-(AN$133-1)*1))</f>
        <v>0</v>
      </c>
      <c r="AO137" s="117" t="n">
        <f aca="false">MAX(0,MIN(1,Inputs!$C$9-(AO$133-1)*1))</f>
        <v>0</v>
      </c>
      <c r="AP137" s="117" t="n">
        <f aca="false">MAX(0,MIN(1,Inputs!$C$9-(AP$133-1)*1))</f>
        <v>0</v>
      </c>
      <c r="AQ137" s="117" t="n">
        <f aca="false">MAX(0,MIN(1,Inputs!$C$9-(AQ$133-1)*1))</f>
        <v>0</v>
      </c>
      <c r="AR137" s="117" t="n">
        <f aca="false">MAX(0,MIN(1,Inputs!$C$9-(AR$133-1)*1))</f>
        <v>0</v>
      </c>
      <c r="AS137" s="117" t="n">
        <f aca="false">MAX(0,MIN(1,Inputs!$C$9-(AS$133-1)*1))</f>
        <v>0</v>
      </c>
      <c r="AT137" s="117" t="n">
        <f aca="false">MAX(0,MIN(1,Inputs!$C$9-(AT$133-1)*1))</f>
        <v>0</v>
      </c>
      <c r="AU137" s="117" t="n">
        <f aca="false">MAX(0,MIN(1,Inputs!$C$9-(AU$133-1)*1))</f>
        <v>0</v>
      </c>
      <c r="AV137" s="117" t="n">
        <f aca="false">MAX(0,MIN(1,Inputs!$C$9-(AV$133-1)*1))</f>
        <v>0</v>
      </c>
      <c r="AW137" s="117" t="n">
        <f aca="false">MAX(0,MIN(1,Inputs!$C$9-(AW$133-1)*1))</f>
        <v>0</v>
      </c>
      <c r="AX137" s="117" t="n">
        <f aca="false">MAX(0,MIN(1,Inputs!$C$9-(AX$133-1)*1))</f>
        <v>0</v>
      </c>
      <c r="AY137" s="117" t="n">
        <f aca="false">MAX(0,MIN(1,Inputs!$C$9-(AY$133-1)*1))</f>
        <v>0</v>
      </c>
      <c r="AZ137" s="117" t="n">
        <f aca="false">MAX(0,MIN(1,Inputs!$C$9-(AZ$133-1)*1))</f>
        <v>0</v>
      </c>
      <c r="BA137" s="117" t="n">
        <f aca="false">MAX(0,MIN(1,Inputs!$C$9-(BA$133-1)*1))</f>
        <v>0</v>
      </c>
      <c r="BB137" s="117" t="n">
        <f aca="false">MAX(0,MIN(1,Inputs!$C$9-(BB$133-1)*1))</f>
        <v>0</v>
      </c>
      <c r="BC137" s="117" t="n">
        <f aca="false">MAX(0,MIN(1,Inputs!$C$9-(BC$133-1)*1))</f>
        <v>0</v>
      </c>
      <c r="BD137" s="117" t="n">
        <f aca="false">MAX(0,MIN(1,Inputs!$C$9-(BD$133-1)*1))</f>
        <v>0</v>
      </c>
      <c r="BE137" s="117" t="n">
        <f aca="false">MAX(0,MIN(1,Inputs!$C$9-(BE$133-1)*1))</f>
        <v>0</v>
      </c>
      <c r="BF137" s="117" t="n">
        <f aca="false">MAX(0,MIN(1,Inputs!$C$9-(BF$133-1)*1))</f>
        <v>0</v>
      </c>
      <c r="BG137" s="117" t="n">
        <f aca="false">MAX(0,MIN(1,Inputs!$C$9-(BG$133-1)*1))</f>
        <v>0</v>
      </c>
      <c r="BH137" s="117" t="n">
        <f aca="false">MAX(0,MIN(1,Inputs!$C$9-(BH$133-1)*1))</f>
        <v>0</v>
      </c>
      <c r="BI137" s="117" t="n">
        <f aca="false">MAX(0,MIN(1,Inputs!$C$9-(BI$133-1)*1))</f>
        <v>0</v>
      </c>
      <c r="BJ137" s="117" t="n">
        <f aca="false">MAX(0,MIN(1,Inputs!$C$9-(BJ$133-1)*1))</f>
        <v>0</v>
      </c>
    </row>
    <row r="138" customFormat="false" ht="15" hidden="false" customHeight="false" outlineLevel="0" collapsed="false">
      <c r="A138" s="38" t="s">
        <v>417</v>
      </c>
      <c r="C138" s="76" t="n">
        <f aca="false">IF(Inputs!$C$9&lt;=0,1,(C137*Inputs!$C$10+(1-Inputs!$C$10)/MAX(1,Inputs!$C$9)*(C137*(C$133-1)*1+C137*(C137-1)/2)+1-C137)/1)</f>
        <v>0.45</v>
      </c>
      <c r="D138" s="76" t="n">
        <f aca="false">IF(Inputs!$C$9&lt;=0,1,(D137*Inputs!$C$10+(1-Inputs!$C$10)/MAX(1,Inputs!$C$9)*(D137*(D$133-1)*1+D137*(D137-1)/2)+1-D137)/1)</f>
        <v>0.511111111111111</v>
      </c>
      <c r="E138" s="76" t="n">
        <f aca="false">IF(Inputs!$C$9&lt;=0,1,(E137*Inputs!$C$10+(1-Inputs!$C$10)/MAX(1,Inputs!$C$9)*(E137*(E$133-1)*1+E137*(E137-1)/2)+1-E137)/1)</f>
        <v>0.572222222222222</v>
      </c>
      <c r="F138" s="76" t="n">
        <f aca="false">IF(Inputs!$C$9&lt;=0,1,(F137*Inputs!$C$10+(1-Inputs!$C$10)/MAX(1,Inputs!$C$9)*(F137*(F$133-1)*1+F137*(F137-1)/2)+1-F137)/1)</f>
        <v>0.633333333333333</v>
      </c>
      <c r="G138" s="76" t="n">
        <f aca="false">IF(Inputs!$C$9&lt;=0,1,(G137*Inputs!$C$10+(1-Inputs!$C$10)/MAX(1,Inputs!$C$9)*(G137*(G$133-1)*1+G137*(G137-1)/2)+1-G137)/1)</f>
        <v>0.694444444444444</v>
      </c>
      <c r="H138" s="76" t="n">
        <f aca="false">IF(Inputs!$C$9&lt;=0,1,(H137*Inputs!$C$10+(1-Inputs!$C$10)/MAX(1,Inputs!$C$9)*(H137*(H$133-1)*1+H137*(H137-1)/2)+1-H137)/1)</f>
        <v>0.755555555555556</v>
      </c>
      <c r="I138" s="76" t="n">
        <f aca="false">IF(Inputs!$C$9&lt;=0,1,(I137*Inputs!$C$10+(1-Inputs!$C$10)/MAX(1,Inputs!$C$9)*(I137*(I$133-1)*1+I137*(I137-1)/2)+1-I137)/1)</f>
        <v>0.816666666666667</v>
      </c>
      <c r="J138" s="76" t="n">
        <f aca="false">IF(Inputs!$C$9&lt;=0,1,(J137*Inputs!$C$10+(1-Inputs!$C$10)/MAX(1,Inputs!$C$9)*(J137*(J$133-1)*1+J137*(J137-1)/2)+1-J137)/1)</f>
        <v>0.877777777777778</v>
      </c>
      <c r="K138" s="76" t="n">
        <f aca="false">IF(Inputs!$C$9&lt;=0,1,(K137*Inputs!$C$10+(1-Inputs!$C$10)/MAX(1,Inputs!$C$9)*(K137*(K$133-1)*1+K137*(K137-1)/2)+1-K137)/1)</f>
        <v>0.938888888888889</v>
      </c>
      <c r="L138" s="76" t="n">
        <f aca="false">IF(Inputs!$C$9&lt;=0,1,(L137*Inputs!$C$10+(1-Inputs!$C$10)/MAX(1,Inputs!$C$9)*(L137*(L$133-1)*1+L137*(L137-1)/2)+1-L137)/1)</f>
        <v>1</v>
      </c>
      <c r="M138" s="76" t="n">
        <f aca="false">IF(Inputs!$C$9&lt;=0,1,(M137*Inputs!$C$10+(1-Inputs!$C$10)/MAX(1,Inputs!$C$9)*(M137*(M$133-1)*1+M137*(M137-1)/2)+1-M137)/1)</f>
        <v>1</v>
      </c>
      <c r="N138" s="76" t="n">
        <f aca="false">IF(Inputs!$C$9&lt;=0,1,(N137*Inputs!$C$10+(1-Inputs!$C$10)/MAX(1,Inputs!$C$9)*(N137*(N$133-1)*1+N137*(N137-1)/2)+1-N137)/1)</f>
        <v>1</v>
      </c>
      <c r="O138" s="76" t="n">
        <f aca="false">IF(Inputs!$C$9&lt;=0,1,(O137*Inputs!$C$10+(1-Inputs!$C$10)/MAX(1,Inputs!$C$9)*(O137*(O$133-1)*1+O137*(O137-1)/2)+1-O137)/1)</f>
        <v>1</v>
      </c>
      <c r="P138" s="76" t="n">
        <f aca="false">IF(Inputs!$C$9&lt;=0,1,(P137*Inputs!$C$10+(1-Inputs!$C$10)/MAX(1,Inputs!$C$9)*(P137*(P$133-1)*1+P137*(P137-1)/2)+1-P137)/1)</f>
        <v>1</v>
      </c>
      <c r="Q138" s="76" t="n">
        <f aca="false">IF(Inputs!$C$9&lt;=0,1,(Q137*Inputs!$C$10+(1-Inputs!$C$10)/MAX(1,Inputs!$C$9)*(Q137*(Q$133-1)*1+Q137*(Q137-1)/2)+1-Q137)/1)</f>
        <v>1</v>
      </c>
      <c r="R138" s="76" t="n">
        <f aca="false">IF(Inputs!$C$9&lt;=0,1,(R137*Inputs!$C$10+(1-Inputs!$C$10)/MAX(1,Inputs!$C$9)*(R137*(R$133-1)*1+R137*(R137-1)/2)+1-R137)/1)</f>
        <v>1</v>
      </c>
      <c r="S138" s="76" t="n">
        <f aca="false">IF(Inputs!$C$9&lt;=0,1,(S137*Inputs!$C$10+(1-Inputs!$C$10)/MAX(1,Inputs!$C$9)*(S137*(S$133-1)*1+S137*(S137-1)/2)+1-S137)/1)</f>
        <v>1</v>
      </c>
      <c r="T138" s="76" t="n">
        <f aca="false">IF(Inputs!$C$9&lt;=0,1,(T137*Inputs!$C$10+(1-Inputs!$C$10)/MAX(1,Inputs!$C$9)*(T137*(T$133-1)*1+T137*(T137-1)/2)+1-T137)/1)</f>
        <v>1</v>
      </c>
      <c r="U138" s="76" t="n">
        <f aca="false">IF(Inputs!$C$9&lt;=0,1,(U137*Inputs!$C$10+(1-Inputs!$C$10)/MAX(1,Inputs!$C$9)*(U137*(U$133-1)*1+U137*(U137-1)/2)+1-U137)/1)</f>
        <v>1</v>
      </c>
      <c r="V138" s="76" t="n">
        <f aca="false">IF(Inputs!$C$9&lt;=0,1,(V137*Inputs!$C$10+(1-Inputs!$C$10)/MAX(1,Inputs!$C$9)*(V137*(V$133-1)*1+V137*(V137-1)/2)+1-V137)/1)</f>
        <v>1</v>
      </c>
      <c r="W138" s="76" t="n">
        <f aca="false">IF(Inputs!$C$9&lt;=0,1,(W137*Inputs!$C$10+(1-Inputs!$C$10)/MAX(1,Inputs!$C$9)*(W137*(W$133-1)*1+W137*(W137-1)/2)+1-W137)/1)</f>
        <v>1</v>
      </c>
      <c r="X138" s="76" t="n">
        <f aca="false">IF(Inputs!$C$9&lt;=0,1,(X137*Inputs!$C$10+(1-Inputs!$C$10)/MAX(1,Inputs!$C$9)*(X137*(X$133-1)*1+X137*(X137-1)/2)+1-X137)/1)</f>
        <v>1</v>
      </c>
      <c r="Y138" s="76" t="n">
        <f aca="false">IF(Inputs!$C$9&lt;=0,1,(Y137*Inputs!$C$10+(1-Inputs!$C$10)/MAX(1,Inputs!$C$9)*(Y137*(Y$133-1)*1+Y137*(Y137-1)/2)+1-Y137)/1)</f>
        <v>1</v>
      </c>
      <c r="Z138" s="76" t="n">
        <f aca="false">IF(Inputs!$C$9&lt;=0,1,(Z137*Inputs!$C$10+(1-Inputs!$C$10)/MAX(1,Inputs!$C$9)*(Z137*(Z$133-1)*1+Z137*(Z137-1)/2)+1-Z137)/1)</f>
        <v>1</v>
      </c>
      <c r="AA138" s="76" t="n">
        <f aca="false">IF(Inputs!$C$9&lt;=0,1,(AA137*Inputs!$C$10+(1-Inputs!$C$10)/MAX(1,Inputs!$C$9)*(AA137*(AA$133-1)*1+AA137*(AA137-1)/2)+1-AA137)/1)</f>
        <v>1</v>
      </c>
      <c r="AB138" s="76" t="n">
        <f aca="false">IF(Inputs!$C$9&lt;=0,1,(AB137*Inputs!$C$10+(1-Inputs!$C$10)/MAX(1,Inputs!$C$9)*(AB137*(AB$133-1)*1+AB137*(AB137-1)/2)+1-AB137)/1)</f>
        <v>1</v>
      </c>
      <c r="AC138" s="76" t="n">
        <f aca="false">IF(Inputs!$C$9&lt;=0,1,(AC137*Inputs!$C$10+(1-Inputs!$C$10)/MAX(1,Inputs!$C$9)*(AC137*(AC$133-1)*1+AC137*(AC137-1)/2)+1-AC137)/1)</f>
        <v>1</v>
      </c>
      <c r="AD138" s="76" t="n">
        <f aca="false">IF(Inputs!$C$9&lt;=0,1,(AD137*Inputs!$C$10+(1-Inputs!$C$10)/MAX(1,Inputs!$C$9)*(AD137*(AD$133-1)*1+AD137*(AD137-1)/2)+1-AD137)/1)</f>
        <v>1</v>
      </c>
      <c r="AE138" s="76" t="n">
        <f aca="false">IF(Inputs!$C$9&lt;=0,1,(AE137*Inputs!$C$10+(1-Inputs!$C$10)/MAX(1,Inputs!$C$9)*(AE137*(AE$133-1)*1+AE137*(AE137-1)/2)+1-AE137)/1)</f>
        <v>1</v>
      </c>
      <c r="AF138" s="76" t="n">
        <f aca="false">IF(Inputs!$C$9&lt;=0,1,(AF137*Inputs!$C$10+(1-Inputs!$C$10)/MAX(1,Inputs!$C$9)*(AF137*(AF$133-1)*1+AF137*(AF137-1)/2)+1-AF137)/1)</f>
        <v>1</v>
      </c>
      <c r="AG138" s="76" t="n">
        <f aca="false">IF(Inputs!$C$9&lt;=0,1,(AG137*Inputs!$C$10+(1-Inputs!$C$10)/MAX(1,Inputs!$C$9)*(AG137*(AG$133-1)*1+AG137*(AG137-1)/2)+1-AG137)/1)</f>
        <v>1</v>
      </c>
      <c r="AH138" s="76" t="n">
        <f aca="false">IF(Inputs!$C$9&lt;=0,1,(AH137*Inputs!$C$10+(1-Inputs!$C$10)/MAX(1,Inputs!$C$9)*(AH137*(AH$133-1)*1+AH137*(AH137-1)/2)+1-AH137)/1)</f>
        <v>1</v>
      </c>
      <c r="AI138" s="76" t="n">
        <f aca="false">IF(Inputs!$C$9&lt;=0,1,(AI137*Inputs!$C$10+(1-Inputs!$C$10)/MAX(1,Inputs!$C$9)*(AI137*(AI$133-1)*1+AI137*(AI137-1)/2)+1-AI137)/1)</f>
        <v>1</v>
      </c>
      <c r="AJ138" s="76" t="n">
        <f aca="false">IF(Inputs!$C$9&lt;=0,1,(AJ137*Inputs!$C$10+(1-Inputs!$C$10)/MAX(1,Inputs!$C$9)*(AJ137*(AJ$133-1)*1+AJ137*(AJ137-1)/2)+1-AJ137)/1)</f>
        <v>1</v>
      </c>
      <c r="AK138" s="76" t="n">
        <f aca="false">IF(Inputs!$C$9&lt;=0,1,(AK137*Inputs!$C$10+(1-Inputs!$C$10)/MAX(1,Inputs!$C$9)*(AK137*(AK$133-1)*1+AK137*(AK137-1)/2)+1-AK137)/1)</f>
        <v>1</v>
      </c>
      <c r="AL138" s="76" t="n">
        <f aca="false">IF(Inputs!$C$9&lt;=0,1,(AL137*Inputs!$C$10+(1-Inputs!$C$10)/MAX(1,Inputs!$C$9)*(AL137*(AL$133-1)*1+AL137*(AL137-1)/2)+1-AL137)/1)</f>
        <v>1</v>
      </c>
      <c r="AM138" s="76" t="n">
        <f aca="false">IF(Inputs!$C$9&lt;=0,1,(AM137*Inputs!$C$10+(1-Inputs!$C$10)/MAX(1,Inputs!$C$9)*(AM137*(AM$133-1)*1+AM137*(AM137-1)/2)+1-AM137)/1)</f>
        <v>1</v>
      </c>
      <c r="AN138" s="76" t="n">
        <f aca="false">IF(Inputs!$C$9&lt;=0,1,(AN137*Inputs!$C$10+(1-Inputs!$C$10)/MAX(1,Inputs!$C$9)*(AN137*(AN$133-1)*1+AN137*(AN137-1)/2)+1-AN137)/1)</f>
        <v>1</v>
      </c>
      <c r="AO138" s="76" t="n">
        <f aca="false">IF(Inputs!$C$9&lt;=0,1,(AO137*Inputs!$C$10+(1-Inputs!$C$10)/MAX(1,Inputs!$C$9)*(AO137*(AO$133-1)*1+AO137*(AO137-1)/2)+1-AO137)/1)</f>
        <v>1</v>
      </c>
      <c r="AP138" s="76" t="n">
        <f aca="false">IF(Inputs!$C$9&lt;=0,1,(AP137*Inputs!$C$10+(1-Inputs!$C$10)/MAX(1,Inputs!$C$9)*(AP137*(AP$133-1)*1+AP137*(AP137-1)/2)+1-AP137)/1)</f>
        <v>1</v>
      </c>
      <c r="AQ138" s="76" t="n">
        <f aca="false">IF(Inputs!$C$9&lt;=0,1,(AQ137*Inputs!$C$10+(1-Inputs!$C$10)/MAX(1,Inputs!$C$9)*(AQ137*(AQ$133-1)*1+AQ137*(AQ137-1)/2)+1-AQ137)/1)</f>
        <v>1</v>
      </c>
      <c r="AR138" s="76" t="n">
        <f aca="false">IF(Inputs!$C$9&lt;=0,1,(AR137*Inputs!$C$10+(1-Inputs!$C$10)/MAX(1,Inputs!$C$9)*(AR137*(AR$133-1)*1+AR137*(AR137-1)/2)+1-AR137)/1)</f>
        <v>1</v>
      </c>
      <c r="AS138" s="76" t="n">
        <f aca="false">IF(Inputs!$C$9&lt;=0,1,(AS137*Inputs!$C$10+(1-Inputs!$C$10)/MAX(1,Inputs!$C$9)*(AS137*(AS$133-1)*1+AS137*(AS137-1)/2)+1-AS137)/1)</f>
        <v>1</v>
      </c>
      <c r="AT138" s="76" t="n">
        <f aca="false">IF(Inputs!$C$9&lt;=0,1,(AT137*Inputs!$C$10+(1-Inputs!$C$10)/MAX(1,Inputs!$C$9)*(AT137*(AT$133-1)*1+AT137*(AT137-1)/2)+1-AT137)/1)</f>
        <v>1</v>
      </c>
      <c r="AU138" s="76" t="n">
        <f aca="false">IF(Inputs!$C$9&lt;=0,1,(AU137*Inputs!$C$10+(1-Inputs!$C$10)/MAX(1,Inputs!$C$9)*(AU137*(AU$133-1)*1+AU137*(AU137-1)/2)+1-AU137)/1)</f>
        <v>1</v>
      </c>
      <c r="AV138" s="76" t="n">
        <f aca="false">IF(Inputs!$C$9&lt;=0,1,(AV137*Inputs!$C$10+(1-Inputs!$C$10)/MAX(1,Inputs!$C$9)*(AV137*(AV$133-1)*1+AV137*(AV137-1)/2)+1-AV137)/1)</f>
        <v>1</v>
      </c>
      <c r="AW138" s="76" t="n">
        <f aca="false">IF(Inputs!$C$9&lt;=0,1,(AW137*Inputs!$C$10+(1-Inputs!$C$10)/MAX(1,Inputs!$C$9)*(AW137*(AW$133-1)*1+AW137*(AW137-1)/2)+1-AW137)/1)</f>
        <v>1</v>
      </c>
      <c r="AX138" s="76" t="n">
        <f aca="false">IF(Inputs!$C$9&lt;=0,1,(AX137*Inputs!$C$10+(1-Inputs!$C$10)/MAX(1,Inputs!$C$9)*(AX137*(AX$133-1)*1+AX137*(AX137-1)/2)+1-AX137)/1)</f>
        <v>1</v>
      </c>
      <c r="AY138" s="76" t="n">
        <f aca="false">IF(Inputs!$C$9&lt;=0,1,(AY137*Inputs!$C$10+(1-Inputs!$C$10)/MAX(1,Inputs!$C$9)*(AY137*(AY$133-1)*1+AY137*(AY137-1)/2)+1-AY137)/1)</f>
        <v>1</v>
      </c>
      <c r="AZ138" s="76" t="n">
        <f aca="false">IF(Inputs!$C$9&lt;=0,1,(AZ137*Inputs!$C$10+(1-Inputs!$C$10)/MAX(1,Inputs!$C$9)*(AZ137*(AZ$133-1)*1+AZ137*(AZ137-1)/2)+1-AZ137)/1)</f>
        <v>1</v>
      </c>
      <c r="BA138" s="76" t="n">
        <f aca="false">IF(Inputs!$C$9&lt;=0,1,(BA137*Inputs!$C$10+(1-Inputs!$C$10)/MAX(1,Inputs!$C$9)*(BA137*(BA$133-1)*1+BA137*(BA137-1)/2)+1-BA137)/1)</f>
        <v>1</v>
      </c>
      <c r="BB138" s="76" t="n">
        <f aca="false">IF(Inputs!$C$9&lt;=0,1,(BB137*Inputs!$C$10+(1-Inputs!$C$10)/MAX(1,Inputs!$C$9)*(BB137*(BB$133-1)*1+BB137*(BB137-1)/2)+1-BB137)/1)</f>
        <v>1</v>
      </c>
      <c r="BC138" s="76" t="n">
        <f aca="false">IF(Inputs!$C$9&lt;=0,1,(BC137*Inputs!$C$10+(1-Inputs!$C$10)/MAX(1,Inputs!$C$9)*(BC137*(BC$133-1)*1+BC137*(BC137-1)/2)+1-BC137)/1)</f>
        <v>1</v>
      </c>
      <c r="BD138" s="76" t="n">
        <f aca="false">IF(Inputs!$C$9&lt;=0,1,(BD137*Inputs!$C$10+(1-Inputs!$C$10)/MAX(1,Inputs!$C$9)*(BD137*(BD$133-1)*1+BD137*(BD137-1)/2)+1-BD137)/1)</f>
        <v>1</v>
      </c>
      <c r="BE138" s="76" t="n">
        <f aca="false">IF(Inputs!$C$9&lt;=0,1,(BE137*Inputs!$C$10+(1-Inputs!$C$10)/MAX(1,Inputs!$C$9)*(BE137*(BE$133-1)*1+BE137*(BE137-1)/2)+1-BE137)/1)</f>
        <v>1</v>
      </c>
      <c r="BF138" s="76" t="n">
        <f aca="false">IF(Inputs!$C$9&lt;=0,1,(BF137*Inputs!$C$10+(1-Inputs!$C$10)/MAX(1,Inputs!$C$9)*(BF137*(BF$133-1)*1+BF137*(BF137-1)/2)+1-BF137)/1)</f>
        <v>1</v>
      </c>
      <c r="BG138" s="76" t="n">
        <f aca="false">IF(Inputs!$C$9&lt;=0,1,(BG137*Inputs!$C$10+(1-Inputs!$C$10)/MAX(1,Inputs!$C$9)*(BG137*(BG$133-1)*1+BG137*(BG137-1)/2)+1-BG137)/1)</f>
        <v>1</v>
      </c>
      <c r="BH138" s="76" t="n">
        <f aca="false">IF(Inputs!$C$9&lt;=0,1,(BH137*Inputs!$C$10+(1-Inputs!$C$10)/MAX(1,Inputs!$C$9)*(BH137*(BH$133-1)*1+BH137*(BH137-1)/2)+1-BH137)/1)</f>
        <v>1</v>
      </c>
      <c r="BI138" s="76" t="n">
        <f aca="false">IF(Inputs!$C$9&lt;=0,1,(BI137*Inputs!$C$10+(1-Inputs!$C$10)/MAX(1,Inputs!$C$9)*(BI137*(BI$133-1)*1+BI137*(BI137-1)/2)+1-BI137)/1)</f>
        <v>1</v>
      </c>
      <c r="BJ138" s="76" t="n">
        <f aca="false">IF(Inputs!$C$9&lt;=0,1,(BJ137*Inputs!$C$10+(1-Inputs!$C$10)/MAX(1,Inputs!$C$9)*(BJ137*(BJ$133-1)*1+BJ137*(BJ137-1)/2)+1-BJ137)/1)</f>
        <v>1</v>
      </c>
    </row>
    <row r="139" customFormat="false" ht="15" hidden="false" customHeight="false" outlineLevel="0" collapsed="false">
      <c r="A139" s="6" t="s">
        <v>418</v>
      </c>
      <c r="C139" s="79" t="n">
        <f aca="false">IF(OR(MOD(C$133-1,12)&gt;=11,MOD(C$133-1,12)&lt;=1),1-Inputs!$C$11,1+Inputs!$C$11/3)</f>
        <v>0.85</v>
      </c>
      <c r="D139" s="79" t="n">
        <f aca="false">IF(OR(MOD(D$133-1,12)&gt;=11,MOD(D$133-1,12)&lt;=1),1-Inputs!$C$11,1+Inputs!$C$11/3)</f>
        <v>0.85</v>
      </c>
      <c r="E139" s="79" t="n">
        <f aca="false">IF(OR(MOD(E$133-1,12)&gt;=11,MOD(E$133-1,12)&lt;=1),1-Inputs!$C$11,1+Inputs!$C$11/3)</f>
        <v>1.05</v>
      </c>
      <c r="F139" s="79" t="n">
        <f aca="false">IF(OR(MOD(F$133-1,12)&gt;=11,MOD(F$133-1,12)&lt;=1),1-Inputs!$C$11,1+Inputs!$C$11/3)</f>
        <v>1.05</v>
      </c>
      <c r="G139" s="79" t="n">
        <f aca="false">IF(OR(MOD(G$133-1,12)&gt;=11,MOD(G$133-1,12)&lt;=1),1-Inputs!$C$11,1+Inputs!$C$11/3)</f>
        <v>1.05</v>
      </c>
      <c r="H139" s="79" t="n">
        <f aca="false">IF(OR(MOD(H$133-1,12)&gt;=11,MOD(H$133-1,12)&lt;=1),1-Inputs!$C$11,1+Inputs!$C$11/3)</f>
        <v>1.05</v>
      </c>
      <c r="I139" s="79" t="n">
        <f aca="false">IF(OR(MOD(I$133-1,12)&gt;=11,MOD(I$133-1,12)&lt;=1),1-Inputs!$C$11,1+Inputs!$C$11/3)</f>
        <v>1.05</v>
      </c>
      <c r="J139" s="79" t="n">
        <f aca="false">IF(OR(MOD(J$133-1,12)&gt;=11,MOD(J$133-1,12)&lt;=1),1-Inputs!$C$11,1+Inputs!$C$11/3)</f>
        <v>1.05</v>
      </c>
      <c r="K139" s="79" t="n">
        <f aca="false">IF(OR(MOD(K$133-1,12)&gt;=11,MOD(K$133-1,12)&lt;=1),1-Inputs!$C$11,1+Inputs!$C$11/3)</f>
        <v>1.05</v>
      </c>
      <c r="L139" s="79" t="n">
        <f aca="false">IF(OR(MOD(L$133-1,12)&gt;=11,MOD(L$133-1,12)&lt;=1),1-Inputs!$C$11,1+Inputs!$C$11/3)</f>
        <v>1.05</v>
      </c>
      <c r="M139" s="79" t="n">
        <f aca="false">IF(OR(MOD(M$133-1,12)&gt;=11,MOD(M$133-1,12)&lt;=1),1-Inputs!$C$11,1+Inputs!$C$11/3)</f>
        <v>1.05</v>
      </c>
      <c r="N139" s="79" t="n">
        <f aca="false">IF(OR(MOD(N$133-1,12)&gt;=11,MOD(N$133-1,12)&lt;=1),1-Inputs!$C$11,1+Inputs!$C$11/3)</f>
        <v>0.85</v>
      </c>
      <c r="O139" s="79" t="n">
        <f aca="false">IF(OR(MOD(O$133-1,12)&gt;=11,MOD(O$133-1,12)&lt;=1),1-Inputs!$C$11,1+Inputs!$C$11/3)</f>
        <v>0.85</v>
      </c>
      <c r="P139" s="79" t="n">
        <f aca="false">IF(OR(MOD(P$133-1,12)&gt;=11,MOD(P$133-1,12)&lt;=1),1-Inputs!$C$11,1+Inputs!$C$11/3)</f>
        <v>0.85</v>
      </c>
      <c r="Q139" s="79" t="n">
        <f aca="false">IF(OR(MOD(Q$133-1,12)&gt;=11,MOD(Q$133-1,12)&lt;=1),1-Inputs!$C$11,1+Inputs!$C$11/3)</f>
        <v>1.05</v>
      </c>
      <c r="R139" s="79" t="n">
        <f aca="false">IF(OR(MOD(R$133-1,12)&gt;=11,MOD(R$133-1,12)&lt;=1),1-Inputs!$C$11,1+Inputs!$C$11/3)</f>
        <v>1.05</v>
      </c>
      <c r="S139" s="79" t="n">
        <f aca="false">IF(OR(MOD(S$133-1,12)&gt;=11,MOD(S$133-1,12)&lt;=1),1-Inputs!$C$11,1+Inputs!$C$11/3)</f>
        <v>1.05</v>
      </c>
      <c r="T139" s="79" t="n">
        <f aca="false">IF(OR(MOD(T$133-1,12)&gt;=11,MOD(T$133-1,12)&lt;=1),1-Inputs!$C$11,1+Inputs!$C$11/3)</f>
        <v>1.05</v>
      </c>
      <c r="U139" s="79" t="n">
        <f aca="false">IF(OR(MOD(U$133-1,12)&gt;=11,MOD(U$133-1,12)&lt;=1),1-Inputs!$C$11,1+Inputs!$C$11/3)</f>
        <v>1.05</v>
      </c>
      <c r="V139" s="79" t="n">
        <f aca="false">IF(OR(MOD(V$133-1,12)&gt;=11,MOD(V$133-1,12)&lt;=1),1-Inputs!$C$11,1+Inputs!$C$11/3)</f>
        <v>1.05</v>
      </c>
      <c r="W139" s="79" t="n">
        <f aca="false">IF(OR(MOD(W$133-1,12)&gt;=11,MOD(W$133-1,12)&lt;=1),1-Inputs!$C$11,1+Inputs!$C$11/3)</f>
        <v>1.05</v>
      </c>
      <c r="X139" s="79" t="n">
        <f aca="false">IF(OR(MOD(X$133-1,12)&gt;=11,MOD(X$133-1,12)&lt;=1),1-Inputs!$C$11,1+Inputs!$C$11/3)</f>
        <v>1.05</v>
      </c>
      <c r="Y139" s="79" t="n">
        <f aca="false">IF(OR(MOD(Y$133-1,12)&gt;=11,MOD(Y$133-1,12)&lt;=1),1-Inputs!$C$11,1+Inputs!$C$11/3)</f>
        <v>1.05</v>
      </c>
      <c r="Z139" s="79" t="n">
        <f aca="false">IF(OR(MOD(Z$133-1,12)&gt;=11,MOD(Z$133-1,12)&lt;=1),1-Inputs!$C$11,1+Inputs!$C$11/3)</f>
        <v>0.85</v>
      </c>
      <c r="AA139" s="79" t="n">
        <f aca="false">IF(OR(MOD(AA$133-1,12)&gt;=11,MOD(AA$133-1,12)&lt;=1),1-Inputs!$C$11,1+Inputs!$C$11/3)</f>
        <v>0.85</v>
      </c>
      <c r="AB139" s="79" t="n">
        <f aca="false">IF(OR(MOD(AB$133-1,12)&gt;=11,MOD(AB$133-1,12)&lt;=1),1-Inputs!$C$11,1+Inputs!$C$11/3)</f>
        <v>0.85</v>
      </c>
      <c r="AC139" s="79" t="n">
        <f aca="false">IF(OR(MOD(AC$133-1,12)&gt;=11,MOD(AC$133-1,12)&lt;=1),1-Inputs!$C$11,1+Inputs!$C$11/3)</f>
        <v>1.05</v>
      </c>
      <c r="AD139" s="79" t="n">
        <f aca="false">IF(OR(MOD(AD$133-1,12)&gt;=11,MOD(AD$133-1,12)&lt;=1),1-Inputs!$C$11,1+Inputs!$C$11/3)</f>
        <v>1.05</v>
      </c>
      <c r="AE139" s="79" t="n">
        <f aca="false">IF(OR(MOD(AE$133-1,12)&gt;=11,MOD(AE$133-1,12)&lt;=1),1-Inputs!$C$11,1+Inputs!$C$11/3)</f>
        <v>1.05</v>
      </c>
      <c r="AF139" s="79" t="n">
        <f aca="false">IF(OR(MOD(AF$133-1,12)&gt;=11,MOD(AF$133-1,12)&lt;=1),1-Inputs!$C$11,1+Inputs!$C$11/3)</f>
        <v>1.05</v>
      </c>
      <c r="AG139" s="79" t="n">
        <f aca="false">IF(OR(MOD(AG$133-1,12)&gt;=11,MOD(AG$133-1,12)&lt;=1),1-Inputs!$C$11,1+Inputs!$C$11/3)</f>
        <v>1.05</v>
      </c>
      <c r="AH139" s="79" t="n">
        <f aca="false">IF(OR(MOD(AH$133-1,12)&gt;=11,MOD(AH$133-1,12)&lt;=1),1-Inputs!$C$11,1+Inputs!$C$11/3)</f>
        <v>1.05</v>
      </c>
      <c r="AI139" s="79" t="n">
        <f aca="false">IF(OR(MOD(AI$133-1,12)&gt;=11,MOD(AI$133-1,12)&lt;=1),1-Inputs!$C$11,1+Inputs!$C$11/3)</f>
        <v>1.05</v>
      </c>
      <c r="AJ139" s="79" t="n">
        <f aca="false">IF(OR(MOD(AJ$133-1,12)&gt;=11,MOD(AJ$133-1,12)&lt;=1),1-Inputs!$C$11,1+Inputs!$C$11/3)</f>
        <v>1.05</v>
      </c>
      <c r="AK139" s="79" t="n">
        <f aca="false">IF(OR(MOD(AK$133-1,12)&gt;=11,MOD(AK$133-1,12)&lt;=1),1-Inputs!$C$11,1+Inputs!$C$11/3)</f>
        <v>1.05</v>
      </c>
      <c r="AL139" s="79" t="n">
        <f aca="false">IF(OR(MOD(AL$133-1,12)&gt;=11,MOD(AL$133-1,12)&lt;=1),1-Inputs!$C$11,1+Inputs!$C$11/3)</f>
        <v>0.85</v>
      </c>
      <c r="AM139" s="79" t="n">
        <f aca="false">IF(OR(MOD(AM$133-1,12)&gt;=11,MOD(AM$133-1,12)&lt;=1),1-Inputs!$C$11,1+Inputs!$C$11/3)</f>
        <v>0.85</v>
      </c>
      <c r="AN139" s="79" t="n">
        <f aca="false">IF(OR(MOD(AN$133-1,12)&gt;=11,MOD(AN$133-1,12)&lt;=1),1-Inputs!$C$11,1+Inputs!$C$11/3)</f>
        <v>0.85</v>
      </c>
      <c r="AO139" s="79" t="n">
        <f aca="false">IF(OR(MOD(AO$133-1,12)&gt;=11,MOD(AO$133-1,12)&lt;=1),1-Inputs!$C$11,1+Inputs!$C$11/3)</f>
        <v>1.05</v>
      </c>
      <c r="AP139" s="79" t="n">
        <f aca="false">IF(OR(MOD(AP$133-1,12)&gt;=11,MOD(AP$133-1,12)&lt;=1),1-Inputs!$C$11,1+Inputs!$C$11/3)</f>
        <v>1.05</v>
      </c>
      <c r="AQ139" s="79" t="n">
        <f aca="false">IF(OR(MOD(AQ$133-1,12)&gt;=11,MOD(AQ$133-1,12)&lt;=1),1-Inputs!$C$11,1+Inputs!$C$11/3)</f>
        <v>1.05</v>
      </c>
      <c r="AR139" s="79" t="n">
        <f aca="false">IF(OR(MOD(AR$133-1,12)&gt;=11,MOD(AR$133-1,12)&lt;=1),1-Inputs!$C$11,1+Inputs!$C$11/3)</f>
        <v>1.05</v>
      </c>
      <c r="AS139" s="79" t="n">
        <f aca="false">IF(OR(MOD(AS$133-1,12)&gt;=11,MOD(AS$133-1,12)&lt;=1),1-Inputs!$C$11,1+Inputs!$C$11/3)</f>
        <v>1.05</v>
      </c>
      <c r="AT139" s="79" t="n">
        <f aca="false">IF(OR(MOD(AT$133-1,12)&gt;=11,MOD(AT$133-1,12)&lt;=1),1-Inputs!$C$11,1+Inputs!$C$11/3)</f>
        <v>1.05</v>
      </c>
      <c r="AU139" s="79" t="n">
        <f aca="false">IF(OR(MOD(AU$133-1,12)&gt;=11,MOD(AU$133-1,12)&lt;=1),1-Inputs!$C$11,1+Inputs!$C$11/3)</f>
        <v>1.05</v>
      </c>
      <c r="AV139" s="79" t="n">
        <f aca="false">IF(OR(MOD(AV$133-1,12)&gt;=11,MOD(AV$133-1,12)&lt;=1),1-Inputs!$C$11,1+Inputs!$C$11/3)</f>
        <v>1.05</v>
      </c>
      <c r="AW139" s="79" t="n">
        <f aca="false">IF(OR(MOD(AW$133-1,12)&gt;=11,MOD(AW$133-1,12)&lt;=1),1-Inputs!$C$11,1+Inputs!$C$11/3)</f>
        <v>1.05</v>
      </c>
      <c r="AX139" s="79" t="n">
        <f aca="false">IF(OR(MOD(AX$133-1,12)&gt;=11,MOD(AX$133-1,12)&lt;=1),1-Inputs!$C$11,1+Inputs!$C$11/3)</f>
        <v>0.85</v>
      </c>
      <c r="AY139" s="79" t="n">
        <f aca="false">IF(OR(MOD(AY$133-1,12)&gt;=11,MOD(AY$133-1,12)&lt;=1),1-Inputs!$C$11,1+Inputs!$C$11/3)</f>
        <v>0.85</v>
      </c>
      <c r="AZ139" s="79" t="n">
        <f aca="false">IF(OR(MOD(AZ$133-1,12)&gt;=11,MOD(AZ$133-1,12)&lt;=1),1-Inputs!$C$11,1+Inputs!$C$11/3)</f>
        <v>0.85</v>
      </c>
      <c r="BA139" s="79" t="n">
        <f aca="false">IF(OR(MOD(BA$133-1,12)&gt;=11,MOD(BA$133-1,12)&lt;=1),1-Inputs!$C$11,1+Inputs!$C$11/3)</f>
        <v>1.05</v>
      </c>
      <c r="BB139" s="79" t="n">
        <f aca="false">IF(OR(MOD(BB$133-1,12)&gt;=11,MOD(BB$133-1,12)&lt;=1),1-Inputs!$C$11,1+Inputs!$C$11/3)</f>
        <v>1.05</v>
      </c>
      <c r="BC139" s="79" t="n">
        <f aca="false">IF(OR(MOD(BC$133-1,12)&gt;=11,MOD(BC$133-1,12)&lt;=1),1-Inputs!$C$11,1+Inputs!$C$11/3)</f>
        <v>1.05</v>
      </c>
      <c r="BD139" s="79" t="n">
        <f aca="false">IF(OR(MOD(BD$133-1,12)&gt;=11,MOD(BD$133-1,12)&lt;=1),1-Inputs!$C$11,1+Inputs!$C$11/3)</f>
        <v>1.05</v>
      </c>
      <c r="BE139" s="79" t="n">
        <f aca="false">IF(OR(MOD(BE$133-1,12)&gt;=11,MOD(BE$133-1,12)&lt;=1),1-Inputs!$C$11,1+Inputs!$C$11/3)</f>
        <v>1.05</v>
      </c>
      <c r="BF139" s="79" t="n">
        <f aca="false">IF(OR(MOD(BF$133-1,12)&gt;=11,MOD(BF$133-1,12)&lt;=1),1-Inputs!$C$11,1+Inputs!$C$11/3)</f>
        <v>1.05</v>
      </c>
      <c r="BG139" s="79" t="n">
        <f aca="false">IF(OR(MOD(BG$133-1,12)&gt;=11,MOD(BG$133-1,12)&lt;=1),1-Inputs!$C$11,1+Inputs!$C$11/3)</f>
        <v>1.05</v>
      </c>
      <c r="BH139" s="79" t="n">
        <f aca="false">IF(OR(MOD(BH$133-1,12)&gt;=11,MOD(BH$133-1,12)&lt;=1),1-Inputs!$C$11,1+Inputs!$C$11/3)</f>
        <v>1.05</v>
      </c>
      <c r="BI139" s="79" t="n">
        <f aca="false">IF(OR(MOD(BI$133-1,12)&gt;=11,MOD(BI$133-1,12)&lt;=1),1-Inputs!$C$11,1+Inputs!$C$11/3)</f>
        <v>1.05</v>
      </c>
      <c r="BJ139" s="79" t="n">
        <f aca="false">IF(OR(MOD(BJ$133-1,12)&gt;=11,MOD(BJ$133-1,12)&lt;=1),1-Inputs!$C$11,1+Inputs!$C$11/3)</f>
        <v>0.85</v>
      </c>
    </row>
    <row r="140" customFormat="false" ht="15" hidden="false" customHeight="false" outlineLevel="0" collapsed="false">
      <c r="A140" s="6" t="s">
        <v>419</v>
      </c>
      <c r="C140" s="118" t="n">
        <f aca="false">Inputs!$C$7*Inputs!$C$8*1*C138*C139</f>
        <v>2662.2</v>
      </c>
      <c r="D140" s="118" t="n">
        <f aca="false">Inputs!$C$7*Inputs!$C$8*1*D138*D139</f>
        <v>3023.73333333333</v>
      </c>
      <c r="E140" s="118" t="n">
        <f aca="false">Inputs!$C$7*Inputs!$C$8*1*E138*E139</f>
        <v>4181.8</v>
      </c>
      <c r="F140" s="118" t="n">
        <f aca="false">Inputs!$C$7*Inputs!$C$8*1*F138*F139</f>
        <v>4628.4</v>
      </c>
      <c r="G140" s="118" t="n">
        <f aca="false">Inputs!$C$7*Inputs!$C$8*1*G138*G139</f>
        <v>5075</v>
      </c>
      <c r="H140" s="118" t="n">
        <f aca="false">Inputs!$C$7*Inputs!$C$8*1*H138*H139</f>
        <v>5521.6</v>
      </c>
      <c r="I140" s="118" t="n">
        <f aca="false">Inputs!$C$7*Inputs!$C$8*1*I138*I139</f>
        <v>5968.2</v>
      </c>
      <c r="J140" s="118" t="n">
        <f aca="false">Inputs!$C$7*Inputs!$C$8*1*J138*J139</f>
        <v>6414.8</v>
      </c>
      <c r="K140" s="118" t="n">
        <f aca="false">Inputs!$C$7*Inputs!$C$8*1*K138*K139</f>
        <v>6861.4</v>
      </c>
      <c r="L140" s="118" t="n">
        <f aca="false">Inputs!$C$7*Inputs!$C$8*1*L138*L139</f>
        <v>7308</v>
      </c>
      <c r="M140" s="118" t="n">
        <f aca="false">Inputs!$C$7*Inputs!$C$8*1*M138*M139</f>
        <v>7308</v>
      </c>
      <c r="N140" s="118" t="n">
        <f aca="false">Inputs!$C$7*Inputs!$C$8*1*N138*N139</f>
        <v>5916</v>
      </c>
      <c r="O140" s="118" t="n">
        <f aca="false">Inputs!$C$7*Inputs!$C$8*1*O138*O139</f>
        <v>5916</v>
      </c>
      <c r="P140" s="118" t="n">
        <f aca="false">Inputs!$C$7*Inputs!$C$8*1*P138*P139</f>
        <v>5916</v>
      </c>
      <c r="Q140" s="118" t="n">
        <f aca="false">Inputs!$C$7*Inputs!$C$8*1*Q138*Q139</f>
        <v>7308</v>
      </c>
      <c r="R140" s="118" t="n">
        <f aca="false">Inputs!$C$7*Inputs!$C$8*1*R138*R139</f>
        <v>7308</v>
      </c>
      <c r="S140" s="118" t="n">
        <f aca="false">Inputs!$C$7*Inputs!$C$8*1*S138*S139</f>
        <v>7308</v>
      </c>
      <c r="T140" s="118" t="n">
        <f aca="false">Inputs!$C$7*Inputs!$C$8*1*T138*T139</f>
        <v>7308</v>
      </c>
      <c r="U140" s="118" t="n">
        <f aca="false">Inputs!$C$7*Inputs!$C$8*1*U138*U139</f>
        <v>7308</v>
      </c>
      <c r="V140" s="118" t="n">
        <f aca="false">Inputs!$C$7*Inputs!$C$8*1*V138*V139</f>
        <v>7308</v>
      </c>
      <c r="W140" s="118" t="n">
        <f aca="false">Inputs!$C$7*Inputs!$C$8*1*W138*W139</f>
        <v>7308</v>
      </c>
      <c r="X140" s="118" t="n">
        <f aca="false">Inputs!$C$7*Inputs!$C$8*1*X138*X139</f>
        <v>7308</v>
      </c>
      <c r="Y140" s="118" t="n">
        <f aca="false">Inputs!$C$7*Inputs!$C$8*1*Y138*Y139</f>
        <v>7308</v>
      </c>
      <c r="Z140" s="118" t="n">
        <f aca="false">Inputs!$C$7*Inputs!$C$8*1*Z138*Z139</f>
        <v>5916</v>
      </c>
      <c r="AA140" s="118" t="n">
        <f aca="false">Inputs!$C$7*Inputs!$C$8*1*AA138*AA139</f>
        <v>5916</v>
      </c>
      <c r="AB140" s="118" t="n">
        <f aca="false">Inputs!$C$7*Inputs!$C$8*1*AB138*AB139</f>
        <v>5916</v>
      </c>
      <c r="AC140" s="118" t="n">
        <f aca="false">Inputs!$C$7*Inputs!$C$8*1*AC138*AC139</f>
        <v>7308</v>
      </c>
      <c r="AD140" s="118" t="n">
        <f aca="false">Inputs!$C$7*Inputs!$C$8*1*AD138*AD139</f>
        <v>7308</v>
      </c>
      <c r="AE140" s="118" t="n">
        <f aca="false">Inputs!$C$7*Inputs!$C$8*1*AE138*AE139</f>
        <v>7308</v>
      </c>
      <c r="AF140" s="118" t="n">
        <f aca="false">Inputs!$C$7*Inputs!$C$8*1*AF138*AF139</f>
        <v>7308</v>
      </c>
      <c r="AG140" s="118" t="n">
        <f aca="false">Inputs!$C$7*Inputs!$C$8*1*AG138*AG139</f>
        <v>7308</v>
      </c>
      <c r="AH140" s="118" t="n">
        <f aca="false">Inputs!$C$7*Inputs!$C$8*1*AH138*AH139</f>
        <v>7308</v>
      </c>
      <c r="AI140" s="118" t="n">
        <f aca="false">Inputs!$C$7*Inputs!$C$8*1*AI138*AI139</f>
        <v>7308</v>
      </c>
      <c r="AJ140" s="118" t="n">
        <f aca="false">Inputs!$C$7*Inputs!$C$8*1*AJ138*AJ139</f>
        <v>7308</v>
      </c>
      <c r="AK140" s="118" t="n">
        <f aca="false">Inputs!$C$7*Inputs!$C$8*1*AK138*AK139</f>
        <v>7308</v>
      </c>
      <c r="AL140" s="118" t="n">
        <f aca="false">Inputs!$C$7*Inputs!$C$8*1*AL138*AL139</f>
        <v>5916</v>
      </c>
      <c r="AM140" s="118" t="n">
        <f aca="false">Inputs!$C$7*Inputs!$C$8*1*AM138*AM139</f>
        <v>5916</v>
      </c>
      <c r="AN140" s="118" t="n">
        <f aca="false">Inputs!$C$7*Inputs!$C$8*1*AN138*AN139</f>
        <v>5916</v>
      </c>
      <c r="AO140" s="118" t="n">
        <f aca="false">Inputs!$C$7*Inputs!$C$8*1*AO138*AO139</f>
        <v>7308</v>
      </c>
      <c r="AP140" s="118" t="n">
        <f aca="false">Inputs!$C$7*Inputs!$C$8*1*AP138*AP139</f>
        <v>7308</v>
      </c>
      <c r="AQ140" s="118" t="n">
        <f aca="false">Inputs!$C$7*Inputs!$C$8*1*AQ138*AQ139</f>
        <v>7308</v>
      </c>
      <c r="AR140" s="118" t="n">
        <f aca="false">Inputs!$C$7*Inputs!$C$8*1*AR138*AR139</f>
        <v>7308</v>
      </c>
      <c r="AS140" s="118" t="n">
        <f aca="false">Inputs!$C$7*Inputs!$C$8*1*AS138*AS139</f>
        <v>7308</v>
      </c>
      <c r="AT140" s="118" t="n">
        <f aca="false">Inputs!$C$7*Inputs!$C$8*1*AT138*AT139</f>
        <v>7308</v>
      </c>
      <c r="AU140" s="118" t="n">
        <f aca="false">Inputs!$C$7*Inputs!$C$8*1*AU138*AU139</f>
        <v>7308</v>
      </c>
      <c r="AV140" s="118" t="n">
        <f aca="false">Inputs!$C$7*Inputs!$C$8*1*AV138*AV139</f>
        <v>7308</v>
      </c>
      <c r="AW140" s="118" t="n">
        <f aca="false">Inputs!$C$7*Inputs!$C$8*1*AW138*AW139</f>
        <v>7308</v>
      </c>
      <c r="AX140" s="118" t="n">
        <f aca="false">Inputs!$C$7*Inputs!$C$8*1*AX138*AX139</f>
        <v>5916</v>
      </c>
      <c r="AY140" s="118" t="n">
        <f aca="false">Inputs!$C$7*Inputs!$C$8*1*AY138*AY139</f>
        <v>5916</v>
      </c>
      <c r="AZ140" s="118" t="n">
        <f aca="false">Inputs!$C$7*Inputs!$C$8*1*AZ138*AZ139</f>
        <v>5916</v>
      </c>
      <c r="BA140" s="118" t="n">
        <f aca="false">Inputs!$C$7*Inputs!$C$8*1*BA138*BA139</f>
        <v>7308</v>
      </c>
      <c r="BB140" s="118" t="n">
        <f aca="false">Inputs!$C$7*Inputs!$C$8*1*BB138*BB139</f>
        <v>7308</v>
      </c>
      <c r="BC140" s="118" t="n">
        <f aca="false">Inputs!$C$7*Inputs!$C$8*1*BC138*BC139</f>
        <v>7308</v>
      </c>
      <c r="BD140" s="118" t="n">
        <f aca="false">Inputs!$C$7*Inputs!$C$8*1*BD138*BD139</f>
        <v>7308</v>
      </c>
      <c r="BE140" s="118" t="n">
        <f aca="false">Inputs!$C$7*Inputs!$C$8*1*BE138*BE139</f>
        <v>7308</v>
      </c>
      <c r="BF140" s="118" t="n">
        <f aca="false">Inputs!$C$7*Inputs!$C$8*1*BF138*BF139</f>
        <v>7308</v>
      </c>
      <c r="BG140" s="118" t="n">
        <f aca="false">Inputs!$C$7*Inputs!$C$8*1*BG138*BG139</f>
        <v>7308</v>
      </c>
      <c r="BH140" s="118" t="n">
        <f aca="false">Inputs!$C$7*Inputs!$C$8*1*BH138*BH139</f>
        <v>7308</v>
      </c>
      <c r="BI140" s="118" t="n">
        <f aca="false">Inputs!$C$7*Inputs!$C$8*1*BI138*BI139</f>
        <v>7308</v>
      </c>
      <c r="BJ140" s="118" t="n">
        <f aca="false">Inputs!$C$7*Inputs!$C$8*1*BJ138*BJ139</f>
        <v>5916</v>
      </c>
    </row>
    <row r="142" customFormat="false" ht="15.75" hidden="false" customHeight="true" outlineLevel="0" collapsed="false">
      <c r="A142" s="7" t="s">
        <v>420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customFormat="false" ht="15" hidden="false" customHeight="false" outlineLevel="0" collapsed="false">
      <c r="A143" s="6" t="s">
        <v>421</v>
      </c>
      <c r="C143" s="117" t="n">
        <f aca="false">C140*Inputs!$C$22</f>
        <v>21.2976</v>
      </c>
      <c r="D143" s="117" t="n">
        <f aca="false">D140*Inputs!$C$22</f>
        <v>24.1898666666667</v>
      </c>
      <c r="E143" s="117" t="n">
        <f aca="false">E140*Inputs!$C$22</f>
        <v>33.4544</v>
      </c>
      <c r="F143" s="117" t="n">
        <f aca="false">F140*Inputs!$C$22</f>
        <v>37.0272</v>
      </c>
      <c r="G143" s="117" t="n">
        <f aca="false">G140*Inputs!$C$22</f>
        <v>40.6</v>
      </c>
      <c r="H143" s="117" t="n">
        <f aca="false">H140*Inputs!$C$22</f>
        <v>44.1728</v>
      </c>
      <c r="I143" s="117" t="n">
        <f aca="false">I140*Inputs!$C$22</f>
        <v>47.7456</v>
      </c>
      <c r="J143" s="117" t="n">
        <f aca="false">J140*Inputs!$C$22</f>
        <v>51.3184</v>
      </c>
      <c r="K143" s="117" t="n">
        <f aca="false">K140*Inputs!$C$22</f>
        <v>54.8912</v>
      </c>
      <c r="L143" s="117" t="n">
        <f aca="false">L140*Inputs!$C$22</f>
        <v>58.464</v>
      </c>
      <c r="M143" s="117" t="n">
        <f aca="false">M140*Inputs!$C$22</f>
        <v>58.464</v>
      </c>
      <c r="N143" s="117" t="n">
        <f aca="false">N140*Inputs!$C$22</f>
        <v>47.328</v>
      </c>
      <c r="O143" s="117" t="n">
        <f aca="false">O140*Inputs!$C$22</f>
        <v>47.328</v>
      </c>
      <c r="P143" s="117" t="n">
        <f aca="false">P140*Inputs!$C$22</f>
        <v>47.328</v>
      </c>
      <c r="Q143" s="117" t="n">
        <f aca="false">Q140*Inputs!$C$22</f>
        <v>58.464</v>
      </c>
      <c r="R143" s="117" t="n">
        <f aca="false">R140*Inputs!$C$22</f>
        <v>58.464</v>
      </c>
      <c r="S143" s="117" t="n">
        <f aca="false">S140*Inputs!$C$22</f>
        <v>58.464</v>
      </c>
      <c r="T143" s="117" t="n">
        <f aca="false">T140*Inputs!$C$22</f>
        <v>58.464</v>
      </c>
      <c r="U143" s="117" t="n">
        <f aca="false">U140*Inputs!$C$22</f>
        <v>58.464</v>
      </c>
      <c r="V143" s="117" t="n">
        <f aca="false">V140*Inputs!$C$22</f>
        <v>58.464</v>
      </c>
      <c r="W143" s="117" t="n">
        <f aca="false">W140*Inputs!$C$22</f>
        <v>58.464</v>
      </c>
      <c r="X143" s="117" t="n">
        <f aca="false">X140*Inputs!$C$22</f>
        <v>58.464</v>
      </c>
      <c r="Y143" s="117" t="n">
        <f aca="false">Y140*Inputs!$C$22</f>
        <v>58.464</v>
      </c>
      <c r="Z143" s="117" t="n">
        <f aca="false">Z140*Inputs!$C$22</f>
        <v>47.328</v>
      </c>
      <c r="AA143" s="117" t="n">
        <f aca="false">AA140*Inputs!$C$22</f>
        <v>47.328</v>
      </c>
      <c r="AB143" s="117" t="n">
        <f aca="false">AB140*Inputs!$C$22</f>
        <v>47.328</v>
      </c>
      <c r="AC143" s="117" t="n">
        <f aca="false">AC140*Inputs!$C$22</f>
        <v>58.464</v>
      </c>
      <c r="AD143" s="117" t="n">
        <f aca="false">AD140*Inputs!$C$22</f>
        <v>58.464</v>
      </c>
      <c r="AE143" s="117" t="n">
        <f aca="false">AE140*Inputs!$C$22</f>
        <v>58.464</v>
      </c>
      <c r="AF143" s="117" t="n">
        <f aca="false">AF140*Inputs!$C$22</f>
        <v>58.464</v>
      </c>
      <c r="AG143" s="117" t="n">
        <f aca="false">AG140*Inputs!$C$22</f>
        <v>58.464</v>
      </c>
      <c r="AH143" s="117" t="n">
        <f aca="false">AH140*Inputs!$C$22</f>
        <v>58.464</v>
      </c>
      <c r="AI143" s="117" t="n">
        <f aca="false">AI140*Inputs!$C$22</f>
        <v>58.464</v>
      </c>
      <c r="AJ143" s="117" t="n">
        <f aca="false">AJ140*Inputs!$C$22</f>
        <v>58.464</v>
      </c>
      <c r="AK143" s="117" t="n">
        <f aca="false">AK140*Inputs!$C$22</f>
        <v>58.464</v>
      </c>
      <c r="AL143" s="117" t="n">
        <f aca="false">AL140*Inputs!$C$22</f>
        <v>47.328</v>
      </c>
      <c r="AM143" s="117" t="n">
        <f aca="false">AM140*Inputs!$C$22</f>
        <v>47.328</v>
      </c>
      <c r="AN143" s="117" t="n">
        <f aca="false">AN140*Inputs!$C$22</f>
        <v>47.328</v>
      </c>
      <c r="AO143" s="117" t="n">
        <f aca="false">AO140*Inputs!$C$22</f>
        <v>58.464</v>
      </c>
      <c r="AP143" s="117" t="n">
        <f aca="false">AP140*Inputs!$C$22</f>
        <v>58.464</v>
      </c>
      <c r="AQ143" s="117" t="n">
        <f aca="false">AQ140*Inputs!$C$22</f>
        <v>58.464</v>
      </c>
      <c r="AR143" s="117" t="n">
        <f aca="false">AR140*Inputs!$C$22</f>
        <v>58.464</v>
      </c>
      <c r="AS143" s="117" t="n">
        <f aca="false">AS140*Inputs!$C$22</f>
        <v>58.464</v>
      </c>
      <c r="AT143" s="117" t="n">
        <f aca="false">AT140*Inputs!$C$22</f>
        <v>58.464</v>
      </c>
      <c r="AU143" s="117" t="n">
        <f aca="false">AU140*Inputs!$C$22</f>
        <v>58.464</v>
      </c>
      <c r="AV143" s="117" t="n">
        <f aca="false">AV140*Inputs!$C$22</f>
        <v>58.464</v>
      </c>
      <c r="AW143" s="117" t="n">
        <f aca="false">AW140*Inputs!$C$22</f>
        <v>58.464</v>
      </c>
      <c r="AX143" s="117" t="n">
        <f aca="false">AX140*Inputs!$C$22</f>
        <v>47.328</v>
      </c>
      <c r="AY143" s="117" t="n">
        <f aca="false">AY140*Inputs!$C$22</f>
        <v>47.328</v>
      </c>
      <c r="AZ143" s="117" t="n">
        <f aca="false">AZ140*Inputs!$C$22</f>
        <v>47.328</v>
      </c>
      <c r="BA143" s="117" t="n">
        <f aca="false">BA140*Inputs!$C$22</f>
        <v>58.464</v>
      </c>
      <c r="BB143" s="117" t="n">
        <f aca="false">BB140*Inputs!$C$22</f>
        <v>58.464</v>
      </c>
      <c r="BC143" s="117" t="n">
        <f aca="false">BC140*Inputs!$C$22</f>
        <v>58.464</v>
      </c>
      <c r="BD143" s="117" t="n">
        <f aca="false">BD140*Inputs!$C$22</f>
        <v>58.464</v>
      </c>
      <c r="BE143" s="117" t="n">
        <f aca="false">BE140*Inputs!$C$22</f>
        <v>58.464</v>
      </c>
      <c r="BF143" s="117" t="n">
        <f aca="false">BF140*Inputs!$C$22</f>
        <v>58.464</v>
      </c>
      <c r="BG143" s="117" t="n">
        <f aca="false">BG140*Inputs!$C$22</f>
        <v>58.464</v>
      </c>
      <c r="BH143" s="117" t="n">
        <f aca="false">BH140*Inputs!$C$22</f>
        <v>58.464</v>
      </c>
      <c r="BI143" s="117" t="n">
        <f aca="false">BI140*Inputs!$C$22</f>
        <v>58.464</v>
      </c>
      <c r="BJ143" s="117" t="n">
        <f aca="false">BJ140*Inputs!$C$22</f>
        <v>47.328</v>
      </c>
    </row>
    <row r="144" customFormat="false" ht="15" hidden="false" customHeight="false" outlineLevel="0" collapsed="false">
      <c r="A144" s="6" t="s">
        <v>422</v>
      </c>
      <c r="C144" s="117" t="n">
        <f aca="false">Inputs!$C$20*(1+Inputs!$C$21)^(C$134-1)*1*C138</f>
        <v>22.5</v>
      </c>
      <c r="D144" s="117" t="n">
        <f aca="false">Inputs!$C$20*(1+Inputs!$C$21)^(D$134-1)*1*D138</f>
        <v>25.5555555555556</v>
      </c>
      <c r="E144" s="117" t="n">
        <f aca="false">Inputs!$C$20*(1+Inputs!$C$21)^(E$134-1)*1*E138</f>
        <v>28.6111111111111</v>
      </c>
      <c r="F144" s="117" t="n">
        <f aca="false">Inputs!$C$20*(1+Inputs!$C$21)^(F$134-1)*1*F138</f>
        <v>31.6666666666667</v>
      </c>
      <c r="G144" s="117" t="n">
        <f aca="false">Inputs!$C$20*(1+Inputs!$C$21)^(G$134-1)*1*G138</f>
        <v>34.7222222222222</v>
      </c>
      <c r="H144" s="117" t="n">
        <f aca="false">Inputs!$C$20*(1+Inputs!$C$21)^(H$134-1)*1*H138</f>
        <v>37.7777777777778</v>
      </c>
      <c r="I144" s="117" t="n">
        <f aca="false">Inputs!$C$20*(1+Inputs!$C$21)^(I$134-1)*1*I138</f>
        <v>40.8333333333333</v>
      </c>
      <c r="J144" s="117" t="n">
        <f aca="false">Inputs!$C$20*(1+Inputs!$C$21)^(J$134-1)*1*J138</f>
        <v>43.8888888888889</v>
      </c>
      <c r="K144" s="117" t="n">
        <f aca="false">Inputs!$C$20*(1+Inputs!$C$21)^(K$134-1)*1*K138</f>
        <v>46.9444444444444</v>
      </c>
      <c r="L144" s="117" t="n">
        <f aca="false">Inputs!$C$20*(1+Inputs!$C$21)^(L$134-1)*1*L138</f>
        <v>50</v>
      </c>
      <c r="M144" s="117" t="n">
        <f aca="false">Inputs!$C$20*(1+Inputs!$C$21)^(M$134-1)*1*M138</f>
        <v>50</v>
      </c>
      <c r="N144" s="117" t="n">
        <f aca="false">Inputs!$C$20*(1+Inputs!$C$21)^(N$134-1)*1*N138</f>
        <v>50</v>
      </c>
      <c r="O144" s="117" t="n">
        <f aca="false">Inputs!$C$20*(1+Inputs!$C$21)^(O$134-1)*1*O138</f>
        <v>52.5</v>
      </c>
      <c r="P144" s="117" t="n">
        <f aca="false">Inputs!$C$20*(1+Inputs!$C$21)^(P$134-1)*1*P138</f>
        <v>52.5</v>
      </c>
      <c r="Q144" s="117" t="n">
        <f aca="false">Inputs!$C$20*(1+Inputs!$C$21)^(Q$134-1)*1*Q138</f>
        <v>52.5</v>
      </c>
      <c r="R144" s="117" t="n">
        <f aca="false">Inputs!$C$20*(1+Inputs!$C$21)^(R$134-1)*1*R138</f>
        <v>52.5</v>
      </c>
      <c r="S144" s="117" t="n">
        <f aca="false">Inputs!$C$20*(1+Inputs!$C$21)^(S$134-1)*1*S138</f>
        <v>52.5</v>
      </c>
      <c r="T144" s="117" t="n">
        <f aca="false">Inputs!$C$20*(1+Inputs!$C$21)^(T$134-1)*1*T138</f>
        <v>52.5</v>
      </c>
      <c r="U144" s="117" t="n">
        <f aca="false">Inputs!$C$20*(1+Inputs!$C$21)^(U$134-1)*1*U138</f>
        <v>52.5</v>
      </c>
      <c r="V144" s="117" t="n">
        <f aca="false">Inputs!$C$20*(1+Inputs!$C$21)^(V$134-1)*1*V138</f>
        <v>52.5</v>
      </c>
      <c r="W144" s="117" t="n">
        <f aca="false">Inputs!$C$20*(1+Inputs!$C$21)^(W$134-1)*1*W138</f>
        <v>52.5</v>
      </c>
      <c r="X144" s="117" t="n">
        <f aca="false">Inputs!$C$20*(1+Inputs!$C$21)^(X$134-1)*1*X138</f>
        <v>52.5</v>
      </c>
      <c r="Y144" s="117" t="n">
        <f aca="false">Inputs!$C$20*(1+Inputs!$C$21)^(Y$134-1)*1*Y138</f>
        <v>52.5</v>
      </c>
      <c r="Z144" s="117" t="n">
        <f aca="false">Inputs!$C$20*(1+Inputs!$C$21)^(Z$134-1)*1*Z138</f>
        <v>52.5</v>
      </c>
      <c r="AA144" s="117" t="n">
        <f aca="false">Inputs!$C$20*(1+Inputs!$C$21)^(AA$134-1)*1*AA138</f>
        <v>55.125</v>
      </c>
      <c r="AB144" s="117" t="n">
        <f aca="false">Inputs!$C$20*(1+Inputs!$C$21)^(AB$134-1)*1*AB138</f>
        <v>55.125</v>
      </c>
      <c r="AC144" s="117" t="n">
        <f aca="false">Inputs!$C$20*(1+Inputs!$C$21)^(AC$134-1)*1*AC138</f>
        <v>55.125</v>
      </c>
      <c r="AD144" s="117" t="n">
        <f aca="false">Inputs!$C$20*(1+Inputs!$C$21)^(AD$134-1)*1*AD138</f>
        <v>55.125</v>
      </c>
      <c r="AE144" s="117" t="n">
        <f aca="false">Inputs!$C$20*(1+Inputs!$C$21)^(AE$134-1)*1*AE138</f>
        <v>55.125</v>
      </c>
      <c r="AF144" s="117" t="n">
        <f aca="false">Inputs!$C$20*(1+Inputs!$C$21)^(AF$134-1)*1*AF138</f>
        <v>55.125</v>
      </c>
      <c r="AG144" s="117" t="n">
        <f aca="false">Inputs!$C$20*(1+Inputs!$C$21)^(AG$134-1)*1*AG138</f>
        <v>55.125</v>
      </c>
      <c r="AH144" s="117" t="n">
        <f aca="false">Inputs!$C$20*(1+Inputs!$C$21)^(AH$134-1)*1*AH138</f>
        <v>55.125</v>
      </c>
      <c r="AI144" s="117" t="n">
        <f aca="false">Inputs!$C$20*(1+Inputs!$C$21)^(AI$134-1)*1*AI138</f>
        <v>55.125</v>
      </c>
      <c r="AJ144" s="117" t="n">
        <f aca="false">Inputs!$C$20*(1+Inputs!$C$21)^(AJ$134-1)*1*AJ138</f>
        <v>55.125</v>
      </c>
      <c r="AK144" s="117" t="n">
        <f aca="false">Inputs!$C$20*(1+Inputs!$C$21)^(AK$134-1)*1*AK138</f>
        <v>55.125</v>
      </c>
      <c r="AL144" s="117" t="n">
        <f aca="false">Inputs!$C$20*(1+Inputs!$C$21)^(AL$134-1)*1*AL138</f>
        <v>55.125</v>
      </c>
      <c r="AM144" s="117" t="n">
        <f aca="false">Inputs!$C$20*(1+Inputs!$C$21)^(AM$134-1)*1*AM138</f>
        <v>57.88125</v>
      </c>
      <c r="AN144" s="117" t="n">
        <f aca="false">Inputs!$C$20*(1+Inputs!$C$21)^(AN$134-1)*1*AN138</f>
        <v>57.88125</v>
      </c>
      <c r="AO144" s="117" t="n">
        <f aca="false">Inputs!$C$20*(1+Inputs!$C$21)^(AO$134-1)*1*AO138</f>
        <v>57.88125</v>
      </c>
      <c r="AP144" s="117" t="n">
        <f aca="false">Inputs!$C$20*(1+Inputs!$C$21)^(AP$134-1)*1*AP138</f>
        <v>57.88125</v>
      </c>
      <c r="AQ144" s="117" t="n">
        <f aca="false">Inputs!$C$20*(1+Inputs!$C$21)^(AQ$134-1)*1*AQ138</f>
        <v>57.88125</v>
      </c>
      <c r="AR144" s="117" t="n">
        <f aca="false">Inputs!$C$20*(1+Inputs!$C$21)^(AR$134-1)*1*AR138</f>
        <v>57.88125</v>
      </c>
      <c r="AS144" s="117" t="n">
        <f aca="false">Inputs!$C$20*(1+Inputs!$C$21)^(AS$134-1)*1*AS138</f>
        <v>57.88125</v>
      </c>
      <c r="AT144" s="117" t="n">
        <f aca="false">Inputs!$C$20*(1+Inputs!$C$21)^(AT$134-1)*1*AT138</f>
        <v>57.88125</v>
      </c>
      <c r="AU144" s="117" t="n">
        <f aca="false">Inputs!$C$20*(1+Inputs!$C$21)^(AU$134-1)*1*AU138</f>
        <v>57.88125</v>
      </c>
      <c r="AV144" s="117" t="n">
        <f aca="false">Inputs!$C$20*(1+Inputs!$C$21)^(AV$134-1)*1*AV138</f>
        <v>57.88125</v>
      </c>
      <c r="AW144" s="117" t="n">
        <f aca="false">Inputs!$C$20*(1+Inputs!$C$21)^(AW$134-1)*1*AW138</f>
        <v>57.88125</v>
      </c>
      <c r="AX144" s="117" t="n">
        <f aca="false">Inputs!$C$20*(1+Inputs!$C$21)^(AX$134-1)*1*AX138</f>
        <v>57.88125</v>
      </c>
      <c r="AY144" s="117" t="n">
        <f aca="false">Inputs!$C$20*(1+Inputs!$C$21)^(AY$134-1)*1*AY138</f>
        <v>60.7753125</v>
      </c>
      <c r="AZ144" s="117" t="n">
        <f aca="false">Inputs!$C$20*(1+Inputs!$C$21)^(AZ$134-1)*1*AZ138</f>
        <v>60.7753125</v>
      </c>
      <c r="BA144" s="117" t="n">
        <f aca="false">Inputs!$C$20*(1+Inputs!$C$21)^(BA$134-1)*1*BA138</f>
        <v>60.7753125</v>
      </c>
      <c r="BB144" s="117" t="n">
        <f aca="false">Inputs!$C$20*(1+Inputs!$C$21)^(BB$134-1)*1*BB138</f>
        <v>60.7753125</v>
      </c>
      <c r="BC144" s="117" t="n">
        <f aca="false">Inputs!$C$20*(1+Inputs!$C$21)^(BC$134-1)*1*BC138</f>
        <v>60.7753125</v>
      </c>
      <c r="BD144" s="117" t="n">
        <f aca="false">Inputs!$C$20*(1+Inputs!$C$21)^(BD$134-1)*1*BD138</f>
        <v>60.7753125</v>
      </c>
      <c r="BE144" s="117" t="n">
        <f aca="false">Inputs!$C$20*(1+Inputs!$C$21)^(BE$134-1)*1*BE138</f>
        <v>60.7753125</v>
      </c>
      <c r="BF144" s="117" t="n">
        <f aca="false">Inputs!$C$20*(1+Inputs!$C$21)^(BF$134-1)*1*BF138</f>
        <v>60.7753125</v>
      </c>
      <c r="BG144" s="117" t="n">
        <f aca="false">Inputs!$C$20*(1+Inputs!$C$21)^(BG$134-1)*1*BG138</f>
        <v>60.7753125</v>
      </c>
      <c r="BH144" s="117" t="n">
        <f aca="false">Inputs!$C$20*(1+Inputs!$C$21)^(BH$134-1)*1*BH138</f>
        <v>60.7753125</v>
      </c>
      <c r="BI144" s="117" t="n">
        <f aca="false">Inputs!$C$20*(1+Inputs!$C$21)^(BI$134-1)*1*BI138</f>
        <v>60.7753125</v>
      </c>
      <c r="BJ144" s="117" t="n">
        <f aca="false">Inputs!$C$20*(1+Inputs!$C$21)^(BJ$134-1)*1*BJ138</f>
        <v>60.7753125</v>
      </c>
    </row>
    <row r="145" customFormat="false" ht="15" hidden="false" customHeight="false" outlineLevel="0" collapsed="false">
      <c r="A145" s="4" t="s">
        <v>423</v>
      </c>
      <c r="C145" s="119" t="n">
        <f aca="false">C143+C144</f>
        <v>43.7976</v>
      </c>
      <c r="D145" s="119" t="n">
        <f aca="false">D143+D144</f>
        <v>49.7454222222222</v>
      </c>
      <c r="E145" s="119" t="n">
        <f aca="false">E143+E144</f>
        <v>62.0655111111111</v>
      </c>
      <c r="F145" s="119" t="n">
        <f aca="false">F143+F144</f>
        <v>68.6938666666667</v>
      </c>
      <c r="G145" s="119" t="n">
        <f aca="false">G143+G144</f>
        <v>75.3222222222222</v>
      </c>
      <c r="H145" s="119" t="n">
        <f aca="false">H143+H144</f>
        <v>81.9505777777778</v>
      </c>
      <c r="I145" s="119" t="n">
        <f aca="false">I143+I144</f>
        <v>88.5789333333333</v>
      </c>
      <c r="J145" s="119" t="n">
        <f aca="false">J143+J144</f>
        <v>95.2072888888889</v>
      </c>
      <c r="K145" s="119" t="n">
        <f aca="false">K143+K144</f>
        <v>101.835644444444</v>
      </c>
      <c r="L145" s="119" t="n">
        <f aca="false">L143+L144</f>
        <v>108.464</v>
      </c>
      <c r="M145" s="119" t="n">
        <f aca="false">M143+M144</f>
        <v>108.464</v>
      </c>
      <c r="N145" s="119" t="n">
        <f aca="false">N143+N144</f>
        <v>97.328</v>
      </c>
      <c r="O145" s="119" t="n">
        <f aca="false">O143+O144</f>
        <v>99.828</v>
      </c>
      <c r="P145" s="119" t="n">
        <f aca="false">P143+P144</f>
        <v>99.828</v>
      </c>
      <c r="Q145" s="119" t="n">
        <f aca="false">Q143+Q144</f>
        <v>110.964</v>
      </c>
      <c r="R145" s="119" t="n">
        <f aca="false">R143+R144</f>
        <v>110.964</v>
      </c>
      <c r="S145" s="119" t="n">
        <f aca="false">S143+S144</f>
        <v>110.964</v>
      </c>
      <c r="T145" s="119" t="n">
        <f aca="false">T143+T144</f>
        <v>110.964</v>
      </c>
      <c r="U145" s="119" t="n">
        <f aca="false">U143+U144</f>
        <v>110.964</v>
      </c>
      <c r="V145" s="119" t="n">
        <f aca="false">V143+V144</f>
        <v>110.964</v>
      </c>
      <c r="W145" s="119" t="n">
        <f aca="false">W143+W144</f>
        <v>110.964</v>
      </c>
      <c r="X145" s="119" t="n">
        <f aca="false">X143+X144</f>
        <v>110.964</v>
      </c>
      <c r="Y145" s="119" t="n">
        <f aca="false">Y143+Y144</f>
        <v>110.964</v>
      </c>
      <c r="Z145" s="119" t="n">
        <f aca="false">Z143+Z144</f>
        <v>99.828</v>
      </c>
      <c r="AA145" s="119" t="n">
        <f aca="false">AA143+AA144</f>
        <v>102.453</v>
      </c>
      <c r="AB145" s="119" t="n">
        <f aca="false">AB143+AB144</f>
        <v>102.453</v>
      </c>
      <c r="AC145" s="119" t="n">
        <f aca="false">AC143+AC144</f>
        <v>113.589</v>
      </c>
      <c r="AD145" s="119" t="n">
        <f aca="false">AD143+AD144</f>
        <v>113.589</v>
      </c>
      <c r="AE145" s="119" t="n">
        <f aca="false">AE143+AE144</f>
        <v>113.589</v>
      </c>
      <c r="AF145" s="119" t="n">
        <f aca="false">AF143+AF144</f>
        <v>113.589</v>
      </c>
      <c r="AG145" s="119" t="n">
        <f aca="false">AG143+AG144</f>
        <v>113.589</v>
      </c>
      <c r="AH145" s="119" t="n">
        <f aca="false">AH143+AH144</f>
        <v>113.589</v>
      </c>
      <c r="AI145" s="119" t="n">
        <f aca="false">AI143+AI144</f>
        <v>113.589</v>
      </c>
      <c r="AJ145" s="119" t="n">
        <f aca="false">AJ143+AJ144</f>
        <v>113.589</v>
      </c>
      <c r="AK145" s="119" t="n">
        <f aca="false">AK143+AK144</f>
        <v>113.589</v>
      </c>
      <c r="AL145" s="119" t="n">
        <f aca="false">AL143+AL144</f>
        <v>102.453</v>
      </c>
      <c r="AM145" s="119" t="n">
        <f aca="false">AM143+AM144</f>
        <v>105.20925</v>
      </c>
      <c r="AN145" s="119" t="n">
        <f aca="false">AN143+AN144</f>
        <v>105.20925</v>
      </c>
      <c r="AO145" s="119" t="n">
        <f aca="false">AO143+AO144</f>
        <v>116.34525</v>
      </c>
      <c r="AP145" s="119" t="n">
        <f aca="false">AP143+AP144</f>
        <v>116.34525</v>
      </c>
      <c r="AQ145" s="119" t="n">
        <f aca="false">AQ143+AQ144</f>
        <v>116.34525</v>
      </c>
      <c r="AR145" s="119" t="n">
        <f aca="false">AR143+AR144</f>
        <v>116.34525</v>
      </c>
      <c r="AS145" s="119" t="n">
        <f aca="false">AS143+AS144</f>
        <v>116.34525</v>
      </c>
      <c r="AT145" s="119" t="n">
        <f aca="false">AT143+AT144</f>
        <v>116.34525</v>
      </c>
      <c r="AU145" s="119" t="n">
        <f aca="false">AU143+AU144</f>
        <v>116.34525</v>
      </c>
      <c r="AV145" s="119" t="n">
        <f aca="false">AV143+AV144</f>
        <v>116.34525</v>
      </c>
      <c r="AW145" s="119" t="n">
        <f aca="false">AW143+AW144</f>
        <v>116.34525</v>
      </c>
      <c r="AX145" s="119" t="n">
        <f aca="false">AX143+AX144</f>
        <v>105.20925</v>
      </c>
      <c r="AY145" s="119" t="n">
        <f aca="false">AY143+AY144</f>
        <v>108.1033125</v>
      </c>
      <c r="AZ145" s="119" t="n">
        <f aca="false">AZ143+AZ144</f>
        <v>108.1033125</v>
      </c>
      <c r="BA145" s="119" t="n">
        <f aca="false">BA143+BA144</f>
        <v>119.2393125</v>
      </c>
      <c r="BB145" s="119" t="n">
        <f aca="false">BB143+BB144</f>
        <v>119.2393125</v>
      </c>
      <c r="BC145" s="119" t="n">
        <f aca="false">BC143+BC144</f>
        <v>119.2393125</v>
      </c>
      <c r="BD145" s="119" t="n">
        <f aca="false">BD143+BD144</f>
        <v>119.2393125</v>
      </c>
      <c r="BE145" s="119" t="n">
        <f aca="false">BE143+BE144</f>
        <v>119.2393125</v>
      </c>
      <c r="BF145" s="119" t="n">
        <f aca="false">BF143+BF144</f>
        <v>119.2393125</v>
      </c>
      <c r="BG145" s="119" t="n">
        <f aca="false">BG143+BG144</f>
        <v>119.2393125</v>
      </c>
      <c r="BH145" s="119" t="n">
        <f aca="false">BH143+BH144</f>
        <v>119.2393125</v>
      </c>
      <c r="BI145" s="119" t="n">
        <f aca="false">BI143+BI144</f>
        <v>119.2393125</v>
      </c>
      <c r="BJ145" s="119" t="n">
        <f aca="false">BJ143+BJ144</f>
        <v>108.1033125</v>
      </c>
    </row>
    <row r="146" customFormat="false" ht="15" hidden="false" customHeight="false" outlineLevel="0" collapsed="false">
      <c r="A146" s="6" t="s">
        <v>424</v>
      </c>
      <c r="C146" s="120" t="n">
        <f aca="false">Inputs!$C$19</f>
        <v>250</v>
      </c>
      <c r="D146" s="117" t="n">
        <f aca="false">C148</f>
        <v>283.7976</v>
      </c>
      <c r="E146" s="117" t="n">
        <f aca="false">D148</f>
        <v>322.191118222222</v>
      </c>
      <c r="F146" s="117" t="n">
        <f aca="false">E148</f>
        <v>371.368984604444</v>
      </c>
      <c r="G146" s="117" t="n">
        <f aca="false">F148</f>
        <v>425.208091886933</v>
      </c>
      <c r="H146" s="117" t="n">
        <f aca="false">G148</f>
        <v>483.521990433678</v>
      </c>
      <c r="I146" s="117" t="n">
        <f aca="false">H148</f>
        <v>546.131688594109</v>
      </c>
      <c r="J146" s="117" t="n">
        <f aca="false">I148</f>
        <v>612.865354383678</v>
      </c>
      <c r="K146" s="117" t="n">
        <f aca="false">J148</f>
        <v>683.55802909722</v>
      </c>
      <c r="L146" s="117" t="n">
        <f aca="false">K148</f>
        <v>758.051352377775</v>
      </c>
      <c r="M146" s="117" t="n">
        <f aca="false">L148</f>
        <v>836.193298282664</v>
      </c>
      <c r="N146" s="117" t="n">
        <f aca="false">M148</f>
        <v>911.209566351358</v>
      </c>
      <c r="O146" s="117" t="n">
        <f aca="false">N148</f>
        <v>972.089183697303</v>
      </c>
      <c r="P146" s="117" t="n">
        <f aca="false">O148</f>
        <v>1033.03361634941</v>
      </c>
      <c r="Q146" s="117" t="n">
        <f aca="false">P148</f>
        <v>1091.54027169543</v>
      </c>
      <c r="R146" s="117" t="n">
        <f aca="false">Q148</f>
        <v>1158.84266082762</v>
      </c>
      <c r="S146" s="117" t="n">
        <f aca="false">R148</f>
        <v>1223.45295439451</v>
      </c>
      <c r="T146" s="117" t="n">
        <f aca="false">S148</f>
        <v>1285.47883621873</v>
      </c>
      <c r="U146" s="117" t="n">
        <f aca="false">T148</f>
        <v>1345.02368276998</v>
      </c>
      <c r="V146" s="117" t="n">
        <f aca="false">U148</f>
        <v>1402.18673545918</v>
      </c>
      <c r="W146" s="117" t="n">
        <f aca="false">V148</f>
        <v>1457.06326604082</v>
      </c>
      <c r="X146" s="117" t="n">
        <f aca="false">W148</f>
        <v>1509.74473539918</v>
      </c>
      <c r="Y146" s="117" t="n">
        <f aca="false">X148</f>
        <v>1560.31894598322</v>
      </c>
      <c r="Z146" s="117" t="n">
        <f aca="false">Y148</f>
        <v>1608.87018814389</v>
      </c>
      <c r="AA146" s="117" t="n">
        <f aca="false">Z148</f>
        <v>1644.34338061813</v>
      </c>
      <c r="AB146" s="117" t="n">
        <f aca="false">AA148</f>
        <v>1681.02264539341</v>
      </c>
      <c r="AC146" s="117" t="n">
        <f aca="false">AB148</f>
        <v>1716.23473957767</v>
      </c>
      <c r="AD146" s="117" t="n">
        <f aca="false">AC148</f>
        <v>1761.17434999456</v>
      </c>
      <c r="AE146" s="117" t="n">
        <f aca="false">AD148</f>
        <v>1804.31637599478</v>
      </c>
      <c r="AF146" s="117" t="n">
        <f aca="false">AE148</f>
        <v>1845.73272095499</v>
      </c>
      <c r="AG146" s="117" t="n">
        <f aca="false">AF148</f>
        <v>1885.49241211679</v>
      </c>
      <c r="AH146" s="117" t="n">
        <f aca="false">AG148</f>
        <v>1923.66171563212</v>
      </c>
      <c r="AI146" s="117" t="n">
        <f aca="false">AH148</f>
        <v>1960.30424700683</v>
      </c>
      <c r="AJ146" s="117" t="n">
        <f aca="false">AI148</f>
        <v>1995.48107712656</v>
      </c>
      <c r="AK146" s="117" t="n">
        <f aca="false">AJ148</f>
        <v>2029.2508340415</v>
      </c>
      <c r="AL146" s="117" t="n">
        <f aca="false">AK148</f>
        <v>2061.66980067984</v>
      </c>
      <c r="AM146" s="117" t="n">
        <f aca="false">AL148</f>
        <v>2081.65600865264</v>
      </c>
      <c r="AN146" s="117" t="n">
        <f aca="false">AM148</f>
        <v>2103.59901830654</v>
      </c>
      <c r="AO146" s="117" t="n">
        <f aca="false">AN148</f>
        <v>2124.66430757428</v>
      </c>
      <c r="AP146" s="117" t="n">
        <f aca="false">AO148</f>
        <v>2156.0229852713</v>
      </c>
      <c r="AQ146" s="117" t="n">
        <f aca="false">AP148</f>
        <v>2186.12731586045</v>
      </c>
      <c r="AR146" s="117" t="n">
        <f aca="false">AQ148</f>
        <v>2215.02747322603</v>
      </c>
      <c r="AS146" s="117" t="n">
        <f aca="false">AR148</f>
        <v>2242.77162429699</v>
      </c>
      <c r="AT146" s="117" t="n">
        <f aca="false">AS148</f>
        <v>2269.40600932511</v>
      </c>
      <c r="AU146" s="117" t="n">
        <f aca="false">AT148</f>
        <v>2294.97501895211</v>
      </c>
      <c r="AV146" s="117" t="n">
        <f aca="false">AU148</f>
        <v>2319.52126819402</v>
      </c>
      <c r="AW146" s="117" t="n">
        <f aca="false">AV148</f>
        <v>2343.08566746626</v>
      </c>
      <c r="AX146" s="117" t="n">
        <f aca="false">AW148</f>
        <v>2365.70749076761</v>
      </c>
      <c r="AY146" s="117" t="n">
        <f aca="false">AX148</f>
        <v>2376.28844113691</v>
      </c>
      <c r="AZ146" s="117" t="n">
        <f aca="false">AY148</f>
        <v>2389.34021599143</v>
      </c>
      <c r="BA146" s="117" t="n">
        <f aca="false">AZ148</f>
        <v>2401.86991985177</v>
      </c>
      <c r="BB146" s="117" t="n">
        <f aca="false">BA148</f>
        <v>2425.0344355577</v>
      </c>
      <c r="BC146" s="117" t="n">
        <f aca="false">BB148</f>
        <v>2447.27237063539</v>
      </c>
      <c r="BD146" s="117" t="n">
        <f aca="false">BC148</f>
        <v>2468.62078830998</v>
      </c>
      <c r="BE146" s="117" t="n">
        <f aca="false">BD148</f>
        <v>2489.11526927758</v>
      </c>
      <c r="BF146" s="117" t="n">
        <f aca="false">BE148</f>
        <v>2508.78997100648</v>
      </c>
      <c r="BG146" s="117" t="n">
        <f aca="false">BF148</f>
        <v>2527.67768466622</v>
      </c>
      <c r="BH146" s="117" t="n">
        <f aca="false">BG148</f>
        <v>2545.80988977957</v>
      </c>
      <c r="BI146" s="117" t="n">
        <f aca="false">BH148</f>
        <v>2563.21680668838</v>
      </c>
      <c r="BJ146" s="117" t="n">
        <f aca="false">BI148</f>
        <v>2579.92744692085</v>
      </c>
    </row>
    <row r="147" customFormat="false" ht="15" hidden="false" customHeight="false" outlineLevel="0" collapsed="false">
      <c r="A147" s="6" t="s">
        <v>425</v>
      </c>
      <c r="C147" s="117" t="n">
        <f aca="false">C148-C146-C145</f>
        <v>-10</v>
      </c>
      <c r="D147" s="117" t="n">
        <f aca="false">D148-D146-D145</f>
        <v>-11.351904</v>
      </c>
      <c r="E147" s="117" t="n">
        <f aca="false">E148-E146-E145</f>
        <v>-12.8876447288889</v>
      </c>
      <c r="F147" s="117" t="n">
        <f aca="false">F148-F146-F145</f>
        <v>-14.8547593841778</v>
      </c>
      <c r="G147" s="117" t="n">
        <f aca="false">G148-G146-G145</f>
        <v>-17.0083236754773</v>
      </c>
      <c r="H147" s="117" t="n">
        <f aca="false">H148-H146-H145</f>
        <v>-19.3408796173471</v>
      </c>
      <c r="I147" s="117" t="n">
        <f aca="false">I148-I146-I145</f>
        <v>-21.8452675437644</v>
      </c>
      <c r="J147" s="117" t="n">
        <f aca="false">J148-J146-J145</f>
        <v>-24.5146141753471</v>
      </c>
      <c r="K147" s="117" t="n">
        <f aca="false">K148-K146-K145</f>
        <v>-27.3423211638887</v>
      </c>
      <c r="L147" s="117" t="n">
        <f aca="false">L148-L146-L145</f>
        <v>-30.322054095111</v>
      </c>
      <c r="M147" s="117" t="n">
        <f aca="false">M148-M146-M145</f>
        <v>-33.4477319313067</v>
      </c>
      <c r="N147" s="117" t="n">
        <f aca="false">N148-N146-N145</f>
        <v>-36.4483826540543</v>
      </c>
      <c r="O147" s="117" t="n">
        <f aca="false">O148-O146-O145</f>
        <v>-38.8835673478921</v>
      </c>
      <c r="P147" s="117" t="n">
        <f aca="false">P148-P146-P145</f>
        <v>-41.3213446539765</v>
      </c>
      <c r="Q147" s="117" t="n">
        <f aca="false">Q148-Q146-Q145</f>
        <v>-43.6616108678175</v>
      </c>
      <c r="R147" s="117" t="n">
        <f aca="false">R148-R146-R145</f>
        <v>-46.3537064331047</v>
      </c>
      <c r="S147" s="117" t="n">
        <f aca="false">S148-S146-S145</f>
        <v>-48.9381181757806</v>
      </c>
      <c r="T147" s="117" t="n">
        <f aca="false">T148-T146-T145</f>
        <v>-51.4191534487493</v>
      </c>
      <c r="U147" s="117" t="n">
        <f aca="false">U148-U146-U145</f>
        <v>-53.8009473107994</v>
      </c>
      <c r="V147" s="117" t="n">
        <f aca="false">V148-V146-V145</f>
        <v>-56.0874694183675</v>
      </c>
      <c r="W147" s="117" t="n">
        <f aca="false">W148-W146-W145</f>
        <v>-58.2825306416328</v>
      </c>
      <c r="X147" s="117" t="n">
        <f aca="false">X148-X146-X145</f>
        <v>-60.3897894159675</v>
      </c>
      <c r="Y147" s="117" t="n">
        <f aca="false">Y148-Y146-Y145</f>
        <v>-62.4127578393287</v>
      </c>
      <c r="Z147" s="117" t="n">
        <f aca="false">Z148-Z146-Z145</f>
        <v>-64.3548075257557</v>
      </c>
      <c r="AA147" s="117" t="n">
        <f aca="false">AA148-AA146-AA145</f>
        <v>-65.7737352247252</v>
      </c>
      <c r="AB147" s="117" t="n">
        <f aca="false">AB148-AB146-AB145</f>
        <v>-67.2409058157364</v>
      </c>
      <c r="AC147" s="117" t="n">
        <f aca="false">AC148-AC146-AC145</f>
        <v>-68.6493895831068</v>
      </c>
      <c r="AD147" s="117" t="n">
        <f aca="false">AD148-AD146-AD145</f>
        <v>-70.4469739997826</v>
      </c>
      <c r="AE147" s="117" t="n">
        <f aca="false">AE148-AE146-AE145</f>
        <v>-72.1726550397912</v>
      </c>
      <c r="AF147" s="117" t="n">
        <f aca="false">AF148-AF146-AF145</f>
        <v>-73.8293088381998</v>
      </c>
      <c r="AG147" s="117" t="n">
        <f aca="false">AG148-AG146-AG145</f>
        <v>-75.4196964846718</v>
      </c>
      <c r="AH147" s="117" t="n">
        <f aca="false">AH148-AH146-AH145</f>
        <v>-76.9464686252848</v>
      </c>
      <c r="AI147" s="117" t="n">
        <f aca="false">AI148-AI146-AI145</f>
        <v>-78.4121698802733</v>
      </c>
      <c r="AJ147" s="117" t="n">
        <f aca="false">AJ148-AJ146-AJ145</f>
        <v>-79.8192430850625</v>
      </c>
      <c r="AK147" s="117" t="n">
        <f aca="false">AK148-AK146-AK145</f>
        <v>-81.1700333616601</v>
      </c>
      <c r="AL147" s="117" t="n">
        <f aca="false">AL148-AL146-AL145</f>
        <v>-82.4667920271936</v>
      </c>
      <c r="AM147" s="117" t="n">
        <f aca="false">AM148-AM146-AM145</f>
        <v>-83.266240346106</v>
      </c>
      <c r="AN147" s="117" t="n">
        <f aca="false">AN148-AN146-AN145</f>
        <v>-84.1439607322615</v>
      </c>
      <c r="AO147" s="117" t="n">
        <f aca="false">AO148-AO146-AO145</f>
        <v>-84.9865723029713</v>
      </c>
      <c r="AP147" s="117" t="n">
        <f aca="false">AP148-AP146-AP145</f>
        <v>-86.2409194108524</v>
      </c>
      <c r="AQ147" s="117" t="n">
        <f aca="false">AQ148-AQ146-AQ145</f>
        <v>-87.4450926344181</v>
      </c>
      <c r="AR147" s="117" t="n">
        <f aca="false">AR148-AR146-AR145</f>
        <v>-88.6010989290414</v>
      </c>
      <c r="AS147" s="117" t="n">
        <f aca="false">AS148-AS146-AS145</f>
        <v>-89.71086497188</v>
      </c>
      <c r="AT147" s="117" t="n">
        <f aca="false">AT148-AT146-AT145</f>
        <v>-90.7762403730045</v>
      </c>
      <c r="AU147" s="117" t="n">
        <f aca="false">AU148-AU146-AU145</f>
        <v>-91.7990007580844</v>
      </c>
      <c r="AV147" s="117" t="n">
        <f aca="false">AV148-AV146-AV145</f>
        <v>-92.7808507277611</v>
      </c>
      <c r="AW147" s="117" t="n">
        <f aca="false">AW148-AW146-AW145</f>
        <v>-93.7234266986508</v>
      </c>
      <c r="AX147" s="117" t="n">
        <f aca="false">AX148-AX146-AX145</f>
        <v>-94.6282996307047</v>
      </c>
      <c r="AY147" s="117" t="n">
        <f aca="false">AY148-AY146-AY145</f>
        <v>-95.0515376454765</v>
      </c>
      <c r="AZ147" s="117" t="n">
        <f aca="false">AZ148-AZ146-AZ145</f>
        <v>-95.5736086396574</v>
      </c>
      <c r="BA147" s="117" t="n">
        <f aca="false">BA148-BA146-BA145</f>
        <v>-96.0747967940712</v>
      </c>
      <c r="BB147" s="117" t="n">
        <f aca="false">BB148-BB146-BB145</f>
        <v>-97.0013774223081</v>
      </c>
      <c r="BC147" s="117" t="n">
        <f aca="false">BC148-BC146-BC145</f>
        <v>-97.8908948254158</v>
      </c>
      <c r="BD147" s="117" t="n">
        <f aca="false">BD148-BD146-BD145</f>
        <v>-98.7448315323992</v>
      </c>
      <c r="BE147" s="117" t="n">
        <f aca="false">BE148-BE146-BE145</f>
        <v>-99.5646107711033</v>
      </c>
      <c r="BF147" s="117" t="n">
        <f aca="false">BF148-BF146-BF145</f>
        <v>-100.351598840259</v>
      </c>
      <c r="BG147" s="117" t="n">
        <f aca="false">BG148-BG146-BG145</f>
        <v>-101.107107386649</v>
      </c>
      <c r="BH147" s="117" t="n">
        <f aca="false">BH148-BH146-BH145</f>
        <v>-101.832395591183</v>
      </c>
      <c r="BI147" s="117" t="n">
        <f aca="false">BI148-BI146-BI145</f>
        <v>-102.528672267536</v>
      </c>
      <c r="BJ147" s="117" t="n">
        <f aca="false">BJ148-BJ146-BJ145</f>
        <v>-103.197097876834</v>
      </c>
    </row>
    <row r="148" customFormat="false" ht="15" hidden="false" customHeight="false" outlineLevel="0" collapsed="false">
      <c r="A148" s="4" t="s">
        <v>426</v>
      </c>
      <c r="C148" s="119" t="n">
        <f aca="false">C146*(1-Inputs!$C$23)+C145</f>
        <v>283.7976</v>
      </c>
      <c r="D148" s="119" t="n">
        <f aca="false">D146*(1-Inputs!$C$23)+D145</f>
        <v>322.191118222222</v>
      </c>
      <c r="E148" s="119" t="n">
        <f aca="false">E146*(1-Inputs!$C$23)+E145</f>
        <v>371.368984604444</v>
      </c>
      <c r="F148" s="119" t="n">
        <f aca="false">F146*(1-Inputs!$C$23)+F145</f>
        <v>425.208091886933</v>
      </c>
      <c r="G148" s="119" t="n">
        <f aca="false">G146*(1-Inputs!$C$23)+G145</f>
        <v>483.521990433678</v>
      </c>
      <c r="H148" s="119" t="n">
        <f aca="false">H146*(1-Inputs!$C$23)+H145</f>
        <v>546.131688594109</v>
      </c>
      <c r="I148" s="119" t="n">
        <f aca="false">I146*(1-Inputs!$C$23)+I145</f>
        <v>612.865354383678</v>
      </c>
      <c r="J148" s="119" t="n">
        <f aca="false">J146*(1-Inputs!$C$23)+J145</f>
        <v>683.55802909722</v>
      </c>
      <c r="K148" s="119" t="n">
        <f aca="false">K146*(1-Inputs!$C$23)+K145</f>
        <v>758.051352377775</v>
      </c>
      <c r="L148" s="119" t="n">
        <f aca="false">L146*(1-Inputs!$C$23)+L145</f>
        <v>836.193298282664</v>
      </c>
      <c r="M148" s="119" t="n">
        <f aca="false">M146*(1-Inputs!$C$23)+M145</f>
        <v>911.209566351358</v>
      </c>
      <c r="N148" s="119" t="n">
        <f aca="false">N146*(1-Inputs!$C$23)+N145</f>
        <v>972.089183697303</v>
      </c>
      <c r="O148" s="119" t="n">
        <f aca="false">O146*(1-Inputs!$C$23)+O145</f>
        <v>1033.03361634941</v>
      </c>
      <c r="P148" s="119" t="n">
        <f aca="false">P146*(1-Inputs!$C$23)+P145</f>
        <v>1091.54027169543</v>
      </c>
      <c r="Q148" s="119" t="n">
        <f aca="false">Q146*(1-Inputs!$C$23)+Q145</f>
        <v>1158.84266082762</v>
      </c>
      <c r="R148" s="119" t="n">
        <f aca="false">R146*(1-Inputs!$C$23)+R145</f>
        <v>1223.45295439451</v>
      </c>
      <c r="S148" s="119" t="n">
        <f aca="false">S146*(1-Inputs!$C$23)+S145</f>
        <v>1285.47883621873</v>
      </c>
      <c r="T148" s="119" t="n">
        <f aca="false">T146*(1-Inputs!$C$23)+T145</f>
        <v>1345.02368276998</v>
      </c>
      <c r="U148" s="119" t="n">
        <f aca="false">U146*(1-Inputs!$C$23)+U145</f>
        <v>1402.18673545918</v>
      </c>
      <c r="V148" s="119" t="n">
        <f aca="false">V146*(1-Inputs!$C$23)+V145</f>
        <v>1457.06326604082</v>
      </c>
      <c r="W148" s="119" t="n">
        <f aca="false">W146*(1-Inputs!$C$23)+W145</f>
        <v>1509.74473539918</v>
      </c>
      <c r="X148" s="119" t="n">
        <f aca="false">X146*(1-Inputs!$C$23)+X145</f>
        <v>1560.31894598322</v>
      </c>
      <c r="Y148" s="119" t="n">
        <f aca="false">Y146*(1-Inputs!$C$23)+Y145</f>
        <v>1608.87018814389</v>
      </c>
      <c r="Z148" s="119" t="n">
        <f aca="false">Z146*(1-Inputs!$C$23)+Z145</f>
        <v>1644.34338061813</v>
      </c>
      <c r="AA148" s="119" t="n">
        <f aca="false">AA146*(1-Inputs!$C$23)+AA145</f>
        <v>1681.02264539341</v>
      </c>
      <c r="AB148" s="119" t="n">
        <f aca="false">AB146*(1-Inputs!$C$23)+AB145</f>
        <v>1716.23473957767</v>
      </c>
      <c r="AC148" s="119" t="n">
        <f aca="false">AC146*(1-Inputs!$C$23)+AC145</f>
        <v>1761.17434999456</v>
      </c>
      <c r="AD148" s="119" t="n">
        <f aca="false">AD146*(1-Inputs!$C$23)+AD145</f>
        <v>1804.31637599478</v>
      </c>
      <c r="AE148" s="119" t="n">
        <f aca="false">AE146*(1-Inputs!$C$23)+AE145</f>
        <v>1845.73272095499</v>
      </c>
      <c r="AF148" s="119" t="n">
        <f aca="false">AF146*(1-Inputs!$C$23)+AF145</f>
        <v>1885.49241211679</v>
      </c>
      <c r="AG148" s="119" t="n">
        <f aca="false">AG146*(1-Inputs!$C$23)+AG145</f>
        <v>1923.66171563212</v>
      </c>
      <c r="AH148" s="119" t="n">
        <f aca="false">AH146*(1-Inputs!$C$23)+AH145</f>
        <v>1960.30424700683</v>
      </c>
      <c r="AI148" s="119" t="n">
        <f aca="false">AI146*(1-Inputs!$C$23)+AI145</f>
        <v>1995.48107712656</v>
      </c>
      <c r="AJ148" s="119" t="n">
        <f aca="false">AJ146*(1-Inputs!$C$23)+AJ145</f>
        <v>2029.2508340415</v>
      </c>
      <c r="AK148" s="119" t="n">
        <f aca="false">AK146*(1-Inputs!$C$23)+AK145</f>
        <v>2061.66980067984</v>
      </c>
      <c r="AL148" s="119" t="n">
        <f aca="false">AL146*(1-Inputs!$C$23)+AL145</f>
        <v>2081.65600865264</v>
      </c>
      <c r="AM148" s="119" t="n">
        <f aca="false">AM146*(1-Inputs!$C$23)+AM145</f>
        <v>2103.59901830654</v>
      </c>
      <c r="AN148" s="119" t="n">
        <f aca="false">AN146*(1-Inputs!$C$23)+AN145</f>
        <v>2124.66430757428</v>
      </c>
      <c r="AO148" s="119" t="n">
        <f aca="false">AO146*(1-Inputs!$C$23)+AO145</f>
        <v>2156.0229852713</v>
      </c>
      <c r="AP148" s="119" t="n">
        <f aca="false">AP146*(1-Inputs!$C$23)+AP145</f>
        <v>2186.12731586045</v>
      </c>
      <c r="AQ148" s="119" t="n">
        <f aca="false">AQ146*(1-Inputs!$C$23)+AQ145</f>
        <v>2215.02747322603</v>
      </c>
      <c r="AR148" s="119" t="n">
        <f aca="false">AR146*(1-Inputs!$C$23)+AR145</f>
        <v>2242.77162429699</v>
      </c>
      <c r="AS148" s="119" t="n">
        <f aca="false">AS146*(1-Inputs!$C$23)+AS145</f>
        <v>2269.40600932511</v>
      </c>
      <c r="AT148" s="119" t="n">
        <f aca="false">AT146*(1-Inputs!$C$23)+AT145</f>
        <v>2294.97501895211</v>
      </c>
      <c r="AU148" s="119" t="n">
        <f aca="false">AU146*(1-Inputs!$C$23)+AU145</f>
        <v>2319.52126819402</v>
      </c>
      <c r="AV148" s="119" t="n">
        <f aca="false">AV146*(1-Inputs!$C$23)+AV145</f>
        <v>2343.08566746626</v>
      </c>
      <c r="AW148" s="119" t="n">
        <f aca="false">AW146*(1-Inputs!$C$23)+AW145</f>
        <v>2365.70749076761</v>
      </c>
      <c r="AX148" s="119" t="n">
        <f aca="false">AX146*(1-Inputs!$C$23)+AX145</f>
        <v>2376.28844113691</v>
      </c>
      <c r="AY148" s="119" t="n">
        <f aca="false">AY146*(1-Inputs!$C$23)+AY145</f>
        <v>2389.34021599143</v>
      </c>
      <c r="AZ148" s="119" t="n">
        <f aca="false">AZ146*(1-Inputs!$C$23)+AZ145</f>
        <v>2401.86991985177</v>
      </c>
      <c r="BA148" s="119" t="n">
        <f aca="false">BA146*(1-Inputs!$C$23)+BA145</f>
        <v>2425.0344355577</v>
      </c>
      <c r="BB148" s="119" t="n">
        <f aca="false">BB146*(1-Inputs!$C$23)+BB145</f>
        <v>2447.27237063539</v>
      </c>
      <c r="BC148" s="119" t="n">
        <f aca="false">BC146*(1-Inputs!$C$23)+BC145</f>
        <v>2468.62078830998</v>
      </c>
      <c r="BD148" s="119" t="n">
        <f aca="false">BD146*(1-Inputs!$C$23)+BD145</f>
        <v>2489.11526927758</v>
      </c>
      <c r="BE148" s="119" t="n">
        <f aca="false">BE146*(1-Inputs!$C$23)+BE145</f>
        <v>2508.78997100648</v>
      </c>
      <c r="BF148" s="119" t="n">
        <f aca="false">BF146*(1-Inputs!$C$23)+BF145</f>
        <v>2527.67768466622</v>
      </c>
      <c r="BG148" s="119" t="n">
        <f aca="false">BG146*(1-Inputs!$C$23)+BG145</f>
        <v>2545.80988977957</v>
      </c>
      <c r="BH148" s="119" t="n">
        <f aca="false">BH146*(1-Inputs!$C$23)+BH145</f>
        <v>2563.21680668838</v>
      </c>
      <c r="BI148" s="119" t="n">
        <f aca="false">BI146*(1-Inputs!$C$23)+BI145</f>
        <v>2579.92744692085</v>
      </c>
      <c r="BJ148" s="119" t="n">
        <f aca="false">BJ146*(1-Inputs!$C$23)+BJ145</f>
        <v>2584.83366154401</v>
      </c>
    </row>
    <row r="149" customFormat="false" ht="15" hidden="false" customHeight="false" outlineLevel="0" collapsed="false">
      <c r="A149" s="6" t="s">
        <v>427</v>
      </c>
      <c r="C149" s="117" t="n">
        <f aca="false">(C146+C148)/2</f>
        <v>266.8988</v>
      </c>
      <c r="D149" s="117" t="n">
        <f aca="false">(D146+D148)/2</f>
        <v>302.994359111111</v>
      </c>
      <c r="E149" s="117" t="n">
        <f aca="false">(E146+E148)/2</f>
        <v>346.780051413333</v>
      </c>
      <c r="F149" s="117" t="n">
        <f aca="false">(F146+F148)/2</f>
        <v>398.288538245689</v>
      </c>
      <c r="G149" s="117" t="n">
        <f aca="false">(G146+G148)/2</f>
        <v>454.365041160306</v>
      </c>
      <c r="H149" s="117" t="n">
        <f aca="false">(H146+H148)/2</f>
        <v>514.826839513893</v>
      </c>
      <c r="I149" s="117" t="n">
        <f aca="false">(I146+I148)/2</f>
        <v>579.498521488893</v>
      </c>
      <c r="J149" s="117" t="n">
        <f aca="false">(J146+J148)/2</f>
        <v>648.211691740449</v>
      </c>
      <c r="K149" s="117" t="n">
        <f aca="false">(K146+K148)/2</f>
        <v>720.804690737497</v>
      </c>
      <c r="L149" s="117" t="n">
        <f aca="false">(L146+L148)/2</f>
        <v>797.12232533022</v>
      </c>
      <c r="M149" s="117" t="n">
        <f aca="false">(M146+M148)/2</f>
        <v>873.701432317011</v>
      </c>
      <c r="N149" s="117" t="n">
        <f aca="false">(N146+N148)/2</f>
        <v>941.64937502433</v>
      </c>
      <c r="O149" s="117" t="n">
        <f aca="false">(O146+O148)/2</f>
        <v>1002.56140002336</v>
      </c>
      <c r="P149" s="117" t="n">
        <f aca="false">(P146+P148)/2</f>
        <v>1062.28694402242</v>
      </c>
      <c r="Q149" s="117" t="n">
        <f aca="false">(Q146+Q148)/2</f>
        <v>1125.19146626153</v>
      </c>
      <c r="R149" s="117" t="n">
        <f aca="false">(R146+R148)/2</f>
        <v>1191.14780761106</v>
      </c>
      <c r="S149" s="117" t="n">
        <f aca="false">(S146+S148)/2</f>
        <v>1254.46589530662</v>
      </c>
      <c r="T149" s="117" t="n">
        <f aca="false">(T146+T148)/2</f>
        <v>1315.25125949436</v>
      </c>
      <c r="U149" s="117" t="n">
        <f aca="false">(U146+U148)/2</f>
        <v>1373.60520911458</v>
      </c>
      <c r="V149" s="117" t="n">
        <f aca="false">(V146+V148)/2</f>
        <v>1429.62500075</v>
      </c>
      <c r="W149" s="117" t="n">
        <f aca="false">(W146+W148)/2</f>
        <v>1483.40400072</v>
      </c>
      <c r="X149" s="117" t="n">
        <f aca="false">(X146+X148)/2</f>
        <v>1535.0318406912</v>
      </c>
      <c r="Y149" s="117" t="n">
        <f aca="false">(Y146+Y148)/2</f>
        <v>1584.59456706355</v>
      </c>
      <c r="Z149" s="117" t="n">
        <f aca="false">(Z146+Z148)/2</f>
        <v>1626.60678438101</v>
      </c>
      <c r="AA149" s="117" t="n">
        <f aca="false">(AA146+AA148)/2</f>
        <v>1662.68301300577</v>
      </c>
      <c r="AB149" s="117" t="n">
        <f aca="false">(AB146+AB148)/2</f>
        <v>1698.62869248554</v>
      </c>
      <c r="AC149" s="117" t="n">
        <f aca="false">(AC146+AC148)/2</f>
        <v>1738.70454478612</v>
      </c>
      <c r="AD149" s="117" t="n">
        <f aca="false">(AD146+AD148)/2</f>
        <v>1782.74536299467</v>
      </c>
      <c r="AE149" s="117" t="n">
        <f aca="false">(AE146+AE148)/2</f>
        <v>1825.02454847488</v>
      </c>
      <c r="AF149" s="117" t="n">
        <f aca="false">(AF146+AF148)/2</f>
        <v>1865.61256653589</v>
      </c>
      <c r="AG149" s="117" t="n">
        <f aca="false">(AG146+AG148)/2</f>
        <v>1904.57706387445</v>
      </c>
      <c r="AH149" s="117" t="n">
        <f aca="false">(AH146+AH148)/2</f>
        <v>1941.98298131947</v>
      </c>
      <c r="AI149" s="117" t="n">
        <f aca="false">(AI146+AI148)/2</f>
        <v>1977.8926620667</v>
      </c>
      <c r="AJ149" s="117" t="n">
        <f aca="false">(AJ146+AJ148)/2</f>
        <v>2012.36595558403</v>
      </c>
      <c r="AK149" s="117" t="n">
        <f aca="false">(AK146+AK148)/2</f>
        <v>2045.46031736067</v>
      </c>
      <c r="AL149" s="117" t="n">
        <f aca="false">(AL146+AL148)/2</f>
        <v>2071.66290466624</v>
      </c>
      <c r="AM149" s="117" t="n">
        <f aca="false">(AM146+AM148)/2</f>
        <v>2092.62751347959</v>
      </c>
      <c r="AN149" s="117" t="n">
        <f aca="false">(AN146+AN148)/2</f>
        <v>2114.13166294041</v>
      </c>
      <c r="AO149" s="117" t="n">
        <f aca="false">(AO146+AO148)/2</f>
        <v>2140.34364642279</v>
      </c>
      <c r="AP149" s="117" t="n">
        <f aca="false">(AP146+AP148)/2</f>
        <v>2171.07515056588</v>
      </c>
      <c r="AQ149" s="117" t="n">
        <f aca="false">(AQ146+AQ148)/2</f>
        <v>2200.57739454324</v>
      </c>
      <c r="AR149" s="117" t="n">
        <f aca="false">(AR146+AR148)/2</f>
        <v>2228.89954876151</v>
      </c>
      <c r="AS149" s="117" t="n">
        <f aca="false">(AS146+AS148)/2</f>
        <v>2256.08881681105</v>
      </c>
      <c r="AT149" s="117" t="n">
        <f aca="false">(AT146+AT148)/2</f>
        <v>2282.19051413861</v>
      </c>
      <c r="AU149" s="117" t="n">
        <f aca="false">(AU146+AU148)/2</f>
        <v>2307.24814357307</v>
      </c>
      <c r="AV149" s="117" t="n">
        <f aca="false">(AV146+AV148)/2</f>
        <v>2331.30346783014</v>
      </c>
      <c r="AW149" s="117" t="n">
        <f aca="false">(AW146+AW148)/2</f>
        <v>2354.39657911694</v>
      </c>
      <c r="AX149" s="117" t="n">
        <f aca="false">(AX146+AX148)/2</f>
        <v>2370.99796595226</v>
      </c>
      <c r="AY149" s="117" t="n">
        <f aca="false">(AY146+AY148)/2</f>
        <v>2382.81432856417</v>
      </c>
      <c r="AZ149" s="117" t="n">
        <f aca="false">(AZ146+AZ148)/2</f>
        <v>2395.6050679216</v>
      </c>
      <c r="BA149" s="117" t="n">
        <f aca="false">(BA146+BA148)/2</f>
        <v>2413.45217770474</v>
      </c>
      <c r="BB149" s="117" t="n">
        <f aca="false">(BB146+BB148)/2</f>
        <v>2436.15340309655</v>
      </c>
      <c r="BC149" s="117" t="n">
        <f aca="false">(BC146+BC148)/2</f>
        <v>2457.94657947269</v>
      </c>
      <c r="BD149" s="117" t="n">
        <f aca="false">(BD146+BD148)/2</f>
        <v>2478.86802879378</v>
      </c>
      <c r="BE149" s="117" t="n">
        <f aca="false">(BE146+BE148)/2</f>
        <v>2498.95262014203</v>
      </c>
      <c r="BF149" s="117" t="n">
        <f aca="false">(BF146+BF148)/2</f>
        <v>2518.23382783635</v>
      </c>
      <c r="BG149" s="117" t="n">
        <f aca="false">(BG146+BG148)/2</f>
        <v>2536.74378722289</v>
      </c>
      <c r="BH149" s="117" t="n">
        <f aca="false">(BH146+BH148)/2</f>
        <v>2554.51334823398</v>
      </c>
      <c r="BI149" s="117" t="n">
        <f aca="false">(BI146+BI148)/2</f>
        <v>2571.57212680462</v>
      </c>
      <c r="BJ149" s="117" t="n">
        <f aca="false">(BJ146+BJ148)/2</f>
        <v>2582.38055423243</v>
      </c>
    </row>
    <row r="151" customFormat="false" ht="15.75" hidden="false" customHeight="true" outlineLevel="0" collapsed="false">
      <c r="A151" s="7" t="s">
        <v>428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customFormat="false" ht="15" hidden="false" customHeight="false" outlineLevel="0" collapsed="false">
      <c r="A152" s="6" t="s">
        <v>429</v>
      </c>
      <c r="C152" s="118" t="n">
        <f aca="false">C149*Inputs!$C$24*C139*1</f>
        <v>794.02393</v>
      </c>
      <c r="D152" s="118" t="n">
        <f aca="false">D149*Inputs!$C$24*D139*1</f>
        <v>901.408218355555</v>
      </c>
      <c r="E152" s="118" t="n">
        <f aca="false">E149*Inputs!$C$24*E139*1</f>
        <v>1274.416688944</v>
      </c>
      <c r="F152" s="118" t="n">
        <f aca="false">F149*Inputs!$C$24*F139*1</f>
        <v>1463.71037805291</v>
      </c>
      <c r="G152" s="118" t="n">
        <f aca="false">G149*Inputs!$C$24*G139*1</f>
        <v>1669.79152626412</v>
      </c>
      <c r="H152" s="118" t="n">
        <f aca="false">H149*Inputs!$C$24*H139*1</f>
        <v>1891.98863521356</v>
      </c>
      <c r="I152" s="118" t="n">
        <f aca="false">I149*Inputs!$C$24*I139*1</f>
        <v>2129.65706647168</v>
      </c>
      <c r="J152" s="118" t="n">
        <f aca="false">J149*Inputs!$C$24*J139*1</f>
        <v>2382.17796714615</v>
      </c>
      <c r="K152" s="118" t="n">
        <f aca="false">K149*Inputs!$C$24*K139*1</f>
        <v>2648.9572384603</v>
      </c>
      <c r="L152" s="118" t="n">
        <f aca="false">L149*Inputs!$C$24*L139*1</f>
        <v>2929.42454558856</v>
      </c>
      <c r="M152" s="118" t="n">
        <f aca="false">M149*Inputs!$C$24*M139*1</f>
        <v>3210.85276376502</v>
      </c>
      <c r="N152" s="118" t="n">
        <f aca="false">N149*Inputs!$C$24*N139*1</f>
        <v>2801.40689069738</v>
      </c>
      <c r="O152" s="118" t="n">
        <f aca="false">O149*Inputs!$C$24*O139*1</f>
        <v>2982.62016506949</v>
      </c>
      <c r="P152" s="118" t="n">
        <f aca="false">P149*Inputs!$C$24*P139*1</f>
        <v>3160.30365846671</v>
      </c>
      <c r="Q152" s="118" t="n">
        <f aca="false">Q149*Inputs!$C$24*Q139*1</f>
        <v>4135.07863851111</v>
      </c>
      <c r="R152" s="118" t="n">
        <f aca="false">R149*Inputs!$C$24*R139*1</f>
        <v>4377.46819297066</v>
      </c>
      <c r="S152" s="118" t="n">
        <f aca="false">S149*Inputs!$C$24*S139*1</f>
        <v>4610.16216525184</v>
      </c>
      <c r="T152" s="118" t="n">
        <f aca="false">T149*Inputs!$C$24*T139*1</f>
        <v>4833.54837864176</v>
      </c>
      <c r="U152" s="118" t="n">
        <f aca="false">U149*Inputs!$C$24*U139*1</f>
        <v>5047.99914349609</v>
      </c>
      <c r="V152" s="118" t="n">
        <f aca="false">V149*Inputs!$C$24*V139*1</f>
        <v>5253.87187775625</v>
      </c>
      <c r="W152" s="118" t="n">
        <f aca="false">W149*Inputs!$C$24*W139*1</f>
        <v>5451.509702646</v>
      </c>
      <c r="X152" s="118" t="n">
        <f aca="false">X149*Inputs!$C$24*X139*1</f>
        <v>5641.24201454016</v>
      </c>
      <c r="Y152" s="118" t="n">
        <f aca="false">Y149*Inputs!$C$24*Y139*1</f>
        <v>5823.38503395855</v>
      </c>
      <c r="Z152" s="118" t="n">
        <f aca="false">Z149*Inputs!$C$24*Z139*1</f>
        <v>4839.1551835335</v>
      </c>
      <c r="AA152" s="118" t="n">
        <f aca="false">AA149*Inputs!$C$24*AA139*1</f>
        <v>4946.48196369216</v>
      </c>
      <c r="AB152" s="118" t="n">
        <f aca="false">AB149*Inputs!$C$24*AB139*1</f>
        <v>5053.42036014447</v>
      </c>
      <c r="AC152" s="118" t="n">
        <f aca="false">AC149*Inputs!$C$24*AC139*1</f>
        <v>6389.73920208898</v>
      </c>
      <c r="AD152" s="118" t="n">
        <f aca="false">AD149*Inputs!$C$24*AD139*1</f>
        <v>6551.58920900542</v>
      </c>
      <c r="AE152" s="118" t="n">
        <f aca="false">AE149*Inputs!$C$24*AE139*1</f>
        <v>6706.9652156452</v>
      </c>
      <c r="AF152" s="118" t="n">
        <f aca="false">AF149*Inputs!$C$24*AF139*1</f>
        <v>6856.12618201939</v>
      </c>
      <c r="AG152" s="118" t="n">
        <f aca="false">AG149*Inputs!$C$24*AG139*1</f>
        <v>6999.32070973862</v>
      </c>
      <c r="AH152" s="118" t="n">
        <f aca="false">AH149*Inputs!$C$24*AH139*1</f>
        <v>7136.78745634907</v>
      </c>
      <c r="AI152" s="118" t="n">
        <f aca="false">AI149*Inputs!$C$24*AI139*1</f>
        <v>7268.75553309511</v>
      </c>
      <c r="AJ152" s="118" t="n">
        <f aca="false">AJ149*Inputs!$C$24*AJ139*1</f>
        <v>7395.4448867713</v>
      </c>
      <c r="AK152" s="118" t="n">
        <f aca="false">AK149*Inputs!$C$24*AK139*1</f>
        <v>7517.06666630045</v>
      </c>
      <c r="AL152" s="118" t="n">
        <f aca="false">AL149*Inputs!$C$24*AL139*1</f>
        <v>6163.19714138206</v>
      </c>
      <c r="AM152" s="118" t="n">
        <f aca="false">AM149*Inputs!$C$24*AM139*1</f>
        <v>6225.56685260178</v>
      </c>
      <c r="AN152" s="118" t="n">
        <f aca="false">AN149*Inputs!$C$24*AN139*1</f>
        <v>6289.54169724771</v>
      </c>
      <c r="AO152" s="118" t="n">
        <f aca="false">AO149*Inputs!$C$24*AO139*1</f>
        <v>7865.76290060375</v>
      </c>
      <c r="AP152" s="118" t="n">
        <f aca="false">AP149*Inputs!$C$24*AP139*1</f>
        <v>7978.7011783296</v>
      </c>
      <c r="AQ152" s="118" t="n">
        <f aca="false">AQ149*Inputs!$C$24*AQ139*1</f>
        <v>8087.12192494642</v>
      </c>
      <c r="AR152" s="118" t="n">
        <f aca="false">AR149*Inputs!$C$24*AR139*1</f>
        <v>8191.20584169856</v>
      </c>
      <c r="AS152" s="118" t="n">
        <f aca="false">AS149*Inputs!$C$24*AS139*1</f>
        <v>8291.12640178062</v>
      </c>
      <c r="AT152" s="118" t="n">
        <f aca="false">AT149*Inputs!$C$24*AT139*1</f>
        <v>8387.05013945939</v>
      </c>
      <c r="AU152" s="118" t="n">
        <f aca="false">AU149*Inputs!$C$24*AU139*1</f>
        <v>8479.13692763102</v>
      </c>
      <c r="AV152" s="118" t="n">
        <f aca="false">AV149*Inputs!$C$24*AV139*1</f>
        <v>8567.54024427578</v>
      </c>
      <c r="AW152" s="118" t="n">
        <f aca="false">AW149*Inputs!$C$24*AW139*1</f>
        <v>8652.40742825474</v>
      </c>
      <c r="AX152" s="118" t="n">
        <f aca="false">AX149*Inputs!$C$24*AX139*1</f>
        <v>7053.71894870797</v>
      </c>
      <c r="AY152" s="118" t="n">
        <f aca="false">AY149*Inputs!$C$24*AY139*1</f>
        <v>7088.8726274784</v>
      </c>
      <c r="AZ152" s="118" t="n">
        <f aca="false">AZ149*Inputs!$C$24*AZ139*1</f>
        <v>7126.92507706676</v>
      </c>
      <c r="BA152" s="118" t="n">
        <f aca="false">BA149*Inputs!$C$24*BA139*1</f>
        <v>8869.43675306491</v>
      </c>
      <c r="BB152" s="118" t="n">
        <f aca="false">BB149*Inputs!$C$24*BB139*1</f>
        <v>8952.86375637981</v>
      </c>
      <c r="BC152" s="118" t="n">
        <f aca="false">BC149*Inputs!$C$24*BC139*1</f>
        <v>9032.95367956212</v>
      </c>
      <c r="BD152" s="118" t="n">
        <f aca="false">BD149*Inputs!$C$24*BD139*1</f>
        <v>9109.84000581714</v>
      </c>
      <c r="BE152" s="118" t="n">
        <f aca="false">BE149*Inputs!$C$24*BE139*1</f>
        <v>9183.65087902195</v>
      </c>
      <c r="BF152" s="118" t="n">
        <f aca="false">BF149*Inputs!$C$24*BF139*1</f>
        <v>9254.50931729857</v>
      </c>
      <c r="BG152" s="118" t="n">
        <f aca="false">BG149*Inputs!$C$24*BG139*1</f>
        <v>9322.53341804413</v>
      </c>
      <c r="BH152" s="118" t="n">
        <f aca="false">BH149*Inputs!$C$24*BH139*1</f>
        <v>9387.83655475986</v>
      </c>
      <c r="BI152" s="118" t="n">
        <f aca="false">BI149*Inputs!$C$24*BI139*1</f>
        <v>9450.52756600696</v>
      </c>
      <c r="BJ152" s="118" t="n">
        <f aca="false">BJ149*Inputs!$C$24*BJ139*1</f>
        <v>7682.58214884148</v>
      </c>
    </row>
    <row r="153" customFormat="false" ht="15" hidden="false" customHeight="false" outlineLevel="0" collapsed="false">
      <c r="A153" s="6" t="s">
        <v>430</v>
      </c>
      <c r="C153" s="118" t="n">
        <f aca="false">Inputs!$C$14*Inputs!$C$15*Inputs!$C$16*Inputs!$C$8*1</f>
        <v>24563</v>
      </c>
      <c r="D153" s="118" t="n">
        <f aca="false">Inputs!$C$14*Inputs!$C$15*Inputs!$C$16*Inputs!$C$8*1</f>
        <v>24563</v>
      </c>
      <c r="E153" s="118" t="n">
        <f aca="false">Inputs!$C$14*Inputs!$C$15*Inputs!$C$16*Inputs!$C$8*1</f>
        <v>24563</v>
      </c>
      <c r="F153" s="118" t="n">
        <f aca="false">Inputs!$C$14*Inputs!$C$15*Inputs!$C$16*Inputs!$C$8*1</f>
        <v>24563</v>
      </c>
      <c r="G153" s="118" t="n">
        <f aca="false">Inputs!$C$14*Inputs!$C$15*Inputs!$C$16*Inputs!$C$8*1</f>
        <v>24563</v>
      </c>
      <c r="H153" s="118" t="n">
        <f aca="false">Inputs!$C$14*Inputs!$C$15*Inputs!$C$16*Inputs!$C$8*1</f>
        <v>24563</v>
      </c>
      <c r="I153" s="118" t="n">
        <f aca="false">Inputs!$C$14*Inputs!$C$15*Inputs!$C$16*Inputs!$C$8*1</f>
        <v>24563</v>
      </c>
      <c r="J153" s="118" t="n">
        <f aca="false">Inputs!$C$14*Inputs!$C$15*Inputs!$C$16*Inputs!$C$8*1</f>
        <v>24563</v>
      </c>
      <c r="K153" s="118" t="n">
        <f aca="false">Inputs!$C$14*Inputs!$C$15*Inputs!$C$16*Inputs!$C$8*1</f>
        <v>24563</v>
      </c>
      <c r="L153" s="118" t="n">
        <f aca="false">Inputs!$C$14*Inputs!$C$15*Inputs!$C$16*Inputs!$C$8*1</f>
        <v>24563</v>
      </c>
      <c r="M153" s="118" t="n">
        <f aca="false">Inputs!$C$14*Inputs!$C$15*Inputs!$C$16*Inputs!$C$8*1</f>
        <v>24563</v>
      </c>
      <c r="N153" s="118" t="n">
        <f aca="false">Inputs!$C$14*Inputs!$C$15*Inputs!$C$16*Inputs!$C$8*1</f>
        <v>24563</v>
      </c>
      <c r="O153" s="118" t="n">
        <f aca="false">Inputs!$C$14*Inputs!$C$15*Inputs!$C$16*Inputs!$C$8*1</f>
        <v>24563</v>
      </c>
      <c r="P153" s="118" t="n">
        <f aca="false">Inputs!$C$14*Inputs!$C$15*Inputs!$C$16*Inputs!$C$8*1</f>
        <v>24563</v>
      </c>
      <c r="Q153" s="118" t="n">
        <f aca="false">Inputs!$C$14*Inputs!$C$15*Inputs!$C$16*Inputs!$C$8*1</f>
        <v>24563</v>
      </c>
      <c r="R153" s="118" t="n">
        <f aca="false">Inputs!$C$14*Inputs!$C$15*Inputs!$C$16*Inputs!$C$8*1</f>
        <v>24563</v>
      </c>
      <c r="S153" s="118" t="n">
        <f aca="false">Inputs!$C$14*Inputs!$C$15*Inputs!$C$16*Inputs!$C$8*1</f>
        <v>24563</v>
      </c>
      <c r="T153" s="118" t="n">
        <f aca="false">Inputs!$C$14*Inputs!$C$15*Inputs!$C$16*Inputs!$C$8*1</f>
        <v>24563</v>
      </c>
      <c r="U153" s="118" t="n">
        <f aca="false">Inputs!$C$14*Inputs!$C$15*Inputs!$C$16*Inputs!$C$8*1</f>
        <v>24563</v>
      </c>
      <c r="V153" s="118" t="n">
        <f aca="false">Inputs!$C$14*Inputs!$C$15*Inputs!$C$16*Inputs!$C$8*1</f>
        <v>24563</v>
      </c>
      <c r="W153" s="118" t="n">
        <f aca="false">Inputs!$C$14*Inputs!$C$15*Inputs!$C$16*Inputs!$C$8*1</f>
        <v>24563</v>
      </c>
      <c r="X153" s="118" t="n">
        <f aca="false">Inputs!$C$14*Inputs!$C$15*Inputs!$C$16*Inputs!$C$8*1</f>
        <v>24563</v>
      </c>
      <c r="Y153" s="118" t="n">
        <f aca="false">Inputs!$C$14*Inputs!$C$15*Inputs!$C$16*Inputs!$C$8*1</f>
        <v>24563</v>
      </c>
      <c r="Z153" s="118" t="n">
        <f aca="false">Inputs!$C$14*Inputs!$C$15*Inputs!$C$16*Inputs!$C$8*1</f>
        <v>24563</v>
      </c>
      <c r="AA153" s="118" t="n">
        <f aca="false">Inputs!$C$14*Inputs!$C$15*Inputs!$C$16*Inputs!$C$8*1</f>
        <v>24563</v>
      </c>
      <c r="AB153" s="118" t="n">
        <f aca="false">Inputs!$C$14*Inputs!$C$15*Inputs!$C$16*Inputs!$C$8*1</f>
        <v>24563</v>
      </c>
      <c r="AC153" s="118" t="n">
        <f aca="false">Inputs!$C$14*Inputs!$C$15*Inputs!$C$16*Inputs!$C$8*1</f>
        <v>24563</v>
      </c>
      <c r="AD153" s="118" t="n">
        <f aca="false">Inputs!$C$14*Inputs!$C$15*Inputs!$C$16*Inputs!$C$8*1</f>
        <v>24563</v>
      </c>
      <c r="AE153" s="118" t="n">
        <f aca="false">Inputs!$C$14*Inputs!$C$15*Inputs!$C$16*Inputs!$C$8*1</f>
        <v>24563</v>
      </c>
      <c r="AF153" s="118" t="n">
        <f aca="false">Inputs!$C$14*Inputs!$C$15*Inputs!$C$16*Inputs!$C$8*1</f>
        <v>24563</v>
      </c>
      <c r="AG153" s="118" t="n">
        <f aca="false">Inputs!$C$14*Inputs!$C$15*Inputs!$C$16*Inputs!$C$8*1</f>
        <v>24563</v>
      </c>
      <c r="AH153" s="118" t="n">
        <f aca="false">Inputs!$C$14*Inputs!$C$15*Inputs!$C$16*Inputs!$C$8*1</f>
        <v>24563</v>
      </c>
      <c r="AI153" s="118" t="n">
        <f aca="false">Inputs!$C$14*Inputs!$C$15*Inputs!$C$16*Inputs!$C$8*1</f>
        <v>24563</v>
      </c>
      <c r="AJ153" s="118" t="n">
        <f aca="false">Inputs!$C$14*Inputs!$C$15*Inputs!$C$16*Inputs!$C$8*1</f>
        <v>24563</v>
      </c>
      <c r="AK153" s="118" t="n">
        <f aca="false">Inputs!$C$14*Inputs!$C$15*Inputs!$C$16*Inputs!$C$8*1</f>
        <v>24563</v>
      </c>
      <c r="AL153" s="118" t="n">
        <f aca="false">Inputs!$C$14*Inputs!$C$15*Inputs!$C$16*Inputs!$C$8*1</f>
        <v>24563</v>
      </c>
      <c r="AM153" s="118" t="n">
        <f aca="false">Inputs!$C$14*Inputs!$C$15*Inputs!$C$16*Inputs!$C$8*1</f>
        <v>24563</v>
      </c>
      <c r="AN153" s="118" t="n">
        <f aca="false">Inputs!$C$14*Inputs!$C$15*Inputs!$C$16*Inputs!$C$8*1</f>
        <v>24563</v>
      </c>
      <c r="AO153" s="118" t="n">
        <f aca="false">Inputs!$C$14*Inputs!$C$15*Inputs!$C$16*Inputs!$C$8*1</f>
        <v>24563</v>
      </c>
      <c r="AP153" s="118" t="n">
        <f aca="false">Inputs!$C$14*Inputs!$C$15*Inputs!$C$16*Inputs!$C$8*1</f>
        <v>24563</v>
      </c>
      <c r="AQ153" s="118" t="n">
        <f aca="false">Inputs!$C$14*Inputs!$C$15*Inputs!$C$16*Inputs!$C$8*1</f>
        <v>24563</v>
      </c>
      <c r="AR153" s="118" t="n">
        <f aca="false">Inputs!$C$14*Inputs!$C$15*Inputs!$C$16*Inputs!$C$8*1</f>
        <v>24563</v>
      </c>
      <c r="AS153" s="118" t="n">
        <f aca="false">Inputs!$C$14*Inputs!$C$15*Inputs!$C$16*Inputs!$C$8*1</f>
        <v>24563</v>
      </c>
      <c r="AT153" s="118" t="n">
        <f aca="false">Inputs!$C$14*Inputs!$C$15*Inputs!$C$16*Inputs!$C$8*1</f>
        <v>24563</v>
      </c>
      <c r="AU153" s="118" t="n">
        <f aca="false">Inputs!$C$14*Inputs!$C$15*Inputs!$C$16*Inputs!$C$8*1</f>
        <v>24563</v>
      </c>
      <c r="AV153" s="118" t="n">
        <f aca="false">Inputs!$C$14*Inputs!$C$15*Inputs!$C$16*Inputs!$C$8*1</f>
        <v>24563</v>
      </c>
      <c r="AW153" s="118" t="n">
        <f aca="false">Inputs!$C$14*Inputs!$C$15*Inputs!$C$16*Inputs!$C$8*1</f>
        <v>24563</v>
      </c>
      <c r="AX153" s="118" t="n">
        <f aca="false">Inputs!$C$14*Inputs!$C$15*Inputs!$C$16*Inputs!$C$8*1</f>
        <v>24563</v>
      </c>
      <c r="AY153" s="118" t="n">
        <f aca="false">Inputs!$C$14*Inputs!$C$15*Inputs!$C$16*Inputs!$C$8*1</f>
        <v>24563</v>
      </c>
      <c r="AZ153" s="118" t="n">
        <f aca="false">Inputs!$C$14*Inputs!$C$15*Inputs!$C$16*Inputs!$C$8*1</f>
        <v>24563</v>
      </c>
      <c r="BA153" s="118" t="n">
        <f aca="false">Inputs!$C$14*Inputs!$C$15*Inputs!$C$16*Inputs!$C$8*1</f>
        <v>24563</v>
      </c>
      <c r="BB153" s="118" t="n">
        <f aca="false">Inputs!$C$14*Inputs!$C$15*Inputs!$C$16*Inputs!$C$8*1</f>
        <v>24563</v>
      </c>
      <c r="BC153" s="118" t="n">
        <f aca="false">Inputs!$C$14*Inputs!$C$15*Inputs!$C$16*Inputs!$C$8*1</f>
        <v>24563</v>
      </c>
      <c r="BD153" s="118" t="n">
        <f aca="false">Inputs!$C$14*Inputs!$C$15*Inputs!$C$16*Inputs!$C$8*1</f>
        <v>24563</v>
      </c>
      <c r="BE153" s="118" t="n">
        <f aca="false">Inputs!$C$14*Inputs!$C$15*Inputs!$C$16*Inputs!$C$8*1</f>
        <v>24563</v>
      </c>
      <c r="BF153" s="118" t="n">
        <f aca="false">Inputs!$C$14*Inputs!$C$15*Inputs!$C$16*Inputs!$C$8*1</f>
        <v>24563</v>
      </c>
      <c r="BG153" s="118" t="n">
        <f aca="false">Inputs!$C$14*Inputs!$C$15*Inputs!$C$16*Inputs!$C$8*1</f>
        <v>24563</v>
      </c>
      <c r="BH153" s="118" t="n">
        <f aca="false">Inputs!$C$14*Inputs!$C$15*Inputs!$C$16*Inputs!$C$8*1</f>
        <v>24563</v>
      </c>
      <c r="BI153" s="118" t="n">
        <f aca="false">Inputs!$C$14*Inputs!$C$15*Inputs!$C$16*Inputs!$C$8*1</f>
        <v>24563</v>
      </c>
      <c r="BJ153" s="118" t="n">
        <f aca="false">Inputs!$C$14*Inputs!$C$15*Inputs!$C$16*Inputs!$C$8*1</f>
        <v>24563</v>
      </c>
    </row>
    <row r="154" customFormat="false" ht="15" hidden="false" customHeight="false" outlineLevel="0" collapsed="false">
      <c r="A154" s="38" t="s">
        <v>431</v>
      </c>
      <c r="C154" s="76" t="n">
        <f aca="false">MIN(1,C153/MAX(1,C140+C152))</f>
        <v>1</v>
      </c>
      <c r="D154" s="76" t="n">
        <f aca="false">MIN(1,D153/MAX(1,D140+D152))</f>
        <v>1</v>
      </c>
      <c r="E154" s="76" t="n">
        <f aca="false">MIN(1,E153/MAX(1,E140+E152))</f>
        <v>1</v>
      </c>
      <c r="F154" s="76" t="n">
        <f aca="false">MIN(1,F153/MAX(1,F140+F152))</f>
        <v>1</v>
      </c>
      <c r="G154" s="76" t="n">
        <f aca="false">MIN(1,G153/MAX(1,G140+G152))</f>
        <v>1</v>
      </c>
      <c r="H154" s="76" t="n">
        <f aca="false">MIN(1,H153/MAX(1,H140+H152))</f>
        <v>1</v>
      </c>
      <c r="I154" s="76" t="n">
        <f aca="false">MIN(1,I153/MAX(1,I140+I152))</f>
        <v>1</v>
      </c>
      <c r="J154" s="76" t="n">
        <f aca="false">MIN(1,J153/MAX(1,J140+J152))</f>
        <v>1</v>
      </c>
      <c r="K154" s="76" t="n">
        <f aca="false">MIN(1,K153/MAX(1,K140+K152))</f>
        <v>1</v>
      </c>
      <c r="L154" s="76" t="n">
        <f aca="false">MIN(1,L153/MAX(1,L140+L152))</f>
        <v>1</v>
      </c>
      <c r="M154" s="76" t="n">
        <f aca="false">MIN(1,M153/MAX(1,M140+M152))</f>
        <v>1</v>
      </c>
      <c r="N154" s="76" t="n">
        <f aca="false">MIN(1,N153/MAX(1,N140+N152))</f>
        <v>1</v>
      </c>
      <c r="O154" s="76" t="n">
        <f aca="false">MIN(1,O153/MAX(1,O140+O152))</f>
        <v>1</v>
      </c>
      <c r="P154" s="76" t="n">
        <f aca="false">MIN(1,P153/MAX(1,P140+P152))</f>
        <v>1</v>
      </c>
      <c r="Q154" s="76" t="n">
        <f aca="false">MIN(1,Q153/MAX(1,Q140+Q152))</f>
        <v>1</v>
      </c>
      <c r="R154" s="76" t="n">
        <f aca="false">MIN(1,R153/MAX(1,R140+R152))</f>
        <v>1</v>
      </c>
      <c r="S154" s="76" t="n">
        <f aca="false">MIN(1,S153/MAX(1,S140+S152))</f>
        <v>1</v>
      </c>
      <c r="T154" s="76" t="n">
        <f aca="false">MIN(1,T153/MAX(1,T140+T152))</f>
        <v>1</v>
      </c>
      <c r="U154" s="76" t="n">
        <f aca="false">MIN(1,U153/MAX(1,U140+U152))</f>
        <v>1</v>
      </c>
      <c r="V154" s="76" t="n">
        <f aca="false">MIN(1,V153/MAX(1,V140+V152))</f>
        <v>1</v>
      </c>
      <c r="W154" s="76" t="n">
        <f aca="false">MIN(1,W153/MAX(1,W140+W152))</f>
        <v>1</v>
      </c>
      <c r="X154" s="76" t="n">
        <f aca="false">MIN(1,X153/MAX(1,X140+X152))</f>
        <v>1</v>
      </c>
      <c r="Y154" s="76" t="n">
        <f aca="false">MIN(1,Y153/MAX(1,Y140+Y152))</f>
        <v>1</v>
      </c>
      <c r="Z154" s="76" t="n">
        <f aca="false">MIN(1,Z153/MAX(1,Z140+Z152))</f>
        <v>1</v>
      </c>
      <c r="AA154" s="76" t="n">
        <f aca="false">MIN(1,AA153/MAX(1,AA140+AA152))</f>
        <v>1</v>
      </c>
      <c r="AB154" s="76" t="n">
        <f aca="false">MIN(1,AB153/MAX(1,AB140+AB152))</f>
        <v>1</v>
      </c>
      <c r="AC154" s="76" t="n">
        <f aca="false">MIN(1,AC153/MAX(1,AC140+AC152))</f>
        <v>1</v>
      </c>
      <c r="AD154" s="76" t="n">
        <f aca="false">MIN(1,AD153/MAX(1,AD140+AD152))</f>
        <v>1</v>
      </c>
      <c r="AE154" s="76" t="n">
        <f aca="false">MIN(1,AE153/MAX(1,AE140+AE152))</f>
        <v>1</v>
      </c>
      <c r="AF154" s="76" t="n">
        <f aca="false">MIN(1,AF153/MAX(1,AF140+AF152))</f>
        <v>1</v>
      </c>
      <c r="AG154" s="76" t="n">
        <f aca="false">MIN(1,AG153/MAX(1,AG140+AG152))</f>
        <v>1</v>
      </c>
      <c r="AH154" s="76" t="n">
        <f aca="false">MIN(1,AH153/MAX(1,AH140+AH152))</f>
        <v>1</v>
      </c>
      <c r="AI154" s="76" t="n">
        <f aca="false">MIN(1,AI153/MAX(1,AI140+AI152))</f>
        <v>1</v>
      </c>
      <c r="AJ154" s="76" t="n">
        <f aca="false">MIN(1,AJ153/MAX(1,AJ140+AJ152))</f>
        <v>1</v>
      </c>
      <c r="AK154" s="76" t="n">
        <f aca="false">MIN(1,AK153/MAX(1,AK140+AK152))</f>
        <v>1</v>
      </c>
      <c r="AL154" s="76" t="n">
        <f aca="false">MIN(1,AL153/MAX(1,AL140+AL152))</f>
        <v>1</v>
      </c>
      <c r="AM154" s="76" t="n">
        <f aca="false">MIN(1,AM153/MAX(1,AM140+AM152))</f>
        <v>1</v>
      </c>
      <c r="AN154" s="76" t="n">
        <f aca="false">MIN(1,AN153/MAX(1,AN140+AN152))</f>
        <v>1</v>
      </c>
      <c r="AO154" s="76" t="n">
        <f aca="false">MIN(1,AO153/MAX(1,AO140+AO152))</f>
        <v>1</v>
      </c>
      <c r="AP154" s="76" t="n">
        <f aca="false">MIN(1,AP153/MAX(1,AP140+AP152))</f>
        <v>1</v>
      </c>
      <c r="AQ154" s="76" t="n">
        <f aca="false">MIN(1,AQ153/MAX(1,AQ140+AQ152))</f>
        <v>1</v>
      </c>
      <c r="AR154" s="76" t="n">
        <f aca="false">MIN(1,AR153/MAX(1,AR140+AR152))</f>
        <v>1</v>
      </c>
      <c r="AS154" s="76" t="n">
        <f aca="false">MIN(1,AS153/MAX(1,AS140+AS152))</f>
        <v>1</v>
      </c>
      <c r="AT154" s="76" t="n">
        <f aca="false">MIN(1,AT153/MAX(1,AT140+AT152))</f>
        <v>1</v>
      </c>
      <c r="AU154" s="76" t="n">
        <f aca="false">MIN(1,AU153/MAX(1,AU140+AU152))</f>
        <v>1</v>
      </c>
      <c r="AV154" s="76" t="n">
        <f aca="false">MIN(1,AV153/MAX(1,AV140+AV152))</f>
        <v>1</v>
      </c>
      <c r="AW154" s="76" t="n">
        <f aca="false">MIN(1,AW153/MAX(1,AW140+AW152))</f>
        <v>1</v>
      </c>
      <c r="AX154" s="76" t="n">
        <f aca="false">MIN(1,AX153/MAX(1,AX140+AX152))</f>
        <v>1</v>
      </c>
      <c r="AY154" s="76" t="n">
        <f aca="false">MIN(1,AY153/MAX(1,AY140+AY152))</f>
        <v>1</v>
      </c>
      <c r="AZ154" s="76" t="n">
        <f aca="false">MIN(1,AZ153/MAX(1,AZ140+AZ152))</f>
        <v>1</v>
      </c>
      <c r="BA154" s="76" t="n">
        <f aca="false">MIN(1,BA153/MAX(1,BA140+BA152))</f>
        <v>1</v>
      </c>
      <c r="BB154" s="76" t="n">
        <f aca="false">MIN(1,BB153/MAX(1,BB140+BB152))</f>
        <v>1</v>
      </c>
      <c r="BC154" s="76" t="n">
        <f aca="false">MIN(1,BC153/MAX(1,BC140+BC152))</f>
        <v>1</v>
      </c>
      <c r="BD154" s="76" t="n">
        <f aca="false">MIN(1,BD153/MAX(1,BD140+BD152))</f>
        <v>1</v>
      </c>
      <c r="BE154" s="76" t="n">
        <f aca="false">MIN(1,BE153/MAX(1,BE140+BE152))</f>
        <v>1</v>
      </c>
      <c r="BF154" s="76" t="n">
        <f aca="false">MIN(1,BF153/MAX(1,BF140+BF152))</f>
        <v>1</v>
      </c>
      <c r="BG154" s="76" t="n">
        <f aca="false">MIN(1,BG153/MAX(1,BG140+BG152))</f>
        <v>1</v>
      </c>
      <c r="BH154" s="76" t="n">
        <f aca="false">MIN(1,BH153/MAX(1,BH140+BH152))</f>
        <v>1</v>
      </c>
      <c r="BI154" s="76" t="n">
        <f aca="false">MIN(1,BI153/MAX(1,BI140+BI152))</f>
        <v>1</v>
      </c>
      <c r="BJ154" s="76" t="n">
        <f aca="false">MIN(1,BJ153/MAX(1,BJ140+BJ152))</f>
        <v>1</v>
      </c>
    </row>
    <row r="155" customFormat="false" ht="15" hidden="false" customHeight="false" outlineLevel="0" collapsed="false">
      <c r="A155" s="6" t="s">
        <v>238</v>
      </c>
      <c r="C155" s="118" t="n">
        <f aca="false">C140*C154</f>
        <v>2662.2</v>
      </c>
      <c r="D155" s="118" t="n">
        <f aca="false">D140*D154</f>
        <v>3023.73333333333</v>
      </c>
      <c r="E155" s="118" t="n">
        <f aca="false">E140*E154</f>
        <v>4181.8</v>
      </c>
      <c r="F155" s="118" t="n">
        <f aca="false">F140*F154</f>
        <v>4628.4</v>
      </c>
      <c r="G155" s="118" t="n">
        <f aca="false">G140*G154</f>
        <v>5075</v>
      </c>
      <c r="H155" s="118" t="n">
        <f aca="false">H140*H154</f>
        <v>5521.6</v>
      </c>
      <c r="I155" s="118" t="n">
        <f aca="false">I140*I154</f>
        <v>5968.2</v>
      </c>
      <c r="J155" s="118" t="n">
        <f aca="false">J140*J154</f>
        <v>6414.8</v>
      </c>
      <c r="K155" s="118" t="n">
        <f aca="false">K140*K154</f>
        <v>6861.4</v>
      </c>
      <c r="L155" s="118" t="n">
        <f aca="false">L140*L154</f>
        <v>7308</v>
      </c>
      <c r="M155" s="118" t="n">
        <f aca="false">M140*M154</f>
        <v>7308</v>
      </c>
      <c r="N155" s="118" t="n">
        <f aca="false">N140*N154</f>
        <v>5916</v>
      </c>
      <c r="O155" s="118" t="n">
        <f aca="false">O140*O154</f>
        <v>5916</v>
      </c>
      <c r="P155" s="118" t="n">
        <f aca="false">P140*P154</f>
        <v>5916</v>
      </c>
      <c r="Q155" s="118" t="n">
        <f aca="false">Q140*Q154</f>
        <v>7308</v>
      </c>
      <c r="R155" s="118" t="n">
        <f aca="false">R140*R154</f>
        <v>7308</v>
      </c>
      <c r="S155" s="118" t="n">
        <f aca="false">S140*S154</f>
        <v>7308</v>
      </c>
      <c r="T155" s="118" t="n">
        <f aca="false">T140*T154</f>
        <v>7308</v>
      </c>
      <c r="U155" s="118" t="n">
        <f aca="false">U140*U154</f>
        <v>7308</v>
      </c>
      <c r="V155" s="118" t="n">
        <f aca="false">V140*V154</f>
        <v>7308</v>
      </c>
      <c r="W155" s="118" t="n">
        <f aca="false">W140*W154</f>
        <v>7308</v>
      </c>
      <c r="X155" s="118" t="n">
        <f aca="false">X140*X154</f>
        <v>7308</v>
      </c>
      <c r="Y155" s="118" t="n">
        <f aca="false">Y140*Y154</f>
        <v>7308</v>
      </c>
      <c r="Z155" s="118" t="n">
        <f aca="false">Z140*Z154</f>
        <v>5916</v>
      </c>
      <c r="AA155" s="118" t="n">
        <f aca="false">AA140*AA154</f>
        <v>5916</v>
      </c>
      <c r="AB155" s="118" t="n">
        <f aca="false">AB140*AB154</f>
        <v>5916</v>
      </c>
      <c r="AC155" s="118" t="n">
        <f aca="false">AC140*AC154</f>
        <v>7308</v>
      </c>
      <c r="AD155" s="118" t="n">
        <f aca="false">AD140*AD154</f>
        <v>7308</v>
      </c>
      <c r="AE155" s="118" t="n">
        <f aca="false">AE140*AE154</f>
        <v>7308</v>
      </c>
      <c r="AF155" s="118" t="n">
        <f aca="false">AF140*AF154</f>
        <v>7308</v>
      </c>
      <c r="AG155" s="118" t="n">
        <f aca="false">AG140*AG154</f>
        <v>7308</v>
      </c>
      <c r="AH155" s="118" t="n">
        <f aca="false">AH140*AH154</f>
        <v>7308</v>
      </c>
      <c r="AI155" s="118" t="n">
        <f aca="false">AI140*AI154</f>
        <v>7308</v>
      </c>
      <c r="AJ155" s="118" t="n">
        <f aca="false">AJ140*AJ154</f>
        <v>7308</v>
      </c>
      <c r="AK155" s="118" t="n">
        <f aca="false">AK140*AK154</f>
        <v>7308</v>
      </c>
      <c r="AL155" s="118" t="n">
        <f aca="false">AL140*AL154</f>
        <v>5916</v>
      </c>
      <c r="AM155" s="118" t="n">
        <f aca="false">AM140*AM154</f>
        <v>5916</v>
      </c>
      <c r="AN155" s="118" t="n">
        <f aca="false">AN140*AN154</f>
        <v>5916</v>
      </c>
      <c r="AO155" s="118" t="n">
        <f aca="false">AO140*AO154</f>
        <v>7308</v>
      </c>
      <c r="AP155" s="118" t="n">
        <f aca="false">AP140*AP154</f>
        <v>7308</v>
      </c>
      <c r="AQ155" s="118" t="n">
        <f aca="false">AQ140*AQ154</f>
        <v>7308</v>
      </c>
      <c r="AR155" s="118" t="n">
        <f aca="false">AR140*AR154</f>
        <v>7308</v>
      </c>
      <c r="AS155" s="118" t="n">
        <f aca="false">AS140*AS154</f>
        <v>7308</v>
      </c>
      <c r="AT155" s="118" t="n">
        <f aca="false">AT140*AT154</f>
        <v>7308</v>
      </c>
      <c r="AU155" s="118" t="n">
        <f aca="false">AU140*AU154</f>
        <v>7308</v>
      </c>
      <c r="AV155" s="118" t="n">
        <f aca="false">AV140*AV154</f>
        <v>7308</v>
      </c>
      <c r="AW155" s="118" t="n">
        <f aca="false">AW140*AW154</f>
        <v>7308</v>
      </c>
      <c r="AX155" s="118" t="n">
        <f aca="false">AX140*AX154</f>
        <v>5916</v>
      </c>
      <c r="AY155" s="118" t="n">
        <f aca="false">AY140*AY154</f>
        <v>5916</v>
      </c>
      <c r="AZ155" s="118" t="n">
        <f aca="false">AZ140*AZ154</f>
        <v>5916</v>
      </c>
      <c r="BA155" s="118" t="n">
        <f aca="false">BA140*BA154</f>
        <v>7308</v>
      </c>
      <c r="BB155" s="118" t="n">
        <f aca="false">BB140*BB154</f>
        <v>7308</v>
      </c>
      <c r="BC155" s="118" t="n">
        <f aca="false">BC140*BC154</f>
        <v>7308</v>
      </c>
      <c r="BD155" s="118" t="n">
        <f aca="false">BD140*BD154</f>
        <v>7308</v>
      </c>
      <c r="BE155" s="118" t="n">
        <f aca="false">BE140*BE154</f>
        <v>7308</v>
      </c>
      <c r="BF155" s="118" t="n">
        <f aca="false">BF140*BF154</f>
        <v>7308</v>
      </c>
      <c r="BG155" s="118" t="n">
        <f aca="false">BG140*BG154</f>
        <v>7308</v>
      </c>
      <c r="BH155" s="118" t="n">
        <f aca="false">BH140*BH154</f>
        <v>7308</v>
      </c>
      <c r="BI155" s="118" t="n">
        <f aca="false">BI140*BI154</f>
        <v>7308</v>
      </c>
      <c r="BJ155" s="118" t="n">
        <f aca="false">BJ140*BJ154</f>
        <v>5916</v>
      </c>
    </row>
    <row r="156" customFormat="false" ht="15" hidden="false" customHeight="false" outlineLevel="0" collapsed="false">
      <c r="A156" s="6" t="s">
        <v>239</v>
      </c>
      <c r="C156" s="118" t="n">
        <f aca="false">C152*C154</f>
        <v>794.02393</v>
      </c>
      <c r="D156" s="118" t="n">
        <f aca="false">D152*D154</f>
        <v>901.408218355555</v>
      </c>
      <c r="E156" s="118" t="n">
        <f aca="false">E152*E154</f>
        <v>1274.416688944</v>
      </c>
      <c r="F156" s="118" t="n">
        <f aca="false">F152*F154</f>
        <v>1463.71037805291</v>
      </c>
      <c r="G156" s="118" t="n">
        <f aca="false">G152*G154</f>
        <v>1669.79152626412</v>
      </c>
      <c r="H156" s="118" t="n">
        <f aca="false">H152*H154</f>
        <v>1891.98863521356</v>
      </c>
      <c r="I156" s="118" t="n">
        <f aca="false">I152*I154</f>
        <v>2129.65706647168</v>
      </c>
      <c r="J156" s="118" t="n">
        <f aca="false">J152*J154</f>
        <v>2382.17796714615</v>
      </c>
      <c r="K156" s="118" t="n">
        <f aca="false">K152*K154</f>
        <v>2648.9572384603</v>
      </c>
      <c r="L156" s="118" t="n">
        <f aca="false">L152*L154</f>
        <v>2929.42454558856</v>
      </c>
      <c r="M156" s="118" t="n">
        <f aca="false">M152*M154</f>
        <v>3210.85276376502</v>
      </c>
      <c r="N156" s="118" t="n">
        <f aca="false">N152*N154</f>
        <v>2801.40689069738</v>
      </c>
      <c r="O156" s="118" t="n">
        <f aca="false">O152*O154</f>
        <v>2982.62016506949</v>
      </c>
      <c r="P156" s="118" t="n">
        <f aca="false">P152*P154</f>
        <v>3160.30365846671</v>
      </c>
      <c r="Q156" s="118" t="n">
        <f aca="false">Q152*Q154</f>
        <v>4135.07863851111</v>
      </c>
      <c r="R156" s="118" t="n">
        <f aca="false">R152*R154</f>
        <v>4377.46819297066</v>
      </c>
      <c r="S156" s="118" t="n">
        <f aca="false">S152*S154</f>
        <v>4610.16216525184</v>
      </c>
      <c r="T156" s="118" t="n">
        <f aca="false">T152*T154</f>
        <v>4833.54837864176</v>
      </c>
      <c r="U156" s="118" t="n">
        <f aca="false">U152*U154</f>
        <v>5047.99914349609</v>
      </c>
      <c r="V156" s="118" t="n">
        <f aca="false">V152*V154</f>
        <v>5253.87187775625</v>
      </c>
      <c r="W156" s="118" t="n">
        <f aca="false">W152*W154</f>
        <v>5451.509702646</v>
      </c>
      <c r="X156" s="118" t="n">
        <f aca="false">X152*X154</f>
        <v>5641.24201454016</v>
      </c>
      <c r="Y156" s="118" t="n">
        <f aca="false">Y152*Y154</f>
        <v>5823.38503395855</v>
      </c>
      <c r="Z156" s="118" t="n">
        <f aca="false">Z152*Z154</f>
        <v>4839.1551835335</v>
      </c>
      <c r="AA156" s="118" t="n">
        <f aca="false">AA152*AA154</f>
        <v>4946.48196369216</v>
      </c>
      <c r="AB156" s="118" t="n">
        <f aca="false">AB152*AB154</f>
        <v>5053.42036014447</v>
      </c>
      <c r="AC156" s="118" t="n">
        <f aca="false">AC152*AC154</f>
        <v>6389.73920208898</v>
      </c>
      <c r="AD156" s="118" t="n">
        <f aca="false">AD152*AD154</f>
        <v>6551.58920900542</v>
      </c>
      <c r="AE156" s="118" t="n">
        <f aca="false">AE152*AE154</f>
        <v>6706.9652156452</v>
      </c>
      <c r="AF156" s="118" t="n">
        <f aca="false">AF152*AF154</f>
        <v>6856.12618201939</v>
      </c>
      <c r="AG156" s="118" t="n">
        <f aca="false">AG152*AG154</f>
        <v>6999.32070973862</v>
      </c>
      <c r="AH156" s="118" t="n">
        <f aca="false">AH152*AH154</f>
        <v>7136.78745634907</v>
      </c>
      <c r="AI156" s="118" t="n">
        <f aca="false">AI152*AI154</f>
        <v>7268.75553309511</v>
      </c>
      <c r="AJ156" s="118" t="n">
        <f aca="false">AJ152*AJ154</f>
        <v>7395.4448867713</v>
      </c>
      <c r="AK156" s="118" t="n">
        <f aca="false">AK152*AK154</f>
        <v>7517.06666630045</v>
      </c>
      <c r="AL156" s="118" t="n">
        <f aca="false">AL152*AL154</f>
        <v>6163.19714138206</v>
      </c>
      <c r="AM156" s="118" t="n">
        <f aca="false">AM152*AM154</f>
        <v>6225.56685260178</v>
      </c>
      <c r="AN156" s="118" t="n">
        <f aca="false">AN152*AN154</f>
        <v>6289.54169724771</v>
      </c>
      <c r="AO156" s="118" t="n">
        <f aca="false">AO152*AO154</f>
        <v>7865.76290060375</v>
      </c>
      <c r="AP156" s="118" t="n">
        <f aca="false">AP152*AP154</f>
        <v>7978.7011783296</v>
      </c>
      <c r="AQ156" s="118" t="n">
        <f aca="false">AQ152*AQ154</f>
        <v>8087.12192494642</v>
      </c>
      <c r="AR156" s="118" t="n">
        <f aca="false">AR152*AR154</f>
        <v>8191.20584169856</v>
      </c>
      <c r="AS156" s="118" t="n">
        <f aca="false">AS152*AS154</f>
        <v>8291.12640178062</v>
      </c>
      <c r="AT156" s="118" t="n">
        <f aca="false">AT152*AT154</f>
        <v>8387.05013945939</v>
      </c>
      <c r="AU156" s="118" t="n">
        <f aca="false">AU152*AU154</f>
        <v>8479.13692763102</v>
      </c>
      <c r="AV156" s="118" t="n">
        <f aca="false">AV152*AV154</f>
        <v>8567.54024427578</v>
      </c>
      <c r="AW156" s="118" t="n">
        <f aca="false">AW152*AW154</f>
        <v>8652.40742825474</v>
      </c>
      <c r="AX156" s="118" t="n">
        <f aca="false">AX152*AX154</f>
        <v>7053.71894870797</v>
      </c>
      <c r="AY156" s="118" t="n">
        <f aca="false">AY152*AY154</f>
        <v>7088.8726274784</v>
      </c>
      <c r="AZ156" s="118" t="n">
        <f aca="false">AZ152*AZ154</f>
        <v>7126.92507706676</v>
      </c>
      <c r="BA156" s="118" t="n">
        <f aca="false">BA152*BA154</f>
        <v>8869.43675306491</v>
      </c>
      <c r="BB156" s="118" t="n">
        <f aca="false">BB152*BB154</f>
        <v>8952.86375637981</v>
      </c>
      <c r="BC156" s="118" t="n">
        <f aca="false">BC152*BC154</f>
        <v>9032.95367956212</v>
      </c>
      <c r="BD156" s="118" t="n">
        <f aca="false">BD152*BD154</f>
        <v>9109.84000581714</v>
      </c>
      <c r="BE156" s="118" t="n">
        <f aca="false">BE152*BE154</f>
        <v>9183.65087902195</v>
      </c>
      <c r="BF156" s="118" t="n">
        <f aca="false">BF152*BF154</f>
        <v>9254.50931729857</v>
      </c>
      <c r="BG156" s="118" t="n">
        <f aca="false">BG152*BG154</f>
        <v>9322.53341804413</v>
      </c>
      <c r="BH156" s="118" t="n">
        <f aca="false">BH152*BH154</f>
        <v>9387.83655475986</v>
      </c>
      <c r="BI156" s="118" t="n">
        <f aca="false">BI152*BI154</f>
        <v>9450.52756600696</v>
      </c>
      <c r="BJ156" s="118" t="n">
        <f aca="false">BJ152*BJ154</f>
        <v>7682.58214884148</v>
      </c>
    </row>
    <row r="157" customFormat="false" ht="15" hidden="false" customHeight="false" outlineLevel="0" collapsed="false">
      <c r="A157" s="4" t="s">
        <v>432</v>
      </c>
      <c r="C157" s="121" t="n">
        <f aca="false">C155+C156</f>
        <v>3456.22393</v>
      </c>
      <c r="D157" s="121" t="n">
        <f aca="false">D155+D156</f>
        <v>3925.14155168889</v>
      </c>
      <c r="E157" s="121" t="n">
        <f aca="false">E155+E156</f>
        <v>5456.216688944</v>
      </c>
      <c r="F157" s="121" t="n">
        <f aca="false">F155+F156</f>
        <v>6092.11037805291</v>
      </c>
      <c r="G157" s="121" t="n">
        <f aca="false">G155+G156</f>
        <v>6744.79152626412</v>
      </c>
      <c r="H157" s="121" t="n">
        <f aca="false">H155+H156</f>
        <v>7413.58863521356</v>
      </c>
      <c r="I157" s="121" t="n">
        <f aca="false">I155+I156</f>
        <v>8097.85706647168</v>
      </c>
      <c r="J157" s="121" t="n">
        <f aca="false">J155+J156</f>
        <v>8796.97796714615</v>
      </c>
      <c r="K157" s="121" t="n">
        <f aca="false">K155+K156</f>
        <v>9510.3572384603</v>
      </c>
      <c r="L157" s="121" t="n">
        <f aca="false">L155+L156</f>
        <v>10237.4245455886</v>
      </c>
      <c r="M157" s="121" t="n">
        <f aca="false">M155+M156</f>
        <v>10518.852763765</v>
      </c>
      <c r="N157" s="121" t="n">
        <f aca="false">N155+N156</f>
        <v>8717.40689069738</v>
      </c>
      <c r="O157" s="121" t="n">
        <f aca="false">O155+O156</f>
        <v>8898.62016506949</v>
      </c>
      <c r="P157" s="121" t="n">
        <f aca="false">P155+P156</f>
        <v>9076.30365846671</v>
      </c>
      <c r="Q157" s="121" t="n">
        <f aca="false">Q155+Q156</f>
        <v>11443.0786385111</v>
      </c>
      <c r="R157" s="121" t="n">
        <f aca="false">R155+R156</f>
        <v>11685.4681929707</v>
      </c>
      <c r="S157" s="121" t="n">
        <f aca="false">S155+S156</f>
        <v>11918.1621652518</v>
      </c>
      <c r="T157" s="121" t="n">
        <f aca="false">T155+T156</f>
        <v>12141.5483786418</v>
      </c>
      <c r="U157" s="121" t="n">
        <f aca="false">U155+U156</f>
        <v>12355.9991434961</v>
      </c>
      <c r="V157" s="121" t="n">
        <f aca="false">V155+V156</f>
        <v>12561.8718777562</v>
      </c>
      <c r="W157" s="121" t="n">
        <f aca="false">W155+W156</f>
        <v>12759.509702646</v>
      </c>
      <c r="X157" s="121" t="n">
        <f aca="false">X155+X156</f>
        <v>12949.2420145402</v>
      </c>
      <c r="Y157" s="121" t="n">
        <f aca="false">Y155+Y156</f>
        <v>13131.3850339586</v>
      </c>
      <c r="Z157" s="121" t="n">
        <f aca="false">Z155+Z156</f>
        <v>10755.1551835335</v>
      </c>
      <c r="AA157" s="121" t="n">
        <f aca="false">AA155+AA156</f>
        <v>10862.4819636922</v>
      </c>
      <c r="AB157" s="121" t="n">
        <f aca="false">AB155+AB156</f>
        <v>10969.4203601445</v>
      </c>
      <c r="AC157" s="121" t="n">
        <f aca="false">AC155+AC156</f>
        <v>13697.739202089</v>
      </c>
      <c r="AD157" s="121" t="n">
        <f aca="false">AD155+AD156</f>
        <v>13859.5892090054</v>
      </c>
      <c r="AE157" s="121" t="n">
        <f aca="false">AE155+AE156</f>
        <v>14014.9652156452</v>
      </c>
      <c r="AF157" s="121" t="n">
        <f aca="false">AF155+AF156</f>
        <v>14164.1261820194</v>
      </c>
      <c r="AG157" s="121" t="n">
        <f aca="false">AG155+AG156</f>
        <v>14307.3207097386</v>
      </c>
      <c r="AH157" s="121" t="n">
        <f aca="false">AH155+AH156</f>
        <v>14444.7874563491</v>
      </c>
      <c r="AI157" s="121" t="n">
        <f aca="false">AI155+AI156</f>
        <v>14576.7555330951</v>
      </c>
      <c r="AJ157" s="121" t="n">
        <f aca="false">AJ155+AJ156</f>
        <v>14703.4448867713</v>
      </c>
      <c r="AK157" s="121" t="n">
        <f aca="false">AK155+AK156</f>
        <v>14825.0666663004</v>
      </c>
      <c r="AL157" s="121" t="n">
        <f aca="false">AL155+AL156</f>
        <v>12079.1971413821</v>
      </c>
      <c r="AM157" s="121" t="n">
        <f aca="false">AM155+AM156</f>
        <v>12141.5668526018</v>
      </c>
      <c r="AN157" s="121" t="n">
        <f aca="false">AN155+AN156</f>
        <v>12205.5416972477</v>
      </c>
      <c r="AO157" s="121" t="n">
        <f aca="false">AO155+AO156</f>
        <v>15173.7629006038</v>
      </c>
      <c r="AP157" s="121" t="n">
        <f aca="false">AP155+AP156</f>
        <v>15286.7011783296</v>
      </c>
      <c r="AQ157" s="121" t="n">
        <f aca="false">AQ155+AQ156</f>
        <v>15395.1219249464</v>
      </c>
      <c r="AR157" s="121" t="n">
        <f aca="false">AR155+AR156</f>
        <v>15499.2058416986</v>
      </c>
      <c r="AS157" s="121" t="n">
        <f aca="false">AS155+AS156</f>
        <v>15599.1264017806</v>
      </c>
      <c r="AT157" s="121" t="n">
        <f aca="false">AT155+AT156</f>
        <v>15695.0501394594</v>
      </c>
      <c r="AU157" s="121" t="n">
        <f aca="false">AU155+AU156</f>
        <v>15787.136927631</v>
      </c>
      <c r="AV157" s="121" t="n">
        <f aca="false">AV155+AV156</f>
        <v>15875.5402442758</v>
      </c>
      <c r="AW157" s="121" t="n">
        <f aca="false">AW155+AW156</f>
        <v>15960.4074282547</v>
      </c>
      <c r="AX157" s="121" t="n">
        <f aca="false">AX155+AX156</f>
        <v>12969.718948708</v>
      </c>
      <c r="AY157" s="121" t="n">
        <f aca="false">AY155+AY156</f>
        <v>13004.8726274784</v>
      </c>
      <c r="AZ157" s="121" t="n">
        <f aca="false">AZ155+AZ156</f>
        <v>13042.9250770668</v>
      </c>
      <c r="BA157" s="121" t="n">
        <f aca="false">BA155+BA156</f>
        <v>16177.4367530649</v>
      </c>
      <c r="BB157" s="121" t="n">
        <f aca="false">BB155+BB156</f>
        <v>16260.8637563798</v>
      </c>
      <c r="BC157" s="121" t="n">
        <f aca="false">BC155+BC156</f>
        <v>16340.9536795621</v>
      </c>
      <c r="BD157" s="121" t="n">
        <f aca="false">BD155+BD156</f>
        <v>16417.8400058171</v>
      </c>
      <c r="BE157" s="121" t="n">
        <f aca="false">BE155+BE156</f>
        <v>16491.650879022</v>
      </c>
      <c r="BF157" s="121" t="n">
        <f aca="false">BF155+BF156</f>
        <v>16562.5093172986</v>
      </c>
      <c r="BG157" s="121" t="n">
        <f aca="false">BG155+BG156</f>
        <v>16630.5334180441</v>
      </c>
      <c r="BH157" s="121" t="n">
        <f aca="false">BH155+BH156</f>
        <v>16695.8365547599</v>
      </c>
      <c r="BI157" s="121" t="n">
        <f aca="false">BI155+BI156</f>
        <v>16758.527566007</v>
      </c>
      <c r="BJ157" s="121" t="n">
        <f aca="false">BJ155+BJ156</f>
        <v>13598.5821488415</v>
      </c>
    </row>
    <row r="158" customFormat="false" ht="15" hidden="false" customHeight="false" outlineLevel="0" collapsed="false">
      <c r="A158" s="6" t="s">
        <v>242</v>
      </c>
      <c r="C158" s="118" t="n">
        <f aca="false">C140+C152-C157</f>
        <v>0</v>
      </c>
      <c r="D158" s="118" t="n">
        <f aca="false">D140+D152-D157</f>
        <v>0</v>
      </c>
      <c r="E158" s="118" t="n">
        <f aca="false">E140+E152-E157</f>
        <v>0</v>
      </c>
      <c r="F158" s="118" t="n">
        <f aca="false">F140+F152-F157</f>
        <v>0</v>
      </c>
      <c r="G158" s="118" t="n">
        <f aca="false">G140+G152-G157</f>
        <v>0</v>
      </c>
      <c r="H158" s="118" t="n">
        <f aca="false">H140+H152-H157</f>
        <v>0</v>
      </c>
      <c r="I158" s="118" t="n">
        <f aca="false">I140+I152-I157</f>
        <v>0</v>
      </c>
      <c r="J158" s="118" t="n">
        <f aca="false">J140+J152-J157</f>
        <v>0</v>
      </c>
      <c r="K158" s="118" t="n">
        <f aca="false">K140+K152-K157</f>
        <v>0</v>
      </c>
      <c r="L158" s="118" t="n">
        <f aca="false">L140+L152-L157</f>
        <v>0</v>
      </c>
      <c r="M158" s="118" t="n">
        <f aca="false">M140+M152-M157</f>
        <v>0</v>
      </c>
      <c r="N158" s="118" t="n">
        <f aca="false">N140+N152-N157</f>
        <v>0</v>
      </c>
      <c r="O158" s="118" t="n">
        <f aca="false">O140+O152-O157</f>
        <v>0</v>
      </c>
      <c r="P158" s="118" t="n">
        <f aca="false">P140+P152-P157</f>
        <v>0</v>
      </c>
      <c r="Q158" s="118" t="n">
        <f aca="false">Q140+Q152-Q157</f>
        <v>0</v>
      </c>
      <c r="R158" s="118" t="n">
        <f aca="false">R140+R152-R157</f>
        <v>0</v>
      </c>
      <c r="S158" s="118" t="n">
        <f aca="false">S140+S152-S157</f>
        <v>0</v>
      </c>
      <c r="T158" s="118" t="n">
        <f aca="false">T140+T152-T157</f>
        <v>0</v>
      </c>
      <c r="U158" s="118" t="n">
        <f aca="false">U140+U152-U157</f>
        <v>0</v>
      </c>
      <c r="V158" s="118" t="n">
        <f aca="false">V140+V152-V157</f>
        <v>0</v>
      </c>
      <c r="W158" s="118" t="n">
        <f aca="false">W140+W152-W157</f>
        <v>0</v>
      </c>
      <c r="X158" s="118" t="n">
        <f aca="false">X140+X152-X157</f>
        <v>0</v>
      </c>
      <c r="Y158" s="118" t="n">
        <f aca="false">Y140+Y152-Y157</f>
        <v>0</v>
      </c>
      <c r="Z158" s="118" t="n">
        <f aca="false">Z140+Z152-Z157</f>
        <v>0</v>
      </c>
      <c r="AA158" s="118" t="n">
        <f aca="false">AA140+AA152-AA157</f>
        <v>0</v>
      </c>
      <c r="AB158" s="118" t="n">
        <f aca="false">AB140+AB152-AB157</f>
        <v>0</v>
      </c>
      <c r="AC158" s="118" t="n">
        <f aca="false">AC140+AC152-AC157</f>
        <v>0</v>
      </c>
      <c r="AD158" s="118" t="n">
        <f aca="false">AD140+AD152-AD157</f>
        <v>0</v>
      </c>
      <c r="AE158" s="118" t="n">
        <f aca="false">AE140+AE152-AE157</f>
        <v>0</v>
      </c>
      <c r="AF158" s="118" t="n">
        <f aca="false">AF140+AF152-AF157</f>
        <v>0</v>
      </c>
      <c r="AG158" s="118" t="n">
        <f aca="false">AG140+AG152-AG157</f>
        <v>0</v>
      </c>
      <c r="AH158" s="118" t="n">
        <f aca="false">AH140+AH152-AH157</f>
        <v>0</v>
      </c>
      <c r="AI158" s="118" t="n">
        <f aca="false">AI140+AI152-AI157</f>
        <v>0</v>
      </c>
      <c r="AJ158" s="118" t="n">
        <f aca="false">AJ140+AJ152-AJ157</f>
        <v>0</v>
      </c>
      <c r="AK158" s="118" t="n">
        <f aca="false">AK140+AK152-AK157</f>
        <v>0</v>
      </c>
      <c r="AL158" s="118" t="n">
        <f aca="false">AL140+AL152-AL157</f>
        <v>0</v>
      </c>
      <c r="AM158" s="118" t="n">
        <f aca="false">AM140+AM152-AM157</f>
        <v>0</v>
      </c>
      <c r="AN158" s="118" t="n">
        <f aca="false">AN140+AN152-AN157</f>
        <v>0</v>
      </c>
      <c r="AO158" s="118" t="n">
        <f aca="false">AO140+AO152-AO157</f>
        <v>0</v>
      </c>
      <c r="AP158" s="118" t="n">
        <f aca="false">AP140+AP152-AP157</f>
        <v>0</v>
      </c>
      <c r="AQ158" s="118" t="n">
        <f aca="false">AQ140+AQ152-AQ157</f>
        <v>0</v>
      </c>
      <c r="AR158" s="118" t="n">
        <f aca="false">AR140+AR152-AR157</f>
        <v>0</v>
      </c>
      <c r="AS158" s="118" t="n">
        <f aca="false">AS140+AS152-AS157</f>
        <v>0</v>
      </c>
      <c r="AT158" s="118" t="n">
        <f aca="false">AT140+AT152-AT157</f>
        <v>0</v>
      </c>
      <c r="AU158" s="118" t="n">
        <f aca="false">AU140+AU152-AU157</f>
        <v>0</v>
      </c>
      <c r="AV158" s="118" t="n">
        <f aca="false">AV140+AV152-AV157</f>
        <v>0</v>
      </c>
      <c r="AW158" s="118" t="n">
        <f aca="false">AW140+AW152-AW157</f>
        <v>0</v>
      </c>
      <c r="AX158" s="118" t="n">
        <f aca="false">AX140+AX152-AX157</f>
        <v>0</v>
      </c>
      <c r="AY158" s="118" t="n">
        <f aca="false">AY140+AY152-AY157</f>
        <v>0</v>
      </c>
      <c r="AZ158" s="118" t="n">
        <f aca="false">AZ140+AZ152-AZ157</f>
        <v>0</v>
      </c>
      <c r="BA158" s="118" t="n">
        <f aca="false">BA140+BA152-BA157</f>
        <v>0</v>
      </c>
      <c r="BB158" s="118" t="n">
        <f aca="false">BB140+BB152-BB157</f>
        <v>0</v>
      </c>
      <c r="BC158" s="118" t="n">
        <f aca="false">BC140+BC152-BC157</f>
        <v>0</v>
      </c>
      <c r="BD158" s="118" t="n">
        <f aca="false">BD140+BD152-BD157</f>
        <v>0</v>
      </c>
      <c r="BE158" s="118" t="n">
        <f aca="false">BE140+BE152-BE157</f>
        <v>0</v>
      </c>
      <c r="BF158" s="118" t="n">
        <f aca="false">BF140+BF152-BF157</f>
        <v>0</v>
      </c>
      <c r="BG158" s="118" t="n">
        <f aca="false">BG140+BG152-BG157</f>
        <v>0</v>
      </c>
      <c r="BH158" s="118" t="n">
        <f aca="false">BH140+BH152-BH157</f>
        <v>0</v>
      </c>
      <c r="BI158" s="118" t="n">
        <f aca="false">BI140+BI152-BI157</f>
        <v>0</v>
      </c>
      <c r="BJ158" s="118" t="n">
        <f aca="false">BJ140+BJ152-BJ157</f>
        <v>0</v>
      </c>
    </row>
    <row r="160" customFormat="false" ht="15.75" hidden="false" customHeight="true" outlineLevel="0" collapsed="false">
      <c r="A160" s="7" t="s">
        <v>44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customFormat="false" ht="15" hidden="false" customHeight="false" outlineLevel="0" collapsed="false">
      <c r="A161" s="6" t="s">
        <v>433</v>
      </c>
      <c r="C161" s="122" t="n">
        <f aca="false">Inputs!$C$27*(1+Inputs!$C$30)^(C$134-1)</f>
        <v>13</v>
      </c>
      <c r="D161" s="122" t="n">
        <f aca="false">Inputs!$C$27*(1+Inputs!$C$30)^(D$134-1)</f>
        <v>13</v>
      </c>
      <c r="E161" s="122" t="n">
        <f aca="false">Inputs!$C$27*(1+Inputs!$C$30)^(E$134-1)</f>
        <v>13</v>
      </c>
      <c r="F161" s="122" t="n">
        <f aca="false">Inputs!$C$27*(1+Inputs!$C$30)^(F$134-1)</f>
        <v>13</v>
      </c>
      <c r="G161" s="122" t="n">
        <f aca="false">Inputs!$C$27*(1+Inputs!$C$30)^(G$134-1)</f>
        <v>13</v>
      </c>
      <c r="H161" s="122" t="n">
        <f aca="false">Inputs!$C$27*(1+Inputs!$C$30)^(H$134-1)</f>
        <v>13</v>
      </c>
      <c r="I161" s="122" t="n">
        <f aca="false">Inputs!$C$27*(1+Inputs!$C$30)^(I$134-1)</f>
        <v>13</v>
      </c>
      <c r="J161" s="122" t="n">
        <f aca="false">Inputs!$C$27*(1+Inputs!$C$30)^(J$134-1)</f>
        <v>13</v>
      </c>
      <c r="K161" s="122" t="n">
        <f aca="false">Inputs!$C$27*(1+Inputs!$C$30)^(K$134-1)</f>
        <v>13</v>
      </c>
      <c r="L161" s="122" t="n">
        <f aca="false">Inputs!$C$27*(1+Inputs!$C$30)^(L$134-1)</f>
        <v>13</v>
      </c>
      <c r="M161" s="122" t="n">
        <f aca="false">Inputs!$C$27*(1+Inputs!$C$30)^(M$134-1)</f>
        <v>13</v>
      </c>
      <c r="N161" s="122" t="n">
        <f aca="false">Inputs!$C$27*(1+Inputs!$C$30)^(N$134-1)</f>
        <v>13</v>
      </c>
      <c r="O161" s="122" t="n">
        <f aca="false">Inputs!$C$27*(1+Inputs!$C$30)^(O$134-1)</f>
        <v>13.26</v>
      </c>
      <c r="P161" s="122" t="n">
        <f aca="false">Inputs!$C$27*(1+Inputs!$C$30)^(P$134-1)</f>
        <v>13.26</v>
      </c>
      <c r="Q161" s="122" t="n">
        <f aca="false">Inputs!$C$27*(1+Inputs!$C$30)^(Q$134-1)</f>
        <v>13.26</v>
      </c>
      <c r="R161" s="122" t="n">
        <f aca="false">Inputs!$C$27*(1+Inputs!$C$30)^(R$134-1)</f>
        <v>13.26</v>
      </c>
      <c r="S161" s="122" t="n">
        <f aca="false">Inputs!$C$27*(1+Inputs!$C$30)^(S$134-1)</f>
        <v>13.26</v>
      </c>
      <c r="T161" s="122" t="n">
        <f aca="false">Inputs!$C$27*(1+Inputs!$C$30)^(T$134-1)</f>
        <v>13.26</v>
      </c>
      <c r="U161" s="122" t="n">
        <f aca="false">Inputs!$C$27*(1+Inputs!$C$30)^(U$134-1)</f>
        <v>13.26</v>
      </c>
      <c r="V161" s="122" t="n">
        <f aca="false">Inputs!$C$27*(1+Inputs!$C$30)^(V$134-1)</f>
        <v>13.26</v>
      </c>
      <c r="W161" s="122" t="n">
        <f aca="false">Inputs!$C$27*(1+Inputs!$C$30)^(W$134-1)</f>
        <v>13.26</v>
      </c>
      <c r="X161" s="122" t="n">
        <f aca="false">Inputs!$C$27*(1+Inputs!$C$30)^(X$134-1)</f>
        <v>13.26</v>
      </c>
      <c r="Y161" s="122" t="n">
        <f aca="false">Inputs!$C$27*(1+Inputs!$C$30)^(Y$134-1)</f>
        <v>13.26</v>
      </c>
      <c r="Z161" s="122" t="n">
        <f aca="false">Inputs!$C$27*(1+Inputs!$C$30)^(Z$134-1)</f>
        <v>13.26</v>
      </c>
      <c r="AA161" s="122" t="n">
        <f aca="false">Inputs!$C$27*(1+Inputs!$C$30)^(AA$134-1)</f>
        <v>13.5252</v>
      </c>
      <c r="AB161" s="122" t="n">
        <f aca="false">Inputs!$C$27*(1+Inputs!$C$30)^(AB$134-1)</f>
        <v>13.5252</v>
      </c>
      <c r="AC161" s="122" t="n">
        <f aca="false">Inputs!$C$27*(1+Inputs!$C$30)^(AC$134-1)</f>
        <v>13.5252</v>
      </c>
      <c r="AD161" s="122" t="n">
        <f aca="false">Inputs!$C$27*(1+Inputs!$C$30)^(AD$134-1)</f>
        <v>13.5252</v>
      </c>
      <c r="AE161" s="122" t="n">
        <f aca="false">Inputs!$C$27*(1+Inputs!$C$30)^(AE$134-1)</f>
        <v>13.5252</v>
      </c>
      <c r="AF161" s="122" t="n">
        <f aca="false">Inputs!$C$27*(1+Inputs!$C$30)^(AF$134-1)</f>
        <v>13.5252</v>
      </c>
      <c r="AG161" s="122" t="n">
        <f aca="false">Inputs!$C$27*(1+Inputs!$C$30)^(AG$134-1)</f>
        <v>13.5252</v>
      </c>
      <c r="AH161" s="122" t="n">
        <f aca="false">Inputs!$C$27*(1+Inputs!$C$30)^(AH$134-1)</f>
        <v>13.5252</v>
      </c>
      <c r="AI161" s="122" t="n">
        <f aca="false">Inputs!$C$27*(1+Inputs!$C$30)^(AI$134-1)</f>
        <v>13.5252</v>
      </c>
      <c r="AJ161" s="122" t="n">
        <f aca="false">Inputs!$C$27*(1+Inputs!$C$30)^(AJ$134-1)</f>
        <v>13.5252</v>
      </c>
      <c r="AK161" s="122" t="n">
        <f aca="false">Inputs!$C$27*(1+Inputs!$C$30)^(AK$134-1)</f>
        <v>13.5252</v>
      </c>
      <c r="AL161" s="122" t="n">
        <f aca="false">Inputs!$C$27*(1+Inputs!$C$30)^(AL$134-1)</f>
        <v>13.5252</v>
      </c>
      <c r="AM161" s="122" t="n">
        <f aca="false">Inputs!$C$27*(1+Inputs!$C$30)^(AM$134-1)</f>
        <v>13.795704</v>
      </c>
      <c r="AN161" s="122" t="n">
        <f aca="false">Inputs!$C$27*(1+Inputs!$C$30)^(AN$134-1)</f>
        <v>13.795704</v>
      </c>
      <c r="AO161" s="122" t="n">
        <f aca="false">Inputs!$C$27*(1+Inputs!$C$30)^(AO$134-1)</f>
        <v>13.795704</v>
      </c>
      <c r="AP161" s="122" t="n">
        <f aca="false">Inputs!$C$27*(1+Inputs!$C$30)^(AP$134-1)</f>
        <v>13.795704</v>
      </c>
      <c r="AQ161" s="122" t="n">
        <f aca="false">Inputs!$C$27*(1+Inputs!$C$30)^(AQ$134-1)</f>
        <v>13.795704</v>
      </c>
      <c r="AR161" s="122" t="n">
        <f aca="false">Inputs!$C$27*(1+Inputs!$C$30)^(AR$134-1)</f>
        <v>13.795704</v>
      </c>
      <c r="AS161" s="122" t="n">
        <f aca="false">Inputs!$C$27*(1+Inputs!$C$30)^(AS$134-1)</f>
        <v>13.795704</v>
      </c>
      <c r="AT161" s="122" t="n">
        <f aca="false">Inputs!$C$27*(1+Inputs!$C$30)^(AT$134-1)</f>
        <v>13.795704</v>
      </c>
      <c r="AU161" s="122" t="n">
        <f aca="false">Inputs!$C$27*(1+Inputs!$C$30)^(AU$134-1)</f>
        <v>13.795704</v>
      </c>
      <c r="AV161" s="122" t="n">
        <f aca="false">Inputs!$C$27*(1+Inputs!$C$30)^(AV$134-1)</f>
        <v>13.795704</v>
      </c>
      <c r="AW161" s="122" t="n">
        <f aca="false">Inputs!$C$27*(1+Inputs!$C$30)^(AW$134-1)</f>
        <v>13.795704</v>
      </c>
      <c r="AX161" s="122" t="n">
        <f aca="false">Inputs!$C$27*(1+Inputs!$C$30)^(AX$134-1)</f>
        <v>13.795704</v>
      </c>
      <c r="AY161" s="122" t="n">
        <f aca="false">Inputs!$C$27*(1+Inputs!$C$30)^(AY$134-1)</f>
        <v>14.07161808</v>
      </c>
      <c r="AZ161" s="122" t="n">
        <f aca="false">Inputs!$C$27*(1+Inputs!$C$30)^(AZ$134-1)</f>
        <v>14.07161808</v>
      </c>
      <c r="BA161" s="122" t="n">
        <f aca="false">Inputs!$C$27*(1+Inputs!$C$30)^(BA$134-1)</f>
        <v>14.07161808</v>
      </c>
      <c r="BB161" s="122" t="n">
        <f aca="false">Inputs!$C$27*(1+Inputs!$C$30)^(BB$134-1)</f>
        <v>14.07161808</v>
      </c>
      <c r="BC161" s="122" t="n">
        <f aca="false">Inputs!$C$27*(1+Inputs!$C$30)^(BC$134-1)</f>
        <v>14.07161808</v>
      </c>
      <c r="BD161" s="122" t="n">
        <f aca="false">Inputs!$C$27*(1+Inputs!$C$30)^(BD$134-1)</f>
        <v>14.07161808</v>
      </c>
      <c r="BE161" s="122" t="n">
        <f aca="false">Inputs!$C$27*(1+Inputs!$C$30)^(BE$134-1)</f>
        <v>14.07161808</v>
      </c>
      <c r="BF161" s="122" t="n">
        <f aca="false">Inputs!$C$27*(1+Inputs!$C$30)^(BF$134-1)</f>
        <v>14.07161808</v>
      </c>
      <c r="BG161" s="122" t="n">
        <f aca="false">Inputs!$C$27*(1+Inputs!$C$30)^(BG$134-1)</f>
        <v>14.07161808</v>
      </c>
      <c r="BH161" s="122" t="n">
        <f aca="false">Inputs!$C$27*(1+Inputs!$C$30)^(BH$134-1)</f>
        <v>14.07161808</v>
      </c>
      <c r="BI161" s="122" t="n">
        <f aca="false">Inputs!$C$27*(1+Inputs!$C$30)^(BI$134-1)</f>
        <v>14.07161808</v>
      </c>
      <c r="BJ161" s="122" t="n">
        <f aca="false">Inputs!$C$27*(1+Inputs!$C$30)^(BJ$134-1)</f>
        <v>14.07161808</v>
      </c>
    </row>
    <row r="162" customFormat="false" ht="15" hidden="false" customHeight="false" outlineLevel="0" collapsed="false">
      <c r="A162" s="6" t="s">
        <v>434</v>
      </c>
      <c r="C162" s="122" t="n">
        <f aca="false">Inputs!$C$29*(1+Inputs!$C$30)^(C$134-1)</f>
        <v>35</v>
      </c>
      <c r="D162" s="122" t="n">
        <f aca="false">Inputs!$C$29*(1+Inputs!$C$30)^(D$134-1)</f>
        <v>35</v>
      </c>
      <c r="E162" s="122" t="n">
        <f aca="false">Inputs!$C$29*(1+Inputs!$C$30)^(E$134-1)</f>
        <v>35</v>
      </c>
      <c r="F162" s="122" t="n">
        <f aca="false">Inputs!$C$29*(1+Inputs!$C$30)^(F$134-1)</f>
        <v>35</v>
      </c>
      <c r="G162" s="122" t="n">
        <f aca="false">Inputs!$C$29*(1+Inputs!$C$30)^(G$134-1)</f>
        <v>35</v>
      </c>
      <c r="H162" s="122" t="n">
        <f aca="false">Inputs!$C$29*(1+Inputs!$C$30)^(H$134-1)</f>
        <v>35</v>
      </c>
      <c r="I162" s="122" t="n">
        <f aca="false">Inputs!$C$29*(1+Inputs!$C$30)^(I$134-1)</f>
        <v>35</v>
      </c>
      <c r="J162" s="122" t="n">
        <f aca="false">Inputs!$C$29*(1+Inputs!$C$30)^(J$134-1)</f>
        <v>35</v>
      </c>
      <c r="K162" s="122" t="n">
        <f aca="false">Inputs!$C$29*(1+Inputs!$C$30)^(K$134-1)</f>
        <v>35</v>
      </c>
      <c r="L162" s="122" t="n">
        <f aca="false">Inputs!$C$29*(1+Inputs!$C$30)^(L$134-1)</f>
        <v>35</v>
      </c>
      <c r="M162" s="122" t="n">
        <f aca="false">Inputs!$C$29*(1+Inputs!$C$30)^(M$134-1)</f>
        <v>35</v>
      </c>
      <c r="N162" s="122" t="n">
        <f aca="false">Inputs!$C$29*(1+Inputs!$C$30)^(N$134-1)</f>
        <v>35</v>
      </c>
      <c r="O162" s="122" t="n">
        <f aca="false">Inputs!$C$29*(1+Inputs!$C$30)^(O$134-1)</f>
        <v>35.7</v>
      </c>
      <c r="P162" s="122" t="n">
        <f aca="false">Inputs!$C$29*(1+Inputs!$C$30)^(P$134-1)</f>
        <v>35.7</v>
      </c>
      <c r="Q162" s="122" t="n">
        <f aca="false">Inputs!$C$29*(1+Inputs!$C$30)^(Q$134-1)</f>
        <v>35.7</v>
      </c>
      <c r="R162" s="122" t="n">
        <f aca="false">Inputs!$C$29*(1+Inputs!$C$30)^(R$134-1)</f>
        <v>35.7</v>
      </c>
      <c r="S162" s="122" t="n">
        <f aca="false">Inputs!$C$29*(1+Inputs!$C$30)^(S$134-1)</f>
        <v>35.7</v>
      </c>
      <c r="T162" s="122" t="n">
        <f aca="false">Inputs!$C$29*(1+Inputs!$C$30)^(T$134-1)</f>
        <v>35.7</v>
      </c>
      <c r="U162" s="122" t="n">
        <f aca="false">Inputs!$C$29*(1+Inputs!$C$30)^(U$134-1)</f>
        <v>35.7</v>
      </c>
      <c r="V162" s="122" t="n">
        <f aca="false">Inputs!$C$29*(1+Inputs!$C$30)^(V$134-1)</f>
        <v>35.7</v>
      </c>
      <c r="W162" s="122" t="n">
        <f aca="false">Inputs!$C$29*(1+Inputs!$C$30)^(W$134-1)</f>
        <v>35.7</v>
      </c>
      <c r="X162" s="122" t="n">
        <f aca="false">Inputs!$C$29*(1+Inputs!$C$30)^(X$134-1)</f>
        <v>35.7</v>
      </c>
      <c r="Y162" s="122" t="n">
        <f aca="false">Inputs!$C$29*(1+Inputs!$C$30)^(Y$134-1)</f>
        <v>35.7</v>
      </c>
      <c r="Z162" s="122" t="n">
        <f aca="false">Inputs!$C$29*(1+Inputs!$C$30)^(Z$134-1)</f>
        <v>35.7</v>
      </c>
      <c r="AA162" s="122" t="n">
        <f aca="false">Inputs!$C$29*(1+Inputs!$C$30)^(AA$134-1)</f>
        <v>36.414</v>
      </c>
      <c r="AB162" s="122" t="n">
        <f aca="false">Inputs!$C$29*(1+Inputs!$C$30)^(AB$134-1)</f>
        <v>36.414</v>
      </c>
      <c r="AC162" s="122" t="n">
        <f aca="false">Inputs!$C$29*(1+Inputs!$C$30)^(AC$134-1)</f>
        <v>36.414</v>
      </c>
      <c r="AD162" s="122" t="n">
        <f aca="false">Inputs!$C$29*(1+Inputs!$C$30)^(AD$134-1)</f>
        <v>36.414</v>
      </c>
      <c r="AE162" s="122" t="n">
        <f aca="false">Inputs!$C$29*(1+Inputs!$C$30)^(AE$134-1)</f>
        <v>36.414</v>
      </c>
      <c r="AF162" s="122" t="n">
        <f aca="false">Inputs!$C$29*(1+Inputs!$C$30)^(AF$134-1)</f>
        <v>36.414</v>
      </c>
      <c r="AG162" s="122" t="n">
        <f aca="false">Inputs!$C$29*(1+Inputs!$C$30)^(AG$134-1)</f>
        <v>36.414</v>
      </c>
      <c r="AH162" s="122" t="n">
        <f aca="false">Inputs!$C$29*(1+Inputs!$C$30)^(AH$134-1)</f>
        <v>36.414</v>
      </c>
      <c r="AI162" s="122" t="n">
        <f aca="false">Inputs!$C$29*(1+Inputs!$C$30)^(AI$134-1)</f>
        <v>36.414</v>
      </c>
      <c r="AJ162" s="122" t="n">
        <f aca="false">Inputs!$C$29*(1+Inputs!$C$30)^(AJ$134-1)</f>
        <v>36.414</v>
      </c>
      <c r="AK162" s="122" t="n">
        <f aca="false">Inputs!$C$29*(1+Inputs!$C$30)^(AK$134-1)</f>
        <v>36.414</v>
      </c>
      <c r="AL162" s="122" t="n">
        <f aca="false">Inputs!$C$29*(1+Inputs!$C$30)^(AL$134-1)</f>
        <v>36.414</v>
      </c>
      <c r="AM162" s="122" t="n">
        <f aca="false">Inputs!$C$29*(1+Inputs!$C$30)^(AM$134-1)</f>
        <v>37.14228</v>
      </c>
      <c r="AN162" s="122" t="n">
        <f aca="false">Inputs!$C$29*(1+Inputs!$C$30)^(AN$134-1)</f>
        <v>37.14228</v>
      </c>
      <c r="AO162" s="122" t="n">
        <f aca="false">Inputs!$C$29*(1+Inputs!$C$30)^(AO$134-1)</f>
        <v>37.14228</v>
      </c>
      <c r="AP162" s="122" t="n">
        <f aca="false">Inputs!$C$29*(1+Inputs!$C$30)^(AP$134-1)</f>
        <v>37.14228</v>
      </c>
      <c r="AQ162" s="122" t="n">
        <f aca="false">Inputs!$C$29*(1+Inputs!$C$30)^(AQ$134-1)</f>
        <v>37.14228</v>
      </c>
      <c r="AR162" s="122" t="n">
        <f aca="false">Inputs!$C$29*(1+Inputs!$C$30)^(AR$134-1)</f>
        <v>37.14228</v>
      </c>
      <c r="AS162" s="122" t="n">
        <f aca="false">Inputs!$C$29*(1+Inputs!$C$30)^(AS$134-1)</f>
        <v>37.14228</v>
      </c>
      <c r="AT162" s="122" t="n">
        <f aca="false">Inputs!$C$29*(1+Inputs!$C$30)^(AT$134-1)</f>
        <v>37.14228</v>
      </c>
      <c r="AU162" s="122" t="n">
        <f aca="false">Inputs!$C$29*(1+Inputs!$C$30)^(AU$134-1)</f>
        <v>37.14228</v>
      </c>
      <c r="AV162" s="122" t="n">
        <f aca="false">Inputs!$C$29*(1+Inputs!$C$30)^(AV$134-1)</f>
        <v>37.14228</v>
      </c>
      <c r="AW162" s="122" t="n">
        <f aca="false">Inputs!$C$29*(1+Inputs!$C$30)^(AW$134-1)</f>
        <v>37.14228</v>
      </c>
      <c r="AX162" s="122" t="n">
        <f aca="false">Inputs!$C$29*(1+Inputs!$C$30)^(AX$134-1)</f>
        <v>37.14228</v>
      </c>
      <c r="AY162" s="122" t="n">
        <f aca="false">Inputs!$C$29*(1+Inputs!$C$30)^(AY$134-1)</f>
        <v>37.8851256</v>
      </c>
      <c r="AZ162" s="122" t="n">
        <f aca="false">Inputs!$C$29*(1+Inputs!$C$30)^(AZ$134-1)</f>
        <v>37.8851256</v>
      </c>
      <c r="BA162" s="122" t="n">
        <f aca="false">Inputs!$C$29*(1+Inputs!$C$30)^(BA$134-1)</f>
        <v>37.8851256</v>
      </c>
      <c r="BB162" s="122" t="n">
        <f aca="false">Inputs!$C$29*(1+Inputs!$C$30)^(BB$134-1)</f>
        <v>37.8851256</v>
      </c>
      <c r="BC162" s="122" t="n">
        <f aca="false">Inputs!$C$29*(1+Inputs!$C$30)^(BC$134-1)</f>
        <v>37.8851256</v>
      </c>
      <c r="BD162" s="122" t="n">
        <f aca="false">Inputs!$C$29*(1+Inputs!$C$30)^(BD$134-1)</f>
        <v>37.8851256</v>
      </c>
      <c r="BE162" s="122" t="n">
        <f aca="false">Inputs!$C$29*(1+Inputs!$C$30)^(BE$134-1)</f>
        <v>37.8851256</v>
      </c>
      <c r="BF162" s="122" t="n">
        <f aca="false">Inputs!$C$29*(1+Inputs!$C$30)^(BF$134-1)</f>
        <v>37.8851256</v>
      </c>
      <c r="BG162" s="122" t="n">
        <f aca="false">Inputs!$C$29*(1+Inputs!$C$30)^(BG$134-1)</f>
        <v>37.8851256</v>
      </c>
      <c r="BH162" s="122" t="n">
        <f aca="false">Inputs!$C$29*(1+Inputs!$C$30)^(BH$134-1)</f>
        <v>37.8851256</v>
      </c>
      <c r="BI162" s="122" t="n">
        <f aca="false">Inputs!$C$29*(1+Inputs!$C$30)^(BI$134-1)</f>
        <v>37.8851256</v>
      </c>
      <c r="BJ162" s="122" t="n">
        <f aca="false">Inputs!$C$29*(1+Inputs!$C$30)^(BJ$134-1)</f>
        <v>37.8851256</v>
      </c>
    </row>
    <row r="163" customFormat="false" ht="15" hidden="false" customHeight="false" outlineLevel="0" collapsed="false">
      <c r="A163" s="6" t="s">
        <v>435</v>
      </c>
      <c r="C163" s="69" t="n">
        <f aca="false">C155*C161</f>
        <v>34608.6</v>
      </c>
      <c r="D163" s="69" t="n">
        <f aca="false">D155*D161</f>
        <v>39308.5333333333</v>
      </c>
      <c r="E163" s="69" t="n">
        <f aca="false">E155*E161</f>
        <v>54363.4</v>
      </c>
      <c r="F163" s="69" t="n">
        <f aca="false">F155*F161</f>
        <v>60169.2</v>
      </c>
      <c r="G163" s="69" t="n">
        <f aca="false">G155*G161</f>
        <v>65975</v>
      </c>
      <c r="H163" s="69" t="n">
        <f aca="false">H155*H161</f>
        <v>71780.8</v>
      </c>
      <c r="I163" s="69" t="n">
        <f aca="false">I155*I161</f>
        <v>77586.6</v>
      </c>
      <c r="J163" s="69" t="n">
        <f aca="false">J155*J161</f>
        <v>83392.4</v>
      </c>
      <c r="K163" s="69" t="n">
        <f aca="false">K155*K161</f>
        <v>89198.2</v>
      </c>
      <c r="L163" s="69" t="n">
        <f aca="false">L155*L161</f>
        <v>95004</v>
      </c>
      <c r="M163" s="69" t="n">
        <f aca="false">M155*M161</f>
        <v>95004</v>
      </c>
      <c r="N163" s="69" t="n">
        <f aca="false">N155*N161</f>
        <v>76908</v>
      </c>
      <c r="O163" s="69" t="n">
        <f aca="false">O155*O161</f>
        <v>78446.16</v>
      </c>
      <c r="P163" s="69" t="n">
        <f aca="false">P155*P161</f>
        <v>78446.16</v>
      </c>
      <c r="Q163" s="69" t="n">
        <f aca="false">Q155*Q161</f>
        <v>96904.08</v>
      </c>
      <c r="R163" s="69" t="n">
        <f aca="false">R155*R161</f>
        <v>96904.08</v>
      </c>
      <c r="S163" s="69" t="n">
        <f aca="false">S155*S161</f>
        <v>96904.08</v>
      </c>
      <c r="T163" s="69" t="n">
        <f aca="false">T155*T161</f>
        <v>96904.08</v>
      </c>
      <c r="U163" s="69" t="n">
        <f aca="false">U155*U161</f>
        <v>96904.08</v>
      </c>
      <c r="V163" s="69" t="n">
        <f aca="false">V155*V161</f>
        <v>96904.08</v>
      </c>
      <c r="W163" s="69" t="n">
        <f aca="false">W155*W161</f>
        <v>96904.08</v>
      </c>
      <c r="X163" s="69" t="n">
        <f aca="false">X155*X161</f>
        <v>96904.08</v>
      </c>
      <c r="Y163" s="69" t="n">
        <f aca="false">Y155*Y161</f>
        <v>96904.08</v>
      </c>
      <c r="Z163" s="69" t="n">
        <f aca="false">Z155*Z161</f>
        <v>78446.16</v>
      </c>
      <c r="AA163" s="69" t="n">
        <f aca="false">AA155*AA161</f>
        <v>80015.0832</v>
      </c>
      <c r="AB163" s="69" t="n">
        <f aca="false">AB155*AB161</f>
        <v>80015.0832</v>
      </c>
      <c r="AC163" s="69" t="n">
        <f aca="false">AC155*AC161</f>
        <v>98842.1616</v>
      </c>
      <c r="AD163" s="69" t="n">
        <f aca="false">AD155*AD161</f>
        <v>98842.1616</v>
      </c>
      <c r="AE163" s="69" t="n">
        <f aca="false">AE155*AE161</f>
        <v>98842.1616</v>
      </c>
      <c r="AF163" s="69" t="n">
        <f aca="false">AF155*AF161</f>
        <v>98842.1616</v>
      </c>
      <c r="AG163" s="69" t="n">
        <f aca="false">AG155*AG161</f>
        <v>98842.1616</v>
      </c>
      <c r="AH163" s="69" t="n">
        <f aca="false">AH155*AH161</f>
        <v>98842.1616</v>
      </c>
      <c r="AI163" s="69" t="n">
        <f aca="false">AI155*AI161</f>
        <v>98842.1616</v>
      </c>
      <c r="AJ163" s="69" t="n">
        <f aca="false">AJ155*AJ161</f>
        <v>98842.1616</v>
      </c>
      <c r="AK163" s="69" t="n">
        <f aca="false">AK155*AK161</f>
        <v>98842.1616</v>
      </c>
      <c r="AL163" s="69" t="n">
        <f aca="false">AL155*AL161</f>
        <v>80015.0832</v>
      </c>
      <c r="AM163" s="69" t="n">
        <f aca="false">AM155*AM161</f>
        <v>81615.384864</v>
      </c>
      <c r="AN163" s="69" t="n">
        <f aca="false">AN155*AN161</f>
        <v>81615.384864</v>
      </c>
      <c r="AO163" s="69" t="n">
        <f aca="false">AO155*AO161</f>
        <v>100819.004832</v>
      </c>
      <c r="AP163" s="69" t="n">
        <f aca="false">AP155*AP161</f>
        <v>100819.004832</v>
      </c>
      <c r="AQ163" s="69" t="n">
        <f aca="false">AQ155*AQ161</f>
        <v>100819.004832</v>
      </c>
      <c r="AR163" s="69" t="n">
        <f aca="false">AR155*AR161</f>
        <v>100819.004832</v>
      </c>
      <c r="AS163" s="69" t="n">
        <f aca="false">AS155*AS161</f>
        <v>100819.004832</v>
      </c>
      <c r="AT163" s="69" t="n">
        <f aca="false">AT155*AT161</f>
        <v>100819.004832</v>
      </c>
      <c r="AU163" s="69" t="n">
        <f aca="false">AU155*AU161</f>
        <v>100819.004832</v>
      </c>
      <c r="AV163" s="69" t="n">
        <f aca="false">AV155*AV161</f>
        <v>100819.004832</v>
      </c>
      <c r="AW163" s="69" t="n">
        <f aca="false">AW155*AW161</f>
        <v>100819.004832</v>
      </c>
      <c r="AX163" s="69" t="n">
        <f aca="false">AX155*AX161</f>
        <v>81615.384864</v>
      </c>
      <c r="AY163" s="69" t="n">
        <f aca="false">AY155*AY161</f>
        <v>83247.69256128</v>
      </c>
      <c r="AZ163" s="69" t="n">
        <f aca="false">AZ155*AZ161</f>
        <v>83247.69256128</v>
      </c>
      <c r="BA163" s="69" t="n">
        <f aca="false">BA155*BA161</f>
        <v>102835.38492864</v>
      </c>
      <c r="BB163" s="69" t="n">
        <f aca="false">BB155*BB161</f>
        <v>102835.38492864</v>
      </c>
      <c r="BC163" s="69" t="n">
        <f aca="false">BC155*BC161</f>
        <v>102835.38492864</v>
      </c>
      <c r="BD163" s="69" t="n">
        <f aca="false">BD155*BD161</f>
        <v>102835.38492864</v>
      </c>
      <c r="BE163" s="69" t="n">
        <f aca="false">BE155*BE161</f>
        <v>102835.38492864</v>
      </c>
      <c r="BF163" s="69" t="n">
        <f aca="false">BF155*BF161</f>
        <v>102835.38492864</v>
      </c>
      <c r="BG163" s="69" t="n">
        <f aca="false">BG155*BG161</f>
        <v>102835.38492864</v>
      </c>
      <c r="BH163" s="69" t="n">
        <f aca="false">BH155*BH161</f>
        <v>102835.38492864</v>
      </c>
      <c r="BI163" s="69" t="n">
        <f aca="false">BI155*BI161</f>
        <v>102835.38492864</v>
      </c>
      <c r="BJ163" s="69" t="n">
        <f aca="false">BJ155*BJ161</f>
        <v>83247.69256128</v>
      </c>
    </row>
    <row r="164" customFormat="false" ht="15" hidden="false" customHeight="false" outlineLevel="0" collapsed="false">
      <c r="A164" s="6" t="s">
        <v>436</v>
      </c>
      <c r="C164" s="69" t="n">
        <f aca="false">C155*Inputs!$C$28*(1+Inputs!$C$30)^(C$134-1)</f>
        <v>3993.3</v>
      </c>
      <c r="D164" s="69" t="n">
        <f aca="false">D155*Inputs!$C$28*(1+Inputs!$C$30)^(D$134-1)</f>
        <v>4535.6</v>
      </c>
      <c r="E164" s="69" t="n">
        <f aca="false">E155*Inputs!$C$28*(1+Inputs!$C$30)^(E$134-1)</f>
        <v>6272.7</v>
      </c>
      <c r="F164" s="69" t="n">
        <f aca="false">F155*Inputs!$C$28*(1+Inputs!$C$30)^(F$134-1)</f>
        <v>6942.6</v>
      </c>
      <c r="G164" s="69" t="n">
        <f aca="false">G155*Inputs!$C$28*(1+Inputs!$C$30)^(G$134-1)</f>
        <v>7612.5</v>
      </c>
      <c r="H164" s="69" t="n">
        <f aca="false">H155*Inputs!$C$28*(1+Inputs!$C$30)^(H$134-1)</f>
        <v>8282.4</v>
      </c>
      <c r="I164" s="69" t="n">
        <f aca="false">I155*Inputs!$C$28*(1+Inputs!$C$30)^(I$134-1)</f>
        <v>8952.3</v>
      </c>
      <c r="J164" s="69" t="n">
        <f aca="false">J155*Inputs!$C$28*(1+Inputs!$C$30)^(J$134-1)</f>
        <v>9622.2</v>
      </c>
      <c r="K164" s="69" t="n">
        <f aca="false">K155*Inputs!$C$28*(1+Inputs!$C$30)^(K$134-1)</f>
        <v>10292.1</v>
      </c>
      <c r="L164" s="69" t="n">
        <f aca="false">L155*Inputs!$C$28*(1+Inputs!$C$30)^(L$134-1)</f>
        <v>10962</v>
      </c>
      <c r="M164" s="69" t="n">
        <f aca="false">M155*Inputs!$C$28*(1+Inputs!$C$30)^(M$134-1)</f>
        <v>10962</v>
      </c>
      <c r="N164" s="69" t="n">
        <f aca="false">N155*Inputs!$C$28*(1+Inputs!$C$30)^(N$134-1)</f>
        <v>8874</v>
      </c>
      <c r="O164" s="69" t="n">
        <f aca="false">O155*Inputs!$C$28*(1+Inputs!$C$30)^(O$134-1)</f>
        <v>9051.48</v>
      </c>
      <c r="P164" s="69" t="n">
        <f aca="false">P155*Inputs!$C$28*(1+Inputs!$C$30)^(P$134-1)</f>
        <v>9051.48</v>
      </c>
      <c r="Q164" s="69" t="n">
        <f aca="false">Q155*Inputs!$C$28*(1+Inputs!$C$30)^(Q$134-1)</f>
        <v>11181.24</v>
      </c>
      <c r="R164" s="69" t="n">
        <f aca="false">R155*Inputs!$C$28*(1+Inputs!$C$30)^(R$134-1)</f>
        <v>11181.24</v>
      </c>
      <c r="S164" s="69" t="n">
        <f aca="false">S155*Inputs!$C$28*(1+Inputs!$C$30)^(S$134-1)</f>
        <v>11181.24</v>
      </c>
      <c r="T164" s="69" t="n">
        <f aca="false">T155*Inputs!$C$28*(1+Inputs!$C$30)^(T$134-1)</f>
        <v>11181.24</v>
      </c>
      <c r="U164" s="69" t="n">
        <f aca="false">U155*Inputs!$C$28*(1+Inputs!$C$30)^(U$134-1)</f>
        <v>11181.24</v>
      </c>
      <c r="V164" s="69" t="n">
        <f aca="false">V155*Inputs!$C$28*(1+Inputs!$C$30)^(V$134-1)</f>
        <v>11181.24</v>
      </c>
      <c r="W164" s="69" t="n">
        <f aca="false">W155*Inputs!$C$28*(1+Inputs!$C$30)^(W$134-1)</f>
        <v>11181.24</v>
      </c>
      <c r="X164" s="69" t="n">
        <f aca="false">X155*Inputs!$C$28*(1+Inputs!$C$30)^(X$134-1)</f>
        <v>11181.24</v>
      </c>
      <c r="Y164" s="69" t="n">
        <f aca="false">Y155*Inputs!$C$28*(1+Inputs!$C$30)^(Y$134-1)</f>
        <v>11181.24</v>
      </c>
      <c r="Z164" s="69" t="n">
        <f aca="false">Z155*Inputs!$C$28*(1+Inputs!$C$30)^(Z$134-1)</f>
        <v>9051.48</v>
      </c>
      <c r="AA164" s="69" t="n">
        <f aca="false">AA155*Inputs!$C$28*(1+Inputs!$C$30)^(AA$134-1)</f>
        <v>9232.5096</v>
      </c>
      <c r="AB164" s="69" t="n">
        <f aca="false">AB155*Inputs!$C$28*(1+Inputs!$C$30)^(AB$134-1)</f>
        <v>9232.5096</v>
      </c>
      <c r="AC164" s="69" t="n">
        <f aca="false">AC155*Inputs!$C$28*(1+Inputs!$C$30)^(AC$134-1)</f>
        <v>11404.8648</v>
      </c>
      <c r="AD164" s="69" t="n">
        <f aca="false">AD155*Inputs!$C$28*(1+Inputs!$C$30)^(AD$134-1)</f>
        <v>11404.8648</v>
      </c>
      <c r="AE164" s="69" t="n">
        <f aca="false">AE155*Inputs!$C$28*(1+Inputs!$C$30)^(AE$134-1)</f>
        <v>11404.8648</v>
      </c>
      <c r="AF164" s="69" t="n">
        <f aca="false">AF155*Inputs!$C$28*(1+Inputs!$C$30)^(AF$134-1)</f>
        <v>11404.8648</v>
      </c>
      <c r="AG164" s="69" t="n">
        <f aca="false">AG155*Inputs!$C$28*(1+Inputs!$C$30)^(AG$134-1)</f>
        <v>11404.8648</v>
      </c>
      <c r="AH164" s="69" t="n">
        <f aca="false">AH155*Inputs!$C$28*(1+Inputs!$C$30)^(AH$134-1)</f>
        <v>11404.8648</v>
      </c>
      <c r="AI164" s="69" t="n">
        <f aca="false">AI155*Inputs!$C$28*(1+Inputs!$C$30)^(AI$134-1)</f>
        <v>11404.8648</v>
      </c>
      <c r="AJ164" s="69" t="n">
        <f aca="false">AJ155*Inputs!$C$28*(1+Inputs!$C$30)^(AJ$134-1)</f>
        <v>11404.8648</v>
      </c>
      <c r="AK164" s="69" t="n">
        <f aca="false">AK155*Inputs!$C$28*(1+Inputs!$C$30)^(AK$134-1)</f>
        <v>11404.8648</v>
      </c>
      <c r="AL164" s="69" t="n">
        <f aca="false">AL155*Inputs!$C$28*(1+Inputs!$C$30)^(AL$134-1)</f>
        <v>9232.5096</v>
      </c>
      <c r="AM164" s="69" t="n">
        <f aca="false">AM155*Inputs!$C$28*(1+Inputs!$C$30)^(AM$134-1)</f>
        <v>9417.159792</v>
      </c>
      <c r="AN164" s="69" t="n">
        <f aca="false">AN155*Inputs!$C$28*(1+Inputs!$C$30)^(AN$134-1)</f>
        <v>9417.159792</v>
      </c>
      <c r="AO164" s="69" t="n">
        <f aca="false">AO155*Inputs!$C$28*(1+Inputs!$C$30)^(AO$134-1)</f>
        <v>11632.962096</v>
      </c>
      <c r="AP164" s="69" t="n">
        <f aca="false">AP155*Inputs!$C$28*(1+Inputs!$C$30)^(AP$134-1)</f>
        <v>11632.962096</v>
      </c>
      <c r="AQ164" s="69" t="n">
        <f aca="false">AQ155*Inputs!$C$28*(1+Inputs!$C$30)^(AQ$134-1)</f>
        <v>11632.962096</v>
      </c>
      <c r="AR164" s="69" t="n">
        <f aca="false">AR155*Inputs!$C$28*(1+Inputs!$C$30)^(AR$134-1)</f>
        <v>11632.962096</v>
      </c>
      <c r="AS164" s="69" t="n">
        <f aca="false">AS155*Inputs!$C$28*(1+Inputs!$C$30)^(AS$134-1)</f>
        <v>11632.962096</v>
      </c>
      <c r="AT164" s="69" t="n">
        <f aca="false">AT155*Inputs!$C$28*(1+Inputs!$C$30)^(AT$134-1)</f>
        <v>11632.962096</v>
      </c>
      <c r="AU164" s="69" t="n">
        <f aca="false">AU155*Inputs!$C$28*(1+Inputs!$C$30)^(AU$134-1)</f>
        <v>11632.962096</v>
      </c>
      <c r="AV164" s="69" t="n">
        <f aca="false">AV155*Inputs!$C$28*(1+Inputs!$C$30)^(AV$134-1)</f>
        <v>11632.962096</v>
      </c>
      <c r="AW164" s="69" t="n">
        <f aca="false">AW155*Inputs!$C$28*(1+Inputs!$C$30)^(AW$134-1)</f>
        <v>11632.962096</v>
      </c>
      <c r="AX164" s="69" t="n">
        <f aca="false">AX155*Inputs!$C$28*(1+Inputs!$C$30)^(AX$134-1)</f>
        <v>9417.159792</v>
      </c>
      <c r="AY164" s="69" t="n">
        <f aca="false">AY155*Inputs!$C$28*(1+Inputs!$C$30)^(AY$134-1)</f>
        <v>9605.50298784</v>
      </c>
      <c r="AZ164" s="69" t="n">
        <f aca="false">AZ155*Inputs!$C$28*(1+Inputs!$C$30)^(AZ$134-1)</f>
        <v>9605.50298784</v>
      </c>
      <c r="BA164" s="69" t="n">
        <f aca="false">BA155*Inputs!$C$28*(1+Inputs!$C$30)^(BA$134-1)</f>
        <v>11865.62133792</v>
      </c>
      <c r="BB164" s="69" t="n">
        <f aca="false">BB155*Inputs!$C$28*(1+Inputs!$C$30)^(BB$134-1)</f>
        <v>11865.62133792</v>
      </c>
      <c r="BC164" s="69" t="n">
        <f aca="false">BC155*Inputs!$C$28*(1+Inputs!$C$30)^(BC$134-1)</f>
        <v>11865.62133792</v>
      </c>
      <c r="BD164" s="69" t="n">
        <f aca="false">BD155*Inputs!$C$28*(1+Inputs!$C$30)^(BD$134-1)</f>
        <v>11865.62133792</v>
      </c>
      <c r="BE164" s="69" t="n">
        <f aca="false">BE155*Inputs!$C$28*(1+Inputs!$C$30)^(BE$134-1)</f>
        <v>11865.62133792</v>
      </c>
      <c r="BF164" s="69" t="n">
        <f aca="false">BF155*Inputs!$C$28*(1+Inputs!$C$30)^(BF$134-1)</f>
        <v>11865.62133792</v>
      </c>
      <c r="BG164" s="69" t="n">
        <f aca="false">BG155*Inputs!$C$28*(1+Inputs!$C$30)^(BG$134-1)</f>
        <v>11865.62133792</v>
      </c>
      <c r="BH164" s="69" t="n">
        <f aca="false">BH155*Inputs!$C$28*(1+Inputs!$C$30)^(BH$134-1)</f>
        <v>11865.62133792</v>
      </c>
      <c r="BI164" s="69" t="n">
        <f aca="false">BI155*Inputs!$C$28*(1+Inputs!$C$30)^(BI$134-1)</f>
        <v>11865.62133792</v>
      </c>
      <c r="BJ164" s="69" t="n">
        <f aca="false">BJ155*Inputs!$C$28*(1+Inputs!$C$30)^(BJ$134-1)</f>
        <v>9605.50298784</v>
      </c>
    </row>
    <row r="165" customFormat="false" ht="15" hidden="false" customHeight="false" outlineLevel="0" collapsed="false">
      <c r="A165" s="6" t="s">
        <v>243</v>
      </c>
      <c r="C165" s="69" t="n">
        <f aca="false">C149*C162*1</f>
        <v>9341.458</v>
      </c>
      <c r="D165" s="69" t="n">
        <f aca="false">D149*D162*1</f>
        <v>10604.8025688889</v>
      </c>
      <c r="E165" s="69" t="n">
        <f aca="false">E149*E162*1</f>
        <v>12137.3017994667</v>
      </c>
      <c r="F165" s="69" t="n">
        <f aca="false">F149*F162*1</f>
        <v>13940.0988385991</v>
      </c>
      <c r="G165" s="69" t="n">
        <f aca="false">G149*G162*1</f>
        <v>15902.7764406107</v>
      </c>
      <c r="H165" s="69" t="n">
        <f aca="false">H149*H162*1</f>
        <v>18018.9393829863</v>
      </c>
      <c r="I165" s="69" t="n">
        <f aca="false">I149*I162*1</f>
        <v>20282.4482521113</v>
      </c>
      <c r="J165" s="69" t="n">
        <f aca="false">J149*J162*1</f>
        <v>22687.4092109157</v>
      </c>
      <c r="K165" s="69" t="n">
        <f aca="false">K149*K162*1</f>
        <v>25228.1641758124</v>
      </c>
      <c r="L165" s="69" t="n">
        <f aca="false">L149*L162*1</f>
        <v>27899.2813865577</v>
      </c>
      <c r="M165" s="69" t="n">
        <f aca="false">M149*M162*1</f>
        <v>30579.5501310954</v>
      </c>
      <c r="N165" s="69" t="n">
        <f aca="false">N149*N162*1</f>
        <v>32957.7281258516</v>
      </c>
      <c r="O165" s="69" t="n">
        <f aca="false">O149*O162*1</f>
        <v>35791.4419808339</v>
      </c>
      <c r="P165" s="69" t="n">
        <f aca="false">P149*P162*1</f>
        <v>37923.6439016005</v>
      </c>
      <c r="Q165" s="69" t="n">
        <f aca="false">Q149*Q162*1</f>
        <v>40169.3353455365</v>
      </c>
      <c r="R165" s="69" t="n">
        <f aca="false">R149*R162*1</f>
        <v>42523.976731715</v>
      </c>
      <c r="S165" s="69" t="n">
        <f aca="false">S149*S162*1</f>
        <v>44784.4324624464</v>
      </c>
      <c r="T165" s="69" t="n">
        <f aca="false">T149*T162*1</f>
        <v>46954.4699639486</v>
      </c>
      <c r="U165" s="69" t="n">
        <f aca="false">U149*U162*1</f>
        <v>49037.7059653906</v>
      </c>
      <c r="V165" s="69" t="n">
        <f aca="false">V149*V162*1</f>
        <v>51037.612526775</v>
      </c>
      <c r="W165" s="69" t="n">
        <f aca="false">W149*W162*1</f>
        <v>52957.522825704</v>
      </c>
      <c r="X165" s="69" t="n">
        <f aca="false">X149*X162*1</f>
        <v>54800.6367126758</v>
      </c>
      <c r="Y165" s="69" t="n">
        <f aca="false">Y149*Y162*1</f>
        <v>56570.0260441688</v>
      </c>
      <c r="Z165" s="69" t="n">
        <f aca="false">Z149*Z162*1</f>
        <v>58069.862202402</v>
      </c>
      <c r="AA165" s="69" t="n">
        <f aca="false">AA149*AA162*1</f>
        <v>60544.9392355921</v>
      </c>
      <c r="AB165" s="69" t="n">
        <f aca="false">AB149*AB162*1</f>
        <v>61853.8652081684</v>
      </c>
      <c r="AC165" s="69" t="n">
        <f aca="false">AC149*AC162*1</f>
        <v>63313.1872938416</v>
      </c>
      <c r="AD165" s="69" t="n">
        <f aca="false">AD149*AD162*1</f>
        <v>64916.889648088</v>
      </c>
      <c r="AE165" s="69" t="n">
        <f aca="false">AE149*AE162*1</f>
        <v>66456.4439081644</v>
      </c>
      <c r="AF165" s="69" t="n">
        <f aca="false">AF149*AF162*1</f>
        <v>67934.4159978379</v>
      </c>
      <c r="AG165" s="69" t="n">
        <f aca="false">AG149*AG162*1</f>
        <v>69353.2692039243</v>
      </c>
      <c r="AH165" s="69" t="n">
        <f aca="false">AH149*AH162*1</f>
        <v>70715.3682817674</v>
      </c>
      <c r="AI165" s="69" t="n">
        <f aca="false">AI149*AI162*1</f>
        <v>72022.9833964967</v>
      </c>
      <c r="AJ165" s="69" t="n">
        <f aca="false">AJ149*AJ162*1</f>
        <v>73278.2939066368</v>
      </c>
      <c r="AK165" s="69" t="n">
        <f aca="false">AK149*AK162*1</f>
        <v>74483.3919963713</v>
      </c>
      <c r="AL165" s="69" t="n">
        <f aca="false">AL149*AL162*1</f>
        <v>75437.5330105165</v>
      </c>
      <c r="AM165" s="69" t="n">
        <f aca="false">AM149*AM162*1</f>
        <v>77724.9570413627</v>
      </c>
      <c r="AN165" s="69" t="n">
        <f aca="false">AN149*AN162*1</f>
        <v>78523.6701817982</v>
      </c>
      <c r="AO165" s="69" t="n">
        <f aca="false">AO149*AO162*1</f>
        <v>79497.2430116563</v>
      </c>
      <c r="AP165" s="69" t="n">
        <f aca="false">AP149*AP162*1</f>
        <v>80638.68114336</v>
      </c>
      <c r="AQ165" s="69" t="n">
        <f aca="false">AQ149*AQ162*1</f>
        <v>81734.4617497956</v>
      </c>
      <c r="AR165" s="69" t="n">
        <f aca="false">AR149*AR162*1</f>
        <v>82786.4111319738</v>
      </c>
      <c r="AS165" s="69" t="n">
        <f aca="false">AS149*AS162*1</f>
        <v>83796.2825388648</v>
      </c>
      <c r="AT165" s="69" t="n">
        <f aca="false">AT149*AT162*1</f>
        <v>84765.7590894802</v>
      </c>
      <c r="AU165" s="69" t="n">
        <f aca="false">AU149*AU162*1</f>
        <v>85696.456578071</v>
      </c>
      <c r="AV165" s="69" t="n">
        <f aca="false">AV149*AV162*1</f>
        <v>86589.9261671182</v>
      </c>
      <c r="AW165" s="69" t="n">
        <f aca="false">AW149*AW162*1</f>
        <v>87447.6569726034</v>
      </c>
      <c r="AX165" s="69" t="n">
        <f aca="false">AX149*AX162*1</f>
        <v>88064.2703308293</v>
      </c>
      <c r="AY165" s="69" t="n">
        <f aca="false">AY149*AY162*1</f>
        <v>90273.2201191332</v>
      </c>
      <c r="AZ165" s="69" t="n">
        <f aca="false">AZ149*AZ162*1</f>
        <v>90757.7988862064</v>
      </c>
      <c r="BA165" s="69" t="n">
        <f aca="false">BA149*BA162*1</f>
        <v>91433.9388819375</v>
      </c>
      <c r="BB165" s="69" t="n">
        <f aca="false">BB149*BB162*1</f>
        <v>92293.9776571802</v>
      </c>
      <c r="BC165" s="69" t="n">
        <f aca="false">BC149*BC162*1</f>
        <v>93119.6148814131</v>
      </c>
      <c r="BD165" s="69" t="n">
        <f aca="false">BD149*BD162*1</f>
        <v>93912.2266166767</v>
      </c>
      <c r="BE165" s="69" t="n">
        <f aca="false">BE149*BE162*1</f>
        <v>94673.1338825298</v>
      </c>
      <c r="BF165" s="69" t="n">
        <f aca="false">BF149*BF162*1</f>
        <v>95403.6048577487</v>
      </c>
      <c r="BG165" s="69" t="n">
        <f aca="false">BG149*BG162*1</f>
        <v>96104.8569939589</v>
      </c>
      <c r="BH165" s="69" t="n">
        <f aca="false">BH149*BH162*1</f>
        <v>96778.0590447207</v>
      </c>
      <c r="BI165" s="69" t="n">
        <f aca="false">BI149*BI162*1</f>
        <v>97424.333013452</v>
      </c>
      <c r="BJ165" s="69" t="n">
        <f aca="false">BJ149*BJ162*1</f>
        <v>97833.8116440933</v>
      </c>
    </row>
    <row r="166" customFormat="false" ht="15" hidden="false" customHeight="false" outlineLevel="0" collapsed="false">
      <c r="A166" s="113" t="s">
        <v>44</v>
      </c>
      <c r="C166" s="70" t="n">
        <f aca="false">C163+C164+C165</f>
        <v>47943.358</v>
      </c>
      <c r="D166" s="70" t="n">
        <f aca="false">D163+D164+D165</f>
        <v>54448.9359022222</v>
      </c>
      <c r="E166" s="70" t="n">
        <f aca="false">E163+E164+E165</f>
        <v>72773.4017994667</v>
      </c>
      <c r="F166" s="70" t="n">
        <f aca="false">F163+F164+F165</f>
        <v>81051.8988385991</v>
      </c>
      <c r="G166" s="70" t="n">
        <f aca="false">G163+G164+G165</f>
        <v>89490.2764406107</v>
      </c>
      <c r="H166" s="70" t="n">
        <f aca="false">H163+H164+H165</f>
        <v>98082.1393829863</v>
      </c>
      <c r="I166" s="70" t="n">
        <f aca="false">I163+I164+I165</f>
        <v>106821.348252111</v>
      </c>
      <c r="J166" s="70" t="n">
        <f aca="false">J163+J164+J165</f>
        <v>115702.009210916</v>
      </c>
      <c r="K166" s="70" t="n">
        <f aca="false">K163+K164+K165</f>
        <v>124718.464175812</v>
      </c>
      <c r="L166" s="70" t="n">
        <f aca="false">L163+L164+L165</f>
        <v>133865.281386558</v>
      </c>
      <c r="M166" s="70" t="n">
        <f aca="false">M163+M164+M165</f>
        <v>136545.550131095</v>
      </c>
      <c r="N166" s="70" t="n">
        <f aca="false">N163+N164+N165</f>
        <v>118739.728125852</v>
      </c>
      <c r="O166" s="70" t="n">
        <f aca="false">O163+O164+O165</f>
        <v>123289.081980834</v>
      </c>
      <c r="P166" s="70" t="n">
        <f aca="false">P163+P164+P165</f>
        <v>125421.283901601</v>
      </c>
      <c r="Q166" s="70" t="n">
        <f aca="false">Q163+Q164+Q165</f>
        <v>148254.655345536</v>
      </c>
      <c r="R166" s="70" t="n">
        <f aca="false">R163+R164+R165</f>
        <v>150609.296731715</v>
      </c>
      <c r="S166" s="70" t="n">
        <f aca="false">S163+S164+S165</f>
        <v>152869.752462446</v>
      </c>
      <c r="T166" s="70" t="n">
        <f aca="false">T163+T164+T165</f>
        <v>155039.789963949</v>
      </c>
      <c r="U166" s="70" t="n">
        <f aca="false">U163+U164+U165</f>
        <v>157123.025965391</v>
      </c>
      <c r="V166" s="70" t="n">
        <f aca="false">V163+V164+V165</f>
        <v>159122.932526775</v>
      </c>
      <c r="W166" s="70" t="n">
        <f aca="false">W163+W164+W165</f>
        <v>161042.842825704</v>
      </c>
      <c r="X166" s="70" t="n">
        <f aca="false">X163+X164+X165</f>
        <v>162885.956712676</v>
      </c>
      <c r="Y166" s="70" t="n">
        <f aca="false">Y163+Y164+Y165</f>
        <v>164655.346044169</v>
      </c>
      <c r="Z166" s="70" t="n">
        <f aca="false">Z163+Z164+Z165</f>
        <v>145567.502202402</v>
      </c>
      <c r="AA166" s="70" t="n">
        <f aca="false">AA163+AA164+AA165</f>
        <v>149792.532035592</v>
      </c>
      <c r="AB166" s="70" t="n">
        <f aca="false">AB163+AB164+AB165</f>
        <v>151101.458008168</v>
      </c>
      <c r="AC166" s="70" t="n">
        <f aca="false">AC163+AC164+AC165</f>
        <v>173560.213693842</v>
      </c>
      <c r="AD166" s="70" t="n">
        <f aca="false">AD163+AD164+AD165</f>
        <v>175163.916048088</v>
      </c>
      <c r="AE166" s="70" t="n">
        <f aca="false">AE163+AE164+AE165</f>
        <v>176703.470308164</v>
      </c>
      <c r="AF166" s="70" t="n">
        <f aca="false">AF163+AF164+AF165</f>
        <v>178181.442397838</v>
      </c>
      <c r="AG166" s="70" t="n">
        <f aca="false">AG163+AG164+AG165</f>
        <v>179600.295603924</v>
      </c>
      <c r="AH166" s="70" t="n">
        <f aca="false">AH163+AH164+AH165</f>
        <v>180962.394681767</v>
      </c>
      <c r="AI166" s="70" t="n">
        <f aca="false">AI163+AI164+AI165</f>
        <v>182270.009796497</v>
      </c>
      <c r="AJ166" s="70" t="n">
        <f aca="false">AJ163+AJ164+AJ165</f>
        <v>183525.320306637</v>
      </c>
      <c r="AK166" s="70" t="n">
        <f aca="false">AK163+AK164+AK165</f>
        <v>184730.418396371</v>
      </c>
      <c r="AL166" s="70" t="n">
        <f aca="false">AL163+AL164+AL165</f>
        <v>164685.125810516</v>
      </c>
      <c r="AM166" s="70" t="n">
        <f aca="false">AM163+AM164+AM165</f>
        <v>168757.501697363</v>
      </c>
      <c r="AN166" s="70" t="n">
        <f aca="false">AN163+AN164+AN165</f>
        <v>169556.214837798</v>
      </c>
      <c r="AO166" s="70" t="n">
        <f aca="false">AO163+AO164+AO165</f>
        <v>191949.209939656</v>
      </c>
      <c r="AP166" s="70" t="n">
        <f aca="false">AP163+AP164+AP165</f>
        <v>193090.64807136</v>
      </c>
      <c r="AQ166" s="70" t="n">
        <f aca="false">AQ163+AQ164+AQ165</f>
        <v>194186.428677796</v>
      </c>
      <c r="AR166" s="70" t="n">
        <f aca="false">AR163+AR164+AR165</f>
        <v>195238.378059974</v>
      </c>
      <c r="AS166" s="70" t="n">
        <f aca="false">AS163+AS164+AS165</f>
        <v>196248.249466865</v>
      </c>
      <c r="AT166" s="70" t="n">
        <f aca="false">AT163+AT164+AT165</f>
        <v>197217.72601748</v>
      </c>
      <c r="AU166" s="70" t="n">
        <f aca="false">AU163+AU164+AU165</f>
        <v>198148.423506071</v>
      </c>
      <c r="AV166" s="70" t="n">
        <f aca="false">AV163+AV164+AV165</f>
        <v>199041.893095118</v>
      </c>
      <c r="AW166" s="70" t="n">
        <f aca="false">AW163+AW164+AW165</f>
        <v>199899.623900603</v>
      </c>
      <c r="AX166" s="70" t="n">
        <f aca="false">AX163+AX164+AX165</f>
        <v>179096.814986829</v>
      </c>
      <c r="AY166" s="70" t="n">
        <f aca="false">AY163+AY164+AY165</f>
        <v>183126.415668253</v>
      </c>
      <c r="AZ166" s="70" t="n">
        <f aca="false">AZ163+AZ164+AZ165</f>
        <v>183610.994435326</v>
      </c>
      <c r="BA166" s="70" t="n">
        <f aca="false">BA163+BA164+BA165</f>
        <v>206134.945148498</v>
      </c>
      <c r="BB166" s="70" t="n">
        <f aca="false">BB163+BB164+BB165</f>
        <v>206994.98392374</v>
      </c>
      <c r="BC166" s="70" t="n">
        <f aca="false">BC163+BC164+BC165</f>
        <v>207820.621147973</v>
      </c>
      <c r="BD166" s="70" t="n">
        <f aca="false">BD163+BD164+BD165</f>
        <v>208613.232883237</v>
      </c>
      <c r="BE166" s="70" t="n">
        <f aca="false">BE163+BE164+BE165</f>
        <v>209374.14014909</v>
      </c>
      <c r="BF166" s="70" t="n">
        <f aca="false">BF163+BF164+BF165</f>
        <v>210104.611124309</v>
      </c>
      <c r="BG166" s="70" t="n">
        <f aca="false">BG163+BG164+BG165</f>
        <v>210805.863260519</v>
      </c>
      <c r="BH166" s="70" t="n">
        <f aca="false">BH163+BH164+BH165</f>
        <v>211479.065311281</v>
      </c>
      <c r="BI166" s="70" t="n">
        <f aca="false">BI163+BI164+BI165</f>
        <v>212125.339280012</v>
      </c>
      <c r="BJ166" s="70" t="n">
        <f aca="false">BJ163+BJ164+BJ165</f>
        <v>190687.007193213</v>
      </c>
    </row>
    <row r="168" customFormat="false" ht="15.75" hidden="false" customHeight="true" outlineLevel="0" collapsed="false">
      <c r="A168" s="7" t="s">
        <v>76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</row>
    <row r="169" customFormat="false" ht="15" hidden="false" customHeight="false" outlineLevel="0" collapsed="false">
      <c r="A169" s="6" t="s">
        <v>437</v>
      </c>
      <c r="C169" s="69" t="n">
        <f aca="false">-C157*Inputs!$C$33*(1+Inputs!$C$38)^(C$134-1)</f>
        <v>-2937.7903405</v>
      </c>
      <c r="D169" s="69" t="n">
        <f aca="false">-D157*Inputs!$C$33*(1+Inputs!$C$38)^(D$134-1)</f>
        <v>-3336.37031893556</v>
      </c>
      <c r="E169" s="69" t="n">
        <f aca="false">-E157*Inputs!$C$33*(1+Inputs!$C$38)^(E$134-1)</f>
        <v>-4637.7841856024</v>
      </c>
      <c r="F169" s="69" t="n">
        <f aca="false">-F157*Inputs!$C$33*(1+Inputs!$C$38)^(F$134-1)</f>
        <v>-5178.29382134497</v>
      </c>
      <c r="G169" s="69" t="n">
        <f aca="false">-G157*Inputs!$C$33*(1+Inputs!$C$38)^(G$134-1)</f>
        <v>-5733.07279732451</v>
      </c>
      <c r="H169" s="69" t="n">
        <f aca="false">-H157*Inputs!$C$33*(1+Inputs!$C$38)^(H$134-1)</f>
        <v>-6301.55033993153</v>
      </c>
      <c r="I169" s="69" t="n">
        <f aca="false">-I157*Inputs!$C$33*(1+Inputs!$C$38)^(I$134-1)</f>
        <v>-6883.17850650093</v>
      </c>
      <c r="J169" s="69" t="n">
        <f aca="false">-J157*Inputs!$C$33*(1+Inputs!$C$38)^(J$134-1)</f>
        <v>-7477.43127207423</v>
      </c>
      <c r="K169" s="69" t="n">
        <f aca="false">-K157*Inputs!$C$33*(1+Inputs!$C$38)^(K$134-1)</f>
        <v>-8083.80365269126</v>
      </c>
      <c r="L169" s="69" t="n">
        <f aca="false">-L157*Inputs!$C$33*(1+Inputs!$C$38)^(L$134-1)</f>
        <v>-8701.81086375027</v>
      </c>
      <c r="M169" s="69" t="n">
        <f aca="false">-M157*Inputs!$C$33*(1+Inputs!$C$38)^(M$134-1)</f>
        <v>-8941.02484920026</v>
      </c>
      <c r="N169" s="69" t="n">
        <f aca="false">-N157*Inputs!$C$33*(1+Inputs!$C$38)^(N$134-1)</f>
        <v>-7409.79585709278</v>
      </c>
      <c r="O169" s="69" t="n">
        <f aca="false">-O157*Inputs!$C$33*(1+Inputs!$C$38)^(O$134-1)</f>
        <v>-7790.74195451834</v>
      </c>
      <c r="P169" s="69" t="n">
        <f aca="false">-P157*Inputs!$C$33*(1+Inputs!$C$38)^(P$134-1)</f>
        <v>-7946.3038529876</v>
      </c>
      <c r="Q169" s="69" t="n">
        <f aca="false">-Q157*Inputs!$C$33*(1+Inputs!$C$38)^(Q$134-1)</f>
        <v>-10018.4153480165</v>
      </c>
      <c r="R169" s="69" t="n">
        <f aca="false">-R157*Inputs!$C$33*(1+Inputs!$C$38)^(R$134-1)</f>
        <v>-10230.6274029458</v>
      </c>
      <c r="S169" s="69" t="n">
        <f aca="false">-S157*Inputs!$C$33*(1+Inputs!$C$38)^(S$134-1)</f>
        <v>-10434.350975678</v>
      </c>
      <c r="T169" s="69" t="n">
        <f aca="false">-T157*Inputs!$C$33*(1+Inputs!$C$38)^(T$134-1)</f>
        <v>-10629.9256055009</v>
      </c>
      <c r="U169" s="69" t="n">
        <f aca="false">-U157*Inputs!$C$33*(1+Inputs!$C$38)^(U$134-1)</f>
        <v>-10817.6772501308</v>
      </c>
      <c r="V169" s="69" t="n">
        <f aca="false">-V157*Inputs!$C$33*(1+Inputs!$C$38)^(V$134-1)</f>
        <v>-10997.9188289756</v>
      </c>
      <c r="W169" s="69" t="n">
        <f aca="false">-W157*Inputs!$C$33*(1+Inputs!$C$38)^(W$134-1)</f>
        <v>-11170.9507446666</v>
      </c>
      <c r="X169" s="69" t="n">
        <f aca="false">-X157*Inputs!$C$33*(1+Inputs!$C$38)^(X$134-1)</f>
        <v>-11337.0613837299</v>
      </c>
      <c r="Y169" s="69" t="n">
        <f aca="false">-Y157*Inputs!$C$33*(1+Inputs!$C$38)^(Y$134-1)</f>
        <v>-11496.5275972307</v>
      </c>
      <c r="Z169" s="69" t="n">
        <f aca="false">-Z157*Inputs!$C$33*(1+Inputs!$C$38)^(Z$134-1)</f>
        <v>-9416.13836318358</v>
      </c>
      <c r="AA169" s="69" t="n">
        <f aca="false">-AA157*Inputs!$C$33*(1+Inputs!$C$38)^(AA$134-1)</f>
        <v>-9795.40604798886</v>
      </c>
      <c r="AB169" s="69" t="n">
        <f aca="false">-AB157*Inputs!$C$33*(1+Inputs!$C$38)^(AB$134-1)</f>
        <v>-9891.83935106568</v>
      </c>
      <c r="AC169" s="69" t="n">
        <f aca="false">-AC157*Inputs!$C$33*(1+Inputs!$C$38)^(AC$134-1)</f>
        <v>-12352.1417915718</v>
      </c>
      <c r="AD169" s="69" t="n">
        <f aca="false">-AD157*Inputs!$C$33*(1+Inputs!$C$38)^(AD$134-1)</f>
        <v>-12498.0924630588</v>
      </c>
      <c r="AE169" s="69" t="n">
        <f aca="false">-AE157*Inputs!$C$33*(1+Inputs!$C$38)^(AE$134-1)</f>
        <v>-12638.2051076863</v>
      </c>
      <c r="AF169" s="69" t="n">
        <f aca="false">-AF157*Inputs!$C$33*(1+Inputs!$C$38)^(AF$134-1)</f>
        <v>-12772.7132465287</v>
      </c>
      <c r="AG169" s="69" t="n">
        <f aca="false">-AG157*Inputs!$C$33*(1+Inputs!$C$38)^(AG$134-1)</f>
        <v>-12901.8410598174</v>
      </c>
      <c r="AH169" s="69" t="n">
        <f aca="false">-AH157*Inputs!$C$33*(1+Inputs!$C$38)^(AH$134-1)</f>
        <v>-13025.8037605746</v>
      </c>
      <c r="AI169" s="69" t="n">
        <f aca="false">-AI157*Inputs!$C$33*(1+Inputs!$C$38)^(AI$134-1)</f>
        <v>-13144.8079533015</v>
      </c>
      <c r="AJ169" s="69" t="n">
        <f aca="false">-AJ157*Inputs!$C$33*(1+Inputs!$C$38)^(AJ$134-1)</f>
        <v>-13259.0519783193</v>
      </c>
      <c r="AK169" s="69" t="n">
        <f aca="false">-AK157*Inputs!$C$33*(1+Inputs!$C$38)^(AK$134-1)</f>
        <v>-13368.7262423364</v>
      </c>
      <c r="AL169" s="69" t="n">
        <f aca="false">-AL157*Inputs!$C$33*(1+Inputs!$C$38)^(AL$134-1)</f>
        <v>-10892.5972101984</v>
      </c>
      <c r="AM169" s="69" t="n">
        <f aca="false">-AM157*Inputs!$C$33*(1+Inputs!$C$38)^(AM$134-1)</f>
        <v>-11277.3052338215</v>
      </c>
      <c r="AN169" s="69" t="n">
        <f aca="false">-AN157*Inputs!$C$33*(1+Inputs!$C$38)^(AN$134-1)</f>
        <v>-11336.7262178771</v>
      </c>
      <c r="AO169" s="69" t="n">
        <f aca="false">-AO157*Inputs!$C$33*(1+Inputs!$C$38)^(AO$134-1)</f>
        <v>-14093.6633511248</v>
      </c>
      <c r="AP169" s="69" t="n">
        <f aca="false">-AP157*Inputs!$C$33*(1+Inputs!$C$38)^(AP$134-1)</f>
        <v>-14198.5624507187</v>
      </c>
      <c r="AQ169" s="69" t="n">
        <f aca="false">-AQ157*Inputs!$C$33*(1+Inputs!$C$38)^(AQ$134-1)</f>
        <v>-14299.2655863288</v>
      </c>
      <c r="AR169" s="69" t="n">
        <f aca="false">-AR157*Inputs!$C$33*(1+Inputs!$C$38)^(AR$134-1)</f>
        <v>-14395.9405965145</v>
      </c>
      <c r="AS169" s="69" t="n">
        <f aca="false">-AS157*Inputs!$C$33*(1+Inputs!$C$38)^(AS$134-1)</f>
        <v>-14488.7486062928</v>
      </c>
      <c r="AT169" s="69" t="n">
        <f aca="false">-AT157*Inputs!$C$33*(1+Inputs!$C$38)^(AT$134-1)</f>
        <v>-14577.8442956799</v>
      </c>
      <c r="AU169" s="69" t="n">
        <f aca="false">-AU157*Inputs!$C$33*(1+Inputs!$C$38)^(AU$134-1)</f>
        <v>-14663.3761574915</v>
      </c>
      <c r="AV169" s="69" t="n">
        <f aca="false">-AV157*Inputs!$C$33*(1+Inputs!$C$38)^(AV$134-1)</f>
        <v>-14745.4867448307</v>
      </c>
      <c r="AW169" s="69" t="n">
        <f aca="false">-AW157*Inputs!$C$33*(1+Inputs!$C$38)^(AW$134-1)</f>
        <v>-14824.3129086763</v>
      </c>
      <c r="AX169" s="69" t="n">
        <f aca="false">-AX157*Inputs!$C$33*(1+Inputs!$C$38)^(AX$134-1)</f>
        <v>-12046.5077660151</v>
      </c>
      <c r="AY169" s="69" t="n">
        <f aca="false">-AY157*Inputs!$C$33*(1+Inputs!$C$38)^(AY$134-1)</f>
        <v>-12441.5339078816</v>
      </c>
      <c r="AZ169" s="69" t="n">
        <f aca="false">-AZ157*Inputs!$C$33*(1+Inputs!$C$38)^(AZ$134-1)</f>
        <v>-12477.9380200473</v>
      </c>
      <c r="BA169" s="69" t="n">
        <f aca="false">-BA157*Inputs!$C$33*(1+Inputs!$C$38)^(BA$134-1)</f>
        <v>-15476.6704504735</v>
      </c>
      <c r="BB169" s="69" t="n">
        <f aca="false">-BB157*Inputs!$C$33*(1+Inputs!$C$38)^(BB$134-1)</f>
        <v>-15556.4836036129</v>
      </c>
      <c r="BC169" s="69" t="n">
        <f aca="false">-BC157*Inputs!$C$33*(1+Inputs!$C$38)^(BC$134-1)</f>
        <v>-15633.1042306267</v>
      </c>
      <c r="BD169" s="69" t="n">
        <f aca="false">-BD157*Inputs!$C$33*(1+Inputs!$C$38)^(BD$134-1)</f>
        <v>-15706.66003256</v>
      </c>
      <c r="BE169" s="69" t="n">
        <f aca="false">-BE157*Inputs!$C$33*(1+Inputs!$C$38)^(BE$134-1)</f>
        <v>-15777.2736024159</v>
      </c>
      <c r="BF169" s="69" t="n">
        <f aca="false">-BF157*Inputs!$C$33*(1+Inputs!$C$38)^(BF$134-1)</f>
        <v>-15845.0626294776</v>
      </c>
      <c r="BG169" s="69" t="n">
        <f aca="false">-BG157*Inputs!$C$33*(1+Inputs!$C$38)^(BG$134-1)</f>
        <v>-15910.1400954569</v>
      </c>
      <c r="BH169" s="69" t="n">
        <f aca="false">-BH157*Inputs!$C$33*(1+Inputs!$C$38)^(BH$134-1)</f>
        <v>-15972.6144627969</v>
      </c>
      <c r="BI169" s="69" t="n">
        <f aca="false">-BI157*Inputs!$C$33*(1+Inputs!$C$38)^(BI$134-1)</f>
        <v>-16032.5898554434</v>
      </c>
      <c r="BJ169" s="69" t="n">
        <f aca="false">-BJ157*Inputs!$C$33*(1+Inputs!$C$38)^(BJ$134-1)</f>
        <v>-13009.5254102254</v>
      </c>
    </row>
    <row r="170" customFormat="false" ht="15" hidden="false" customHeight="false" outlineLevel="0" collapsed="false">
      <c r="A170" s="6" t="s">
        <v>438</v>
      </c>
      <c r="C170" s="69" t="n">
        <f aca="false">-C157*Inputs!$C$34/1000*Inputs!$C$35*(1+Inputs!$C$38)^(C$134-1)</f>
        <v>-1244.2406148</v>
      </c>
      <c r="D170" s="69" t="n">
        <f aca="false">-D157*Inputs!$C$34/1000*Inputs!$C$35*(1+Inputs!$C$38)^(D$134-1)</f>
        <v>-1413.050958608</v>
      </c>
      <c r="E170" s="69" t="n">
        <f aca="false">-E157*Inputs!$C$34/1000*Inputs!$C$35*(1+Inputs!$C$38)^(E$134-1)</f>
        <v>-1964.23800801984</v>
      </c>
      <c r="F170" s="69" t="n">
        <f aca="false">-F157*Inputs!$C$34/1000*Inputs!$C$35*(1+Inputs!$C$38)^(F$134-1)</f>
        <v>-2193.15973609905</v>
      </c>
      <c r="G170" s="69" t="n">
        <f aca="false">-G157*Inputs!$C$34/1000*Inputs!$C$35*(1+Inputs!$C$38)^(G$134-1)</f>
        <v>-2428.12494945509</v>
      </c>
      <c r="H170" s="69" t="n">
        <f aca="false">-H157*Inputs!$C$34/1000*Inputs!$C$35*(1+Inputs!$C$38)^(H$134-1)</f>
        <v>-2668.89190867688</v>
      </c>
      <c r="I170" s="69" t="n">
        <f aca="false">-I157*Inputs!$C$34/1000*Inputs!$C$35*(1+Inputs!$C$38)^(I$134-1)</f>
        <v>-2915.22854392981</v>
      </c>
      <c r="J170" s="69" t="n">
        <f aca="false">-J157*Inputs!$C$34/1000*Inputs!$C$35*(1+Inputs!$C$38)^(J$134-1)</f>
        <v>-3166.91206817261</v>
      </c>
      <c r="K170" s="69" t="n">
        <f aca="false">-K157*Inputs!$C$34/1000*Inputs!$C$35*(1+Inputs!$C$38)^(K$134-1)</f>
        <v>-3423.72860584571</v>
      </c>
      <c r="L170" s="69" t="n">
        <f aca="false">-L157*Inputs!$C$34/1000*Inputs!$C$35*(1+Inputs!$C$38)^(L$134-1)</f>
        <v>-3685.47283641188</v>
      </c>
      <c r="M170" s="69" t="n">
        <f aca="false">-M157*Inputs!$C$34/1000*Inputs!$C$35*(1+Inputs!$C$38)^(M$134-1)</f>
        <v>-3786.78699495541</v>
      </c>
      <c r="N170" s="69" t="n">
        <f aca="false">-N157*Inputs!$C$34/1000*Inputs!$C$35*(1+Inputs!$C$38)^(N$134-1)</f>
        <v>-3138.26648065106</v>
      </c>
      <c r="O170" s="69" t="n">
        <f aca="false">-O157*Inputs!$C$34/1000*Inputs!$C$35*(1+Inputs!$C$38)^(O$134-1)</f>
        <v>-3299.60835720777</v>
      </c>
      <c r="P170" s="69" t="n">
        <f aca="false">-P157*Inputs!$C$34/1000*Inputs!$C$35*(1+Inputs!$C$38)^(P$134-1)</f>
        <v>-3365.49339655946</v>
      </c>
      <c r="Q170" s="69" t="n">
        <f aca="false">-Q157*Inputs!$C$34/1000*Inputs!$C$35*(1+Inputs!$C$38)^(Q$134-1)</f>
        <v>-4243.09355915992</v>
      </c>
      <c r="R170" s="69" t="n">
        <f aca="false">-R157*Inputs!$C$34/1000*Inputs!$C$35*(1+Inputs!$C$38)^(R$134-1)</f>
        <v>-4332.97160595352</v>
      </c>
      <c r="S170" s="69" t="n">
        <f aca="false">-S157*Inputs!$C$34/1000*Inputs!$C$35*(1+Inputs!$C$38)^(S$134-1)</f>
        <v>-4419.25453087538</v>
      </c>
      <c r="T170" s="69" t="n">
        <f aca="false">-T157*Inputs!$C$34/1000*Inputs!$C$35*(1+Inputs!$C$38)^(T$134-1)</f>
        <v>-4502.08613880037</v>
      </c>
      <c r="U170" s="69" t="n">
        <f aca="false">-U157*Inputs!$C$34/1000*Inputs!$C$35*(1+Inputs!$C$38)^(U$134-1)</f>
        <v>-4581.60448240835</v>
      </c>
      <c r="V170" s="69" t="n">
        <f aca="false">-V157*Inputs!$C$34/1000*Inputs!$C$35*(1+Inputs!$C$38)^(V$134-1)</f>
        <v>-4657.94209227202</v>
      </c>
      <c r="W170" s="69" t="n">
        <f aca="false">-W157*Inputs!$C$34/1000*Inputs!$C$35*(1+Inputs!$C$38)^(W$134-1)</f>
        <v>-4731.22619774114</v>
      </c>
      <c r="X170" s="69" t="n">
        <f aca="false">-X157*Inputs!$C$34/1000*Inputs!$C$35*(1+Inputs!$C$38)^(X$134-1)</f>
        <v>-4801.57893899149</v>
      </c>
      <c r="Y170" s="69" t="n">
        <f aca="false">-Y157*Inputs!$C$34/1000*Inputs!$C$35*(1+Inputs!$C$38)^(Y$134-1)</f>
        <v>-4869.11757059183</v>
      </c>
      <c r="Z170" s="69" t="n">
        <f aca="false">-Z157*Inputs!$C$34/1000*Inputs!$C$35*(1+Inputs!$C$38)^(Z$134-1)</f>
        <v>-3988.01154205422</v>
      </c>
      <c r="AA170" s="69" t="n">
        <f aca="false">-AA157*Inputs!$C$34/1000*Inputs!$C$35*(1+Inputs!$C$38)^(AA$134-1)</f>
        <v>-4148.64256150117</v>
      </c>
      <c r="AB170" s="69" t="n">
        <f aca="false">-AB157*Inputs!$C$34/1000*Inputs!$C$35*(1+Inputs!$C$38)^(AB$134-1)</f>
        <v>-4189.48490162782</v>
      </c>
      <c r="AC170" s="69" t="n">
        <f aca="false">-AC157*Inputs!$C$34/1000*Inputs!$C$35*(1+Inputs!$C$38)^(AC$134-1)</f>
        <v>-5231.49534701863</v>
      </c>
      <c r="AD170" s="69" t="n">
        <f aca="false">-AD157*Inputs!$C$34/1000*Inputs!$C$35*(1+Inputs!$C$38)^(AD$134-1)</f>
        <v>-5293.30974906019</v>
      </c>
      <c r="AE170" s="69" t="n">
        <f aca="false">-AE157*Inputs!$C$34/1000*Inputs!$C$35*(1+Inputs!$C$38)^(AE$134-1)</f>
        <v>-5352.65157502008</v>
      </c>
      <c r="AF170" s="69" t="n">
        <f aca="false">-AF157*Inputs!$C$34/1000*Inputs!$C$35*(1+Inputs!$C$38)^(AF$134-1)</f>
        <v>-5409.61972794158</v>
      </c>
      <c r="AG170" s="69" t="n">
        <f aca="false">-AG157*Inputs!$C$34/1000*Inputs!$C$35*(1+Inputs!$C$38)^(AG$134-1)</f>
        <v>-5464.30915474621</v>
      </c>
      <c r="AH170" s="69" t="n">
        <f aca="false">-AH157*Inputs!$C$34/1000*Inputs!$C$35*(1+Inputs!$C$38)^(AH$134-1)</f>
        <v>-5516.81100447866</v>
      </c>
      <c r="AI170" s="69" t="n">
        <f aca="false">-AI157*Inputs!$C$34/1000*Inputs!$C$35*(1+Inputs!$C$38)^(AI$134-1)</f>
        <v>-5567.21278022182</v>
      </c>
      <c r="AJ170" s="69" t="n">
        <f aca="false">-AJ157*Inputs!$C$34/1000*Inputs!$C$35*(1+Inputs!$C$38)^(AJ$134-1)</f>
        <v>-5615.59848493524</v>
      </c>
      <c r="AK170" s="69" t="n">
        <f aca="false">-AK157*Inputs!$C$34/1000*Inputs!$C$35*(1+Inputs!$C$38)^(AK$134-1)</f>
        <v>-5662.04876146013</v>
      </c>
      <c r="AL170" s="69" t="n">
        <f aca="false">-AL157*Inputs!$C$34/1000*Inputs!$C$35*(1+Inputs!$C$38)^(AL$134-1)</f>
        <v>-4613.3352890252</v>
      </c>
      <c r="AM170" s="69" t="n">
        <f aca="false">-AM157*Inputs!$C$34/1000*Inputs!$C$35*(1+Inputs!$C$38)^(AM$134-1)</f>
        <v>-4776.27045197147</v>
      </c>
      <c r="AN170" s="69" t="n">
        <f aca="false">-AN157*Inputs!$C$34/1000*Inputs!$C$35*(1+Inputs!$C$38)^(AN$134-1)</f>
        <v>-4801.43698639502</v>
      </c>
      <c r="AO170" s="69" t="n">
        <f aca="false">-AO157*Inputs!$C$34/1000*Inputs!$C$35*(1+Inputs!$C$38)^(AO$134-1)</f>
        <v>-5969.08094871169</v>
      </c>
      <c r="AP170" s="69" t="n">
        <f aca="false">-AP157*Inputs!$C$34/1000*Inputs!$C$35*(1+Inputs!$C$38)^(AP$134-1)</f>
        <v>-6013.50880265733</v>
      </c>
      <c r="AQ170" s="69" t="n">
        <f aca="false">-AQ157*Inputs!$C$34/1000*Inputs!$C$35*(1+Inputs!$C$38)^(AQ$134-1)</f>
        <v>-6056.15954244513</v>
      </c>
      <c r="AR170" s="69" t="n">
        <f aca="false">-AR157*Inputs!$C$34/1000*Inputs!$C$35*(1+Inputs!$C$38)^(AR$134-1)</f>
        <v>-6097.10425264143</v>
      </c>
      <c r="AS170" s="69" t="n">
        <f aca="false">-AS157*Inputs!$C$34/1000*Inputs!$C$35*(1+Inputs!$C$38)^(AS$134-1)</f>
        <v>-6136.41117442987</v>
      </c>
      <c r="AT170" s="69" t="n">
        <f aca="false">-AT157*Inputs!$C$34/1000*Inputs!$C$35*(1+Inputs!$C$38)^(AT$134-1)</f>
        <v>-6174.14581934678</v>
      </c>
      <c r="AU170" s="69" t="n">
        <f aca="false">-AU157*Inputs!$C$34/1000*Inputs!$C$35*(1+Inputs!$C$38)^(AU$134-1)</f>
        <v>-6210.37107846701</v>
      </c>
      <c r="AV170" s="69" t="n">
        <f aca="false">-AV157*Inputs!$C$34/1000*Inputs!$C$35*(1+Inputs!$C$38)^(AV$134-1)</f>
        <v>-6245.14732722242</v>
      </c>
      <c r="AW170" s="69" t="n">
        <f aca="false">-AW157*Inputs!$C$34/1000*Inputs!$C$35*(1+Inputs!$C$38)^(AW$134-1)</f>
        <v>-6278.53252602763</v>
      </c>
      <c r="AX170" s="69" t="n">
        <f aca="false">-AX157*Inputs!$C$34/1000*Inputs!$C$35*(1+Inputs!$C$38)^(AX$134-1)</f>
        <v>-5102.05034795933</v>
      </c>
      <c r="AY170" s="69" t="n">
        <f aca="false">-AY157*Inputs!$C$34/1000*Inputs!$C$35*(1+Inputs!$C$38)^(AY$134-1)</f>
        <v>-5269.35553745572</v>
      </c>
      <c r="AZ170" s="69" t="n">
        <f aca="false">-AZ157*Inputs!$C$34/1000*Inputs!$C$35*(1+Inputs!$C$38)^(AZ$134-1)</f>
        <v>-5284.77374966709</v>
      </c>
      <c r="BA170" s="69" t="n">
        <f aca="false">-BA157*Inputs!$C$34/1000*Inputs!$C$35*(1+Inputs!$C$38)^(BA$134-1)</f>
        <v>-6554.82513196525</v>
      </c>
      <c r="BB170" s="69" t="n">
        <f aca="false">-BB157*Inputs!$C$34/1000*Inputs!$C$35*(1+Inputs!$C$38)^(BB$134-1)</f>
        <v>-6588.62834976546</v>
      </c>
      <c r="BC170" s="69" t="n">
        <f aca="false">-BC157*Inputs!$C$34/1000*Inputs!$C$35*(1+Inputs!$C$38)^(BC$134-1)</f>
        <v>-6621.07943885367</v>
      </c>
      <c r="BD170" s="69" t="n">
        <f aca="false">-BD157*Inputs!$C$34/1000*Inputs!$C$35*(1+Inputs!$C$38)^(BD$134-1)</f>
        <v>-6652.23248437835</v>
      </c>
      <c r="BE170" s="69" t="n">
        <f aca="false">-BE157*Inputs!$C$34/1000*Inputs!$C$35*(1+Inputs!$C$38)^(BE$134-1)</f>
        <v>-6682.13940808204</v>
      </c>
      <c r="BF170" s="69" t="n">
        <f aca="false">-BF157*Inputs!$C$34/1000*Inputs!$C$35*(1+Inputs!$C$38)^(BF$134-1)</f>
        <v>-6710.85005483759</v>
      </c>
      <c r="BG170" s="69" t="n">
        <f aca="false">-BG157*Inputs!$C$34/1000*Inputs!$C$35*(1+Inputs!$C$38)^(BG$134-1)</f>
        <v>-6738.41227572291</v>
      </c>
      <c r="BH170" s="69" t="n">
        <f aca="false">-BH157*Inputs!$C$34/1000*Inputs!$C$35*(1+Inputs!$C$38)^(BH$134-1)</f>
        <v>-6764.87200777282</v>
      </c>
      <c r="BI170" s="69" t="n">
        <f aca="false">-BI157*Inputs!$C$34/1000*Inputs!$C$35*(1+Inputs!$C$38)^(BI$134-1)</f>
        <v>-6790.27335054073</v>
      </c>
      <c r="BJ170" s="69" t="n">
        <f aca="false">-BJ157*Inputs!$C$34/1000*Inputs!$C$35*(1+Inputs!$C$38)^(BJ$134-1)</f>
        <v>-5509.91664433074</v>
      </c>
    </row>
    <row r="171" customFormat="false" ht="15" hidden="false" customHeight="false" outlineLevel="0" collapsed="false">
      <c r="A171" s="6" t="s">
        <v>439</v>
      </c>
      <c r="C171" s="69" t="n">
        <f aca="false">-C157*Inputs!$C$36*(1+Inputs!$C$38)^(C$134-1)</f>
        <v>-1451.6140506</v>
      </c>
      <c r="D171" s="69" t="n">
        <f aca="false">-D157*Inputs!$C$36*(1+Inputs!$C$38)^(D$134-1)</f>
        <v>-1648.55945170933</v>
      </c>
      <c r="E171" s="69" t="n">
        <f aca="false">-E157*Inputs!$C$36*(1+Inputs!$C$38)^(E$134-1)</f>
        <v>-2291.61100935648</v>
      </c>
      <c r="F171" s="69" t="n">
        <f aca="false">-F157*Inputs!$C$36*(1+Inputs!$C$38)^(F$134-1)</f>
        <v>-2558.68635878222</v>
      </c>
      <c r="G171" s="69" t="n">
        <f aca="false">-G157*Inputs!$C$36*(1+Inputs!$C$38)^(G$134-1)</f>
        <v>-2832.81244103093</v>
      </c>
      <c r="H171" s="69" t="n">
        <f aca="false">-H157*Inputs!$C$36*(1+Inputs!$C$38)^(H$134-1)</f>
        <v>-3113.70722678969</v>
      </c>
      <c r="I171" s="69" t="n">
        <f aca="false">-I157*Inputs!$C$36*(1+Inputs!$C$38)^(I$134-1)</f>
        <v>-3401.09996791811</v>
      </c>
      <c r="J171" s="69" t="n">
        <f aca="false">-J157*Inputs!$C$36*(1+Inputs!$C$38)^(J$134-1)</f>
        <v>-3694.73074620138</v>
      </c>
      <c r="K171" s="69" t="n">
        <f aca="false">-K157*Inputs!$C$36*(1+Inputs!$C$38)^(K$134-1)</f>
        <v>-3994.35004015333</v>
      </c>
      <c r="L171" s="69" t="n">
        <f aca="false">-L157*Inputs!$C$36*(1+Inputs!$C$38)^(L$134-1)</f>
        <v>-4299.71830914719</v>
      </c>
      <c r="M171" s="69" t="n">
        <f aca="false">-M157*Inputs!$C$36*(1+Inputs!$C$38)^(M$134-1)</f>
        <v>-4417.91816078131</v>
      </c>
      <c r="N171" s="69" t="n">
        <f aca="false">-N157*Inputs!$C$36*(1+Inputs!$C$38)^(N$134-1)</f>
        <v>-3661.3108940929</v>
      </c>
      <c r="O171" s="69" t="n">
        <f aca="false">-O157*Inputs!$C$36*(1+Inputs!$C$38)^(O$134-1)</f>
        <v>-3849.54308340906</v>
      </c>
      <c r="P171" s="69" t="n">
        <f aca="false">-P157*Inputs!$C$36*(1+Inputs!$C$38)^(P$134-1)</f>
        <v>-3926.4089626527</v>
      </c>
      <c r="Q171" s="69" t="n">
        <f aca="false">-Q157*Inputs!$C$36*(1+Inputs!$C$38)^(Q$134-1)</f>
        <v>-4950.27581901991</v>
      </c>
      <c r="R171" s="69" t="n">
        <f aca="false">-R157*Inputs!$C$36*(1+Inputs!$C$38)^(R$134-1)</f>
        <v>-5055.13354027911</v>
      </c>
      <c r="S171" s="69" t="n">
        <f aca="false">-S157*Inputs!$C$36*(1+Inputs!$C$38)^(S$134-1)</f>
        <v>-5155.79695268794</v>
      </c>
      <c r="T171" s="69" t="n">
        <f aca="false">-T157*Inputs!$C$36*(1+Inputs!$C$38)^(T$134-1)</f>
        <v>-5252.43382860043</v>
      </c>
      <c r="U171" s="69" t="n">
        <f aca="false">-U157*Inputs!$C$36*(1+Inputs!$C$38)^(U$134-1)</f>
        <v>-5345.20522947641</v>
      </c>
      <c r="V171" s="69" t="n">
        <f aca="false">-V157*Inputs!$C$36*(1+Inputs!$C$38)^(V$134-1)</f>
        <v>-5434.26577431735</v>
      </c>
      <c r="W171" s="69" t="n">
        <f aca="false">-W157*Inputs!$C$36*(1+Inputs!$C$38)^(W$134-1)</f>
        <v>-5519.76389736466</v>
      </c>
      <c r="X171" s="69" t="n">
        <f aca="false">-X157*Inputs!$C$36*(1+Inputs!$C$38)^(X$134-1)</f>
        <v>-5601.84209549007</v>
      </c>
      <c r="Y171" s="69" t="n">
        <f aca="false">-Y157*Inputs!$C$36*(1+Inputs!$C$38)^(Y$134-1)</f>
        <v>-5680.63716569047</v>
      </c>
      <c r="Z171" s="69" t="n">
        <f aca="false">-Z157*Inputs!$C$36*(1+Inputs!$C$38)^(Z$134-1)</f>
        <v>-4652.68013239659</v>
      </c>
      <c r="AA171" s="69" t="n">
        <f aca="false">-AA157*Inputs!$C$36*(1+Inputs!$C$38)^(AA$134-1)</f>
        <v>-4840.08298841803</v>
      </c>
      <c r="AB171" s="69" t="n">
        <f aca="false">-AB157*Inputs!$C$36*(1+Inputs!$C$38)^(AB$134-1)</f>
        <v>-4887.73238523245</v>
      </c>
      <c r="AC171" s="69" t="n">
        <f aca="false">-AC157*Inputs!$C$36*(1+Inputs!$C$38)^(AC$134-1)</f>
        <v>-6103.4112381884</v>
      </c>
      <c r="AD171" s="69" t="n">
        <f aca="false">-AD157*Inputs!$C$36*(1+Inputs!$C$38)^(AD$134-1)</f>
        <v>-6175.52804057022</v>
      </c>
      <c r="AE171" s="69" t="n">
        <f aca="false">-AE157*Inputs!$C$36*(1+Inputs!$C$38)^(AE$134-1)</f>
        <v>-6244.76017085676</v>
      </c>
      <c r="AF171" s="69" t="n">
        <f aca="false">-AF157*Inputs!$C$36*(1+Inputs!$C$38)^(AF$134-1)</f>
        <v>-6311.22301593184</v>
      </c>
      <c r="AG171" s="69" t="n">
        <f aca="false">-AG157*Inputs!$C$36*(1+Inputs!$C$38)^(AG$134-1)</f>
        <v>-6375.02734720391</v>
      </c>
      <c r="AH171" s="69" t="n">
        <f aca="false">-AH157*Inputs!$C$36*(1+Inputs!$C$38)^(AH$134-1)</f>
        <v>-6436.27950522511</v>
      </c>
      <c r="AI171" s="69" t="n">
        <f aca="false">-AI157*Inputs!$C$36*(1+Inputs!$C$38)^(AI$134-1)</f>
        <v>-6495.08157692545</v>
      </c>
      <c r="AJ171" s="69" t="n">
        <f aca="false">-AJ157*Inputs!$C$36*(1+Inputs!$C$38)^(AJ$134-1)</f>
        <v>-6551.53156575778</v>
      </c>
      <c r="AK171" s="69" t="n">
        <f aca="false">-AK157*Inputs!$C$36*(1+Inputs!$C$38)^(AK$134-1)</f>
        <v>-6605.72355503682</v>
      </c>
      <c r="AL171" s="69" t="n">
        <f aca="false">-AL157*Inputs!$C$36*(1+Inputs!$C$38)^(AL$134-1)</f>
        <v>-5382.22450386274</v>
      </c>
      <c r="AM171" s="69" t="n">
        <f aca="false">-AM157*Inputs!$C$36*(1+Inputs!$C$38)^(AM$134-1)</f>
        <v>-5572.31552730005</v>
      </c>
      <c r="AN171" s="69" t="n">
        <f aca="false">-AN157*Inputs!$C$36*(1+Inputs!$C$38)^(AN$134-1)</f>
        <v>-5601.67648412753</v>
      </c>
      <c r="AO171" s="69" t="n">
        <f aca="false">-AO157*Inputs!$C$36*(1+Inputs!$C$38)^(AO$134-1)</f>
        <v>-6963.92777349698</v>
      </c>
      <c r="AP171" s="69" t="n">
        <f aca="false">-AP157*Inputs!$C$36*(1+Inputs!$C$38)^(AP$134-1)</f>
        <v>-7015.76026976688</v>
      </c>
      <c r="AQ171" s="69" t="n">
        <f aca="false">-AQ157*Inputs!$C$36*(1+Inputs!$C$38)^(AQ$134-1)</f>
        <v>-7065.51946618599</v>
      </c>
      <c r="AR171" s="69" t="n">
        <f aca="false">-AR157*Inputs!$C$36*(1+Inputs!$C$38)^(AR$134-1)</f>
        <v>-7113.28829474833</v>
      </c>
      <c r="AS171" s="69" t="n">
        <f aca="false">-AS157*Inputs!$C$36*(1+Inputs!$C$38)^(AS$134-1)</f>
        <v>-7159.14637016818</v>
      </c>
      <c r="AT171" s="69" t="n">
        <f aca="false">-AT157*Inputs!$C$36*(1+Inputs!$C$38)^(AT$134-1)</f>
        <v>-7203.17012257124</v>
      </c>
      <c r="AU171" s="69" t="n">
        <f aca="false">-AU157*Inputs!$C$36*(1+Inputs!$C$38)^(AU$134-1)</f>
        <v>-7245.43292487817</v>
      </c>
      <c r="AV171" s="69" t="n">
        <f aca="false">-AV157*Inputs!$C$36*(1+Inputs!$C$38)^(AV$134-1)</f>
        <v>-7286.00521509283</v>
      </c>
      <c r="AW171" s="69" t="n">
        <f aca="false">-AW157*Inputs!$C$36*(1+Inputs!$C$38)^(AW$134-1)</f>
        <v>-7324.9546136989</v>
      </c>
      <c r="AX171" s="69" t="n">
        <f aca="false">-AX157*Inputs!$C$36*(1+Inputs!$C$38)^(AX$134-1)</f>
        <v>-5952.39207261922</v>
      </c>
      <c r="AY171" s="69" t="n">
        <f aca="false">-AY157*Inputs!$C$36*(1+Inputs!$C$38)^(AY$134-1)</f>
        <v>-6147.58146036501</v>
      </c>
      <c r="AZ171" s="69" t="n">
        <f aca="false">-AZ157*Inputs!$C$36*(1+Inputs!$C$38)^(AZ$134-1)</f>
        <v>-6165.5693746116</v>
      </c>
      <c r="BA171" s="69" t="n">
        <f aca="false">-BA157*Inputs!$C$36*(1+Inputs!$C$38)^(BA$134-1)</f>
        <v>-7647.29598729279</v>
      </c>
      <c r="BB171" s="69" t="n">
        <f aca="false">-BB157*Inputs!$C$36*(1+Inputs!$C$38)^(BB$134-1)</f>
        <v>-7686.73307472637</v>
      </c>
      <c r="BC171" s="69" t="n">
        <f aca="false">-BC157*Inputs!$C$36*(1+Inputs!$C$38)^(BC$134-1)</f>
        <v>-7724.59267866262</v>
      </c>
      <c r="BD171" s="69" t="n">
        <f aca="false">-BD157*Inputs!$C$36*(1+Inputs!$C$38)^(BD$134-1)</f>
        <v>-7760.93789844141</v>
      </c>
      <c r="BE171" s="69" t="n">
        <f aca="false">-BE157*Inputs!$C$36*(1+Inputs!$C$38)^(BE$134-1)</f>
        <v>-7795.82930942905</v>
      </c>
      <c r="BF171" s="69" t="n">
        <f aca="false">-BF157*Inputs!$C$36*(1+Inputs!$C$38)^(BF$134-1)</f>
        <v>-7829.32506397719</v>
      </c>
      <c r="BG171" s="69" t="n">
        <f aca="false">-BG157*Inputs!$C$36*(1+Inputs!$C$38)^(BG$134-1)</f>
        <v>-7861.48098834339</v>
      </c>
      <c r="BH171" s="69" t="n">
        <f aca="false">-BH157*Inputs!$C$36*(1+Inputs!$C$38)^(BH$134-1)</f>
        <v>-7892.35067573495</v>
      </c>
      <c r="BI171" s="69" t="n">
        <f aca="false">-BI157*Inputs!$C$36*(1+Inputs!$C$38)^(BI$134-1)</f>
        <v>-7921.98557563085</v>
      </c>
      <c r="BJ171" s="69" t="n">
        <f aca="false">-BJ157*Inputs!$C$36*(1+Inputs!$C$38)^(BJ$134-1)</f>
        <v>-6428.23608505253</v>
      </c>
    </row>
    <row r="172" customFormat="false" ht="15" hidden="false" customHeight="false" outlineLevel="0" collapsed="false">
      <c r="A172" s="6" t="s">
        <v>248</v>
      </c>
      <c r="C172" s="69" t="n">
        <f aca="false">C169+C170+C171</f>
        <v>-5633.6450059</v>
      </c>
      <c r="D172" s="69" t="n">
        <f aca="false">D169+D170+D171</f>
        <v>-6397.98072925289</v>
      </c>
      <c r="E172" s="69" t="n">
        <f aca="false">E169+E170+E171</f>
        <v>-8893.63320297872</v>
      </c>
      <c r="F172" s="69" t="n">
        <f aca="false">F169+F170+F171</f>
        <v>-9930.13991622624</v>
      </c>
      <c r="G172" s="69" t="n">
        <f aca="false">G169+G170+G171</f>
        <v>-10994.0101878105</v>
      </c>
      <c r="H172" s="69" t="n">
        <f aca="false">H169+H170+H171</f>
        <v>-12084.1494753981</v>
      </c>
      <c r="I172" s="69" t="n">
        <f aca="false">I169+I170+I171</f>
        <v>-13199.5070183488</v>
      </c>
      <c r="J172" s="69" t="n">
        <f aca="false">J169+J170+J171</f>
        <v>-14339.0740864482</v>
      </c>
      <c r="K172" s="69" t="n">
        <f aca="false">K169+K170+K171</f>
        <v>-15501.8822986903</v>
      </c>
      <c r="L172" s="69" t="n">
        <f aca="false">L169+L170+L171</f>
        <v>-16687.0020093093</v>
      </c>
      <c r="M172" s="69" t="n">
        <f aca="false">M169+M170+M171</f>
        <v>-17145.730004937</v>
      </c>
      <c r="N172" s="69" t="n">
        <f aca="false">N169+N170+N171</f>
        <v>-14209.3732318367</v>
      </c>
      <c r="O172" s="69" t="n">
        <f aca="false">O169+O170+O171</f>
        <v>-14939.8933951352</v>
      </c>
      <c r="P172" s="69" t="n">
        <f aca="false">P169+P170+P171</f>
        <v>-15238.2062121998</v>
      </c>
      <c r="Q172" s="69" t="n">
        <f aca="false">Q169+Q170+Q171</f>
        <v>-19211.7847261963</v>
      </c>
      <c r="R172" s="69" t="n">
        <f aca="false">R169+R170+R171</f>
        <v>-19618.7325491784</v>
      </c>
      <c r="S172" s="69" t="n">
        <f aca="false">S169+S170+S171</f>
        <v>-20009.4024592413</v>
      </c>
      <c r="T172" s="69" t="n">
        <f aca="false">T169+T170+T171</f>
        <v>-20384.4455729017</v>
      </c>
      <c r="U172" s="69" t="n">
        <f aca="false">U169+U170+U171</f>
        <v>-20744.4869620156</v>
      </c>
      <c r="V172" s="69" t="n">
        <f aca="false">V169+V170+V171</f>
        <v>-21090.126695565</v>
      </c>
      <c r="W172" s="69" t="n">
        <f aca="false">W169+W170+W171</f>
        <v>-21421.9408397724</v>
      </c>
      <c r="X172" s="69" t="n">
        <f aca="false">X169+X170+X171</f>
        <v>-21740.4824182115</v>
      </c>
      <c r="Y172" s="69" t="n">
        <f aca="false">Y169+Y170+Y171</f>
        <v>-22046.282333513</v>
      </c>
      <c r="Z172" s="69" t="n">
        <f aca="false">Z169+Z170+Z171</f>
        <v>-18056.8300376344</v>
      </c>
      <c r="AA172" s="69" t="n">
        <f aca="false">AA169+AA170+AA171</f>
        <v>-18784.1315979081</v>
      </c>
      <c r="AB172" s="69" t="n">
        <f aca="false">AB169+AB170+AB171</f>
        <v>-18969.056637926</v>
      </c>
      <c r="AC172" s="69" t="n">
        <f aca="false">AC169+AC170+AC171</f>
        <v>-23687.0483767788</v>
      </c>
      <c r="AD172" s="69" t="n">
        <f aca="false">AD169+AD170+AD171</f>
        <v>-23966.9302526892</v>
      </c>
      <c r="AE172" s="69" t="n">
        <f aca="false">AE169+AE170+AE171</f>
        <v>-24235.6168535631</v>
      </c>
      <c r="AF172" s="69" t="n">
        <f aca="false">AF169+AF170+AF171</f>
        <v>-24493.5559904021</v>
      </c>
      <c r="AG172" s="69" t="n">
        <f aca="false">AG169+AG170+AG171</f>
        <v>-24741.1775617676</v>
      </c>
      <c r="AH172" s="69" t="n">
        <f aca="false">AH169+AH170+AH171</f>
        <v>-24978.8942702784</v>
      </c>
      <c r="AI172" s="69" t="n">
        <f aca="false">AI169+AI170+AI171</f>
        <v>-25207.1023104488</v>
      </c>
      <c r="AJ172" s="69" t="n">
        <f aca="false">AJ169+AJ170+AJ171</f>
        <v>-25426.1820290123</v>
      </c>
      <c r="AK172" s="69" t="n">
        <f aca="false">AK169+AK170+AK171</f>
        <v>-25636.4985588334</v>
      </c>
      <c r="AL172" s="69" t="n">
        <f aca="false">AL169+AL170+AL171</f>
        <v>-20888.1570030863</v>
      </c>
      <c r="AM172" s="69" t="n">
        <f aca="false">AM169+AM170+AM171</f>
        <v>-21625.8912130931</v>
      </c>
      <c r="AN172" s="69" t="n">
        <f aca="false">AN169+AN170+AN171</f>
        <v>-21739.8396883997</v>
      </c>
      <c r="AO172" s="69" t="n">
        <f aca="false">AO169+AO170+AO171</f>
        <v>-27026.6720733335</v>
      </c>
      <c r="AP172" s="69" t="n">
        <f aca="false">AP169+AP170+AP171</f>
        <v>-27227.8315231429</v>
      </c>
      <c r="AQ172" s="69" t="n">
        <f aca="false">AQ169+AQ170+AQ171</f>
        <v>-27420.9445949599</v>
      </c>
      <c r="AR172" s="69" t="n">
        <f aca="false">AR169+AR170+AR171</f>
        <v>-27606.3331439042</v>
      </c>
      <c r="AS172" s="69" t="n">
        <f aca="false">AS169+AS170+AS171</f>
        <v>-27784.3061508908</v>
      </c>
      <c r="AT172" s="69" t="n">
        <f aca="false">AT169+AT170+AT171</f>
        <v>-27955.1602375979</v>
      </c>
      <c r="AU172" s="69" t="n">
        <f aca="false">AU169+AU170+AU171</f>
        <v>-28119.1801608367</v>
      </c>
      <c r="AV172" s="69" t="n">
        <f aca="false">AV169+AV170+AV171</f>
        <v>-28276.639287146</v>
      </c>
      <c r="AW172" s="69" t="n">
        <f aca="false">AW169+AW170+AW171</f>
        <v>-28427.8000484029</v>
      </c>
      <c r="AX172" s="69" t="n">
        <f aca="false">AX169+AX170+AX171</f>
        <v>-23100.9501865936</v>
      </c>
      <c r="AY172" s="69" t="n">
        <f aca="false">AY169+AY170+AY171</f>
        <v>-23858.4709057023</v>
      </c>
      <c r="AZ172" s="69" t="n">
        <f aca="false">AZ169+AZ170+AZ171</f>
        <v>-23928.281144326</v>
      </c>
      <c r="BA172" s="69" t="n">
        <f aca="false">BA169+BA170+BA171</f>
        <v>-29678.7915697315</v>
      </c>
      <c r="BB172" s="69" t="n">
        <f aca="false">BB169+BB170+BB171</f>
        <v>-29831.8450281047</v>
      </c>
      <c r="BC172" s="69" t="n">
        <f aca="false">BC169+BC170+BC171</f>
        <v>-29978.776348143</v>
      </c>
      <c r="BD172" s="69" t="n">
        <f aca="false">BD169+BD170+BD171</f>
        <v>-30119.8304153798</v>
      </c>
      <c r="BE172" s="69" t="n">
        <f aca="false">BE169+BE170+BE171</f>
        <v>-30255.242319927</v>
      </c>
      <c r="BF172" s="69" t="n">
        <f aca="false">BF169+BF170+BF171</f>
        <v>-30385.2377482924</v>
      </c>
      <c r="BG172" s="69" t="n">
        <f aca="false">BG169+BG170+BG171</f>
        <v>-30510.0333595232</v>
      </c>
      <c r="BH172" s="69" t="n">
        <f aca="false">BH169+BH170+BH171</f>
        <v>-30629.8371463047</v>
      </c>
      <c r="BI172" s="69" t="n">
        <f aca="false">BI169+BI170+BI171</f>
        <v>-30744.848781615</v>
      </c>
      <c r="BJ172" s="69" t="n">
        <f aca="false">BJ169+BJ170+BJ171</f>
        <v>-24947.6781396086</v>
      </c>
    </row>
    <row r="173" customFormat="false" ht="15" hidden="false" customHeight="false" outlineLevel="0" collapsed="false">
      <c r="A173" s="6" t="s">
        <v>440</v>
      </c>
      <c r="C173" s="69" t="n">
        <f aca="false">-C166*Inputs!$C$37</f>
        <v>-1438.30074</v>
      </c>
      <c r="D173" s="69" t="n">
        <f aca="false">-D166*Inputs!$C$37</f>
        <v>-1633.46807706667</v>
      </c>
      <c r="E173" s="69" t="n">
        <f aca="false">-E166*Inputs!$C$37</f>
        <v>-2183.202053984</v>
      </c>
      <c r="F173" s="69" t="n">
        <f aca="false">-F166*Inputs!$C$37</f>
        <v>-2431.55696515797</v>
      </c>
      <c r="G173" s="69" t="n">
        <f aca="false">-G166*Inputs!$C$37</f>
        <v>-2684.70829321832</v>
      </c>
      <c r="H173" s="69" t="n">
        <f aca="false">-H166*Inputs!$C$37</f>
        <v>-2942.46418148959</v>
      </c>
      <c r="I173" s="69" t="n">
        <f aca="false">-I166*Inputs!$C$37</f>
        <v>-3204.64044756334</v>
      </c>
      <c r="J173" s="69" t="n">
        <f aca="false">-J166*Inputs!$C$37</f>
        <v>-3471.06027632747</v>
      </c>
      <c r="K173" s="69" t="n">
        <f aca="false">-K166*Inputs!$C$37</f>
        <v>-3741.55392527437</v>
      </c>
      <c r="L173" s="69" t="n">
        <f aca="false">-L166*Inputs!$C$37</f>
        <v>-4015.95844159673</v>
      </c>
      <c r="M173" s="69" t="n">
        <f aca="false">-M166*Inputs!$C$37</f>
        <v>-4096.36650393286</v>
      </c>
      <c r="N173" s="69" t="n">
        <f aca="false">-N166*Inputs!$C$37</f>
        <v>-3562.19184377555</v>
      </c>
      <c r="O173" s="69" t="n">
        <f aca="false">-O166*Inputs!$C$37</f>
        <v>-3698.67245942502</v>
      </c>
      <c r="P173" s="69" t="n">
        <f aca="false">-P166*Inputs!$C$37</f>
        <v>-3762.63851704802</v>
      </c>
      <c r="Q173" s="69" t="n">
        <f aca="false">-Q166*Inputs!$C$37</f>
        <v>-4447.63966036609</v>
      </c>
      <c r="R173" s="69" t="n">
        <f aca="false">-R166*Inputs!$C$37</f>
        <v>-4518.27890195145</v>
      </c>
      <c r="S173" s="69" t="n">
        <f aca="false">-S166*Inputs!$C$37</f>
        <v>-4586.09257387339</v>
      </c>
      <c r="T173" s="69" t="n">
        <f aca="false">-T166*Inputs!$C$37</f>
        <v>-4651.19369891846</v>
      </c>
      <c r="U173" s="69" t="n">
        <f aca="false">-U166*Inputs!$C$37</f>
        <v>-4713.69077896172</v>
      </c>
      <c r="V173" s="69" t="n">
        <f aca="false">-V166*Inputs!$C$37</f>
        <v>-4773.68797580325</v>
      </c>
      <c r="W173" s="69" t="n">
        <f aca="false">-W166*Inputs!$C$37</f>
        <v>-4831.28528477112</v>
      </c>
      <c r="X173" s="69" t="n">
        <f aca="false">-X166*Inputs!$C$37</f>
        <v>-4886.57870138028</v>
      </c>
      <c r="Y173" s="69" t="n">
        <f aca="false">-Y166*Inputs!$C$37</f>
        <v>-4939.66038132506</v>
      </c>
      <c r="Z173" s="69" t="n">
        <f aca="false">-Z166*Inputs!$C$37</f>
        <v>-4367.02506607206</v>
      </c>
      <c r="AA173" s="69" t="n">
        <f aca="false">-AA166*Inputs!$C$37</f>
        <v>-4493.77596106776</v>
      </c>
      <c r="AB173" s="69" t="n">
        <f aca="false">-AB166*Inputs!$C$37</f>
        <v>-4533.04374024505</v>
      </c>
      <c r="AC173" s="69" t="n">
        <f aca="false">-AC166*Inputs!$C$37</f>
        <v>-5206.80641081525</v>
      </c>
      <c r="AD173" s="69" t="n">
        <f aca="false">-AD166*Inputs!$C$37</f>
        <v>-5254.91748144264</v>
      </c>
      <c r="AE173" s="69" t="n">
        <f aca="false">-AE166*Inputs!$C$37</f>
        <v>-5301.10410924493</v>
      </c>
      <c r="AF173" s="69" t="n">
        <f aca="false">-AF166*Inputs!$C$37</f>
        <v>-5345.44327193514</v>
      </c>
      <c r="AG173" s="69" t="n">
        <f aca="false">-AG166*Inputs!$C$37</f>
        <v>-5388.00886811773</v>
      </c>
      <c r="AH173" s="69" t="n">
        <f aca="false">-AH166*Inputs!$C$37</f>
        <v>-5428.87184045302</v>
      </c>
      <c r="AI173" s="69" t="n">
        <f aca="false">-AI166*Inputs!$C$37</f>
        <v>-5468.1002938949</v>
      </c>
      <c r="AJ173" s="69" t="n">
        <f aca="false">-AJ166*Inputs!$C$37</f>
        <v>-5505.7596091991</v>
      </c>
      <c r="AK173" s="69" t="n">
        <f aca="false">-AK166*Inputs!$C$37</f>
        <v>-5541.91255189114</v>
      </c>
      <c r="AL173" s="69" t="n">
        <f aca="false">-AL166*Inputs!$C$37</f>
        <v>-4940.55377431549</v>
      </c>
      <c r="AM173" s="69" t="n">
        <f aca="false">-AM166*Inputs!$C$37</f>
        <v>-5062.72505092088</v>
      </c>
      <c r="AN173" s="69" t="n">
        <f aca="false">-AN166*Inputs!$C$37</f>
        <v>-5086.68644513395</v>
      </c>
      <c r="AO173" s="69" t="n">
        <f aca="false">-AO166*Inputs!$C$37</f>
        <v>-5758.47629818969</v>
      </c>
      <c r="AP173" s="69" t="n">
        <f aca="false">-AP166*Inputs!$C$37</f>
        <v>-5792.7194421408</v>
      </c>
      <c r="AQ173" s="69" t="n">
        <f aca="false">-AQ166*Inputs!$C$37</f>
        <v>-5825.59286033387</v>
      </c>
      <c r="AR173" s="69" t="n">
        <f aca="false">-AR166*Inputs!$C$37</f>
        <v>-5857.15134179922</v>
      </c>
      <c r="AS173" s="69" t="n">
        <f aca="false">-AS166*Inputs!$C$37</f>
        <v>-5887.44748400595</v>
      </c>
      <c r="AT173" s="69" t="n">
        <f aca="false">-AT166*Inputs!$C$37</f>
        <v>-5916.53178052441</v>
      </c>
      <c r="AU173" s="69" t="n">
        <f aca="false">-AU166*Inputs!$C$37</f>
        <v>-5944.45270518213</v>
      </c>
      <c r="AV173" s="69" t="n">
        <f aca="false">-AV166*Inputs!$C$37</f>
        <v>-5971.25679285355</v>
      </c>
      <c r="AW173" s="69" t="n">
        <f aca="false">-AW166*Inputs!$C$37</f>
        <v>-5996.9887170181</v>
      </c>
      <c r="AX173" s="69" t="n">
        <f aca="false">-AX166*Inputs!$C$37</f>
        <v>-5372.90444960488</v>
      </c>
      <c r="AY173" s="69" t="n">
        <f aca="false">-AY166*Inputs!$C$37</f>
        <v>-5493.7924700476</v>
      </c>
      <c r="AZ173" s="69" t="n">
        <f aca="false">-AZ166*Inputs!$C$37</f>
        <v>-5508.32983305979</v>
      </c>
      <c r="BA173" s="69" t="n">
        <f aca="false">-BA166*Inputs!$C$37</f>
        <v>-6184.04835445493</v>
      </c>
      <c r="BB173" s="69" t="n">
        <f aca="false">-BB166*Inputs!$C$37</f>
        <v>-6209.84951771221</v>
      </c>
      <c r="BC173" s="69" t="n">
        <f aca="false">-BC166*Inputs!$C$37</f>
        <v>-6234.61863443919</v>
      </c>
      <c r="BD173" s="69" t="n">
        <f aca="false">-BD166*Inputs!$C$37</f>
        <v>-6258.3969864971</v>
      </c>
      <c r="BE173" s="69" t="n">
        <f aca="false">-BE166*Inputs!$C$37</f>
        <v>-6281.22420447269</v>
      </c>
      <c r="BF173" s="69" t="n">
        <f aca="false">-BF166*Inputs!$C$37</f>
        <v>-6303.13833372926</v>
      </c>
      <c r="BG173" s="69" t="n">
        <f aca="false">-BG166*Inputs!$C$37</f>
        <v>-6324.17589781557</v>
      </c>
      <c r="BH173" s="69" t="n">
        <f aca="false">-BH166*Inputs!$C$37</f>
        <v>-6344.37195933842</v>
      </c>
      <c r="BI173" s="69" t="n">
        <f aca="false">-BI166*Inputs!$C$37</f>
        <v>-6363.76017840036</v>
      </c>
      <c r="BJ173" s="69" t="n">
        <f aca="false">-BJ166*Inputs!$C$37</f>
        <v>-5720.6102157964</v>
      </c>
    </row>
    <row r="174" customFormat="false" ht="15" hidden="false" customHeight="false" outlineLevel="0" collapsed="false">
      <c r="A174" s="4" t="s">
        <v>76</v>
      </c>
      <c r="C174" s="75" t="n">
        <f aca="false">C172+C173</f>
        <v>-7071.9457459</v>
      </c>
      <c r="D174" s="75" t="n">
        <f aca="false">D172+D173</f>
        <v>-8031.44880631956</v>
      </c>
      <c r="E174" s="75" t="n">
        <f aca="false">E172+E173</f>
        <v>-11076.8352569627</v>
      </c>
      <c r="F174" s="75" t="n">
        <f aca="false">F172+F173</f>
        <v>-12361.6968813842</v>
      </c>
      <c r="G174" s="75" t="n">
        <f aca="false">G172+G173</f>
        <v>-13678.7184810288</v>
      </c>
      <c r="H174" s="75" t="n">
        <f aca="false">H172+H173</f>
        <v>-15026.6136568877</v>
      </c>
      <c r="I174" s="75" t="n">
        <f aca="false">I172+I173</f>
        <v>-16404.1474659122</v>
      </c>
      <c r="J174" s="75" t="n">
        <f aca="false">J172+J173</f>
        <v>-17810.1343627757</v>
      </c>
      <c r="K174" s="75" t="n">
        <f aca="false">K172+K173</f>
        <v>-19243.4362239647</v>
      </c>
      <c r="L174" s="75" t="n">
        <f aca="false">L172+L173</f>
        <v>-20702.9604509061</v>
      </c>
      <c r="M174" s="75" t="n">
        <f aca="false">M172+M173</f>
        <v>-21242.0965088698</v>
      </c>
      <c r="N174" s="75" t="n">
        <f aca="false">N172+N173</f>
        <v>-17771.5650756123</v>
      </c>
      <c r="O174" s="75" t="n">
        <f aca="false">O172+O173</f>
        <v>-18638.5658545602</v>
      </c>
      <c r="P174" s="75" t="n">
        <f aca="false">P172+P173</f>
        <v>-19000.8447292478</v>
      </c>
      <c r="Q174" s="75" t="n">
        <f aca="false">Q172+Q173</f>
        <v>-23659.4243865624</v>
      </c>
      <c r="R174" s="75" t="n">
        <f aca="false">R172+R173</f>
        <v>-24137.0114511299</v>
      </c>
      <c r="S174" s="75" t="n">
        <f aca="false">S172+S173</f>
        <v>-24595.4950331147</v>
      </c>
      <c r="T174" s="75" t="n">
        <f aca="false">T172+T173</f>
        <v>-25035.6392718201</v>
      </c>
      <c r="U174" s="75" t="n">
        <f aca="false">U172+U173</f>
        <v>-25458.1777409773</v>
      </c>
      <c r="V174" s="75" t="n">
        <f aca="false">V172+V173</f>
        <v>-25863.8146713682</v>
      </c>
      <c r="W174" s="75" t="n">
        <f aca="false">W172+W173</f>
        <v>-26253.2261245435</v>
      </c>
      <c r="X174" s="75" t="n">
        <f aca="false">X172+X173</f>
        <v>-26627.0611195917</v>
      </c>
      <c r="Y174" s="75" t="n">
        <f aca="false">Y172+Y173</f>
        <v>-26985.9427148381</v>
      </c>
      <c r="Z174" s="75" t="n">
        <f aca="false">Z172+Z173</f>
        <v>-22423.8551037065</v>
      </c>
      <c r="AA174" s="75" t="n">
        <f aca="false">AA172+AA173</f>
        <v>-23277.9075589758</v>
      </c>
      <c r="AB174" s="75" t="n">
        <f aca="false">AB172+AB173</f>
        <v>-23502.100378171</v>
      </c>
      <c r="AC174" s="75" t="n">
        <f aca="false">AC172+AC173</f>
        <v>-28893.854787594</v>
      </c>
      <c r="AD174" s="75" t="n">
        <f aca="false">AD172+AD173</f>
        <v>-29221.8477341318</v>
      </c>
      <c r="AE174" s="75" t="n">
        <f aca="false">AE172+AE173</f>
        <v>-29536.7209628081</v>
      </c>
      <c r="AF174" s="75" t="n">
        <f aca="false">AF172+AF173</f>
        <v>-29838.9992623373</v>
      </c>
      <c r="AG174" s="75" t="n">
        <f aca="false">AG172+AG173</f>
        <v>-30129.1864298853</v>
      </c>
      <c r="AH174" s="75" t="n">
        <f aca="false">AH172+AH173</f>
        <v>-30407.7661107314</v>
      </c>
      <c r="AI174" s="75" t="n">
        <f aca="false">AI172+AI173</f>
        <v>-30675.2026043437</v>
      </c>
      <c r="AJ174" s="75" t="n">
        <f aca="false">AJ172+AJ173</f>
        <v>-30931.9416382114</v>
      </c>
      <c r="AK174" s="75" t="n">
        <f aca="false">AK172+AK173</f>
        <v>-31178.4111107245</v>
      </c>
      <c r="AL174" s="75" t="n">
        <f aca="false">AL172+AL173</f>
        <v>-25828.7107774018</v>
      </c>
      <c r="AM174" s="75" t="n">
        <f aca="false">AM172+AM173</f>
        <v>-26688.616264014</v>
      </c>
      <c r="AN174" s="75" t="n">
        <f aca="false">AN172+AN173</f>
        <v>-26826.5261335336</v>
      </c>
      <c r="AO174" s="75" t="n">
        <f aca="false">AO172+AO173</f>
        <v>-32785.1483715232</v>
      </c>
      <c r="AP174" s="75" t="n">
        <f aca="false">AP172+AP173</f>
        <v>-33020.5509652837</v>
      </c>
      <c r="AQ174" s="75" t="n">
        <f aca="false">AQ172+AQ173</f>
        <v>-33246.5374552938</v>
      </c>
      <c r="AR174" s="75" t="n">
        <f aca="false">AR172+AR173</f>
        <v>-33463.4844857035</v>
      </c>
      <c r="AS174" s="75" t="n">
        <f aca="false">AS172+AS173</f>
        <v>-33671.7536348968</v>
      </c>
      <c r="AT174" s="75" t="n">
        <f aca="false">AT172+AT173</f>
        <v>-33871.6920181223</v>
      </c>
      <c r="AU174" s="75" t="n">
        <f aca="false">AU172+AU173</f>
        <v>-34063.6328660188</v>
      </c>
      <c r="AV174" s="75" t="n">
        <f aca="false">AV172+AV173</f>
        <v>-34247.8960799995</v>
      </c>
      <c r="AW174" s="75" t="n">
        <f aca="false">AW172+AW173</f>
        <v>-34424.788765421</v>
      </c>
      <c r="AX174" s="75" t="n">
        <f aca="false">AX172+AX173</f>
        <v>-28473.8546361985</v>
      </c>
      <c r="AY174" s="75" t="n">
        <f aca="false">AY172+AY173</f>
        <v>-29352.2633757499</v>
      </c>
      <c r="AZ174" s="75" t="n">
        <f aca="false">AZ172+AZ173</f>
        <v>-29436.6109773858</v>
      </c>
      <c r="BA174" s="75" t="n">
        <f aca="false">BA172+BA173</f>
        <v>-35862.8399241865</v>
      </c>
      <c r="BB174" s="75" t="n">
        <f aca="false">BB172+BB173</f>
        <v>-36041.6945458169</v>
      </c>
      <c r="BC174" s="75" t="n">
        <f aca="false">BC172+BC173</f>
        <v>-36213.3949825822</v>
      </c>
      <c r="BD174" s="75" t="n">
        <f aca="false">BD172+BD173</f>
        <v>-36378.2274018769</v>
      </c>
      <c r="BE174" s="75" t="n">
        <f aca="false">BE172+BE173</f>
        <v>-36536.4665243997</v>
      </c>
      <c r="BF174" s="75" t="n">
        <f aca="false">BF172+BF173</f>
        <v>-36688.3760820217</v>
      </c>
      <c r="BG174" s="75" t="n">
        <f aca="false">BG172+BG173</f>
        <v>-36834.2092573387</v>
      </c>
      <c r="BH174" s="75" t="n">
        <f aca="false">BH172+BH173</f>
        <v>-36974.2091056431</v>
      </c>
      <c r="BI174" s="75" t="n">
        <f aca="false">BI172+BI173</f>
        <v>-37108.6089600153</v>
      </c>
      <c r="BJ174" s="75" t="n">
        <f aca="false">BJ172+BJ173</f>
        <v>-30668.288355405</v>
      </c>
    </row>
    <row r="175" customFormat="false" ht="15" hidden="false" customHeight="false" outlineLevel="0" collapsed="false">
      <c r="A175" s="113" t="s">
        <v>45</v>
      </c>
      <c r="C175" s="70" t="n">
        <f aca="false">C166+C174</f>
        <v>40871.4122541</v>
      </c>
      <c r="D175" s="70" t="n">
        <f aca="false">D166+D174</f>
        <v>46417.4870959027</v>
      </c>
      <c r="E175" s="70" t="n">
        <f aca="false">E166+E174</f>
        <v>61696.566542504</v>
      </c>
      <c r="F175" s="70" t="n">
        <f aca="false">F166+F174</f>
        <v>68690.2019572149</v>
      </c>
      <c r="G175" s="70" t="n">
        <f aca="false">G166+G174</f>
        <v>75811.5579595819</v>
      </c>
      <c r="H175" s="70" t="n">
        <f aca="false">H166+H174</f>
        <v>83055.5257260986</v>
      </c>
      <c r="I175" s="70" t="n">
        <f aca="false">I166+I174</f>
        <v>90417.2007861991</v>
      </c>
      <c r="J175" s="70" t="n">
        <f aca="false">J166+J174</f>
        <v>97891.87484814</v>
      </c>
      <c r="K175" s="70" t="n">
        <f aca="false">K166+K174</f>
        <v>105475.027951848</v>
      </c>
      <c r="L175" s="70" t="n">
        <f aca="false">L166+L174</f>
        <v>113162.320935652</v>
      </c>
      <c r="M175" s="70" t="n">
        <f aca="false">M166+M174</f>
        <v>115303.453622226</v>
      </c>
      <c r="N175" s="70" t="n">
        <f aca="false">N166+N174</f>
        <v>100968.163050239</v>
      </c>
      <c r="O175" s="70" t="n">
        <f aca="false">O166+O174</f>
        <v>104650.516126274</v>
      </c>
      <c r="P175" s="70" t="n">
        <f aca="false">P166+P174</f>
        <v>106420.439172353</v>
      </c>
      <c r="Q175" s="70" t="n">
        <f aca="false">Q166+Q174</f>
        <v>124595.230958974</v>
      </c>
      <c r="R175" s="70" t="n">
        <f aca="false">R166+R174</f>
        <v>126472.285280585</v>
      </c>
      <c r="S175" s="70" t="n">
        <f aca="false">S166+S174</f>
        <v>128274.257429332</v>
      </c>
      <c r="T175" s="70" t="n">
        <f aca="false">T166+T174</f>
        <v>130004.150692128</v>
      </c>
      <c r="U175" s="70" t="n">
        <f aca="false">U166+U174</f>
        <v>131664.848224413</v>
      </c>
      <c r="V175" s="70" t="n">
        <f aca="false">V166+V174</f>
        <v>133259.117855407</v>
      </c>
      <c r="W175" s="70" t="n">
        <f aca="false">W166+W174</f>
        <v>134789.616701161</v>
      </c>
      <c r="X175" s="70" t="n">
        <f aca="false">X166+X174</f>
        <v>136258.895593084</v>
      </c>
      <c r="Y175" s="70" t="n">
        <f aca="false">Y166+Y174</f>
        <v>137669.403329331</v>
      </c>
      <c r="Z175" s="70" t="n">
        <f aca="false">Z166+Z174</f>
        <v>123143.647098696</v>
      </c>
      <c r="AA175" s="70" t="n">
        <f aca="false">AA166+AA174</f>
        <v>126514.624476616</v>
      </c>
      <c r="AB175" s="70" t="n">
        <f aca="false">AB166+AB174</f>
        <v>127599.357629997</v>
      </c>
      <c r="AC175" s="70" t="n">
        <f aca="false">AC166+AC174</f>
        <v>144666.358906248</v>
      </c>
      <c r="AD175" s="70" t="n">
        <f aca="false">AD166+AD174</f>
        <v>145942.068313956</v>
      </c>
      <c r="AE175" s="70" t="n">
        <f aca="false">AE166+AE174</f>
        <v>147166.749345356</v>
      </c>
      <c r="AF175" s="70" t="n">
        <f aca="false">AF166+AF174</f>
        <v>148342.443135501</v>
      </c>
      <c r="AG175" s="70" t="n">
        <f aca="false">AG166+AG174</f>
        <v>149471.109174039</v>
      </c>
      <c r="AH175" s="70" t="n">
        <f aca="false">AH166+AH174</f>
        <v>150554.628571036</v>
      </c>
      <c r="AI175" s="70" t="n">
        <f aca="false">AI166+AI174</f>
        <v>151594.807192153</v>
      </c>
      <c r="AJ175" s="70" t="n">
        <f aca="false">AJ166+AJ174</f>
        <v>152593.378668425</v>
      </c>
      <c r="AK175" s="70" t="n">
        <f aca="false">AK166+AK174</f>
        <v>153552.007285647</v>
      </c>
      <c r="AL175" s="70" t="n">
        <f aca="false">AL166+AL174</f>
        <v>138856.415033115</v>
      </c>
      <c r="AM175" s="70" t="n">
        <f aca="false">AM166+AM174</f>
        <v>142068.885433349</v>
      </c>
      <c r="AN175" s="70" t="n">
        <f aca="false">AN166+AN174</f>
        <v>142729.688704265</v>
      </c>
      <c r="AO175" s="70" t="n">
        <f aca="false">AO166+AO174</f>
        <v>159164.061568133</v>
      </c>
      <c r="AP175" s="70" t="n">
        <f aca="false">AP166+AP174</f>
        <v>160070.097106076</v>
      </c>
      <c r="AQ175" s="70" t="n">
        <f aca="false">AQ166+AQ174</f>
        <v>160939.891222502</v>
      </c>
      <c r="AR175" s="70" t="n">
        <f aca="false">AR166+AR174</f>
        <v>161774.89357427</v>
      </c>
      <c r="AS175" s="70" t="n">
        <f aca="false">AS166+AS174</f>
        <v>162576.495831968</v>
      </c>
      <c r="AT175" s="70" t="n">
        <f aca="false">AT166+AT174</f>
        <v>163346.033999358</v>
      </c>
      <c r="AU175" s="70" t="n">
        <f aca="false">AU166+AU174</f>
        <v>164084.790640052</v>
      </c>
      <c r="AV175" s="70" t="n">
        <f aca="false">AV166+AV174</f>
        <v>164793.997015119</v>
      </c>
      <c r="AW175" s="70" t="n">
        <f aca="false">AW166+AW174</f>
        <v>165474.835135182</v>
      </c>
      <c r="AX175" s="70" t="n">
        <f aca="false">AX166+AX174</f>
        <v>150622.960350631</v>
      </c>
      <c r="AY175" s="70" t="n">
        <f aca="false">AY166+AY174</f>
        <v>153774.152292503</v>
      </c>
      <c r="AZ175" s="70" t="n">
        <f aca="false">AZ166+AZ174</f>
        <v>154174.383457941</v>
      </c>
      <c r="BA175" s="70" t="n">
        <f aca="false">BA166+BA174</f>
        <v>170272.105224311</v>
      </c>
      <c r="BB175" s="70" t="n">
        <f aca="false">BB166+BB174</f>
        <v>170953.289377923</v>
      </c>
      <c r="BC175" s="70" t="n">
        <f aca="false">BC166+BC174</f>
        <v>171607.226165391</v>
      </c>
      <c r="BD175" s="70" t="n">
        <f aca="false">BD166+BD174</f>
        <v>172235.00548136</v>
      </c>
      <c r="BE175" s="70" t="n">
        <f aca="false">BE166+BE174</f>
        <v>172837.67362469</v>
      </c>
      <c r="BF175" s="70" t="n">
        <f aca="false">BF166+BF174</f>
        <v>173416.235042287</v>
      </c>
      <c r="BG175" s="70" t="n">
        <f aca="false">BG166+BG174</f>
        <v>173971.65400318</v>
      </c>
      <c r="BH175" s="70" t="n">
        <f aca="false">BH166+BH174</f>
        <v>174504.856205638</v>
      </c>
      <c r="BI175" s="70" t="n">
        <f aca="false">BI166+BI174</f>
        <v>175016.730319997</v>
      </c>
      <c r="BJ175" s="70" t="n">
        <f aca="false">BJ166+BJ174</f>
        <v>160018.718837808</v>
      </c>
    </row>
    <row r="177" customFormat="false" ht="15.75" hidden="false" customHeight="true" outlineLevel="0" collapsed="false">
      <c r="A177" s="7" t="s">
        <v>47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</row>
    <row r="178" customFormat="false" ht="15" hidden="false" customHeight="false" outlineLevel="0" collapsed="false">
      <c r="A178" s="6" t="s">
        <v>340</v>
      </c>
      <c r="C178" s="69" t="n">
        <f aca="false">C255</f>
        <v>-36586.6666666667</v>
      </c>
      <c r="D178" s="69" t="n">
        <f aca="false">D255</f>
        <v>-36586.6666666667</v>
      </c>
      <c r="E178" s="69" t="n">
        <f aca="false">E255</f>
        <v>-36586.6666666667</v>
      </c>
      <c r="F178" s="69" t="n">
        <f aca="false">F255</f>
        <v>-36586.6666666667</v>
      </c>
      <c r="G178" s="69" t="n">
        <f aca="false">G255</f>
        <v>-36586.6666666667</v>
      </c>
      <c r="H178" s="69" t="n">
        <f aca="false">H255</f>
        <v>-36586.6666666667</v>
      </c>
      <c r="I178" s="69" t="n">
        <f aca="false">I255</f>
        <v>-36586.6666666667</v>
      </c>
      <c r="J178" s="69" t="n">
        <f aca="false">J255</f>
        <v>-36586.6666666667</v>
      </c>
      <c r="K178" s="69" t="n">
        <f aca="false">K255</f>
        <v>-36586.6666666667</v>
      </c>
      <c r="L178" s="69" t="n">
        <f aca="false">L255</f>
        <v>-36586.6666666667</v>
      </c>
      <c r="M178" s="69" t="n">
        <f aca="false">M255</f>
        <v>-36586.6666666667</v>
      </c>
      <c r="N178" s="69" t="n">
        <f aca="false">N255</f>
        <v>-36586.6666666667</v>
      </c>
      <c r="O178" s="69" t="n">
        <f aca="false">O255</f>
        <v>-37684.2666666667</v>
      </c>
      <c r="P178" s="69" t="n">
        <f aca="false">P255</f>
        <v>-37684.2666666667</v>
      </c>
      <c r="Q178" s="69" t="n">
        <f aca="false">Q255</f>
        <v>-37684.2666666667</v>
      </c>
      <c r="R178" s="69" t="n">
        <f aca="false">R255</f>
        <v>-37684.2666666667</v>
      </c>
      <c r="S178" s="69" t="n">
        <f aca="false">S255</f>
        <v>-37684.2666666667</v>
      </c>
      <c r="T178" s="69" t="n">
        <f aca="false">T255</f>
        <v>-37684.2666666667</v>
      </c>
      <c r="U178" s="69" t="n">
        <f aca="false">U255</f>
        <v>-37684.2666666667</v>
      </c>
      <c r="V178" s="69" t="n">
        <f aca="false">V255</f>
        <v>-37684.2666666667</v>
      </c>
      <c r="W178" s="69" t="n">
        <f aca="false">W255</f>
        <v>-37684.2666666667</v>
      </c>
      <c r="X178" s="69" t="n">
        <f aca="false">X255</f>
        <v>-37684.2666666667</v>
      </c>
      <c r="Y178" s="69" t="n">
        <f aca="false">Y255</f>
        <v>-37684.2666666667</v>
      </c>
      <c r="Z178" s="69" t="n">
        <f aca="false">Z255</f>
        <v>-37684.2666666667</v>
      </c>
      <c r="AA178" s="69" t="n">
        <f aca="false">AA255</f>
        <v>-38814.7946666667</v>
      </c>
      <c r="AB178" s="69" t="n">
        <f aca="false">AB255</f>
        <v>-38814.7946666667</v>
      </c>
      <c r="AC178" s="69" t="n">
        <f aca="false">AC255</f>
        <v>-38814.7946666667</v>
      </c>
      <c r="AD178" s="69" t="n">
        <f aca="false">AD255</f>
        <v>-38814.7946666667</v>
      </c>
      <c r="AE178" s="69" t="n">
        <f aca="false">AE255</f>
        <v>-38814.7946666667</v>
      </c>
      <c r="AF178" s="69" t="n">
        <f aca="false">AF255</f>
        <v>-38814.7946666667</v>
      </c>
      <c r="AG178" s="69" t="n">
        <f aca="false">AG255</f>
        <v>-38814.7946666667</v>
      </c>
      <c r="AH178" s="69" t="n">
        <f aca="false">AH255</f>
        <v>-38814.7946666667</v>
      </c>
      <c r="AI178" s="69" t="n">
        <f aca="false">AI255</f>
        <v>-38814.7946666667</v>
      </c>
      <c r="AJ178" s="69" t="n">
        <f aca="false">AJ255</f>
        <v>-38814.7946666667</v>
      </c>
      <c r="AK178" s="69" t="n">
        <f aca="false">AK255</f>
        <v>-38814.7946666667</v>
      </c>
      <c r="AL178" s="69" t="n">
        <f aca="false">AL255</f>
        <v>-38814.7946666667</v>
      </c>
      <c r="AM178" s="69" t="n">
        <f aca="false">AM255</f>
        <v>-39979.2385066667</v>
      </c>
      <c r="AN178" s="69" t="n">
        <f aca="false">AN255</f>
        <v>-39979.2385066667</v>
      </c>
      <c r="AO178" s="69" t="n">
        <f aca="false">AO255</f>
        <v>-39979.2385066667</v>
      </c>
      <c r="AP178" s="69" t="n">
        <f aca="false">AP255</f>
        <v>-39979.2385066667</v>
      </c>
      <c r="AQ178" s="69" t="n">
        <f aca="false">AQ255</f>
        <v>-39979.2385066667</v>
      </c>
      <c r="AR178" s="69" t="n">
        <f aca="false">AR255</f>
        <v>-39979.2385066667</v>
      </c>
      <c r="AS178" s="69" t="n">
        <f aca="false">AS255</f>
        <v>-39979.2385066667</v>
      </c>
      <c r="AT178" s="69" t="n">
        <f aca="false">AT255</f>
        <v>-39979.2385066667</v>
      </c>
      <c r="AU178" s="69" t="n">
        <f aca="false">AU255</f>
        <v>-39979.2385066667</v>
      </c>
      <c r="AV178" s="69" t="n">
        <f aca="false">AV255</f>
        <v>-39979.2385066667</v>
      </c>
      <c r="AW178" s="69" t="n">
        <f aca="false">AW255</f>
        <v>-39979.2385066667</v>
      </c>
      <c r="AX178" s="69" t="n">
        <f aca="false">AX255</f>
        <v>-39979.2385066667</v>
      </c>
      <c r="AY178" s="69" t="n">
        <f aca="false">AY255</f>
        <v>-41178.6156618667</v>
      </c>
      <c r="AZ178" s="69" t="n">
        <f aca="false">AZ255</f>
        <v>-41178.6156618667</v>
      </c>
      <c r="BA178" s="69" t="n">
        <f aca="false">BA255</f>
        <v>-41178.6156618667</v>
      </c>
      <c r="BB178" s="69" t="n">
        <f aca="false">BB255</f>
        <v>-41178.6156618667</v>
      </c>
      <c r="BC178" s="69" t="n">
        <f aca="false">BC255</f>
        <v>-41178.6156618667</v>
      </c>
      <c r="BD178" s="69" t="n">
        <f aca="false">BD255</f>
        <v>-41178.6156618667</v>
      </c>
      <c r="BE178" s="69" t="n">
        <f aca="false">BE255</f>
        <v>-41178.6156618667</v>
      </c>
      <c r="BF178" s="69" t="n">
        <f aca="false">BF255</f>
        <v>-41178.6156618667</v>
      </c>
      <c r="BG178" s="69" t="n">
        <f aca="false">BG255</f>
        <v>-41178.6156618667</v>
      </c>
      <c r="BH178" s="69" t="n">
        <f aca="false">BH255</f>
        <v>-41178.6156618667</v>
      </c>
      <c r="BI178" s="69" t="n">
        <f aca="false">BI255</f>
        <v>-41178.6156618667</v>
      </c>
      <c r="BJ178" s="69" t="n">
        <f aca="false">BJ255</f>
        <v>-41178.6156618667</v>
      </c>
    </row>
    <row r="179" customFormat="false" ht="15" hidden="false" customHeight="false" outlineLevel="0" collapsed="false">
      <c r="A179" s="6" t="s">
        <v>341</v>
      </c>
      <c r="C179" s="69" t="n">
        <f aca="false">-Inputs!$C$41*(1+Inputs!$C$42)^(C$134-1)*1</f>
        <v>-30000</v>
      </c>
      <c r="D179" s="69" t="n">
        <f aca="false">-Inputs!$C$41*(1+Inputs!$C$42)^(D$134-1)*1</f>
        <v>-30000</v>
      </c>
      <c r="E179" s="69" t="n">
        <f aca="false">-Inputs!$C$41*(1+Inputs!$C$42)^(E$134-1)*1</f>
        <v>-30000</v>
      </c>
      <c r="F179" s="69" t="n">
        <f aca="false">-Inputs!$C$41*(1+Inputs!$C$42)^(F$134-1)*1</f>
        <v>-30000</v>
      </c>
      <c r="G179" s="69" t="n">
        <f aca="false">-Inputs!$C$41*(1+Inputs!$C$42)^(G$134-1)*1</f>
        <v>-30000</v>
      </c>
      <c r="H179" s="69" t="n">
        <f aca="false">-Inputs!$C$41*(1+Inputs!$C$42)^(H$134-1)*1</f>
        <v>-30000</v>
      </c>
      <c r="I179" s="69" t="n">
        <f aca="false">-Inputs!$C$41*(1+Inputs!$C$42)^(I$134-1)*1</f>
        <v>-30000</v>
      </c>
      <c r="J179" s="69" t="n">
        <f aca="false">-Inputs!$C$41*(1+Inputs!$C$42)^(J$134-1)*1</f>
        <v>-30000</v>
      </c>
      <c r="K179" s="69" t="n">
        <f aca="false">-Inputs!$C$41*(1+Inputs!$C$42)^(K$134-1)*1</f>
        <v>-30000</v>
      </c>
      <c r="L179" s="69" t="n">
        <f aca="false">-Inputs!$C$41*(1+Inputs!$C$42)^(L$134-1)*1</f>
        <v>-30000</v>
      </c>
      <c r="M179" s="69" t="n">
        <f aca="false">-Inputs!$C$41*(1+Inputs!$C$42)^(M$134-1)*1</f>
        <v>-30000</v>
      </c>
      <c r="N179" s="69" t="n">
        <f aca="false">-Inputs!$C$41*(1+Inputs!$C$42)^(N$134-1)*1</f>
        <v>-30000</v>
      </c>
      <c r="O179" s="69" t="n">
        <f aca="false">-Inputs!$C$41*(1+Inputs!$C$42)^(O$134-1)*1</f>
        <v>-30900</v>
      </c>
      <c r="P179" s="69" t="n">
        <f aca="false">-Inputs!$C$41*(1+Inputs!$C$42)^(P$134-1)*1</f>
        <v>-30900</v>
      </c>
      <c r="Q179" s="69" t="n">
        <f aca="false">-Inputs!$C$41*(1+Inputs!$C$42)^(Q$134-1)*1</f>
        <v>-30900</v>
      </c>
      <c r="R179" s="69" t="n">
        <f aca="false">-Inputs!$C$41*(1+Inputs!$C$42)^(R$134-1)*1</f>
        <v>-30900</v>
      </c>
      <c r="S179" s="69" t="n">
        <f aca="false">-Inputs!$C$41*(1+Inputs!$C$42)^(S$134-1)*1</f>
        <v>-30900</v>
      </c>
      <c r="T179" s="69" t="n">
        <f aca="false">-Inputs!$C$41*(1+Inputs!$C$42)^(T$134-1)*1</f>
        <v>-30900</v>
      </c>
      <c r="U179" s="69" t="n">
        <f aca="false">-Inputs!$C$41*(1+Inputs!$C$42)^(U$134-1)*1</f>
        <v>-30900</v>
      </c>
      <c r="V179" s="69" t="n">
        <f aca="false">-Inputs!$C$41*(1+Inputs!$C$42)^(V$134-1)*1</f>
        <v>-30900</v>
      </c>
      <c r="W179" s="69" t="n">
        <f aca="false">-Inputs!$C$41*(1+Inputs!$C$42)^(W$134-1)*1</f>
        <v>-30900</v>
      </c>
      <c r="X179" s="69" t="n">
        <f aca="false">-Inputs!$C$41*(1+Inputs!$C$42)^(X$134-1)*1</f>
        <v>-30900</v>
      </c>
      <c r="Y179" s="69" t="n">
        <f aca="false">-Inputs!$C$41*(1+Inputs!$C$42)^(Y$134-1)*1</f>
        <v>-30900</v>
      </c>
      <c r="Z179" s="69" t="n">
        <f aca="false">-Inputs!$C$41*(1+Inputs!$C$42)^(Z$134-1)*1</f>
        <v>-30900</v>
      </c>
      <c r="AA179" s="69" t="n">
        <f aca="false">-Inputs!$C$41*(1+Inputs!$C$42)^(AA$134-1)*1</f>
        <v>-31827</v>
      </c>
      <c r="AB179" s="69" t="n">
        <f aca="false">-Inputs!$C$41*(1+Inputs!$C$42)^(AB$134-1)*1</f>
        <v>-31827</v>
      </c>
      <c r="AC179" s="69" t="n">
        <f aca="false">-Inputs!$C$41*(1+Inputs!$C$42)^(AC$134-1)*1</f>
        <v>-31827</v>
      </c>
      <c r="AD179" s="69" t="n">
        <f aca="false">-Inputs!$C$41*(1+Inputs!$C$42)^(AD$134-1)*1</f>
        <v>-31827</v>
      </c>
      <c r="AE179" s="69" t="n">
        <f aca="false">-Inputs!$C$41*(1+Inputs!$C$42)^(AE$134-1)*1</f>
        <v>-31827</v>
      </c>
      <c r="AF179" s="69" t="n">
        <f aca="false">-Inputs!$C$41*(1+Inputs!$C$42)^(AF$134-1)*1</f>
        <v>-31827</v>
      </c>
      <c r="AG179" s="69" t="n">
        <f aca="false">-Inputs!$C$41*(1+Inputs!$C$42)^(AG$134-1)*1</f>
        <v>-31827</v>
      </c>
      <c r="AH179" s="69" t="n">
        <f aca="false">-Inputs!$C$41*(1+Inputs!$C$42)^(AH$134-1)*1</f>
        <v>-31827</v>
      </c>
      <c r="AI179" s="69" t="n">
        <f aca="false">-Inputs!$C$41*(1+Inputs!$C$42)^(AI$134-1)*1</f>
        <v>-31827</v>
      </c>
      <c r="AJ179" s="69" t="n">
        <f aca="false">-Inputs!$C$41*(1+Inputs!$C$42)^(AJ$134-1)*1</f>
        <v>-31827</v>
      </c>
      <c r="AK179" s="69" t="n">
        <f aca="false">-Inputs!$C$41*(1+Inputs!$C$42)^(AK$134-1)*1</f>
        <v>-31827</v>
      </c>
      <c r="AL179" s="69" t="n">
        <f aca="false">-Inputs!$C$41*(1+Inputs!$C$42)^(AL$134-1)*1</f>
        <v>-31827</v>
      </c>
      <c r="AM179" s="69" t="n">
        <f aca="false">-Inputs!$C$41*(1+Inputs!$C$42)^(AM$134-1)*1</f>
        <v>-32781.81</v>
      </c>
      <c r="AN179" s="69" t="n">
        <f aca="false">-Inputs!$C$41*(1+Inputs!$C$42)^(AN$134-1)*1</f>
        <v>-32781.81</v>
      </c>
      <c r="AO179" s="69" t="n">
        <f aca="false">-Inputs!$C$41*(1+Inputs!$C$42)^(AO$134-1)*1</f>
        <v>-32781.81</v>
      </c>
      <c r="AP179" s="69" t="n">
        <f aca="false">-Inputs!$C$41*(1+Inputs!$C$42)^(AP$134-1)*1</f>
        <v>-32781.81</v>
      </c>
      <c r="AQ179" s="69" t="n">
        <f aca="false">-Inputs!$C$41*(1+Inputs!$C$42)^(AQ$134-1)*1</f>
        <v>-32781.81</v>
      </c>
      <c r="AR179" s="69" t="n">
        <f aca="false">-Inputs!$C$41*(1+Inputs!$C$42)^(AR$134-1)*1</f>
        <v>-32781.81</v>
      </c>
      <c r="AS179" s="69" t="n">
        <f aca="false">-Inputs!$C$41*(1+Inputs!$C$42)^(AS$134-1)*1</f>
        <v>-32781.81</v>
      </c>
      <c r="AT179" s="69" t="n">
        <f aca="false">-Inputs!$C$41*(1+Inputs!$C$42)^(AT$134-1)*1</f>
        <v>-32781.81</v>
      </c>
      <c r="AU179" s="69" t="n">
        <f aca="false">-Inputs!$C$41*(1+Inputs!$C$42)^(AU$134-1)*1</f>
        <v>-32781.81</v>
      </c>
      <c r="AV179" s="69" t="n">
        <f aca="false">-Inputs!$C$41*(1+Inputs!$C$42)^(AV$134-1)*1</f>
        <v>-32781.81</v>
      </c>
      <c r="AW179" s="69" t="n">
        <f aca="false">-Inputs!$C$41*(1+Inputs!$C$42)^(AW$134-1)*1</f>
        <v>-32781.81</v>
      </c>
      <c r="AX179" s="69" t="n">
        <f aca="false">-Inputs!$C$41*(1+Inputs!$C$42)^(AX$134-1)*1</f>
        <v>-32781.81</v>
      </c>
      <c r="AY179" s="69" t="n">
        <f aca="false">-Inputs!$C$41*(1+Inputs!$C$42)^(AY$134-1)*1</f>
        <v>-33765.2643</v>
      </c>
      <c r="AZ179" s="69" t="n">
        <f aca="false">-Inputs!$C$41*(1+Inputs!$C$42)^(AZ$134-1)*1</f>
        <v>-33765.2643</v>
      </c>
      <c r="BA179" s="69" t="n">
        <f aca="false">-Inputs!$C$41*(1+Inputs!$C$42)^(BA$134-1)*1</f>
        <v>-33765.2643</v>
      </c>
      <c r="BB179" s="69" t="n">
        <f aca="false">-Inputs!$C$41*(1+Inputs!$C$42)^(BB$134-1)*1</f>
        <v>-33765.2643</v>
      </c>
      <c r="BC179" s="69" t="n">
        <f aca="false">-Inputs!$C$41*(1+Inputs!$C$42)^(BC$134-1)*1</f>
        <v>-33765.2643</v>
      </c>
      <c r="BD179" s="69" t="n">
        <f aca="false">-Inputs!$C$41*(1+Inputs!$C$42)^(BD$134-1)*1</f>
        <v>-33765.2643</v>
      </c>
      <c r="BE179" s="69" t="n">
        <f aca="false">-Inputs!$C$41*(1+Inputs!$C$42)^(BE$134-1)*1</f>
        <v>-33765.2643</v>
      </c>
      <c r="BF179" s="69" t="n">
        <f aca="false">-Inputs!$C$41*(1+Inputs!$C$42)^(BF$134-1)*1</f>
        <v>-33765.2643</v>
      </c>
      <c r="BG179" s="69" t="n">
        <f aca="false">-Inputs!$C$41*(1+Inputs!$C$42)^(BG$134-1)*1</f>
        <v>-33765.2643</v>
      </c>
      <c r="BH179" s="69" t="n">
        <f aca="false">-Inputs!$C$41*(1+Inputs!$C$42)^(BH$134-1)*1</f>
        <v>-33765.2643</v>
      </c>
      <c r="BI179" s="69" t="n">
        <f aca="false">-Inputs!$C$41*(1+Inputs!$C$42)^(BI$134-1)*1</f>
        <v>-33765.2643</v>
      </c>
      <c r="BJ179" s="69" t="n">
        <f aca="false">-Inputs!$C$41*(1+Inputs!$C$42)^(BJ$134-1)*1</f>
        <v>-33765.2643</v>
      </c>
    </row>
    <row r="180" customFormat="false" ht="15" hidden="false" customHeight="false" outlineLevel="0" collapsed="false">
      <c r="A180" s="6" t="s">
        <v>342</v>
      </c>
      <c r="C180" s="69" t="n">
        <f aca="false">-Inputs!$C$43*(1+Inputs!$C$38)^(C$134-1)*1</f>
        <v>-5500</v>
      </c>
      <c r="D180" s="69" t="n">
        <f aca="false">-Inputs!$C$43*(1+Inputs!$C$38)^(D$134-1)*1</f>
        <v>-5500</v>
      </c>
      <c r="E180" s="69" t="n">
        <f aca="false">-Inputs!$C$43*(1+Inputs!$C$38)^(E$134-1)*1</f>
        <v>-5500</v>
      </c>
      <c r="F180" s="69" t="n">
        <f aca="false">-Inputs!$C$43*(1+Inputs!$C$38)^(F$134-1)*1</f>
        <v>-5500</v>
      </c>
      <c r="G180" s="69" t="n">
        <f aca="false">-Inputs!$C$43*(1+Inputs!$C$38)^(G$134-1)*1</f>
        <v>-5500</v>
      </c>
      <c r="H180" s="69" t="n">
        <f aca="false">-Inputs!$C$43*(1+Inputs!$C$38)^(H$134-1)*1</f>
        <v>-5500</v>
      </c>
      <c r="I180" s="69" t="n">
        <f aca="false">-Inputs!$C$43*(1+Inputs!$C$38)^(I$134-1)*1</f>
        <v>-5500</v>
      </c>
      <c r="J180" s="69" t="n">
        <f aca="false">-Inputs!$C$43*(1+Inputs!$C$38)^(J$134-1)*1</f>
        <v>-5500</v>
      </c>
      <c r="K180" s="69" t="n">
        <f aca="false">-Inputs!$C$43*(1+Inputs!$C$38)^(K$134-1)*1</f>
        <v>-5500</v>
      </c>
      <c r="L180" s="69" t="n">
        <f aca="false">-Inputs!$C$43*(1+Inputs!$C$38)^(L$134-1)*1</f>
        <v>-5500</v>
      </c>
      <c r="M180" s="69" t="n">
        <f aca="false">-Inputs!$C$43*(1+Inputs!$C$38)^(M$134-1)*1</f>
        <v>-5500</v>
      </c>
      <c r="N180" s="69" t="n">
        <f aca="false">-Inputs!$C$43*(1+Inputs!$C$38)^(N$134-1)*1</f>
        <v>-5500</v>
      </c>
      <c r="O180" s="69" t="n">
        <f aca="false">-Inputs!$C$43*(1+Inputs!$C$38)^(O$134-1)*1</f>
        <v>-5665</v>
      </c>
      <c r="P180" s="69" t="n">
        <f aca="false">-Inputs!$C$43*(1+Inputs!$C$38)^(P$134-1)*1</f>
        <v>-5665</v>
      </c>
      <c r="Q180" s="69" t="n">
        <f aca="false">-Inputs!$C$43*(1+Inputs!$C$38)^(Q$134-1)*1</f>
        <v>-5665</v>
      </c>
      <c r="R180" s="69" t="n">
        <f aca="false">-Inputs!$C$43*(1+Inputs!$C$38)^(R$134-1)*1</f>
        <v>-5665</v>
      </c>
      <c r="S180" s="69" t="n">
        <f aca="false">-Inputs!$C$43*(1+Inputs!$C$38)^(S$134-1)*1</f>
        <v>-5665</v>
      </c>
      <c r="T180" s="69" t="n">
        <f aca="false">-Inputs!$C$43*(1+Inputs!$C$38)^(T$134-1)*1</f>
        <v>-5665</v>
      </c>
      <c r="U180" s="69" t="n">
        <f aca="false">-Inputs!$C$43*(1+Inputs!$C$38)^(U$134-1)*1</f>
        <v>-5665</v>
      </c>
      <c r="V180" s="69" t="n">
        <f aca="false">-Inputs!$C$43*(1+Inputs!$C$38)^(V$134-1)*1</f>
        <v>-5665</v>
      </c>
      <c r="W180" s="69" t="n">
        <f aca="false">-Inputs!$C$43*(1+Inputs!$C$38)^(W$134-1)*1</f>
        <v>-5665</v>
      </c>
      <c r="X180" s="69" t="n">
        <f aca="false">-Inputs!$C$43*(1+Inputs!$C$38)^(X$134-1)*1</f>
        <v>-5665</v>
      </c>
      <c r="Y180" s="69" t="n">
        <f aca="false">-Inputs!$C$43*(1+Inputs!$C$38)^(Y$134-1)*1</f>
        <v>-5665</v>
      </c>
      <c r="Z180" s="69" t="n">
        <f aca="false">-Inputs!$C$43*(1+Inputs!$C$38)^(Z$134-1)*1</f>
        <v>-5665</v>
      </c>
      <c r="AA180" s="69" t="n">
        <f aca="false">-Inputs!$C$43*(1+Inputs!$C$38)^(AA$134-1)*1</f>
        <v>-5834.95</v>
      </c>
      <c r="AB180" s="69" t="n">
        <f aca="false">-Inputs!$C$43*(1+Inputs!$C$38)^(AB$134-1)*1</f>
        <v>-5834.95</v>
      </c>
      <c r="AC180" s="69" t="n">
        <f aca="false">-Inputs!$C$43*(1+Inputs!$C$38)^(AC$134-1)*1</f>
        <v>-5834.95</v>
      </c>
      <c r="AD180" s="69" t="n">
        <f aca="false">-Inputs!$C$43*(1+Inputs!$C$38)^(AD$134-1)*1</f>
        <v>-5834.95</v>
      </c>
      <c r="AE180" s="69" t="n">
        <f aca="false">-Inputs!$C$43*(1+Inputs!$C$38)^(AE$134-1)*1</f>
        <v>-5834.95</v>
      </c>
      <c r="AF180" s="69" t="n">
        <f aca="false">-Inputs!$C$43*(1+Inputs!$C$38)^(AF$134-1)*1</f>
        <v>-5834.95</v>
      </c>
      <c r="AG180" s="69" t="n">
        <f aca="false">-Inputs!$C$43*(1+Inputs!$C$38)^(AG$134-1)*1</f>
        <v>-5834.95</v>
      </c>
      <c r="AH180" s="69" t="n">
        <f aca="false">-Inputs!$C$43*(1+Inputs!$C$38)^(AH$134-1)*1</f>
        <v>-5834.95</v>
      </c>
      <c r="AI180" s="69" t="n">
        <f aca="false">-Inputs!$C$43*(1+Inputs!$C$38)^(AI$134-1)*1</f>
        <v>-5834.95</v>
      </c>
      <c r="AJ180" s="69" t="n">
        <f aca="false">-Inputs!$C$43*(1+Inputs!$C$38)^(AJ$134-1)*1</f>
        <v>-5834.95</v>
      </c>
      <c r="AK180" s="69" t="n">
        <f aca="false">-Inputs!$C$43*(1+Inputs!$C$38)^(AK$134-1)*1</f>
        <v>-5834.95</v>
      </c>
      <c r="AL180" s="69" t="n">
        <f aca="false">-Inputs!$C$43*(1+Inputs!$C$38)^(AL$134-1)*1</f>
        <v>-5834.95</v>
      </c>
      <c r="AM180" s="69" t="n">
        <f aca="false">-Inputs!$C$43*(1+Inputs!$C$38)^(AM$134-1)*1</f>
        <v>-6009.9985</v>
      </c>
      <c r="AN180" s="69" t="n">
        <f aca="false">-Inputs!$C$43*(1+Inputs!$C$38)^(AN$134-1)*1</f>
        <v>-6009.9985</v>
      </c>
      <c r="AO180" s="69" t="n">
        <f aca="false">-Inputs!$C$43*(1+Inputs!$C$38)^(AO$134-1)*1</f>
        <v>-6009.9985</v>
      </c>
      <c r="AP180" s="69" t="n">
        <f aca="false">-Inputs!$C$43*(1+Inputs!$C$38)^(AP$134-1)*1</f>
        <v>-6009.9985</v>
      </c>
      <c r="AQ180" s="69" t="n">
        <f aca="false">-Inputs!$C$43*(1+Inputs!$C$38)^(AQ$134-1)*1</f>
        <v>-6009.9985</v>
      </c>
      <c r="AR180" s="69" t="n">
        <f aca="false">-Inputs!$C$43*(1+Inputs!$C$38)^(AR$134-1)*1</f>
        <v>-6009.9985</v>
      </c>
      <c r="AS180" s="69" t="n">
        <f aca="false">-Inputs!$C$43*(1+Inputs!$C$38)^(AS$134-1)*1</f>
        <v>-6009.9985</v>
      </c>
      <c r="AT180" s="69" t="n">
        <f aca="false">-Inputs!$C$43*(1+Inputs!$C$38)^(AT$134-1)*1</f>
        <v>-6009.9985</v>
      </c>
      <c r="AU180" s="69" t="n">
        <f aca="false">-Inputs!$C$43*(1+Inputs!$C$38)^(AU$134-1)*1</f>
        <v>-6009.9985</v>
      </c>
      <c r="AV180" s="69" t="n">
        <f aca="false">-Inputs!$C$43*(1+Inputs!$C$38)^(AV$134-1)*1</f>
        <v>-6009.9985</v>
      </c>
      <c r="AW180" s="69" t="n">
        <f aca="false">-Inputs!$C$43*(1+Inputs!$C$38)^(AW$134-1)*1</f>
        <v>-6009.9985</v>
      </c>
      <c r="AX180" s="69" t="n">
        <f aca="false">-Inputs!$C$43*(1+Inputs!$C$38)^(AX$134-1)*1</f>
        <v>-6009.9985</v>
      </c>
      <c r="AY180" s="69" t="n">
        <f aca="false">-Inputs!$C$43*(1+Inputs!$C$38)^(AY$134-1)*1</f>
        <v>-6190.298455</v>
      </c>
      <c r="AZ180" s="69" t="n">
        <f aca="false">-Inputs!$C$43*(1+Inputs!$C$38)^(AZ$134-1)*1</f>
        <v>-6190.298455</v>
      </c>
      <c r="BA180" s="69" t="n">
        <f aca="false">-Inputs!$C$43*(1+Inputs!$C$38)^(BA$134-1)*1</f>
        <v>-6190.298455</v>
      </c>
      <c r="BB180" s="69" t="n">
        <f aca="false">-Inputs!$C$43*(1+Inputs!$C$38)^(BB$134-1)*1</f>
        <v>-6190.298455</v>
      </c>
      <c r="BC180" s="69" t="n">
        <f aca="false">-Inputs!$C$43*(1+Inputs!$C$38)^(BC$134-1)*1</f>
        <v>-6190.298455</v>
      </c>
      <c r="BD180" s="69" t="n">
        <f aca="false">-Inputs!$C$43*(1+Inputs!$C$38)^(BD$134-1)*1</f>
        <v>-6190.298455</v>
      </c>
      <c r="BE180" s="69" t="n">
        <f aca="false">-Inputs!$C$43*(1+Inputs!$C$38)^(BE$134-1)*1</f>
        <v>-6190.298455</v>
      </c>
      <c r="BF180" s="69" t="n">
        <f aca="false">-Inputs!$C$43*(1+Inputs!$C$38)^(BF$134-1)*1</f>
        <v>-6190.298455</v>
      </c>
      <c r="BG180" s="69" t="n">
        <f aca="false">-Inputs!$C$43*(1+Inputs!$C$38)^(BG$134-1)*1</f>
        <v>-6190.298455</v>
      </c>
      <c r="BH180" s="69" t="n">
        <f aca="false">-Inputs!$C$43*(1+Inputs!$C$38)^(BH$134-1)*1</f>
        <v>-6190.298455</v>
      </c>
      <c r="BI180" s="69" t="n">
        <f aca="false">-Inputs!$C$43*(1+Inputs!$C$38)^(BI$134-1)*1</f>
        <v>-6190.298455</v>
      </c>
      <c r="BJ180" s="69" t="n">
        <f aca="false">-Inputs!$C$43*(1+Inputs!$C$38)^(BJ$134-1)*1</f>
        <v>-6190.298455</v>
      </c>
    </row>
    <row r="181" customFormat="false" ht="15" hidden="false" customHeight="false" outlineLevel="0" collapsed="false">
      <c r="A181" s="6" t="s">
        <v>343</v>
      </c>
      <c r="C181" s="69" t="n">
        <f aca="false">-Inputs!$C$44*(1+Inputs!$C$38)^(C$134-1)*1</f>
        <v>-9500</v>
      </c>
      <c r="D181" s="69" t="n">
        <f aca="false">-Inputs!$C$44*(1+Inputs!$C$38)^(D$134-1)*1</f>
        <v>-9500</v>
      </c>
      <c r="E181" s="69" t="n">
        <f aca="false">-Inputs!$C$44*(1+Inputs!$C$38)^(E$134-1)*1</f>
        <v>-9500</v>
      </c>
      <c r="F181" s="69" t="n">
        <f aca="false">-Inputs!$C$44*(1+Inputs!$C$38)^(F$134-1)*1</f>
        <v>-9500</v>
      </c>
      <c r="G181" s="69" t="n">
        <f aca="false">-Inputs!$C$44*(1+Inputs!$C$38)^(G$134-1)*1</f>
        <v>-9500</v>
      </c>
      <c r="H181" s="69" t="n">
        <f aca="false">-Inputs!$C$44*(1+Inputs!$C$38)^(H$134-1)*1</f>
        <v>-9500</v>
      </c>
      <c r="I181" s="69" t="n">
        <f aca="false">-Inputs!$C$44*(1+Inputs!$C$38)^(I$134-1)*1</f>
        <v>-9500</v>
      </c>
      <c r="J181" s="69" t="n">
        <f aca="false">-Inputs!$C$44*(1+Inputs!$C$38)^(J$134-1)*1</f>
        <v>-9500</v>
      </c>
      <c r="K181" s="69" t="n">
        <f aca="false">-Inputs!$C$44*(1+Inputs!$C$38)^(K$134-1)*1</f>
        <v>-9500</v>
      </c>
      <c r="L181" s="69" t="n">
        <f aca="false">-Inputs!$C$44*(1+Inputs!$C$38)^(L$134-1)*1</f>
        <v>-9500</v>
      </c>
      <c r="M181" s="69" t="n">
        <f aca="false">-Inputs!$C$44*(1+Inputs!$C$38)^(M$134-1)*1</f>
        <v>-9500</v>
      </c>
      <c r="N181" s="69" t="n">
        <f aca="false">-Inputs!$C$44*(1+Inputs!$C$38)^(N$134-1)*1</f>
        <v>-9500</v>
      </c>
      <c r="O181" s="69" t="n">
        <f aca="false">-Inputs!$C$44*(1+Inputs!$C$38)^(O$134-1)*1</f>
        <v>-9785</v>
      </c>
      <c r="P181" s="69" t="n">
        <f aca="false">-Inputs!$C$44*(1+Inputs!$C$38)^(P$134-1)*1</f>
        <v>-9785</v>
      </c>
      <c r="Q181" s="69" t="n">
        <f aca="false">-Inputs!$C$44*(1+Inputs!$C$38)^(Q$134-1)*1</f>
        <v>-9785</v>
      </c>
      <c r="R181" s="69" t="n">
        <f aca="false">-Inputs!$C$44*(1+Inputs!$C$38)^(R$134-1)*1</f>
        <v>-9785</v>
      </c>
      <c r="S181" s="69" t="n">
        <f aca="false">-Inputs!$C$44*(1+Inputs!$C$38)^(S$134-1)*1</f>
        <v>-9785</v>
      </c>
      <c r="T181" s="69" t="n">
        <f aca="false">-Inputs!$C$44*(1+Inputs!$C$38)^(T$134-1)*1</f>
        <v>-9785</v>
      </c>
      <c r="U181" s="69" t="n">
        <f aca="false">-Inputs!$C$44*(1+Inputs!$C$38)^(U$134-1)*1</f>
        <v>-9785</v>
      </c>
      <c r="V181" s="69" t="n">
        <f aca="false">-Inputs!$C$44*(1+Inputs!$C$38)^(V$134-1)*1</f>
        <v>-9785</v>
      </c>
      <c r="W181" s="69" t="n">
        <f aca="false">-Inputs!$C$44*(1+Inputs!$C$38)^(W$134-1)*1</f>
        <v>-9785</v>
      </c>
      <c r="X181" s="69" t="n">
        <f aca="false">-Inputs!$C$44*(1+Inputs!$C$38)^(X$134-1)*1</f>
        <v>-9785</v>
      </c>
      <c r="Y181" s="69" t="n">
        <f aca="false">-Inputs!$C$44*(1+Inputs!$C$38)^(Y$134-1)*1</f>
        <v>-9785</v>
      </c>
      <c r="Z181" s="69" t="n">
        <f aca="false">-Inputs!$C$44*(1+Inputs!$C$38)^(Z$134-1)*1</f>
        <v>-9785</v>
      </c>
      <c r="AA181" s="69" t="n">
        <f aca="false">-Inputs!$C$44*(1+Inputs!$C$38)^(AA$134-1)*1</f>
        <v>-10078.55</v>
      </c>
      <c r="AB181" s="69" t="n">
        <f aca="false">-Inputs!$C$44*(1+Inputs!$C$38)^(AB$134-1)*1</f>
        <v>-10078.55</v>
      </c>
      <c r="AC181" s="69" t="n">
        <f aca="false">-Inputs!$C$44*(1+Inputs!$C$38)^(AC$134-1)*1</f>
        <v>-10078.55</v>
      </c>
      <c r="AD181" s="69" t="n">
        <f aca="false">-Inputs!$C$44*(1+Inputs!$C$38)^(AD$134-1)*1</f>
        <v>-10078.55</v>
      </c>
      <c r="AE181" s="69" t="n">
        <f aca="false">-Inputs!$C$44*(1+Inputs!$C$38)^(AE$134-1)*1</f>
        <v>-10078.55</v>
      </c>
      <c r="AF181" s="69" t="n">
        <f aca="false">-Inputs!$C$44*(1+Inputs!$C$38)^(AF$134-1)*1</f>
        <v>-10078.55</v>
      </c>
      <c r="AG181" s="69" t="n">
        <f aca="false">-Inputs!$C$44*(1+Inputs!$C$38)^(AG$134-1)*1</f>
        <v>-10078.55</v>
      </c>
      <c r="AH181" s="69" t="n">
        <f aca="false">-Inputs!$C$44*(1+Inputs!$C$38)^(AH$134-1)*1</f>
        <v>-10078.55</v>
      </c>
      <c r="AI181" s="69" t="n">
        <f aca="false">-Inputs!$C$44*(1+Inputs!$C$38)^(AI$134-1)*1</f>
        <v>-10078.55</v>
      </c>
      <c r="AJ181" s="69" t="n">
        <f aca="false">-Inputs!$C$44*(1+Inputs!$C$38)^(AJ$134-1)*1</f>
        <v>-10078.55</v>
      </c>
      <c r="AK181" s="69" t="n">
        <f aca="false">-Inputs!$C$44*(1+Inputs!$C$38)^(AK$134-1)*1</f>
        <v>-10078.55</v>
      </c>
      <c r="AL181" s="69" t="n">
        <f aca="false">-Inputs!$C$44*(1+Inputs!$C$38)^(AL$134-1)*1</f>
        <v>-10078.55</v>
      </c>
      <c r="AM181" s="69" t="n">
        <f aca="false">-Inputs!$C$44*(1+Inputs!$C$38)^(AM$134-1)*1</f>
        <v>-10380.9065</v>
      </c>
      <c r="AN181" s="69" t="n">
        <f aca="false">-Inputs!$C$44*(1+Inputs!$C$38)^(AN$134-1)*1</f>
        <v>-10380.9065</v>
      </c>
      <c r="AO181" s="69" t="n">
        <f aca="false">-Inputs!$C$44*(1+Inputs!$C$38)^(AO$134-1)*1</f>
        <v>-10380.9065</v>
      </c>
      <c r="AP181" s="69" t="n">
        <f aca="false">-Inputs!$C$44*(1+Inputs!$C$38)^(AP$134-1)*1</f>
        <v>-10380.9065</v>
      </c>
      <c r="AQ181" s="69" t="n">
        <f aca="false">-Inputs!$C$44*(1+Inputs!$C$38)^(AQ$134-1)*1</f>
        <v>-10380.9065</v>
      </c>
      <c r="AR181" s="69" t="n">
        <f aca="false">-Inputs!$C$44*(1+Inputs!$C$38)^(AR$134-1)*1</f>
        <v>-10380.9065</v>
      </c>
      <c r="AS181" s="69" t="n">
        <f aca="false">-Inputs!$C$44*(1+Inputs!$C$38)^(AS$134-1)*1</f>
        <v>-10380.9065</v>
      </c>
      <c r="AT181" s="69" t="n">
        <f aca="false">-Inputs!$C$44*(1+Inputs!$C$38)^(AT$134-1)*1</f>
        <v>-10380.9065</v>
      </c>
      <c r="AU181" s="69" t="n">
        <f aca="false">-Inputs!$C$44*(1+Inputs!$C$38)^(AU$134-1)*1</f>
        <v>-10380.9065</v>
      </c>
      <c r="AV181" s="69" t="n">
        <f aca="false">-Inputs!$C$44*(1+Inputs!$C$38)^(AV$134-1)*1</f>
        <v>-10380.9065</v>
      </c>
      <c r="AW181" s="69" t="n">
        <f aca="false">-Inputs!$C$44*(1+Inputs!$C$38)^(AW$134-1)*1</f>
        <v>-10380.9065</v>
      </c>
      <c r="AX181" s="69" t="n">
        <f aca="false">-Inputs!$C$44*(1+Inputs!$C$38)^(AX$134-1)*1</f>
        <v>-10380.9065</v>
      </c>
      <c r="AY181" s="69" t="n">
        <f aca="false">-Inputs!$C$44*(1+Inputs!$C$38)^(AY$134-1)*1</f>
        <v>-10692.333695</v>
      </c>
      <c r="AZ181" s="69" t="n">
        <f aca="false">-Inputs!$C$44*(1+Inputs!$C$38)^(AZ$134-1)*1</f>
        <v>-10692.333695</v>
      </c>
      <c r="BA181" s="69" t="n">
        <f aca="false">-Inputs!$C$44*(1+Inputs!$C$38)^(BA$134-1)*1</f>
        <v>-10692.333695</v>
      </c>
      <c r="BB181" s="69" t="n">
        <f aca="false">-Inputs!$C$44*(1+Inputs!$C$38)^(BB$134-1)*1</f>
        <v>-10692.333695</v>
      </c>
      <c r="BC181" s="69" t="n">
        <f aca="false">-Inputs!$C$44*(1+Inputs!$C$38)^(BC$134-1)*1</f>
        <v>-10692.333695</v>
      </c>
      <c r="BD181" s="69" t="n">
        <f aca="false">-Inputs!$C$44*(1+Inputs!$C$38)^(BD$134-1)*1</f>
        <v>-10692.333695</v>
      </c>
      <c r="BE181" s="69" t="n">
        <f aca="false">-Inputs!$C$44*(1+Inputs!$C$38)^(BE$134-1)*1</f>
        <v>-10692.333695</v>
      </c>
      <c r="BF181" s="69" t="n">
        <f aca="false">-Inputs!$C$44*(1+Inputs!$C$38)^(BF$134-1)*1</f>
        <v>-10692.333695</v>
      </c>
      <c r="BG181" s="69" t="n">
        <f aca="false">-Inputs!$C$44*(1+Inputs!$C$38)^(BG$134-1)*1</f>
        <v>-10692.333695</v>
      </c>
      <c r="BH181" s="69" t="n">
        <f aca="false">-Inputs!$C$44*(1+Inputs!$C$38)^(BH$134-1)*1</f>
        <v>-10692.333695</v>
      </c>
      <c r="BI181" s="69" t="n">
        <f aca="false">-Inputs!$C$44*(1+Inputs!$C$38)^(BI$134-1)*1</f>
        <v>-10692.333695</v>
      </c>
      <c r="BJ181" s="69" t="n">
        <f aca="false">-Inputs!$C$44*(1+Inputs!$C$38)^(BJ$134-1)*1</f>
        <v>-10692.333695</v>
      </c>
    </row>
    <row r="182" customFormat="false" ht="15" hidden="false" customHeight="false" outlineLevel="0" collapsed="false">
      <c r="A182" s="6" t="s">
        <v>344</v>
      </c>
      <c r="C182" s="69" t="n">
        <f aca="false">-Inputs!$C$45*(1+Inputs!$C$46)^(C$134-1)*1</f>
        <v>-12000</v>
      </c>
      <c r="D182" s="69" t="n">
        <f aca="false">-Inputs!$C$45*(1+Inputs!$C$46)^(D$134-1)*1</f>
        <v>-12000</v>
      </c>
      <c r="E182" s="69" t="n">
        <f aca="false">-Inputs!$C$45*(1+Inputs!$C$46)^(E$134-1)*1</f>
        <v>-12000</v>
      </c>
      <c r="F182" s="69" t="n">
        <f aca="false">-Inputs!$C$45*(1+Inputs!$C$46)^(F$134-1)*1</f>
        <v>-12000</v>
      </c>
      <c r="G182" s="69" t="n">
        <f aca="false">-Inputs!$C$45*(1+Inputs!$C$46)^(G$134-1)*1</f>
        <v>-12000</v>
      </c>
      <c r="H182" s="69" t="n">
        <f aca="false">-Inputs!$C$45*(1+Inputs!$C$46)^(H$134-1)*1</f>
        <v>-12000</v>
      </c>
      <c r="I182" s="69" t="n">
        <f aca="false">-Inputs!$C$45*(1+Inputs!$C$46)^(I$134-1)*1</f>
        <v>-12000</v>
      </c>
      <c r="J182" s="69" t="n">
        <f aca="false">-Inputs!$C$45*(1+Inputs!$C$46)^(J$134-1)*1</f>
        <v>-12000</v>
      </c>
      <c r="K182" s="69" t="n">
        <f aca="false">-Inputs!$C$45*(1+Inputs!$C$46)^(K$134-1)*1</f>
        <v>-12000</v>
      </c>
      <c r="L182" s="69" t="n">
        <f aca="false">-Inputs!$C$45*(1+Inputs!$C$46)^(L$134-1)*1</f>
        <v>-12000</v>
      </c>
      <c r="M182" s="69" t="n">
        <f aca="false">-Inputs!$C$45*(1+Inputs!$C$46)^(M$134-1)*1</f>
        <v>-12000</v>
      </c>
      <c r="N182" s="69" t="n">
        <f aca="false">-Inputs!$C$45*(1+Inputs!$C$46)^(N$134-1)*1</f>
        <v>-12000</v>
      </c>
      <c r="O182" s="69" t="n">
        <f aca="false">-Inputs!$C$45*(1+Inputs!$C$46)^(O$134-1)*1</f>
        <v>-9600</v>
      </c>
      <c r="P182" s="69" t="n">
        <f aca="false">-Inputs!$C$45*(1+Inputs!$C$46)^(P$134-1)*1</f>
        <v>-9600</v>
      </c>
      <c r="Q182" s="69" t="n">
        <f aca="false">-Inputs!$C$45*(1+Inputs!$C$46)^(Q$134-1)*1</f>
        <v>-9600</v>
      </c>
      <c r="R182" s="69" t="n">
        <f aca="false">-Inputs!$C$45*(1+Inputs!$C$46)^(R$134-1)*1</f>
        <v>-9600</v>
      </c>
      <c r="S182" s="69" t="n">
        <f aca="false">-Inputs!$C$45*(1+Inputs!$C$46)^(S$134-1)*1</f>
        <v>-9600</v>
      </c>
      <c r="T182" s="69" t="n">
        <f aca="false">-Inputs!$C$45*(1+Inputs!$C$46)^(T$134-1)*1</f>
        <v>-9600</v>
      </c>
      <c r="U182" s="69" t="n">
        <f aca="false">-Inputs!$C$45*(1+Inputs!$C$46)^(U$134-1)*1</f>
        <v>-9600</v>
      </c>
      <c r="V182" s="69" t="n">
        <f aca="false">-Inputs!$C$45*(1+Inputs!$C$46)^(V$134-1)*1</f>
        <v>-9600</v>
      </c>
      <c r="W182" s="69" t="n">
        <f aca="false">-Inputs!$C$45*(1+Inputs!$C$46)^(W$134-1)*1</f>
        <v>-9600</v>
      </c>
      <c r="X182" s="69" t="n">
        <f aca="false">-Inputs!$C$45*(1+Inputs!$C$46)^(X$134-1)*1</f>
        <v>-9600</v>
      </c>
      <c r="Y182" s="69" t="n">
        <f aca="false">-Inputs!$C$45*(1+Inputs!$C$46)^(Y$134-1)*1</f>
        <v>-9600</v>
      </c>
      <c r="Z182" s="69" t="n">
        <f aca="false">-Inputs!$C$45*(1+Inputs!$C$46)^(Z$134-1)*1</f>
        <v>-9600</v>
      </c>
      <c r="AA182" s="69" t="n">
        <f aca="false">-Inputs!$C$45*(1+Inputs!$C$46)^(AA$134-1)*1</f>
        <v>-7680</v>
      </c>
      <c r="AB182" s="69" t="n">
        <f aca="false">-Inputs!$C$45*(1+Inputs!$C$46)^(AB$134-1)*1</f>
        <v>-7680</v>
      </c>
      <c r="AC182" s="69" t="n">
        <f aca="false">-Inputs!$C$45*(1+Inputs!$C$46)^(AC$134-1)*1</f>
        <v>-7680</v>
      </c>
      <c r="AD182" s="69" t="n">
        <f aca="false">-Inputs!$C$45*(1+Inputs!$C$46)^(AD$134-1)*1</f>
        <v>-7680</v>
      </c>
      <c r="AE182" s="69" t="n">
        <f aca="false">-Inputs!$C$45*(1+Inputs!$C$46)^(AE$134-1)*1</f>
        <v>-7680</v>
      </c>
      <c r="AF182" s="69" t="n">
        <f aca="false">-Inputs!$C$45*(1+Inputs!$C$46)^(AF$134-1)*1</f>
        <v>-7680</v>
      </c>
      <c r="AG182" s="69" t="n">
        <f aca="false">-Inputs!$C$45*(1+Inputs!$C$46)^(AG$134-1)*1</f>
        <v>-7680</v>
      </c>
      <c r="AH182" s="69" t="n">
        <f aca="false">-Inputs!$C$45*(1+Inputs!$C$46)^(AH$134-1)*1</f>
        <v>-7680</v>
      </c>
      <c r="AI182" s="69" t="n">
        <f aca="false">-Inputs!$C$45*(1+Inputs!$C$46)^(AI$134-1)*1</f>
        <v>-7680</v>
      </c>
      <c r="AJ182" s="69" t="n">
        <f aca="false">-Inputs!$C$45*(1+Inputs!$C$46)^(AJ$134-1)*1</f>
        <v>-7680</v>
      </c>
      <c r="AK182" s="69" t="n">
        <f aca="false">-Inputs!$C$45*(1+Inputs!$C$46)^(AK$134-1)*1</f>
        <v>-7680</v>
      </c>
      <c r="AL182" s="69" t="n">
        <f aca="false">-Inputs!$C$45*(1+Inputs!$C$46)^(AL$134-1)*1</f>
        <v>-7680</v>
      </c>
      <c r="AM182" s="69" t="n">
        <f aca="false">-Inputs!$C$45*(1+Inputs!$C$46)^(AM$134-1)*1</f>
        <v>-6144</v>
      </c>
      <c r="AN182" s="69" t="n">
        <f aca="false">-Inputs!$C$45*(1+Inputs!$C$46)^(AN$134-1)*1</f>
        <v>-6144</v>
      </c>
      <c r="AO182" s="69" t="n">
        <f aca="false">-Inputs!$C$45*(1+Inputs!$C$46)^(AO$134-1)*1</f>
        <v>-6144</v>
      </c>
      <c r="AP182" s="69" t="n">
        <f aca="false">-Inputs!$C$45*(1+Inputs!$C$46)^(AP$134-1)*1</f>
        <v>-6144</v>
      </c>
      <c r="AQ182" s="69" t="n">
        <f aca="false">-Inputs!$C$45*(1+Inputs!$C$46)^(AQ$134-1)*1</f>
        <v>-6144</v>
      </c>
      <c r="AR182" s="69" t="n">
        <f aca="false">-Inputs!$C$45*(1+Inputs!$C$46)^(AR$134-1)*1</f>
        <v>-6144</v>
      </c>
      <c r="AS182" s="69" t="n">
        <f aca="false">-Inputs!$C$45*(1+Inputs!$C$46)^(AS$134-1)*1</f>
        <v>-6144</v>
      </c>
      <c r="AT182" s="69" t="n">
        <f aca="false">-Inputs!$C$45*(1+Inputs!$C$46)^(AT$134-1)*1</f>
        <v>-6144</v>
      </c>
      <c r="AU182" s="69" t="n">
        <f aca="false">-Inputs!$C$45*(1+Inputs!$C$46)^(AU$134-1)*1</f>
        <v>-6144</v>
      </c>
      <c r="AV182" s="69" t="n">
        <f aca="false">-Inputs!$C$45*(1+Inputs!$C$46)^(AV$134-1)*1</f>
        <v>-6144</v>
      </c>
      <c r="AW182" s="69" t="n">
        <f aca="false">-Inputs!$C$45*(1+Inputs!$C$46)^(AW$134-1)*1</f>
        <v>-6144</v>
      </c>
      <c r="AX182" s="69" t="n">
        <f aca="false">-Inputs!$C$45*(1+Inputs!$C$46)^(AX$134-1)*1</f>
        <v>-6144</v>
      </c>
      <c r="AY182" s="69" t="n">
        <f aca="false">-Inputs!$C$45*(1+Inputs!$C$46)^(AY$134-1)*1</f>
        <v>-4915.2</v>
      </c>
      <c r="AZ182" s="69" t="n">
        <f aca="false">-Inputs!$C$45*(1+Inputs!$C$46)^(AZ$134-1)*1</f>
        <v>-4915.2</v>
      </c>
      <c r="BA182" s="69" t="n">
        <f aca="false">-Inputs!$C$45*(1+Inputs!$C$46)^(BA$134-1)*1</f>
        <v>-4915.2</v>
      </c>
      <c r="BB182" s="69" t="n">
        <f aca="false">-Inputs!$C$45*(1+Inputs!$C$46)^(BB$134-1)*1</f>
        <v>-4915.2</v>
      </c>
      <c r="BC182" s="69" t="n">
        <f aca="false">-Inputs!$C$45*(1+Inputs!$C$46)^(BC$134-1)*1</f>
        <v>-4915.2</v>
      </c>
      <c r="BD182" s="69" t="n">
        <f aca="false">-Inputs!$C$45*(1+Inputs!$C$46)^(BD$134-1)*1</f>
        <v>-4915.2</v>
      </c>
      <c r="BE182" s="69" t="n">
        <f aca="false">-Inputs!$C$45*(1+Inputs!$C$46)^(BE$134-1)*1</f>
        <v>-4915.2</v>
      </c>
      <c r="BF182" s="69" t="n">
        <f aca="false">-Inputs!$C$45*(1+Inputs!$C$46)^(BF$134-1)*1</f>
        <v>-4915.2</v>
      </c>
      <c r="BG182" s="69" t="n">
        <f aca="false">-Inputs!$C$45*(1+Inputs!$C$46)^(BG$134-1)*1</f>
        <v>-4915.2</v>
      </c>
      <c r="BH182" s="69" t="n">
        <f aca="false">-Inputs!$C$45*(1+Inputs!$C$46)^(BH$134-1)*1</f>
        <v>-4915.2</v>
      </c>
      <c r="BI182" s="69" t="n">
        <f aca="false">-Inputs!$C$45*(1+Inputs!$C$46)^(BI$134-1)*1</f>
        <v>-4915.2</v>
      </c>
      <c r="BJ182" s="69" t="n">
        <f aca="false">-Inputs!$C$45*(1+Inputs!$C$46)^(BJ$134-1)*1</f>
        <v>-4915.2</v>
      </c>
    </row>
    <row r="183" customFormat="false" ht="15" hidden="false" customHeight="false" outlineLevel="0" collapsed="false">
      <c r="A183" s="113" t="s">
        <v>77</v>
      </c>
      <c r="C183" s="70" t="n">
        <f aca="false">C178+C179+C180+C181+C182</f>
        <v>-93586.6666666667</v>
      </c>
      <c r="D183" s="70" t="n">
        <f aca="false">D178+D179+D180+D181+D182</f>
        <v>-93586.6666666667</v>
      </c>
      <c r="E183" s="70" t="n">
        <f aca="false">E178+E179+E180+E181+E182</f>
        <v>-93586.6666666667</v>
      </c>
      <c r="F183" s="70" t="n">
        <f aca="false">F178+F179+F180+F181+F182</f>
        <v>-93586.6666666667</v>
      </c>
      <c r="G183" s="70" t="n">
        <f aca="false">G178+G179+G180+G181+G182</f>
        <v>-93586.6666666667</v>
      </c>
      <c r="H183" s="70" t="n">
        <f aca="false">H178+H179+H180+H181+H182</f>
        <v>-93586.6666666667</v>
      </c>
      <c r="I183" s="70" t="n">
        <f aca="false">I178+I179+I180+I181+I182</f>
        <v>-93586.6666666667</v>
      </c>
      <c r="J183" s="70" t="n">
        <f aca="false">J178+J179+J180+J181+J182</f>
        <v>-93586.6666666667</v>
      </c>
      <c r="K183" s="70" t="n">
        <f aca="false">K178+K179+K180+K181+K182</f>
        <v>-93586.6666666667</v>
      </c>
      <c r="L183" s="70" t="n">
        <f aca="false">L178+L179+L180+L181+L182</f>
        <v>-93586.6666666667</v>
      </c>
      <c r="M183" s="70" t="n">
        <f aca="false">M178+M179+M180+M181+M182</f>
        <v>-93586.6666666667</v>
      </c>
      <c r="N183" s="70" t="n">
        <f aca="false">N178+N179+N180+N181+N182</f>
        <v>-93586.6666666667</v>
      </c>
      <c r="O183" s="70" t="n">
        <f aca="false">O178+O179+O180+O181+O182</f>
        <v>-93634.2666666667</v>
      </c>
      <c r="P183" s="70" t="n">
        <f aca="false">P178+P179+P180+P181+P182</f>
        <v>-93634.2666666667</v>
      </c>
      <c r="Q183" s="70" t="n">
        <f aca="false">Q178+Q179+Q180+Q181+Q182</f>
        <v>-93634.2666666667</v>
      </c>
      <c r="R183" s="70" t="n">
        <f aca="false">R178+R179+R180+R181+R182</f>
        <v>-93634.2666666667</v>
      </c>
      <c r="S183" s="70" t="n">
        <f aca="false">S178+S179+S180+S181+S182</f>
        <v>-93634.2666666667</v>
      </c>
      <c r="T183" s="70" t="n">
        <f aca="false">T178+T179+T180+T181+T182</f>
        <v>-93634.2666666667</v>
      </c>
      <c r="U183" s="70" t="n">
        <f aca="false">U178+U179+U180+U181+U182</f>
        <v>-93634.2666666667</v>
      </c>
      <c r="V183" s="70" t="n">
        <f aca="false">V178+V179+V180+V181+V182</f>
        <v>-93634.2666666667</v>
      </c>
      <c r="W183" s="70" t="n">
        <f aca="false">W178+W179+W180+W181+W182</f>
        <v>-93634.2666666667</v>
      </c>
      <c r="X183" s="70" t="n">
        <f aca="false">X178+X179+X180+X181+X182</f>
        <v>-93634.2666666667</v>
      </c>
      <c r="Y183" s="70" t="n">
        <f aca="false">Y178+Y179+Y180+Y181+Y182</f>
        <v>-93634.2666666667</v>
      </c>
      <c r="Z183" s="70" t="n">
        <f aca="false">Z178+Z179+Z180+Z181+Z182</f>
        <v>-93634.2666666667</v>
      </c>
      <c r="AA183" s="70" t="n">
        <f aca="false">AA178+AA179+AA180+AA181+AA182</f>
        <v>-94235.2946666667</v>
      </c>
      <c r="AB183" s="70" t="n">
        <f aca="false">AB178+AB179+AB180+AB181+AB182</f>
        <v>-94235.2946666667</v>
      </c>
      <c r="AC183" s="70" t="n">
        <f aca="false">AC178+AC179+AC180+AC181+AC182</f>
        <v>-94235.2946666667</v>
      </c>
      <c r="AD183" s="70" t="n">
        <f aca="false">AD178+AD179+AD180+AD181+AD182</f>
        <v>-94235.2946666667</v>
      </c>
      <c r="AE183" s="70" t="n">
        <f aca="false">AE178+AE179+AE180+AE181+AE182</f>
        <v>-94235.2946666667</v>
      </c>
      <c r="AF183" s="70" t="n">
        <f aca="false">AF178+AF179+AF180+AF181+AF182</f>
        <v>-94235.2946666667</v>
      </c>
      <c r="AG183" s="70" t="n">
        <f aca="false">AG178+AG179+AG180+AG181+AG182</f>
        <v>-94235.2946666667</v>
      </c>
      <c r="AH183" s="70" t="n">
        <f aca="false">AH178+AH179+AH180+AH181+AH182</f>
        <v>-94235.2946666667</v>
      </c>
      <c r="AI183" s="70" t="n">
        <f aca="false">AI178+AI179+AI180+AI181+AI182</f>
        <v>-94235.2946666667</v>
      </c>
      <c r="AJ183" s="70" t="n">
        <f aca="false">AJ178+AJ179+AJ180+AJ181+AJ182</f>
        <v>-94235.2946666667</v>
      </c>
      <c r="AK183" s="70" t="n">
        <f aca="false">AK178+AK179+AK180+AK181+AK182</f>
        <v>-94235.2946666667</v>
      </c>
      <c r="AL183" s="70" t="n">
        <f aca="false">AL178+AL179+AL180+AL181+AL182</f>
        <v>-94235.2946666667</v>
      </c>
      <c r="AM183" s="70" t="n">
        <f aca="false">AM178+AM179+AM180+AM181+AM182</f>
        <v>-95295.9535066667</v>
      </c>
      <c r="AN183" s="70" t="n">
        <f aca="false">AN178+AN179+AN180+AN181+AN182</f>
        <v>-95295.9535066667</v>
      </c>
      <c r="AO183" s="70" t="n">
        <f aca="false">AO178+AO179+AO180+AO181+AO182</f>
        <v>-95295.9535066667</v>
      </c>
      <c r="AP183" s="70" t="n">
        <f aca="false">AP178+AP179+AP180+AP181+AP182</f>
        <v>-95295.9535066667</v>
      </c>
      <c r="AQ183" s="70" t="n">
        <f aca="false">AQ178+AQ179+AQ180+AQ181+AQ182</f>
        <v>-95295.9535066667</v>
      </c>
      <c r="AR183" s="70" t="n">
        <f aca="false">AR178+AR179+AR180+AR181+AR182</f>
        <v>-95295.9535066667</v>
      </c>
      <c r="AS183" s="70" t="n">
        <f aca="false">AS178+AS179+AS180+AS181+AS182</f>
        <v>-95295.9535066667</v>
      </c>
      <c r="AT183" s="70" t="n">
        <f aca="false">AT178+AT179+AT180+AT181+AT182</f>
        <v>-95295.9535066667</v>
      </c>
      <c r="AU183" s="70" t="n">
        <f aca="false">AU178+AU179+AU180+AU181+AU182</f>
        <v>-95295.9535066667</v>
      </c>
      <c r="AV183" s="70" t="n">
        <f aca="false">AV178+AV179+AV180+AV181+AV182</f>
        <v>-95295.9535066667</v>
      </c>
      <c r="AW183" s="70" t="n">
        <f aca="false">AW178+AW179+AW180+AW181+AW182</f>
        <v>-95295.9535066667</v>
      </c>
      <c r="AX183" s="70" t="n">
        <f aca="false">AX178+AX179+AX180+AX181+AX182</f>
        <v>-95295.9535066667</v>
      </c>
      <c r="AY183" s="70" t="n">
        <f aca="false">AY178+AY179+AY180+AY181+AY182</f>
        <v>-96741.7121118667</v>
      </c>
      <c r="AZ183" s="70" t="n">
        <f aca="false">AZ178+AZ179+AZ180+AZ181+AZ182</f>
        <v>-96741.7121118667</v>
      </c>
      <c r="BA183" s="70" t="n">
        <f aca="false">BA178+BA179+BA180+BA181+BA182</f>
        <v>-96741.7121118667</v>
      </c>
      <c r="BB183" s="70" t="n">
        <f aca="false">BB178+BB179+BB180+BB181+BB182</f>
        <v>-96741.7121118667</v>
      </c>
      <c r="BC183" s="70" t="n">
        <f aca="false">BC178+BC179+BC180+BC181+BC182</f>
        <v>-96741.7121118667</v>
      </c>
      <c r="BD183" s="70" t="n">
        <f aca="false">BD178+BD179+BD180+BD181+BD182</f>
        <v>-96741.7121118667</v>
      </c>
      <c r="BE183" s="70" t="n">
        <f aca="false">BE178+BE179+BE180+BE181+BE182</f>
        <v>-96741.7121118667</v>
      </c>
      <c r="BF183" s="70" t="n">
        <f aca="false">BF178+BF179+BF180+BF181+BF182</f>
        <v>-96741.7121118667</v>
      </c>
      <c r="BG183" s="70" t="n">
        <f aca="false">BG178+BG179+BG180+BG181+BG182</f>
        <v>-96741.7121118667</v>
      </c>
      <c r="BH183" s="70" t="n">
        <f aca="false">BH178+BH179+BH180+BH181+BH182</f>
        <v>-96741.7121118667</v>
      </c>
      <c r="BI183" s="70" t="n">
        <f aca="false">BI178+BI179+BI180+BI181+BI182</f>
        <v>-96741.7121118667</v>
      </c>
      <c r="BJ183" s="70" t="n">
        <f aca="false">BJ178+BJ179+BJ180+BJ181+BJ182</f>
        <v>-96741.7121118667</v>
      </c>
    </row>
    <row r="184" customFormat="false" ht="15" hidden="false" customHeight="false" outlineLevel="0" collapsed="false">
      <c r="A184" s="113" t="s">
        <v>48</v>
      </c>
      <c r="C184" s="70" t="n">
        <f aca="false">C175+C183</f>
        <v>-52715.2544125667</v>
      </c>
      <c r="D184" s="70" t="n">
        <f aca="false">D175+D183</f>
        <v>-47169.179570764</v>
      </c>
      <c r="E184" s="70" t="n">
        <f aca="false">E175+E183</f>
        <v>-31890.1001241627</v>
      </c>
      <c r="F184" s="70" t="n">
        <f aca="false">F175+F183</f>
        <v>-24896.4647094518</v>
      </c>
      <c r="G184" s="70" t="n">
        <f aca="false">G175+G183</f>
        <v>-17775.1087070848</v>
      </c>
      <c r="H184" s="70" t="n">
        <f aca="false">H175+H183</f>
        <v>-10531.1409405681</v>
      </c>
      <c r="I184" s="70" t="n">
        <f aca="false">I175+I183</f>
        <v>-3169.46588046759</v>
      </c>
      <c r="J184" s="70" t="n">
        <f aca="false">J175+J183</f>
        <v>4305.20818147335</v>
      </c>
      <c r="K184" s="70" t="n">
        <f aca="false">K175+K183</f>
        <v>11888.3612851811</v>
      </c>
      <c r="L184" s="70" t="n">
        <f aca="false">L175+L183</f>
        <v>19575.654268985</v>
      </c>
      <c r="M184" s="70" t="n">
        <f aca="false">M175+M183</f>
        <v>21716.7869555589</v>
      </c>
      <c r="N184" s="70" t="n">
        <f aca="false">N175+N183</f>
        <v>7381.49638357262</v>
      </c>
      <c r="O184" s="70" t="n">
        <f aca="false">O175+O183</f>
        <v>11016.249459607</v>
      </c>
      <c r="P184" s="70" t="n">
        <f aca="false">P175+P183</f>
        <v>12786.1725056861</v>
      </c>
      <c r="Q184" s="70" t="n">
        <f aca="false">Q175+Q183</f>
        <v>30960.9642923074</v>
      </c>
      <c r="R184" s="70" t="n">
        <f aca="false">R175+R183</f>
        <v>32838.0186139185</v>
      </c>
      <c r="S184" s="70" t="n">
        <f aca="false">S175+S183</f>
        <v>34639.9907626651</v>
      </c>
      <c r="T184" s="70" t="n">
        <f aca="false">T175+T183</f>
        <v>36369.8840254618</v>
      </c>
      <c r="U184" s="70" t="n">
        <f aca="false">U175+U183</f>
        <v>38030.5815577466</v>
      </c>
      <c r="V184" s="70" t="n">
        <f aca="false">V175+V183</f>
        <v>39624.8511887401</v>
      </c>
      <c r="W184" s="70" t="n">
        <f aca="false">W175+W183</f>
        <v>41155.3500344938</v>
      </c>
      <c r="X184" s="70" t="n">
        <f aca="false">X175+X183</f>
        <v>42624.6289264174</v>
      </c>
      <c r="Y184" s="70" t="n">
        <f aca="false">Y175+Y183</f>
        <v>44035.136662664</v>
      </c>
      <c r="Z184" s="70" t="n">
        <f aca="false">Z175+Z183</f>
        <v>29509.3804320289</v>
      </c>
      <c r="AA184" s="70" t="n">
        <f aca="false">AA175+AA183</f>
        <v>32279.3298099496</v>
      </c>
      <c r="AB184" s="70" t="n">
        <f aca="false">AB175+AB183</f>
        <v>33364.0629633307</v>
      </c>
      <c r="AC184" s="70" t="n">
        <f aca="false">AC175+AC183</f>
        <v>50431.0642395809</v>
      </c>
      <c r="AD184" s="70" t="n">
        <f aca="false">AD175+AD183</f>
        <v>51706.7736472895</v>
      </c>
      <c r="AE184" s="70" t="n">
        <f aca="false">AE175+AE183</f>
        <v>52931.4546786897</v>
      </c>
      <c r="AF184" s="70" t="n">
        <f aca="false">AF175+AF183</f>
        <v>54107.1484688339</v>
      </c>
      <c r="AG184" s="70" t="n">
        <f aca="false">AG175+AG183</f>
        <v>55235.8145073723</v>
      </c>
      <c r="AH184" s="70" t="n">
        <f aca="false">AH175+AH183</f>
        <v>56319.3339043693</v>
      </c>
      <c r="AI184" s="70" t="n">
        <f aca="false">AI175+AI183</f>
        <v>57359.5125254863</v>
      </c>
      <c r="AJ184" s="70" t="n">
        <f aca="false">AJ175+AJ183</f>
        <v>58358.0840017586</v>
      </c>
      <c r="AK184" s="70" t="n">
        <f aca="false">AK175+AK183</f>
        <v>59316.7126189801</v>
      </c>
      <c r="AL184" s="70" t="n">
        <f aca="false">AL175+AL183</f>
        <v>44621.120366448</v>
      </c>
      <c r="AM184" s="70" t="n">
        <f aca="false">AM175+AM183</f>
        <v>46772.9319266821</v>
      </c>
      <c r="AN184" s="70" t="n">
        <f aca="false">AN175+AN183</f>
        <v>47433.7351975979</v>
      </c>
      <c r="AO184" s="70" t="n">
        <f aca="false">AO175+AO183</f>
        <v>63868.1080614665</v>
      </c>
      <c r="AP184" s="70" t="n">
        <f aca="false">AP175+AP183</f>
        <v>64774.1435994097</v>
      </c>
      <c r="AQ184" s="70" t="n">
        <f aca="false">AQ175+AQ183</f>
        <v>65643.9377158352</v>
      </c>
      <c r="AR184" s="70" t="n">
        <f aca="false">AR175+AR183</f>
        <v>66478.9400676037</v>
      </c>
      <c r="AS184" s="70" t="n">
        <f aca="false">AS175+AS183</f>
        <v>67280.5423253015</v>
      </c>
      <c r="AT184" s="70" t="n">
        <f aca="false">AT175+AT183</f>
        <v>68050.0804926913</v>
      </c>
      <c r="AU184" s="70" t="n">
        <f aca="false">AU175+AU183</f>
        <v>68788.8371333855</v>
      </c>
      <c r="AV184" s="70" t="n">
        <f aca="false">AV175+AV183</f>
        <v>69498.043508452</v>
      </c>
      <c r="AW184" s="70" t="n">
        <f aca="false">AW175+AW183</f>
        <v>70178.8816285158</v>
      </c>
      <c r="AX184" s="70" t="n">
        <f aca="false">AX175+AX183</f>
        <v>55327.0068439641</v>
      </c>
      <c r="AY184" s="70" t="n">
        <f aca="false">AY175+AY183</f>
        <v>57032.4401806366</v>
      </c>
      <c r="AZ184" s="70" t="n">
        <f aca="false">AZ175+AZ183</f>
        <v>57432.671346074</v>
      </c>
      <c r="BA184" s="70" t="n">
        <f aca="false">BA175+BA183</f>
        <v>73530.3931124444</v>
      </c>
      <c r="BB184" s="70" t="n">
        <f aca="false">BB175+BB183</f>
        <v>74211.5772660566</v>
      </c>
      <c r="BC184" s="70" t="n">
        <f aca="false">BC175+BC183</f>
        <v>74865.5140535243</v>
      </c>
      <c r="BD184" s="70" t="n">
        <f aca="false">BD175+BD183</f>
        <v>75493.2933694932</v>
      </c>
      <c r="BE184" s="70" t="n">
        <f aca="false">BE175+BE183</f>
        <v>76095.9615128234</v>
      </c>
      <c r="BF184" s="70" t="n">
        <f aca="false">BF175+BF183</f>
        <v>76674.5229304204</v>
      </c>
      <c r="BG184" s="70" t="n">
        <f aca="false">BG175+BG183</f>
        <v>77229.9418913135</v>
      </c>
      <c r="BH184" s="70" t="n">
        <f aca="false">BH175+BH183</f>
        <v>77763.1440937709</v>
      </c>
      <c r="BI184" s="70" t="n">
        <f aca="false">BI175+BI183</f>
        <v>78275.01820813</v>
      </c>
      <c r="BJ184" s="70" t="n">
        <f aca="false">BJ175+BJ183</f>
        <v>63277.0067259416</v>
      </c>
    </row>
    <row r="186" customFormat="false" ht="15.75" hidden="false" customHeight="true" outlineLevel="0" collapsed="false">
      <c r="A186" s="7" t="s">
        <v>441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</row>
    <row r="187" customFormat="false" ht="15" hidden="false" customHeight="false" outlineLevel="0" collapsed="false">
      <c r="A187" s="4" t="s">
        <v>79</v>
      </c>
      <c r="C187" s="75" t="n">
        <f aca="false">C184+C202</f>
        <v>-81187.4766347889</v>
      </c>
      <c r="D187" s="75" t="n">
        <f aca="false">D184+D202</f>
        <v>-75641.4017929862</v>
      </c>
      <c r="E187" s="75" t="n">
        <f aca="false">E184+E202</f>
        <v>-60362.3223463849</v>
      </c>
      <c r="F187" s="75" t="n">
        <f aca="false">F184+F202</f>
        <v>-53368.686931674</v>
      </c>
      <c r="G187" s="75" t="n">
        <f aca="false">G184+G202</f>
        <v>-46247.330929307</v>
      </c>
      <c r="H187" s="75" t="n">
        <f aca="false">H184+H202</f>
        <v>-39003.3631627903</v>
      </c>
      <c r="I187" s="75" t="n">
        <f aca="false">I184+I202</f>
        <v>-31641.6881026898</v>
      </c>
      <c r="J187" s="75" t="n">
        <f aca="false">J184+J202</f>
        <v>-24167.0140407489</v>
      </c>
      <c r="K187" s="75" t="n">
        <f aca="false">K184+K202</f>
        <v>-16583.8609370411</v>
      </c>
      <c r="L187" s="75" t="n">
        <f aca="false">L184+L202</f>
        <v>-8896.56795323726</v>
      </c>
      <c r="M187" s="75" t="n">
        <f aca="false">M184+M202</f>
        <v>-6755.43526666334</v>
      </c>
      <c r="N187" s="75" t="n">
        <f aca="false">N184+N202</f>
        <v>-21090.7258386496</v>
      </c>
      <c r="O187" s="75" t="n">
        <f aca="false">O184+O202</f>
        <v>-17733.750540393</v>
      </c>
      <c r="P187" s="75" t="n">
        <f aca="false">P184+P202</f>
        <v>-15963.8274943139</v>
      </c>
      <c r="Q187" s="75" t="n">
        <f aca="false">Q184+Q202</f>
        <v>2210.96429230741</v>
      </c>
      <c r="R187" s="75" t="n">
        <f aca="false">R184+R202</f>
        <v>4088.01861391848</v>
      </c>
      <c r="S187" s="75" t="n">
        <f aca="false">S184+S202</f>
        <v>5889.99076266505</v>
      </c>
      <c r="T187" s="75" t="n">
        <f aca="false">T184+T202</f>
        <v>7619.8840254618</v>
      </c>
      <c r="U187" s="75" t="n">
        <f aca="false">U184+U202</f>
        <v>9280.58155774663</v>
      </c>
      <c r="V187" s="75" t="n">
        <f aca="false">V184+V202</f>
        <v>10874.8511887401</v>
      </c>
      <c r="W187" s="75" t="n">
        <f aca="false">W184+W202</f>
        <v>12405.3500344938</v>
      </c>
      <c r="X187" s="75" t="n">
        <f aca="false">X184+X202</f>
        <v>13874.6289264174</v>
      </c>
      <c r="Y187" s="75" t="n">
        <f aca="false">Y184+Y202</f>
        <v>15285.136662664</v>
      </c>
      <c r="Z187" s="75" t="n">
        <f aca="false">Z184+Z202</f>
        <v>759.380432028891</v>
      </c>
      <c r="AA187" s="75" t="n">
        <f aca="false">AA184+AA202</f>
        <v>3251.55203217178</v>
      </c>
      <c r="AB187" s="75" t="n">
        <f aca="false">AB184+AB202</f>
        <v>4336.28518555293</v>
      </c>
      <c r="AC187" s="75" t="n">
        <f aca="false">AC184+AC202</f>
        <v>21403.2864618032</v>
      </c>
      <c r="AD187" s="75" t="n">
        <f aca="false">AD184+AD202</f>
        <v>22678.9958695117</v>
      </c>
      <c r="AE187" s="75" t="n">
        <f aca="false">AE184+AE202</f>
        <v>23903.6769009119</v>
      </c>
      <c r="AF187" s="75" t="n">
        <f aca="false">AF184+AF202</f>
        <v>25079.3706910562</v>
      </c>
      <c r="AG187" s="75" t="n">
        <f aca="false">AG184+AG202</f>
        <v>26208.0367295946</v>
      </c>
      <c r="AH187" s="75" t="n">
        <f aca="false">AH184+AH202</f>
        <v>27291.5561265915</v>
      </c>
      <c r="AI187" s="75" t="n">
        <f aca="false">AI184+AI202</f>
        <v>28331.7347477085</v>
      </c>
      <c r="AJ187" s="75" t="n">
        <f aca="false">AJ184+AJ202</f>
        <v>29330.3062239809</v>
      </c>
      <c r="AK187" s="75" t="n">
        <f aca="false">AK184+AK202</f>
        <v>30288.9348412023</v>
      </c>
      <c r="AL187" s="75" t="n">
        <f aca="false">AL184+AL202</f>
        <v>15593.3425886702</v>
      </c>
      <c r="AM187" s="75" t="n">
        <f aca="false">AM184+AM202</f>
        <v>17467.3763711266</v>
      </c>
      <c r="AN187" s="75" t="n">
        <f aca="false">AN184+AN202</f>
        <v>18128.1796420424</v>
      </c>
      <c r="AO187" s="75" t="n">
        <f aca="false">AO184+AO202</f>
        <v>34562.5525059109</v>
      </c>
      <c r="AP187" s="75" t="n">
        <f aca="false">AP184+AP202</f>
        <v>35468.5880438541</v>
      </c>
      <c r="AQ187" s="75" t="n">
        <f aca="false">AQ184+AQ202</f>
        <v>36338.3821602796</v>
      </c>
      <c r="AR187" s="75" t="n">
        <f aca="false">AR184+AR202</f>
        <v>37173.3845120481</v>
      </c>
      <c r="AS187" s="75" t="n">
        <f aca="false">AS184+AS202</f>
        <v>37974.9867697459</v>
      </c>
      <c r="AT187" s="75" t="n">
        <f aca="false">AT184+AT202</f>
        <v>38744.5249371357</v>
      </c>
      <c r="AU187" s="75" t="n">
        <f aca="false">AU184+AU202</f>
        <v>39483.28157783</v>
      </c>
      <c r="AV187" s="75" t="n">
        <f aca="false">AV184+AV202</f>
        <v>40192.4879528965</v>
      </c>
      <c r="AW187" s="75" t="n">
        <f aca="false">AW184+AW202</f>
        <v>40873.3260729603</v>
      </c>
      <c r="AX187" s="75" t="n">
        <f aca="false">AX184+AX202</f>
        <v>26021.4512884086</v>
      </c>
      <c r="AY187" s="75" t="n">
        <f aca="false">AY184+AY202</f>
        <v>27449.1068473033</v>
      </c>
      <c r="AZ187" s="75" t="n">
        <f aca="false">AZ184+AZ202</f>
        <v>27849.3380127406</v>
      </c>
      <c r="BA187" s="75" t="n">
        <f aca="false">BA184+BA202</f>
        <v>43947.0597791111</v>
      </c>
      <c r="BB187" s="75" t="n">
        <f aca="false">BB184+BB202</f>
        <v>44628.2439327232</v>
      </c>
      <c r="BC187" s="75" t="n">
        <f aca="false">BC184+BC202</f>
        <v>45282.1807201909</v>
      </c>
      <c r="BD187" s="75" t="n">
        <f aca="false">BD184+BD202</f>
        <v>45909.9600361599</v>
      </c>
      <c r="BE187" s="75" t="n">
        <f aca="false">BE184+BE202</f>
        <v>46512.6281794901</v>
      </c>
      <c r="BF187" s="75" t="n">
        <f aca="false">BF184+BF202</f>
        <v>47091.1895970871</v>
      </c>
      <c r="BG187" s="75" t="n">
        <f aca="false">BG184+BG202</f>
        <v>47646.6085579802</v>
      </c>
      <c r="BH187" s="75" t="n">
        <f aca="false">BH184+BH202</f>
        <v>48179.8107604376</v>
      </c>
      <c r="BI187" s="75" t="n">
        <f aca="false">BI184+BI202</f>
        <v>48691.6848747967</v>
      </c>
      <c r="BJ187" s="75" t="n">
        <f aca="false">BJ184+BJ202</f>
        <v>33693.6733926083</v>
      </c>
    </row>
    <row r="188" customFormat="false" ht="15" hidden="false" customHeight="false" outlineLevel="0" collapsed="false">
      <c r="A188" s="6" t="s">
        <v>442</v>
      </c>
      <c r="C188" s="69" t="n">
        <f aca="false">-(C207+C208+C210)/2*Inputs!$C$69/12</f>
        <v>-21250</v>
      </c>
      <c r="D188" s="69" t="n">
        <f aca="false">-(D207+D208+D210)/2*Inputs!$C$69/12</f>
        <v>-21161.4583333333</v>
      </c>
      <c r="E188" s="69" t="n">
        <f aca="false">-(E207+E208+E210)/2*Inputs!$C$69/12</f>
        <v>-20984.375</v>
      </c>
      <c r="F188" s="69" t="n">
        <f aca="false">-(F207+F208+F210)/2*Inputs!$C$69/12</f>
        <v>-20807.2916666667</v>
      </c>
      <c r="G188" s="69" t="n">
        <f aca="false">-(G207+G208+G210)/2*Inputs!$C$69/12</f>
        <v>-20630.2083333333</v>
      </c>
      <c r="H188" s="69" t="n">
        <f aca="false">-(H207+H208+H210)/2*Inputs!$C$69/12</f>
        <v>-20453.125</v>
      </c>
      <c r="I188" s="69" t="n">
        <f aca="false">-(I207+I208+I210)/2*Inputs!$C$69/12</f>
        <v>-20276.0416666667</v>
      </c>
      <c r="J188" s="69" t="n">
        <f aca="false">-(J207+J208+J210)/2*Inputs!$C$69/12</f>
        <v>-20098.9583333333</v>
      </c>
      <c r="K188" s="69" t="n">
        <f aca="false">-(K207+K208+K210)/2*Inputs!$C$69/12</f>
        <v>-19921.875</v>
      </c>
      <c r="L188" s="69" t="n">
        <f aca="false">-(L207+L208+L210)/2*Inputs!$C$69/12</f>
        <v>-19744.7916666667</v>
      </c>
      <c r="M188" s="69" t="n">
        <f aca="false">-(M207+M208+M210)/2*Inputs!$C$69/12</f>
        <v>-19567.7083333333</v>
      </c>
      <c r="N188" s="69" t="n">
        <f aca="false">-(N207+N208+N210)/2*Inputs!$C$69/12</f>
        <v>-19390.625</v>
      </c>
      <c r="O188" s="69" t="n">
        <f aca="false">-(O207+O208+O210)/2*Inputs!$C$69/12</f>
        <v>-19213.5416666667</v>
      </c>
      <c r="P188" s="69" t="n">
        <f aca="false">-(P207+P208+P210)/2*Inputs!$C$69/12</f>
        <v>-19036.4583333333</v>
      </c>
      <c r="Q188" s="69" t="n">
        <f aca="false">-(Q207+Q208+Q210)/2*Inputs!$C$69/12</f>
        <v>-18859.375</v>
      </c>
      <c r="R188" s="69" t="n">
        <f aca="false">-(R207+R208+R210)/2*Inputs!$C$69/12</f>
        <v>-18682.2916666667</v>
      </c>
      <c r="S188" s="69" t="n">
        <f aca="false">-(S207+S208+S210)/2*Inputs!$C$69/12</f>
        <v>-18505.2083333333</v>
      </c>
      <c r="T188" s="69" t="n">
        <f aca="false">-(T207+T208+T210)/2*Inputs!$C$69/12</f>
        <v>-18328.125</v>
      </c>
      <c r="U188" s="69" t="n">
        <f aca="false">-(U207+U208+U210)/2*Inputs!$C$69/12</f>
        <v>-18151.0416666667</v>
      </c>
      <c r="V188" s="69" t="n">
        <f aca="false">-(V207+V208+V210)/2*Inputs!$C$69/12</f>
        <v>-17973.9583333333</v>
      </c>
      <c r="W188" s="69" t="n">
        <f aca="false">-(W207+W208+W210)/2*Inputs!$C$69/12</f>
        <v>-17796.875</v>
      </c>
      <c r="X188" s="69" t="n">
        <f aca="false">-(X207+X208+X210)/2*Inputs!$C$69/12</f>
        <v>-17619.7916666667</v>
      </c>
      <c r="Y188" s="69" t="n">
        <f aca="false">-(Y207+Y208+Y210)/2*Inputs!$C$69/12</f>
        <v>-17442.7083333333</v>
      </c>
      <c r="Z188" s="69" t="n">
        <f aca="false">-(Z207+Z208+Z210)/2*Inputs!$C$69/12</f>
        <v>-17265.625</v>
      </c>
      <c r="AA188" s="69" t="n">
        <f aca="false">-(AA207+AA208+AA210)/2*Inputs!$C$69/12</f>
        <v>-17088.5416666667</v>
      </c>
      <c r="AB188" s="69" t="n">
        <f aca="false">-(AB207+AB208+AB210)/2*Inputs!$C$69/12</f>
        <v>-16911.4583333333</v>
      </c>
      <c r="AC188" s="69" t="n">
        <f aca="false">-(AC207+AC208+AC210)/2*Inputs!$C$69/12</f>
        <v>-16734.375</v>
      </c>
      <c r="AD188" s="69" t="n">
        <f aca="false">-(AD207+AD208+AD210)/2*Inputs!$C$69/12</f>
        <v>-16557.2916666667</v>
      </c>
      <c r="AE188" s="69" t="n">
        <f aca="false">-(AE207+AE208+AE210)/2*Inputs!$C$69/12</f>
        <v>-16380.2083333333</v>
      </c>
      <c r="AF188" s="69" t="n">
        <f aca="false">-(AF207+AF208+AF210)/2*Inputs!$C$69/12</f>
        <v>-16203.125</v>
      </c>
      <c r="AG188" s="69" t="n">
        <f aca="false">-(AG207+AG208+AG210)/2*Inputs!$C$69/12</f>
        <v>-16026.0416666667</v>
      </c>
      <c r="AH188" s="69" t="n">
        <f aca="false">-(AH207+AH208+AH210)/2*Inputs!$C$69/12</f>
        <v>-15848.9583333333</v>
      </c>
      <c r="AI188" s="69" t="n">
        <f aca="false">-(AI207+AI208+AI210)/2*Inputs!$C$69/12</f>
        <v>-15671.875</v>
      </c>
      <c r="AJ188" s="69" t="n">
        <f aca="false">-(AJ207+AJ208+AJ210)/2*Inputs!$C$69/12</f>
        <v>-15494.7916666667</v>
      </c>
      <c r="AK188" s="69" t="n">
        <f aca="false">-(AK207+AK208+AK210)/2*Inputs!$C$69/12</f>
        <v>-15317.7083333333</v>
      </c>
      <c r="AL188" s="69" t="n">
        <f aca="false">-(AL207+AL208+AL210)/2*Inputs!$C$69/12</f>
        <v>-15140.625</v>
      </c>
      <c r="AM188" s="69" t="n">
        <f aca="false">-(AM207+AM208+AM210)/2*Inputs!$C$69/12</f>
        <v>-14963.5416666667</v>
      </c>
      <c r="AN188" s="69" t="n">
        <f aca="false">-(AN207+AN208+AN210)/2*Inputs!$C$69/12</f>
        <v>-14786.4583333333</v>
      </c>
      <c r="AO188" s="69" t="n">
        <f aca="false">-(AO207+AO208+AO210)/2*Inputs!$C$69/12</f>
        <v>-14609.375</v>
      </c>
      <c r="AP188" s="69" t="n">
        <f aca="false">-(AP207+AP208+AP210)/2*Inputs!$C$69/12</f>
        <v>-14432.2916666667</v>
      </c>
      <c r="AQ188" s="69" t="n">
        <f aca="false">-(AQ207+AQ208+AQ210)/2*Inputs!$C$69/12</f>
        <v>-14255.2083333333</v>
      </c>
      <c r="AR188" s="69" t="n">
        <f aca="false">-(AR207+AR208+AR210)/2*Inputs!$C$69/12</f>
        <v>-14078.125</v>
      </c>
      <c r="AS188" s="69" t="n">
        <f aca="false">-(AS207+AS208+AS210)/2*Inputs!$C$69/12</f>
        <v>-13901.0416666667</v>
      </c>
      <c r="AT188" s="69" t="n">
        <f aca="false">-(AT207+AT208+AT210)/2*Inputs!$C$69/12</f>
        <v>-13723.9583333333</v>
      </c>
      <c r="AU188" s="69" t="n">
        <f aca="false">-(AU207+AU208+AU210)/2*Inputs!$C$69/12</f>
        <v>-13546.875</v>
      </c>
      <c r="AV188" s="69" t="n">
        <f aca="false">-(AV207+AV208+AV210)/2*Inputs!$C$69/12</f>
        <v>-13369.7916666667</v>
      </c>
      <c r="AW188" s="69" t="n">
        <f aca="false">-(AW207+AW208+AW210)/2*Inputs!$C$69/12</f>
        <v>-13192.7083333333</v>
      </c>
      <c r="AX188" s="69" t="n">
        <f aca="false">-(AX207+AX208+AX210)/2*Inputs!$C$69/12</f>
        <v>-13015.625</v>
      </c>
      <c r="AY188" s="69" t="n">
        <f aca="false">-(AY207+AY208+AY210)/2*Inputs!$C$69/12</f>
        <v>-12838.5416666667</v>
      </c>
      <c r="AZ188" s="69" t="n">
        <f aca="false">-(AZ207+AZ208+AZ210)/2*Inputs!$C$69/12</f>
        <v>-12661.4583333333</v>
      </c>
      <c r="BA188" s="69" t="n">
        <f aca="false">-(BA207+BA208+BA210)/2*Inputs!$C$69/12</f>
        <v>-12484.375</v>
      </c>
      <c r="BB188" s="69" t="n">
        <f aca="false">-(BB207+BB208+BB210)/2*Inputs!$C$69/12</f>
        <v>-12307.2916666667</v>
      </c>
      <c r="BC188" s="69" t="n">
        <f aca="false">-(BC207+BC208+BC210)/2*Inputs!$C$69/12</f>
        <v>-12130.2083333333</v>
      </c>
      <c r="BD188" s="69" t="n">
        <f aca="false">-(BD207+BD208+BD210)/2*Inputs!$C$69/12</f>
        <v>-11953.125</v>
      </c>
      <c r="BE188" s="69" t="n">
        <f aca="false">-(BE207+BE208+BE210)/2*Inputs!$C$69/12</f>
        <v>-11776.0416666667</v>
      </c>
      <c r="BF188" s="69" t="n">
        <f aca="false">-(BF207+BF208+BF210)/2*Inputs!$C$69/12</f>
        <v>-11598.9583333333</v>
      </c>
      <c r="BG188" s="69" t="n">
        <f aca="false">-(BG207+BG208+BG210)/2*Inputs!$C$69/12</f>
        <v>-11421.875</v>
      </c>
      <c r="BH188" s="69" t="n">
        <f aca="false">-(BH207+BH208+BH210)/2*Inputs!$C$69/12</f>
        <v>-11244.7916666667</v>
      </c>
      <c r="BI188" s="69" t="n">
        <f aca="false">-(BI207+BI208+BI210)/2*Inputs!$C$69/12</f>
        <v>-11067.7083333333</v>
      </c>
      <c r="BJ188" s="69" t="n">
        <f aca="false">-(BJ207+BJ208+BJ210)/2*Inputs!$C$69/12</f>
        <v>-10890.625</v>
      </c>
    </row>
    <row r="189" customFormat="false" ht="15" hidden="false" customHeight="false" outlineLevel="0" collapsed="false">
      <c r="A189" s="113" t="s">
        <v>81</v>
      </c>
      <c r="C189" s="70" t="n">
        <f aca="false">C187+C188</f>
        <v>-102437.476634789</v>
      </c>
      <c r="D189" s="70" t="n">
        <f aca="false">D187+D188</f>
        <v>-96802.8601263196</v>
      </c>
      <c r="E189" s="70" t="n">
        <f aca="false">E187+E188</f>
        <v>-81346.6973463849</v>
      </c>
      <c r="F189" s="70" t="n">
        <f aca="false">F187+F188</f>
        <v>-74175.9785983407</v>
      </c>
      <c r="G189" s="70" t="n">
        <f aca="false">G187+G188</f>
        <v>-66877.5392626404</v>
      </c>
      <c r="H189" s="70" t="n">
        <f aca="false">H187+H188</f>
        <v>-59456.4881627903</v>
      </c>
      <c r="I189" s="70" t="n">
        <f aca="false">I187+I188</f>
        <v>-51917.7297693565</v>
      </c>
      <c r="J189" s="70" t="n">
        <f aca="false">J187+J188</f>
        <v>-44265.9723740822</v>
      </c>
      <c r="K189" s="70" t="n">
        <f aca="false">K187+K188</f>
        <v>-36505.7359370411</v>
      </c>
      <c r="L189" s="70" t="n">
        <f aca="false">L187+L188</f>
        <v>-28641.3596199039</v>
      </c>
      <c r="M189" s="70" t="n">
        <f aca="false">M187+M188</f>
        <v>-26323.1435999967</v>
      </c>
      <c r="N189" s="70" t="n">
        <f aca="false">N187+N188</f>
        <v>-40481.3508386496</v>
      </c>
      <c r="O189" s="70" t="n">
        <f aca="false">O187+O188</f>
        <v>-36947.2922070597</v>
      </c>
      <c r="P189" s="70" t="n">
        <f aca="false">P187+P188</f>
        <v>-35000.2858276473</v>
      </c>
      <c r="Q189" s="70" t="n">
        <f aca="false">Q187+Q188</f>
        <v>-16648.4107076926</v>
      </c>
      <c r="R189" s="70" t="n">
        <f aca="false">R187+R188</f>
        <v>-14594.2730527482</v>
      </c>
      <c r="S189" s="70" t="n">
        <f aca="false">S187+S188</f>
        <v>-12615.2175706683</v>
      </c>
      <c r="T189" s="70" t="n">
        <f aca="false">T187+T188</f>
        <v>-10708.2409745382</v>
      </c>
      <c r="U189" s="70" t="n">
        <f aca="false">U187+U188</f>
        <v>-8870.46010892004</v>
      </c>
      <c r="V189" s="70" t="n">
        <f aca="false">V187+V188</f>
        <v>-7099.10714459323</v>
      </c>
      <c r="W189" s="70" t="n">
        <f aca="false">W187+W188</f>
        <v>-5391.52496550617</v>
      </c>
      <c r="X189" s="70" t="n">
        <f aca="false">X187+X188</f>
        <v>-3745.16274024923</v>
      </c>
      <c r="Y189" s="70" t="n">
        <f aca="false">Y187+Y188</f>
        <v>-2157.5716706693</v>
      </c>
      <c r="Z189" s="70" t="n">
        <f aca="false">Z187+Z188</f>
        <v>-16506.2445679711</v>
      </c>
      <c r="AA189" s="70" t="n">
        <f aca="false">AA187+AA188</f>
        <v>-13836.9896344949</v>
      </c>
      <c r="AB189" s="70" t="n">
        <f aca="false">AB187+AB188</f>
        <v>-12575.1731477804</v>
      </c>
      <c r="AC189" s="70" t="n">
        <f aca="false">AC187+AC188</f>
        <v>4668.91146180315</v>
      </c>
      <c r="AD189" s="70" t="n">
        <f aca="false">AD187+AD188</f>
        <v>6121.70420284503</v>
      </c>
      <c r="AE189" s="70" t="n">
        <f aca="false">AE187+AE188</f>
        <v>7523.46856757859</v>
      </c>
      <c r="AF189" s="70" t="n">
        <f aca="false">AF187+AF188</f>
        <v>8876.24569105615</v>
      </c>
      <c r="AG189" s="70" t="n">
        <f aca="false">AG187+AG188</f>
        <v>10181.9950629279</v>
      </c>
      <c r="AH189" s="70" t="n">
        <f aca="false">AH187+AH188</f>
        <v>11442.5977932581</v>
      </c>
      <c r="AI189" s="70" t="n">
        <f aca="false">AI187+AI188</f>
        <v>12659.8597477085</v>
      </c>
      <c r="AJ189" s="70" t="n">
        <f aca="false">AJ187+AJ188</f>
        <v>13835.5145573142</v>
      </c>
      <c r="AK189" s="70" t="n">
        <f aca="false">AK187+AK188</f>
        <v>14971.226507869</v>
      </c>
      <c r="AL189" s="70" t="n">
        <f aca="false">AL187+AL188</f>
        <v>452.717588670192</v>
      </c>
      <c r="AM189" s="70" t="n">
        <f aca="false">AM187+AM188</f>
        <v>2503.83470445991</v>
      </c>
      <c r="AN189" s="70" t="n">
        <f aca="false">AN187+AN188</f>
        <v>3341.72130870905</v>
      </c>
      <c r="AO189" s="70" t="n">
        <f aca="false">AO187+AO188</f>
        <v>19953.1775059109</v>
      </c>
      <c r="AP189" s="70" t="n">
        <f aca="false">AP187+AP188</f>
        <v>21036.2963771875</v>
      </c>
      <c r="AQ189" s="70" t="n">
        <f aca="false">AQ187+AQ188</f>
        <v>22083.1738269463</v>
      </c>
      <c r="AR189" s="70" t="n">
        <f aca="false">AR187+AR188</f>
        <v>23095.2595120481</v>
      </c>
      <c r="AS189" s="70" t="n">
        <f aca="false">AS187+AS188</f>
        <v>24073.9451030792</v>
      </c>
      <c r="AT189" s="70" t="n">
        <f aca="false">AT187+AT188</f>
        <v>25020.5666038024</v>
      </c>
      <c r="AU189" s="70" t="n">
        <f aca="false">AU187+AU188</f>
        <v>25936.40657783</v>
      </c>
      <c r="AV189" s="70" t="n">
        <f aca="false">AV187+AV188</f>
        <v>26822.6962862298</v>
      </c>
      <c r="AW189" s="70" t="n">
        <f aca="false">AW187+AW188</f>
        <v>27680.6177396269</v>
      </c>
      <c r="AX189" s="70" t="n">
        <f aca="false">AX187+AX188</f>
        <v>13005.8262884086</v>
      </c>
      <c r="AY189" s="70" t="n">
        <f aca="false">AY187+AY188</f>
        <v>14610.5651806366</v>
      </c>
      <c r="AZ189" s="70" t="n">
        <f aca="false">AZ187+AZ188</f>
        <v>15187.8796794073</v>
      </c>
      <c r="BA189" s="70" t="n">
        <f aca="false">BA187+BA188</f>
        <v>31462.6847791111</v>
      </c>
      <c r="BB189" s="70" t="n">
        <f aca="false">BB187+BB188</f>
        <v>32320.9522660566</v>
      </c>
      <c r="BC189" s="70" t="n">
        <f aca="false">BC187+BC188</f>
        <v>33151.9723868576</v>
      </c>
      <c r="BD189" s="70" t="n">
        <f aca="false">BD187+BD188</f>
        <v>33956.8350361599</v>
      </c>
      <c r="BE189" s="70" t="n">
        <f aca="false">BE187+BE188</f>
        <v>34736.5865128234</v>
      </c>
      <c r="BF189" s="70" t="n">
        <f aca="false">BF187+BF188</f>
        <v>35492.2312637538</v>
      </c>
      <c r="BG189" s="70" t="n">
        <f aca="false">BG187+BG188</f>
        <v>36224.7335579802</v>
      </c>
      <c r="BH189" s="70" t="n">
        <f aca="false">BH187+BH188</f>
        <v>36935.0190937709</v>
      </c>
      <c r="BI189" s="70" t="n">
        <f aca="false">BI187+BI188</f>
        <v>37623.9765414634</v>
      </c>
      <c r="BJ189" s="70" t="n">
        <f aca="false">BJ187+BJ188</f>
        <v>22803.0483926083</v>
      </c>
    </row>
    <row r="190" customFormat="false" ht="15" hidden="false" customHeight="false" outlineLevel="0" collapsed="false">
      <c r="A190" s="116" t="s">
        <v>443</v>
      </c>
      <c r="C190" s="69" t="n">
        <f aca="false">C189</f>
        <v>-102437.476634789</v>
      </c>
      <c r="D190" s="69" t="n">
        <f aca="false">C190+D189</f>
        <v>-199240.336761108</v>
      </c>
      <c r="E190" s="69" t="n">
        <f aca="false">D190+E189</f>
        <v>-280587.034107493</v>
      </c>
      <c r="F190" s="69" t="n">
        <f aca="false">E190+F189</f>
        <v>-354763.012705834</v>
      </c>
      <c r="G190" s="69" t="n">
        <f aca="false">F190+G189</f>
        <v>-421640.551968474</v>
      </c>
      <c r="H190" s="69" t="n">
        <f aca="false">G190+H189</f>
        <v>-481097.040131265</v>
      </c>
      <c r="I190" s="69" t="n">
        <f aca="false">H190+I189</f>
        <v>-533014.769900621</v>
      </c>
      <c r="J190" s="69" t="n">
        <f aca="false">I190+J189</f>
        <v>-577280.742274703</v>
      </c>
      <c r="K190" s="69" t="n">
        <f aca="false">J190+K189</f>
        <v>-613786.478211745</v>
      </c>
      <c r="L190" s="69" t="n">
        <f aca="false">K190+L189</f>
        <v>-642427.837831648</v>
      </c>
      <c r="M190" s="69" t="n">
        <f aca="false">L190+M189</f>
        <v>-668750.981431645</v>
      </c>
      <c r="N190" s="69" t="n">
        <f aca="false">M190+N189</f>
        <v>-709232.332270295</v>
      </c>
      <c r="O190" s="69" t="n">
        <f aca="false">N190+O189</f>
        <v>-746179.624477354</v>
      </c>
      <c r="P190" s="69" t="n">
        <f aca="false">O190+P189</f>
        <v>-781179.910305002</v>
      </c>
      <c r="Q190" s="69" t="n">
        <f aca="false">P190+Q189</f>
        <v>-797828.321012694</v>
      </c>
      <c r="R190" s="69" t="n">
        <f aca="false">Q190+R189</f>
        <v>-812422.594065442</v>
      </c>
      <c r="S190" s="69" t="n">
        <f aca="false">R190+S189</f>
        <v>-825037.811636111</v>
      </c>
      <c r="T190" s="69" t="n">
        <f aca="false">S190+T189</f>
        <v>-835746.052610649</v>
      </c>
      <c r="U190" s="69" t="n">
        <f aca="false">T190+U189</f>
        <v>-844616.512719569</v>
      </c>
      <c r="V190" s="69" t="n">
        <f aca="false">U190+V189</f>
        <v>-851715.619864162</v>
      </c>
      <c r="W190" s="69" t="n">
        <f aca="false">V190+W189</f>
        <v>-857107.144829668</v>
      </c>
      <c r="X190" s="69" t="n">
        <f aca="false">W190+X189</f>
        <v>-860852.307569918</v>
      </c>
      <c r="Y190" s="69" t="n">
        <f aca="false">X190+Y189</f>
        <v>-863009.879240587</v>
      </c>
      <c r="Z190" s="69" t="n">
        <f aca="false">Y190+Z189</f>
        <v>-879516.123808558</v>
      </c>
      <c r="AA190" s="69" t="n">
        <f aca="false">Z190+AA189</f>
        <v>-893353.113443053</v>
      </c>
      <c r="AB190" s="69" t="n">
        <f aca="false">AA190+AB189</f>
        <v>-905928.286590833</v>
      </c>
      <c r="AC190" s="69" t="n">
        <f aca="false">AB190+AC189</f>
        <v>-901259.37512903</v>
      </c>
      <c r="AD190" s="69" t="n">
        <f aca="false">AC190+AD189</f>
        <v>-895137.670926185</v>
      </c>
      <c r="AE190" s="69" t="n">
        <f aca="false">AD190+AE189</f>
        <v>-887614.202358606</v>
      </c>
      <c r="AF190" s="69" t="n">
        <f aca="false">AE190+AF189</f>
        <v>-878737.95666755</v>
      </c>
      <c r="AG190" s="69" t="n">
        <f aca="false">AF190+AG189</f>
        <v>-868555.961604622</v>
      </c>
      <c r="AH190" s="69" t="n">
        <f aca="false">AG190+AH189</f>
        <v>-857113.363811364</v>
      </c>
      <c r="AI190" s="69" t="n">
        <f aca="false">AH190+AI189</f>
        <v>-844453.504063656</v>
      </c>
      <c r="AJ190" s="69" t="n">
        <f aca="false">AI190+AJ189</f>
        <v>-830617.989506341</v>
      </c>
      <c r="AK190" s="69" t="n">
        <f aca="false">AJ190+AK189</f>
        <v>-815646.762998472</v>
      </c>
      <c r="AL190" s="69" t="n">
        <f aca="false">AK190+AL189</f>
        <v>-815194.045409802</v>
      </c>
      <c r="AM190" s="69" t="n">
        <f aca="false">AL190+AM189</f>
        <v>-812690.210705342</v>
      </c>
      <c r="AN190" s="69" t="n">
        <f aca="false">AM190+AN189</f>
        <v>-809348.489396633</v>
      </c>
      <c r="AO190" s="69" t="n">
        <f aca="false">AN190+AO189</f>
        <v>-789395.311890723</v>
      </c>
      <c r="AP190" s="69" t="n">
        <f aca="false">AO190+AP189</f>
        <v>-768359.015513535</v>
      </c>
      <c r="AQ190" s="69" t="n">
        <f aca="false">AP190+AQ189</f>
        <v>-746275.841686589</v>
      </c>
      <c r="AR190" s="69" t="n">
        <f aca="false">AQ190+AR189</f>
        <v>-723180.582174541</v>
      </c>
      <c r="AS190" s="69" t="n">
        <f aca="false">AR190+AS189</f>
        <v>-699106.637071461</v>
      </c>
      <c r="AT190" s="69" t="n">
        <f aca="false">AS190+AT189</f>
        <v>-674086.070467659</v>
      </c>
      <c r="AU190" s="69" t="n">
        <f aca="false">AT190+AU189</f>
        <v>-648149.663889829</v>
      </c>
      <c r="AV190" s="69" t="n">
        <f aca="false">AU190+AV189</f>
        <v>-621326.967603599</v>
      </c>
      <c r="AW190" s="69" t="n">
        <f aca="false">AV190+AW189</f>
        <v>-593646.349863972</v>
      </c>
      <c r="AX190" s="69" t="n">
        <f aca="false">AW190+AX189</f>
        <v>-580640.523575564</v>
      </c>
      <c r="AY190" s="69" t="n">
        <f aca="false">AX190+AY189</f>
        <v>-566029.958394927</v>
      </c>
      <c r="AZ190" s="69" t="n">
        <f aca="false">AY190+AZ189</f>
        <v>-550842.07871552</v>
      </c>
      <c r="BA190" s="69" t="n">
        <f aca="false">AZ190+BA189</f>
        <v>-519379.393936409</v>
      </c>
      <c r="BB190" s="69" t="n">
        <f aca="false">BA190+BB189</f>
        <v>-487058.441670352</v>
      </c>
      <c r="BC190" s="69" t="n">
        <f aca="false">BB190+BC189</f>
        <v>-453906.469283495</v>
      </c>
      <c r="BD190" s="69" t="n">
        <f aca="false">BC190+BD189</f>
        <v>-419949.634247335</v>
      </c>
      <c r="BE190" s="69" t="n">
        <f aca="false">BD190+BE189</f>
        <v>-385213.047734511</v>
      </c>
      <c r="BF190" s="69" t="n">
        <f aca="false">BE190+BF189</f>
        <v>-349720.816470758</v>
      </c>
      <c r="BG190" s="69" t="n">
        <f aca="false">BF190+BG189</f>
        <v>-313496.082912777</v>
      </c>
      <c r="BH190" s="69" t="n">
        <f aca="false">BG190+BH189</f>
        <v>-276561.063819007</v>
      </c>
      <c r="BI190" s="69" t="n">
        <f aca="false">BH190+BI189</f>
        <v>-238937.087277543</v>
      </c>
      <c r="BJ190" s="69" t="n">
        <f aca="false">BI190+BJ189</f>
        <v>-216134.038884935</v>
      </c>
    </row>
    <row r="191" customFormat="false" ht="15" hidden="false" customHeight="false" outlineLevel="0" collapsed="false">
      <c r="A191" s="116" t="s">
        <v>444</v>
      </c>
      <c r="C191" s="69" t="n">
        <f aca="false">MAX(0,C190)</f>
        <v>0</v>
      </c>
      <c r="D191" s="69" t="n">
        <f aca="false">MAX(C191,D190)</f>
        <v>0</v>
      </c>
      <c r="E191" s="69" t="n">
        <f aca="false">MAX(D191,E190)</f>
        <v>0</v>
      </c>
      <c r="F191" s="69" t="n">
        <f aca="false">MAX(E191,F190)</f>
        <v>0</v>
      </c>
      <c r="G191" s="69" t="n">
        <f aca="false">MAX(F191,G190)</f>
        <v>0</v>
      </c>
      <c r="H191" s="69" t="n">
        <f aca="false">MAX(G191,H190)</f>
        <v>0</v>
      </c>
      <c r="I191" s="69" t="n">
        <f aca="false">MAX(H191,I190)</f>
        <v>0</v>
      </c>
      <c r="J191" s="69" t="n">
        <f aca="false">MAX(I191,J190)</f>
        <v>0</v>
      </c>
      <c r="K191" s="69" t="n">
        <f aca="false">MAX(J191,K190)</f>
        <v>0</v>
      </c>
      <c r="L191" s="69" t="n">
        <f aca="false">MAX(K191,L190)</f>
        <v>0</v>
      </c>
      <c r="M191" s="69" t="n">
        <f aca="false">MAX(L191,M190)</f>
        <v>0</v>
      </c>
      <c r="N191" s="69" t="n">
        <f aca="false">MAX(M191,N190)</f>
        <v>0</v>
      </c>
      <c r="O191" s="69" t="n">
        <f aca="false">MAX(N191,O190)</f>
        <v>0</v>
      </c>
      <c r="P191" s="69" t="n">
        <f aca="false">MAX(O191,P190)</f>
        <v>0</v>
      </c>
      <c r="Q191" s="69" t="n">
        <f aca="false">MAX(P191,Q190)</f>
        <v>0</v>
      </c>
      <c r="R191" s="69" t="n">
        <f aca="false">MAX(Q191,R190)</f>
        <v>0</v>
      </c>
      <c r="S191" s="69" t="n">
        <f aca="false">MAX(R191,S190)</f>
        <v>0</v>
      </c>
      <c r="T191" s="69" t="n">
        <f aca="false">MAX(S191,T190)</f>
        <v>0</v>
      </c>
      <c r="U191" s="69" t="n">
        <f aca="false">MAX(T191,U190)</f>
        <v>0</v>
      </c>
      <c r="V191" s="69" t="n">
        <f aca="false">MAX(U191,V190)</f>
        <v>0</v>
      </c>
      <c r="W191" s="69" t="n">
        <f aca="false">MAX(V191,W190)</f>
        <v>0</v>
      </c>
      <c r="X191" s="69" t="n">
        <f aca="false">MAX(W191,X190)</f>
        <v>0</v>
      </c>
      <c r="Y191" s="69" t="n">
        <f aca="false">MAX(X191,Y190)</f>
        <v>0</v>
      </c>
      <c r="Z191" s="69" t="n">
        <f aca="false">MAX(Y191,Z190)</f>
        <v>0</v>
      </c>
      <c r="AA191" s="69" t="n">
        <f aca="false">MAX(Z191,AA190)</f>
        <v>0</v>
      </c>
      <c r="AB191" s="69" t="n">
        <f aca="false">MAX(AA191,AB190)</f>
        <v>0</v>
      </c>
      <c r="AC191" s="69" t="n">
        <f aca="false">MAX(AB191,AC190)</f>
        <v>0</v>
      </c>
      <c r="AD191" s="69" t="n">
        <f aca="false">MAX(AC191,AD190)</f>
        <v>0</v>
      </c>
      <c r="AE191" s="69" t="n">
        <f aca="false">MAX(AD191,AE190)</f>
        <v>0</v>
      </c>
      <c r="AF191" s="69" t="n">
        <f aca="false">MAX(AE191,AF190)</f>
        <v>0</v>
      </c>
      <c r="AG191" s="69" t="n">
        <f aca="false">MAX(AF191,AG190)</f>
        <v>0</v>
      </c>
      <c r="AH191" s="69" t="n">
        <f aca="false">MAX(AG191,AH190)</f>
        <v>0</v>
      </c>
      <c r="AI191" s="69" t="n">
        <f aca="false">MAX(AH191,AI190)</f>
        <v>0</v>
      </c>
      <c r="AJ191" s="69" t="n">
        <f aca="false">MAX(AI191,AJ190)</f>
        <v>0</v>
      </c>
      <c r="AK191" s="69" t="n">
        <f aca="false">MAX(AJ191,AK190)</f>
        <v>0</v>
      </c>
      <c r="AL191" s="69" t="n">
        <f aca="false">MAX(AK191,AL190)</f>
        <v>0</v>
      </c>
      <c r="AM191" s="69" t="n">
        <f aca="false">MAX(AL191,AM190)</f>
        <v>0</v>
      </c>
      <c r="AN191" s="69" t="n">
        <f aca="false">MAX(AM191,AN190)</f>
        <v>0</v>
      </c>
      <c r="AO191" s="69" t="n">
        <f aca="false">MAX(AN191,AO190)</f>
        <v>0</v>
      </c>
      <c r="AP191" s="69" t="n">
        <f aca="false">MAX(AO191,AP190)</f>
        <v>0</v>
      </c>
      <c r="AQ191" s="69" t="n">
        <f aca="false">MAX(AP191,AQ190)</f>
        <v>0</v>
      </c>
      <c r="AR191" s="69" t="n">
        <f aca="false">MAX(AQ191,AR190)</f>
        <v>0</v>
      </c>
      <c r="AS191" s="69" t="n">
        <f aca="false">MAX(AR191,AS190)</f>
        <v>0</v>
      </c>
      <c r="AT191" s="69" t="n">
        <f aca="false">MAX(AS191,AT190)</f>
        <v>0</v>
      </c>
      <c r="AU191" s="69" t="n">
        <f aca="false">MAX(AT191,AU190)</f>
        <v>0</v>
      </c>
      <c r="AV191" s="69" t="n">
        <f aca="false">MAX(AU191,AV190)</f>
        <v>0</v>
      </c>
      <c r="AW191" s="69" t="n">
        <f aca="false">MAX(AV191,AW190)</f>
        <v>0</v>
      </c>
      <c r="AX191" s="69" t="n">
        <f aca="false">MAX(AW191,AX190)</f>
        <v>0</v>
      </c>
      <c r="AY191" s="69" t="n">
        <f aca="false">MAX(AX191,AY190)</f>
        <v>0</v>
      </c>
      <c r="AZ191" s="69" t="n">
        <f aca="false">MAX(AY191,AZ190)</f>
        <v>0</v>
      </c>
      <c r="BA191" s="69" t="n">
        <f aca="false">MAX(AZ191,BA190)</f>
        <v>0</v>
      </c>
      <c r="BB191" s="69" t="n">
        <f aca="false">MAX(BA191,BB190)</f>
        <v>0</v>
      </c>
      <c r="BC191" s="69" t="n">
        <f aca="false">MAX(BB191,BC190)</f>
        <v>0</v>
      </c>
      <c r="BD191" s="69" t="n">
        <f aca="false">MAX(BC191,BD190)</f>
        <v>0</v>
      </c>
      <c r="BE191" s="69" t="n">
        <f aca="false">MAX(BD191,BE190)</f>
        <v>0</v>
      </c>
      <c r="BF191" s="69" t="n">
        <f aca="false">MAX(BE191,BF190)</f>
        <v>0</v>
      </c>
      <c r="BG191" s="69" t="n">
        <f aca="false">MAX(BF191,BG190)</f>
        <v>0</v>
      </c>
      <c r="BH191" s="69" t="n">
        <f aca="false">MAX(BG191,BH190)</f>
        <v>0</v>
      </c>
      <c r="BI191" s="69" t="n">
        <f aca="false">MAX(BH191,BI190)</f>
        <v>0</v>
      </c>
      <c r="BJ191" s="69" t="n">
        <f aca="false">MAX(BI191,BJ190)</f>
        <v>0</v>
      </c>
    </row>
    <row r="192" customFormat="false" ht="15" hidden="false" customHeight="false" outlineLevel="0" collapsed="false">
      <c r="A192" s="6" t="s">
        <v>82</v>
      </c>
      <c r="C192" s="69" t="n">
        <f aca="false">-C191*Inputs!$C$79</f>
        <v>-0</v>
      </c>
      <c r="D192" s="69" t="n">
        <f aca="false">-(D191-C191)*Inputs!$C$79</f>
        <v>-0</v>
      </c>
      <c r="E192" s="69" t="n">
        <f aca="false">-(E191-D191)*Inputs!$C$79</f>
        <v>-0</v>
      </c>
      <c r="F192" s="69" t="n">
        <f aca="false">-(F191-E191)*Inputs!$C$79</f>
        <v>-0</v>
      </c>
      <c r="G192" s="69" t="n">
        <f aca="false">-(G191-F191)*Inputs!$C$79</f>
        <v>-0</v>
      </c>
      <c r="H192" s="69" t="n">
        <f aca="false">-(H191-G191)*Inputs!$C$79</f>
        <v>-0</v>
      </c>
      <c r="I192" s="69" t="n">
        <f aca="false">-(I191-H191)*Inputs!$C$79</f>
        <v>-0</v>
      </c>
      <c r="J192" s="69" t="n">
        <f aca="false">-(J191-I191)*Inputs!$C$79</f>
        <v>-0</v>
      </c>
      <c r="K192" s="69" t="n">
        <f aca="false">-(K191-J191)*Inputs!$C$79</f>
        <v>-0</v>
      </c>
      <c r="L192" s="69" t="n">
        <f aca="false">-(L191-K191)*Inputs!$C$79</f>
        <v>-0</v>
      </c>
      <c r="M192" s="69" t="n">
        <f aca="false">-(M191-L191)*Inputs!$C$79</f>
        <v>-0</v>
      </c>
      <c r="N192" s="69" t="n">
        <f aca="false">-(N191-M191)*Inputs!$C$79</f>
        <v>-0</v>
      </c>
      <c r="O192" s="69" t="n">
        <f aca="false">-(O191-N191)*Inputs!$C$79</f>
        <v>-0</v>
      </c>
      <c r="P192" s="69" t="n">
        <f aca="false">-(P191-O191)*Inputs!$C$79</f>
        <v>-0</v>
      </c>
      <c r="Q192" s="69" t="n">
        <f aca="false">-(Q191-P191)*Inputs!$C$79</f>
        <v>-0</v>
      </c>
      <c r="R192" s="69" t="n">
        <f aca="false">-(R191-Q191)*Inputs!$C$79</f>
        <v>-0</v>
      </c>
      <c r="S192" s="69" t="n">
        <f aca="false">-(S191-R191)*Inputs!$C$79</f>
        <v>-0</v>
      </c>
      <c r="T192" s="69" t="n">
        <f aca="false">-(T191-S191)*Inputs!$C$79</f>
        <v>-0</v>
      </c>
      <c r="U192" s="69" t="n">
        <f aca="false">-(U191-T191)*Inputs!$C$79</f>
        <v>-0</v>
      </c>
      <c r="V192" s="69" t="n">
        <f aca="false">-(V191-U191)*Inputs!$C$79</f>
        <v>-0</v>
      </c>
      <c r="W192" s="69" t="n">
        <f aca="false">-(W191-V191)*Inputs!$C$79</f>
        <v>-0</v>
      </c>
      <c r="X192" s="69" t="n">
        <f aca="false">-(X191-W191)*Inputs!$C$79</f>
        <v>-0</v>
      </c>
      <c r="Y192" s="69" t="n">
        <f aca="false">-(Y191-X191)*Inputs!$C$79</f>
        <v>-0</v>
      </c>
      <c r="Z192" s="69" t="n">
        <f aca="false">-(Z191-Y191)*Inputs!$C$79</f>
        <v>-0</v>
      </c>
      <c r="AA192" s="69" t="n">
        <f aca="false">-(AA191-Z191)*Inputs!$C$79</f>
        <v>-0</v>
      </c>
      <c r="AB192" s="69" t="n">
        <f aca="false">-(AB191-AA191)*Inputs!$C$79</f>
        <v>-0</v>
      </c>
      <c r="AC192" s="69" t="n">
        <f aca="false">-(AC191-AB191)*Inputs!$C$79</f>
        <v>-0</v>
      </c>
      <c r="AD192" s="69" t="n">
        <f aca="false">-(AD191-AC191)*Inputs!$C$79</f>
        <v>-0</v>
      </c>
      <c r="AE192" s="69" t="n">
        <f aca="false">-(AE191-AD191)*Inputs!$C$79</f>
        <v>-0</v>
      </c>
      <c r="AF192" s="69" t="n">
        <f aca="false">-(AF191-AE191)*Inputs!$C$79</f>
        <v>-0</v>
      </c>
      <c r="AG192" s="69" t="n">
        <f aca="false">-(AG191-AF191)*Inputs!$C$79</f>
        <v>-0</v>
      </c>
      <c r="AH192" s="69" t="n">
        <f aca="false">-(AH191-AG191)*Inputs!$C$79</f>
        <v>-0</v>
      </c>
      <c r="AI192" s="69" t="n">
        <f aca="false">-(AI191-AH191)*Inputs!$C$79</f>
        <v>-0</v>
      </c>
      <c r="AJ192" s="69" t="n">
        <f aca="false">-(AJ191-AI191)*Inputs!$C$79</f>
        <v>-0</v>
      </c>
      <c r="AK192" s="69" t="n">
        <f aca="false">-(AK191-AJ191)*Inputs!$C$79</f>
        <v>-0</v>
      </c>
      <c r="AL192" s="69" t="n">
        <f aca="false">-(AL191-AK191)*Inputs!$C$79</f>
        <v>-0</v>
      </c>
      <c r="AM192" s="69" t="n">
        <f aca="false">-(AM191-AL191)*Inputs!$C$79</f>
        <v>-0</v>
      </c>
      <c r="AN192" s="69" t="n">
        <f aca="false">-(AN191-AM191)*Inputs!$C$79</f>
        <v>-0</v>
      </c>
      <c r="AO192" s="69" t="n">
        <f aca="false">-(AO191-AN191)*Inputs!$C$79</f>
        <v>-0</v>
      </c>
      <c r="AP192" s="69" t="n">
        <f aca="false">-(AP191-AO191)*Inputs!$C$79</f>
        <v>-0</v>
      </c>
      <c r="AQ192" s="69" t="n">
        <f aca="false">-(AQ191-AP191)*Inputs!$C$79</f>
        <v>-0</v>
      </c>
      <c r="AR192" s="69" t="n">
        <f aca="false">-(AR191-AQ191)*Inputs!$C$79</f>
        <v>-0</v>
      </c>
      <c r="AS192" s="69" t="n">
        <f aca="false">-(AS191-AR191)*Inputs!$C$79</f>
        <v>-0</v>
      </c>
      <c r="AT192" s="69" t="n">
        <f aca="false">-(AT191-AS191)*Inputs!$C$79</f>
        <v>-0</v>
      </c>
      <c r="AU192" s="69" t="n">
        <f aca="false">-(AU191-AT191)*Inputs!$C$79</f>
        <v>-0</v>
      </c>
      <c r="AV192" s="69" t="n">
        <f aca="false">-(AV191-AU191)*Inputs!$C$79</f>
        <v>-0</v>
      </c>
      <c r="AW192" s="69" t="n">
        <f aca="false">-(AW191-AV191)*Inputs!$C$79</f>
        <v>-0</v>
      </c>
      <c r="AX192" s="69" t="n">
        <f aca="false">-(AX191-AW191)*Inputs!$C$79</f>
        <v>-0</v>
      </c>
      <c r="AY192" s="69" t="n">
        <f aca="false">-(AY191-AX191)*Inputs!$C$79</f>
        <v>-0</v>
      </c>
      <c r="AZ192" s="69" t="n">
        <f aca="false">-(AZ191-AY191)*Inputs!$C$79</f>
        <v>-0</v>
      </c>
      <c r="BA192" s="69" t="n">
        <f aca="false">-(BA191-AZ191)*Inputs!$C$79</f>
        <v>-0</v>
      </c>
      <c r="BB192" s="69" t="n">
        <f aca="false">-(BB191-BA191)*Inputs!$C$79</f>
        <v>-0</v>
      </c>
      <c r="BC192" s="69" t="n">
        <f aca="false">-(BC191-BB191)*Inputs!$C$79</f>
        <v>-0</v>
      </c>
      <c r="BD192" s="69" t="n">
        <f aca="false">-(BD191-BC191)*Inputs!$C$79</f>
        <v>-0</v>
      </c>
      <c r="BE192" s="69" t="n">
        <f aca="false">-(BE191-BD191)*Inputs!$C$79</f>
        <v>-0</v>
      </c>
      <c r="BF192" s="69" t="n">
        <f aca="false">-(BF191-BE191)*Inputs!$C$79</f>
        <v>-0</v>
      </c>
      <c r="BG192" s="69" t="n">
        <f aca="false">-(BG191-BF191)*Inputs!$C$79</f>
        <v>-0</v>
      </c>
      <c r="BH192" s="69" t="n">
        <f aca="false">-(BH191-BG191)*Inputs!$C$79</f>
        <v>-0</v>
      </c>
      <c r="BI192" s="69" t="n">
        <f aca="false">-(BI191-BH191)*Inputs!$C$79</f>
        <v>-0</v>
      </c>
      <c r="BJ192" s="69" t="n">
        <f aca="false">-(BJ191-BI191)*Inputs!$C$79</f>
        <v>-0</v>
      </c>
    </row>
    <row r="193" customFormat="false" ht="15" hidden="false" customHeight="false" outlineLevel="0" collapsed="false">
      <c r="A193" s="113" t="s">
        <v>50</v>
      </c>
      <c r="C193" s="70" t="n">
        <f aca="false">C189+C192</f>
        <v>-102437.476634789</v>
      </c>
      <c r="D193" s="70" t="n">
        <f aca="false">D189+D192</f>
        <v>-96802.8601263196</v>
      </c>
      <c r="E193" s="70" t="n">
        <f aca="false">E189+E192</f>
        <v>-81346.6973463849</v>
      </c>
      <c r="F193" s="70" t="n">
        <f aca="false">F189+F192</f>
        <v>-74175.9785983407</v>
      </c>
      <c r="G193" s="70" t="n">
        <f aca="false">G189+G192</f>
        <v>-66877.5392626404</v>
      </c>
      <c r="H193" s="70" t="n">
        <f aca="false">H189+H192</f>
        <v>-59456.4881627903</v>
      </c>
      <c r="I193" s="70" t="n">
        <f aca="false">I189+I192</f>
        <v>-51917.7297693565</v>
      </c>
      <c r="J193" s="70" t="n">
        <f aca="false">J189+J192</f>
        <v>-44265.9723740822</v>
      </c>
      <c r="K193" s="70" t="n">
        <f aca="false">K189+K192</f>
        <v>-36505.7359370411</v>
      </c>
      <c r="L193" s="70" t="n">
        <f aca="false">L189+L192</f>
        <v>-28641.3596199039</v>
      </c>
      <c r="M193" s="70" t="n">
        <f aca="false">M189+M192</f>
        <v>-26323.1435999967</v>
      </c>
      <c r="N193" s="70" t="n">
        <f aca="false">N189+N192</f>
        <v>-40481.3508386496</v>
      </c>
      <c r="O193" s="70" t="n">
        <f aca="false">O189+O192</f>
        <v>-36947.2922070597</v>
      </c>
      <c r="P193" s="70" t="n">
        <f aca="false">P189+P192</f>
        <v>-35000.2858276473</v>
      </c>
      <c r="Q193" s="70" t="n">
        <f aca="false">Q189+Q192</f>
        <v>-16648.4107076926</v>
      </c>
      <c r="R193" s="70" t="n">
        <f aca="false">R189+R192</f>
        <v>-14594.2730527482</v>
      </c>
      <c r="S193" s="70" t="n">
        <f aca="false">S189+S192</f>
        <v>-12615.2175706683</v>
      </c>
      <c r="T193" s="70" t="n">
        <f aca="false">T189+T192</f>
        <v>-10708.2409745382</v>
      </c>
      <c r="U193" s="70" t="n">
        <f aca="false">U189+U192</f>
        <v>-8870.46010892004</v>
      </c>
      <c r="V193" s="70" t="n">
        <f aca="false">V189+V192</f>
        <v>-7099.10714459323</v>
      </c>
      <c r="W193" s="70" t="n">
        <f aca="false">W189+W192</f>
        <v>-5391.52496550617</v>
      </c>
      <c r="X193" s="70" t="n">
        <f aca="false">X189+X192</f>
        <v>-3745.16274024923</v>
      </c>
      <c r="Y193" s="70" t="n">
        <f aca="false">Y189+Y192</f>
        <v>-2157.5716706693</v>
      </c>
      <c r="Z193" s="70" t="n">
        <f aca="false">Z189+Z192</f>
        <v>-16506.2445679711</v>
      </c>
      <c r="AA193" s="70" t="n">
        <f aca="false">AA189+AA192</f>
        <v>-13836.9896344949</v>
      </c>
      <c r="AB193" s="70" t="n">
        <f aca="false">AB189+AB192</f>
        <v>-12575.1731477804</v>
      </c>
      <c r="AC193" s="70" t="n">
        <f aca="false">AC189+AC192</f>
        <v>4668.91146180315</v>
      </c>
      <c r="AD193" s="70" t="n">
        <f aca="false">AD189+AD192</f>
        <v>6121.70420284503</v>
      </c>
      <c r="AE193" s="70" t="n">
        <f aca="false">AE189+AE192</f>
        <v>7523.46856757859</v>
      </c>
      <c r="AF193" s="70" t="n">
        <f aca="false">AF189+AF192</f>
        <v>8876.24569105615</v>
      </c>
      <c r="AG193" s="70" t="n">
        <f aca="false">AG189+AG192</f>
        <v>10181.9950629279</v>
      </c>
      <c r="AH193" s="70" t="n">
        <f aca="false">AH189+AH192</f>
        <v>11442.5977932581</v>
      </c>
      <c r="AI193" s="70" t="n">
        <f aca="false">AI189+AI192</f>
        <v>12659.8597477085</v>
      </c>
      <c r="AJ193" s="70" t="n">
        <f aca="false">AJ189+AJ192</f>
        <v>13835.5145573142</v>
      </c>
      <c r="AK193" s="70" t="n">
        <f aca="false">AK189+AK192</f>
        <v>14971.226507869</v>
      </c>
      <c r="AL193" s="70" t="n">
        <f aca="false">AL189+AL192</f>
        <v>452.717588670192</v>
      </c>
      <c r="AM193" s="70" t="n">
        <f aca="false">AM189+AM192</f>
        <v>2503.83470445991</v>
      </c>
      <c r="AN193" s="70" t="n">
        <f aca="false">AN189+AN192</f>
        <v>3341.72130870905</v>
      </c>
      <c r="AO193" s="70" t="n">
        <f aca="false">AO189+AO192</f>
        <v>19953.1775059109</v>
      </c>
      <c r="AP193" s="70" t="n">
        <f aca="false">AP189+AP192</f>
        <v>21036.2963771875</v>
      </c>
      <c r="AQ193" s="70" t="n">
        <f aca="false">AQ189+AQ192</f>
        <v>22083.1738269463</v>
      </c>
      <c r="AR193" s="70" t="n">
        <f aca="false">AR189+AR192</f>
        <v>23095.2595120481</v>
      </c>
      <c r="AS193" s="70" t="n">
        <f aca="false">AS189+AS192</f>
        <v>24073.9451030792</v>
      </c>
      <c r="AT193" s="70" t="n">
        <f aca="false">AT189+AT192</f>
        <v>25020.5666038024</v>
      </c>
      <c r="AU193" s="70" t="n">
        <f aca="false">AU189+AU192</f>
        <v>25936.40657783</v>
      </c>
      <c r="AV193" s="70" t="n">
        <f aca="false">AV189+AV192</f>
        <v>26822.6962862298</v>
      </c>
      <c r="AW193" s="70" t="n">
        <f aca="false">AW189+AW192</f>
        <v>27680.6177396269</v>
      </c>
      <c r="AX193" s="70" t="n">
        <f aca="false">AX189+AX192</f>
        <v>13005.8262884086</v>
      </c>
      <c r="AY193" s="70" t="n">
        <f aca="false">AY189+AY192</f>
        <v>14610.5651806366</v>
      </c>
      <c r="AZ193" s="70" t="n">
        <f aca="false">AZ189+AZ192</f>
        <v>15187.8796794073</v>
      </c>
      <c r="BA193" s="70" t="n">
        <f aca="false">BA189+BA192</f>
        <v>31462.6847791111</v>
      </c>
      <c r="BB193" s="70" t="n">
        <f aca="false">BB189+BB192</f>
        <v>32320.9522660566</v>
      </c>
      <c r="BC193" s="70" t="n">
        <f aca="false">BC189+BC192</f>
        <v>33151.9723868576</v>
      </c>
      <c r="BD193" s="70" t="n">
        <f aca="false">BD189+BD192</f>
        <v>33956.8350361599</v>
      </c>
      <c r="BE193" s="70" t="n">
        <f aca="false">BE189+BE192</f>
        <v>34736.5865128234</v>
      </c>
      <c r="BF193" s="70" t="n">
        <f aca="false">BF189+BF192</f>
        <v>35492.2312637538</v>
      </c>
      <c r="BG193" s="70" t="n">
        <f aca="false">BG189+BG192</f>
        <v>36224.7335579802</v>
      </c>
      <c r="BH193" s="70" t="n">
        <f aca="false">BH189+BH192</f>
        <v>36935.0190937709</v>
      </c>
      <c r="BI193" s="70" t="n">
        <f aca="false">BI189+BI192</f>
        <v>37623.9765414634</v>
      </c>
      <c r="BJ193" s="70" t="n">
        <f aca="false">BJ189+BJ192</f>
        <v>22803.0483926083</v>
      </c>
    </row>
    <row r="195" customFormat="false" ht="15.75" hidden="false" customHeight="true" outlineLevel="0" collapsed="false">
      <c r="A195" s="7" t="s">
        <v>445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</row>
    <row r="196" customFormat="false" ht="15" hidden="false" customHeight="false" outlineLevel="0" collapsed="false">
      <c r="A196" s="6" t="s">
        <v>446</v>
      </c>
      <c r="C196" s="69" t="n">
        <f aca="false">IF(C$133=1,Inputs!$C$49,0)</f>
        <v>1650000</v>
      </c>
      <c r="D196" s="69" t="n">
        <f aca="false">IF(D$133=1,Inputs!$C$49,0)</f>
        <v>0</v>
      </c>
      <c r="E196" s="69" t="n">
        <f aca="false">IF(E$133=1,Inputs!$C$49,0)</f>
        <v>0</v>
      </c>
      <c r="F196" s="69" t="n">
        <f aca="false">IF(F$133=1,Inputs!$C$49,0)</f>
        <v>0</v>
      </c>
      <c r="G196" s="69" t="n">
        <f aca="false">IF(G$133=1,Inputs!$C$49,0)</f>
        <v>0</v>
      </c>
      <c r="H196" s="69" t="n">
        <f aca="false">IF(H$133=1,Inputs!$C$49,0)</f>
        <v>0</v>
      </c>
      <c r="I196" s="69" t="n">
        <f aca="false">IF(I$133=1,Inputs!$C$49,0)</f>
        <v>0</v>
      </c>
      <c r="J196" s="69" t="n">
        <f aca="false">IF(J$133=1,Inputs!$C$49,0)</f>
        <v>0</v>
      </c>
      <c r="K196" s="69" t="n">
        <f aca="false">IF(K$133=1,Inputs!$C$49,0)</f>
        <v>0</v>
      </c>
      <c r="L196" s="69" t="n">
        <f aca="false">IF(L$133=1,Inputs!$C$49,0)</f>
        <v>0</v>
      </c>
      <c r="M196" s="69" t="n">
        <f aca="false">IF(M$133=1,Inputs!$C$49,0)</f>
        <v>0</v>
      </c>
      <c r="N196" s="69" t="n">
        <f aca="false">IF(N$133=1,Inputs!$C$49,0)</f>
        <v>0</v>
      </c>
      <c r="O196" s="69" t="n">
        <f aca="false">IF(O$133=1,Inputs!$C$49,0)</f>
        <v>0</v>
      </c>
      <c r="P196" s="69" t="n">
        <f aca="false">IF(P$133=1,Inputs!$C$49,0)</f>
        <v>0</v>
      </c>
      <c r="Q196" s="69" t="n">
        <f aca="false">IF(Q$133=1,Inputs!$C$49,0)</f>
        <v>0</v>
      </c>
      <c r="R196" s="69" t="n">
        <f aca="false">IF(R$133=1,Inputs!$C$49,0)</f>
        <v>0</v>
      </c>
      <c r="S196" s="69" t="n">
        <f aca="false">IF(S$133=1,Inputs!$C$49,0)</f>
        <v>0</v>
      </c>
      <c r="T196" s="69" t="n">
        <f aca="false">IF(T$133=1,Inputs!$C$49,0)</f>
        <v>0</v>
      </c>
      <c r="U196" s="69" t="n">
        <f aca="false">IF(U$133=1,Inputs!$C$49,0)</f>
        <v>0</v>
      </c>
      <c r="V196" s="69" t="n">
        <f aca="false">IF(V$133=1,Inputs!$C$49,0)</f>
        <v>0</v>
      </c>
      <c r="W196" s="69" t="n">
        <f aca="false">IF(W$133=1,Inputs!$C$49,0)</f>
        <v>0</v>
      </c>
      <c r="X196" s="69" t="n">
        <f aca="false">IF(X$133=1,Inputs!$C$49,0)</f>
        <v>0</v>
      </c>
      <c r="Y196" s="69" t="n">
        <f aca="false">IF(Y$133=1,Inputs!$C$49,0)</f>
        <v>0</v>
      </c>
      <c r="Z196" s="69" t="n">
        <f aca="false">IF(Z$133=1,Inputs!$C$49,0)</f>
        <v>0</v>
      </c>
      <c r="AA196" s="69" t="n">
        <f aca="false">IF(AA$133=1,Inputs!$C$49,0)</f>
        <v>0</v>
      </c>
      <c r="AB196" s="69" t="n">
        <f aca="false">IF(AB$133=1,Inputs!$C$49,0)</f>
        <v>0</v>
      </c>
      <c r="AC196" s="69" t="n">
        <f aca="false">IF(AC$133=1,Inputs!$C$49,0)</f>
        <v>0</v>
      </c>
      <c r="AD196" s="69" t="n">
        <f aca="false">IF(AD$133=1,Inputs!$C$49,0)</f>
        <v>0</v>
      </c>
      <c r="AE196" s="69" t="n">
        <f aca="false">IF(AE$133=1,Inputs!$C$49,0)</f>
        <v>0</v>
      </c>
      <c r="AF196" s="69" t="n">
        <f aca="false">IF(AF$133=1,Inputs!$C$49,0)</f>
        <v>0</v>
      </c>
      <c r="AG196" s="69" t="n">
        <f aca="false">IF(AG$133=1,Inputs!$C$49,0)</f>
        <v>0</v>
      </c>
      <c r="AH196" s="69" t="n">
        <f aca="false">IF(AH$133=1,Inputs!$C$49,0)</f>
        <v>0</v>
      </c>
      <c r="AI196" s="69" t="n">
        <f aca="false">IF(AI$133=1,Inputs!$C$49,0)</f>
        <v>0</v>
      </c>
      <c r="AJ196" s="69" t="n">
        <f aca="false">IF(AJ$133=1,Inputs!$C$49,0)</f>
        <v>0</v>
      </c>
      <c r="AK196" s="69" t="n">
        <f aca="false">IF(AK$133=1,Inputs!$C$49,0)</f>
        <v>0</v>
      </c>
      <c r="AL196" s="69" t="n">
        <f aca="false">IF(AL$133=1,Inputs!$C$49,0)</f>
        <v>0</v>
      </c>
      <c r="AM196" s="69" t="n">
        <f aca="false">IF(AM$133=1,Inputs!$C$49,0)</f>
        <v>0</v>
      </c>
      <c r="AN196" s="69" t="n">
        <f aca="false">IF(AN$133=1,Inputs!$C$49,0)</f>
        <v>0</v>
      </c>
      <c r="AO196" s="69" t="n">
        <f aca="false">IF(AO$133=1,Inputs!$C$49,0)</f>
        <v>0</v>
      </c>
      <c r="AP196" s="69" t="n">
        <f aca="false">IF(AP$133=1,Inputs!$C$49,0)</f>
        <v>0</v>
      </c>
      <c r="AQ196" s="69" t="n">
        <f aca="false">IF(AQ$133=1,Inputs!$C$49,0)</f>
        <v>0</v>
      </c>
      <c r="AR196" s="69" t="n">
        <f aca="false">IF(AR$133=1,Inputs!$C$49,0)</f>
        <v>0</v>
      </c>
      <c r="AS196" s="69" t="n">
        <f aca="false">IF(AS$133=1,Inputs!$C$49,0)</f>
        <v>0</v>
      </c>
      <c r="AT196" s="69" t="n">
        <f aca="false">IF(AT$133=1,Inputs!$C$49,0)</f>
        <v>0</v>
      </c>
      <c r="AU196" s="69" t="n">
        <f aca="false">IF(AU$133=1,Inputs!$C$49,0)</f>
        <v>0</v>
      </c>
      <c r="AV196" s="69" t="n">
        <f aca="false">IF(AV$133=1,Inputs!$C$49,0)</f>
        <v>0</v>
      </c>
      <c r="AW196" s="69" t="n">
        <f aca="false">IF(AW$133=1,Inputs!$C$49,0)</f>
        <v>0</v>
      </c>
      <c r="AX196" s="69" t="n">
        <f aca="false">IF(AX$133=1,Inputs!$C$49,0)</f>
        <v>0</v>
      </c>
      <c r="AY196" s="69" t="n">
        <f aca="false">IF(AY$133=1,Inputs!$C$49,0)</f>
        <v>0</v>
      </c>
      <c r="AZ196" s="69" t="n">
        <f aca="false">IF(AZ$133=1,Inputs!$C$49,0)</f>
        <v>0</v>
      </c>
      <c r="BA196" s="69" t="n">
        <f aca="false">IF(BA$133=1,Inputs!$C$49,0)</f>
        <v>0</v>
      </c>
      <c r="BB196" s="69" t="n">
        <f aca="false">IF(BB$133=1,Inputs!$C$49,0)</f>
        <v>0</v>
      </c>
      <c r="BC196" s="69" t="n">
        <f aca="false">IF(BC$133=1,Inputs!$C$49,0)</f>
        <v>0</v>
      </c>
      <c r="BD196" s="69" t="n">
        <f aca="false">IF(BD$133=1,Inputs!$C$49,0)</f>
        <v>0</v>
      </c>
      <c r="BE196" s="69" t="n">
        <f aca="false">IF(BE$133=1,Inputs!$C$49,0)</f>
        <v>0</v>
      </c>
      <c r="BF196" s="69" t="n">
        <f aca="false">IF(BF$133=1,Inputs!$C$49,0)</f>
        <v>0</v>
      </c>
      <c r="BG196" s="69" t="n">
        <f aca="false">IF(BG$133=1,Inputs!$C$49,0)</f>
        <v>0</v>
      </c>
      <c r="BH196" s="69" t="n">
        <f aca="false">IF(BH$133=1,Inputs!$C$49,0)</f>
        <v>0</v>
      </c>
      <c r="BI196" s="69" t="n">
        <f aca="false">IF(BI$133=1,Inputs!$C$49,0)</f>
        <v>0</v>
      </c>
      <c r="BJ196" s="69" t="n">
        <f aca="false">IF(BJ$133=1,Inputs!$C$49,0)</f>
        <v>0</v>
      </c>
    </row>
    <row r="197" customFormat="false" ht="15" hidden="false" customHeight="false" outlineLevel="0" collapsed="false">
      <c r="A197" s="6" t="s">
        <v>447</v>
      </c>
      <c r="C197" s="69" t="n">
        <f aca="false">IF(C$133=1,Inputs!$C$50,0)</f>
        <v>2300000</v>
      </c>
      <c r="D197" s="69" t="n">
        <f aca="false">IF(D$133=1,Inputs!$C$50,0)</f>
        <v>0</v>
      </c>
      <c r="E197" s="69" t="n">
        <f aca="false">IF(E$133=1,Inputs!$C$50,0)</f>
        <v>0</v>
      </c>
      <c r="F197" s="69" t="n">
        <f aca="false">IF(F$133=1,Inputs!$C$50,0)</f>
        <v>0</v>
      </c>
      <c r="G197" s="69" t="n">
        <f aca="false">IF(G$133=1,Inputs!$C$50,0)</f>
        <v>0</v>
      </c>
      <c r="H197" s="69" t="n">
        <f aca="false">IF(H$133=1,Inputs!$C$50,0)</f>
        <v>0</v>
      </c>
      <c r="I197" s="69" t="n">
        <f aca="false">IF(I$133=1,Inputs!$C$50,0)</f>
        <v>0</v>
      </c>
      <c r="J197" s="69" t="n">
        <f aca="false">IF(J$133=1,Inputs!$C$50,0)</f>
        <v>0</v>
      </c>
      <c r="K197" s="69" t="n">
        <f aca="false">IF(K$133=1,Inputs!$C$50,0)</f>
        <v>0</v>
      </c>
      <c r="L197" s="69" t="n">
        <f aca="false">IF(L$133=1,Inputs!$C$50,0)</f>
        <v>0</v>
      </c>
      <c r="M197" s="69" t="n">
        <f aca="false">IF(M$133=1,Inputs!$C$50,0)</f>
        <v>0</v>
      </c>
      <c r="N197" s="69" t="n">
        <f aca="false">IF(N$133=1,Inputs!$C$50,0)</f>
        <v>0</v>
      </c>
      <c r="O197" s="69" t="n">
        <f aca="false">IF(O$133=1,Inputs!$C$50,0)</f>
        <v>0</v>
      </c>
      <c r="P197" s="69" t="n">
        <f aca="false">IF(P$133=1,Inputs!$C$50,0)</f>
        <v>0</v>
      </c>
      <c r="Q197" s="69" t="n">
        <f aca="false">IF(Q$133=1,Inputs!$C$50,0)</f>
        <v>0</v>
      </c>
      <c r="R197" s="69" t="n">
        <f aca="false">IF(R$133=1,Inputs!$C$50,0)</f>
        <v>0</v>
      </c>
      <c r="S197" s="69" t="n">
        <f aca="false">IF(S$133=1,Inputs!$C$50,0)</f>
        <v>0</v>
      </c>
      <c r="T197" s="69" t="n">
        <f aca="false">IF(T$133=1,Inputs!$C$50,0)</f>
        <v>0</v>
      </c>
      <c r="U197" s="69" t="n">
        <f aca="false">IF(U$133=1,Inputs!$C$50,0)</f>
        <v>0</v>
      </c>
      <c r="V197" s="69" t="n">
        <f aca="false">IF(V$133=1,Inputs!$C$50,0)</f>
        <v>0</v>
      </c>
      <c r="W197" s="69" t="n">
        <f aca="false">IF(W$133=1,Inputs!$C$50,0)</f>
        <v>0</v>
      </c>
      <c r="X197" s="69" t="n">
        <f aca="false">IF(X$133=1,Inputs!$C$50,0)</f>
        <v>0</v>
      </c>
      <c r="Y197" s="69" t="n">
        <f aca="false">IF(Y$133=1,Inputs!$C$50,0)</f>
        <v>0</v>
      </c>
      <c r="Z197" s="69" t="n">
        <f aca="false">IF(Z$133=1,Inputs!$C$50,0)</f>
        <v>0</v>
      </c>
      <c r="AA197" s="69" t="n">
        <f aca="false">IF(AA$133=1,Inputs!$C$50,0)</f>
        <v>0</v>
      </c>
      <c r="AB197" s="69" t="n">
        <f aca="false">IF(AB$133=1,Inputs!$C$50,0)</f>
        <v>0</v>
      </c>
      <c r="AC197" s="69" t="n">
        <f aca="false">IF(AC$133=1,Inputs!$C$50,0)</f>
        <v>0</v>
      </c>
      <c r="AD197" s="69" t="n">
        <f aca="false">IF(AD$133=1,Inputs!$C$50,0)</f>
        <v>0</v>
      </c>
      <c r="AE197" s="69" t="n">
        <f aca="false">IF(AE$133=1,Inputs!$C$50,0)</f>
        <v>0</v>
      </c>
      <c r="AF197" s="69" t="n">
        <f aca="false">IF(AF$133=1,Inputs!$C$50,0)</f>
        <v>0</v>
      </c>
      <c r="AG197" s="69" t="n">
        <f aca="false">IF(AG$133=1,Inputs!$C$50,0)</f>
        <v>0</v>
      </c>
      <c r="AH197" s="69" t="n">
        <f aca="false">IF(AH$133=1,Inputs!$C$50,0)</f>
        <v>0</v>
      </c>
      <c r="AI197" s="69" t="n">
        <f aca="false">IF(AI$133=1,Inputs!$C$50,0)</f>
        <v>0</v>
      </c>
      <c r="AJ197" s="69" t="n">
        <f aca="false">IF(AJ$133=1,Inputs!$C$50,0)</f>
        <v>0</v>
      </c>
      <c r="AK197" s="69" t="n">
        <f aca="false">IF(AK$133=1,Inputs!$C$50,0)</f>
        <v>0</v>
      </c>
      <c r="AL197" s="69" t="n">
        <f aca="false">IF(AL$133=1,Inputs!$C$50,0)</f>
        <v>0</v>
      </c>
      <c r="AM197" s="69" t="n">
        <f aca="false">IF(AM$133=1,Inputs!$C$50,0)</f>
        <v>0</v>
      </c>
      <c r="AN197" s="69" t="n">
        <f aca="false">IF(AN$133=1,Inputs!$C$50,0)</f>
        <v>0</v>
      </c>
      <c r="AO197" s="69" t="n">
        <f aca="false">IF(AO$133=1,Inputs!$C$50,0)</f>
        <v>0</v>
      </c>
      <c r="AP197" s="69" t="n">
        <f aca="false">IF(AP$133=1,Inputs!$C$50,0)</f>
        <v>0</v>
      </c>
      <c r="AQ197" s="69" t="n">
        <f aca="false">IF(AQ$133=1,Inputs!$C$50,0)</f>
        <v>0</v>
      </c>
      <c r="AR197" s="69" t="n">
        <f aca="false">IF(AR$133=1,Inputs!$C$50,0)</f>
        <v>0</v>
      </c>
      <c r="AS197" s="69" t="n">
        <f aca="false">IF(AS$133=1,Inputs!$C$50,0)</f>
        <v>0</v>
      </c>
      <c r="AT197" s="69" t="n">
        <f aca="false">IF(AT$133=1,Inputs!$C$50,0)</f>
        <v>0</v>
      </c>
      <c r="AU197" s="69" t="n">
        <f aca="false">IF(AU$133=1,Inputs!$C$50,0)</f>
        <v>0</v>
      </c>
      <c r="AV197" s="69" t="n">
        <f aca="false">IF(AV$133=1,Inputs!$C$50,0)</f>
        <v>0</v>
      </c>
      <c r="AW197" s="69" t="n">
        <f aca="false">IF(AW$133=1,Inputs!$C$50,0)</f>
        <v>0</v>
      </c>
      <c r="AX197" s="69" t="n">
        <f aca="false">IF(AX$133=1,Inputs!$C$50,0)</f>
        <v>0</v>
      </c>
      <c r="AY197" s="69" t="n">
        <f aca="false">IF(AY$133=1,Inputs!$C$50,0)</f>
        <v>0</v>
      </c>
      <c r="AZ197" s="69" t="n">
        <f aca="false">IF(AZ$133=1,Inputs!$C$50,0)</f>
        <v>0</v>
      </c>
      <c r="BA197" s="69" t="n">
        <f aca="false">IF(BA$133=1,Inputs!$C$50,0)</f>
        <v>0</v>
      </c>
      <c r="BB197" s="69" t="n">
        <f aca="false">IF(BB$133=1,Inputs!$C$50,0)</f>
        <v>0</v>
      </c>
      <c r="BC197" s="69" t="n">
        <f aca="false">IF(BC$133=1,Inputs!$C$50,0)</f>
        <v>0</v>
      </c>
      <c r="BD197" s="69" t="n">
        <f aca="false">IF(BD$133=1,Inputs!$C$50,0)</f>
        <v>0</v>
      </c>
      <c r="BE197" s="69" t="n">
        <f aca="false">IF(BE$133=1,Inputs!$C$50,0)</f>
        <v>0</v>
      </c>
      <c r="BF197" s="69" t="n">
        <f aca="false">IF(BF$133=1,Inputs!$C$50,0)</f>
        <v>0</v>
      </c>
      <c r="BG197" s="69" t="n">
        <f aca="false">IF(BG$133=1,Inputs!$C$50,0)</f>
        <v>0</v>
      </c>
      <c r="BH197" s="69" t="n">
        <f aca="false">IF(BH$133=1,Inputs!$C$50,0)</f>
        <v>0</v>
      </c>
      <c r="BI197" s="69" t="n">
        <f aca="false">IF(BI$133=1,Inputs!$C$50,0)</f>
        <v>0</v>
      </c>
      <c r="BJ197" s="69" t="n">
        <f aca="false">IF(BJ$133=1,Inputs!$C$50,0)</f>
        <v>0</v>
      </c>
    </row>
    <row r="198" customFormat="false" ht="15" hidden="false" customHeight="false" outlineLevel="0" collapsed="false">
      <c r="A198" s="6" t="s">
        <v>448</v>
      </c>
      <c r="C198" s="69" t="n">
        <f aca="false">IF(C$133=1,Inputs!$C$51,0)</f>
        <v>150000</v>
      </c>
      <c r="D198" s="69" t="n">
        <f aca="false">IF(D$133=1,Inputs!$C$51,0)</f>
        <v>0</v>
      </c>
      <c r="E198" s="69" t="n">
        <f aca="false">IF(E$133=1,Inputs!$C$51,0)</f>
        <v>0</v>
      </c>
      <c r="F198" s="69" t="n">
        <f aca="false">IF(F$133=1,Inputs!$C$51,0)</f>
        <v>0</v>
      </c>
      <c r="G198" s="69" t="n">
        <f aca="false">IF(G$133=1,Inputs!$C$51,0)</f>
        <v>0</v>
      </c>
      <c r="H198" s="69" t="n">
        <f aca="false">IF(H$133=1,Inputs!$C$51,0)</f>
        <v>0</v>
      </c>
      <c r="I198" s="69" t="n">
        <f aca="false">IF(I$133=1,Inputs!$C$51,0)</f>
        <v>0</v>
      </c>
      <c r="J198" s="69" t="n">
        <f aca="false">IF(J$133=1,Inputs!$C$51,0)</f>
        <v>0</v>
      </c>
      <c r="K198" s="69" t="n">
        <f aca="false">IF(K$133=1,Inputs!$C$51,0)</f>
        <v>0</v>
      </c>
      <c r="L198" s="69" t="n">
        <f aca="false">IF(L$133=1,Inputs!$C$51,0)</f>
        <v>0</v>
      </c>
      <c r="M198" s="69" t="n">
        <f aca="false">IF(M$133=1,Inputs!$C$51,0)</f>
        <v>0</v>
      </c>
      <c r="N198" s="69" t="n">
        <f aca="false">IF(N$133=1,Inputs!$C$51,0)</f>
        <v>0</v>
      </c>
      <c r="O198" s="69" t="n">
        <f aca="false">IF(O$133=1,Inputs!$C$51,0)</f>
        <v>0</v>
      </c>
      <c r="P198" s="69" t="n">
        <f aca="false">IF(P$133=1,Inputs!$C$51,0)</f>
        <v>0</v>
      </c>
      <c r="Q198" s="69" t="n">
        <f aca="false">IF(Q$133=1,Inputs!$C$51,0)</f>
        <v>0</v>
      </c>
      <c r="R198" s="69" t="n">
        <f aca="false">IF(R$133=1,Inputs!$C$51,0)</f>
        <v>0</v>
      </c>
      <c r="S198" s="69" t="n">
        <f aca="false">IF(S$133=1,Inputs!$C$51,0)</f>
        <v>0</v>
      </c>
      <c r="T198" s="69" t="n">
        <f aca="false">IF(T$133=1,Inputs!$C$51,0)</f>
        <v>0</v>
      </c>
      <c r="U198" s="69" t="n">
        <f aca="false">IF(U$133=1,Inputs!$C$51,0)</f>
        <v>0</v>
      </c>
      <c r="V198" s="69" t="n">
        <f aca="false">IF(V$133=1,Inputs!$C$51,0)</f>
        <v>0</v>
      </c>
      <c r="W198" s="69" t="n">
        <f aca="false">IF(W$133=1,Inputs!$C$51,0)</f>
        <v>0</v>
      </c>
      <c r="X198" s="69" t="n">
        <f aca="false">IF(X$133=1,Inputs!$C$51,0)</f>
        <v>0</v>
      </c>
      <c r="Y198" s="69" t="n">
        <f aca="false">IF(Y$133=1,Inputs!$C$51,0)</f>
        <v>0</v>
      </c>
      <c r="Z198" s="69" t="n">
        <f aca="false">IF(Z$133=1,Inputs!$C$51,0)</f>
        <v>0</v>
      </c>
      <c r="AA198" s="69" t="n">
        <f aca="false">IF(AA$133=1,Inputs!$C$51,0)</f>
        <v>0</v>
      </c>
      <c r="AB198" s="69" t="n">
        <f aca="false">IF(AB$133=1,Inputs!$C$51,0)</f>
        <v>0</v>
      </c>
      <c r="AC198" s="69" t="n">
        <f aca="false">IF(AC$133=1,Inputs!$C$51,0)</f>
        <v>0</v>
      </c>
      <c r="AD198" s="69" t="n">
        <f aca="false">IF(AD$133=1,Inputs!$C$51,0)</f>
        <v>0</v>
      </c>
      <c r="AE198" s="69" t="n">
        <f aca="false">IF(AE$133=1,Inputs!$C$51,0)</f>
        <v>0</v>
      </c>
      <c r="AF198" s="69" t="n">
        <f aca="false">IF(AF$133=1,Inputs!$C$51,0)</f>
        <v>0</v>
      </c>
      <c r="AG198" s="69" t="n">
        <f aca="false">IF(AG$133=1,Inputs!$C$51,0)</f>
        <v>0</v>
      </c>
      <c r="AH198" s="69" t="n">
        <f aca="false">IF(AH$133=1,Inputs!$C$51,0)</f>
        <v>0</v>
      </c>
      <c r="AI198" s="69" t="n">
        <f aca="false">IF(AI$133=1,Inputs!$C$51,0)</f>
        <v>0</v>
      </c>
      <c r="AJ198" s="69" t="n">
        <f aca="false">IF(AJ$133=1,Inputs!$C$51,0)</f>
        <v>0</v>
      </c>
      <c r="AK198" s="69" t="n">
        <f aca="false">IF(AK$133=1,Inputs!$C$51,0)</f>
        <v>0</v>
      </c>
      <c r="AL198" s="69" t="n">
        <f aca="false">IF(AL$133=1,Inputs!$C$51,0)</f>
        <v>0</v>
      </c>
      <c r="AM198" s="69" t="n">
        <f aca="false">IF(AM$133=1,Inputs!$C$51,0)</f>
        <v>0</v>
      </c>
      <c r="AN198" s="69" t="n">
        <f aca="false">IF(AN$133=1,Inputs!$C$51,0)</f>
        <v>0</v>
      </c>
      <c r="AO198" s="69" t="n">
        <f aca="false">IF(AO$133=1,Inputs!$C$51,0)</f>
        <v>0</v>
      </c>
      <c r="AP198" s="69" t="n">
        <f aca="false">IF(AP$133=1,Inputs!$C$51,0)</f>
        <v>0</v>
      </c>
      <c r="AQ198" s="69" t="n">
        <f aca="false">IF(AQ$133=1,Inputs!$C$51,0)</f>
        <v>0</v>
      </c>
      <c r="AR198" s="69" t="n">
        <f aca="false">IF(AR$133=1,Inputs!$C$51,0)</f>
        <v>0</v>
      </c>
      <c r="AS198" s="69" t="n">
        <f aca="false">IF(AS$133=1,Inputs!$C$51,0)</f>
        <v>0</v>
      </c>
      <c r="AT198" s="69" t="n">
        <f aca="false">IF(AT$133=1,Inputs!$C$51,0)</f>
        <v>0</v>
      </c>
      <c r="AU198" s="69" t="n">
        <f aca="false">IF(AU$133=1,Inputs!$C$51,0)</f>
        <v>0</v>
      </c>
      <c r="AV198" s="69" t="n">
        <f aca="false">IF(AV$133=1,Inputs!$C$51,0)</f>
        <v>0</v>
      </c>
      <c r="AW198" s="69" t="n">
        <f aca="false">IF(AW$133=1,Inputs!$C$51,0)</f>
        <v>0</v>
      </c>
      <c r="AX198" s="69" t="n">
        <f aca="false">IF(AX$133=1,Inputs!$C$51,0)</f>
        <v>0</v>
      </c>
      <c r="AY198" s="69" t="n">
        <f aca="false">IF(AY$133=1,Inputs!$C$51,0)</f>
        <v>0</v>
      </c>
      <c r="AZ198" s="69" t="n">
        <f aca="false">IF(AZ$133=1,Inputs!$C$51,0)</f>
        <v>0</v>
      </c>
      <c r="BA198" s="69" t="n">
        <f aca="false">IF(BA$133=1,Inputs!$C$51,0)</f>
        <v>0</v>
      </c>
      <c r="BB198" s="69" t="n">
        <f aca="false">IF(BB$133=1,Inputs!$C$51,0)</f>
        <v>0</v>
      </c>
      <c r="BC198" s="69" t="n">
        <f aca="false">IF(BC$133=1,Inputs!$C$51,0)</f>
        <v>0</v>
      </c>
      <c r="BD198" s="69" t="n">
        <f aca="false">IF(BD$133=1,Inputs!$C$51,0)</f>
        <v>0</v>
      </c>
      <c r="BE198" s="69" t="n">
        <f aca="false">IF(BE$133=1,Inputs!$C$51,0)</f>
        <v>0</v>
      </c>
      <c r="BF198" s="69" t="n">
        <f aca="false">IF(BF$133=1,Inputs!$C$51,0)</f>
        <v>0</v>
      </c>
      <c r="BG198" s="69" t="n">
        <f aca="false">IF(BG$133=1,Inputs!$C$51,0)</f>
        <v>0</v>
      </c>
      <c r="BH198" s="69" t="n">
        <f aca="false">IF(BH$133=1,Inputs!$C$51,0)</f>
        <v>0</v>
      </c>
      <c r="BI198" s="69" t="n">
        <f aca="false">IF(BI$133=1,Inputs!$C$51,0)</f>
        <v>0</v>
      </c>
      <c r="BJ198" s="69" t="n">
        <f aca="false">IF(BJ$133=1,Inputs!$C$51,0)</f>
        <v>0</v>
      </c>
    </row>
    <row r="199" customFormat="false" ht="15" hidden="false" customHeight="false" outlineLevel="0" collapsed="false">
      <c r="A199" s="6" t="s">
        <v>449</v>
      </c>
      <c r="C199" s="69" t="n">
        <f aca="false">IF(AND(C$134&gt;1,MOD(C$133-1,12)=0),Inputs!$C$52,0)</f>
        <v>0</v>
      </c>
      <c r="D199" s="69" t="n">
        <f aca="false">IF(AND(D$134&gt;1,MOD(D$133-1,12)=0),Inputs!$C$52,0)</f>
        <v>0</v>
      </c>
      <c r="E199" s="69" t="n">
        <f aca="false">IF(AND(E$134&gt;1,MOD(E$133-1,12)=0),Inputs!$C$52,0)</f>
        <v>0</v>
      </c>
      <c r="F199" s="69" t="n">
        <f aca="false">IF(AND(F$134&gt;1,MOD(F$133-1,12)=0),Inputs!$C$52,0)</f>
        <v>0</v>
      </c>
      <c r="G199" s="69" t="n">
        <f aca="false">IF(AND(G$134&gt;1,MOD(G$133-1,12)=0),Inputs!$C$52,0)</f>
        <v>0</v>
      </c>
      <c r="H199" s="69" t="n">
        <f aca="false">IF(AND(H$134&gt;1,MOD(H$133-1,12)=0),Inputs!$C$52,0)</f>
        <v>0</v>
      </c>
      <c r="I199" s="69" t="n">
        <f aca="false">IF(AND(I$134&gt;1,MOD(I$133-1,12)=0),Inputs!$C$52,0)</f>
        <v>0</v>
      </c>
      <c r="J199" s="69" t="n">
        <f aca="false">IF(AND(J$134&gt;1,MOD(J$133-1,12)=0),Inputs!$C$52,0)</f>
        <v>0</v>
      </c>
      <c r="K199" s="69" t="n">
        <f aca="false">IF(AND(K$134&gt;1,MOD(K$133-1,12)=0),Inputs!$C$52,0)</f>
        <v>0</v>
      </c>
      <c r="L199" s="69" t="n">
        <f aca="false">IF(AND(L$134&gt;1,MOD(L$133-1,12)=0),Inputs!$C$52,0)</f>
        <v>0</v>
      </c>
      <c r="M199" s="69" t="n">
        <f aca="false">IF(AND(M$134&gt;1,MOD(M$133-1,12)=0),Inputs!$C$52,0)</f>
        <v>0</v>
      </c>
      <c r="N199" s="69" t="n">
        <f aca="false">IF(AND(N$134&gt;1,MOD(N$133-1,12)=0),Inputs!$C$52,0)</f>
        <v>0</v>
      </c>
      <c r="O199" s="69" t="n">
        <f aca="false">IF(AND(O$134&gt;1,MOD(O$133-1,12)=0),Inputs!$C$52,0)</f>
        <v>40000</v>
      </c>
      <c r="P199" s="69" t="n">
        <f aca="false">IF(AND(P$134&gt;1,MOD(P$133-1,12)=0),Inputs!$C$52,0)</f>
        <v>0</v>
      </c>
      <c r="Q199" s="69" t="n">
        <f aca="false">IF(AND(Q$134&gt;1,MOD(Q$133-1,12)=0),Inputs!$C$52,0)</f>
        <v>0</v>
      </c>
      <c r="R199" s="69" t="n">
        <f aca="false">IF(AND(R$134&gt;1,MOD(R$133-1,12)=0),Inputs!$C$52,0)</f>
        <v>0</v>
      </c>
      <c r="S199" s="69" t="n">
        <f aca="false">IF(AND(S$134&gt;1,MOD(S$133-1,12)=0),Inputs!$C$52,0)</f>
        <v>0</v>
      </c>
      <c r="T199" s="69" t="n">
        <f aca="false">IF(AND(T$134&gt;1,MOD(T$133-1,12)=0),Inputs!$C$52,0)</f>
        <v>0</v>
      </c>
      <c r="U199" s="69" t="n">
        <f aca="false">IF(AND(U$134&gt;1,MOD(U$133-1,12)=0),Inputs!$C$52,0)</f>
        <v>0</v>
      </c>
      <c r="V199" s="69" t="n">
        <f aca="false">IF(AND(V$134&gt;1,MOD(V$133-1,12)=0),Inputs!$C$52,0)</f>
        <v>0</v>
      </c>
      <c r="W199" s="69" t="n">
        <f aca="false">IF(AND(W$134&gt;1,MOD(W$133-1,12)=0),Inputs!$C$52,0)</f>
        <v>0</v>
      </c>
      <c r="X199" s="69" t="n">
        <f aca="false">IF(AND(X$134&gt;1,MOD(X$133-1,12)=0),Inputs!$C$52,0)</f>
        <v>0</v>
      </c>
      <c r="Y199" s="69" t="n">
        <f aca="false">IF(AND(Y$134&gt;1,MOD(Y$133-1,12)=0),Inputs!$C$52,0)</f>
        <v>0</v>
      </c>
      <c r="Z199" s="69" t="n">
        <f aca="false">IF(AND(Z$134&gt;1,MOD(Z$133-1,12)=0),Inputs!$C$52,0)</f>
        <v>0</v>
      </c>
      <c r="AA199" s="69" t="n">
        <f aca="false">IF(AND(AA$134&gt;1,MOD(AA$133-1,12)=0),Inputs!$C$52,0)</f>
        <v>40000</v>
      </c>
      <c r="AB199" s="69" t="n">
        <f aca="false">IF(AND(AB$134&gt;1,MOD(AB$133-1,12)=0),Inputs!$C$52,0)</f>
        <v>0</v>
      </c>
      <c r="AC199" s="69" t="n">
        <f aca="false">IF(AND(AC$134&gt;1,MOD(AC$133-1,12)=0),Inputs!$C$52,0)</f>
        <v>0</v>
      </c>
      <c r="AD199" s="69" t="n">
        <f aca="false">IF(AND(AD$134&gt;1,MOD(AD$133-1,12)=0),Inputs!$C$52,0)</f>
        <v>0</v>
      </c>
      <c r="AE199" s="69" t="n">
        <f aca="false">IF(AND(AE$134&gt;1,MOD(AE$133-1,12)=0),Inputs!$C$52,0)</f>
        <v>0</v>
      </c>
      <c r="AF199" s="69" t="n">
        <f aca="false">IF(AND(AF$134&gt;1,MOD(AF$133-1,12)=0),Inputs!$C$52,0)</f>
        <v>0</v>
      </c>
      <c r="AG199" s="69" t="n">
        <f aca="false">IF(AND(AG$134&gt;1,MOD(AG$133-1,12)=0),Inputs!$C$52,0)</f>
        <v>0</v>
      </c>
      <c r="AH199" s="69" t="n">
        <f aca="false">IF(AND(AH$134&gt;1,MOD(AH$133-1,12)=0),Inputs!$C$52,0)</f>
        <v>0</v>
      </c>
      <c r="AI199" s="69" t="n">
        <f aca="false">IF(AND(AI$134&gt;1,MOD(AI$133-1,12)=0),Inputs!$C$52,0)</f>
        <v>0</v>
      </c>
      <c r="AJ199" s="69" t="n">
        <f aca="false">IF(AND(AJ$134&gt;1,MOD(AJ$133-1,12)=0),Inputs!$C$52,0)</f>
        <v>0</v>
      </c>
      <c r="AK199" s="69" t="n">
        <f aca="false">IF(AND(AK$134&gt;1,MOD(AK$133-1,12)=0),Inputs!$C$52,0)</f>
        <v>0</v>
      </c>
      <c r="AL199" s="69" t="n">
        <f aca="false">IF(AND(AL$134&gt;1,MOD(AL$133-1,12)=0),Inputs!$C$52,0)</f>
        <v>0</v>
      </c>
      <c r="AM199" s="69" t="n">
        <f aca="false">IF(AND(AM$134&gt;1,MOD(AM$133-1,12)=0),Inputs!$C$52,0)</f>
        <v>40000</v>
      </c>
      <c r="AN199" s="69" t="n">
        <f aca="false">IF(AND(AN$134&gt;1,MOD(AN$133-1,12)=0),Inputs!$C$52,0)</f>
        <v>0</v>
      </c>
      <c r="AO199" s="69" t="n">
        <f aca="false">IF(AND(AO$134&gt;1,MOD(AO$133-1,12)=0),Inputs!$C$52,0)</f>
        <v>0</v>
      </c>
      <c r="AP199" s="69" t="n">
        <f aca="false">IF(AND(AP$134&gt;1,MOD(AP$133-1,12)=0),Inputs!$C$52,0)</f>
        <v>0</v>
      </c>
      <c r="AQ199" s="69" t="n">
        <f aca="false">IF(AND(AQ$134&gt;1,MOD(AQ$133-1,12)=0),Inputs!$C$52,0)</f>
        <v>0</v>
      </c>
      <c r="AR199" s="69" t="n">
        <f aca="false">IF(AND(AR$134&gt;1,MOD(AR$133-1,12)=0),Inputs!$C$52,0)</f>
        <v>0</v>
      </c>
      <c r="AS199" s="69" t="n">
        <f aca="false">IF(AND(AS$134&gt;1,MOD(AS$133-1,12)=0),Inputs!$C$52,0)</f>
        <v>0</v>
      </c>
      <c r="AT199" s="69" t="n">
        <f aca="false">IF(AND(AT$134&gt;1,MOD(AT$133-1,12)=0),Inputs!$C$52,0)</f>
        <v>0</v>
      </c>
      <c r="AU199" s="69" t="n">
        <f aca="false">IF(AND(AU$134&gt;1,MOD(AU$133-1,12)=0),Inputs!$C$52,0)</f>
        <v>0</v>
      </c>
      <c r="AV199" s="69" t="n">
        <f aca="false">IF(AND(AV$134&gt;1,MOD(AV$133-1,12)=0),Inputs!$C$52,0)</f>
        <v>0</v>
      </c>
      <c r="AW199" s="69" t="n">
        <f aca="false">IF(AND(AW$134&gt;1,MOD(AW$133-1,12)=0),Inputs!$C$52,0)</f>
        <v>0</v>
      </c>
      <c r="AX199" s="69" t="n">
        <f aca="false">IF(AND(AX$134&gt;1,MOD(AX$133-1,12)=0),Inputs!$C$52,0)</f>
        <v>0</v>
      </c>
      <c r="AY199" s="69" t="n">
        <f aca="false">IF(AND(AY$134&gt;1,MOD(AY$133-1,12)=0),Inputs!$C$52,0)</f>
        <v>40000</v>
      </c>
      <c r="AZ199" s="69" t="n">
        <f aca="false">IF(AND(AZ$134&gt;1,MOD(AZ$133-1,12)=0),Inputs!$C$52,0)</f>
        <v>0</v>
      </c>
      <c r="BA199" s="69" t="n">
        <f aca="false">IF(AND(BA$134&gt;1,MOD(BA$133-1,12)=0),Inputs!$C$52,0)</f>
        <v>0</v>
      </c>
      <c r="BB199" s="69" t="n">
        <f aca="false">IF(AND(BB$134&gt;1,MOD(BB$133-1,12)=0),Inputs!$C$52,0)</f>
        <v>0</v>
      </c>
      <c r="BC199" s="69" t="n">
        <f aca="false">IF(AND(BC$134&gt;1,MOD(BC$133-1,12)=0),Inputs!$C$52,0)</f>
        <v>0</v>
      </c>
      <c r="BD199" s="69" t="n">
        <f aca="false">IF(AND(BD$134&gt;1,MOD(BD$133-1,12)=0),Inputs!$C$52,0)</f>
        <v>0</v>
      </c>
      <c r="BE199" s="69" t="n">
        <f aca="false">IF(AND(BE$134&gt;1,MOD(BE$133-1,12)=0),Inputs!$C$52,0)</f>
        <v>0</v>
      </c>
      <c r="BF199" s="69" t="n">
        <f aca="false">IF(AND(BF$134&gt;1,MOD(BF$133-1,12)=0),Inputs!$C$52,0)</f>
        <v>0</v>
      </c>
      <c r="BG199" s="69" t="n">
        <f aca="false">IF(AND(BG$134&gt;1,MOD(BG$133-1,12)=0),Inputs!$C$52,0)</f>
        <v>0</v>
      </c>
      <c r="BH199" s="69" t="n">
        <f aca="false">IF(AND(BH$134&gt;1,MOD(BH$133-1,12)=0),Inputs!$C$52,0)</f>
        <v>0</v>
      </c>
      <c r="BI199" s="69" t="n">
        <f aca="false">IF(AND(BI$134&gt;1,MOD(BI$133-1,12)=0),Inputs!$C$52,0)</f>
        <v>0</v>
      </c>
      <c r="BJ199" s="69" t="n">
        <f aca="false">IF(AND(BJ$134&gt;1,MOD(BJ$133-1,12)=0),Inputs!$C$52,0)</f>
        <v>0</v>
      </c>
    </row>
    <row r="200" customFormat="false" ht="15" hidden="false" customHeight="false" outlineLevel="0" collapsed="false">
      <c r="A200" s="4" t="s">
        <v>84</v>
      </c>
      <c r="C200" s="75" t="n">
        <f aca="false">C196+C197+C198+C199</f>
        <v>4100000</v>
      </c>
      <c r="D200" s="75" t="n">
        <f aca="false">D196+D197+D198+D199</f>
        <v>0</v>
      </c>
      <c r="E200" s="75" t="n">
        <f aca="false">E196+E197+E198+E199</f>
        <v>0</v>
      </c>
      <c r="F200" s="75" t="n">
        <f aca="false">F196+F197+F198+F199</f>
        <v>0</v>
      </c>
      <c r="G200" s="75" t="n">
        <f aca="false">G196+G197+G198+G199</f>
        <v>0</v>
      </c>
      <c r="H200" s="75" t="n">
        <f aca="false">H196+H197+H198+H199</f>
        <v>0</v>
      </c>
      <c r="I200" s="75" t="n">
        <f aca="false">I196+I197+I198+I199</f>
        <v>0</v>
      </c>
      <c r="J200" s="75" t="n">
        <f aca="false">J196+J197+J198+J199</f>
        <v>0</v>
      </c>
      <c r="K200" s="75" t="n">
        <f aca="false">K196+K197+K198+K199</f>
        <v>0</v>
      </c>
      <c r="L200" s="75" t="n">
        <f aca="false">L196+L197+L198+L199</f>
        <v>0</v>
      </c>
      <c r="M200" s="75" t="n">
        <f aca="false">M196+M197+M198+M199</f>
        <v>0</v>
      </c>
      <c r="N200" s="75" t="n">
        <f aca="false">N196+N197+N198+N199</f>
        <v>0</v>
      </c>
      <c r="O200" s="75" t="n">
        <f aca="false">O196+O197+O198+O199</f>
        <v>40000</v>
      </c>
      <c r="P200" s="75" t="n">
        <f aca="false">P196+P197+P198+P199</f>
        <v>0</v>
      </c>
      <c r="Q200" s="75" t="n">
        <f aca="false">Q196+Q197+Q198+Q199</f>
        <v>0</v>
      </c>
      <c r="R200" s="75" t="n">
        <f aca="false">R196+R197+R198+R199</f>
        <v>0</v>
      </c>
      <c r="S200" s="75" t="n">
        <f aca="false">S196+S197+S198+S199</f>
        <v>0</v>
      </c>
      <c r="T200" s="75" t="n">
        <f aca="false">T196+T197+T198+T199</f>
        <v>0</v>
      </c>
      <c r="U200" s="75" t="n">
        <f aca="false">U196+U197+U198+U199</f>
        <v>0</v>
      </c>
      <c r="V200" s="75" t="n">
        <f aca="false">V196+V197+V198+V199</f>
        <v>0</v>
      </c>
      <c r="W200" s="75" t="n">
        <f aca="false">W196+W197+W198+W199</f>
        <v>0</v>
      </c>
      <c r="X200" s="75" t="n">
        <f aca="false">X196+X197+X198+X199</f>
        <v>0</v>
      </c>
      <c r="Y200" s="75" t="n">
        <f aca="false">Y196+Y197+Y198+Y199</f>
        <v>0</v>
      </c>
      <c r="Z200" s="75" t="n">
        <f aca="false">Z196+Z197+Z198+Z199</f>
        <v>0</v>
      </c>
      <c r="AA200" s="75" t="n">
        <f aca="false">AA196+AA197+AA198+AA199</f>
        <v>40000</v>
      </c>
      <c r="AB200" s="75" t="n">
        <f aca="false">AB196+AB197+AB198+AB199</f>
        <v>0</v>
      </c>
      <c r="AC200" s="75" t="n">
        <f aca="false">AC196+AC197+AC198+AC199</f>
        <v>0</v>
      </c>
      <c r="AD200" s="75" t="n">
        <f aca="false">AD196+AD197+AD198+AD199</f>
        <v>0</v>
      </c>
      <c r="AE200" s="75" t="n">
        <f aca="false">AE196+AE197+AE198+AE199</f>
        <v>0</v>
      </c>
      <c r="AF200" s="75" t="n">
        <f aca="false">AF196+AF197+AF198+AF199</f>
        <v>0</v>
      </c>
      <c r="AG200" s="75" t="n">
        <f aca="false">AG196+AG197+AG198+AG199</f>
        <v>0</v>
      </c>
      <c r="AH200" s="75" t="n">
        <f aca="false">AH196+AH197+AH198+AH199</f>
        <v>0</v>
      </c>
      <c r="AI200" s="75" t="n">
        <f aca="false">AI196+AI197+AI198+AI199</f>
        <v>0</v>
      </c>
      <c r="AJ200" s="75" t="n">
        <f aca="false">AJ196+AJ197+AJ198+AJ199</f>
        <v>0</v>
      </c>
      <c r="AK200" s="75" t="n">
        <f aca="false">AK196+AK197+AK198+AK199</f>
        <v>0</v>
      </c>
      <c r="AL200" s="75" t="n">
        <f aca="false">AL196+AL197+AL198+AL199</f>
        <v>0</v>
      </c>
      <c r="AM200" s="75" t="n">
        <f aca="false">AM196+AM197+AM198+AM199</f>
        <v>40000</v>
      </c>
      <c r="AN200" s="75" t="n">
        <f aca="false">AN196+AN197+AN198+AN199</f>
        <v>0</v>
      </c>
      <c r="AO200" s="75" t="n">
        <f aca="false">AO196+AO197+AO198+AO199</f>
        <v>0</v>
      </c>
      <c r="AP200" s="75" t="n">
        <f aca="false">AP196+AP197+AP198+AP199</f>
        <v>0</v>
      </c>
      <c r="AQ200" s="75" t="n">
        <f aca="false">AQ196+AQ197+AQ198+AQ199</f>
        <v>0</v>
      </c>
      <c r="AR200" s="75" t="n">
        <f aca="false">AR196+AR197+AR198+AR199</f>
        <v>0</v>
      </c>
      <c r="AS200" s="75" t="n">
        <f aca="false">AS196+AS197+AS198+AS199</f>
        <v>0</v>
      </c>
      <c r="AT200" s="75" t="n">
        <f aca="false">AT196+AT197+AT198+AT199</f>
        <v>0</v>
      </c>
      <c r="AU200" s="75" t="n">
        <f aca="false">AU196+AU197+AU198+AU199</f>
        <v>0</v>
      </c>
      <c r="AV200" s="75" t="n">
        <f aca="false">AV196+AV197+AV198+AV199</f>
        <v>0</v>
      </c>
      <c r="AW200" s="75" t="n">
        <f aca="false">AW196+AW197+AW198+AW199</f>
        <v>0</v>
      </c>
      <c r="AX200" s="75" t="n">
        <f aca="false">AX196+AX197+AX198+AX199</f>
        <v>0</v>
      </c>
      <c r="AY200" s="75" t="n">
        <f aca="false">AY196+AY197+AY198+AY199</f>
        <v>40000</v>
      </c>
      <c r="AZ200" s="75" t="n">
        <f aca="false">AZ196+AZ197+AZ198+AZ199</f>
        <v>0</v>
      </c>
      <c r="BA200" s="75" t="n">
        <f aca="false">BA196+BA197+BA198+BA199</f>
        <v>0</v>
      </c>
      <c r="BB200" s="75" t="n">
        <f aca="false">BB196+BB197+BB198+BB199</f>
        <v>0</v>
      </c>
      <c r="BC200" s="75" t="n">
        <f aca="false">BC196+BC197+BC198+BC199</f>
        <v>0</v>
      </c>
      <c r="BD200" s="75" t="n">
        <f aca="false">BD196+BD197+BD198+BD199</f>
        <v>0</v>
      </c>
      <c r="BE200" s="75" t="n">
        <f aca="false">BE196+BE197+BE198+BE199</f>
        <v>0</v>
      </c>
      <c r="BF200" s="75" t="n">
        <f aca="false">BF196+BF197+BF198+BF199</f>
        <v>0</v>
      </c>
      <c r="BG200" s="75" t="n">
        <f aca="false">BG196+BG197+BG198+BG199</f>
        <v>0</v>
      </c>
      <c r="BH200" s="75" t="n">
        <f aca="false">BH196+BH197+BH198+BH199</f>
        <v>0</v>
      </c>
      <c r="BI200" s="75" t="n">
        <f aca="false">BI196+BI197+BI198+BI199</f>
        <v>0</v>
      </c>
      <c r="BJ200" s="75" t="n">
        <f aca="false">BJ196+BJ197+BJ198+BJ199</f>
        <v>0</v>
      </c>
    </row>
    <row r="201" customFormat="false" ht="15" hidden="false" customHeight="false" outlineLevel="0" collapsed="false">
      <c r="A201" s="6" t="s">
        <v>450</v>
      </c>
      <c r="C201" s="69" t="n">
        <f aca="false">C200</f>
        <v>4100000</v>
      </c>
      <c r="D201" s="69" t="n">
        <f aca="false">C201+D200</f>
        <v>4100000</v>
      </c>
      <c r="E201" s="69" t="n">
        <f aca="false">D201+E200</f>
        <v>4100000</v>
      </c>
      <c r="F201" s="69" t="n">
        <f aca="false">E201+F200</f>
        <v>4100000</v>
      </c>
      <c r="G201" s="69" t="n">
        <f aca="false">F201+G200</f>
        <v>4100000</v>
      </c>
      <c r="H201" s="69" t="n">
        <f aca="false">G201+H200</f>
        <v>4100000</v>
      </c>
      <c r="I201" s="69" t="n">
        <f aca="false">H201+I200</f>
        <v>4100000</v>
      </c>
      <c r="J201" s="69" t="n">
        <f aca="false">I201+J200</f>
        <v>4100000</v>
      </c>
      <c r="K201" s="69" t="n">
        <f aca="false">J201+K200</f>
        <v>4100000</v>
      </c>
      <c r="L201" s="69" t="n">
        <f aca="false">K201+L200</f>
        <v>4100000</v>
      </c>
      <c r="M201" s="69" t="n">
        <f aca="false">L201+M200</f>
        <v>4100000</v>
      </c>
      <c r="N201" s="69" t="n">
        <f aca="false">M201+N200</f>
        <v>4100000</v>
      </c>
      <c r="O201" s="69" t="n">
        <f aca="false">N201+O200</f>
        <v>4140000</v>
      </c>
      <c r="P201" s="69" t="n">
        <f aca="false">O201+P200</f>
        <v>4140000</v>
      </c>
      <c r="Q201" s="69" t="n">
        <f aca="false">P201+Q200</f>
        <v>4140000</v>
      </c>
      <c r="R201" s="69" t="n">
        <f aca="false">Q201+R200</f>
        <v>4140000</v>
      </c>
      <c r="S201" s="69" t="n">
        <f aca="false">R201+S200</f>
        <v>4140000</v>
      </c>
      <c r="T201" s="69" t="n">
        <f aca="false">S201+T200</f>
        <v>4140000</v>
      </c>
      <c r="U201" s="69" t="n">
        <f aca="false">T201+U200</f>
        <v>4140000</v>
      </c>
      <c r="V201" s="69" t="n">
        <f aca="false">U201+V200</f>
        <v>4140000</v>
      </c>
      <c r="W201" s="69" t="n">
        <f aca="false">V201+W200</f>
        <v>4140000</v>
      </c>
      <c r="X201" s="69" t="n">
        <f aca="false">W201+X200</f>
        <v>4140000</v>
      </c>
      <c r="Y201" s="69" t="n">
        <f aca="false">X201+Y200</f>
        <v>4140000</v>
      </c>
      <c r="Z201" s="69" t="n">
        <f aca="false">Y201+Z200</f>
        <v>4140000</v>
      </c>
      <c r="AA201" s="69" t="n">
        <f aca="false">Z201+AA200</f>
        <v>4180000</v>
      </c>
      <c r="AB201" s="69" t="n">
        <f aca="false">AA201+AB200</f>
        <v>4180000</v>
      </c>
      <c r="AC201" s="69" t="n">
        <f aca="false">AB201+AC200</f>
        <v>4180000</v>
      </c>
      <c r="AD201" s="69" t="n">
        <f aca="false">AC201+AD200</f>
        <v>4180000</v>
      </c>
      <c r="AE201" s="69" t="n">
        <f aca="false">AD201+AE200</f>
        <v>4180000</v>
      </c>
      <c r="AF201" s="69" t="n">
        <f aca="false">AE201+AF200</f>
        <v>4180000</v>
      </c>
      <c r="AG201" s="69" t="n">
        <f aca="false">AF201+AG200</f>
        <v>4180000</v>
      </c>
      <c r="AH201" s="69" t="n">
        <f aca="false">AG201+AH200</f>
        <v>4180000</v>
      </c>
      <c r="AI201" s="69" t="n">
        <f aca="false">AH201+AI200</f>
        <v>4180000</v>
      </c>
      <c r="AJ201" s="69" t="n">
        <f aca="false">AI201+AJ200</f>
        <v>4180000</v>
      </c>
      <c r="AK201" s="69" t="n">
        <f aca="false">AJ201+AK200</f>
        <v>4180000</v>
      </c>
      <c r="AL201" s="69" t="n">
        <f aca="false">AK201+AL200</f>
        <v>4180000</v>
      </c>
      <c r="AM201" s="69" t="n">
        <f aca="false">AL201+AM200</f>
        <v>4220000</v>
      </c>
      <c r="AN201" s="69" t="n">
        <f aca="false">AM201+AN200</f>
        <v>4220000</v>
      </c>
      <c r="AO201" s="69" t="n">
        <f aca="false">AN201+AO200</f>
        <v>4220000</v>
      </c>
      <c r="AP201" s="69" t="n">
        <f aca="false">AO201+AP200</f>
        <v>4220000</v>
      </c>
      <c r="AQ201" s="69" t="n">
        <f aca="false">AP201+AQ200</f>
        <v>4220000</v>
      </c>
      <c r="AR201" s="69" t="n">
        <f aca="false">AQ201+AR200</f>
        <v>4220000</v>
      </c>
      <c r="AS201" s="69" t="n">
        <f aca="false">AR201+AS200</f>
        <v>4220000</v>
      </c>
      <c r="AT201" s="69" t="n">
        <f aca="false">AS201+AT200</f>
        <v>4220000</v>
      </c>
      <c r="AU201" s="69" t="n">
        <f aca="false">AT201+AU200</f>
        <v>4220000</v>
      </c>
      <c r="AV201" s="69" t="n">
        <f aca="false">AU201+AV200</f>
        <v>4220000</v>
      </c>
      <c r="AW201" s="69" t="n">
        <f aca="false">AV201+AW200</f>
        <v>4220000</v>
      </c>
      <c r="AX201" s="69" t="n">
        <f aca="false">AW201+AX200</f>
        <v>4220000</v>
      </c>
      <c r="AY201" s="69" t="n">
        <f aca="false">AX201+AY200</f>
        <v>4260000</v>
      </c>
      <c r="AZ201" s="69" t="n">
        <f aca="false">AY201+AZ200</f>
        <v>4260000</v>
      </c>
      <c r="BA201" s="69" t="n">
        <f aca="false">AZ201+BA200</f>
        <v>4260000</v>
      </c>
      <c r="BB201" s="69" t="n">
        <f aca="false">BA201+BB200</f>
        <v>4260000</v>
      </c>
      <c r="BC201" s="69" t="n">
        <f aca="false">BB201+BC200</f>
        <v>4260000</v>
      </c>
      <c r="BD201" s="69" t="n">
        <f aca="false">BC201+BD200</f>
        <v>4260000</v>
      </c>
      <c r="BE201" s="69" t="n">
        <f aca="false">BD201+BE200</f>
        <v>4260000</v>
      </c>
      <c r="BF201" s="69" t="n">
        <f aca="false">BE201+BF200</f>
        <v>4260000</v>
      </c>
      <c r="BG201" s="69" t="n">
        <f aca="false">BF201+BG200</f>
        <v>4260000</v>
      </c>
      <c r="BH201" s="69" t="n">
        <f aca="false">BG201+BH200</f>
        <v>4260000</v>
      </c>
      <c r="BI201" s="69" t="n">
        <f aca="false">BH201+BI200</f>
        <v>4260000</v>
      </c>
      <c r="BJ201" s="69" t="n">
        <f aca="false">BI201+BJ200</f>
        <v>4260000</v>
      </c>
    </row>
    <row r="202" customFormat="false" ht="15" hidden="false" customHeight="false" outlineLevel="0" collapsed="false">
      <c r="A202" s="6" t="s">
        <v>78</v>
      </c>
      <c r="C202" s="69" t="n">
        <f aca="false">-MIN(C201/MAX(1,Inputs!$C$78*12),C200)</f>
        <v>-28472.2222222222</v>
      </c>
      <c r="D202" s="69" t="n">
        <f aca="false">-MIN(D201/MAX(1,Inputs!$C$78*12),C204+D200)</f>
        <v>-28472.2222222222</v>
      </c>
      <c r="E202" s="69" t="n">
        <f aca="false">-MIN(E201/MAX(1,Inputs!$C$78*12),D204+E200)</f>
        <v>-28472.2222222222</v>
      </c>
      <c r="F202" s="69" t="n">
        <f aca="false">-MIN(F201/MAX(1,Inputs!$C$78*12),E204+F200)</f>
        <v>-28472.2222222222</v>
      </c>
      <c r="G202" s="69" t="n">
        <f aca="false">-MIN(G201/MAX(1,Inputs!$C$78*12),F204+G200)</f>
        <v>-28472.2222222222</v>
      </c>
      <c r="H202" s="69" t="n">
        <f aca="false">-MIN(H201/MAX(1,Inputs!$C$78*12),G204+H200)</f>
        <v>-28472.2222222222</v>
      </c>
      <c r="I202" s="69" t="n">
        <f aca="false">-MIN(I201/MAX(1,Inputs!$C$78*12),H204+I200)</f>
        <v>-28472.2222222222</v>
      </c>
      <c r="J202" s="69" t="n">
        <f aca="false">-MIN(J201/MAX(1,Inputs!$C$78*12),I204+J200)</f>
        <v>-28472.2222222222</v>
      </c>
      <c r="K202" s="69" t="n">
        <f aca="false">-MIN(K201/MAX(1,Inputs!$C$78*12),J204+K200)</f>
        <v>-28472.2222222222</v>
      </c>
      <c r="L202" s="69" t="n">
        <f aca="false">-MIN(L201/MAX(1,Inputs!$C$78*12),K204+L200)</f>
        <v>-28472.2222222222</v>
      </c>
      <c r="M202" s="69" t="n">
        <f aca="false">-MIN(M201/MAX(1,Inputs!$C$78*12),L204+M200)</f>
        <v>-28472.2222222222</v>
      </c>
      <c r="N202" s="69" t="n">
        <f aca="false">-MIN(N201/MAX(1,Inputs!$C$78*12),M204+N200)</f>
        <v>-28472.2222222222</v>
      </c>
      <c r="O202" s="69" t="n">
        <f aca="false">-MIN(O201/MAX(1,Inputs!$C$78*12),N204+O200)</f>
        <v>-28750</v>
      </c>
      <c r="P202" s="69" t="n">
        <f aca="false">-MIN(P201/MAX(1,Inputs!$C$78*12),O204+P200)</f>
        <v>-28750</v>
      </c>
      <c r="Q202" s="69" t="n">
        <f aca="false">-MIN(Q201/MAX(1,Inputs!$C$78*12),P204+Q200)</f>
        <v>-28750</v>
      </c>
      <c r="R202" s="69" t="n">
        <f aca="false">-MIN(R201/MAX(1,Inputs!$C$78*12),Q204+R200)</f>
        <v>-28750</v>
      </c>
      <c r="S202" s="69" t="n">
        <f aca="false">-MIN(S201/MAX(1,Inputs!$C$78*12),R204+S200)</f>
        <v>-28750</v>
      </c>
      <c r="T202" s="69" t="n">
        <f aca="false">-MIN(T201/MAX(1,Inputs!$C$78*12),S204+T200)</f>
        <v>-28750</v>
      </c>
      <c r="U202" s="69" t="n">
        <f aca="false">-MIN(U201/MAX(1,Inputs!$C$78*12),T204+U200)</f>
        <v>-28750</v>
      </c>
      <c r="V202" s="69" t="n">
        <f aca="false">-MIN(V201/MAX(1,Inputs!$C$78*12),U204+V200)</f>
        <v>-28750</v>
      </c>
      <c r="W202" s="69" t="n">
        <f aca="false">-MIN(W201/MAX(1,Inputs!$C$78*12),V204+W200)</f>
        <v>-28750</v>
      </c>
      <c r="X202" s="69" t="n">
        <f aca="false">-MIN(X201/MAX(1,Inputs!$C$78*12),W204+X200)</f>
        <v>-28750</v>
      </c>
      <c r="Y202" s="69" t="n">
        <f aca="false">-MIN(Y201/MAX(1,Inputs!$C$78*12),X204+Y200)</f>
        <v>-28750</v>
      </c>
      <c r="Z202" s="69" t="n">
        <f aca="false">-MIN(Z201/MAX(1,Inputs!$C$78*12),Y204+Z200)</f>
        <v>-28750</v>
      </c>
      <c r="AA202" s="69" t="n">
        <f aca="false">-MIN(AA201/MAX(1,Inputs!$C$78*12),Z204+AA200)</f>
        <v>-29027.7777777778</v>
      </c>
      <c r="AB202" s="69" t="n">
        <f aca="false">-MIN(AB201/MAX(1,Inputs!$C$78*12),AA204+AB200)</f>
        <v>-29027.7777777778</v>
      </c>
      <c r="AC202" s="69" t="n">
        <f aca="false">-MIN(AC201/MAX(1,Inputs!$C$78*12),AB204+AC200)</f>
        <v>-29027.7777777778</v>
      </c>
      <c r="AD202" s="69" t="n">
        <f aca="false">-MIN(AD201/MAX(1,Inputs!$C$78*12),AC204+AD200)</f>
        <v>-29027.7777777778</v>
      </c>
      <c r="AE202" s="69" t="n">
        <f aca="false">-MIN(AE201/MAX(1,Inputs!$C$78*12),AD204+AE200)</f>
        <v>-29027.7777777778</v>
      </c>
      <c r="AF202" s="69" t="n">
        <f aca="false">-MIN(AF201/MAX(1,Inputs!$C$78*12),AE204+AF200)</f>
        <v>-29027.7777777778</v>
      </c>
      <c r="AG202" s="69" t="n">
        <f aca="false">-MIN(AG201/MAX(1,Inputs!$C$78*12),AF204+AG200)</f>
        <v>-29027.7777777778</v>
      </c>
      <c r="AH202" s="69" t="n">
        <f aca="false">-MIN(AH201/MAX(1,Inputs!$C$78*12),AG204+AH200)</f>
        <v>-29027.7777777778</v>
      </c>
      <c r="AI202" s="69" t="n">
        <f aca="false">-MIN(AI201/MAX(1,Inputs!$C$78*12),AH204+AI200)</f>
        <v>-29027.7777777778</v>
      </c>
      <c r="AJ202" s="69" t="n">
        <f aca="false">-MIN(AJ201/MAX(1,Inputs!$C$78*12),AI204+AJ200)</f>
        <v>-29027.7777777778</v>
      </c>
      <c r="AK202" s="69" t="n">
        <f aca="false">-MIN(AK201/MAX(1,Inputs!$C$78*12),AJ204+AK200)</f>
        <v>-29027.7777777778</v>
      </c>
      <c r="AL202" s="69" t="n">
        <f aca="false">-MIN(AL201/MAX(1,Inputs!$C$78*12),AK204+AL200)</f>
        <v>-29027.7777777778</v>
      </c>
      <c r="AM202" s="69" t="n">
        <f aca="false">-MIN(AM201/MAX(1,Inputs!$C$78*12),AL204+AM200)</f>
        <v>-29305.5555555556</v>
      </c>
      <c r="AN202" s="69" t="n">
        <f aca="false">-MIN(AN201/MAX(1,Inputs!$C$78*12),AM204+AN200)</f>
        <v>-29305.5555555556</v>
      </c>
      <c r="AO202" s="69" t="n">
        <f aca="false">-MIN(AO201/MAX(1,Inputs!$C$78*12),AN204+AO200)</f>
        <v>-29305.5555555556</v>
      </c>
      <c r="AP202" s="69" t="n">
        <f aca="false">-MIN(AP201/MAX(1,Inputs!$C$78*12),AO204+AP200)</f>
        <v>-29305.5555555556</v>
      </c>
      <c r="AQ202" s="69" t="n">
        <f aca="false">-MIN(AQ201/MAX(1,Inputs!$C$78*12),AP204+AQ200)</f>
        <v>-29305.5555555556</v>
      </c>
      <c r="AR202" s="69" t="n">
        <f aca="false">-MIN(AR201/MAX(1,Inputs!$C$78*12),AQ204+AR200)</f>
        <v>-29305.5555555556</v>
      </c>
      <c r="AS202" s="69" t="n">
        <f aca="false">-MIN(AS201/MAX(1,Inputs!$C$78*12),AR204+AS200)</f>
        <v>-29305.5555555556</v>
      </c>
      <c r="AT202" s="69" t="n">
        <f aca="false">-MIN(AT201/MAX(1,Inputs!$C$78*12),AS204+AT200)</f>
        <v>-29305.5555555556</v>
      </c>
      <c r="AU202" s="69" t="n">
        <f aca="false">-MIN(AU201/MAX(1,Inputs!$C$78*12),AT204+AU200)</f>
        <v>-29305.5555555556</v>
      </c>
      <c r="AV202" s="69" t="n">
        <f aca="false">-MIN(AV201/MAX(1,Inputs!$C$78*12),AU204+AV200)</f>
        <v>-29305.5555555556</v>
      </c>
      <c r="AW202" s="69" t="n">
        <f aca="false">-MIN(AW201/MAX(1,Inputs!$C$78*12),AV204+AW200)</f>
        <v>-29305.5555555556</v>
      </c>
      <c r="AX202" s="69" t="n">
        <f aca="false">-MIN(AX201/MAX(1,Inputs!$C$78*12),AW204+AX200)</f>
        <v>-29305.5555555556</v>
      </c>
      <c r="AY202" s="69" t="n">
        <f aca="false">-MIN(AY201/MAX(1,Inputs!$C$78*12),AX204+AY200)</f>
        <v>-29583.3333333333</v>
      </c>
      <c r="AZ202" s="69" t="n">
        <f aca="false">-MIN(AZ201/MAX(1,Inputs!$C$78*12),AY204+AZ200)</f>
        <v>-29583.3333333333</v>
      </c>
      <c r="BA202" s="69" t="n">
        <f aca="false">-MIN(BA201/MAX(1,Inputs!$C$78*12),AZ204+BA200)</f>
        <v>-29583.3333333333</v>
      </c>
      <c r="BB202" s="69" t="n">
        <f aca="false">-MIN(BB201/MAX(1,Inputs!$C$78*12),BA204+BB200)</f>
        <v>-29583.3333333333</v>
      </c>
      <c r="BC202" s="69" t="n">
        <f aca="false">-MIN(BC201/MAX(1,Inputs!$C$78*12),BB204+BC200)</f>
        <v>-29583.3333333333</v>
      </c>
      <c r="BD202" s="69" t="n">
        <f aca="false">-MIN(BD201/MAX(1,Inputs!$C$78*12),BC204+BD200)</f>
        <v>-29583.3333333333</v>
      </c>
      <c r="BE202" s="69" t="n">
        <f aca="false">-MIN(BE201/MAX(1,Inputs!$C$78*12),BD204+BE200)</f>
        <v>-29583.3333333333</v>
      </c>
      <c r="BF202" s="69" t="n">
        <f aca="false">-MIN(BF201/MAX(1,Inputs!$C$78*12),BE204+BF200)</f>
        <v>-29583.3333333333</v>
      </c>
      <c r="BG202" s="69" t="n">
        <f aca="false">-MIN(BG201/MAX(1,Inputs!$C$78*12),BF204+BG200)</f>
        <v>-29583.3333333333</v>
      </c>
      <c r="BH202" s="69" t="n">
        <f aca="false">-MIN(BH201/MAX(1,Inputs!$C$78*12),BG204+BH200)</f>
        <v>-29583.3333333333</v>
      </c>
      <c r="BI202" s="69" t="n">
        <f aca="false">-MIN(BI201/MAX(1,Inputs!$C$78*12),BH204+BI200)</f>
        <v>-29583.3333333333</v>
      </c>
      <c r="BJ202" s="69" t="n">
        <f aca="false">-MIN(BJ201/MAX(1,Inputs!$C$78*12),BI204+BJ200)</f>
        <v>-29583.3333333333</v>
      </c>
    </row>
    <row r="203" customFormat="false" ht="15" hidden="false" customHeight="false" outlineLevel="0" collapsed="false">
      <c r="A203" s="6" t="s">
        <v>451</v>
      </c>
      <c r="C203" s="69" t="n">
        <f aca="false">C202</f>
        <v>-28472.2222222222</v>
      </c>
      <c r="D203" s="69" t="n">
        <f aca="false">C203+D202</f>
        <v>-56944.4444444444</v>
      </c>
      <c r="E203" s="69" t="n">
        <f aca="false">D203+E202</f>
        <v>-85416.6666666667</v>
      </c>
      <c r="F203" s="69" t="n">
        <f aca="false">E203+F202</f>
        <v>-113888.888888889</v>
      </c>
      <c r="G203" s="69" t="n">
        <f aca="false">F203+G202</f>
        <v>-142361.111111111</v>
      </c>
      <c r="H203" s="69" t="n">
        <f aca="false">G203+H202</f>
        <v>-170833.333333333</v>
      </c>
      <c r="I203" s="69" t="n">
        <f aca="false">H203+I202</f>
        <v>-199305.555555556</v>
      </c>
      <c r="J203" s="69" t="n">
        <f aca="false">I203+J202</f>
        <v>-227777.777777778</v>
      </c>
      <c r="K203" s="69" t="n">
        <f aca="false">J203+K202</f>
        <v>-256250</v>
      </c>
      <c r="L203" s="69" t="n">
        <f aca="false">K203+L202</f>
        <v>-284722.222222222</v>
      </c>
      <c r="M203" s="69" t="n">
        <f aca="false">L203+M202</f>
        <v>-313194.444444445</v>
      </c>
      <c r="N203" s="69" t="n">
        <f aca="false">M203+N202</f>
        <v>-341666.666666667</v>
      </c>
      <c r="O203" s="69" t="n">
        <f aca="false">N203+O202</f>
        <v>-370416.666666667</v>
      </c>
      <c r="P203" s="69" t="n">
        <f aca="false">O203+P202</f>
        <v>-399166.666666667</v>
      </c>
      <c r="Q203" s="69" t="n">
        <f aca="false">P203+Q202</f>
        <v>-427916.666666667</v>
      </c>
      <c r="R203" s="69" t="n">
        <f aca="false">Q203+R202</f>
        <v>-456666.666666667</v>
      </c>
      <c r="S203" s="69" t="n">
        <f aca="false">R203+S202</f>
        <v>-485416.666666667</v>
      </c>
      <c r="T203" s="69" t="n">
        <f aca="false">S203+T202</f>
        <v>-514166.666666667</v>
      </c>
      <c r="U203" s="69" t="n">
        <f aca="false">T203+U202</f>
        <v>-542916.666666667</v>
      </c>
      <c r="V203" s="69" t="n">
        <f aca="false">U203+V202</f>
        <v>-571666.666666667</v>
      </c>
      <c r="W203" s="69" t="n">
        <f aca="false">V203+W202</f>
        <v>-600416.666666667</v>
      </c>
      <c r="X203" s="69" t="n">
        <f aca="false">W203+X202</f>
        <v>-629166.666666667</v>
      </c>
      <c r="Y203" s="69" t="n">
        <f aca="false">X203+Y202</f>
        <v>-657916.666666667</v>
      </c>
      <c r="Z203" s="69" t="n">
        <f aca="false">Y203+Z202</f>
        <v>-686666.666666667</v>
      </c>
      <c r="AA203" s="69" t="n">
        <f aca="false">Z203+AA202</f>
        <v>-715694.444444445</v>
      </c>
      <c r="AB203" s="69" t="n">
        <f aca="false">AA203+AB202</f>
        <v>-744722.222222222</v>
      </c>
      <c r="AC203" s="69" t="n">
        <f aca="false">AB203+AC202</f>
        <v>-773750</v>
      </c>
      <c r="AD203" s="69" t="n">
        <f aca="false">AC203+AD202</f>
        <v>-802777.777777778</v>
      </c>
      <c r="AE203" s="69" t="n">
        <f aca="false">AD203+AE202</f>
        <v>-831805.555555556</v>
      </c>
      <c r="AF203" s="69" t="n">
        <f aca="false">AE203+AF202</f>
        <v>-860833.333333333</v>
      </c>
      <c r="AG203" s="69" t="n">
        <f aca="false">AF203+AG202</f>
        <v>-889861.111111111</v>
      </c>
      <c r="AH203" s="69" t="n">
        <f aca="false">AG203+AH202</f>
        <v>-918888.888888889</v>
      </c>
      <c r="AI203" s="69" t="n">
        <f aca="false">AH203+AI202</f>
        <v>-947916.666666667</v>
      </c>
      <c r="AJ203" s="69" t="n">
        <f aca="false">AI203+AJ202</f>
        <v>-976944.444444444</v>
      </c>
      <c r="AK203" s="69" t="n">
        <f aca="false">AJ203+AK202</f>
        <v>-1005972.22222222</v>
      </c>
      <c r="AL203" s="69" t="n">
        <f aca="false">AK203+AL202</f>
        <v>-1035000</v>
      </c>
      <c r="AM203" s="69" t="n">
        <f aca="false">AL203+AM202</f>
        <v>-1064305.55555556</v>
      </c>
      <c r="AN203" s="69" t="n">
        <f aca="false">AM203+AN202</f>
        <v>-1093611.11111111</v>
      </c>
      <c r="AO203" s="69" t="n">
        <f aca="false">AN203+AO202</f>
        <v>-1122916.66666667</v>
      </c>
      <c r="AP203" s="69" t="n">
        <f aca="false">AO203+AP202</f>
        <v>-1152222.22222222</v>
      </c>
      <c r="AQ203" s="69" t="n">
        <f aca="false">AP203+AQ202</f>
        <v>-1181527.77777778</v>
      </c>
      <c r="AR203" s="69" t="n">
        <f aca="false">AQ203+AR202</f>
        <v>-1210833.33333333</v>
      </c>
      <c r="AS203" s="69" t="n">
        <f aca="false">AR203+AS202</f>
        <v>-1240138.88888889</v>
      </c>
      <c r="AT203" s="69" t="n">
        <f aca="false">AS203+AT202</f>
        <v>-1269444.44444444</v>
      </c>
      <c r="AU203" s="69" t="n">
        <f aca="false">AT203+AU202</f>
        <v>-1298750</v>
      </c>
      <c r="AV203" s="69" t="n">
        <f aca="false">AU203+AV202</f>
        <v>-1328055.55555555</v>
      </c>
      <c r="AW203" s="69" t="n">
        <f aca="false">AV203+AW202</f>
        <v>-1357361.11111111</v>
      </c>
      <c r="AX203" s="69" t="n">
        <f aca="false">AW203+AX202</f>
        <v>-1386666.66666667</v>
      </c>
      <c r="AY203" s="69" t="n">
        <f aca="false">AX203+AY202</f>
        <v>-1416250</v>
      </c>
      <c r="AZ203" s="69" t="n">
        <f aca="false">AY203+AZ202</f>
        <v>-1445833.33333333</v>
      </c>
      <c r="BA203" s="69" t="n">
        <f aca="false">AZ203+BA202</f>
        <v>-1475416.66666667</v>
      </c>
      <c r="BB203" s="69" t="n">
        <f aca="false">BA203+BB202</f>
        <v>-1505000</v>
      </c>
      <c r="BC203" s="69" t="n">
        <f aca="false">BB203+BC202</f>
        <v>-1534583.33333333</v>
      </c>
      <c r="BD203" s="69" t="n">
        <f aca="false">BC203+BD202</f>
        <v>-1564166.66666667</v>
      </c>
      <c r="BE203" s="69" t="n">
        <f aca="false">BD203+BE202</f>
        <v>-1593750</v>
      </c>
      <c r="BF203" s="69" t="n">
        <f aca="false">BE203+BF202</f>
        <v>-1623333.33333333</v>
      </c>
      <c r="BG203" s="69" t="n">
        <f aca="false">BF203+BG202</f>
        <v>-1652916.66666667</v>
      </c>
      <c r="BH203" s="69" t="n">
        <f aca="false">BG203+BH202</f>
        <v>-1682500</v>
      </c>
      <c r="BI203" s="69" t="n">
        <f aca="false">BH203+BI202</f>
        <v>-1712083.33333333</v>
      </c>
      <c r="BJ203" s="69" t="n">
        <f aca="false">BI203+BJ202</f>
        <v>-1741666.66666666</v>
      </c>
    </row>
    <row r="204" customFormat="false" ht="15" hidden="false" customHeight="false" outlineLevel="0" collapsed="false">
      <c r="A204" s="4" t="s">
        <v>92</v>
      </c>
      <c r="C204" s="75" t="n">
        <f aca="false">C201+C203</f>
        <v>4071527.77777778</v>
      </c>
      <c r="D204" s="75" t="n">
        <f aca="false">D201+D203</f>
        <v>4043055.55555556</v>
      </c>
      <c r="E204" s="75" t="n">
        <f aca="false">E201+E203</f>
        <v>4014583.33333333</v>
      </c>
      <c r="F204" s="75" t="n">
        <f aca="false">F201+F203</f>
        <v>3986111.11111111</v>
      </c>
      <c r="G204" s="75" t="n">
        <f aca="false">G201+G203</f>
        <v>3957638.88888889</v>
      </c>
      <c r="H204" s="75" t="n">
        <f aca="false">H201+H203</f>
        <v>3929166.66666667</v>
      </c>
      <c r="I204" s="75" t="n">
        <f aca="false">I201+I203</f>
        <v>3900694.44444444</v>
      </c>
      <c r="J204" s="75" t="n">
        <f aca="false">J201+J203</f>
        <v>3872222.22222222</v>
      </c>
      <c r="K204" s="75" t="n">
        <f aca="false">K201+K203</f>
        <v>3843750</v>
      </c>
      <c r="L204" s="75" t="n">
        <f aca="false">L201+L203</f>
        <v>3815277.77777778</v>
      </c>
      <c r="M204" s="75" t="n">
        <f aca="false">M201+M203</f>
        <v>3786805.55555556</v>
      </c>
      <c r="N204" s="75" t="n">
        <f aca="false">N201+N203</f>
        <v>3758333.33333333</v>
      </c>
      <c r="O204" s="75" t="n">
        <f aca="false">O201+O203</f>
        <v>3769583.33333333</v>
      </c>
      <c r="P204" s="75" t="n">
        <f aca="false">P201+P203</f>
        <v>3740833.33333333</v>
      </c>
      <c r="Q204" s="75" t="n">
        <f aca="false">Q201+Q203</f>
        <v>3712083.33333333</v>
      </c>
      <c r="R204" s="75" t="n">
        <f aca="false">R201+R203</f>
        <v>3683333.33333333</v>
      </c>
      <c r="S204" s="75" t="n">
        <f aca="false">S201+S203</f>
        <v>3654583.33333333</v>
      </c>
      <c r="T204" s="75" t="n">
        <f aca="false">T201+T203</f>
        <v>3625833.33333333</v>
      </c>
      <c r="U204" s="75" t="n">
        <f aca="false">U201+U203</f>
        <v>3597083.33333333</v>
      </c>
      <c r="V204" s="75" t="n">
        <f aca="false">V201+V203</f>
        <v>3568333.33333333</v>
      </c>
      <c r="W204" s="75" t="n">
        <f aca="false">W201+W203</f>
        <v>3539583.33333333</v>
      </c>
      <c r="X204" s="75" t="n">
        <f aca="false">X201+X203</f>
        <v>3510833.33333333</v>
      </c>
      <c r="Y204" s="75" t="n">
        <f aca="false">Y201+Y203</f>
        <v>3482083.33333333</v>
      </c>
      <c r="Z204" s="75" t="n">
        <f aca="false">Z201+Z203</f>
        <v>3453333.33333333</v>
      </c>
      <c r="AA204" s="75" t="n">
        <f aca="false">AA201+AA203</f>
        <v>3464305.55555556</v>
      </c>
      <c r="AB204" s="75" t="n">
        <f aca="false">AB201+AB203</f>
        <v>3435277.77777778</v>
      </c>
      <c r="AC204" s="75" t="n">
        <f aca="false">AC201+AC203</f>
        <v>3406250</v>
      </c>
      <c r="AD204" s="75" t="n">
        <f aca="false">AD201+AD203</f>
        <v>3377222.22222222</v>
      </c>
      <c r="AE204" s="75" t="n">
        <f aca="false">AE201+AE203</f>
        <v>3348194.44444444</v>
      </c>
      <c r="AF204" s="75" t="n">
        <f aca="false">AF201+AF203</f>
        <v>3319166.66666667</v>
      </c>
      <c r="AG204" s="75" t="n">
        <f aca="false">AG201+AG203</f>
        <v>3290138.88888889</v>
      </c>
      <c r="AH204" s="75" t="n">
        <f aca="false">AH201+AH203</f>
        <v>3261111.11111111</v>
      </c>
      <c r="AI204" s="75" t="n">
        <f aca="false">AI201+AI203</f>
        <v>3232083.33333333</v>
      </c>
      <c r="AJ204" s="75" t="n">
        <f aca="false">AJ201+AJ203</f>
        <v>3203055.55555556</v>
      </c>
      <c r="AK204" s="75" t="n">
        <f aca="false">AK201+AK203</f>
        <v>3174027.77777778</v>
      </c>
      <c r="AL204" s="75" t="n">
        <f aca="false">AL201+AL203</f>
        <v>3145000</v>
      </c>
      <c r="AM204" s="75" t="n">
        <f aca="false">AM201+AM203</f>
        <v>3155694.44444445</v>
      </c>
      <c r="AN204" s="75" t="n">
        <f aca="false">AN201+AN203</f>
        <v>3126388.88888889</v>
      </c>
      <c r="AO204" s="75" t="n">
        <f aca="false">AO201+AO203</f>
        <v>3097083.33333333</v>
      </c>
      <c r="AP204" s="75" t="n">
        <f aca="false">AP201+AP203</f>
        <v>3067777.77777778</v>
      </c>
      <c r="AQ204" s="75" t="n">
        <f aca="false">AQ201+AQ203</f>
        <v>3038472.22222222</v>
      </c>
      <c r="AR204" s="75" t="n">
        <f aca="false">AR201+AR203</f>
        <v>3009166.66666667</v>
      </c>
      <c r="AS204" s="75" t="n">
        <f aca="false">AS201+AS203</f>
        <v>2979861.11111111</v>
      </c>
      <c r="AT204" s="75" t="n">
        <f aca="false">AT201+AT203</f>
        <v>2950555.55555556</v>
      </c>
      <c r="AU204" s="75" t="n">
        <f aca="false">AU201+AU203</f>
        <v>2921250</v>
      </c>
      <c r="AV204" s="75" t="n">
        <f aca="false">AV201+AV203</f>
        <v>2891944.44444445</v>
      </c>
      <c r="AW204" s="75" t="n">
        <f aca="false">AW201+AW203</f>
        <v>2862638.88888889</v>
      </c>
      <c r="AX204" s="75" t="n">
        <f aca="false">AX201+AX203</f>
        <v>2833333.33333333</v>
      </c>
      <c r="AY204" s="75" t="n">
        <f aca="false">AY201+AY203</f>
        <v>2843750</v>
      </c>
      <c r="AZ204" s="75" t="n">
        <f aca="false">AZ201+AZ203</f>
        <v>2814166.66666667</v>
      </c>
      <c r="BA204" s="75" t="n">
        <f aca="false">BA201+BA203</f>
        <v>2784583.33333333</v>
      </c>
      <c r="BB204" s="75" t="n">
        <f aca="false">BB201+BB203</f>
        <v>2755000</v>
      </c>
      <c r="BC204" s="75" t="n">
        <f aca="false">BC201+BC203</f>
        <v>2725416.66666667</v>
      </c>
      <c r="BD204" s="75" t="n">
        <f aca="false">BD201+BD203</f>
        <v>2695833.33333334</v>
      </c>
      <c r="BE204" s="75" t="n">
        <f aca="false">BE201+BE203</f>
        <v>2666250</v>
      </c>
      <c r="BF204" s="75" t="n">
        <f aca="false">BF201+BF203</f>
        <v>2636666.66666667</v>
      </c>
      <c r="BG204" s="75" t="n">
        <f aca="false">BG201+BG203</f>
        <v>2607083.33333334</v>
      </c>
      <c r="BH204" s="75" t="n">
        <f aca="false">BH201+BH203</f>
        <v>2577500</v>
      </c>
      <c r="BI204" s="75" t="n">
        <f aca="false">BI201+BI203</f>
        <v>2547916.66666667</v>
      </c>
      <c r="BJ204" s="75" t="n">
        <f aca="false">BJ201+BJ203</f>
        <v>2518333.33333334</v>
      </c>
    </row>
    <row r="206" customFormat="false" ht="15.75" hidden="false" customHeight="true" outlineLevel="0" collapsed="false">
      <c r="A206" s="7" t="s">
        <v>452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</row>
    <row r="207" customFormat="false" ht="15" hidden="false" customHeight="false" outlineLevel="0" collapsed="false">
      <c r="A207" s="6" t="s">
        <v>453</v>
      </c>
      <c r="C207" s="69" t="n">
        <f aca="false">0</f>
        <v>0</v>
      </c>
      <c r="D207" s="69" t="n">
        <f aca="false">C210</f>
        <v>3000000</v>
      </c>
      <c r="E207" s="69" t="n">
        <f aca="false">D210</f>
        <v>2975000</v>
      </c>
      <c r="F207" s="69" t="n">
        <f aca="false">E210</f>
        <v>2950000</v>
      </c>
      <c r="G207" s="69" t="n">
        <f aca="false">F210</f>
        <v>2925000</v>
      </c>
      <c r="H207" s="69" t="n">
        <f aca="false">G210</f>
        <v>2900000</v>
      </c>
      <c r="I207" s="69" t="n">
        <f aca="false">H210</f>
        <v>2875000</v>
      </c>
      <c r="J207" s="69" t="n">
        <f aca="false">I210</f>
        <v>2850000</v>
      </c>
      <c r="K207" s="69" t="n">
        <f aca="false">J210</f>
        <v>2825000</v>
      </c>
      <c r="L207" s="69" t="n">
        <f aca="false">K210</f>
        <v>2800000</v>
      </c>
      <c r="M207" s="69" t="n">
        <f aca="false">L210</f>
        <v>2775000</v>
      </c>
      <c r="N207" s="69" t="n">
        <f aca="false">M210</f>
        <v>2750000</v>
      </c>
      <c r="O207" s="69" t="n">
        <f aca="false">N210</f>
        <v>2725000</v>
      </c>
      <c r="P207" s="69" t="n">
        <f aca="false">O210</f>
        <v>2700000</v>
      </c>
      <c r="Q207" s="69" t="n">
        <f aca="false">P210</f>
        <v>2675000</v>
      </c>
      <c r="R207" s="69" t="n">
        <f aca="false">Q210</f>
        <v>2650000</v>
      </c>
      <c r="S207" s="69" t="n">
        <f aca="false">R210</f>
        <v>2625000</v>
      </c>
      <c r="T207" s="69" t="n">
        <f aca="false">S210</f>
        <v>2600000</v>
      </c>
      <c r="U207" s="69" t="n">
        <f aca="false">T210</f>
        <v>2575000</v>
      </c>
      <c r="V207" s="69" t="n">
        <f aca="false">U210</f>
        <v>2550000</v>
      </c>
      <c r="W207" s="69" t="n">
        <f aca="false">V210</f>
        <v>2525000</v>
      </c>
      <c r="X207" s="69" t="n">
        <f aca="false">W210</f>
        <v>2500000</v>
      </c>
      <c r="Y207" s="69" t="n">
        <f aca="false">X210</f>
        <v>2475000</v>
      </c>
      <c r="Z207" s="69" t="n">
        <f aca="false">Y210</f>
        <v>2450000</v>
      </c>
      <c r="AA207" s="69" t="n">
        <f aca="false">Z210</f>
        <v>2425000</v>
      </c>
      <c r="AB207" s="69" t="n">
        <f aca="false">AA210</f>
        <v>2400000</v>
      </c>
      <c r="AC207" s="69" t="n">
        <f aca="false">AB210</f>
        <v>2375000</v>
      </c>
      <c r="AD207" s="69" t="n">
        <f aca="false">AC210</f>
        <v>2350000</v>
      </c>
      <c r="AE207" s="69" t="n">
        <f aca="false">AD210</f>
        <v>2325000</v>
      </c>
      <c r="AF207" s="69" t="n">
        <f aca="false">AE210</f>
        <v>2300000</v>
      </c>
      <c r="AG207" s="69" t="n">
        <f aca="false">AF210</f>
        <v>2275000</v>
      </c>
      <c r="AH207" s="69" t="n">
        <f aca="false">AG210</f>
        <v>2250000</v>
      </c>
      <c r="AI207" s="69" t="n">
        <f aca="false">AH210</f>
        <v>2225000</v>
      </c>
      <c r="AJ207" s="69" t="n">
        <f aca="false">AI210</f>
        <v>2200000</v>
      </c>
      <c r="AK207" s="69" t="n">
        <f aca="false">AJ210</f>
        <v>2175000</v>
      </c>
      <c r="AL207" s="69" t="n">
        <f aca="false">AK210</f>
        <v>2150000</v>
      </c>
      <c r="AM207" s="69" t="n">
        <f aca="false">AL210</f>
        <v>2125000</v>
      </c>
      <c r="AN207" s="69" t="n">
        <f aca="false">AM210</f>
        <v>2100000</v>
      </c>
      <c r="AO207" s="69" t="n">
        <f aca="false">AN210</f>
        <v>2075000</v>
      </c>
      <c r="AP207" s="69" t="n">
        <f aca="false">AO210</f>
        <v>2050000</v>
      </c>
      <c r="AQ207" s="69" t="n">
        <f aca="false">AP210</f>
        <v>2025000</v>
      </c>
      <c r="AR207" s="69" t="n">
        <f aca="false">AQ210</f>
        <v>2000000</v>
      </c>
      <c r="AS207" s="69" t="n">
        <f aca="false">AR210</f>
        <v>1975000</v>
      </c>
      <c r="AT207" s="69" t="n">
        <f aca="false">AS210</f>
        <v>1950000</v>
      </c>
      <c r="AU207" s="69" t="n">
        <f aca="false">AT210</f>
        <v>1925000</v>
      </c>
      <c r="AV207" s="69" t="n">
        <f aca="false">AU210</f>
        <v>1900000</v>
      </c>
      <c r="AW207" s="69" t="n">
        <f aca="false">AV210</f>
        <v>1875000</v>
      </c>
      <c r="AX207" s="69" t="n">
        <f aca="false">AW210</f>
        <v>1850000</v>
      </c>
      <c r="AY207" s="69" t="n">
        <f aca="false">AX210</f>
        <v>1825000</v>
      </c>
      <c r="AZ207" s="69" t="n">
        <f aca="false">AY210</f>
        <v>1800000</v>
      </c>
      <c r="BA207" s="69" t="n">
        <f aca="false">AZ210</f>
        <v>1775000</v>
      </c>
      <c r="BB207" s="69" t="n">
        <f aca="false">BA210</f>
        <v>1750000</v>
      </c>
      <c r="BC207" s="69" t="n">
        <f aca="false">BB210</f>
        <v>1725000</v>
      </c>
      <c r="BD207" s="69" t="n">
        <f aca="false">BC210</f>
        <v>1700000</v>
      </c>
      <c r="BE207" s="69" t="n">
        <f aca="false">BD210</f>
        <v>1675000</v>
      </c>
      <c r="BF207" s="69" t="n">
        <f aca="false">BE210</f>
        <v>1650000</v>
      </c>
      <c r="BG207" s="69" t="n">
        <f aca="false">BF210</f>
        <v>1625000</v>
      </c>
      <c r="BH207" s="69" t="n">
        <f aca="false">BG210</f>
        <v>1600000</v>
      </c>
      <c r="BI207" s="69" t="n">
        <f aca="false">BH210</f>
        <v>1575000</v>
      </c>
      <c r="BJ207" s="69" t="n">
        <f aca="false">BI210</f>
        <v>1550000</v>
      </c>
    </row>
    <row r="208" customFormat="false" ht="15" hidden="false" customHeight="false" outlineLevel="0" collapsed="false">
      <c r="A208" s="6" t="s">
        <v>85</v>
      </c>
      <c r="C208" s="69" t="n">
        <f aca="false">IF(C$133=1,Inputs!$C$68,0)</f>
        <v>3000000</v>
      </c>
      <c r="D208" s="69" t="n">
        <f aca="false">IF(D$133=1,Inputs!$C$68,0)</f>
        <v>0</v>
      </c>
      <c r="E208" s="69" t="n">
        <f aca="false">IF(E$133=1,Inputs!$C$68,0)</f>
        <v>0</v>
      </c>
      <c r="F208" s="69" t="n">
        <f aca="false">IF(F$133=1,Inputs!$C$68,0)</f>
        <v>0</v>
      </c>
      <c r="G208" s="69" t="n">
        <f aca="false">IF(G$133=1,Inputs!$C$68,0)</f>
        <v>0</v>
      </c>
      <c r="H208" s="69" t="n">
        <f aca="false">IF(H$133=1,Inputs!$C$68,0)</f>
        <v>0</v>
      </c>
      <c r="I208" s="69" t="n">
        <f aca="false">IF(I$133=1,Inputs!$C$68,0)</f>
        <v>0</v>
      </c>
      <c r="J208" s="69" t="n">
        <f aca="false">IF(J$133=1,Inputs!$C$68,0)</f>
        <v>0</v>
      </c>
      <c r="K208" s="69" t="n">
        <f aca="false">IF(K$133=1,Inputs!$C$68,0)</f>
        <v>0</v>
      </c>
      <c r="L208" s="69" t="n">
        <f aca="false">IF(L$133=1,Inputs!$C$68,0)</f>
        <v>0</v>
      </c>
      <c r="M208" s="69" t="n">
        <f aca="false">IF(M$133=1,Inputs!$C$68,0)</f>
        <v>0</v>
      </c>
      <c r="N208" s="69" t="n">
        <f aca="false">IF(N$133=1,Inputs!$C$68,0)</f>
        <v>0</v>
      </c>
      <c r="O208" s="69" t="n">
        <f aca="false">IF(O$133=1,Inputs!$C$68,0)</f>
        <v>0</v>
      </c>
      <c r="P208" s="69" t="n">
        <f aca="false">IF(P$133=1,Inputs!$C$68,0)</f>
        <v>0</v>
      </c>
      <c r="Q208" s="69" t="n">
        <f aca="false">IF(Q$133=1,Inputs!$C$68,0)</f>
        <v>0</v>
      </c>
      <c r="R208" s="69" t="n">
        <f aca="false">IF(R$133=1,Inputs!$C$68,0)</f>
        <v>0</v>
      </c>
      <c r="S208" s="69" t="n">
        <f aca="false">IF(S$133=1,Inputs!$C$68,0)</f>
        <v>0</v>
      </c>
      <c r="T208" s="69" t="n">
        <f aca="false">IF(T$133=1,Inputs!$C$68,0)</f>
        <v>0</v>
      </c>
      <c r="U208" s="69" t="n">
        <f aca="false">IF(U$133=1,Inputs!$C$68,0)</f>
        <v>0</v>
      </c>
      <c r="V208" s="69" t="n">
        <f aca="false">IF(V$133=1,Inputs!$C$68,0)</f>
        <v>0</v>
      </c>
      <c r="W208" s="69" t="n">
        <f aca="false">IF(W$133=1,Inputs!$C$68,0)</f>
        <v>0</v>
      </c>
      <c r="X208" s="69" t="n">
        <f aca="false">IF(X$133=1,Inputs!$C$68,0)</f>
        <v>0</v>
      </c>
      <c r="Y208" s="69" t="n">
        <f aca="false">IF(Y$133=1,Inputs!$C$68,0)</f>
        <v>0</v>
      </c>
      <c r="Z208" s="69" t="n">
        <f aca="false">IF(Z$133=1,Inputs!$C$68,0)</f>
        <v>0</v>
      </c>
      <c r="AA208" s="69" t="n">
        <f aca="false">IF(AA$133=1,Inputs!$C$68,0)</f>
        <v>0</v>
      </c>
      <c r="AB208" s="69" t="n">
        <f aca="false">IF(AB$133=1,Inputs!$C$68,0)</f>
        <v>0</v>
      </c>
      <c r="AC208" s="69" t="n">
        <f aca="false">IF(AC$133=1,Inputs!$C$68,0)</f>
        <v>0</v>
      </c>
      <c r="AD208" s="69" t="n">
        <f aca="false">IF(AD$133=1,Inputs!$C$68,0)</f>
        <v>0</v>
      </c>
      <c r="AE208" s="69" t="n">
        <f aca="false">IF(AE$133=1,Inputs!$C$68,0)</f>
        <v>0</v>
      </c>
      <c r="AF208" s="69" t="n">
        <f aca="false">IF(AF$133=1,Inputs!$C$68,0)</f>
        <v>0</v>
      </c>
      <c r="AG208" s="69" t="n">
        <f aca="false">IF(AG$133=1,Inputs!$C$68,0)</f>
        <v>0</v>
      </c>
      <c r="AH208" s="69" t="n">
        <f aca="false">IF(AH$133=1,Inputs!$C$68,0)</f>
        <v>0</v>
      </c>
      <c r="AI208" s="69" t="n">
        <f aca="false">IF(AI$133=1,Inputs!$C$68,0)</f>
        <v>0</v>
      </c>
      <c r="AJ208" s="69" t="n">
        <f aca="false">IF(AJ$133=1,Inputs!$C$68,0)</f>
        <v>0</v>
      </c>
      <c r="AK208" s="69" t="n">
        <f aca="false">IF(AK$133=1,Inputs!$C$68,0)</f>
        <v>0</v>
      </c>
      <c r="AL208" s="69" t="n">
        <f aca="false">IF(AL$133=1,Inputs!$C$68,0)</f>
        <v>0</v>
      </c>
      <c r="AM208" s="69" t="n">
        <f aca="false">IF(AM$133=1,Inputs!$C$68,0)</f>
        <v>0</v>
      </c>
      <c r="AN208" s="69" t="n">
        <f aca="false">IF(AN$133=1,Inputs!$C$68,0)</f>
        <v>0</v>
      </c>
      <c r="AO208" s="69" t="n">
        <f aca="false">IF(AO$133=1,Inputs!$C$68,0)</f>
        <v>0</v>
      </c>
      <c r="AP208" s="69" t="n">
        <f aca="false">IF(AP$133=1,Inputs!$C$68,0)</f>
        <v>0</v>
      </c>
      <c r="AQ208" s="69" t="n">
        <f aca="false">IF(AQ$133=1,Inputs!$C$68,0)</f>
        <v>0</v>
      </c>
      <c r="AR208" s="69" t="n">
        <f aca="false">IF(AR$133=1,Inputs!$C$68,0)</f>
        <v>0</v>
      </c>
      <c r="AS208" s="69" t="n">
        <f aca="false">IF(AS$133=1,Inputs!$C$68,0)</f>
        <v>0</v>
      </c>
      <c r="AT208" s="69" t="n">
        <f aca="false">IF(AT$133=1,Inputs!$C$68,0)</f>
        <v>0</v>
      </c>
      <c r="AU208" s="69" t="n">
        <f aca="false">IF(AU$133=1,Inputs!$C$68,0)</f>
        <v>0</v>
      </c>
      <c r="AV208" s="69" t="n">
        <f aca="false">IF(AV$133=1,Inputs!$C$68,0)</f>
        <v>0</v>
      </c>
      <c r="AW208" s="69" t="n">
        <f aca="false">IF(AW$133=1,Inputs!$C$68,0)</f>
        <v>0</v>
      </c>
      <c r="AX208" s="69" t="n">
        <f aca="false">IF(AX$133=1,Inputs!$C$68,0)</f>
        <v>0</v>
      </c>
      <c r="AY208" s="69" t="n">
        <f aca="false">IF(AY$133=1,Inputs!$C$68,0)</f>
        <v>0</v>
      </c>
      <c r="AZ208" s="69" t="n">
        <f aca="false">IF(AZ$133=1,Inputs!$C$68,0)</f>
        <v>0</v>
      </c>
      <c r="BA208" s="69" t="n">
        <f aca="false">IF(BA$133=1,Inputs!$C$68,0)</f>
        <v>0</v>
      </c>
      <c r="BB208" s="69" t="n">
        <f aca="false">IF(BB$133=1,Inputs!$C$68,0)</f>
        <v>0</v>
      </c>
      <c r="BC208" s="69" t="n">
        <f aca="false">IF(BC$133=1,Inputs!$C$68,0)</f>
        <v>0</v>
      </c>
      <c r="BD208" s="69" t="n">
        <f aca="false">IF(BD$133=1,Inputs!$C$68,0)</f>
        <v>0</v>
      </c>
      <c r="BE208" s="69" t="n">
        <f aca="false">IF(BE$133=1,Inputs!$C$68,0)</f>
        <v>0</v>
      </c>
      <c r="BF208" s="69" t="n">
        <f aca="false">IF(BF$133=1,Inputs!$C$68,0)</f>
        <v>0</v>
      </c>
      <c r="BG208" s="69" t="n">
        <f aca="false">IF(BG$133=1,Inputs!$C$68,0)</f>
        <v>0</v>
      </c>
      <c r="BH208" s="69" t="n">
        <f aca="false">IF(BH$133=1,Inputs!$C$68,0)</f>
        <v>0</v>
      </c>
      <c r="BI208" s="69" t="n">
        <f aca="false">IF(BI$133=1,Inputs!$C$68,0)</f>
        <v>0</v>
      </c>
      <c r="BJ208" s="69" t="n">
        <f aca="false">IF(BJ$133=1,Inputs!$C$68,0)</f>
        <v>0</v>
      </c>
    </row>
    <row r="209" customFormat="false" ht="15" hidden="false" customHeight="false" outlineLevel="0" collapsed="false">
      <c r="A209" s="6" t="s">
        <v>86</v>
      </c>
      <c r="C209" s="69" t="n">
        <f aca="false">-MIN(C207,Inputs!$C$68/MAX(1,Inputs!$C$70*12))</f>
        <v>-0</v>
      </c>
      <c r="D209" s="69" t="n">
        <f aca="false">-MIN(D207,Inputs!$C$68/MAX(1,Inputs!$C$70*12))</f>
        <v>-25000</v>
      </c>
      <c r="E209" s="69" t="n">
        <f aca="false">-MIN(E207,Inputs!$C$68/MAX(1,Inputs!$C$70*12))</f>
        <v>-25000</v>
      </c>
      <c r="F209" s="69" t="n">
        <f aca="false">-MIN(F207,Inputs!$C$68/MAX(1,Inputs!$C$70*12))</f>
        <v>-25000</v>
      </c>
      <c r="G209" s="69" t="n">
        <f aca="false">-MIN(G207,Inputs!$C$68/MAX(1,Inputs!$C$70*12))</f>
        <v>-25000</v>
      </c>
      <c r="H209" s="69" t="n">
        <f aca="false">-MIN(H207,Inputs!$C$68/MAX(1,Inputs!$C$70*12))</f>
        <v>-25000</v>
      </c>
      <c r="I209" s="69" t="n">
        <f aca="false">-MIN(I207,Inputs!$C$68/MAX(1,Inputs!$C$70*12))</f>
        <v>-25000</v>
      </c>
      <c r="J209" s="69" t="n">
        <f aca="false">-MIN(J207,Inputs!$C$68/MAX(1,Inputs!$C$70*12))</f>
        <v>-25000</v>
      </c>
      <c r="K209" s="69" t="n">
        <f aca="false">-MIN(K207,Inputs!$C$68/MAX(1,Inputs!$C$70*12))</f>
        <v>-25000</v>
      </c>
      <c r="L209" s="69" t="n">
        <f aca="false">-MIN(L207,Inputs!$C$68/MAX(1,Inputs!$C$70*12))</f>
        <v>-25000</v>
      </c>
      <c r="M209" s="69" t="n">
        <f aca="false">-MIN(M207,Inputs!$C$68/MAX(1,Inputs!$C$70*12))</f>
        <v>-25000</v>
      </c>
      <c r="N209" s="69" t="n">
        <f aca="false">-MIN(N207,Inputs!$C$68/MAX(1,Inputs!$C$70*12))</f>
        <v>-25000</v>
      </c>
      <c r="O209" s="69" t="n">
        <f aca="false">-MIN(O207,Inputs!$C$68/MAX(1,Inputs!$C$70*12))</f>
        <v>-25000</v>
      </c>
      <c r="P209" s="69" t="n">
        <f aca="false">-MIN(P207,Inputs!$C$68/MAX(1,Inputs!$C$70*12))</f>
        <v>-25000</v>
      </c>
      <c r="Q209" s="69" t="n">
        <f aca="false">-MIN(Q207,Inputs!$C$68/MAX(1,Inputs!$C$70*12))</f>
        <v>-25000</v>
      </c>
      <c r="R209" s="69" t="n">
        <f aca="false">-MIN(R207,Inputs!$C$68/MAX(1,Inputs!$C$70*12))</f>
        <v>-25000</v>
      </c>
      <c r="S209" s="69" t="n">
        <f aca="false">-MIN(S207,Inputs!$C$68/MAX(1,Inputs!$C$70*12))</f>
        <v>-25000</v>
      </c>
      <c r="T209" s="69" t="n">
        <f aca="false">-MIN(T207,Inputs!$C$68/MAX(1,Inputs!$C$70*12))</f>
        <v>-25000</v>
      </c>
      <c r="U209" s="69" t="n">
        <f aca="false">-MIN(U207,Inputs!$C$68/MAX(1,Inputs!$C$70*12))</f>
        <v>-25000</v>
      </c>
      <c r="V209" s="69" t="n">
        <f aca="false">-MIN(V207,Inputs!$C$68/MAX(1,Inputs!$C$70*12))</f>
        <v>-25000</v>
      </c>
      <c r="W209" s="69" t="n">
        <f aca="false">-MIN(W207,Inputs!$C$68/MAX(1,Inputs!$C$70*12))</f>
        <v>-25000</v>
      </c>
      <c r="X209" s="69" t="n">
        <f aca="false">-MIN(X207,Inputs!$C$68/MAX(1,Inputs!$C$70*12))</f>
        <v>-25000</v>
      </c>
      <c r="Y209" s="69" t="n">
        <f aca="false">-MIN(Y207,Inputs!$C$68/MAX(1,Inputs!$C$70*12))</f>
        <v>-25000</v>
      </c>
      <c r="Z209" s="69" t="n">
        <f aca="false">-MIN(Z207,Inputs!$C$68/MAX(1,Inputs!$C$70*12))</f>
        <v>-25000</v>
      </c>
      <c r="AA209" s="69" t="n">
        <f aca="false">-MIN(AA207,Inputs!$C$68/MAX(1,Inputs!$C$70*12))</f>
        <v>-25000</v>
      </c>
      <c r="AB209" s="69" t="n">
        <f aca="false">-MIN(AB207,Inputs!$C$68/MAX(1,Inputs!$C$70*12))</f>
        <v>-25000</v>
      </c>
      <c r="AC209" s="69" t="n">
        <f aca="false">-MIN(AC207,Inputs!$C$68/MAX(1,Inputs!$C$70*12))</f>
        <v>-25000</v>
      </c>
      <c r="AD209" s="69" t="n">
        <f aca="false">-MIN(AD207,Inputs!$C$68/MAX(1,Inputs!$C$70*12))</f>
        <v>-25000</v>
      </c>
      <c r="AE209" s="69" t="n">
        <f aca="false">-MIN(AE207,Inputs!$C$68/MAX(1,Inputs!$C$70*12))</f>
        <v>-25000</v>
      </c>
      <c r="AF209" s="69" t="n">
        <f aca="false">-MIN(AF207,Inputs!$C$68/MAX(1,Inputs!$C$70*12))</f>
        <v>-25000</v>
      </c>
      <c r="AG209" s="69" t="n">
        <f aca="false">-MIN(AG207,Inputs!$C$68/MAX(1,Inputs!$C$70*12))</f>
        <v>-25000</v>
      </c>
      <c r="AH209" s="69" t="n">
        <f aca="false">-MIN(AH207,Inputs!$C$68/MAX(1,Inputs!$C$70*12))</f>
        <v>-25000</v>
      </c>
      <c r="AI209" s="69" t="n">
        <f aca="false">-MIN(AI207,Inputs!$C$68/MAX(1,Inputs!$C$70*12))</f>
        <v>-25000</v>
      </c>
      <c r="AJ209" s="69" t="n">
        <f aca="false">-MIN(AJ207,Inputs!$C$68/MAX(1,Inputs!$C$70*12))</f>
        <v>-25000</v>
      </c>
      <c r="AK209" s="69" t="n">
        <f aca="false">-MIN(AK207,Inputs!$C$68/MAX(1,Inputs!$C$70*12))</f>
        <v>-25000</v>
      </c>
      <c r="AL209" s="69" t="n">
        <f aca="false">-MIN(AL207,Inputs!$C$68/MAX(1,Inputs!$C$70*12))</f>
        <v>-25000</v>
      </c>
      <c r="AM209" s="69" t="n">
        <f aca="false">-MIN(AM207,Inputs!$C$68/MAX(1,Inputs!$C$70*12))</f>
        <v>-25000</v>
      </c>
      <c r="AN209" s="69" t="n">
        <f aca="false">-MIN(AN207,Inputs!$C$68/MAX(1,Inputs!$C$70*12))</f>
        <v>-25000</v>
      </c>
      <c r="AO209" s="69" t="n">
        <f aca="false">-MIN(AO207,Inputs!$C$68/MAX(1,Inputs!$C$70*12))</f>
        <v>-25000</v>
      </c>
      <c r="AP209" s="69" t="n">
        <f aca="false">-MIN(AP207,Inputs!$C$68/MAX(1,Inputs!$C$70*12))</f>
        <v>-25000</v>
      </c>
      <c r="AQ209" s="69" t="n">
        <f aca="false">-MIN(AQ207,Inputs!$C$68/MAX(1,Inputs!$C$70*12))</f>
        <v>-25000</v>
      </c>
      <c r="AR209" s="69" t="n">
        <f aca="false">-MIN(AR207,Inputs!$C$68/MAX(1,Inputs!$C$70*12))</f>
        <v>-25000</v>
      </c>
      <c r="AS209" s="69" t="n">
        <f aca="false">-MIN(AS207,Inputs!$C$68/MAX(1,Inputs!$C$70*12))</f>
        <v>-25000</v>
      </c>
      <c r="AT209" s="69" t="n">
        <f aca="false">-MIN(AT207,Inputs!$C$68/MAX(1,Inputs!$C$70*12))</f>
        <v>-25000</v>
      </c>
      <c r="AU209" s="69" t="n">
        <f aca="false">-MIN(AU207,Inputs!$C$68/MAX(1,Inputs!$C$70*12))</f>
        <v>-25000</v>
      </c>
      <c r="AV209" s="69" t="n">
        <f aca="false">-MIN(AV207,Inputs!$C$68/MAX(1,Inputs!$C$70*12))</f>
        <v>-25000</v>
      </c>
      <c r="AW209" s="69" t="n">
        <f aca="false">-MIN(AW207,Inputs!$C$68/MAX(1,Inputs!$C$70*12))</f>
        <v>-25000</v>
      </c>
      <c r="AX209" s="69" t="n">
        <f aca="false">-MIN(AX207,Inputs!$C$68/MAX(1,Inputs!$C$70*12))</f>
        <v>-25000</v>
      </c>
      <c r="AY209" s="69" t="n">
        <f aca="false">-MIN(AY207,Inputs!$C$68/MAX(1,Inputs!$C$70*12))</f>
        <v>-25000</v>
      </c>
      <c r="AZ209" s="69" t="n">
        <f aca="false">-MIN(AZ207,Inputs!$C$68/MAX(1,Inputs!$C$70*12))</f>
        <v>-25000</v>
      </c>
      <c r="BA209" s="69" t="n">
        <f aca="false">-MIN(BA207,Inputs!$C$68/MAX(1,Inputs!$C$70*12))</f>
        <v>-25000</v>
      </c>
      <c r="BB209" s="69" t="n">
        <f aca="false">-MIN(BB207,Inputs!$C$68/MAX(1,Inputs!$C$70*12))</f>
        <v>-25000</v>
      </c>
      <c r="BC209" s="69" t="n">
        <f aca="false">-MIN(BC207,Inputs!$C$68/MAX(1,Inputs!$C$70*12))</f>
        <v>-25000</v>
      </c>
      <c r="BD209" s="69" t="n">
        <f aca="false">-MIN(BD207,Inputs!$C$68/MAX(1,Inputs!$C$70*12))</f>
        <v>-25000</v>
      </c>
      <c r="BE209" s="69" t="n">
        <f aca="false">-MIN(BE207,Inputs!$C$68/MAX(1,Inputs!$C$70*12))</f>
        <v>-25000</v>
      </c>
      <c r="BF209" s="69" t="n">
        <f aca="false">-MIN(BF207,Inputs!$C$68/MAX(1,Inputs!$C$70*12))</f>
        <v>-25000</v>
      </c>
      <c r="BG209" s="69" t="n">
        <f aca="false">-MIN(BG207,Inputs!$C$68/MAX(1,Inputs!$C$70*12))</f>
        <v>-25000</v>
      </c>
      <c r="BH209" s="69" t="n">
        <f aca="false">-MIN(BH207,Inputs!$C$68/MAX(1,Inputs!$C$70*12))</f>
        <v>-25000</v>
      </c>
      <c r="BI209" s="69" t="n">
        <f aca="false">-MIN(BI207,Inputs!$C$68/MAX(1,Inputs!$C$70*12))</f>
        <v>-25000</v>
      </c>
      <c r="BJ209" s="69" t="n">
        <f aca="false">-MIN(BJ207,Inputs!$C$68/MAX(1,Inputs!$C$70*12))</f>
        <v>-25000</v>
      </c>
    </row>
    <row r="210" customFormat="false" ht="15" hidden="false" customHeight="false" outlineLevel="0" collapsed="false">
      <c r="A210" s="4" t="s">
        <v>454</v>
      </c>
      <c r="C210" s="75" t="n">
        <f aca="false">C207+C208+C209</f>
        <v>3000000</v>
      </c>
      <c r="D210" s="75" t="n">
        <f aca="false">D207+D208+D209</f>
        <v>2975000</v>
      </c>
      <c r="E210" s="75" t="n">
        <f aca="false">E207+E208+E209</f>
        <v>2950000</v>
      </c>
      <c r="F210" s="75" t="n">
        <f aca="false">F207+F208+F209</f>
        <v>2925000</v>
      </c>
      <c r="G210" s="75" t="n">
        <f aca="false">G207+G208+G209</f>
        <v>2900000</v>
      </c>
      <c r="H210" s="75" t="n">
        <f aca="false">H207+H208+H209</f>
        <v>2875000</v>
      </c>
      <c r="I210" s="75" t="n">
        <f aca="false">I207+I208+I209</f>
        <v>2850000</v>
      </c>
      <c r="J210" s="75" t="n">
        <f aca="false">J207+J208+J209</f>
        <v>2825000</v>
      </c>
      <c r="K210" s="75" t="n">
        <f aca="false">K207+K208+K209</f>
        <v>2800000</v>
      </c>
      <c r="L210" s="75" t="n">
        <f aca="false">L207+L208+L209</f>
        <v>2775000</v>
      </c>
      <c r="M210" s="75" t="n">
        <f aca="false">M207+M208+M209</f>
        <v>2750000</v>
      </c>
      <c r="N210" s="75" t="n">
        <f aca="false">N207+N208+N209</f>
        <v>2725000</v>
      </c>
      <c r="O210" s="75" t="n">
        <f aca="false">O207+O208+O209</f>
        <v>2700000</v>
      </c>
      <c r="P210" s="75" t="n">
        <f aca="false">P207+P208+P209</f>
        <v>2675000</v>
      </c>
      <c r="Q210" s="75" t="n">
        <f aca="false">Q207+Q208+Q209</f>
        <v>2650000</v>
      </c>
      <c r="R210" s="75" t="n">
        <f aca="false">R207+R208+R209</f>
        <v>2625000</v>
      </c>
      <c r="S210" s="75" t="n">
        <f aca="false">S207+S208+S209</f>
        <v>2600000</v>
      </c>
      <c r="T210" s="75" t="n">
        <f aca="false">T207+T208+T209</f>
        <v>2575000</v>
      </c>
      <c r="U210" s="75" t="n">
        <f aca="false">U207+U208+U209</f>
        <v>2550000</v>
      </c>
      <c r="V210" s="75" t="n">
        <f aca="false">V207+V208+V209</f>
        <v>2525000</v>
      </c>
      <c r="W210" s="75" t="n">
        <f aca="false">W207+W208+W209</f>
        <v>2500000</v>
      </c>
      <c r="X210" s="75" t="n">
        <f aca="false">X207+X208+X209</f>
        <v>2475000</v>
      </c>
      <c r="Y210" s="75" t="n">
        <f aca="false">Y207+Y208+Y209</f>
        <v>2450000</v>
      </c>
      <c r="Z210" s="75" t="n">
        <f aca="false">Z207+Z208+Z209</f>
        <v>2425000</v>
      </c>
      <c r="AA210" s="75" t="n">
        <f aca="false">AA207+AA208+AA209</f>
        <v>2400000</v>
      </c>
      <c r="AB210" s="75" t="n">
        <f aca="false">AB207+AB208+AB209</f>
        <v>2375000</v>
      </c>
      <c r="AC210" s="75" t="n">
        <f aca="false">AC207+AC208+AC209</f>
        <v>2350000</v>
      </c>
      <c r="AD210" s="75" t="n">
        <f aca="false">AD207+AD208+AD209</f>
        <v>2325000</v>
      </c>
      <c r="AE210" s="75" t="n">
        <f aca="false">AE207+AE208+AE209</f>
        <v>2300000</v>
      </c>
      <c r="AF210" s="75" t="n">
        <f aca="false">AF207+AF208+AF209</f>
        <v>2275000</v>
      </c>
      <c r="AG210" s="75" t="n">
        <f aca="false">AG207+AG208+AG209</f>
        <v>2250000</v>
      </c>
      <c r="AH210" s="75" t="n">
        <f aca="false">AH207+AH208+AH209</f>
        <v>2225000</v>
      </c>
      <c r="AI210" s="75" t="n">
        <f aca="false">AI207+AI208+AI209</f>
        <v>2200000</v>
      </c>
      <c r="AJ210" s="75" t="n">
        <f aca="false">AJ207+AJ208+AJ209</f>
        <v>2175000</v>
      </c>
      <c r="AK210" s="75" t="n">
        <f aca="false">AK207+AK208+AK209</f>
        <v>2150000</v>
      </c>
      <c r="AL210" s="75" t="n">
        <f aca="false">AL207+AL208+AL209</f>
        <v>2125000</v>
      </c>
      <c r="AM210" s="75" t="n">
        <f aca="false">AM207+AM208+AM209</f>
        <v>2100000</v>
      </c>
      <c r="AN210" s="75" t="n">
        <f aca="false">AN207+AN208+AN209</f>
        <v>2075000</v>
      </c>
      <c r="AO210" s="75" t="n">
        <f aca="false">AO207+AO208+AO209</f>
        <v>2050000</v>
      </c>
      <c r="AP210" s="75" t="n">
        <f aca="false">AP207+AP208+AP209</f>
        <v>2025000</v>
      </c>
      <c r="AQ210" s="75" t="n">
        <f aca="false">AQ207+AQ208+AQ209</f>
        <v>2000000</v>
      </c>
      <c r="AR210" s="75" t="n">
        <f aca="false">AR207+AR208+AR209</f>
        <v>1975000</v>
      </c>
      <c r="AS210" s="75" t="n">
        <f aca="false">AS207+AS208+AS209</f>
        <v>1950000</v>
      </c>
      <c r="AT210" s="75" t="n">
        <f aca="false">AT207+AT208+AT209</f>
        <v>1925000</v>
      </c>
      <c r="AU210" s="75" t="n">
        <f aca="false">AU207+AU208+AU209</f>
        <v>1900000</v>
      </c>
      <c r="AV210" s="75" t="n">
        <f aca="false">AV207+AV208+AV209</f>
        <v>1875000</v>
      </c>
      <c r="AW210" s="75" t="n">
        <f aca="false">AW207+AW208+AW209</f>
        <v>1850000</v>
      </c>
      <c r="AX210" s="75" t="n">
        <f aca="false">AX207+AX208+AX209</f>
        <v>1825000</v>
      </c>
      <c r="AY210" s="75" t="n">
        <f aca="false">AY207+AY208+AY209</f>
        <v>1800000</v>
      </c>
      <c r="AZ210" s="75" t="n">
        <f aca="false">AZ207+AZ208+AZ209</f>
        <v>1775000</v>
      </c>
      <c r="BA210" s="75" t="n">
        <f aca="false">BA207+BA208+BA209</f>
        <v>1750000</v>
      </c>
      <c r="BB210" s="75" t="n">
        <f aca="false">BB207+BB208+BB209</f>
        <v>1725000</v>
      </c>
      <c r="BC210" s="75" t="n">
        <f aca="false">BC207+BC208+BC209</f>
        <v>1700000</v>
      </c>
      <c r="BD210" s="75" t="n">
        <f aca="false">BD207+BD208+BD209</f>
        <v>1675000</v>
      </c>
      <c r="BE210" s="75" t="n">
        <f aca="false">BE207+BE208+BE209</f>
        <v>1650000</v>
      </c>
      <c r="BF210" s="75" t="n">
        <f aca="false">BF207+BF208+BF209</f>
        <v>1625000</v>
      </c>
      <c r="BG210" s="75" t="n">
        <f aca="false">BG207+BG208+BG209</f>
        <v>1600000</v>
      </c>
      <c r="BH210" s="75" t="n">
        <f aca="false">BH207+BH208+BH209</f>
        <v>1575000</v>
      </c>
      <c r="BI210" s="75" t="n">
        <f aca="false">BI207+BI208+BI209</f>
        <v>1550000</v>
      </c>
      <c r="BJ210" s="75" t="n">
        <f aca="false">BJ207+BJ208+BJ209</f>
        <v>1525000</v>
      </c>
    </row>
    <row r="212" customFormat="false" ht="15.75" hidden="false" customHeight="true" outlineLevel="0" collapsed="false">
      <c r="A212" s="7" t="s">
        <v>324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</row>
    <row r="213" customFormat="false" ht="15" hidden="false" customHeight="false" outlineLevel="0" collapsed="false">
      <c r="A213" s="6" t="s">
        <v>90</v>
      </c>
      <c r="C213" s="69" t="n">
        <f aca="false">C166*Inputs!$C$73/30</f>
        <v>3196.22386666667</v>
      </c>
      <c r="D213" s="69" t="n">
        <f aca="false">D166*Inputs!$C$73/30</f>
        <v>3629.92906014815</v>
      </c>
      <c r="E213" s="69" t="n">
        <f aca="false">E166*Inputs!$C$73/30</f>
        <v>4851.56011996444</v>
      </c>
      <c r="F213" s="69" t="n">
        <f aca="false">F166*Inputs!$C$73/30</f>
        <v>5403.45992257327</v>
      </c>
      <c r="G213" s="69" t="n">
        <f aca="false">G166*Inputs!$C$73/30</f>
        <v>5966.01842937405</v>
      </c>
      <c r="H213" s="69" t="n">
        <f aca="false">H166*Inputs!$C$73/30</f>
        <v>6538.80929219909</v>
      </c>
      <c r="I213" s="69" t="n">
        <f aca="false">I166*Inputs!$C$73/30</f>
        <v>7121.42321680742</v>
      </c>
      <c r="J213" s="69" t="n">
        <f aca="false">J166*Inputs!$C$73/30</f>
        <v>7713.46728072771</v>
      </c>
      <c r="K213" s="69" t="n">
        <f aca="false">K166*Inputs!$C$73/30</f>
        <v>8314.5642783875</v>
      </c>
      <c r="L213" s="69" t="n">
        <f aca="false">L166*Inputs!$C$73/30</f>
        <v>8924.35209243718</v>
      </c>
      <c r="M213" s="69" t="n">
        <f aca="false">M166*Inputs!$C$73/30</f>
        <v>9103.03667540636</v>
      </c>
      <c r="N213" s="69" t="n">
        <f aca="false">N166*Inputs!$C$73/30</f>
        <v>7915.98187505677</v>
      </c>
      <c r="O213" s="69" t="n">
        <f aca="false">O166*Inputs!$C$73/30</f>
        <v>8219.27213205559</v>
      </c>
      <c r="P213" s="69" t="n">
        <f aca="false">P166*Inputs!$C$73/30</f>
        <v>8361.41892677337</v>
      </c>
      <c r="Q213" s="69" t="n">
        <f aca="false">Q166*Inputs!$C$73/30</f>
        <v>9883.64368970243</v>
      </c>
      <c r="R213" s="69" t="n">
        <f aca="false">R166*Inputs!$C$73/30</f>
        <v>10040.6197821143</v>
      </c>
      <c r="S213" s="69" t="n">
        <f aca="false">S166*Inputs!$C$73/30</f>
        <v>10191.3168308298</v>
      </c>
      <c r="T213" s="69" t="n">
        <f aca="false">T166*Inputs!$C$73/30</f>
        <v>10335.9859975966</v>
      </c>
      <c r="U213" s="69" t="n">
        <f aca="false">U166*Inputs!$C$73/30</f>
        <v>10474.8683976927</v>
      </c>
      <c r="V213" s="69" t="n">
        <f aca="false">V166*Inputs!$C$73/30</f>
        <v>10608.195501785</v>
      </c>
      <c r="W213" s="69" t="n">
        <f aca="false">W166*Inputs!$C$73/30</f>
        <v>10736.1895217136</v>
      </c>
      <c r="X213" s="69" t="n">
        <f aca="false">X166*Inputs!$C$73/30</f>
        <v>10859.0637808451</v>
      </c>
      <c r="Y213" s="69" t="n">
        <f aca="false">Y166*Inputs!$C$73/30</f>
        <v>10977.0230696113</v>
      </c>
      <c r="Z213" s="69" t="n">
        <f aca="false">Z166*Inputs!$C$73/30</f>
        <v>9704.5001468268</v>
      </c>
      <c r="AA213" s="69" t="n">
        <f aca="false">AA166*Inputs!$C$73/30</f>
        <v>9986.1688023728</v>
      </c>
      <c r="AB213" s="69" t="n">
        <f aca="false">AB166*Inputs!$C$73/30</f>
        <v>10073.4305338779</v>
      </c>
      <c r="AC213" s="69" t="n">
        <f aca="false">AC166*Inputs!$C$73/30</f>
        <v>11570.6809129228</v>
      </c>
      <c r="AD213" s="69" t="n">
        <f aca="false">AD166*Inputs!$C$73/30</f>
        <v>11677.5944032059</v>
      </c>
      <c r="AE213" s="69" t="n">
        <f aca="false">AE166*Inputs!$C$73/30</f>
        <v>11780.2313538776</v>
      </c>
      <c r="AF213" s="69" t="n">
        <f aca="false">AF166*Inputs!$C$73/30</f>
        <v>11878.7628265225</v>
      </c>
      <c r="AG213" s="69" t="n">
        <f aca="false">AG166*Inputs!$C$73/30</f>
        <v>11973.3530402616</v>
      </c>
      <c r="AH213" s="69" t="n">
        <f aca="false">AH166*Inputs!$C$73/30</f>
        <v>12064.1596454512</v>
      </c>
      <c r="AI213" s="69" t="n">
        <f aca="false">AI166*Inputs!$C$73/30</f>
        <v>12151.3339864331</v>
      </c>
      <c r="AJ213" s="69" t="n">
        <f aca="false">AJ166*Inputs!$C$73/30</f>
        <v>12235.0213537758</v>
      </c>
      <c r="AK213" s="69" t="n">
        <f aca="false">AK166*Inputs!$C$73/30</f>
        <v>12315.3612264248</v>
      </c>
      <c r="AL213" s="69" t="n">
        <f aca="false">AL166*Inputs!$C$73/30</f>
        <v>10979.0083873678</v>
      </c>
      <c r="AM213" s="69" t="n">
        <f aca="false">AM166*Inputs!$C$73/30</f>
        <v>11250.5001131575</v>
      </c>
      <c r="AN213" s="69" t="n">
        <f aca="false">AN166*Inputs!$C$73/30</f>
        <v>11303.7476558532</v>
      </c>
      <c r="AO213" s="69" t="n">
        <f aca="false">AO166*Inputs!$C$73/30</f>
        <v>12796.6139959771</v>
      </c>
      <c r="AP213" s="69" t="n">
        <f aca="false">AP166*Inputs!$C$73/30</f>
        <v>12872.709871424</v>
      </c>
      <c r="AQ213" s="69" t="n">
        <f aca="false">AQ166*Inputs!$C$73/30</f>
        <v>12945.761911853</v>
      </c>
      <c r="AR213" s="69" t="n">
        <f aca="false">AR166*Inputs!$C$73/30</f>
        <v>13015.8918706649</v>
      </c>
      <c r="AS213" s="69" t="n">
        <f aca="false">AS166*Inputs!$C$73/30</f>
        <v>13083.2166311243</v>
      </c>
      <c r="AT213" s="69" t="n">
        <f aca="false">AT166*Inputs!$C$73/30</f>
        <v>13147.8484011654</v>
      </c>
      <c r="AU213" s="69" t="n">
        <f aca="false">AU166*Inputs!$C$73/30</f>
        <v>13209.8949004047</v>
      </c>
      <c r="AV213" s="69" t="n">
        <f aca="false">AV166*Inputs!$C$73/30</f>
        <v>13269.4595396745</v>
      </c>
      <c r="AW213" s="69" t="n">
        <f aca="false">AW166*Inputs!$C$73/30</f>
        <v>13326.6415933736</v>
      </c>
      <c r="AX213" s="69" t="n">
        <f aca="false">AX166*Inputs!$C$73/30</f>
        <v>11939.7876657886</v>
      </c>
      <c r="AY213" s="69" t="n">
        <f aca="false">AY166*Inputs!$C$73/30</f>
        <v>12208.4277112169</v>
      </c>
      <c r="AZ213" s="69" t="n">
        <f aca="false">AZ166*Inputs!$C$73/30</f>
        <v>12240.7329623551</v>
      </c>
      <c r="BA213" s="69" t="n">
        <f aca="false">BA166*Inputs!$C$73/30</f>
        <v>13742.3296765665</v>
      </c>
      <c r="BB213" s="69" t="n">
        <f aca="false">BB166*Inputs!$C$73/30</f>
        <v>13799.665594916</v>
      </c>
      <c r="BC213" s="69" t="n">
        <f aca="false">BC166*Inputs!$C$73/30</f>
        <v>13854.7080765315</v>
      </c>
      <c r="BD213" s="69" t="n">
        <f aca="false">BD166*Inputs!$C$73/30</f>
        <v>13907.5488588824</v>
      </c>
      <c r="BE213" s="69" t="n">
        <f aca="false">BE166*Inputs!$C$73/30</f>
        <v>13958.2760099393</v>
      </c>
      <c r="BF213" s="69" t="n">
        <f aca="false">BF166*Inputs!$C$73/30</f>
        <v>14006.9740749539</v>
      </c>
      <c r="BG213" s="69" t="n">
        <f aca="false">BG166*Inputs!$C$73/30</f>
        <v>14053.7242173679</v>
      </c>
      <c r="BH213" s="69" t="n">
        <f aca="false">BH166*Inputs!$C$73/30</f>
        <v>14098.6043540854</v>
      </c>
      <c r="BI213" s="69" t="n">
        <f aca="false">BI166*Inputs!$C$73/30</f>
        <v>14141.6892853341</v>
      </c>
      <c r="BJ213" s="69" t="n">
        <f aca="false">BJ166*Inputs!$C$73/30</f>
        <v>12712.4671462142</v>
      </c>
    </row>
    <row r="214" customFormat="false" ht="15" hidden="false" customHeight="false" outlineLevel="0" collapsed="false">
      <c r="A214" s="6" t="s">
        <v>91</v>
      </c>
      <c r="C214" s="69" t="n">
        <f aca="false">-C174*Inputs!$C$74/30</f>
        <v>3535.97287295</v>
      </c>
      <c r="D214" s="69" t="n">
        <f aca="false">-D174*Inputs!$C$74/30</f>
        <v>4015.72440315978</v>
      </c>
      <c r="E214" s="69" t="n">
        <f aca="false">-E174*Inputs!$C$74/30</f>
        <v>5538.41762848136</v>
      </c>
      <c r="F214" s="69" t="n">
        <f aca="false">-F174*Inputs!$C$74/30</f>
        <v>6180.84844069211</v>
      </c>
      <c r="G214" s="69" t="n">
        <f aca="false">-G174*Inputs!$C$74/30</f>
        <v>6839.35924051442</v>
      </c>
      <c r="H214" s="69" t="n">
        <f aca="false">-H174*Inputs!$C$74/30</f>
        <v>7513.30682844384</v>
      </c>
      <c r="I214" s="69" t="n">
        <f aca="false">-I174*Inputs!$C$74/30</f>
        <v>8202.07373295609</v>
      </c>
      <c r="J214" s="69" t="n">
        <f aca="false">-J174*Inputs!$C$74/30</f>
        <v>8905.06718138785</v>
      </c>
      <c r="K214" s="69" t="n">
        <f aca="false">-K174*Inputs!$C$74/30</f>
        <v>9621.71811198233</v>
      </c>
      <c r="L214" s="69" t="n">
        <f aca="false">-L174*Inputs!$C$74/30</f>
        <v>10351.480225453</v>
      </c>
      <c r="M214" s="69" t="n">
        <f aca="false">-M174*Inputs!$C$74/30</f>
        <v>10621.0482544349</v>
      </c>
      <c r="N214" s="69" t="n">
        <f aca="false">-N174*Inputs!$C$74/30</f>
        <v>8885.78253780614</v>
      </c>
      <c r="O214" s="69" t="n">
        <f aca="false">-O174*Inputs!$C$74/30</f>
        <v>9319.28292728009</v>
      </c>
      <c r="P214" s="69" t="n">
        <f aca="false">-P174*Inputs!$C$74/30</f>
        <v>9500.42236462389</v>
      </c>
      <c r="Q214" s="69" t="n">
        <f aca="false">-Q174*Inputs!$C$74/30</f>
        <v>11829.7121932812</v>
      </c>
      <c r="R214" s="69" t="n">
        <f aca="false">-R174*Inputs!$C$74/30</f>
        <v>12068.5057255649</v>
      </c>
      <c r="S214" s="69" t="n">
        <f aca="false">-S174*Inputs!$C$74/30</f>
        <v>12297.7475165574</v>
      </c>
      <c r="T214" s="69" t="n">
        <f aca="false">-T174*Inputs!$C$74/30</f>
        <v>12517.8196359101</v>
      </c>
      <c r="U214" s="69" t="n">
        <f aca="false">-U174*Inputs!$C$74/30</f>
        <v>12729.0888704887</v>
      </c>
      <c r="V214" s="69" t="n">
        <f aca="false">-V174*Inputs!$C$74/30</f>
        <v>12931.9073356841</v>
      </c>
      <c r="W214" s="69" t="n">
        <f aca="false">-W174*Inputs!$C$74/30</f>
        <v>13126.6130622717</v>
      </c>
      <c r="X214" s="69" t="n">
        <f aca="false">-X174*Inputs!$C$74/30</f>
        <v>13313.5305597959</v>
      </c>
      <c r="Y214" s="69" t="n">
        <f aca="false">-Y174*Inputs!$C$74/30</f>
        <v>13492.971357419</v>
      </c>
      <c r="Z214" s="69" t="n">
        <f aca="false">-Z174*Inputs!$C$74/30</f>
        <v>11211.9275518532</v>
      </c>
      <c r="AA214" s="69" t="n">
        <f aca="false">-AA174*Inputs!$C$74/30</f>
        <v>11638.9537794879</v>
      </c>
      <c r="AB214" s="69" t="n">
        <f aca="false">-AB174*Inputs!$C$74/30</f>
        <v>11751.0501890855</v>
      </c>
      <c r="AC214" s="69" t="n">
        <f aca="false">-AC174*Inputs!$C$74/30</f>
        <v>14446.927393797</v>
      </c>
      <c r="AD214" s="69" t="n">
        <f aca="false">-AD174*Inputs!$C$74/30</f>
        <v>14610.9238670659</v>
      </c>
      <c r="AE214" s="69" t="n">
        <f aca="false">-AE174*Inputs!$C$74/30</f>
        <v>14768.360481404</v>
      </c>
      <c r="AF214" s="69" t="n">
        <f aca="false">-AF174*Inputs!$C$74/30</f>
        <v>14919.4996311686</v>
      </c>
      <c r="AG214" s="69" t="n">
        <f aca="false">-AG174*Inputs!$C$74/30</f>
        <v>15064.5932149426</v>
      </c>
      <c r="AH214" s="69" t="n">
        <f aca="false">-AH174*Inputs!$C$74/30</f>
        <v>15203.8830553657</v>
      </c>
      <c r="AI214" s="69" t="n">
        <f aca="false">-AI174*Inputs!$C$74/30</f>
        <v>15337.6013021718</v>
      </c>
      <c r="AJ214" s="69" t="n">
        <f aca="false">-AJ174*Inputs!$C$74/30</f>
        <v>15465.9708191057</v>
      </c>
      <c r="AK214" s="69" t="n">
        <f aca="false">-AK174*Inputs!$C$74/30</f>
        <v>15589.2055553623</v>
      </c>
      <c r="AL214" s="69" t="n">
        <f aca="false">-AL174*Inputs!$C$74/30</f>
        <v>12914.3553887009</v>
      </c>
      <c r="AM214" s="69" t="n">
        <f aca="false">-AM174*Inputs!$C$74/30</f>
        <v>13344.308132007</v>
      </c>
      <c r="AN214" s="69" t="n">
        <f aca="false">-AN174*Inputs!$C$74/30</f>
        <v>13413.2630667668</v>
      </c>
      <c r="AO214" s="69" t="n">
        <f aca="false">-AO174*Inputs!$C$74/30</f>
        <v>16392.5741857616</v>
      </c>
      <c r="AP214" s="69" t="n">
        <f aca="false">-AP174*Inputs!$C$74/30</f>
        <v>16510.2754826419</v>
      </c>
      <c r="AQ214" s="69" t="n">
        <f aca="false">-AQ174*Inputs!$C$74/30</f>
        <v>16623.2687276469</v>
      </c>
      <c r="AR214" s="69" t="n">
        <f aca="false">-AR174*Inputs!$C$74/30</f>
        <v>16731.7422428517</v>
      </c>
      <c r="AS214" s="69" t="n">
        <f aca="false">-AS174*Inputs!$C$74/30</f>
        <v>16835.8768174484</v>
      </c>
      <c r="AT214" s="69" t="n">
        <f aca="false">-AT174*Inputs!$C$74/30</f>
        <v>16935.8460090612</v>
      </c>
      <c r="AU214" s="69" t="n">
        <f aca="false">-AU174*Inputs!$C$74/30</f>
        <v>17031.8164330094</v>
      </c>
      <c r="AV214" s="69" t="n">
        <f aca="false">-AV174*Inputs!$C$74/30</f>
        <v>17123.9480399998</v>
      </c>
      <c r="AW214" s="69" t="n">
        <f aca="false">-AW174*Inputs!$C$74/30</f>
        <v>17212.3943827105</v>
      </c>
      <c r="AX214" s="69" t="n">
        <f aca="false">-AX174*Inputs!$C$74/30</f>
        <v>14236.9273180993</v>
      </c>
      <c r="AY214" s="69" t="n">
        <f aca="false">-AY174*Inputs!$C$74/30</f>
        <v>14676.131687875</v>
      </c>
      <c r="AZ214" s="69" t="n">
        <f aca="false">-AZ174*Inputs!$C$74/30</f>
        <v>14718.3054886929</v>
      </c>
      <c r="BA214" s="69" t="n">
        <f aca="false">-BA174*Inputs!$C$74/30</f>
        <v>17931.4199620932</v>
      </c>
      <c r="BB214" s="69" t="n">
        <f aca="false">-BB174*Inputs!$C$74/30</f>
        <v>18020.8472729085</v>
      </c>
      <c r="BC214" s="69" t="n">
        <f aca="false">-BC174*Inputs!$C$74/30</f>
        <v>18106.6974912911</v>
      </c>
      <c r="BD214" s="69" t="n">
        <f aca="false">-BD174*Inputs!$C$74/30</f>
        <v>18189.1137009384</v>
      </c>
      <c r="BE214" s="69" t="n">
        <f aca="false">-BE174*Inputs!$C$74/30</f>
        <v>18268.2332621999</v>
      </c>
      <c r="BF214" s="69" t="n">
        <f aca="false">-BF174*Inputs!$C$74/30</f>
        <v>18344.1880410108</v>
      </c>
      <c r="BG214" s="69" t="n">
        <f aca="false">-BG174*Inputs!$C$74/30</f>
        <v>18417.1046286694</v>
      </c>
      <c r="BH214" s="69" t="n">
        <f aca="false">-BH174*Inputs!$C$74/30</f>
        <v>18487.1045528216</v>
      </c>
      <c r="BI214" s="69" t="n">
        <f aca="false">-BI174*Inputs!$C$74/30</f>
        <v>18554.3044800077</v>
      </c>
      <c r="BJ214" s="69" t="n">
        <f aca="false">-BJ174*Inputs!$C$74/30</f>
        <v>15334.1441777025</v>
      </c>
    </row>
    <row r="215" customFormat="false" ht="15" hidden="false" customHeight="false" outlineLevel="0" collapsed="false">
      <c r="A215" s="6" t="s">
        <v>94</v>
      </c>
      <c r="C215" s="69" t="n">
        <f aca="false">-C174*Inputs!$C$75/30</f>
        <v>5893.28812158333</v>
      </c>
      <c r="D215" s="69" t="n">
        <f aca="false">-D174*Inputs!$C$75/30</f>
        <v>6692.8740052663</v>
      </c>
      <c r="E215" s="69" t="n">
        <f aca="false">-E174*Inputs!$C$75/30</f>
        <v>9230.69604746893</v>
      </c>
      <c r="F215" s="69" t="n">
        <f aca="false">-F174*Inputs!$C$75/30</f>
        <v>10301.4140678202</v>
      </c>
      <c r="G215" s="69" t="n">
        <f aca="false">-G174*Inputs!$C$75/30</f>
        <v>11398.932067524</v>
      </c>
      <c r="H215" s="69" t="n">
        <f aca="false">-H174*Inputs!$C$75/30</f>
        <v>12522.1780474064</v>
      </c>
      <c r="I215" s="69" t="n">
        <f aca="false">-I174*Inputs!$C$75/30</f>
        <v>13670.1228882601</v>
      </c>
      <c r="J215" s="69" t="n">
        <f aca="false">-J174*Inputs!$C$75/30</f>
        <v>14841.7786356464</v>
      </c>
      <c r="K215" s="69" t="n">
        <f aca="false">-K174*Inputs!$C$75/30</f>
        <v>16036.1968533039</v>
      </c>
      <c r="L215" s="69" t="n">
        <f aca="false">-L174*Inputs!$C$75/30</f>
        <v>17252.4670424217</v>
      </c>
      <c r="M215" s="69" t="n">
        <f aca="false">-M174*Inputs!$C$75/30</f>
        <v>17701.7470907249</v>
      </c>
      <c r="N215" s="69" t="n">
        <f aca="false">-N174*Inputs!$C$75/30</f>
        <v>14809.6375630102</v>
      </c>
      <c r="O215" s="69" t="n">
        <f aca="false">-O174*Inputs!$C$75/30</f>
        <v>15532.1382121335</v>
      </c>
      <c r="P215" s="69" t="n">
        <f aca="false">-P174*Inputs!$C$75/30</f>
        <v>15834.0372743731</v>
      </c>
      <c r="Q215" s="69" t="n">
        <f aca="false">-Q174*Inputs!$C$75/30</f>
        <v>19716.186988802</v>
      </c>
      <c r="R215" s="69" t="n">
        <f aca="false">-R174*Inputs!$C$75/30</f>
        <v>20114.1762092749</v>
      </c>
      <c r="S215" s="69" t="n">
        <f aca="false">-S174*Inputs!$C$75/30</f>
        <v>20496.2458609289</v>
      </c>
      <c r="T215" s="69" t="n">
        <f aca="false">-T174*Inputs!$C$75/30</f>
        <v>20863.0327265168</v>
      </c>
      <c r="U215" s="69" t="n">
        <f aca="false">-U174*Inputs!$C$75/30</f>
        <v>21215.1481174811</v>
      </c>
      <c r="V215" s="69" t="n">
        <f aca="false">-V174*Inputs!$C$75/30</f>
        <v>21553.1788928068</v>
      </c>
      <c r="W215" s="69" t="n">
        <f aca="false">-W174*Inputs!$C$75/30</f>
        <v>21877.6884371196</v>
      </c>
      <c r="X215" s="69" t="n">
        <f aca="false">-X174*Inputs!$C$75/30</f>
        <v>22189.2175996598</v>
      </c>
      <c r="Y215" s="69" t="n">
        <f aca="false">-Y174*Inputs!$C$75/30</f>
        <v>22488.2855956984</v>
      </c>
      <c r="Z215" s="69" t="n">
        <f aca="false">-Z174*Inputs!$C$75/30</f>
        <v>18686.5459197554</v>
      </c>
      <c r="AA215" s="69" t="n">
        <f aca="false">-AA174*Inputs!$C$75/30</f>
        <v>19398.2562991465</v>
      </c>
      <c r="AB215" s="69" t="n">
        <f aca="false">-AB174*Inputs!$C$75/30</f>
        <v>19585.0836484758</v>
      </c>
      <c r="AC215" s="69" t="n">
        <f aca="false">-AC174*Inputs!$C$75/30</f>
        <v>24078.212322995</v>
      </c>
      <c r="AD215" s="69" t="n">
        <f aca="false">-AD174*Inputs!$C$75/30</f>
        <v>24351.5397784432</v>
      </c>
      <c r="AE215" s="69" t="n">
        <f aca="false">-AE174*Inputs!$C$75/30</f>
        <v>24613.9341356734</v>
      </c>
      <c r="AF215" s="69" t="n">
        <f aca="false">-AF174*Inputs!$C$75/30</f>
        <v>24865.8327186144</v>
      </c>
      <c r="AG215" s="69" t="n">
        <f aca="false">-AG174*Inputs!$C$75/30</f>
        <v>25107.6553582377</v>
      </c>
      <c r="AH215" s="69" t="n">
        <f aca="false">-AH174*Inputs!$C$75/30</f>
        <v>25339.8050922762</v>
      </c>
      <c r="AI215" s="69" t="n">
        <f aca="false">-AI174*Inputs!$C$75/30</f>
        <v>25562.6688369531</v>
      </c>
      <c r="AJ215" s="69" t="n">
        <f aca="false">-AJ174*Inputs!$C$75/30</f>
        <v>25776.6180318429</v>
      </c>
      <c r="AK215" s="69" t="n">
        <f aca="false">-AK174*Inputs!$C$75/30</f>
        <v>25982.0092589371</v>
      </c>
      <c r="AL215" s="69" t="n">
        <f aca="false">-AL174*Inputs!$C$75/30</f>
        <v>21523.9256478349</v>
      </c>
      <c r="AM215" s="69" t="n">
        <f aca="false">-AM174*Inputs!$C$75/30</f>
        <v>22240.513553345</v>
      </c>
      <c r="AN215" s="69" t="n">
        <f aca="false">-AN174*Inputs!$C$75/30</f>
        <v>22355.4384446114</v>
      </c>
      <c r="AO215" s="69" t="n">
        <f aca="false">-AO174*Inputs!$C$75/30</f>
        <v>27320.9569762693</v>
      </c>
      <c r="AP215" s="69" t="n">
        <f aca="false">-AP174*Inputs!$C$75/30</f>
        <v>27517.1258044031</v>
      </c>
      <c r="AQ215" s="69" t="n">
        <f aca="false">-AQ174*Inputs!$C$75/30</f>
        <v>27705.4478794115</v>
      </c>
      <c r="AR215" s="69" t="n">
        <f aca="false">-AR174*Inputs!$C$75/30</f>
        <v>27886.2370714195</v>
      </c>
      <c r="AS215" s="69" t="n">
        <f aca="false">-AS174*Inputs!$C$75/30</f>
        <v>28059.7946957473</v>
      </c>
      <c r="AT215" s="69" t="n">
        <f aca="false">-AT174*Inputs!$C$75/30</f>
        <v>28226.4100151019</v>
      </c>
      <c r="AU215" s="69" t="n">
        <f aca="false">-AU174*Inputs!$C$75/30</f>
        <v>28386.3607216824</v>
      </c>
      <c r="AV215" s="69" t="n">
        <f aca="false">-AV174*Inputs!$C$75/30</f>
        <v>28539.9133999996</v>
      </c>
      <c r="AW215" s="69" t="n">
        <f aca="false">-AW174*Inputs!$C$75/30</f>
        <v>28687.3239711841</v>
      </c>
      <c r="AX215" s="69" t="n">
        <f aca="false">-AX174*Inputs!$C$75/30</f>
        <v>23728.2121968321</v>
      </c>
      <c r="AY215" s="69" t="n">
        <f aca="false">-AY174*Inputs!$C$75/30</f>
        <v>24460.2194797916</v>
      </c>
      <c r="AZ215" s="69" t="n">
        <f aca="false">-AZ174*Inputs!$C$75/30</f>
        <v>24530.5091478215</v>
      </c>
      <c r="BA215" s="69" t="n">
        <f aca="false">-BA174*Inputs!$C$75/30</f>
        <v>29885.6999368221</v>
      </c>
      <c r="BB215" s="69" t="n">
        <f aca="false">-BB174*Inputs!$C$75/30</f>
        <v>30034.7454548475</v>
      </c>
      <c r="BC215" s="69" t="n">
        <f aca="false">-BC174*Inputs!$C$75/30</f>
        <v>30177.8291521518</v>
      </c>
      <c r="BD215" s="69" t="n">
        <f aca="false">-BD174*Inputs!$C$75/30</f>
        <v>30315.189501564</v>
      </c>
      <c r="BE215" s="69" t="n">
        <f aca="false">-BE174*Inputs!$C$75/30</f>
        <v>30447.0554369998</v>
      </c>
      <c r="BF215" s="69" t="n">
        <f aca="false">-BF174*Inputs!$C$75/30</f>
        <v>30573.6467350181</v>
      </c>
      <c r="BG215" s="69" t="n">
        <f aca="false">-BG174*Inputs!$C$75/30</f>
        <v>30695.1743811156</v>
      </c>
      <c r="BH215" s="69" t="n">
        <f aca="false">-BH174*Inputs!$C$75/30</f>
        <v>30811.8409213693</v>
      </c>
      <c r="BI215" s="69" t="n">
        <f aca="false">-BI174*Inputs!$C$75/30</f>
        <v>30923.8408000128</v>
      </c>
      <c r="BJ215" s="69" t="n">
        <f aca="false">-BJ174*Inputs!$C$75/30</f>
        <v>25556.9069628375</v>
      </c>
    </row>
    <row r="216" customFormat="false" ht="15" hidden="false" customHeight="false" outlineLevel="0" collapsed="false">
      <c r="A216" s="6" t="s">
        <v>346</v>
      </c>
      <c r="C216" s="69" t="n">
        <f aca="false">-C213</f>
        <v>-3196.22386666667</v>
      </c>
      <c r="D216" s="69" t="n">
        <f aca="false">C213-D213</f>
        <v>-433.705193481482</v>
      </c>
      <c r="E216" s="69" t="n">
        <f aca="false">D213-E213</f>
        <v>-1221.6310598163</v>
      </c>
      <c r="F216" s="69" t="n">
        <f aca="false">E213-F213</f>
        <v>-551.899802608829</v>
      </c>
      <c r="G216" s="69" t="n">
        <f aca="false">F213-G213</f>
        <v>-562.558506800773</v>
      </c>
      <c r="H216" s="69" t="n">
        <f aca="false">G213-H213</f>
        <v>-572.790862825039</v>
      </c>
      <c r="I216" s="69" t="n">
        <f aca="false">H213-I213</f>
        <v>-582.613924608332</v>
      </c>
      <c r="J216" s="69" t="n">
        <f aca="false">I213-J213</f>
        <v>-592.044063920296</v>
      </c>
      <c r="K216" s="69" t="n">
        <f aca="false">J213-K213</f>
        <v>-601.096997659782</v>
      </c>
      <c r="L216" s="69" t="n">
        <f aca="false">K213-L213</f>
        <v>-609.787814049685</v>
      </c>
      <c r="M216" s="69" t="n">
        <f aca="false">L213-M213</f>
        <v>-178.684582969179</v>
      </c>
      <c r="N216" s="69" t="n">
        <f aca="false">M213-N213</f>
        <v>1187.05480034959</v>
      </c>
      <c r="O216" s="69" t="n">
        <f aca="false">N213-O213</f>
        <v>-303.290256998819</v>
      </c>
      <c r="P216" s="69" t="n">
        <f aca="false">O213-P213</f>
        <v>-142.146794717777</v>
      </c>
      <c r="Q216" s="69" t="n">
        <f aca="false">P213-Q213</f>
        <v>-1522.22476292907</v>
      </c>
      <c r="R216" s="69" t="n">
        <f aca="false">Q213-R213</f>
        <v>-156.976092411904</v>
      </c>
      <c r="S216" s="69" t="n">
        <f aca="false">R213-S213</f>
        <v>-150.697048715427</v>
      </c>
      <c r="T216" s="69" t="n">
        <f aca="false">S213-T213</f>
        <v>-144.669166766809</v>
      </c>
      <c r="U216" s="69" t="n">
        <f aca="false">T213-U213</f>
        <v>-138.882400096136</v>
      </c>
      <c r="V216" s="69" t="n">
        <f aca="false">U213-V213</f>
        <v>-133.327104092292</v>
      </c>
      <c r="W216" s="69" t="n">
        <f aca="false">V213-W213</f>
        <v>-127.994019928599</v>
      </c>
      <c r="X216" s="69" t="n">
        <f aca="false">W213-X213</f>
        <v>-122.874259131457</v>
      </c>
      <c r="Y216" s="69" t="n">
        <f aca="false">X213-Y213</f>
        <v>-117.959288766197</v>
      </c>
      <c r="Z216" s="69" t="n">
        <f aca="false">Y213-Z213</f>
        <v>1272.52292278445</v>
      </c>
      <c r="AA216" s="69" t="n">
        <f aca="false">Z213-AA213</f>
        <v>-281.668655546002</v>
      </c>
      <c r="AB216" s="69" t="n">
        <f aca="false">AA213-AB213</f>
        <v>-87.2617315050902</v>
      </c>
      <c r="AC216" s="69" t="n">
        <f aca="false">AB213-AC213</f>
        <v>-1497.25037904488</v>
      </c>
      <c r="AD216" s="69" t="n">
        <f aca="false">AC213-AD213</f>
        <v>-106.913490283088</v>
      </c>
      <c r="AE216" s="69" t="n">
        <f aca="false">AD213-AE213</f>
        <v>-102.636950671766</v>
      </c>
      <c r="AF216" s="69" t="n">
        <f aca="false">AE213-AF213</f>
        <v>-98.5314726448942</v>
      </c>
      <c r="AG216" s="69" t="n">
        <f aca="false">AF213-AG213</f>
        <v>-94.5902137390985</v>
      </c>
      <c r="AH216" s="69" t="n">
        <f aca="false">AG213-AH213</f>
        <v>-90.806605189533</v>
      </c>
      <c r="AI216" s="69" t="n">
        <f aca="false">AH213-AI213</f>
        <v>-87.1743409819555</v>
      </c>
      <c r="AJ216" s="69" t="n">
        <f aca="false">AI213-AJ213</f>
        <v>-83.6873673426744</v>
      </c>
      <c r="AK216" s="69" t="n">
        <f aca="false">AJ213-AK213</f>
        <v>-80.3398726489686</v>
      </c>
      <c r="AL216" s="69" t="n">
        <f aca="false">AK213-AL213</f>
        <v>1336.35283905699</v>
      </c>
      <c r="AM216" s="69" t="n">
        <f aca="false">AL213-AM213</f>
        <v>-271.491725789752</v>
      </c>
      <c r="AN216" s="69" t="n">
        <f aca="false">AM213-AN213</f>
        <v>-53.2475426956989</v>
      </c>
      <c r="AO216" s="69" t="n">
        <f aca="false">AN213-AO213</f>
        <v>-1492.86634012387</v>
      </c>
      <c r="AP216" s="69" t="n">
        <f aca="false">AO213-AP213</f>
        <v>-76.0958754469157</v>
      </c>
      <c r="AQ216" s="69" t="n">
        <f aca="false">AP213-AQ213</f>
        <v>-73.0520404290382</v>
      </c>
      <c r="AR216" s="69" t="n">
        <f aca="false">AQ213-AR213</f>
        <v>-70.12995881188</v>
      </c>
      <c r="AS216" s="69" t="n">
        <f aca="false">AR213-AS213</f>
        <v>-67.3247604594017</v>
      </c>
      <c r="AT216" s="69" t="n">
        <f aca="false">AS213-AT213</f>
        <v>-64.6317700410273</v>
      </c>
      <c r="AU216" s="69" t="n">
        <f aca="false">AT213-AU213</f>
        <v>-62.0464992393845</v>
      </c>
      <c r="AV216" s="69" t="n">
        <f aca="false">AU213-AV213</f>
        <v>-59.5646392698109</v>
      </c>
      <c r="AW216" s="69" t="n">
        <f aca="false">AV213-AW213</f>
        <v>-57.1820536990163</v>
      </c>
      <c r="AX216" s="69" t="n">
        <f aca="false">AW213-AX213</f>
        <v>1386.85392758494</v>
      </c>
      <c r="AY216" s="69" t="n">
        <f aca="false">AX213-AY213</f>
        <v>-268.640045428259</v>
      </c>
      <c r="AZ216" s="69" t="n">
        <f aca="false">AY213-AZ213</f>
        <v>-32.3052511382139</v>
      </c>
      <c r="BA216" s="69" t="n">
        <f aca="false">AZ213-BA213</f>
        <v>-1501.59671421141</v>
      </c>
      <c r="BB216" s="69" t="n">
        <f aca="false">BA213-BB213</f>
        <v>-57.3359183495086</v>
      </c>
      <c r="BC216" s="69" t="n">
        <f aca="false">BB213-BC213</f>
        <v>-55.0424816155301</v>
      </c>
      <c r="BD216" s="69" t="n">
        <f aca="false">BC213-BD213</f>
        <v>-52.8407823509078</v>
      </c>
      <c r="BE216" s="69" t="n">
        <f aca="false">BD213-BE213</f>
        <v>-50.7271510568717</v>
      </c>
      <c r="BF216" s="69" t="n">
        <f aca="false">BE213-BF213</f>
        <v>-48.6980650145961</v>
      </c>
      <c r="BG216" s="69" t="n">
        <f aca="false">BF213-BG213</f>
        <v>-46.7501424140137</v>
      </c>
      <c r="BH216" s="69" t="n">
        <f aca="false">BG213-BH213</f>
        <v>-44.880136717451</v>
      </c>
      <c r="BI216" s="69" t="n">
        <f aca="false">BH213-BI213</f>
        <v>-43.0849312487553</v>
      </c>
      <c r="BJ216" s="69" t="n">
        <f aca="false">BI213-BJ213</f>
        <v>1429.22213911992</v>
      </c>
    </row>
    <row r="217" customFormat="false" ht="15" hidden="false" customHeight="false" outlineLevel="0" collapsed="false">
      <c r="A217" s="6" t="s">
        <v>347</v>
      </c>
      <c r="C217" s="69" t="n">
        <f aca="false">-C214</f>
        <v>-3535.97287295</v>
      </c>
      <c r="D217" s="69" t="n">
        <f aca="false">C214-D214</f>
        <v>-479.751530209779</v>
      </c>
      <c r="E217" s="69" t="n">
        <f aca="false">D214-E214</f>
        <v>-1522.69322532158</v>
      </c>
      <c r="F217" s="69" t="n">
        <f aca="false">E214-F214</f>
        <v>-642.430812210746</v>
      </c>
      <c r="G217" s="69" t="n">
        <f aca="false">F214-G214</f>
        <v>-658.510799822315</v>
      </c>
      <c r="H217" s="69" t="n">
        <f aca="false">G214-H214</f>
        <v>-673.947587929423</v>
      </c>
      <c r="I217" s="69" t="n">
        <f aca="false">H214-I214</f>
        <v>-688.766904512245</v>
      </c>
      <c r="J217" s="69" t="n">
        <f aca="false">I214-J214</f>
        <v>-702.993448431758</v>
      </c>
      <c r="K217" s="69" t="n">
        <f aca="false">J214-K214</f>
        <v>-716.650930594486</v>
      </c>
      <c r="L217" s="69" t="n">
        <f aca="false">K214-L214</f>
        <v>-729.762113470708</v>
      </c>
      <c r="M217" s="69" t="n">
        <f aca="false">L214-M214</f>
        <v>-269.568028981877</v>
      </c>
      <c r="N217" s="69" t="n">
        <f aca="false">M214-N214</f>
        <v>1735.26571662878</v>
      </c>
      <c r="O217" s="69" t="n">
        <f aca="false">N214-O214</f>
        <v>-433.500389473948</v>
      </c>
      <c r="P217" s="69" t="n">
        <f aca="false">O214-P214</f>
        <v>-181.139437343798</v>
      </c>
      <c r="Q217" s="69" t="n">
        <f aca="false">P214-Q214</f>
        <v>-2329.28982865731</v>
      </c>
      <c r="R217" s="69" t="n">
        <f aca="false">Q214-R214</f>
        <v>-238.793532283751</v>
      </c>
      <c r="S217" s="69" t="n">
        <f aca="false">R214-S214</f>
        <v>-229.241790992404</v>
      </c>
      <c r="T217" s="69" t="n">
        <f aca="false">S214-T214</f>
        <v>-220.072119352706</v>
      </c>
      <c r="U217" s="69" t="n">
        <f aca="false">T214-U214</f>
        <v>-211.269234578596</v>
      </c>
      <c r="V217" s="69" t="n">
        <f aca="false">U214-V214</f>
        <v>-202.818465195453</v>
      </c>
      <c r="W217" s="69" t="n">
        <f aca="false">V214-W214</f>
        <v>-194.705726587636</v>
      </c>
      <c r="X217" s="69" t="n">
        <f aca="false">W214-X214</f>
        <v>-186.917497524129</v>
      </c>
      <c r="Y217" s="69" t="n">
        <f aca="false">X214-Y214</f>
        <v>-179.440797623163</v>
      </c>
      <c r="Z217" s="69" t="n">
        <f aca="false">Y214-Z214</f>
        <v>2281.04380556581</v>
      </c>
      <c r="AA217" s="69" t="n">
        <f aca="false">Z214-AA214</f>
        <v>-427.026227634677</v>
      </c>
      <c r="AB217" s="69" t="n">
        <f aca="false">AA214-AB214</f>
        <v>-112.096409597598</v>
      </c>
      <c r="AC217" s="69" t="n">
        <f aca="false">AB214-AC214</f>
        <v>-2695.87720471152</v>
      </c>
      <c r="AD217" s="69" t="n">
        <f aca="false">AC214-AD214</f>
        <v>-163.996473268882</v>
      </c>
      <c r="AE217" s="69" t="n">
        <f aca="false">AD214-AE214</f>
        <v>-157.436614338127</v>
      </c>
      <c r="AF217" s="69" t="n">
        <f aca="false">AE214-AF214</f>
        <v>-151.139149764602</v>
      </c>
      <c r="AG217" s="69" t="n">
        <f aca="false">AF214-AG214</f>
        <v>-145.093583774014</v>
      </c>
      <c r="AH217" s="69" t="n">
        <f aca="false">AG214-AH214</f>
        <v>-139.289840423056</v>
      </c>
      <c r="AI217" s="69" t="n">
        <f aca="false">AH214-AI214</f>
        <v>-133.718246806135</v>
      </c>
      <c r="AJ217" s="69" t="n">
        <f aca="false">AI214-AJ214</f>
        <v>-128.369516933886</v>
      </c>
      <c r="AK217" s="69" t="n">
        <f aca="false">AJ214-AK214</f>
        <v>-123.234736256534</v>
      </c>
      <c r="AL217" s="69" t="n">
        <f aca="false">AK214-AL214</f>
        <v>2674.85016666134</v>
      </c>
      <c r="AM217" s="69" t="n">
        <f aca="false">AL214-AM214</f>
        <v>-429.952743306061</v>
      </c>
      <c r="AN217" s="69" t="n">
        <f aca="false">AM214-AN214</f>
        <v>-68.9549347598422</v>
      </c>
      <c r="AO217" s="69" t="n">
        <f aca="false">AN214-AO214</f>
        <v>-2979.31111899478</v>
      </c>
      <c r="AP217" s="69" t="n">
        <f aca="false">AO214-AP214</f>
        <v>-117.701296880256</v>
      </c>
      <c r="AQ217" s="69" t="n">
        <f aca="false">AP214-AQ214</f>
        <v>-112.99324500504</v>
      </c>
      <c r="AR217" s="69" t="n">
        <f aca="false">AQ214-AR214</f>
        <v>-108.473515204838</v>
      </c>
      <c r="AS217" s="69" t="n">
        <f aca="false">AR214-AS214</f>
        <v>-104.134574596646</v>
      </c>
      <c r="AT217" s="69" t="n">
        <f aca="false">AS214-AT214</f>
        <v>-99.9691916127777</v>
      </c>
      <c r="AU217" s="69" t="n">
        <f aca="false">AT214-AU214</f>
        <v>-95.9704239482708</v>
      </c>
      <c r="AV217" s="69" t="n">
        <f aca="false">AU214-AV214</f>
        <v>-92.1316069903369</v>
      </c>
      <c r="AW217" s="69" t="n">
        <f aca="false">AV214-AW214</f>
        <v>-88.4463427107257</v>
      </c>
      <c r="AX217" s="69" t="n">
        <f aca="false">AW214-AX214</f>
        <v>2975.46706461122</v>
      </c>
      <c r="AY217" s="69" t="n">
        <f aca="false">AX214-AY214</f>
        <v>-439.204369775691</v>
      </c>
      <c r="AZ217" s="69" t="n">
        <f aca="false">AY214-AZ214</f>
        <v>-42.1738008179291</v>
      </c>
      <c r="BA217" s="69" t="n">
        <f aca="false">AZ214-BA214</f>
        <v>-3213.11447340035</v>
      </c>
      <c r="BB217" s="69" t="n">
        <f aca="false">BA214-BB214</f>
        <v>-89.4273108152374</v>
      </c>
      <c r="BC217" s="69" t="n">
        <f aca="false">BB214-BC214</f>
        <v>-85.8502183826349</v>
      </c>
      <c r="BD217" s="69" t="n">
        <f aca="false">BC214-BD214</f>
        <v>-82.4162096473228</v>
      </c>
      <c r="BE217" s="69" t="n">
        <f aca="false">BD214-BE214</f>
        <v>-79.119561261432</v>
      </c>
      <c r="BF217" s="69" t="n">
        <f aca="false">BE214-BF214</f>
        <v>-75.9547788109776</v>
      </c>
      <c r="BG217" s="69" t="n">
        <f aca="false">BF214-BG214</f>
        <v>-72.9165876585357</v>
      </c>
      <c r="BH217" s="69" t="n">
        <f aca="false">BG214-BH214</f>
        <v>-69.9999241521909</v>
      </c>
      <c r="BI217" s="69" t="n">
        <f aca="false">BH214-BI214</f>
        <v>-67.1999271861059</v>
      </c>
      <c r="BJ217" s="69" t="n">
        <f aca="false">BI214-BJ214</f>
        <v>3220.16030230516</v>
      </c>
    </row>
    <row r="218" customFormat="false" ht="15" hidden="false" customHeight="false" outlineLevel="0" collapsed="false">
      <c r="A218" s="6" t="s">
        <v>348</v>
      </c>
      <c r="C218" s="69" t="n">
        <f aca="false">C215</f>
        <v>5893.28812158333</v>
      </c>
      <c r="D218" s="69" t="n">
        <f aca="false">D215-C215</f>
        <v>799.585883682964</v>
      </c>
      <c r="E218" s="69" t="n">
        <f aca="false">E215-D215</f>
        <v>2537.82204220264</v>
      </c>
      <c r="F218" s="69" t="n">
        <f aca="false">F215-E215</f>
        <v>1070.71802035124</v>
      </c>
      <c r="G218" s="69" t="n">
        <f aca="false">G215-F215</f>
        <v>1097.51799970386</v>
      </c>
      <c r="H218" s="69" t="n">
        <f aca="false">H215-G215</f>
        <v>1123.24597988237</v>
      </c>
      <c r="I218" s="69" t="n">
        <f aca="false">I215-H215</f>
        <v>1147.94484085374</v>
      </c>
      <c r="J218" s="69" t="n">
        <f aca="false">J215-I215</f>
        <v>1171.65574738627</v>
      </c>
      <c r="K218" s="69" t="n">
        <f aca="false">K215-J215</f>
        <v>1194.41821765747</v>
      </c>
      <c r="L218" s="69" t="n">
        <f aca="false">L215-K215</f>
        <v>1216.27018911785</v>
      </c>
      <c r="M218" s="69" t="n">
        <f aca="false">M215-L215</f>
        <v>449.280048303132</v>
      </c>
      <c r="N218" s="69" t="n">
        <f aca="false">N215-M215</f>
        <v>-2892.10952771463</v>
      </c>
      <c r="O218" s="69" t="n">
        <f aca="false">O215-N215</f>
        <v>722.500649123245</v>
      </c>
      <c r="P218" s="69" t="n">
        <f aca="false">P215-O215</f>
        <v>301.899062239663</v>
      </c>
      <c r="Q218" s="69" t="n">
        <f aca="false">Q215-P215</f>
        <v>3882.14971442885</v>
      </c>
      <c r="R218" s="69" t="n">
        <f aca="false">R215-Q215</f>
        <v>397.989220472919</v>
      </c>
      <c r="S218" s="69" t="n">
        <f aca="false">S215-R215</f>
        <v>382.069651654008</v>
      </c>
      <c r="T218" s="69" t="n">
        <f aca="false">T215-S215</f>
        <v>366.786865587845</v>
      </c>
      <c r="U218" s="69" t="n">
        <f aca="false">U215-T215</f>
        <v>352.115390964325</v>
      </c>
      <c r="V218" s="69" t="n">
        <f aca="false">V215-U215</f>
        <v>338.030775325755</v>
      </c>
      <c r="W218" s="69" t="n">
        <f aca="false">W215-V215</f>
        <v>324.509544312728</v>
      </c>
      <c r="X218" s="69" t="n">
        <f aca="false">X215-W215</f>
        <v>311.529162540213</v>
      </c>
      <c r="Y218" s="69" t="n">
        <f aca="false">Y215-X215</f>
        <v>299.067996038604</v>
      </c>
      <c r="Z218" s="69" t="n">
        <f aca="false">Z215-Y215</f>
        <v>-3801.73967594301</v>
      </c>
      <c r="AA218" s="69" t="n">
        <f aca="false">AA215-Z215</f>
        <v>711.71037939113</v>
      </c>
      <c r="AB218" s="69" t="n">
        <f aca="false">AB215-AA215</f>
        <v>186.827349329327</v>
      </c>
      <c r="AC218" s="69" t="n">
        <f aca="false">AC215-AB215</f>
        <v>4493.1286745192</v>
      </c>
      <c r="AD218" s="69" t="n">
        <f aca="false">AD215-AC215</f>
        <v>273.32745544814</v>
      </c>
      <c r="AE218" s="69" t="n">
        <f aca="false">AE215-AD215</f>
        <v>262.394357230209</v>
      </c>
      <c r="AF218" s="69" t="n">
        <f aca="false">AF215-AE215</f>
        <v>251.898582941005</v>
      </c>
      <c r="AG218" s="69" t="n">
        <f aca="false">AG215-AF215</f>
        <v>241.822639623355</v>
      </c>
      <c r="AH218" s="69" t="n">
        <f aca="false">AH215-AG215</f>
        <v>232.14973403843</v>
      </c>
      <c r="AI218" s="69" t="n">
        <f aca="false">AI215-AH215</f>
        <v>222.863744676888</v>
      </c>
      <c r="AJ218" s="69" t="n">
        <f aca="false">AJ215-AI215</f>
        <v>213.94919488981</v>
      </c>
      <c r="AK218" s="69" t="n">
        <f aca="false">AK215-AJ215</f>
        <v>205.391227094224</v>
      </c>
      <c r="AL218" s="69" t="n">
        <f aca="false">AL215-AK215</f>
        <v>-4458.08361110224</v>
      </c>
      <c r="AM218" s="69" t="n">
        <f aca="false">AM215-AL215</f>
        <v>716.5879055101</v>
      </c>
      <c r="AN218" s="69" t="n">
        <f aca="false">AN215-AM215</f>
        <v>114.924891266408</v>
      </c>
      <c r="AO218" s="69" t="n">
        <f aca="false">AO215-AN215</f>
        <v>4965.51853165796</v>
      </c>
      <c r="AP218" s="69" t="n">
        <f aca="false">AP215-AO215</f>
        <v>196.168828133759</v>
      </c>
      <c r="AQ218" s="69" t="n">
        <f aca="false">AQ215-AP215</f>
        <v>188.322075008397</v>
      </c>
      <c r="AR218" s="69" t="n">
        <f aca="false">AR215-AQ215</f>
        <v>180.789192008066</v>
      </c>
      <c r="AS218" s="69" t="n">
        <f aca="false">AS215-AR215</f>
        <v>173.557624327746</v>
      </c>
      <c r="AT218" s="69" t="n">
        <f aca="false">AT215-AS215</f>
        <v>166.615319354627</v>
      </c>
      <c r="AU218" s="69" t="n">
        <f aca="false">AU215-AT215</f>
        <v>159.95070658045</v>
      </c>
      <c r="AV218" s="69" t="n">
        <f aca="false">AV215-AU215</f>
        <v>153.552678317232</v>
      </c>
      <c r="AW218" s="69" t="n">
        <f aca="false">AW215-AV215</f>
        <v>147.41057118454</v>
      </c>
      <c r="AX218" s="69" t="n">
        <f aca="false">AX215-AW215</f>
        <v>-4959.11177435203</v>
      </c>
      <c r="AY218" s="69" t="n">
        <f aca="false">AY215-AX215</f>
        <v>732.007282959483</v>
      </c>
      <c r="AZ218" s="69" t="n">
        <f aca="false">AZ215-AY215</f>
        <v>70.28966802988</v>
      </c>
      <c r="BA218" s="69" t="n">
        <f aca="false">BA215-AZ215</f>
        <v>5355.19078900058</v>
      </c>
      <c r="BB218" s="69" t="n">
        <f aca="false">BB215-BA215</f>
        <v>149.045518025399</v>
      </c>
      <c r="BC218" s="69" t="n">
        <f aca="false">BC215-BB215</f>
        <v>143.083697304388</v>
      </c>
      <c r="BD218" s="69" t="n">
        <f aca="false">BD215-BC215</f>
        <v>137.360349412204</v>
      </c>
      <c r="BE218" s="69" t="n">
        <f aca="false">BE215-BD215</f>
        <v>131.865935435722</v>
      </c>
      <c r="BF218" s="69" t="n">
        <f aca="false">BF215-BE215</f>
        <v>126.591298018295</v>
      </c>
      <c r="BG218" s="69" t="n">
        <f aca="false">BG215-BF215</f>
        <v>121.527646097558</v>
      </c>
      <c r="BH218" s="69" t="n">
        <f aca="false">BH215-BG215</f>
        <v>116.666540253653</v>
      </c>
      <c r="BI218" s="69" t="n">
        <f aca="false">BI215-BH215</f>
        <v>111.99987864351</v>
      </c>
      <c r="BJ218" s="69" t="n">
        <f aca="false">BJ215-BI215</f>
        <v>-5366.93383717527</v>
      </c>
    </row>
    <row r="220" customFormat="false" ht="15.75" hidden="false" customHeight="true" outlineLevel="0" collapsed="false">
      <c r="A220" s="7" t="s">
        <v>455</v>
      </c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</row>
    <row r="221" customFormat="false" ht="15" hidden="false" customHeight="false" outlineLevel="0" collapsed="false">
      <c r="A221" s="4" t="s">
        <v>52</v>
      </c>
      <c r="C221" s="75" t="n">
        <f aca="false">C193-C202+C216+C217+C218</f>
        <v>-74804.1630306</v>
      </c>
      <c r="D221" s="75" t="n">
        <f aca="false">D193-D202+D216+D217+D218</f>
        <v>-68444.5087441057</v>
      </c>
      <c r="E221" s="75" t="n">
        <f aca="false">E193-E202+E216+E217+E218</f>
        <v>-53080.977367098</v>
      </c>
      <c r="F221" s="75" t="n">
        <f aca="false">F193-F202+F216+F217+F218</f>
        <v>-45827.3689705868</v>
      </c>
      <c r="G221" s="75" t="n">
        <f aca="false">G193-G202+G216+G217+G218</f>
        <v>-38528.8683473374</v>
      </c>
      <c r="H221" s="75" t="n">
        <f aca="false">H193-H202+H216+H217+H218</f>
        <v>-31107.7584114402</v>
      </c>
      <c r="I221" s="75" t="n">
        <f aca="false">I193-I202+I216+I217+I218</f>
        <v>-23568.9435354011</v>
      </c>
      <c r="J221" s="75" t="n">
        <f aca="false">J193-J202+J216+J217+J218</f>
        <v>-15917.1319168258</v>
      </c>
      <c r="K221" s="75" t="n">
        <f aca="false">K193-K202+K216+K217+K218</f>
        <v>-8156.84342541571</v>
      </c>
      <c r="L221" s="75" t="n">
        <f aca="false">L193-L202+L216+L217+L218</f>
        <v>-292.417136084256</v>
      </c>
      <c r="M221" s="75" t="n">
        <f aca="false">M193-M202+M216+M217+M218</f>
        <v>2150.10605857762</v>
      </c>
      <c r="N221" s="75" t="n">
        <f aca="false">N193-N202+N216+N217+N218</f>
        <v>-11978.9176271636</v>
      </c>
      <c r="O221" s="75" t="n">
        <f aca="false">O193-O202+O216+O217+O218</f>
        <v>-8211.58220440918</v>
      </c>
      <c r="P221" s="75" t="n">
        <f aca="false">P193-P202+P216+P217+P218</f>
        <v>-6271.67299746916</v>
      </c>
      <c r="Q221" s="75" t="n">
        <f aca="false">Q193-Q202+Q216+Q217+Q218</f>
        <v>12132.2244151499</v>
      </c>
      <c r="R221" s="75" t="n">
        <f aca="false">R193-R202+R216+R217+R218</f>
        <v>14157.9465430291</v>
      </c>
      <c r="S221" s="75" t="n">
        <f aca="false">S193-S202+S216+S217+S218</f>
        <v>16136.9132412779</v>
      </c>
      <c r="T221" s="75" t="n">
        <f aca="false">T193-T202+T216+T217+T218</f>
        <v>18043.8046049301</v>
      </c>
      <c r="U221" s="75" t="n">
        <f aca="false">U193-U202+U216+U217+U218</f>
        <v>19881.5036473696</v>
      </c>
      <c r="V221" s="75" t="n">
        <f aca="false">V193-V202+V216+V217+V218</f>
        <v>21652.7780614448</v>
      </c>
      <c r="W221" s="75" t="n">
        <f aca="false">W193-W202+W216+W217+W218</f>
        <v>23360.2848322903</v>
      </c>
      <c r="X221" s="75" t="n">
        <f aca="false">X193-X202+X216+X217+X218</f>
        <v>25006.5746656354</v>
      </c>
      <c r="Y221" s="75" t="n">
        <f aca="false">Y193-Y202+Y216+Y217+Y218</f>
        <v>26594.0962389799</v>
      </c>
      <c r="Z221" s="75" t="n">
        <f aca="false">Z193-Z202+Z216+Z217+Z218</f>
        <v>11995.5824844361</v>
      </c>
      <c r="AA221" s="75" t="n">
        <f aca="false">AA193-AA202+AA216+AA217+AA218</f>
        <v>15193.8036394933</v>
      </c>
      <c r="AB221" s="75" t="n">
        <f aca="false">AB193-AB202+AB216+AB217+AB218</f>
        <v>16440.073838224</v>
      </c>
      <c r="AC221" s="75" t="n">
        <f aca="false">AC193-AC202+AC216+AC217+AC218</f>
        <v>33996.6903303437</v>
      </c>
      <c r="AD221" s="75" t="n">
        <f aca="false">AD193-AD202+AD216+AD217+AD218</f>
        <v>35151.899472519</v>
      </c>
      <c r="AE221" s="75" t="n">
        <f aca="false">AE193-AE202+AE216+AE217+AE218</f>
        <v>36553.5671375767</v>
      </c>
      <c r="AF221" s="75" t="n">
        <f aca="false">AF193-AF202+AF216+AF217+AF218</f>
        <v>37906.2514293654</v>
      </c>
      <c r="AG221" s="75" t="n">
        <f aca="false">AG193-AG202+AG216+AG217+AG218</f>
        <v>39211.9116828159</v>
      </c>
      <c r="AH221" s="75" t="n">
        <f aca="false">AH193-AH202+AH216+AH217+AH218</f>
        <v>40472.4288594618</v>
      </c>
      <c r="AI221" s="75" t="n">
        <f aca="false">AI193-AI202+AI216+AI217+AI218</f>
        <v>41689.6086823751</v>
      </c>
      <c r="AJ221" s="75" t="n">
        <f aca="false">AJ193-AJ202+AJ216+AJ217+AJ218</f>
        <v>42865.1846457052</v>
      </c>
      <c r="AK221" s="75" t="n">
        <f aca="false">AK193-AK202+AK216+AK217+AK218</f>
        <v>44000.8209038355</v>
      </c>
      <c r="AL221" s="75" t="n">
        <f aca="false">AL193-AL202+AL216+AL217+AL218</f>
        <v>29033.6147610641</v>
      </c>
      <c r="AM221" s="75" t="n">
        <f aca="false">AM193-AM202+AM216+AM217+AM218</f>
        <v>31824.5336964297</v>
      </c>
      <c r="AN221" s="75" t="n">
        <f aca="false">AN193-AN202+AN216+AN217+AN218</f>
        <v>32639.9992780755</v>
      </c>
      <c r="AO221" s="75" t="n">
        <f aca="false">AO193-AO202+AO216+AO217+AO218</f>
        <v>49752.0741340058</v>
      </c>
      <c r="AP221" s="75" t="n">
        <f aca="false">AP193-AP202+AP216+AP217+AP218</f>
        <v>50344.2235885496</v>
      </c>
      <c r="AQ221" s="75" t="n">
        <f aca="false">AQ193-AQ202+AQ216+AQ217+AQ218</f>
        <v>51391.0061720762</v>
      </c>
      <c r="AR221" s="75" t="n">
        <f aca="false">AR193-AR202+AR216+AR217+AR218</f>
        <v>52403.000785595</v>
      </c>
      <c r="AS221" s="75" t="n">
        <f aca="false">AS193-AS202+AS216+AS217+AS218</f>
        <v>53381.5989479065</v>
      </c>
      <c r="AT221" s="75" t="n">
        <f aca="false">AT193-AT202+AT216+AT217+AT218</f>
        <v>54328.1365170588</v>
      </c>
      <c r="AU221" s="75" t="n">
        <f aca="false">AU193-AU202+AU216+AU217+AU218</f>
        <v>55243.8959167783</v>
      </c>
      <c r="AV221" s="75" t="n">
        <f aca="false">AV193-AV202+AV216+AV217+AV218</f>
        <v>56130.1082738424</v>
      </c>
      <c r="AW221" s="75" t="n">
        <f aca="false">AW193-AW202+AW216+AW217+AW218</f>
        <v>56987.9554699573</v>
      </c>
      <c r="AX221" s="75" t="n">
        <f aca="false">AX193-AX202+AX216+AX217+AX218</f>
        <v>41714.5910618083</v>
      </c>
      <c r="AY221" s="75" t="n">
        <f aca="false">AY193-AY202+AY216+AY217+AY218</f>
        <v>44218.0613817255</v>
      </c>
      <c r="AZ221" s="75" t="n">
        <f aca="false">AZ193-AZ202+AZ216+AZ217+AZ218</f>
        <v>44767.0236288144</v>
      </c>
      <c r="BA221" s="75" t="n">
        <f aca="false">BA193-BA202+BA216+BA217+BA218</f>
        <v>61686.4977138332</v>
      </c>
      <c r="BB221" s="75" t="n">
        <f aca="false">BB193-BB202+BB216+BB217+BB218</f>
        <v>61906.5678882506</v>
      </c>
      <c r="BC221" s="75" t="n">
        <f aca="false">BC193-BC202+BC216+BC217+BC218</f>
        <v>62737.4967174972</v>
      </c>
      <c r="BD221" s="75" t="n">
        <f aca="false">BD193-BD202+BD216+BD217+BD218</f>
        <v>63542.2717269072</v>
      </c>
      <c r="BE221" s="75" t="n">
        <f aca="false">BE193-BE202+BE216+BE217+BE218</f>
        <v>64321.9390692742</v>
      </c>
      <c r="BF221" s="75" t="n">
        <f aca="false">BF193-BF202+BF216+BF217+BF218</f>
        <v>65077.5030512798</v>
      </c>
      <c r="BG221" s="75" t="n">
        <f aca="false">BG193-BG202+BG216+BG217+BG218</f>
        <v>65809.9278073385</v>
      </c>
      <c r="BH221" s="75" t="n">
        <f aca="false">BH193-BH202+BH216+BH217+BH218</f>
        <v>66520.1389064883</v>
      </c>
      <c r="BI221" s="75" t="n">
        <f aca="false">BI193-BI202+BI216+BI217+BI218</f>
        <v>67209.0248950054</v>
      </c>
      <c r="BJ221" s="75" t="n">
        <f aca="false">BJ193-BJ202+BJ216+BJ217+BJ218</f>
        <v>51668.8303301914</v>
      </c>
    </row>
    <row r="222" customFormat="false" ht="15" hidden="false" customHeight="false" outlineLevel="0" collapsed="false">
      <c r="A222" s="6" t="s">
        <v>456</v>
      </c>
      <c r="C222" s="69" t="n">
        <f aca="false">-C200</f>
        <v>-4100000</v>
      </c>
      <c r="D222" s="69" t="n">
        <f aca="false">-D200</f>
        <v>-0</v>
      </c>
      <c r="E222" s="69" t="n">
        <f aca="false">-E200</f>
        <v>-0</v>
      </c>
      <c r="F222" s="69" t="n">
        <f aca="false">-F200</f>
        <v>-0</v>
      </c>
      <c r="G222" s="69" t="n">
        <f aca="false">-G200</f>
        <v>-0</v>
      </c>
      <c r="H222" s="69" t="n">
        <f aca="false">-H200</f>
        <v>-0</v>
      </c>
      <c r="I222" s="69" t="n">
        <f aca="false">-I200</f>
        <v>-0</v>
      </c>
      <c r="J222" s="69" t="n">
        <f aca="false">-J200</f>
        <v>-0</v>
      </c>
      <c r="K222" s="69" t="n">
        <f aca="false">-K200</f>
        <v>-0</v>
      </c>
      <c r="L222" s="69" t="n">
        <f aca="false">-L200</f>
        <v>-0</v>
      </c>
      <c r="M222" s="69" t="n">
        <f aca="false">-M200</f>
        <v>-0</v>
      </c>
      <c r="N222" s="69" t="n">
        <f aca="false">-N200</f>
        <v>-0</v>
      </c>
      <c r="O222" s="69" t="n">
        <f aca="false">-O200</f>
        <v>-40000</v>
      </c>
      <c r="P222" s="69" t="n">
        <f aca="false">-P200</f>
        <v>-0</v>
      </c>
      <c r="Q222" s="69" t="n">
        <f aca="false">-Q200</f>
        <v>-0</v>
      </c>
      <c r="R222" s="69" t="n">
        <f aca="false">-R200</f>
        <v>-0</v>
      </c>
      <c r="S222" s="69" t="n">
        <f aca="false">-S200</f>
        <v>-0</v>
      </c>
      <c r="T222" s="69" t="n">
        <f aca="false">-T200</f>
        <v>-0</v>
      </c>
      <c r="U222" s="69" t="n">
        <f aca="false">-U200</f>
        <v>-0</v>
      </c>
      <c r="V222" s="69" t="n">
        <f aca="false">-V200</f>
        <v>-0</v>
      </c>
      <c r="W222" s="69" t="n">
        <f aca="false">-W200</f>
        <v>-0</v>
      </c>
      <c r="X222" s="69" t="n">
        <f aca="false">-X200</f>
        <v>-0</v>
      </c>
      <c r="Y222" s="69" t="n">
        <f aca="false">-Y200</f>
        <v>-0</v>
      </c>
      <c r="Z222" s="69" t="n">
        <f aca="false">-Z200</f>
        <v>-0</v>
      </c>
      <c r="AA222" s="69" t="n">
        <f aca="false">-AA200</f>
        <v>-40000</v>
      </c>
      <c r="AB222" s="69" t="n">
        <f aca="false">-AB200</f>
        <v>-0</v>
      </c>
      <c r="AC222" s="69" t="n">
        <f aca="false">-AC200</f>
        <v>-0</v>
      </c>
      <c r="AD222" s="69" t="n">
        <f aca="false">-AD200</f>
        <v>-0</v>
      </c>
      <c r="AE222" s="69" t="n">
        <f aca="false">-AE200</f>
        <v>-0</v>
      </c>
      <c r="AF222" s="69" t="n">
        <f aca="false">-AF200</f>
        <v>-0</v>
      </c>
      <c r="AG222" s="69" t="n">
        <f aca="false">-AG200</f>
        <v>-0</v>
      </c>
      <c r="AH222" s="69" t="n">
        <f aca="false">-AH200</f>
        <v>-0</v>
      </c>
      <c r="AI222" s="69" t="n">
        <f aca="false">-AI200</f>
        <v>-0</v>
      </c>
      <c r="AJ222" s="69" t="n">
        <f aca="false">-AJ200</f>
        <v>-0</v>
      </c>
      <c r="AK222" s="69" t="n">
        <f aca="false">-AK200</f>
        <v>-0</v>
      </c>
      <c r="AL222" s="69" t="n">
        <f aca="false">-AL200</f>
        <v>-0</v>
      </c>
      <c r="AM222" s="69" t="n">
        <f aca="false">-AM200</f>
        <v>-40000</v>
      </c>
      <c r="AN222" s="69" t="n">
        <f aca="false">-AN200</f>
        <v>-0</v>
      </c>
      <c r="AO222" s="69" t="n">
        <f aca="false">-AO200</f>
        <v>-0</v>
      </c>
      <c r="AP222" s="69" t="n">
        <f aca="false">-AP200</f>
        <v>-0</v>
      </c>
      <c r="AQ222" s="69" t="n">
        <f aca="false">-AQ200</f>
        <v>-0</v>
      </c>
      <c r="AR222" s="69" t="n">
        <f aca="false">-AR200</f>
        <v>-0</v>
      </c>
      <c r="AS222" s="69" t="n">
        <f aca="false">-AS200</f>
        <v>-0</v>
      </c>
      <c r="AT222" s="69" t="n">
        <f aca="false">-AT200</f>
        <v>-0</v>
      </c>
      <c r="AU222" s="69" t="n">
        <f aca="false">-AU200</f>
        <v>-0</v>
      </c>
      <c r="AV222" s="69" t="n">
        <f aca="false">-AV200</f>
        <v>-0</v>
      </c>
      <c r="AW222" s="69" t="n">
        <f aca="false">-AW200</f>
        <v>-0</v>
      </c>
      <c r="AX222" s="69" t="n">
        <f aca="false">-AX200</f>
        <v>-0</v>
      </c>
      <c r="AY222" s="69" t="n">
        <f aca="false">-AY200</f>
        <v>-40000</v>
      </c>
      <c r="AZ222" s="69" t="n">
        <f aca="false">-AZ200</f>
        <v>-0</v>
      </c>
      <c r="BA222" s="69" t="n">
        <f aca="false">-BA200</f>
        <v>-0</v>
      </c>
      <c r="BB222" s="69" t="n">
        <f aca="false">-BB200</f>
        <v>-0</v>
      </c>
      <c r="BC222" s="69" t="n">
        <f aca="false">-BC200</f>
        <v>-0</v>
      </c>
      <c r="BD222" s="69" t="n">
        <f aca="false">-BD200</f>
        <v>-0</v>
      </c>
      <c r="BE222" s="69" t="n">
        <f aca="false">-BE200</f>
        <v>-0</v>
      </c>
      <c r="BF222" s="69" t="n">
        <f aca="false">-BF200</f>
        <v>-0</v>
      </c>
      <c r="BG222" s="69" t="n">
        <f aca="false">-BG200</f>
        <v>-0</v>
      </c>
      <c r="BH222" s="69" t="n">
        <f aca="false">-BH200</f>
        <v>-0</v>
      </c>
      <c r="BI222" s="69" t="n">
        <f aca="false">-BI200</f>
        <v>-0</v>
      </c>
      <c r="BJ222" s="69" t="n">
        <f aca="false">-BJ200</f>
        <v>-0</v>
      </c>
    </row>
    <row r="223" customFormat="false" ht="15" hidden="false" customHeight="false" outlineLevel="0" collapsed="false">
      <c r="A223" s="6" t="s">
        <v>64</v>
      </c>
      <c r="C223" s="69" t="n">
        <f aca="false">IF(C$133=1,Inputs!$C$67,0)</f>
        <v>2100000</v>
      </c>
      <c r="D223" s="69" t="n">
        <f aca="false">IF(D$133=1,Inputs!$C$67,0)</f>
        <v>0</v>
      </c>
      <c r="E223" s="69" t="n">
        <f aca="false">IF(E$133=1,Inputs!$C$67,0)</f>
        <v>0</v>
      </c>
      <c r="F223" s="69" t="n">
        <f aca="false">IF(F$133=1,Inputs!$C$67,0)</f>
        <v>0</v>
      </c>
      <c r="G223" s="69" t="n">
        <f aca="false">IF(G$133=1,Inputs!$C$67,0)</f>
        <v>0</v>
      </c>
      <c r="H223" s="69" t="n">
        <f aca="false">IF(H$133=1,Inputs!$C$67,0)</f>
        <v>0</v>
      </c>
      <c r="I223" s="69" t="n">
        <f aca="false">IF(I$133=1,Inputs!$C$67,0)</f>
        <v>0</v>
      </c>
      <c r="J223" s="69" t="n">
        <f aca="false">IF(J$133=1,Inputs!$C$67,0)</f>
        <v>0</v>
      </c>
      <c r="K223" s="69" t="n">
        <f aca="false">IF(K$133=1,Inputs!$C$67,0)</f>
        <v>0</v>
      </c>
      <c r="L223" s="69" t="n">
        <f aca="false">IF(L$133=1,Inputs!$C$67,0)</f>
        <v>0</v>
      </c>
      <c r="M223" s="69" t="n">
        <f aca="false">IF(M$133=1,Inputs!$C$67,0)</f>
        <v>0</v>
      </c>
      <c r="N223" s="69" t="n">
        <f aca="false">IF(N$133=1,Inputs!$C$67,0)</f>
        <v>0</v>
      </c>
      <c r="O223" s="69" t="n">
        <f aca="false">IF(O$133=1,Inputs!$C$67,0)</f>
        <v>0</v>
      </c>
      <c r="P223" s="69" t="n">
        <f aca="false">IF(P$133=1,Inputs!$C$67,0)</f>
        <v>0</v>
      </c>
      <c r="Q223" s="69" t="n">
        <f aca="false">IF(Q$133=1,Inputs!$C$67,0)</f>
        <v>0</v>
      </c>
      <c r="R223" s="69" t="n">
        <f aca="false">IF(R$133=1,Inputs!$C$67,0)</f>
        <v>0</v>
      </c>
      <c r="S223" s="69" t="n">
        <f aca="false">IF(S$133=1,Inputs!$C$67,0)</f>
        <v>0</v>
      </c>
      <c r="T223" s="69" t="n">
        <f aca="false">IF(T$133=1,Inputs!$C$67,0)</f>
        <v>0</v>
      </c>
      <c r="U223" s="69" t="n">
        <f aca="false">IF(U$133=1,Inputs!$C$67,0)</f>
        <v>0</v>
      </c>
      <c r="V223" s="69" t="n">
        <f aca="false">IF(V$133=1,Inputs!$C$67,0)</f>
        <v>0</v>
      </c>
      <c r="W223" s="69" t="n">
        <f aca="false">IF(W$133=1,Inputs!$C$67,0)</f>
        <v>0</v>
      </c>
      <c r="X223" s="69" t="n">
        <f aca="false">IF(X$133=1,Inputs!$C$67,0)</f>
        <v>0</v>
      </c>
      <c r="Y223" s="69" t="n">
        <f aca="false">IF(Y$133=1,Inputs!$C$67,0)</f>
        <v>0</v>
      </c>
      <c r="Z223" s="69" t="n">
        <f aca="false">IF(Z$133=1,Inputs!$C$67,0)</f>
        <v>0</v>
      </c>
      <c r="AA223" s="69" t="n">
        <f aca="false">IF(AA$133=1,Inputs!$C$67,0)</f>
        <v>0</v>
      </c>
      <c r="AB223" s="69" t="n">
        <f aca="false">IF(AB$133=1,Inputs!$C$67,0)</f>
        <v>0</v>
      </c>
      <c r="AC223" s="69" t="n">
        <f aca="false">IF(AC$133=1,Inputs!$C$67,0)</f>
        <v>0</v>
      </c>
      <c r="AD223" s="69" t="n">
        <f aca="false">IF(AD$133=1,Inputs!$C$67,0)</f>
        <v>0</v>
      </c>
      <c r="AE223" s="69" t="n">
        <f aca="false">IF(AE$133=1,Inputs!$C$67,0)</f>
        <v>0</v>
      </c>
      <c r="AF223" s="69" t="n">
        <f aca="false">IF(AF$133=1,Inputs!$C$67,0)</f>
        <v>0</v>
      </c>
      <c r="AG223" s="69" t="n">
        <f aca="false">IF(AG$133=1,Inputs!$C$67,0)</f>
        <v>0</v>
      </c>
      <c r="AH223" s="69" t="n">
        <f aca="false">IF(AH$133=1,Inputs!$C$67,0)</f>
        <v>0</v>
      </c>
      <c r="AI223" s="69" t="n">
        <f aca="false">IF(AI$133=1,Inputs!$C$67,0)</f>
        <v>0</v>
      </c>
      <c r="AJ223" s="69" t="n">
        <f aca="false">IF(AJ$133=1,Inputs!$C$67,0)</f>
        <v>0</v>
      </c>
      <c r="AK223" s="69" t="n">
        <f aca="false">IF(AK$133=1,Inputs!$C$67,0)</f>
        <v>0</v>
      </c>
      <c r="AL223" s="69" t="n">
        <f aca="false">IF(AL$133=1,Inputs!$C$67,0)</f>
        <v>0</v>
      </c>
      <c r="AM223" s="69" t="n">
        <f aca="false">IF(AM$133=1,Inputs!$C$67,0)</f>
        <v>0</v>
      </c>
      <c r="AN223" s="69" t="n">
        <f aca="false">IF(AN$133=1,Inputs!$C$67,0)</f>
        <v>0</v>
      </c>
      <c r="AO223" s="69" t="n">
        <f aca="false">IF(AO$133=1,Inputs!$C$67,0)</f>
        <v>0</v>
      </c>
      <c r="AP223" s="69" t="n">
        <f aca="false">IF(AP$133=1,Inputs!$C$67,0)</f>
        <v>0</v>
      </c>
      <c r="AQ223" s="69" t="n">
        <f aca="false">IF(AQ$133=1,Inputs!$C$67,0)</f>
        <v>0</v>
      </c>
      <c r="AR223" s="69" t="n">
        <f aca="false">IF(AR$133=1,Inputs!$C$67,0)</f>
        <v>0</v>
      </c>
      <c r="AS223" s="69" t="n">
        <f aca="false">IF(AS$133=1,Inputs!$C$67,0)</f>
        <v>0</v>
      </c>
      <c r="AT223" s="69" t="n">
        <f aca="false">IF(AT$133=1,Inputs!$C$67,0)</f>
        <v>0</v>
      </c>
      <c r="AU223" s="69" t="n">
        <f aca="false">IF(AU$133=1,Inputs!$C$67,0)</f>
        <v>0</v>
      </c>
      <c r="AV223" s="69" t="n">
        <f aca="false">IF(AV$133=1,Inputs!$C$67,0)</f>
        <v>0</v>
      </c>
      <c r="AW223" s="69" t="n">
        <f aca="false">IF(AW$133=1,Inputs!$C$67,0)</f>
        <v>0</v>
      </c>
      <c r="AX223" s="69" t="n">
        <f aca="false">IF(AX$133=1,Inputs!$C$67,0)</f>
        <v>0</v>
      </c>
      <c r="AY223" s="69" t="n">
        <f aca="false">IF(AY$133=1,Inputs!$C$67,0)</f>
        <v>0</v>
      </c>
      <c r="AZ223" s="69" t="n">
        <f aca="false">IF(AZ$133=1,Inputs!$C$67,0)</f>
        <v>0</v>
      </c>
      <c r="BA223" s="69" t="n">
        <f aca="false">IF(BA$133=1,Inputs!$C$67,0)</f>
        <v>0</v>
      </c>
      <c r="BB223" s="69" t="n">
        <f aca="false">IF(BB$133=1,Inputs!$C$67,0)</f>
        <v>0</v>
      </c>
      <c r="BC223" s="69" t="n">
        <f aca="false">IF(BC$133=1,Inputs!$C$67,0)</f>
        <v>0</v>
      </c>
      <c r="BD223" s="69" t="n">
        <f aca="false">IF(BD$133=1,Inputs!$C$67,0)</f>
        <v>0</v>
      </c>
      <c r="BE223" s="69" t="n">
        <f aca="false">IF(BE$133=1,Inputs!$C$67,0)</f>
        <v>0</v>
      </c>
      <c r="BF223" s="69" t="n">
        <f aca="false">IF(BF$133=1,Inputs!$C$67,0)</f>
        <v>0</v>
      </c>
      <c r="BG223" s="69" t="n">
        <f aca="false">IF(BG$133=1,Inputs!$C$67,0)</f>
        <v>0</v>
      </c>
      <c r="BH223" s="69" t="n">
        <f aca="false">IF(BH$133=1,Inputs!$C$67,0)</f>
        <v>0</v>
      </c>
      <c r="BI223" s="69" t="n">
        <f aca="false">IF(BI$133=1,Inputs!$C$67,0)</f>
        <v>0</v>
      </c>
      <c r="BJ223" s="69" t="n">
        <f aca="false">IF(BJ$133=1,Inputs!$C$67,0)</f>
        <v>0</v>
      </c>
    </row>
    <row r="224" customFormat="false" ht="15" hidden="false" customHeight="false" outlineLevel="0" collapsed="false">
      <c r="A224" s="6" t="s">
        <v>54</v>
      </c>
      <c r="C224" s="69" t="n">
        <f aca="false">C223+C208+C209</f>
        <v>5100000</v>
      </c>
      <c r="D224" s="69" t="n">
        <f aca="false">D223+D208+D209</f>
        <v>-25000</v>
      </c>
      <c r="E224" s="69" t="n">
        <f aca="false">E223+E208+E209</f>
        <v>-25000</v>
      </c>
      <c r="F224" s="69" t="n">
        <f aca="false">F223+F208+F209</f>
        <v>-25000</v>
      </c>
      <c r="G224" s="69" t="n">
        <f aca="false">G223+G208+G209</f>
        <v>-25000</v>
      </c>
      <c r="H224" s="69" t="n">
        <f aca="false">H223+H208+H209</f>
        <v>-25000</v>
      </c>
      <c r="I224" s="69" t="n">
        <f aca="false">I223+I208+I209</f>
        <v>-25000</v>
      </c>
      <c r="J224" s="69" t="n">
        <f aca="false">J223+J208+J209</f>
        <v>-25000</v>
      </c>
      <c r="K224" s="69" t="n">
        <f aca="false">K223+K208+K209</f>
        <v>-25000</v>
      </c>
      <c r="L224" s="69" t="n">
        <f aca="false">L223+L208+L209</f>
        <v>-25000</v>
      </c>
      <c r="M224" s="69" t="n">
        <f aca="false">M223+M208+M209</f>
        <v>-25000</v>
      </c>
      <c r="N224" s="69" t="n">
        <f aca="false">N223+N208+N209</f>
        <v>-25000</v>
      </c>
      <c r="O224" s="69" t="n">
        <f aca="false">O223+O208+O209</f>
        <v>-25000</v>
      </c>
      <c r="P224" s="69" t="n">
        <f aca="false">P223+P208+P209</f>
        <v>-25000</v>
      </c>
      <c r="Q224" s="69" t="n">
        <f aca="false">Q223+Q208+Q209</f>
        <v>-25000</v>
      </c>
      <c r="R224" s="69" t="n">
        <f aca="false">R223+R208+R209</f>
        <v>-25000</v>
      </c>
      <c r="S224" s="69" t="n">
        <f aca="false">S223+S208+S209</f>
        <v>-25000</v>
      </c>
      <c r="T224" s="69" t="n">
        <f aca="false">T223+T208+T209</f>
        <v>-25000</v>
      </c>
      <c r="U224" s="69" t="n">
        <f aca="false">U223+U208+U209</f>
        <v>-25000</v>
      </c>
      <c r="V224" s="69" t="n">
        <f aca="false">V223+V208+V209</f>
        <v>-25000</v>
      </c>
      <c r="W224" s="69" t="n">
        <f aca="false">W223+W208+W209</f>
        <v>-25000</v>
      </c>
      <c r="X224" s="69" t="n">
        <f aca="false">X223+X208+X209</f>
        <v>-25000</v>
      </c>
      <c r="Y224" s="69" t="n">
        <f aca="false">Y223+Y208+Y209</f>
        <v>-25000</v>
      </c>
      <c r="Z224" s="69" t="n">
        <f aca="false">Z223+Z208+Z209</f>
        <v>-25000</v>
      </c>
      <c r="AA224" s="69" t="n">
        <f aca="false">AA223+AA208+AA209</f>
        <v>-25000</v>
      </c>
      <c r="AB224" s="69" t="n">
        <f aca="false">AB223+AB208+AB209</f>
        <v>-25000</v>
      </c>
      <c r="AC224" s="69" t="n">
        <f aca="false">AC223+AC208+AC209</f>
        <v>-25000</v>
      </c>
      <c r="AD224" s="69" t="n">
        <f aca="false">AD223+AD208+AD209</f>
        <v>-25000</v>
      </c>
      <c r="AE224" s="69" t="n">
        <f aca="false">AE223+AE208+AE209</f>
        <v>-25000</v>
      </c>
      <c r="AF224" s="69" t="n">
        <f aca="false">AF223+AF208+AF209</f>
        <v>-25000</v>
      </c>
      <c r="AG224" s="69" t="n">
        <f aca="false">AG223+AG208+AG209</f>
        <v>-25000</v>
      </c>
      <c r="AH224" s="69" t="n">
        <f aca="false">AH223+AH208+AH209</f>
        <v>-25000</v>
      </c>
      <c r="AI224" s="69" t="n">
        <f aca="false">AI223+AI208+AI209</f>
        <v>-25000</v>
      </c>
      <c r="AJ224" s="69" t="n">
        <f aca="false">AJ223+AJ208+AJ209</f>
        <v>-25000</v>
      </c>
      <c r="AK224" s="69" t="n">
        <f aca="false">AK223+AK208+AK209</f>
        <v>-25000</v>
      </c>
      <c r="AL224" s="69" t="n">
        <f aca="false">AL223+AL208+AL209</f>
        <v>-25000</v>
      </c>
      <c r="AM224" s="69" t="n">
        <f aca="false">AM223+AM208+AM209</f>
        <v>-25000</v>
      </c>
      <c r="AN224" s="69" t="n">
        <f aca="false">AN223+AN208+AN209</f>
        <v>-25000</v>
      </c>
      <c r="AO224" s="69" t="n">
        <f aca="false">AO223+AO208+AO209</f>
        <v>-25000</v>
      </c>
      <c r="AP224" s="69" t="n">
        <f aca="false">AP223+AP208+AP209</f>
        <v>-25000</v>
      </c>
      <c r="AQ224" s="69" t="n">
        <f aca="false">AQ223+AQ208+AQ209</f>
        <v>-25000</v>
      </c>
      <c r="AR224" s="69" t="n">
        <f aca="false">AR223+AR208+AR209</f>
        <v>-25000</v>
      </c>
      <c r="AS224" s="69" t="n">
        <f aca="false">AS223+AS208+AS209</f>
        <v>-25000</v>
      </c>
      <c r="AT224" s="69" t="n">
        <f aca="false">AT223+AT208+AT209</f>
        <v>-25000</v>
      </c>
      <c r="AU224" s="69" t="n">
        <f aca="false">AU223+AU208+AU209</f>
        <v>-25000</v>
      </c>
      <c r="AV224" s="69" t="n">
        <f aca="false">AV223+AV208+AV209</f>
        <v>-25000</v>
      </c>
      <c r="AW224" s="69" t="n">
        <f aca="false">AW223+AW208+AW209</f>
        <v>-25000</v>
      </c>
      <c r="AX224" s="69" t="n">
        <f aca="false">AX223+AX208+AX209</f>
        <v>-25000</v>
      </c>
      <c r="AY224" s="69" t="n">
        <f aca="false">AY223+AY208+AY209</f>
        <v>-25000</v>
      </c>
      <c r="AZ224" s="69" t="n">
        <f aca="false">AZ223+AZ208+AZ209</f>
        <v>-25000</v>
      </c>
      <c r="BA224" s="69" t="n">
        <f aca="false">BA223+BA208+BA209</f>
        <v>-25000</v>
      </c>
      <c r="BB224" s="69" t="n">
        <f aca="false">BB223+BB208+BB209</f>
        <v>-25000</v>
      </c>
      <c r="BC224" s="69" t="n">
        <f aca="false">BC223+BC208+BC209</f>
        <v>-25000</v>
      </c>
      <c r="BD224" s="69" t="n">
        <f aca="false">BD223+BD208+BD209</f>
        <v>-25000</v>
      </c>
      <c r="BE224" s="69" t="n">
        <f aca="false">BE223+BE208+BE209</f>
        <v>-25000</v>
      </c>
      <c r="BF224" s="69" t="n">
        <f aca="false">BF223+BF208+BF209</f>
        <v>-25000</v>
      </c>
      <c r="BG224" s="69" t="n">
        <f aca="false">BG223+BG208+BG209</f>
        <v>-25000</v>
      </c>
      <c r="BH224" s="69" t="n">
        <f aca="false">BH223+BH208+BH209</f>
        <v>-25000</v>
      </c>
      <c r="BI224" s="69" t="n">
        <f aca="false">BI223+BI208+BI209</f>
        <v>-25000</v>
      </c>
      <c r="BJ224" s="69" t="n">
        <f aca="false">BJ223+BJ208+BJ209</f>
        <v>-25000</v>
      </c>
    </row>
    <row r="225" customFormat="false" ht="15" hidden="false" customHeight="false" outlineLevel="0" collapsed="false">
      <c r="A225" s="113" t="s">
        <v>457</v>
      </c>
      <c r="C225" s="70" t="n">
        <f aca="false">C221+C222+C224</f>
        <v>925195.8369694</v>
      </c>
      <c r="D225" s="70" t="n">
        <f aca="false">D221+D222+D224</f>
        <v>-93444.5087441057</v>
      </c>
      <c r="E225" s="70" t="n">
        <f aca="false">E221+E222+E224</f>
        <v>-78080.977367098</v>
      </c>
      <c r="F225" s="70" t="n">
        <f aca="false">F221+F222+F224</f>
        <v>-70827.3689705868</v>
      </c>
      <c r="G225" s="70" t="n">
        <f aca="false">G221+G222+G224</f>
        <v>-63528.8683473374</v>
      </c>
      <c r="H225" s="70" t="n">
        <f aca="false">H221+H222+H224</f>
        <v>-56107.7584114402</v>
      </c>
      <c r="I225" s="70" t="n">
        <f aca="false">I221+I222+I224</f>
        <v>-48568.9435354011</v>
      </c>
      <c r="J225" s="70" t="n">
        <f aca="false">J221+J222+J224</f>
        <v>-40917.1319168258</v>
      </c>
      <c r="K225" s="70" t="n">
        <f aca="false">K221+K222+K224</f>
        <v>-33156.8434254157</v>
      </c>
      <c r="L225" s="70" t="n">
        <f aca="false">L221+L222+L224</f>
        <v>-25292.4171360843</v>
      </c>
      <c r="M225" s="70" t="n">
        <f aca="false">M221+M222+M224</f>
        <v>-22849.8939414224</v>
      </c>
      <c r="N225" s="70" t="n">
        <f aca="false">N221+N222+N224</f>
        <v>-36978.9176271636</v>
      </c>
      <c r="O225" s="70" t="n">
        <f aca="false">O221+O222+O224</f>
        <v>-73211.5822044092</v>
      </c>
      <c r="P225" s="70" t="n">
        <f aca="false">P221+P222+P224</f>
        <v>-31271.6729974692</v>
      </c>
      <c r="Q225" s="70" t="n">
        <f aca="false">Q221+Q222+Q224</f>
        <v>-12867.7755848501</v>
      </c>
      <c r="R225" s="70" t="n">
        <f aca="false">R221+R222+R224</f>
        <v>-10842.0534569709</v>
      </c>
      <c r="S225" s="70" t="n">
        <f aca="false">S221+S222+S224</f>
        <v>-8863.08675872211</v>
      </c>
      <c r="T225" s="70" t="n">
        <f aca="false">T221+T222+T224</f>
        <v>-6956.19539506988</v>
      </c>
      <c r="U225" s="70" t="n">
        <f aca="false">U221+U222+U224</f>
        <v>-5118.49635263045</v>
      </c>
      <c r="V225" s="70" t="n">
        <f aca="false">V221+V222+V224</f>
        <v>-3347.22193855521</v>
      </c>
      <c r="W225" s="70" t="n">
        <f aca="false">W221+W222+W224</f>
        <v>-1639.71516770967</v>
      </c>
      <c r="X225" s="70" t="n">
        <f aca="false">X221+X222+X224</f>
        <v>6.5746656354022</v>
      </c>
      <c r="Y225" s="70" t="n">
        <f aca="false">Y221+Y222+Y224</f>
        <v>1594.09623897995</v>
      </c>
      <c r="Z225" s="70" t="n">
        <f aca="false">Z221+Z222+Z224</f>
        <v>-13004.4175155639</v>
      </c>
      <c r="AA225" s="70" t="n">
        <f aca="false">AA221+AA222+AA224</f>
        <v>-49806.1963605067</v>
      </c>
      <c r="AB225" s="70" t="n">
        <f aca="false">AB221+AB222+AB224</f>
        <v>-8559.92616177598</v>
      </c>
      <c r="AC225" s="70" t="n">
        <f aca="false">AC221+AC222+AC224</f>
        <v>8996.69033034372</v>
      </c>
      <c r="AD225" s="70" t="n">
        <f aca="false">AD221+AD222+AD224</f>
        <v>10151.899472519</v>
      </c>
      <c r="AE225" s="70" t="n">
        <f aca="false">AE221+AE222+AE224</f>
        <v>11553.5671375767</v>
      </c>
      <c r="AF225" s="70" t="n">
        <f aca="false">AF221+AF222+AF224</f>
        <v>12906.2514293654</v>
      </c>
      <c r="AG225" s="70" t="n">
        <f aca="false">AG221+AG222+AG224</f>
        <v>14211.9116828159</v>
      </c>
      <c r="AH225" s="70" t="n">
        <f aca="false">AH221+AH222+AH224</f>
        <v>15472.4288594618</v>
      </c>
      <c r="AI225" s="70" t="n">
        <f aca="false">AI221+AI222+AI224</f>
        <v>16689.6086823751</v>
      </c>
      <c r="AJ225" s="70" t="n">
        <f aca="false">AJ221+AJ222+AJ224</f>
        <v>17865.1846457052</v>
      </c>
      <c r="AK225" s="70" t="n">
        <f aca="false">AK221+AK222+AK224</f>
        <v>19000.8209038355</v>
      </c>
      <c r="AL225" s="70" t="n">
        <f aca="false">AL221+AL222+AL224</f>
        <v>4033.61476106406</v>
      </c>
      <c r="AM225" s="70" t="n">
        <f aca="false">AM221+AM222+AM224</f>
        <v>-33175.4663035703</v>
      </c>
      <c r="AN225" s="70" t="n">
        <f aca="false">AN221+AN222+AN224</f>
        <v>7639.99927807547</v>
      </c>
      <c r="AO225" s="70" t="n">
        <f aca="false">AO221+AO222+AO224</f>
        <v>24752.0741340058</v>
      </c>
      <c r="AP225" s="70" t="n">
        <f aca="false">AP221+AP222+AP224</f>
        <v>25344.2235885496</v>
      </c>
      <c r="AQ225" s="70" t="n">
        <f aca="false">AQ221+AQ222+AQ224</f>
        <v>26391.0061720762</v>
      </c>
      <c r="AR225" s="70" t="n">
        <f aca="false">AR221+AR222+AR224</f>
        <v>27403.000785595</v>
      </c>
      <c r="AS225" s="70" t="n">
        <f aca="false">AS221+AS222+AS224</f>
        <v>28381.5989479065</v>
      </c>
      <c r="AT225" s="70" t="n">
        <f aca="false">AT221+AT222+AT224</f>
        <v>29328.1365170588</v>
      </c>
      <c r="AU225" s="70" t="n">
        <f aca="false">AU221+AU222+AU224</f>
        <v>30243.8959167783</v>
      </c>
      <c r="AV225" s="70" t="n">
        <f aca="false">AV221+AV222+AV224</f>
        <v>31130.1082738424</v>
      </c>
      <c r="AW225" s="70" t="n">
        <f aca="false">AW221+AW222+AW224</f>
        <v>31987.9554699573</v>
      </c>
      <c r="AX225" s="70" t="n">
        <f aca="false">AX221+AX222+AX224</f>
        <v>16714.5910618083</v>
      </c>
      <c r="AY225" s="70" t="n">
        <f aca="false">AY221+AY222+AY224</f>
        <v>-20781.9386182745</v>
      </c>
      <c r="AZ225" s="70" t="n">
        <f aca="false">AZ221+AZ222+AZ224</f>
        <v>19767.0236288144</v>
      </c>
      <c r="BA225" s="70" t="n">
        <f aca="false">BA221+BA222+BA224</f>
        <v>36686.4977138332</v>
      </c>
      <c r="BB225" s="70" t="n">
        <f aca="false">BB221+BB222+BB224</f>
        <v>36906.5678882506</v>
      </c>
      <c r="BC225" s="70" t="n">
        <f aca="false">BC221+BC222+BC224</f>
        <v>37737.4967174972</v>
      </c>
      <c r="BD225" s="70" t="n">
        <f aca="false">BD221+BD222+BD224</f>
        <v>38542.2717269072</v>
      </c>
      <c r="BE225" s="70" t="n">
        <f aca="false">BE221+BE222+BE224</f>
        <v>39321.9390692742</v>
      </c>
      <c r="BF225" s="70" t="n">
        <f aca="false">BF221+BF222+BF224</f>
        <v>40077.5030512798</v>
      </c>
      <c r="BG225" s="70" t="n">
        <f aca="false">BG221+BG222+BG224</f>
        <v>40809.9278073385</v>
      </c>
      <c r="BH225" s="70" t="n">
        <f aca="false">BH221+BH222+BH224</f>
        <v>41520.1389064883</v>
      </c>
      <c r="BI225" s="70" t="n">
        <f aca="false">BI221+BI222+BI224</f>
        <v>42209.0248950054</v>
      </c>
      <c r="BJ225" s="70" t="n">
        <f aca="false">BJ221+BJ222+BJ224</f>
        <v>26668.8303301914</v>
      </c>
    </row>
    <row r="226" customFormat="false" ht="15" hidden="false" customHeight="false" outlineLevel="0" collapsed="false">
      <c r="A226" s="6" t="s">
        <v>349</v>
      </c>
      <c r="C226" s="69" t="n">
        <f aca="false">0</f>
        <v>0</v>
      </c>
      <c r="D226" s="69" t="n">
        <f aca="false">C227</f>
        <v>925195.8369694</v>
      </c>
      <c r="E226" s="69" t="n">
        <f aca="false">D227</f>
        <v>831751.328225294</v>
      </c>
      <c r="F226" s="69" t="n">
        <f aca="false">E227</f>
        <v>753670.350858196</v>
      </c>
      <c r="G226" s="69" t="n">
        <f aca="false">F227</f>
        <v>682842.981887609</v>
      </c>
      <c r="H226" s="69" t="n">
        <f aca="false">G227</f>
        <v>619314.113540272</v>
      </c>
      <c r="I226" s="69" t="n">
        <f aca="false">H227</f>
        <v>563206.355128832</v>
      </c>
      <c r="J226" s="69" t="n">
        <f aca="false">I227</f>
        <v>514637.411593431</v>
      </c>
      <c r="K226" s="69" t="n">
        <f aca="false">J227</f>
        <v>473720.279676605</v>
      </c>
      <c r="L226" s="69" t="n">
        <f aca="false">K227</f>
        <v>440563.436251189</v>
      </c>
      <c r="M226" s="69" t="n">
        <f aca="false">L227</f>
        <v>415271.019115105</v>
      </c>
      <c r="N226" s="69" t="n">
        <f aca="false">M227</f>
        <v>392421.125173683</v>
      </c>
      <c r="O226" s="69" t="n">
        <f aca="false">N227</f>
        <v>355442.207546519</v>
      </c>
      <c r="P226" s="69" t="n">
        <f aca="false">O227</f>
        <v>282230.62534211</v>
      </c>
      <c r="Q226" s="69" t="n">
        <f aca="false">P227</f>
        <v>250958.952344641</v>
      </c>
      <c r="R226" s="69" t="n">
        <f aca="false">Q227</f>
        <v>238091.176759791</v>
      </c>
      <c r="S226" s="69" t="n">
        <f aca="false">R227</f>
        <v>227249.12330282</v>
      </c>
      <c r="T226" s="69" t="n">
        <f aca="false">S227</f>
        <v>218386.036544098</v>
      </c>
      <c r="U226" s="69" t="n">
        <f aca="false">T227</f>
        <v>211429.841149028</v>
      </c>
      <c r="V226" s="69" t="n">
        <f aca="false">U227</f>
        <v>206311.344796397</v>
      </c>
      <c r="W226" s="69" t="n">
        <f aca="false">V227</f>
        <v>202964.122857842</v>
      </c>
      <c r="X226" s="69" t="n">
        <f aca="false">W227</f>
        <v>201324.407690132</v>
      </c>
      <c r="Y226" s="69" t="n">
        <f aca="false">X227</f>
        <v>201330.982355768</v>
      </c>
      <c r="Z226" s="69" t="n">
        <f aca="false">Y227</f>
        <v>202925.078594748</v>
      </c>
      <c r="AA226" s="69" t="n">
        <f aca="false">Z227</f>
        <v>189920.661079184</v>
      </c>
      <c r="AB226" s="69" t="n">
        <f aca="false">AA227</f>
        <v>140114.464718677</v>
      </c>
      <c r="AC226" s="69" t="n">
        <f aca="false">AB227</f>
        <v>131554.538556901</v>
      </c>
      <c r="AD226" s="69" t="n">
        <f aca="false">AC227</f>
        <v>140551.228887245</v>
      </c>
      <c r="AE226" s="69" t="n">
        <f aca="false">AD227</f>
        <v>150703.128359764</v>
      </c>
      <c r="AF226" s="69" t="n">
        <f aca="false">AE227</f>
        <v>162256.695497341</v>
      </c>
      <c r="AG226" s="69" t="n">
        <f aca="false">AF227</f>
        <v>175162.946926706</v>
      </c>
      <c r="AH226" s="69" t="n">
        <f aca="false">AG227</f>
        <v>189374.858609522</v>
      </c>
      <c r="AI226" s="69" t="n">
        <f aca="false">AH227</f>
        <v>204847.287468984</v>
      </c>
      <c r="AJ226" s="69" t="n">
        <f aca="false">AI227</f>
        <v>221536.896151359</v>
      </c>
      <c r="AK226" s="69" t="n">
        <f aca="false">AJ227</f>
        <v>239402.080797064</v>
      </c>
      <c r="AL226" s="69" t="n">
        <f aca="false">AK227</f>
        <v>258402.901700899</v>
      </c>
      <c r="AM226" s="69" t="n">
        <f aca="false">AL227</f>
        <v>262436.516461964</v>
      </c>
      <c r="AN226" s="69" t="n">
        <f aca="false">AM227</f>
        <v>229261.050158393</v>
      </c>
      <c r="AO226" s="69" t="n">
        <f aca="false">AN227</f>
        <v>236901.049436469</v>
      </c>
      <c r="AP226" s="69" t="n">
        <f aca="false">AO227</f>
        <v>261653.123570474</v>
      </c>
      <c r="AQ226" s="69" t="n">
        <f aca="false">AP227</f>
        <v>286997.347159024</v>
      </c>
      <c r="AR226" s="69" t="n">
        <f aca="false">AQ227</f>
        <v>313388.3533311</v>
      </c>
      <c r="AS226" s="69" t="n">
        <f aca="false">AR227</f>
        <v>340791.354116695</v>
      </c>
      <c r="AT226" s="69" t="n">
        <f aca="false">AS227</f>
        <v>369172.953064602</v>
      </c>
      <c r="AU226" s="69" t="n">
        <f aca="false">AT227</f>
        <v>398501.08958166</v>
      </c>
      <c r="AV226" s="69" t="n">
        <f aca="false">AU227</f>
        <v>428744.985498439</v>
      </c>
      <c r="AW226" s="69" t="n">
        <f aca="false">AV227</f>
        <v>459875.093772281</v>
      </c>
      <c r="AX226" s="69" t="n">
        <f aca="false">AW227</f>
        <v>491863.049242238</v>
      </c>
      <c r="AY226" s="69" t="n">
        <f aca="false">AX227</f>
        <v>508577.640304047</v>
      </c>
      <c r="AZ226" s="69" t="n">
        <f aca="false">AY227</f>
        <v>487795.701685772</v>
      </c>
      <c r="BA226" s="69" t="n">
        <f aca="false">AZ227</f>
        <v>507562.725314587</v>
      </c>
      <c r="BB226" s="69" t="n">
        <f aca="false">BA227</f>
        <v>544249.22302842</v>
      </c>
      <c r="BC226" s="69" t="n">
        <f aca="false">BB227</f>
        <v>581155.79091667</v>
      </c>
      <c r="BD226" s="69" t="n">
        <f aca="false">BC227</f>
        <v>618893.287634168</v>
      </c>
      <c r="BE226" s="69" t="n">
        <f aca="false">BD227</f>
        <v>657435.559361075</v>
      </c>
      <c r="BF226" s="69" t="n">
        <f aca="false">BE227</f>
        <v>696757.498430349</v>
      </c>
      <c r="BG226" s="69" t="n">
        <f aca="false">BF227</f>
        <v>736835.001481629</v>
      </c>
      <c r="BH226" s="69" t="n">
        <f aca="false">BG227</f>
        <v>777644.929288967</v>
      </c>
      <c r="BI226" s="69" t="n">
        <f aca="false">BH227</f>
        <v>819165.068195456</v>
      </c>
      <c r="BJ226" s="69" t="n">
        <f aca="false">BI227</f>
        <v>861374.093090461</v>
      </c>
    </row>
    <row r="227" customFormat="false" ht="15" hidden="false" customHeight="false" outlineLevel="0" collapsed="false">
      <c r="A227" s="113" t="s">
        <v>87</v>
      </c>
      <c r="C227" s="70" t="n">
        <f aca="false">C226+C225</f>
        <v>925195.8369694</v>
      </c>
      <c r="D227" s="70" t="n">
        <f aca="false">D226+D225</f>
        <v>831751.328225294</v>
      </c>
      <c r="E227" s="70" t="n">
        <f aca="false">E226+E225</f>
        <v>753670.350858196</v>
      </c>
      <c r="F227" s="70" t="n">
        <f aca="false">F226+F225</f>
        <v>682842.981887609</v>
      </c>
      <c r="G227" s="70" t="n">
        <f aca="false">G226+G225</f>
        <v>619314.113540272</v>
      </c>
      <c r="H227" s="70" t="n">
        <f aca="false">H226+H225</f>
        <v>563206.355128832</v>
      </c>
      <c r="I227" s="70" t="n">
        <f aca="false">I226+I225</f>
        <v>514637.411593431</v>
      </c>
      <c r="J227" s="70" t="n">
        <f aca="false">J226+J225</f>
        <v>473720.279676605</v>
      </c>
      <c r="K227" s="70" t="n">
        <f aca="false">K226+K225</f>
        <v>440563.436251189</v>
      </c>
      <c r="L227" s="70" t="n">
        <f aca="false">L226+L225</f>
        <v>415271.019115105</v>
      </c>
      <c r="M227" s="70" t="n">
        <f aca="false">M226+M225</f>
        <v>392421.125173683</v>
      </c>
      <c r="N227" s="70" t="n">
        <f aca="false">N226+N225</f>
        <v>355442.207546519</v>
      </c>
      <c r="O227" s="70" t="n">
        <f aca="false">O226+O225</f>
        <v>282230.62534211</v>
      </c>
      <c r="P227" s="70" t="n">
        <f aca="false">P226+P225</f>
        <v>250958.952344641</v>
      </c>
      <c r="Q227" s="70" t="n">
        <f aca="false">Q226+Q225</f>
        <v>238091.176759791</v>
      </c>
      <c r="R227" s="70" t="n">
        <f aca="false">R226+R225</f>
        <v>227249.12330282</v>
      </c>
      <c r="S227" s="70" t="n">
        <f aca="false">S226+S225</f>
        <v>218386.036544098</v>
      </c>
      <c r="T227" s="70" t="n">
        <f aca="false">T226+T225</f>
        <v>211429.841149028</v>
      </c>
      <c r="U227" s="70" t="n">
        <f aca="false">U226+U225</f>
        <v>206311.344796397</v>
      </c>
      <c r="V227" s="70" t="n">
        <f aca="false">V226+V225</f>
        <v>202964.122857842</v>
      </c>
      <c r="W227" s="70" t="n">
        <f aca="false">W226+W225</f>
        <v>201324.407690132</v>
      </c>
      <c r="X227" s="70" t="n">
        <f aca="false">X226+X225</f>
        <v>201330.982355768</v>
      </c>
      <c r="Y227" s="70" t="n">
        <f aca="false">Y226+Y225</f>
        <v>202925.078594748</v>
      </c>
      <c r="Z227" s="70" t="n">
        <f aca="false">Z226+Z225</f>
        <v>189920.661079184</v>
      </c>
      <c r="AA227" s="70" t="n">
        <f aca="false">AA226+AA225</f>
        <v>140114.464718677</v>
      </c>
      <c r="AB227" s="70" t="n">
        <f aca="false">AB226+AB225</f>
        <v>131554.538556901</v>
      </c>
      <c r="AC227" s="70" t="n">
        <f aca="false">AC226+AC225</f>
        <v>140551.228887245</v>
      </c>
      <c r="AD227" s="70" t="n">
        <f aca="false">AD226+AD225</f>
        <v>150703.128359764</v>
      </c>
      <c r="AE227" s="70" t="n">
        <f aca="false">AE226+AE225</f>
        <v>162256.695497341</v>
      </c>
      <c r="AF227" s="70" t="n">
        <f aca="false">AF226+AF225</f>
        <v>175162.946926706</v>
      </c>
      <c r="AG227" s="70" t="n">
        <f aca="false">AG226+AG225</f>
        <v>189374.858609522</v>
      </c>
      <c r="AH227" s="70" t="n">
        <f aca="false">AH226+AH225</f>
        <v>204847.287468984</v>
      </c>
      <c r="AI227" s="70" t="n">
        <f aca="false">AI226+AI225</f>
        <v>221536.896151359</v>
      </c>
      <c r="AJ227" s="70" t="n">
        <f aca="false">AJ226+AJ225</f>
        <v>239402.080797064</v>
      </c>
      <c r="AK227" s="70" t="n">
        <f aca="false">AK226+AK225</f>
        <v>258402.901700899</v>
      </c>
      <c r="AL227" s="70" t="n">
        <f aca="false">AL226+AL225</f>
        <v>262436.516461964</v>
      </c>
      <c r="AM227" s="70" t="n">
        <f aca="false">AM226+AM225</f>
        <v>229261.050158393</v>
      </c>
      <c r="AN227" s="70" t="n">
        <f aca="false">AN226+AN225</f>
        <v>236901.049436469</v>
      </c>
      <c r="AO227" s="70" t="n">
        <f aca="false">AO226+AO225</f>
        <v>261653.123570474</v>
      </c>
      <c r="AP227" s="70" t="n">
        <f aca="false">AP226+AP225</f>
        <v>286997.347159024</v>
      </c>
      <c r="AQ227" s="70" t="n">
        <f aca="false">AQ226+AQ225</f>
        <v>313388.3533311</v>
      </c>
      <c r="AR227" s="70" t="n">
        <f aca="false">AR226+AR225</f>
        <v>340791.354116695</v>
      </c>
      <c r="AS227" s="70" t="n">
        <f aca="false">AS226+AS225</f>
        <v>369172.953064602</v>
      </c>
      <c r="AT227" s="70" t="n">
        <f aca="false">AT226+AT225</f>
        <v>398501.08958166</v>
      </c>
      <c r="AU227" s="70" t="n">
        <f aca="false">AU226+AU225</f>
        <v>428744.985498439</v>
      </c>
      <c r="AV227" s="70" t="n">
        <f aca="false">AV226+AV225</f>
        <v>459875.093772281</v>
      </c>
      <c r="AW227" s="70" t="n">
        <f aca="false">AW226+AW225</f>
        <v>491863.049242238</v>
      </c>
      <c r="AX227" s="70" t="n">
        <f aca="false">AX226+AX225</f>
        <v>508577.640304047</v>
      </c>
      <c r="AY227" s="70" t="n">
        <f aca="false">AY226+AY225</f>
        <v>487795.701685772</v>
      </c>
      <c r="AZ227" s="70" t="n">
        <f aca="false">AZ226+AZ225</f>
        <v>507562.725314587</v>
      </c>
      <c r="BA227" s="70" t="n">
        <f aca="false">BA226+BA225</f>
        <v>544249.22302842</v>
      </c>
      <c r="BB227" s="70" t="n">
        <f aca="false">BB226+BB225</f>
        <v>581155.79091667</v>
      </c>
      <c r="BC227" s="70" t="n">
        <f aca="false">BC226+BC225</f>
        <v>618893.287634168</v>
      </c>
      <c r="BD227" s="70" t="n">
        <f aca="false">BD226+BD225</f>
        <v>657435.559361075</v>
      </c>
      <c r="BE227" s="70" t="n">
        <f aca="false">BE226+BE225</f>
        <v>696757.498430349</v>
      </c>
      <c r="BF227" s="70" t="n">
        <f aca="false">BF226+BF225</f>
        <v>736835.001481629</v>
      </c>
      <c r="BG227" s="70" t="n">
        <f aca="false">BG226+BG225</f>
        <v>777644.929288967</v>
      </c>
      <c r="BH227" s="70" t="n">
        <f aca="false">BH226+BH225</f>
        <v>819165.068195456</v>
      </c>
      <c r="BI227" s="70" t="n">
        <f aca="false">BI226+BI225</f>
        <v>861374.093090461</v>
      </c>
      <c r="BJ227" s="70" t="n">
        <f aca="false">BJ226+BJ225</f>
        <v>888042.923420652</v>
      </c>
    </row>
    <row r="228" customFormat="false" ht="15" hidden="false" customHeight="false" outlineLevel="0" collapsed="false">
      <c r="A228" s="116" t="s">
        <v>458</v>
      </c>
      <c r="C228" s="118" t="n">
        <f aca="false">IF(C184&gt;0,1,0)</f>
        <v>0</v>
      </c>
      <c r="D228" s="118" t="n">
        <f aca="false">IF(D184&gt;0,1,0)</f>
        <v>0</v>
      </c>
      <c r="E228" s="118" t="n">
        <f aca="false">IF(E184&gt;0,1,0)</f>
        <v>0</v>
      </c>
      <c r="F228" s="118" t="n">
        <f aca="false">IF(F184&gt;0,1,0)</f>
        <v>0</v>
      </c>
      <c r="G228" s="118" t="n">
        <f aca="false">IF(G184&gt;0,1,0)</f>
        <v>0</v>
      </c>
      <c r="H228" s="118" t="n">
        <f aca="false">IF(H184&gt;0,1,0)</f>
        <v>0</v>
      </c>
      <c r="I228" s="118" t="n">
        <f aca="false">IF(I184&gt;0,1,0)</f>
        <v>0</v>
      </c>
      <c r="J228" s="118" t="n">
        <f aca="false">IF(J184&gt;0,1,0)</f>
        <v>1</v>
      </c>
      <c r="K228" s="118" t="n">
        <f aca="false">IF(K184&gt;0,1,0)</f>
        <v>1</v>
      </c>
      <c r="L228" s="118" t="n">
        <f aca="false">IF(L184&gt;0,1,0)</f>
        <v>1</v>
      </c>
      <c r="M228" s="118" t="n">
        <f aca="false">IF(M184&gt;0,1,0)</f>
        <v>1</v>
      </c>
      <c r="N228" s="118" t="n">
        <f aca="false">IF(N184&gt;0,1,0)</f>
        <v>1</v>
      </c>
      <c r="O228" s="118" t="n">
        <f aca="false">IF(O184&gt;0,1,0)</f>
        <v>1</v>
      </c>
      <c r="P228" s="118" t="n">
        <f aca="false">IF(P184&gt;0,1,0)</f>
        <v>1</v>
      </c>
      <c r="Q228" s="118" t="n">
        <f aca="false">IF(Q184&gt;0,1,0)</f>
        <v>1</v>
      </c>
      <c r="R228" s="118" t="n">
        <f aca="false">IF(R184&gt;0,1,0)</f>
        <v>1</v>
      </c>
      <c r="S228" s="118" t="n">
        <f aca="false">IF(S184&gt;0,1,0)</f>
        <v>1</v>
      </c>
      <c r="T228" s="118" t="n">
        <f aca="false">IF(T184&gt;0,1,0)</f>
        <v>1</v>
      </c>
      <c r="U228" s="118" t="n">
        <f aca="false">IF(U184&gt;0,1,0)</f>
        <v>1</v>
      </c>
      <c r="V228" s="118" t="n">
        <f aca="false">IF(V184&gt;0,1,0)</f>
        <v>1</v>
      </c>
      <c r="W228" s="118" t="n">
        <f aca="false">IF(W184&gt;0,1,0)</f>
        <v>1</v>
      </c>
      <c r="X228" s="118" t="n">
        <f aca="false">IF(X184&gt;0,1,0)</f>
        <v>1</v>
      </c>
      <c r="Y228" s="118" t="n">
        <f aca="false">IF(Y184&gt;0,1,0)</f>
        <v>1</v>
      </c>
      <c r="Z228" s="118" t="n">
        <f aca="false">IF(Z184&gt;0,1,0)</f>
        <v>1</v>
      </c>
      <c r="AA228" s="118" t="n">
        <f aca="false">IF(AA184&gt;0,1,0)</f>
        <v>1</v>
      </c>
      <c r="AB228" s="118" t="n">
        <f aca="false">IF(AB184&gt;0,1,0)</f>
        <v>1</v>
      </c>
      <c r="AC228" s="118" t="n">
        <f aca="false">IF(AC184&gt;0,1,0)</f>
        <v>1</v>
      </c>
      <c r="AD228" s="118" t="n">
        <f aca="false">IF(AD184&gt;0,1,0)</f>
        <v>1</v>
      </c>
      <c r="AE228" s="118" t="n">
        <f aca="false">IF(AE184&gt;0,1,0)</f>
        <v>1</v>
      </c>
      <c r="AF228" s="118" t="n">
        <f aca="false">IF(AF184&gt;0,1,0)</f>
        <v>1</v>
      </c>
      <c r="AG228" s="118" t="n">
        <f aca="false">IF(AG184&gt;0,1,0)</f>
        <v>1</v>
      </c>
      <c r="AH228" s="118" t="n">
        <f aca="false">IF(AH184&gt;0,1,0)</f>
        <v>1</v>
      </c>
      <c r="AI228" s="118" t="n">
        <f aca="false">IF(AI184&gt;0,1,0)</f>
        <v>1</v>
      </c>
      <c r="AJ228" s="118" t="n">
        <f aca="false">IF(AJ184&gt;0,1,0)</f>
        <v>1</v>
      </c>
      <c r="AK228" s="118" t="n">
        <f aca="false">IF(AK184&gt;0,1,0)</f>
        <v>1</v>
      </c>
      <c r="AL228" s="118" t="n">
        <f aca="false">IF(AL184&gt;0,1,0)</f>
        <v>1</v>
      </c>
      <c r="AM228" s="118" t="n">
        <f aca="false">IF(AM184&gt;0,1,0)</f>
        <v>1</v>
      </c>
      <c r="AN228" s="118" t="n">
        <f aca="false">IF(AN184&gt;0,1,0)</f>
        <v>1</v>
      </c>
      <c r="AO228" s="118" t="n">
        <f aca="false">IF(AO184&gt;0,1,0)</f>
        <v>1</v>
      </c>
      <c r="AP228" s="118" t="n">
        <f aca="false">IF(AP184&gt;0,1,0)</f>
        <v>1</v>
      </c>
      <c r="AQ228" s="118" t="n">
        <f aca="false">IF(AQ184&gt;0,1,0)</f>
        <v>1</v>
      </c>
      <c r="AR228" s="118" t="n">
        <f aca="false">IF(AR184&gt;0,1,0)</f>
        <v>1</v>
      </c>
      <c r="AS228" s="118" t="n">
        <f aca="false">IF(AS184&gt;0,1,0)</f>
        <v>1</v>
      </c>
      <c r="AT228" s="118" t="n">
        <f aca="false">IF(AT184&gt;0,1,0)</f>
        <v>1</v>
      </c>
      <c r="AU228" s="118" t="n">
        <f aca="false">IF(AU184&gt;0,1,0)</f>
        <v>1</v>
      </c>
      <c r="AV228" s="118" t="n">
        <f aca="false">IF(AV184&gt;0,1,0)</f>
        <v>1</v>
      </c>
      <c r="AW228" s="118" t="n">
        <f aca="false">IF(AW184&gt;0,1,0)</f>
        <v>1</v>
      </c>
      <c r="AX228" s="118" t="n">
        <f aca="false">IF(AX184&gt;0,1,0)</f>
        <v>1</v>
      </c>
      <c r="AY228" s="118" t="n">
        <f aca="false">IF(AY184&gt;0,1,0)</f>
        <v>1</v>
      </c>
      <c r="AZ228" s="118" t="n">
        <f aca="false">IF(AZ184&gt;0,1,0)</f>
        <v>1</v>
      </c>
      <c r="BA228" s="118" t="n">
        <f aca="false">IF(BA184&gt;0,1,0)</f>
        <v>1</v>
      </c>
      <c r="BB228" s="118" t="n">
        <f aca="false">IF(BB184&gt;0,1,0)</f>
        <v>1</v>
      </c>
      <c r="BC228" s="118" t="n">
        <f aca="false">IF(BC184&gt;0,1,0)</f>
        <v>1</v>
      </c>
      <c r="BD228" s="118" t="n">
        <f aca="false">IF(BD184&gt;0,1,0)</f>
        <v>1</v>
      </c>
      <c r="BE228" s="118" t="n">
        <f aca="false">IF(BE184&gt;0,1,0)</f>
        <v>1</v>
      </c>
      <c r="BF228" s="118" t="n">
        <f aca="false">IF(BF184&gt;0,1,0)</f>
        <v>1</v>
      </c>
      <c r="BG228" s="118" t="n">
        <f aca="false">IF(BG184&gt;0,1,0)</f>
        <v>1</v>
      </c>
      <c r="BH228" s="118" t="n">
        <f aca="false">IF(BH184&gt;0,1,0)</f>
        <v>1</v>
      </c>
      <c r="BI228" s="118" t="n">
        <f aca="false">IF(BI184&gt;0,1,0)</f>
        <v>1</v>
      </c>
      <c r="BJ228" s="118" t="n">
        <f aca="false">IF(BJ184&gt;0,1,0)</f>
        <v>1</v>
      </c>
    </row>
    <row r="230" customFormat="false" ht="15.75" hidden="false" customHeight="true" outlineLevel="0" collapsed="false">
      <c r="A230" s="7" t="s">
        <v>459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</row>
    <row r="231" customFormat="false" ht="15" hidden="false" customHeight="false" outlineLevel="0" collapsed="false">
      <c r="A231" s="116" t="s">
        <v>460</v>
      </c>
      <c r="C231" s="118" t="n">
        <f aca="false">IF(C193&gt;0,1,0)</f>
        <v>0</v>
      </c>
      <c r="D231" s="118" t="n">
        <f aca="false">IF(D193&gt;0,1,0)</f>
        <v>0</v>
      </c>
      <c r="E231" s="118" t="n">
        <f aca="false">IF(E193&gt;0,1,0)</f>
        <v>0</v>
      </c>
      <c r="F231" s="118" t="n">
        <f aca="false">IF(F193&gt;0,1,0)</f>
        <v>0</v>
      </c>
      <c r="G231" s="118" t="n">
        <f aca="false">IF(G193&gt;0,1,0)</f>
        <v>0</v>
      </c>
      <c r="H231" s="118" t="n">
        <f aca="false">IF(H193&gt;0,1,0)</f>
        <v>0</v>
      </c>
      <c r="I231" s="118" t="n">
        <f aca="false">IF(I193&gt;0,1,0)</f>
        <v>0</v>
      </c>
      <c r="J231" s="118" t="n">
        <f aca="false">IF(J193&gt;0,1,0)</f>
        <v>0</v>
      </c>
      <c r="K231" s="118" t="n">
        <f aca="false">IF(K193&gt;0,1,0)</f>
        <v>0</v>
      </c>
      <c r="L231" s="118" t="n">
        <f aca="false">IF(L193&gt;0,1,0)</f>
        <v>0</v>
      </c>
      <c r="M231" s="118" t="n">
        <f aca="false">IF(M193&gt;0,1,0)</f>
        <v>0</v>
      </c>
      <c r="N231" s="118" t="n">
        <f aca="false">IF(N193&gt;0,1,0)</f>
        <v>0</v>
      </c>
      <c r="O231" s="118" t="n">
        <f aca="false">IF(O193&gt;0,1,0)</f>
        <v>0</v>
      </c>
      <c r="P231" s="118" t="n">
        <f aca="false">IF(P193&gt;0,1,0)</f>
        <v>0</v>
      </c>
      <c r="Q231" s="118" t="n">
        <f aca="false">IF(Q193&gt;0,1,0)</f>
        <v>0</v>
      </c>
      <c r="R231" s="118" t="n">
        <f aca="false">IF(R193&gt;0,1,0)</f>
        <v>0</v>
      </c>
      <c r="S231" s="118" t="n">
        <f aca="false">IF(S193&gt;0,1,0)</f>
        <v>0</v>
      </c>
      <c r="T231" s="118" t="n">
        <f aca="false">IF(T193&gt;0,1,0)</f>
        <v>0</v>
      </c>
      <c r="U231" s="118" t="n">
        <f aca="false">IF(U193&gt;0,1,0)</f>
        <v>0</v>
      </c>
      <c r="V231" s="118" t="n">
        <f aca="false">IF(V193&gt;0,1,0)</f>
        <v>0</v>
      </c>
      <c r="W231" s="118" t="n">
        <f aca="false">IF(W193&gt;0,1,0)</f>
        <v>0</v>
      </c>
      <c r="X231" s="118" t="n">
        <f aca="false">IF(X193&gt;0,1,0)</f>
        <v>0</v>
      </c>
      <c r="Y231" s="118" t="n">
        <f aca="false">IF(Y193&gt;0,1,0)</f>
        <v>0</v>
      </c>
      <c r="Z231" s="118" t="n">
        <f aca="false">IF(Z193&gt;0,1,0)</f>
        <v>0</v>
      </c>
      <c r="AA231" s="118" t="n">
        <f aca="false">IF(AA193&gt;0,1,0)</f>
        <v>0</v>
      </c>
      <c r="AB231" s="118" t="n">
        <f aca="false">IF(AB193&gt;0,1,0)</f>
        <v>0</v>
      </c>
      <c r="AC231" s="118" t="n">
        <f aca="false">IF(AC193&gt;0,1,0)</f>
        <v>1</v>
      </c>
      <c r="AD231" s="118" t="n">
        <f aca="false">IF(AD193&gt;0,1,0)</f>
        <v>1</v>
      </c>
      <c r="AE231" s="118" t="n">
        <f aca="false">IF(AE193&gt;0,1,0)</f>
        <v>1</v>
      </c>
      <c r="AF231" s="118" t="n">
        <f aca="false">IF(AF193&gt;0,1,0)</f>
        <v>1</v>
      </c>
      <c r="AG231" s="118" t="n">
        <f aca="false">IF(AG193&gt;0,1,0)</f>
        <v>1</v>
      </c>
      <c r="AH231" s="118" t="n">
        <f aca="false">IF(AH193&gt;0,1,0)</f>
        <v>1</v>
      </c>
      <c r="AI231" s="118" t="n">
        <f aca="false">IF(AI193&gt;0,1,0)</f>
        <v>1</v>
      </c>
      <c r="AJ231" s="118" t="n">
        <f aca="false">IF(AJ193&gt;0,1,0)</f>
        <v>1</v>
      </c>
      <c r="AK231" s="118" t="n">
        <f aca="false">IF(AK193&gt;0,1,0)</f>
        <v>1</v>
      </c>
      <c r="AL231" s="118" t="n">
        <f aca="false">IF(AL193&gt;0,1,0)</f>
        <v>1</v>
      </c>
      <c r="AM231" s="118" t="n">
        <f aca="false">IF(AM193&gt;0,1,0)</f>
        <v>1</v>
      </c>
      <c r="AN231" s="118" t="n">
        <f aca="false">IF(AN193&gt;0,1,0)</f>
        <v>1</v>
      </c>
      <c r="AO231" s="118" t="n">
        <f aca="false">IF(AO193&gt;0,1,0)</f>
        <v>1</v>
      </c>
      <c r="AP231" s="118" t="n">
        <f aca="false">IF(AP193&gt;0,1,0)</f>
        <v>1</v>
      </c>
      <c r="AQ231" s="118" t="n">
        <f aca="false">IF(AQ193&gt;0,1,0)</f>
        <v>1</v>
      </c>
      <c r="AR231" s="118" t="n">
        <f aca="false">IF(AR193&gt;0,1,0)</f>
        <v>1</v>
      </c>
      <c r="AS231" s="118" t="n">
        <f aca="false">IF(AS193&gt;0,1,0)</f>
        <v>1</v>
      </c>
      <c r="AT231" s="118" t="n">
        <f aca="false">IF(AT193&gt;0,1,0)</f>
        <v>1</v>
      </c>
      <c r="AU231" s="118" t="n">
        <f aca="false">IF(AU193&gt;0,1,0)</f>
        <v>1</v>
      </c>
      <c r="AV231" s="118" t="n">
        <f aca="false">IF(AV193&gt;0,1,0)</f>
        <v>1</v>
      </c>
      <c r="AW231" s="118" t="n">
        <f aca="false">IF(AW193&gt;0,1,0)</f>
        <v>1</v>
      </c>
      <c r="AX231" s="118" t="n">
        <f aca="false">IF(AX193&gt;0,1,0)</f>
        <v>1</v>
      </c>
      <c r="AY231" s="118" t="n">
        <f aca="false">IF(AY193&gt;0,1,0)</f>
        <v>1</v>
      </c>
      <c r="AZ231" s="118" t="n">
        <f aca="false">IF(AZ193&gt;0,1,0)</f>
        <v>1</v>
      </c>
      <c r="BA231" s="118" t="n">
        <f aca="false">IF(BA193&gt;0,1,0)</f>
        <v>1</v>
      </c>
      <c r="BB231" s="118" t="n">
        <f aca="false">IF(BB193&gt;0,1,0)</f>
        <v>1</v>
      </c>
      <c r="BC231" s="118" t="n">
        <f aca="false">IF(BC193&gt;0,1,0)</f>
        <v>1</v>
      </c>
      <c r="BD231" s="118" t="n">
        <f aca="false">IF(BD193&gt;0,1,0)</f>
        <v>1</v>
      </c>
      <c r="BE231" s="118" t="n">
        <f aca="false">IF(BE193&gt;0,1,0)</f>
        <v>1</v>
      </c>
      <c r="BF231" s="118" t="n">
        <f aca="false">IF(BF193&gt;0,1,0)</f>
        <v>1</v>
      </c>
      <c r="BG231" s="118" t="n">
        <f aca="false">IF(BG193&gt;0,1,0)</f>
        <v>1</v>
      </c>
      <c r="BH231" s="118" t="n">
        <f aca="false">IF(BH193&gt;0,1,0)</f>
        <v>1</v>
      </c>
      <c r="BI231" s="118" t="n">
        <f aca="false">IF(BI193&gt;0,1,0)</f>
        <v>1</v>
      </c>
      <c r="BJ231" s="118" t="n">
        <f aca="false">IF(BJ193&gt;0,1,0)</f>
        <v>1</v>
      </c>
    </row>
    <row r="232" customFormat="false" ht="15" hidden="false" customHeight="false" outlineLevel="0" collapsed="false">
      <c r="A232" s="6" t="s">
        <v>461</v>
      </c>
      <c r="C232" s="69" t="n">
        <f aca="false">C221+C222</f>
        <v>-4174804.1630306</v>
      </c>
      <c r="D232" s="69" t="n">
        <f aca="false">D221+D222</f>
        <v>-68444.5087441057</v>
      </c>
      <c r="E232" s="69" t="n">
        <f aca="false">E221+E222</f>
        <v>-53080.977367098</v>
      </c>
      <c r="F232" s="69" t="n">
        <f aca="false">F221+F222</f>
        <v>-45827.3689705868</v>
      </c>
      <c r="G232" s="69" t="n">
        <f aca="false">G221+G222</f>
        <v>-38528.8683473374</v>
      </c>
      <c r="H232" s="69" t="n">
        <f aca="false">H221+H222</f>
        <v>-31107.7584114402</v>
      </c>
      <c r="I232" s="69" t="n">
        <f aca="false">I221+I222</f>
        <v>-23568.9435354011</v>
      </c>
      <c r="J232" s="69" t="n">
        <f aca="false">J221+J222</f>
        <v>-15917.1319168258</v>
      </c>
      <c r="K232" s="69" t="n">
        <f aca="false">K221+K222</f>
        <v>-8156.84342541571</v>
      </c>
      <c r="L232" s="69" t="n">
        <f aca="false">L221+L222</f>
        <v>-292.417136084256</v>
      </c>
      <c r="M232" s="69" t="n">
        <f aca="false">M221+M222</f>
        <v>2150.10605857762</v>
      </c>
      <c r="N232" s="69" t="n">
        <f aca="false">N221+N222</f>
        <v>-11978.9176271636</v>
      </c>
      <c r="O232" s="69" t="n">
        <f aca="false">O221+O222</f>
        <v>-48211.5822044092</v>
      </c>
      <c r="P232" s="69" t="n">
        <f aca="false">P221+P222</f>
        <v>-6271.67299746916</v>
      </c>
      <c r="Q232" s="69" t="n">
        <f aca="false">Q221+Q222</f>
        <v>12132.2244151499</v>
      </c>
      <c r="R232" s="69" t="n">
        <f aca="false">R221+R222</f>
        <v>14157.9465430291</v>
      </c>
      <c r="S232" s="69" t="n">
        <f aca="false">S221+S222</f>
        <v>16136.9132412779</v>
      </c>
      <c r="T232" s="69" t="n">
        <f aca="false">T221+T222</f>
        <v>18043.8046049301</v>
      </c>
      <c r="U232" s="69" t="n">
        <f aca="false">U221+U222</f>
        <v>19881.5036473696</v>
      </c>
      <c r="V232" s="69" t="n">
        <f aca="false">V221+V222</f>
        <v>21652.7780614448</v>
      </c>
      <c r="W232" s="69" t="n">
        <f aca="false">W221+W222</f>
        <v>23360.2848322903</v>
      </c>
      <c r="X232" s="69" t="n">
        <f aca="false">X221+X222</f>
        <v>25006.5746656354</v>
      </c>
      <c r="Y232" s="69" t="n">
        <f aca="false">Y221+Y222</f>
        <v>26594.0962389799</v>
      </c>
      <c r="Z232" s="69" t="n">
        <f aca="false">Z221+Z222</f>
        <v>11995.5824844361</v>
      </c>
      <c r="AA232" s="69" t="n">
        <f aca="false">AA221+AA222</f>
        <v>-24806.1963605067</v>
      </c>
      <c r="AB232" s="69" t="n">
        <f aca="false">AB221+AB222</f>
        <v>16440.073838224</v>
      </c>
      <c r="AC232" s="69" t="n">
        <f aca="false">AC221+AC222</f>
        <v>33996.6903303437</v>
      </c>
      <c r="AD232" s="69" t="n">
        <f aca="false">AD221+AD222</f>
        <v>35151.899472519</v>
      </c>
      <c r="AE232" s="69" t="n">
        <f aca="false">AE221+AE222</f>
        <v>36553.5671375767</v>
      </c>
      <c r="AF232" s="69" t="n">
        <f aca="false">AF221+AF222</f>
        <v>37906.2514293654</v>
      </c>
      <c r="AG232" s="69" t="n">
        <f aca="false">AG221+AG222</f>
        <v>39211.9116828159</v>
      </c>
      <c r="AH232" s="69" t="n">
        <f aca="false">AH221+AH222</f>
        <v>40472.4288594618</v>
      </c>
      <c r="AI232" s="69" t="n">
        <f aca="false">AI221+AI222</f>
        <v>41689.6086823751</v>
      </c>
      <c r="AJ232" s="69" t="n">
        <f aca="false">AJ221+AJ222</f>
        <v>42865.1846457052</v>
      </c>
      <c r="AK232" s="69" t="n">
        <f aca="false">AK221+AK222</f>
        <v>44000.8209038355</v>
      </c>
      <c r="AL232" s="69" t="n">
        <f aca="false">AL221+AL222</f>
        <v>29033.6147610641</v>
      </c>
      <c r="AM232" s="69" t="n">
        <f aca="false">AM221+AM222</f>
        <v>-8175.46630357025</v>
      </c>
      <c r="AN232" s="69" t="n">
        <f aca="false">AN221+AN222</f>
        <v>32639.9992780755</v>
      </c>
      <c r="AO232" s="69" t="n">
        <f aca="false">AO221+AO222</f>
        <v>49752.0741340058</v>
      </c>
      <c r="AP232" s="69" t="n">
        <f aca="false">AP221+AP222</f>
        <v>50344.2235885496</v>
      </c>
      <c r="AQ232" s="69" t="n">
        <f aca="false">AQ221+AQ222</f>
        <v>51391.0061720762</v>
      </c>
      <c r="AR232" s="69" t="n">
        <f aca="false">AR221+AR222</f>
        <v>52403.000785595</v>
      </c>
      <c r="AS232" s="69" t="n">
        <f aca="false">AS221+AS222</f>
        <v>53381.5989479065</v>
      </c>
      <c r="AT232" s="69" t="n">
        <f aca="false">AT221+AT222</f>
        <v>54328.1365170588</v>
      </c>
      <c r="AU232" s="69" t="n">
        <f aca="false">AU221+AU222</f>
        <v>55243.8959167783</v>
      </c>
      <c r="AV232" s="69" t="n">
        <f aca="false">AV221+AV222</f>
        <v>56130.1082738424</v>
      </c>
      <c r="AW232" s="69" t="n">
        <f aca="false">AW221+AW222</f>
        <v>56987.9554699573</v>
      </c>
      <c r="AX232" s="69" t="n">
        <f aca="false">AX221+AX222</f>
        <v>41714.5910618083</v>
      </c>
      <c r="AY232" s="69" t="n">
        <f aca="false">AY221+AY222</f>
        <v>4218.06138172551</v>
      </c>
      <c r="AZ232" s="69" t="n">
        <f aca="false">AZ221+AZ222</f>
        <v>44767.0236288144</v>
      </c>
      <c r="BA232" s="69" t="n">
        <f aca="false">BA221+BA222</f>
        <v>61686.4977138332</v>
      </c>
      <c r="BB232" s="69" t="n">
        <f aca="false">BB221+BB222</f>
        <v>61906.5678882506</v>
      </c>
      <c r="BC232" s="69" t="n">
        <f aca="false">BC221+BC222</f>
        <v>62737.4967174972</v>
      </c>
      <c r="BD232" s="69" t="n">
        <f aca="false">BD221+BD222</f>
        <v>63542.2717269072</v>
      </c>
      <c r="BE232" s="69" t="n">
        <f aca="false">BE221+BE222</f>
        <v>64321.9390692742</v>
      </c>
      <c r="BF232" s="69" t="n">
        <f aca="false">BF221+BF222</f>
        <v>65077.5030512798</v>
      </c>
      <c r="BG232" s="69" t="n">
        <f aca="false">BG221+BG222</f>
        <v>65809.9278073385</v>
      </c>
      <c r="BH232" s="69" t="n">
        <f aca="false">BH221+BH222</f>
        <v>66520.1389064883</v>
      </c>
      <c r="BI232" s="69" t="n">
        <f aca="false">BI221+BI222</f>
        <v>67209.0248950054</v>
      </c>
      <c r="BJ232" s="69" t="n">
        <f aca="false">BJ221+BJ222</f>
        <v>51668.8303301914</v>
      </c>
    </row>
    <row r="233" customFormat="false" ht="15" hidden="false" customHeight="false" outlineLevel="0" collapsed="false">
      <c r="A233" s="6" t="s">
        <v>462</v>
      </c>
      <c r="C233" s="69" t="n">
        <f aca="false">C232</f>
        <v>-4174804.1630306</v>
      </c>
      <c r="D233" s="69" t="n">
        <f aca="false">C233+D232</f>
        <v>-4243248.67177471</v>
      </c>
      <c r="E233" s="69" t="n">
        <f aca="false">D233+E232</f>
        <v>-4296329.6491418</v>
      </c>
      <c r="F233" s="69" t="n">
        <f aca="false">E233+F232</f>
        <v>-4342157.01811239</v>
      </c>
      <c r="G233" s="69" t="n">
        <f aca="false">F233+G232</f>
        <v>-4380685.88645973</v>
      </c>
      <c r="H233" s="69" t="n">
        <f aca="false">G233+H232</f>
        <v>-4411793.64487117</v>
      </c>
      <c r="I233" s="69" t="n">
        <f aca="false">H233+I232</f>
        <v>-4435362.58840657</v>
      </c>
      <c r="J233" s="69" t="n">
        <f aca="false">I233+J232</f>
        <v>-4451279.7203234</v>
      </c>
      <c r="K233" s="69" t="n">
        <f aca="false">J233+K232</f>
        <v>-4459436.56374881</v>
      </c>
      <c r="L233" s="69" t="n">
        <f aca="false">K233+L232</f>
        <v>-4459728.9808849</v>
      </c>
      <c r="M233" s="69" t="n">
        <f aca="false">L233+M232</f>
        <v>-4457578.87482632</v>
      </c>
      <c r="N233" s="69" t="n">
        <f aca="false">M233+N232</f>
        <v>-4469557.79245348</v>
      </c>
      <c r="O233" s="69" t="n">
        <f aca="false">N233+O232</f>
        <v>-4517769.37465789</v>
      </c>
      <c r="P233" s="69" t="n">
        <f aca="false">O233+P232</f>
        <v>-4524041.04765536</v>
      </c>
      <c r="Q233" s="69" t="n">
        <f aca="false">P233+Q232</f>
        <v>-4511908.82324021</v>
      </c>
      <c r="R233" s="69" t="n">
        <f aca="false">Q233+R232</f>
        <v>-4497750.87669718</v>
      </c>
      <c r="S233" s="69" t="n">
        <f aca="false">R233+S232</f>
        <v>-4481613.9634559</v>
      </c>
      <c r="T233" s="69" t="n">
        <f aca="false">S233+T232</f>
        <v>-4463570.15885097</v>
      </c>
      <c r="U233" s="69" t="n">
        <f aca="false">T233+U232</f>
        <v>-4443688.6552036</v>
      </c>
      <c r="V233" s="69" t="n">
        <f aca="false">U233+V232</f>
        <v>-4422035.87714216</v>
      </c>
      <c r="W233" s="69" t="n">
        <f aca="false">V233+W232</f>
        <v>-4398675.59230987</v>
      </c>
      <c r="X233" s="69" t="n">
        <f aca="false">W233+X232</f>
        <v>-4373669.01764423</v>
      </c>
      <c r="Y233" s="69" t="n">
        <f aca="false">X233+Y232</f>
        <v>-4347074.92140525</v>
      </c>
      <c r="Z233" s="69" t="n">
        <f aca="false">Y233+Z232</f>
        <v>-4335079.33892082</v>
      </c>
      <c r="AA233" s="69" t="n">
        <f aca="false">Z233+AA232</f>
        <v>-4359885.53528132</v>
      </c>
      <c r="AB233" s="69" t="n">
        <f aca="false">AA233+AB232</f>
        <v>-4343445.4614431</v>
      </c>
      <c r="AC233" s="69" t="n">
        <f aca="false">AB233+AC232</f>
        <v>-4309448.77111276</v>
      </c>
      <c r="AD233" s="69" t="n">
        <f aca="false">AC233+AD232</f>
        <v>-4274296.87164024</v>
      </c>
      <c r="AE233" s="69" t="n">
        <f aca="false">AD233+AE232</f>
        <v>-4237743.30450266</v>
      </c>
      <c r="AF233" s="69" t="n">
        <f aca="false">AE233+AF232</f>
        <v>-4199837.05307329</v>
      </c>
      <c r="AG233" s="69" t="n">
        <f aca="false">AF233+AG232</f>
        <v>-4160625.14139048</v>
      </c>
      <c r="AH233" s="69" t="n">
        <f aca="false">AG233+AH232</f>
        <v>-4120152.71253102</v>
      </c>
      <c r="AI233" s="69" t="n">
        <f aca="false">AH233+AI232</f>
        <v>-4078463.10384864</v>
      </c>
      <c r="AJ233" s="69" t="n">
        <f aca="false">AI233+AJ232</f>
        <v>-4035597.91920294</v>
      </c>
      <c r="AK233" s="69" t="n">
        <f aca="false">AJ233+AK232</f>
        <v>-3991597.0982991</v>
      </c>
      <c r="AL233" s="69" t="n">
        <f aca="false">AK233+AL232</f>
        <v>-3962563.48353804</v>
      </c>
      <c r="AM233" s="69" t="n">
        <f aca="false">AL233+AM232</f>
        <v>-3970738.94984161</v>
      </c>
      <c r="AN233" s="69" t="n">
        <f aca="false">AM233+AN232</f>
        <v>-3938098.95056353</v>
      </c>
      <c r="AO233" s="69" t="n">
        <f aca="false">AN233+AO232</f>
        <v>-3888346.87642953</v>
      </c>
      <c r="AP233" s="69" t="n">
        <f aca="false">AO233+AP232</f>
        <v>-3838002.65284098</v>
      </c>
      <c r="AQ233" s="69" t="n">
        <f aca="false">AP233+AQ232</f>
        <v>-3786611.6466689</v>
      </c>
      <c r="AR233" s="69" t="n">
        <f aca="false">AQ233+AR232</f>
        <v>-3734208.64588331</v>
      </c>
      <c r="AS233" s="69" t="n">
        <f aca="false">AR233+AS232</f>
        <v>-3680827.0469354</v>
      </c>
      <c r="AT233" s="69" t="n">
        <f aca="false">AS233+AT232</f>
        <v>-3626498.91041834</v>
      </c>
      <c r="AU233" s="69" t="n">
        <f aca="false">AT233+AU232</f>
        <v>-3571255.01450156</v>
      </c>
      <c r="AV233" s="69" t="n">
        <f aca="false">AU233+AV232</f>
        <v>-3515124.90622772</v>
      </c>
      <c r="AW233" s="69" t="n">
        <f aca="false">AV233+AW232</f>
        <v>-3458136.95075776</v>
      </c>
      <c r="AX233" s="69" t="n">
        <f aca="false">AW233+AX232</f>
        <v>-3416422.35969596</v>
      </c>
      <c r="AY233" s="69" t="n">
        <f aca="false">AX233+AY232</f>
        <v>-3412204.29831423</v>
      </c>
      <c r="AZ233" s="69" t="n">
        <f aca="false">AY233+AZ232</f>
        <v>-3367437.27468542</v>
      </c>
      <c r="BA233" s="69" t="n">
        <f aca="false">AZ233+BA232</f>
        <v>-3305750.77697158</v>
      </c>
      <c r="BB233" s="69" t="n">
        <f aca="false">BA233+BB232</f>
        <v>-3243844.20908333</v>
      </c>
      <c r="BC233" s="69" t="n">
        <f aca="false">BB233+BC232</f>
        <v>-3181106.71236583</v>
      </c>
      <c r="BD233" s="69" t="n">
        <f aca="false">BC233+BD232</f>
        <v>-3117564.44063893</v>
      </c>
      <c r="BE233" s="69" t="n">
        <f aca="false">BD233+BE232</f>
        <v>-3053242.50156965</v>
      </c>
      <c r="BF233" s="69" t="n">
        <f aca="false">BE233+BF232</f>
        <v>-2988164.99851837</v>
      </c>
      <c r="BG233" s="69" t="n">
        <f aca="false">BF233+BG232</f>
        <v>-2922355.07071103</v>
      </c>
      <c r="BH233" s="69" t="n">
        <f aca="false">BG233+BH232</f>
        <v>-2855834.93180455</v>
      </c>
      <c r="BI233" s="69" t="n">
        <f aca="false">BH233+BI232</f>
        <v>-2788625.90690954</v>
      </c>
      <c r="BJ233" s="69" t="n">
        <f aca="false">BI233+BJ232</f>
        <v>-2736957.07657935</v>
      </c>
    </row>
    <row r="234" customFormat="false" ht="15" hidden="false" customHeight="false" outlineLevel="0" collapsed="false">
      <c r="A234" s="116" t="s">
        <v>463</v>
      </c>
      <c r="C234" s="69" t="n">
        <f aca="false">C233</f>
        <v>-4174804.1630306</v>
      </c>
      <c r="D234" s="69" t="n">
        <f aca="false">MIN(C234,D233)</f>
        <v>-4243248.67177471</v>
      </c>
      <c r="E234" s="69" t="n">
        <f aca="false">MIN(D234,E233)</f>
        <v>-4296329.6491418</v>
      </c>
      <c r="F234" s="69" t="n">
        <f aca="false">MIN(E234,F233)</f>
        <v>-4342157.01811239</v>
      </c>
      <c r="G234" s="69" t="n">
        <f aca="false">MIN(F234,G233)</f>
        <v>-4380685.88645973</v>
      </c>
      <c r="H234" s="69" t="n">
        <f aca="false">MIN(G234,H233)</f>
        <v>-4411793.64487117</v>
      </c>
      <c r="I234" s="69" t="n">
        <f aca="false">MIN(H234,I233)</f>
        <v>-4435362.58840657</v>
      </c>
      <c r="J234" s="69" t="n">
        <f aca="false">MIN(I234,J233)</f>
        <v>-4451279.7203234</v>
      </c>
      <c r="K234" s="69" t="n">
        <f aca="false">MIN(J234,K233)</f>
        <v>-4459436.56374881</v>
      </c>
      <c r="L234" s="69" t="n">
        <f aca="false">MIN(K234,L233)</f>
        <v>-4459728.9808849</v>
      </c>
      <c r="M234" s="69" t="n">
        <f aca="false">MIN(L234,M233)</f>
        <v>-4459728.9808849</v>
      </c>
      <c r="N234" s="69" t="n">
        <f aca="false">MIN(M234,N233)</f>
        <v>-4469557.79245348</v>
      </c>
      <c r="O234" s="69" t="n">
        <f aca="false">MIN(N234,O233)</f>
        <v>-4517769.37465789</v>
      </c>
      <c r="P234" s="69" t="n">
        <f aca="false">MIN(O234,P233)</f>
        <v>-4524041.04765536</v>
      </c>
      <c r="Q234" s="69" t="n">
        <f aca="false">MIN(P234,Q233)</f>
        <v>-4524041.04765536</v>
      </c>
      <c r="R234" s="69" t="n">
        <f aca="false">MIN(Q234,R233)</f>
        <v>-4524041.04765536</v>
      </c>
      <c r="S234" s="69" t="n">
        <f aca="false">MIN(R234,S233)</f>
        <v>-4524041.04765536</v>
      </c>
      <c r="T234" s="69" t="n">
        <f aca="false">MIN(S234,T233)</f>
        <v>-4524041.04765536</v>
      </c>
      <c r="U234" s="69" t="n">
        <f aca="false">MIN(T234,U233)</f>
        <v>-4524041.04765536</v>
      </c>
      <c r="V234" s="69" t="n">
        <f aca="false">MIN(U234,V233)</f>
        <v>-4524041.04765536</v>
      </c>
      <c r="W234" s="69" t="n">
        <f aca="false">MIN(V234,W233)</f>
        <v>-4524041.04765536</v>
      </c>
      <c r="X234" s="69" t="n">
        <f aca="false">MIN(W234,X233)</f>
        <v>-4524041.04765536</v>
      </c>
      <c r="Y234" s="69" t="n">
        <f aca="false">MIN(X234,Y233)</f>
        <v>-4524041.04765536</v>
      </c>
      <c r="Z234" s="69" t="n">
        <f aca="false">MIN(Y234,Z233)</f>
        <v>-4524041.04765536</v>
      </c>
      <c r="AA234" s="69" t="n">
        <f aca="false">MIN(Z234,AA233)</f>
        <v>-4524041.04765536</v>
      </c>
      <c r="AB234" s="69" t="n">
        <f aca="false">MIN(AA234,AB233)</f>
        <v>-4524041.04765536</v>
      </c>
      <c r="AC234" s="69" t="n">
        <f aca="false">MIN(AB234,AC233)</f>
        <v>-4524041.04765536</v>
      </c>
      <c r="AD234" s="69" t="n">
        <f aca="false">MIN(AC234,AD233)</f>
        <v>-4524041.04765536</v>
      </c>
      <c r="AE234" s="69" t="n">
        <f aca="false">MIN(AD234,AE233)</f>
        <v>-4524041.04765536</v>
      </c>
      <c r="AF234" s="69" t="n">
        <f aca="false">MIN(AE234,AF233)</f>
        <v>-4524041.04765536</v>
      </c>
      <c r="AG234" s="69" t="n">
        <f aca="false">MIN(AF234,AG233)</f>
        <v>-4524041.04765536</v>
      </c>
      <c r="AH234" s="69" t="n">
        <f aca="false">MIN(AG234,AH233)</f>
        <v>-4524041.04765536</v>
      </c>
      <c r="AI234" s="69" t="n">
        <f aca="false">MIN(AH234,AI233)</f>
        <v>-4524041.04765536</v>
      </c>
      <c r="AJ234" s="69" t="n">
        <f aca="false">MIN(AI234,AJ233)</f>
        <v>-4524041.04765536</v>
      </c>
      <c r="AK234" s="69" t="n">
        <f aca="false">MIN(AJ234,AK233)</f>
        <v>-4524041.04765536</v>
      </c>
      <c r="AL234" s="69" t="n">
        <f aca="false">MIN(AK234,AL233)</f>
        <v>-4524041.04765536</v>
      </c>
      <c r="AM234" s="69" t="n">
        <f aca="false">MIN(AL234,AM233)</f>
        <v>-4524041.04765536</v>
      </c>
      <c r="AN234" s="69" t="n">
        <f aca="false">MIN(AM234,AN233)</f>
        <v>-4524041.04765536</v>
      </c>
      <c r="AO234" s="69" t="n">
        <f aca="false">MIN(AN234,AO233)</f>
        <v>-4524041.04765536</v>
      </c>
      <c r="AP234" s="69" t="n">
        <f aca="false">MIN(AO234,AP233)</f>
        <v>-4524041.04765536</v>
      </c>
      <c r="AQ234" s="69" t="n">
        <f aca="false">MIN(AP234,AQ233)</f>
        <v>-4524041.04765536</v>
      </c>
      <c r="AR234" s="69" t="n">
        <f aca="false">MIN(AQ234,AR233)</f>
        <v>-4524041.04765536</v>
      </c>
      <c r="AS234" s="69" t="n">
        <f aca="false">MIN(AR234,AS233)</f>
        <v>-4524041.04765536</v>
      </c>
      <c r="AT234" s="69" t="n">
        <f aca="false">MIN(AS234,AT233)</f>
        <v>-4524041.04765536</v>
      </c>
      <c r="AU234" s="69" t="n">
        <f aca="false">MIN(AT234,AU233)</f>
        <v>-4524041.04765536</v>
      </c>
      <c r="AV234" s="69" t="n">
        <f aca="false">MIN(AU234,AV233)</f>
        <v>-4524041.04765536</v>
      </c>
      <c r="AW234" s="69" t="n">
        <f aca="false">MIN(AV234,AW233)</f>
        <v>-4524041.04765536</v>
      </c>
      <c r="AX234" s="69" t="n">
        <f aca="false">MIN(AW234,AX233)</f>
        <v>-4524041.04765536</v>
      </c>
      <c r="AY234" s="69" t="n">
        <f aca="false">MIN(AX234,AY233)</f>
        <v>-4524041.04765536</v>
      </c>
      <c r="AZ234" s="69" t="n">
        <f aca="false">MIN(AY234,AZ233)</f>
        <v>-4524041.04765536</v>
      </c>
      <c r="BA234" s="69" t="n">
        <f aca="false">MIN(AZ234,BA233)</f>
        <v>-4524041.04765536</v>
      </c>
      <c r="BB234" s="69" t="n">
        <f aca="false">MIN(BA234,BB233)</f>
        <v>-4524041.04765536</v>
      </c>
      <c r="BC234" s="69" t="n">
        <f aca="false">MIN(BB234,BC233)</f>
        <v>-4524041.04765536</v>
      </c>
      <c r="BD234" s="69" t="n">
        <f aca="false">MIN(BC234,BD233)</f>
        <v>-4524041.04765536</v>
      </c>
      <c r="BE234" s="69" t="n">
        <f aca="false">MIN(BD234,BE233)</f>
        <v>-4524041.04765536</v>
      </c>
      <c r="BF234" s="69" t="n">
        <f aca="false">MIN(BE234,BF233)</f>
        <v>-4524041.04765536</v>
      </c>
      <c r="BG234" s="69" t="n">
        <f aca="false">MIN(BF234,BG233)</f>
        <v>-4524041.04765536</v>
      </c>
      <c r="BH234" s="69" t="n">
        <f aca="false">MIN(BG234,BH233)</f>
        <v>-4524041.04765536</v>
      </c>
      <c r="BI234" s="69" t="n">
        <f aca="false">MIN(BH234,BI233)</f>
        <v>-4524041.04765536</v>
      </c>
      <c r="BJ234" s="69" t="n">
        <f aca="false">MIN(BI234,BJ233)</f>
        <v>-4524041.04765536</v>
      </c>
    </row>
    <row r="235" customFormat="false" ht="15" hidden="false" customHeight="false" outlineLevel="0" collapsed="false">
      <c r="A235" s="116" t="s">
        <v>464</v>
      </c>
      <c r="C235" s="118" t="n">
        <f aca="false">IF(AND(C233&gt;=0,C234&lt;0),1,0)</f>
        <v>0</v>
      </c>
      <c r="D235" s="118" t="n">
        <f aca="false">IF(AND(D233&gt;=0,D234&lt;0),1,0)</f>
        <v>0</v>
      </c>
      <c r="E235" s="118" t="n">
        <f aca="false">IF(AND(E233&gt;=0,E234&lt;0),1,0)</f>
        <v>0</v>
      </c>
      <c r="F235" s="118" t="n">
        <f aca="false">IF(AND(F233&gt;=0,F234&lt;0),1,0)</f>
        <v>0</v>
      </c>
      <c r="G235" s="118" t="n">
        <f aca="false">IF(AND(G233&gt;=0,G234&lt;0),1,0)</f>
        <v>0</v>
      </c>
      <c r="H235" s="118" t="n">
        <f aca="false">IF(AND(H233&gt;=0,H234&lt;0),1,0)</f>
        <v>0</v>
      </c>
      <c r="I235" s="118" t="n">
        <f aca="false">IF(AND(I233&gt;=0,I234&lt;0),1,0)</f>
        <v>0</v>
      </c>
      <c r="J235" s="118" t="n">
        <f aca="false">IF(AND(J233&gt;=0,J234&lt;0),1,0)</f>
        <v>0</v>
      </c>
      <c r="K235" s="118" t="n">
        <f aca="false">IF(AND(K233&gt;=0,K234&lt;0),1,0)</f>
        <v>0</v>
      </c>
      <c r="L235" s="118" t="n">
        <f aca="false">IF(AND(L233&gt;=0,L234&lt;0),1,0)</f>
        <v>0</v>
      </c>
      <c r="M235" s="118" t="n">
        <f aca="false">IF(AND(M233&gt;=0,M234&lt;0),1,0)</f>
        <v>0</v>
      </c>
      <c r="N235" s="118" t="n">
        <f aca="false">IF(AND(N233&gt;=0,N234&lt;0),1,0)</f>
        <v>0</v>
      </c>
      <c r="O235" s="118" t="n">
        <f aca="false">IF(AND(O233&gt;=0,O234&lt;0),1,0)</f>
        <v>0</v>
      </c>
      <c r="P235" s="118" t="n">
        <f aca="false">IF(AND(P233&gt;=0,P234&lt;0),1,0)</f>
        <v>0</v>
      </c>
      <c r="Q235" s="118" t="n">
        <f aca="false">IF(AND(Q233&gt;=0,Q234&lt;0),1,0)</f>
        <v>0</v>
      </c>
      <c r="R235" s="118" t="n">
        <f aca="false">IF(AND(R233&gt;=0,R234&lt;0),1,0)</f>
        <v>0</v>
      </c>
      <c r="S235" s="118" t="n">
        <f aca="false">IF(AND(S233&gt;=0,S234&lt;0),1,0)</f>
        <v>0</v>
      </c>
      <c r="T235" s="118" t="n">
        <f aca="false">IF(AND(T233&gt;=0,T234&lt;0),1,0)</f>
        <v>0</v>
      </c>
      <c r="U235" s="118" t="n">
        <f aca="false">IF(AND(U233&gt;=0,U234&lt;0),1,0)</f>
        <v>0</v>
      </c>
      <c r="V235" s="118" t="n">
        <f aca="false">IF(AND(V233&gt;=0,V234&lt;0),1,0)</f>
        <v>0</v>
      </c>
      <c r="W235" s="118" t="n">
        <f aca="false">IF(AND(W233&gt;=0,W234&lt;0),1,0)</f>
        <v>0</v>
      </c>
      <c r="X235" s="118" t="n">
        <f aca="false">IF(AND(X233&gt;=0,X234&lt;0),1,0)</f>
        <v>0</v>
      </c>
      <c r="Y235" s="118" t="n">
        <f aca="false">IF(AND(Y233&gt;=0,Y234&lt;0),1,0)</f>
        <v>0</v>
      </c>
      <c r="Z235" s="118" t="n">
        <f aca="false">IF(AND(Z233&gt;=0,Z234&lt;0),1,0)</f>
        <v>0</v>
      </c>
      <c r="AA235" s="118" t="n">
        <f aca="false">IF(AND(AA233&gt;=0,AA234&lt;0),1,0)</f>
        <v>0</v>
      </c>
      <c r="AB235" s="118" t="n">
        <f aca="false">IF(AND(AB233&gt;=0,AB234&lt;0),1,0)</f>
        <v>0</v>
      </c>
      <c r="AC235" s="118" t="n">
        <f aca="false">IF(AND(AC233&gt;=0,AC234&lt;0),1,0)</f>
        <v>0</v>
      </c>
      <c r="AD235" s="118" t="n">
        <f aca="false">IF(AND(AD233&gt;=0,AD234&lt;0),1,0)</f>
        <v>0</v>
      </c>
      <c r="AE235" s="118" t="n">
        <f aca="false">IF(AND(AE233&gt;=0,AE234&lt;0),1,0)</f>
        <v>0</v>
      </c>
      <c r="AF235" s="118" t="n">
        <f aca="false">IF(AND(AF233&gt;=0,AF234&lt;0),1,0)</f>
        <v>0</v>
      </c>
      <c r="AG235" s="118" t="n">
        <f aca="false">IF(AND(AG233&gt;=0,AG234&lt;0),1,0)</f>
        <v>0</v>
      </c>
      <c r="AH235" s="118" t="n">
        <f aca="false">IF(AND(AH233&gt;=0,AH234&lt;0),1,0)</f>
        <v>0</v>
      </c>
      <c r="AI235" s="118" t="n">
        <f aca="false">IF(AND(AI233&gt;=0,AI234&lt;0),1,0)</f>
        <v>0</v>
      </c>
      <c r="AJ235" s="118" t="n">
        <f aca="false">IF(AND(AJ233&gt;=0,AJ234&lt;0),1,0)</f>
        <v>0</v>
      </c>
      <c r="AK235" s="118" t="n">
        <f aca="false">IF(AND(AK233&gt;=0,AK234&lt;0),1,0)</f>
        <v>0</v>
      </c>
      <c r="AL235" s="118" t="n">
        <f aca="false">IF(AND(AL233&gt;=0,AL234&lt;0),1,0)</f>
        <v>0</v>
      </c>
      <c r="AM235" s="118" t="n">
        <f aca="false">IF(AND(AM233&gt;=0,AM234&lt;0),1,0)</f>
        <v>0</v>
      </c>
      <c r="AN235" s="118" t="n">
        <f aca="false">IF(AND(AN233&gt;=0,AN234&lt;0),1,0)</f>
        <v>0</v>
      </c>
      <c r="AO235" s="118" t="n">
        <f aca="false">IF(AND(AO233&gt;=0,AO234&lt;0),1,0)</f>
        <v>0</v>
      </c>
      <c r="AP235" s="118" t="n">
        <f aca="false">IF(AND(AP233&gt;=0,AP234&lt;0),1,0)</f>
        <v>0</v>
      </c>
      <c r="AQ235" s="118" t="n">
        <f aca="false">IF(AND(AQ233&gt;=0,AQ234&lt;0),1,0)</f>
        <v>0</v>
      </c>
      <c r="AR235" s="118" t="n">
        <f aca="false">IF(AND(AR233&gt;=0,AR234&lt;0),1,0)</f>
        <v>0</v>
      </c>
      <c r="AS235" s="118" t="n">
        <f aca="false">IF(AND(AS233&gt;=0,AS234&lt;0),1,0)</f>
        <v>0</v>
      </c>
      <c r="AT235" s="118" t="n">
        <f aca="false">IF(AND(AT233&gt;=0,AT234&lt;0),1,0)</f>
        <v>0</v>
      </c>
      <c r="AU235" s="118" t="n">
        <f aca="false">IF(AND(AU233&gt;=0,AU234&lt;0),1,0)</f>
        <v>0</v>
      </c>
      <c r="AV235" s="118" t="n">
        <f aca="false">IF(AND(AV233&gt;=0,AV234&lt;0),1,0)</f>
        <v>0</v>
      </c>
      <c r="AW235" s="118" t="n">
        <f aca="false">IF(AND(AW233&gt;=0,AW234&lt;0),1,0)</f>
        <v>0</v>
      </c>
      <c r="AX235" s="118" t="n">
        <f aca="false">IF(AND(AX233&gt;=0,AX234&lt;0),1,0)</f>
        <v>0</v>
      </c>
      <c r="AY235" s="118" t="n">
        <f aca="false">IF(AND(AY233&gt;=0,AY234&lt;0),1,0)</f>
        <v>0</v>
      </c>
      <c r="AZ235" s="118" t="n">
        <f aca="false">IF(AND(AZ233&gt;=0,AZ234&lt;0),1,0)</f>
        <v>0</v>
      </c>
      <c r="BA235" s="118" t="n">
        <f aca="false">IF(AND(BA233&gt;=0,BA234&lt;0),1,0)</f>
        <v>0</v>
      </c>
      <c r="BB235" s="118" t="n">
        <f aca="false">IF(AND(BB233&gt;=0,BB234&lt;0),1,0)</f>
        <v>0</v>
      </c>
      <c r="BC235" s="118" t="n">
        <f aca="false">IF(AND(BC233&gt;=0,BC234&lt;0),1,0)</f>
        <v>0</v>
      </c>
      <c r="BD235" s="118" t="n">
        <f aca="false">IF(AND(BD233&gt;=0,BD234&lt;0),1,0)</f>
        <v>0</v>
      </c>
      <c r="BE235" s="118" t="n">
        <f aca="false">IF(AND(BE233&gt;=0,BE234&lt;0),1,0)</f>
        <v>0</v>
      </c>
      <c r="BF235" s="118" t="n">
        <f aca="false">IF(AND(BF233&gt;=0,BF234&lt;0),1,0)</f>
        <v>0</v>
      </c>
      <c r="BG235" s="118" t="n">
        <f aca="false">IF(AND(BG233&gt;=0,BG234&lt;0),1,0)</f>
        <v>0</v>
      </c>
      <c r="BH235" s="118" t="n">
        <f aca="false">IF(AND(BH233&gt;=0,BH234&lt;0),1,0)</f>
        <v>0</v>
      </c>
      <c r="BI235" s="118" t="n">
        <f aca="false">IF(AND(BI233&gt;=0,BI234&lt;0),1,0)</f>
        <v>0</v>
      </c>
      <c r="BJ235" s="118" t="n">
        <f aca="false">IF(AND(BJ233&gt;=0,BJ234&lt;0),1,0)</f>
        <v>0</v>
      </c>
    </row>
    <row r="236" customFormat="false" ht="15" hidden="false" customHeight="false" outlineLevel="0" collapsed="false">
      <c r="A236" s="6" t="s">
        <v>465</v>
      </c>
      <c r="C236" s="69" t="n">
        <f aca="false">C221-C188*(1-Inputs!$C$79)+C222</f>
        <v>-4158016.6630306</v>
      </c>
      <c r="D236" s="69" t="n">
        <f aca="false">D221-D188*(1-Inputs!$C$79)+D222</f>
        <v>-51726.9566607723</v>
      </c>
      <c r="E236" s="69" t="n">
        <f aca="false">E221-E188*(1-Inputs!$C$79)+E222</f>
        <v>-36503.321117098</v>
      </c>
      <c r="F236" s="69" t="n">
        <f aca="false">F221-F188*(1-Inputs!$C$79)+F222</f>
        <v>-29389.6085539201</v>
      </c>
      <c r="G236" s="69" t="n">
        <f aca="false">G221-G188*(1-Inputs!$C$79)+G222</f>
        <v>-22231.0037640041</v>
      </c>
      <c r="H236" s="69" t="n">
        <f aca="false">H221-H188*(1-Inputs!$C$79)+H222</f>
        <v>-14949.7896614402</v>
      </c>
      <c r="I236" s="69" t="n">
        <f aca="false">I221-I188*(1-Inputs!$C$79)+I222</f>
        <v>-7550.87061873443</v>
      </c>
      <c r="J236" s="69" t="n">
        <f aca="false">J221-J188*(1-Inputs!$C$79)+J222</f>
        <v>-38.9548334924384</v>
      </c>
      <c r="K236" s="69" t="n">
        <f aca="false">K221-K188*(1-Inputs!$C$79)+K222</f>
        <v>7581.4378245843</v>
      </c>
      <c r="L236" s="69" t="n">
        <f aca="false">L221-L188*(1-Inputs!$C$79)+L222</f>
        <v>15305.9682805824</v>
      </c>
      <c r="M236" s="69" t="n">
        <f aca="false">M221-M188*(1-Inputs!$C$79)+M222</f>
        <v>17608.595641911</v>
      </c>
      <c r="N236" s="69" t="n">
        <f aca="false">N221-N188*(1-Inputs!$C$79)+N222</f>
        <v>3339.67612283636</v>
      </c>
      <c r="O236" s="69" t="n">
        <f aca="false">O221-O188*(1-Inputs!$C$79)+O222</f>
        <v>-33032.8842877425</v>
      </c>
      <c r="P236" s="69" t="n">
        <f aca="false">P221-P188*(1-Inputs!$C$79)+P222</f>
        <v>8767.12908586418</v>
      </c>
      <c r="Q236" s="69" t="n">
        <f aca="false">Q221-Q188*(1-Inputs!$C$79)+Q222</f>
        <v>27031.1306651499</v>
      </c>
      <c r="R236" s="69" t="n">
        <f aca="false">R221-R188*(1-Inputs!$C$79)+R222</f>
        <v>28916.9569596957</v>
      </c>
      <c r="S236" s="69" t="n">
        <f aca="false">S221-S188*(1-Inputs!$C$79)+S222</f>
        <v>30756.0278246112</v>
      </c>
      <c r="T236" s="69" t="n">
        <f aca="false">T221-T188*(1-Inputs!$C$79)+T222</f>
        <v>32523.0233549301</v>
      </c>
      <c r="U236" s="69" t="n">
        <f aca="false">U221-U188*(1-Inputs!$C$79)+U222</f>
        <v>34220.8265640362</v>
      </c>
      <c r="V236" s="69" t="n">
        <f aca="false">V221-V188*(1-Inputs!$C$79)+V222</f>
        <v>35852.2051447781</v>
      </c>
      <c r="W236" s="69" t="n">
        <f aca="false">W221-W188*(1-Inputs!$C$79)+W222</f>
        <v>37419.8160822903</v>
      </c>
      <c r="X236" s="69" t="n">
        <f aca="false">X221-X188*(1-Inputs!$C$79)+X222</f>
        <v>38926.2100823021</v>
      </c>
      <c r="Y236" s="69" t="n">
        <f aca="false">Y221-Y188*(1-Inputs!$C$79)+Y222</f>
        <v>40373.8358223133</v>
      </c>
      <c r="Z236" s="69" t="n">
        <f aca="false">Z221-Z188*(1-Inputs!$C$79)+Z222</f>
        <v>25635.4262344361</v>
      </c>
      <c r="AA236" s="69" t="n">
        <f aca="false">AA221-AA188*(1-Inputs!$C$79)+AA222</f>
        <v>-11306.24844384</v>
      </c>
      <c r="AB236" s="69" t="n">
        <f aca="false">AB221-AB188*(1-Inputs!$C$79)+AB222</f>
        <v>29800.1259215574</v>
      </c>
      <c r="AC236" s="69" t="n">
        <f aca="false">AC221-AC188*(1-Inputs!$C$79)+AC222</f>
        <v>47216.8465803437</v>
      </c>
      <c r="AD236" s="69" t="n">
        <f aca="false">AD221-AD188*(1-Inputs!$C$79)+AD222</f>
        <v>48232.1598891856</v>
      </c>
      <c r="AE236" s="69" t="n">
        <f aca="false">AE221-AE188*(1-Inputs!$C$79)+AE222</f>
        <v>49493.93172091</v>
      </c>
      <c r="AF236" s="69" t="n">
        <f aca="false">AF221-AF188*(1-Inputs!$C$79)+AF222</f>
        <v>50706.7201793654</v>
      </c>
      <c r="AG236" s="69" t="n">
        <f aca="false">AG221-AG188*(1-Inputs!$C$79)+AG222</f>
        <v>51872.4845994826</v>
      </c>
      <c r="AH236" s="69" t="n">
        <f aca="false">AH221-AH188*(1-Inputs!$C$79)+AH222</f>
        <v>52993.1059427951</v>
      </c>
      <c r="AI236" s="69" t="n">
        <f aca="false">AI221-AI188*(1-Inputs!$C$79)+AI222</f>
        <v>54070.3899323751</v>
      </c>
      <c r="AJ236" s="69" t="n">
        <f aca="false">AJ221-AJ188*(1-Inputs!$C$79)+AJ222</f>
        <v>55106.0700623719</v>
      </c>
      <c r="AK236" s="69" t="n">
        <f aca="false">AK221-AK188*(1-Inputs!$C$79)+AK222</f>
        <v>56101.8104871688</v>
      </c>
      <c r="AL236" s="69" t="n">
        <f aca="false">AL221-AL188*(1-Inputs!$C$79)+AL222</f>
        <v>40994.7085110641</v>
      </c>
      <c r="AM236" s="69" t="n">
        <f aca="false">AM221-AM188*(1-Inputs!$C$79)+AM222</f>
        <v>3645.73161309641</v>
      </c>
      <c r="AN236" s="69" t="n">
        <f aca="false">AN221-AN188*(1-Inputs!$C$79)+AN222</f>
        <v>44321.3013614088</v>
      </c>
      <c r="AO236" s="69" t="n">
        <f aca="false">AO221-AO188*(1-Inputs!$C$79)+AO222</f>
        <v>61293.4803840058</v>
      </c>
      <c r="AP236" s="69" t="n">
        <f aca="false">AP221-AP188*(1-Inputs!$C$79)+AP222</f>
        <v>61745.7340052163</v>
      </c>
      <c r="AQ236" s="69" t="n">
        <f aca="false">AQ221-AQ188*(1-Inputs!$C$79)+AQ222</f>
        <v>62652.6207554095</v>
      </c>
      <c r="AR236" s="69" t="n">
        <f aca="false">AR221-AR188*(1-Inputs!$C$79)+AR222</f>
        <v>63524.719535595</v>
      </c>
      <c r="AS236" s="69" t="n">
        <f aca="false">AS221-AS188*(1-Inputs!$C$79)+AS222</f>
        <v>64363.4218645731</v>
      </c>
      <c r="AT236" s="69" t="n">
        <f aca="false">AT221-AT188*(1-Inputs!$C$79)+AT222</f>
        <v>65170.0636003921</v>
      </c>
      <c r="AU236" s="69" t="n">
        <f aca="false">AU221-AU188*(1-Inputs!$C$79)+AU222</f>
        <v>65945.9271667783</v>
      </c>
      <c r="AV236" s="69" t="n">
        <f aca="false">AV221-AV188*(1-Inputs!$C$79)+AV222</f>
        <v>66692.2436905091</v>
      </c>
      <c r="AW236" s="69" t="n">
        <f aca="false">AW221-AW188*(1-Inputs!$C$79)+AW222</f>
        <v>67410.1950532906</v>
      </c>
      <c r="AX236" s="69" t="n">
        <f aca="false">AX221-AX188*(1-Inputs!$C$79)+AX222</f>
        <v>51996.9348118083</v>
      </c>
      <c r="AY236" s="69" t="n">
        <f aca="false">AY221-AY188*(1-Inputs!$C$79)+AY222</f>
        <v>14360.5092983922</v>
      </c>
      <c r="AZ236" s="69" t="n">
        <f aca="false">AZ221-AZ188*(1-Inputs!$C$79)+AZ222</f>
        <v>54769.5757121477</v>
      </c>
      <c r="BA236" s="69" t="n">
        <f aca="false">BA221-BA188*(1-Inputs!$C$79)+BA222</f>
        <v>71549.1539638332</v>
      </c>
      <c r="BB236" s="69" t="n">
        <f aca="false">BB221-BB188*(1-Inputs!$C$79)+BB222</f>
        <v>71629.3283049172</v>
      </c>
      <c r="BC236" s="69" t="n">
        <f aca="false">BC221-BC188*(1-Inputs!$C$79)+BC222</f>
        <v>72320.3613008305</v>
      </c>
      <c r="BD236" s="69" t="n">
        <f aca="false">BD221-BD188*(1-Inputs!$C$79)+BD222</f>
        <v>72985.2404769072</v>
      </c>
      <c r="BE236" s="69" t="n">
        <f aca="false">BE221-BE188*(1-Inputs!$C$79)+BE222</f>
        <v>73625.0119859409</v>
      </c>
      <c r="BF236" s="69" t="n">
        <f aca="false">BF221-BF188*(1-Inputs!$C$79)+BF222</f>
        <v>74240.6801346131</v>
      </c>
      <c r="BG236" s="69" t="n">
        <f aca="false">BG221-BG188*(1-Inputs!$C$79)+BG222</f>
        <v>74833.2090573385</v>
      </c>
      <c r="BH236" s="69" t="n">
        <f aca="false">BH221-BH188*(1-Inputs!$C$79)+BH222</f>
        <v>75403.524323155</v>
      </c>
      <c r="BI236" s="69" t="n">
        <f aca="false">BI221-BI188*(1-Inputs!$C$79)+BI222</f>
        <v>75952.5144783387</v>
      </c>
      <c r="BJ236" s="69" t="n">
        <f aca="false">BJ221-BJ188*(1-Inputs!$C$79)+BJ222</f>
        <v>60272.4240801914</v>
      </c>
    </row>
    <row r="238" customFormat="false" ht="15.75" hidden="false" customHeight="true" outlineLevel="0" collapsed="false">
      <c r="A238" s="7" t="s">
        <v>466</v>
      </c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</row>
    <row r="239" customFormat="false" ht="15" hidden="false" customHeight="false" outlineLevel="0" collapsed="false">
      <c r="A239" s="6" t="s">
        <v>97</v>
      </c>
      <c r="C239" s="69" t="n">
        <f aca="false">C223</f>
        <v>2100000</v>
      </c>
      <c r="D239" s="69" t="n">
        <f aca="false">C239+D223</f>
        <v>2100000</v>
      </c>
      <c r="E239" s="69" t="n">
        <f aca="false">D239+E223</f>
        <v>2100000</v>
      </c>
      <c r="F239" s="69" t="n">
        <f aca="false">E239+F223</f>
        <v>2100000</v>
      </c>
      <c r="G239" s="69" t="n">
        <f aca="false">F239+G223</f>
        <v>2100000</v>
      </c>
      <c r="H239" s="69" t="n">
        <f aca="false">G239+H223</f>
        <v>2100000</v>
      </c>
      <c r="I239" s="69" t="n">
        <f aca="false">H239+I223</f>
        <v>2100000</v>
      </c>
      <c r="J239" s="69" t="n">
        <f aca="false">I239+J223</f>
        <v>2100000</v>
      </c>
      <c r="K239" s="69" t="n">
        <f aca="false">J239+K223</f>
        <v>2100000</v>
      </c>
      <c r="L239" s="69" t="n">
        <f aca="false">K239+L223</f>
        <v>2100000</v>
      </c>
      <c r="M239" s="69" t="n">
        <f aca="false">L239+M223</f>
        <v>2100000</v>
      </c>
      <c r="N239" s="69" t="n">
        <f aca="false">M239+N223</f>
        <v>2100000</v>
      </c>
      <c r="O239" s="69" t="n">
        <f aca="false">N239+O223</f>
        <v>2100000</v>
      </c>
      <c r="P239" s="69" t="n">
        <f aca="false">O239+P223</f>
        <v>2100000</v>
      </c>
      <c r="Q239" s="69" t="n">
        <f aca="false">P239+Q223</f>
        <v>2100000</v>
      </c>
      <c r="R239" s="69" t="n">
        <f aca="false">Q239+R223</f>
        <v>2100000</v>
      </c>
      <c r="S239" s="69" t="n">
        <f aca="false">R239+S223</f>
        <v>2100000</v>
      </c>
      <c r="T239" s="69" t="n">
        <f aca="false">S239+T223</f>
        <v>2100000</v>
      </c>
      <c r="U239" s="69" t="n">
        <f aca="false">T239+U223</f>
        <v>2100000</v>
      </c>
      <c r="V239" s="69" t="n">
        <f aca="false">U239+V223</f>
        <v>2100000</v>
      </c>
      <c r="W239" s="69" t="n">
        <f aca="false">V239+W223</f>
        <v>2100000</v>
      </c>
      <c r="X239" s="69" t="n">
        <f aca="false">W239+X223</f>
        <v>2100000</v>
      </c>
      <c r="Y239" s="69" t="n">
        <f aca="false">X239+Y223</f>
        <v>2100000</v>
      </c>
      <c r="Z239" s="69" t="n">
        <f aca="false">Y239+Z223</f>
        <v>2100000</v>
      </c>
      <c r="AA239" s="69" t="n">
        <f aca="false">Z239+AA223</f>
        <v>2100000</v>
      </c>
      <c r="AB239" s="69" t="n">
        <f aca="false">AA239+AB223</f>
        <v>2100000</v>
      </c>
      <c r="AC239" s="69" t="n">
        <f aca="false">AB239+AC223</f>
        <v>2100000</v>
      </c>
      <c r="AD239" s="69" t="n">
        <f aca="false">AC239+AD223</f>
        <v>2100000</v>
      </c>
      <c r="AE239" s="69" t="n">
        <f aca="false">AD239+AE223</f>
        <v>2100000</v>
      </c>
      <c r="AF239" s="69" t="n">
        <f aca="false">AE239+AF223</f>
        <v>2100000</v>
      </c>
      <c r="AG239" s="69" t="n">
        <f aca="false">AF239+AG223</f>
        <v>2100000</v>
      </c>
      <c r="AH239" s="69" t="n">
        <f aca="false">AG239+AH223</f>
        <v>2100000</v>
      </c>
      <c r="AI239" s="69" t="n">
        <f aca="false">AH239+AI223</f>
        <v>2100000</v>
      </c>
      <c r="AJ239" s="69" t="n">
        <f aca="false">AI239+AJ223</f>
        <v>2100000</v>
      </c>
      <c r="AK239" s="69" t="n">
        <f aca="false">AJ239+AK223</f>
        <v>2100000</v>
      </c>
      <c r="AL239" s="69" t="n">
        <f aca="false">AK239+AL223</f>
        <v>2100000</v>
      </c>
      <c r="AM239" s="69" t="n">
        <f aca="false">AL239+AM223</f>
        <v>2100000</v>
      </c>
      <c r="AN239" s="69" t="n">
        <f aca="false">AM239+AN223</f>
        <v>2100000</v>
      </c>
      <c r="AO239" s="69" t="n">
        <f aca="false">AN239+AO223</f>
        <v>2100000</v>
      </c>
      <c r="AP239" s="69" t="n">
        <f aca="false">AO239+AP223</f>
        <v>2100000</v>
      </c>
      <c r="AQ239" s="69" t="n">
        <f aca="false">AP239+AQ223</f>
        <v>2100000</v>
      </c>
      <c r="AR239" s="69" t="n">
        <f aca="false">AQ239+AR223</f>
        <v>2100000</v>
      </c>
      <c r="AS239" s="69" t="n">
        <f aca="false">AR239+AS223</f>
        <v>2100000</v>
      </c>
      <c r="AT239" s="69" t="n">
        <f aca="false">AS239+AT223</f>
        <v>2100000</v>
      </c>
      <c r="AU239" s="69" t="n">
        <f aca="false">AT239+AU223</f>
        <v>2100000</v>
      </c>
      <c r="AV239" s="69" t="n">
        <f aca="false">AU239+AV223</f>
        <v>2100000</v>
      </c>
      <c r="AW239" s="69" t="n">
        <f aca="false">AV239+AW223</f>
        <v>2100000</v>
      </c>
      <c r="AX239" s="69" t="n">
        <f aca="false">AW239+AX223</f>
        <v>2100000</v>
      </c>
      <c r="AY239" s="69" t="n">
        <f aca="false">AX239+AY223</f>
        <v>2100000</v>
      </c>
      <c r="AZ239" s="69" t="n">
        <f aca="false">AY239+AZ223</f>
        <v>2100000</v>
      </c>
      <c r="BA239" s="69" t="n">
        <f aca="false">AZ239+BA223</f>
        <v>2100000</v>
      </c>
      <c r="BB239" s="69" t="n">
        <f aca="false">BA239+BB223</f>
        <v>2100000</v>
      </c>
      <c r="BC239" s="69" t="n">
        <f aca="false">BB239+BC223</f>
        <v>2100000</v>
      </c>
      <c r="BD239" s="69" t="n">
        <f aca="false">BC239+BD223</f>
        <v>2100000</v>
      </c>
      <c r="BE239" s="69" t="n">
        <f aca="false">BD239+BE223</f>
        <v>2100000</v>
      </c>
      <c r="BF239" s="69" t="n">
        <f aca="false">BE239+BF223</f>
        <v>2100000</v>
      </c>
      <c r="BG239" s="69" t="n">
        <f aca="false">BF239+BG223</f>
        <v>2100000</v>
      </c>
      <c r="BH239" s="69" t="n">
        <f aca="false">BG239+BH223</f>
        <v>2100000</v>
      </c>
      <c r="BI239" s="69" t="n">
        <f aca="false">BH239+BI223</f>
        <v>2100000</v>
      </c>
      <c r="BJ239" s="69" t="n">
        <f aca="false">BI239+BJ223</f>
        <v>2100000</v>
      </c>
    </row>
    <row r="240" customFormat="false" ht="15" hidden="false" customHeight="false" outlineLevel="0" collapsed="false">
      <c r="A240" s="6" t="s">
        <v>98</v>
      </c>
      <c r="C240" s="69" t="n">
        <f aca="false">C193</f>
        <v>-102437.476634789</v>
      </c>
      <c r="D240" s="69" t="n">
        <f aca="false">C240+D193</f>
        <v>-199240.336761108</v>
      </c>
      <c r="E240" s="69" t="n">
        <f aca="false">D240+E193</f>
        <v>-280587.034107493</v>
      </c>
      <c r="F240" s="69" t="n">
        <f aca="false">E240+F193</f>
        <v>-354763.012705834</v>
      </c>
      <c r="G240" s="69" t="n">
        <f aca="false">F240+G193</f>
        <v>-421640.551968474</v>
      </c>
      <c r="H240" s="69" t="n">
        <f aca="false">G240+H193</f>
        <v>-481097.040131265</v>
      </c>
      <c r="I240" s="69" t="n">
        <f aca="false">H240+I193</f>
        <v>-533014.769900621</v>
      </c>
      <c r="J240" s="69" t="n">
        <f aca="false">I240+J193</f>
        <v>-577280.742274703</v>
      </c>
      <c r="K240" s="69" t="n">
        <f aca="false">J240+K193</f>
        <v>-613786.478211745</v>
      </c>
      <c r="L240" s="69" t="n">
        <f aca="false">K240+L193</f>
        <v>-642427.837831648</v>
      </c>
      <c r="M240" s="69" t="n">
        <f aca="false">L240+M193</f>
        <v>-668750.981431645</v>
      </c>
      <c r="N240" s="69" t="n">
        <f aca="false">M240+N193</f>
        <v>-709232.332270295</v>
      </c>
      <c r="O240" s="69" t="n">
        <f aca="false">N240+O193</f>
        <v>-746179.624477354</v>
      </c>
      <c r="P240" s="69" t="n">
        <f aca="false">O240+P193</f>
        <v>-781179.910305002</v>
      </c>
      <c r="Q240" s="69" t="n">
        <f aca="false">P240+Q193</f>
        <v>-797828.321012694</v>
      </c>
      <c r="R240" s="69" t="n">
        <f aca="false">Q240+R193</f>
        <v>-812422.594065442</v>
      </c>
      <c r="S240" s="69" t="n">
        <f aca="false">R240+S193</f>
        <v>-825037.811636111</v>
      </c>
      <c r="T240" s="69" t="n">
        <f aca="false">S240+T193</f>
        <v>-835746.052610649</v>
      </c>
      <c r="U240" s="69" t="n">
        <f aca="false">T240+U193</f>
        <v>-844616.512719569</v>
      </c>
      <c r="V240" s="69" t="n">
        <f aca="false">U240+V193</f>
        <v>-851715.619864162</v>
      </c>
      <c r="W240" s="69" t="n">
        <f aca="false">V240+W193</f>
        <v>-857107.144829668</v>
      </c>
      <c r="X240" s="69" t="n">
        <f aca="false">W240+X193</f>
        <v>-860852.307569918</v>
      </c>
      <c r="Y240" s="69" t="n">
        <f aca="false">X240+Y193</f>
        <v>-863009.879240587</v>
      </c>
      <c r="Z240" s="69" t="n">
        <f aca="false">Y240+Z193</f>
        <v>-879516.123808558</v>
      </c>
      <c r="AA240" s="69" t="n">
        <f aca="false">Z240+AA193</f>
        <v>-893353.113443053</v>
      </c>
      <c r="AB240" s="69" t="n">
        <f aca="false">AA240+AB193</f>
        <v>-905928.286590833</v>
      </c>
      <c r="AC240" s="69" t="n">
        <f aca="false">AB240+AC193</f>
        <v>-901259.37512903</v>
      </c>
      <c r="AD240" s="69" t="n">
        <f aca="false">AC240+AD193</f>
        <v>-895137.670926185</v>
      </c>
      <c r="AE240" s="69" t="n">
        <f aca="false">AD240+AE193</f>
        <v>-887614.202358606</v>
      </c>
      <c r="AF240" s="69" t="n">
        <f aca="false">AE240+AF193</f>
        <v>-878737.95666755</v>
      </c>
      <c r="AG240" s="69" t="n">
        <f aca="false">AF240+AG193</f>
        <v>-868555.961604622</v>
      </c>
      <c r="AH240" s="69" t="n">
        <f aca="false">AG240+AH193</f>
        <v>-857113.363811364</v>
      </c>
      <c r="AI240" s="69" t="n">
        <f aca="false">AH240+AI193</f>
        <v>-844453.504063656</v>
      </c>
      <c r="AJ240" s="69" t="n">
        <f aca="false">AI240+AJ193</f>
        <v>-830617.989506341</v>
      </c>
      <c r="AK240" s="69" t="n">
        <f aca="false">AJ240+AK193</f>
        <v>-815646.762998472</v>
      </c>
      <c r="AL240" s="69" t="n">
        <f aca="false">AK240+AL193</f>
        <v>-815194.045409802</v>
      </c>
      <c r="AM240" s="69" t="n">
        <f aca="false">AL240+AM193</f>
        <v>-812690.210705342</v>
      </c>
      <c r="AN240" s="69" t="n">
        <f aca="false">AM240+AN193</f>
        <v>-809348.489396633</v>
      </c>
      <c r="AO240" s="69" t="n">
        <f aca="false">AN240+AO193</f>
        <v>-789395.311890723</v>
      </c>
      <c r="AP240" s="69" t="n">
        <f aca="false">AO240+AP193</f>
        <v>-768359.015513535</v>
      </c>
      <c r="AQ240" s="69" t="n">
        <f aca="false">AP240+AQ193</f>
        <v>-746275.841686589</v>
      </c>
      <c r="AR240" s="69" t="n">
        <f aca="false">AQ240+AR193</f>
        <v>-723180.582174541</v>
      </c>
      <c r="AS240" s="69" t="n">
        <f aca="false">AR240+AS193</f>
        <v>-699106.637071461</v>
      </c>
      <c r="AT240" s="69" t="n">
        <f aca="false">AS240+AT193</f>
        <v>-674086.070467659</v>
      </c>
      <c r="AU240" s="69" t="n">
        <f aca="false">AT240+AU193</f>
        <v>-648149.663889829</v>
      </c>
      <c r="AV240" s="69" t="n">
        <f aca="false">AU240+AV193</f>
        <v>-621326.967603599</v>
      </c>
      <c r="AW240" s="69" t="n">
        <f aca="false">AV240+AW193</f>
        <v>-593646.349863972</v>
      </c>
      <c r="AX240" s="69" t="n">
        <f aca="false">AW240+AX193</f>
        <v>-580640.523575564</v>
      </c>
      <c r="AY240" s="69" t="n">
        <f aca="false">AX240+AY193</f>
        <v>-566029.958394927</v>
      </c>
      <c r="AZ240" s="69" t="n">
        <f aca="false">AY240+AZ193</f>
        <v>-550842.07871552</v>
      </c>
      <c r="BA240" s="69" t="n">
        <f aca="false">AZ240+BA193</f>
        <v>-519379.393936409</v>
      </c>
      <c r="BB240" s="69" t="n">
        <f aca="false">BA240+BB193</f>
        <v>-487058.441670352</v>
      </c>
      <c r="BC240" s="69" t="n">
        <f aca="false">BB240+BC193</f>
        <v>-453906.469283495</v>
      </c>
      <c r="BD240" s="69" t="n">
        <f aca="false">BC240+BD193</f>
        <v>-419949.634247335</v>
      </c>
      <c r="BE240" s="69" t="n">
        <f aca="false">BD240+BE193</f>
        <v>-385213.047734511</v>
      </c>
      <c r="BF240" s="69" t="n">
        <f aca="false">BE240+BF193</f>
        <v>-349720.816470758</v>
      </c>
      <c r="BG240" s="69" t="n">
        <f aca="false">BF240+BG193</f>
        <v>-313496.082912777</v>
      </c>
      <c r="BH240" s="69" t="n">
        <f aca="false">BG240+BH193</f>
        <v>-276561.063819007</v>
      </c>
      <c r="BI240" s="69" t="n">
        <f aca="false">BH240+BI193</f>
        <v>-238937.087277543</v>
      </c>
      <c r="BJ240" s="69" t="n">
        <f aca="false">BI240+BJ193</f>
        <v>-216134.038884935</v>
      </c>
    </row>
    <row r="241" customFormat="false" ht="15" hidden="false" customHeight="false" outlineLevel="0" collapsed="false">
      <c r="A241" s="4" t="s">
        <v>93</v>
      </c>
      <c r="C241" s="75" t="n">
        <f aca="false">C227+C213+C214+C204</f>
        <v>5003455.8114868</v>
      </c>
      <c r="D241" s="75" t="n">
        <f aca="false">D227+D213+D214+D204</f>
        <v>4882452.53724416</v>
      </c>
      <c r="E241" s="75" t="n">
        <f aca="false">E227+E213+E214+E204</f>
        <v>4778643.66193998</v>
      </c>
      <c r="F241" s="75" t="n">
        <f aca="false">F227+F213+F214+F204</f>
        <v>4680538.40136199</v>
      </c>
      <c r="G241" s="75" t="n">
        <f aca="false">G227+G213+G214+G204</f>
        <v>4589758.38009905</v>
      </c>
      <c r="H241" s="75" t="n">
        <f aca="false">H227+H213+H214+H204</f>
        <v>4506425.13791614</v>
      </c>
      <c r="I241" s="75" t="n">
        <f aca="false">I227+I213+I214+I204</f>
        <v>4430655.35298764</v>
      </c>
      <c r="J241" s="75" t="n">
        <f aca="false">J227+J213+J214+J204</f>
        <v>4362561.03636094</v>
      </c>
      <c r="K241" s="75" t="n">
        <f aca="false">K227+K213+K214+K204</f>
        <v>4302249.71864156</v>
      </c>
      <c r="L241" s="75" t="n">
        <f aca="false">L227+L213+L214+L204</f>
        <v>4249824.62921077</v>
      </c>
      <c r="M241" s="75" t="n">
        <f aca="false">M227+M213+M214+M204</f>
        <v>4198950.76565908</v>
      </c>
      <c r="N241" s="75" t="n">
        <f aca="false">N227+N213+N214+N204</f>
        <v>4130577.30529272</v>
      </c>
      <c r="O241" s="75" t="n">
        <f aca="false">O227+O213+O214+O204</f>
        <v>4069352.51373478</v>
      </c>
      <c r="P241" s="75" t="n">
        <f aca="false">P227+P213+P214+P204</f>
        <v>4009654.12696937</v>
      </c>
      <c r="Q241" s="75" t="n">
        <f aca="false">Q227+Q213+Q214+Q204</f>
        <v>3971887.86597611</v>
      </c>
      <c r="R241" s="75" t="n">
        <f aca="false">R227+R213+R214+R204</f>
        <v>3932691.58214383</v>
      </c>
      <c r="S241" s="75" t="n">
        <f aca="false">S227+S213+S214+S204</f>
        <v>3895458.43422482</v>
      </c>
      <c r="T241" s="75" t="n">
        <f aca="false">T227+T213+T214+T204</f>
        <v>3860116.98011587</v>
      </c>
      <c r="U241" s="75" t="n">
        <f aca="false">U227+U213+U214+U204</f>
        <v>3826598.63539791</v>
      </c>
      <c r="V241" s="75" t="n">
        <f aca="false">V227+V213+V214+V204</f>
        <v>3794837.55902864</v>
      </c>
      <c r="W241" s="75" t="n">
        <f aca="false">W227+W213+W214+W204</f>
        <v>3764770.54360745</v>
      </c>
      <c r="X241" s="75" t="n">
        <f aca="false">X227+X213+X214+X204</f>
        <v>3736336.91002974</v>
      </c>
      <c r="Y241" s="75" t="n">
        <f aca="false">Y227+Y213+Y214+Y204</f>
        <v>3709478.40635511</v>
      </c>
      <c r="Z241" s="75" t="n">
        <f aca="false">Z227+Z213+Z214+Z204</f>
        <v>3664170.4221112</v>
      </c>
      <c r="AA241" s="75" t="n">
        <f aca="false">AA227+AA213+AA214+AA204</f>
        <v>3626045.14285609</v>
      </c>
      <c r="AB241" s="75" t="n">
        <f aca="false">AB227+AB213+AB214+AB204</f>
        <v>3588656.79705764</v>
      </c>
      <c r="AC241" s="75" t="n">
        <f aca="false">AC227+AC213+AC214+AC204</f>
        <v>3572818.83719396</v>
      </c>
      <c r="AD241" s="75" t="n">
        <f aca="false">AD227+AD213+AD214+AD204</f>
        <v>3554213.86885226</v>
      </c>
      <c r="AE241" s="75" t="n">
        <f aca="false">AE227+AE213+AE214+AE204</f>
        <v>3536999.73177707</v>
      </c>
      <c r="AF241" s="75" t="n">
        <f aca="false">AF227+AF213+AF214+AF204</f>
        <v>3521127.87605106</v>
      </c>
      <c r="AG241" s="75" t="n">
        <f aca="false">AG227+AG213+AG214+AG204</f>
        <v>3506551.69375362</v>
      </c>
      <c r="AH241" s="75" t="n">
        <f aca="false">AH227+AH213+AH214+AH204</f>
        <v>3493226.44128091</v>
      </c>
      <c r="AI241" s="75" t="n">
        <f aca="false">AI227+AI213+AI214+AI204</f>
        <v>3481109.1647733</v>
      </c>
      <c r="AJ241" s="75" t="n">
        <f aca="false">AJ227+AJ213+AJ214+AJ204</f>
        <v>3470158.6285255</v>
      </c>
      <c r="AK241" s="75" t="n">
        <f aca="false">AK227+AK213+AK214+AK204</f>
        <v>3460335.24626046</v>
      </c>
      <c r="AL241" s="75" t="n">
        <f aca="false">AL227+AL213+AL214+AL204</f>
        <v>3431329.88023803</v>
      </c>
      <c r="AM241" s="75" t="n">
        <f aca="false">AM227+AM213+AM214+AM204</f>
        <v>3409550.302848</v>
      </c>
      <c r="AN241" s="75" t="n">
        <f aca="false">AN227+AN213+AN214+AN204</f>
        <v>3388006.94904798</v>
      </c>
      <c r="AO241" s="75" t="n">
        <f aca="false">AO227+AO213+AO214+AO204</f>
        <v>3387925.64508555</v>
      </c>
      <c r="AP241" s="75" t="n">
        <f aca="false">AP227+AP213+AP214+AP204</f>
        <v>3384158.11029087</v>
      </c>
      <c r="AQ241" s="75" t="n">
        <f aca="false">AQ227+AQ213+AQ214+AQ204</f>
        <v>3381429.60619282</v>
      </c>
      <c r="AR241" s="75" t="n">
        <f aca="false">AR227+AR213+AR214+AR204</f>
        <v>3379705.65489688</v>
      </c>
      <c r="AS241" s="75" t="n">
        <f aca="false">AS227+AS213+AS214+AS204</f>
        <v>3378953.15762429</v>
      </c>
      <c r="AT241" s="75" t="n">
        <f aca="false">AT227+AT213+AT214+AT204</f>
        <v>3379140.33954744</v>
      </c>
      <c r="AU241" s="75" t="n">
        <f aca="false">AU227+AU213+AU214+AU204</f>
        <v>3380236.69683185</v>
      </c>
      <c r="AV241" s="75" t="n">
        <f aca="false">AV227+AV213+AV214+AV204</f>
        <v>3382212.9457964</v>
      </c>
      <c r="AW241" s="75" t="n">
        <f aca="false">AW227+AW213+AW214+AW204</f>
        <v>3385040.97410721</v>
      </c>
      <c r="AX241" s="75" t="n">
        <f aca="false">AX227+AX213+AX214+AX204</f>
        <v>3368087.68862127</v>
      </c>
      <c r="AY241" s="75" t="n">
        <f aca="false">AY227+AY213+AY214+AY204</f>
        <v>3358430.26108487</v>
      </c>
      <c r="AZ241" s="75" t="n">
        <f aca="false">AZ227+AZ213+AZ214+AZ204</f>
        <v>3348688.4304323</v>
      </c>
      <c r="BA241" s="75" t="n">
        <f aca="false">BA227+BA213+BA214+BA204</f>
        <v>3360506.30600041</v>
      </c>
      <c r="BB241" s="75" t="n">
        <f aca="false">BB227+BB213+BB214+BB204</f>
        <v>3367976.3037845</v>
      </c>
      <c r="BC241" s="75" t="n">
        <f aca="false">BC227+BC213+BC214+BC204</f>
        <v>3376271.35986866</v>
      </c>
      <c r="BD241" s="75" t="n">
        <f aca="false">BD227+BD213+BD214+BD204</f>
        <v>3385365.55525423</v>
      </c>
      <c r="BE241" s="75" t="n">
        <f aca="false">BE227+BE213+BE214+BE204</f>
        <v>3395234.00770249</v>
      </c>
      <c r="BF241" s="75" t="n">
        <f aca="false">BF227+BF213+BF214+BF204</f>
        <v>3405852.83026426</v>
      </c>
      <c r="BG241" s="75" t="n">
        <f aca="false">BG227+BG213+BG214+BG204</f>
        <v>3417199.09146834</v>
      </c>
      <c r="BH241" s="75" t="n">
        <f aca="false">BH227+BH213+BH214+BH204</f>
        <v>3429250.77710236</v>
      </c>
      <c r="BI241" s="75" t="n">
        <f aca="false">BI227+BI213+BI214+BI204</f>
        <v>3441986.75352247</v>
      </c>
      <c r="BJ241" s="75" t="n">
        <f aca="false">BJ227+BJ213+BJ214+BJ204</f>
        <v>3434422.8680779</v>
      </c>
    </row>
    <row r="242" customFormat="false" ht="15" hidden="false" customHeight="false" outlineLevel="0" collapsed="false">
      <c r="A242" s="6" t="s">
        <v>96</v>
      </c>
      <c r="C242" s="69" t="n">
        <f aca="false">C215+C210</f>
        <v>3005893.28812158</v>
      </c>
      <c r="D242" s="69" t="n">
        <f aca="false">D215+D210</f>
        <v>2981692.87400527</v>
      </c>
      <c r="E242" s="69" t="n">
        <f aca="false">E215+E210</f>
        <v>2959230.69604747</v>
      </c>
      <c r="F242" s="69" t="n">
        <f aca="false">F215+F210</f>
        <v>2935301.41406782</v>
      </c>
      <c r="G242" s="69" t="n">
        <f aca="false">G215+G210</f>
        <v>2911398.93206752</v>
      </c>
      <c r="H242" s="69" t="n">
        <f aca="false">H215+H210</f>
        <v>2887522.17804741</v>
      </c>
      <c r="I242" s="69" t="n">
        <f aca="false">I215+I210</f>
        <v>2863670.12288826</v>
      </c>
      <c r="J242" s="69" t="n">
        <f aca="false">J215+J210</f>
        <v>2839841.77863565</v>
      </c>
      <c r="K242" s="69" t="n">
        <f aca="false">K215+K210</f>
        <v>2816036.1968533</v>
      </c>
      <c r="L242" s="69" t="n">
        <f aca="false">L215+L210</f>
        <v>2792252.46704242</v>
      </c>
      <c r="M242" s="69" t="n">
        <f aca="false">M215+M210</f>
        <v>2767701.74709072</v>
      </c>
      <c r="N242" s="69" t="n">
        <f aca="false">N215+N210</f>
        <v>2739809.63756301</v>
      </c>
      <c r="O242" s="69" t="n">
        <f aca="false">O215+O210</f>
        <v>2715532.13821213</v>
      </c>
      <c r="P242" s="69" t="n">
        <f aca="false">P215+P210</f>
        <v>2690834.03727437</v>
      </c>
      <c r="Q242" s="69" t="n">
        <f aca="false">Q215+Q210</f>
        <v>2669716.1869888</v>
      </c>
      <c r="R242" s="69" t="n">
        <f aca="false">R215+R210</f>
        <v>2645114.17620927</v>
      </c>
      <c r="S242" s="69" t="n">
        <f aca="false">S215+S210</f>
        <v>2620496.24586093</v>
      </c>
      <c r="T242" s="69" t="n">
        <f aca="false">T215+T210</f>
        <v>2595863.03272652</v>
      </c>
      <c r="U242" s="69" t="n">
        <f aca="false">U215+U210</f>
        <v>2571215.14811748</v>
      </c>
      <c r="V242" s="69" t="n">
        <f aca="false">V215+V210</f>
        <v>2546553.17889281</v>
      </c>
      <c r="W242" s="69" t="n">
        <f aca="false">W215+W210</f>
        <v>2521877.68843712</v>
      </c>
      <c r="X242" s="69" t="n">
        <f aca="false">X215+X210</f>
        <v>2497189.21759966</v>
      </c>
      <c r="Y242" s="69" t="n">
        <f aca="false">Y215+Y210</f>
        <v>2472488.2855957</v>
      </c>
      <c r="Z242" s="69" t="n">
        <f aca="false">Z215+Z210</f>
        <v>2443686.54591976</v>
      </c>
      <c r="AA242" s="69" t="n">
        <f aca="false">AA215+AA210</f>
        <v>2419398.25629915</v>
      </c>
      <c r="AB242" s="69" t="n">
        <f aca="false">AB215+AB210</f>
        <v>2394585.08364848</v>
      </c>
      <c r="AC242" s="69" t="n">
        <f aca="false">AC215+AC210</f>
        <v>2374078.212323</v>
      </c>
      <c r="AD242" s="69" t="n">
        <f aca="false">AD215+AD210</f>
        <v>2349351.53977844</v>
      </c>
      <c r="AE242" s="69" t="n">
        <f aca="false">AE215+AE210</f>
        <v>2324613.93413567</v>
      </c>
      <c r="AF242" s="69" t="n">
        <f aca="false">AF215+AF210</f>
        <v>2299865.83271861</v>
      </c>
      <c r="AG242" s="69" t="n">
        <f aca="false">AG215+AG210</f>
        <v>2275107.65535824</v>
      </c>
      <c r="AH242" s="69" t="n">
        <f aca="false">AH215+AH210</f>
        <v>2250339.80509228</v>
      </c>
      <c r="AI242" s="69" t="n">
        <f aca="false">AI215+AI210</f>
        <v>2225562.66883695</v>
      </c>
      <c r="AJ242" s="69" t="n">
        <f aca="false">AJ215+AJ210</f>
        <v>2200776.61803184</v>
      </c>
      <c r="AK242" s="69" t="n">
        <f aca="false">AK215+AK210</f>
        <v>2175982.00925894</v>
      </c>
      <c r="AL242" s="69" t="n">
        <f aca="false">AL215+AL210</f>
        <v>2146523.92564784</v>
      </c>
      <c r="AM242" s="69" t="n">
        <f aca="false">AM215+AM210</f>
        <v>2122240.51355335</v>
      </c>
      <c r="AN242" s="69" t="n">
        <f aca="false">AN215+AN210</f>
        <v>2097355.43844461</v>
      </c>
      <c r="AO242" s="69" t="n">
        <f aca="false">AO215+AO210</f>
        <v>2077320.95697627</v>
      </c>
      <c r="AP242" s="69" t="n">
        <f aca="false">AP215+AP210</f>
        <v>2052517.1258044</v>
      </c>
      <c r="AQ242" s="69" t="n">
        <f aca="false">AQ215+AQ210</f>
        <v>2027705.44787941</v>
      </c>
      <c r="AR242" s="69" t="n">
        <f aca="false">AR215+AR210</f>
        <v>2002886.23707142</v>
      </c>
      <c r="AS242" s="69" t="n">
        <f aca="false">AS215+AS210</f>
        <v>1978059.79469575</v>
      </c>
      <c r="AT242" s="69" t="n">
        <f aca="false">AT215+AT210</f>
        <v>1953226.4100151</v>
      </c>
      <c r="AU242" s="69" t="n">
        <f aca="false">AU215+AU210</f>
        <v>1928386.36072168</v>
      </c>
      <c r="AV242" s="69" t="n">
        <f aca="false">AV215+AV210</f>
        <v>1903539.9134</v>
      </c>
      <c r="AW242" s="69" t="n">
        <f aca="false">AW215+AW210</f>
        <v>1878687.32397118</v>
      </c>
      <c r="AX242" s="69" t="n">
        <f aca="false">AX215+AX210</f>
        <v>1848728.21219683</v>
      </c>
      <c r="AY242" s="69" t="n">
        <f aca="false">AY215+AY210</f>
        <v>1824460.21947979</v>
      </c>
      <c r="AZ242" s="69" t="n">
        <f aca="false">AZ215+AZ210</f>
        <v>1799530.50914782</v>
      </c>
      <c r="BA242" s="69" t="n">
        <f aca="false">BA215+BA210</f>
        <v>1779885.69993682</v>
      </c>
      <c r="BB242" s="69" t="n">
        <f aca="false">BB215+BB210</f>
        <v>1755034.74545485</v>
      </c>
      <c r="BC242" s="69" t="n">
        <f aca="false">BC215+BC210</f>
        <v>1730177.82915215</v>
      </c>
      <c r="BD242" s="69" t="n">
        <f aca="false">BD215+BD210</f>
        <v>1705315.18950156</v>
      </c>
      <c r="BE242" s="69" t="n">
        <f aca="false">BE215+BE210</f>
        <v>1680447.055437</v>
      </c>
      <c r="BF242" s="69" t="n">
        <f aca="false">BF215+BF210</f>
        <v>1655573.64673502</v>
      </c>
      <c r="BG242" s="69" t="n">
        <f aca="false">BG215+BG210</f>
        <v>1630695.17438112</v>
      </c>
      <c r="BH242" s="69" t="n">
        <f aca="false">BH215+BH210</f>
        <v>1605811.84092137</v>
      </c>
      <c r="BI242" s="69" t="n">
        <f aca="false">BI215+BI210</f>
        <v>1580923.84080001</v>
      </c>
      <c r="BJ242" s="69" t="n">
        <f aca="false">BJ215+BJ210</f>
        <v>1550556.90696284</v>
      </c>
    </row>
    <row r="243" customFormat="false" ht="15" hidden="false" customHeight="false" outlineLevel="0" collapsed="false">
      <c r="A243" s="6" t="s">
        <v>99</v>
      </c>
      <c r="C243" s="69" t="n">
        <f aca="false">C239+C240</f>
        <v>1997562.52336521</v>
      </c>
      <c r="D243" s="69" t="n">
        <f aca="false">D239+D240</f>
        <v>1900759.66323889</v>
      </c>
      <c r="E243" s="69" t="n">
        <f aca="false">E239+E240</f>
        <v>1819412.96589251</v>
      </c>
      <c r="F243" s="69" t="n">
        <f aca="false">F239+F240</f>
        <v>1745236.98729417</v>
      </c>
      <c r="G243" s="69" t="n">
        <f aca="false">G239+G240</f>
        <v>1678359.44803153</v>
      </c>
      <c r="H243" s="69" t="n">
        <f aca="false">H239+H240</f>
        <v>1618902.95986874</v>
      </c>
      <c r="I243" s="69" t="n">
        <f aca="false">I239+I240</f>
        <v>1566985.23009938</v>
      </c>
      <c r="J243" s="69" t="n">
        <f aca="false">J239+J240</f>
        <v>1522719.2577253</v>
      </c>
      <c r="K243" s="69" t="n">
        <f aca="false">K239+K240</f>
        <v>1486213.52178826</v>
      </c>
      <c r="L243" s="69" t="n">
        <f aca="false">L239+L240</f>
        <v>1457572.16216835</v>
      </c>
      <c r="M243" s="69" t="n">
        <f aca="false">M239+M240</f>
        <v>1431249.01856836</v>
      </c>
      <c r="N243" s="69" t="n">
        <f aca="false">N239+N240</f>
        <v>1390767.66772971</v>
      </c>
      <c r="O243" s="69" t="n">
        <f aca="false">O239+O240</f>
        <v>1353820.37552265</v>
      </c>
      <c r="P243" s="69" t="n">
        <f aca="false">P239+P240</f>
        <v>1318820.089695</v>
      </c>
      <c r="Q243" s="69" t="n">
        <f aca="false">Q239+Q240</f>
        <v>1302171.67898731</v>
      </c>
      <c r="R243" s="69" t="n">
        <f aca="false">R239+R240</f>
        <v>1287577.40593456</v>
      </c>
      <c r="S243" s="69" t="n">
        <f aca="false">S239+S240</f>
        <v>1274962.18836389</v>
      </c>
      <c r="T243" s="69" t="n">
        <f aca="false">T239+T240</f>
        <v>1264253.94738935</v>
      </c>
      <c r="U243" s="69" t="n">
        <f aca="false">U239+U240</f>
        <v>1255383.48728043</v>
      </c>
      <c r="V243" s="69" t="n">
        <f aca="false">V239+V240</f>
        <v>1248284.38013584</v>
      </c>
      <c r="W243" s="69" t="n">
        <f aca="false">W239+W240</f>
        <v>1242892.85517033</v>
      </c>
      <c r="X243" s="69" t="n">
        <f aca="false">X239+X240</f>
        <v>1239147.69243008</v>
      </c>
      <c r="Y243" s="69" t="n">
        <f aca="false">Y239+Y240</f>
        <v>1236990.12075941</v>
      </c>
      <c r="Z243" s="69" t="n">
        <f aca="false">Z239+Z240</f>
        <v>1220483.87619144</v>
      </c>
      <c r="AA243" s="69" t="n">
        <f aca="false">AA239+AA240</f>
        <v>1206646.88655695</v>
      </c>
      <c r="AB243" s="69" t="n">
        <f aca="false">AB239+AB240</f>
        <v>1194071.71340917</v>
      </c>
      <c r="AC243" s="69" t="n">
        <f aca="false">AC239+AC240</f>
        <v>1198740.62487097</v>
      </c>
      <c r="AD243" s="69" t="n">
        <f aca="false">AD239+AD240</f>
        <v>1204862.32907382</v>
      </c>
      <c r="AE243" s="69" t="n">
        <f aca="false">AE239+AE240</f>
        <v>1212385.79764139</v>
      </c>
      <c r="AF243" s="69" t="n">
        <f aca="false">AF239+AF240</f>
        <v>1221262.04333245</v>
      </c>
      <c r="AG243" s="69" t="n">
        <f aca="false">AG239+AG240</f>
        <v>1231444.03839538</v>
      </c>
      <c r="AH243" s="69" t="n">
        <f aca="false">AH239+AH240</f>
        <v>1242886.63618864</v>
      </c>
      <c r="AI243" s="69" t="n">
        <f aca="false">AI239+AI240</f>
        <v>1255546.49593634</v>
      </c>
      <c r="AJ243" s="69" t="n">
        <f aca="false">AJ239+AJ240</f>
        <v>1269382.01049366</v>
      </c>
      <c r="AK243" s="69" t="n">
        <f aca="false">AK239+AK240</f>
        <v>1284353.23700153</v>
      </c>
      <c r="AL243" s="69" t="n">
        <f aca="false">AL239+AL240</f>
        <v>1284805.9545902</v>
      </c>
      <c r="AM243" s="69" t="n">
        <f aca="false">AM239+AM240</f>
        <v>1287309.78929466</v>
      </c>
      <c r="AN243" s="69" t="n">
        <f aca="false">AN239+AN240</f>
        <v>1290651.51060337</v>
      </c>
      <c r="AO243" s="69" t="n">
        <f aca="false">AO239+AO240</f>
        <v>1310604.68810928</v>
      </c>
      <c r="AP243" s="69" t="n">
        <f aca="false">AP239+AP240</f>
        <v>1331640.98448646</v>
      </c>
      <c r="AQ243" s="69" t="n">
        <f aca="false">AQ239+AQ240</f>
        <v>1353724.15831341</v>
      </c>
      <c r="AR243" s="69" t="n">
        <f aca="false">AR239+AR240</f>
        <v>1376819.41782546</v>
      </c>
      <c r="AS243" s="69" t="n">
        <f aca="false">AS239+AS240</f>
        <v>1400893.36292854</v>
      </c>
      <c r="AT243" s="69" t="n">
        <f aca="false">AT239+AT240</f>
        <v>1425913.92953234</v>
      </c>
      <c r="AU243" s="69" t="n">
        <f aca="false">AU239+AU240</f>
        <v>1451850.33611017</v>
      </c>
      <c r="AV243" s="69" t="n">
        <f aca="false">AV239+AV240</f>
        <v>1478673.0323964</v>
      </c>
      <c r="AW243" s="69" t="n">
        <f aca="false">AW239+AW240</f>
        <v>1506353.65013603</v>
      </c>
      <c r="AX243" s="69" t="n">
        <f aca="false">AX239+AX240</f>
        <v>1519359.47642444</v>
      </c>
      <c r="AY243" s="69" t="n">
        <f aca="false">AY239+AY240</f>
        <v>1533970.04160507</v>
      </c>
      <c r="AZ243" s="69" t="n">
        <f aca="false">AZ239+AZ240</f>
        <v>1549157.92128448</v>
      </c>
      <c r="BA243" s="69" t="n">
        <f aca="false">BA239+BA240</f>
        <v>1580620.60606359</v>
      </c>
      <c r="BB243" s="69" t="n">
        <f aca="false">BB239+BB240</f>
        <v>1612941.55832965</v>
      </c>
      <c r="BC243" s="69" t="n">
        <f aca="false">BC239+BC240</f>
        <v>1646093.53071651</v>
      </c>
      <c r="BD243" s="69" t="n">
        <f aca="false">BD239+BD240</f>
        <v>1680050.36575267</v>
      </c>
      <c r="BE243" s="69" t="n">
        <f aca="false">BE239+BE240</f>
        <v>1714786.95226549</v>
      </c>
      <c r="BF243" s="69" t="n">
        <f aca="false">BF239+BF240</f>
        <v>1750279.18352924</v>
      </c>
      <c r="BG243" s="69" t="n">
        <f aca="false">BG239+BG240</f>
        <v>1786503.91708722</v>
      </c>
      <c r="BH243" s="69" t="n">
        <f aca="false">BH239+BH240</f>
        <v>1823438.93618099</v>
      </c>
      <c r="BI243" s="69" t="n">
        <f aca="false">BI239+BI240</f>
        <v>1861062.91272246</v>
      </c>
      <c r="BJ243" s="69" t="n">
        <f aca="false">BJ239+BJ240</f>
        <v>1883865.96111507</v>
      </c>
    </row>
    <row r="244" customFormat="false" ht="15" hidden="false" customHeight="false" outlineLevel="0" collapsed="false">
      <c r="A244" s="4" t="s">
        <v>100</v>
      </c>
      <c r="C244" s="75" t="n">
        <f aca="false">C242+C243</f>
        <v>5003455.8114868</v>
      </c>
      <c r="D244" s="75" t="n">
        <f aca="false">D242+D243</f>
        <v>4882452.53724416</v>
      </c>
      <c r="E244" s="75" t="n">
        <f aca="false">E242+E243</f>
        <v>4778643.66193998</v>
      </c>
      <c r="F244" s="75" t="n">
        <f aca="false">F242+F243</f>
        <v>4680538.40136199</v>
      </c>
      <c r="G244" s="75" t="n">
        <f aca="false">G242+G243</f>
        <v>4589758.38009905</v>
      </c>
      <c r="H244" s="75" t="n">
        <f aca="false">H242+H243</f>
        <v>4506425.13791614</v>
      </c>
      <c r="I244" s="75" t="n">
        <f aca="false">I242+I243</f>
        <v>4430655.35298764</v>
      </c>
      <c r="J244" s="75" t="n">
        <f aca="false">J242+J243</f>
        <v>4362561.03636094</v>
      </c>
      <c r="K244" s="75" t="n">
        <f aca="false">K242+K243</f>
        <v>4302249.71864156</v>
      </c>
      <c r="L244" s="75" t="n">
        <f aca="false">L242+L243</f>
        <v>4249824.62921077</v>
      </c>
      <c r="M244" s="75" t="n">
        <f aca="false">M242+M243</f>
        <v>4198950.76565908</v>
      </c>
      <c r="N244" s="75" t="n">
        <f aca="false">N242+N243</f>
        <v>4130577.30529272</v>
      </c>
      <c r="O244" s="75" t="n">
        <f aca="false">O242+O243</f>
        <v>4069352.51373478</v>
      </c>
      <c r="P244" s="75" t="n">
        <f aca="false">P242+P243</f>
        <v>4009654.12696937</v>
      </c>
      <c r="Q244" s="75" t="n">
        <f aca="false">Q242+Q243</f>
        <v>3971887.86597611</v>
      </c>
      <c r="R244" s="75" t="n">
        <f aca="false">R242+R243</f>
        <v>3932691.58214383</v>
      </c>
      <c r="S244" s="75" t="n">
        <f aca="false">S242+S243</f>
        <v>3895458.43422482</v>
      </c>
      <c r="T244" s="75" t="n">
        <f aca="false">T242+T243</f>
        <v>3860116.98011587</v>
      </c>
      <c r="U244" s="75" t="n">
        <f aca="false">U242+U243</f>
        <v>3826598.63539791</v>
      </c>
      <c r="V244" s="75" t="n">
        <f aca="false">V242+V243</f>
        <v>3794837.55902864</v>
      </c>
      <c r="W244" s="75" t="n">
        <f aca="false">W242+W243</f>
        <v>3764770.54360745</v>
      </c>
      <c r="X244" s="75" t="n">
        <f aca="false">X242+X243</f>
        <v>3736336.91002974</v>
      </c>
      <c r="Y244" s="75" t="n">
        <f aca="false">Y242+Y243</f>
        <v>3709478.40635511</v>
      </c>
      <c r="Z244" s="75" t="n">
        <f aca="false">Z242+Z243</f>
        <v>3664170.4221112</v>
      </c>
      <c r="AA244" s="75" t="n">
        <f aca="false">AA242+AA243</f>
        <v>3626045.14285609</v>
      </c>
      <c r="AB244" s="75" t="n">
        <f aca="false">AB242+AB243</f>
        <v>3588656.79705764</v>
      </c>
      <c r="AC244" s="75" t="n">
        <f aca="false">AC242+AC243</f>
        <v>3572818.83719397</v>
      </c>
      <c r="AD244" s="75" t="n">
        <f aca="false">AD242+AD243</f>
        <v>3554213.86885226</v>
      </c>
      <c r="AE244" s="75" t="n">
        <f aca="false">AE242+AE243</f>
        <v>3536999.73177707</v>
      </c>
      <c r="AF244" s="75" t="n">
        <f aca="false">AF242+AF243</f>
        <v>3521127.87605106</v>
      </c>
      <c r="AG244" s="75" t="n">
        <f aca="false">AG242+AG243</f>
        <v>3506551.69375362</v>
      </c>
      <c r="AH244" s="75" t="n">
        <f aca="false">AH242+AH243</f>
        <v>3493226.44128091</v>
      </c>
      <c r="AI244" s="75" t="n">
        <f aca="false">AI242+AI243</f>
        <v>3481109.1647733</v>
      </c>
      <c r="AJ244" s="75" t="n">
        <f aca="false">AJ242+AJ243</f>
        <v>3470158.6285255</v>
      </c>
      <c r="AK244" s="75" t="n">
        <f aca="false">AK242+AK243</f>
        <v>3460335.24626046</v>
      </c>
      <c r="AL244" s="75" t="n">
        <f aca="false">AL242+AL243</f>
        <v>3431329.88023803</v>
      </c>
      <c r="AM244" s="75" t="n">
        <f aca="false">AM242+AM243</f>
        <v>3409550.302848</v>
      </c>
      <c r="AN244" s="75" t="n">
        <f aca="false">AN242+AN243</f>
        <v>3388006.94904798</v>
      </c>
      <c r="AO244" s="75" t="n">
        <f aca="false">AO242+AO243</f>
        <v>3387925.64508555</v>
      </c>
      <c r="AP244" s="75" t="n">
        <f aca="false">AP242+AP243</f>
        <v>3384158.11029087</v>
      </c>
      <c r="AQ244" s="75" t="n">
        <f aca="false">AQ242+AQ243</f>
        <v>3381429.60619282</v>
      </c>
      <c r="AR244" s="75" t="n">
        <f aca="false">AR242+AR243</f>
        <v>3379705.65489688</v>
      </c>
      <c r="AS244" s="75" t="n">
        <f aca="false">AS242+AS243</f>
        <v>3378953.15762429</v>
      </c>
      <c r="AT244" s="75" t="n">
        <f aca="false">AT242+AT243</f>
        <v>3379140.33954744</v>
      </c>
      <c r="AU244" s="75" t="n">
        <f aca="false">AU242+AU243</f>
        <v>3380236.69683185</v>
      </c>
      <c r="AV244" s="75" t="n">
        <f aca="false">AV242+AV243</f>
        <v>3382212.9457964</v>
      </c>
      <c r="AW244" s="75" t="n">
        <f aca="false">AW242+AW243</f>
        <v>3385040.97410721</v>
      </c>
      <c r="AX244" s="75" t="n">
        <f aca="false">AX242+AX243</f>
        <v>3368087.68862127</v>
      </c>
      <c r="AY244" s="75" t="n">
        <f aca="false">AY242+AY243</f>
        <v>3358430.26108486</v>
      </c>
      <c r="AZ244" s="75" t="n">
        <f aca="false">AZ242+AZ243</f>
        <v>3348688.4304323</v>
      </c>
      <c r="BA244" s="75" t="n">
        <f aca="false">BA242+BA243</f>
        <v>3360506.30600041</v>
      </c>
      <c r="BB244" s="75" t="n">
        <f aca="false">BB242+BB243</f>
        <v>3367976.3037845</v>
      </c>
      <c r="BC244" s="75" t="n">
        <f aca="false">BC242+BC243</f>
        <v>3376271.35986866</v>
      </c>
      <c r="BD244" s="75" t="n">
        <f aca="false">BD242+BD243</f>
        <v>3385365.55525423</v>
      </c>
      <c r="BE244" s="75" t="n">
        <f aca="false">BE242+BE243</f>
        <v>3395234.00770249</v>
      </c>
      <c r="BF244" s="75" t="n">
        <f aca="false">BF242+BF243</f>
        <v>3405852.83026426</v>
      </c>
      <c r="BG244" s="75" t="n">
        <f aca="false">BG242+BG243</f>
        <v>3417199.09146834</v>
      </c>
      <c r="BH244" s="75" t="n">
        <f aca="false">BH242+BH243</f>
        <v>3429250.77710236</v>
      </c>
      <c r="BI244" s="75" t="n">
        <f aca="false">BI242+BI243</f>
        <v>3441986.75352247</v>
      </c>
      <c r="BJ244" s="75" t="n">
        <f aca="false">BJ242+BJ243</f>
        <v>3434422.8680779</v>
      </c>
    </row>
    <row r="245" customFormat="false" ht="15" hidden="false" customHeight="false" outlineLevel="0" collapsed="false">
      <c r="A245" s="6" t="s">
        <v>467</v>
      </c>
      <c r="C245" s="69" t="n">
        <f aca="false">C241-C244</f>
        <v>0</v>
      </c>
      <c r="D245" s="69" t="n">
        <f aca="false">D241-D244</f>
        <v>0</v>
      </c>
      <c r="E245" s="69" t="n">
        <f aca="false">E241-E244</f>
        <v>0</v>
      </c>
      <c r="F245" s="69" t="n">
        <f aca="false">F241-F244</f>
        <v>0</v>
      </c>
      <c r="G245" s="69" t="n">
        <f aca="false">G241-G244</f>
        <v>0</v>
      </c>
      <c r="H245" s="69" t="n">
        <f aca="false">H241-H244</f>
        <v>0</v>
      </c>
      <c r="I245" s="69" t="n">
        <f aca="false">I241-I244</f>
        <v>0</v>
      </c>
      <c r="J245" s="69" t="n">
        <f aca="false">J241-J244</f>
        <v>0</v>
      </c>
      <c r="K245" s="69" t="n">
        <f aca="false">K241-K244</f>
        <v>0</v>
      </c>
      <c r="L245" s="69" t="n">
        <f aca="false">L241-L244</f>
        <v>0</v>
      </c>
      <c r="M245" s="69" t="n">
        <f aca="false">M241-M244</f>
        <v>0</v>
      </c>
      <c r="N245" s="69" t="n">
        <f aca="false">N241-N244</f>
        <v>0</v>
      </c>
      <c r="O245" s="69" t="n">
        <f aca="false">O241-O244</f>
        <v>0</v>
      </c>
      <c r="P245" s="69" t="n">
        <f aca="false">P241-P244</f>
        <v>0</v>
      </c>
      <c r="Q245" s="69" t="n">
        <f aca="false">Q241-Q244</f>
        <v>0</v>
      </c>
      <c r="R245" s="69" t="n">
        <f aca="false">R241-R244</f>
        <v>0</v>
      </c>
      <c r="S245" s="69" t="n">
        <f aca="false">S241-S244</f>
        <v>0</v>
      </c>
      <c r="T245" s="69" t="n">
        <f aca="false">T241-T244</f>
        <v>0</v>
      </c>
      <c r="U245" s="69" t="n">
        <f aca="false">U241-U244</f>
        <v>0</v>
      </c>
      <c r="V245" s="69" t="n">
        <f aca="false">V241-V244</f>
        <v>0</v>
      </c>
      <c r="W245" s="69" t="n">
        <f aca="false">W241-W244</f>
        <v>0</v>
      </c>
      <c r="X245" s="69" t="n">
        <f aca="false">X241-X244</f>
        <v>0</v>
      </c>
      <c r="Y245" s="69" t="n">
        <f aca="false">Y241-Y244</f>
        <v>0</v>
      </c>
      <c r="Z245" s="69" t="n">
        <f aca="false">Z241-Z244</f>
        <v>0</v>
      </c>
      <c r="AA245" s="69" t="n">
        <f aca="false">AA241-AA244</f>
        <v>0</v>
      </c>
      <c r="AB245" s="69" t="n">
        <f aca="false">AB241-AB244</f>
        <v>0</v>
      </c>
      <c r="AC245" s="69" t="n">
        <f aca="false">AC241-AC244</f>
        <v>0</v>
      </c>
      <c r="AD245" s="69" t="n">
        <f aca="false">AD241-AD244</f>
        <v>0</v>
      </c>
      <c r="AE245" s="69" t="n">
        <f aca="false">AE241-AE244</f>
        <v>0</v>
      </c>
      <c r="AF245" s="69" t="n">
        <f aca="false">AF241-AF244</f>
        <v>0</v>
      </c>
      <c r="AG245" s="69" t="n">
        <f aca="false">AG241-AG244</f>
        <v>0</v>
      </c>
      <c r="AH245" s="69" t="n">
        <f aca="false">AH241-AH244</f>
        <v>0</v>
      </c>
      <c r="AI245" s="69" t="n">
        <f aca="false">AI241-AI244</f>
        <v>0</v>
      </c>
      <c r="AJ245" s="69" t="n">
        <f aca="false">AJ241-AJ244</f>
        <v>0</v>
      </c>
      <c r="AK245" s="69" t="n">
        <f aca="false">AK241-AK244</f>
        <v>0</v>
      </c>
      <c r="AL245" s="69" t="n">
        <f aca="false">AL241-AL244</f>
        <v>0</v>
      </c>
      <c r="AM245" s="69" t="n">
        <f aca="false">AM241-AM244</f>
        <v>0</v>
      </c>
      <c r="AN245" s="69" t="n">
        <f aca="false">AN241-AN244</f>
        <v>0</v>
      </c>
      <c r="AO245" s="69" t="n">
        <f aca="false">AO241-AO244</f>
        <v>0</v>
      </c>
      <c r="AP245" s="69" t="n">
        <f aca="false">AP241-AP244</f>
        <v>0</v>
      </c>
      <c r="AQ245" s="69" t="n">
        <f aca="false">AQ241-AQ244</f>
        <v>0</v>
      </c>
      <c r="AR245" s="69" t="n">
        <f aca="false">AR241-AR244</f>
        <v>0</v>
      </c>
      <c r="AS245" s="69" t="n">
        <f aca="false">AS241-AS244</f>
        <v>0</v>
      </c>
      <c r="AT245" s="69" t="n">
        <f aca="false">AT241-AT244</f>
        <v>0</v>
      </c>
      <c r="AU245" s="69" t="n">
        <f aca="false">AU241-AU244</f>
        <v>0</v>
      </c>
      <c r="AV245" s="69" t="n">
        <f aca="false">AV241-AV244</f>
        <v>0</v>
      </c>
      <c r="AW245" s="69" t="n">
        <f aca="false">AW241-AW244</f>
        <v>0</v>
      </c>
      <c r="AX245" s="69" t="n">
        <f aca="false">AX241-AX244</f>
        <v>0</v>
      </c>
      <c r="AY245" s="69" t="n">
        <f aca="false">AY241-AY244</f>
        <v>0</v>
      </c>
      <c r="AZ245" s="69" t="n">
        <f aca="false">AZ241-AZ244</f>
        <v>0</v>
      </c>
      <c r="BA245" s="69" t="n">
        <f aca="false">BA241-BA244</f>
        <v>0</v>
      </c>
      <c r="BB245" s="69" t="n">
        <f aca="false">BB241-BB244</f>
        <v>0</v>
      </c>
      <c r="BC245" s="69" t="n">
        <f aca="false">BC241-BC244</f>
        <v>0</v>
      </c>
      <c r="BD245" s="69" t="n">
        <f aca="false">BD241-BD244</f>
        <v>0</v>
      </c>
      <c r="BE245" s="69" t="n">
        <f aca="false">BE241-BE244</f>
        <v>0</v>
      </c>
      <c r="BF245" s="69" t="n">
        <f aca="false">BF241-BF244</f>
        <v>0</v>
      </c>
      <c r="BG245" s="69" t="n">
        <f aca="false">BG241-BG244</f>
        <v>0</v>
      </c>
      <c r="BH245" s="69" t="n">
        <f aca="false">BH241-BH244</f>
        <v>0</v>
      </c>
      <c r="BI245" s="69" t="n">
        <f aca="false">BI241-BI244</f>
        <v>0</v>
      </c>
      <c r="BJ245" s="69" t="n">
        <f aca="false">BJ241-BJ244</f>
        <v>0</v>
      </c>
    </row>
    <row r="247" customFormat="false" ht="15.75" hidden="false" customHeight="true" outlineLevel="0" collapsed="false">
      <c r="A247" s="7" t="s">
        <v>469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</row>
    <row r="248" customFormat="false" ht="15" hidden="false" customHeight="false" outlineLevel="0" collapsed="false">
      <c r="A248" s="6" t="s">
        <v>470</v>
      </c>
      <c r="C248" s="117" t="n">
        <f aca="false">Inputs!$C$55*(1+Inputs!$C$57)^(C$134-1)*MAX(0,MIN(1,C$133*1-Inputs!$C$58+1))/1</f>
        <v>1</v>
      </c>
      <c r="D248" s="117" t="n">
        <f aca="false">Inputs!$C$55*(1+Inputs!$C$57)^(D$134-1)*MAX(0,MIN(1,D$133*1-Inputs!$C$58+1))/1</f>
        <v>1</v>
      </c>
      <c r="E248" s="117" t="n">
        <f aca="false">Inputs!$C$55*(1+Inputs!$C$57)^(E$134-1)*MAX(0,MIN(1,E$133*1-Inputs!$C$58+1))/1</f>
        <v>1</v>
      </c>
      <c r="F248" s="117" t="n">
        <f aca="false">Inputs!$C$55*(1+Inputs!$C$57)^(F$134-1)*MAX(0,MIN(1,F$133*1-Inputs!$C$58+1))/1</f>
        <v>1</v>
      </c>
      <c r="G248" s="117" t="n">
        <f aca="false">Inputs!$C$55*(1+Inputs!$C$57)^(G$134-1)*MAX(0,MIN(1,G$133*1-Inputs!$C$58+1))/1</f>
        <v>1</v>
      </c>
      <c r="H248" s="117" t="n">
        <f aca="false">Inputs!$C$55*(1+Inputs!$C$57)^(H$134-1)*MAX(0,MIN(1,H$133*1-Inputs!$C$58+1))/1</f>
        <v>1</v>
      </c>
      <c r="I248" s="117" t="n">
        <f aca="false">Inputs!$C$55*(1+Inputs!$C$57)^(I$134-1)*MAX(0,MIN(1,I$133*1-Inputs!$C$58+1))/1</f>
        <v>1</v>
      </c>
      <c r="J248" s="117" t="n">
        <f aca="false">Inputs!$C$55*(1+Inputs!$C$57)^(J$134-1)*MAX(0,MIN(1,J$133*1-Inputs!$C$58+1))/1</f>
        <v>1</v>
      </c>
      <c r="K248" s="117" t="n">
        <f aca="false">Inputs!$C$55*(1+Inputs!$C$57)^(K$134-1)*MAX(0,MIN(1,K$133*1-Inputs!$C$58+1))/1</f>
        <v>1</v>
      </c>
      <c r="L248" s="117" t="n">
        <f aca="false">Inputs!$C$55*(1+Inputs!$C$57)^(L$134-1)*MAX(0,MIN(1,L$133*1-Inputs!$C$58+1))/1</f>
        <v>1</v>
      </c>
      <c r="M248" s="117" t="n">
        <f aca="false">Inputs!$C$55*(1+Inputs!$C$57)^(M$134-1)*MAX(0,MIN(1,M$133*1-Inputs!$C$58+1))/1</f>
        <v>1</v>
      </c>
      <c r="N248" s="117" t="n">
        <f aca="false">Inputs!$C$55*(1+Inputs!$C$57)^(N$134-1)*MAX(0,MIN(1,N$133*1-Inputs!$C$58+1))/1</f>
        <v>1</v>
      </c>
      <c r="O248" s="117" t="n">
        <f aca="false">Inputs!$C$55*(1+Inputs!$C$57)^(O$134-1)*MAX(0,MIN(1,O$133*1-Inputs!$C$58+1))/1</f>
        <v>1</v>
      </c>
      <c r="P248" s="117" t="n">
        <f aca="false">Inputs!$C$55*(1+Inputs!$C$57)^(P$134-1)*MAX(0,MIN(1,P$133*1-Inputs!$C$58+1))/1</f>
        <v>1</v>
      </c>
      <c r="Q248" s="117" t="n">
        <f aca="false">Inputs!$C$55*(1+Inputs!$C$57)^(Q$134-1)*MAX(0,MIN(1,Q$133*1-Inputs!$C$58+1))/1</f>
        <v>1</v>
      </c>
      <c r="R248" s="117" t="n">
        <f aca="false">Inputs!$C$55*(1+Inputs!$C$57)^(R$134-1)*MAX(0,MIN(1,R$133*1-Inputs!$C$58+1))/1</f>
        <v>1</v>
      </c>
      <c r="S248" s="117" t="n">
        <f aca="false">Inputs!$C$55*(1+Inputs!$C$57)^(S$134-1)*MAX(0,MIN(1,S$133*1-Inputs!$C$58+1))/1</f>
        <v>1</v>
      </c>
      <c r="T248" s="117" t="n">
        <f aca="false">Inputs!$C$55*(1+Inputs!$C$57)^(T$134-1)*MAX(0,MIN(1,T$133*1-Inputs!$C$58+1))/1</f>
        <v>1</v>
      </c>
      <c r="U248" s="117" t="n">
        <f aca="false">Inputs!$C$55*(1+Inputs!$C$57)^(U$134-1)*MAX(0,MIN(1,U$133*1-Inputs!$C$58+1))/1</f>
        <v>1</v>
      </c>
      <c r="V248" s="117" t="n">
        <f aca="false">Inputs!$C$55*(1+Inputs!$C$57)^(V$134-1)*MAX(0,MIN(1,V$133*1-Inputs!$C$58+1))/1</f>
        <v>1</v>
      </c>
      <c r="W248" s="117" t="n">
        <f aca="false">Inputs!$C$55*(1+Inputs!$C$57)^(W$134-1)*MAX(0,MIN(1,W$133*1-Inputs!$C$58+1))/1</f>
        <v>1</v>
      </c>
      <c r="X248" s="117" t="n">
        <f aca="false">Inputs!$C$55*(1+Inputs!$C$57)^(X$134-1)*MAX(0,MIN(1,X$133*1-Inputs!$C$58+1))/1</f>
        <v>1</v>
      </c>
      <c r="Y248" s="117" t="n">
        <f aca="false">Inputs!$C$55*(1+Inputs!$C$57)^(Y$134-1)*MAX(0,MIN(1,Y$133*1-Inputs!$C$58+1))/1</f>
        <v>1</v>
      </c>
      <c r="Z248" s="117" t="n">
        <f aca="false">Inputs!$C$55*(1+Inputs!$C$57)^(Z$134-1)*MAX(0,MIN(1,Z$133*1-Inputs!$C$58+1))/1</f>
        <v>1</v>
      </c>
      <c r="AA248" s="117" t="n">
        <f aca="false">Inputs!$C$55*(1+Inputs!$C$57)^(AA$134-1)*MAX(0,MIN(1,AA$133*1-Inputs!$C$58+1))/1</f>
        <v>1</v>
      </c>
      <c r="AB248" s="117" t="n">
        <f aca="false">Inputs!$C$55*(1+Inputs!$C$57)^(AB$134-1)*MAX(0,MIN(1,AB$133*1-Inputs!$C$58+1))/1</f>
        <v>1</v>
      </c>
      <c r="AC248" s="117" t="n">
        <f aca="false">Inputs!$C$55*(1+Inputs!$C$57)^(AC$134-1)*MAX(0,MIN(1,AC$133*1-Inputs!$C$58+1))/1</f>
        <v>1</v>
      </c>
      <c r="AD248" s="117" t="n">
        <f aca="false">Inputs!$C$55*(1+Inputs!$C$57)^(AD$134-1)*MAX(0,MIN(1,AD$133*1-Inputs!$C$58+1))/1</f>
        <v>1</v>
      </c>
      <c r="AE248" s="117" t="n">
        <f aca="false">Inputs!$C$55*(1+Inputs!$C$57)^(AE$134-1)*MAX(0,MIN(1,AE$133*1-Inputs!$C$58+1))/1</f>
        <v>1</v>
      </c>
      <c r="AF248" s="117" t="n">
        <f aca="false">Inputs!$C$55*(1+Inputs!$C$57)^(AF$134-1)*MAX(0,MIN(1,AF$133*1-Inputs!$C$58+1))/1</f>
        <v>1</v>
      </c>
      <c r="AG248" s="117" t="n">
        <f aca="false">Inputs!$C$55*(1+Inputs!$C$57)^(AG$134-1)*MAX(0,MIN(1,AG$133*1-Inputs!$C$58+1))/1</f>
        <v>1</v>
      </c>
      <c r="AH248" s="117" t="n">
        <f aca="false">Inputs!$C$55*(1+Inputs!$C$57)^(AH$134-1)*MAX(0,MIN(1,AH$133*1-Inputs!$C$58+1))/1</f>
        <v>1</v>
      </c>
      <c r="AI248" s="117" t="n">
        <f aca="false">Inputs!$C$55*(1+Inputs!$C$57)^(AI$134-1)*MAX(0,MIN(1,AI$133*1-Inputs!$C$58+1))/1</f>
        <v>1</v>
      </c>
      <c r="AJ248" s="117" t="n">
        <f aca="false">Inputs!$C$55*(1+Inputs!$C$57)^(AJ$134-1)*MAX(0,MIN(1,AJ$133*1-Inputs!$C$58+1))/1</f>
        <v>1</v>
      </c>
      <c r="AK248" s="117" t="n">
        <f aca="false">Inputs!$C$55*(1+Inputs!$C$57)^(AK$134-1)*MAX(0,MIN(1,AK$133*1-Inputs!$C$58+1))/1</f>
        <v>1</v>
      </c>
      <c r="AL248" s="117" t="n">
        <f aca="false">Inputs!$C$55*(1+Inputs!$C$57)^(AL$134-1)*MAX(0,MIN(1,AL$133*1-Inputs!$C$58+1))/1</f>
        <v>1</v>
      </c>
      <c r="AM248" s="117" t="n">
        <f aca="false">Inputs!$C$55*(1+Inputs!$C$57)^(AM$134-1)*MAX(0,MIN(1,AM$133*1-Inputs!$C$58+1))/1</f>
        <v>1</v>
      </c>
      <c r="AN248" s="117" t="n">
        <f aca="false">Inputs!$C$55*(1+Inputs!$C$57)^(AN$134-1)*MAX(0,MIN(1,AN$133*1-Inputs!$C$58+1))/1</f>
        <v>1</v>
      </c>
      <c r="AO248" s="117" t="n">
        <f aca="false">Inputs!$C$55*(1+Inputs!$C$57)^(AO$134-1)*MAX(0,MIN(1,AO$133*1-Inputs!$C$58+1))/1</f>
        <v>1</v>
      </c>
      <c r="AP248" s="117" t="n">
        <f aca="false">Inputs!$C$55*(1+Inputs!$C$57)^(AP$134-1)*MAX(0,MIN(1,AP$133*1-Inputs!$C$58+1))/1</f>
        <v>1</v>
      </c>
      <c r="AQ248" s="117" t="n">
        <f aca="false">Inputs!$C$55*(1+Inputs!$C$57)^(AQ$134-1)*MAX(0,MIN(1,AQ$133*1-Inputs!$C$58+1))/1</f>
        <v>1</v>
      </c>
      <c r="AR248" s="117" t="n">
        <f aca="false">Inputs!$C$55*(1+Inputs!$C$57)^(AR$134-1)*MAX(0,MIN(1,AR$133*1-Inputs!$C$58+1))/1</f>
        <v>1</v>
      </c>
      <c r="AS248" s="117" t="n">
        <f aca="false">Inputs!$C$55*(1+Inputs!$C$57)^(AS$134-1)*MAX(0,MIN(1,AS$133*1-Inputs!$C$58+1))/1</f>
        <v>1</v>
      </c>
      <c r="AT248" s="117" t="n">
        <f aca="false">Inputs!$C$55*(1+Inputs!$C$57)^(AT$134-1)*MAX(0,MIN(1,AT$133*1-Inputs!$C$58+1))/1</f>
        <v>1</v>
      </c>
      <c r="AU248" s="117" t="n">
        <f aca="false">Inputs!$C$55*(1+Inputs!$C$57)^(AU$134-1)*MAX(0,MIN(1,AU$133*1-Inputs!$C$58+1))/1</f>
        <v>1</v>
      </c>
      <c r="AV248" s="117" t="n">
        <f aca="false">Inputs!$C$55*(1+Inputs!$C$57)^(AV$134-1)*MAX(0,MIN(1,AV$133*1-Inputs!$C$58+1))/1</f>
        <v>1</v>
      </c>
      <c r="AW248" s="117" t="n">
        <f aca="false">Inputs!$C$55*(1+Inputs!$C$57)^(AW$134-1)*MAX(0,MIN(1,AW$133*1-Inputs!$C$58+1))/1</f>
        <v>1</v>
      </c>
      <c r="AX248" s="117" t="n">
        <f aca="false">Inputs!$C$55*(1+Inputs!$C$57)^(AX$134-1)*MAX(0,MIN(1,AX$133*1-Inputs!$C$58+1))/1</f>
        <v>1</v>
      </c>
      <c r="AY248" s="117" t="n">
        <f aca="false">Inputs!$C$55*(1+Inputs!$C$57)^(AY$134-1)*MAX(0,MIN(1,AY$133*1-Inputs!$C$58+1))/1</f>
        <v>1</v>
      </c>
      <c r="AZ248" s="117" t="n">
        <f aca="false">Inputs!$C$55*(1+Inputs!$C$57)^(AZ$134-1)*MAX(0,MIN(1,AZ$133*1-Inputs!$C$58+1))/1</f>
        <v>1</v>
      </c>
      <c r="BA248" s="117" t="n">
        <f aca="false">Inputs!$C$55*(1+Inputs!$C$57)^(BA$134-1)*MAX(0,MIN(1,BA$133*1-Inputs!$C$58+1))/1</f>
        <v>1</v>
      </c>
      <c r="BB248" s="117" t="n">
        <f aca="false">Inputs!$C$55*(1+Inputs!$C$57)^(BB$134-1)*MAX(0,MIN(1,BB$133*1-Inputs!$C$58+1))/1</f>
        <v>1</v>
      </c>
      <c r="BC248" s="117" t="n">
        <f aca="false">Inputs!$C$55*(1+Inputs!$C$57)^(BC$134-1)*MAX(0,MIN(1,BC$133*1-Inputs!$C$58+1))/1</f>
        <v>1</v>
      </c>
      <c r="BD248" s="117" t="n">
        <f aca="false">Inputs!$C$55*(1+Inputs!$C$57)^(BD$134-1)*MAX(0,MIN(1,BD$133*1-Inputs!$C$58+1))/1</f>
        <v>1</v>
      </c>
      <c r="BE248" s="117" t="n">
        <f aca="false">Inputs!$C$55*(1+Inputs!$C$57)^(BE$134-1)*MAX(0,MIN(1,BE$133*1-Inputs!$C$58+1))/1</f>
        <v>1</v>
      </c>
      <c r="BF248" s="117" t="n">
        <f aca="false">Inputs!$C$55*(1+Inputs!$C$57)^(BF$134-1)*MAX(0,MIN(1,BF$133*1-Inputs!$C$58+1))/1</f>
        <v>1</v>
      </c>
      <c r="BG248" s="117" t="n">
        <f aca="false">Inputs!$C$55*(1+Inputs!$C$57)^(BG$134-1)*MAX(0,MIN(1,BG$133*1-Inputs!$C$58+1))/1</f>
        <v>1</v>
      </c>
      <c r="BH248" s="117" t="n">
        <f aca="false">Inputs!$C$55*(1+Inputs!$C$57)^(BH$134-1)*MAX(0,MIN(1,BH$133*1-Inputs!$C$58+1))/1</f>
        <v>1</v>
      </c>
      <c r="BI248" s="117" t="n">
        <f aca="false">Inputs!$C$55*(1+Inputs!$C$57)^(BI$134-1)*MAX(0,MIN(1,BI$133*1-Inputs!$C$58+1))/1</f>
        <v>1</v>
      </c>
      <c r="BJ248" s="117" t="n">
        <f aca="false">Inputs!$C$55*(1+Inputs!$C$57)^(BJ$134-1)*MAX(0,MIN(1,BJ$133*1-Inputs!$C$58+1))/1</f>
        <v>1</v>
      </c>
    </row>
    <row r="249" customFormat="false" ht="15" hidden="false" customHeight="false" outlineLevel="0" collapsed="false">
      <c r="A249" s="6" t="s">
        <v>471</v>
      </c>
      <c r="C249" s="117" t="n">
        <f aca="false">Inputs!$C$59*(1+Inputs!$C$61)^(C$134-1)*MAX(0,MIN(1,C$133*1-Inputs!$C$62+1))/1</f>
        <v>10</v>
      </c>
      <c r="D249" s="117" t="n">
        <f aca="false">Inputs!$C$59*(1+Inputs!$C$61)^(D$134-1)*MAX(0,MIN(1,D$133*1-Inputs!$C$62+1))/1</f>
        <v>10</v>
      </c>
      <c r="E249" s="117" t="n">
        <f aca="false">Inputs!$C$59*(1+Inputs!$C$61)^(E$134-1)*MAX(0,MIN(1,E$133*1-Inputs!$C$62+1))/1</f>
        <v>10</v>
      </c>
      <c r="F249" s="117" t="n">
        <f aca="false">Inputs!$C$59*(1+Inputs!$C$61)^(F$134-1)*MAX(0,MIN(1,F$133*1-Inputs!$C$62+1))/1</f>
        <v>10</v>
      </c>
      <c r="G249" s="117" t="n">
        <f aca="false">Inputs!$C$59*(1+Inputs!$C$61)^(G$134-1)*MAX(0,MIN(1,G$133*1-Inputs!$C$62+1))/1</f>
        <v>10</v>
      </c>
      <c r="H249" s="117" t="n">
        <f aca="false">Inputs!$C$59*(1+Inputs!$C$61)^(H$134-1)*MAX(0,MIN(1,H$133*1-Inputs!$C$62+1))/1</f>
        <v>10</v>
      </c>
      <c r="I249" s="117" t="n">
        <f aca="false">Inputs!$C$59*(1+Inputs!$C$61)^(I$134-1)*MAX(0,MIN(1,I$133*1-Inputs!$C$62+1))/1</f>
        <v>10</v>
      </c>
      <c r="J249" s="117" t="n">
        <f aca="false">Inputs!$C$59*(1+Inputs!$C$61)^(J$134-1)*MAX(0,MIN(1,J$133*1-Inputs!$C$62+1))/1</f>
        <v>10</v>
      </c>
      <c r="K249" s="117" t="n">
        <f aca="false">Inputs!$C$59*(1+Inputs!$C$61)^(K$134-1)*MAX(0,MIN(1,K$133*1-Inputs!$C$62+1))/1</f>
        <v>10</v>
      </c>
      <c r="L249" s="117" t="n">
        <f aca="false">Inputs!$C$59*(1+Inputs!$C$61)^(L$134-1)*MAX(0,MIN(1,L$133*1-Inputs!$C$62+1))/1</f>
        <v>10</v>
      </c>
      <c r="M249" s="117" t="n">
        <f aca="false">Inputs!$C$59*(1+Inputs!$C$61)^(M$134-1)*MAX(0,MIN(1,M$133*1-Inputs!$C$62+1))/1</f>
        <v>10</v>
      </c>
      <c r="N249" s="117" t="n">
        <f aca="false">Inputs!$C$59*(1+Inputs!$C$61)^(N$134-1)*MAX(0,MIN(1,N$133*1-Inputs!$C$62+1))/1</f>
        <v>10</v>
      </c>
      <c r="O249" s="117" t="n">
        <f aca="false">Inputs!$C$59*(1+Inputs!$C$61)^(O$134-1)*MAX(0,MIN(1,O$133*1-Inputs!$C$62+1))/1</f>
        <v>10</v>
      </c>
      <c r="P249" s="117" t="n">
        <f aca="false">Inputs!$C$59*(1+Inputs!$C$61)^(P$134-1)*MAX(0,MIN(1,P$133*1-Inputs!$C$62+1))/1</f>
        <v>10</v>
      </c>
      <c r="Q249" s="117" t="n">
        <f aca="false">Inputs!$C$59*(1+Inputs!$C$61)^(Q$134-1)*MAX(0,MIN(1,Q$133*1-Inputs!$C$62+1))/1</f>
        <v>10</v>
      </c>
      <c r="R249" s="117" t="n">
        <f aca="false">Inputs!$C$59*(1+Inputs!$C$61)^(R$134-1)*MAX(0,MIN(1,R$133*1-Inputs!$C$62+1))/1</f>
        <v>10</v>
      </c>
      <c r="S249" s="117" t="n">
        <f aca="false">Inputs!$C$59*(1+Inputs!$C$61)^(S$134-1)*MAX(0,MIN(1,S$133*1-Inputs!$C$62+1))/1</f>
        <v>10</v>
      </c>
      <c r="T249" s="117" t="n">
        <f aca="false">Inputs!$C$59*(1+Inputs!$C$61)^(T$134-1)*MAX(0,MIN(1,T$133*1-Inputs!$C$62+1))/1</f>
        <v>10</v>
      </c>
      <c r="U249" s="117" t="n">
        <f aca="false">Inputs!$C$59*(1+Inputs!$C$61)^(U$134-1)*MAX(0,MIN(1,U$133*1-Inputs!$C$62+1))/1</f>
        <v>10</v>
      </c>
      <c r="V249" s="117" t="n">
        <f aca="false">Inputs!$C$59*(1+Inputs!$C$61)^(V$134-1)*MAX(0,MIN(1,V$133*1-Inputs!$C$62+1))/1</f>
        <v>10</v>
      </c>
      <c r="W249" s="117" t="n">
        <f aca="false">Inputs!$C$59*(1+Inputs!$C$61)^(W$134-1)*MAX(0,MIN(1,W$133*1-Inputs!$C$62+1))/1</f>
        <v>10</v>
      </c>
      <c r="X249" s="117" t="n">
        <f aca="false">Inputs!$C$59*(1+Inputs!$C$61)^(X$134-1)*MAX(0,MIN(1,X$133*1-Inputs!$C$62+1))/1</f>
        <v>10</v>
      </c>
      <c r="Y249" s="117" t="n">
        <f aca="false">Inputs!$C$59*(1+Inputs!$C$61)^(Y$134-1)*MAX(0,MIN(1,Y$133*1-Inputs!$C$62+1))/1</f>
        <v>10</v>
      </c>
      <c r="Z249" s="117" t="n">
        <f aca="false">Inputs!$C$59*(1+Inputs!$C$61)^(Z$134-1)*MAX(0,MIN(1,Z$133*1-Inputs!$C$62+1))/1</f>
        <v>10</v>
      </c>
      <c r="AA249" s="117" t="n">
        <f aca="false">Inputs!$C$59*(1+Inputs!$C$61)^(AA$134-1)*MAX(0,MIN(1,AA$133*1-Inputs!$C$62+1))/1</f>
        <v>10</v>
      </c>
      <c r="AB249" s="117" t="n">
        <f aca="false">Inputs!$C$59*(1+Inputs!$C$61)^(AB$134-1)*MAX(0,MIN(1,AB$133*1-Inputs!$C$62+1))/1</f>
        <v>10</v>
      </c>
      <c r="AC249" s="117" t="n">
        <f aca="false">Inputs!$C$59*(1+Inputs!$C$61)^(AC$134-1)*MAX(0,MIN(1,AC$133*1-Inputs!$C$62+1))/1</f>
        <v>10</v>
      </c>
      <c r="AD249" s="117" t="n">
        <f aca="false">Inputs!$C$59*(1+Inputs!$C$61)^(AD$134-1)*MAX(0,MIN(1,AD$133*1-Inputs!$C$62+1))/1</f>
        <v>10</v>
      </c>
      <c r="AE249" s="117" t="n">
        <f aca="false">Inputs!$C$59*(1+Inputs!$C$61)^(AE$134-1)*MAX(0,MIN(1,AE$133*1-Inputs!$C$62+1))/1</f>
        <v>10</v>
      </c>
      <c r="AF249" s="117" t="n">
        <f aca="false">Inputs!$C$59*(1+Inputs!$C$61)^(AF$134-1)*MAX(0,MIN(1,AF$133*1-Inputs!$C$62+1))/1</f>
        <v>10</v>
      </c>
      <c r="AG249" s="117" t="n">
        <f aca="false">Inputs!$C$59*(1+Inputs!$C$61)^(AG$134-1)*MAX(0,MIN(1,AG$133*1-Inputs!$C$62+1))/1</f>
        <v>10</v>
      </c>
      <c r="AH249" s="117" t="n">
        <f aca="false">Inputs!$C$59*(1+Inputs!$C$61)^(AH$134-1)*MAX(0,MIN(1,AH$133*1-Inputs!$C$62+1))/1</f>
        <v>10</v>
      </c>
      <c r="AI249" s="117" t="n">
        <f aca="false">Inputs!$C$59*(1+Inputs!$C$61)^(AI$134-1)*MAX(0,MIN(1,AI$133*1-Inputs!$C$62+1))/1</f>
        <v>10</v>
      </c>
      <c r="AJ249" s="117" t="n">
        <f aca="false">Inputs!$C$59*(1+Inputs!$C$61)^(AJ$134-1)*MAX(0,MIN(1,AJ$133*1-Inputs!$C$62+1))/1</f>
        <v>10</v>
      </c>
      <c r="AK249" s="117" t="n">
        <f aca="false">Inputs!$C$59*(1+Inputs!$C$61)^(AK$134-1)*MAX(0,MIN(1,AK$133*1-Inputs!$C$62+1))/1</f>
        <v>10</v>
      </c>
      <c r="AL249" s="117" t="n">
        <f aca="false">Inputs!$C$59*(1+Inputs!$C$61)^(AL$134-1)*MAX(0,MIN(1,AL$133*1-Inputs!$C$62+1))/1</f>
        <v>10</v>
      </c>
      <c r="AM249" s="117" t="n">
        <f aca="false">Inputs!$C$59*(1+Inputs!$C$61)^(AM$134-1)*MAX(0,MIN(1,AM$133*1-Inputs!$C$62+1))/1</f>
        <v>10</v>
      </c>
      <c r="AN249" s="117" t="n">
        <f aca="false">Inputs!$C$59*(1+Inputs!$C$61)^(AN$134-1)*MAX(0,MIN(1,AN$133*1-Inputs!$C$62+1))/1</f>
        <v>10</v>
      </c>
      <c r="AO249" s="117" t="n">
        <f aca="false">Inputs!$C$59*(1+Inputs!$C$61)^(AO$134-1)*MAX(0,MIN(1,AO$133*1-Inputs!$C$62+1))/1</f>
        <v>10</v>
      </c>
      <c r="AP249" s="117" t="n">
        <f aca="false">Inputs!$C$59*(1+Inputs!$C$61)^(AP$134-1)*MAX(0,MIN(1,AP$133*1-Inputs!$C$62+1))/1</f>
        <v>10</v>
      </c>
      <c r="AQ249" s="117" t="n">
        <f aca="false">Inputs!$C$59*(1+Inputs!$C$61)^(AQ$134-1)*MAX(0,MIN(1,AQ$133*1-Inputs!$C$62+1))/1</f>
        <v>10</v>
      </c>
      <c r="AR249" s="117" t="n">
        <f aca="false">Inputs!$C$59*(1+Inputs!$C$61)^(AR$134-1)*MAX(0,MIN(1,AR$133*1-Inputs!$C$62+1))/1</f>
        <v>10</v>
      </c>
      <c r="AS249" s="117" t="n">
        <f aca="false">Inputs!$C$59*(1+Inputs!$C$61)^(AS$134-1)*MAX(0,MIN(1,AS$133*1-Inputs!$C$62+1))/1</f>
        <v>10</v>
      </c>
      <c r="AT249" s="117" t="n">
        <f aca="false">Inputs!$C$59*(1+Inputs!$C$61)^(AT$134-1)*MAX(0,MIN(1,AT$133*1-Inputs!$C$62+1))/1</f>
        <v>10</v>
      </c>
      <c r="AU249" s="117" t="n">
        <f aca="false">Inputs!$C$59*(1+Inputs!$C$61)^(AU$134-1)*MAX(0,MIN(1,AU$133*1-Inputs!$C$62+1))/1</f>
        <v>10</v>
      </c>
      <c r="AV249" s="117" t="n">
        <f aca="false">Inputs!$C$59*(1+Inputs!$C$61)^(AV$134-1)*MAX(0,MIN(1,AV$133*1-Inputs!$C$62+1))/1</f>
        <v>10</v>
      </c>
      <c r="AW249" s="117" t="n">
        <f aca="false">Inputs!$C$59*(1+Inputs!$C$61)^(AW$134-1)*MAX(0,MIN(1,AW$133*1-Inputs!$C$62+1))/1</f>
        <v>10</v>
      </c>
      <c r="AX249" s="117" t="n">
        <f aca="false">Inputs!$C$59*(1+Inputs!$C$61)^(AX$134-1)*MAX(0,MIN(1,AX$133*1-Inputs!$C$62+1))/1</f>
        <v>10</v>
      </c>
      <c r="AY249" s="117" t="n">
        <f aca="false">Inputs!$C$59*(1+Inputs!$C$61)^(AY$134-1)*MAX(0,MIN(1,AY$133*1-Inputs!$C$62+1))/1</f>
        <v>10</v>
      </c>
      <c r="AZ249" s="117" t="n">
        <f aca="false">Inputs!$C$59*(1+Inputs!$C$61)^(AZ$134-1)*MAX(0,MIN(1,AZ$133*1-Inputs!$C$62+1))/1</f>
        <v>10</v>
      </c>
      <c r="BA249" s="117" t="n">
        <f aca="false">Inputs!$C$59*(1+Inputs!$C$61)^(BA$134-1)*MAX(0,MIN(1,BA$133*1-Inputs!$C$62+1))/1</f>
        <v>10</v>
      </c>
      <c r="BB249" s="117" t="n">
        <f aca="false">Inputs!$C$59*(1+Inputs!$C$61)^(BB$134-1)*MAX(0,MIN(1,BB$133*1-Inputs!$C$62+1))/1</f>
        <v>10</v>
      </c>
      <c r="BC249" s="117" t="n">
        <f aca="false">Inputs!$C$59*(1+Inputs!$C$61)^(BC$134-1)*MAX(0,MIN(1,BC$133*1-Inputs!$C$62+1))/1</f>
        <v>10</v>
      </c>
      <c r="BD249" s="117" t="n">
        <f aca="false">Inputs!$C$59*(1+Inputs!$C$61)^(BD$134-1)*MAX(0,MIN(1,BD$133*1-Inputs!$C$62+1))/1</f>
        <v>10</v>
      </c>
      <c r="BE249" s="117" t="n">
        <f aca="false">Inputs!$C$59*(1+Inputs!$C$61)^(BE$134-1)*MAX(0,MIN(1,BE$133*1-Inputs!$C$62+1))/1</f>
        <v>10</v>
      </c>
      <c r="BF249" s="117" t="n">
        <f aca="false">Inputs!$C$59*(1+Inputs!$C$61)^(BF$134-1)*MAX(0,MIN(1,BF$133*1-Inputs!$C$62+1))/1</f>
        <v>10</v>
      </c>
      <c r="BG249" s="117" t="n">
        <f aca="false">Inputs!$C$59*(1+Inputs!$C$61)^(BG$134-1)*MAX(0,MIN(1,BG$133*1-Inputs!$C$62+1))/1</f>
        <v>10</v>
      </c>
      <c r="BH249" s="117" t="n">
        <f aca="false">Inputs!$C$59*(1+Inputs!$C$61)^(BH$134-1)*MAX(0,MIN(1,BH$133*1-Inputs!$C$62+1))/1</f>
        <v>10</v>
      </c>
      <c r="BI249" s="117" t="n">
        <f aca="false">Inputs!$C$59*(1+Inputs!$C$61)^(BI$134-1)*MAX(0,MIN(1,BI$133*1-Inputs!$C$62+1))/1</f>
        <v>10</v>
      </c>
      <c r="BJ249" s="117" t="n">
        <f aca="false">Inputs!$C$59*(1+Inputs!$C$61)^(BJ$134-1)*MAX(0,MIN(1,BJ$133*1-Inputs!$C$62+1))/1</f>
        <v>10</v>
      </c>
    </row>
    <row r="250" customFormat="false" ht="15" hidden="false" customHeight="false" outlineLevel="0" collapsed="false">
      <c r="A250" s="113" t="s">
        <v>472</v>
      </c>
      <c r="C250" s="123" t="n">
        <f aca="false">C248+C249</f>
        <v>11</v>
      </c>
      <c r="D250" s="123" t="n">
        <f aca="false">D248+D249</f>
        <v>11</v>
      </c>
      <c r="E250" s="123" t="n">
        <f aca="false">E248+E249</f>
        <v>11</v>
      </c>
      <c r="F250" s="123" t="n">
        <f aca="false">F248+F249</f>
        <v>11</v>
      </c>
      <c r="G250" s="123" t="n">
        <f aca="false">G248+G249</f>
        <v>11</v>
      </c>
      <c r="H250" s="123" t="n">
        <f aca="false">H248+H249</f>
        <v>11</v>
      </c>
      <c r="I250" s="123" t="n">
        <f aca="false">I248+I249</f>
        <v>11</v>
      </c>
      <c r="J250" s="123" t="n">
        <f aca="false">J248+J249</f>
        <v>11</v>
      </c>
      <c r="K250" s="123" t="n">
        <f aca="false">K248+K249</f>
        <v>11</v>
      </c>
      <c r="L250" s="123" t="n">
        <f aca="false">L248+L249</f>
        <v>11</v>
      </c>
      <c r="M250" s="123" t="n">
        <f aca="false">M248+M249</f>
        <v>11</v>
      </c>
      <c r="N250" s="123" t="n">
        <f aca="false">N248+N249</f>
        <v>11</v>
      </c>
      <c r="O250" s="123" t="n">
        <f aca="false">O248+O249</f>
        <v>11</v>
      </c>
      <c r="P250" s="123" t="n">
        <f aca="false">P248+P249</f>
        <v>11</v>
      </c>
      <c r="Q250" s="123" t="n">
        <f aca="false">Q248+Q249</f>
        <v>11</v>
      </c>
      <c r="R250" s="123" t="n">
        <f aca="false">R248+R249</f>
        <v>11</v>
      </c>
      <c r="S250" s="123" t="n">
        <f aca="false">S248+S249</f>
        <v>11</v>
      </c>
      <c r="T250" s="123" t="n">
        <f aca="false">T248+T249</f>
        <v>11</v>
      </c>
      <c r="U250" s="123" t="n">
        <f aca="false">U248+U249</f>
        <v>11</v>
      </c>
      <c r="V250" s="123" t="n">
        <f aca="false">V248+V249</f>
        <v>11</v>
      </c>
      <c r="W250" s="123" t="n">
        <f aca="false">W248+W249</f>
        <v>11</v>
      </c>
      <c r="X250" s="123" t="n">
        <f aca="false">X248+X249</f>
        <v>11</v>
      </c>
      <c r="Y250" s="123" t="n">
        <f aca="false">Y248+Y249</f>
        <v>11</v>
      </c>
      <c r="Z250" s="123" t="n">
        <f aca="false">Z248+Z249</f>
        <v>11</v>
      </c>
      <c r="AA250" s="123" t="n">
        <f aca="false">AA248+AA249</f>
        <v>11</v>
      </c>
      <c r="AB250" s="123" t="n">
        <f aca="false">AB248+AB249</f>
        <v>11</v>
      </c>
      <c r="AC250" s="123" t="n">
        <f aca="false">AC248+AC249</f>
        <v>11</v>
      </c>
      <c r="AD250" s="123" t="n">
        <f aca="false">AD248+AD249</f>
        <v>11</v>
      </c>
      <c r="AE250" s="123" t="n">
        <f aca="false">AE248+AE249</f>
        <v>11</v>
      </c>
      <c r="AF250" s="123" t="n">
        <f aca="false">AF248+AF249</f>
        <v>11</v>
      </c>
      <c r="AG250" s="123" t="n">
        <f aca="false">AG248+AG249</f>
        <v>11</v>
      </c>
      <c r="AH250" s="123" t="n">
        <f aca="false">AH248+AH249</f>
        <v>11</v>
      </c>
      <c r="AI250" s="123" t="n">
        <f aca="false">AI248+AI249</f>
        <v>11</v>
      </c>
      <c r="AJ250" s="123" t="n">
        <f aca="false">AJ248+AJ249</f>
        <v>11</v>
      </c>
      <c r="AK250" s="123" t="n">
        <f aca="false">AK248+AK249</f>
        <v>11</v>
      </c>
      <c r="AL250" s="123" t="n">
        <f aca="false">AL248+AL249</f>
        <v>11</v>
      </c>
      <c r="AM250" s="123" t="n">
        <f aca="false">AM248+AM249</f>
        <v>11</v>
      </c>
      <c r="AN250" s="123" t="n">
        <f aca="false">AN248+AN249</f>
        <v>11</v>
      </c>
      <c r="AO250" s="123" t="n">
        <f aca="false">AO248+AO249</f>
        <v>11</v>
      </c>
      <c r="AP250" s="123" t="n">
        <f aca="false">AP248+AP249</f>
        <v>11</v>
      </c>
      <c r="AQ250" s="123" t="n">
        <f aca="false">AQ248+AQ249</f>
        <v>11</v>
      </c>
      <c r="AR250" s="123" t="n">
        <f aca="false">AR248+AR249</f>
        <v>11</v>
      </c>
      <c r="AS250" s="123" t="n">
        <f aca="false">AS248+AS249</f>
        <v>11</v>
      </c>
      <c r="AT250" s="123" t="n">
        <f aca="false">AT248+AT249</f>
        <v>11</v>
      </c>
      <c r="AU250" s="123" t="n">
        <f aca="false">AU248+AU249</f>
        <v>11</v>
      </c>
      <c r="AV250" s="123" t="n">
        <f aca="false">AV248+AV249</f>
        <v>11</v>
      </c>
      <c r="AW250" s="123" t="n">
        <f aca="false">AW248+AW249</f>
        <v>11</v>
      </c>
      <c r="AX250" s="123" t="n">
        <f aca="false">AX248+AX249</f>
        <v>11</v>
      </c>
      <c r="AY250" s="123" t="n">
        <f aca="false">AY248+AY249</f>
        <v>11</v>
      </c>
      <c r="AZ250" s="123" t="n">
        <f aca="false">AZ248+AZ249</f>
        <v>11</v>
      </c>
      <c r="BA250" s="123" t="n">
        <f aca="false">BA248+BA249</f>
        <v>11</v>
      </c>
      <c r="BB250" s="123" t="n">
        <f aca="false">BB248+BB249</f>
        <v>11</v>
      </c>
      <c r="BC250" s="123" t="n">
        <f aca="false">BC248+BC249</f>
        <v>11</v>
      </c>
      <c r="BD250" s="123" t="n">
        <f aca="false">BD248+BD249</f>
        <v>11</v>
      </c>
      <c r="BE250" s="123" t="n">
        <f aca="false">BE248+BE249</f>
        <v>11</v>
      </c>
      <c r="BF250" s="123" t="n">
        <f aca="false">BF248+BF249</f>
        <v>11</v>
      </c>
      <c r="BG250" s="123" t="n">
        <f aca="false">BG248+BG249</f>
        <v>11</v>
      </c>
      <c r="BH250" s="123" t="n">
        <f aca="false">BH248+BH249</f>
        <v>11</v>
      </c>
      <c r="BI250" s="123" t="n">
        <f aca="false">BI248+BI249</f>
        <v>11</v>
      </c>
      <c r="BJ250" s="123" t="n">
        <f aca="false">BJ248+BJ249</f>
        <v>11</v>
      </c>
    </row>
    <row r="252" customFormat="false" ht="15.75" hidden="false" customHeight="true" outlineLevel="0" collapsed="false">
      <c r="A252" s="7" t="s">
        <v>473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</row>
    <row r="253" customFormat="false" ht="15" hidden="false" customHeight="false" outlineLevel="0" collapsed="false">
      <c r="A253" s="6" t="s">
        <v>474</v>
      </c>
      <c r="C253" s="69" t="n">
        <f aca="false">-C248*Inputs!$C$56/12*1*(1+Inputs!$C$63)*(1+Inputs!$C$64)^(C$134-1)</f>
        <v>-6720</v>
      </c>
      <c r="D253" s="69" t="n">
        <f aca="false">-D248*Inputs!$C$56/12*1*(1+Inputs!$C$63)*(1+Inputs!$C$64)^(D$134-1)</f>
        <v>-6720</v>
      </c>
      <c r="E253" s="69" t="n">
        <f aca="false">-E248*Inputs!$C$56/12*1*(1+Inputs!$C$63)*(1+Inputs!$C$64)^(E$134-1)</f>
        <v>-6720</v>
      </c>
      <c r="F253" s="69" t="n">
        <f aca="false">-F248*Inputs!$C$56/12*1*(1+Inputs!$C$63)*(1+Inputs!$C$64)^(F$134-1)</f>
        <v>-6720</v>
      </c>
      <c r="G253" s="69" t="n">
        <f aca="false">-G248*Inputs!$C$56/12*1*(1+Inputs!$C$63)*(1+Inputs!$C$64)^(G$134-1)</f>
        <v>-6720</v>
      </c>
      <c r="H253" s="69" t="n">
        <f aca="false">-H248*Inputs!$C$56/12*1*(1+Inputs!$C$63)*(1+Inputs!$C$64)^(H$134-1)</f>
        <v>-6720</v>
      </c>
      <c r="I253" s="69" t="n">
        <f aca="false">-I248*Inputs!$C$56/12*1*(1+Inputs!$C$63)*(1+Inputs!$C$64)^(I$134-1)</f>
        <v>-6720</v>
      </c>
      <c r="J253" s="69" t="n">
        <f aca="false">-J248*Inputs!$C$56/12*1*(1+Inputs!$C$63)*(1+Inputs!$C$64)^(J$134-1)</f>
        <v>-6720</v>
      </c>
      <c r="K253" s="69" t="n">
        <f aca="false">-K248*Inputs!$C$56/12*1*(1+Inputs!$C$63)*(1+Inputs!$C$64)^(K$134-1)</f>
        <v>-6720</v>
      </c>
      <c r="L253" s="69" t="n">
        <f aca="false">-L248*Inputs!$C$56/12*1*(1+Inputs!$C$63)*(1+Inputs!$C$64)^(L$134-1)</f>
        <v>-6720</v>
      </c>
      <c r="M253" s="69" t="n">
        <f aca="false">-M248*Inputs!$C$56/12*1*(1+Inputs!$C$63)*(1+Inputs!$C$64)^(M$134-1)</f>
        <v>-6720</v>
      </c>
      <c r="N253" s="69" t="n">
        <f aca="false">-N248*Inputs!$C$56/12*1*(1+Inputs!$C$63)*(1+Inputs!$C$64)^(N$134-1)</f>
        <v>-6720</v>
      </c>
      <c r="O253" s="69" t="n">
        <f aca="false">-O248*Inputs!$C$56/12*1*(1+Inputs!$C$63)*(1+Inputs!$C$64)^(O$134-1)</f>
        <v>-6921.6</v>
      </c>
      <c r="P253" s="69" t="n">
        <f aca="false">-P248*Inputs!$C$56/12*1*(1+Inputs!$C$63)*(1+Inputs!$C$64)^(P$134-1)</f>
        <v>-6921.6</v>
      </c>
      <c r="Q253" s="69" t="n">
        <f aca="false">-Q248*Inputs!$C$56/12*1*(1+Inputs!$C$63)*(1+Inputs!$C$64)^(Q$134-1)</f>
        <v>-6921.6</v>
      </c>
      <c r="R253" s="69" t="n">
        <f aca="false">-R248*Inputs!$C$56/12*1*(1+Inputs!$C$63)*(1+Inputs!$C$64)^(R$134-1)</f>
        <v>-6921.6</v>
      </c>
      <c r="S253" s="69" t="n">
        <f aca="false">-S248*Inputs!$C$56/12*1*(1+Inputs!$C$63)*(1+Inputs!$C$64)^(S$134-1)</f>
        <v>-6921.6</v>
      </c>
      <c r="T253" s="69" t="n">
        <f aca="false">-T248*Inputs!$C$56/12*1*(1+Inputs!$C$63)*(1+Inputs!$C$64)^(T$134-1)</f>
        <v>-6921.6</v>
      </c>
      <c r="U253" s="69" t="n">
        <f aca="false">-U248*Inputs!$C$56/12*1*(1+Inputs!$C$63)*(1+Inputs!$C$64)^(U$134-1)</f>
        <v>-6921.6</v>
      </c>
      <c r="V253" s="69" t="n">
        <f aca="false">-V248*Inputs!$C$56/12*1*(1+Inputs!$C$63)*(1+Inputs!$C$64)^(V$134-1)</f>
        <v>-6921.6</v>
      </c>
      <c r="W253" s="69" t="n">
        <f aca="false">-W248*Inputs!$C$56/12*1*(1+Inputs!$C$63)*(1+Inputs!$C$64)^(W$134-1)</f>
        <v>-6921.6</v>
      </c>
      <c r="X253" s="69" t="n">
        <f aca="false">-X248*Inputs!$C$56/12*1*(1+Inputs!$C$63)*(1+Inputs!$C$64)^(X$134-1)</f>
        <v>-6921.6</v>
      </c>
      <c r="Y253" s="69" t="n">
        <f aca="false">-Y248*Inputs!$C$56/12*1*(1+Inputs!$C$63)*(1+Inputs!$C$64)^(Y$134-1)</f>
        <v>-6921.6</v>
      </c>
      <c r="Z253" s="69" t="n">
        <f aca="false">-Z248*Inputs!$C$56/12*1*(1+Inputs!$C$63)*(1+Inputs!$C$64)^(Z$134-1)</f>
        <v>-6921.6</v>
      </c>
      <c r="AA253" s="69" t="n">
        <f aca="false">-AA248*Inputs!$C$56/12*1*(1+Inputs!$C$63)*(1+Inputs!$C$64)^(AA$134-1)</f>
        <v>-7129.248</v>
      </c>
      <c r="AB253" s="69" t="n">
        <f aca="false">-AB248*Inputs!$C$56/12*1*(1+Inputs!$C$63)*(1+Inputs!$C$64)^(AB$134-1)</f>
        <v>-7129.248</v>
      </c>
      <c r="AC253" s="69" t="n">
        <f aca="false">-AC248*Inputs!$C$56/12*1*(1+Inputs!$C$63)*(1+Inputs!$C$64)^(AC$134-1)</f>
        <v>-7129.248</v>
      </c>
      <c r="AD253" s="69" t="n">
        <f aca="false">-AD248*Inputs!$C$56/12*1*(1+Inputs!$C$63)*(1+Inputs!$C$64)^(AD$134-1)</f>
        <v>-7129.248</v>
      </c>
      <c r="AE253" s="69" t="n">
        <f aca="false">-AE248*Inputs!$C$56/12*1*(1+Inputs!$C$63)*(1+Inputs!$C$64)^(AE$134-1)</f>
        <v>-7129.248</v>
      </c>
      <c r="AF253" s="69" t="n">
        <f aca="false">-AF248*Inputs!$C$56/12*1*(1+Inputs!$C$63)*(1+Inputs!$C$64)^(AF$134-1)</f>
        <v>-7129.248</v>
      </c>
      <c r="AG253" s="69" t="n">
        <f aca="false">-AG248*Inputs!$C$56/12*1*(1+Inputs!$C$63)*(1+Inputs!$C$64)^(AG$134-1)</f>
        <v>-7129.248</v>
      </c>
      <c r="AH253" s="69" t="n">
        <f aca="false">-AH248*Inputs!$C$56/12*1*(1+Inputs!$C$63)*(1+Inputs!$C$64)^(AH$134-1)</f>
        <v>-7129.248</v>
      </c>
      <c r="AI253" s="69" t="n">
        <f aca="false">-AI248*Inputs!$C$56/12*1*(1+Inputs!$C$63)*(1+Inputs!$C$64)^(AI$134-1)</f>
        <v>-7129.248</v>
      </c>
      <c r="AJ253" s="69" t="n">
        <f aca="false">-AJ248*Inputs!$C$56/12*1*(1+Inputs!$C$63)*(1+Inputs!$C$64)^(AJ$134-1)</f>
        <v>-7129.248</v>
      </c>
      <c r="AK253" s="69" t="n">
        <f aca="false">-AK248*Inputs!$C$56/12*1*(1+Inputs!$C$63)*(1+Inputs!$C$64)^(AK$134-1)</f>
        <v>-7129.248</v>
      </c>
      <c r="AL253" s="69" t="n">
        <f aca="false">-AL248*Inputs!$C$56/12*1*(1+Inputs!$C$63)*(1+Inputs!$C$64)^(AL$134-1)</f>
        <v>-7129.248</v>
      </c>
      <c r="AM253" s="69" t="n">
        <f aca="false">-AM248*Inputs!$C$56/12*1*(1+Inputs!$C$63)*(1+Inputs!$C$64)^(AM$134-1)</f>
        <v>-7343.12544</v>
      </c>
      <c r="AN253" s="69" t="n">
        <f aca="false">-AN248*Inputs!$C$56/12*1*(1+Inputs!$C$63)*(1+Inputs!$C$64)^(AN$134-1)</f>
        <v>-7343.12544</v>
      </c>
      <c r="AO253" s="69" t="n">
        <f aca="false">-AO248*Inputs!$C$56/12*1*(1+Inputs!$C$63)*(1+Inputs!$C$64)^(AO$134-1)</f>
        <v>-7343.12544</v>
      </c>
      <c r="AP253" s="69" t="n">
        <f aca="false">-AP248*Inputs!$C$56/12*1*(1+Inputs!$C$63)*(1+Inputs!$C$64)^(AP$134-1)</f>
        <v>-7343.12544</v>
      </c>
      <c r="AQ253" s="69" t="n">
        <f aca="false">-AQ248*Inputs!$C$56/12*1*(1+Inputs!$C$63)*(1+Inputs!$C$64)^(AQ$134-1)</f>
        <v>-7343.12544</v>
      </c>
      <c r="AR253" s="69" t="n">
        <f aca="false">-AR248*Inputs!$C$56/12*1*(1+Inputs!$C$63)*(1+Inputs!$C$64)^(AR$134-1)</f>
        <v>-7343.12544</v>
      </c>
      <c r="AS253" s="69" t="n">
        <f aca="false">-AS248*Inputs!$C$56/12*1*(1+Inputs!$C$63)*(1+Inputs!$C$64)^(AS$134-1)</f>
        <v>-7343.12544</v>
      </c>
      <c r="AT253" s="69" t="n">
        <f aca="false">-AT248*Inputs!$C$56/12*1*(1+Inputs!$C$63)*(1+Inputs!$C$64)^(AT$134-1)</f>
        <v>-7343.12544</v>
      </c>
      <c r="AU253" s="69" t="n">
        <f aca="false">-AU248*Inputs!$C$56/12*1*(1+Inputs!$C$63)*(1+Inputs!$C$64)^(AU$134-1)</f>
        <v>-7343.12544</v>
      </c>
      <c r="AV253" s="69" t="n">
        <f aca="false">-AV248*Inputs!$C$56/12*1*(1+Inputs!$C$63)*(1+Inputs!$C$64)^(AV$134-1)</f>
        <v>-7343.12544</v>
      </c>
      <c r="AW253" s="69" t="n">
        <f aca="false">-AW248*Inputs!$C$56/12*1*(1+Inputs!$C$63)*(1+Inputs!$C$64)^(AW$134-1)</f>
        <v>-7343.12544</v>
      </c>
      <c r="AX253" s="69" t="n">
        <f aca="false">-AX248*Inputs!$C$56/12*1*(1+Inputs!$C$63)*(1+Inputs!$C$64)^(AX$134-1)</f>
        <v>-7343.12544</v>
      </c>
      <c r="AY253" s="69" t="n">
        <f aca="false">-AY248*Inputs!$C$56/12*1*(1+Inputs!$C$63)*(1+Inputs!$C$64)^(AY$134-1)</f>
        <v>-7563.4192032</v>
      </c>
      <c r="AZ253" s="69" t="n">
        <f aca="false">-AZ248*Inputs!$C$56/12*1*(1+Inputs!$C$63)*(1+Inputs!$C$64)^(AZ$134-1)</f>
        <v>-7563.4192032</v>
      </c>
      <c r="BA253" s="69" t="n">
        <f aca="false">-BA248*Inputs!$C$56/12*1*(1+Inputs!$C$63)*(1+Inputs!$C$64)^(BA$134-1)</f>
        <v>-7563.4192032</v>
      </c>
      <c r="BB253" s="69" t="n">
        <f aca="false">-BB248*Inputs!$C$56/12*1*(1+Inputs!$C$63)*(1+Inputs!$C$64)^(BB$134-1)</f>
        <v>-7563.4192032</v>
      </c>
      <c r="BC253" s="69" t="n">
        <f aca="false">-BC248*Inputs!$C$56/12*1*(1+Inputs!$C$63)*(1+Inputs!$C$64)^(BC$134-1)</f>
        <v>-7563.4192032</v>
      </c>
      <c r="BD253" s="69" t="n">
        <f aca="false">-BD248*Inputs!$C$56/12*1*(1+Inputs!$C$63)*(1+Inputs!$C$64)^(BD$134-1)</f>
        <v>-7563.4192032</v>
      </c>
      <c r="BE253" s="69" t="n">
        <f aca="false">-BE248*Inputs!$C$56/12*1*(1+Inputs!$C$63)*(1+Inputs!$C$64)^(BE$134-1)</f>
        <v>-7563.4192032</v>
      </c>
      <c r="BF253" s="69" t="n">
        <f aca="false">-BF248*Inputs!$C$56/12*1*(1+Inputs!$C$63)*(1+Inputs!$C$64)^(BF$134-1)</f>
        <v>-7563.4192032</v>
      </c>
      <c r="BG253" s="69" t="n">
        <f aca="false">-BG248*Inputs!$C$56/12*1*(1+Inputs!$C$63)*(1+Inputs!$C$64)^(BG$134-1)</f>
        <v>-7563.4192032</v>
      </c>
      <c r="BH253" s="69" t="n">
        <f aca="false">-BH248*Inputs!$C$56/12*1*(1+Inputs!$C$63)*(1+Inputs!$C$64)^(BH$134-1)</f>
        <v>-7563.4192032</v>
      </c>
      <c r="BI253" s="69" t="n">
        <f aca="false">-BI248*Inputs!$C$56/12*1*(1+Inputs!$C$63)*(1+Inputs!$C$64)^(BI$134-1)</f>
        <v>-7563.4192032</v>
      </c>
      <c r="BJ253" s="69" t="n">
        <f aca="false">-BJ248*Inputs!$C$56/12*1*(1+Inputs!$C$63)*(1+Inputs!$C$64)^(BJ$134-1)</f>
        <v>-7563.4192032</v>
      </c>
    </row>
    <row r="254" customFormat="false" ht="15" hidden="false" customHeight="false" outlineLevel="0" collapsed="false">
      <c r="A254" s="6" t="s">
        <v>475</v>
      </c>
      <c r="C254" s="69" t="n">
        <f aca="false">-C249*Inputs!$C$60/12*1*(1+Inputs!$C$63)*(1+Inputs!$C$64)^(C$134-1)</f>
        <v>-29866.6666666667</v>
      </c>
      <c r="D254" s="69" t="n">
        <f aca="false">-D249*Inputs!$C$60/12*1*(1+Inputs!$C$63)*(1+Inputs!$C$64)^(D$134-1)</f>
        <v>-29866.6666666667</v>
      </c>
      <c r="E254" s="69" t="n">
        <f aca="false">-E249*Inputs!$C$60/12*1*(1+Inputs!$C$63)*(1+Inputs!$C$64)^(E$134-1)</f>
        <v>-29866.6666666667</v>
      </c>
      <c r="F254" s="69" t="n">
        <f aca="false">-F249*Inputs!$C$60/12*1*(1+Inputs!$C$63)*(1+Inputs!$C$64)^(F$134-1)</f>
        <v>-29866.6666666667</v>
      </c>
      <c r="G254" s="69" t="n">
        <f aca="false">-G249*Inputs!$C$60/12*1*(1+Inputs!$C$63)*(1+Inputs!$C$64)^(G$134-1)</f>
        <v>-29866.6666666667</v>
      </c>
      <c r="H254" s="69" t="n">
        <f aca="false">-H249*Inputs!$C$60/12*1*(1+Inputs!$C$63)*(1+Inputs!$C$64)^(H$134-1)</f>
        <v>-29866.6666666667</v>
      </c>
      <c r="I254" s="69" t="n">
        <f aca="false">-I249*Inputs!$C$60/12*1*(1+Inputs!$C$63)*(1+Inputs!$C$64)^(I$134-1)</f>
        <v>-29866.6666666667</v>
      </c>
      <c r="J254" s="69" t="n">
        <f aca="false">-J249*Inputs!$C$60/12*1*(1+Inputs!$C$63)*(1+Inputs!$C$64)^(J$134-1)</f>
        <v>-29866.6666666667</v>
      </c>
      <c r="K254" s="69" t="n">
        <f aca="false">-K249*Inputs!$C$60/12*1*(1+Inputs!$C$63)*(1+Inputs!$C$64)^(K$134-1)</f>
        <v>-29866.6666666667</v>
      </c>
      <c r="L254" s="69" t="n">
        <f aca="false">-L249*Inputs!$C$60/12*1*(1+Inputs!$C$63)*(1+Inputs!$C$64)^(L$134-1)</f>
        <v>-29866.6666666667</v>
      </c>
      <c r="M254" s="69" t="n">
        <f aca="false">-M249*Inputs!$C$60/12*1*(1+Inputs!$C$63)*(1+Inputs!$C$64)^(M$134-1)</f>
        <v>-29866.6666666667</v>
      </c>
      <c r="N254" s="69" t="n">
        <f aca="false">-N249*Inputs!$C$60/12*1*(1+Inputs!$C$63)*(1+Inputs!$C$64)^(N$134-1)</f>
        <v>-29866.6666666667</v>
      </c>
      <c r="O254" s="69" t="n">
        <f aca="false">-O249*Inputs!$C$60/12*1*(1+Inputs!$C$63)*(1+Inputs!$C$64)^(O$134-1)</f>
        <v>-30762.6666666667</v>
      </c>
      <c r="P254" s="69" t="n">
        <f aca="false">-P249*Inputs!$C$60/12*1*(1+Inputs!$C$63)*(1+Inputs!$C$64)^(P$134-1)</f>
        <v>-30762.6666666667</v>
      </c>
      <c r="Q254" s="69" t="n">
        <f aca="false">-Q249*Inputs!$C$60/12*1*(1+Inputs!$C$63)*(1+Inputs!$C$64)^(Q$134-1)</f>
        <v>-30762.6666666667</v>
      </c>
      <c r="R254" s="69" t="n">
        <f aca="false">-R249*Inputs!$C$60/12*1*(1+Inputs!$C$63)*(1+Inputs!$C$64)^(R$134-1)</f>
        <v>-30762.6666666667</v>
      </c>
      <c r="S254" s="69" t="n">
        <f aca="false">-S249*Inputs!$C$60/12*1*(1+Inputs!$C$63)*(1+Inputs!$C$64)^(S$134-1)</f>
        <v>-30762.6666666667</v>
      </c>
      <c r="T254" s="69" t="n">
        <f aca="false">-T249*Inputs!$C$60/12*1*(1+Inputs!$C$63)*(1+Inputs!$C$64)^(T$134-1)</f>
        <v>-30762.6666666667</v>
      </c>
      <c r="U254" s="69" t="n">
        <f aca="false">-U249*Inputs!$C$60/12*1*(1+Inputs!$C$63)*(1+Inputs!$C$64)^(U$134-1)</f>
        <v>-30762.6666666667</v>
      </c>
      <c r="V254" s="69" t="n">
        <f aca="false">-V249*Inputs!$C$60/12*1*(1+Inputs!$C$63)*(1+Inputs!$C$64)^(V$134-1)</f>
        <v>-30762.6666666667</v>
      </c>
      <c r="W254" s="69" t="n">
        <f aca="false">-W249*Inputs!$C$60/12*1*(1+Inputs!$C$63)*(1+Inputs!$C$64)^(W$134-1)</f>
        <v>-30762.6666666667</v>
      </c>
      <c r="X254" s="69" t="n">
        <f aca="false">-X249*Inputs!$C$60/12*1*(1+Inputs!$C$63)*(1+Inputs!$C$64)^(X$134-1)</f>
        <v>-30762.6666666667</v>
      </c>
      <c r="Y254" s="69" t="n">
        <f aca="false">-Y249*Inputs!$C$60/12*1*(1+Inputs!$C$63)*(1+Inputs!$C$64)^(Y$134-1)</f>
        <v>-30762.6666666667</v>
      </c>
      <c r="Z254" s="69" t="n">
        <f aca="false">-Z249*Inputs!$C$60/12*1*(1+Inputs!$C$63)*(1+Inputs!$C$64)^(Z$134-1)</f>
        <v>-30762.6666666667</v>
      </c>
      <c r="AA254" s="69" t="n">
        <f aca="false">-AA249*Inputs!$C$60/12*1*(1+Inputs!$C$63)*(1+Inputs!$C$64)^(AA$134-1)</f>
        <v>-31685.5466666667</v>
      </c>
      <c r="AB254" s="69" t="n">
        <f aca="false">-AB249*Inputs!$C$60/12*1*(1+Inputs!$C$63)*(1+Inputs!$C$64)^(AB$134-1)</f>
        <v>-31685.5466666667</v>
      </c>
      <c r="AC254" s="69" t="n">
        <f aca="false">-AC249*Inputs!$C$60/12*1*(1+Inputs!$C$63)*(1+Inputs!$C$64)^(AC$134-1)</f>
        <v>-31685.5466666667</v>
      </c>
      <c r="AD254" s="69" t="n">
        <f aca="false">-AD249*Inputs!$C$60/12*1*(1+Inputs!$C$63)*(1+Inputs!$C$64)^(AD$134-1)</f>
        <v>-31685.5466666667</v>
      </c>
      <c r="AE254" s="69" t="n">
        <f aca="false">-AE249*Inputs!$C$60/12*1*(1+Inputs!$C$63)*(1+Inputs!$C$64)^(AE$134-1)</f>
        <v>-31685.5466666667</v>
      </c>
      <c r="AF254" s="69" t="n">
        <f aca="false">-AF249*Inputs!$C$60/12*1*(1+Inputs!$C$63)*(1+Inputs!$C$64)^(AF$134-1)</f>
        <v>-31685.5466666667</v>
      </c>
      <c r="AG254" s="69" t="n">
        <f aca="false">-AG249*Inputs!$C$60/12*1*(1+Inputs!$C$63)*(1+Inputs!$C$64)^(AG$134-1)</f>
        <v>-31685.5466666667</v>
      </c>
      <c r="AH254" s="69" t="n">
        <f aca="false">-AH249*Inputs!$C$60/12*1*(1+Inputs!$C$63)*(1+Inputs!$C$64)^(AH$134-1)</f>
        <v>-31685.5466666667</v>
      </c>
      <c r="AI254" s="69" t="n">
        <f aca="false">-AI249*Inputs!$C$60/12*1*(1+Inputs!$C$63)*(1+Inputs!$C$64)^(AI$134-1)</f>
        <v>-31685.5466666667</v>
      </c>
      <c r="AJ254" s="69" t="n">
        <f aca="false">-AJ249*Inputs!$C$60/12*1*(1+Inputs!$C$63)*(1+Inputs!$C$64)^(AJ$134-1)</f>
        <v>-31685.5466666667</v>
      </c>
      <c r="AK254" s="69" t="n">
        <f aca="false">-AK249*Inputs!$C$60/12*1*(1+Inputs!$C$63)*(1+Inputs!$C$64)^(AK$134-1)</f>
        <v>-31685.5466666667</v>
      </c>
      <c r="AL254" s="69" t="n">
        <f aca="false">-AL249*Inputs!$C$60/12*1*(1+Inputs!$C$63)*(1+Inputs!$C$64)^(AL$134-1)</f>
        <v>-31685.5466666667</v>
      </c>
      <c r="AM254" s="69" t="n">
        <f aca="false">-AM249*Inputs!$C$60/12*1*(1+Inputs!$C$63)*(1+Inputs!$C$64)^(AM$134-1)</f>
        <v>-32636.1130666667</v>
      </c>
      <c r="AN254" s="69" t="n">
        <f aca="false">-AN249*Inputs!$C$60/12*1*(1+Inputs!$C$63)*(1+Inputs!$C$64)^(AN$134-1)</f>
        <v>-32636.1130666667</v>
      </c>
      <c r="AO254" s="69" t="n">
        <f aca="false">-AO249*Inputs!$C$60/12*1*(1+Inputs!$C$63)*(1+Inputs!$C$64)^(AO$134-1)</f>
        <v>-32636.1130666667</v>
      </c>
      <c r="AP254" s="69" t="n">
        <f aca="false">-AP249*Inputs!$C$60/12*1*(1+Inputs!$C$63)*(1+Inputs!$C$64)^(AP$134-1)</f>
        <v>-32636.1130666667</v>
      </c>
      <c r="AQ254" s="69" t="n">
        <f aca="false">-AQ249*Inputs!$C$60/12*1*(1+Inputs!$C$63)*(1+Inputs!$C$64)^(AQ$134-1)</f>
        <v>-32636.1130666667</v>
      </c>
      <c r="AR254" s="69" t="n">
        <f aca="false">-AR249*Inputs!$C$60/12*1*(1+Inputs!$C$63)*(1+Inputs!$C$64)^(AR$134-1)</f>
        <v>-32636.1130666667</v>
      </c>
      <c r="AS254" s="69" t="n">
        <f aca="false">-AS249*Inputs!$C$60/12*1*(1+Inputs!$C$63)*(1+Inputs!$C$64)^(AS$134-1)</f>
        <v>-32636.1130666667</v>
      </c>
      <c r="AT254" s="69" t="n">
        <f aca="false">-AT249*Inputs!$C$60/12*1*(1+Inputs!$C$63)*(1+Inputs!$C$64)^(AT$134-1)</f>
        <v>-32636.1130666667</v>
      </c>
      <c r="AU254" s="69" t="n">
        <f aca="false">-AU249*Inputs!$C$60/12*1*(1+Inputs!$C$63)*(1+Inputs!$C$64)^(AU$134-1)</f>
        <v>-32636.1130666667</v>
      </c>
      <c r="AV254" s="69" t="n">
        <f aca="false">-AV249*Inputs!$C$60/12*1*(1+Inputs!$C$63)*(1+Inputs!$C$64)^(AV$134-1)</f>
        <v>-32636.1130666667</v>
      </c>
      <c r="AW254" s="69" t="n">
        <f aca="false">-AW249*Inputs!$C$60/12*1*(1+Inputs!$C$63)*(1+Inputs!$C$64)^(AW$134-1)</f>
        <v>-32636.1130666667</v>
      </c>
      <c r="AX254" s="69" t="n">
        <f aca="false">-AX249*Inputs!$C$60/12*1*(1+Inputs!$C$63)*(1+Inputs!$C$64)^(AX$134-1)</f>
        <v>-32636.1130666667</v>
      </c>
      <c r="AY254" s="69" t="n">
        <f aca="false">-AY249*Inputs!$C$60/12*1*(1+Inputs!$C$63)*(1+Inputs!$C$64)^(AY$134-1)</f>
        <v>-33615.1964586667</v>
      </c>
      <c r="AZ254" s="69" t="n">
        <f aca="false">-AZ249*Inputs!$C$60/12*1*(1+Inputs!$C$63)*(1+Inputs!$C$64)^(AZ$134-1)</f>
        <v>-33615.1964586667</v>
      </c>
      <c r="BA254" s="69" t="n">
        <f aca="false">-BA249*Inputs!$C$60/12*1*(1+Inputs!$C$63)*(1+Inputs!$C$64)^(BA$134-1)</f>
        <v>-33615.1964586667</v>
      </c>
      <c r="BB254" s="69" t="n">
        <f aca="false">-BB249*Inputs!$C$60/12*1*(1+Inputs!$C$63)*(1+Inputs!$C$64)^(BB$134-1)</f>
        <v>-33615.1964586667</v>
      </c>
      <c r="BC254" s="69" t="n">
        <f aca="false">-BC249*Inputs!$C$60/12*1*(1+Inputs!$C$63)*(1+Inputs!$C$64)^(BC$134-1)</f>
        <v>-33615.1964586667</v>
      </c>
      <c r="BD254" s="69" t="n">
        <f aca="false">-BD249*Inputs!$C$60/12*1*(1+Inputs!$C$63)*(1+Inputs!$C$64)^(BD$134-1)</f>
        <v>-33615.1964586667</v>
      </c>
      <c r="BE254" s="69" t="n">
        <f aca="false">-BE249*Inputs!$C$60/12*1*(1+Inputs!$C$63)*(1+Inputs!$C$64)^(BE$134-1)</f>
        <v>-33615.1964586667</v>
      </c>
      <c r="BF254" s="69" t="n">
        <f aca="false">-BF249*Inputs!$C$60/12*1*(1+Inputs!$C$63)*(1+Inputs!$C$64)^(BF$134-1)</f>
        <v>-33615.1964586667</v>
      </c>
      <c r="BG254" s="69" t="n">
        <f aca="false">-BG249*Inputs!$C$60/12*1*(1+Inputs!$C$63)*(1+Inputs!$C$64)^(BG$134-1)</f>
        <v>-33615.1964586667</v>
      </c>
      <c r="BH254" s="69" t="n">
        <f aca="false">-BH249*Inputs!$C$60/12*1*(1+Inputs!$C$63)*(1+Inputs!$C$64)^(BH$134-1)</f>
        <v>-33615.1964586667</v>
      </c>
      <c r="BI254" s="69" t="n">
        <f aca="false">-BI249*Inputs!$C$60/12*1*(1+Inputs!$C$63)*(1+Inputs!$C$64)^(BI$134-1)</f>
        <v>-33615.1964586667</v>
      </c>
      <c r="BJ254" s="69" t="n">
        <f aca="false">-BJ249*Inputs!$C$60/12*1*(1+Inputs!$C$63)*(1+Inputs!$C$64)^(BJ$134-1)</f>
        <v>-33615.1964586667</v>
      </c>
    </row>
    <row r="255" customFormat="false" ht="15" hidden="false" customHeight="false" outlineLevel="0" collapsed="false">
      <c r="A255" s="113" t="s">
        <v>476</v>
      </c>
      <c r="C255" s="70" t="n">
        <f aca="false">C253+C254</f>
        <v>-36586.6666666667</v>
      </c>
      <c r="D255" s="70" t="n">
        <f aca="false">D253+D254</f>
        <v>-36586.6666666667</v>
      </c>
      <c r="E255" s="70" t="n">
        <f aca="false">E253+E254</f>
        <v>-36586.6666666667</v>
      </c>
      <c r="F255" s="70" t="n">
        <f aca="false">F253+F254</f>
        <v>-36586.6666666667</v>
      </c>
      <c r="G255" s="70" t="n">
        <f aca="false">G253+G254</f>
        <v>-36586.6666666667</v>
      </c>
      <c r="H255" s="70" t="n">
        <f aca="false">H253+H254</f>
        <v>-36586.6666666667</v>
      </c>
      <c r="I255" s="70" t="n">
        <f aca="false">I253+I254</f>
        <v>-36586.6666666667</v>
      </c>
      <c r="J255" s="70" t="n">
        <f aca="false">J253+J254</f>
        <v>-36586.6666666667</v>
      </c>
      <c r="K255" s="70" t="n">
        <f aca="false">K253+K254</f>
        <v>-36586.6666666667</v>
      </c>
      <c r="L255" s="70" t="n">
        <f aca="false">L253+L254</f>
        <v>-36586.6666666667</v>
      </c>
      <c r="M255" s="70" t="n">
        <f aca="false">M253+M254</f>
        <v>-36586.6666666667</v>
      </c>
      <c r="N255" s="70" t="n">
        <f aca="false">N253+N254</f>
        <v>-36586.6666666667</v>
      </c>
      <c r="O255" s="70" t="n">
        <f aca="false">O253+O254</f>
        <v>-37684.2666666667</v>
      </c>
      <c r="P255" s="70" t="n">
        <f aca="false">P253+P254</f>
        <v>-37684.2666666667</v>
      </c>
      <c r="Q255" s="70" t="n">
        <f aca="false">Q253+Q254</f>
        <v>-37684.2666666667</v>
      </c>
      <c r="R255" s="70" t="n">
        <f aca="false">R253+R254</f>
        <v>-37684.2666666667</v>
      </c>
      <c r="S255" s="70" t="n">
        <f aca="false">S253+S254</f>
        <v>-37684.2666666667</v>
      </c>
      <c r="T255" s="70" t="n">
        <f aca="false">T253+T254</f>
        <v>-37684.2666666667</v>
      </c>
      <c r="U255" s="70" t="n">
        <f aca="false">U253+U254</f>
        <v>-37684.2666666667</v>
      </c>
      <c r="V255" s="70" t="n">
        <f aca="false">V253+V254</f>
        <v>-37684.2666666667</v>
      </c>
      <c r="W255" s="70" t="n">
        <f aca="false">W253+W254</f>
        <v>-37684.2666666667</v>
      </c>
      <c r="X255" s="70" t="n">
        <f aca="false">X253+X254</f>
        <v>-37684.2666666667</v>
      </c>
      <c r="Y255" s="70" t="n">
        <f aca="false">Y253+Y254</f>
        <v>-37684.2666666667</v>
      </c>
      <c r="Z255" s="70" t="n">
        <f aca="false">Z253+Z254</f>
        <v>-37684.2666666667</v>
      </c>
      <c r="AA255" s="70" t="n">
        <f aca="false">AA253+AA254</f>
        <v>-38814.7946666667</v>
      </c>
      <c r="AB255" s="70" t="n">
        <f aca="false">AB253+AB254</f>
        <v>-38814.7946666667</v>
      </c>
      <c r="AC255" s="70" t="n">
        <f aca="false">AC253+AC254</f>
        <v>-38814.7946666667</v>
      </c>
      <c r="AD255" s="70" t="n">
        <f aca="false">AD253+AD254</f>
        <v>-38814.7946666667</v>
      </c>
      <c r="AE255" s="70" t="n">
        <f aca="false">AE253+AE254</f>
        <v>-38814.7946666667</v>
      </c>
      <c r="AF255" s="70" t="n">
        <f aca="false">AF253+AF254</f>
        <v>-38814.7946666667</v>
      </c>
      <c r="AG255" s="70" t="n">
        <f aca="false">AG253+AG254</f>
        <v>-38814.7946666667</v>
      </c>
      <c r="AH255" s="70" t="n">
        <f aca="false">AH253+AH254</f>
        <v>-38814.7946666667</v>
      </c>
      <c r="AI255" s="70" t="n">
        <f aca="false">AI253+AI254</f>
        <v>-38814.7946666667</v>
      </c>
      <c r="AJ255" s="70" t="n">
        <f aca="false">AJ253+AJ254</f>
        <v>-38814.7946666667</v>
      </c>
      <c r="AK255" s="70" t="n">
        <f aca="false">AK253+AK254</f>
        <v>-38814.7946666667</v>
      </c>
      <c r="AL255" s="70" t="n">
        <f aca="false">AL253+AL254</f>
        <v>-38814.7946666667</v>
      </c>
      <c r="AM255" s="70" t="n">
        <f aca="false">AM253+AM254</f>
        <v>-39979.2385066667</v>
      </c>
      <c r="AN255" s="70" t="n">
        <f aca="false">AN253+AN254</f>
        <v>-39979.2385066667</v>
      </c>
      <c r="AO255" s="70" t="n">
        <f aca="false">AO253+AO254</f>
        <v>-39979.2385066667</v>
      </c>
      <c r="AP255" s="70" t="n">
        <f aca="false">AP253+AP254</f>
        <v>-39979.2385066667</v>
      </c>
      <c r="AQ255" s="70" t="n">
        <f aca="false">AQ253+AQ254</f>
        <v>-39979.2385066667</v>
      </c>
      <c r="AR255" s="70" t="n">
        <f aca="false">AR253+AR254</f>
        <v>-39979.2385066667</v>
      </c>
      <c r="AS255" s="70" t="n">
        <f aca="false">AS253+AS254</f>
        <v>-39979.2385066667</v>
      </c>
      <c r="AT255" s="70" t="n">
        <f aca="false">AT253+AT254</f>
        <v>-39979.2385066667</v>
      </c>
      <c r="AU255" s="70" t="n">
        <f aca="false">AU253+AU254</f>
        <v>-39979.2385066667</v>
      </c>
      <c r="AV255" s="70" t="n">
        <f aca="false">AV253+AV254</f>
        <v>-39979.2385066667</v>
      </c>
      <c r="AW255" s="70" t="n">
        <f aca="false">AW253+AW254</f>
        <v>-39979.2385066667</v>
      </c>
      <c r="AX255" s="70" t="n">
        <f aca="false">AX253+AX254</f>
        <v>-39979.2385066667</v>
      </c>
      <c r="AY255" s="70" t="n">
        <f aca="false">AY253+AY254</f>
        <v>-41178.6156618667</v>
      </c>
      <c r="AZ255" s="70" t="n">
        <f aca="false">AZ253+AZ254</f>
        <v>-41178.6156618667</v>
      </c>
      <c r="BA255" s="70" t="n">
        <f aca="false">BA253+BA254</f>
        <v>-41178.6156618667</v>
      </c>
      <c r="BB255" s="70" t="n">
        <f aca="false">BB253+BB254</f>
        <v>-41178.6156618667</v>
      </c>
      <c r="BC255" s="70" t="n">
        <f aca="false">BC253+BC254</f>
        <v>-41178.6156618667</v>
      </c>
      <c r="BD255" s="70" t="n">
        <f aca="false">BD253+BD254</f>
        <v>-41178.6156618667</v>
      </c>
      <c r="BE255" s="70" t="n">
        <f aca="false">BE253+BE254</f>
        <v>-41178.6156618667</v>
      </c>
      <c r="BF255" s="70" t="n">
        <f aca="false">BF253+BF254</f>
        <v>-41178.6156618667</v>
      </c>
      <c r="BG255" s="70" t="n">
        <f aca="false">BG253+BG254</f>
        <v>-41178.6156618667</v>
      </c>
      <c r="BH255" s="70" t="n">
        <f aca="false">BH253+BH254</f>
        <v>-41178.6156618667</v>
      </c>
      <c r="BI255" s="70" t="n">
        <f aca="false">BI253+BI254</f>
        <v>-41178.6156618667</v>
      </c>
      <c r="BJ255" s="70" t="n">
        <f aca="false">BJ253+BJ254</f>
        <v>-41178.6156618667</v>
      </c>
    </row>
    <row r="258" customFormat="false" ht="15.75" hidden="false" customHeight="true" outlineLevel="0" collapsed="false">
      <c r="A258" s="7" t="s">
        <v>481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</row>
    <row r="259" customFormat="false" ht="15" hidden="false" customHeight="false" outlineLevel="0" collapsed="false">
      <c r="A259" s="33" t="s">
        <v>353</v>
      </c>
      <c r="C259" s="52" t="s">
        <v>354</v>
      </c>
      <c r="D259" s="52" t="s">
        <v>355</v>
      </c>
      <c r="E259" s="52" t="s">
        <v>356</v>
      </c>
      <c r="F259" s="52" t="s">
        <v>357</v>
      </c>
      <c r="G259" s="52" t="s">
        <v>358</v>
      </c>
      <c r="H259" s="52" t="s">
        <v>359</v>
      </c>
      <c r="I259" s="52" t="s">
        <v>360</v>
      </c>
      <c r="J259" s="52" t="s">
        <v>361</v>
      </c>
      <c r="K259" s="52" t="s">
        <v>362</v>
      </c>
      <c r="L259" s="52" t="s">
        <v>363</v>
      </c>
      <c r="M259" s="52" t="s">
        <v>364</v>
      </c>
      <c r="N259" s="52" t="s">
        <v>365</v>
      </c>
      <c r="O259" s="52" t="s">
        <v>366</v>
      </c>
      <c r="P259" s="52" t="s">
        <v>367</v>
      </c>
      <c r="Q259" s="52" t="s">
        <v>368</v>
      </c>
      <c r="R259" s="52" t="s">
        <v>369</v>
      </c>
      <c r="S259" s="52" t="s">
        <v>370</v>
      </c>
      <c r="T259" s="52" t="s">
        <v>371</v>
      </c>
      <c r="U259" s="52" t="s">
        <v>372</v>
      </c>
      <c r="V259" s="52" t="s">
        <v>373</v>
      </c>
      <c r="W259" s="52" t="s">
        <v>374</v>
      </c>
      <c r="X259" s="52" t="s">
        <v>375</v>
      </c>
      <c r="Y259" s="52" t="s">
        <v>376</v>
      </c>
      <c r="Z259" s="52" t="s">
        <v>377</v>
      </c>
      <c r="AA259" s="52" t="s">
        <v>378</v>
      </c>
      <c r="AB259" s="52" t="s">
        <v>379</v>
      </c>
      <c r="AC259" s="52" t="s">
        <v>380</v>
      </c>
      <c r="AD259" s="52" t="s">
        <v>381</v>
      </c>
      <c r="AE259" s="52" t="s">
        <v>382</v>
      </c>
      <c r="AF259" s="52" t="s">
        <v>383</v>
      </c>
      <c r="AG259" s="52" t="s">
        <v>384</v>
      </c>
      <c r="AH259" s="52" t="s">
        <v>385</v>
      </c>
      <c r="AI259" s="52" t="s">
        <v>386</v>
      </c>
      <c r="AJ259" s="52" t="s">
        <v>387</v>
      </c>
      <c r="AK259" s="52" t="s">
        <v>388</v>
      </c>
      <c r="AL259" s="52" t="s">
        <v>389</v>
      </c>
      <c r="AM259" s="52" t="s">
        <v>390</v>
      </c>
      <c r="AN259" s="52" t="s">
        <v>391</v>
      </c>
      <c r="AO259" s="52" t="s">
        <v>392</v>
      </c>
      <c r="AP259" s="52" t="s">
        <v>393</v>
      </c>
      <c r="AQ259" s="52" t="s">
        <v>394</v>
      </c>
      <c r="AR259" s="52" t="s">
        <v>395</v>
      </c>
      <c r="AS259" s="52" t="s">
        <v>396</v>
      </c>
      <c r="AT259" s="52" t="s">
        <v>397</v>
      </c>
      <c r="AU259" s="52" t="s">
        <v>398</v>
      </c>
      <c r="AV259" s="52" t="s">
        <v>399</v>
      </c>
      <c r="AW259" s="52" t="s">
        <v>400</v>
      </c>
      <c r="AX259" s="52" t="s">
        <v>401</v>
      </c>
      <c r="AY259" s="52" t="s">
        <v>402</v>
      </c>
      <c r="AZ259" s="52" t="s">
        <v>403</v>
      </c>
      <c r="BA259" s="52" t="s">
        <v>404</v>
      </c>
      <c r="BB259" s="52" t="s">
        <v>405</v>
      </c>
      <c r="BC259" s="52" t="s">
        <v>406</v>
      </c>
      <c r="BD259" s="52" t="s">
        <v>407</v>
      </c>
      <c r="BE259" s="52" t="s">
        <v>408</v>
      </c>
      <c r="BF259" s="52" t="s">
        <v>409</v>
      </c>
      <c r="BG259" s="52" t="s">
        <v>410</v>
      </c>
      <c r="BH259" s="52" t="s">
        <v>411</v>
      </c>
      <c r="BI259" s="52" t="s">
        <v>412</v>
      </c>
      <c r="BJ259" s="52" t="s">
        <v>413</v>
      </c>
    </row>
    <row r="260" customFormat="false" ht="15" hidden="false" customHeight="false" outlineLevel="0" collapsed="false">
      <c r="A260" s="74" t="s">
        <v>414</v>
      </c>
      <c r="C260" s="74" t="n">
        <v>1</v>
      </c>
      <c r="D260" s="74" t="n">
        <v>2</v>
      </c>
      <c r="E260" s="74" t="n">
        <v>3</v>
      </c>
      <c r="F260" s="74" t="n">
        <v>4</v>
      </c>
      <c r="G260" s="74" t="n">
        <v>5</v>
      </c>
      <c r="H260" s="74" t="n">
        <v>6</v>
      </c>
      <c r="I260" s="74" t="n">
        <v>7</v>
      </c>
      <c r="J260" s="74" t="n">
        <v>8</v>
      </c>
      <c r="K260" s="74" t="n">
        <v>9</v>
      </c>
      <c r="L260" s="74" t="n">
        <v>10</v>
      </c>
      <c r="M260" s="74" t="n">
        <v>11</v>
      </c>
      <c r="N260" s="74" t="n">
        <v>12</v>
      </c>
      <c r="O260" s="74" t="n">
        <v>13</v>
      </c>
      <c r="P260" s="74" t="n">
        <v>14</v>
      </c>
      <c r="Q260" s="74" t="n">
        <v>15</v>
      </c>
      <c r="R260" s="74" t="n">
        <v>16</v>
      </c>
      <c r="S260" s="74" t="n">
        <v>17</v>
      </c>
      <c r="T260" s="74" t="n">
        <v>18</v>
      </c>
      <c r="U260" s="74" t="n">
        <v>19</v>
      </c>
      <c r="V260" s="74" t="n">
        <v>20</v>
      </c>
      <c r="W260" s="74" t="n">
        <v>21</v>
      </c>
      <c r="X260" s="74" t="n">
        <v>22</v>
      </c>
      <c r="Y260" s="74" t="n">
        <v>23</v>
      </c>
      <c r="Z260" s="74" t="n">
        <v>24</v>
      </c>
      <c r="AA260" s="74" t="n">
        <v>25</v>
      </c>
      <c r="AB260" s="74" t="n">
        <v>26</v>
      </c>
      <c r="AC260" s="74" t="n">
        <v>27</v>
      </c>
      <c r="AD260" s="74" t="n">
        <v>28</v>
      </c>
      <c r="AE260" s="74" t="n">
        <v>29</v>
      </c>
      <c r="AF260" s="74" t="n">
        <v>30</v>
      </c>
      <c r="AG260" s="74" t="n">
        <v>31</v>
      </c>
      <c r="AH260" s="74" t="n">
        <v>32</v>
      </c>
      <c r="AI260" s="74" t="n">
        <v>33</v>
      </c>
      <c r="AJ260" s="74" t="n">
        <v>34</v>
      </c>
      <c r="AK260" s="74" t="n">
        <v>35</v>
      </c>
      <c r="AL260" s="74" t="n">
        <v>36</v>
      </c>
      <c r="AM260" s="74" t="n">
        <v>37</v>
      </c>
      <c r="AN260" s="74" t="n">
        <v>38</v>
      </c>
      <c r="AO260" s="74" t="n">
        <v>39</v>
      </c>
      <c r="AP260" s="74" t="n">
        <v>40</v>
      </c>
      <c r="AQ260" s="74" t="n">
        <v>41</v>
      </c>
      <c r="AR260" s="74" t="n">
        <v>42</v>
      </c>
      <c r="AS260" s="74" t="n">
        <v>43</v>
      </c>
      <c r="AT260" s="74" t="n">
        <v>44</v>
      </c>
      <c r="AU260" s="74" t="n">
        <v>45</v>
      </c>
      <c r="AV260" s="74" t="n">
        <v>46</v>
      </c>
      <c r="AW260" s="74" t="n">
        <v>47</v>
      </c>
      <c r="AX260" s="74" t="n">
        <v>48</v>
      </c>
      <c r="AY260" s="74" t="n">
        <v>49</v>
      </c>
      <c r="AZ260" s="74" t="n">
        <v>50</v>
      </c>
      <c r="BA260" s="74" t="n">
        <v>51</v>
      </c>
      <c r="BB260" s="74" t="n">
        <v>52</v>
      </c>
      <c r="BC260" s="74" t="n">
        <v>53</v>
      </c>
      <c r="BD260" s="74" t="n">
        <v>54</v>
      </c>
      <c r="BE260" s="74" t="n">
        <v>55</v>
      </c>
      <c r="BF260" s="74" t="n">
        <v>56</v>
      </c>
      <c r="BG260" s="74" t="n">
        <v>57</v>
      </c>
      <c r="BH260" s="74" t="n">
        <v>58</v>
      </c>
      <c r="BI260" s="74" t="n">
        <v>59</v>
      </c>
      <c r="BJ260" s="74" t="n">
        <v>60</v>
      </c>
    </row>
    <row r="261" customFormat="false" ht="15" hidden="false" customHeight="false" outlineLevel="0" collapsed="false">
      <c r="A261" s="74" t="s">
        <v>155</v>
      </c>
      <c r="C261" s="74" t="n">
        <f aca="false">ROUNDUP(C260*1/12,0)</f>
        <v>1</v>
      </c>
      <c r="D261" s="74" t="n">
        <f aca="false">ROUNDUP(D260*1/12,0)</f>
        <v>1</v>
      </c>
      <c r="E261" s="74" t="n">
        <f aca="false">ROUNDUP(E260*1/12,0)</f>
        <v>1</v>
      </c>
      <c r="F261" s="74" t="n">
        <f aca="false">ROUNDUP(F260*1/12,0)</f>
        <v>1</v>
      </c>
      <c r="G261" s="74" t="n">
        <f aca="false">ROUNDUP(G260*1/12,0)</f>
        <v>1</v>
      </c>
      <c r="H261" s="74" t="n">
        <f aca="false">ROUNDUP(H260*1/12,0)</f>
        <v>1</v>
      </c>
      <c r="I261" s="74" t="n">
        <f aca="false">ROUNDUP(I260*1/12,0)</f>
        <v>1</v>
      </c>
      <c r="J261" s="74" t="n">
        <f aca="false">ROUNDUP(J260*1/12,0)</f>
        <v>1</v>
      </c>
      <c r="K261" s="74" t="n">
        <f aca="false">ROUNDUP(K260*1/12,0)</f>
        <v>1</v>
      </c>
      <c r="L261" s="74" t="n">
        <f aca="false">ROUNDUP(L260*1/12,0)</f>
        <v>1</v>
      </c>
      <c r="M261" s="74" t="n">
        <f aca="false">ROUNDUP(M260*1/12,0)</f>
        <v>1</v>
      </c>
      <c r="N261" s="74" t="n">
        <f aca="false">ROUNDUP(N260*1/12,0)</f>
        <v>1</v>
      </c>
      <c r="O261" s="74" t="n">
        <f aca="false">ROUNDUP(O260*1/12,0)</f>
        <v>2</v>
      </c>
      <c r="P261" s="74" t="n">
        <f aca="false">ROUNDUP(P260*1/12,0)</f>
        <v>2</v>
      </c>
      <c r="Q261" s="74" t="n">
        <f aca="false">ROUNDUP(Q260*1/12,0)</f>
        <v>2</v>
      </c>
      <c r="R261" s="74" t="n">
        <f aca="false">ROUNDUP(R260*1/12,0)</f>
        <v>2</v>
      </c>
      <c r="S261" s="74" t="n">
        <f aca="false">ROUNDUP(S260*1/12,0)</f>
        <v>2</v>
      </c>
      <c r="T261" s="74" t="n">
        <f aca="false">ROUNDUP(T260*1/12,0)</f>
        <v>2</v>
      </c>
      <c r="U261" s="74" t="n">
        <f aca="false">ROUNDUP(U260*1/12,0)</f>
        <v>2</v>
      </c>
      <c r="V261" s="74" t="n">
        <f aca="false">ROUNDUP(V260*1/12,0)</f>
        <v>2</v>
      </c>
      <c r="W261" s="74" t="n">
        <f aca="false">ROUNDUP(W260*1/12,0)</f>
        <v>2</v>
      </c>
      <c r="X261" s="74" t="n">
        <f aca="false">ROUNDUP(X260*1/12,0)</f>
        <v>2</v>
      </c>
      <c r="Y261" s="74" t="n">
        <f aca="false">ROUNDUP(Y260*1/12,0)</f>
        <v>2</v>
      </c>
      <c r="Z261" s="74" t="n">
        <f aca="false">ROUNDUP(Z260*1/12,0)</f>
        <v>2</v>
      </c>
      <c r="AA261" s="74" t="n">
        <f aca="false">ROUNDUP(AA260*1/12,0)</f>
        <v>3</v>
      </c>
      <c r="AB261" s="74" t="n">
        <f aca="false">ROUNDUP(AB260*1/12,0)</f>
        <v>3</v>
      </c>
      <c r="AC261" s="74" t="n">
        <f aca="false">ROUNDUP(AC260*1/12,0)</f>
        <v>3</v>
      </c>
      <c r="AD261" s="74" t="n">
        <f aca="false">ROUNDUP(AD260*1/12,0)</f>
        <v>3</v>
      </c>
      <c r="AE261" s="74" t="n">
        <f aca="false">ROUNDUP(AE260*1/12,0)</f>
        <v>3</v>
      </c>
      <c r="AF261" s="74" t="n">
        <f aca="false">ROUNDUP(AF260*1/12,0)</f>
        <v>3</v>
      </c>
      <c r="AG261" s="74" t="n">
        <f aca="false">ROUNDUP(AG260*1/12,0)</f>
        <v>3</v>
      </c>
      <c r="AH261" s="74" t="n">
        <f aca="false">ROUNDUP(AH260*1/12,0)</f>
        <v>3</v>
      </c>
      <c r="AI261" s="74" t="n">
        <f aca="false">ROUNDUP(AI260*1/12,0)</f>
        <v>3</v>
      </c>
      <c r="AJ261" s="74" t="n">
        <f aca="false">ROUNDUP(AJ260*1/12,0)</f>
        <v>3</v>
      </c>
      <c r="AK261" s="74" t="n">
        <f aca="false">ROUNDUP(AK260*1/12,0)</f>
        <v>3</v>
      </c>
      <c r="AL261" s="74" t="n">
        <f aca="false">ROUNDUP(AL260*1/12,0)</f>
        <v>3</v>
      </c>
      <c r="AM261" s="74" t="n">
        <f aca="false">ROUNDUP(AM260*1/12,0)</f>
        <v>4</v>
      </c>
      <c r="AN261" s="74" t="n">
        <f aca="false">ROUNDUP(AN260*1/12,0)</f>
        <v>4</v>
      </c>
      <c r="AO261" s="74" t="n">
        <f aca="false">ROUNDUP(AO260*1/12,0)</f>
        <v>4</v>
      </c>
      <c r="AP261" s="74" t="n">
        <f aca="false">ROUNDUP(AP260*1/12,0)</f>
        <v>4</v>
      </c>
      <c r="AQ261" s="74" t="n">
        <f aca="false">ROUNDUP(AQ260*1/12,0)</f>
        <v>4</v>
      </c>
      <c r="AR261" s="74" t="n">
        <f aca="false">ROUNDUP(AR260*1/12,0)</f>
        <v>4</v>
      </c>
      <c r="AS261" s="74" t="n">
        <f aca="false">ROUNDUP(AS260*1/12,0)</f>
        <v>4</v>
      </c>
      <c r="AT261" s="74" t="n">
        <f aca="false">ROUNDUP(AT260*1/12,0)</f>
        <v>4</v>
      </c>
      <c r="AU261" s="74" t="n">
        <f aca="false">ROUNDUP(AU260*1/12,0)</f>
        <v>4</v>
      </c>
      <c r="AV261" s="74" t="n">
        <f aca="false">ROUNDUP(AV260*1/12,0)</f>
        <v>4</v>
      </c>
      <c r="AW261" s="74" t="n">
        <f aca="false">ROUNDUP(AW260*1/12,0)</f>
        <v>4</v>
      </c>
      <c r="AX261" s="74" t="n">
        <f aca="false">ROUNDUP(AX260*1/12,0)</f>
        <v>4</v>
      </c>
      <c r="AY261" s="74" t="n">
        <f aca="false">ROUNDUP(AY260*1/12,0)</f>
        <v>5</v>
      </c>
      <c r="AZ261" s="74" t="n">
        <f aca="false">ROUNDUP(AZ260*1/12,0)</f>
        <v>5</v>
      </c>
      <c r="BA261" s="74" t="n">
        <f aca="false">ROUNDUP(BA260*1/12,0)</f>
        <v>5</v>
      </c>
      <c r="BB261" s="74" t="n">
        <f aca="false">ROUNDUP(BB260*1/12,0)</f>
        <v>5</v>
      </c>
      <c r="BC261" s="74" t="n">
        <f aca="false">ROUNDUP(BC260*1/12,0)</f>
        <v>5</v>
      </c>
      <c r="BD261" s="74" t="n">
        <f aca="false">ROUNDUP(BD260*1/12,0)</f>
        <v>5</v>
      </c>
      <c r="BE261" s="74" t="n">
        <f aca="false">ROUNDUP(BE260*1/12,0)</f>
        <v>5</v>
      </c>
      <c r="BF261" s="74" t="n">
        <f aca="false">ROUNDUP(BF260*1/12,0)</f>
        <v>5</v>
      </c>
      <c r="BG261" s="74" t="n">
        <f aca="false">ROUNDUP(BG260*1/12,0)</f>
        <v>5</v>
      </c>
      <c r="BH261" s="74" t="n">
        <f aca="false">ROUNDUP(BH260*1/12,0)</f>
        <v>5</v>
      </c>
      <c r="BI261" s="74" t="n">
        <f aca="false">ROUNDUP(BI260*1/12,0)</f>
        <v>5</v>
      </c>
      <c r="BJ261" s="74" t="n">
        <f aca="false">ROUNDUP(BJ260*1/12,0)</f>
        <v>5</v>
      </c>
    </row>
    <row r="263" customFormat="false" ht="15.75" hidden="false" customHeight="true" outlineLevel="0" collapsed="false">
      <c r="A263" s="7" t="s">
        <v>415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</row>
    <row r="264" customFormat="false" ht="15" hidden="false" customHeight="false" outlineLevel="0" collapsed="false">
      <c r="A264" s="116" t="s">
        <v>416</v>
      </c>
      <c r="C264" s="117" t="n">
        <f aca="false">MAX(0,MIN(1,Inputs!$D$9-(C$260-1)*1))</f>
        <v>1</v>
      </c>
      <c r="D264" s="117" t="n">
        <f aca="false">MAX(0,MIN(1,Inputs!$D$9-(D$260-1)*1))</f>
        <v>1</v>
      </c>
      <c r="E264" s="117" t="n">
        <f aca="false">MAX(0,MIN(1,Inputs!$D$9-(E$260-1)*1))</f>
        <v>1</v>
      </c>
      <c r="F264" s="117" t="n">
        <f aca="false">MAX(0,MIN(1,Inputs!$D$9-(F$260-1)*1))</f>
        <v>1</v>
      </c>
      <c r="G264" s="117" t="n">
        <f aca="false">MAX(0,MIN(1,Inputs!$D$9-(G$260-1)*1))</f>
        <v>1</v>
      </c>
      <c r="H264" s="117" t="n">
        <f aca="false">MAX(0,MIN(1,Inputs!$D$9-(H$260-1)*1))</f>
        <v>1</v>
      </c>
      <c r="I264" s="117" t="n">
        <f aca="false">MAX(0,MIN(1,Inputs!$D$9-(I$260-1)*1))</f>
        <v>1</v>
      </c>
      <c r="J264" s="117" t="n">
        <f aca="false">MAX(0,MIN(1,Inputs!$D$9-(J$260-1)*1))</f>
        <v>0</v>
      </c>
      <c r="K264" s="117" t="n">
        <f aca="false">MAX(0,MIN(1,Inputs!$D$9-(K$260-1)*1))</f>
        <v>0</v>
      </c>
      <c r="L264" s="117" t="n">
        <f aca="false">MAX(0,MIN(1,Inputs!$D$9-(L$260-1)*1))</f>
        <v>0</v>
      </c>
      <c r="M264" s="117" t="n">
        <f aca="false">MAX(0,MIN(1,Inputs!$D$9-(M$260-1)*1))</f>
        <v>0</v>
      </c>
      <c r="N264" s="117" t="n">
        <f aca="false">MAX(0,MIN(1,Inputs!$D$9-(N$260-1)*1))</f>
        <v>0</v>
      </c>
      <c r="O264" s="117" t="n">
        <f aca="false">MAX(0,MIN(1,Inputs!$D$9-(O$260-1)*1))</f>
        <v>0</v>
      </c>
      <c r="P264" s="117" t="n">
        <f aca="false">MAX(0,MIN(1,Inputs!$D$9-(P$260-1)*1))</f>
        <v>0</v>
      </c>
      <c r="Q264" s="117" t="n">
        <f aca="false">MAX(0,MIN(1,Inputs!$D$9-(Q$260-1)*1))</f>
        <v>0</v>
      </c>
      <c r="R264" s="117" t="n">
        <f aca="false">MAX(0,MIN(1,Inputs!$D$9-(R$260-1)*1))</f>
        <v>0</v>
      </c>
      <c r="S264" s="117" t="n">
        <f aca="false">MAX(0,MIN(1,Inputs!$D$9-(S$260-1)*1))</f>
        <v>0</v>
      </c>
      <c r="T264" s="117" t="n">
        <f aca="false">MAX(0,MIN(1,Inputs!$D$9-(T$260-1)*1))</f>
        <v>0</v>
      </c>
      <c r="U264" s="117" t="n">
        <f aca="false">MAX(0,MIN(1,Inputs!$D$9-(U$260-1)*1))</f>
        <v>0</v>
      </c>
      <c r="V264" s="117" t="n">
        <f aca="false">MAX(0,MIN(1,Inputs!$D$9-(V$260-1)*1))</f>
        <v>0</v>
      </c>
      <c r="W264" s="117" t="n">
        <f aca="false">MAX(0,MIN(1,Inputs!$D$9-(W$260-1)*1))</f>
        <v>0</v>
      </c>
      <c r="X264" s="117" t="n">
        <f aca="false">MAX(0,MIN(1,Inputs!$D$9-(X$260-1)*1))</f>
        <v>0</v>
      </c>
      <c r="Y264" s="117" t="n">
        <f aca="false">MAX(0,MIN(1,Inputs!$D$9-(Y$260-1)*1))</f>
        <v>0</v>
      </c>
      <c r="Z264" s="117" t="n">
        <f aca="false">MAX(0,MIN(1,Inputs!$D$9-(Z$260-1)*1))</f>
        <v>0</v>
      </c>
      <c r="AA264" s="117" t="n">
        <f aca="false">MAX(0,MIN(1,Inputs!$D$9-(AA$260-1)*1))</f>
        <v>0</v>
      </c>
      <c r="AB264" s="117" t="n">
        <f aca="false">MAX(0,MIN(1,Inputs!$D$9-(AB$260-1)*1))</f>
        <v>0</v>
      </c>
      <c r="AC264" s="117" t="n">
        <f aca="false">MAX(0,MIN(1,Inputs!$D$9-(AC$260-1)*1))</f>
        <v>0</v>
      </c>
      <c r="AD264" s="117" t="n">
        <f aca="false">MAX(0,MIN(1,Inputs!$D$9-(AD$260-1)*1))</f>
        <v>0</v>
      </c>
      <c r="AE264" s="117" t="n">
        <f aca="false">MAX(0,MIN(1,Inputs!$D$9-(AE$260-1)*1))</f>
        <v>0</v>
      </c>
      <c r="AF264" s="117" t="n">
        <f aca="false">MAX(0,MIN(1,Inputs!$D$9-(AF$260-1)*1))</f>
        <v>0</v>
      </c>
      <c r="AG264" s="117" t="n">
        <f aca="false">MAX(0,MIN(1,Inputs!$D$9-(AG$260-1)*1))</f>
        <v>0</v>
      </c>
      <c r="AH264" s="117" t="n">
        <f aca="false">MAX(0,MIN(1,Inputs!$D$9-(AH$260-1)*1))</f>
        <v>0</v>
      </c>
      <c r="AI264" s="117" t="n">
        <f aca="false">MAX(0,MIN(1,Inputs!$D$9-(AI$260-1)*1))</f>
        <v>0</v>
      </c>
      <c r="AJ264" s="117" t="n">
        <f aca="false">MAX(0,MIN(1,Inputs!$D$9-(AJ$260-1)*1))</f>
        <v>0</v>
      </c>
      <c r="AK264" s="117" t="n">
        <f aca="false">MAX(0,MIN(1,Inputs!$D$9-(AK$260-1)*1))</f>
        <v>0</v>
      </c>
      <c r="AL264" s="117" t="n">
        <f aca="false">MAX(0,MIN(1,Inputs!$D$9-(AL$260-1)*1))</f>
        <v>0</v>
      </c>
      <c r="AM264" s="117" t="n">
        <f aca="false">MAX(0,MIN(1,Inputs!$D$9-(AM$260-1)*1))</f>
        <v>0</v>
      </c>
      <c r="AN264" s="117" t="n">
        <f aca="false">MAX(0,MIN(1,Inputs!$D$9-(AN$260-1)*1))</f>
        <v>0</v>
      </c>
      <c r="AO264" s="117" t="n">
        <f aca="false">MAX(0,MIN(1,Inputs!$D$9-(AO$260-1)*1))</f>
        <v>0</v>
      </c>
      <c r="AP264" s="117" t="n">
        <f aca="false">MAX(0,MIN(1,Inputs!$D$9-(AP$260-1)*1))</f>
        <v>0</v>
      </c>
      <c r="AQ264" s="117" t="n">
        <f aca="false">MAX(0,MIN(1,Inputs!$D$9-(AQ$260-1)*1))</f>
        <v>0</v>
      </c>
      <c r="AR264" s="117" t="n">
        <f aca="false">MAX(0,MIN(1,Inputs!$D$9-(AR$260-1)*1))</f>
        <v>0</v>
      </c>
      <c r="AS264" s="117" t="n">
        <f aca="false">MAX(0,MIN(1,Inputs!$D$9-(AS$260-1)*1))</f>
        <v>0</v>
      </c>
      <c r="AT264" s="117" t="n">
        <f aca="false">MAX(0,MIN(1,Inputs!$D$9-(AT$260-1)*1))</f>
        <v>0</v>
      </c>
      <c r="AU264" s="117" t="n">
        <f aca="false">MAX(0,MIN(1,Inputs!$D$9-(AU$260-1)*1))</f>
        <v>0</v>
      </c>
      <c r="AV264" s="117" t="n">
        <f aca="false">MAX(0,MIN(1,Inputs!$D$9-(AV$260-1)*1))</f>
        <v>0</v>
      </c>
      <c r="AW264" s="117" t="n">
        <f aca="false">MAX(0,MIN(1,Inputs!$D$9-(AW$260-1)*1))</f>
        <v>0</v>
      </c>
      <c r="AX264" s="117" t="n">
        <f aca="false">MAX(0,MIN(1,Inputs!$D$9-(AX$260-1)*1))</f>
        <v>0</v>
      </c>
      <c r="AY264" s="117" t="n">
        <f aca="false">MAX(0,MIN(1,Inputs!$D$9-(AY$260-1)*1))</f>
        <v>0</v>
      </c>
      <c r="AZ264" s="117" t="n">
        <f aca="false">MAX(0,MIN(1,Inputs!$D$9-(AZ$260-1)*1))</f>
        <v>0</v>
      </c>
      <c r="BA264" s="117" t="n">
        <f aca="false">MAX(0,MIN(1,Inputs!$D$9-(BA$260-1)*1))</f>
        <v>0</v>
      </c>
      <c r="BB264" s="117" t="n">
        <f aca="false">MAX(0,MIN(1,Inputs!$D$9-(BB$260-1)*1))</f>
        <v>0</v>
      </c>
      <c r="BC264" s="117" t="n">
        <f aca="false">MAX(0,MIN(1,Inputs!$D$9-(BC$260-1)*1))</f>
        <v>0</v>
      </c>
      <c r="BD264" s="117" t="n">
        <f aca="false">MAX(0,MIN(1,Inputs!$D$9-(BD$260-1)*1))</f>
        <v>0</v>
      </c>
      <c r="BE264" s="117" t="n">
        <f aca="false">MAX(0,MIN(1,Inputs!$D$9-(BE$260-1)*1))</f>
        <v>0</v>
      </c>
      <c r="BF264" s="117" t="n">
        <f aca="false">MAX(0,MIN(1,Inputs!$D$9-(BF$260-1)*1))</f>
        <v>0</v>
      </c>
      <c r="BG264" s="117" t="n">
        <f aca="false">MAX(0,MIN(1,Inputs!$D$9-(BG$260-1)*1))</f>
        <v>0</v>
      </c>
      <c r="BH264" s="117" t="n">
        <f aca="false">MAX(0,MIN(1,Inputs!$D$9-(BH$260-1)*1))</f>
        <v>0</v>
      </c>
      <c r="BI264" s="117" t="n">
        <f aca="false">MAX(0,MIN(1,Inputs!$D$9-(BI$260-1)*1))</f>
        <v>0</v>
      </c>
      <c r="BJ264" s="117" t="n">
        <f aca="false">MAX(0,MIN(1,Inputs!$D$9-(BJ$260-1)*1))</f>
        <v>0</v>
      </c>
    </row>
    <row r="265" customFormat="false" ht="15" hidden="false" customHeight="false" outlineLevel="0" collapsed="false">
      <c r="A265" s="38" t="s">
        <v>417</v>
      </c>
      <c r="C265" s="76" t="n">
        <f aca="false">IF(Inputs!$D$9&lt;=0,1,(C264*Inputs!$D$10+(1-Inputs!$D$10)/MAX(1,Inputs!$D$9)*(C264*(C$260-1)*1+C264*(C264-1)/2)+1-C264)/1)</f>
        <v>0.55</v>
      </c>
      <c r="D265" s="76" t="n">
        <f aca="false">IF(Inputs!$D$9&lt;=0,1,(D264*Inputs!$D$10+(1-Inputs!$D$10)/MAX(1,Inputs!$D$9)*(D264*(D$260-1)*1+D264*(D264-1)/2)+1-D264)/1)</f>
        <v>0.614285714285714</v>
      </c>
      <c r="E265" s="76" t="n">
        <f aca="false">IF(Inputs!$D$9&lt;=0,1,(E264*Inputs!$D$10+(1-Inputs!$D$10)/MAX(1,Inputs!$D$9)*(E264*(E$260-1)*1+E264*(E264-1)/2)+1-E264)/1)</f>
        <v>0.678571428571429</v>
      </c>
      <c r="F265" s="76" t="n">
        <f aca="false">IF(Inputs!$D$9&lt;=0,1,(F264*Inputs!$D$10+(1-Inputs!$D$10)/MAX(1,Inputs!$D$9)*(F264*(F$260-1)*1+F264*(F264-1)/2)+1-F264)/1)</f>
        <v>0.742857142857143</v>
      </c>
      <c r="G265" s="76" t="n">
        <f aca="false">IF(Inputs!$D$9&lt;=0,1,(G264*Inputs!$D$10+(1-Inputs!$D$10)/MAX(1,Inputs!$D$9)*(G264*(G$260-1)*1+G264*(G264-1)/2)+1-G264)/1)</f>
        <v>0.807142857142857</v>
      </c>
      <c r="H265" s="76" t="n">
        <f aca="false">IF(Inputs!$D$9&lt;=0,1,(H264*Inputs!$D$10+(1-Inputs!$D$10)/MAX(1,Inputs!$D$9)*(H264*(H$260-1)*1+H264*(H264-1)/2)+1-H264)/1)</f>
        <v>0.871428571428571</v>
      </c>
      <c r="I265" s="76" t="n">
        <f aca="false">IF(Inputs!$D$9&lt;=0,1,(I264*Inputs!$D$10+(1-Inputs!$D$10)/MAX(1,Inputs!$D$9)*(I264*(I$260-1)*1+I264*(I264-1)/2)+1-I264)/1)</f>
        <v>0.935714285714286</v>
      </c>
      <c r="J265" s="76" t="n">
        <f aca="false">IF(Inputs!$D$9&lt;=0,1,(J264*Inputs!$D$10+(1-Inputs!$D$10)/MAX(1,Inputs!$D$9)*(J264*(J$260-1)*1+J264*(J264-1)/2)+1-J264)/1)</f>
        <v>1</v>
      </c>
      <c r="K265" s="76" t="n">
        <f aca="false">IF(Inputs!$D$9&lt;=0,1,(K264*Inputs!$D$10+(1-Inputs!$D$10)/MAX(1,Inputs!$D$9)*(K264*(K$260-1)*1+K264*(K264-1)/2)+1-K264)/1)</f>
        <v>1</v>
      </c>
      <c r="L265" s="76" t="n">
        <f aca="false">IF(Inputs!$D$9&lt;=0,1,(L264*Inputs!$D$10+(1-Inputs!$D$10)/MAX(1,Inputs!$D$9)*(L264*(L$260-1)*1+L264*(L264-1)/2)+1-L264)/1)</f>
        <v>1</v>
      </c>
      <c r="M265" s="76" t="n">
        <f aca="false">IF(Inputs!$D$9&lt;=0,1,(M264*Inputs!$D$10+(1-Inputs!$D$10)/MAX(1,Inputs!$D$9)*(M264*(M$260-1)*1+M264*(M264-1)/2)+1-M264)/1)</f>
        <v>1</v>
      </c>
      <c r="N265" s="76" t="n">
        <f aca="false">IF(Inputs!$D$9&lt;=0,1,(N264*Inputs!$D$10+(1-Inputs!$D$10)/MAX(1,Inputs!$D$9)*(N264*(N$260-1)*1+N264*(N264-1)/2)+1-N264)/1)</f>
        <v>1</v>
      </c>
      <c r="O265" s="76" t="n">
        <f aca="false">IF(Inputs!$D$9&lt;=0,1,(O264*Inputs!$D$10+(1-Inputs!$D$10)/MAX(1,Inputs!$D$9)*(O264*(O$260-1)*1+O264*(O264-1)/2)+1-O264)/1)</f>
        <v>1</v>
      </c>
      <c r="P265" s="76" t="n">
        <f aca="false">IF(Inputs!$D$9&lt;=0,1,(P264*Inputs!$D$10+(1-Inputs!$D$10)/MAX(1,Inputs!$D$9)*(P264*(P$260-1)*1+P264*(P264-1)/2)+1-P264)/1)</f>
        <v>1</v>
      </c>
      <c r="Q265" s="76" t="n">
        <f aca="false">IF(Inputs!$D$9&lt;=0,1,(Q264*Inputs!$D$10+(1-Inputs!$D$10)/MAX(1,Inputs!$D$9)*(Q264*(Q$260-1)*1+Q264*(Q264-1)/2)+1-Q264)/1)</f>
        <v>1</v>
      </c>
      <c r="R265" s="76" t="n">
        <f aca="false">IF(Inputs!$D$9&lt;=0,1,(R264*Inputs!$D$10+(1-Inputs!$D$10)/MAX(1,Inputs!$D$9)*(R264*(R$260-1)*1+R264*(R264-1)/2)+1-R264)/1)</f>
        <v>1</v>
      </c>
      <c r="S265" s="76" t="n">
        <f aca="false">IF(Inputs!$D$9&lt;=0,1,(S264*Inputs!$D$10+(1-Inputs!$D$10)/MAX(1,Inputs!$D$9)*(S264*(S$260-1)*1+S264*(S264-1)/2)+1-S264)/1)</f>
        <v>1</v>
      </c>
      <c r="T265" s="76" t="n">
        <f aca="false">IF(Inputs!$D$9&lt;=0,1,(T264*Inputs!$D$10+(1-Inputs!$D$10)/MAX(1,Inputs!$D$9)*(T264*(T$260-1)*1+T264*(T264-1)/2)+1-T264)/1)</f>
        <v>1</v>
      </c>
      <c r="U265" s="76" t="n">
        <f aca="false">IF(Inputs!$D$9&lt;=0,1,(U264*Inputs!$D$10+(1-Inputs!$D$10)/MAX(1,Inputs!$D$9)*(U264*(U$260-1)*1+U264*(U264-1)/2)+1-U264)/1)</f>
        <v>1</v>
      </c>
      <c r="V265" s="76" t="n">
        <f aca="false">IF(Inputs!$D$9&lt;=0,1,(V264*Inputs!$D$10+(1-Inputs!$D$10)/MAX(1,Inputs!$D$9)*(V264*(V$260-1)*1+V264*(V264-1)/2)+1-V264)/1)</f>
        <v>1</v>
      </c>
      <c r="W265" s="76" t="n">
        <f aca="false">IF(Inputs!$D$9&lt;=0,1,(W264*Inputs!$D$10+(1-Inputs!$D$10)/MAX(1,Inputs!$D$9)*(W264*(W$260-1)*1+W264*(W264-1)/2)+1-W264)/1)</f>
        <v>1</v>
      </c>
      <c r="X265" s="76" t="n">
        <f aca="false">IF(Inputs!$D$9&lt;=0,1,(X264*Inputs!$D$10+(1-Inputs!$D$10)/MAX(1,Inputs!$D$9)*(X264*(X$260-1)*1+X264*(X264-1)/2)+1-X264)/1)</f>
        <v>1</v>
      </c>
      <c r="Y265" s="76" t="n">
        <f aca="false">IF(Inputs!$D$9&lt;=0,1,(Y264*Inputs!$D$10+(1-Inputs!$D$10)/MAX(1,Inputs!$D$9)*(Y264*(Y$260-1)*1+Y264*(Y264-1)/2)+1-Y264)/1)</f>
        <v>1</v>
      </c>
      <c r="Z265" s="76" t="n">
        <f aca="false">IF(Inputs!$D$9&lt;=0,1,(Z264*Inputs!$D$10+(1-Inputs!$D$10)/MAX(1,Inputs!$D$9)*(Z264*(Z$260-1)*1+Z264*(Z264-1)/2)+1-Z264)/1)</f>
        <v>1</v>
      </c>
      <c r="AA265" s="76" t="n">
        <f aca="false">IF(Inputs!$D$9&lt;=0,1,(AA264*Inputs!$D$10+(1-Inputs!$D$10)/MAX(1,Inputs!$D$9)*(AA264*(AA$260-1)*1+AA264*(AA264-1)/2)+1-AA264)/1)</f>
        <v>1</v>
      </c>
      <c r="AB265" s="76" t="n">
        <f aca="false">IF(Inputs!$D$9&lt;=0,1,(AB264*Inputs!$D$10+(1-Inputs!$D$10)/MAX(1,Inputs!$D$9)*(AB264*(AB$260-1)*1+AB264*(AB264-1)/2)+1-AB264)/1)</f>
        <v>1</v>
      </c>
      <c r="AC265" s="76" t="n">
        <f aca="false">IF(Inputs!$D$9&lt;=0,1,(AC264*Inputs!$D$10+(1-Inputs!$D$10)/MAX(1,Inputs!$D$9)*(AC264*(AC$260-1)*1+AC264*(AC264-1)/2)+1-AC264)/1)</f>
        <v>1</v>
      </c>
      <c r="AD265" s="76" t="n">
        <f aca="false">IF(Inputs!$D$9&lt;=0,1,(AD264*Inputs!$D$10+(1-Inputs!$D$10)/MAX(1,Inputs!$D$9)*(AD264*(AD$260-1)*1+AD264*(AD264-1)/2)+1-AD264)/1)</f>
        <v>1</v>
      </c>
      <c r="AE265" s="76" t="n">
        <f aca="false">IF(Inputs!$D$9&lt;=0,1,(AE264*Inputs!$D$10+(1-Inputs!$D$10)/MAX(1,Inputs!$D$9)*(AE264*(AE$260-1)*1+AE264*(AE264-1)/2)+1-AE264)/1)</f>
        <v>1</v>
      </c>
      <c r="AF265" s="76" t="n">
        <f aca="false">IF(Inputs!$D$9&lt;=0,1,(AF264*Inputs!$D$10+(1-Inputs!$D$10)/MAX(1,Inputs!$D$9)*(AF264*(AF$260-1)*1+AF264*(AF264-1)/2)+1-AF264)/1)</f>
        <v>1</v>
      </c>
      <c r="AG265" s="76" t="n">
        <f aca="false">IF(Inputs!$D$9&lt;=0,1,(AG264*Inputs!$D$10+(1-Inputs!$D$10)/MAX(1,Inputs!$D$9)*(AG264*(AG$260-1)*1+AG264*(AG264-1)/2)+1-AG264)/1)</f>
        <v>1</v>
      </c>
      <c r="AH265" s="76" t="n">
        <f aca="false">IF(Inputs!$D$9&lt;=0,1,(AH264*Inputs!$D$10+(1-Inputs!$D$10)/MAX(1,Inputs!$D$9)*(AH264*(AH$260-1)*1+AH264*(AH264-1)/2)+1-AH264)/1)</f>
        <v>1</v>
      </c>
      <c r="AI265" s="76" t="n">
        <f aca="false">IF(Inputs!$D$9&lt;=0,1,(AI264*Inputs!$D$10+(1-Inputs!$D$10)/MAX(1,Inputs!$D$9)*(AI264*(AI$260-1)*1+AI264*(AI264-1)/2)+1-AI264)/1)</f>
        <v>1</v>
      </c>
      <c r="AJ265" s="76" t="n">
        <f aca="false">IF(Inputs!$D$9&lt;=0,1,(AJ264*Inputs!$D$10+(1-Inputs!$D$10)/MAX(1,Inputs!$D$9)*(AJ264*(AJ$260-1)*1+AJ264*(AJ264-1)/2)+1-AJ264)/1)</f>
        <v>1</v>
      </c>
      <c r="AK265" s="76" t="n">
        <f aca="false">IF(Inputs!$D$9&lt;=0,1,(AK264*Inputs!$D$10+(1-Inputs!$D$10)/MAX(1,Inputs!$D$9)*(AK264*(AK$260-1)*1+AK264*(AK264-1)/2)+1-AK264)/1)</f>
        <v>1</v>
      </c>
      <c r="AL265" s="76" t="n">
        <f aca="false">IF(Inputs!$D$9&lt;=0,1,(AL264*Inputs!$D$10+(1-Inputs!$D$10)/MAX(1,Inputs!$D$9)*(AL264*(AL$260-1)*1+AL264*(AL264-1)/2)+1-AL264)/1)</f>
        <v>1</v>
      </c>
      <c r="AM265" s="76" t="n">
        <f aca="false">IF(Inputs!$D$9&lt;=0,1,(AM264*Inputs!$D$10+(1-Inputs!$D$10)/MAX(1,Inputs!$D$9)*(AM264*(AM$260-1)*1+AM264*(AM264-1)/2)+1-AM264)/1)</f>
        <v>1</v>
      </c>
      <c r="AN265" s="76" t="n">
        <f aca="false">IF(Inputs!$D$9&lt;=0,1,(AN264*Inputs!$D$10+(1-Inputs!$D$10)/MAX(1,Inputs!$D$9)*(AN264*(AN$260-1)*1+AN264*(AN264-1)/2)+1-AN264)/1)</f>
        <v>1</v>
      </c>
      <c r="AO265" s="76" t="n">
        <f aca="false">IF(Inputs!$D$9&lt;=0,1,(AO264*Inputs!$D$10+(1-Inputs!$D$10)/MAX(1,Inputs!$D$9)*(AO264*(AO$260-1)*1+AO264*(AO264-1)/2)+1-AO264)/1)</f>
        <v>1</v>
      </c>
      <c r="AP265" s="76" t="n">
        <f aca="false">IF(Inputs!$D$9&lt;=0,1,(AP264*Inputs!$D$10+(1-Inputs!$D$10)/MAX(1,Inputs!$D$9)*(AP264*(AP$260-1)*1+AP264*(AP264-1)/2)+1-AP264)/1)</f>
        <v>1</v>
      </c>
      <c r="AQ265" s="76" t="n">
        <f aca="false">IF(Inputs!$D$9&lt;=0,1,(AQ264*Inputs!$D$10+(1-Inputs!$D$10)/MAX(1,Inputs!$D$9)*(AQ264*(AQ$260-1)*1+AQ264*(AQ264-1)/2)+1-AQ264)/1)</f>
        <v>1</v>
      </c>
      <c r="AR265" s="76" t="n">
        <f aca="false">IF(Inputs!$D$9&lt;=0,1,(AR264*Inputs!$D$10+(1-Inputs!$D$10)/MAX(1,Inputs!$D$9)*(AR264*(AR$260-1)*1+AR264*(AR264-1)/2)+1-AR264)/1)</f>
        <v>1</v>
      </c>
      <c r="AS265" s="76" t="n">
        <f aca="false">IF(Inputs!$D$9&lt;=0,1,(AS264*Inputs!$D$10+(1-Inputs!$D$10)/MAX(1,Inputs!$D$9)*(AS264*(AS$260-1)*1+AS264*(AS264-1)/2)+1-AS264)/1)</f>
        <v>1</v>
      </c>
      <c r="AT265" s="76" t="n">
        <f aca="false">IF(Inputs!$D$9&lt;=0,1,(AT264*Inputs!$D$10+(1-Inputs!$D$10)/MAX(1,Inputs!$D$9)*(AT264*(AT$260-1)*1+AT264*(AT264-1)/2)+1-AT264)/1)</f>
        <v>1</v>
      </c>
      <c r="AU265" s="76" t="n">
        <f aca="false">IF(Inputs!$D$9&lt;=0,1,(AU264*Inputs!$D$10+(1-Inputs!$D$10)/MAX(1,Inputs!$D$9)*(AU264*(AU$260-1)*1+AU264*(AU264-1)/2)+1-AU264)/1)</f>
        <v>1</v>
      </c>
      <c r="AV265" s="76" t="n">
        <f aca="false">IF(Inputs!$D$9&lt;=0,1,(AV264*Inputs!$D$10+(1-Inputs!$D$10)/MAX(1,Inputs!$D$9)*(AV264*(AV$260-1)*1+AV264*(AV264-1)/2)+1-AV264)/1)</f>
        <v>1</v>
      </c>
      <c r="AW265" s="76" t="n">
        <f aca="false">IF(Inputs!$D$9&lt;=0,1,(AW264*Inputs!$D$10+(1-Inputs!$D$10)/MAX(1,Inputs!$D$9)*(AW264*(AW$260-1)*1+AW264*(AW264-1)/2)+1-AW264)/1)</f>
        <v>1</v>
      </c>
      <c r="AX265" s="76" t="n">
        <f aca="false">IF(Inputs!$D$9&lt;=0,1,(AX264*Inputs!$D$10+(1-Inputs!$D$10)/MAX(1,Inputs!$D$9)*(AX264*(AX$260-1)*1+AX264*(AX264-1)/2)+1-AX264)/1)</f>
        <v>1</v>
      </c>
      <c r="AY265" s="76" t="n">
        <f aca="false">IF(Inputs!$D$9&lt;=0,1,(AY264*Inputs!$D$10+(1-Inputs!$D$10)/MAX(1,Inputs!$D$9)*(AY264*(AY$260-1)*1+AY264*(AY264-1)/2)+1-AY264)/1)</f>
        <v>1</v>
      </c>
      <c r="AZ265" s="76" t="n">
        <f aca="false">IF(Inputs!$D$9&lt;=0,1,(AZ264*Inputs!$D$10+(1-Inputs!$D$10)/MAX(1,Inputs!$D$9)*(AZ264*(AZ$260-1)*1+AZ264*(AZ264-1)/2)+1-AZ264)/1)</f>
        <v>1</v>
      </c>
      <c r="BA265" s="76" t="n">
        <f aca="false">IF(Inputs!$D$9&lt;=0,1,(BA264*Inputs!$D$10+(1-Inputs!$D$10)/MAX(1,Inputs!$D$9)*(BA264*(BA$260-1)*1+BA264*(BA264-1)/2)+1-BA264)/1)</f>
        <v>1</v>
      </c>
      <c r="BB265" s="76" t="n">
        <f aca="false">IF(Inputs!$D$9&lt;=0,1,(BB264*Inputs!$D$10+(1-Inputs!$D$10)/MAX(1,Inputs!$D$9)*(BB264*(BB$260-1)*1+BB264*(BB264-1)/2)+1-BB264)/1)</f>
        <v>1</v>
      </c>
      <c r="BC265" s="76" t="n">
        <f aca="false">IF(Inputs!$D$9&lt;=0,1,(BC264*Inputs!$D$10+(1-Inputs!$D$10)/MAX(1,Inputs!$D$9)*(BC264*(BC$260-1)*1+BC264*(BC264-1)/2)+1-BC264)/1)</f>
        <v>1</v>
      </c>
      <c r="BD265" s="76" t="n">
        <f aca="false">IF(Inputs!$D$9&lt;=0,1,(BD264*Inputs!$D$10+(1-Inputs!$D$10)/MAX(1,Inputs!$D$9)*(BD264*(BD$260-1)*1+BD264*(BD264-1)/2)+1-BD264)/1)</f>
        <v>1</v>
      </c>
      <c r="BE265" s="76" t="n">
        <f aca="false">IF(Inputs!$D$9&lt;=0,1,(BE264*Inputs!$D$10+(1-Inputs!$D$10)/MAX(1,Inputs!$D$9)*(BE264*(BE$260-1)*1+BE264*(BE264-1)/2)+1-BE264)/1)</f>
        <v>1</v>
      </c>
      <c r="BF265" s="76" t="n">
        <f aca="false">IF(Inputs!$D$9&lt;=0,1,(BF264*Inputs!$D$10+(1-Inputs!$D$10)/MAX(1,Inputs!$D$9)*(BF264*(BF$260-1)*1+BF264*(BF264-1)/2)+1-BF264)/1)</f>
        <v>1</v>
      </c>
      <c r="BG265" s="76" t="n">
        <f aca="false">IF(Inputs!$D$9&lt;=0,1,(BG264*Inputs!$D$10+(1-Inputs!$D$10)/MAX(1,Inputs!$D$9)*(BG264*(BG$260-1)*1+BG264*(BG264-1)/2)+1-BG264)/1)</f>
        <v>1</v>
      </c>
      <c r="BH265" s="76" t="n">
        <f aca="false">IF(Inputs!$D$9&lt;=0,1,(BH264*Inputs!$D$10+(1-Inputs!$D$10)/MAX(1,Inputs!$D$9)*(BH264*(BH$260-1)*1+BH264*(BH264-1)/2)+1-BH264)/1)</f>
        <v>1</v>
      </c>
      <c r="BI265" s="76" t="n">
        <f aca="false">IF(Inputs!$D$9&lt;=0,1,(BI264*Inputs!$D$10+(1-Inputs!$D$10)/MAX(1,Inputs!$D$9)*(BI264*(BI$260-1)*1+BI264*(BI264-1)/2)+1-BI264)/1)</f>
        <v>1</v>
      </c>
      <c r="BJ265" s="76" t="n">
        <f aca="false">IF(Inputs!$D$9&lt;=0,1,(BJ264*Inputs!$D$10+(1-Inputs!$D$10)/MAX(1,Inputs!$D$9)*(BJ264*(BJ$260-1)*1+BJ264*(BJ264-1)/2)+1-BJ264)/1)</f>
        <v>1</v>
      </c>
    </row>
    <row r="266" customFormat="false" ht="15" hidden="false" customHeight="false" outlineLevel="0" collapsed="false">
      <c r="A266" s="6" t="s">
        <v>418</v>
      </c>
      <c r="C266" s="79" t="n">
        <f aca="false">IF(OR(MOD(C$260-1,12)&gt;=11,MOD(C$260-1,12)&lt;=1),1-Inputs!$D$11,1+Inputs!$D$11/3)</f>
        <v>0.9</v>
      </c>
      <c r="D266" s="79" t="n">
        <f aca="false">IF(OR(MOD(D$260-1,12)&gt;=11,MOD(D$260-1,12)&lt;=1),1-Inputs!$D$11,1+Inputs!$D$11/3)</f>
        <v>0.9</v>
      </c>
      <c r="E266" s="79" t="n">
        <f aca="false">IF(OR(MOD(E$260-1,12)&gt;=11,MOD(E$260-1,12)&lt;=1),1-Inputs!$D$11,1+Inputs!$D$11/3)</f>
        <v>1.03333333333333</v>
      </c>
      <c r="F266" s="79" t="n">
        <f aca="false">IF(OR(MOD(F$260-1,12)&gt;=11,MOD(F$260-1,12)&lt;=1),1-Inputs!$D$11,1+Inputs!$D$11/3)</f>
        <v>1.03333333333333</v>
      </c>
      <c r="G266" s="79" t="n">
        <f aca="false">IF(OR(MOD(G$260-1,12)&gt;=11,MOD(G$260-1,12)&lt;=1),1-Inputs!$D$11,1+Inputs!$D$11/3)</f>
        <v>1.03333333333333</v>
      </c>
      <c r="H266" s="79" t="n">
        <f aca="false">IF(OR(MOD(H$260-1,12)&gt;=11,MOD(H$260-1,12)&lt;=1),1-Inputs!$D$11,1+Inputs!$D$11/3)</f>
        <v>1.03333333333333</v>
      </c>
      <c r="I266" s="79" t="n">
        <f aca="false">IF(OR(MOD(I$260-1,12)&gt;=11,MOD(I$260-1,12)&lt;=1),1-Inputs!$D$11,1+Inputs!$D$11/3)</f>
        <v>1.03333333333333</v>
      </c>
      <c r="J266" s="79" t="n">
        <f aca="false">IF(OR(MOD(J$260-1,12)&gt;=11,MOD(J$260-1,12)&lt;=1),1-Inputs!$D$11,1+Inputs!$D$11/3)</f>
        <v>1.03333333333333</v>
      </c>
      <c r="K266" s="79" t="n">
        <f aca="false">IF(OR(MOD(K$260-1,12)&gt;=11,MOD(K$260-1,12)&lt;=1),1-Inputs!$D$11,1+Inputs!$D$11/3)</f>
        <v>1.03333333333333</v>
      </c>
      <c r="L266" s="79" t="n">
        <f aca="false">IF(OR(MOD(L$260-1,12)&gt;=11,MOD(L$260-1,12)&lt;=1),1-Inputs!$D$11,1+Inputs!$D$11/3)</f>
        <v>1.03333333333333</v>
      </c>
      <c r="M266" s="79" t="n">
        <f aca="false">IF(OR(MOD(M$260-1,12)&gt;=11,MOD(M$260-1,12)&lt;=1),1-Inputs!$D$11,1+Inputs!$D$11/3)</f>
        <v>1.03333333333333</v>
      </c>
      <c r="N266" s="79" t="n">
        <f aca="false">IF(OR(MOD(N$260-1,12)&gt;=11,MOD(N$260-1,12)&lt;=1),1-Inputs!$D$11,1+Inputs!$D$11/3)</f>
        <v>0.9</v>
      </c>
      <c r="O266" s="79" t="n">
        <f aca="false">IF(OR(MOD(O$260-1,12)&gt;=11,MOD(O$260-1,12)&lt;=1),1-Inputs!$D$11,1+Inputs!$D$11/3)</f>
        <v>0.9</v>
      </c>
      <c r="P266" s="79" t="n">
        <f aca="false">IF(OR(MOD(P$260-1,12)&gt;=11,MOD(P$260-1,12)&lt;=1),1-Inputs!$D$11,1+Inputs!$D$11/3)</f>
        <v>0.9</v>
      </c>
      <c r="Q266" s="79" t="n">
        <f aca="false">IF(OR(MOD(Q$260-1,12)&gt;=11,MOD(Q$260-1,12)&lt;=1),1-Inputs!$D$11,1+Inputs!$D$11/3)</f>
        <v>1.03333333333333</v>
      </c>
      <c r="R266" s="79" t="n">
        <f aca="false">IF(OR(MOD(R$260-1,12)&gt;=11,MOD(R$260-1,12)&lt;=1),1-Inputs!$D$11,1+Inputs!$D$11/3)</f>
        <v>1.03333333333333</v>
      </c>
      <c r="S266" s="79" t="n">
        <f aca="false">IF(OR(MOD(S$260-1,12)&gt;=11,MOD(S$260-1,12)&lt;=1),1-Inputs!$D$11,1+Inputs!$D$11/3)</f>
        <v>1.03333333333333</v>
      </c>
      <c r="T266" s="79" t="n">
        <f aca="false">IF(OR(MOD(T$260-1,12)&gt;=11,MOD(T$260-1,12)&lt;=1),1-Inputs!$D$11,1+Inputs!$D$11/3)</f>
        <v>1.03333333333333</v>
      </c>
      <c r="U266" s="79" t="n">
        <f aca="false">IF(OR(MOD(U$260-1,12)&gt;=11,MOD(U$260-1,12)&lt;=1),1-Inputs!$D$11,1+Inputs!$D$11/3)</f>
        <v>1.03333333333333</v>
      </c>
      <c r="V266" s="79" t="n">
        <f aca="false">IF(OR(MOD(V$260-1,12)&gt;=11,MOD(V$260-1,12)&lt;=1),1-Inputs!$D$11,1+Inputs!$D$11/3)</f>
        <v>1.03333333333333</v>
      </c>
      <c r="W266" s="79" t="n">
        <f aca="false">IF(OR(MOD(W$260-1,12)&gt;=11,MOD(W$260-1,12)&lt;=1),1-Inputs!$D$11,1+Inputs!$D$11/3)</f>
        <v>1.03333333333333</v>
      </c>
      <c r="X266" s="79" t="n">
        <f aca="false">IF(OR(MOD(X$260-1,12)&gt;=11,MOD(X$260-1,12)&lt;=1),1-Inputs!$D$11,1+Inputs!$D$11/3)</f>
        <v>1.03333333333333</v>
      </c>
      <c r="Y266" s="79" t="n">
        <f aca="false">IF(OR(MOD(Y$260-1,12)&gt;=11,MOD(Y$260-1,12)&lt;=1),1-Inputs!$D$11,1+Inputs!$D$11/3)</f>
        <v>1.03333333333333</v>
      </c>
      <c r="Z266" s="79" t="n">
        <f aca="false">IF(OR(MOD(Z$260-1,12)&gt;=11,MOD(Z$260-1,12)&lt;=1),1-Inputs!$D$11,1+Inputs!$D$11/3)</f>
        <v>0.9</v>
      </c>
      <c r="AA266" s="79" t="n">
        <f aca="false">IF(OR(MOD(AA$260-1,12)&gt;=11,MOD(AA$260-1,12)&lt;=1),1-Inputs!$D$11,1+Inputs!$D$11/3)</f>
        <v>0.9</v>
      </c>
      <c r="AB266" s="79" t="n">
        <f aca="false">IF(OR(MOD(AB$260-1,12)&gt;=11,MOD(AB$260-1,12)&lt;=1),1-Inputs!$D$11,1+Inputs!$D$11/3)</f>
        <v>0.9</v>
      </c>
      <c r="AC266" s="79" t="n">
        <f aca="false">IF(OR(MOD(AC$260-1,12)&gt;=11,MOD(AC$260-1,12)&lt;=1),1-Inputs!$D$11,1+Inputs!$D$11/3)</f>
        <v>1.03333333333333</v>
      </c>
      <c r="AD266" s="79" t="n">
        <f aca="false">IF(OR(MOD(AD$260-1,12)&gt;=11,MOD(AD$260-1,12)&lt;=1),1-Inputs!$D$11,1+Inputs!$D$11/3)</f>
        <v>1.03333333333333</v>
      </c>
      <c r="AE266" s="79" t="n">
        <f aca="false">IF(OR(MOD(AE$260-1,12)&gt;=11,MOD(AE$260-1,12)&lt;=1),1-Inputs!$D$11,1+Inputs!$D$11/3)</f>
        <v>1.03333333333333</v>
      </c>
      <c r="AF266" s="79" t="n">
        <f aca="false">IF(OR(MOD(AF$260-1,12)&gt;=11,MOD(AF$260-1,12)&lt;=1),1-Inputs!$D$11,1+Inputs!$D$11/3)</f>
        <v>1.03333333333333</v>
      </c>
      <c r="AG266" s="79" t="n">
        <f aca="false">IF(OR(MOD(AG$260-1,12)&gt;=11,MOD(AG$260-1,12)&lt;=1),1-Inputs!$D$11,1+Inputs!$D$11/3)</f>
        <v>1.03333333333333</v>
      </c>
      <c r="AH266" s="79" t="n">
        <f aca="false">IF(OR(MOD(AH$260-1,12)&gt;=11,MOD(AH$260-1,12)&lt;=1),1-Inputs!$D$11,1+Inputs!$D$11/3)</f>
        <v>1.03333333333333</v>
      </c>
      <c r="AI266" s="79" t="n">
        <f aca="false">IF(OR(MOD(AI$260-1,12)&gt;=11,MOD(AI$260-1,12)&lt;=1),1-Inputs!$D$11,1+Inputs!$D$11/3)</f>
        <v>1.03333333333333</v>
      </c>
      <c r="AJ266" s="79" t="n">
        <f aca="false">IF(OR(MOD(AJ$260-1,12)&gt;=11,MOD(AJ$260-1,12)&lt;=1),1-Inputs!$D$11,1+Inputs!$D$11/3)</f>
        <v>1.03333333333333</v>
      </c>
      <c r="AK266" s="79" t="n">
        <f aca="false">IF(OR(MOD(AK$260-1,12)&gt;=11,MOD(AK$260-1,12)&lt;=1),1-Inputs!$D$11,1+Inputs!$D$11/3)</f>
        <v>1.03333333333333</v>
      </c>
      <c r="AL266" s="79" t="n">
        <f aca="false">IF(OR(MOD(AL$260-1,12)&gt;=11,MOD(AL$260-1,12)&lt;=1),1-Inputs!$D$11,1+Inputs!$D$11/3)</f>
        <v>0.9</v>
      </c>
      <c r="AM266" s="79" t="n">
        <f aca="false">IF(OR(MOD(AM$260-1,12)&gt;=11,MOD(AM$260-1,12)&lt;=1),1-Inputs!$D$11,1+Inputs!$D$11/3)</f>
        <v>0.9</v>
      </c>
      <c r="AN266" s="79" t="n">
        <f aca="false">IF(OR(MOD(AN$260-1,12)&gt;=11,MOD(AN$260-1,12)&lt;=1),1-Inputs!$D$11,1+Inputs!$D$11/3)</f>
        <v>0.9</v>
      </c>
      <c r="AO266" s="79" t="n">
        <f aca="false">IF(OR(MOD(AO$260-1,12)&gt;=11,MOD(AO$260-1,12)&lt;=1),1-Inputs!$D$11,1+Inputs!$D$11/3)</f>
        <v>1.03333333333333</v>
      </c>
      <c r="AP266" s="79" t="n">
        <f aca="false">IF(OR(MOD(AP$260-1,12)&gt;=11,MOD(AP$260-1,12)&lt;=1),1-Inputs!$D$11,1+Inputs!$D$11/3)</f>
        <v>1.03333333333333</v>
      </c>
      <c r="AQ266" s="79" t="n">
        <f aca="false">IF(OR(MOD(AQ$260-1,12)&gt;=11,MOD(AQ$260-1,12)&lt;=1),1-Inputs!$D$11,1+Inputs!$D$11/3)</f>
        <v>1.03333333333333</v>
      </c>
      <c r="AR266" s="79" t="n">
        <f aca="false">IF(OR(MOD(AR$260-1,12)&gt;=11,MOD(AR$260-1,12)&lt;=1),1-Inputs!$D$11,1+Inputs!$D$11/3)</f>
        <v>1.03333333333333</v>
      </c>
      <c r="AS266" s="79" t="n">
        <f aca="false">IF(OR(MOD(AS$260-1,12)&gt;=11,MOD(AS$260-1,12)&lt;=1),1-Inputs!$D$11,1+Inputs!$D$11/3)</f>
        <v>1.03333333333333</v>
      </c>
      <c r="AT266" s="79" t="n">
        <f aca="false">IF(OR(MOD(AT$260-1,12)&gt;=11,MOD(AT$260-1,12)&lt;=1),1-Inputs!$D$11,1+Inputs!$D$11/3)</f>
        <v>1.03333333333333</v>
      </c>
      <c r="AU266" s="79" t="n">
        <f aca="false">IF(OR(MOD(AU$260-1,12)&gt;=11,MOD(AU$260-1,12)&lt;=1),1-Inputs!$D$11,1+Inputs!$D$11/3)</f>
        <v>1.03333333333333</v>
      </c>
      <c r="AV266" s="79" t="n">
        <f aca="false">IF(OR(MOD(AV$260-1,12)&gt;=11,MOD(AV$260-1,12)&lt;=1),1-Inputs!$D$11,1+Inputs!$D$11/3)</f>
        <v>1.03333333333333</v>
      </c>
      <c r="AW266" s="79" t="n">
        <f aca="false">IF(OR(MOD(AW$260-1,12)&gt;=11,MOD(AW$260-1,12)&lt;=1),1-Inputs!$D$11,1+Inputs!$D$11/3)</f>
        <v>1.03333333333333</v>
      </c>
      <c r="AX266" s="79" t="n">
        <f aca="false">IF(OR(MOD(AX$260-1,12)&gt;=11,MOD(AX$260-1,12)&lt;=1),1-Inputs!$D$11,1+Inputs!$D$11/3)</f>
        <v>0.9</v>
      </c>
      <c r="AY266" s="79" t="n">
        <f aca="false">IF(OR(MOD(AY$260-1,12)&gt;=11,MOD(AY$260-1,12)&lt;=1),1-Inputs!$D$11,1+Inputs!$D$11/3)</f>
        <v>0.9</v>
      </c>
      <c r="AZ266" s="79" t="n">
        <f aca="false">IF(OR(MOD(AZ$260-1,12)&gt;=11,MOD(AZ$260-1,12)&lt;=1),1-Inputs!$D$11,1+Inputs!$D$11/3)</f>
        <v>0.9</v>
      </c>
      <c r="BA266" s="79" t="n">
        <f aca="false">IF(OR(MOD(BA$260-1,12)&gt;=11,MOD(BA$260-1,12)&lt;=1),1-Inputs!$D$11,1+Inputs!$D$11/3)</f>
        <v>1.03333333333333</v>
      </c>
      <c r="BB266" s="79" t="n">
        <f aca="false">IF(OR(MOD(BB$260-1,12)&gt;=11,MOD(BB$260-1,12)&lt;=1),1-Inputs!$D$11,1+Inputs!$D$11/3)</f>
        <v>1.03333333333333</v>
      </c>
      <c r="BC266" s="79" t="n">
        <f aca="false">IF(OR(MOD(BC$260-1,12)&gt;=11,MOD(BC$260-1,12)&lt;=1),1-Inputs!$D$11,1+Inputs!$D$11/3)</f>
        <v>1.03333333333333</v>
      </c>
      <c r="BD266" s="79" t="n">
        <f aca="false">IF(OR(MOD(BD$260-1,12)&gt;=11,MOD(BD$260-1,12)&lt;=1),1-Inputs!$D$11,1+Inputs!$D$11/3)</f>
        <v>1.03333333333333</v>
      </c>
      <c r="BE266" s="79" t="n">
        <f aca="false">IF(OR(MOD(BE$260-1,12)&gt;=11,MOD(BE$260-1,12)&lt;=1),1-Inputs!$D$11,1+Inputs!$D$11/3)</f>
        <v>1.03333333333333</v>
      </c>
      <c r="BF266" s="79" t="n">
        <f aca="false">IF(OR(MOD(BF$260-1,12)&gt;=11,MOD(BF$260-1,12)&lt;=1),1-Inputs!$D$11,1+Inputs!$D$11/3)</f>
        <v>1.03333333333333</v>
      </c>
      <c r="BG266" s="79" t="n">
        <f aca="false">IF(OR(MOD(BG$260-1,12)&gt;=11,MOD(BG$260-1,12)&lt;=1),1-Inputs!$D$11,1+Inputs!$D$11/3)</f>
        <v>1.03333333333333</v>
      </c>
      <c r="BH266" s="79" t="n">
        <f aca="false">IF(OR(MOD(BH$260-1,12)&gt;=11,MOD(BH$260-1,12)&lt;=1),1-Inputs!$D$11,1+Inputs!$D$11/3)</f>
        <v>1.03333333333333</v>
      </c>
      <c r="BI266" s="79" t="n">
        <f aca="false">IF(OR(MOD(BI$260-1,12)&gt;=11,MOD(BI$260-1,12)&lt;=1),1-Inputs!$D$11,1+Inputs!$D$11/3)</f>
        <v>1.03333333333333</v>
      </c>
      <c r="BJ266" s="79" t="n">
        <f aca="false">IF(OR(MOD(BJ$260-1,12)&gt;=11,MOD(BJ$260-1,12)&lt;=1),1-Inputs!$D$11,1+Inputs!$D$11/3)</f>
        <v>0.9</v>
      </c>
    </row>
    <row r="267" customFormat="false" ht="15" hidden="false" customHeight="false" outlineLevel="0" collapsed="false">
      <c r="A267" s="6" t="s">
        <v>419</v>
      </c>
      <c r="C267" s="118" t="n">
        <f aca="false">Inputs!$D$7*Inputs!$D$8*1*C265*C266</f>
        <v>4019.4</v>
      </c>
      <c r="D267" s="118" t="n">
        <f aca="false">Inputs!$D$7*Inputs!$D$8*1*D265*D266</f>
        <v>4489.2</v>
      </c>
      <c r="E267" s="118" t="n">
        <f aca="false">Inputs!$D$7*Inputs!$D$8*1*E265*E266</f>
        <v>5693.66666666667</v>
      </c>
      <c r="F267" s="118" t="n">
        <f aca="false">Inputs!$D$7*Inputs!$D$8*1*F265*F266</f>
        <v>6233.06666666667</v>
      </c>
      <c r="G267" s="118" t="n">
        <f aca="false">Inputs!$D$7*Inputs!$D$8*1*G265*G266</f>
        <v>6772.46666666667</v>
      </c>
      <c r="H267" s="118" t="n">
        <f aca="false">Inputs!$D$7*Inputs!$D$8*1*H265*H266</f>
        <v>7311.86666666667</v>
      </c>
      <c r="I267" s="118" t="n">
        <f aca="false">Inputs!$D$7*Inputs!$D$8*1*I265*I266</f>
        <v>7851.26666666667</v>
      </c>
      <c r="J267" s="118" t="n">
        <f aca="false">Inputs!$D$7*Inputs!$D$8*1*J265*J266</f>
        <v>8390.66666666667</v>
      </c>
      <c r="K267" s="118" t="n">
        <f aca="false">Inputs!$D$7*Inputs!$D$8*1*K265*K266</f>
        <v>8390.66666666667</v>
      </c>
      <c r="L267" s="118" t="n">
        <f aca="false">Inputs!$D$7*Inputs!$D$8*1*L265*L266</f>
        <v>8390.66666666667</v>
      </c>
      <c r="M267" s="118" t="n">
        <f aca="false">Inputs!$D$7*Inputs!$D$8*1*M265*M266</f>
        <v>8390.66666666667</v>
      </c>
      <c r="N267" s="118" t="n">
        <f aca="false">Inputs!$D$7*Inputs!$D$8*1*N265*N266</f>
        <v>7308</v>
      </c>
      <c r="O267" s="118" t="n">
        <f aca="false">Inputs!$D$7*Inputs!$D$8*1*O265*O266</f>
        <v>7308</v>
      </c>
      <c r="P267" s="118" t="n">
        <f aca="false">Inputs!$D$7*Inputs!$D$8*1*P265*P266</f>
        <v>7308</v>
      </c>
      <c r="Q267" s="118" t="n">
        <f aca="false">Inputs!$D$7*Inputs!$D$8*1*Q265*Q266</f>
        <v>8390.66666666667</v>
      </c>
      <c r="R267" s="118" t="n">
        <f aca="false">Inputs!$D$7*Inputs!$D$8*1*R265*R266</f>
        <v>8390.66666666667</v>
      </c>
      <c r="S267" s="118" t="n">
        <f aca="false">Inputs!$D$7*Inputs!$D$8*1*S265*S266</f>
        <v>8390.66666666667</v>
      </c>
      <c r="T267" s="118" t="n">
        <f aca="false">Inputs!$D$7*Inputs!$D$8*1*T265*T266</f>
        <v>8390.66666666667</v>
      </c>
      <c r="U267" s="118" t="n">
        <f aca="false">Inputs!$D$7*Inputs!$D$8*1*U265*U266</f>
        <v>8390.66666666667</v>
      </c>
      <c r="V267" s="118" t="n">
        <f aca="false">Inputs!$D$7*Inputs!$D$8*1*V265*V266</f>
        <v>8390.66666666667</v>
      </c>
      <c r="W267" s="118" t="n">
        <f aca="false">Inputs!$D$7*Inputs!$D$8*1*W265*W266</f>
        <v>8390.66666666667</v>
      </c>
      <c r="X267" s="118" t="n">
        <f aca="false">Inputs!$D$7*Inputs!$D$8*1*X265*X266</f>
        <v>8390.66666666667</v>
      </c>
      <c r="Y267" s="118" t="n">
        <f aca="false">Inputs!$D$7*Inputs!$D$8*1*Y265*Y266</f>
        <v>8390.66666666667</v>
      </c>
      <c r="Z267" s="118" t="n">
        <f aca="false">Inputs!$D$7*Inputs!$D$8*1*Z265*Z266</f>
        <v>7308</v>
      </c>
      <c r="AA267" s="118" t="n">
        <f aca="false">Inputs!$D$7*Inputs!$D$8*1*AA265*AA266</f>
        <v>7308</v>
      </c>
      <c r="AB267" s="118" t="n">
        <f aca="false">Inputs!$D$7*Inputs!$D$8*1*AB265*AB266</f>
        <v>7308</v>
      </c>
      <c r="AC267" s="118" t="n">
        <f aca="false">Inputs!$D$7*Inputs!$D$8*1*AC265*AC266</f>
        <v>8390.66666666667</v>
      </c>
      <c r="AD267" s="118" t="n">
        <f aca="false">Inputs!$D$7*Inputs!$D$8*1*AD265*AD266</f>
        <v>8390.66666666667</v>
      </c>
      <c r="AE267" s="118" t="n">
        <f aca="false">Inputs!$D$7*Inputs!$D$8*1*AE265*AE266</f>
        <v>8390.66666666667</v>
      </c>
      <c r="AF267" s="118" t="n">
        <f aca="false">Inputs!$D$7*Inputs!$D$8*1*AF265*AF266</f>
        <v>8390.66666666667</v>
      </c>
      <c r="AG267" s="118" t="n">
        <f aca="false">Inputs!$D$7*Inputs!$D$8*1*AG265*AG266</f>
        <v>8390.66666666667</v>
      </c>
      <c r="AH267" s="118" t="n">
        <f aca="false">Inputs!$D$7*Inputs!$D$8*1*AH265*AH266</f>
        <v>8390.66666666667</v>
      </c>
      <c r="AI267" s="118" t="n">
        <f aca="false">Inputs!$D$7*Inputs!$D$8*1*AI265*AI266</f>
        <v>8390.66666666667</v>
      </c>
      <c r="AJ267" s="118" t="n">
        <f aca="false">Inputs!$D$7*Inputs!$D$8*1*AJ265*AJ266</f>
        <v>8390.66666666667</v>
      </c>
      <c r="AK267" s="118" t="n">
        <f aca="false">Inputs!$D$7*Inputs!$D$8*1*AK265*AK266</f>
        <v>8390.66666666667</v>
      </c>
      <c r="AL267" s="118" t="n">
        <f aca="false">Inputs!$D$7*Inputs!$D$8*1*AL265*AL266</f>
        <v>7308</v>
      </c>
      <c r="AM267" s="118" t="n">
        <f aca="false">Inputs!$D$7*Inputs!$D$8*1*AM265*AM266</f>
        <v>7308</v>
      </c>
      <c r="AN267" s="118" t="n">
        <f aca="false">Inputs!$D$7*Inputs!$D$8*1*AN265*AN266</f>
        <v>7308</v>
      </c>
      <c r="AO267" s="118" t="n">
        <f aca="false">Inputs!$D$7*Inputs!$D$8*1*AO265*AO266</f>
        <v>8390.66666666667</v>
      </c>
      <c r="AP267" s="118" t="n">
        <f aca="false">Inputs!$D$7*Inputs!$D$8*1*AP265*AP266</f>
        <v>8390.66666666667</v>
      </c>
      <c r="AQ267" s="118" t="n">
        <f aca="false">Inputs!$D$7*Inputs!$D$8*1*AQ265*AQ266</f>
        <v>8390.66666666667</v>
      </c>
      <c r="AR267" s="118" t="n">
        <f aca="false">Inputs!$D$7*Inputs!$D$8*1*AR265*AR266</f>
        <v>8390.66666666667</v>
      </c>
      <c r="AS267" s="118" t="n">
        <f aca="false">Inputs!$D$7*Inputs!$D$8*1*AS265*AS266</f>
        <v>8390.66666666667</v>
      </c>
      <c r="AT267" s="118" t="n">
        <f aca="false">Inputs!$D$7*Inputs!$D$8*1*AT265*AT266</f>
        <v>8390.66666666667</v>
      </c>
      <c r="AU267" s="118" t="n">
        <f aca="false">Inputs!$D$7*Inputs!$D$8*1*AU265*AU266</f>
        <v>8390.66666666667</v>
      </c>
      <c r="AV267" s="118" t="n">
        <f aca="false">Inputs!$D$7*Inputs!$D$8*1*AV265*AV266</f>
        <v>8390.66666666667</v>
      </c>
      <c r="AW267" s="118" t="n">
        <f aca="false">Inputs!$D$7*Inputs!$D$8*1*AW265*AW266</f>
        <v>8390.66666666667</v>
      </c>
      <c r="AX267" s="118" t="n">
        <f aca="false">Inputs!$D$7*Inputs!$D$8*1*AX265*AX266</f>
        <v>7308</v>
      </c>
      <c r="AY267" s="118" t="n">
        <f aca="false">Inputs!$D$7*Inputs!$D$8*1*AY265*AY266</f>
        <v>7308</v>
      </c>
      <c r="AZ267" s="118" t="n">
        <f aca="false">Inputs!$D$7*Inputs!$D$8*1*AZ265*AZ266</f>
        <v>7308</v>
      </c>
      <c r="BA267" s="118" t="n">
        <f aca="false">Inputs!$D$7*Inputs!$D$8*1*BA265*BA266</f>
        <v>8390.66666666667</v>
      </c>
      <c r="BB267" s="118" t="n">
        <f aca="false">Inputs!$D$7*Inputs!$D$8*1*BB265*BB266</f>
        <v>8390.66666666667</v>
      </c>
      <c r="BC267" s="118" t="n">
        <f aca="false">Inputs!$D$7*Inputs!$D$8*1*BC265*BC266</f>
        <v>8390.66666666667</v>
      </c>
      <c r="BD267" s="118" t="n">
        <f aca="false">Inputs!$D$7*Inputs!$D$8*1*BD265*BD266</f>
        <v>8390.66666666667</v>
      </c>
      <c r="BE267" s="118" t="n">
        <f aca="false">Inputs!$D$7*Inputs!$D$8*1*BE265*BE266</f>
        <v>8390.66666666667</v>
      </c>
      <c r="BF267" s="118" t="n">
        <f aca="false">Inputs!$D$7*Inputs!$D$8*1*BF265*BF266</f>
        <v>8390.66666666667</v>
      </c>
      <c r="BG267" s="118" t="n">
        <f aca="false">Inputs!$D$7*Inputs!$D$8*1*BG265*BG266</f>
        <v>8390.66666666667</v>
      </c>
      <c r="BH267" s="118" t="n">
        <f aca="false">Inputs!$D$7*Inputs!$D$8*1*BH265*BH266</f>
        <v>8390.66666666667</v>
      </c>
      <c r="BI267" s="118" t="n">
        <f aca="false">Inputs!$D$7*Inputs!$D$8*1*BI265*BI266</f>
        <v>8390.66666666667</v>
      </c>
      <c r="BJ267" s="118" t="n">
        <f aca="false">Inputs!$D$7*Inputs!$D$8*1*BJ265*BJ266</f>
        <v>7308</v>
      </c>
    </row>
    <row r="269" customFormat="false" ht="15.75" hidden="false" customHeight="true" outlineLevel="0" collapsed="false">
      <c r="A269" s="7" t="s">
        <v>420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 customFormat="false" ht="15" hidden="false" customHeight="false" outlineLevel="0" collapsed="false">
      <c r="A270" s="6" t="s">
        <v>421</v>
      </c>
      <c r="C270" s="117" t="n">
        <f aca="false">C267*Inputs!$D$22</f>
        <v>40.194</v>
      </c>
      <c r="D270" s="117" t="n">
        <f aca="false">D267*Inputs!$D$22</f>
        <v>44.892</v>
      </c>
      <c r="E270" s="117" t="n">
        <f aca="false">E267*Inputs!$D$22</f>
        <v>56.9366666666667</v>
      </c>
      <c r="F270" s="117" t="n">
        <f aca="false">F267*Inputs!$D$22</f>
        <v>62.3306666666667</v>
      </c>
      <c r="G270" s="117" t="n">
        <f aca="false">G267*Inputs!$D$22</f>
        <v>67.7246666666667</v>
      </c>
      <c r="H270" s="117" t="n">
        <f aca="false">H267*Inputs!$D$22</f>
        <v>73.1186666666667</v>
      </c>
      <c r="I270" s="117" t="n">
        <f aca="false">I267*Inputs!$D$22</f>
        <v>78.5126666666667</v>
      </c>
      <c r="J270" s="117" t="n">
        <f aca="false">J267*Inputs!$D$22</f>
        <v>83.9066666666667</v>
      </c>
      <c r="K270" s="117" t="n">
        <f aca="false">K267*Inputs!$D$22</f>
        <v>83.9066666666667</v>
      </c>
      <c r="L270" s="117" t="n">
        <f aca="false">L267*Inputs!$D$22</f>
        <v>83.9066666666667</v>
      </c>
      <c r="M270" s="117" t="n">
        <f aca="false">M267*Inputs!$D$22</f>
        <v>83.9066666666667</v>
      </c>
      <c r="N270" s="117" t="n">
        <f aca="false">N267*Inputs!$D$22</f>
        <v>73.08</v>
      </c>
      <c r="O270" s="117" t="n">
        <f aca="false">O267*Inputs!$D$22</f>
        <v>73.08</v>
      </c>
      <c r="P270" s="117" t="n">
        <f aca="false">P267*Inputs!$D$22</f>
        <v>73.08</v>
      </c>
      <c r="Q270" s="117" t="n">
        <f aca="false">Q267*Inputs!$D$22</f>
        <v>83.9066666666667</v>
      </c>
      <c r="R270" s="117" t="n">
        <f aca="false">R267*Inputs!$D$22</f>
        <v>83.9066666666667</v>
      </c>
      <c r="S270" s="117" t="n">
        <f aca="false">S267*Inputs!$D$22</f>
        <v>83.9066666666667</v>
      </c>
      <c r="T270" s="117" t="n">
        <f aca="false">T267*Inputs!$D$22</f>
        <v>83.9066666666667</v>
      </c>
      <c r="U270" s="117" t="n">
        <f aca="false">U267*Inputs!$D$22</f>
        <v>83.9066666666667</v>
      </c>
      <c r="V270" s="117" t="n">
        <f aca="false">V267*Inputs!$D$22</f>
        <v>83.9066666666667</v>
      </c>
      <c r="W270" s="117" t="n">
        <f aca="false">W267*Inputs!$D$22</f>
        <v>83.9066666666667</v>
      </c>
      <c r="X270" s="117" t="n">
        <f aca="false">X267*Inputs!$D$22</f>
        <v>83.9066666666667</v>
      </c>
      <c r="Y270" s="117" t="n">
        <f aca="false">Y267*Inputs!$D$22</f>
        <v>83.9066666666667</v>
      </c>
      <c r="Z270" s="117" t="n">
        <f aca="false">Z267*Inputs!$D$22</f>
        <v>73.08</v>
      </c>
      <c r="AA270" s="117" t="n">
        <f aca="false">AA267*Inputs!$D$22</f>
        <v>73.08</v>
      </c>
      <c r="AB270" s="117" t="n">
        <f aca="false">AB267*Inputs!$D$22</f>
        <v>73.08</v>
      </c>
      <c r="AC270" s="117" t="n">
        <f aca="false">AC267*Inputs!$D$22</f>
        <v>83.9066666666667</v>
      </c>
      <c r="AD270" s="117" t="n">
        <f aca="false">AD267*Inputs!$D$22</f>
        <v>83.9066666666667</v>
      </c>
      <c r="AE270" s="117" t="n">
        <f aca="false">AE267*Inputs!$D$22</f>
        <v>83.9066666666667</v>
      </c>
      <c r="AF270" s="117" t="n">
        <f aca="false">AF267*Inputs!$D$22</f>
        <v>83.9066666666667</v>
      </c>
      <c r="AG270" s="117" t="n">
        <f aca="false">AG267*Inputs!$D$22</f>
        <v>83.9066666666667</v>
      </c>
      <c r="AH270" s="117" t="n">
        <f aca="false">AH267*Inputs!$D$22</f>
        <v>83.9066666666667</v>
      </c>
      <c r="AI270" s="117" t="n">
        <f aca="false">AI267*Inputs!$D$22</f>
        <v>83.9066666666667</v>
      </c>
      <c r="AJ270" s="117" t="n">
        <f aca="false">AJ267*Inputs!$D$22</f>
        <v>83.9066666666667</v>
      </c>
      <c r="AK270" s="117" t="n">
        <f aca="false">AK267*Inputs!$D$22</f>
        <v>83.9066666666667</v>
      </c>
      <c r="AL270" s="117" t="n">
        <f aca="false">AL267*Inputs!$D$22</f>
        <v>73.08</v>
      </c>
      <c r="AM270" s="117" t="n">
        <f aca="false">AM267*Inputs!$D$22</f>
        <v>73.08</v>
      </c>
      <c r="AN270" s="117" t="n">
        <f aca="false">AN267*Inputs!$D$22</f>
        <v>73.08</v>
      </c>
      <c r="AO270" s="117" t="n">
        <f aca="false">AO267*Inputs!$D$22</f>
        <v>83.9066666666667</v>
      </c>
      <c r="AP270" s="117" t="n">
        <f aca="false">AP267*Inputs!$D$22</f>
        <v>83.9066666666667</v>
      </c>
      <c r="AQ270" s="117" t="n">
        <f aca="false">AQ267*Inputs!$D$22</f>
        <v>83.9066666666667</v>
      </c>
      <c r="AR270" s="117" t="n">
        <f aca="false">AR267*Inputs!$D$22</f>
        <v>83.9066666666667</v>
      </c>
      <c r="AS270" s="117" t="n">
        <f aca="false">AS267*Inputs!$D$22</f>
        <v>83.9066666666667</v>
      </c>
      <c r="AT270" s="117" t="n">
        <f aca="false">AT267*Inputs!$D$22</f>
        <v>83.9066666666667</v>
      </c>
      <c r="AU270" s="117" t="n">
        <f aca="false">AU267*Inputs!$D$22</f>
        <v>83.9066666666667</v>
      </c>
      <c r="AV270" s="117" t="n">
        <f aca="false">AV267*Inputs!$D$22</f>
        <v>83.9066666666667</v>
      </c>
      <c r="AW270" s="117" t="n">
        <f aca="false">AW267*Inputs!$D$22</f>
        <v>83.9066666666667</v>
      </c>
      <c r="AX270" s="117" t="n">
        <f aca="false">AX267*Inputs!$D$22</f>
        <v>73.08</v>
      </c>
      <c r="AY270" s="117" t="n">
        <f aca="false">AY267*Inputs!$D$22</f>
        <v>73.08</v>
      </c>
      <c r="AZ270" s="117" t="n">
        <f aca="false">AZ267*Inputs!$D$22</f>
        <v>73.08</v>
      </c>
      <c r="BA270" s="117" t="n">
        <f aca="false">BA267*Inputs!$D$22</f>
        <v>83.9066666666667</v>
      </c>
      <c r="BB270" s="117" t="n">
        <f aca="false">BB267*Inputs!$D$22</f>
        <v>83.9066666666667</v>
      </c>
      <c r="BC270" s="117" t="n">
        <f aca="false">BC267*Inputs!$D$22</f>
        <v>83.9066666666667</v>
      </c>
      <c r="BD270" s="117" t="n">
        <f aca="false">BD267*Inputs!$D$22</f>
        <v>83.9066666666667</v>
      </c>
      <c r="BE270" s="117" t="n">
        <f aca="false">BE267*Inputs!$D$22</f>
        <v>83.9066666666667</v>
      </c>
      <c r="BF270" s="117" t="n">
        <f aca="false">BF267*Inputs!$D$22</f>
        <v>83.9066666666667</v>
      </c>
      <c r="BG270" s="117" t="n">
        <f aca="false">BG267*Inputs!$D$22</f>
        <v>83.9066666666667</v>
      </c>
      <c r="BH270" s="117" t="n">
        <f aca="false">BH267*Inputs!$D$22</f>
        <v>83.9066666666667</v>
      </c>
      <c r="BI270" s="117" t="n">
        <f aca="false">BI267*Inputs!$D$22</f>
        <v>83.9066666666667</v>
      </c>
      <c r="BJ270" s="117" t="n">
        <f aca="false">BJ267*Inputs!$D$22</f>
        <v>73.08</v>
      </c>
    </row>
    <row r="271" customFormat="false" ht="15" hidden="false" customHeight="false" outlineLevel="0" collapsed="false">
      <c r="A271" s="6" t="s">
        <v>422</v>
      </c>
      <c r="C271" s="117" t="n">
        <f aca="false">Inputs!$D$20*(1+Inputs!$D$21)^(C$261-1)*1*C265</f>
        <v>33</v>
      </c>
      <c r="D271" s="117" t="n">
        <f aca="false">Inputs!$D$20*(1+Inputs!$D$21)^(D$261-1)*1*D265</f>
        <v>36.8571428571429</v>
      </c>
      <c r="E271" s="117" t="n">
        <f aca="false">Inputs!$D$20*(1+Inputs!$D$21)^(E$261-1)*1*E265</f>
        <v>40.7142857142857</v>
      </c>
      <c r="F271" s="117" t="n">
        <f aca="false">Inputs!$D$20*(1+Inputs!$D$21)^(F$261-1)*1*F265</f>
        <v>44.5714285714286</v>
      </c>
      <c r="G271" s="117" t="n">
        <f aca="false">Inputs!$D$20*(1+Inputs!$D$21)^(G$261-1)*1*G265</f>
        <v>48.4285714285714</v>
      </c>
      <c r="H271" s="117" t="n">
        <f aca="false">Inputs!$D$20*(1+Inputs!$D$21)^(H$261-1)*1*H265</f>
        <v>52.2857142857143</v>
      </c>
      <c r="I271" s="117" t="n">
        <f aca="false">Inputs!$D$20*(1+Inputs!$D$21)^(I$261-1)*1*I265</f>
        <v>56.1428571428571</v>
      </c>
      <c r="J271" s="117" t="n">
        <f aca="false">Inputs!$D$20*(1+Inputs!$D$21)^(J$261-1)*1*J265</f>
        <v>60</v>
      </c>
      <c r="K271" s="117" t="n">
        <f aca="false">Inputs!$D$20*(1+Inputs!$D$21)^(K$261-1)*1*K265</f>
        <v>60</v>
      </c>
      <c r="L271" s="117" t="n">
        <f aca="false">Inputs!$D$20*(1+Inputs!$D$21)^(L$261-1)*1*L265</f>
        <v>60</v>
      </c>
      <c r="M271" s="117" t="n">
        <f aca="false">Inputs!$D$20*(1+Inputs!$D$21)^(M$261-1)*1*M265</f>
        <v>60</v>
      </c>
      <c r="N271" s="117" t="n">
        <f aca="false">Inputs!$D$20*(1+Inputs!$D$21)^(N$261-1)*1*N265</f>
        <v>60</v>
      </c>
      <c r="O271" s="117" t="n">
        <f aca="false">Inputs!$D$20*(1+Inputs!$D$21)^(O$261-1)*1*O265</f>
        <v>66</v>
      </c>
      <c r="P271" s="117" t="n">
        <f aca="false">Inputs!$D$20*(1+Inputs!$D$21)^(P$261-1)*1*P265</f>
        <v>66</v>
      </c>
      <c r="Q271" s="117" t="n">
        <f aca="false">Inputs!$D$20*(1+Inputs!$D$21)^(Q$261-1)*1*Q265</f>
        <v>66</v>
      </c>
      <c r="R271" s="117" t="n">
        <f aca="false">Inputs!$D$20*(1+Inputs!$D$21)^(R$261-1)*1*R265</f>
        <v>66</v>
      </c>
      <c r="S271" s="117" t="n">
        <f aca="false">Inputs!$D$20*(1+Inputs!$D$21)^(S$261-1)*1*S265</f>
        <v>66</v>
      </c>
      <c r="T271" s="117" t="n">
        <f aca="false">Inputs!$D$20*(1+Inputs!$D$21)^(T$261-1)*1*T265</f>
        <v>66</v>
      </c>
      <c r="U271" s="117" t="n">
        <f aca="false">Inputs!$D$20*(1+Inputs!$D$21)^(U$261-1)*1*U265</f>
        <v>66</v>
      </c>
      <c r="V271" s="117" t="n">
        <f aca="false">Inputs!$D$20*(1+Inputs!$D$21)^(V$261-1)*1*V265</f>
        <v>66</v>
      </c>
      <c r="W271" s="117" t="n">
        <f aca="false">Inputs!$D$20*(1+Inputs!$D$21)^(W$261-1)*1*W265</f>
        <v>66</v>
      </c>
      <c r="X271" s="117" t="n">
        <f aca="false">Inputs!$D$20*(1+Inputs!$D$21)^(X$261-1)*1*X265</f>
        <v>66</v>
      </c>
      <c r="Y271" s="117" t="n">
        <f aca="false">Inputs!$D$20*(1+Inputs!$D$21)^(Y$261-1)*1*Y265</f>
        <v>66</v>
      </c>
      <c r="Z271" s="117" t="n">
        <f aca="false">Inputs!$D$20*(1+Inputs!$D$21)^(Z$261-1)*1*Z265</f>
        <v>66</v>
      </c>
      <c r="AA271" s="117" t="n">
        <f aca="false">Inputs!$D$20*(1+Inputs!$D$21)^(AA$261-1)*1*AA265</f>
        <v>72.6</v>
      </c>
      <c r="AB271" s="117" t="n">
        <f aca="false">Inputs!$D$20*(1+Inputs!$D$21)^(AB$261-1)*1*AB265</f>
        <v>72.6</v>
      </c>
      <c r="AC271" s="117" t="n">
        <f aca="false">Inputs!$D$20*(1+Inputs!$D$21)^(AC$261-1)*1*AC265</f>
        <v>72.6</v>
      </c>
      <c r="AD271" s="117" t="n">
        <f aca="false">Inputs!$D$20*(1+Inputs!$D$21)^(AD$261-1)*1*AD265</f>
        <v>72.6</v>
      </c>
      <c r="AE271" s="117" t="n">
        <f aca="false">Inputs!$D$20*(1+Inputs!$D$21)^(AE$261-1)*1*AE265</f>
        <v>72.6</v>
      </c>
      <c r="AF271" s="117" t="n">
        <f aca="false">Inputs!$D$20*(1+Inputs!$D$21)^(AF$261-1)*1*AF265</f>
        <v>72.6</v>
      </c>
      <c r="AG271" s="117" t="n">
        <f aca="false">Inputs!$D$20*(1+Inputs!$D$21)^(AG$261-1)*1*AG265</f>
        <v>72.6</v>
      </c>
      <c r="AH271" s="117" t="n">
        <f aca="false">Inputs!$D$20*(1+Inputs!$D$21)^(AH$261-1)*1*AH265</f>
        <v>72.6</v>
      </c>
      <c r="AI271" s="117" t="n">
        <f aca="false">Inputs!$D$20*(1+Inputs!$D$21)^(AI$261-1)*1*AI265</f>
        <v>72.6</v>
      </c>
      <c r="AJ271" s="117" t="n">
        <f aca="false">Inputs!$D$20*(1+Inputs!$D$21)^(AJ$261-1)*1*AJ265</f>
        <v>72.6</v>
      </c>
      <c r="AK271" s="117" t="n">
        <f aca="false">Inputs!$D$20*(1+Inputs!$D$21)^(AK$261-1)*1*AK265</f>
        <v>72.6</v>
      </c>
      <c r="AL271" s="117" t="n">
        <f aca="false">Inputs!$D$20*(1+Inputs!$D$21)^(AL$261-1)*1*AL265</f>
        <v>72.6</v>
      </c>
      <c r="AM271" s="117" t="n">
        <f aca="false">Inputs!$D$20*(1+Inputs!$D$21)^(AM$261-1)*1*AM265</f>
        <v>79.86</v>
      </c>
      <c r="AN271" s="117" t="n">
        <f aca="false">Inputs!$D$20*(1+Inputs!$D$21)^(AN$261-1)*1*AN265</f>
        <v>79.86</v>
      </c>
      <c r="AO271" s="117" t="n">
        <f aca="false">Inputs!$D$20*(1+Inputs!$D$21)^(AO$261-1)*1*AO265</f>
        <v>79.86</v>
      </c>
      <c r="AP271" s="117" t="n">
        <f aca="false">Inputs!$D$20*(1+Inputs!$D$21)^(AP$261-1)*1*AP265</f>
        <v>79.86</v>
      </c>
      <c r="AQ271" s="117" t="n">
        <f aca="false">Inputs!$D$20*(1+Inputs!$D$21)^(AQ$261-1)*1*AQ265</f>
        <v>79.86</v>
      </c>
      <c r="AR271" s="117" t="n">
        <f aca="false">Inputs!$D$20*(1+Inputs!$D$21)^(AR$261-1)*1*AR265</f>
        <v>79.86</v>
      </c>
      <c r="AS271" s="117" t="n">
        <f aca="false">Inputs!$D$20*(1+Inputs!$D$21)^(AS$261-1)*1*AS265</f>
        <v>79.86</v>
      </c>
      <c r="AT271" s="117" t="n">
        <f aca="false">Inputs!$D$20*(1+Inputs!$D$21)^(AT$261-1)*1*AT265</f>
        <v>79.86</v>
      </c>
      <c r="AU271" s="117" t="n">
        <f aca="false">Inputs!$D$20*(1+Inputs!$D$21)^(AU$261-1)*1*AU265</f>
        <v>79.86</v>
      </c>
      <c r="AV271" s="117" t="n">
        <f aca="false">Inputs!$D$20*(1+Inputs!$D$21)^(AV$261-1)*1*AV265</f>
        <v>79.86</v>
      </c>
      <c r="AW271" s="117" t="n">
        <f aca="false">Inputs!$D$20*(1+Inputs!$D$21)^(AW$261-1)*1*AW265</f>
        <v>79.86</v>
      </c>
      <c r="AX271" s="117" t="n">
        <f aca="false">Inputs!$D$20*(1+Inputs!$D$21)^(AX$261-1)*1*AX265</f>
        <v>79.86</v>
      </c>
      <c r="AY271" s="117" t="n">
        <f aca="false">Inputs!$D$20*(1+Inputs!$D$21)^(AY$261-1)*1*AY265</f>
        <v>87.846</v>
      </c>
      <c r="AZ271" s="117" t="n">
        <f aca="false">Inputs!$D$20*(1+Inputs!$D$21)^(AZ$261-1)*1*AZ265</f>
        <v>87.846</v>
      </c>
      <c r="BA271" s="117" t="n">
        <f aca="false">Inputs!$D$20*(1+Inputs!$D$21)^(BA$261-1)*1*BA265</f>
        <v>87.846</v>
      </c>
      <c r="BB271" s="117" t="n">
        <f aca="false">Inputs!$D$20*(1+Inputs!$D$21)^(BB$261-1)*1*BB265</f>
        <v>87.846</v>
      </c>
      <c r="BC271" s="117" t="n">
        <f aca="false">Inputs!$D$20*(1+Inputs!$D$21)^(BC$261-1)*1*BC265</f>
        <v>87.846</v>
      </c>
      <c r="BD271" s="117" t="n">
        <f aca="false">Inputs!$D$20*(1+Inputs!$D$21)^(BD$261-1)*1*BD265</f>
        <v>87.846</v>
      </c>
      <c r="BE271" s="117" t="n">
        <f aca="false">Inputs!$D$20*(1+Inputs!$D$21)^(BE$261-1)*1*BE265</f>
        <v>87.846</v>
      </c>
      <c r="BF271" s="117" t="n">
        <f aca="false">Inputs!$D$20*(1+Inputs!$D$21)^(BF$261-1)*1*BF265</f>
        <v>87.846</v>
      </c>
      <c r="BG271" s="117" t="n">
        <f aca="false">Inputs!$D$20*(1+Inputs!$D$21)^(BG$261-1)*1*BG265</f>
        <v>87.846</v>
      </c>
      <c r="BH271" s="117" t="n">
        <f aca="false">Inputs!$D$20*(1+Inputs!$D$21)^(BH$261-1)*1*BH265</f>
        <v>87.846</v>
      </c>
      <c r="BI271" s="117" t="n">
        <f aca="false">Inputs!$D$20*(1+Inputs!$D$21)^(BI$261-1)*1*BI265</f>
        <v>87.846</v>
      </c>
      <c r="BJ271" s="117" t="n">
        <f aca="false">Inputs!$D$20*(1+Inputs!$D$21)^(BJ$261-1)*1*BJ265</f>
        <v>87.846</v>
      </c>
    </row>
    <row r="272" customFormat="false" ht="15" hidden="false" customHeight="false" outlineLevel="0" collapsed="false">
      <c r="A272" s="4" t="s">
        <v>423</v>
      </c>
      <c r="C272" s="119" t="n">
        <f aca="false">C270+C271</f>
        <v>73.194</v>
      </c>
      <c r="D272" s="119" t="n">
        <f aca="false">D270+D271</f>
        <v>81.7491428571429</v>
      </c>
      <c r="E272" s="119" t="n">
        <f aca="false">E270+E271</f>
        <v>97.6509523809524</v>
      </c>
      <c r="F272" s="119" t="n">
        <f aca="false">F270+F271</f>
        <v>106.902095238095</v>
      </c>
      <c r="G272" s="119" t="n">
        <f aca="false">G270+G271</f>
        <v>116.153238095238</v>
      </c>
      <c r="H272" s="119" t="n">
        <f aca="false">H270+H271</f>
        <v>125.404380952381</v>
      </c>
      <c r="I272" s="119" t="n">
        <f aca="false">I270+I271</f>
        <v>134.655523809524</v>
      </c>
      <c r="J272" s="119" t="n">
        <f aca="false">J270+J271</f>
        <v>143.906666666667</v>
      </c>
      <c r="K272" s="119" t="n">
        <f aca="false">K270+K271</f>
        <v>143.906666666667</v>
      </c>
      <c r="L272" s="119" t="n">
        <f aca="false">L270+L271</f>
        <v>143.906666666667</v>
      </c>
      <c r="M272" s="119" t="n">
        <f aca="false">M270+M271</f>
        <v>143.906666666667</v>
      </c>
      <c r="N272" s="119" t="n">
        <f aca="false">N270+N271</f>
        <v>133.08</v>
      </c>
      <c r="O272" s="119" t="n">
        <f aca="false">O270+O271</f>
        <v>139.08</v>
      </c>
      <c r="P272" s="119" t="n">
        <f aca="false">P270+P271</f>
        <v>139.08</v>
      </c>
      <c r="Q272" s="119" t="n">
        <f aca="false">Q270+Q271</f>
        <v>149.906666666667</v>
      </c>
      <c r="R272" s="119" t="n">
        <f aca="false">R270+R271</f>
        <v>149.906666666667</v>
      </c>
      <c r="S272" s="119" t="n">
        <f aca="false">S270+S271</f>
        <v>149.906666666667</v>
      </c>
      <c r="T272" s="119" t="n">
        <f aca="false">T270+T271</f>
        <v>149.906666666667</v>
      </c>
      <c r="U272" s="119" t="n">
        <f aca="false">U270+U271</f>
        <v>149.906666666667</v>
      </c>
      <c r="V272" s="119" t="n">
        <f aca="false">V270+V271</f>
        <v>149.906666666667</v>
      </c>
      <c r="W272" s="119" t="n">
        <f aca="false">W270+W271</f>
        <v>149.906666666667</v>
      </c>
      <c r="X272" s="119" t="n">
        <f aca="false">X270+X271</f>
        <v>149.906666666667</v>
      </c>
      <c r="Y272" s="119" t="n">
        <f aca="false">Y270+Y271</f>
        <v>149.906666666667</v>
      </c>
      <c r="Z272" s="119" t="n">
        <f aca="false">Z270+Z271</f>
        <v>139.08</v>
      </c>
      <c r="AA272" s="119" t="n">
        <f aca="false">AA270+AA271</f>
        <v>145.68</v>
      </c>
      <c r="AB272" s="119" t="n">
        <f aca="false">AB270+AB271</f>
        <v>145.68</v>
      </c>
      <c r="AC272" s="119" t="n">
        <f aca="false">AC270+AC271</f>
        <v>156.506666666667</v>
      </c>
      <c r="AD272" s="119" t="n">
        <f aca="false">AD270+AD271</f>
        <v>156.506666666667</v>
      </c>
      <c r="AE272" s="119" t="n">
        <f aca="false">AE270+AE271</f>
        <v>156.506666666667</v>
      </c>
      <c r="AF272" s="119" t="n">
        <f aca="false">AF270+AF271</f>
        <v>156.506666666667</v>
      </c>
      <c r="AG272" s="119" t="n">
        <f aca="false">AG270+AG271</f>
        <v>156.506666666667</v>
      </c>
      <c r="AH272" s="119" t="n">
        <f aca="false">AH270+AH271</f>
        <v>156.506666666667</v>
      </c>
      <c r="AI272" s="119" t="n">
        <f aca="false">AI270+AI271</f>
        <v>156.506666666667</v>
      </c>
      <c r="AJ272" s="119" t="n">
        <f aca="false">AJ270+AJ271</f>
        <v>156.506666666667</v>
      </c>
      <c r="AK272" s="119" t="n">
        <f aca="false">AK270+AK271</f>
        <v>156.506666666667</v>
      </c>
      <c r="AL272" s="119" t="n">
        <f aca="false">AL270+AL271</f>
        <v>145.68</v>
      </c>
      <c r="AM272" s="119" t="n">
        <f aca="false">AM270+AM271</f>
        <v>152.94</v>
      </c>
      <c r="AN272" s="119" t="n">
        <f aca="false">AN270+AN271</f>
        <v>152.94</v>
      </c>
      <c r="AO272" s="119" t="n">
        <f aca="false">AO270+AO271</f>
        <v>163.766666666667</v>
      </c>
      <c r="AP272" s="119" t="n">
        <f aca="false">AP270+AP271</f>
        <v>163.766666666667</v>
      </c>
      <c r="AQ272" s="119" t="n">
        <f aca="false">AQ270+AQ271</f>
        <v>163.766666666667</v>
      </c>
      <c r="AR272" s="119" t="n">
        <f aca="false">AR270+AR271</f>
        <v>163.766666666667</v>
      </c>
      <c r="AS272" s="119" t="n">
        <f aca="false">AS270+AS271</f>
        <v>163.766666666667</v>
      </c>
      <c r="AT272" s="119" t="n">
        <f aca="false">AT270+AT271</f>
        <v>163.766666666667</v>
      </c>
      <c r="AU272" s="119" t="n">
        <f aca="false">AU270+AU271</f>
        <v>163.766666666667</v>
      </c>
      <c r="AV272" s="119" t="n">
        <f aca="false">AV270+AV271</f>
        <v>163.766666666667</v>
      </c>
      <c r="AW272" s="119" t="n">
        <f aca="false">AW270+AW271</f>
        <v>163.766666666667</v>
      </c>
      <c r="AX272" s="119" t="n">
        <f aca="false">AX270+AX271</f>
        <v>152.94</v>
      </c>
      <c r="AY272" s="119" t="n">
        <f aca="false">AY270+AY271</f>
        <v>160.926</v>
      </c>
      <c r="AZ272" s="119" t="n">
        <f aca="false">AZ270+AZ271</f>
        <v>160.926</v>
      </c>
      <c r="BA272" s="119" t="n">
        <f aca="false">BA270+BA271</f>
        <v>171.752666666667</v>
      </c>
      <c r="BB272" s="119" t="n">
        <f aca="false">BB270+BB271</f>
        <v>171.752666666667</v>
      </c>
      <c r="BC272" s="119" t="n">
        <f aca="false">BC270+BC271</f>
        <v>171.752666666667</v>
      </c>
      <c r="BD272" s="119" t="n">
        <f aca="false">BD270+BD271</f>
        <v>171.752666666667</v>
      </c>
      <c r="BE272" s="119" t="n">
        <f aca="false">BE270+BE271</f>
        <v>171.752666666667</v>
      </c>
      <c r="BF272" s="119" t="n">
        <f aca="false">BF270+BF271</f>
        <v>171.752666666667</v>
      </c>
      <c r="BG272" s="119" t="n">
        <f aca="false">BG270+BG271</f>
        <v>171.752666666667</v>
      </c>
      <c r="BH272" s="119" t="n">
        <f aca="false">BH270+BH271</f>
        <v>171.752666666667</v>
      </c>
      <c r="BI272" s="119" t="n">
        <f aca="false">BI270+BI271</f>
        <v>171.752666666667</v>
      </c>
      <c r="BJ272" s="119" t="n">
        <f aca="false">BJ270+BJ271</f>
        <v>160.926</v>
      </c>
    </row>
    <row r="273" customFormat="false" ht="15" hidden="false" customHeight="false" outlineLevel="0" collapsed="false">
      <c r="A273" s="6" t="s">
        <v>424</v>
      </c>
      <c r="C273" s="120" t="n">
        <f aca="false">Inputs!$D$19</f>
        <v>350</v>
      </c>
      <c r="D273" s="117" t="n">
        <f aca="false">C275</f>
        <v>411.994</v>
      </c>
      <c r="E273" s="117" t="n">
        <f aca="false">D275</f>
        <v>480.559334857143</v>
      </c>
      <c r="F273" s="117" t="n">
        <f aca="false">E275</f>
        <v>562.832388522667</v>
      </c>
      <c r="G273" s="117" t="n">
        <f aca="false">F275</f>
        <v>651.723847328037</v>
      </c>
      <c r="H273" s="117" t="n">
        <f aca="false">G275</f>
        <v>747.021922308777</v>
      </c>
      <c r="I273" s="117" t="n">
        <f aca="false">H275</f>
        <v>848.521601747278</v>
      </c>
      <c r="J273" s="117" t="n">
        <f aca="false">I275</f>
        <v>956.024434300888</v>
      </c>
      <c r="K273" s="117" t="n">
        <f aca="false">J275</f>
        <v>1069.33831906993</v>
      </c>
      <c r="L273" s="117" t="n">
        <f aca="false">K275</f>
        <v>1179.02615952636</v>
      </c>
      <c r="M273" s="117" t="n">
        <f aca="false">L275</f>
        <v>1285.20398908818</v>
      </c>
      <c r="N273" s="117" t="n">
        <f aca="false">M275</f>
        <v>1387.98412810402</v>
      </c>
      <c r="O273" s="117" t="n">
        <f aca="false">N275</f>
        <v>1476.6486360047</v>
      </c>
      <c r="P273" s="117" t="n">
        <f aca="false">O275</f>
        <v>1568.47587965254</v>
      </c>
      <c r="Q273" s="117" t="n">
        <f aca="false">P275</f>
        <v>1657.36465150366</v>
      </c>
      <c r="R273" s="117" t="n">
        <f aca="false">Q275</f>
        <v>1754.23564932221</v>
      </c>
      <c r="S273" s="117" t="n">
        <f aca="false">R275</f>
        <v>1848.00677521057</v>
      </c>
      <c r="T273" s="117" t="n">
        <f aca="false">S275</f>
        <v>1938.7772250705</v>
      </c>
      <c r="U273" s="117" t="n">
        <f aca="false">T275</f>
        <v>2026.64302053491</v>
      </c>
      <c r="V273" s="117" t="n">
        <f aca="false">U275</f>
        <v>2111.69711054446</v>
      </c>
      <c r="W273" s="117" t="n">
        <f aca="false">V275</f>
        <v>2194.0294696737</v>
      </c>
      <c r="X273" s="117" t="n">
        <f aca="false">W275</f>
        <v>2273.72719331081</v>
      </c>
      <c r="Y273" s="117" t="n">
        <f aca="false">X275</f>
        <v>2350.87458979153</v>
      </c>
      <c r="Z273" s="117" t="n">
        <f aca="false">Y275</f>
        <v>2425.55326958487</v>
      </c>
      <c r="AA273" s="117" t="n">
        <f aca="false">Z275</f>
        <v>2487.01556495815</v>
      </c>
      <c r="AB273" s="117" t="n">
        <f aca="false">AA275</f>
        <v>2553.11106687949</v>
      </c>
      <c r="AC273" s="117" t="n">
        <f aca="false">AB275</f>
        <v>2617.09151273935</v>
      </c>
      <c r="AD273" s="117" t="n">
        <f aca="false">AC275</f>
        <v>2689.85125099835</v>
      </c>
      <c r="AE273" s="117" t="n">
        <f aca="false">AD275</f>
        <v>2760.28267763307</v>
      </c>
      <c r="AF273" s="117" t="n">
        <f aca="false">AE275</f>
        <v>2828.46029861548</v>
      </c>
      <c r="AG273" s="117" t="n">
        <f aca="false">AF275</f>
        <v>2894.45623572645</v>
      </c>
      <c r="AH273" s="117" t="n">
        <f aca="false">AG275</f>
        <v>2958.34030284987</v>
      </c>
      <c r="AI273" s="117" t="n">
        <f aca="false">AH275</f>
        <v>3020.18007982534</v>
      </c>
      <c r="AJ273" s="117" t="n">
        <f aca="false">AI275</f>
        <v>3080.0409839376</v>
      </c>
      <c r="AK273" s="117" t="n">
        <f aca="false">AJ275</f>
        <v>3137.98633911826</v>
      </c>
      <c r="AL273" s="117" t="n">
        <f aca="false">AK275</f>
        <v>3194.07744293315</v>
      </c>
      <c r="AM273" s="117" t="n">
        <f aca="false">AL275</f>
        <v>3237.54696475928</v>
      </c>
      <c r="AN273" s="117" t="n">
        <f aca="false">AM275</f>
        <v>3286.88546188699</v>
      </c>
      <c r="AO273" s="117" t="n">
        <f aca="false">AN275</f>
        <v>3334.6451271066</v>
      </c>
      <c r="AP273" s="117" t="n">
        <f aca="false">AO275</f>
        <v>3391.70314970586</v>
      </c>
      <c r="AQ273" s="117" t="n">
        <f aca="false">AP275</f>
        <v>3446.93531558194</v>
      </c>
      <c r="AR273" s="117" t="n">
        <f aca="false">AQ275</f>
        <v>3500.40005214998</v>
      </c>
      <c r="AS273" s="117" t="n">
        <f aca="false">AR275</f>
        <v>3552.15391714785</v>
      </c>
      <c r="AT273" s="117" t="n">
        <f aca="false">AS275</f>
        <v>3602.25165846579</v>
      </c>
      <c r="AU273" s="117" t="n">
        <f aca="false">AT275</f>
        <v>3650.74627206155</v>
      </c>
      <c r="AV273" s="117" t="n">
        <f aca="false">AU275</f>
        <v>3697.68905802224</v>
      </c>
      <c r="AW273" s="117" t="n">
        <f aca="false">AV275</f>
        <v>3743.1296748322</v>
      </c>
      <c r="AX273" s="117" t="n">
        <f aca="false">AW275</f>
        <v>3787.11619190424</v>
      </c>
      <c r="AY273" s="117" t="n">
        <f aca="false">AX275</f>
        <v>3818.8684737633</v>
      </c>
      <c r="AZ273" s="117" t="n">
        <f aca="false">AY275</f>
        <v>3857.59068260287</v>
      </c>
      <c r="BA273" s="117" t="n">
        <f aca="false">AZ275</f>
        <v>3895.07378075958</v>
      </c>
      <c r="BB273" s="117" t="n">
        <f aca="false">BA275</f>
        <v>3942.18408644194</v>
      </c>
      <c r="BC273" s="117" t="n">
        <f aca="false">BB275</f>
        <v>3987.78686234247</v>
      </c>
      <c r="BD273" s="117" t="n">
        <f aca="false">BC275</f>
        <v>4031.93034941417</v>
      </c>
      <c r="BE273" s="117" t="n">
        <f aca="false">BD275</f>
        <v>4074.66124489959</v>
      </c>
      <c r="BF273" s="117" t="n">
        <f aca="false">BE275</f>
        <v>4116.02475172947</v>
      </c>
      <c r="BG273" s="117" t="n">
        <f aca="false">BF275</f>
        <v>4156.06462634079</v>
      </c>
      <c r="BH273" s="117" t="n">
        <f aca="false">BG275</f>
        <v>4194.82322496455</v>
      </c>
      <c r="BI273" s="117" t="n">
        <f aca="false">BH275</f>
        <v>4232.34154843235</v>
      </c>
      <c r="BJ273" s="117" t="n">
        <f aca="false">BI275</f>
        <v>4268.65928554918</v>
      </c>
    </row>
    <row r="274" customFormat="false" ht="15" hidden="false" customHeight="false" outlineLevel="0" collapsed="false">
      <c r="A274" s="6" t="s">
        <v>425</v>
      </c>
      <c r="C274" s="117" t="n">
        <f aca="false">C275-C273-C272</f>
        <v>-11.2</v>
      </c>
      <c r="D274" s="117" t="n">
        <f aca="false">D275-D273-D272</f>
        <v>-13.183808</v>
      </c>
      <c r="E274" s="117" t="n">
        <f aca="false">E275-E273-E272</f>
        <v>-15.3778987154286</v>
      </c>
      <c r="F274" s="117" t="n">
        <f aca="false">F275-F273-F272</f>
        <v>-18.0106364327254</v>
      </c>
      <c r="G274" s="117" t="n">
        <f aca="false">G275-G273-G272</f>
        <v>-20.8551631144972</v>
      </c>
      <c r="H274" s="117" t="n">
        <f aca="false">H275-H273-H272</f>
        <v>-23.9047015138809</v>
      </c>
      <c r="I274" s="117" t="n">
        <f aca="false">I275-I273-I272</f>
        <v>-27.1526912559129</v>
      </c>
      <c r="J274" s="117" t="n">
        <f aca="false">J275-J273-J272</f>
        <v>-30.5927818976284</v>
      </c>
      <c r="K274" s="117" t="n">
        <f aca="false">K275-K273-K272</f>
        <v>-34.2188262102376</v>
      </c>
      <c r="L274" s="117" t="n">
        <f aca="false">L275-L273-L272</f>
        <v>-37.7288371048434</v>
      </c>
      <c r="M274" s="117" t="n">
        <f aca="false">M275-M273-M272</f>
        <v>-41.1265276508217</v>
      </c>
      <c r="N274" s="117" t="n">
        <f aca="false">N275-N273-N272</f>
        <v>-44.4154920993288</v>
      </c>
      <c r="O274" s="117" t="n">
        <f aca="false">O275-O273-O272</f>
        <v>-47.2527563521504</v>
      </c>
      <c r="P274" s="117" t="n">
        <f aca="false">P275-P273-P272</f>
        <v>-50.1912281488815</v>
      </c>
      <c r="Q274" s="117" t="n">
        <f aca="false">Q275-Q273-Q272</f>
        <v>-53.0356688481172</v>
      </c>
      <c r="R274" s="117" t="n">
        <f aca="false">R275-R273-R272</f>
        <v>-56.1355407783107</v>
      </c>
      <c r="S274" s="117" t="n">
        <f aca="false">S275-S273-S272</f>
        <v>-59.1362168067382</v>
      </c>
      <c r="T274" s="117" t="n">
        <f aca="false">T275-T273-T272</f>
        <v>-62.0408712022558</v>
      </c>
      <c r="U274" s="117" t="n">
        <f aca="false">U275-U273-U272</f>
        <v>-64.8525766571171</v>
      </c>
      <c r="V274" s="117" t="n">
        <f aca="false">V275-V273-V272</f>
        <v>-67.574307537423</v>
      </c>
      <c r="W274" s="117" t="n">
        <f aca="false">W275-W273-W272</f>
        <v>-70.2089430295586</v>
      </c>
      <c r="X274" s="117" t="n">
        <f aca="false">X275-X273-X272</f>
        <v>-72.7592701859457</v>
      </c>
      <c r="Y274" s="117" t="n">
        <f aca="false">Y275-Y273-Y272</f>
        <v>-75.2279868733289</v>
      </c>
      <c r="Z274" s="117" t="n">
        <f aca="false">Z275-Z273-Z272</f>
        <v>-77.6177046267158</v>
      </c>
      <c r="AA274" s="117" t="n">
        <f aca="false">AA275-AA273-AA272</f>
        <v>-79.5844980786612</v>
      </c>
      <c r="AB274" s="117" t="n">
        <f aca="false">AB275-AB273-AB272</f>
        <v>-81.699554140144</v>
      </c>
      <c r="AC274" s="117" t="n">
        <f aca="false">AC275-AC273-AC272</f>
        <v>-83.7469284076592</v>
      </c>
      <c r="AD274" s="117" t="n">
        <f aca="false">AD275-AD273-AD272</f>
        <v>-86.0752400319475</v>
      </c>
      <c r="AE274" s="117" t="n">
        <f aca="false">AE275-AE273-AE272</f>
        <v>-88.3290456842583</v>
      </c>
      <c r="AF274" s="117" t="n">
        <f aca="false">AF275-AF273-AF272</f>
        <v>-90.5107295556955</v>
      </c>
      <c r="AG274" s="117" t="n">
        <f aca="false">AG275-AG273-AG272</f>
        <v>-92.6225995432465</v>
      </c>
      <c r="AH274" s="117" t="n">
        <f aca="false">AH275-AH273-AH272</f>
        <v>-94.6668896911961</v>
      </c>
      <c r="AI274" s="117" t="n">
        <f aca="false">AI275-AI273-AI272</f>
        <v>-96.6457625544113</v>
      </c>
      <c r="AJ274" s="117" t="n">
        <f aca="false">AJ275-AJ273-AJ272</f>
        <v>-98.5613114860035</v>
      </c>
      <c r="AK274" s="117" t="n">
        <f aca="false">AK275-AK273-AK272</f>
        <v>-100.415562851785</v>
      </c>
      <c r="AL274" s="117" t="n">
        <f aca="false">AL275-AL273-AL272</f>
        <v>-102.210478173861</v>
      </c>
      <c r="AM274" s="117" t="n">
        <f aca="false">AM275-AM273-AM272</f>
        <v>-103.601502872297</v>
      </c>
      <c r="AN274" s="117" t="n">
        <f aca="false">AN275-AN273-AN272</f>
        <v>-105.180334780384</v>
      </c>
      <c r="AO274" s="117" t="n">
        <f aca="false">AO275-AO273-AO272</f>
        <v>-106.708644067411</v>
      </c>
      <c r="AP274" s="117" t="n">
        <f aca="false">AP275-AP273-AP272</f>
        <v>-108.534500790587</v>
      </c>
      <c r="AQ274" s="117" t="n">
        <f aca="false">AQ275-AQ273-AQ272</f>
        <v>-110.301930098622</v>
      </c>
      <c r="AR274" s="117" t="n">
        <f aca="false">AR275-AR273-AR272</f>
        <v>-112.012801668799</v>
      </c>
      <c r="AS274" s="117" t="n">
        <f aca="false">AS275-AS273-AS272</f>
        <v>-113.668925348731</v>
      </c>
      <c r="AT274" s="117" t="n">
        <f aca="false">AT275-AT273-AT272</f>
        <v>-115.272053070905</v>
      </c>
      <c r="AU274" s="117" t="n">
        <f aca="false">AU275-AU273-AU272</f>
        <v>-116.82388070597</v>
      </c>
      <c r="AV274" s="117" t="n">
        <f aca="false">AV275-AV273-AV272</f>
        <v>-118.326049856712</v>
      </c>
      <c r="AW274" s="117" t="n">
        <f aca="false">AW275-AW273-AW272</f>
        <v>-119.78014959463</v>
      </c>
      <c r="AX274" s="117" t="n">
        <f aca="false">AX275-AX273-AX272</f>
        <v>-121.187718140935</v>
      </c>
      <c r="AY274" s="117" t="n">
        <f aca="false">AY275-AY273-AY272</f>
        <v>-122.203791160426</v>
      </c>
      <c r="AZ274" s="117" t="n">
        <f aca="false">AZ275-AZ273-AZ272</f>
        <v>-123.442901843292</v>
      </c>
      <c r="BA274" s="117" t="n">
        <f aca="false">BA275-BA273-BA272</f>
        <v>-124.642360984307</v>
      </c>
      <c r="BB274" s="117" t="n">
        <f aca="false">BB275-BB273-BB272</f>
        <v>-126.149890766142</v>
      </c>
      <c r="BC274" s="117" t="n">
        <f aca="false">BC275-BC273-BC272</f>
        <v>-127.609179594959</v>
      </c>
      <c r="BD274" s="117" t="n">
        <f aca="false">BD275-BD273-BD272</f>
        <v>-129.021771181254</v>
      </c>
      <c r="BE274" s="117" t="n">
        <f aca="false">BE275-BE273-BE272</f>
        <v>-130.389159836787</v>
      </c>
      <c r="BF274" s="117" t="n">
        <f aca="false">BF275-BF273-BF272</f>
        <v>-131.712792055343</v>
      </c>
      <c r="BG274" s="117" t="n">
        <f aca="false">BG275-BG273-BG272</f>
        <v>-132.994068042906</v>
      </c>
      <c r="BH274" s="117" t="n">
        <f aca="false">BH275-BH273-BH272</f>
        <v>-134.234343198866</v>
      </c>
      <c r="BI274" s="117" t="n">
        <f aca="false">BI275-BI273-BI272</f>
        <v>-135.434929549835</v>
      </c>
      <c r="BJ274" s="117" t="n">
        <f aca="false">BJ275-BJ273-BJ272</f>
        <v>-136.597097137573</v>
      </c>
    </row>
    <row r="275" customFormat="false" ht="15" hidden="false" customHeight="false" outlineLevel="0" collapsed="false">
      <c r="A275" s="4" t="s">
        <v>426</v>
      </c>
      <c r="C275" s="119" t="n">
        <f aca="false">C273*(1-Inputs!$D$23)+C272</f>
        <v>411.994</v>
      </c>
      <c r="D275" s="119" t="n">
        <f aca="false">D273*(1-Inputs!$D$23)+D272</f>
        <v>480.559334857143</v>
      </c>
      <c r="E275" s="119" t="n">
        <f aca="false">E273*(1-Inputs!$D$23)+E272</f>
        <v>562.832388522667</v>
      </c>
      <c r="F275" s="119" t="n">
        <f aca="false">F273*(1-Inputs!$D$23)+F272</f>
        <v>651.723847328037</v>
      </c>
      <c r="G275" s="119" t="n">
        <f aca="false">G273*(1-Inputs!$D$23)+G272</f>
        <v>747.021922308777</v>
      </c>
      <c r="H275" s="119" t="n">
        <f aca="false">H273*(1-Inputs!$D$23)+H272</f>
        <v>848.521601747278</v>
      </c>
      <c r="I275" s="119" t="n">
        <f aca="false">I273*(1-Inputs!$D$23)+I272</f>
        <v>956.024434300888</v>
      </c>
      <c r="J275" s="119" t="n">
        <f aca="false">J273*(1-Inputs!$D$23)+J272</f>
        <v>1069.33831906993</v>
      </c>
      <c r="K275" s="119" t="n">
        <f aca="false">K273*(1-Inputs!$D$23)+K272</f>
        <v>1179.02615952636</v>
      </c>
      <c r="L275" s="119" t="n">
        <f aca="false">L273*(1-Inputs!$D$23)+L272</f>
        <v>1285.20398908818</v>
      </c>
      <c r="M275" s="119" t="n">
        <f aca="false">M273*(1-Inputs!$D$23)+M272</f>
        <v>1387.98412810402</v>
      </c>
      <c r="N275" s="119" t="n">
        <f aca="false">N273*(1-Inputs!$D$23)+N272</f>
        <v>1476.6486360047</v>
      </c>
      <c r="O275" s="119" t="n">
        <f aca="false">O273*(1-Inputs!$D$23)+O272</f>
        <v>1568.47587965254</v>
      </c>
      <c r="P275" s="119" t="n">
        <f aca="false">P273*(1-Inputs!$D$23)+P272</f>
        <v>1657.36465150366</v>
      </c>
      <c r="Q275" s="119" t="n">
        <f aca="false">Q273*(1-Inputs!$D$23)+Q272</f>
        <v>1754.23564932221</v>
      </c>
      <c r="R275" s="119" t="n">
        <f aca="false">R273*(1-Inputs!$D$23)+R272</f>
        <v>1848.00677521057</v>
      </c>
      <c r="S275" s="119" t="n">
        <f aca="false">S273*(1-Inputs!$D$23)+S272</f>
        <v>1938.7772250705</v>
      </c>
      <c r="T275" s="119" t="n">
        <f aca="false">T273*(1-Inputs!$D$23)+T272</f>
        <v>2026.64302053491</v>
      </c>
      <c r="U275" s="119" t="n">
        <f aca="false">U273*(1-Inputs!$D$23)+U272</f>
        <v>2111.69711054446</v>
      </c>
      <c r="V275" s="119" t="n">
        <f aca="false">V273*(1-Inputs!$D$23)+V272</f>
        <v>2194.0294696737</v>
      </c>
      <c r="W275" s="119" t="n">
        <f aca="false">W273*(1-Inputs!$D$23)+W272</f>
        <v>2273.72719331081</v>
      </c>
      <c r="X275" s="119" t="n">
        <f aca="false">X273*(1-Inputs!$D$23)+X272</f>
        <v>2350.87458979153</v>
      </c>
      <c r="Y275" s="119" t="n">
        <f aca="false">Y273*(1-Inputs!$D$23)+Y272</f>
        <v>2425.55326958487</v>
      </c>
      <c r="Z275" s="119" t="n">
        <f aca="false">Z273*(1-Inputs!$D$23)+Z272</f>
        <v>2487.01556495815</v>
      </c>
      <c r="AA275" s="119" t="n">
        <f aca="false">AA273*(1-Inputs!$D$23)+AA272</f>
        <v>2553.11106687949</v>
      </c>
      <c r="AB275" s="119" t="n">
        <f aca="false">AB273*(1-Inputs!$D$23)+AB272</f>
        <v>2617.09151273935</v>
      </c>
      <c r="AC275" s="119" t="n">
        <f aca="false">AC273*(1-Inputs!$D$23)+AC272</f>
        <v>2689.85125099835</v>
      </c>
      <c r="AD275" s="119" t="n">
        <f aca="false">AD273*(1-Inputs!$D$23)+AD272</f>
        <v>2760.28267763307</v>
      </c>
      <c r="AE275" s="119" t="n">
        <f aca="false">AE273*(1-Inputs!$D$23)+AE272</f>
        <v>2828.46029861548</v>
      </c>
      <c r="AF275" s="119" t="n">
        <f aca="false">AF273*(1-Inputs!$D$23)+AF272</f>
        <v>2894.45623572645</v>
      </c>
      <c r="AG275" s="119" t="n">
        <f aca="false">AG273*(1-Inputs!$D$23)+AG272</f>
        <v>2958.34030284987</v>
      </c>
      <c r="AH275" s="119" t="n">
        <f aca="false">AH273*(1-Inputs!$D$23)+AH272</f>
        <v>3020.18007982534</v>
      </c>
      <c r="AI275" s="119" t="n">
        <f aca="false">AI273*(1-Inputs!$D$23)+AI272</f>
        <v>3080.0409839376</v>
      </c>
      <c r="AJ275" s="119" t="n">
        <f aca="false">AJ273*(1-Inputs!$D$23)+AJ272</f>
        <v>3137.98633911826</v>
      </c>
      <c r="AK275" s="119" t="n">
        <f aca="false">AK273*(1-Inputs!$D$23)+AK272</f>
        <v>3194.07744293315</v>
      </c>
      <c r="AL275" s="119" t="n">
        <f aca="false">AL273*(1-Inputs!$D$23)+AL272</f>
        <v>3237.54696475928</v>
      </c>
      <c r="AM275" s="119" t="n">
        <f aca="false">AM273*(1-Inputs!$D$23)+AM272</f>
        <v>3286.88546188699</v>
      </c>
      <c r="AN275" s="119" t="n">
        <f aca="false">AN273*(1-Inputs!$D$23)+AN272</f>
        <v>3334.6451271066</v>
      </c>
      <c r="AO275" s="119" t="n">
        <f aca="false">AO273*(1-Inputs!$D$23)+AO272</f>
        <v>3391.70314970586</v>
      </c>
      <c r="AP275" s="119" t="n">
        <f aca="false">AP273*(1-Inputs!$D$23)+AP272</f>
        <v>3446.93531558194</v>
      </c>
      <c r="AQ275" s="119" t="n">
        <f aca="false">AQ273*(1-Inputs!$D$23)+AQ272</f>
        <v>3500.40005214998</v>
      </c>
      <c r="AR275" s="119" t="n">
        <f aca="false">AR273*(1-Inputs!$D$23)+AR272</f>
        <v>3552.15391714785</v>
      </c>
      <c r="AS275" s="119" t="n">
        <f aca="false">AS273*(1-Inputs!$D$23)+AS272</f>
        <v>3602.25165846579</v>
      </c>
      <c r="AT275" s="119" t="n">
        <f aca="false">AT273*(1-Inputs!$D$23)+AT272</f>
        <v>3650.74627206155</v>
      </c>
      <c r="AU275" s="119" t="n">
        <f aca="false">AU273*(1-Inputs!$D$23)+AU272</f>
        <v>3697.68905802224</v>
      </c>
      <c r="AV275" s="119" t="n">
        <f aca="false">AV273*(1-Inputs!$D$23)+AV272</f>
        <v>3743.1296748322</v>
      </c>
      <c r="AW275" s="119" t="n">
        <f aca="false">AW273*(1-Inputs!$D$23)+AW272</f>
        <v>3787.11619190424</v>
      </c>
      <c r="AX275" s="119" t="n">
        <f aca="false">AX273*(1-Inputs!$D$23)+AX272</f>
        <v>3818.8684737633</v>
      </c>
      <c r="AY275" s="119" t="n">
        <f aca="false">AY273*(1-Inputs!$D$23)+AY272</f>
        <v>3857.59068260287</v>
      </c>
      <c r="AZ275" s="119" t="n">
        <f aca="false">AZ273*(1-Inputs!$D$23)+AZ272</f>
        <v>3895.07378075958</v>
      </c>
      <c r="BA275" s="119" t="n">
        <f aca="false">BA273*(1-Inputs!$D$23)+BA272</f>
        <v>3942.18408644194</v>
      </c>
      <c r="BB275" s="119" t="n">
        <f aca="false">BB273*(1-Inputs!$D$23)+BB272</f>
        <v>3987.78686234247</v>
      </c>
      <c r="BC275" s="119" t="n">
        <f aca="false">BC273*(1-Inputs!$D$23)+BC272</f>
        <v>4031.93034941417</v>
      </c>
      <c r="BD275" s="119" t="n">
        <f aca="false">BD273*(1-Inputs!$D$23)+BD272</f>
        <v>4074.66124489959</v>
      </c>
      <c r="BE275" s="119" t="n">
        <f aca="false">BE273*(1-Inputs!$D$23)+BE272</f>
        <v>4116.02475172947</v>
      </c>
      <c r="BF275" s="119" t="n">
        <f aca="false">BF273*(1-Inputs!$D$23)+BF272</f>
        <v>4156.06462634079</v>
      </c>
      <c r="BG275" s="119" t="n">
        <f aca="false">BG273*(1-Inputs!$D$23)+BG272</f>
        <v>4194.82322496455</v>
      </c>
      <c r="BH275" s="119" t="n">
        <f aca="false">BH273*(1-Inputs!$D$23)+BH272</f>
        <v>4232.34154843235</v>
      </c>
      <c r="BI275" s="119" t="n">
        <f aca="false">BI273*(1-Inputs!$D$23)+BI272</f>
        <v>4268.65928554918</v>
      </c>
      <c r="BJ275" s="119" t="n">
        <f aca="false">BJ273*(1-Inputs!$D$23)+BJ272</f>
        <v>4292.98818841161</v>
      </c>
    </row>
    <row r="276" customFormat="false" ht="15" hidden="false" customHeight="false" outlineLevel="0" collapsed="false">
      <c r="A276" s="6" t="s">
        <v>427</v>
      </c>
      <c r="C276" s="117" t="n">
        <f aca="false">(C273+C275)/2</f>
        <v>380.997</v>
      </c>
      <c r="D276" s="117" t="n">
        <f aca="false">(D273+D275)/2</f>
        <v>446.276667428571</v>
      </c>
      <c r="E276" s="117" t="n">
        <f aca="false">(E273+E275)/2</f>
        <v>521.695861689905</v>
      </c>
      <c r="F276" s="117" t="n">
        <f aca="false">(F273+F275)/2</f>
        <v>607.278117925352</v>
      </c>
      <c r="G276" s="117" t="n">
        <f aca="false">(G273+G275)/2</f>
        <v>699.372884818407</v>
      </c>
      <c r="H276" s="117" t="n">
        <f aca="false">(H273+H275)/2</f>
        <v>797.771762028028</v>
      </c>
      <c r="I276" s="117" t="n">
        <f aca="false">(I273+I275)/2</f>
        <v>902.273018024083</v>
      </c>
      <c r="J276" s="117" t="n">
        <f aca="false">(J273+J275)/2</f>
        <v>1012.68137668541</v>
      </c>
      <c r="K276" s="117" t="n">
        <f aca="false">(K273+K275)/2</f>
        <v>1124.18223929814</v>
      </c>
      <c r="L276" s="117" t="n">
        <f aca="false">(L273+L275)/2</f>
        <v>1232.11507430727</v>
      </c>
      <c r="M276" s="117" t="n">
        <f aca="false">(M273+M275)/2</f>
        <v>1336.5940585961</v>
      </c>
      <c r="N276" s="117" t="n">
        <f aca="false">(N273+N275)/2</f>
        <v>1432.31638205436</v>
      </c>
      <c r="O276" s="117" t="n">
        <f aca="false">(O273+O275)/2</f>
        <v>1522.56225782862</v>
      </c>
      <c r="P276" s="117" t="n">
        <f aca="false">(P273+P275)/2</f>
        <v>1612.9202655781</v>
      </c>
      <c r="Q276" s="117" t="n">
        <f aca="false">(Q273+Q275)/2</f>
        <v>1705.80015041294</v>
      </c>
      <c r="R276" s="117" t="n">
        <f aca="false">(R273+R275)/2</f>
        <v>1801.12121226639</v>
      </c>
      <c r="S276" s="117" t="n">
        <f aca="false">(S273+S275)/2</f>
        <v>1893.39200014053</v>
      </c>
      <c r="T276" s="117" t="n">
        <f aca="false">(T273+T275)/2</f>
        <v>1982.7101228027</v>
      </c>
      <c r="U276" s="117" t="n">
        <f aca="false">(U273+U275)/2</f>
        <v>2069.17006553968</v>
      </c>
      <c r="V276" s="117" t="n">
        <f aca="false">(V273+V275)/2</f>
        <v>2152.86329010908</v>
      </c>
      <c r="W276" s="117" t="n">
        <f aca="false">(W273+W275)/2</f>
        <v>2233.87833149226</v>
      </c>
      <c r="X276" s="117" t="n">
        <f aca="false">(X273+X275)/2</f>
        <v>2312.30089155117</v>
      </c>
      <c r="Y276" s="117" t="n">
        <f aca="false">(Y273+Y275)/2</f>
        <v>2388.2139296882</v>
      </c>
      <c r="Z276" s="117" t="n">
        <f aca="false">(Z273+Z275)/2</f>
        <v>2456.28441727151</v>
      </c>
      <c r="AA276" s="117" t="n">
        <f aca="false">(AA273+AA275)/2</f>
        <v>2520.06331591882</v>
      </c>
      <c r="AB276" s="117" t="n">
        <f aca="false">(AB273+AB275)/2</f>
        <v>2585.10128980942</v>
      </c>
      <c r="AC276" s="117" t="n">
        <f aca="false">(AC273+AC275)/2</f>
        <v>2653.47138186885</v>
      </c>
      <c r="AD276" s="117" t="n">
        <f aca="false">(AD273+AD275)/2</f>
        <v>2725.06696431571</v>
      </c>
      <c r="AE276" s="117" t="n">
        <f aca="false">(AE273+AE275)/2</f>
        <v>2794.37148812428</v>
      </c>
      <c r="AF276" s="117" t="n">
        <f aca="false">(AF273+AF275)/2</f>
        <v>2861.45826717097</v>
      </c>
      <c r="AG276" s="117" t="n">
        <f aca="false">(AG273+AG275)/2</f>
        <v>2926.39826928816</v>
      </c>
      <c r="AH276" s="117" t="n">
        <f aca="false">(AH273+AH275)/2</f>
        <v>2989.26019133761</v>
      </c>
      <c r="AI276" s="117" t="n">
        <f aca="false">(AI273+AI275)/2</f>
        <v>3050.11053188147</v>
      </c>
      <c r="AJ276" s="117" t="n">
        <f aca="false">(AJ273+AJ275)/2</f>
        <v>3109.01366152793</v>
      </c>
      <c r="AK276" s="117" t="n">
        <f aca="false">(AK273+AK275)/2</f>
        <v>3166.0318910257</v>
      </c>
      <c r="AL276" s="117" t="n">
        <f aca="false">(AL273+AL275)/2</f>
        <v>3215.81220384621</v>
      </c>
      <c r="AM276" s="117" t="n">
        <f aca="false">(AM273+AM275)/2</f>
        <v>3262.21621332314</v>
      </c>
      <c r="AN276" s="117" t="n">
        <f aca="false">(AN273+AN275)/2</f>
        <v>3310.7652944968</v>
      </c>
      <c r="AO276" s="117" t="n">
        <f aca="false">(AO273+AO275)/2</f>
        <v>3363.17413840623</v>
      </c>
      <c r="AP276" s="117" t="n">
        <f aca="false">(AP273+AP275)/2</f>
        <v>3419.3192326439</v>
      </c>
      <c r="AQ276" s="117" t="n">
        <f aca="false">(AQ273+AQ275)/2</f>
        <v>3473.66768386596</v>
      </c>
      <c r="AR276" s="117" t="n">
        <f aca="false">(AR273+AR275)/2</f>
        <v>3526.27698464892</v>
      </c>
      <c r="AS276" s="117" t="n">
        <f aca="false">(AS273+AS275)/2</f>
        <v>3577.20278780682</v>
      </c>
      <c r="AT276" s="117" t="n">
        <f aca="false">(AT273+AT275)/2</f>
        <v>3626.49896526367</v>
      </c>
      <c r="AU276" s="117" t="n">
        <f aca="false">(AU273+AU275)/2</f>
        <v>3674.2176650419</v>
      </c>
      <c r="AV276" s="117" t="n">
        <f aca="false">(AV273+AV275)/2</f>
        <v>3720.40936642722</v>
      </c>
      <c r="AW276" s="117" t="n">
        <f aca="false">(AW273+AW275)/2</f>
        <v>3765.12293336822</v>
      </c>
      <c r="AX276" s="117" t="n">
        <f aca="false">(AX273+AX275)/2</f>
        <v>3802.99233283377</v>
      </c>
      <c r="AY276" s="117" t="n">
        <f aca="false">(AY273+AY275)/2</f>
        <v>3838.22957818309</v>
      </c>
      <c r="AZ276" s="117" t="n">
        <f aca="false">(AZ273+AZ275)/2</f>
        <v>3876.33223168123</v>
      </c>
      <c r="BA276" s="117" t="n">
        <f aca="false">(BA273+BA275)/2</f>
        <v>3918.62893360076</v>
      </c>
      <c r="BB276" s="117" t="n">
        <f aca="false">(BB273+BB275)/2</f>
        <v>3964.9854743922</v>
      </c>
      <c r="BC276" s="117" t="n">
        <f aca="false">(BC273+BC275)/2</f>
        <v>4009.85860587832</v>
      </c>
      <c r="BD276" s="117" t="n">
        <f aca="false">(BD273+BD275)/2</f>
        <v>4053.29579715688</v>
      </c>
      <c r="BE276" s="117" t="n">
        <f aca="false">(BE273+BE275)/2</f>
        <v>4095.34299831453</v>
      </c>
      <c r="BF276" s="117" t="n">
        <f aca="false">(BF273+BF275)/2</f>
        <v>4136.04468903513</v>
      </c>
      <c r="BG276" s="117" t="n">
        <f aca="false">(BG273+BG275)/2</f>
        <v>4175.44392565267</v>
      </c>
      <c r="BH276" s="117" t="n">
        <f aca="false">(BH273+BH275)/2</f>
        <v>4213.58238669845</v>
      </c>
      <c r="BI276" s="117" t="n">
        <f aca="false">(BI273+BI275)/2</f>
        <v>4250.50041699077</v>
      </c>
      <c r="BJ276" s="117" t="n">
        <f aca="false">(BJ273+BJ275)/2</f>
        <v>4280.8237369804</v>
      </c>
    </row>
    <row r="278" customFormat="false" ht="15.75" hidden="false" customHeight="true" outlineLevel="0" collapsed="false">
      <c r="A278" s="7" t="s">
        <v>428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</row>
    <row r="279" customFormat="false" ht="15" hidden="false" customHeight="false" outlineLevel="0" collapsed="false">
      <c r="A279" s="6" t="s">
        <v>429</v>
      </c>
      <c r="C279" s="118" t="n">
        <f aca="false">C276*Inputs!$D$24*C266*1</f>
        <v>1097.27136</v>
      </c>
      <c r="D279" s="118" t="n">
        <f aca="false">D276*Inputs!$D$24*D266*1</f>
        <v>1285.27680219429</v>
      </c>
      <c r="E279" s="118" t="n">
        <f aca="false">E276*Inputs!$D$24*E266*1</f>
        <v>1725.07431598795</v>
      </c>
      <c r="F279" s="118" t="n">
        <f aca="false">F276*Inputs!$D$24*F266*1</f>
        <v>2008.06630993983</v>
      </c>
      <c r="G279" s="118" t="n">
        <f aca="false">G276*Inputs!$D$24*G266*1</f>
        <v>2312.59300579953</v>
      </c>
      <c r="H279" s="118" t="n">
        <f aca="false">H276*Inputs!$D$24*H266*1</f>
        <v>2637.96529310601</v>
      </c>
      <c r="I279" s="118" t="n">
        <f aca="false">I276*Inputs!$D$24*I266*1</f>
        <v>2983.51611293297</v>
      </c>
      <c r="J279" s="118" t="n">
        <f aca="false">J276*Inputs!$D$24*J266*1</f>
        <v>3348.59975223975</v>
      </c>
      <c r="K279" s="118" t="n">
        <f aca="false">K276*Inputs!$D$24*K266*1</f>
        <v>3717.29593794585</v>
      </c>
      <c r="L279" s="118" t="n">
        <f aca="false">L276*Inputs!$D$24*L266*1</f>
        <v>4074.19384570936</v>
      </c>
      <c r="M279" s="118" t="n">
        <f aca="false">M276*Inputs!$D$24*M266*1</f>
        <v>4419.67102042444</v>
      </c>
      <c r="N279" s="118" t="n">
        <f aca="false">N276*Inputs!$D$24*N266*1</f>
        <v>4125.07118031656</v>
      </c>
      <c r="O279" s="118" t="n">
        <f aca="false">O276*Inputs!$D$24*O266*1</f>
        <v>4384.97930254643</v>
      </c>
      <c r="P279" s="118" t="n">
        <f aca="false">P276*Inputs!$D$24*P266*1</f>
        <v>4645.21036486494</v>
      </c>
      <c r="Q279" s="118" t="n">
        <f aca="false">Q276*Inputs!$D$24*Q266*1</f>
        <v>5640.51249736545</v>
      </c>
      <c r="R279" s="118" t="n">
        <f aca="false">R276*Inputs!$D$24*R266*1</f>
        <v>5955.70747522753</v>
      </c>
      <c r="S279" s="118" t="n">
        <f aca="false">S276*Inputs!$D$24*S266*1</f>
        <v>6260.81621379803</v>
      </c>
      <c r="T279" s="118" t="n">
        <f aca="false">T276*Inputs!$D$24*T266*1</f>
        <v>6556.16147273427</v>
      </c>
      <c r="U279" s="118" t="n">
        <f aca="false">U276*Inputs!$D$24*U266*1</f>
        <v>6842.05568338455</v>
      </c>
      <c r="V279" s="118" t="n">
        <f aca="false">V276*Inputs!$D$24*V266*1</f>
        <v>7118.80127929402</v>
      </c>
      <c r="W279" s="118" t="n">
        <f aca="false">W276*Inputs!$D$24*W266*1</f>
        <v>7386.69101613439</v>
      </c>
      <c r="X279" s="118" t="n">
        <f aca="false">X276*Inputs!$D$24*X266*1</f>
        <v>7646.00828139587</v>
      </c>
      <c r="Y279" s="118" t="n">
        <f aca="false">Y276*Inputs!$D$24*Y266*1</f>
        <v>7897.02739416898</v>
      </c>
      <c r="Z279" s="118" t="n">
        <f aca="false">Z276*Inputs!$D$24*Z266*1</f>
        <v>7074.09912174195</v>
      </c>
      <c r="AA279" s="118" t="n">
        <f aca="false">AA276*Inputs!$D$24*AA266*1</f>
        <v>7257.78234984621</v>
      </c>
      <c r="AB279" s="118" t="n">
        <f aca="false">AB276*Inputs!$D$24*AB266*1</f>
        <v>7445.09171465113</v>
      </c>
      <c r="AC279" s="118" t="n">
        <f aca="false">AC276*Inputs!$D$24*AC266*1</f>
        <v>8774.14536937967</v>
      </c>
      <c r="AD279" s="118" t="n">
        <f aca="false">AD276*Inputs!$D$24*AD266*1</f>
        <v>9010.8880953373</v>
      </c>
      <c r="AE279" s="118" t="n">
        <f aca="false">AE276*Inputs!$D$24*AE266*1</f>
        <v>9240.05505406428</v>
      </c>
      <c r="AF279" s="118" t="n">
        <f aca="false">AF276*Inputs!$D$24*AF266*1</f>
        <v>9461.888670112</v>
      </c>
      <c r="AG279" s="118" t="n">
        <f aca="false">AG276*Inputs!$D$24*AG266*1</f>
        <v>9676.6236104462</v>
      </c>
      <c r="AH279" s="118" t="n">
        <f aca="false">AH276*Inputs!$D$24*AH266*1</f>
        <v>9884.4870326897</v>
      </c>
      <c r="AI279" s="118" t="n">
        <f aca="false">AI276*Inputs!$D$24*AI266*1</f>
        <v>10085.6988254214</v>
      </c>
      <c r="AJ279" s="118" t="n">
        <f aca="false">AJ276*Inputs!$D$24*AJ266*1</f>
        <v>10280.4718407857</v>
      </c>
      <c r="AK279" s="118" t="n">
        <f aca="false">AK276*Inputs!$D$24*AK266*1</f>
        <v>10469.0121196583</v>
      </c>
      <c r="AL279" s="118" t="n">
        <f aca="false">AL276*Inputs!$D$24*AL266*1</f>
        <v>9261.5391470771</v>
      </c>
      <c r="AM279" s="118" t="n">
        <f aca="false">AM276*Inputs!$D$24*AM266*1</f>
        <v>9395.18269437063</v>
      </c>
      <c r="AN279" s="118" t="n">
        <f aca="false">AN276*Inputs!$D$24*AN266*1</f>
        <v>9535.00404815077</v>
      </c>
      <c r="AO279" s="118" t="n">
        <f aca="false">AO276*Inputs!$D$24*AO266*1</f>
        <v>11120.8958176633</v>
      </c>
      <c r="AP279" s="118" t="n">
        <f aca="false">AP276*Inputs!$D$24*AP266*1</f>
        <v>11306.5489292758</v>
      </c>
      <c r="AQ279" s="118" t="n">
        <f aca="false">AQ276*Inputs!$D$24*AQ266*1</f>
        <v>11486.2611413168</v>
      </c>
      <c r="AR279" s="118" t="n">
        <f aca="false">AR276*Inputs!$D$24*AR266*1</f>
        <v>11660.2225625724</v>
      </c>
      <c r="AS279" s="118" t="n">
        <f aca="false">AS276*Inputs!$D$24*AS266*1</f>
        <v>11828.6172183479</v>
      </c>
      <c r="AT279" s="118" t="n">
        <f aca="false">AT276*Inputs!$D$24*AT266*1</f>
        <v>11991.6232451385</v>
      </c>
      <c r="AU279" s="118" t="n">
        <f aca="false">AU276*Inputs!$D$24*AU266*1</f>
        <v>12149.4130790719</v>
      </c>
      <c r="AV279" s="118" t="n">
        <f aca="false">AV276*Inputs!$D$24*AV266*1</f>
        <v>12302.1536383193</v>
      </c>
      <c r="AW279" s="118" t="n">
        <f aca="false">AW276*Inputs!$D$24*AW266*1</f>
        <v>12450.0064996709</v>
      </c>
      <c r="AX279" s="118" t="n">
        <f aca="false">AX276*Inputs!$D$24*AX266*1</f>
        <v>10952.6179185613</v>
      </c>
      <c r="AY279" s="118" t="n">
        <f aca="false">AY276*Inputs!$D$24*AY266*1</f>
        <v>11054.1011851673</v>
      </c>
      <c r="AZ279" s="118" t="n">
        <f aca="false">AZ276*Inputs!$D$24*AZ266*1</f>
        <v>11163.8368272419</v>
      </c>
      <c r="BA279" s="118" t="n">
        <f aca="false">BA276*Inputs!$D$24*BA266*1</f>
        <v>12957.5996737732</v>
      </c>
      <c r="BB279" s="118" t="n">
        <f aca="false">BB276*Inputs!$D$24*BB266*1</f>
        <v>13110.8853019902</v>
      </c>
      <c r="BC279" s="118" t="n">
        <f aca="false">BC276*Inputs!$D$24*BC266*1</f>
        <v>13259.2657901043</v>
      </c>
      <c r="BD279" s="118" t="n">
        <f aca="false">BD276*Inputs!$D$24*BD266*1</f>
        <v>13402.8981025988</v>
      </c>
      <c r="BE279" s="118" t="n">
        <f aca="false">BE276*Inputs!$D$24*BE266*1</f>
        <v>13541.9341810934</v>
      </c>
      <c r="BF279" s="118" t="n">
        <f aca="false">BF276*Inputs!$D$24*BF266*1</f>
        <v>13676.5211050762</v>
      </c>
      <c r="BG279" s="118" t="n">
        <f aca="false">BG276*Inputs!$D$24*BG266*1</f>
        <v>13806.8012474915</v>
      </c>
      <c r="BH279" s="118" t="n">
        <f aca="false">BH276*Inputs!$D$24*BH266*1</f>
        <v>13932.9124253496</v>
      </c>
      <c r="BI279" s="118" t="n">
        <f aca="false">BI276*Inputs!$D$24*BI266*1</f>
        <v>14054.9880455161</v>
      </c>
      <c r="BJ279" s="118" t="n">
        <f aca="false">BJ276*Inputs!$D$24*BJ266*1</f>
        <v>12328.7723625035</v>
      </c>
    </row>
    <row r="280" customFormat="false" ht="15" hidden="false" customHeight="false" outlineLevel="0" collapsed="false">
      <c r="A280" s="6" t="s">
        <v>430</v>
      </c>
      <c r="C280" s="118" t="n">
        <f aca="false">Inputs!$D$14*Inputs!$D$15*Inputs!$D$16*Inputs!$D$8*1</f>
        <v>24563</v>
      </c>
      <c r="D280" s="118" t="n">
        <f aca="false">Inputs!$D$14*Inputs!$D$15*Inputs!$D$16*Inputs!$D$8*1</f>
        <v>24563</v>
      </c>
      <c r="E280" s="118" t="n">
        <f aca="false">Inputs!$D$14*Inputs!$D$15*Inputs!$D$16*Inputs!$D$8*1</f>
        <v>24563</v>
      </c>
      <c r="F280" s="118" t="n">
        <f aca="false">Inputs!$D$14*Inputs!$D$15*Inputs!$D$16*Inputs!$D$8*1</f>
        <v>24563</v>
      </c>
      <c r="G280" s="118" t="n">
        <f aca="false">Inputs!$D$14*Inputs!$D$15*Inputs!$D$16*Inputs!$D$8*1</f>
        <v>24563</v>
      </c>
      <c r="H280" s="118" t="n">
        <f aca="false">Inputs!$D$14*Inputs!$D$15*Inputs!$D$16*Inputs!$D$8*1</f>
        <v>24563</v>
      </c>
      <c r="I280" s="118" t="n">
        <f aca="false">Inputs!$D$14*Inputs!$D$15*Inputs!$D$16*Inputs!$D$8*1</f>
        <v>24563</v>
      </c>
      <c r="J280" s="118" t="n">
        <f aca="false">Inputs!$D$14*Inputs!$D$15*Inputs!$D$16*Inputs!$D$8*1</f>
        <v>24563</v>
      </c>
      <c r="K280" s="118" t="n">
        <f aca="false">Inputs!$D$14*Inputs!$D$15*Inputs!$D$16*Inputs!$D$8*1</f>
        <v>24563</v>
      </c>
      <c r="L280" s="118" t="n">
        <f aca="false">Inputs!$D$14*Inputs!$D$15*Inputs!$D$16*Inputs!$D$8*1</f>
        <v>24563</v>
      </c>
      <c r="M280" s="118" t="n">
        <f aca="false">Inputs!$D$14*Inputs!$D$15*Inputs!$D$16*Inputs!$D$8*1</f>
        <v>24563</v>
      </c>
      <c r="N280" s="118" t="n">
        <f aca="false">Inputs!$D$14*Inputs!$D$15*Inputs!$D$16*Inputs!$D$8*1</f>
        <v>24563</v>
      </c>
      <c r="O280" s="118" t="n">
        <f aca="false">Inputs!$D$14*Inputs!$D$15*Inputs!$D$16*Inputs!$D$8*1</f>
        <v>24563</v>
      </c>
      <c r="P280" s="118" t="n">
        <f aca="false">Inputs!$D$14*Inputs!$D$15*Inputs!$D$16*Inputs!$D$8*1</f>
        <v>24563</v>
      </c>
      <c r="Q280" s="118" t="n">
        <f aca="false">Inputs!$D$14*Inputs!$D$15*Inputs!$D$16*Inputs!$D$8*1</f>
        <v>24563</v>
      </c>
      <c r="R280" s="118" t="n">
        <f aca="false">Inputs!$D$14*Inputs!$D$15*Inputs!$D$16*Inputs!$D$8*1</f>
        <v>24563</v>
      </c>
      <c r="S280" s="118" t="n">
        <f aca="false">Inputs!$D$14*Inputs!$D$15*Inputs!$D$16*Inputs!$D$8*1</f>
        <v>24563</v>
      </c>
      <c r="T280" s="118" t="n">
        <f aca="false">Inputs!$D$14*Inputs!$D$15*Inputs!$D$16*Inputs!$D$8*1</f>
        <v>24563</v>
      </c>
      <c r="U280" s="118" t="n">
        <f aca="false">Inputs!$D$14*Inputs!$D$15*Inputs!$D$16*Inputs!$D$8*1</f>
        <v>24563</v>
      </c>
      <c r="V280" s="118" t="n">
        <f aca="false">Inputs!$D$14*Inputs!$D$15*Inputs!$D$16*Inputs!$D$8*1</f>
        <v>24563</v>
      </c>
      <c r="W280" s="118" t="n">
        <f aca="false">Inputs!$D$14*Inputs!$D$15*Inputs!$D$16*Inputs!$D$8*1</f>
        <v>24563</v>
      </c>
      <c r="X280" s="118" t="n">
        <f aca="false">Inputs!$D$14*Inputs!$D$15*Inputs!$D$16*Inputs!$D$8*1</f>
        <v>24563</v>
      </c>
      <c r="Y280" s="118" t="n">
        <f aca="false">Inputs!$D$14*Inputs!$D$15*Inputs!$D$16*Inputs!$D$8*1</f>
        <v>24563</v>
      </c>
      <c r="Z280" s="118" t="n">
        <f aca="false">Inputs!$D$14*Inputs!$D$15*Inputs!$D$16*Inputs!$D$8*1</f>
        <v>24563</v>
      </c>
      <c r="AA280" s="118" t="n">
        <f aca="false">Inputs!$D$14*Inputs!$D$15*Inputs!$D$16*Inputs!$D$8*1</f>
        <v>24563</v>
      </c>
      <c r="AB280" s="118" t="n">
        <f aca="false">Inputs!$D$14*Inputs!$D$15*Inputs!$D$16*Inputs!$D$8*1</f>
        <v>24563</v>
      </c>
      <c r="AC280" s="118" t="n">
        <f aca="false">Inputs!$D$14*Inputs!$D$15*Inputs!$D$16*Inputs!$D$8*1</f>
        <v>24563</v>
      </c>
      <c r="AD280" s="118" t="n">
        <f aca="false">Inputs!$D$14*Inputs!$D$15*Inputs!$D$16*Inputs!$D$8*1</f>
        <v>24563</v>
      </c>
      <c r="AE280" s="118" t="n">
        <f aca="false">Inputs!$D$14*Inputs!$D$15*Inputs!$D$16*Inputs!$D$8*1</f>
        <v>24563</v>
      </c>
      <c r="AF280" s="118" t="n">
        <f aca="false">Inputs!$D$14*Inputs!$D$15*Inputs!$D$16*Inputs!$D$8*1</f>
        <v>24563</v>
      </c>
      <c r="AG280" s="118" t="n">
        <f aca="false">Inputs!$D$14*Inputs!$D$15*Inputs!$D$16*Inputs!$D$8*1</f>
        <v>24563</v>
      </c>
      <c r="AH280" s="118" t="n">
        <f aca="false">Inputs!$D$14*Inputs!$D$15*Inputs!$D$16*Inputs!$D$8*1</f>
        <v>24563</v>
      </c>
      <c r="AI280" s="118" t="n">
        <f aca="false">Inputs!$D$14*Inputs!$D$15*Inputs!$D$16*Inputs!$D$8*1</f>
        <v>24563</v>
      </c>
      <c r="AJ280" s="118" t="n">
        <f aca="false">Inputs!$D$14*Inputs!$D$15*Inputs!$D$16*Inputs!$D$8*1</f>
        <v>24563</v>
      </c>
      <c r="AK280" s="118" t="n">
        <f aca="false">Inputs!$D$14*Inputs!$D$15*Inputs!$D$16*Inputs!$D$8*1</f>
        <v>24563</v>
      </c>
      <c r="AL280" s="118" t="n">
        <f aca="false">Inputs!$D$14*Inputs!$D$15*Inputs!$D$16*Inputs!$D$8*1</f>
        <v>24563</v>
      </c>
      <c r="AM280" s="118" t="n">
        <f aca="false">Inputs!$D$14*Inputs!$D$15*Inputs!$D$16*Inputs!$D$8*1</f>
        <v>24563</v>
      </c>
      <c r="AN280" s="118" t="n">
        <f aca="false">Inputs!$D$14*Inputs!$D$15*Inputs!$D$16*Inputs!$D$8*1</f>
        <v>24563</v>
      </c>
      <c r="AO280" s="118" t="n">
        <f aca="false">Inputs!$D$14*Inputs!$D$15*Inputs!$D$16*Inputs!$D$8*1</f>
        <v>24563</v>
      </c>
      <c r="AP280" s="118" t="n">
        <f aca="false">Inputs!$D$14*Inputs!$D$15*Inputs!$D$16*Inputs!$D$8*1</f>
        <v>24563</v>
      </c>
      <c r="AQ280" s="118" t="n">
        <f aca="false">Inputs!$D$14*Inputs!$D$15*Inputs!$D$16*Inputs!$D$8*1</f>
        <v>24563</v>
      </c>
      <c r="AR280" s="118" t="n">
        <f aca="false">Inputs!$D$14*Inputs!$D$15*Inputs!$D$16*Inputs!$D$8*1</f>
        <v>24563</v>
      </c>
      <c r="AS280" s="118" t="n">
        <f aca="false">Inputs!$D$14*Inputs!$D$15*Inputs!$D$16*Inputs!$D$8*1</f>
        <v>24563</v>
      </c>
      <c r="AT280" s="118" t="n">
        <f aca="false">Inputs!$D$14*Inputs!$D$15*Inputs!$D$16*Inputs!$D$8*1</f>
        <v>24563</v>
      </c>
      <c r="AU280" s="118" t="n">
        <f aca="false">Inputs!$D$14*Inputs!$D$15*Inputs!$D$16*Inputs!$D$8*1</f>
        <v>24563</v>
      </c>
      <c r="AV280" s="118" t="n">
        <f aca="false">Inputs!$D$14*Inputs!$D$15*Inputs!$D$16*Inputs!$D$8*1</f>
        <v>24563</v>
      </c>
      <c r="AW280" s="118" t="n">
        <f aca="false">Inputs!$D$14*Inputs!$D$15*Inputs!$D$16*Inputs!$D$8*1</f>
        <v>24563</v>
      </c>
      <c r="AX280" s="118" t="n">
        <f aca="false">Inputs!$D$14*Inputs!$D$15*Inputs!$D$16*Inputs!$D$8*1</f>
        <v>24563</v>
      </c>
      <c r="AY280" s="118" t="n">
        <f aca="false">Inputs!$D$14*Inputs!$D$15*Inputs!$D$16*Inputs!$D$8*1</f>
        <v>24563</v>
      </c>
      <c r="AZ280" s="118" t="n">
        <f aca="false">Inputs!$D$14*Inputs!$D$15*Inputs!$D$16*Inputs!$D$8*1</f>
        <v>24563</v>
      </c>
      <c r="BA280" s="118" t="n">
        <f aca="false">Inputs!$D$14*Inputs!$D$15*Inputs!$D$16*Inputs!$D$8*1</f>
        <v>24563</v>
      </c>
      <c r="BB280" s="118" t="n">
        <f aca="false">Inputs!$D$14*Inputs!$D$15*Inputs!$D$16*Inputs!$D$8*1</f>
        <v>24563</v>
      </c>
      <c r="BC280" s="118" t="n">
        <f aca="false">Inputs!$D$14*Inputs!$D$15*Inputs!$D$16*Inputs!$D$8*1</f>
        <v>24563</v>
      </c>
      <c r="BD280" s="118" t="n">
        <f aca="false">Inputs!$D$14*Inputs!$D$15*Inputs!$D$16*Inputs!$D$8*1</f>
        <v>24563</v>
      </c>
      <c r="BE280" s="118" t="n">
        <f aca="false">Inputs!$D$14*Inputs!$D$15*Inputs!$D$16*Inputs!$D$8*1</f>
        <v>24563</v>
      </c>
      <c r="BF280" s="118" t="n">
        <f aca="false">Inputs!$D$14*Inputs!$D$15*Inputs!$D$16*Inputs!$D$8*1</f>
        <v>24563</v>
      </c>
      <c r="BG280" s="118" t="n">
        <f aca="false">Inputs!$D$14*Inputs!$D$15*Inputs!$D$16*Inputs!$D$8*1</f>
        <v>24563</v>
      </c>
      <c r="BH280" s="118" t="n">
        <f aca="false">Inputs!$D$14*Inputs!$D$15*Inputs!$D$16*Inputs!$D$8*1</f>
        <v>24563</v>
      </c>
      <c r="BI280" s="118" t="n">
        <f aca="false">Inputs!$D$14*Inputs!$D$15*Inputs!$D$16*Inputs!$D$8*1</f>
        <v>24563</v>
      </c>
      <c r="BJ280" s="118" t="n">
        <f aca="false">Inputs!$D$14*Inputs!$D$15*Inputs!$D$16*Inputs!$D$8*1</f>
        <v>24563</v>
      </c>
    </row>
    <row r="281" customFormat="false" ht="15" hidden="false" customHeight="false" outlineLevel="0" collapsed="false">
      <c r="A281" s="38" t="s">
        <v>431</v>
      </c>
      <c r="C281" s="76" t="n">
        <f aca="false">MIN(1,C280/MAX(1,C267+C279))</f>
        <v>1</v>
      </c>
      <c r="D281" s="76" t="n">
        <f aca="false">MIN(1,D280/MAX(1,D267+D279))</f>
        <v>1</v>
      </c>
      <c r="E281" s="76" t="n">
        <f aca="false">MIN(1,E280/MAX(1,E267+E279))</f>
        <v>1</v>
      </c>
      <c r="F281" s="76" t="n">
        <f aca="false">MIN(1,F280/MAX(1,F267+F279))</f>
        <v>1</v>
      </c>
      <c r="G281" s="76" t="n">
        <f aca="false">MIN(1,G280/MAX(1,G267+G279))</f>
        <v>1</v>
      </c>
      <c r="H281" s="76" t="n">
        <f aca="false">MIN(1,H280/MAX(1,H267+H279))</f>
        <v>1</v>
      </c>
      <c r="I281" s="76" t="n">
        <f aca="false">MIN(1,I280/MAX(1,I267+I279))</f>
        <v>1</v>
      </c>
      <c r="J281" s="76" t="n">
        <f aca="false">MIN(1,J280/MAX(1,J267+J279))</f>
        <v>1</v>
      </c>
      <c r="K281" s="76" t="n">
        <f aca="false">MIN(1,K280/MAX(1,K267+K279))</f>
        <v>1</v>
      </c>
      <c r="L281" s="76" t="n">
        <f aca="false">MIN(1,L280/MAX(1,L267+L279))</f>
        <v>1</v>
      </c>
      <c r="M281" s="76" t="n">
        <f aca="false">MIN(1,M280/MAX(1,M267+M279))</f>
        <v>1</v>
      </c>
      <c r="N281" s="76" t="n">
        <f aca="false">MIN(1,N280/MAX(1,N267+N279))</f>
        <v>1</v>
      </c>
      <c r="O281" s="76" t="n">
        <f aca="false">MIN(1,O280/MAX(1,O267+O279))</f>
        <v>1</v>
      </c>
      <c r="P281" s="76" t="n">
        <f aca="false">MIN(1,P280/MAX(1,P267+P279))</f>
        <v>1</v>
      </c>
      <c r="Q281" s="76" t="n">
        <f aca="false">MIN(1,Q280/MAX(1,Q267+Q279))</f>
        <v>1</v>
      </c>
      <c r="R281" s="76" t="n">
        <f aca="false">MIN(1,R280/MAX(1,R267+R279))</f>
        <v>1</v>
      </c>
      <c r="S281" s="76" t="n">
        <f aca="false">MIN(1,S280/MAX(1,S267+S279))</f>
        <v>1</v>
      </c>
      <c r="T281" s="76" t="n">
        <f aca="false">MIN(1,T280/MAX(1,T267+T279))</f>
        <v>1</v>
      </c>
      <c r="U281" s="76" t="n">
        <f aca="false">MIN(1,U280/MAX(1,U267+U279))</f>
        <v>1</v>
      </c>
      <c r="V281" s="76" t="n">
        <f aca="false">MIN(1,V280/MAX(1,V267+V279))</f>
        <v>1</v>
      </c>
      <c r="W281" s="76" t="n">
        <f aca="false">MIN(1,W280/MAX(1,W267+W279))</f>
        <v>1</v>
      </c>
      <c r="X281" s="76" t="n">
        <f aca="false">MIN(1,X280/MAX(1,X267+X279))</f>
        <v>1</v>
      </c>
      <c r="Y281" s="76" t="n">
        <f aca="false">MIN(1,Y280/MAX(1,Y267+Y279))</f>
        <v>1</v>
      </c>
      <c r="Z281" s="76" t="n">
        <f aca="false">MIN(1,Z280/MAX(1,Z267+Z279))</f>
        <v>1</v>
      </c>
      <c r="AA281" s="76" t="n">
        <f aca="false">MIN(1,AA280/MAX(1,AA267+AA279))</f>
        <v>1</v>
      </c>
      <c r="AB281" s="76" t="n">
        <f aca="false">MIN(1,AB280/MAX(1,AB267+AB279))</f>
        <v>1</v>
      </c>
      <c r="AC281" s="76" t="n">
        <f aca="false">MIN(1,AC280/MAX(1,AC267+AC279))</f>
        <v>1</v>
      </c>
      <c r="AD281" s="76" t="n">
        <f aca="false">MIN(1,AD280/MAX(1,AD267+AD279))</f>
        <v>1</v>
      </c>
      <c r="AE281" s="76" t="n">
        <f aca="false">MIN(1,AE280/MAX(1,AE267+AE279))</f>
        <v>1</v>
      </c>
      <c r="AF281" s="76" t="n">
        <f aca="false">MIN(1,AF280/MAX(1,AF267+AF279))</f>
        <v>1</v>
      </c>
      <c r="AG281" s="76" t="n">
        <f aca="false">MIN(1,AG280/MAX(1,AG267+AG279))</f>
        <v>1</v>
      </c>
      <c r="AH281" s="76" t="n">
        <f aca="false">MIN(1,AH280/MAX(1,AH267+AH279))</f>
        <v>1</v>
      </c>
      <c r="AI281" s="76" t="n">
        <f aca="false">MIN(1,AI280/MAX(1,AI267+AI279))</f>
        <v>1</v>
      </c>
      <c r="AJ281" s="76" t="n">
        <f aca="false">MIN(1,AJ280/MAX(1,AJ267+AJ279))</f>
        <v>1</v>
      </c>
      <c r="AK281" s="76" t="n">
        <f aca="false">MIN(1,AK280/MAX(1,AK267+AK279))</f>
        <v>1</v>
      </c>
      <c r="AL281" s="76" t="n">
        <f aca="false">MIN(1,AL280/MAX(1,AL267+AL279))</f>
        <v>1</v>
      </c>
      <c r="AM281" s="76" t="n">
        <f aca="false">MIN(1,AM280/MAX(1,AM267+AM279))</f>
        <v>1</v>
      </c>
      <c r="AN281" s="76" t="n">
        <f aca="false">MIN(1,AN280/MAX(1,AN267+AN279))</f>
        <v>1</v>
      </c>
      <c r="AO281" s="76" t="n">
        <f aca="false">MIN(1,AO280/MAX(1,AO267+AO279))</f>
        <v>1</v>
      </c>
      <c r="AP281" s="76" t="n">
        <f aca="false">MIN(1,AP280/MAX(1,AP267+AP279))</f>
        <v>1</v>
      </c>
      <c r="AQ281" s="76" t="n">
        <f aca="false">MIN(1,AQ280/MAX(1,AQ267+AQ279))</f>
        <v>1</v>
      </c>
      <c r="AR281" s="76" t="n">
        <f aca="false">MIN(1,AR280/MAX(1,AR267+AR279))</f>
        <v>1</v>
      </c>
      <c r="AS281" s="76" t="n">
        <f aca="false">MIN(1,AS280/MAX(1,AS267+AS279))</f>
        <v>1</v>
      </c>
      <c r="AT281" s="76" t="n">
        <f aca="false">MIN(1,AT280/MAX(1,AT267+AT279))</f>
        <v>1</v>
      </c>
      <c r="AU281" s="76" t="n">
        <f aca="false">MIN(1,AU280/MAX(1,AU267+AU279))</f>
        <v>1</v>
      </c>
      <c r="AV281" s="76" t="n">
        <f aca="false">MIN(1,AV280/MAX(1,AV267+AV279))</f>
        <v>1</v>
      </c>
      <c r="AW281" s="76" t="n">
        <f aca="false">MIN(1,AW280/MAX(1,AW267+AW279))</f>
        <v>1</v>
      </c>
      <c r="AX281" s="76" t="n">
        <f aca="false">MIN(1,AX280/MAX(1,AX267+AX279))</f>
        <v>1</v>
      </c>
      <c r="AY281" s="76" t="n">
        <f aca="false">MIN(1,AY280/MAX(1,AY267+AY279))</f>
        <v>1</v>
      </c>
      <c r="AZ281" s="76" t="n">
        <f aca="false">MIN(1,AZ280/MAX(1,AZ267+AZ279))</f>
        <v>1</v>
      </c>
      <c r="BA281" s="76" t="n">
        <f aca="false">MIN(1,BA280/MAX(1,BA267+BA279))</f>
        <v>1</v>
      </c>
      <c r="BB281" s="76" t="n">
        <f aca="false">MIN(1,BB280/MAX(1,BB267+BB279))</f>
        <v>1</v>
      </c>
      <c r="BC281" s="76" t="n">
        <f aca="false">MIN(1,BC280/MAX(1,BC267+BC279))</f>
        <v>1</v>
      </c>
      <c r="BD281" s="76" t="n">
        <f aca="false">MIN(1,BD280/MAX(1,BD267+BD279))</f>
        <v>1</v>
      </c>
      <c r="BE281" s="76" t="n">
        <f aca="false">MIN(1,BE280/MAX(1,BE267+BE279))</f>
        <v>1</v>
      </c>
      <c r="BF281" s="76" t="n">
        <f aca="false">MIN(1,BF280/MAX(1,BF267+BF279))</f>
        <v>1</v>
      </c>
      <c r="BG281" s="76" t="n">
        <f aca="false">MIN(1,BG280/MAX(1,BG267+BG279))</f>
        <v>1</v>
      </c>
      <c r="BH281" s="76" t="n">
        <f aca="false">MIN(1,BH280/MAX(1,BH267+BH279))</f>
        <v>1</v>
      </c>
      <c r="BI281" s="76" t="n">
        <f aca="false">MIN(1,BI280/MAX(1,BI267+BI279))</f>
        <v>1</v>
      </c>
      <c r="BJ281" s="76" t="n">
        <f aca="false">MIN(1,BJ280/MAX(1,BJ267+BJ279))</f>
        <v>1</v>
      </c>
    </row>
    <row r="282" customFormat="false" ht="15" hidden="false" customHeight="false" outlineLevel="0" collapsed="false">
      <c r="A282" s="6" t="s">
        <v>238</v>
      </c>
      <c r="C282" s="118" t="n">
        <f aca="false">C267*C281</f>
        <v>4019.4</v>
      </c>
      <c r="D282" s="118" t="n">
        <f aca="false">D267*D281</f>
        <v>4489.2</v>
      </c>
      <c r="E282" s="118" t="n">
        <f aca="false">E267*E281</f>
        <v>5693.66666666667</v>
      </c>
      <c r="F282" s="118" t="n">
        <f aca="false">F267*F281</f>
        <v>6233.06666666667</v>
      </c>
      <c r="G282" s="118" t="n">
        <f aca="false">G267*G281</f>
        <v>6772.46666666667</v>
      </c>
      <c r="H282" s="118" t="n">
        <f aca="false">H267*H281</f>
        <v>7311.86666666667</v>
      </c>
      <c r="I282" s="118" t="n">
        <f aca="false">I267*I281</f>
        <v>7851.26666666667</v>
      </c>
      <c r="J282" s="118" t="n">
        <f aca="false">J267*J281</f>
        <v>8390.66666666667</v>
      </c>
      <c r="K282" s="118" t="n">
        <f aca="false">K267*K281</f>
        <v>8390.66666666667</v>
      </c>
      <c r="L282" s="118" t="n">
        <f aca="false">L267*L281</f>
        <v>8390.66666666667</v>
      </c>
      <c r="M282" s="118" t="n">
        <f aca="false">M267*M281</f>
        <v>8390.66666666667</v>
      </c>
      <c r="N282" s="118" t="n">
        <f aca="false">N267*N281</f>
        <v>7308</v>
      </c>
      <c r="O282" s="118" t="n">
        <f aca="false">O267*O281</f>
        <v>7308</v>
      </c>
      <c r="P282" s="118" t="n">
        <f aca="false">P267*P281</f>
        <v>7308</v>
      </c>
      <c r="Q282" s="118" t="n">
        <f aca="false">Q267*Q281</f>
        <v>8390.66666666667</v>
      </c>
      <c r="R282" s="118" t="n">
        <f aca="false">R267*R281</f>
        <v>8390.66666666667</v>
      </c>
      <c r="S282" s="118" t="n">
        <f aca="false">S267*S281</f>
        <v>8390.66666666667</v>
      </c>
      <c r="T282" s="118" t="n">
        <f aca="false">T267*T281</f>
        <v>8390.66666666667</v>
      </c>
      <c r="U282" s="118" t="n">
        <f aca="false">U267*U281</f>
        <v>8390.66666666667</v>
      </c>
      <c r="V282" s="118" t="n">
        <f aca="false">V267*V281</f>
        <v>8390.66666666667</v>
      </c>
      <c r="W282" s="118" t="n">
        <f aca="false">W267*W281</f>
        <v>8390.66666666667</v>
      </c>
      <c r="X282" s="118" t="n">
        <f aca="false">X267*X281</f>
        <v>8390.66666666667</v>
      </c>
      <c r="Y282" s="118" t="n">
        <f aca="false">Y267*Y281</f>
        <v>8390.66666666667</v>
      </c>
      <c r="Z282" s="118" t="n">
        <f aca="false">Z267*Z281</f>
        <v>7308</v>
      </c>
      <c r="AA282" s="118" t="n">
        <f aca="false">AA267*AA281</f>
        <v>7308</v>
      </c>
      <c r="AB282" s="118" t="n">
        <f aca="false">AB267*AB281</f>
        <v>7308</v>
      </c>
      <c r="AC282" s="118" t="n">
        <f aca="false">AC267*AC281</f>
        <v>8390.66666666667</v>
      </c>
      <c r="AD282" s="118" t="n">
        <f aca="false">AD267*AD281</f>
        <v>8390.66666666667</v>
      </c>
      <c r="AE282" s="118" t="n">
        <f aca="false">AE267*AE281</f>
        <v>8390.66666666667</v>
      </c>
      <c r="AF282" s="118" t="n">
        <f aca="false">AF267*AF281</f>
        <v>8390.66666666667</v>
      </c>
      <c r="AG282" s="118" t="n">
        <f aca="false">AG267*AG281</f>
        <v>8390.66666666667</v>
      </c>
      <c r="AH282" s="118" t="n">
        <f aca="false">AH267*AH281</f>
        <v>8390.66666666667</v>
      </c>
      <c r="AI282" s="118" t="n">
        <f aca="false">AI267*AI281</f>
        <v>8390.66666666667</v>
      </c>
      <c r="AJ282" s="118" t="n">
        <f aca="false">AJ267*AJ281</f>
        <v>8390.66666666667</v>
      </c>
      <c r="AK282" s="118" t="n">
        <f aca="false">AK267*AK281</f>
        <v>8390.66666666667</v>
      </c>
      <c r="AL282" s="118" t="n">
        <f aca="false">AL267*AL281</f>
        <v>7308</v>
      </c>
      <c r="AM282" s="118" t="n">
        <f aca="false">AM267*AM281</f>
        <v>7308</v>
      </c>
      <c r="AN282" s="118" t="n">
        <f aca="false">AN267*AN281</f>
        <v>7308</v>
      </c>
      <c r="AO282" s="118" t="n">
        <f aca="false">AO267*AO281</f>
        <v>8390.66666666667</v>
      </c>
      <c r="AP282" s="118" t="n">
        <f aca="false">AP267*AP281</f>
        <v>8390.66666666667</v>
      </c>
      <c r="AQ282" s="118" t="n">
        <f aca="false">AQ267*AQ281</f>
        <v>8390.66666666667</v>
      </c>
      <c r="AR282" s="118" t="n">
        <f aca="false">AR267*AR281</f>
        <v>8390.66666666667</v>
      </c>
      <c r="AS282" s="118" t="n">
        <f aca="false">AS267*AS281</f>
        <v>8390.66666666667</v>
      </c>
      <c r="AT282" s="118" t="n">
        <f aca="false">AT267*AT281</f>
        <v>8390.66666666667</v>
      </c>
      <c r="AU282" s="118" t="n">
        <f aca="false">AU267*AU281</f>
        <v>8390.66666666667</v>
      </c>
      <c r="AV282" s="118" t="n">
        <f aca="false">AV267*AV281</f>
        <v>8390.66666666667</v>
      </c>
      <c r="AW282" s="118" t="n">
        <f aca="false">AW267*AW281</f>
        <v>8390.66666666667</v>
      </c>
      <c r="AX282" s="118" t="n">
        <f aca="false">AX267*AX281</f>
        <v>7308</v>
      </c>
      <c r="AY282" s="118" t="n">
        <f aca="false">AY267*AY281</f>
        <v>7308</v>
      </c>
      <c r="AZ282" s="118" t="n">
        <f aca="false">AZ267*AZ281</f>
        <v>7308</v>
      </c>
      <c r="BA282" s="118" t="n">
        <f aca="false">BA267*BA281</f>
        <v>8390.66666666667</v>
      </c>
      <c r="BB282" s="118" t="n">
        <f aca="false">BB267*BB281</f>
        <v>8390.66666666667</v>
      </c>
      <c r="BC282" s="118" t="n">
        <f aca="false">BC267*BC281</f>
        <v>8390.66666666667</v>
      </c>
      <c r="BD282" s="118" t="n">
        <f aca="false">BD267*BD281</f>
        <v>8390.66666666667</v>
      </c>
      <c r="BE282" s="118" t="n">
        <f aca="false">BE267*BE281</f>
        <v>8390.66666666667</v>
      </c>
      <c r="BF282" s="118" t="n">
        <f aca="false">BF267*BF281</f>
        <v>8390.66666666667</v>
      </c>
      <c r="BG282" s="118" t="n">
        <f aca="false">BG267*BG281</f>
        <v>8390.66666666667</v>
      </c>
      <c r="BH282" s="118" t="n">
        <f aca="false">BH267*BH281</f>
        <v>8390.66666666667</v>
      </c>
      <c r="BI282" s="118" t="n">
        <f aca="false">BI267*BI281</f>
        <v>8390.66666666667</v>
      </c>
      <c r="BJ282" s="118" t="n">
        <f aca="false">BJ267*BJ281</f>
        <v>7308</v>
      </c>
    </row>
    <row r="283" customFormat="false" ht="15" hidden="false" customHeight="false" outlineLevel="0" collapsed="false">
      <c r="A283" s="6" t="s">
        <v>239</v>
      </c>
      <c r="C283" s="118" t="n">
        <f aca="false">C279*C281</f>
        <v>1097.27136</v>
      </c>
      <c r="D283" s="118" t="n">
        <f aca="false">D279*D281</f>
        <v>1285.27680219429</v>
      </c>
      <c r="E283" s="118" t="n">
        <f aca="false">E279*E281</f>
        <v>1725.07431598795</v>
      </c>
      <c r="F283" s="118" t="n">
        <f aca="false">F279*F281</f>
        <v>2008.06630993983</v>
      </c>
      <c r="G283" s="118" t="n">
        <f aca="false">G279*G281</f>
        <v>2312.59300579953</v>
      </c>
      <c r="H283" s="118" t="n">
        <f aca="false">H279*H281</f>
        <v>2637.96529310601</v>
      </c>
      <c r="I283" s="118" t="n">
        <f aca="false">I279*I281</f>
        <v>2983.51611293297</v>
      </c>
      <c r="J283" s="118" t="n">
        <f aca="false">J279*J281</f>
        <v>3348.59975223975</v>
      </c>
      <c r="K283" s="118" t="n">
        <f aca="false">K279*K281</f>
        <v>3717.29593794585</v>
      </c>
      <c r="L283" s="118" t="n">
        <f aca="false">L279*L281</f>
        <v>4074.19384570936</v>
      </c>
      <c r="M283" s="118" t="n">
        <f aca="false">M279*M281</f>
        <v>4419.67102042444</v>
      </c>
      <c r="N283" s="118" t="n">
        <f aca="false">N279*N281</f>
        <v>4125.07118031656</v>
      </c>
      <c r="O283" s="118" t="n">
        <f aca="false">O279*O281</f>
        <v>4384.97930254643</v>
      </c>
      <c r="P283" s="118" t="n">
        <f aca="false">P279*P281</f>
        <v>4645.21036486494</v>
      </c>
      <c r="Q283" s="118" t="n">
        <f aca="false">Q279*Q281</f>
        <v>5640.51249736545</v>
      </c>
      <c r="R283" s="118" t="n">
        <f aca="false">R279*R281</f>
        <v>5955.70747522753</v>
      </c>
      <c r="S283" s="118" t="n">
        <f aca="false">S279*S281</f>
        <v>6260.81621379803</v>
      </c>
      <c r="T283" s="118" t="n">
        <f aca="false">T279*T281</f>
        <v>6556.16147273427</v>
      </c>
      <c r="U283" s="118" t="n">
        <f aca="false">U279*U281</f>
        <v>6842.05568338455</v>
      </c>
      <c r="V283" s="118" t="n">
        <f aca="false">V279*V281</f>
        <v>7118.80127929402</v>
      </c>
      <c r="W283" s="118" t="n">
        <f aca="false">W279*W281</f>
        <v>7386.69101613439</v>
      </c>
      <c r="X283" s="118" t="n">
        <f aca="false">X279*X281</f>
        <v>7646.00828139587</v>
      </c>
      <c r="Y283" s="118" t="n">
        <f aca="false">Y279*Y281</f>
        <v>7897.02739416898</v>
      </c>
      <c r="Z283" s="118" t="n">
        <f aca="false">Z279*Z281</f>
        <v>7074.09912174195</v>
      </c>
      <c r="AA283" s="118" t="n">
        <f aca="false">AA279*AA281</f>
        <v>7257.78234984621</v>
      </c>
      <c r="AB283" s="118" t="n">
        <f aca="false">AB279*AB281</f>
        <v>7445.09171465113</v>
      </c>
      <c r="AC283" s="118" t="n">
        <f aca="false">AC279*AC281</f>
        <v>8774.14536937967</v>
      </c>
      <c r="AD283" s="118" t="n">
        <f aca="false">AD279*AD281</f>
        <v>9010.8880953373</v>
      </c>
      <c r="AE283" s="118" t="n">
        <f aca="false">AE279*AE281</f>
        <v>9240.05505406428</v>
      </c>
      <c r="AF283" s="118" t="n">
        <f aca="false">AF279*AF281</f>
        <v>9461.888670112</v>
      </c>
      <c r="AG283" s="118" t="n">
        <f aca="false">AG279*AG281</f>
        <v>9676.6236104462</v>
      </c>
      <c r="AH283" s="118" t="n">
        <f aca="false">AH279*AH281</f>
        <v>9884.4870326897</v>
      </c>
      <c r="AI283" s="118" t="n">
        <f aca="false">AI279*AI281</f>
        <v>10085.6988254214</v>
      </c>
      <c r="AJ283" s="118" t="n">
        <f aca="false">AJ279*AJ281</f>
        <v>10280.4718407857</v>
      </c>
      <c r="AK283" s="118" t="n">
        <f aca="false">AK279*AK281</f>
        <v>10469.0121196583</v>
      </c>
      <c r="AL283" s="118" t="n">
        <f aca="false">AL279*AL281</f>
        <v>9261.5391470771</v>
      </c>
      <c r="AM283" s="118" t="n">
        <f aca="false">AM279*AM281</f>
        <v>9395.18269437063</v>
      </c>
      <c r="AN283" s="118" t="n">
        <f aca="false">AN279*AN281</f>
        <v>9535.00404815077</v>
      </c>
      <c r="AO283" s="118" t="n">
        <f aca="false">AO279*AO281</f>
        <v>11120.8958176633</v>
      </c>
      <c r="AP283" s="118" t="n">
        <f aca="false">AP279*AP281</f>
        <v>11306.5489292758</v>
      </c>
      <c r="AQ283" s="118" t="n">
        <f aca="false">AQ279*AQ281</f>
        <v>11486.2611413168</v>
      </c>
      <c r="AR283" s="118" t="n">
        <f aca="false">AR279*AR281</f>
        <v>11660.2225625724</v>
      </c>
      <c r="AS283" s="118" t="n">
        <f aca="false">AS279*AS281</f>
        <v>11828.6172183479</v>
      </c>
      <c r="AT283" s="118" t="n">
        <f aca="false">AT279*AT281</f>
        <v>11991.6232451385</v>
      </c>
      <c r="AU283" s="118" t="n">
        <f aca="false">AU279*AU281</f>
        <v>12149.4130790719</v>
      </c>
      <c r="AV283" s="118" t="n">
        <f aca="false">AV279*AV281</f>
        <v>12302.1536383193</v>
      </c>
      <c r="AW283" s="118" t="n">
        <f aca="false">AW279*AW281</f>
        <v>12450.0064996709</v>
      </c>
      <c r="AX283" s="118" t="n">
        <f aca="false">AX279*AX281</f>
        <v>10952.6179185613</v>
      </c>
      <c r="AY283" s="118" t="n">
        <f aca="false">AY279*AY281</f>
        <v>11054.1011851673</v>
      </c>
      <c r="AZ283" s="118" t="n">
        <f aca="false">AZ279*AZ281</f>
        <v>11163.8368272419</v>
      </c>
      <c r="BA283" s="118" t="n">
        <f aca="false">BA279*BA281</f>
        <v>12957.5996737732</v>
      </c>
      <c r="BB283" s="118" t="n">
        <f aca="false">BB279*BB281</f>
        <v>13110.8853019902</v>
      </c>
      <c r="BC283" s="118" t="n">
        <f aca="false">BC279*BC281</f>
        <v>13259.2657901043</v>
      </c>
      <c r="BD283" s="118" t="n">
        <f aca="false">BD279*BD281</f>
        <v>13402.8981025988</v>
      </c>
      <c r="BE283" s="118" t="n">
        <f aca="false">BE279*BE281</f>
        <v>13541.9341810934</v>
      </c>
      <c r="BF283" s="118" t="n">
        <f aca="false">BF279*BF281</f>
        <v>13676.5211050762</v>
      </c>
      <c r="BG283" s="118" t="n">
        <f aca="false">BG279*BG281</f>
        <v>13806.8012474915</v>
      </c>
      <c r="BH283" s="118" t="n">
        <f aca="false">BH279*BH281</f>
        <v>13932.9124253496</v>
      </c>
      <c r="BI283" s="118" t="n">
        <f aca="false">BI279*BI281</f>
        <v>14054.9880455161</v>
      </c>
      <c r="BJ283" s="118" t="n">
        <f aca="false">BJ279*BJ281</f>
        <v>12328.7723625035</v>
      </c>
    </row>
    <row r="284" customFormat="false" ht="15" hidden="false" customHeight="false" outlineLevel="0" collapsed="false">
      <c r="A284" s="4" t="s">
        <v>432</v>
      </c>
      <c r="C284" s="121" t="n">
        <f aca="false">C282+C283</f>
        <v>5116.67136</v>
      </c>
      <c r="D284" s="121" t="n">
        <f aca="false">D282+D283</f>
        <v>5774.47680219429</v>
      </c>
      <c r="E284" s="121" t="n">
        <f aca="false">E282+E283</f>
        <v>7418.74098265462</v>
      </c>
      <c r="F284" s="121" t="n">
        <f aca="false">F282+F283</f>
        <v>8241.1329766065</v>
      </c>
      <c r="G284" s="121" t="n">
        <f aca="false">G282+G283</f>
        <v>9085.0596724662</v>
      </c>
      <c r="H284" s="121" t="n">
        <f aca="false">H282+H283</f>
        <v>9949.83195977268</v>
      </c>
      <c r="I284" s="121" t="n">
        <f aca="false">I282+I283</f>
        <v>10834.7827795996</v>
      </c>
      <c r="J284" s="121" t="n">
        <f aca="false">J282+J283</f>
        <v>11739.2664189064</v>
      </c>
      <c r="K284" s="121" t="n">
        <f aca="false">K282+K283</f>
        <v>12107.9626046125</v>
      </c>
      <c r="L284" s="121" t="n">
        <f aca="false">L282+L283</f>
        <v>12464.860512376</v>
      </c>
      <c r="M284" s="121" t="n">
        <f aca="false">M282+M283</f>
        <v>12810.3376870911</v>
      </c>
      <c r="N284" s="121" t="n">
        <f aca="false">N282+N283</f>
        <v>11433.0711803166</v>
      </c>
      <c r="O284" s="121" t="n">
        <f aca="false">O282+O283</f>
        <v>11692.9793025464</v>
      </c>
      <c r="P284" s="121" t="n">
        <f aca="false">P282+P283</f>
        <v>11953.2103648649</v>
      </c>
      <c r="Q284" s="121" t="n">
        <f aca="false">Q282+Q283</f>
        <v>14031.1791640321</v>
      </c>
      <c r="R284" s="121" t="n">
        <f aca="false">R282+R283</f>
        <v>14346.3741418942</v>
      </c>
      <c r="S284" s="121" t="n">
        <f aca="false">S282+S283</f>
        <v>14651.4828804647</v>
      </c>
      <c r="T284" s="121" t="n">
        <f aca="false">T282+T283</f>
        <v>14946.8281394009</v>
      </c>
      <c r="U284" s="121" t="n">
        <f aca="false">U282+U283</f>
        <v>15232.7223500512</v>
      </c>
      <c r="V284" s="121" t="n">
        <f aca="false">V282+V283</f>
        <v>15509.4679459607</v>
      </c>
      <c r="W284" s="121" t="n">
        <f aca="false">W282+W283</f>
        <v>15777.3576828011</v>
      </c>
      <c r="X284" s="121" t="n">
        <f aca="false">X282+X283</f>
        <v>16036.6749480625</v>
      </c>
      <c r="Y284" s="121" t="n">
        <f aca="false">Y282+Y283</f>
        <v>16287.6940608356</v>
      </c>
      <c r="Z284" s="121" t="n">
        <f aca="false">Z282+Z283</f>
        <v>14382.099121742</v>
      </c>
      <c r="AA284" s="121" t="n">
        <f aca="false">AA282+AA283</f>
        <v>14565.7823498462</v>
      </c>
      <c r="AB284" s="121" t="n">
        <f aca="false">AB282+AB283</f>
        <v>14753.0917146511</v>
      </c>
      <c r="AC284" s="121" t="n">
        <f aca="false">AC282+AC283</f>
        <v>17164.8120360463</v>
      </c>
      <c r="AD284" s="121" t="n">
        <f aca="false">AD282+AD283</f>
        <v>17401.554762004</v>
      </c>
      <c r="AE284" s="121" t="n">
        <f aca="false">AE282+AE283</f>
        <v>17630.721720731</v>
      </c>
      <c r="AF284" s="121" t="n">
        <f aca="false">AF282+AF283</f>
        <v>17852.5553367787</v>
      </c>
      <c r="AG284" s="121" t="n">
        <f aca="false">AG282+AG283</f>
        <v>18067.2902771129</v>
      </c>
      <c r="AH284" s="121" t="n">
        <f aca="false">AH282+AH283</f>
        <v>18275.1536993564</v>
      </c>
      <c r="AI284" s="121" t="n">
        <f aca="false">AI282+AI283</f>
        <v>18476.3654920881</v>
      </c>
      <c r="AJ284" s="121" t="n">
        <f aca="false">AJ282+AJ283</f>
        <v>18671.1385074524</v>
      </c>
      <c r="AK284" s="121" t="n">
        <f aca="false">AK282+AK283</f>
        <v>18859.678786325</v>
      </c>
      <c r="AL284" s="121" t="n">
        <f aca="false">AL282+AL283</f>
        <v>16569.5391470771</v>
      </c>
      <c r="AM284" s="121" t="n">
        <f aca="false">AM282+AM283</f>
        <v>16703.1826943706</v>
      </c>
      <c r="AN284" s="121" t="n">
        <f aca="false">AN282+AN283</f>
        <v>16843.0040481508</v>
      </c>
      <c r="AO284" s="121" t="n">
        <f aca="false">AO282+AO283</f>
        <v>19511.5624843299</v>
      </c>
      <c r="AP284" s="121" t="n">
        <f aca="false">AP282+AP283</f>
        <v>19697.2155959425</v>
      </c>
      <c r="AQ284" s="121" t="n">
        <f aca="false">AQ282+AQ283</f>
        <v>19876.9278079834</v>
      </c>
      <c r="AR284" s="121" t="n">
        <f aca="false">AR282+AR283</f>
        <v>20050.8892292391</v>
      </c>
      <c r="AS284" s="121" t="n">
        <f aca="false">AS282+AS283</f>
        <v>20219.2838850146</v>
      </c>
      <c r="AT284" s="121" t="n">
        <f aca="false">AT282+AT283</f>
        <v>20382.2899118052</v>
      </c>
      <c r="AU284" s="121" t="n">
        <f aca="false">AU282+AU283</f>
        <v>20540.0797457385</v>
      </c>
      <c r="AV284" s="121" t="n">
        <f aca="false">AV282+AV283</f>
        <v>20692.820304986</v>
      </c>
      <c r="AW284" s="121" t="n">
        <f aca="false">AW282+AW283</f>
        <v>20840.6731663376</v>
      </c>
      <c r="AX284" s="121" t="n">
        <f aca="false">AX282+AX283</f>
        <v>18260.6179185613</v>
      </c>
      <c r="AY284" s="121" t="n">
        <f aca="false">AY282+AY283</f>
        <v>18362.1011851673</v>
      </c>
      <c r="AZ284" s="121" t="n">
        <f aca="false">AZ282+AZ283</f>
        <v>18471.8368272419</v>
      </c>
      <c r="BA284" s="121" t="n">
        <f aca="false">BA282+BA283</f>
        <v>21348.2663404399</v>
      </c>
      <c r="BB284" s="121" t="n">
        <f aca="false">BB282+BB283</f>
        <v>21501.5519686569</v>
      </c>
      <c r="BC284" s="121" t="n">
        <f aca="false">BC282+BC283</f>
        <v>21649.932456771</v>
      </c>
      <c r="BD284" s="121" t="n">
        <f aca="false">BD282+BD283</f>
        <v>21793.5647692654</v>
      </c>
      <c r="BE284" s="121" t="n">
        <f aca="false">BE282+BE283</f>
        <v>21932.60084776</v>
      </c>
      <c r="BF284" s="121" t="n">
        <f aca="false">BF282+BF283</f>
        <v>22067.1877717428</v>
      </c>
      <c r="BG284" s="121" t="n">
        <f aca="false">BG282+BG283</f>
        <v>22197.4679141582</v>
      </c>
      <c r="BH284" s="121" t="n">
        <f aca="false">BH282+BH283</f>
        <v>22323.5790920162</v>
      </c>
      <c r="BI284" s="121" t="n">
        <f aca="false">BI282+BI283</f>
        <v>22445.6547121828</v>
      </c>
      <c r="BJ284" s="121" t="n">
        <f aca="false">BJ282+BJ283</f>
        <v>19636.7723625035</v>
      </c>
    </row>
    <row r="285" customFormat="false" ht="15" hidden="false" customHeight="false" outlineLevel="0" collapsed="false">
      <c r="A285" s="6" t="s">
        <v>242</v>
      </c>
      <c r="C285" s="118" t="n">
        <f aca="false">C267+C279-C284</f>
        <v>0</v>
      </c>
      <c r="D285" s="118" t="n">
        <f aca="false">D267+D279-D284</f>
        <v>0</v>
      </c>
      <c r="E285" s="118" t="n">
        <f aca="false">E267+E279-E284</f>
        <v>0</v>
      </c>
      <c r="F285" s="118" t="n">
        <f aca="false">F267+F279-F284</f>
        <v>0</v>
      </c>
      <c r="G285" s="118" t="n">
        <f aca="false">G267+G279-G284</f>
        <v>0</v>
      </c>
      <c r="H285" s="118" t="n">
        <f aca="false">H267+H279-H284</f>
        <v>0</v>
      </c>
      <c r="I285" s="118" t="n">
        <f aca="false">I267+I279-I284</f>
        <v>0</v>
      </c>
      <c r="J285" s="118" t="n">
        <f aca="false">J267+J279-J284</f>
        <v>0</v>
      </c>
      <c r="K285" s="118" t="n">
        <f aca="false">K267+K279-K284</f>
        <v>0</v>
      </c>
      <c r="L285" s="118" t="n">
        <f aca="false">L267+L279-L284</f>
        <v>0</v>
      </c>
      <c r="M285" s="118" t="n">
        <f aca="false">M267+M279-M284</f>
        <v>0</v>
      </c>
      <c r="N285" s="118" t="n">
        <f aca="false">N267+N279-N284</f>
        <v>0</v>
      </c>
      <c r="O285" s="118" t="n">
        <f aca="false">O267+O279-O284</f>
        <v>0</v>
      </c>
      <c r="P285" s="118" t="n">
        <f aca="false">P267+P279-P284</f>
        <v>0</v>
      </c>
      <c r="Q285" s="118" t="n">
        <f aca="false">Q267+Q279-Q284</f>
        <v>0</v>
      </c>
      <c r="R285" s="118" t="n">
        <f aca="false">R267+R279-R284</f>
        <v>0</v>
      </c>
      <c r="S285" s="118" t="n">
        <f aca="false">S267+S279-S284</f>
        <v>0</v>
      </c>
      <c r="T285" s="118" t="n">
        <f aca="false">T267+T279-T284</f>
        <v>0</v>
      </c>
      <c r="U285" s="118" t="n">
        <f aca="false">U267+U279-U284</f>
        <v>0</v>
      </c>
      <c r="V285" s="118" t="n">
        <f aca="false">V267+V279-V284</f>
        <v>0</v>
      </c>
      <c r="W285" s="118" t="n">
        <f aca="false">W267+W279-W284</f>
        <v>0</v>
      </c>
      <c r="X285" s="118" t="n">
        <f aca="false">X267+X279-X284</f>
        <v>0</v>
      </c>
      <c r="Y285" s="118" t="n">
        <f aca="false">Y267+Y279-Y284</f>
        <v>0</v>
      </c>
      <c r="Z285" s="118" t="n">
        <f aca="false">Z267+Z279-Z284</f>
        <v>0</v>
      </c>
      <c r="AA285" s="118" t="n">
        <f aca="false">AA267+AA279-AA284</f>
        <v>0</v>
      </c>
      <c r="AB285" s="118" t="n">
        <f aca="false">AB267+AB279-AB284</f>
        <v>0</v>
      </c>
      <c r="AC285" s="118" t="n">
        <f aca="false">AC267+AC279-AC284</f>
        <v>0</v>
      </c>
      <c r="AD285" s="118" t="n">
        <f aca="false">AD267+AD279-AD284</f>
        <v>0</v>
      </c>
      <c r="AE285" s="118" t="n">
        <f aca="false">AE267+AE279-AE284</f>
        <v>0</v>
      </c>
      <c r="AF285" s="118" t="n">
        <f aca="false">AF267+AF279-AF284</f>
        <v>0</v>
      </c>
      <c r="AG285" s="118" t="n">
        <f aca="false">AG267+AG279-AG284</f>
        <v>0</v>
      </c>
      <c r="AH285" s="118" t="n">
        <f aca="false">AH267+AH279-AH284</f>
        <v>0</v>
      </c>
      <c r="AI285" s="118" t="n">
        <f aca="false">AI267+AI279-AI284</f>
        <v>0</v>
      </c>
      <c r="AJ285" s="118" t="n">
        <f aca="false">AJ267+AJ279-AJ284</f>
        <v>0</v>
      </c>
      <c r="AK285" s="118" t="n">
        <f aca="false">AK267+AK279-AK284</f>
        <v>0</v>
      </c>
      <c r="AL285" s="118" t="n">
        <f aca="false">AL267+AL279-AL284</f>
        <v>0</v>
      </c>
      <c r="AM285" s="118" t="n">
        <f aca="false">AM267+AM279-AM284</f>
        <v>0</v>
      </c>
      <c r="AN285" s="118" t="n">
        <f aca="false">AN267+AN279-AN284</f>
        <v>0</v>
      </c>
      <c r="AO285" s="118" t="n">
        <f aca="false">AO267+AO279-AO284</f>
        <v>0</v>
      </c>
      <c r="AP285" s="118" t="n">
        <f aca="false">AP267+AP279-AP284</f>
        <v>0</v>
      </c>
      <c r="AQ285" s="118" t="n">
        <f aca="false">AQ267+AQ279-AQ284</f>
        <v>0</v>
      </c>
      <c r="AR285" s="118" t="n">
        <f aca="false">AR267+AR279-AR284</f>
        <v>0</v>
      </c>
      <c r="AS285" s="118" t="n">
        <f aca="false">AS267+AS279-AS284</f>
        <v>0</v>
      </c>
      <c r="AT285" s="118" t="n">
        <f aca="false">AT267+AT279-AT284</f>
        <v>0</v>
      </c>
      <c r="AU285" s="118" t="n">
        <f aca="false">AU267+AU279-AU284</f>
        <v>0</v>
      </c>
      <c r="AV285" s="118" t="n">
        <f aca="false">AV267+AV279-AV284</f>
        <v>0</v>
      </c>
      <c r="AW285" s="118" t="n">
        <f aca="false">AW267+AW279-AW284</f>
        <v>0</v>
      </c>
      <c r="AX285" s="118" t="n">
        <f aca="false">AX267+AX279-AX284</f>
        <v>0</v>
      </c>
      <c r="AY285" s="118" t="n">
        <f aca="false">AY267+AY279-AY284</f>
        <v>0</v>
      </c>
      <c r="AZ285" s="118" t="n">
        <f aca="false">AZ267+AZ279-AZ284</f>
        <v>0</v>
      </c>
      <c r="BA285" s="118" t="n">
        <f aca="false">BA267+BA279-BA284</f>
        <v>0</v>
      </c>
      <c r="BB285" s="118" t="n">
        <f aca="false">BB267+BB279-BB284</f>
        <v>0</v>
      </c>
      <c r="BC285" s="118" t="n">
        <f aca="false">BC267+BC279-BC284</f>
        <v>0</v>
      </c>
      <c r="BD285" s="118" t="n">
        <f aca="false">BD267+BD279-BD284</f>
        <v>0</v>
      </c>
      <c r="BE285" s="118" t="n">
        <f aca="false">BE267+BE279-BE284</f>
        <v>0</v>
      </c>
      <c r="BF285" s="118" t="n">
        <f aca="false">BF267+BF279-BF284</f>
        <v>0</v>
      </c>
      <c r="BG285" s="118" t="n">
        <f aca="false">BG267+BG279-BG284</f>
        <v>0</v>
      </c>
      <c r="BH285" s="118" t="n">
        <f aca="false">BH267+BH279-BH284</f>
        <v>0</v>
      </c>
      <c r="BI285" s="118" t="n">
        <f aca="false">BI267+BI279-BI284</f>
        <v>0</v>
      </c>
      <c r="BJ285" s="118" t="n">
        <f aca="false">BJ267+BJ279-BJ284</f>
        <v>0</v>
      </c>
    </row>
    <row r="287" customFormat="false" ht="15.75" hidden="false" customHeight="true" outlineLevel="0" collapsed="false">
      <c r="A287" s="7" t="s">
        <v>44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 customFormat="false" ht="15" hidden="false" customHeight="false" outlineLevel="0" collapsed="false">
      <c r="A288" s="6" t="s">
        <v>433</v>
      </c>
      <c r="C288" s="122" t="n">
        <f aca="false">Inputs!$D$27*(1+Inputs!$D$30)^(C$261-1)</f>
        <v>14</v>
      </c>
      <c r="D288" s="122" t="n">
        <f aca="false">Inputs!$D$27*(1+Inputs!$D$30)^(D$261-1)</f>
        <v>14</v>
      </c>
      <c r="E288" s="122" t="n">
        <f aca="false">Inputs!$D$27*(1+Inputs!$D$30)^(E$261-1)</f>
        <v>14</v>
      </c>
      <c r="F288" s="122" t="n">
        <f aca="false">Inputs!$D$27*(1+Inputs!$D$30)^(F$261-1)</f>
        <v>14</v>
      </c>
      <c r="G288" s="122" t="n">
        <f aca="false">Inputs!$D$27*(1+Inputs!$D$30)^(G$261-1)</f>
        <v>14</v>
      </c>
      <c r="H288" s="122" t="n">
        <f aca="false">Inputs!$D$27*(1+Inputs!$D$30)^(H$261-1)</f>
        <v>14</v>
      </c>
      <c r="I288" s="122" t="n">
        <f aca="false">Inputs!$D$27*(1+Inputs!$D$30)^(I$261-1)</f>
        <v>14</v>
      </c>
      <c r="J288" s="122" t="n">
        <f aca="false">Inputs!$D$27*(1+Inputs!$D$30)^(J$261-1)</f>
        <v>14</v>
      </c>
      <c r="K288" s="122" t="n">
        <f aca="false">Inputs!$D$27*(1+Inputs!$D$30)^(K$261-1)</f>
        <v>14</v>
      </c>
      <c r="L288" s="122" t="n">
        <f aca="false">Inputs!$D$27*(1+Inputs!$D$30)^(L$261-1)</f>
        <v>14</v>
      </c>
      <c r="M288" s="122" t="n">
        <f aca="false">Inputs!$D$27*(1+Inputs!$D$30)^(M$261-1)</f>
        <v>14</v>
      </c>
      <c r="N288" s="122" t="n">
        <f aca="false">Inputs!$D$27*(1+Inputs!$D$30)^(N$261-1)</f>
        <v>14</v>
      </c>
      <c r="O288" s="122" t="n">
        <f aca="false">Inputs!$D$27*(1+Inputs!$D$30)^(O$261-1)</f>
        <v>14.42</v>
      </c>
      <c r="P288" s="122" t="n">
        <f aca="false">Inputs!$D$27*(1+Inputs!$D$30)^(P$261-1)</f>
        <v>14.42</v>
      </c>
      <c r="Q288" s="122" t="n">
        <f aca="false">Inputs!$D$27*(1+Inputs!$D$30)^(Q$261-1)</f>
        <v>14.42</v>
      </c>
      <c r="R288" s="122" t="n">
        <f aca="false">Inputs!$D$27*(1+Inputs!$D$30)^(R$261-1)</f>
        <v>14.42</v>
      </c>
      <c r="S288" s="122" t="n">
        <f aca="false">Inputs!$D$27*(1+Inputs!$D$30)^(S$261-1)</f>
        <v>14.42</v>
      </c>
      <c r="T288" s="122" t="n">
        <f aca="false">Inputs!$D$27*(1+Inputs!$D$30)^(T$261-1)</f>
        <v>14.42</v>
      </c>
      <c r="U288" s="122" t="n">
        <f aca="false">Inputs!$D$27*(1+Inputs!$D$30)^(U$261-1)</f>
        <v>14.42</v>
      </c>
      <c r="V288" s="122" t="n">
        <f aca="false">Inputs!$D$27*(1+Inputs!$D$30)^(V$261-1)</f>
        <v>14.42</v>
      </c>
      <c r="W288" s="122" t="n">
        <f aca="false">Inputs!$D$27*(1+Inputs!$D$30)^(W$261-1)</f>
        <v>14.42</v>
      </c>
      <c r="X288" s="122" t="n">
        <f aca="false">Inputs!$D$27*(1+Inputs!$D$30)^(X$261-1)</f>
        <v>14.42</v>
      </c>
      <c r="Y288" s="122" t="n">
        <f aca="false">Inputs!$D$27*(1+Inputs!$D$30)^(Y$261-1)</f>
        <v>14.42</v>
      </c>
      <c r="Z288" s="122" t="n">
        <f aca="false">Inputs!$D$27*(1+Inputs!$D$30)^(Z$261-1)</f>
        <v>14.42</v>
      </c>
      <c r="AA288" s="122" t="n">
        <f aca="false">Inputs!$D$27*(1+Inputs!$D$30)^(AA$261-1)</f>
        <v>14.8526</v>
      </c>
      <c r="AB288" s="122" t="n">
        <f aca="false">Inputs!$D$27*(1+Inputs!$D$30)^(AB$261-1)</f>
        <v>14.8526</v>
      </c>
      <c r="AC288" s="122" t="n">
        <f aca="false">Inputs!$D$27*(1+Inputs!$D$30)^(AC$261-1)</f>
        <v>14.8526</v>
      </c>
      <c r="AD288" s="122" t="n">
        <f aca="false">Inputs!$D$27*(1+Inputs!$D$30)^(AD$261-1)</f>
        <v>14.8526</v>
      </c>
      <c r="AE288" s="122" t="n">
        <f aca="false">Inputs!$D$27*(1+Inputs!$D$30)^(AE$261-1)</f>
        <v>14.8526</v>
      </c>
      <c r="AF288" s="122" t="n">
        <f aca="false">Inputs!$D$27*(1+Inputs!$D$30)^(AF$261-1)</f>
        <v>14.8526</v>
      </c>
      <c r="AG288" s="122" t="n">
        <f aca="false">Inputs!$D$27*(1+Inputs!$D$30)^(AG$261-1)</f>
        <v>14.8526</v>
      </c>
      <c r="AH288" s="122" t="n">
        <f aca="false">Inputs!$D$27*(1+Inputs!$D$30)^(AH$261-1)</f>
        <v>14.8526</v>
      </c>
      <c r="AI288" s="122" t="n">
        <f aca="false">Inputs!$D$27*(1+Inputs!$D$30)^(AI$261-1)</f>
        <v>14.8526</v>
      </c>
      <c r="AJ288" s="122" t="n">
        <f aca="false">Inputs!$D$27*(1+Inputs!$D$30)^(AJ$261-1)</f>
        <v>14.8526</v>
      </c>
      <c r="AK288" s="122" t="n">
        <f aca="false">Inputs!$D$27*(1+Inputs!$D$30)^(AK$261-1)</f>
        <v>14.8526</v>
      </c>
      <c r="AL288" s="122" t="n">
        <f aca="false">Inputs!$D$27*(1+Inputs!$D$30)^(AL$261-1)</f>
        <v>14.8526</v>
      </c>
      <c r="AM288" s="122" t="n">
        <f aca="false">Inputs!$D$27*(1+Inputs!$D$30)^(AM$261-1)</f>
        <v>15.298178</v>
      </c>
      <c r="AN288" s="122" t="n">
        <f aca="false">Inputs!$D$27*(1+Inputs!$D$30)^(AN$261-1)</f>
        <v>15.298178</v>
      </c>
      <c r="AO288" s="122" t="n">
        <f aca="false">Inputs!$D$27*(1+Inputs!$D$30)^(AO$261-1)</f>
        <v>15.298178</v>
      </c>
      <c r="AP288" s="122" t="n">
        <f aca="false">Inputs!$D$27*(1+Inputs!$D$30)^(AP$261-1)</f>
        <v>15.298178</v>
      </c>
      <c r="AQ288" s="122" t="n">
        <f aca="false">Inputs!$D$27*(1+Inputs!$D$30)^(AQ$261-1)</f>
        <v>15.298178</v>
      </c>
      <c r="AR288" s="122" t="n">
        <f aca="false">Inputs!$D$27*(1+Inputs!$D$30)^(AR$261-1)</f>
        <v>15.298178</v>
      </c>
      <c r="AS288" s="122" t="n">
        <f aca="false">Inputs!$D$27*(1+Inputs!$D$30)^(AS$261-1)</f>
        <v>15.298178</v>
      </c>
      <c r="AT288" s="122" t="n">
        <f aca="false">Inputs!$D$27*(1+Inputs!$D$30)^(AT$261-1)</f>
        <v>15.298178</v>
      </c>
      <c r="AU288" s="122" t="n">
        <f aca="false">Inputs!$D$27*(1+Inputs!$D$30)^(AU$261-1)</f>
        <v>15.298178</v>
      </c>
      <c r="AV288" s="122" t="n">
        <f aca="false">Inputs!$D$27*(1+Inputs!$D$30)^(AV$261-1)</f>
        <v>15.298178</v>
      </c>
      <c r="AW288" s="122" t="n">
        <f aca="false">Inputs!$D$27*(1+Inputs!$D$30)^(AW$261-1)</f>
        <v>15.298178</v>
      </c>
      <c r="AX288" s="122" t="n">
        <f aca="false">Inputs!$D$27*(1+Inputs!$D$30)^(AX$261-1)</f>
        <v>15.298178</v>
      </c>
      <c r="AY288" s="122" t="n">
        <f aca="false">Inputs!$D$27*(1+Inputs!$D$30)^(AY$261-1)</f>
        <v>15.75712334</v>
      </c>
      <c r="AZ288" s="122" t="n">
        <f aca="false">Inputs!$D$27*(1+Inputs!$D$30)^(AZ$261-1)</f>
        <v>15.75712334</v>
      </c>
      <c r="BA288" s="122" t="n">
        <f aca="false">Inputs!$D$27*(1+Inputs!$D$30)^(BA$261-1)</f>
        <v>15.75712334</v>
      </c>
      <c r="BB288" s="122" t="n">
        <f aca="false">Inputs!$D$27*(1+Inputs!$D$30)^(BB$261-1)</f>
        <v>15.75712334</v>
      </c>
      <c r="BC288" s="122" t="n">
        <f aca="false">Inputs!$D$27*(1+Inputs!$D$30)^(BC$261-1)</f>
        <v>15.75712334</v>
      </c>
      <c r="BD288" s="122" t="n">
        <f aca="false">Inputs!$D$27*(1+Inputs!$D$30)^(BD$261-1)</f>
        <v>15.75712334</v>
      </c>
      <c r="BE288" s="122" t="n">
        <f aca="false">Inputs!$D$27*(1+Inputs!$D$30)^(BE$261-1)</f>
        <v>15.75712334</v>
      </c>
      <c r="BF288" s="122" t="n">
        <f aca="false">Inputs!$D$27*(1+Inputs!$D$30)^(BF$261-1)</f>
        <v>15.75712334</v>
      </c>
      <c r="BG288" s="122" t="n">
        <f aca="false">Inputs!$D$27*(1+Inputs!$D$30)^(BG$261-1)</f>
        <v>15.75712334</v>
      </c>
      <c r="BH288" s="122" t="n">
        <f aca="false">Inputs!$D$27*(1+Inputs!$D$30)^(BH$261-1)</f>
        <v>15.75712334</v>
      </c>
      <c r="BI288" s="122" t="n">
        <f aca="false">Inputs!$D$27*(1+Inputs!$D$30)^(BI$261-1)</f>
        <v>15.75712334</v>
      </c>
      <c r="BJ288" s="122" t="n">
        <f aca="false">Inputs!$D$27*(1+Inputs!$D$30)^(BJ$261-1)</f>
        <v>15.75712334</v>
      </c>
    </row>
    <row r="289" customFormat="false" ht="15" hidden="false" customHeight="false" outlineLevel="0" collapsed="false">
      <c r="A289" s="6" t="s">
        <v>434</v>
      </c>
      <c r="C289" s="122" t="n">
        <f aca="false">Inputs!$D$29*(1+Inputs!$D$30)^(C$261-1)</f>
        <v>38</v>
      </c>
      <c r="D289" s="122" t="n">
        <f aca="false">Inputs!$D$29*(1+Inputs!$D$30)^(D$261-1)</f>
        <v>38</v>
      </c>
      <c r="E289" s="122" t="n">
        <f aca="false">Inputs!$D$29*(1+Inputs!$D$30)^(E$261-1)</f>
        <v>38</v>
      </c>
      <c r="F289" s="122" t="n">
        <f aca="false">Inputs!$D$29*(1+Inputs!$D$30)^(F$261-1)</f>
        <v>38</v>
      </c>
      <c r="G289" s="122" t="n">
        <f aca="false">Inputs!$D$29*(1+Inputs!$D$30)^(G$261-1)</f>
        <v>38</v>
      </c>
      <c r="H289" s="122" t="n">
        <f aca="false">Inputs!$D$29*(1+Inputs!$D$30)^(H$261-1)</f>
        <v>38</v>
      </c>
      <c r="I289" s="122" t="n">
        <f aca="false">Inputs!$D$29*(1+Inputs!$D$30)^(I$261-1)</f>
        <v>38</v>
      </c>
      <c r="J289" s="122" t="n">
        <f aca="false">Inputs!$D$29*(1+Inputs!$D$30)^(J$261-1)</f>
        <v>38</v>
      </c>
      <c r="K289" s="122" t="n">
        <f aca="false">Inputs!$D$29*(1+Inputs!$D$30)^(K$261-1)</f>
        <v>38</v>
      </c>
      <c r="L289" s="122" t="n">
        <f aca="false">Inputs!$D$29*(1+Inputs!$D$30)^(L$261-1)</f>
        <v>38</v>
      </c>
      <c r="M289" s="122" t="n">
        <f aca="false">Inputs!$D$29*(1+Inputs!$D$30)^(M$261-1)</f>
        <v>38</v>
      </c>
      <c r="N289" s="122" t="n">
        <f aca="false">Inputs!$D$29*(1+Inputs!$D$30)^(N$261-1)</f>
        <v>38</v>
      </c>
      <c r="O289" s="122" t="n">
        <f aca="false">Inputs!$D$29*(1+Inputs!$D$30)^(O$261-1)</f>
        <v>39.14</v>
      </c>
      <c r="P289" s="122" t="n">
        <f aca="false">Inputs!$D$29*(1+Inputs!$D$30)^(P$261-1)</f>
        <v>39.14</v>
      </c>
      <c r="Q289" s="122" t="n">
        <f aca="false">Inputs!$D$29*(1+Inputs!$D$30)^(Q$261-1)</f>
        <v>39.14</v>
      </c>
      <c r="R289" s="122" t="n">
        <f aca="false">Inputs!$D$29*(1+Inputs!$D$30)^(R$261-1)</f>
        <v>39.14</v>
      </c>
      <c r="S289" s="122" t="n">
        <f aca="false">Inputs!$D$29*(1+Inputs!$D$30)^(S$261-1)</f>
        <v>39.14</v>
      </c>
      <c r="T289" s="122" t="n">
        <f aca="false">Inputs!$D$29*(1+Inputs!$D$30)^(T$261-1)</f>
        <v>39.14</v>
      </c>
      <c r="U289" s="122" t="n">
        <f aca="false">Inputs!$D$29*(1+Inputs!$D$30)^(U$261-1)</f>
        <v>39.14</v>
      </c>
      <c r="V289" s="122" t="n">
        <f aca="false">Inputs!$D$29*(1+Inputs!$D$30)^(V$261-1)</f>
        <v>39.14</v>
      </c>
      <c r="W289" s="122" t="n">
        <f aca="false">Inputs!$D$29*(1+Inputs!$D$30)^(W$261-1)</f>
        <v>39.14</v>
      </c>
      <c r="X289" s="122" t="n">
        <f aca="false">Inputs!$D$29*(1+Inputs!$D$30)^(X$261-1)</f>
        <v>39.14</v>
      </c>
      <c r="Y289" s="122" t="n">
        <f aca="false">Inputs!$D$29*(1+Inputs!$D$30)^(Y$261-1)</f>
        <v>39.14</v>
      </c>
      <c r="Z289" s="122" t="n">
        <f aca="false">Inputs!$D$29*(1+Inputs!$D$30)^(Z$261-1)</f>
        <v>39.14</v>
      </c>
      <c r="AA289" s="122" t="n">
        <f aca="false">Inputs!$D$29*(1+Inputs!$D$30)^(AA$261-1)</f>
        <v>40.3142</v>
      </c>
      <c r="AB289" s="122" t="n">
        <f aca="false">Inputs!$D$29*(1+Inputs!$D$30)^(AB$261-1)</f>
        <v>40.3142</v>
      </c>
      <c r="AC289" s="122" t="n">
        <f aca="false">Inputs!$D$29*(1+Inputs!$D$30)^(AC$261-1)</f>
        <v>40.3142</v>
      </c>
      <c r="AD289" s="122" t="n">
        <f aca="false">Inputs!$D$29*(1+Inputs!$D$30)^(AD$261-1)</f>
        <v>40.3142</v>
      </c>
      <c r="AE289" s="122" t="n">
        <f aca="false">Inputs!$D$29*(1+Inputs!$D$30)^(AE$261-1)</f>
        <v>40.3142</v>
      </c>
      <c r="AF289" s="122" t="n">
        <f aca="false">Inputs!$D$29*(1+Inputs!$D$30)^(AF$261-1)</f>
        <v>40.3142</v>
      </c>
      <c r="AG289" s="122" t="n">
        <f aca="false">Inputs!$D$29*(1+Inputs!$D$30)^(AG$261-1)</f>
        <v>40.3142</v>
      </c>
      <c r="AH289" s="122" t="n">
        <f aca="false">Inputs!$D$29*(1+Inputs!$D$30)^(AH$261-1)</f>
        <v>40.3142</v>
      </c>
      <c r="AI289" s="122" t="n">
        <f aca="false">Inputs!$D$29*(1+Inputs!$D$30)^(AI$261-1)</f>
        <v>40.3142</v>
      </c>
      <c r="AJ289" s="122" t="n">
        <f aca="false">Inputs!$D$29*(1+Inputs!$D$30)^(AJ$261-1)</f>
        <v>40.3142</v>
      </c>
      <c r="AK289" s="122" t="n">
        <f aca="false">Inputs!$D$29*(1+Inputs!$D$30)^(AK$261-1)</f>
        <v>40.3142</v>
      </c>
      <c r="AL289" s="122" t="n">
        <f aca="false">Inputs!$D$29*(1+Inputs!$D$30)^(AL$261-1)</f>
        <v>40.3142</v>
      </c>
      <c r="AM289" s="122" t="n">
        <f aca="false">Inputs!$D$29*(1+Inputs!$D$30)^(AM$261-1)</f>
        <v>41.523626</v>
      </c>
      <c r="AN289" s="122" t="n">
        <f aca="false">Inputs!$D$29*(1+Inputs!$D$30)^(AN$261-1)</f>
        <v>41.523626</v>
      </c>
      <c r="AO289" s="122" t="n">
        <f aca="false">Inputs!$D$29*(1+Inputs!$D$30)^(AO$261-1)</f>
        <v>41.523626</v>
      </c>
      <c r="AP289" s="122" t="n">
        <f aca="false">Inputs!$D$29*(1+Inputs!$D$30)^(AP$261-1)</f>
        <v>41.523626</v>
      </c>
      <c r="AQ289" s="122" t="n">
        <f aca="false">Inputs!$D$29*(1+Inputs!$D$30)^(AQ$261-1)</f>
        <v>41.523626</v>
      </c>
      <c r="AR289" s="122" t="n">
        <f aca="false">Inputs!$D$29*(1+Inputs!$D$30)^(AR$261-1)</f>
        <v>41.523626</v>
      </c>
      <c r="AS289" s="122" t="n">
        <f aca="false">Inputs!$D$29*(1+Inputs!$D$30)^(AS$261-1)</f>
        <v>41.523626</v>
      </c>
      <c r="AT289" s="122" t="n">
        <f aca="false">Inputs!$D$29*(1+Inputs!$D$30)^(AT$261-1)</f>
        <v>41.523626</v>
      </c>
      <c r="AU289" s="122" t="n">
        <f aca="false">Inputs!$D$29*(1+Inputs!$D$30)^(AU$261-1)</f>
        <v>41.523626</v>
      </c>
      <c r="AV289" s="122" t="n">
        <f aca="false">Inputs!$D$29*(1+Inputs!$D$30)^(AV$261-1)</f>
        <v>41.523626</v>
      </c>
      <c r="AW289" s="122" t="n">
        <f aca="false">Inputs!$D$29*(1+Inputs!$D$30)^(AW$261-1)</f>
        <v>41.523626</v>
      </c>
      <c r="AX289" s="122" t="n">
        <f aca="false">Inputs!$D$29*(1+Inputs!$D$30)^(AX$261-1)</f>
        <v>41.523626</v>
      </c>
      <c r="AY289" s="122" t="n">
        <f aca="false">Inputs!$D$29*(1+Inputs!$D$30)^(AY$261-1)</f>
        <v>42.76933478</v>
      </c>
      <c r="AZ289" s="122" t="n">
        <f aca="false">Inputs!$D$29*(1+Inputs!$D$30)^(AZ$261-1)</f>
        <v>42.76933478</v>
      </c>
      <c r="BA289" s="122" t="n">
        <f aca="false">Inputs!$D$29*(1+Inputs!$D$30)^(BA$261-1)</f>
        <v>42.76933478</v>
      </c>
      <c r="BB289" s="122" t="n">
        <f aca="false">Inputs!$D$29*(1+Inputs!$D$30)^(BB$261-1)</f>
        <v>42.76933478</v>
      </c>
      <c r="BC289" s="122" t="n">
        <f aca="false">Inputs!$D$29*(1+Inputs!$D$30)^(BC$261-1)</f>
        <v>42.76933478</v>
      </c>
      <c r="BD289" s="122" t="n">
        <f aca="false">Inputs!$D$29*(1+Inputs!$D$30)^(BD$261-1)</f>
        <v>42.76933478</v>
      </c>
      <c r="BE289" s="122" t="n">
        <f aca="false">Inputs!$D$29*(1+Inputs!$D$30)^(BE$261-1)</f>
        <v>42.76933478</v>
      </c>
      <c r="BF289" s="122" t="n">
        <f aca="false">Inputs!$D$29*(1+Inputs!$D$30)^(BF$261-1)</f>
        <v>42.76933478</v>
      </c>
      <c r="BG289" s="122" t="n">
        <f aca="false">Inputs!$D$29*(1+Inputs!$D$30)^(BG$261-1)</f>
        <v>42.76933478</v>
      </c>
      <c r="BH289" s="122" t="n">
        <f aca="false">Inputs!$D$29*(1+Inputs!$D$30)^(BH$261-1)</f>
        <v>42.76933478</v>
      </c>
      <c r="BI289" s="122" t="n">
        <f aca="false">Inputs!$D$29*(1+Inputs!$D$30)^(BI$261-1)</f>
        <v>42.76933478</v>
      </c>
      <c r="BJ289" s="122" t="n">
        <f aca="false">Inputs!$D$29*(1+Inputs!$D$30)^(BJ$261-1)</f>
        <v>42.76933478</v>
      </c>
    </row>
    <row r="290" customFormat="false" ht="15" hidden="false" customHeight="false" outlineLevel="0" collapsed="false">
      <c r="A290" s="6" t="s">
        <v>435</v>
      </c>
      <c r="C290" s="69" t="n">
        <f aca="false">C282*C288</f>
        <v>56271.6</v>
      </c>
      <c r="D290" s="69" t="n">
        <f aca="false">D282*D288</f>
        <v>62848.8</v>
      </c>
      <c r="E290" s="69" t="n">
        <f aca="false">E282*E288</f>
        <v>79711.3333333333</v>
      </c>
      <c r="F290" s="69" t="n">
        <f aca="false">F282*F288</f>
        <v>87262.9333333334</v>
      </c>
      <c r="G290" s="69" t="n">
        <f aca="false">G282*G288</f>
        <v>94814.5333333333</v>
      </c>
      <c r="H290" s="69" t="n">
        <f aca="false">H282*H288</f>
        <v>102366.133333333</v>
      </c>
      <c r="I290" s="69" t="n">
        <f aca="false">I282*I288</f>
        <v>109917.733333333</v>
      </c>
      <c r="J290" s="69" t="n">
        <f aca="false">J282*J288</f>
        <v>117469.333333333</v>
      </c>
      <c r="K290" s="69" t="n">
        <f aca="false">K282*K288</f>
        <v>117469.333333333</v>
      </c>
      <c r="L290" s="69" t="n">
        <f aca="false">L282*L288</f>
        <v>117469.333333333</v>
      </c>
      <c r="M290" s="69" t="n">
        <f aca="false">M282*M288</f>
        <v>117469.333333333</v>
      </c>
      <c r="N290" s="69" t="n">
        <f aca="false">N282*N288</f>
        <v>102312</v>
      </c>
      <c r="O290" s="69" t="n">
        <f aca="false">O282*O288</f>
        <v>105381.36</v>
      </c>
      <c r="P290" s="69" t="n">
        <f aca="false">P282*P288</f>
        <v>105381.36</v>
      </c>
      <c r="Q290" s="69" t="n">
        <f aca="false">Q282*Q288</f>
        <v>120993.413333333</v>
      </c>
      <c r="R290" s="69" t="n">
        <f aca="false">R282*R288</f>
        <v>120993.413333333</v>
      </c>
      <c r="S290" s="69" t="n">
        <f aca="false">S282*S288</f>
        <v>120993.413333333</v>
      </c>
      <c r="T290" s="69" t="n">
        <f aca="false">T282*T288</f>
        <v>120993.413333333</v>
      </c>
      <c r="U290" s="69" t="n">
        <f aca="false">U282*U288</f>
        <v>120993.413333333</v>
      </c>
      <c r="V290" s="69" t="n">
        <f aca="false">V282*V288</f>
        <v>120993.413333333</v>
      </c>
      <c r="W290" s="69" t="n">
        <f aca="false">W282*W288</f>
        <v>120993.413333333</v>
      </c>
      <c r="X290" s="69" t="n">
        <f aca="false">X282*X288</f>
        <v>120993.413333333</v>
      </c>
      <c r="Y290" s="69" t="n">
        <f aca="false">Y282*Y288</f>
        <v>120993.413333333</v>
      </c>
      <c r="Z290" s="69" t="n">
        <f aca="false">Z282*Z288</f>
        <v>105381.36</v>
      </c>
      <c r="AA290" s="69" t="n">
        <f aca="false">AA282*AA288</f>
        <v>108542.8008</v>
      </c>
      <c r="AB290" s="69" t="n">
        <f aca="false">AB282*AB288</f>
        <v>108542.8008</v>
      </c>
      <c r="AC290" s="69" t="n">
        <f aca="false">AC282*AC288</f>
        <v>124623.215733333</v>
      </c>
      <c r="AD290" s="69" t="n">
        <f aca="false">AD282*AD288</f>
        <v>124623.215733333</v>
      </c>
      <c r="AE290" s="69" t="n">
        <f aca="false">AE282*AE288</f>
        <v>124623.215733333</v>
      </c>
      <c r="AF290" s="69" t="n">
        <f aca="false">AF282*AF288</f>
        <v>124623.215733333</v>
      </c>
      <c r="AG290" s="69" t="n">
        <f aca="false">AG282*AG288</f>
        <v>124623.215733333</v>
      </c>
      <c r="AH290" s="69" t="n">
        <f aca="false">AH282*AH288</f>
        <v>124623.215733333</v>
      </c>
      <c r="AI290" s="69" t="n">
        <f aca="false">AI282*AI288</f>
        <v>124623.215733333</v>
      </c>
      <c r="AJ290" s="69" t="n">
        <f aca="false">AJ282*AJ288</f>
        <v>124623.215733333</v>
      </c>
      <c r="AK290" s="69" t="n">
        <f aca="false">AK282*AK288</f>
        <v>124623.215733333</v>
      </c>
      <c r="AL290" s="69" t="n">
        <f aca="false">AL282*AL288</f>
        <v>108542.8008</v>
      </c>
      <c r="AM290" s="69" t="n">
        <f aca="false">AM282*AM288</f>
        <v>111799.084824</v>
      </c>
      <c r="AN290" s="69" t="n">
        <f aca="false">AN282*AN288</f>
        <v>111799.084824</v>
      </c>
      <c r="AO290" s="69" t="n">
        <f aca="false">AO282*AO288</f>
        <v>128361.912205333</v>
      </c>
      <c r="AP290" s="69" t="n">
        <f aca="false">AP282*AP288</f>
        <v>128361.912205333</v>
      </c>
      <c r="AQ290" s="69" t="n">
        <f aca="false">AQ282*AQ288</f>
        <v>128361.912205333</v>
      </c>
      <c r="AR290" s="69" t="n">
        <f aca="false">AR282*AR288</f>
        <v>128361.912205333</v>
      </c>
      <c r="AS290" s="69" t="n">
        <f aca="false">AS282*AS288</f>
        <v>128361.912205333</v>
      </c>
      <c r="AT290" s="69" t="n">
        <f aca="false">AT282*AT288</f>
        <v>128361.912205333</v>
      </c>
      <c r="AU290" s="69" t="n">
        <f aca="false">AU282*AU288</f>
        <v>128361.912205333</v>
      </c>
      <c r="AV290" s="69" t="n">
        <f aca="false">AV282*AV288</f>
        <v>128361.912205333</v>
      </c>
      <c r="AW290" s="69" t="n">
        <f aca="false">AW282*AW288</f>
        <v>128361.912205333</v>
      </c>
      <c r="AX290" s="69" t="n">
        <f aca="false">AX282*AX288</f>
        <v>111799.084824</v>
      </c>
      <c r="AY290" s="69" t="n">
        <f aca="false">AY282*AY288</f>
        <v>115153.05736872</v>
      </c>
      <c r="AZ290" s="69" t="n">
        <f aca="false">AZ282*AZ288</f>
        <v>115153.05736872</v>
      </c>
      <c r="BA290" s="69" t="n">
        <f aca="false">BA282*BA288</f>
        <v>132212.769571493</v>
      </c>
      <c r="BB290" s="69" t="n">
        <f aca="false">BB282*BB288</f>
        <v>132212.769571493</v>
      </c>
      <c r="BC290" s="69" t="n">
        <f aca="false">BC282*BC288</f>
        <v>132212.769571493</v>
      </c>
      <c r="BD290" s="69" t="n">
        <f aca="false">BD282*BD288</f>
        <v>132212.769571493</v>
      </c>
      <c r="BE290" s="69" t="n">
        <f aca="false">BE282*BE288</f>
        <v>132212.769571493</v>
      </c>
      <c r="BF290" s="69" t="n">
        <f aca="false">BF282*BF288</f>
        <v>132212.769571493</v>
      </c>
      <c r="BG290" s="69" t="n">
        <f aca="false">BG282*BG288</f>
        <v>132212.769571493</v>
      </c>
      <c r="BH290" s="69" t="n">
        <f aca="false">BH282*BH288</f>
        <v>132212.769571493</v>
      </c>
      <c r="BI290" s="69" t="n">
        <f aca="false">BI282*BI288</f>
        <v>132212.769571493</v>
      </c>
      <c r="BJ290" s="69" t="n">
        <f aca="false">BJ282*BJ288</f>
        <v>115153.05736872</v>
      </c>
    </row>
    <row r="291" customFormat="false" ht="15" hidden="false" customHeight="false" outlineLevel="0" collapsed="false">
      <c r="A291" s="6" t="s">
        <v>436</v>
      </c>
      <c r="C291" s="69" t="n">
        <f aca="false">C282*Inputs!$D$28*(1+Inputs!$D$30)^(C$261-1)</f>
        <v>7234.92</v>
      </c>
      <c r="D291" s="69" t="n">
        <f aca="false">D282*Inputs!$D$28*(1+Inputs!$D$30)^(D$261-1)</f>
        <v>8080.56</v>
      </c>
      <c r="E291" s="69" t="n">
        <f aca="false">E282*Inputs!$D$28*(1+Inputs!$D$30)^(E$261-1)</f>
        <v>10248.6</v>
      </c>
      <c r="F291" s="69" t="n">
        <f aca="false">F282*Inputs!$D$28*(1+Inputs!$D$30)^(F$261-1)</f>
        <v>11219.52</v>
      </c>
      <c r="G291" s="69" t="n">
        <f aca="false">G282*Inputs!$D$28*(1+Inputs!$D$30)^(G$261-1)</f>
        <v>12190.44</v>
      </c>
      <c r="H291" s="69" t="n">
        <f aca="false">H282*Inputs!$D$28*(1+Inputs!$D$30)^(H$261-1)</f>
        <v>13161.36</v>
      </c>
      <c r="I291" s="69" t="n">
        <f aca="false">I282*Inputs!$D$28*(1+Inputs!$D$30)^(I$261-1)</f>
        <v>14132.28</v>
      </c>
      <c r="J291" s="69" t="n">
        <f aca="false">J282*Inputs!$D$28*(1+Inputs!$D$30)^(J$261-1)</f>
        <v>15103.2</v>
      </c>
      <c r="K291" s="69" t="n">
        <f aca="false">K282*Inputs!$D$28*(1+Inputs!$D$30)^(K$261-1)</f>
        <v>15103.2</v>
      </c>
      <c r="L291" s="69" t="n">
        <f aca="false">L282*Inputs!$D$28*(1+Inputs!$D$30)^(L$261-1)</f>
        <v>15103.2</v>
      </c>
      <c r="M291" s="69" t="n">
        <f aca="false">M282*Inputs!$D$28*(1+Inputs!$D$30)^(M$261-1)</f>
        <v>15103.2</v>
      </c>
      <c r="N291" s="69" t="n">
        <f aca="false">N282*Inputs!$D$28*(1+Inputs!$D$30)^(N$261-1)</f>
        <v>13154.4</v>
      </c>
      <c r="O291" s="69" t="n">
        <f aca="false">O282*Inputs!$D$28*(1+Inputs!$D$30)^(O$261-1)</f>
        <v>13549.032</v>
      </c>
      <c r="P291" s="69" t="n">
        <f aca="false">P282*Inputs!$D$28*(1+Inputs!$D$30)^(P$261-1)</f>
        <v>13549.032</v>
      </c>
      <c r="Q291" s="69" t="n">
        <f aca="false">Q282*Inputs!$D$28*(1+Inputs!$D$30)^(Q$261-1)</f>
        <v>15556.296</v>
      </c>
      <c r="R291" s="69" t="n">
        <f aca="false">R282*Inputs!$D$28*(1+Inputs!$D$30)^(R$261-1)</f>
        <v>15556.296</v>
      </c>
      <c r="S291" s="69" t="n">
        <f aca="false">S282*Inputs!$D$28*(1+Inputs!$D$30)^(S$261-1)</f>
        <v>15556.296</v>
      </c>
      <c r="T291" s="69" t="n">
        <f aca="false">T282*Inputs!$D$28*(1+Inputs!$D$30)^(T$261-1)</f>
        <v>15556.296</v>
      </c>
      <c r="U291" s="69" t="n">
        <f aca="false">U282*Inputs!$D$28*(1+Inputs!$D$30)^(U$261-1)</f>
        <v>15556.296</v>
      </c>
      <c r="V291" s="69" t="n">
        <f aca="false">V282*Inputs!$D$28*(1+Inputs!$D$30)^(V$261-1)</f>
        <v>15556.296</v>
      </c>
      <c r="W291" s="69" t="n">
        <f aca="false">W282*Inputs!$D$28*(1+Inputs!$D$30)^(W$261-1)</f>
        <v>15556.296</v>
      </c>
      <c r="X291" s="69" t="n">
        <f aca="false">X282*Inputs!$D$28*(1+Inputs!$D$30)^(X$261-1)</f>
        <v>15556.296</v>
      </c>
      <c r="Y291" s="69" t="n">
        <f aca="false">Y282*Inputs!$D$28*(1+Inputs!$D$30)^(Y$261-1)</f>
        <v>15556.296</v>
      </c>
      <c r="Z291" s="69" t="n">
        <f aca="false">Z282*Inputs!$D$28*(1+Inputs!$D$30)^(Z$261-1)</f>
        <v>13549.032</v>
      </c>
      <c r="AA291" s="69" t="n">
        <f aca="false">AA282*Inputs!$D$28*(1+Inputs!$D$30)^(AA$261-1)</f>
        <v>13955.50296</v>
      </c>
      <c r="AB291" s="69" t="n">
        <f aca="false">AB282*Inputs!$D$28*(1+Inputs!$D$30)^(AB$261-1)</f>
        <v>13955.50296</v>
      </c>
      <c r="AC291" s="69" t="n">
        <f aca="false">AC282*Inputs!$D$28*(1+Inputs!$D$30)^(AC$261-1)</f>
        <v>16022.98488</v>
      </c>
      <c r="AD291" s="69" t="n">
        <f aca="false">AD282*Inputs!$D$28*(1+Inputs!$D$30)^(AD$261-1)</f>
        <v>16022.98488</v>
      </c>
      <c r="AE291" s="69" t="n">
        <f aca="false">AE282*Inputs!$D$28*(1+Inputs!$D$30)^(AE$261-1)</f>
        <v>16022.98488</v>
      </c>
      <c r="AF291" s="69" t="n">
        <f aca="false">AF282*Inputs!$D$28*(1+Inputs!$D$30)^(AF$261-1)</f>
        <v>16022.98488</v>
      </c>
      <c r="AG291" s="69" t="n">
        <f aca="false">AG282*Inputs!$D$28*(1+Inputs!$D$30)^(AG$261-1)</f>
        <v>16022.98488</v>
      </c>
      <c r="AH291" s="69" t="n">
        <f aca="false">AH282*Inputs!$D$28*(1+Inputs!$D$30)^(AH$261-1)</f>
        <v>16022.98488</v>
      </c>
      <c r="AI291" s="69" t="n">
        <f aca="false">AI282*Inputs!$D$28*(1+Inputs!$D$30)^(AI$261-1)</f>
        <v>16022.98488</v>
      </c>
      <c r="AJ291" s="69" t="n">
        <f aca="false">AJ282*Inputs!$D$28*(1+Inputs!$D$30)^(AJ$261-1)</f>
        <v>16022.98488</v>
      </c>
      <c r="AK291" s="69" t="n">
        <f aca="false">AK282*Inputs!$D$28*(1+Inputs!$D$30)^(AK$261-1)</f>
        <v>16022.98488</v>
      </c>
      <c r="AL291" s="69" t="n">
        <f aca="false">AL282*Inputs!$D$28*(1+Inputs!$D$30)^(AL$261-1)</f>
        <v>13955.50296</v>
      </c>
      <c r="AM291" s="69" t="n">
        <f aca="false">AM282*Inputs!$D$28*(1+Inputs!$D$30)^(AM$261-1)</f>
        <v>14374.1680488</v>
      </c>
      <c r="AN291" s="69" t="n">
        <f aca="false">AN282*Inputs!$D$28*(1+Inputs!$D$30)^(AN$261-1)</f>
        <v>14374.1680488</v>
      </c>
      <c r="AO291" s="69" t="n">
        <f aca="false">AO282*Inputs!$D$28*(1+Inputs!$D$30)^(AO$261-1)</f>
        <v>16503.6744264</v>
      </c>
      <c r="AP291" s="69" t="n">
        <f aca="false">AP282*Inputs!$D$28*(1+Inputs!$D$30)^(AP$261-1)</f>
        <v>16503.6744264</v>
      </c>
      <c r="AQ291" s="69" t="n">
        <f aca="false">AQ282*Inputs!$D$28*(1+Inputs!$D$30)^(AQ$261-1)</f>
        <v>16503.6744264</v>
      </c>
      <c r="AR291" s="69" t="n">
        <f aca="false">AR282*Inputs!$D$28*(1+Inputs!$D$30)^(AR$261-1)</f>
        <v>16503.6744264</v>
      </c>
      <c r="AS291" s="69" t="n">
        <f aca="false">AS282*Inputs!$D$28*(1+Inputs!$D$30)^(AS$261-1)</f>
        <v>16503.6744264</v>
      </c>
      <c r="AT291" s="69" t="n">
        <f aca="false">AT282*Inputs!$D$28*(1+Inputs!$D$30)^(AT$261-1)</f>
        <v>16503.6744264</v>
      </c>
      <c r="AU291" s="69" t="n">
        <f aca="false">AU282*Inputs!$D$28*(1+Inputs!$D$30)^(AU$261-1)</f>
        <v>16503.6744264</v>
      </c>
      <c r="AV291" s="69" t="n">
        <f aca="false">AV282*Inputs!$D$28*(1+Inputs!$D$30)^(AV$261-1)</f>
        <v>16503.6744264</v>
      </c>
      <c r="AW291" s="69" t="n">
        <f aca="false">AW282*Inputs!$D$28*(1+Inputs!$D$30)^(AW$261-1)</f>
        <v>16503.6744264</v>
      </c>
      <c r="AX291" s="69" t="n">
        <f aca="false">AX282*Inputs!$D$28*(1+Inputs!$D$30)^(AX$261-1)</f>
        <v>14374.1680488</v>
      </c>
      <c r="AY291" s="69" t="n">
        <f aca="false">AY282*Inputs!$D$28*(1+Inputs!$D$30)^(AY$261-1)</f>
        <v>14805.393090264</v>
      </c>
      <c r="AZ291" s="69" t="n">
        <f aca="false">AZ282*Inputs!$D$28*(1+Inputs!$D$30)^(AZ$261-1)</f>
        <v>14805.393090264</v>
      </c>
      <c r="BA291" s="69" t="n">
        <f aca="false">BA282*Inputs!$D$28*(1+Inputs!$D$30)^(BA$261-1)</f>
        <v>16998.784659192</v>
      </c>
      <c r="BB291" s="69" t="n">
        <f aca="false">BB282*Inputs!$D$28*(1+Inputs!$D$30)^(BB$261-1)</f>
        <v>16998.784659192</v>
      </c>
      <c r="BC291" s="69" t="n">
        <f aca="false">BC282*Inputs!$D$28*(1+Inputs!$D$30)^(BC$261-1)</f>
        <v>16998.784659192</v>
      </c>
      <c r="BD291" s="69" t="n">
        <f aca="false">BD282*Inputs!$D$28*(1+Inputs!$D$30)^(BD$261-1)</f>
        <v>16998.784659192</v>
      </c>
      <c r="BE291" s="69" t="n">
        <f aca="false">BE282*Inputs!$D$28*(1+Inputs!$D$30)^(BE$261-1)</f>
        <v>16998.784659192</v>
      </c>
      <c r="BF291" s="69" t="n">
        <f aca="false">BF282*Inputs!$D$28*(1+Inputs!$D$30)^(BF$261-1)</f>
        <v>16998.784659192</v>
      </c>
      <c r="BG291" s="69" t="n">
        <f aca="false">BG282*Inputs!$D$28*(1+Inputs!$D$30)^(BG$261-1)</f>
        <v>16998.784659192</v>
      </c>
      <c r="BH291" s="69" t="n">
        <f aca="false">BH282*Inputs!$D$28*(1+Inputs!$D$30)^(BH$261-1)</f>
        <v>16998.784659192</v>
      </c>
      <c r="BI291" s="69" t="n">
        <f aca="false">BI282*Inputs!$D$28*(1+Inputs!$D$30)^(BI$261-1)</f>
        <v>16998.784659192</v>
      </c>
      <c r="BJ291" s="69" t="n">
        <f aca="false">BJ282*Inputs!$D$28*(1+Inputs!$D$30)^(BJ$261-1)</f>
        <v>14805.393090264</v>
      </c>
    </row>
    <row r="292" customFormat="false" ht="15" hidden="false" customHeight="false" outlineLevel="0" collapsed="false">
      <c r="A292" s="6" t="s">
        <v>243</v>
      </c>
      <c r="C292" s="69" t="n">
        <f aca="false">C276*C289*1</f>
        <v>14477.886</v>
      </c>
      <c r="D292" s="69" t="n">
        <f aca="false">D276*D289*1</f>
        <v>16958.5133622857</v>
      </c>
      <c r="E292" s="69" t="n">
        <f aca="false">E276*E289*1</f>
        <v>19824.4427442164</v>
      </c>
      <c r="F292" s="69" t="n">
        <f aca="false">F276*F289*1</f>
        <v>23076.5684811634</v>
      </c>
      <c r="G292" s="69" t="n">
        <f aca="false">G276*G289*1</f>
        <v>26576.1696230995</v>
      </c>
      <c r="H292" s="69" t="n">
        <f aca="false">H276*H289*1</f>
        <v>30315.326957065</v>
      </c>
      <c r="I292" s="69" t="n">
        <f aca="false">I276*I289*1</f>
        <v>34286.3746849152</v>
      </c>
      <c r="J292" s="69" t="n">
        <f aca="false">J276*J289*1</f>
        <v>38481.8923140455</v>
      </c>
      <c r="K292" s="69" t="n">
        <f aca="false">K276*K289*1</f>
        <v>42718.9250933294</v>
      </c>
      <c r="L292" s="69" t="n">
        <f aca="false">L276*L289*1</f>
        <v>46820.3728236762</v>
      </c>
      <c r="M292" s="69" t="n">
        <f aca="false">M276*M289*1</f>
        <v>50790.5742266519</v>
      </c>
      <c r="N292" s="69" t="n">
        <f aca="false">N276*N289*1</f>
        <v>54428.0225180657</v>
      </c>
      <c r="O292" s="69" t="n">
        <f aca="false">O276*O289*1</f>
        <v>59593.0867714122</v>
      </c>
      <c r="P292" s="69" t="n">
        <f aca="false">P276*P289*1</f>
        <v>63129.699194727</v>
      </c>
      <c r="Q292" s="69" t="n">
        <f aca="false">Q276*Q289*1</f>
        <v>66765.0178871624</v>
      </c>
      <c r="R292" s="69" t="n">
        <f aca="false">R276*R289*1</f>
        <v>70495.8842481065</v>
      </c>
      <c r="S292" s="69" t="n">
        <f aca="false">S276*S289*1</f>
        <v>74107.3628855005</v>
      </c>
      <c r="T292" s="69" t="n">
        <f aca="false">T276*T289*1</f>
        <v>77603.2742064978</v>
      </c>
      <c r="U292" s="69" t="n">
        <f aca="false">U276*U289*1</f>
        <v>80987.3163652232</v>
      </c>
      <c r="V292" s="69" t="n">
        <f aca="false">V276*V289*1</f>
        <v>84263.0691748694</v>
      </c>
      <c r="W292" s="69" t="n">
        <f aca="false">W276*W289*1</f>
        <v>87433.9978946069</v>
      </c>
      <c r="X292" s="69" t="n">
        <f aca="false">X276*X289*1</f>
        <v>90503.4568953128</v>
      </c>
      <c r="Y292" s="69" t="n">
        <f aca="false">Y276*Y289*1</f>
        <v>93474.6932079961</v>
      </c>
      <c r="Z292" s="69" t="n">
        <f aca="false">Z276*Z289*1</f>
        <v>96138.9720920069</v>
      </c>
      <c r="AA292" s="69" t="n">
        <f aca="false">AA276*AA289*1</f>
        <v>101594.336530615</v>
      </c>
      <c r="AB292" s="69" t="n">
        <f aca="false">AB276*AB289*1</f>
        <v>104216.290417635</v>
      </c>
      <c r="AC292" s="69" t="n">
        <f aca="false">AC276*AC289*1</f>
        <v>106972.575982937</v>
      </c>
      <c r="AD292" s="69" t="n">
        <f aca="false">AD276*AD289*1</f>
        <v>109858.894612817</v>
      </c>
      <c r="AE292" s="69" t="n">
        <f aca="false">AE276*AE289*1</f>
        <v>112652.85104654</v>
      </c>
      <c r="AF292" s="69" t="n">
        <f aca="false">AF276*AF289*1</f>
        <v>115357.400874384</v>
      </c>
      <c r="AG292" s="69" t="n">
        <f aca="false">AG276*AG289*1</f>
        <v>117975.405107737</v>
      </c>
      <c r="AH292" s="69" t="n">
        <f aca="false">AH276*AH289*1</f>
        <v>120509.633205623</v>
      </c>
      <c r="AI292" s="69" t="n">
        <f aca="false">AI276*AI289*1</f>
        <v>122962.766004376</v>
      </c>
      <c r="AJ292" s="69" t="n">
        <f aca="false">AJ276*AJ289*1</f>
        <v>125337.398553569</v>
      </c>
      <c r="AK292" s="69" t="n">
        <f aca="false">AK276*AK289*1</f>
        <v>127636.042861188</v>
      </c>
      <c r="AL292" s="69" t="n">
        <f aca="false">AL276*AL289*1</f>
        <v>129642.896348297</v>
      </c>
      <c r="AM292" s="69" t="n">
        <f aca="false">AM276*AM289*1</f>
        <v>135459.045973166</v>
      </c>
      <c r="AN292" s="69" t="n">
        <f aca="false">AN276*AN289*1</f>
        <v>137474.979862465</v>
      </c>
      <c r="AO292" s="69" t="n">
        <f aca="false">AO276*AO289*1</f>
        <v>139651.185096053</v>
      </c>
      <c r="AP292" s="69" t="n">
        <f aca="false">AP276*AP289*1</f>
        <v>141982.532990912</v>
      </c>
      <c r="AQ292" s="69" t="n">
        <f aca="false">AQ276*AQ289*1</f>
        <v>144239.277753136</v>
      </c>
      <c r="AR292" s="69" t="n">
        <f aca="false">AR276*AR289*1</f>
        <v>146423.806682969</v>
      </c>
      <c r="AS292" s="69" t="n">
        <f aca="false">AS276*AS289*1</f>
        <v>148538.430687048</v>
      </c>
      <c r="AT292" s="69" t="n">
        <f aca="false">AT276*AT289*1</f>
        <v>150585.386722995</v>
      </c>
      <c r="AU292" s="69" t="n">
        <f aca="false">AU276*AU289*1</f>
        <v>152566.840165793</v>
      </c>
      <c r="AV292" s="69" t="n">
        <f aca="false">AV276*AV289*1</f>
        <v>154484.887098421</v>
      </c>
      <c r="AW292" s="69" t="n">
        <f aca="false">AW276*AW289*1</f>
        <v>156341.556529205</v>
      </c>
      <c r="AX292" s="69" t="n">
        <f aca="false">AX276*AX289*1</f>
        <v>157914.031309457</v>
      </c>
      <c r="AY292" s="69" t="n">
        <f aca="false">AY276*AY289*1</f>
        <v>164158.525791811</v>
      </c>
      <c r="AZ292" s="69" t="n">
        <f aca="false">AZ276*AZ289*1</f>
        <v>165788.150935279</v>
      </c>
      <c r="BA292" s="69" t="n">
        <f aca="false">BA276*BA289*1</f>
        <v>167597.152739765</v>
      </c>
      <c r="BB292" s="69" t="n">
        <f aca="false">BB276*BB289*1</f>
        <v>169579.791152117</v>
      </c>
      <c r="BC292" s="69" t="n">
        <f aca="false">BC276*BC289*1</f>
        <v>171498.985135274</v>
      </c>
      <c r="BD292" s="69" t="n">
        <f aca="false">BD276*BD289*1</f>
        <v>173356.76491097</v>
      </c>
      <c r="BE292" s="69" t="n">
        <f aca="false">BE276*BE289*1</f>
        <v>175155.095733843</v>
      </c>
      <c r="BF292" s="69" t="n">
        <f aca="false">BF276*BF289*1</f>
        <v>176895.879970384</v>
      </c>
      <c r="BG292" s="69" t="n">
        <f aca="false">BG276*BG289*1</f>
        <v>178580.959111357</v>
      </c>
      <c r="BH292" s="69" t="n">
        <f aca="false">BH276*BH289*1</f>
        <v>180212.115719818</v>
      </c>
      <c r="BI292" s="69" t="n">
        <f aca="false">BI276*BI289*1</f>
        <v>181791.075316808</v>
      </c>
      <c r="BJ292" s="69" t="n">
        <f aca="false">BJ276*BJ289*1</f>
        <v>183087.983541085</v>
      </c>
    </row>
    <row r="293" customFormat="false" ht="15" hidden="false" customHeight="false" outlineLevel="0" collapsed="false">
      <c r="A293" s="113" t="s">
        <v>44</v>
      </c>
      <c r="C293" s="70" t="n">
        <f aca="false">C290+C291+C292</f>
        <v>77984.406</v>
      </c>
      <c r="D293" s="70" t="n">
        <f aca="false">D290+D291+D292</f>
        <v>87887.8733622857</v>
      </c>
      <c r="E293" s="70" t="n">
        <f aca="false">E290+E291+E292</f>
        <v>109784.37607755</v>
      </c>
      <c r="F293" s="70" t="n">
        <f aca="false">F290+F291+F292</f>
        <v>121559.021814497</v>
      </c>
      <c r="G293" s="70" t="n">
        <f aca="false">G290+G291+G292</f>
        <v>133581.142956433</v>
      </c>
      <c r="H293" s="70" t="n">
        <f aca="false">H290+H291+H292</f>
        <v>145842.820290398</v>
      </c>
      <c r="I293" s="70" t="n">
        <f aca="false">I290+I291+I292</f>
        <v>158336.388018249</v>
      </c>
      <c r="J293" s="70" t="n">
        <f aca="false">J290+J291+J292</f>
        <v>171054.425647379</v>
      </c>
      <c r="K293" s="70" t="n">
        <f aca="false">K290+K291+K292</f>
        <v>175291.458426663</v>
      </c>
      <c r="L293" s="70" t="n">
        <f aca="false">L290+L291+L292</f>
        <v>179392.90615701</v>
      </c>
      <c r="M293" s="70" t="n">
        <f aca="false">M290+M291+M292</f>
        <v>183363.107559985</v>
      </c>
      <c r="N293" s="70" t="n">
        <f aca="false">N290+N291+N292</f>
        <v>169894.422518066</v>
      </c>
      <c r="O293" s="70" t="n">
        <f aca="false">O290+O291+O292</f>
        <v>178523.478771412</v>
      </c>
      <c r="P293" s="70" t="n">
        <f aca="false">P290+P291+P292</f>
        <v>182060.091194727</v>
      </c>
      <c r="Q293" s="70" t="n">
        <f aca="false">Q290+Q291+Q292</f>
        <v>203314.727220496</v>
      </c>
      <c r="R293" s="70" t="n">
        <f aca="false">R290+R291+R292</f>
        <v>207045.59358144</v>
      </c>
      <c r="S293" s="70" t="n">
        <f aca="false">S290+S291+S292</f>
        <v>210657.072218834</v>
      </c>
      <c r="T293" s="70" t="n">
        <f aca="false">T290+T291+T292</f>
        <v>214152.983539831</v>
      </c>
      <c r="U293" s="70" t="n">
        <f aca="false">U290+U291+U292</f>
        <v>217537.025698557</v>
      </c>
      <c r="V293" s="70" t="n">
        <f aca="false">V290+V291+V292</f>
        <v>220812.778508203</v>
      </c>
      <c r="W293" s="70" t="n">
        <f aca="false">W290+W291+W292</f>
        <v>223983.70722794</v>
      </c>
      <c r="X293" s="70" t="n">
        <f aca="false">X290+X291+X292</f>
        <v>227053.166228646</v>
      </c>
      <c r="Y293" s="70" t="n">
        <f aca="false">Y290+Y291+Y292</f>
        <v>230024.40254133</v>
      </c>
      <c r="Z293" s="70" t="n">
        <f aca="false">Z290+Z291+Z292</f>
        <v>215069.364092007</v>
      </c>
      <c r="AA293" s="70" t="n">
        <f aca="false">AA290+AA291+AA292</f>
        <v>224092.640290615</v>
      </c>
      <c r="AB293" s="70" t="n">
        <f aca="false">AB290+AB291+AB292</f>
        <v>226714.594177635</v>
      </c>
      <c r="AC293" s="70" t="n">
        <f aca="false">AC290+AC291+AC292</f>
        <v>247618.776596271</v>
      </c>
      <c r="AD293" s="70" t="n">
        <f aca="false">AD290+AD291+AD292</f>
        <v>250505.09522615</v>
      </c>
      <c r="AE293" s="70" t="n">
        <f aca="false">AE290+AE291+AE292</f>
        <v>253299.051659873</v>
      </c>
      <c r="AF293" s="70" t="n">
        <f aca="false">AF290+AF291+AF292</f>
        <v>256003.601487717</v>
      </c>
      <c r="AG293" s="70" t="n">
        <f aca="false">AG290+AG291+AG292</f>
        <v>258621.60572107</v>
      </c>
      <c r="AH293" s="70" t="n">
        <f aca="false">AH290+AH291+AH292</f>
        <v>261155.833818956</v>
      </c>
      <c r="AI293" s="70" t="n">
        <f aca="false">AI290+AI291+AI292</f>
        <v>263608.966617709</v>
      </c>
      <c r="AJ293" s="70" t="n">
        <f aca="false">AJ290+AJ291+AJ292</f>
        <v>265983.599166903</v>
      </c>
      <c r="AK293" s="70" t="n">
        <f aca="false">AK290+AK291+AK292</f>
        <v>268282.243474522</v>
      </c>
      <c r="AL293" s="70" t="n">
        <f aca="false">AL290+AL291+AL292</f>
        <v>252141.200108297</v>
      </c>
      <c r="AM293" s="70" t="n">
        <f aca="false">AM290+AM291+AM292</f>
        <v>261632.298845966</v>
      </c>
      <c r="AN293" s="70" t="n">
        <f aca="false">AN290+AN291+AN292</f>
        <v>263648.232735265</v>
      </c>
      <c r="AO293" s="70" t="n">
        <f aca="false">AO290+AO291+AO292</f>
        <v>284516.771727786</v>
      </c>
      <c r="AP293" s="70" t="n">
        <f aca="false">AP290+AP291+AP292</f>
        <v>286848.119622646</v>
      </c>
      <c r="AQ293" s="70" t="n">
        <f aca="false">AQ290+AQ291+AQ292</f>
        <v>289104.86438487</v>
      </c>
      <c r="AR293" s="70" t="n">
        <f aca="false">AR290+AR291+AR292</f>
        <v>291289.393314703</v>
      </c>
      <c r="AS293" s="70" t="n">
        <f aca="false">AS290+AS291+AS292</f>
        <v>293404.017318781</v>
      </c>
      <c r="AT293" s="70" t="n">
        <f aca="false">AT290+AT291+AT292</f>
        <v>295450.973354729</v>
      </c>
      <c r="AU293" s="70" t="n">
        <f aca="false">AU290+AU291+AU292</f>
        <v>297432.426797526</v>
      </c>
      <c r="AV293" s="70" t="n">
        <f aca="false">AV290+AV291+AV292</f>
        <v>299350.473730154</v>
      </c>
      <c r="AW293" s="70" t="n">
        <f aca="false">AW290+AW291+AW292</f>
        <v>301207.143160938</v>
      </c>
      <c r="AX293" s="70" t="n">
        <f aca="false">AX290+AX291+AX292</f>
        <v>284087.284182257</v>
      </c>
      <c r="AY293" s="70" t="n">
        <f aca="false">AY290+AY291+AY292</f>
        <v>294116.976250795</v>
      </c>
      <c r="AZ293" s="70" t="n">
        <f aca="false">AZ290+AZ291+AZ292</f>
        <v>295746.601394263</v>
      </c>
      <c r="BA293" s="70" t="n">
        <f aca="false">BA290+BA291+BA292</f>
        <v>316808.706970451</v>
      </c>
      <c r="BB293" s="70" t="n">
        <f aca="false">BB290+BB291+BB292</f>
        <v>318791.345382803</v>
      </c>
      <c r="BC293" s="70" t="n">
        <f aca="false">BC290+BC291+BC292</f>
        <v>320710.539365959</v>
      </c>
      <c r="BD293" s="70" t="n">
        <f aca="false">BD290+BD291+BD292</f>
        <v>322568.319141655</v>
      </c>
      <c r="BE293" s="70" t="n">
        <f aca="false">BE290+BE291+BE292</f>
        <v>324366.649964528</v>
      </c>
      <c r="BF293" s="70" t="n">
        <f aca="false">BF290+BF291+BF292</f>
        <v>326107.43420107</v>
      </c>
      <c r="BG293" s="70" t="n">
        <f aca="false">BG290+BG291+BG292</f>
        <v>327792.513342042</v>
      </c>
      <c r="BH293" s="70" t="n">
        <f aca="false">BH290+BH291+BH292</f>
        <v>329423.669950503</v>
      </c>
      <c r="BI293" s="70" t="n">
        <f aca="false">BI290+BI291+BI292</f>
        <v>331002.629547493</v>
      </c>
      <c r="BJ293" s="70" t="n">
        <f aca="false">BJ290+BJ291+BJ292</f>
        <v>313046.434000069</v>
      </c>
    </row>
    <row r="295" customFormat="false" ht="15.75" hidden="false" customHeight="true" outlineLevel="0" collapsed="false">
      <c r="A295" s="7" t="s">
        <v>76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customFormat="false" ht="15" hidden="false" customHeight="false" outlineLevel="0" collapsed="false">
      <c r="A296" s="6" t="s">
        <v>437</v>
      </c>
      <c r="C296" s="69" t="n">
        <f aca="false">-C284*Inputs!$D$33*(1+Inputs!$D$38)^(C$261-1)</f>
        <v>-3837.50352</v>
      </c>
      <c r="D296" s="69" t="n">
        <f aca="false">-D284*Inputs!$D$33*(1+Inputs!$D$38)^(D$261-1)</f>
        <v>-4330.85760164571</v>
      </c>
      <c r="E296" s="69" t="n">
        <f aca="false">-E284*Inputs!$D$33*(1+Inputs!$D$38)^(E$261-1)</f>
        <v>-5564.05573699096</v>
      </c>
      <c r="F296" s="69" t="n">
        <f aca="false">-F284*Inputs!$D$33*(1+Inputs!$D$38)^(F$261-1)</f>
        <v>-6180.84973245487</v>
      </c>
      <c r="G296" s="69" t="n">
        <f aca="false">-G284*Inputs!$D$33*(1+Inputs!$D$38)^(G$261-1)</f>
        <v>-6813.79475434965</v>
      </c>
      <c r="H296" s="69" t="n">
        <f aca="false">-H284*Inputs!$D$33*(1+Inputs!$D$38)^(H$261-1)</f>
        <v>-7462.37396982951</v>
      </c>
      <c r="I296" s="69" t="n">
        <f aca="false">-I284*Inputs!$D$33*(1+Inputs!$D$38)^(I$261-1)</f>
        <v>-8126.08708469973</v>
      </c>
      <c r="J296" s="69" t="n">
        <f aca="false">-J284*Inputs!$D$33*(1+Inputs!$D$38)^(J$261-1)</f>
        <v>-8804.44981417981</v>
      </c>
      <c r="K296" s="69" t="n">
        <f aca="false">-K284*Inputs!$D$33*(1+Inputs!$D$38)^(K$261-1)</f>
        <v>-9080.97195345939</v>
      </c>
      <c r="L296" s="69" t="n">
        <f aca="false">-L284*Inputs!$D$33*(1+Inputs!$D$38)^(L$261-1)</f>
        <v>-9348.64538428202</v>
      </c>
      <c r="M296" s="69" t="n">
        <f aca="false">-M284*Inputs!$D$33*(1+Inputs!$D$38)^(M$261-1)</f>
        <v>-9607.75326531833</v>
      </c>
      <c r="N296" s="69" t="n">
        <f aca="false">-N284*Inputs!$D$33*(1+Inputs!$D$38)^(N$261-1)</f>
        <v>-8574.80338523742</v>
      </c>
      <c r="O296" s="69" t="n">
        <f aca="false">-O284*Inputs!$D$33*(1+Inputs!$D$38)^(O$261-1)</f>
        <v>-8988.97783883257</v>
      </c>
      <c r="P296" s="69" t="n">
        <f aca="false">-P284*Inputs!$D$33*(1+Inputs!$D$38)^(P$261-1)</f>
        <v>-9189.03046798992</v>
      </c>
      <c r="Q296" s="69" t="n">
        <f aca="false">-Q284*Inputs!$D$33*(1+Inputs!$D$38)^(Q$261-1)</f>
        <v>-10786.4689823497</v>
      </c>
      <c r="R296" s="69" t="n">
        <f aca="false">-R284*Inputs!$D$33*(1+Inputs!$D$38)^(R$261-1)</f>
        <v>-11028.7751215812</v>
      </c>
      <c r="S296" s="69" t="n">
        <f aca="false">-S284*Inputs!$D$33*(1+Inputs!$D$38)^(S$261-1)</f>
        <v>-11263.3274643572</v>
      </c>
      <c r="T296" s="69" t="n">
        <f aca="false">-T284*Inputs!$D$33*(1+Inputs!$D$38)^(T$261-1)</f>
        <v>-11490.3741321645</v>
      </c>
      <c r="U296" s="69" t="n">
        <f aca="false">-U284*Inputs!$D$33*(1+Inputs!$D$38)^(U$261-1)</f>
        <v>-11710.1553066019</v>
      </c>
      <c r="V296" s="69" t="n">
        <f aca="false">-V284*Inputs!$D$33*(1+Inputs!$D$38)^(V$261-1)</f>
        <v>-11922.9034834573</v>
      </c>
      <c r="W296" s="69" t="n">
        <f aca="false">-W284*Inputs!$D$33*(1+Inputs!$D$38)^(W$261-1)</f>
        <v>-12128.8437186533</v>
      </c>
      <c r="X296" s="69" t="n">
        <f aca="false">-X284*Inputs!$D$33*(1+Inputs!$D$38)^(X$261-1)</f>
        <v>-12328.1938663231</v>
      </c>
      <c r="Y296" s="69" t="n">
        <f aca="false">-Y284*Inputs!$D$33*(1+Inputs!$D$38)^(Y$261-1)</f>
        <v>-12521.1648092674</v>
      </c>
      <c r="Z296" s="69" t="n">
        <f aca="false">-Z284*Inputs!$D$33*(1+Inputs!$D$38)^(Z$261-1)</f>
        <v>-11056.2386998391</v>
      </c>
      <c r="AA296" s="69" t="n">
        <f aca="false">-AA284*Inputs!$D$33*(1+Inputs!$D$38)^(AA$261-1)</f>
        <v>-11477.3813109804</v>
      </c>
      <c r="AB296" s="69" t="n">
        <f aca="false">-AB284*Inputs!$D$33*(1+Inputs!$D$38)^(AB$261-1)</f>
        <v>-11624.975237029</v>
      </c>
      <c r="AC296" s="69" t="n">
        <f aca="false">-AC284*Inputs!$D$33*(1+Inputs!$D$38)^(AC$261-1)</f>
        <v>-13525.3354840284</v>
      </c>
      <c r="AD296" s="69" t="n">
        <f aca="false">-AD284*Inputs!$D$33*(1+Inputs!$D$38)^(AD$261-1)</f>
        <v>-13711.8813538728</v>
      </c>
      <c r="AE296" s="69" t="n">
        <f aca="false">-AE284*Inputs!$D$33*(1+Inputs!$D$38)^(AE$261-1)</f>
        <v>-13892.4577558822</v>
      </c>
      <c r="AF296" s="69" t="n">
        <f aca="false">-AF284*Inputs!$D$33*(1+Inputs!$D$38)^(AF$261-1)</f>
        <v>-14067.2557130273</v>
      </c>
      <c r="AG296" s="69" t="n">
        <f aca="false">-AG284*Inputs!$D$33*(1+Inputs!$D$38)^(AG$261-1)</f>
        <v>-14236.4601355438</v>
      </c>
      <c r="AH296" s="69" t="n">
        <f aca="false">-AH284*Inputs!$D$33*(1+Inputs!$D$38)^(AH$261-1)</f>
        <v>-14400.2500165397</v>
      </c>
      <c r="AI296" s="69" t="n">
        <f aca="false">-AI284*Inputs!$D$33*(1+Inputs!$D$38)^(AI$261-1)</f>
        <v>-14558.7986213438</v>
      </c>
      <c r="AJ296" s="69" t="n">
        <f aca="false">-AJ284*Inputs!$D$33*(1+Inputs!$D$38)^(AJ$261-1)</f>
        <v>-14712.2736707941</v>
      </c>
      <c r="AK296" s="69" t="n">
        <f aca="false">-AK284*Inputs!$D$33*(1+Inputs!$D$38)^(AK$261-1)</f>
        <v>-14860.837518662</v>
      </c>
      <c r="AL296" s="69" t="n">
        <f aca="false">-AL284*Inputs!$D$33*(1+Inputs!$D$38)^(AL$261-1)</f>
        <v>-13056.2790497984</v>
      </c>
      <c r="AM296" s="69" t="n">
        <f aca="false">-AM284*Inputs!$D$33*(1+Inputs!$D$38)^(AM$261-1)</f>
        <v>-13490.6256384225</v>
      </c>
      <c r="AN296" s="69" t="n">
        <f aca="false">-AN284*Inputs!$D$33*(1+Inputs!$D$38)^(AN$261-1)</f>
        <v>-13603.554867218</v>
      </c>
      <c r="AO296" s="69" t="n">
        <f aca="false">-AO284*Inputs!$D$33*(1+Inputs!$D$38)^(AO$261-1)</f>
        <v>-15758.8640388575</v>
      </c>
      <c r="AP296" s="69" t="n">
        <f aca="false">-AP284*Inputs!$D$33*(1+Inputs!$D$38)^(AP$261-1)</f>
        <v>-15908.8101104057</v>
      </c>
      <c r="AQ296" s="69" t="n">
        <f aca="false">-AQ284*Inputs!$D$33*(1+Inputs!$D$38)^(AQ$261-1)</f>
        <v>-16053.9579076644</v>
      </c>
      <c r="AR296" s="69" t="n">
        <f aca="false">-AR284*Inputs!$D$33*(1+Inputs!$D$38)^(AR$261-1)</f>
        <v>-16194.4609754108</v>
      </c>
      <c r="AS296" s="69" t="n">
        <f aca="false">-AS284*Inputs!$D$33*(1+Inputs!$D$38)^(AS$261-1)</f>
        <v>-16330.4679449893</v>
      </c>
      <c r="AT296" s="69" t="n">
        <f aca="false">-AT284*Inputs!$D$33*(1+Inputs!$D$38)^(AT$261-1)</f>
        <v>-16462.1226915413</v>
      </c>
      <c r="AU296" s="69" t="n">
        <f aca="false">-AU284*Inputs!$D$33*(1+Inputs!$D$38)^(AU$261-1)</f>
        <v>-16589.5644862037</v>
      </c>
      <c r="AV296" s="69" t="n">
        <f aca="false">-AV284*Inputs!$D$33*(1+Inputs!$D$38)^(AV$261-1)</f>
        <v>-16712.9281434368</v>
      </c>
      <c r="AW296" s="69" t="n">
        <f aca="false">-AW284*Inputs!$D$33*(1+Inputs!$D$38)^(AW$261-1)</f>
        <v>-16832.3441636385</v>
      </c>
      <c r="AX296" s="69" t="n">
        <f aca="false">-AX284*Inputs!$D$33*(1+Inputs!$D$38)^(AX$261-1)</f>
        <v>-14748.5161824042</v>
      </c>
      <c r="AY296" s="69" t="n">
        <f aca="false">-AY284*Inputs!$D$33*(1+Inputs!$D$38)^(AY$261-1)</f>
        <v>-15201.2429903612</v>
      </c>
      <c r="AZ296" s="69" t="n">
        <f aca="false">-AZ284*Inputs!$D$33*(1+Inputs!$D$38)^(AZ$261-1)</f>
        <v>-15292.0887025734</v>
      </c>
      <c r="BA296" s="69" t="n">
        <f aca="false">-BA284*Inputs!$D$33*(1+Inputs!$D$38)^(BA$261-1)</f>
        <v>-17673.368684305</v>
      </c>
      <c r="BB296" s="69" t="n">
        <f aca="false">-BB284*Inputs!$D$33*(1+Inputs!$D$38)^(BB$261-1)</f>
        <v>-17800.2676735851</v>
      </c>
      <c r="BC296" s="69" t="n">
        <f aca="false">-BC284*Inputs!$D$33*(1+Inputs!$D$38)^(BC$261-1)</f>
        <v>-17923.1058952083</v>
      </c>
      <c r="BD296" s="69" t="n">
        <f aca="false">-BD284*Inputs!$D$33*(1+Inputs!$D$38)^(BD$261-1)</f>
        <v>-18042.0132937395</v>
      </c>
      <c r="BE296" s="69" t="n">
        <f aca="false">-BE284*Inputs!$D$33*(1+Inputs!$D$38)^(BE$261-1)</f>
        <v>-18157.1156555177</v>
      </c>
      <c r="BF296" s="69" t="n">
        <f aca="false">-BF284*Inputs!$D$33*(1+Inputs!$D$38)^(BF$261-1)</f>
        <v>-18268.5347417191</v>
      </c>
      <c r="BG296" s="69" t="n">
        <f aca="false">-BG284*Inputs!$D$33*(1+Inputs!$D$38)^(BG$261-1)</f>
        <v>-18376.388417162</v>
      </c>
      <c r="BH296" s="69" t="n">
        <f aca="false">-BH284*Inputs!$D$33*(1+Inputs!$D$38)^(BH$261-1)</f>
        <v>-18480.7907749907</v>
      </c>
      <c r="BI296" s="69" t="n">
        <f aca="false">-BI284*Inputs!$D$33*(1+Inputs!$D$38)^(BI$261-1)</f>
        <v>-18581.8522573689</v>
      </c>
      <c r="BJ296" s="69" t="n">
        <f aca="false">-BJ284*Inputs!$D$33*(1+Inputs!$D$38)^(BJ$261-1)</f>
        <v>-16256.4918480001</v>
      </c>
    </row>
    <row r="297" customFormat="false" ht="15" hidden="false" customHeight="false" outlineLevel="0" collapsed="false">
      <c r="A297" s="6" t="s">
        <v>438</v>
      </c>
      <c r="C297" s="69" t="n">
        <f aca="false">-C284*Inputs!$D$34/1000*Inputs!$D$35*(1+Inputs!$D$38)^(C$261-1)</f>
        <v>-1473.60135168</v>
      </c>
      <c r="D297" s="69" t="n">
        <f aca="false">-D284*Inputs!$D$34/1000*Inputs!$D$35*(1+Inputs!$D$38)^(D$261-1)</f>
        <v>-1663.04931903195</v>
      </c>
      <c r="E297" s="69" t="n">
        <f aca="false">-E284*Inputs!$D$34/1000*Inputs!$D$35*(1+Inputs!$D$38)^(E$261-1)</f>
        <v>-2136.59740300453</v>
      </c>
      <c r="F297" s="69" t="n">
        <f aca="false">-F284*Inputs!$D$34/1000*Inputs!$D$35*(1+Inputs!$D$38)^(F$261-1)</f>
        <v>-2373.44629726267</v>
      </c>
      <c r="G297" s="69" t="n">
        <f aca="false">-G284*Inputs!$D$34/1000*Inputs!$D$35*(1+Inputs!$D$38)^(G$261-1)</f>
        <v>-2616.49718567027</v>
      </c>
      <c r="H297" s="69" t="n">
        <f aca="false">-H284*Inputs!$D$34/1000*Inputs!$D$35*(1+Inputs!$D$38)^(H$261-1)</f>
        <v>-2865.55160441453</v>
      </c>
      <c r="I297" s="69" t="n">
        <f aca="false">-I284*Inputs!$D$34/1000*Inputs!$D$35*(1+Inputs!$D$38)^(I$261-1)</f>
        <v>-3120.41744052469</v>
      </c>
      <c r="J297" s="69" t="n">
        <f aca="false">-J284*Inputs!$D$34/1000*Inputs!$D$35*(1+Inputs!$D$38)^(J$261-1)</f>
        <v>-3380.90872864505</v>
      </c>
      <c r="K297" s="69" t="n">
        <f aca="false">-K284*Inputs!$D$34/1000*Inputs!$D$35*(1+Inputs!$D$38)^(K$261-1)</f>
        <v>-3487.09323012841</v>
      </c>
      <c r="L297" s="69" t="n">
        <f aca="false">-L284*Inputs!$D$34/1000*Inputs!$D$35*(1+Inputs!$D$38)^(L$261-1)</f>
        <v>-3589.8798275643</v>
      </c>
      <c r="M297" s="69" t="n">
        <f aca="false">-M284*Inputs!$D$34/1000*Inputs!$D$35*(1+Inputs!$D$38)^(M$261-1)</f>
        <v>-3689.37725388224</v>
      </c>
      <c r="N297" s="69" t="n">
        <f aca="false">-N284*Inputs!$D$34/1000*Inputs!$D$35*(1+Inputs!$D$38)^(N$261-1)</f>
        <v>-3292.72449993117</v>
      </c>
      <c r="O297" s="69" t="n">
        <f aca="false">-O284*Inputs!$D$34/1000*Inputs!$D$35*(1+Inputs!$D$38)^(O$261-1)</f>
        <v>-3451.76749011171</v>
      </c>
      <c r="P297" s="69" t="n">
        <f aca="false">-P284*Inputs!$D$34/1000*Inputs!$D$35*(1+Inputs!$D$38)^(P$261-1)</f>
        <v>-3528.58769970813</v>
      </c>
      <c r="Q297" s="69" t="n">
        <f aca="false">-Q284*Inputs!$D$34/1000*Inputs!$D$35*(1+Inputs!$D$38)^(Q$261-1)</f>
        <v>-4142.00408922228</v>
      </c>
      <c r="R297" s="69" t="n">
        <f aca="false">-R284*Inputs!$D$34/1000*Inputs!$D$35*(1+Inputs!$D$38)^(R$261-1)</f>
        <v>-4235.04964668717</v>
      </c>
      <c r="S297" s="69" t="n">
        <f aca="false">-S284*Inputs!$D$34/1000*Inputs!$D$35*(1+Inputs!$D$38)^(S$261-1)</f>
        <v>-4325.11774631318</v>
      </c>
      <c r="T297" s="69" t="n">
        <f aca="false">-T284*Inputs!$D$34/1000*Inputs!$D$35*(1+Inputs!$D$38)^(T$261-1)</f>
        <v>-4412.30366675116</v>
      </c>
      <c r="U297" s="69" t="n">
        <f aca="false">-U284*Inputs!$D$34/1000*Inputs!$D$35*(1+Inputs!$D$38)^(U$261-1)</f>
        <v>-4496.69963773512</v>
      </c>
      <c r="V297" s="69" t="n">
        <f aca="false">-V284*Inputs!$D$34/1000*Inputs!$D$35*(1+Inputs!$D$38)^(V$261-1)</f>
        <v>-4578.3949376476</v>
      </c>
      <c r="W297" s="69" t="n">
        <f aca="false">-W284*Inputs!$D$34/1000*Inputs!$D$35*(1+Inputs!$D$38)^(W$261-1)</f>
        <v>-4657.47598796287</v>
      </c>
      <c r="X297" s="69" t="n">
        <f aca="false">-X284*Inputs!$D$34/1000*Inputs!$D$35*(1+Inputs!$D$38)^(X$261-1)</f>
        <v>-4734.02644466806</v>
      </c>
      <c r="Y297" s="69" t="n">
        <f aca="false">-Y284*Inputs!$D$34/1000*Inputs!$D$35*(1+Inputs!$D$38)^(Y$261-1)</f>
        <v>-4808.12728675868</v>
      </c>
      <c r="Z297" s="69" t="n">
        <f aca="false">-Z284*Inputs!$D$34/1000*Inputs!$D$35*(1+Inputs!$D$38)^(Z$261-1)</f>
        <v>-4245.59566073822</v>
      </c>
      <c r="AA297" s="69" t="n">
        <f aca="false">-AA284*Inputs!$D$34/1000*Inputs!$D$35*(1+Inputs!$D$38)^(AA$261-1)</f>
        <v>-4407.31442341647</v>
      </c>
      <c r="AB297" s="69" t="n">
        <f aca="false">-AB284*Inputs!$D$34/1000*Inputs!$D$35*(1+Inputs!$D$38)^(AB$261-1)</f>
        <v>-4463.99049101914</v>
      </c>
      <c r="AC297" s="69" t="n">
        <f aca="false">-AC284*Inputs!$D$34/1000*Inputs!$D$35*(1+Inputs!$D$38)^(AC$261-1)</f>
        <v>-5193.7288258669</v>
      </c>
      <c r="AD297" s="69" t="n">
        <f aca="false">-AD284*Inputs!$D$34/1000*Inputs!$D$35*(1+Inputs!$D$38)^(AD$261-1)</f>
        <v>-5265.36243988716</v>
      </c>
      <c r="AE297" s="69" t="n">
        <f aca="false">-AE284*Inputs!$D$34/1000*Inputs!$D$35*(1+Inputs!$D$38)^(AE$261-1)</f>
        <v>-5334.70377825877</v>
      </c>
      <c r="AF297" s="69" t="n">
        <f aca="false">-AF284*Inputs!$D$34/1000*Inputs!$D$35*(1+Inputs!$D$38)^(AF$261-1)</f>
        <v>-5401.82619380249</v>
      </c>
      <c r="AG297" s="69" t="n">
        <f aca="false">-AG284*Inputs!$D$34/1000*Inputs!$D$35*(1+Inputs!$D$38)^(AG$261-1)</f>
        <v>-5466.80069204881</v>
      </c>
      <c r="AH297" s="69" t="n">
        <f aca="false">-AH284*Inputs!$D$34/1000*Inputs!$D$35*(1+Inputs!$D$38)^(AH$261-1)</f>
        <v>-5529.69600635125</v>
      </c>
      <c r="AI297" s="69" t="n">
        <f aca="false">-AI284*Inputs!$D$34/1000*Inputs!$D$35*(1+Inputs!$D$38)^(AI$261-1)</f>
        <v>-5590.57867059601</v>
      </c>
      <c r="AJ297" s="69" t="n">
        <f aca="false">-AJ284*Inputs!$D$34/1000*Inputs!$D$35*(1+Inputs!$D$38)^(AJ$261-1)</f>
        <v>-5649.51308958494</v>
      </c>
      <c r="AK297" s="69" t="n">
        <f aca="false">-AK284*Inputs!$D$34/1000*Inputs!$D$35*(1+Inputs!$D$38)^(AK$261-1)</f>
        <v>-5706.56160716622</v>
      </c>
      <c r="AL297" s="69" t="n">
        <f aca="false">-AL284*Inputs!$D$34/1000*Inputs!$D$35*(1+Inputs!$D$38)^(AL$261-1)</f>
        <v>-5013.61115512259</v>
      </c>
      <c r="AM297" s="69" t="n">
        <f aca="false">-AM284*Inputs!$D$34/1000*Inputs!$D$35*(1+Inputs!$D$38)^(AM$261-1)</f>
        <v>-5180.40024515423</v>
      </c>
      <c r="AN297" s="69" t="n">
        <f aca="false">-AN284*Inputs!$D$34/1000*Inputs!$D$35*(1+Inputs!$D$38)^(AN$261-1)</f>
        <v>-5223.76506901169</v>
      </c>
      <c r="AO297" s="69" t="n">
        <f aca="false">-AO284*Inputs!$D$34/1000*Inputs!$D$35*(1+Inputs!$D$38)^(AO$261-1)</f>
        <v>-6051.40379092127</v>
      </c>
      <c r="AP297" s="69" t="n">
        <f aca="false">-AP284*Inputs!$D$34/1000*Inputs!$D$35*(1+Inputs!$D$38)^(AP$261-1)</f>
        <v>-6108.98308239578</v>
      </c>
      <c r="AQ297" s="69" t="n">
        <f aca="false">-AQ284*Inputs!$D$34/1000*Inputs!$D$35*(1+Inputs!$D$38)^(AQ$261-1)</f>
        <v>-6164.71983654312</v>
      </c>
      <c r="AR297" s="69" t="n">
        <f aca="false">-AR284*Inputs!$D$34/1000*Inputs!$D$35*(1+Inputs!$D$38)^(AR$261-1)</f>
        <v>-6218.67301455774</v>
      </c>
      <c r="AS297" s="69" t="n">
        <f aca="false">-AS284*Inputs!$D$34/1000*Inputs!$D$35*(1+Inputs!$D$38)^(AS$261-1)</f>
        <v>-6270.89969087589</v>
      </c>
      <c r="AT297" s="69" t="n">
        <f aca="false">-AT284*Inputs!$D$34/1000*Inputs!$D$35*(1+Inputs!$D$38)^(AT$261-1)</f>
        <v>-6321.45511355186</v>
      </c>
      <c r="AU297" s="69" t="n">
        <f aca="false">-AU284*Inputs!$D$34/1000*Inputs!$D$35*(1+Inputs!$D$38)^(AU$261-1)</f>
        <v>-6370.39276270221</v>
      </c>
      <c r="AV297" s="69" t="n">
        <f aca="false">-AV284*Inputs!$D$34/1000*Inputs!$D$35*(1+Inputs!$D$38)^(AV$261-1)</f>
        <v>-6417.76440707973</v>
      </c>
      <c r="AW297" s="69" t="n">
        <f aca="false">-AW284*Inputs!$D$34/1000*Inputs!$D$35*(1+Inputs!$D$38)^(AW$261-1)</f>
        <v>-6463.62015883718</v>
      </c>
      <c r="AX297" s="69" t="n">
        <f aca="false">-AX284*Inputs!$D$34/1000*Inputs!$D$35*(1+Inputs!$D$38)^(AX$261-1)</f>
        <v>-5663.43021404322</v>
      </c>
      <c r="AY297" s="69" t="n">
        <f aca="false">-AY284*Inputs!$D$34/1000*Inputs!$D$35*(1+Inputs!$D$38)^(AY$261-1)</f>
        <v>-5837.27730829869</v>
      </c>
      <c r="AZ297" s="69" t="n">
        <f aca="false">-AZ284*Inputs!$D$34/1000*Inputs!$D$35*(1+Inputs!$D$38)^(AZ$261-1)</f>
        <v>-5872.1620617882</v>
      </c>
      <c r="BA297" s="69" t="n">
        <f aca="false">-BA284*Inputs!$D$34/1000*Inputs!$D$35*(1+Inputs!$D$38)^(BA$261-1)</f>
        <v>-6786.57357477311</v>
      </c>
      <c r="BB297" s="69" t="n">
        <f aca="false">-BB284*Inputs!$D$34/1000*Inputs!$D$35*(1+Inputs!$D$38)^(BB$261-1)</f>
        <v>-6835.30278665668</v>
      </c>
      <c r="BC297" s="69" t="n">
        <f aca="false">-BC284*Inputs!$D$34/1000*Inputs!$D$35*(1+Inputs!$D$38)^(BC$261-1)</f>
        <v>-6882.47266375998</v>
      </c>
      <c r="BD297" s="69" t="n">
        <f aca="false">-BD284*Inputs!$D$34/1000*Inputs!$D$35*(1+Inputs!$D$38)^(BD$261-1)</f>
        <v>-6928.13310479597</v>
      </c>
      <c r="BE297" s="69" t="n">
        <f aca="false">-BE284*Inputs!$D$34/1000*Inputs!$D$35*(1+Inputs!$D$38)^(BE$261-1)</f>
        <v>-6972.33241171881</v>
      </c>
      <c r="BF297" s="69" t="n">
        <f aca="false">-BF284*Inputs!$D$34/1000*Inputs!$D$35*(1+Inputs!$D$38)^(BF$261-1)</f>
        <v>-7015.11734082012</v>
      </c>
      <c r="BG297" s="69" t="n">
        <f aca="false">-BG284*Inputs!$D$34/1000*Inputs!$D$35*(1+Inputs!$D$38)^(BG$261-1)</f>
        <v>-7056.53315219019</v>
      </c>
      <c r="BH297" s="69" t="n">
        <f aca="false">-BH284*Inputs!$D$34/1000*Inputs!$D$35*(1+Inputs!$D$38)^(BH$261-1)</f>
        <v>-7096.62365759642</v>
      </c>
      <c r="BI297" s="69" t="n">
        <f aca="false">-BI284*Inputs!$D$34/1000*Inputs!$D$35*(1+Inputs!$D$38)^(BI$261-1)</f>
        <v>-7135.43126682964</v>
      </c>
      <c r="BJ297" s="69" t="n">
        <f aca="false">-BJ284*Inputs!$D$34/1000*Inputs!$D$35*(1+Inputs!$D$38)^(BJ$261-1)</f>
        <v>-6242.49286963204</v>
      </c>
    </row>
    <row r="298" customFormat="false" ht="15" hidden="false" customHeight="false" outlineLevel="0" collapsed="false">
      <c r="A298" s="6" t="s">
        <v>439</v>
      </c>
      <c r="C298" s="69" t="n">
        <f aca="false">-C284*Inputs!$D$36*(1+Inputs!$D$38)^(C$261-1)</f>
        <v>-2046.668544</v>
      </c>
      <c r="D298" s="69" t="n">
        <f aca="false">-D284*Inputs!$D$36*(1+Inputs!$D$38)^(D$261-1)</f>
        <v>-2309.79072087771</v>
      </c>
      <c r="E298" s="69" t="n">
        <f aca="false">-E284*Inputs!$D$36*(1+Inputs!$D$38)^(E$261-1)</f>
        <v>-2967.49639306185</v>
      </c>
      <c r="F298" s="69" t="n">
        <f aca="false">-F284*Inputs!$D$36*(1+Inputs!$D$38)^(F$261-1)</f>
        <v>-3296.4531906426</v>
      </c>
      <c r="G298" s="69" t="n">
        <f aca="false">-G284*Inputs!$D$36*(1+Inputs!$D$38)^(G$261-1)</f>
        <v>-3634.02386898648</v>
      </c>
      <c r="H298" s="69" t="n">
        <f aca="false">-H284*Inputs!$D$36*(1+Inputs!$D$38)^(H$261-1)</f>
        <v>-3979.93278390907</v>
      </c>
      <c r="I298" s="69" t="n">
        <f aca="false">-I284*Inputs!$D$36*(1+Inputs!$D$38)^(I$261-1)</f>
        <v>-4333.91311183985</v>
      </c>
      <c r="J298" s="69" t="n">
        <f aca="false">-J284*Inputs!$D$36*(1+Inputs!$D$38)^(J$261-1)</f>
        <v>-4695.70656756257</v>
      </c>
      <c r="K298" s="69" t="n">
        <f aca="false">-K284*Inputs!$D$36*(1+Inputs!$D$38)^(K$261-1)</f>
        <v>-4843.18504184501</v>
      </c>
      <c r="L298" s="69" t="n">
        <f aca="false">-L284*Inputs!$D$36*(1+Inputs!$D$38)^(L$261-1)</f>
        <v>-4985.94420495041</v>
      </c>
      <c r="M298" s="69" t="n">
        <f aca="false">-M284*Inputs!$D$36*(1+Inputs!$D$38)^(M$261-1)</f>
        <v>-5124.13507483645</v>
      </c>
      <c r="N298" s="69" t="n">
        <f aca="false">-N284*Inputs!$D$36*(1+Inputs!$D$38)^(N$261-1)</f>
        <v>-4573.22847212662</v>
      </c>
      <c r="O298" s="69" t="n">
        <f aca="false">-O284*Inputs!$D$36*(1+Inputs!$D$38)^(O$261-1)</f>
        <v>-4794.12151404403</v>
      </c>
      <c r="P298" s="69" t="n">
        <f aca="false">-P284*Inputs!$D$36*(1+Inputs!$D$38)^(P$261-1)</f>
        <v>-4900.81624959463</v>
      </c>
      <c r="Q298" s="69" t="n">
        <f aca="false">-Q284*Inputs!$D$36*(1+Inputs!$D$38)^(Q$261-1)</f>
        <v>-5752.78345725317</v>
      </c>
      <c r="R298" s="69" t="n">
        <f aca="false">-R284*Inputs!$D$36*(1+Inputs!$D$38)^(R$261-1)</f>
        <v>-5882.01339817662</v>
      </c>
      <c r="S298" s="69" t="n">
        <f aca="false">-S284*Inputs!$D$36*(1+Inputs!$D$38)^(S$261-1)</f>
        <v>-6007.10798099053</v>
      </c>
      <c r="T298" s="69" t="n">
        <f aca="false">-T284*Inputs!$D$36*(1+Inputs!$D$38)^(T$261-1)</f>
        <v>-6128.19953715439</v>
      </c>
      <c r="U298" s="69" t="n">
        <f aca="false">-U284*Inputs!$D$36*(1+Inputs!$D$38)^(U$261-1)</f>
        <v>-6245.416163521</v>
      </c>
      <c r="V298" s="69" t="n">
        <f aca="false">-V284*Inputs!$D$36*(1+Inputs!$D$38)^(V$261-1)</f>
        <v>-6358.88185784388</v>
      </c>
      <c r="W298" s="69" t="n">
        <f aca="false">-W284*Inputs!$D$36*(1+Inputs!$D$38)^(W$261-1)</f>
        <v>-6468.71664994844</v>
      </c>
      <c r="X298" s="69" t="n">
        <f aca="false">-X284*Inputs!$D$36*(1+Inputs!$D$38)^(X$261-1)</f>
        <v>-6575.03672870564</v>
      </c>
      <c r="Y298" s="69" t="n">
        <f aca="false">-Y284*Inputs!$D$36*(1+Inputs!$D$38)^(Y$261-1)</f>
        <v>-6677.95456494262</v>
      </c>
      <c r="Z298" s="69" t="n">
        <f aca="false">-Z284*Inputs!$D$36*(1+Inputs!$D$38)^(Z$261-1)</f>
        <v>-5896.6606399142</v>
      </c>
      <c r="AA298" s="69" t="n">
        <f aca="false">-AA284*Inputs!$D$36*(1+Inputs!$D$38)^(AA$261-1)</f>
        <v>-6121.27003252287</v>
      </c>
      <c r="AB298" s="69" t="n">
        <f aca="false">-AB284*Inputs!$D$36*(1+Inputs!$D$38)^(AB$261-1)</f>
        <v>-6199.98679308214</v>
      </c>
      <c r="AC298" s="69" t="n">
        <f aca="false">-AC284*Inputs!$D$36*(1+Inputs!$D$38)^(AC$261-1)</f>
        <v>-7213.51225814847</v>
      </c>
      <c r="AD298" s="69" t="n">
        <f aca="false">-AD284*Inputs!$D$36*(1+Inputs!$D$38)^(AD$261-1)</f>
        <v>-7313.00338873217</v>
      </c>
      <c r="AE298" s="69" t="n">
        <f aca="false">-AE284*Inputs!$D$36*(1+Inputs!$D$38)^(AE$261-1)</f>
        <v>-7409.31080313718</v>
      </c>
      <c r="AF298" s="69" t="n">
        <f aca="false">-AF284*Inputs!$D$36*(1+Inputs!$D$38)^(AF$261-1)</f>
        <v>-7502.53638028124</v>
      </c>
      <c r="AG298" s="69" t="n">
        <f aca="false">-AG284*Inputs!$D$36*(1+Inputs!$D$38)^(AG$261-1)</f>
        <v>-7592.77873895668</v>
      </c>
      <c r="AH298" s="69" t="n">
        <f aca="false">-AH284*Inputs!$D$36*(1+Inputs!$D$38)^(AH$261-1)</f>
        <v>-7680.13334215451</v>
      </c>
      <c r="AI298" s="69" t="n">
        <f aca="false">-AI284*Inputs!$D$36*(1+Inputs!$D$38)^(AI$261-1)</f>
        <v>-7764.69259805001</v>
      </c>
      <c r="AJ298" s="69" t="n">
        <f aca="false">-AJ284*Inputs!$D$36*(1+Inputs!$D$38)^(AJ$261-1)</f>
        <v>-7846.54595775686</v>
      </c>
      <c r="AK298" s="69" t="n">
        <f aca="false">-AK284*Inputs!$D$36*(1+Inputs!$D$38)^(AK$261-1)</f>
        <v>-7925.78000995308</v>
      </c>
      <c r="AL298" s="69" t="n">
        <f aca="false">-AL284*Inputs!$D$36*(1+Inputs!$D$38)^(AL$261-1)</f>
        <v>-6963.34882655915</v>
      </c>
      <c r="AM298" s="69" t="n">
        <f aca="false">-AM284*Inputs!$D$36*(1+Inputs!$D$38)^(AM$261-1)</f>
        <v>-7195.00034049199</v>
      </c>
      <c r="AN298" s="69" t="n">
        <f aca="false">-AN284*Inputs!$D$36*(1+Inputs!$D$38)^(AN$261-1)</f>
        <v>-7255.22926251624</v>
      </c>
      <c r="AO298" s="69" t="n">
        <f aca="false">-AO284*Inputs!$D$36*(1+Inputs!$D$38)^(AO$261-1)</f>
        <v>-8404.72748739064</v>
      </c>
      <c r="AP298" s="69" t="n">
        <f aca="false">-AP284*Inputs!$D$36*(1+Inputs!$D$38)^(AP$261-1)</f>
        <v>-8484.6987255497</v>
      </c>
      <c r="AQ298" s="69" t="n">
        <f aca="false">-AQ284*Inputs!$D$36*(1+Inputs!$D$38)^(AQ$261-1)</f>
        <v>-8562.11088408767</v>
      </c>
      <c r="AR298" s="69" t="n">
        <f aca="false">-AR284*Inputs!$D$36*(1+Inputs!$D$38)^(AR$261-1)</f>
        <v>-8637.04585355242</v>
      </c>
      <c r="AS298" s="69" t="n">
        <f aca="false">-AS284*Inputs!$D$36*(1+Inputs!$D$38)^(AS$261-1)</f>
        <v>-8709.5829039943</v>
      </c>
      <c r="AT298" s="69" t="n">
        <f aca="false">-AT284*Inputs!$D$36*(1+Inputs!$D$38)^(AT$261-1)</f>
        <v>-8779.79876882203</v>
      </c>
      <c r="AU298" s="69" t="n">
        <f aca="false">-AU284*Inputs!$D$36*(1+Inputs!$D$38)^(AU$261-1)</f>
        <v>-8847.76772597529</v>
      </c>
      <c r="AV298" s="69" t="n">
        <f aca="false">-AV284*Inputs!$D$36*(1+Inputs!$D$38)^(AV$261-1)</f>
        <v>-8913.56167649963</v>
      </c>
      <c r="AW298" s="69" t="n">
        <f aca="false">-AW284*Inputs!$D$36*(1+Inputs!$D$38)^(AW$261-1)</f>
        <v>-8977.2502206072</v>
      </c>
      <c r="AX298" s="69" t="n">
        <f aca="false">-AX284*Inputs!$D$36*(1+Inputs!$D$38)^(AX$261-1)</f>
        <v>-7865.87529728225</v>
      </c>
      <c r="AY298" s="69" t="n">
        <f aca="false">-AY284*Inputs!$D$36*(1+Inputs!$D$38)^(AY$261-1)</f>
        <v>-8107.3295948593</v>
      </c>
      <c r="AZ298" s="69" t="n">
        <f aca="false">-AZ284*Inputs!$D$36*(1+Inputs!$D$38)^(AZ$261-1)</f>
        <v>-8155.7806413725</v>
      </c>
      <c r="BA298" s="69" t="n">
        <f aca="false">-BA284*Inputs!$D$36*(1+Inputs!$D$38)^(BA$261-1)</f>
        <v>-9425.79663162932</v>
      </c>
      <c r="BB298" s="69" t="n">
        <f aca="false">-BB284*Inputs!$D$36*(1+Inputs!$D$38)^(BB$261-1)</f>
        <v>-9493.47609257873</v>
      </c>
      <c r="BC298" s="69" t="n">
        <f aca="false">-BC284*Inputs!$D$36*(1+Inputs!$D$38)^(BC$261-1)</f>
        <v>-9558.98981077775</v>
      </c>
      <c r="BD298" s="69" t="n">
        <f aca="false">-BD284*Inputs!$D$36*(1+Inputs!$D$38)^(BD$261-1)</f>
        <v>-9622.40708999441</v>
      </c>
      <c r="BE298" s="69" t="n">
        <f aca="false">-BE284*Inputs!$D$36*(1+Inputs!$D$38)^(BE$261-1)</f>
        <v>-9683.79501627613</v>
      </c>
      <c r="BF298" s="69" t="n">
        <f aca="false">-BF284*Inputs!$D$36*(1+Inputs!$D$38)^(BF$261-1)</f>
        <v>-9743.21852891684</v>
      </c>
      <c r="BG298" s="69" t="n">
        <f aca="false">-BG284*Inputs!$D$36*(1+Inputs!$D$38)^(BG$261-1)</f>
        <v>-9800.74048915304</v>
      </c>
      <c r="BH298" s="69" t="n">
        <f aca="false">-BH284*Inputs!$D$36*(1+Inputs!$D$38)^(BH$261-1)</f>
        <v>-9856.42174666169</v>
      </c>
      <c r="BI298" s="69" t="n">
        <f aca="false">-BI284*Inputs!$D$36*(1+Inputs!$D$38)^(BI$261-1)</f>
        <v>-9910.32120393006</v>
      </c>
      <c r="BJ298" s="69" t="n">
        <f aca="false">-BJ284*Inputs!$D$36*(1+Inputs!$D$38)^(BJ$261-1)</f>
        <v>-8670.12898560006</v>
      </c>
    </row>
    <row r="299" customFormat="false" ht="15" hidden="false" customHeight="false" outlineLevel="0" collapsed="false">
      <c r="A299" s="6" t="s">
        <v>248</v>
      </c>
      <c r="C299" s="69" t="n">
        <f aca="false">C296+C297+C298</f>
        <v>-7357.77341568</v>
      </c>
      <c r="D299" s="69" t="n">
        <f aca="false">D296+D297+D298</f>
        <v>-8303.69764155538</v>
      </c>
      <c r="E299" s="69" t="n">
        <f aca="false">E296+E297+E298</f>
        <v>-10668.1495330573</v>
      </c>
      <c r="F299" s="69" t="n">
        <f aca="false">F296+F297+F298</f>
        <v>-11850.7492203601</v>
      </c>
      <c r="G299" s="69" t="n">
        <f aca="false">G296+G297+G298</f>
        <v>-13064.3158090064</v>
      </c>
      <c r="H299" s="69" t="n">
        <f aca="false">H296+H297+H298</f>
        <v>-14307.8583581531</v>
      </c>
      <c r="I299" s="69" t="n">
        <f aca="false">I296+I297+I298</f>
        <v>-15580.4176370643</v>
      </c>
      <c r="J299" s="69" t="n">
        <f aca="false">J296+J297+J298</f>
        <v>-16881.0651103874</v>
      </c>
      <c r="K299" s="69" t="n">
        <f aca="false">K296+K297+K298</f>
        <v>-17411.2502254328</v>
      </c>
      <c r="L299" s="69" t="n">
        <f aca="false">L296+L297+L298</f>
        <v>-17924.4694167967</v>
      </c>
      <c r="M299" s="69" t="n">
        <f aca="false">M296+M297+M298</f>
        <v>-18421.265594037</v>
      </c>
      <c r="N299" s="69" t="n">
        <f aca="false">N296+N297+N298</f>
        <v>-16440.7563572952</v>
      </c>
      <c r="O299" s="69" t="n">
        <f aca="false">O296+O297+O298</f>
        <v>-17234.8668429883</v>
      </c>
      <c r="P299" s="69" t="n">
        <f aca="false">P296+P297+P298</f>
        <v>-17618.4344172927</v>
      </c>
      <c r="Q299" s="69" t="n">
        <f aca="false">Q296+Q297+Q298</f>
        <v>-20681.2565288251</v>
      </c>
      <c r="R299" s="69" t="n">
        <f aca="false">R296+R297+R298</f>
        <v>-21145.838166445</v>
      </c>
      <c r="S299" s="69" t="n">
        <f aca="false">S296+S297+S298</f>
        <v>-21595.5531916609</v>
      </c>
      <c r="T299" s="69" t="n">
        <f aca="false">T296+T297+T298</f>
        <v>-22030.87733607</v>
      </c>
      <c r="U299" s="69" t="n">
        <f aca="false">U296+U297+U298</f>
        <v>-22452.271107858</v>
      </c>
      <c r="V299" s="69" t="n">
        <f aca="false">V296+V297+V298</f>
        <v>-22860.1802789488</v>
      </c>
      <c r="W299" s="69" t="n">
        <f aca="false">W296+W297+W298</f>
        <v>-23255.0363565646</v>
      </c>
      <c r="X299" s="69" t="n">
        <f aca="false">X296+X297+X298</f>
        <v>-23637.2570396968</v>
      </c>
      <c r="Y299" s="69" t="n">
        <f aca="false">Y296+Y297+Y298</f>
        <v>-24007.2466609687</v>
      </c>
      <c r="Z299" s="69" t="n">
        <f aca="false">Z296+Z297+Z298</f>
        <v>-21198.4950004915</v>
      </c>
      <c r="AA299" s="69" t="n">
        <f aca="false">AA296+AA297+AA298</f>
        <v>-22005.9657669197</v>
      </c>
      <c r="AB299" s="69" t="n">
        <f aca="false">AB296+AB297+AB298</f>
        <v>-22288.9525211303</v>
      </c>
      <c r="AC299" s="69" t="n">
        <f aca="false">AC296+AC297+AC298</f>
        <v>-25932.5765680438</v>
      </c>
      <c r="AD299" s="69" t="n">
        <f aca="false">AD296+AD297+AD298</f>
        <v>-26290.2471824921</v>
      </c>
      <c r="AE299" s="69" t="n">
        <f aca="false">AE296+AE297+AE298</f>
        <v>-26636.4723372782</v>
      </c>
      <c r="AF299" s="69" t="n">
        <f aca="false">AF296+AF297+AF298</f>
        <v>-26971.618287111</v>
      </c>
      <c r="AG299" s="69" t="n">
        <f aca="false">AG296+AG297+AG298</f>
        <v>-27296.0395665493</v>
      </c>
      <c r="AH299" s="69" t="n">
        <f aca="false">AH296+AH297+AH298</f>
        <v>-27610.0793650455</v>
      </c>
      <c r="AI299" s="69" t="n">
        <f aca="false">AI296+AI297+AI298</f>
        <v>-27914.0698899898</v>
      </c>
      <c r="AJ299" s="69" t="n">
        <f aca="false">AJ296+AJ297+AJ298</f>
        <v>-28208.3327181359</v>
      </c>
      <c r="AK299" s="69" t="n">
        <f aca="false">AK296+AK297+AK298</f>
        <v>-28493.1791357813</v>
      </c>
      <c r="AL299" s="69" t="n">
        <f aca="false">AL296+AL297+AL298</f>
        <v>-25033.2390314802</v>
      </c>
      <c r="AM299" s="69" t="n">
        <f aca="false">AM296+AM297+AM298</f>
        <v>-25866.0262240687</v>
      </c>
      <c r="AN299" s="69" t="n">
        <f aca="false">AN296+AN297+AN298</f>
        <v>-26082.5491987459</v>
      </c>
      <c r="AO299" s="69" t="n">
        <f aca="false">AO296+AO297+AO298</f>
        <v>-30214.9953171694</v>
      </c>
      <c r="AP299" s="69" t="n">
        <f aca="false">AP296+AP297+AP298</f>
        <v>-30502.4919183512</v>
      </c>
      <c r="AQ299" s="69" t="n">
        <f aca="false">AQ296+AQ297+AQ298</f>
        <v>-30780.7886282952</v>
      </c>
      <c r="AR299" s="69" t="n">
        <f aca="false">AR296+AR297+AR298</f>
        <v>-31050.1798435209</v>
      </c>
      <c r="AS299" s="69" t="n">
        <f aca="false">AS296+AS297+AS298</f>
        <v>-31310.9505398595</v>
      </c>
      <c r="AT299" s="69" t="n">
        <f aca="false">AT296+AT297+AT298</f>
        <v>-31563.3765739152</v>
      </c>
      <c r="AU299" s="69" t="n">
        <f aca="false">AU296+AU297+AU298</f>
        <v>-31807.7249748812</v>
      </c>
      <c r="AV299" s="69" t="n">
        <f aca="false">AV296+AV297+AV298</f>
        <v>-32044.2542270162</v>
      </c>
      <c r="AW299" s="69" t="n">
        <f aca="false">AW296+AW297+AW298</f>
        <v>-32273.2145430829</v>
      </c>
      <c r="AX299" s="69" t="n">
        <f aca="false">AX296+AX297+AX298</f>
        <v>-28277.8216937297</v>
      </c>
      <c r="AY299" s="69" t="n">
        <f aca="false">AY296+AY297+AY298</f>
        <v>-29145.8498935192</v>
      </c>
      <c r="AZ299" s="69" t="n">
        <f aca="false">AZ296+AZ297+AZ298</f>
        <v>-29320.0314057341</v>
      </c>
      <c r="BA299" s="69" t="n">
        <f aca="false">BA296+BA297+BA298</f>
        <v>-33885.7388907074</v>
      </c>
      <c r="BB299" s="69" t="n">
        <f aca="false">BB296+BB297+BB298</f>
        <v>-34129.0465528205</v>
      </c>
      <c r="BC299" s="69" t="n">
        <f aca="false">BC296+BC297+BC298</f>
        <v>-34364.568369746</v>
      </c>
      <c r="BD299" s="69" t="n">
        <f aca="false">BD296+BD297+BD298</f>
        <v>-34592.5534885299</v>
      </c>
      <c r="BE299" s="69" t="n">
        <f aca="false">BE296+BE297+BE298</f>
        <v>-34813.2430835127</v>
      </c>
      <c r="BF299" s="69" t="n">
        <f aca="false">BF296+BF297+BF298</f>
        <v>-35026.870611456</v>
      </c>
      <c r="BG299" s="69" t="n">
        <f aca="false">BG296+BG297+BG298</f>
        <v>-35233.6620585052</v>
      </c>
      <c r="BH299" s="69" t="n">
        <f aca="false">BH296+BH297+BH298</f>
        <v>-35433.8361792488</v>
      </c>
      <c r="BI299" s="69" t="n">
        <f aca="false">BI296+BI297+BI298</f>
        <v>-35627.6047281286</v>
      </c>
      <c r="BJ299" s="69" t="n">
        <f aca="false">BJ296+BJ297+BJ298</f>
        <v>-31169.1137032322</v>
      </c>
    </row>
    <row r="300" customFormat="false" ht="15" hidden="false" customHeight="false" outlineLevel="0" collapsed="false">
      <c r="A300" s="6" t="s">
        <v>440</v>
      </c>
      <c r="C300" s="69" t="n">
        <f aca="false">-C293*Inputs!$D$37</f>
        <v>-2183.563368</v>
      </c>
      <c r="D300" s="69" t="n">
        <f aca="false">-D293*Inputs!$D$37</f>
        <v>-2460.860454144</v>
      </c>
      <c r="E300" s="69" t="n">
        <f aca="false">-E293*Inputs!$D$37</f>
        <v>-3073.96253017139</v>
      </c>
      <c r="F300" s="69" t="n">
        <f aca="false">-F293*Inputs!$D$37</f>
        <v>-3403.65261080591</v>
      </c>
      <c r="G300" s="69" t="n">
        <f aca="false">-G293*Inputs!$D$37</f>
        <v>-3740.27200278012</v>
      </c>
      <c r="H300" s="69" t="n">
        <f aca="false">-H293*Inputs!$D$37</f>
        <v>-4083.59896813116</v>
      </c>
      <c r="I300" s="69" t="n">
        <f aca="false">-I293*Inputs!$D$37</f>
        <v>-4433.41886451096</v>
      </c>
      <c r="J300" s="69" t="n">
        <f aca="false">-J293*Inputs!$D$37</f>
        <v>-4789.52391812661</v>
      </c>
      <c r="K300" s="69" t="n">
        <f aca="false">-K293*Inputs!$D$37</f>
        <v>-4908.16083594656</v>
      </c>
      <c r="L300" s="69" t="n">
        <f aca="false">-L293*Inputs!$D$37</f>
        <v>-5023.00137239627</v>
      </c>
      <c r="M300" s="69" t="n">
        <f aca="false">-M293*Inputs!$D$37</f>
        <v>-5134.16701167959</v>
      </c>
      <c r="N300" s="69" t="n">
        <f aca="false">-N293*Inputs!$D$37</f>
        <v>-4757.04383050584</v>
      </c>
      <c r="O300" s="69" t="n">
        <f aca="false">-O293*Inputs!$D$37</f>
        <v>-4998.65740559954</v>
      </c>
      <c r="P300" s="69" t="n">
        <f aca="false">-P293*Inputs!$D$37</f>
        <v>-5097.68255345236</v>
      </c>
      <c r="Q300" s="69" t="n">
        <f aca="false">-Q293*Inputs!$D$37</f>
        <v>-5692.81236217388</v>
      </c>
      <c r="R300" s="69" t="n">
        <f aca="false">-R293*Inputs!$D$37</f>
        <v>-5797.27662028032</v>
      </c>
      <c r="S300" s="69" t="n">
        <f aca="false">-S293*Inputs!$D$37</f>
        <v>-5898.39802212735</v>
      </c>
      <c r="T300" s="69" t="n">
        <f aca="false">-T293*Inputs!$D$37</f>
        <v>-5996.28353911527</v>
      </c>
      <c r="U300" s="69" t="n">
        <f aca="false">-U293*Inputs!$D$37</f>
        <v>-6091.03671955958</v>
      </c>
      <c r="V300" s="69" t="n">
        <f aca="false">-V293*Inputs!$D$37</f>
        <v>-6182.75779822968</v>
      </c>
      <c r="W300" s="69" t="n">
        <f aca="false">-W293*Inputs!$D$37</f>
        <v>-6271.54380238233</v>
      </c>
      <c r="X300" s="69" t="n">
        <f aca="false">-X293*Inputs!$D$37</f>
        <v>-6357.48865440209</v>
      </c>
      <c r="Y300" s="69" t="n">
        <f aca="false">-Y293*Inputs!$D$37</f>
        <v>-6440.68327115723</v>
      </c>
      <c r="Z300" s="69" t="n">
        <f aca="false">-Z293*Inputs!$D$37</f>
        <v>-6021.94219457619</v>
      </c>
      <c r="AA300" s="69" t="n">
        <f aca="false">-AA293*Inputs!$D$37</f>
        <v>-6274.59392813721</v>
      </c>
      <c r="AB300" s="69" t="n">
        <f aca="false">-AB293*Inputs!$D$37</f>
        <v>-6348.00863697378</v>
      </c>
      <c r="AC300" s="69" t="n">
        <f aca="false">-AC293*Inputs!$D$37</f>
        <v>-6933.32574469558</v>
      </c>
      <c r="AD300" s="69" t="n">
        <f aca="false">-AD293*Inputs!$D$37</f>
        <v>-7014.1426663322</v>
      </c>
      <c r="AE300" s="69" t="n">
        <f aca="false">-AE293*Inputs!$D$37</f>
        <v>-7092.37344647645</v>
      </c>
      <c r="AF300" s="69" t="n">
        <f aca="false">-AF293*Inputs!$D$37</f>
        <v>-7168.10084165608</v>
      </c>
      <c r="AG300" s="69" t="n">
        <f aca="false">-AG293*Inputs!$D$37</f>
        <v>-7241.40496018997</v>
      </c>
      <c r="AH300" s="69" t="n">
        <f aca="false">-AH293*Inputs!$D$37</f>
        <v>-7312.36334693077</v>
      </c>
      <c r="AI300" s="69" t="n">
        <f aca="false">-AI293*Inputs!$D$37</f>
        <v>-7381.05106529586</v>
      </c>
      <c r="AJ300" s="69" t="n">
        <f aca="false">-AJ293*Inputs!$D$37</f>
        <v>-7447.54077667328</v>
      </c>
      <c r="AK300" s="69" t="n">
        <f aca="false">-AK293*Inputs!$D$37</f>
        <v>-7511.90281728661</v>
      </c>
      <c r="AL300" s="69" t="n">
        <f aca="false">-AL293*Inputs!$D$37</f>
        <v>-7059.95360303232</v>
      </c>
      <c r="AM300" s="69" t="n">
        <f aca="false">-AM293*Inputs!$D$37</f>
        <v>-7325.70436768705</v>
      </c>
      <c r="AN300" s="69" t="n">
        <f aca="false">-AN293*Inputs!$D$37</f>
        <v>-7382.15051658741</v>
      </c>
      <c r="AO300" s="69" t="n">
        <f aca="false">-AO293*Inputs!$D$37</f>
        <v>-7966.46960837801</v>
      </c>
      <c r="AP300" s="69" t="n">
        <f aca="false">-AP293*Inputs!$D$37</f>
        <v>-8031.74734943408</v>
      </c>
      <c r="AQ300" s="69" t="n">
        <f aca="false">-AQ293*Inputs!$D$37</f>
        <v>-8094.93620277635</v>
      </c>
      <c r="AR300" s="69" t="n">
        <f aca="false">-AR293*Inputs!$D$37</f>
        <v>-8156.10301281168</v>
      </c>
      <c r="AS300" s="69" t="n">
        <f aca="false">-AS293*Inputs!$D$37</f>
        <v>-8215.31248492587</v>
      </c>
      <c r="AT300" s="69" t="n">
        <f aca="false">-AT293*Inputs!$D$37</f>
        <v>-8272.62725393241</v>
      </c>
      <c r="AU300" s="69" t="n">
        <f aca="false">-AU293*Inputs!$D$37</f>
        <v>-8328.10795033074</v>
      </c>
      <c r="AV300" s="69" t="n">
        <f aca="false">-AV293*Inputs!$D$37</f>
        <v>-8381.81326444432</v>
      </c>
      <c r="AW300" s="69" t="n">
        <f aca="false">-AW293*Inputs!$D$37</f>
        <v>-8433.80000850627</v>
      </c>
      <c r="AX300" s="69" t="n">
        <f aca="false">-AX293*Inputs!$D$37</f>
        <v>-7954.44395710319</v>
      </c>
      <c r="AY300" s="69" t="n">
        <f aca="false">-AY293*Inputs!$D$37</f>
        <v>-8235.27533502225</v>
      </c>
      <c r="AZ300" s="69" t="n">
        <f aca="false">-AZ293*Inputs!$D$37</f>
        <v>-8280.90483903936</v>
      </c>
      <c r="BA300" s="69" t="n">
        <f aca="false">-BA293*Inputs!$D$37</f>
        <v>-8870.64379517262</v>
      </c>
      <c r="BB300" s="69" t="n">
        <f aca="false">-BB293*Inputs!$D$37</f>
        <v>-8926.15767071847</v>
      </c>
      <c r="BC300" s="69" t="n">
        <f aca="false">-BC293*Inputs!$D$37</f>
        <v>-8979.89510224686</v>
      </c>
      <c r="BD300" s="69" t="n">
        <f aca="false">-BD293*Inputs!$D$37</f>
        <v>-9031.91293596634</v>
      </c>
      <c r="BE300" s="69" t="n">
        <f aca="false">-BE293*Inputs!$D$37</f>
        <v>-9082.2661990068</v>
      </c>
      <c r="BF300" s="69" t="n">
        <f aca="false">-BF293*Inputs!$D$37</f>
        <v>-9131.00815762995</v>
      </c>
      <c r="BG300" s="69" t="n">
        <f aca="false">-BG293*Inputs!$D$37</f>
        <v>-9178.19037357717</v>
      </c>
      <c r="BH300" s="69" t="n">
        <f aca="false">-BH293*Inputs!$D$37</f>
        <v>-9223.86275861408</v>
      </c>
      <c r="BI300" s="69" t="n">
        <f aca="false">-BI293*Inputs!$D$37</f>
        <v>-9268.07362732981</v>
      </c>
      <c r="BJ300" s="69" t="n">
        <f aca="false">-BJ293*Inputs!$D$37</f>
        <v>-8765.30015200194</v>
      </c>
    </row>
    <row r="301" customFormat="false" ht="15" hidden="false" customHeight="false" outlineLevel="0" collapsed="false">
      <c r="A301" s="4" t="s">
        <v>76</v>
      </c>
      <c r="C301" s="75" t="n">
        <f aca="false">C299+C300</f>
        <v>-9541.33678368</v>
      </c>
      <c r="D301" s="75" t="n">
        <f aca="false">D299+D300</f>
        <v>-10764.5580956994</v>
      </c>
      <c r="E301" s="75" t="n">
        <f aca="false">E299+E300</f>
        <v>-13742.1120632287</v>
      </c>
      <c r="F301" s="75" t="n">
        <f aca="false">F299+F300</f>
        <v>-15254.4018311661</v>
      </c>
      <c r="G301" s="75" t="n">
        <f aca="false">G299+G300</f>
        <v>-16804.5878117865</v>
      </c>
      <c r="H301" s="75" t="n">
        <f aca="false">H299+H300</f>
        <v>-18391.4573262843</v>
      </c>
      <c r="I301" s="75" t="n">
        <f aca="false">I299+I300</f>
        <v>-20013.8365015752</v>
      </c>
      <c r="J301" s="75" t="n">
        <f aca="false">J299+J300</f>
        <v>-21670.589028514</v>
      </c>
      <c r="K301" s="75" t="n">
        <f aca="false">K299+K300</f>
        <v>-22319.4110613794</v>
      </c>
      <c r="L301" s="75" t="n">
        <f aca="false">L299+L300</f>
        <v>-22947.470789193</v>
      </c>
      <c r="M301" s="75" t="n">
        <f aca="false">M299+M300</f>
        <v>-23555.4326057166</v>
      </c>
      <c r="N301" s="75" t="n">
        <f aca="false">N299+N300</f>
        <v>-21197.800187801</v>
      </c>
      <c r="O301" s="75" t="n">
        <f aca="false">O299+O300</f>
        <v>-22233.5242485878</v>
      </c>
      <c r="P301" s="75" t="n">
        <f aca="false">P299+P300</f>
        <v>-22716.116970745</v>
      </c>
      <c r="Q301" s="75" t="n">
        <f aca="false">Q299+Q300</f>
        <v>-26374.068890999</v>
      </c>
      <c r="R301" s="75" t="n">
        <f aca="false">R299+R300</f>
        <v>-26943.1147867253</v>
      </c>
      <c r="S301" s="75" t="n">
        <f aca="false">S299+S300</f>
        <v>-27493.9512137883</v>
      </c>
      <c r="T301" s="75" t="n">
        <f aca="false">T299+T300</f>
        <v>-28027.1608751853</v>
      </c>
      <c r="U301" s="75" t="n">
        <f aca="false">U299+U300</f>
        <v>-28543.3078274176</v>
      </c>
      <c r="V301" s="75" t="n">
        <f aca="false">V299+V300</f>
        <v>-29042.9380771784</v>
      </c>
      <c r="W301" s="75" t="n">
        <f aca="false">W299+W300</f>
        <v>-29526.580158947</v>
      </c>
      <c r="X301" s="75" t="n">
        <f aca="false">X299+X300</f>
        <v>-29994.7456940989</v>
      </c>
      <c r="Y301" s="75" t="n">
        <f aca="false">Y299+Y300</f>
        <v>-30447.9299321259</v>
      </c>
      <c r="Z301" s="75" t="n">
        <f aca="false">Z299+Z300</f>
        <v>-27220.4371950677</v>
      </c>
      <c r="AA301" s="75" t="n">
        <f aca="false">AA299+AA300</f>
        <v>-28280.5596950569</v>
      </c>
      <c r="AB301" s="75" t="n">
        <f aca="false">AB299+AB300</f>
        <v>-28636.9611581041</v>
      </c>
      <c r="AC301" s="75" t="n">
        <f aca="false">AC299+AC300</f>
        <v>-32865.9023127393</v>
      </c>
      <c r="AD301" s="75" t="n">
        <f aca="false">AD299+AD300</f>
        <v>-33304.3898488243</v>
      </c>
      <c r="AE301" s="75" t="n">
        <f aca="false">AE299+AE300</f>
        <v>-33728.8457837546</v>
      </c>
      <c r="AF301" s="75" t="n">
        <f aca="false">AF299+AF300</f>
        <v>-34139.7191287671</v>
      </c>
      <c r="AG301" s="75" t="n">
        <f aca="false">AG299+AG300</f>
        <v>-34537.4445267392</v>
      </c>
      <c r="AH301" s="75" t="n">
        <f aca="false">AH299+AH300</f>
        <v>-34922.4427119762</v>
      </c>
      <c r="AI301" s="75" t="n">
        <f aca="false">AI299+AI300</f>
        <v>-35295.1209552857</v>
      </c>
      <c r="AJ301" s="75" t="n">
        <f aca="false">AJ299+AJ300</f>
        <v>-35655.8734948092</v>
      </c>
      <c r="AK301" s="75" t="n">
        <f aca="false">AK299+AK300</f>
        <v>-36005.0819530679</v>
      </c>
      <c r="AL301" s="75" t="n">
        <f aca="false">AL299+AL300</f>
        <v>-32093.1926345125</v>
      </c>
      <c r="AM301" s="75" t="n">
        <f aca="false">AM299+AM300</f>
        <v>-33191.7305917557</v>
      </c>
      <c r="AN301" s="75" t="n">
        <f aca="false">AN299+AN300</f>
        <v>-33464.6997153333</v>
      </c>
      <c r="AO301" s="75" t="n">
        <f aca="false">AO299+AO300</f>
        <v>-38181.4649255474</v>
      </c>
      <c r="AP301" s="75" t="n">
        <f aca="false">AP299+AP300</f>
        <v>-38534.2392677853</v>
      </c>
      <c r="AQ301" s="75" t="n">
        <f aca="false">AQ299+AQ300</f>
        <v>-38875.7248310715</v>
      </c>
      <c r="AR301" s="75" t="n">
        <f aca="false">AR299+AR300</f>
        <v>-39206.2828563326</v>
      </c>
      <c r="AS301" s="75" t="n">
        <f aca="false">AS299+AS300</f>
        <v>-39526.2630247854</v>
      </c>
      <c r="AT301" s="75" t="n">
        <f aca="false">AT299+AT300</f>
        <v>-39836.0038278476</v>
      </c>
      <c r="AU301" s="75" t="n">
        <f aca="false">AU299+AU300</f>
        <v>-40135.8329252119</v>
      </c>
      <c r="AV301" s="75" t="n">
        <f aca="false">AV299+AV300</f>
        <v>-40426.0674914605</v>
      </c>
      <c r="AW301" s="75" t="n">
        <f aca="false">AW299+AW300</f>
        <v>-40707.0145515891</v>
      </c>
      <c r="AX301" s="75" t="n">
        <f aca="false">AX299+AX300</f>
        <v>-36232.2656508329</v>
      </c>
      <c r="AY301" s="75" t="n">
        <f aca="false">AY299+AY300</f>
        <v>-37381.1252285414</v>
      </c>
      <c r="AZ301" s="75" t="n">
        <f aca="false">AZ299+AZ300</f>
        <v>-37600.9362447735</v>
      </c>
      <c r="BA301" s="75" t="n">
        <f aca="false">BA299+BA300</f>
        <v>-42756.38268588</v>
      </c>
      <c r="BB301" s="75" t="n">
        <f aca="false">BB299+BB300</f>
        <v>-43055.204223539</v>
      </c>
      <c r="BC301" s="75" t="n">
        <f aca="false">BC299+BC300</f>
        <v>-43344.4634719929</v>
      </c>
      <c r="BD301" s="75" t="n">
        <f aca="false">BD299+BD300</f>
        <v>-43624.4664244962</v>
      </c>
      <c r="BE301" s="75" t="n">
        <f aca="false">BE299+BE300</f>
        <v>-43895.5092825195</v>
      </c>
      <c r="BF301" s="75" t="n">
        <f aca="false">BF299+BF300</f>
        <v>-44157.878769086</v>
      </c>
      <c r="BG301" s="75" t="n">
        <f aca="false">BG299+BG300</f>
        <v>-44411.8524320824</v>
      </c>
      <c r="BH301" s="75" t="n">
        <f aca="false">BH299+BH300</f>
        <v>-44657.6989378629</v>
      </c>
      <c r="BI301" s="75" t="n">
        <f aca="false">BI299+BI300</f>
        <v>-44895.6783554584</v>
      </c>
      <c r="BJ301" s="75" t="n">
        <f aca="false">BJ299+BJ300</f>
        <v>-39934.4138552341</v>
      </c>
    </row>
    <row r="302" customFormat="false" ht="15" hidden="false" customHeight="false" outlineLevel="0" collapsed="false">
      <c r="A302" s="113" t="s">
        <v>45</v>
      </c>
      <c r="C302" s="70" t="n">
        <f aca="false">C293+C301</f>
        <v>68443.06921632</v>
      </c>
      <c r="D302" s="70" t="n">
        <f aca="false">D293+D301</f>
        <v>77123.3152665863</v>
      </c>
      <c r="E302" s="70" t="n">
        <f aca="false">E293+E301</f>
        <v>96042.264014321</v>
      </c>
      <c r="F302" s="70" t="n">
        <f aca="false">F293+F301</f>
        <v>106304.619983331</v>
      </c>
      <c r="G302" s="70" t="n">
        <f aca="false">G293+G301</f>
        <v>116776.555144646</v>
      </c>
      <c r="H302" s="70" t="n">
        <f aca="false">H293+H301</f>
        <v>127451.362964114</v>
      </c>
      <c r="I302" s="70" t="n">
        <f aca="false">I293+I301</f>
        <v>138322.551516673</v>
      </c>
      <c r="J302" s="70" t="n">
        <f aca="false">J293+J301</f>
        <v>149383.836618865</v>
      </c>
      <c r="K302" s="70" t="n">
        <f aca="false">K293+K301</f>
        <v>152972.047365283</v>
      </c>
      <c r="L302" s="70" t="n">
        <f aca="false">L293+L301</f>
        <v>156445.435367817</v>
      </c>
      <c r="M302" s="70" t="n">
        <f aca="false">M293+M301</f>
        <v>159807.674954269</v>
      </c>
      <c r="N302" s="70" t="n">
        <f aca="false">N293+N301</f>
        <v>148696.622330265</v>
      </c>
      <c r="O302" s="70" t="n">
        <f aca="false">O293+O301</f>
        <v>156289.954522824</v>
      </c>
      <c r="P302" s="70" t="n">
        <f aca="false">P293+P301</f>
        <v>159343.974223982</v>
      </c>
      <c r="Q302" s="70" t="n">
        <f aca="false">Q293+Q301</f>
        <v>176940.658329497</v>
      </c>
      <c r="R302" s="70" t="n">
        <f aca="false">R293+R301</f>
        <v>180102.478794715</v>
      </c>
      <c r="S302" s="70" t="n">
        <f aca="false">S293+S301</f>
        <v>183163.121005046</v>
      </c>
      <c r="T302" s="70" t="n">
        <f aca="false">T293+T301</f>
        <v>186125.822664646</v>
      </c>
      <c r="U302" s="70" t="n">
        <f aca="false">U293+U301</f>
        <v>188993.717871139</v>
      </c>
      <c r="V302" s="70" t="n">
        <f aca="false">V293+V301</f>
        <v>191769.840431024</v>
      </c>
      <c r="W302" s="70" t="n">
        <f aca="false">W293+W301</f>
        <v>194457.127068993</v>
      </c>
      <c r="X302" s="70" t="n">
        <f aca="false">X293+X301</f>
        <v>197058.420534547</v>
      </c>
      <c r="Y302" s="70" t="n">
        <f aca="false">Y293+Y301</f>
        <v>199576.472609204</v>
      </c>
      <c r="Z302" s="70" t="n">
        <f aca="false">Z293+Z301</f>
        <v>187848.926896939</v>
      </c>
      <c r="AA302" s="70" t="n">
        <f aca="false">AA293+AA301</f>
        <v>195812.080595558</v>
      </c>
      <c r="AB302" s="70" t="n">
        <f aca="false">AB293+AB301</f>
        <v>198077.633019531</v>
      </c>
      <c r="AC302" s="70" t="n">
        <f aca="false">AC293+AC301</f>
        <v>214752.874283531</v>
      </c>
      <c r="AD302" s="70" t="n">
        <f aca="false">AD293+AD301</f>
        <v>217200.705377326</v>
      </c>
      <c r="AE302" s="70" t="n">
        <f aca="false">AE293+AE301</f>
        <v>219570.205876119</v>
      </c>
      <c r="AF302" s="70" t="n">
        <f aca="false">AF293+AF301</f>
        <v>221863.88235895</v>
      </c>
      <c r="AG302" s="70" t="n">
        <f aca="false">AG293+AG301</f>
        <v>224084.161194331</v>
      </c>
      <c r="AH302" s="70" t="n">
        <f aca="false">AH293+AH301</f>
        <v>226233.39110698</v>
      </c>
      <c r="AI302" s="70" t="n">
        <f aca="false">AI293+AI301</f>
        <v>228313.845662424</v>
      </c>
      <c r="AJ302" s="70" t="n">
        <f aca="false">AJ293+AJ301</f>
        <v>230327.725672094</v>
      </c>
      <c r="AK302" s="70" t="n">
        <f aca="false">AK293+AK301</f>
        <v>232277.161521454</v>
      </c>
      <c r="AL302" s="70" t="n">
        <f aca="false">AL293+AL301</f>
        <v>220048.007473785</v>
      </c>
      <c r="AM302" s="70" t="n">
        <f aca="false">AM293+AM301</f>
        <v>228440.56825421</v>
      </c>
      <c r="AN302" s="70" t="n">
        <f aca="false">AN293+AN301</f>
        <v>230183.533019931</v>
      </c>
      <c r="AO302" s="70" t="n">
        <f aca="false">AO293+AO301</f>
        <v>246335.306802239</v>
      </c>
      <c r="AP302" s="70" t="n">
        <f aca="false">AP293+AP301</f>
        <v>248313.88035486</v>
      </c>
      <c r="AQ302" s="70" t="n">
        <f aca="false">AQ293+AQ301</f>
        <v>250229.139553798</v>
      </c>
      <c r="AR302" s="70" t="n">
        <f aca="false">AR293+AR301</f>
        <v>252083.11045837</v>
      </c>
      <c r="AS302" s="70" t="n">
        <f aca="false">AS293+AS301</f>
        <v>253877.754293996</v>
      </c>
      <c r="AT302" s="70" t="n">
        <f aca="false">AT293+AT301</f>
        <v>255614.969526881</v>
      </c>
      <c r="AU302" s="70" t="n">
        <f aca="false">AU293+AU301</f>
        <v>257296.593872314</v>
      </c>
      <c r="AV302" s="70" t="n">
        <f aca="false">AV293+AV301</f>
        <v>258924.406238694</v>
      </c>
      <c r="AW302" s="70" t="n">
        <f aca="false">AW293+AW301</f>
        <v>260500.128609349</v>
      </c>
      <c r="AX302" s="70" t="n">
        <f aca="false">AX293+AX301</f>
        <v>247855.018531424</v>
      </c>
      <c r="AY302" s="70" t="n">
        <f aca="false">AY293+AY301</f>
        <v>256735.851022253</v>
      </c>
      <c r="AZ302" s="70" t="n">
        <f aca="false">AZ293+AZ301</f>
        <v>258145.665149489</v>
      </c>
      <c r="BA302" s="70" t="n">
        <f aca="false">BA293+BA301</f>
        <v>274052.324284571</v>
      </c>
      <c r="BB302" s="70" t="n">
        <f aca="false">BB293+BB301</f>
        <v>275736.141159264</v>
      </c>
      <c r="BC302" s="70" t="n">
        <f aca="false">BC293+BC301</f>
        <v>277366.075893967</v>
      </c>
      <c r="BD302" s="70" t="n">
        <f aca="false">BD293+BD301</f>
        <v>278943.852717159</v>
      </c>
      <c r="BE302" s="70" t="n">
        <f aca="false">BE293+BE301</f>
        <v>280471.140682009</v>
      </c>
      <c r="BF302" s="70" t="n">
        <f aca="false">BF293+BF301</f>
        <v>281949.555431984</v>
      </c>
      <c r="BG302" s="70" t="n">
        <f aca="false">BG293+BG301</f>
        <v>283380.66090996</v>
      </c>
      <c r="BH302" s="70" t="n">
        <f aca="false">BH293+BH301</f>
        <v>284765.97101264</v>
      </c>
      <c r="BI302" s="70" t="n">
        <f aca="false">BI293+BI301</f>
        <v>286106.951192035</v>
      </c>
      <c r="BJ302" s="70" t="n">
        <f aca="false">BJ293+BJ301</f>
        <v>273112.020144835</v>
      </c>
    </row>
    <row r="304" customFormat="false" ht="15.75" hidden="false" customHeight="true" outlineLevel="0" collapsed="false">
      <c r="A304" s="7" t="s">
        <v>47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</row>
    <row r="305" customFormat="false" ht="15" hidden="false" customHeight="false" outlineLevel="0" collapsed="false">
      <c r="A305" s="6" t="s">
        <v>340</v>
      </c>
      <c r="C305" s="69" t="n">
        <f aca="false">C382</f>
        <v>-36586.6666666667</v>
      </c>
      <c r="D305" s="69" t="n">
        <f aca="false">D382</f>
        <v>-36586.6666666667</v>
      </c>
      <c r="E305" s="69" t="n">
        <f aca="false">E382</f>
        <v>-36586.6666666667</v>
      </c>
      <c r="F305" s="69" t="n">
        <f aca="false">F382</f>
        <v>-36586.6666666667</v>
      </c>
      <c r="G305" s="69" t="n">
        <f aca="false">G382</f>
        <v>-36586.6666666667</v>
      </c>
      <c r="H305" s="69" t="n">
        <f aca="false">H382</f>
        <v>-36586.6666666667</v>
      </c>
      <c r="I305" s="69" t="n">
        <f aca="false">I382</f>
        <v>-36586.6666666667</v>
      </c>
      <c r="J305" s="69" t="n">
        <f aca="false">J382</f>
        <v>-36586.6666666667</v>
      </c>
      <c r="K305" s="69" t="n">
        <f aca="false">K382</f>
        <v>-36586.6666666667</v>
      </c>
      <c r="L305" s="69" t="n">
        <f aca="false">L382</f>
        <v>-36586.6666666667</v>
      </c>
      <c r="M305" s="69" t="n">
        <f aca="false">M382</f>
        <v>-36586.6666666667</v>
      </c>
      <c r="N305" s="69" t="n">
        <f aca="false">N382</f>
        <v>-36586.6666666667</v>
      </c>
      <c r="O305" s="69" t="n">
        <f aca="false">O382</f>
        <v>-37684.2666666667</v>
      </c>
      <c r="P305" s="69" t="n">
        <f aca="false">P382</f>
        <v>-37684.2666666667</v>
      </c>
      <c r="Q305" s="69" t="n">
        <f aca="false">Q382</f>
        <v>-37684.2666666667</v>
      </c>
      <c r="R305" s="69" t="n">
        <f aca="false">R382</f>
        <v>-37684.2666666667</v>
      </c>
      <c r="S305" s="69" t="n">
        <f aca="false">S382</f>
        <v>-37684.2666666667</v>
      </c>
      <c r="T305" s="69" t="n">
        <f aca="false">T382</f>
        <v>-37684.2666666667</v>
      </c>
      <c r="U305" s="69" t="n">
        <f aca="false">U382</f>
        <v>-37684.2666666667</v>
      </c>
      <c r="V305" s="69" t="n">
        <f aca="false">V382</f>
        <v>-37684.2666666667</v>
      </c>
      <c r="W305" s="69" t="n">
        <f aca="false">W382</f>
        <v>-37684.2666666667</v>
      </c>
      <c r="X305" s="69" t="n">
        <f aca="false">X382</f>
        <v>-37684.2666666667</v>
      </c>
      <c r="Y305" s="69" t="n">
        <f aca="false">Y382</f>
        <v>-37684.2666666667</v>
      </c>
      <c r="Z305" s="69" t="n">
        <f aca="false">Z382</f>
        <v>-37684.2666666667</v>
      </c>
      <c r="AA305" s="69" t="n">
        <f aca="false">AA382</f>
        <v>-38814.7946666667</v>
      </c>
      <c r="AB305" s="69" t="n">
        <f aca="false">AB382</f>
        <v>-38814.7946666667</v>
      </c>
      <c r="AC305" s="69" t="n">
        <f aca="false">AC382</f>
        <v>-38814.7946666667</v>
      </c>
      <c r="AD305" s="69" t="n">
        <f aca="false">AD382</f>
        <v>-38814.7946666667</v>
      </c>
      <c r="AE305" s="69" t="n">
        <f aca="false">AE382</f>
        <v>-38814.7946666667</v>
      </c>
      <c r="AF305" s="69" t="n">
        <f aca="false">AF382</f>
        <v>-38814.7946666667</v>
      </c>
      <c r="AG305" s="69" t="n">
        <f aca="false">AG382</f>
        <v>-38814.7946666667</v>
      </c>
      <c r="AH305" s="69" t="n">
        <f aca="false">AH382</f>
        <v>-38814.7946666667</v>
      </c>
      <c r="AI305" s="69" t="n">
        <f aca="false">AI382</f>
        <v>-38814.7946666667</v>
      </c>
      <c r="AJ305" s="69" t="n">
        <f aca="false">AJ382</f>
        <v>-38814.7946666667</v>
      </c>
      <c r="AK305" s="69" t="n">
        <f aca="false">AK382</f>
        <v>-38814.7946666667</v>
      </c>
      <c r="AL305" s="69" t="n">
        <f aca="false">AL382</f>
        <v>-38814.7946666667</v>
      </c>
      <c r="AM305" s="69" t="n">
        <f aca="false">AM382</f>
        <v>-39979.2385066667</v>
      </c>
      <c r="AN305" s="69" t="n">
        <f aca="false">AN382</f>
        <v>-39979.2385066667</v>
      </c>
      <c r="AO305" s="69" t="n">
        <f aca="false">AO382</f>
        <v>-39979.2385066667</v>
      </c>
      <c r="AP305" s="69" t="n">
        <f aca="false">AP382</f>
        <v>-39979.2385066667</v>
      </c>
      <c r="AQ305" s="69" t="n">
        <f aca="false">AQ382</f>
        <v>-39979.2385066667</v>
      </c>
      <c r="AR305" s="69" t="n">
        <f aca="false">AR382</f>
        <v>-39979.2385066667</v>
      </c>
      <c r="AS305" s="69" t="n">
        <f aca="false">AS382</f>
        <v>-39979.2385066667</v>
      </c>
      <c r="AT305" s="69" t="n">
        <f aca="false">AT382</f>
        <v>-39979.2385066667</v>
      </c>
      <c r="AU305" s="69" t="n">
        <f aca="false">AU382</f>
        <v>-39979.2385066667</v>
      </c>
      <c r="AV305" s="69" t="n">
        <f aca="false">AV382</f>
        <v>-39979.2385066667</v>
      </c>
      <c r="AW305" s="69" t="n">
        <f aca="false">AW382</f>
        <v>-39979.2385066667</v>
      </c>
      <c r="AX305" s="69" t="n">
        <f aca="false">AX382</f>
        <v>-39979.2385066667</v>
      </c>
      <c r="AY305" s="69" t="n">
        <f aca="false">AY382</f>
        <v>-41178.6156618667</v>
      </c>
      <c r="AZ305" s="69" t="n">
        <f aca="false">AZ382</f>
        <v>-41178.6156618667</v>
      </c>
      <c r="BA305" s="69" t="n">
        <f aca="false">BA382</f>
        <v>-41178.6156618667</v>
      </c>
      <c r="BB305" s="69" t="n">
        <f aca="false">BB382</f>
        <v>-41178.6156618667</v>
      </c>
      <c r="BC305" s="69" t="n">
        <f aca="false">BC382</f>
        <v>-41178.6156618667</v>
      </c>
      <c r="BD305" s="69" t="n">
        <f aca="false">BD382</f>
        <v>-41178.6156618667</v>
      </c>
      <c r="BE305" s="69" t="n">
        <f aca="false">BE382</f>
        <v>-41178.6156618667</v>
      </c>
      <c r="BF305" s="69" t="n">
        <f aca="false">BF382</f>
        <v>-41178.6156618667</v>
      </c>
      <c r="BG305" s="69" t="n">
        <f aca="false">BG382</f>
        <v>-41178.6156618667</v>
      </c>
      <c r="BH305" s="69" t="n">
        <f aca="false">BH382</f>
        <v>-41178.6156618667</v>
      </c>
      <c r="BI305" s="69" t="n">
        <f aca="false">BI382</f>
        <v>-41178.6156618667</v>
      </c>
      <c r="BJ305" s="69" t="n">
        <f aca="false">BJ382</f>
        <v>-41178.6156618667</v>
      </c>
    </row>
    <row r="306" customFormat="false" ht="15" hidden="false" customHeight="false" outlineLevel="0" collapsed="false">
      <c r="A306" s="6" t="s">
        <v>341</v>
      </c>
      <c r="C306" s="69" t="n">
        <f aca="false">-Inputs!$D$41*(1+Inputs!$D$42)^(C$261-1)*1</f>
        <v>-30000</v>
      </c>
      <c r="D306" s="69" t="n">
        <f aca="false">-Inputs!$D$41*(1+Inputs!$D$42)^(D$261-1)*1</f>
        <v>-30000</v>
      </c>
      <c r="E306" s="69" t="n">
        <f aca="false">-Inputs!$D$41*(1+Inputs!$D$42)^(E$261-1)*1</f>
        <v>-30000</v>
      </c>
      <c r="F306" s="69" t="n">
        <f aca="false">-Inputs!$D$41*(1+Inputs!$D$42)^(F$261-1)*1</f>
        <v>-30000</v>
      </c>
      <c r="G306" s="69" t="n">
        <f aca="false">-Inputs!$D$41*(1+Inputs!$D$42)^(G$261-1)*1</f>
        <v>-30000</v>
      </c>
      <c r="H306" s="69" t="n">
        <f aca="false">-Inputs!$D$41*(1+Inputs!$D$42)^(H$261-1)*1</f>
        <v>-30000</v>
      </c>
      <c r="I306" s="69" t="n">
        <f aca="false">-Inputs!$D$41*(1+Inputs!$D$42)^(I$261-1)*1</f>
        <v>-30000</v>
      </c>
      <c r="J306" s="69" t="n">
        <f aca="false">-Inputs!$D$41*(1+Inputs!$D$42)^(J$261-1)*1</f>
        <v>-30000</v>
      </c>
      <c r="K306" s="69" t="n">
        <f aca="false">-Inputs!$D$41*(1+Inputs!$D$42)^(K$261-1)*1</f>
        <v>-30000</v>
      </c>
      <c r="L306" s="69" t="n">
        <f aca="false">-Inputs!$D$41*(1+Inputs!$D$42)^(L$261-1)*1</f>
        <v>-30000</v>
      </c>
      <c r="M306" s="69" t="n">
        <f aca="false">-Inputs!$D$41*(1+Inputs!$D$42)^(M$261-1)*1</f>
        <v>-30000</v>
      </c>
      <c r="N306" s="69" t="n">
        <f aca="false">-Inputs!$D$41*(1+Inputs!$D$42)^(N$261-1)*1</f>
        <v>-30000</v>
      </c>
      <c r="O306" s="69" t="n">
        <f aca="false">-Inputs!$D$41*(1+Inputs!$D$42)^(O$261-1)*1</f>
        <v>-30900</v>
      </c>
      <c r="P306" s="69" t="n">
        <f aca="false">-Inputs!$D$41*(1+Inputs!$D$42)^(P$261-1)*1</f>
        <v>-30900</v>
      </c>
      <c r="Q306" s="69" t="n">
        <f aca="false">-Inputs!$D$41*(1+Inputs!$D$42)^(Q$261-1)*1</f>
        <v>-30900</v>
      </c>
      <c r="R306" s="69" t="n">
        <f aca="false">-Inputs!$D$41*(1+Inputs!$D$42)^(R$261-1)*1</f>
        <v>-30900</v>
      </c>
      <c r="S306" s="69" t="n">
        <f aca="false">-Inputs!$D$41*(1+Inputs!$D$42)^(S$261-1)*1</f>
        <v>-30900</v>
      </c>
      <c r="T306" s="69" t="n">
        <f aca="false">-Inputs!$D$41*(1+Inputs!$D$42)^(T$261-1)*1</f>
        <v>-30900</v>
      </c>
      <c r="U306" s="69" t="n">
        <f aca="false">-Inputs!$D$41*(1+Inputs!$D$42)^(U$261-1)*1</f>
        <v>-30900</v>
      </c>
      <c r="V306" s="69" t="n">
        <f aca="false">-Inputs!$D$41*(1+Inputs!$D$42)^(V$261-1)*1</f>
        <v>-30900</v>
      </c>
      <c r="W306" s="69" t="n">
        <f aca="false">-Inputs!$D$41*(1+Inputs!$D$42)^(W$261-1)*1</f>
        <v>-30900</v>
      </c>
      <c r="X306" s="69" t="n">
        <f aca="false">-Inputs!$D$41*(1+Inputs!$D$42)^(X$261-1)*1</f>
        <v>-30900</v>
      </c>
      <c r="Y306" s="69" t="n">
        <f aca="false">-Inputs!$D$41*(1+Inputs!$D$42)^(Y$261-1)*1</f>
        <v>-30900</v>
      </c>
      <c r="Z306" s="69" t="n">
        <f aca="false">-Inputs!$D$41*(1+Inputs!$D$42)^(Z$261-1)*1</f>
        <v>-30900</v>
      </c>
      <c r="AA306" s="69" t="n">
        <f aca="false">-Inputs!$D$41*(1+Inputs!$D$42)^(AA$261-1)*1</f>
        <v>-31827</v>
      </c>
      <c r="AB306" s="69" t="n">
        <f aca="false">-Inputs!$D$41*(1+Inputs!$D$42)^(AB$261-1)*1</f>
        <v>-31827</v>
      </c>
      <c r="AC306" s="69" t="n">
        <f aca="false">-Inputs!$D$41*(1+Inputs!$D$42)^(AC$261-1)*1</f>
        <v>-31827</v>
      </c>
      <c r="AD306" s="69" t="n">
        <f aca="false">-Inputs!$D$41*(1+Inputs!$D$42)^(AD$261-1)*1</f>
        <v>-31827</v>
      </c>
      <c r="AE306" s="69" t="n">
        <f aca="false">-Inputs!$D$41*(1+Inputs!$D$42)^(AE$261-1)*1</f>
        <v>-31827</v>
      </c>
      <c r="AF306" s="69" t="n">
        <f aca="false">-Inputs!$D$41*(1+Inputs!$D$42)^(AF$261-1)*1</f>
        <v>-31827</v>
      </c>
      <c r="AG306" s="69" t="n">
        <f aca="false">-Inputs!$D$41*(1+Inputs!$D$42)^(AG$261-1)*1</f>
        <v>-31827</v>
      </c>
      <c r="AH306" s="69" t="n">
        <f aca="false">-Inputs!$D$41*(1+Inputs!$D$42)^(AH$261-1)*1</f>
        <v>-31827</v>
      </c>
      <c r="AI306" s="69" t="n">
        <f aca="false">-Inputs!$D$41*(1+Inputs!$D$42)^(AI$261-1)*1</f>
        <v>-31827</v>
      </c>
      <c r="AJ306" s="69" t="n">
        <f aca="false">-Inputs!$D$41*(1+Inputs!$D$42)^(AJ$261-1)*1</f>
        <v>-31827</v>
      </c>
      <c r="AK306" s="69" t="n">
        <f aca="false">-Inputs!$D$41*(1+Inputs!$D$42)^(AK$261-1)*1</f>
        <v>-31827</v>
      </c>
      <c r="AL306" s="69" t="n">
        <f aca="false">-Inputs!$D$41*(1+Inputs!$D$42)^(AL$261-1)*1</f>
        <v>-31827</v>
      </c>
      <c r="AM306" s="69" t="n">
        <f aca="false">-Inputs!$D$41*(1+Inputs!$D$42)^(AM$261-1)*1</f>
        <v>-32781.81</v>
      </c>
      <c r="AN306" s="69" t="n">
        <f aca="false">-Inputs!$D$41*(1+Inputs!$D$42)^(AN$261-1)*1</f>
        <v>-32781.81</v>
      </c>
      <c r="AO306" s="69" t="n">
        <f aca="false">-Inputs!$D$41*(1+Inputs!$D$42)^(AO$261-1)*1</f>
        <v>-32781.81</v>
      </c>
      <c r="AP306" s="69" t="n">
        <f aca="false">-Inputs!$D$41*(1+Inputs!$D$42)^(AP$261-1)*1</f>
        <v>-32781.81</v>
      </c>
      <c r="AQ306" s="69" t="n">
        <f aca="false">-Inputs!$D$41*(1+Inputs!$D$42)^(AQ$261-1)*1</f>
        <v>-32781.81</v>
      </c>
      <c r="AR306" s="69" t="n">
        <f aca="false">-Inputs!$D$41*(1+Inputs!$D$42)^(AR$261-1)*1</f>
        <v>-32781.81</v>
      </c>
      <c r="AS306" s="69" t="n">
        <f aca="false">-Inputs!$D$41*(1+Inputs!$D$42)^(AS$261-1)*1</f>
        <v>-32781.81</v>
      </c>
      <c r="AT306" s="69" t="n">
        <f aca="false">-Inputs!$D$41*(1+Inputs!$D$42)^(AT$261-1)*1</f>
        <v>-32781.81</v>
      </c>
      <c r="AU306" s="69" t="n">
        <f aca="false">-Inputs!$D$41*(1+Inputs!$D$42)^(AU$261-1)*1</f>
        <v>-32781.81</v>
      </c>
      <c r="AV306" s="69" t="n">
        <f aca="false">-Inputs!$D$41*(1+Inputs!$D$42)^(AV$261-1)*1</f>
        <v>-32781.81</v>
      </c>
      <c r="AW306" s="69" t="n">
        <f aca="false">-Inputs!$D$41*(1+Inputs!$D$42)^(AW$261-1)*1</f>
        <v>-32781.81</v>
      </c>
      <c r="AX306" s="69" t="n">
        <f aca="false">-Inputs!$D$41*(1+Inputs!$D$42)^(AX$261-1)*1</f>
        <v>-32781.81</v>
      </c>
      <c r="AY306" s="69" t="n">
        <f aca="false">-Inputs!$D$41*(1+Inputs!$D$42)^(AY$261-1)*1</f>
        <v>-33765.2643</v>
      </c>
      <c r="AZ306" s="69" t="n">
        <f aca="false">-Inputs!$D$41*(1+Inputs!$D$42)^(AZ$261-1)*1</f>
        <v>-33765.2643</v>
      </c>
      <c r="BA306" s="69" t="n">
        <f aca="false">-Inputs!$D$41*(1+Inputs!$D$42)^(BA$261-1)*1</f>
        <v>-33765.2643</v>
      </c>
      <c r="BB306" s="69" t="n">
        <f aca="false">-Inputs!$D$41*(1+Inputs!$D$42)^(BB$261-1)*1</f>
        <v>-33765.2643</v>
      </c>
      <c r="BC306" s="69" t="n">
        <f aca="false">-Inputs!$D$41*(1+Inputs!$D$42)^(BC$261-1)*1</f>
        <v>-33765.2643</v>
      </c>
      <c r="BD306" s="69" t="n">
        <f aca="false">-Inputs!$D$41*(1+Inputs!$D$42)^(BD$261-1)*1</f>
        <v>-33765.2643</v>
      </c>
      <c r="BE306" s="69" t="n">
        <f aca="false">-Inputs!$D$41*(1+Inputs!$D$42)^(BE$261-1)*1</f>
        <v>-33765.2643</v>
      </c>
      <c r="BF306" s="69" t="n">
        <f aca="false">-Inputs!$D$41*(1+Inputs!$D$42)^(BF$261-1)*1</f>
        <v>-33765.2643</v>
      </c>
      <c r="BG306" s="69" t="n">
        <f aca="false">-Inputs!$D$41*(1+Inputs!$D$42)^(BG$261-1)*1</f>
        <v>-33765.2643</v>
      </c>
      <c r="BH306" s="69" t="n">
        <f aca="false">-Inputs!$D$41*(1+Inputs!$D$42)^(BH$261-1)*1</f>
        <v>-33765.2643</v>
      </c>
      <c r="BI306" s="69" t="n">
        <f aca="false">-Inputs!$D$41*(1+Inputs!$D$42)^(BI$261-1)*1</f>
        <v>-33765.2643</v>
      </c>
      <c r="BJ306" s="69" t="n">
        <f aca="false">-Inputs!$D$41*(1+Inputs!$D$42)^(BJ$261-1)*1</f>
        <v>-33765.2643</v>
      </c>
    </row>
    <row r="307" customFormat="false" ht="15" hidden="false" customHeight="false" outlineLevel="0" collapsed="false">
      <c r="A307" s="6" t="s">
        <v>342</v>
      </c>
      <c r="C307" s="69" t="n">
        <f aca="false">-Inputs!$D$43*(1+Inputs!$D$38)^(C$261-1)*1</f>
        <v>-5500</v>
      </c>
      <c r="D307" s="69" t="n">
        <f aca="false">-Inputs!$D$43*(1+Inputs!$D$38)^(D$261-1)*1</f>
        <v>-5500</v>
      </c>
      <c r="E307" s="69" t="n">
        <f aca="false">-Inputs!$D$43*(1+Inputs!$D$38)^(E$261-1)*1</f>
        <v>-5500</v>
      </c>
      <c r="F307" s="69" t="n">
        <f aca="false">-Inputs!$D$43*(1+Inputs!$D$38)^(F$261-1)*1</f>
        <v>-5500</v>
      </c>
      <c r="G307" s="69" t="n">
        <f aca="false">-Inputs!$D$43*(1+Inputs!$D$38)^(G$261-1)*1</f>
        <v>-5500</v>
      </c>
      <c r="H307" s="69" t="n">
        <f aca="false">-Inputs!$D$43*(1+Inputs!$D$38)^(H$261-1)*1</f>
        <v>-5500</v>
      </c>
      <c r="I307" s="69" t="n">
        <f aca="false">-Inputs!$D$43*(1+Inputs!$D$38)^(I$261-1)*1</f>
        <v>-5500</v>
      </c>
      <c r="J307" s="69" t="n">
        <f aca="false">-Inputs!$D$43*(1+Inputs!$D$38)^(J$261-1)*1</f>
        <v>-5500</v>
      </c>
      <c r="K307" s="69" t="n">
        <f aca="false">-Inputs!$D$43*(1+Inputs!$D$38)^(K$261-1)*1</f>
        <v>-5500</v>
      </c>
      <c r="L307" s="69" t="n">
        <f aca="false">-Inputs!$D$43*(1+Inputs!$D$38)^(L$261-1)*1</f>
        <v>-5500</v>
      </c>
      <c r="M307" s="69" t="n">
        <f aca="false">-Inputs!$D$43*(1+Inputs!$D$38)^(M$261-1)*1</f>
        <v>-5500</v>
      </c>
      <c r="N307" s="69" t="n">
        <f aca="false">-Inputs!$D$43*(1+Inputs!$D$38)^(N$261-1)*1</f>
        <v>-5500</v>
      </c>
      <c r="O307" s="69" t="n">
        <f aca="false">-Inputs!$D$43*(1+Inputs!$D$38)^(O$261-1)*1</f>
        <v>-5637.5</v>
      </c>
      <c r="P307" s="69" t="n">
        <f aca="false">-Inputs!$D$43*(1+Inputs!$D$38)^(P$261-1)*1</f>
        <v>-5637.5</v>
      </c>
      <c r="Q307" s="69" t="n">
        <f aca="false">-Inputs!$D$43*(1+Inputs!$D$38)^(Q$261-1)*1</f>
        <v>-5637.5</v>
      </c>
      <c r="R307" s="69" t="n">
        <f aca="false">-Inputs!$D$43*(1+Inputs!$D$38)^(R$261-1)*1</f>
        <v>-5637.5</v>
      </c>
      <c r="S307" s="69" t="n">
        <f aca="false">-Inputs!$D$43*(1+Inputs!$D$38)^(S$261-1)*1</f>
        <v>-5637.5</v>
      </c>
      <c r="T307" s="69" t="n">
        <f aca="false">-Inputs!$D$43*(1+Inputs!$D$38)^(T$261-1)*1</f>
        <v>-5637.5</v>
      </c>
      <c r="U307" s="69" t="n">
        <f aca="false">-Inputs!$D$43*(1+Inputs!$D$38)^(U$261-1)*1</f>
        <v>-5637.5</v>
      </c>
      <c r="V307" s="69" t="n">
        <f aca="false">-Inputs!$D$43*(1+Inputs!$D$38)^(V$261-1)*1</f>
        <v>-5637.5</v>
      </c>
      <c r="W307" s="69" t="n">
        <f aca="false">-Inputs!$D$43*(1+Inputs!$D$38)^(W$261-1)*1</f>
        <v>-5637.5</v>
      </c>
      <c r="X307" s="69" t="n">
        <f aca="false">-Inputs!$D$43*(1+Inputs!$D$38)^(X$261-1)*1</f>
        <v>-5637.5</v>
      </c>
      <c r="Y307" s="69" t="n">
        <f aca="false">-Inputs!$D$43*(1+Inputs!$D$38)^(Y$261-1)*1</f>
        <v>-5637.5</v>
      </c>
      <c r="Z307" s="69" t="n">
        <f aca="false">-Inputs!$D$43*(1+Inputs!$D$38)^(Z$261-1)*1</f>
        <v>-5637.5</v>
      </c>
      <c r="AA307" s="69" t="n">
        <f aca="false">-Inputs!$D$43*(1+Inputs!$D$38)^(AA$261-1)*1</f>
        <v>-5778.4375</v>
      </c>
      <c r="AB307" s="69" t="n">
        <f aca="false">-Inputs!$D$43*(1+Inputs!$D$38)^(AB$261-1)*1</f>
        <v>-5778.4375</v>
      </c>
      <c r="AC307" s="69" t="n">
        <f aca="false">-Inputs!$D$43*(1+Inputs!$D$38)^(AC$261-1)*1</f>
        <v>-5778.4375</v>
      </c>
      <c r="AD307" s="69" t="n">
        <f aca="false">-Inputs!$D$43*(1+Inputs!$D$38)^(AD$261-1)*1</f>
        <v>-5778.4375</v>
      </c>
      <c r="AE307" s="69" t="n">
        <f aca="false">-Inputs!$D$43*(1+Inputs!$D$38)^(AE$261-1)*1</f>
        <v>-5778.4375</v>
      </c>
      <c r="AF307" s="69" t="n">
        <f aca="false">-Inputs!$D$43*(1+Inputs!$D$38)^(AF$261-1)*1</f>
        <v>-5778.4375</v>
      </c>
      <c r="AG307" s="69" t="n">
        <f aca="false">-Inputs!$D$43*(1+Inputs!$D$38)^(AG$261-1)*1</f>
        <v>-5778.4375</v>
      </c>
      <c r="AH307" s="69" t="n">
        <f aca="false">-Inputs!$D$43*(1+Inputs!$D$38)^(AH$261-1)*1</f>
        <v>-5778.4375</v>
      </c>
      <c r="AI307" s="69" t="n">
        <f aca="false">-Inputs!$D$43*(1+Inputs!$D$38)^(AI$261-1)*1</f>
        <v>-5778.4375</v>
      </c>
      <c r="AJ307" s="69" t="n">
        <f aca="false">-Inputs!$D$43*(1+Inputs!$D$38)^(AJ$261-1)*1</f>
        <v>-5778.4375</v>
      </c>
      <c r="AK307" s="69" t="n">
        <f aca="false">-Inputs!$D$43*(1+Inputs!$D$38)^(AK$261-1)*1</f>
        <v>-5778.4375</v>
      </c>
      <c r="AL307" s="69" t="n">
        <f aca="false">-Inputs!$D$43*(1+Inputs!$D$38)^(AL$261-1)*1</f>
        <v>-5778.4375</v>
      </c>
      <c r="AM307" s="69" t="n">
        <f aca="false">-Inputs!$D$43*(1+Inputs!$D$38)^(AM$261-1)*1</f>
        <v>-5922.8984375</v>
      </c>
      <c r="AN307" s="69" t="n">
        <f aca="false">-Inputs!$D$43*(1+Inputs!$D$38)^(AN$261-1)*1</f>
        <v>-5922.8984375</v>
      </c>
      <c r="AO307" s="69" t="n">
        <f aca="false">-Inputs!$D$43*(1+Inputs!$D$38)^(AO$261-1)*1</f>
        <v>-5922.8984375</v>
      </c>
      <c r="AP307" s="69" t="n">
        <f aca="false">-Inputs!$D$43*(1+Inputs!$D$38)^(AP$261-1)*1</f>
        <v>-5922.8984375</v>
      </c>
      <c r="AQ307" s="69" t="n">
        <f aca="false">-Inputs!$D$43*(1+Inputs!$D$38)^(AQ$261-1)*1</f>
        <v>-5922.8984375</v>
      </c>
      <c r="AR307" s="69" t="n">
        <f aca="false">-Inputs!$D$43*(1+Inputs!$D$38)^(AR$261-1)*1</f>
        <v>-5922.8984375</v>
      </c>
      <c r="AS307" s="69" t="n">
        <f aca="false">-Inputs!$D$43*(1+Inputs!$D$38)^(AS$261-1)*1</f>
        <v>-5922.8984375</v>
      </c>
      <c r="AT307" s="69" t="n">
        <f aca="false">-Inputs!$D$43*(1+Inputs!$D$38)^(AT$261-1)*1</f>
        <v>-5922.8984375</v>
      </c>
      <c r="AU307" s="69" t="n">
        <f aca="false">-Inputs!$D$43*(1+Inputs!$D$38)^(AU$261-1)*1</f>
        <v>-5922.8984375</v>
      </c>
      <c r="AV307" s="69" t="n">
        <f aca="false">-Inputs!$D$43*(1+Inputs!$D$38)^(AV$261-1)*1</f>
        <v>-5922.8984375</v>
      </c>
      <c r="AW307" s="69" t="n">
        <f aca="false">-Inputs!$D$43*(1+Inputs!$D$38)^(AW$261-1)*1</f>
        <v>-5922.8984375</v>
      </c>
      <c r="AX307" s="69" t="n">
        <f aca="false">-Inputs!$D$43*(1+Inputs!$D$38)^(AX$261-1)*1</f>
        <v>-5922.8984375</v>
      </c>
      <c r="AY307" s="69" t="n">
        <f aca="false">-Inputs!$D$43*(1+Inputs!$D$38)^(AY$261-1)*1</f>
        <v>-6070.9708984375</v>
      </c>
      <c r="AZ307" s="69" t="n">
        <f aca="false">-Inputs!$D$43*(1+Inputs!$D$38)^(AZ$261-1)*1</f>
        <v>-6070.9708984375</v>
      </c>
      <c r="BA307" s="69" t="n">
        <f aca="false">-Inputs!$D$43*(1+Inputs!$D$38)^(BA$261-1)*1</f>
        <v>-6070.9708984375</v>
      </c>
      <c r="BB307" s="69" t="n">
        <f aca="false">-Inputs!$D$43*(1+Inputs!$D$38)^(BB$261-1)*1</f>
        <v>-6070.9708984375</v>
      </c>
      <c r="BC307" s="69" t="n">
        <f aca="false">-Inputs!$D$43*(1+Inputs!$D$38)^(BC$261-1)*1</f>
        <v>-6070.9708984375</v>
      </c>
      <c r="BD307" s="69" t="n">
        <f aca="false">-Inputs!$D$43*(1+Inputs!$D$38)^(BD$261-1)*1</f>
        <v>-6070.9708984375</v>
      </c>
      <c r="BE307" s="69" t="n">
        <f aca="false">-Inputs!$D$43*(1+Inputs!$D$38)^(BE$261-1)*1</f>
        <v>-6070.9708984375</v>
      </c>
      <c r="BF307" s="69" t="n">
        <f aca="false">-Inputs!$D$43*(1+Inputs!$D$38)^(BF$261-1)*1</f>
        <v>-6070.9708984375</v>
      </c>
      <c r="BG307" s="69" t="n">
        <f aca="false">-Inputs!$D$43*(1+Inputs!$D$38)^(BG$261-1)*1</f>
        <v>-6070.9708984375</v>
      </c>
      <c r="BH307" s="69" t="n">
        <f aca="false">-Inputs!$D$43*(1+Inputs!$D$38)^(BH$261-1)*1</f>
        <v>-6070.9708984375</v>
      </c>
      <c r="BI307" s="69" t="n">
        <f aca="false">-Inputs!$D$43*(1+Inputs!$D$38)^(BI$261-1)*1</f>
        <v>-6070.9708984375</v>
      </c>
      <c r="BJ307" s="69" t="n">
        <f aca="false">-Inputs!$D$43*(1+Inputs!$D$38)^(BJ$261-1)*1</f>
        <v>-6070.9708984375</v>
      </c>
    </row>
    <row r="308" customFormat="false" ht="15" hidden="false" customHeight="false" outlineLevel="0" collapsed="false">
      <c r="A308" s="6" t="s">
        <v>343</v>
      </c>
      <c r="C308" s="69" t="n">
        <f aca="false">-Inputs!$D$44*(1+Inputs!$D$38)^(C$261-1)*1</f>
        <v>-9500</v>
      </c>
      <c r="D308" s="69" t="n">
        <f aca="false">-Inputs!$D$44*(1+Inputs!$D$38)^(D$261-1)*1</f>
        <v>-9500</v>
      </c>
      <c r="E308" s="69" t="n">
        <f aca="false">-Inputs!$D$44*(1+Inputs!$D$38)^(E$261-1)*1</f>
        <v>-9500</v>
      </c>
      <c r="F308" s="69" t="n">
        <f aca="false">-Inputs!$D$44*(1+Inputs!$D$38)^(F$261-1)*1</f>
        <v>-9500</v>
      </c>
      <c r="G308" s="69" t="n">
        <f aca="false">-Inputs!$D$44*(1+Inputs!$D$38)^(G$261-1)*1</f>
        <v>-9500</v>
      </c>
      <c r="H308" s="69" t="n">
        <f aca="false">-Inputs!$D$44*(1+Inputs!$D$38)^(H$261-1)*1</f>
        <v>-9500</v>
      </c>
      <c r="I308" s="69" t="n">
        <f aca="false">-Inputs!$D$44*(1+Inputs!$D$38)^(I$261-1)*1</f>
        <v>-9500</v>
      </c>
      <c r="J308" s="69" t="n">
        <f aca="false">-Inputs!$D$44*(1+Inputs!$D$38)^(J$261-1)*1</f>
        <v>-9500</v>
      </c>
      <c r="K308" s="69" t="n">
        <f aca="false">-Inputs!$D$44*(1+Inputs!$D$38)^(K$261-1)*1</f>
        <v>-9500</v>
      </c>
      <c r="L308" s="69" t="n">
        <f aca="false">-Inputs!$D$44*(1+Inputs!$D$38)^(L$261-1)*1</f>
        <v>-9500</v>
      </c>
      <c r="M308" s="69" t="n">
        <f aca="false">-Inputs!$D$44*(1+Inputs!$D$38)^(M$261-1)*1</f>
        <v>-9500</v>
      </c>
      <c r="N308" s="69" t="n">
        <f aca="false">-Inputs!$D$44*(1+Inputs!$D$38)^(N$261-1)*1</f>
        <v>-9500</v>
      </c>
      <c r="O308" s="69" t="n">
        <f aca="false">-Inputs!$D$44*(1+Inputs!$D$38)^(O$261-1)*1</f>
        <v>-9737.5</v>
      </c>
      <c r="P308" s="69" t="n">
        <f aca="false">-Inputs!$D$44*(1+Inputs!$D$38)^(P$261-1)*1</f>
        <v>-9737.5</v>
      </c>
      <c r="Q308" s="69" t="n">
        <f aca="false">-Inputs!$D$44*(1+Inputs!$D$38)^(Q$261-1)*1</f>
        <v>-9737.5</v>
      </c>
      <c r="R308" s="69" t="n">
        <f aca="false">-Inputs!$D$44*(1+Inputs!$D$38)^(R$261-1)*1</f>
        <v>-9737.5</v>
      </c>
      <c r="S308" s="69" t="n">
        <f aca="false">-Inputs!$D$44*(1+Inputs!$D$38)^(S$261-1)*1</f>
        <v>-9737.5</v>
      </c>
      <c r="T308" s="69" t="n">
        <f aca="false">-Inputs!$D$44*(1+Inputs!$D$38)^(T$261-1)*1</f>
        <v>-9737.5</v>
      </c>
      <c r="U308" s="69" t="n">
        <f aca="false">-Inputs!$D$44*(1+Inputs!$D$38)^(U$261-1)*1</f>
        <v>-9737.5</v>
      </c>
      <c r="V308" s="69" t="n">
        <f aca="false">-Inputs!$D$44*(1+Inputs!$D$38)^(V$261-1)*1</f>
        <v>-9737.5</v>
      </c>
      <c r="W308" s="69" t="n">
        <f aca="false">-Inputs!$D$44*(1+Inputs!$D$38)^(W$261-1)*1</f>
        <v>-9737.5</v>
      </c>
      <c r="X308" s="69" t="n">
        <f aca="false">-Inputs!$D$44*(1+Inputs!$D$38)^(X$261-1)*1</f>
        <v>-9737.5</v>
      </c>
      <c r="Y308" s="69" t="n">
        <f aca="false">-Inputs!$D$44*(1+Inputs!$D$38)^(Y$261-1)*1</f>
        <v>-9737.5</v>
      </c>
      <c r="Z308" s="69" t="n">
        <f aca="false">-Inputs!$D$44*(1+Inputs!$D$38)^(Z$261-1)*1</f>
        <v>-9737.5</v>
      </c>
      <c r="AA308" s="69" t="n">
        <f aca="false">-Inputs!$D$44*(1+Inputs!$D$38)^(AA$261-1)*1</f>
        <v>-9980.9375</v>
      </c>
      <c r="AB308" s="69" t="n">
        <f aca="false">-Inputs!$D$44*(1+Inputs!$D$38)^(AB$261-1)*1</f>
        <v>-9980.9375</v>
      </c>
      <c r="AC308" s="69" t="n">
        <f aca="false">-Inputs!$D$44*(1+Inputs!$D$38)^(AC$261-1)*1</f>
        <v>-9980.9375</v>
      </c>
      <c r="AD308" s="69" t="n">
        <f aca="false">-Inputs!$D$44*(1+Inputs!$D$38)^(AD$261-1)*1</f>
        <v>-9980.9375</v>
      </c>
      <c r="AE308" s="69" t="n">
        <f aca="false">-Inputs!$D$44*(1+Inputs!$D$38)^(AE$261-1)*1</f>
        <v>-9980.9375</v>
      </c>
      <c r="AF308" s="69" t="n">
        <f aca="false">-Inputs!$D$44*(1+Inputs!$D$38)^(AF$261-1)*1</f>
        <v>-9980.9375</v>
      </c>
      <c r="AG308" s="69" t="n">
        <f aca="false">-Inputs!$D$44*(1+Inputs!$D$38)^(AG$261-1)*1</f>
        <v>-9980.9375</v>
      </c>
      <c r="AH308" s="69" t="n">
        <f aca="false">-Inputs!$D$44*(1+Inputs!$D$38)^(AH$261-1)*1</f>
        <v>-9980.9375</v>
      </c>
      <c r="AI308" s="69" t="n">
        <f aca="false">-Inputs!$D$44*(1+Inputs!$D$38)^(AI$261-1)*1</f>
        <v>-9980.9375</v>
      </c>
      <c r="AJ308" s="69" t="n">
        <f aca="false">-Inputs!$D$44*(1+Inputs!$D$38)^(AJ$261-1)*1</f>
        <v>-9980.9375</v>
      </c>
      <c r="AK308" s="69" t="n">
        <f aca="false">-Inputs!$D$44*(1+Inputs!$D$38)^(AK$261-1)*1</f>
        <v>-9980.9375</v>
      </c>
      <c r="AL308" s="69" t="n">
        <f aca="false">-Inputs!$D$44*(1+Inputs!$D$38)^(AL$261-1)*1</f>
        <v>-9980.9375</v>
      </c>
      <c r="AM308" s="69" t="n">
        <f aca="false">-Inputs!$D$44*(1+Inputs!$D$38)^(AM$261-1)*1</f>
        <v>-10230.4609375</v>
      </c>
      <c r="AN308" s="69" t="n">
        <f aca="false">-Inputs!$D$44*(1+Inputs!$D$38)^(AN$261-1)*1</f>
        <v>-10230.4609375</v>
      </c>
      <c r="AO308" s="69" t="n">
        <f aca="false">-Inputs!$D$44*(1+Inputs!$D$38)^(AO$261-1)*1</f>
        <v>-10230.4609375</v>
      </c>
      <c r="AP308" s="69" t="n">
        <f aca="false">-Inputs!$D$44*(1+Inputs!$D$38)^(AP$261-1)*1</f>
        <v>-10230.4609375</v>
      </c>
      <c r="AQ308" s="69" t="n">
        <f aca="false">-Inputs!$D$44*(1+Inputs!$D$38)^(AQ$261-1)*1</f>
        <v>-10230.4609375</v>
      </c>
      <c r="AR308" s="69" t="n">
        <f aca="false">-Inputs!$D$44*(1+Inputs!$D$38)^(AR$261-1)*1</f>
        <v>-10230.4609375</v>
      </c>
      <c r="AS308" s="69" t="n">
        <f aca="false">-Inputs!$D$44*(1+Inputs!$D$38)^(AS$261-1)*1</f>
        <v>-10230.4609375</v>
      </c>
      <c r="AT308" s="69" t="n">
        <f aca="false">-Inputs!$D$44*(1+Inputs!$D$38)^(AT$261-1)*1</f>
        <v>-10230.4609375</v>
      </c>
      <c r="AU308" s="69" t="n">
        <f aca="false">-Inputs!$D$44*(1+Inputs!$D$38)^(AU$261-1)*1</f>
        <v>-10230.4609375</v>
      </c>
      <c r="AV308" s="69" t="n">
        <f aca="false">-Inputs!$D$44*(1+Inputs!$D$38)^(AV$261-1)*1</f>
        <v>-10230.4609375</v>
      </c>
      <c r="AW308" s="69" t="n">
        <f aca="false">-Inputs!$D$44*(1+Inputs!$D$38)^(AW$261-1)*1</f>
        <v>-10230.4609375</v>
      </c>
      <c r="AX308" s="69" t="n">
        <f aca="false">-Inputs!$D$44*(1+Inputs!$D$38)^(AX$261-1)*1</f>
        <v>-10230.4609375</v>
      </c>
      <c r="AY308" s="69" t="n">
        <f aca="false">-Inputs!$D$44*(1+Inputs!$D$38)^(AY$261-1)*1</f>
        <v>-10486.2224609375</v>
      </c>
      <c r="AZ308" s="69" t="n">
        <f aca="false">-Inputs!$D$44*(1+Inputs!$D$38)^(AZ$261-1)*1</f>
        <v>-10486.2224609375</v>
      </c>
      <c r="BA308" s="69" t="n">
        <f aca="false">-Inputs!$D$44*(1+Inputs!$D$38)^(BA$261-1)*1</f>
        <v>-10486.2224609375</v>
      </c>
      <c r="BB308" s="69" t="n">
        <f aca="false">-Inputs!$D$44*(1+Inputs!$D$38)^(BB$261-1)*1</f>
        <v>-10486.2224609375</v>
      </c>
      <c r="BC308" s="69" t="n">
        <f aca="false">-Inputs!$D$44*(1+Inputs!$D$38)^(BC$261-1)*1</f>
        <v>-10486.2224609375</v>
      </c>
      <c r="BD308" s="69" t="n">
        <f aca="false">-Inputs!$D$44*(1+Inputs!$D$38)^(BD$261-1)*1</f>
        <v>-10486.2224609375</v>
      </c>
      <c r="BE308" s="69" t="n">
        <f aca="false">-Inputs!$D$44*(1+Inputs!$D$38)^(BE$261-1)*1</f>
        <v>-10486.2224609375</v>
      </c>
      <c r="BF308" s="69" t="n">
        <f aca="false">-Inputs!$D$44*(1+Inputs!$D$38)^(BF$261-1)*1</f>
        <v>-10486.2224609375</v>
      </c>
      <c r="BG308" s="69" t="n">
        <f aca="false">-Inputs!$D$44*(1+Inputs!$D$38)^(BG$261-1)*1</f>
        <v>-10486.2224609375</v>
      </c>
      <c r="BH308" s="69" t="n">
        <f aca="false">-Inputs!$D$44*(1+Inputs!$D$38)^(BH$261-1)*1</f>
        <v>-10486.2224609375</v>
      </c>
      <c r="BI308" s="69" t="n">
        <f aca="false">-Inputs!$D$44*(1+Inputs!$D$38)^(BI$261-1)*1</f>
        <v>-10486.2224609375</v>
      </c>
      <c r="BJ308" s="69" t="n">
        <f aca="false">-Inputs!$D$44*(1+Inputs!$D$38)^(BJ$261-1)*1</f>
        <v>-10486.2224609375</v>
      </c>
    </row>
    <row r="309" customFormat="false" ht="15" hidden="false" customHeight="false" outlineLevel="0" collapsed="false">
      <c r="A309" s="6" t="s">
        <v>344</v>
      </c>
      <c r="C309" s="69" t="n">
        <f aca="false">-Inputs!$D$45*(1+Inputs!$D$46)^(C$261-1)*1</f>
        <v>-12000</v>
      </c>
      <c r="D309" s="69" t="n">
        <f aca="false">-Inputs!$D$45*(1+Inputs!$D$46)^(D$261-1)*1</f>
        <v>-12000</v>
      </c>
      <c r="E309" s="69" t="n">
        <f aca="false">-Inputs!$D$45*(1+Inputs!$D$46)^(E$261-1)*1</f>
        <v>-12000</v>
      </c>
      <c r="F309" s="69" t="n">
        <f aca="false">-Inputs!$D$45*(1+Inputs!$D$46)^(F$261-1)*1</f>
        <v>-12000</v>
      </c>
      <c r="G309" s="69" t="n">
        <f aca="false">-Inputs!$D$45*(1+Inputs!$D$46)^(G$261-1)*1</f>
        <v>-12000</v>
      </c>
      <c r="H309" s="69" t="n">
        <f aca="false">-Inputs!$D$45*(1+Inputs!$D$46)^(H$261-1)*1</f>
        <v>-12000</v>
      </c>
      <c r="I309" s="69" t="n">
        <f aca="false">-Inputs!$D$45*(1+Inputs!$D$46)^(I$261-1)*1</f>
        <v>-12000</v>
      </c>
      <c r="J309" s="69" t="n">
        <f aca="false">-Inputs!$D$45*(1+Inputs!$D$46)^(J$261-1)*1</f>
        <v>-12000</v>
      </c>
      <c r="K309" s="69" t="n">
        <f aca="false">-Inputs!$D$45*(1+Inputs!$D$46)^(K$261-1)*1</f>
        <v>-12000</v>
      </c>
      <c r="L309" s="69" t="n">
        <f aca="false">-Inputs!$D$45*(1+Inputs!$D$46)^(L$261-1)*1</f>
        <v>-12000</v>
      </c>
      <c r="M309" s="69" t="n">
        <f aca="false">-Inputs!$D$45*(1+Inputs!$D$46)^(M$261-1)*1</f>
        <v>-12000</v>
      </c>
      <c r="N309" s="69" t="n">
        <f aca="false">-Inputs!$D$45*(1+Inputs!$D$46)^(N$261-1)*1</f>
        <v>-12000</v>
      </c>
      <c r="O309" s="69" t="n">
        <f aca="false">-Inputs!$D$45*(1+Inputs!$D$46)^(O$261-1)*1</f>
        <v>-10800</v>
      </c>
      <c r="P309" s="69" t="n">
        <f aca="false">-Inputs!$D$45*(1+Inputs!$D$46)^(P$261-1)*1</f>
        <v>-10800</v>
      </c>
      <c r="Q309" s="69" t="n">
        <f aca="false">-Inputs!$D$45*(1+Inputs!$D$46)^(Q$261-1)*1</f>
        <v>-10800</v>
      </c>
      <c r="R309" s="69" t="n">
        <f aca="false">-Inputs!$D$45*(1+Inputs!$D$46)^(R$261-1)*1</f>
        <v>-10800</v>
      </c>
      <c r="S309" s="69" t="n">
        <f aca="false">-Inputs!$D$45*(1+Inputs!$D$46)^(S$261-1)*1</f>
        <v>-10800</v>
      </c>
      <c r="T309" s="69" t="n">
        <f aca="false">-Inputs!$D$45*(1+Inputs!$D$46)^(T$261-1)*1</f>
        <v>-10800</v>
      </c>
      <c r="U309" s="69" t="n">
        <f aca="false">-Inputs!$D$45*(1+Inputs!$D$46)^(U$261-1)*1</f>
        <v>-10800</v>
      </c>
      <c r="V309" s="69" t="n">
        <f aca="false">-Inputs!$D$45*(1+Inputs!$D$46)^(V$261-1)*1</f>
        <v>-10800</v>
      </c>
      <c r="W309" s="69" t="n">
        <f aca="false">-Inputs!$D$45*(1+Inputs!$D$46)^(W$261-1)*1</f>
        <v>-10800</v>
      </c>
      <c r="X309" s="69" t="n">
        <f aca="false">-Inputs!$D$45*(1+Inputs!$D$46)^(X$261-1)*1</f>
        <v>-10800</v>
      </c>
      <c r="Y309" s="69" t="n">
        <f aca="false">-Inputs!$D$45*(1+Inputs!$D$46)^(Y$261-1)*1</f>
        <v>-10800</v>
      </c>
      <c r="Z309" s="69" t="n">
        <f aca="false">-Inputs!$D$45*(1+Inputs!$D$46)^(Z$261-1)*1</f>
        <v>-10800</v>
      </c>
      <c r="AA309" s="69" t="n">
        <f aca="false">-Inputs!$D$45*(1+Inputs!$D$46)^(AA$261-1)*1</f>
        <v>-9720</v>
      </c>
      <c r="AB309" s="69" t="n">
        <f aca="false">-Inputs!$D$45*(1+Inputs!$D$46)^(AB$261-1)*1</f>
        <v>-9720</v>
      </c>
      <c r="AC309" s="69" t="n">
        <f aca="false">-Inputs!$D$45*(1+Inputs!$D$46)^(AC$261-1)*1</f>
        <v>-9720</v>
      </c>
      <c r="AD309" s="69" t="n">
        <f aca="false">-Inputs!$D$45*(1+Inputs!$D$46)^(AD$261-1)*1</f>
        <v>-9720</v>
      </c>
      <c r="AE309" s="69" t="n">
        <f aca="false">-Inputs!$D$45*(1+Inputs!$D$46)^(AE$261-1)*1</f>
        <v>-9720</v>
      </c>
      <c r="AF309" s="69" t="n">
        <f aca="false">-Inputs!$D$45*(1+Inputs!$D$46)^(AF$261-1)*1</f>
        <v>-9720</v>
      </c>
      <c r="AG309" s="69" t="n">
        <f aca="false">-Inputs!$D$45*(1+Inputs!$D$46)^(AG$261-1)*1</f>
        <v>-9720</v>
      </c>
      <c r="AH309" s="69" t="n">
        <f aca="false">-Inputs!$D$45*(1+Inputs!$D$46)^(AH$261-1)*1</f>
        <v>-9720</v>
      </c>
      <c r="AI309" s="69" t="n">
        <f aca="false">-Inputs!$D$45*(1+Inputs!$D$46)^(AI$261-1)*1</f>
        <v>-9720</v>
      </c>
      <c r="AJ309" s="69" t="n">
        <f aca="false">-Inputs!$D$45*(1+Inputs!$D$46)^(AJ$261-1)*1</f>
        <v>-9720</v>
      </c>
      <c r="AK309" s="69" t="n">
        <f aca="false">-Inputs!$D$45*(1+Inputs!$D$46)^(AK$261-1)*1</f>
        <v>-9720</v>
      </c>
      <c r="AL309" s="69" t="n">
        <f aca="false">-Inputs!$D$45*(1+Inputs!$D$46)^(AL$261-1)*1</f>
        <v>-9720</v>
      </c>
      <c r="AM309" s="69" t="n">
        <f aca="false">-Inputs!$D$45*(1+Inputs!$D$46)^(AM$261-1)*1</f>
        <v>-8748</v>
      </c>
      <c r="AN309" s="69" t="n">
        <f aca="false">-Inputs!$D$45*(1+Inputs!$D$46)^(AN$261-1)*1</f>
        <v>-8748</v>
      </c>
      <c r="AO309" s="69" t="n">
        <f aca="false">-Inputs!$D$45*(1+Inputs!$D$46)^(AO$261-1)*1</f>
        <v>-8748</v>
      </c>
      <c r="AP309" s="69" t="n">
        <f aca="false">-Inputs!$D$45*(1+Inputs!$D$46)^(AP$261-1)*1</f>
        <v>-8748</v>
      </c>
      <c r="AQ309" s="69" t="n">
        <f aca="false">-Inputs!$D$45*(1+Inputs!$D$46)^(AQ$261-1)*1</f>
        <v>-8748</v>
      </c>
      <c r="AR309" s="69" t="n">
        <f aca="false">-Inputs!$D$45*(1+Inputs!$D$46)^(AR$261-1)*1</f>
        <v>-8748</v>
      </c>
      <c r="AS309" s="69" t="n">
        <f aca="false">-Inputs!$D$45*(1+Inputs!$D$46)^(AS$261-1)*1</f>
        <v>-8748</v>
      </c>
      <c r="AT309" s="69" t="n">
        <f aca="false">-Inputs!$D$45*(1+Inputs!$D$46)^(AT$261-1)*1</f>
        <v>-8748</v>
      </c>
      <c r="AU309" s="69" t="n">
        <f aca="false">-Inputs!$D$45*(1+Inputs!$D$46)^(AU$261-1)*1</f>
        <v>-8748</v>
      </c>
      <c r="AV309" s="69" t="n">
        <f aca="false">-Inputs!$D$45*(1+Inputs!$D$46)^(AV$261-1)*1</f>
        <v>-8748</v>
      </c>
      <c r="AW309" s="69" t="n">
        <f aca="false">-Inputs!$D$45*(1+Inputs!$D$46)^(AW$261-1)*1</f>
        <v>-8748</v>
      </c>
      <c r="AX309" s="69" t="n">
        <f aca="false">-Inputs!$D$45*(1+Inputs!$D$46)^(AX$261-1)*1</f>
        <v>-8748</v>
      </c>
      <c r="AY309" s="69" t="n">
        <f aca="false">-Inputs!$D$45*(1+Inputs!$D$46)^(AY$261-1)*1</f>
        <v>-7873.2</v>
      </c>
      <c r="AZ309" s="69" t="n">
        <f aca="false">-Inputs!$D$45*(1+Inputs!$D$46)^(AZ$261-1)*1</f>
        <v>-7873.2</v>
      </c>
      <c r="BA309" s="69" t="n">
        <f aca="false">-Inputs!$D$45*(1+Inputs!$D$46)^(BA$261-1)*1</f>
        <v>-7873.2</v>
      </c>
      <c r="BB309" s="69" t="n">
        <f aca="false">-Inputs!$D$45*(1+Inputs!$D$46)^(BB$261-1)*1</f>
        <v>-7873.2</v>
      </c>
      <c r="BC309" s="69" t="n">
        <f aca="false">-Inputs!$D$45*(1+Inputs!$D$46)^(BC$261-1)*1</f>
        <v>-7873.2</v>
      </c>
      <c r="BD309" s="69" t="n">
        <f aca="false">-Inputs!$D$45*(1+Inputs!$D$46)^(BD$261-1)*1</f>
        <v>-7873.2</v>
      </c>
      <c r="BE309" s="69" t="n">
        <f aca="false">-Inputs!$D$45*(1+Inputs!$D$46)^(BE$261-1)*1</f>
        <v>-7873.2</v>
      </c>
      <c r="BF309" s="69" t="n">
        <f aca="false">-Inputs!$D$45*(1+Inputs!$D$46)^(BF$261-1)*1</f>
        <v>-7873.2</v>
      </c>
      <c r="BG309" s="69" t="n">
        <f aca="false">-Inputs!$D$45*(1+Inputs!$D$46)^(BG$261-1)*1</f>
        <v>-7873.2</v>
      </c>
      <c r="BH309" s="69" t="n">
        <f aca="false">-Inputs!$D$45*(1+Inputs!$D$46)^(BH$261-1)*1</f>
        <v>-7873.2</v>
      </c>
      <c r="BI309" s="69" t="n">
        <f aca="false">-Inputs!$D$45*(1+Inputs!$D$46)^(BI$261-1)*1</f>
        <v>-7873.2</v>
      </c>
      <c r="BJ309" s="69" t="n">
        <f aca="false">-Inputs!$D$45*(1+Inputs!$D$46)^(BJ$261-1)*1</f>
        <v>-7873.2</v>
      </c>
    </row>
    <row r="310" customFormat="false" ht="15" hidden="false" customHeight="false" outlineLevel="0" collapsed="false">
      <c r="A310" s="113" t="s">
        <v>77</v>
      </c>
      <c r="C310" s="70" t="n">
        <f aca="false">C305+C306+C307+C308+C309</f>
        <v>-93586.6666666667</v>
      </c>
      <c r="D310" s="70" t="n">
        <f aca="false">D305+D306+D307+D308+D309</f>
        <v>-93586.6666666667</v>
      </c>
      <c r="E310" s="70" t="n">
        <f aca="false">E305+E306+E307+E308+E309</f>
        <v>-93586.6666666667</v>
      </c>
      <c r="F310" s="70" t="n">
        <f aca="false">F305+F306+F307+F308+F309</f>
        <v>-93586.6666666667</v>
      </c>
      <c r="G310" s="70" t="n">
        <f aca="false">G305+G306+G307+G308+G309</f>
        <v>-93586.6666666667</v>
      </c>
      <c r="H310" s="70" t="n">
        <f aca="false">H305+H306+H307+H308+H309</f>
        <v>-93586.6666666667</v>
      </c>
      <c r="I310" s="70" t="n">
        <f aca="false">I305+I306+I307+I308+I309</f>
        <v>-93586.6666666667</v>
      </c>
      <c r="J310" s="70" t="n">
        <f aca="false">J305+J306+J307+J308+J309</f>
        <v>-93586.6666666667</v>
      </c>
      <c r="K310" s="70" t="n">
        <f aca="false">K305+K306+K307+K308+K309</f>
        <v>-93586.6666666667</v>
      </c>
      <c r="L310" s="70" t="n">
        <f aca="false">L305+L306+L307+L308+L309</f>
        <v>-93586.6666666667</v>
      </c>
      <c r="M310" s="70" t="n">
        <f aca="false">M305+M306+M307+M308+M309</f>
        <v>-93586.6666666667</v>
      </c>
      <c r="N310" s="70" t="n">
        <f aca="false">N305+N306+N307+N308+N309</f>
        <v>-93586.6666666667</v>
      </c>
      <c r="O310" s="70" t="n">
        <f aca="false">O305+O306+O307+O308+O309</f>
        <v>-94759.2666666667</v>
      </c>
      <c r="P310" s="70" t="n">
        <f aca="false">P305+P306+P307+P308+P309</f>
        <v>-94759.2666666667</v>
      </c>
      <c r="Q310" s="70" t="n">
        <f aca="false">Q305+Q306+Q307+Q308+Q309</f>
        <v>-94759.2666666667</v>
      </c>
      <c r="R310" s="70" t="n">
        <f aca="false">R305+R306+R307+R308+R309</f>
        <v>-94759.2666666667</v>
      </c>
      <c r="S310" s="70" t="n">
        <f aca="false">S305+S306+S307+S308+S309</f>
        <v>-94759.2666666667</v>
      </c>
      <c r="T310" s="70" t="n">
        <f aca="false">T305+T306+T307+T308+T309</f>
        <v>-94759.2666666667</v>
      </c>
      <c r="U310" s="70" t="n">
        <f aca="false">U305+U306+U307+U308+U309</f>
        <v>-94759.2666666667</v>
      </c>
      <c r="V310" s="70" t="n">
        <f aca="false">V305+V306+V307+V308+V309</f>
        <v>-94759.2666666667</v>
      </c>
      <c r="W310" s="70" t="n">
        <f aca="false">W305+W306+W307+W308+W309</f>
        <v>-94759.2666666667</v>
      </c>
      <c r="X310" s="70" t="n">
        <f aca="false">X305+X306+X307+X308+X309</f>
        <v>-94759.2666666667</v>
      </c>
      <c r="Y310" s="70" t="n">
        <f aca="false">Y305+Y306+Y307+Y308+Y309</f>
        <v>-94759.2666666667</v>
      </c>
      <c r="Z310" s="70" t="n">
        <f aca="false">Z305+Z306+Z307+Z308+Z309</f>
        <v>-94759.2666666667</v>
      </c>
      <c r="AA310" s="70" t="n">
        <f aca="false">AA305+AA306+AA307+AA308+AA309</f>
        <v>-96121.1696666667</v>
      </c>
      <c r="AB310" s="70" t="n">
        <f aca="false">AB305+AB306+AB307+AB308+AB309</f>
        <v>-96121.1696666667</v>
      </c>
      <c r="AC310" s="70" t="n">
        <f aca="false">AC305+AC306+AC307+AC308+AC309</f>
        <v>-96121.1696666667</v>
      </c>
      <c r="AD310" s="70" t="n">
        <f aca="false">AD305+AD306+AD307+AD308+AD309</f>
        <v>-96121.1696666667</v>
      </c>
      <c r="AE310" s="70" t="n">
        <f aca="false">AE305+AE306+AE307+AE308+AE309</f>
        <v>-96121.1696666667</v>
      </c>
      <c r="AF310" s="70" t="n">
        <f aca="false">AF305+AF306+AF307+AF308+AF309</f>
        <v>-96121.1696666667</v>
      </c>
      <c r="AG310" s="70" t="n">
        <f aca="false">AG305+AG306+AG307+AG308+AG309</f>
        <v>-96121.1696666667</v>
      </c>
      <c r="AH310" s="70" t="n">
        <f aca="false">AH305+AH306+AH307+AH308+AH309</f>
        <v>-96121.1696666667</v>
      </c>
      <c r="AI310" s="70" t="n">
        <f aca="false">AI305+AI306+AI307+AI308+AI309</f>
        <v>-96121.1696666667</v>
      </c>
      <c r="AJ310" s="70" t="n">
        <f aca="false">AJ305+AJ306+AJ307+AJ308+AJ309</f>
        <v>-96121.1696666667</v>
      </c>
      <c r="AK310" s="70" t="n">
        <f aca="false">AK305+AK306+AK307+AK308+AK309</f>
        <v>-96121.1696666667</v>
      </c>
      <c r="AL310" s="70" t="n">
        <f aca="false">AL305+AL306+AL307+AL308+AL309</f>
        <v>-96121.1696666667</v>
      </c>
      <c r="AM310" s="70" t="n">
        <f aca="false">AM305+AM306+AM307+AM308+AM309</f>
        <v>-97662.4078816667</v>
      </c>
      <c r="AN310" s="70" t="n">
        <f aca="false">AN305+AN306+AN307+AN308+AN309</f>
        <v>-97662.4078816667</v>
      </c>
      <c r="AO310" s="70" t="n">
        <f aca="false">AO305+AO306+AO307+AO308+AO309</f>
        <v>-97662.4078816667</v>
      </c>
      <c r="AP310" s="70" t="n">
        <f aca="false">AP305+AP306+AP307+AP308+AP309</f>
        <v>-97662.4078816667</v>
      </c>
      <c r="AQ310" s="70" t="n">
        <f aca="false">AQ305+AQ306+AQ307+AQ308+AQ309</f>
        <v>-97662.4078816667</v>
      </c>
      <c r="AR310" s="70" t="n">
        <f aca="false">AR305+AR306+AR307+AR308+AR309</f>
        <v>-97662.4078816667</v>
      </c>
      <c r="AS310" s="70" t="n">
        <f aca="false">AS305+AS306+AS307+AS308+AS309</f>
        <v>-97662.4078816667</v>
      </c>
      <c r="AT310" s="70" t="n">
        <f aca="false">AT305+AT306+AT307+AT308+AT309</f>
        <v>-97662.4078816667</v>
      </c>
      <c r="AU310" s="70" t="n">
        <f aca="false">AU305+AU306+AU307+AU308+AU309</f>
        <v>-97662.4078816667</v>
      </c>
      <c r="AV310" s="70" t="n">
        <f aca="false">AV305+AV306+AV307+AV308+AV309</f>
        <v>-97662.4078816667</v>
      </c>
      <c r="AW310" s="70" t="n">
        <f aca="false">AW305+AW306+AW307+AW308+AW309</f>
        <v>-97662.4078816667</v>
      </c>
      <c r="AX310" s="70" t="n">
        <f aca="false">AX305+AX306+AX307+AX308+AX309</f>
        <v>-97662.4078816667</v>
      </c>
      <c r="AY310" s="70" t="n">
        <f aca="false">AY305+AY306+AY307+AY308+AY309</f>
        <v>-99374.2733212417</v>
      </c>
      <c r="AZ310" s="70" t="n">
        <f aca="false">AZ305+AZ306+AZ307+AZ308+AZ309</f>
        <v>-99374.2733212417</v>
      </c>
      <c r="BA310" s="70" t="n">
        <f aca="false">BA305+BA306+BA307+BA308+BA309</f>
        <v>-99374.2733212417</v>
      </c>
      <c r="BB310" s="70" t="n">
        <f aca="false">BB305+BB306+BB307+BB308+BB309</f>
        <v>-99374.2733212417</v>
      </c>
      <c r="BC310" s="70" t="n">
        <f aca="false">BC305+BC306+BC307+BC308+BC309</f>
        <v>-99374.2733212417</v>
      </c>
      <c r="BD310" s="70" t="n">
        <f aca="false">BD305+BD306+BD307+BD308+BD309</f>
        <v>-99374.2733212417</v>
      </c>
      <c r="BE310" s="70" t="n">
        <f aca="false">BE305+BE306+BE307+BE308+BE309</f>
        <v>-99374.2733212417</v>
      </c>
      <c r="BF310" s="70" t="n">
        <f aca="false">BF305+BF306+BF307+BF308+BF309</f>
        <v>-99374.2733212417</v>
      </c>
      <c r="BG310" s="70" t="n">
        <f aca="false">BG305+BG306+BG307+BG308+BG309</f>
        <v>-99374.2733212417</v>
      </c>
      <c r="BH310" s="70" t="n">
        <f aca="false">BH305+BH306+BH307+BH308+BH309</f>
        <v>-99374.2733212417</v>
      </c>
      <c r="BI310" s="70" t="n">
        <f aca="false">BI305+BI306+BI307+BI308+BI309</f>
        <v>-99374.2733212417</v>
      </c>
      <c r="BJ310" s="70" t="n">
        <f aca="false">BJ305+BJ306+BJ307+BJ308+BJ309</f>
        <v>-99374.2733212417</v>
      </c>
    </row>
    <row r="311" customFormat="false" ht="15" hidden="false" customHeight="false" outlineLevel="0" collapsed="false">
      <c r="A311" s="113" t="s">
        <v>48</v>
      </c>
      <c r="C311" s="70" t="n">
        <f aca="false">C302+C310</f>
        <v>-25143.5974503467</v>
      </c>
      <c r="D311" s="70" t="n">
        <f aca="false">D302+D310</f>
        <v>-16463.3514000803</v>
      </c>
      <c r="E311" s="70" t="n">
        <f aca="false">E302+E310</f>
        <v>2455.59734765433</v>
      </c>
      <c r="F311" s="70" t="n">
        <f aca="false">F302+F310</f>
        <v>12717.953316664</v>
      </c>
      <c r="G311" s="70" t="n">
        <f aca="false">G302+G310</f>
        <v>23189.8884779796</v>
      </c>
      <c r="H311" s="70" t="n">
        <f aca="false">H302+H310</f>
        <v>33864.6962974474</v>
      </c>
      <c r="I311" s="70" t="n">
        <f aca="false">I302+I310</f>
        <v>44735.8848500066</v>
      </c>
      <c r="J311" s="70" t="n">
        <f aca="false">J302+J310</f>
        <v>55797.1699521981</v>
      </c>
      <c r="K311" s="70" t="n">
        <f aca="false">K302+K310</f>
        <v>59385.3806986167</v>
      </c>
      <c r="L311" s="70" t="n">
        <f aca="false">L302+L310</f>
        <v>62858.7687011498</v>
      </c>
      <c r="M311" s="70" t="n">
        <f aca="false">M302+M310</f>
        <v>66221.0082876019</v>
      </c>
      <c r="N311" s="70" t="n">
        <f aca="false">N302+N310</f>
        <v>55109.955663598</v>
      </c>
      <c r="O311" s="70" t="n">
        <f aca="false">O302+O310</f>
        <v>61530.6878561577</v>
      </c>
      <c r="P311" s="70" t="n">
        <f aca="false">P302+P310</f>
        <v>64584.7075573153</v>
      </c>
      <c r="Q311" s="70" t="n">
        <f aca="false">Q302+Q310</f>
        <v>82181.3916628301</v>
      </c>
      <c r="R311" s="70" t="n">
        <f aca="false">R302+R310</f>
        <v>85343.212128048</v>
      </c>
      <c r="S311" s="70" t="n">
        <f aca="false">S302+S310</f>
        <v>88403.8543383789</v>
      </c>
      <c r="T311" s="70" t="n">
        <f aca="false">T302+T310</f>
        <v>91366.5559979792</v>
      </c>
      <c r="U311" s="70" t="n">
        <f aca="false">U302+U310</f>
        <v>94234.4512044723</v>
      </c>
      <c r="V311" s="70" t="n">
        <f aca="false">V302+V310</f>
        <v>97010.5737643577</v>
      </c>
      <c r="W311" s="70" t="n">
        <f aca="false">W302+W310</f>
        <v>99697.8604023267</v>
      </c>
      <c r="X311" s="70" t="n">
        <f aca="false">X302+X310</f>
        <v>102299.153867881</v>
      </c>
      <c r="Y311" s="70" t="n">
        <f aca="false">Y302+Y310</f>
        <v>104817.205942537</v>
      </c>
      <c r="Z311" s="70" t="n">
        <f aca="false">Z302+Z310</f>
        <v>93089.6602302725</v>
      </c>
      <c r="AA311" s="70" t="n">
        <f aca="false">AA302+AA310</f>
        <v>99690.910928891</v>
      </c>
      <c r="AB311" s="70" t="n">
        <f aca="false">AB302+AB310</f>
        <v>101956.463352864</v>
      </c>
      <c r="AC311" s="70" t="n">
        <f aca="false">AC302+AC310</f>
        <v>118631.704616865</v>
      </c>
      <c r="AD311" s="70" t="n">
        <f aca="false">AD302+AD310</f>
        <v>121079.535710659</v>
      </c>
      <c r="AE311" s="70" t="n">
        <f aca="false">AE302+AE310</f>
        <v>123449.036209452</v>
      </c>
      <c r="AF311" s="70" t="n">
        <f aca="false">AF302+AF310</f>
        <v>125742.712692283</v>
      </c>
      <c r="AG311" s="70" t="n">
        <f aca="false">AG302+AG310</f>
        <v>127962.991527664</v>
      </c>
      <c r="AH311" s="70" t="n">
        <f aca="false">AH302+AH310</f>
        <v>130112.221440313</v>
      </c>
      <c r="AI311" s="70" t="n">
        <f aca="false">AI302+AI310</f>
        <v>132192.675995757</v>
      </c>
      <c r="AJ311" s="70" t="n">
        <f aca="false">AJ302+AJ310</f>
        <v>134206.556005427</v>
      </c>
      <c r="AK311" s="70" t="n">
        <f aca="false">AK302+AK310</f>
        <v>136155.991854787</v>
      </c>
      <c r="AL311" s="70" t="n">
        <f aca="false">AL302+AL310</f>
        <v>123926.837807118</v>
      </c>
      <c r="AM311" s="70" t="n">
        <f aca="false">AM302+AM310</f>
        <v>130778.160372544</v>
      </c>
      <c r="AN311" s="70" t="n">
        <f aca="false">AN302+AN310</f>
        <v>132521.125138265</v>
      </c>
      <c r="AO311" s="70" t="n">
        <f aca="false">AO302+AO310</f>
        <v>148672.898920572</v>
      </c>
      <c r="AP311" s="70" t="n">
        <f aca="false">AP302+AP310</f>
        <v>150651.472473194</v>
      </c>
      <c r="AQ311" s="70" t="n">
        <f aca="false">AQ302+AQ310</f>
        <v>152566.731672132</v>
      </c>
      <c r="AR311" s="70" t="n">
        <f aca="false">AR302+AR310</f>
        <v>154420.702576703</v>
      </c>
      <c r="AS311" s="70" t="n">
        <f aca="false">AS302+AS310</f>
        <v>156215.346412329</v>
      </c>
      <c r="AT311" s="70" t="n">
        <f aca="false">AT302+AT310</f>
        <v>157952.561645215</v>
      </c>
      <c r="AU311" s="70" t="n">
        <f aca="false">AU302+AU310</f>
        <v>159634.185990648</v>
      </c>
      <c r="AV311" s="70" t="n">
        <f aca="false">AV302+AV310</f>
        <v>161261.998357027</v>
      </c>
      <c r="AW311" s="70" t="n">
        <f aca="false">AW302+AW310</f>
        <v>162837.720727682</v>
      </c>
      <c r="AX311" s="70" t="n">
        <f aca="false">AX302+AX310</f>
        <v>150192.610649757</v>
      </c>
      <c r="AY311" s="70" t="n">
        <f aca="false">AY302+AY310</f>
        <v>157361.577701012</v>
      </c>
      <c r="AZ311" s="70" t="n">
        <f aca="false">AZ302+AZ310</f>
        <v>158771.391828248</v>
      </c>
      <c r="BA311" s="70" t="n">
        <f aca="false">BA302+BA310</f>
        <v>174678.050963329</v>
      </c>
      <c r="BB311" s="70" t="n">
        <f aca="false">BB302+BB310</f>
        <v>176361.867838022</v>
      </c>
      <c r="BC311" s="70" t="n">
        <f aca="false">BC302+BC310</f>
        <v>177991.802572725</v>
      </c>
      <c r="BD311" s="70" t="n">
        <f aca="false">BD302+BD310</f>
        <v>179569.579395917</v>
      </c>
      <c r="BE311" s="70" t="n">
        <f aca="false">BE302+BE310</f>
        <v>181096.867360767</v>
      </c>
      <c r="BF311" s="70" t="n">
        <f aca="false">BF302+BF310</f>
        <v>182575.282110742</v>
      </c>
      <c r="BG311" s="70" t="n">
        <f aca="false">BG302+BG310</f>
        <v>184006.387588718</v>
      </c>
      <c r="BH311" s="70" t="n">
        <f aca="false">BH302+BH310</f>
        <v>185391.697691398</v>
      </c>
      <c r="BI311" s="70" t="n">
        <f aca="false">BI302+BI310</f>
        <v>186732.677870793</v>
      </c>
      <c r="BJ311" s="70" t="n">
        <f aca="false">BJ302+BJ310</f>
        <v>173737.746823594</v>
      </c>
    </row>
    <row r="313" customFormat="false" ht="15.75" hidden="false" customHeight="true" outlineLevel="0" collapsed="false">
      <c r="A313" s="7" t="s">
        <v>441</v>
      </c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</row>
    <row r="314" customFormat="false" ht="15" hidden="false" customHeight="false" outlineLevel="0" collapsed="false">
      <c r="A314" s="4" t="s">
        <v>79</v>
      </c>
      <c r="C314" s="75" t="n">
        <f aca="false">C311+C329</f>
        <v>-53615.8196725689</v>
      </c>
      <c r="D314" s="75" t="n">
        <f aca="false">D311+D329</f>
        <v>-44935.5736223026</v>
      </c>
      <c r="E314" s="75" t="n">
        <f aca="false">E311+E329</f>
        <v>-26016.6248745679</v>
      </c>
      <c r="F314" s="75" t="n">
        <f aca="false">F311+F329</f>
        <v>-15754.2689055582</v>
      </c>
      <c r="G314" s="75" t="n">
        <f aca="false">G311+G329</f>
        <v>-5282.3337442426</v>
      </c>
      <c r="H314" s="75" t="n">
        <f aca="false">H311+H329</f>
        <v>5392.47407522522</v>
      </c>
      <c r="I314" s="75" t="n">
        <f aca="false">I311+I329</f>
        <v>16263.6626277844</v>
      </c>
      <c r="J314" s="75" t="n">
        <f aca="false">J311+J329</f>
        <v>27324.9477299759</v>
      </c>
      <c r="K314" s="75" t="n">
        <f aca="false">K311+K329</f>
        <v>30913.1584763945</v>
      </c>
      <c r="L314" s="75" t="n">
        <f aca="false">L311+L329</f>
        <v>34386.5464789276</v>
      </c>
      <c r="M314" s="75" t="n">
        <f aca="false">M311+M329</f>
        <v>37748.7860653797</v>
      </c>
      <c r="N314" s="75" t="n">
        <f aca="false">N311+N329</f>
        <v>26637.7334413757</v>
      </c>
      <c r="O314" s="75" t="n">
        <f aca="false">O311+O329</f>
        <v>32780.6878561577</v>
      </c>
      <c r="P314" s="75" t="n">
        <f aca="false">P311+P329</f>
        <v>35834.7075573153</v>
      </c>
      <c r="Q314" s="75" t="n">
        <f aca="false">Q311+Q329</f>
        <v>53431.3916628301</v>
      </c>
      <c r="R314" s="75" t="n">
        <f aca="false">R311+R329</f>
        <v>56593.212128048</v>
      </c>
      <c r="S314" s="75" t="n">
        <f aca="false">S311+S329</f>
        <v>59653.8543383789</v>
      </c>
      <c r="T314" s="75" t="n">
        <f aca="false">T311+T329</f>
        <v>62616.5559979792</v>
      </c>
      <c r="U314" s="75" t="n">
        <f aca="false">U311+U329</f>
        <v>65484.4512044723</v>
      </c>
      <c r="V314" s="75" t="n">
        <f aca="false">V311+V329</f>
        <v>68260.5737643577</v>
      </c>
      <c r="W314" s="75" t="n">
        <f aca="false">W311+W329</f>
        <v>70947.8604023267</v>
      </c>
      <c r="X314" s="75" t="n">
        <f aca="false">X311+X329</f>
        <v>73549.1538678806</v>
      </c>
      <c r="Y314" s="75" t="n">
        <f aca="false">Y311+Y329</f>
        <v>76067.2059425369</v>
      </c>
      <c r="Z314" s="75" t="n">
        <f aca="false">Z311+Z329</f>
        <v>64339.6602302725</v>
      </c>
      <c r="AA314" s="75" t="n">
        <f aca="false">AA311+AA329</f>
        <v>70663.1331511132</v>
      </c>
      <c r="AB314" s="75" t="n">
        <f aca="false">AB311+AB329</f>
        <v>72928.6855750864</v>
      </c>
      <c r="AC314" s="75" t="n">
        <f aca="false">AC311+AC329</f>
        <v>89603.9268390868</v>
      </c>
      <c r="AD314" s="75" t="n">
        <f aca="false">AD311+AD329</f>
        <v>92051.7579328811</v>
      </c>
      <c r="AE314" s="75" t="n">
        <f aca="false">AE311+AE329</f>
        <v>94421.2584316741</v>
      </c>
      <c r="AF314" s="75" t="n">
        <f aca="false">AF311+AF329</f>
        <v>96714.9349145056</v>
      </c>
      <c r="AG314" s="75" t="n">
        <f aca="false">AG311+AG329</f>
        <v>98935.2137498865</v>
      </c>
      <c r="AH314" s="75" t="n">
        <f aca="false">AH311+AH329</f>
        <v>101084.443662535</v>
      </c>
      <c r="AI314" s="75" t="n">
        <f aca="false">AI311+AI329</f>
        <v>103164.898217979</v>
      </c>
      <c r="AJ314" s="75" t="n">
        <f aca="false">AJ311+AJ329</f>
        <v>105178.778227649</v>
      </c>
      <c r="AK314" s="75" t="n">
        <f aca="false">AK311+AK329</f>
        <v>107128.214077009</v>
      </c>
      <c r="AL314" s="75" t="n">
        <f aca="false">AL311+AL329</f>
        <v>94899.0600293401</v>
      </c>
      <c r="AM314" s="75" t="n">
        <f aca="false">AM311+AM329</f>
        <v>101472.604816988</v>
      </c>
      <c r="AN314" s="75" t="n">
        <f aca="false">AN311+AN329</f>
        <v>103215.569582709</v>
      </c>
      <c r="AO314" s="75" t="n">
        <f aca="false">AO311+AO329</f>
        <v>119367.343365016</v>
      </c>
      <c r="AP314" s="75" t="n">
        <f aca="false">AP311+AP329</f>
        <v>121345.916917638</v>
      </c>
      <c r="AQ314" s="75" t="n">
        <f aca="false">AQ311+AQ329</f>
        <v>123261.176116576</v>
      </c>
      <c r="AR314" s="75" t="n">
        <f aca="false">AR311+AR329</f>
        <v>125115.147021148</v>
      </c>
      <c r="AS314" s="75" t="n">
        <f aca="false">AS311+AS329</f>
        <v>126909.790856773</v>
      </c>
      <c r="AT314" s="75" t="n">
        <f aca="false">AT311+AT329</f>
        <v>128647.006089659</v>
      </c>
      <c r="AU314" s="75" t="n">
        <f aca="false">AU311+AU329</f>
        <v>130328.630435092</v>
      </c>
      <c r="AV314" s="75" t="n">
        <f aca="false">AV311+AV329</f>
        <v>131956.442801472</v>
      </c>
      <c r="AW314" s="75" t="n">
        <f aca="false">AW311+AW329</f>
        <v>133532.165172127</v>
      </c>
      <c r="AX314" s="75" t="n">
        <f aca="false">AX311+AX329</f>
        <v>120887.055094202</v>
      </c>
      <c r="AY314" s="75" t="n">
        <f aca="false">AY311+AY329</f>
        <v>127778.244367678</v>
      </c>
      <c r="AZ314" s="75" t="n">
        <f aca="false">AZ311+AZ329</f>
        <v>129188.058494914</v>
      </c>
      <c r="BA314" s="75" t="n">
        <f aca="false">BA311+BA329</f>
        <v>145094.717629996</v>
      </c>
      <c r="BB314" s="75" t="n">
        <f aca="false">BB311+BB329</f>
        <v>146778.534504689</v>
      </c>
      <c r="BC314" s="75" t="n">
        <f aca="false">BC311+BC329</f>
        <v>148408.469239391</v>
      </c>
      <c r="BD314" s="75" t="n">
        <f aca="false">BD311+BD329</f>
        <v>149986.246062584</v>
      </c>
      <c r="BE314" s="75" t="n">
        <f aca="false">BE311+BE329</f>
        <v>151513.534027434</v>
      </c>
      <c r="BF314" s="75" t="n">
        <f aca="false">BF311+BF329</f>
        <v>152991.948777409</v>
      </c>
      <c r="BG314" s="75" t="n">
        <f aca="false">BG311+BG329</f>
        <v>154423.054255385</v>
      </c>
      <c r="BH314" s="75" t="n">
        <f aca="false">BH311+BH329</f>
        <v>155808.364358065</v>
      </c>
      <c r="BI314" s="75" t="n">
        <f aca="false">BI311+BI329</f>
        <v>157149.34453746</v>
      </c>
      <c r="BJ314" s="75" t="n">
        <f aca="false">BJ311+BJ329</f>
        <v>144154.41349026</v>
      </c>
    </row>
    <row r="315" customFormat="false" ht="15" hidden="false" customHeight="false" outlineLevel="0" collapsed="false">
      <c r="A315" s="6" t="s">
        <v>442</v>
      </c>
      <c r="C315" s="69" t="n">
        <f aca="false">-(C334+C335+C337)/2*Inputs!$D$69/12</f>
        <v>-21250</v>
      </c>
      <c r="D315" s="69" t="n">
        <f aca="false">-(D334+D335+D337)/2*Inputs!$D$69/12</f>
        <v>-21161.4583333333</v>
      </c>
      <c r="E315" s="69" t="n">
        <f aca="false">-(E334+E335+E337)/2*Inputs!$D$69/12</f>
        <v>-20984.375</v>
      </c>
      <c r="F315" s="69" t="n">
        <f aca="false">-(F334+F335+F337)/2*Inputs!$D$69/12</f>
        <v>-20807.2916666667</v>
      </c>
      <c r="G315" s="69" t="n">
        <f aca="false">-(G334+G335+G337)/2*Inputs!$D$69/12</f>
        <v>-20630.2083333333</v>
      </c>
      <c r="H315" s="69" t="n">
        <f aca="false">-(H334+H335+H337)/2*Inputs!$D$69/12</f>
        <v>-20453.125</v>
      </c>
      <c r="I315" s="69" t="n">
        <f aca="false">-(I334+I335+I337)/2*Inputs!$D$69/12</f>
        <v>-20276.0416666667</v>
      </c>
      <c r="J315" s="69" t="n">
        <f aca="false">-(J334+J335+J337)/2*Inputs!$D$69/12</f>
        <v>-20098.9583333333</v>
      </c>
      <c r="K315" s="69" t="n">
        <f aca="false">-(K334+K335+K337)/2*Inputs!$D$69/12</f>
        <v>-19921.875</v>
      </c>
      <c r="L315" s="69" t="n">
        <f aca="false">-(L334+L335+L337)/2*Inputs!$D$69/12</f>
        <v>-19744.7916666667</v>
      </c>
      <c r="M315" s="69" t="n">
        <f aca="false">-(M334+M335+M337)/2*Inputs!$D$69/12</f>
        <v>-19567.7083333333</v>
      </c>
      <c r="N315" s="69" t="n">
        <f aca="false">-(N334+N335+N337)/2*Inputs!$D$69/12</f>
        <v>-19390.625</v>
      </c>
      <c r="O315" s="69" t="n">
        <f aca="false">-(O334+O335+O337)/2*Inputs!$D$69/12</f>
        <v>-19213.5416666667</v>
      </c>
      <c r="P315" s="69" t="n">
        <f aca="false">-(P334+P335+P337)/2*Inputs!$D$69/12</f>
        <v>-19036.4583333333</v>
      </c>
      <c r="Q315" s="69" t="n">
        <f aca="false">-(Q334+Q335+Q337)/2*Inputs!$D$69/12</f>
        <v>-18859.375</v>
      </c>
      <c r="R315" s="69" t="n">
        <f aca="false">-(R334+R335+R337)/2*Inputs!$D$69/12</f>
        <v>-18682.2916666667</v>
      </c>
      <c r="S315" s="69" t="n">
        <f aca="false">-(S334+S335+S337)/2*Inputs!$D$69/12</f>
        <v>-18505.2083333333</v>
      </c>
      <c r="T315" s="69" t="n">
        <f aca="false">-(T334+T335+T337)/2*Inputs!$D$69/12</f>
        <v>-18328.125</v>
      </c>
      <c r="U315" s="69" t="n">
        <f aca="false">-(U334+U335+U337)/2*Inputs!$D$69/12</f>
        <v>-18151.0416666667</v>
      </c>
      <c r="V315" s="69" t="n">
        <f aca="false">-(V334+V335+V337)/2*Inputs!$D$69/12</f>
        <v>-17973.9583333333</v>
      </c>
      <c r="W315" s="69" t="n">
        <f aca="false">-(W334+W335+W337)/2*Inputs!$D$69/12</f>
        <v>-17796.875</v>
      </c>
      <c r="X315" s="69" t="n">
        <f aca="false">-(X334+X335+X337)/2*Inputs!$D$69/12</f>
        <v>-17619.7916666667</v>
      </c>
      <c r="Y315" s="69" t="n">
        <f aca="false">-(Y334+Y335+Y337)/2*Inputs!$D$69/12</f>
        <v>-17442.7083333333</v>
      </c>
      <c r="Z315" s="69" t="n">
        <f aca="false">-(Z334+Z335+Z337)/2*Inputs!$D$69/12</f>
        <v>-17265.625</v>
      </c>
      <c r="AA315" s="69" t="n">
        <f aca="false">-(AA334+AA335+AA337)/2*Inputs!$D$69/12</f>
        <v>-17088.5416666667</v>
      </c>
      <c r="AB315" s="69" t="n">
        <f aca="false">-(AB334+AB335+AB337)/2*Inputs!$D$69/12</f>
        <v>-16911.4583333333</v>
      </c>
      <c r="AC315" s="69" t="n">
        <f aca="false">-(AC334+AC335+AC337)/2*Inputs!$D$69/12</f>
        <v>-16734.375</v>
      </c>
      <c r="AD315" s="69" t="n">
        <f aca="false">-(AD334+AD335+AD337)/2*Inputs!$D$69/12</f>
        <v>-16557.2916666667</v>
      </c>
      <c r="AE315" s="69" t="n">
        <f aca="false">-(AE334+AE335+AE337)/2*Inputs!$D$69/12</f>
        <v>-16380.2083333333</v>
      </c>
      <c r="AF315" s="69" t="n">
        <f aca="false">-(AF334+AF335+AF337)/2*Inputs!$D$69/12</f>
        <v>-16203.125</v>
      </c>
      <c r="AG315" s="69" t="n">
        <f aca="false">-(AG334+AG335+AG337)/2*Inputs!$D$69/12</f>
        <v>-16026.0416666667</v>
      </c>
      <c r="AH315" s="69" t="n">
        <f aca="false">-(AH334+AH335+AH337)/2*Inputs!$D$69/12</f>
        <v>-15848.9583333333</v>
      </c>
      <c r="AI315" s="69" t="n">
        <f aca="false">-(AI334+AI335+AI337)/2*Inputs!$D$69/12</f>
        <v>-15671.875</v>
      </c>
      <c r="AJ315" s="69" t="n">
        <f aca="false">-(AJ334+AJ335+AJ337)/2*Inputs!$D$69/12</f>
        <v>-15494.7916666667</v>
      </c>
      <c r="AK315" s="69" t="n">
        <f aca="false">-(AK334+AK335+AK337)/2*Inputs!$D$69/12</f>
        <v>-15317.7083333333</v>
      </c>
      <c r="AL315" s="69" t="n">
        <f aca="false">-(AL334+AL335+AL337)/2*Inputs!$D$69/12</f>
        <v>-15140.625</v>
      </c>
      <c r="AM315" s="69" t="n">
        <f aca="false">-(AM334+AM335+AM337)/2*Inputs!$D$69/12</f>
        <v>-14963.5416666667</v>
      </c>
      <c r="AN315" s="69" t="n">
        <f aca="false">-(AN334+AN335+AN337)/2*Inputs!$D$69/12</f>
        <v>-14786.4583333333</v>
      </c>
      <c r="AO315" s="69" t="n">
        <f aca="false">-(AO334+AO335+AO337)/2*Inputs!$D$69/12</f>
        <v>-14609.375</v>
      </c>
      <c r="AP315" s="69" t="n">
        <f aca="false">-(AP334+AP335+AP337)/2*Inputs!$D$69/12</f>
        <v>-14432.2916666667</v>
      </c>
      <c r="AQ315" s="69" t="n">
        <f aca="false">-(AQ334+AQ335+AQ337)/2*Inputs!$D$69/12</f>
        <v>-14255.2083333333</v>
      </c>
      <c r="AR315" s="69" t="n">
        <f aca="false">-(AR334+AR335+AR337)/2*Inputs!$D$69/12</f>
        <v>-14078.125</v>
      </c>
      <c r="AS315" s="69" t="n">
        <f aca="false">-(AS334+AS335+AS337)/2*Inputs!$D$69/12</f>
        <v>-13901.0416666667</v>
      </c>
      <c r="AT315" s="69" t="n">
        <f aca="false">-(AT334+AT335+AT337)/2*Inputs!$D$69/12</f>
        <v>-13723.9583333333</v>
      </c>
      <c r="AU315" s="69" t="n">
        <f aca="false">-(AU334+AU335+AU337)/2*Inputs!$D$69/12</f>
        <v>-13546.875</v>
      </c>
      <c r="AV315" s="69" t="n">
        <f aca="false">-(AV334+AV335+AV337)/2*Inputs!$D$69/12</f>
        <v>-13369.7916666667</v>
      </c>
      <c r="AW315" s="69" t="n">
        <f aca="false">-(AW334+AW335+AW337)/2*Inputs!$D$69/12</f>
        <v>-13192.7083333333</v>
      </c>
      <c r="AX315" s="69" t="n">
        <f aca="false">-(AX334+AX335+AX337)/2*Inputs!$D$69/12</f>
        <v>-13015.625</v>
      </c>
      <c r="AY315" s="69" t="n">
        <f aca="false">-(AY334+AY335+AY337)/2*Inputs!$D$69/12</f>
        <v>-12838.5416666667</v>
      </c>
      <c r="AZ315" s="69" t="n">
        <f aca="false">-(AZ334+AZ335+AZ337)/2*Inputs!$D$69/12</f>
        <v>-12661.4583333333</v>
      </c>
      <c r="BA315" s="69" t="n">
        <f aca="false">-(BA334+BA335+BA337)/2*Inputs!$D$69/12</f>
        <v>-12484.375</v>
      </c>
      <c r="BB315" s="69" t="n">
        <f aca="false">-(BB334+BB335+BB337)/2*Inputs!$D$69/12</f>
        <v>-12307.2916666667</v>
      </c>
      <c r="BC315" s="69" t="n">
        <f aca="false">-(BC334+BC335+BC337)/2*Inputs!$D$69/12</f>
        <v>-12130.2083333333</v>
      </c>
      <c r="BD315" s="69" t="n">
        <f aca="false">-(BD334+BD335+BD337)/2*Inputs!$D$69/12</f>
        <v>-11953.125</v>
      </c>
      <c r="BE315" s="69" t="n">
        <f aca="false">-(BE334+BE335+BE337)/2*Inputs!$D$69/12</f>
        <v>-11776.0416666667</v>
      </c>
      <c r="BF315" s="69" t="n">
        <f aca="false">-(BF334+BF335+BF337)/2*Inputs!$D$69/12</f>
        <v>-11598.9583333333</v>
      </c>
      <c r="BG315" s="69" t="n">
        <f aca="false">-(BG334+BG335+BG337)/2*Inputs!$D$69/12</f>
        <v>-11421.875</v>
      </c>
      <c r="BH315" s="69" t="n">
        <f aca="false">-(BH334+BH335+BH337)/2*Inputs!$D$69/12</f>
        <v>-11244.7916666667</v>
      </c>
      <c r="BI315" s="69" t="n">
        <f aca="false">-(BI334+BI335+BI337)/2*Inputs!$D$69/12</f>
        <v>-11067.7083333333</v>
      </c>
      <c r="BJ315" s="69" t="n">
        <f aca="false">-(BJ334+BJ335+BJ337)/2*Inputs!$D$69/12</f>
        <v>-10890.625</v>
      </c>
    </row>
    <row r="316" customFormat="false" ht="15" hidden="false" customHeight="false" outlineLevel="0" collapsed="false">
      <c r="A316" s="113" t="s">
        <v>81</v>
      </c>
      <c r="C316" s="70" t="n">
        <f aca="false">C314+C315</f>
        <v>-74865.8196725689</v>
      </c>
      <c r="D316" s="70" t="n">
        <f aca="false">D314+D315</f>
        <v>-66097.0319556359</v>
      </c>
      <c r="E316" s="70" t="n">
        <f aca="false">E314+E315</f>
        <v>-47000.9998745679</v>
      </c>
      <c r="F316" s="70" t="n">
        <f aca="false">F314+F315</f>
        <v>-36561.5605722249</v>
      </c>
      <c r="G316" s="70" t="n">
        <f aca="false">G314+G315</f>
        <v>-25912.5420775759</v>
      </c>
      <c r="H316" s="70" t="n">
        <f aca="false">H314+H315</f>
        <v>-15060.6509247748</v>
      </c>
      <c r="I316" s="70" t="n">
        <f aca="false">I314+I315</f>
        <v>-4012.3790388823</v>
      </c>
      <c r="J316" s="70" t="n">
        <f aca="false">J314+J315</f>
        <v>7225.98939664256</v>
      </c>
      <c r="K316" s="70" t="n">
        <f aca="false">K314+K315</f>
        <v>10991.2834763945</v>
      </c>
      <c r="L316" s="70" t="n">
        <f aca="false">L314+L315</f>
        <v>14641.7548122609</v>
      </c>
      <c r="M316" s="70" t="n">
        <f aca="false">M314+M315</f>
        <v>18181.0777320464</v>
      </c>
      <c r="N316" s="70" t="n">
        <f aca="false">N314+N315</f>
        <v>7247.10844137573</v>
      </c>
      <c r="O316" s="70" t="n">
        <f aca="false">O314+O315</f>
        <v>13567.146189491</v>
      </c>
      <c r="P316" s="70" t="n">
        <f aca="false">P314+P315</f>
        <v>16798.249223982</v>
      </c>
      <c r="Q316" s="70" t="n">
        <f aca="false">Q314+Q315</f>
        <v>34572.0166628301</v>
      </c>
      <c r="R316" s="70" t="n">
        <f aca="false">R314+R315</f>
        <v>37910.9204613813</v>
      </c>
      <c r="S316" s="70" t="n">
        <f aca="false">S314+S315</f>
        <v>41148.6460050455</v>
      </c>
      <c r="T316" s="70" t="n">
        <f aca="false">T314+T315</f>
        <v>44288.4309979792</v>
      </c>
      <c r="U316" s="70" t="n">
        <f aca="false">U314+U315</f>
        <v>47333.4095378057</v>
      </c>
      <c r="V316" s="70" t="n">
        <f aca="false">V314+V315</f>
        <v>50286.6154310243</v>
      </c>
      <c r="W316" s="70" t="n">
        <f aca="false">W314+W315</f>
        <v>53150.9854023267</v>
      </c>
      <c r="X316" s="70" t="n">
        <f aca="false">X314+X315</f>
        <v>55929.3622012139</v>
      </c>
      <c r="Y316" s="70" t="n">
        <f aca="false">Y314+Y315</f>
        <v>58624.4976092036</v>
      </c>
      <c r="Z316" s="70" t="n">
        <f aca="false">Z314+Z315</f>
        <v>47074.0352302725</v>
      </c>
      <c r="AA316" s="70" t="n">
        <f aca="false">AA314+AA315</f>
        <v>53574.5914844465</v>
      </c>
      <c r="AB316" s="70" t="n">
        <f aca="false">AB314+AB315</f>
        <v>56017.227241753</v>
      </c>
      <c r="AC316" s="70" t="n">
        <f aca="false">AC314+AC315</f>
        <v>72869.5518390868</v>
      </c>
      <c r="AD316" s="70" t="n">
        <f aca="false">AD314+AD315</f>
        <v>75494.4662662145</v>
      </c>
      <c r="AE316" s="70" t="n">
        <f aca="false">AE314+AE315</f>
        <v>78041.0500983407</v>
      </c>
      <c r="AF316" s="70" t="n">
        <f aca="false">AF314+AF315</f>
        <v>80511.8099145056</v>
      </c>
      <c r="AG316" s="70" t="n">
        <f aca="false">AG314+AG315</f>
        <v>82909.1720832199</v>
      </c>
      <c r="AH316" s="70" t="n">
        <f aca="false">AH314+AH315</f>
        <v>85235.485329202</v>
      </c>
      <c r="AI316" s="70" t="n">
        <f aca="false">AI314+AI315</f>
        <v>87493.0232179793</v>
      </c>
      <c r="AJ316" s="70" t="n">
        <f aca="false">AJ314+AJ315</f>
        <v>89683.9865609824</v>
      </c>
      <c r="AK316" s="70" t="n">
        <f aca="false">AK314+AK315</f>
        <v>91810.5057436761</v>
      </c>
      <c r="AL316" s="70" t="n">
        <f aca="false">AL314+AL315</f>
        <v>79758.4350293401</v>
      </c>
      <c r="AM316" s="70" t="n">
        <f aca="false">AM314+AM315</f>
        <v>86509.0631503215</v>
      </c>
      <c r="AN316" s="70" t="n">
        <f aca="false">AN314+AN315</f>
        <v>88429.1112493759</v>
      </c>
      <c r="AO316" s="70" t="n">
        <f aca="false">AO314+AO315</f>
        <v>104757.968365016</v>
      </c>
      <c r="AP316" s="70" t="n">
        <f aca="false">AP314+AP315</f>
        <v>106913.625250971</v>
      </c>
      <c r="AQ316" s="70" t="n">
        <f aca="false">AQ314+AQ315</f>
        <v>109005.967783243</v>
      </c>
      <c r="AR316" s="70" t="n">
        <f aca="false">AR314+AR315</f>
        <v>111037.022021148</v>
      </c>
      <c r="AS316" s="70" t="n">
        <f aca="false">AS314+AS315</f>
        <v>113008.749190107</v>
      </c>
      <c r="AT316" s="70" t="n">
        <f aca="false">AT314+AT315</f>
        <v>114923.047756326</v>
      </c>
      <c r="AU316" s="70" t="n">
        <f aca="false">AU314+AU315</f>
        <v>116781.755435092</v>
      </c>
      <c r="AV316" s="70" t="n">
        <f aca="false">AV314+AV315</f>
        <v>118586.651134805</v>
      </c>
      <c r="AW316" s="70" t="n">
        <f aca="false">AW314+AW315</f>
        <v>120339.456838793</v>
      </c>
      <c r="AX316" s="70" t="n">
        <f aca="false">AX314+AX315</f>
        <v>107871.430094202</v>
      </c>
      <c r="AY316" s="70" t="n">
        <f aca="false">AY314+AY315</f>
        <v>114939.702701012</v>
      </c>
      <c r="AZ316" s="70" t="n">
        <f aca="false">AZ314+AZ315</f>
        <v>116526.600161581</v>
      </c>
      <c r="BA316" s="70" t="n">
        <f aca="false">BA314+BA315</f>
        <v>132610.342629996</v>
      </c>
      <c r="BB316" s="70" t="n">
        <f aca="false">BB314+BB315</f>
        <v>134471.242838022</v>
      </c>
      <c r="BC316" s="70" t="n">
        <f aca="false">BC314+BC315</f>
        <v>136278.260906058</v>
      </c>
      <c r="BD316" s="70" t="n">
        <f aca="false">BD314+BD315</f>
        <v>138033.121062584</v>
      </c>
      <c r="BE316" s="70" t="n">
        <f aca="false">BE314+BE315</f>
        <v>139737.492360767</v>
      </c>
      <c r="BF316" s="70" t="n">
        <f aca="false">BF314+BF315</f>
        <v>141392.990444075</v>
      </c>
      <c r="BG316" s="70" t="n">
        <f aca="false">BG314+BG315</f>
        <v>143001.179255385</v>
      </c>
      <c r="BH316" s="70" t="n">
        <f aca="false">BH314+BH315</f>
        <v>144563.572691398</v>
      </c>
      <c r="BI316" s="70" t="n">
        <f aca="false">BI314+BI315</f>
        <v>146081.636204126</v>
      </c>
      <c r="BJ316" s="70" t="n">
        <f aca="false">BJ314+BJ315</f>
        <v>133263.78849026</v>
      </c>
    </row>
    <row r="317" customFormat="false" ht="15" hidden="false" customHeight="false" outlineLevel="0" collapsed="false">
      <c r="A317" s="116" t="s">
        <v>443</v>
      </c>
      <c r="C317" s="69" t="n">
        <f aca="false">C316</f>
        <v>-74865.8196725689</v>
      </c>
      <c r="D317" s="69" t="n">
        <f aca="false">C317+D316</f>
        <v>-140962.851628205</v>
      </c>
      <c r="E317" s="69" t="n">
        <f aca="false">D317+E316</f>
        <v>-187963.851502773</v>
      </c>
      <c r="F317" s="69" t="n">
        <f aca="false">E317+F316</f>
        <v>-224525.412074998</v>
      </c>
      <c r="G317" s="69" t="n">
        <f aca="false">F317+G316</f>
        <v>-250437.954152574</v>
      </c>
      <c r="H317" s="69" t="n">
        <f aca="false">G317+H316</f>
        <v>-265498.605077348</v>
      </c>
      <c r="I317" s="69" t="n">
        <f aca="false">H317+I316</f>
        <v>-269510.984116231</v>
      </c>
      <c r="J317" s="69" t="n">
        <f aca="false">I317+J316</f>
        <v>-262284.994719588</v>
      </c>
      <c r="K317" s="69" t="n">
        <f aca="false">J317+K316</f>
        <v>-251293.711243194</v>
      </c>
      <c r="L317" s="69" t="n">
        <f aca="false">K317+L316</f>
        <v>-236651.956430933</v>
      </c>
      <c r="M317" s="69" t="n">
        <f aca="false">L317+M316</f>
        <v>-218470.878698886</v>
      </c>
      <c r="N317" s="69" t="n">
        <f aca="false">M317+N316</f>
        <v>-211223.770257511</v>
      </c>
      <c r="O317" s="69" t="n">
        <f aca="false">N317+O316</f>
        <v>-197656.62406802</v>
      </c>
      <c r="P317" s="69" t="n">
        <f aca="false">O317+P316</f>
        <v>-180858.374844038</v>
      </c>
      <c r="Q317" s="69" t="n">
        <f aca="false">P317+Q316</f>
        <v>-146286.358181208</v>
      </c>
      <c r="R317" s="69" t="n">
        <f aca="false">Q317+R316</f>
        <v>-108375.437719826</v>
      </c>
      <c r="S317" s="69" t="n">
        <f aca="false">R317+S316</f>
        <v>-67226.7917147807</v>
      </c>
      <c r="T317" s="69" t="n">
        <f aca="false">S317+T316</f>
        <v>-22938.3607168015</v>
      </c>
      <c r="U317" s="69" t="n">
        <f aca="false">T317+U316</f>
        <v>24395.0488210042</v>
      </c>
      <c r="V317" s="69" t="n">
        <f aca="false">U317+V316</f>
        <v>74681.6642520285</v>
      </c>
      <c r="W317" s="69" t="n">
        <f aca="false">V317+W316</f>
        <v>127832.649654355</v>
      </c>
      <c r="X317" s="69" t="n">
        <f aca="false">W317+X316</f>
        <v>183762.011855569</v>
      </c>
      <c r="Y317" s="69" t="n">
        <f aca="false">X317+Y316</f>
        <v>242386.509464773</v>
      </c>
      <c r="Z317" s="69" t="n">
        <f aca="false">Y317+Z316</f>
        <v>289460.544695045</v>
      </c>
      <c r="AA317" s="69" t="n">
        <f aca="false">Z317+AA316</f>
        <v>343035.136179492</v>
      </c>
      <c r="AB317" s="69" t="n">
        <f aca="false">AA317+AB316</f>
        <v>399052.363421245</v>
      </c>
      <c r="AC317" s="69" t="n">
        <f aca="false">AB317+AC316</f>
        <v>471921.915260332</v>
      </c>
      <c r="AD317" s="69" t="n">
        <f aca="false">AC317+AD316</f>
        <v>547416.381526546</v>
      </c>
      <c r="AE317" s="69" t="n">
        <f aca="false">AD317+AE316</f>
        <v>625457.431624887</v>
      </c>
      <c r="AF317" s="69" t="n">
        <f aca="false">AE317+AF316</f>
        <v>705969.241539392</v>
      </c>
      <c r="AG317" s="69" t="n">
        <f aca="false">AF317+AG316</f>
        <v>788878.413622612</v>
      </c>
      <c r="AH317" s="69" t="n">
        <f aca="false">AG317+AH316</f>
        <v>874113.898951814</v>
      </c>
      <c r="AI317" s="69" t="n">
        <f aca="false">AH317+AI316</f>
        <v>961606.922169794</v>
      </c>
      <c r="AJ317" s="69" t="n">
        <f aca="false">AI317+AJ316</f>
        <v>1051290.90873078</v>
      </c>
      <c r="AK317" s="69" t="n">
        <f aca="false">AJ317+AK316</f>
        <v>1143101.41447445</v>
      </c>
      <c r="AL317" s="69" t="n">
        <f aca="false">AK317+AL316</f>
        <v>1222859.84950379</v>
      </c>
      <c r="AM317" s="69" t="n">
        <f aca="false">AL317+AM316</f>
        <v>1309368.91265411</v>
      </c>
      <c r="AN317" s="69" t="n">
        <f aca="false">AM317+AN316</f>
        <v>1397798.02390349</v>
      </c>
      <c r="AO317" s="69" t="n">
        <f aca="false">AN317+AO316</f>
        <v>1502555.99226851</v>
      </c>
      <c r="AP317" s="69" t="n">
        <f aca="false">AO317+AP316</f>
        <v>1609469.61751948</v>
      </c>
      <c r="AQ317" s="69" t="n">
        <f aca="false">AP317+AQ316</f>
        <v>1718475.58530272</v>
      </c>
      <c r="AR317" s="69" t="n">
        <f aca="false">AQ317+AR316</f>
        <v>1829512.60732387</v>
      </c>
      <c r="AS317" s="69" t="n">
        <f aca="false">AR317+AS316</f>
        <v>1942521.35651397</v>
      </c>
      <c r="AT317" s="69" t="n">
        <f aca="false">AS317+AT316</f>
        <v>2057444.4042703</v>
      </c>
      <c r="AU317" s="69" t="n">
        <f aca="false">AT317+AU316</f>
        <v>2174226.15970539</v>
      </c>
      <c r="AV317" s="69" t="n">
        <f aca="false">AU317+AV316</f>
        <v>2292812.8108402</v>
      </c>
      <c r="AW317" s="69" t="n">
        <f aca="false">AV317+AW316</f>
        <v>2413152.26767899</v>
      </c>
      <c r="AX317" s="69" t="n">
        <f aca="false">AW317+AX316</f>
        <v>2521023.69777319</v>
      </c>
      <c r="AY317" s="69" t="n">
        <f aca="false">AX317+AY316</f>
        <v>2635963.4004742</v>
      </c>
      <c r="AZ317" s="69" t="n">
        <f aca="false">AY317+AZ316</f>
        <v>2752490.00063579</v>
      </c>
      <c r="BA317" s="69" t="n">
        <f aca="false">AZ317+BA316</f>
        <v>2885100.34326578</v>
      </c>
      <c r="BB317" s="69" t="n">
        <f aca="false">BA317+BB316</f>
        <v>3019571.5861038</v>
      </c>
      <c r="BC317" s="69" t="n">
        <f aca="false">BB317+BC316</f>
        <v>3155849.84700986</v>
      </c>
      <c r="BD317" s="69" t="n">
        <f aca="false">BC317+BD316</f>
        <v>3293882.96807244</v>
      </c>
      <c r="BE317" s="69" t="n">
        <f aca="false">BD317+BE316</f>
        <v>3433620.46043321</v>
      </c>
      <c r="BF317" s="69" t="n">
        <f aca="false">BE317+BF316</f>
        <v>3575013.45087729</v>
      </c>
      <c r="BG317" s="69" t="n">
        <f aca="false">BF317+BG316</f>
        <v>3718014.63013267</v>
      </c>
      <c r="BH317" s="69" t="n">
        <f aca="false">BG317+BH316</f>
        <v>3862578.20282407</v>
      </c>
      <c r="BI317" s="69" t="n">
        <f aca="false">BH317+BI316</f>
        <v>4008659.8390282</v>
      </c>
      <c r="BJ317" s="69" t="n">
        <f aca="false">BI317+BJ316</f>
        <v>4141923.62751846</v>
      </c>
    </row>
    <row r="318" customFormat="false" ht="15" hidden="false" customHeight="false" outlineLevel="0" collapsed="false">
      <c r="A318" s="116" t="s">
        <v>444</v>
      </c>
      <c r="C318" s="69" t="n">
        <f aca="false">MAX(0,C317)</f>
        <v>0</v>
      </c>
      <c r="D318" s="69" t="n">
        <f aca="false">MAX(C318,D317)</f>
        <v>0</v>
      </c>
      <c r="E318" s="69" t="n">
        <f aca="false">MAX(D318,E317)</f>
        <v>0</v>
      </c>
      <c r="F318" s="69" t="n">
        <f aca="false">MAX(E318,F317)</f>
        <v>0</v>
      </c>
      <c r="G318" s="69" t="n">
        <f aca="false">MAX(F318,G317)</f>
        <v>0</v>
      </c>
      <c r="H318" s="69" t="n">
        <f aca="false">MAX(G318,H317)</f>
        <v>0</v>
      </c>
      <c r="I318" s="69" t="n">
        <f aca="false">MAX(H318,I317)</f>
        <v>0</v>
      </c>
      <c r="J318" s="69" t="n">
        <f aca="false">MAX(I318,J317)</f>
        <v>0</v>
      </c>
      <c r="K318" s="69" t="n">
        <f aca="false">MAX(J318,K317)</f>
        <v>0</v>
      </c>
      <c r="L318" s="69" t="n">
        <f aca="false">MAX(K318,L317)</f>
        <v>0</v>
      </c>
      <c r="M318" s="69" t="n">
        <f aca="false">MAX(L318,M317)</f>
        <v>0</v>
      </c>
      <c r="N318" s="69" t="n">
        <f aca="false">MAX(M318,N317)</f>
        <v>0</v>
      </c>
      <c r="O318" s="69" t="n">
        <f aca="false">MAX(N318,O317)</f>
        <v>0</v>
      </c>
      <c r="P318" s="69" t="n">
        <f aca="false">MAX(O318,P317)</f>
        <v>0</v>
      </c>
      <c r="Q318" s="69" t="n">
        <f aca="false">MAX(P318,Q317)</f>
        <v>0</v>
      </c>
      <c r="R318" s="69" t="n">
        <f aca="false">MAX(Q318,R317)</f>
        <v>0</v>
      </c>
      <c r="S318" s="69" t="n">
        <f aca="false">MAX(R318,S317)</f>
        <v>0</v>
      </c>
      <c r="T318" s="69" t="n">
        <f aca="false">MAX(S318,T317)</f>
        <v>0</v>
      </c>
      <c r="U318" s="69" t="n">
        <f aca="false">MAX(T318,U317)</f>
        <v>24395.0488210042</v>
      </c>
      <c r="V318" s="69" t="n">
        <f aca="false">MAX(U318,V317)</f>
        <v>74681.6642520285</v>
      </c>
      <c r="W318" s="69" t="n">
        <f aca="false">MAX(V318,W317)</f>
        <v>127832.649654355</v>
      </c>
      <c r="X318" s="69" t="n">
        <f aca="false">MAX(W318,X317)</f>
        <v>183762.011855569</v>
      </c>
      <c r="Y318" s="69" t="n">
        <f aca="false">MAX(X318,Y317)</f>
        <v>242386.509464773</v>
      </c>
      <c r="Z318" s="69" t="n">
        <f aca="false">MAX(Y318,Z317)</f>
        <v>289460.544695045</v>
      </c>
      <c r="AA318" s="69" t="n">
        <f aca="false">MAX(Z318,AA317)</f>
        <v>343035.136179492</v>
      </c>
      <c r="AB318" s="69" t="n">
        <f aca="false">MAX(AA318,AB317)</f>
        <v>399052.363421245</v>
      </c>
      <c r="AC318" s="69" t="n">
        <f aca="false">MAX(AB318,AC317)</f>
        <v>471921.915260332</v>
      </c>
      <c r="AD318" s="69" t="n">
        <f aca="false">MAX(AC318,AD317)</f>
        <v>547416.381526546</v>
      </c>
      <c r="AE318" s="69" t="n">
        <f aca="false">MAX(AD318,AE317)</f>
        <v>625457.431624887</v>
      </c>
      <c r="AF318" s="69" t="n">
        <f aca="false">MAX(AE318,AF317)</f>
        <v>705969.241539392</v>
      </c>
      <c r="AG318" s="69" t="n">
        <f aca="false">MAX(AF318,AG317)</f>
        <v>788878.413622612</v>
      </c>
      <c r="AH318" s="69" t="n">
        <f aca="false">MAX(AG318,AH317)</f>
        <v>874113.898951814</v>
      </c>
      <c r="AI318" s="69" t="n">
        <f aca="false">MAX(AH318,AI317)</f>
        <v>961606.922169794</v>
      </c>
      <c r="AJ318" s="69" t="n">
        <f aca="false">MAX(AI318,AJ317)</f>
        <v>1051290.90873078</v>
      </c>
      <c r="AK318" s="69" t="n">
        <f aca="false">MAX(AJ318,AK317)</f>
        <v>1143101.41447445</v>
      </c>
      <c r="AL318" s="69" t="n">
        <f aca="false">MAX(AK318,AL317)</f>
        <v>1222859.84950379</v>
      </c>
      <c r="AM318" s="69" t="n">
        <f aca="false">MAX(AL318,AM317)</f>
        <v>1309368.91265411</v>
      </c>
      <c r="AN318" s="69" t="n">
        <f aca="false">MAX(AM318,AN317)</f>
        <v>1397798.02390349</v>
      </c>
      <c r="AO318" s="69" t="n">
        <f aca="false">MAX(AN318,AO317)</f>
        <v>1502555.99226851</v>
      </c>
      <c r="AP318" s="69" t="n">
        <f aca="false">MAX(AO318,AP317)</f>
        <v>1609469.61751948</v>
      </c>
      <c r="AQ318" s="69" t="n">
        <f aca="false">MAX(AP318,AQ317)</f>
        <v>1718475.58530272</v>
      </c>
      <c r="AR318" s="69" t="n">
        <f aca="false">MAX(AQ318,AR317)</f>
        <v>1829512.60732387</v>
      </c>
      <c r="AS318" s="69" t="n">
        <f aca="false">MAX(AR318,AS317)</f>
        <v>1942521.35651397</v>
      </c>
      <c r="AT318" s="69" t="n">
        <f aca="false">MAX(AS318,AT317)</f>
        <v>2057444.4042703</v>
      </c>
      <c r="AU318" s="69" t="n">
        <f aca="false">MAX(AT318,AU317)</f>
        <v>2174226.15970539</v>
      </c>
      <c r="AV318" s="69" t="n">
        <f aca="false">MAX(AU318,AV317)</f>
        <v>2292812.8108402</v>
      </c>
      <c r="AW318" s="69" t="n">
        <f aca="false">MAX(AV318,AW317)</f>
        <v>2413152.26767899</v>
      </c>
      <c r="AX318" s="69" t="n">
        <f aca="false">MAX(AW318,AX317)</f>
        <v>2521023.69777319</v>
      </c>
      <c r="AY318" s="69" t="n">
        <f aca="false">MAX(AX318,AY317)</f>
        <v>2635963.4004742</v>
      </c>
      <c r="AZ318" s="69" t="n">
        <f aca="false">MAX(AY318,AZ317)</f>
        <v>2752490.00063579</v>
      </c>
      <c r="BA318" s="69" t="n">
        <f aca="false">MAX(AZ318,BA317)</f>
        <v>2885100.34326578</v>
      </c>
      <c r="BB318" s="69" t="n">
        <f aca="false">MAX(BA318,BB317)</f>
        <v>3019571.5861038</v>
      </c>
      <c r="BC318" s="69" t="n">
        <f aca="false">MAX(BB318,BC317)</f>
        <v>3155849.84700986</v>
      </c>
      <c r="BD318" s="69" t="n">
        <f aca="false">MAX(BC318,BD317)</f>
        <v>3293882.96807244</v>
      </c>
      <c r="BE318" s="69" t="n">
        <f aca="false">MAX(BD318,BE317)</f>
        <v>3433620.46043321</v>
      </c>
      <c r="BF318" s="69" t="n">
        <f aca="false">MAX(BE318,BF317)</f>
        <v>3575013.45087729</v>
      </c>
      <c r="BG318" s="69" t="n">
        <f aca="false">MAX(BF318,BG317)</f>
        <v>3718014.63013267</v>
      </c>
      <c r="BH318" s="69" t="n">
        <f aca="false">MAX(BG318,BH317)</f>
        <v>3862578.20282407</v>
      </c>
      <c r="BI318" s="69" t="n">
        <f aca="false">MAX(BH318,BI317)</f>
        <v>4008659.8390282</v>
      </c>
      <c r="BJ318" s="69" t="n">
        <f aca="false">MAX(BI318,BJ317)</f>
        <v>4141923.62751846</v>
      </c>
    </row>
    <row r="319" customFormat="false" ht="15" hidden="false" customHeight="false" outlineLevel="0" collapsed="false">
      <c r="A319" s="6" t="s">
        <v>82</v>
      </c>
      <c r="C319" s="69" t="n">
        <f aca="false">-C318*Inputs!$D$79</f>
        <v>-0</v>
      </c>
      <c r="D319" s="69" t="n">
        <f aca="false">-(D318-C318)*Inputs!$D$79</f>
        <v>-0</v>
      </c>
      <c r="E319" s="69" t="n">
        <f aca="false">-(E318-D318)*Inputs!$D$79</f>
        <v>-0</v>
      </c>
      <c r="F319" s="69" t="n">
        <f aca="false">-(F318-E318)*Inputs!$D$79</f>
        <v>-0</v>
      </c>
      <c r="G319" s="69" t="n">
        <f aca="false">-(G318-F318)*Inputs!$D$79</f>
        <v>-0</v>
      </c>
      <c r="H319" s="69" t="n">
        <f aca="false">-(H318-G318)*Inputs!$D$79</f>
        <v>-0</v>
      </c>
      <c r="I319" s="69" t="n">
        <f aca="false">-(I318-H318)*Inputs!$D$79</f>
        <v>-0</v>
      </c>
      <c r="J319" s="69" t="n">
        <f aca="false">-(J318-I318)*Inputs!$D$79</f>
        <v>-0</v>
      </c>
      <c r="K319" s="69" t="n">
        <f aca="false">-(K318-J318)*Inputs!$D$79</f>
        <v>-0</v>
      </c>
      <c r="L319" s="69" t="n">
        <f aca="false">-(L318-K318)*Inputs!$D$79</f>
        <v>-0</v>
      </c>
      <c r="M319" s="69" t="n">
        <f aca="false">-(M318-L318)*Inputs!$D$79</f>
        <v>-0</v>
      </c>
      <c r="N319" s="69" t="n">
        <f aca="false">-(N318-M318)*Inputs!$D$79</f>
        <v>-0</v>
      </c>
      <c r="O319" s="69" t="n">
        <f aca="false">-(O318-N318)*Inputs!$D$79</f>
        <v>-0</v>
      </c>
      <c r="P319" s="69" t="n">
        <f aca="false">-(P318-O318)*Inputs!$D$79</f>
        <v>-0</v>
      </c>
      <c r="Q319" s="69" t="n">
        <f aca="false">-(Q318-P318)*Inputs!$D$79</f>
        <v>-0</v>
      </c>
      <c r="R319" s="69" t="n">
        <f aca="false">-(R318-Q318)*Inputs!$D$79</f>
        <v>-0</v>
      </c>
      <c r="S319" s="69" t="n">
        <f aca="false">-(S318-R318)*Inputs!$D$79</f>
        <v>-0</v>
      </c>
      <c r="T319" s="69" t="n">
        <f aca="false">-(T318-S318)*Inputs!$D$79</f>
        <v>-0</v>
      </c>
      <c r="U319" s="69" t="n">
        <f aca="false">-(U318-T318)*Inputs!$D$79</f>
        <v>-5122.96025241087</v>
      </c>
      <c r="V319" s="69" t="n">
        <f aca="false">-(V318-U318)*Inputs!$D$79</f>
        <v>-10560.1892405151</v>
      </c>
      <c r="W319" s="69" t="n">
        <f aca="false">-(W318-V318)*Inputs!$D$79</f>
        <v>-11161.7069344886</v>
      </c>
      <c r="X319" s="69" t="n">
        <f aca="false">-(X318-W318)*Inputs!$D$79</f>
        <v>-11745.1660622549</v>
      </c>
      <c r="Y319" s="69" t="n">
        <f aca="false">-(Y318-X318)*Inputs!$D$79</f>
        <v>-12311.1444979327</v>
      </c>
      <c r="Z319" s="69" t="n">
        <f aca="false">-(Z318-Y318)*Inputs!$D$79</f>
        <v>-9885.54739835724</v>
      </c>
      <c r="AA319" s="69" t="n">
        <f aca="false">-(AA318-Z318)*Inputs!$D$79</f>
        <v>-11250.6642117338</v>
      </c>
      <c r="AB319" s="69" t="n">
        <f aca="false">-(AB318-AA318)*Inputs!$D$79</f>
        <v>-11763.6177207681</v>
      </c>
      <c r="AC319" s="69" t="n">
        <f aca="false">-(AC318-AB318)*Inputs!$D$79</f>
        <v>-15302.6058862082</v>
      </c>
      <c r="AD319" s="69" t="n">
        <f aca="false">-(AD318-AC318)*Inputs!$D$79</f>
        <v>-15853.837915905</v>
      </c>
      <c r="AE319" s="69" t="n">
        <f aca="false">-(AE318-AD318)*Inputs!$D$79</f>
        <v>-16388.6205206516</v>
      </c>
      <c r="AF319" s="69" t="n">
        <f aca="false">-(AF318-AE318)*Inputs!$D$79</f>
        <v>-16907.4800820462</v>
      </c>
      <c r="AG319" s="69" t="n">
        <f aca="false">-(AG318-AF318)*Inputs!$D$79</f>
        <v>-17410.9261374762</v>
      </c>
      <c r="AH319" s="69" t="n">
        <f aca="false">-(AH318-AG318)*Inputs!$D$79</f>
        <v>-17899.4519191324</v>
      </c>
      <c r="AI319" s="69" t="n">
        <f aca="false">-(AI318-AH318)*Inputs!$D$79</f>
        <v>-18373.5348757756</v>
      </c>
      <c r="AJ319" s="69" t="n">
        <f aca="false">-(AJ318-AI318)*Inputs!$D$79</f>
        <v>-18833.6371778063</v>
      </c>
      <c r="AK319" s="69" t="n">
        <f aca="false">-(AK318-AJ318)*Inputs!$D$79</f>
        <v>-19280.206206172</v>
      </c>
      <c r="AL319" s="69" t="n">
        <f aca="false">-(AL318-AK318)*Inputs!$D$79</f>
        <v>-16749.2713561614</v>
      </c>
      <c r="AM319" s="69" t="n">
        <f aca="false">-(AM318-AL318)*Inputs!$D$79</f>
        <v>-18166.9032615675</v>
      </c>
      <c r="AN319" s="69" t="n">
        <f aca="false">-(AN318-AM318)*Inputs!$D$79</f>
        <v>-18570.1133623689</v>
      </c>
      <c r="AO319" s="69" t="n">
        <f aca="false">-(AO318-AN318)*Inputs!$D$79</f>
        <v>-21999.1733566534</v>
      </c>
      <c r="AP319" s="69" t="n">
        <f aca="false">-(AP318-AO318)*Inputs!$D$79</f>
        <v>-22451.861302704</v>
      </c>
      <c r="AQ319" s="69" t="n">
        <f aca="false">-(AQ318-AP318)*Inputs!$D$79</f>
        <v>-22891.253234481</v>
      </c>
      <c r="AR319" s="69" t="n">
        <f aca="false">-(AR318-AQ318)*Inputs!$D$79</f>
        <v>-23317.7746244411</v>
      </c>
      <c r="AS319" s="69" t="n">
        <f aca="false">-(AS318-AR318)*Inputs!$D$79</f>
        <v>-23731.8373299224</v>
      </c>
      <c r="AT319" s="69" t="n">
        <f aca="false">-(AT318-AS318)*Inputs!$D$79</f>
        <v>-24133.8400288284</v>
      </c>
      <c r="AU319" s="69" t="n">
        <f aca="false">-(AU318-AT318)*Inputs!$D$79</f>
        <v>-24524.1686413694</v>
      </c>
      <c r="AV319" s="69" t="n">
        <f aca="false">-(AV318-AU318)*Inputs!$D$79</f>
        <v>-24903.196738309</v>
      </c>
      <c r="AW319" s="69" t="n">
        <f aca="false">-(AW318-AV318)*Inputs!$D$79</f>
        <v>-25271.2859361467</v>
      </c>
      <c r="AX319" s="69" t="n">
        <f aca="false">-(AX318-AW318)*Inputs!$D$79</f>
        <v>-22653.0003197823</v>
      </c>
      <c r="AY319" s="69" t="n">
        <f aca="false">-(AY318-AX318)*Inputs!$D$79</f>
        <v>-24137.3375672125</v>
      </c>
      <c r="AZ319" s="69" t="n">
        <f aca="false">-(AZ318-AY318)*Inputs!$D$79</f>
        <v>-24470.5860339321</v>
      </c>
      <c r="BA319" s="69" t="n">
        <f aca="false">-(BA318-AZ318)*Inputs!$D$79</f>
        <v>-27848.1719522991</v>
      </c>
      <c r="BB319" s="69" t="n">
        <f aca="false">-(BB318-BA318)*Inputs!$D$79</f>
        <v>-28238.9609959846</v>
      </c>
      <c r="BC319" s="69" t="n">
        <f aca="false">-(BC318-BB318)*Inputs!$D$79</f>
        <v>-28618.4347902722</v>
      </c>
      <c r="BD319" s="69" t="n">
        <f aca="false">-(BD318-BC318)*Inputs!$D$79</f>
        <v>-28986.9554231426</v>
      </c>
      <c r="BE319" s="69" t="n">
        <f aca="false">-(BE318-BD318)*Inputs!$D$79</f>
        <v>-29344.8733957612</v>
      </c>
      <c r="BF319" s="69" t="n">
        <f aca="false">-(BF318-BE318)*Inputs!$D$79</f>
        <v>-29692.5279932558</v>
      </c>
      <c r="BG319" s="69" t="n">
        <f aca="false">-(BG318-BF318)*Inputs!$D$79</f>
        <v>-30030.2476436307</v>
      </c>
      <c r="BH319" s="69" t="n">
        <f aca="false">-(BH318-BG318)*Inputs!$D$79</f>
        <v>-30358.3502651936</v>
      </c>
      <c r="BI319" s="69" t="n">
        <f aca="false">-(BI318-BH318)*Inputs!$D$79</f>
        <v>-30677.1436028665</v>
      </c>
      <c r="BJ319" s="69" t="n">
        <f aca="false">-(BJ318-BI318)*Inputs!$D$79</f>
        <v>-27985.3955829546</v>
      </c>
    </row>
    <row r="320" customFormat="false" ht="15" hidden="false" customHeight="false" outlineLevel="0" collapsed="false">
      <c r="A320" s="113" t="s">
        <v>50</v>
      </c>
      <c r="C320" s="70" t="n">
        <f aca="false">C316+C319</f>
        <v>-74865.8196725689</v>
      </c>
      <c r="D320" s="70" t="n">
        <f aca="false">D316+D319</f>
        <v>-66097.0319556359</v>
      </c>
      <c r="E320" s="70" t="n">
        <f aca="false">E316+E319</f>
        <v>-47000.9998745679</v>
      </c>
      <c r="F320" s="70" t="n">
        <f aca="false">F316+F319</f>
        <v>-36561.5605722249</v>
      </c>
      <c r="G320" s="70" t="n">
        <f aca="false">G316+G319</f>
        <v>-25912.5420775759</v>
      </c>
      <c r="H320" s="70" t="n">
        <f aca="false">H316+H319</f>
        <v>-15060.6509247748</v>
      </c>
      <c r="I320" s="70" t="n">
        <f aca="false">I316+I319</f>
        <v>-4012.3790388823</v>
      </c>
      <c r="J320" s="70" t="n">
        <f aca="false">J316+J319</f>
        <v>7225.98939664256</v>
      </c>
      <c r="K320" s="70" t="n">
        <f aca="false">K316+K319</f>
        <v>10991.2834763945</v>
      </c>
      <c r="L320" s="70" t="n">
        <f aca="false">L316+L319</f>
        <v>14641.7548122609</v>
      </c>
      <c r="M320" s="70" t="n">
        <f aca="false">M316+M319</f>
        <v>18181.0777320464</v>
      </c>
      <c r="N320" s="70" t="n">
        <f aca="false">N316+N319</f>
        <v>7247.10844137573</v>
      </c>
      <c r="O320" s="70" t="n">
        <f aca="false">O316+O319</f>
        <v>13567.146189491</v>
      </c>
      <c r="P320" s="70" t="n">
        <f aca="false">P316+P319</f>
        <v>16798.249223982</v>
      </c>
      <c r="Q320" s="70" t="n">
        <f aca="false">Q316+Q319</f>
        <v>34572.0166628301</v>
      </c>
      <c r="R320" s="70" t="n">
        <f aca="false">R316+R319</f>
        <v>37910.9204613813</v>
      </c>
      <c r="S320" s="70" t="n">
        <f aca="false">S316+S319</f>
        <v>41148.6460050455</v>
      </c>
      <c r="T320" s="70" t="n">
        <f aca="false">T316+T319</f>
        <v>44288.4309979792</v>
      </c>
      <c r="U320" s="70" t="n">
        <f aca="false">U316+U319</f>
        <v>42210.4492853948</v>
      </c>
      <c r="V320" s="70" t="n">
        <f aca="false">V316+V319</f>
        <v>39726.4261905092</v>
      </c>
      <c r="W320" s="70" t="n">
        <f aca="false">W316+W319</f>
        <v>41989.2784678381</v>
      </c>
      <c r="X320" s="70" t="n">
        <f aca="false">X316+X319</f>
        <v>44184.196138959</v>
      </c>
      <c r="Y320" s="70" t="n">
        <f aca="false">Y316+Y319</f>
        <v>46313.3531112708</v>
      </c>
      <c r="Z320" s="70" t="n">
        <f aca="false">Z316+Z319</f>
        <v>37188.4878319153</v>
      </c>
      <c r="AA320" s="70" t="n">
        <f aca="false">AA316+AA319</f>
        <v>42323.9272727127</v>
      </c>
      <c r="AB320" s="70" t="n">
        <f aca="false">AB316+AB319</f>
        <v>44253.6095209849</v>
      </c>
      <c r="AC320" s="70" t="n">
        <f aca="false">AC316+AC319</f>
        <v>57566.9459528786</v>
      </c>
      <c r="AD320" s="70" t="n">
        <f aca="false">AD316+AD319</f>
        <v>59640.6283503094</v>
      </c>
      <c r="AE320" s="70" t="n">
        <f aca="false">AE316+AE319</f>
        <v>61652.4295776892</v>
      </c>
      <c r="AF320" s="70" t="n">
        <f aca="false">AF316+AF319</f>
        <v>63604.3298324595</v>
      </c>
      <c r="AG320" s="70" t="n">
        <f aca="false">AG316+AG319</f>
        <v>65498.2459457437</v>
      </c>
      <c r="AH320" s="70" t="n">
        <f aca="false">AH316+AH319</f>
        <v>67336.0334100696</v>
      </c>
      <c r="AI320" s="70" t="n">
        <f aca="false">AI316+AI319</f>
        <v>69119.4883422036</v>
      </c>
      <c r="AJ320" s="70" t="n">
        <f aca="false">AJ316+AJ319</f>
        <v>70850.3493831761</v>
      </c>
      <c r="AK320" s="70" t="n">
        <f aca="false">AK316+AK319</f>
        <v>72530.2995375041</v>
      </c>
      <c r="AL320" s="70" t="n">
        <f aca="false">AL316+AL319</f>
        <v>63009.1636731787</v>
      </c>
      <c r="AM320" s="70" t="n">
        <f aca="false">AM316+AM319</f>
        <v>68342.159888754</v>
      </c>
      <c r="AN320" s="70" t="n">
        <f aca="false">AN316+AN319</f>
        <v>69858.997887007</v>
      </c>
      <c r="AO320" s="70" t="n">
        <f aca="false">AO316+AO319</f>
        <v>82758.7950083629</v>
      </c>
      <c r="AP320" s="70" t="n">
        <f aca="false">AP316+AP319</f>
        <v>84461.7639482674</v>
      </c>
      <c r="AQ320" s="70" t="n">
        <f aca="false">AQ316+AQ319</f>
        <v>86114.7145487617</v>
      </c>
      <c r="AR320" s="70" t="n">
        <f aca="false">AR316+AR319</f>
        <v>87719.2473967068</v>
      </c>
      <c r="AS320" s="70" t="n">
        <f aca="false">AS316+AS319</f>
        <v>89276.9118601843</v>
      </c>
      <c r="AT320" s="70" t="n">
        <f aca="false">AT316+AT319</f>
        <v>90789.2077274973</v>
      </c>
      <c r="AU320" s="70" t="n">
        <f aca="false">AU316+AU319</f>
        <v>92257.5867937228</v>
      </c>
      <c r="AV320" s="70" t="n">
        <f aca="false">AV316+AV319</f>
        <v>93683.4543964959</v>
      </c>
      <c r="AW320" s="70" t="n">
        <f aca="false">AW316+AW319</f>
        <v>95068.1709026468</v>
      </c>
      <c r="AX320" s="70" t="n">
        <f aca="false">AX316+AX319</f>
        <v>85218.4297744195</v>
      </c>
      <c r="AY320" s="70" t="n">
        <f aca="false">AY316+AY319</f>
        <v>90802.3651337992</v>
      </c>
      <c r="AZ320" s="70" t="n">
        <f aca="false">AZ316+AZ319</f>
        <v>92056.0141276491</v>
      </c>
      <c r="BA320" s="70" t="n">
        <f aca="false">BA316+BA319</f>
        <v>104762.170677697</v>
      </c>
      <c r="BB320" s="70" t="n">
        <f aca="false">BB316+BB319</f>
        <v>106232.281842037</v>
      </c>
      <c r="BC320" s="70" t="n">
        <f aca="false">BC316+BC319</f>
        <v>107659.826115786</v>
      </c>
      <c r="BD320" s="70" t="n">
        <f aca="false">BD316+BD319</f>
        <v>109046.165639441</v>
      </c>
      <c r="BE320" s="70" t="n">
        <f aca="false">BE316+BE319</f>
        <v>110392.618965006</v>
      </c>
      <c r="BF320" s="70" t="n">
        <f aca="false">BF316+BF319</f>
        <v>111700.46245082</v>
      </c>
      <c r="BG320" s="70" t="n">
        <f aca="false">BG316+BG319</f>
        <v>112970.931611754</v>
      </c>
      <c r="BH320" s="70" t="n">
        <f aca="false">BH316+BH319</f>
        <v>114205.222426205</v>
      </c>
      <c r="BI320" s="70" t="n">
        <f aca="false">BI316+BI319</f>
        <v>115404.49260126</v>
      </c>
      <c r="BJ320" s="70" t="n">
        <f aca="false">BJ316+BJ319</f>
        <v>105278.392907306</v>
      </c>
    </row>
    <row r="322" customFormat="false" ht="15.75" hidden="false" customHeight="true" outlineLevel="0" collapsed="false">
      <c r="A322" s="7" t="s">
        <v>445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customFormat="false" ht="15" hidden="false" customHeight="false" outlineLevel="0" collapsed="false">
      <c r="A323" s="6" t="s">
        <v>446</v>
      </c>
      <c r="C323" s="69" t="n">
        <f aca="false">IF(C$260=1,Inputs!$D$49,0)</f>
        <v>1650000</v>
      </c>
      <c r="D323" s="69" t="n">
        <f aca="false">IF(D$260=1,Inputs!$D$49,0)</f>
        <v>0</v>
      </c>
      <c r="E323" s="69" t="n">
        <f aca="false">IF(E$260=1,Inputs!$D$49,0)</f>
        <v>0</v>
      </c>
      <c r="F323" s="69" t="n">
        <f aca="false">IF(F$260=1,Inputs!$D$49,0)</f>
        <v>0</v>
      </c>
      <c r="G323" s="69" t="n">
        <f aca="false">IF(G$260=1,Inputs!$D$49,0)</f>
        <v>0</v>
      </c>
      <c r="H323" s="69" t="n">
        <f aca="false">IF(H$260=1,Inputs!$D$49,0)</f>
        <v>0</v>
      </c>
      <c r="I323" s="69" t="n">
        <f aca="false">IF(I$260=1,Inputs!$D$49,0)</f>
        <v>0</v>
      </c>
      <c r="J323" s="69" t="n">
        <f aca="false">IF(J$260=1,Inputs!$D$49,0)</f>
        <v>0</v>
      </c>
      <c r="K323" s="69" t="n">
        <f aca="false">IF(K$260=1,Inputs!$D$49,0)</f>
        <v>0</v>
      </c>
      <c r="L323" s="69" t="n">
        <f aca="false">IF(L$260=1,Inputs!$D$49,0)</f>
        <v>0</v>
      </c>
      <c r="M323" s="69" t="n">
        <f aca="false">IF(M$260=1,Inputs!$D$49,0)</f>
        <v>0</v>
      </c>
      <c r="N323" s="69" t="n">
        <f aca="false">IF(N$260=1,Inputs!$D$49,0)</f>
        <v>0</v>
      </c>
      <c r="O323" s="69" t="n">
        <f aca="false">IF(O$260=1,Inputs!$D$49,0)</f>
        <v>0</v>
      </c>
      <c r="P323" s="69" t="n">
        <f aca="false">IF(P$260=1,Inputs!$D$49,0)</f>
        <v>0</v>
      </c>
      <c r="Q323" s="69" t="n">
        <f aca="false">IF(Q$260=1,Inputs!$D$49,0)</f>
        <v>0</v>
      </c>
      <c r="R323" s="69" t="n">
        <f aca="false">IF(R$260=1,Inputs!$D$49,0)</f>
        <v>0</v>
      </c>
      <c r="S323" s="69" t="n">
        <f aca="false">IF(S$260=1,Inputs!$D$49,0)</f>
        <v>0</v>
      </c>
      <c r="T323" s="69" t="n">
        <f aca="false">IF(T$260=1,Inputs!$D$49,0)</f>
        <v>0</v>
      </c>
      <c r="U323" s="69" t="n">
        <f aca="false">IF(U$260=1,Inputs!$D$49,0)</f>
        <v>0</v>
      </c>
      <c r="V323" s="69" t="n">
        <f aca="false">IF(V$260=1,Inputs!$D$49,0)</f>
        <v>0</v>
      </c>
      <c r="W323" s="69" t="n">
        <f aca="false">IF(W$260=1,Inputs!$D$49,0)</f>
        <v>0</v>
      </c>
      <c r="X323" s="69" t="n">
        <f aca="false">IF(X$260=1,Inputs!$D$49,0)</f>
        <v>0</v>
      </c>
      <c r="Y323" s="69" t="n">
        <f aca="false">IF(Y$260=1,Inputs!$D$49,0)</f>
        <v>0</v>
      </c>
      <c r="Z323" s="69" t="n">
        <f aca="false">IF(Z$260=1,Inputs!$D$49,0)</f>
        <v>0</v>
      </c>
      <c r="AA323" s="69" t="n">
        <f aca="false">IF(AA$260=1,Inputs!$D$49,0)</f>
        <v>0</v>
      </c>
      <c r="AB323" s="69" t="n">
        <f aca="false">IF(AB$260=1,Inputs!$D$49,0)</f>
        <v>0</v>
      </c>
      <c r="AC323" s="69" t="n">
        <f aca="false">IF(AC$260=1,Inputs!$D$49,0)</f>
        <v>0</v>
      </c>
      <c r="AD323" s="69" t="n">
        <f aca="false">IF(AD$260=1,Inputs!$D$49,0)</f>
        <v>0</v>
      </c>
      <c r="AE323" s="69" t="n">
        <f aca="false">IF(AE$260=1,Inputs!$D$49,0)</f>
        <v>0</v>
      </c>
      <c r="AF323" s="69" t="n">
        <f aca="false">IF(AF$260=1,Inputs!$D$49,0)</f>
        <v>0</v>
      </c>
      <c r="AG323" s="69" t="n">
        <f aca="false">IF(AG$260=1,Inputs!$D$49,0)</f>
        <v>0</v>
      </c>
      <c r="AH323" s="69" t="n">
        <f aca="false">IF(AH$260=1,Inputs!$D$49,0)</f>
        <v>0</v>
      </c>
      <c r="AI323" s="69" t="n">
        <f aca="false">IF(AI$260=1,Inputs!$D$49,0)</f>
        <v>0</v>
      </c>
      <c r="AJ323" s="69" t="n">
        <f aca="false">IF(AJ$260=1,Inputs!$D$49,0)</f>
        <v>0</v>
      </c>
      <c r="AK323" s="69" t="n">
        <f aca="false">IF(AK$260=1,Inputs!$D$49,0)</f>
        <v>0</v>
      </c>
      <c r="AL323" s="69" t="n">
        <f aca="false">IF(AL$260=1,Inputs!$D$49,0)</f>
        <v>0</v>
      </c>
      <c r="AM323" s="69" t="n">
        <f aca="false">IF(AM$260=1,Inputs!$D$49,0)</f>
        <v>0</v>
      </c>
      <c r="AN323" s="69" t="n">
        <f aca="false">IF(AN$260=1,Inputs!$D$49,0)</f>
        <v>0</v>
      </c>
      <c r="AO323" s="69" t="n">
        <f aca="false">IF(AO$260=1,Inputs!$D$49,0)</f>
        <v>0</v>
      </c>
      <c r="AP323" s="69" t="n">
        <f aca="false">IF(AP$260=1,Inputs!$D$49,0)</f>
        <v>0</v>
      </c>
      <c r="AQ323" s="69" t="n">
        <f aca="false">IF(AQ$260=1,Inputs!$D$49,0)</f>
        <v>0</v>
      </c>
      <c r="AR323" s="69" t="n">
        <f aca="false">IF(AR$260=1,Inputs!$D$49,0)</f>
        <v>0</v>
      </c>
      <c r="AS323" s="69" t="n">
        <f aca="false">IF(AS$260=1,Inputs!$D$49,0)</f>
        <v>0</v>
      </c>
      <c r="AT323" s="69" t="n">
        <f aca="false">IF(AT$260=1,Inputs!$D$49,0)</f>
        <v>0</v>
      </c>
      <c r="AU323" s="69" t="n">
        <f aca="false">IF(AU$260=1,Inputs!$D$49,0)</f>
        <v>0</v>
      </c>
      <c r="AV323" s="69" t="n">
        <f aca="false">IF(AV$260=1,Inputs!$D$49,0)</f>
        <v>0</v>
      </c>
      <c r="AW323" s="69" t="n">
        <f aca="false">IF(AW$260=1,Inputs!$D$49,0)</f>
        <v>0</v>
      </c>
      <c r="AX323" s="69" t="n">
        <f aca="false">IF(AX$260=1,Inputs!$D$49,0)</f>
        <v>0</v>
      </c>
      <c r="AY323" s="69" t="n">
        <f aca="false">IF(AY$260=1,Inputs!$D$49,0)</f>
        <v>0</v>
      </c>
      <c r="AZ323" s="69" t="n">
        <f aca="false">IF(AZ$260=1,Inputs!$D$49,0)</f>
        <v>0</v>
      </c>
      <c r="BA323" s="69" t="n">
        <f aca="false">IF(BA$260=1,Inputs!$D$49,0)</f>
        <v>0</v>
      </c>
      <c r="BB323" s="69" t="n">
        <f aca="false">IF(BB$260=1,Inputs!$D$49,0)</f>
        <v>0</v>
      </c>
      <c r="BC323" s="69" t="n">
        <f aca="false">IF(BC$260=1,Inputs!$D$49,0)</f>
        <v>0</v>
      </c>
      <c r="BD323" s="69" t="n">
        <f aca="false">IF(BD$260=1,Inputs!$D$49,0)</f>
        <v>0</v>
      </c>
      <c r="BE323" s="69" t="n">
        <f aca="false">IF(BE$260=1,Inputs!$D$49,0)</f>
        <v>0</v>
      </c>
      <c r="BF323" s="69" t="n">
        <f aca="false">IF(BF$260=1,Inputs!$D$49,0)</f>
        <v>0</v>
      </c>
      <c r="BG323" s="69" t="n">
        <f aca="false">IF(BG$260=1,Inputs!$D$49,0)</f>
        <v>0</v>
      </c>
      <c r="BH323" s="69" t="n">
        <f aca="false">IF(BH$260=1,Inputs!$D$49,0)</f>
        <v>0</v>
      </c>
      <c r="BI323" s="69" t="n">
        <f aca="false">IF(BI$260=1,Inputs!$D$49,0)</f>
        <v>0</v>
      </c>
      <c r="BJ323" s="69" t="n">
        <f aca="false">IF(BJ$260=1,Inputs!$D$49,0)</f>
        <v>0</v>
      </c>
    </row>
    <row r="324" customFormat="false" ht="15" hidden="false" customHeight="false" outlineLevel="0" collapsed="false">
      <c r="A324" s="6" t="s">
        <v>447</v>
      </c>
      <c r="C324" s="69" t="n">
        <f aca="false">IF(C$260=1,Inputs!$D$50,0)</f>
        <v>2300000</v>
      </c>
      <c r="D324" s="69" t="n">
        <f aca="false">IF(D$260=1,Inputs!$D$50,0)</f>
        <v>0</v>
      </c>
      <c r="E324" s="69" t="n">
        <f aca="false">IF(E$260=1,Inputs!$D$50,0)</f>
        <v>0</v>
      </c>
      <c r="F324" s="69" t="n">
        <f aca="false">IF(F$260=1,Inputs!$D$50,0)</f>
        <v>0</v>
      </c>
      <c r="G324" s="69" t="n">
        <f aca="false">IF(G$260=1,Inputs!$D$50,0)</f>
        <v>0</v>
      </c>
      <c r="H324" s="69" t="n">
        <f aca="false">IF(H$260=1,Inputs!$D$50,0)</f>
        <v>0</v>
      </c>
      <c r="I324" s="69" t="n">
        <f aca="false">IF(I$260=1,Inputs!$D$50,0)</f>
        <v>0</v>
      </c>
      <c r="J324" s="69" t="n">
        <f aca="false">IF(J$260=1,Inputs!$D$50,0)</f>
        <v>0</v>
      </c>
      <c r="K324" s="69" t="n">
        <f aca="false">IF(K$260=1,Inputs!$D$50,0)</f>
        <v>0</v>
      </c>
      <c r="L324" s="69" t="n">
        <f aca="false">IF(L$260=1,Inputs!$D$50,0)</f>
        <v>0</v>
      </c>
      <c r="M324" s="69" t="n">
        <f aca="false">IF(M$260=1,Inputs!$D$50,0)</f>
        <v>0</v>
      </c>
      <c r="N324" s="69" t="n">
        <f aca="false">IF(N$260=1,Inputs!$D$50,0)</f>
        <v>0</v>
      </c>
      <c r="O324" s="69" t="n">
        <f aca="false">IF(O$260=1,Inputs!$D$50,0)</f>
        <v>0</v>
      </c>
      <c r="P324" s="69" t="n">
        <f aca="false">IF(P$260=1,Inputs!$D$50,0)</f>
        <v>0</v>
      </c>
      <c r="Q324" s="69" t="n">
        <f aca="false">IF(Q$260=1,Inputs!$D$50,0)</f>
        <v>0</v>
      </c>
      <c r="R324" s="69" t="n">
        <f aca="false">IF(R$260=1,Inputs!$D$50,0)</f>
        <v>0</v>
      </c>
      <c r="S324" s="69" t="n">
        <f aca="false">IF(S$260=1,Inputs!$D$50,0)</f>
        <v>0</v>
      </c>
      <c r="T324" s="69" t="n">
        <f aca="false">IF(T$260=1,Inputs!$D$50,0)</f>
        <v>0</v>
      </c>
      <c r="U324" s="69" t="n">
        <f aca="false">IF(U$260=1,Inputs!$D$50,0)</f>
        <v>0</v>
      </c>
      <c r="V324" s="69" t="n">
        <f aca="false">IF(V$260=1,Inputs!$D$50,0)</f>
        <v>0</v>
      </c>
      <c r="W324" s="69" t="n">
        <f aca="false">IF(W$260=1,Inputs!$D$50,0)</f>
        <v>0</v>
      </c>
      <c r="X324" s="69" t="n">
        <f aca="false">IF(X$260=1,Inputs!$D$50,0)</f>
        <v>0</v>
      </c>
      <c r="Y324" s="69" t="n">
        <f aca="false">IF(Y$260=1,Inputs!$D$50,0)</f>
        <v>0</v>
      </c>
      <c r="Z324" s="69" t="n">
        <f aca="false">IF(Z$260=1,Inputs!$D$50,0)</f>
        <v>0</v>
      </c>
      <c r="AA324" s="69" t="n">
        <f aca="false">IF(AA$260=1,Inputs!$D$50,0)</f>
        <v>0</v>
      </c>
      <c r="AB324" s="69" t="n">
        <f aca="false">IF(AB$260=1,Inputs!$D$50,0)</f>
        <v>0</v>
      </c>
      <c r="AC324" s="69" t="n">
        <f aca="false">IF(AC$260=1,Inputs!$D$50,0)</f>
        <v>0</v>
      </c>
      <c r="AD324" s="69" t="n">
        <f aca="false">IF(AD$260=1,Inputs!$D$50,0)</f>
        <v>0</v>
      </c>
      <c r="AE324" s="69" t="n">
        <f aca="false">IF(AE$260=1,Inputs!$D$50,0)</f>
        <v>0</v>
      </c>
      <c r="AF324" s="69" t="n">
        <f aca="false">IF(AF$260=1,Inputs!$D$50,0)</f>
        <v>0</v>
      </c>
      <c r="AG324" s="69" t="n">
        <f aca="false">IF(AG$260=1,Inputs!$D$50,0)</f>
        <v>0</v>
      </c>
      <c r="AH324" s="69" t="n">
        <f aca="false">IF(AH$260=1,Inputs!$D$50,0)</f>
        <v>0</v>
      </c>
      <c r="AI324" s="69" t="n">
        <f aca="false">IF(AI$260=1,Inputs!$D$50,0)</f>
        <v>0</v>
      </c>
      <c r="AJ324" s="69" t="n">
        <f aca="false">IF(AJ$260=1,Inputs!$D$50,0)</f>
        <v>0</v>
      </c>
      <c r="AK324" s="69" t="n">
        <f aca="false">IF(AK$260=1,Inputs!$D$50,0)</f>
        <v>0</v>
      </c>
      <c r="AL324" s="69" t="n">
        <f aca="false">IF(AL$260=1,Inputs!$D$50,0)</f>
        <v>0</v>
      </c>
      <c r="AM324" s="69" t="n">
        <f aca="false">IF(AM$260=1,Inputs!$D$50,0)</f>
        <v>0</v>
      </c>
      <c r="AN324" s="69" t="n">
        <f aca="false">IF(AN$260=1,Inputs!$D$50,0)</f>
        <v>0</v>
      </c>
      <c r="AO324" s="69" t="n">
        <f aca="false">IF(AO$260=1,Inputs!$D$50,0)</f>
        <v>0</v>
      </c>
      <c r="AP324" s="69" t="n">
        <f aca="false">IF(AP$260=1,Inputs!$D$50,0)</f>
        <v>0</v>
      </c>
      <c r="AQ324" s="69" t="n">
        <f aca="false">IF(AQ$260=1,Inputs!$D$50,0)</f>
        <v>0</v>
      </c>
      <c r="AR324" s="69" t="n">
        <f aca="false">IF(AR$260=1,Inputs!$D$50,0)</f>
        <v>0</v>
      </c>
      <c r="AS324" s="69" t="n">
        <f aca="false">IF(AS$260=1,Inputs!$D$50,0)</f>
        <v>0</v>
      </c>
      <c r="AT324" s="69" t="n">
        <f aca="false">IF(AT$260=1,Inputs!$D$50,0)</f>
        <v>0</v>
      </c>
      <c r="AU324" s="69" t="n">
        <f aca="false">IF(AU$260=1,Inputs!$D$50,0)</f>
        <v>0</v>
      </c>
      <c r="AV324" s="69" t="n">
        <f aca="false">IF(AV$260=1,Inputs!$D$50,0)</f>
        <v>0</v>
      </c>
      <c r="AW324" s="69" t="n">
        <f aca="false">IF(AW$260=1,Inputs!$D$50,0)</f>
        <v>0</v>
      </c>
      <c r="AX324" s="69" t="n">
        <f aca="false">IF(AX$260=1,Inputs!$D$50,0)</f>
        <v>0</v>
      </c>
      <c r="AY324" s="69" t="n">
        <f aca="false">IF(AY$260=1,Inputs!$D$50,0)</f>
        <v>0</v>
      </c>
      <c r="AZ324" s="69" t="n">
        <f aca="false">IF(AZ$260=1,Inputs!$D$50,0)</f>
        <v>0</v>
      </c>
      <c r="BA324" s="69" t="n">
        <f aca="false">IF(BA$260=1,Inputs!$D$50,0)</f>
        <v>0</v>
      </c>
      <c r="BB324" s="69" t="n">
        <f aca="false">IF(BB$260=1,Inputs!$D$50,0)</f>
        <v>0</v>
      </c>
      <c r="BC324" s="69" t="n">
        <f aca="false">IF(BC$260=1,Inputs!$D$50,0)</f>
        <v>0</v>
      </c>
      <c r="BD324" s="69" t="n">
        <f aca="false">IF(BD$260=1,Inputs!$D$50,0)</f>
        <v>0</v>
      </c>
      <c r="BE324" s="69" t="n">
        <f aca="false">IF(BE$260=1,Inputs!$D$50,0)</f>
        <v>0</v>
      </c>
      <c r="BF324" s="69" t="n">
        <f aca="false">IF(BF$260=1,Inputs!$D$50,0)</f>
        <v>0</v>
      </c>
      <c r="BG324" s="69" t="n">
        <f aca="false">IF(BG$260=1,Inputs!$D$50,0)</f>
        <v>0</v>
      </c>
      <c r="BH324" s="69" t="n">
        <f aca="false">IF(BH$260=1,Inputs!$D$50,0)</f>
        <v>0</v>
      </c>
      <c r="BI324" s="69" t="n">
        <f aca="false">IF(BI$260=1,Inputs!$D$50,0)</f>
        <v>0</v>
      </c>
      <c r="BJ324" s="69" t="n">
        <f aca="false">IF(BJ$260=1,Inputs!$D$50,0)</f>
        <v>0</v>
      </c>
    </row>
    <row r="325" customFormat="false" ht="15" hidden="false" customHeight="false" outlineLevel="0" collapsed="false">
      <c r="A325" s="6" t="s">
        <v>448</v>
      </c>
      <c r="C325" s="69" t="n">
        <f aca="false">IF(C$260=1,Inputs!$D$51,0)</f>
        <v>150000</v>
      </c>
      <c r="D325" s="69" t="n">
        <f aca="false">IF(D$260=1,Inputs!$D$51,0)</f>
        <v>0</v>
      </c>
      <c r="E325" s="69" t="n">
        <f aca="false">IF(E$260=1,Inputs!$D$51,0)</f>
        <v>0</v>
      </c>
      <c r="F325" s="69" t="n">
        <f aca="false">IF(F$260=1,Inputs!$D$51,0)</f>
        <v>0</v>
      </c>
      <c r="G325" s="69" t="n">
        <f aca="false">IF(G$260=1,Inputs!$D$51,0)</f>
        <v>0</v>
      </c>
      <c r="H325" s="69" t="n">
        <f aca="false">IF(H$260=1,Inputs!$D$51,0)</f>
        <v>0</v>
      </c>
      <c r="I325" s="69" t="n">
        <f aca="false">IF(I$260=1,Inputs!$D$51,0)</f>
        <v>0</v>
      </c>
      <c r="J325" s="69" t="n">
        <f aca="false">IF(J$260=1,Inputs!$D$51,0)</f>
        <v>0</v>
      </c>
      <c r="K325" s="69" t="n">
        <f aca="false">IF(K$260=1,Inputs!$D$51,0)</f>
        <v>0</v>
      </c>
      <c r="L325" s="69" t="n">
        <f aca="false">IF(L$260=1,Inputs!$D$51,0)</f>
        <v>0</v>
      </c>
      <c r="M325" s="69" t="n">
        <f aca="false">IF(M$260=1,Inputs!$D$51,0)</f>
        <v>0</v>
      </c>
      <c r="N325" s="69" t="n">
        <f aca="false">IF(N$260=1,Inputs!$D$51,0)</f>
        <v>0</v>
      </c>
      <c r="O325" s="69" t="n">
        <f aca="false">IF(O$260=1,Inputs!$D$51,0)</f>
        <v>0</v>
      </c>
      <c r="P325" s="69" t="n">
        <f aca="false">IF(P$260=1,Inputs!$D$51,0)</f>
        <v>0</v>
      </c>
      <c r="Q325" s="69" t="n">
        <f aca="false">IF(Q$260=1,Inputs!$D$51,0)</f>
        <v>0</v>
      </c>
      <c r="R325" s="69" t="n">
        <f aca="false">IF(R$260=1,Inputs!$D$51,0)</f>
        <v>0</v>
      </c>
      <c r="S325" s="69" t="n">
        <f aca="false">IF(S$260=1,Inputs!$D$51,0)</f>
        <v>0</v>
      </c>
      <c r="T325" s="69" t="n">
        <f aca="false">IF(T$260=1,Inputs!$D$51,0)</f>
        <v>0</v>
      </c>
      <c r="U325" s="69" t="n">
        <f aca="false">IF(U$260=1,Inputs!$D$51,0)</f>
        <v>0</v>
      </c>
      <c r="V325" s="69" t="n">
        <f aca="false">IF(V$260=1,Inputs!$D$51,0)</f>
        <v>0</v>
      </c>
      <c r="W325" s="69" t="n">
        <f aca="false">IF(W$260=1,Inputs!$D$51,0)</f>
        <v>0</v>
      </c>
      <c r="X325" s="69" t="n">
        <f aca="false">IF(X$260=1,Inputs!$D$51,0)</f>
        <v>0</v>
      </c>
      <c r="Y325" s="69" t="n">
        <f aca="false">IF(Y$260=1,Inputs!$D$51,0)</f>
        <v>0</v>
      </c>
      <c r="Z325" s="69" t="n">
        <f aca="false">IF(Z$260=1,Inputs!$D$51,0)</f>
        <v>0</v>
      </c>
      <c r="AA325" s="69" t="n">
        <f aca="false">IF(AA$260=1,Inputs!$D$51,0)</f>
        <v>0</v>
      </c>
      <c r="AB325" s="69" t="n">
        <f aca="false">IF(AB$260=1,Inputs!$D$51,0)</f>
        <v>0</v>
      </c>
      <c r="AC325" s="69" t="n">
        <f aca="false">IF(AC$260=1,Inputs!$D$51,0)</f>
        <v>0</v>
      </c>
      <c r="AD325" s="69" t="n">
        <f aca="false">IF(AD$260=1,Inputs!$D$51,0)</f>
        <v>0</v>
      </c>
      <c r="AE325" s="69" t="n">
        <f aca="false">IF(AE$260=1,Inputs!$D$51,0)</f>
        <v>0</v>
      </c>
      <c r="AF325" s="69" t="n">
        <f aca="false">IF(AF$260=1,Inputs!$D$51,0)</f>
        <v>0</v>
      </c>
      <c r="AG325" s="69" t="n">
        <f aca="false">IF(AG$260=1,Inputs!$D$51,0)</f>
        <v>0</v>
      </c>
      <c r="AH325" s="69" t="n">
        <f aca="false">IF(AH$260=1,Inputs!$D$51,0)</f>
        <v>0</v>
      </c>
      <c r="AI325" s="69" t="n">
        <f aca="false">IF(AI$260=1,Inputs!$D$51,0)</f>
        <v>0</v>
      </c>
      <c r="AJ325" s="69" t="n">
        <f aca="false">IF(AJ$260=1,Inputs!$D$51,0)</f>
        <v>0</v>
      </c>
      <c r="AK325" s="69" t="n">
        <f aca="false">IF(AK$260=1,Inputs!$D$51,0)</f>
        <v>0</v>
      </c>
      <c r="AL325" s="69" t="n">
        <f aca="false">IF(AL$260=1,Inputs!$D$51,0)</f>
        <v>0</v>
      </c>
      <c r="AM325" s="69" t="n">
        <f aca="false">IF(AM$260=1,Inputs!$D$51,0)</f>
        <v>0</v>
      </c>
      <c r="AN325" s="69" t="n">
        <f aca="false">IF(AN$260=1,Inputs!$D$51,0)</f>
        <v>0</v>
      </c>
      <c r="AO325" s="69" t="n">
        <f aca="false">IF(AO$260=1,Inputs!$D$51,0)</f>
        <v>0</v>
      </c>
      <c r="AP325" s="69" t="n">
        <f aca="false">IF(AP$260=1,Inputs!$D$51,0)</f>
        <v>0</v>
      </c>
      <c r="AQ325" s="69" t="n">
        <f aca="false">IF(AQ$260=1,Inputs!$D$51,0)</f>
        <v>0</v>
      </c>
      <c r="AR325" s="69" t="n">
        <f aca="false">IF(AR$260=1,Inputs!$D$51,0)</f>
        <v>0</v>
      </c>
      <c r="AS325" s="69" t="n">
        <f aca="false">IF(AS$260=1,Inputs!$D$51,0)</f>
        <v>0</v>
      </c>
      <c r="AT325" s="69" t="n">
        <f aca="false">IF(AT$260=1,Inputs!$D$51,0)</f>
        <v>0</v>
      </c>
      <c r="AU325" s="69" t="n">
        <f aca="false">IF(AU$260=1,Inputs!$D$51,0)</f>
        <v>0</v>
      </c>
      <c r="AV325" s="69" t="n">
        <f aca="false">IF(AV$260=1,Inputs!$D$51,0)</f>
        <v>0</v>
      </c>
      <c r="AW325" s="69" t="n">
        <f aca="false">IF(AW$260=1,Inputs!$D$51,0)</f>
        <v>0</v>
      </c>
      <c r="AX325" s="69" t="n">
        <f aca="false">IF(AX$260=1,Inputs!$D$51,0)</f>
        <v>0</v>
      </c>
      <c r="AY325" s="69" t="n">
        <f aca="false">IF(AY$260=1,Inputs!$D$51,0)</f>
        <v>0</v>
      </c>
      <c r="AZ325" s="69" t="n">
        <f aca="false">IF(AZ$260=1,Inputs!$D$51,0)</f>
        <v>0</v>
      </c>
      <c r="BA325" s="69" t="n">
        <f aca="false">IF(BA$260=1,Inputs!$D$51,0)</f>
        <v>0</v>
      </c>
      <c r="BB325" s="69" t="n">
        <f aca="false">IF(BB$260=1,Inputs!$D$51,0)</f>
        <v>0</v>
      </c>
      <c r="BC325" s="69" t="n">
        <f aca="false">IF(BC$260=1,Inputs!$D$51,0)</f>
        <v>0</v>
      </c>
      <c r="BD325" s="69" t="n">
        <f aca="false">IF(BD$260=1,Inputs!$D$51,0)</f>
        <v>0</v>
      </c>
      <c r="BE325" s="69" t="n">
        <f aca="false">IF(BE$260=1,Inputs!$D$51,0)</f>
        <v>0</v>
      </c>
      <c r="BF325" s="69" t="n">
        <f aca="false">IF(BF$260=1,Inputs!$D$51,0)</f>
        <v>0</v>
      </c>
      <c r="BG325" s="69" t="n">
        <f aca="false">IF(BG$260=1,Inputs!$D$51,0)</f>
        <v>0</v>
      </c>
      <c r="BH325" s="69" t="n">
        <f aca="false">IF(BH$260=1,Inputs!$D$51,0)</f>
        <v>0</v>
      </c>
      <c r="BI325" s="69" t="n">
        <f aca="false">IF(BI$260=1,Inputs!$D$51,0)</f>
        <v>0</v>
      </c>
      <c r="BJ325" s="69" t="n">
        <f aca="false">IF(BJ$260=1,Inputs!$D$51,0)</f>
        <v>0</v>
      </c>
    </row>
    <row r="326" customFormat="false" ht="15" hidden="false" customHeight="false" outlineLevel="0" collapsed="false">
      <c r="A326" s="6" t="s">
        <v>449</v>
      </c>
      <c r="C326" s="69" t="n">
        <f aca="false">IF(AND(C$261&gt;1,MOD(C$260-1,12)=0),Inputs!$D$52,0)</f>
        <v>0</v>
      </c>
      <c r="D326" s="69" t="n">
        <f aca="false">IF(AND(D$261&gt;1,MOD(D$260-1,12)=0),Inputs!$D$52,0)</f>
        <v>0</v>
      </c>
      <c r="E326" s="69" t="n">
        <f aca="false">IF(AND(E$261&gt;1,MOD(E$260-1,12)=0),Inputs!$D$52,0)</f>
        <v>0</v>
      </c>
      <c r="F326" s="69" t="n">
        <f aca="false">IF(AND(F$261&gt;1,MOD(F$260-1,12)=0),Inputs!$D$52,0)</f>
        <v>0</v>
      </c>
      <c r="G326" s="69" t="n">
        <f aca="false">IF(AND(G$261&gt;1,MOD(G$260-1,12)=0),Inputs!$D$52,0)</f>
        <v>0</v>
      </c>
      <c r="H326" s="69" t="n">
        <f aca="false">IF(AND(H$261&gt;1,MOD(H$260-1,12)=0),Inputs!$D$52,0)</f>
        <v>0</v>
      </c>
      <c r="I326" s="69" t="n">
        <f aca="false">IF(AND(I$261&gt;1,MOD(I$260-1,12)=0),Inputs!$D$52,0)</f>
        <v>0</v>
      </c>
      <c r="J326" s="69" t="n">
        <f aca="false">IF(AND(J$261&gt;1,MOD(J$260-1,12)=0),Inputs!$D$52,0)</f>
        <v>0</v>
      </c>
      <c r="K326" s="69" t="n">
        <f aca="false">IF(AND(K$261&gt;1,MOD(K$260-1,12)=0),Inputs!$D$52,0)</f>
        <v>0</v>
      </c>
      <c r="L326" s="69" t="n">
        <f aca="false">IF(AND(L$261&gt;1,MOD(L$260-1,12)=0),Inputs!$D$52,0)</f>
        <v>0</v>
      </c>
      <c r="M326" s="69" t="n">
        <f aca="false">IF(AND(M$261&gt;1,MOD(M$260-1,12)=0),Inputs!$D$52,0)</f>
        <v>0</v>
      </c>
      <c r="N326" s="69" t="n">
        <f aca="false">IF(AND(N$261&gt;1,MOD(N$260-1,12)=0),Inputs!$D$52,0)</f>
        <v>0</v>
      </c>
      <c r="O326" s="69" t="n">
        <f aca="false">IF(AND(O$261&gt;1,MOD(O$260-1,12)=0),Inputs!$D$52,0)</f>
        <v>40000</v>
      </c>
      <c r="P326" s="69" t="n">
        <f aca="false">IF(AND(P$261&gt;1,MOD(P$260-1,12)=0),Inputs!$D$52,0)</f>
        <v>0</v>
      </c>
      <c r="Q326" s="69" t="n">
        <f aca="false">IF(AND(Q$261&gt;1,MOD(Q$260-1,12)=0),Inputs!$D$52,0)</f>
        <v>0</v>
      </c>
      <c r="R326" s="69" t="n">
        <f aca="false">IF(AND(R$261&gt;1,MOD(R$260-1,12)=0),Inputs!$D$52,0)</f>
        <v>0</v>
      </c>
      <c r="S326" s="69" t="n">
        <f aca="false">IF(AND(S$261&gt;1,MOD(S$260-1,12)=0),Inputs!$D$52,0)</f>
        <v>0</v>
      </c>
      <c r="T326" s="69" t="n">
        <f aca="false">IF(AND(T$261&gt;1,MOD(T$260-1,12)=0),Inputs!$D$52,0)</f>
        <v>0</v>
      </c>
      <c r="U326" s="69" t="n">
        <f aca="false">IF(AND(U$261&gt;1,MOD(U$260-1,12)=0),Inputs!$D$52,0)</f>
        <v>0</v>
      </c>
      <c r="V326" s="69" t="n">
        <f aca="false">IF(AND(V$261&gt;1,MOD(V$260-1,12)=0),Inputs!$D$52,0)</f>
        <v>0</v>
      </c>
      <c r="W326" s="69" t="n">
        <f aca="false">IF(AND(W$261&gt;1,MOD(W$260-1,12)=0),Inputs!$D$52,0)</f>
        <v>0</v>
      </c>
      <c r="X326" s="69" t="n">
        <f aca="false">IF(AND(X$261&gt;1,MOD(X$260-1,12)=0),Inputs!$D$52,0)</f>
        <v>0</v>
      </c>
      <c r="Y326" s="69" t="n">
        <f aca="false">IF(AND(Y$261&gt;1,MOD(Y$260-1,12)=0),Inputs!$D$52,0)</f>
        <v>0</v>
      </c>
      <c r="Z326" s="69" t="n">
        <f aca="false">IF(AND(Z$261&gt;1,MOD(Z$260-1,12)=0),Inputs!$D$52,0)</f>
        <v>0</v>
      </c>
      <c r="AA326" s="69" t="n">
        <f aca="false">IF(AND(AA$261&gt;1,MOD(AA$260-1,12)=0),Inputs!$D$52,0)</f>
        <v>40000</v>
      </c>
      <c r="AB326" s="69" t="n">
        <f aca="false">IF(AND(AB$261&gt;1,MOD(AB$260-1,12)=0),Inputs!$D$52,0)</f>
        <v>0</v>
      </c>
      <c r="AC326" s="69" t="n">
        <f aca="false">IF(AND(AC$261&gt;1,MOD(AC$260-1,12)=0),Inputs!$D$52,0)</f>
        <v>0</v>
      </c>
      <c r="AD326" s="69" t="n">
        <f aca="false">IF(AND(AD$261&gt;1,MOD(AD$260-1,12)=0),Inputs!$D$52,0)</f>
        <v>0</v>
      </c>
      <c r="AE326" s="69" t="n">
        <f aca="false">IF(AND(AE$261&gt;1,MOD(AE$260-1,12)=0),Inputs!$D$52,0)</f>
        <v>0</v>
      </c>
      <c r="AF326" s="69" t="n">
        <f aca="false">IF(AND(AF$261&gt;1,MOD(AF$260-1,12)=0),Inputs!$D$52,0)</f>
        <v>0</v>
      </c>
      <c r="AG326" s="69" t="n">
        <f aca="false">IF(AND(AG$261&gt;1,MOD(AG$260-1,12)=0),Inputs!$D$52,0)</f>
        <v>0</v>
      </c>
      <c r="AH326" s="69" t="n">
        <f aca="false">IF(AND(AH$261&gt;1,MOD(AH$260-1,12)=0),Inputs!$D$52,0)</f>
        <v>0</v>
      </c>
      <c r="AI326" s="69" t="n">
        <f aca="false">IF(AND(AI$261&gt;1,MOD(AI$260-1,12)=0),Inputs!$D$52,0)</f>
        <v>0</v>
      </c>
      <c r="AJ326" s="69" t="n">
        <f aca="false">IF(AND(AJ$261&gt;1,MOD(AJ$260-1,12)=0),Inputs!$D$52,0)</f>
        <v>0</v>
      </c>
      <c r="AK326" s="69" t="n">
        <f aca="false">IF(AND(AK$261&gt;1,MOD(AK$260-1,12)=0),Inputs!$D$52,0)</f>
        <v>0</v>
      </c>
      <c r="AL326" s="69" t="n">
        <f aca="false">IF(AND(AL$261&gt;1,MOD(AL$260-1,12)=0),Inputs!$D$52,0)</f>
        <v>0</v>
      </c>
      <c r="AM326" s="69" t="n">
        <f aca="false">IF(AND(AM$261&gt;1,MOD(AM$260-1,12)=0),Inputs!$D$52,0)</f>
        <v>40000</v>
      </c>
      <c r="AN326" s="69" t="n">
        <f aca="false">IF(AND(AN$261&gt;1,MOD(AN$260-1,12)=0),Inputs!$D$52,0)</f>
        <v>0</v>
      </c>
      <c r="AO326" s="69" t="n">
        <f aca="false">IF(AND(AO$261&gt;1,MOD(AO$260-1,12)=0),Inputs!$D$52,0)</f>
        <v>0</v>
      </c>
      <c r="AP326" s="69" t="n">
        <f aca="false">IF(AND(AP$261&gt;1,MOD(AP$260-1,12)=0),Inputs!$D$52,0)</f>
        <v>0</v>
      </c>
      <c r="AQ326" s="69" t="n">
        <f aca="false">IF(AND(AQ$261&gt;1,MOD(AQ$260-1,12)=0),Inputs!$D$52,0)</f>
        <v>0</v>
      </c>
      <c r="AR326" s="69" t="n">
        <f aca="false">IF(AND(AR$261&gt;1,MOD(AR$260-1,12)=0),Inputs!$D$52,0)</f>
        <v>0</v>
      </c>
      <c r="AS326" s="69" t="n">
        <f aca="false">IF(AND(AS$261&gt;1,MOD(AS$260-1,12)=0),Inputs!$D$52,0)</f>
        <v>0</v>
      </c>
      <c r="AT326" s="69" t="n">
        <f aca="false">IF(AND(AT$261&gt;1,MOD(AT$260-1,12)=0),Inputs!$D$52,0)</f>
        <v>0</v>
      </c>
      <c r="AU326" s="69" t="n">
        <f aca="false">IF(AND(AU$261&gt;1,MOD(AU$260-1,12)=0),Inputs!$D$52,0)</f>
        <v>0</v>
      </c>
      <c r="AV326" s="69" t="n">
        <f aca="false">IF(AND(AV$261&gt;1,MOD(AV$260-1,12)=0),Inputs!$D$52,0)</f>
        <v>0</v>
      </c>
      <c r="AW326" s="69" t="n">
        <f aca="false">IF(AND(AW$261&gt;1,MOD(AW$260-1,12)=0),Inputs!$D$52,0)</f>
        <v>0</v>
      </c>
      <c r="AX326" s="69" t="n">
        <f aca="false">IF(AND(AX$261&gt;1,MOD(AX$260-1,12)=0),Inputs!$D$52,0)</f>
        <v>0</v>
      </c>
      <c r="AY326" s="69" t="n">
        <f aca="false">IF(AND(AY$261&gt;1,MOD(AY$260-1,12)=0),Inputs!$D$52,0)</f>
        <v>40000</v>
      </c>
      <c r="AZ326" s="69" t="n">
        <f aca="false">IF(AND(AZ$261&gt;1,MOD(AZ$260-1,12)=0),Inputs!$D$52,0)</f>
        <v>0</v>
      </c>
      <c r="BA326" s="69" t="n">
        <f aca="false">IF(AND(BA$261&gt;1,MOD(BA$260-1,12)=0),Inputs!$D$52,0)</f>
        <v>0</v>
      </c>
      <c r="BB326" s="69" t="n">
        <f aca="false">IF(AND(BB$261&gt;1,MOD(BB$260-1,12)=0),Inputs!$D$52,0)</f>
        <v>0</v>
      </c>
      <c r="BC326" s="69" t="n">
        <f aca="false">IF(AND(BC$261&gt;1,MOD(BC$260-1,12)=0),Inputs!$D$52,0)</f>
        <v>0</v>
      </c>
      <c r="BD326" s="69" t="n">
        <f aca="false">IF(AND(BD$261&gt;1,MOD(BD$260-1,12)=0),Inputs!$D$52,0)</f>
        <v>0</v>
      </c>
      <c r="BE326" s="69" t="n">
        <f aca="false">IF(AND(BE$261&gt;1,MOD(BE$260-1,12)=0),Inputs!$D$52,0)</f>
        <v>0</v>
      </c>
      <c r="BF326" s="69" t="n">
        <f aca="false">IF(AND(BF$261&gt;1,MOD(BF$260-1,12)=0),Inputs!$D$52,0)</f>
        <v>0</v>
      </c>
      <c r="BG326" s="69" t="n">
        <f aca="false">IF(AND(BG$261&gt;1,MOD(BG$260-1,12)=0),Inputs!$D$52,0)</f>
        <v>0</v>
      </c>
      <c r="BH326" s="69" t="n">
        <f aca="false">IF(AND(BH$261&gt;1,MOD(BH$260-1,12)=0),Inputs!$D$52,0)</f>
        <v>0</v>
      </c>
      <c r="BI326" s="69" t="n">
        <f aca="false">IF(AND(BI$261&gt;1,MOD(BI$260-1,12)=0),Inputs!$D$52,0)</f>
        <v>0</v>
      </c>
      <c r="BJ326" s="69" t="n">
        <f aca="false">IF(AND(BJ$261&gt;1,MOD(BJ$260-1,12)=0),Inputs!$D$52,0)</f>
        <v>0</v>
      </c>
    </row>
    <row r="327" customFormat="false" ht="15" hidden="false" customHeight="false" outlineLevel="0" collapsed="false">
      <c r="A327" s="4" t="s">
        <v>84</v>
      </c>
      <c r="C327" s="75" t="n">
        <f aca="false">C323+C324+C325+C326</f>
        <v>4100000</v>
      </c>
      <c r="D327" s="75" t="n">
        <f aca="false">D323+D324+D325+D326</f>
        <v>0</v>
      </c>
      <c r="E327" s="75" t="n">
        <f aca="false">E323+E324+E325+E326</f>
        <v>0</v>
      </c>
      <c r="F327" s="75" t="n">
        <f aca="false">F323+F324+F325+F326</f>
        <v>0</v>
      </c>
      <c r="G327" s="75" t="n">
        <f aca="false">G323+G324+G325+G326</f>
        <v>0</v>
      </c>
      <c r="H327" s="75" t="n">
        <f aca="false">H323+H324+H325+H326</f>
        <v>0</v>
      </c>
      <c r="I327" s="75" t="n">
        <f aca="false">I323+I324+I325+I326</f>
        <v>0</v>
      </c>
      <c r="J327" s="75" t="n">
        <f aca="false">J323+J324+J325+J326</f>
        <v>0</v>
      </c>
      <c r="K327" s="75" t="n">
        <f aca="false">K323+K324+K325+K326</f>
        <v>0</v>
      </c>
      <c r="L327" s="75" t="n">
        <f aca="false">L323+L324+L325+L326</f>
        <v>0</v>
      </c>
      <c r="M327" s="75" t="n">
        <f aca="false">M323+M324+M325+M326</f>
        <v>0</v>
      </c>
      <c r="N327" s="75" t="n">
        <f aca="false">N323+N324+N325+N326</f>
        <v>0</v>
      </c>
      <c r="O327" s="75" t="n">
        <f aca="false">O323+O324+O325+O326</f>
        <v>40000</v>
      </c>
      <c r="P327" s="75" t="n">
        <f aca="false">P323+P324+P325+P326</f>
        <v>0</v>
      </c>
      <c r="Q327" s="75" t="n">
        <f aca="false">Q323+Q324+Q325+Q326</f>
        <v>0</v>
      </c>
      <c r="R327" s="75" t="n">
        <f aca="false">R323+R324+R325+R326</f>
        <v>0</v>
      </c>
      <c r="S327" s="75" t="n">
        <f aca="false">S323+S324+S325+S326</f>
        <v>0</v>
      </c>
      <c r="T327" s="75" t="n">
        <f aca="false">T323+T324+T325+T326</f>
        <v>0</v>
      </c>
      <c r="U327" s="75" t="n">
        <f aca="false">U323+U324+U325+U326</f>
        <v>0</v>
      </c>
      <c r="V327" s="75" t="n">
        <f aca="false">V323+V324+V325+V326</f>
        <v>0</v>
      </c>
      <c r="W327" s="75" t="n">
        <f aca="false">W323+W324+W325+W326</f>
        <v>0</v>
      </c>
      <c r="X327" s="75" t="n">
        <f aca="false">X323+X324+X325+X326</f>
        <v>0</v>
      </c>
      <c r="Y327" s="75" t="n">
        <f aca="false">Y323+Y324+Y325+Y326</f>
        <v>0</v>
      </c>
      <c r="Z327" s="75" t="n">
        <f aca="false">Z323+Z324+Z325+Z326</f>
        <v>0</v>
      </c>
      <c r="AA327" s="75" t="n">
        <f aca="false">AA323+AA324+AA325+AA326</f>
        <v>40000</v>
      </c>
      <c r="AB327" s="75" t="n">
        <f aca="false">AB323+AB324+AB325+AB326</f>
        <v>0</v>
      </c>
      <c r="AC327" s="75" t="n">
        <f aca="false">AC323+AC324+AC325+AC326</f>
        <v>0</v>
      </c>
      <c r="AD327" s="75" t="n">
        <f aca="false">AD323+AD324+AD325+AD326</f>
        <v>0</v>
      </c>
      <c r="AE327" s="75" t="n">
        <f aca="false">AE323+AE324+AE325+AE326</f>
        <v>0</v>
      </c>
      <c r="AF327" s="75" t="n">
        <f aca="false">AF323+AF324+AF325+AF326</f>
        <v>0</v>
      </c>
      <c r="AG327" s="75" t="n">
        <f aca="false">AG323+AG324+AG325+AG326</f>
        <v>0</v>
      </c>
      <c r="AH327" s="75" t="n">
        <f aca="false">AH323+AH324+AH325+AH326</f>
        <v>0</v>
      </c>
      <c r="AI327" s="75" t="n">
        <f aca="false">AI323+AI324+AI325+AI326</f>
        <v>0</v>
      </c>
      <c r="AJ327" s="75" t="n">
        <f aca="false">AJ323+AJ324+AJ325+AJ326</f>
        <v>0</v>
      </c>
      <c r="AK327" s="75" t="n">
        <f aca="false">AK323+AK324+AK325+AK326</f>
        <v>0</v>
      </c>
      <c r="AL327" s="75" t="n">
        <f aca="false">AL323+AL324+AL325+AL326</f>
        <v>0</v>
      </c>
      <c r="AM327" s="75" t="n">
        <f aca="false">AM323+AM324+AM325+AM326</f>
        <v>40000</v>
      </c>
      <c r="AN327" s="75" t="n">
        <f aca="false">AN323+AN324+AN325+AN326</f>
        <v>0</v>
      </c>
      <c r="AO327" s="75" t="n">
        <f aca="false">AO323+AO324+AO325+AO326</f>
        <v>0</v>
      </c>
      <c r="AP327" s="75" t="n">
        <f aca="false">AP323+AP324+AP325+AP326</f>
        <v>0</v>
      </c>
      <c r="AQ327" s="75" t="n">
        <f aca="false">AQ323+AQ324+AQ325+AQ326</f>
        <v>0</v>
      </c>
      <c r="AR327" s="75" t="n">
        <f aca="false">AR323+AR324+AR325+AR326</f>
        <v>0</v>
      </c>
      <c r="AS327" s="75" t="n">
        <f aca="false">AS323+AS324+AS325+AS326</f>
        <v>0</v>
      </c>
      <c r="AT327" s="75" t="n">
        <f aca="false">AT323+AT324+AT325+AT326</f>
        <v>0</v>
      </c>
      <c r="AU327" s="75" t="n">
        <f aca="false">AU323+AU324+AU325+AU326</f>
        <v>0</v>
      </c>
      <c r="AV327" s="75" t="n">
        <f aca="false">AV323+AV324+AV325+AV326</f>
        <v>0</v>
      </c>
      <c r="AW327" s="75" t="n">
        <f aca="false">AW323+AW324+AW325+AW326</f>
        <v>0</v>
      </c>
      <c r="AX327" s="75" t="n">
        <f aca="false">AX323+AX324+AX325+AX326</f>
        <v>0</v>
      </c>
      <c r="AY327" s="75" t="n">
        <f aca="false">AY323+AY324+AY325+AY326</f>
        <v>40000</v>
      </c>
      <c r="AZ327" s="75" t="n">
        <f aca="false">AZ323+AZ324+AZ325+AZ326</f>
        <v>0</v>
      </c>
      <c r="BA327" s="75" t="n">
        <f aca="false">BA323+BA324+BA325+BA326</f>
        <v>0</v>
      </c>
      <c r="BB327" s="75" t="n">
        <f aca="false">BB323+BB324+BB325+BB326</f>
        <v>0</v>
      </c>
      <c r="BC327" s="75" t="n">
        <f aca="false">BC323+BC324+BC325+BC326</f>
        <v>0</v>
      </c>
      <c r="BD327" s="75" t="n">
        <f aca="false">BD323+BD324+BD325+BD326</f>
        <v>0</v>
      </c>
      <c r="BE327" s="75" t="n">
        <f aca="false">BE323+BE324+BE325+BE326</f>
        <v>0</v>
      </c>
      <c r="BF327" s="75" t="n">
        <f aca="false">BF323+BF324+BF325+BF326</f>
        <v>0</v>
      </c>
      <c r="BG327" s="75" t="n">
        <f aca="false">BG323+BG324+BG325+BG326</f>
        <v>0</v>
      </c>
      <c r="BH327" s="75" t="n">
        <f aca="false">BH323+BH324+BH325+BH326</f>
        <v>0</v>
      </c>
      <c r="BI327" s="75" t="n">
        <f aca="false">BI323+BI324+BI325+BI326</f>
        <v>0</v>
      </c>
      <c r="BJ327" s="75" t="n">
        <f aca="false">BJ323+BJ324+BJ325+BJ326</f>
        <v>0</v>
      </c>
    </row>
    <row r="328" customFormat="false" ht="15" hidden="false" customHeight="false" outlineLevel="0" collapsed="false">
      <c r="A328" s="6" t="s">
        <v>450</v>
      </c>
      <c r="C328" s="69" t="n">
        <f aca="false">C327</f>
        <v>4100000</v>
      </c>
      <c r="D328" s="69" t="n">
        <f aca="false">C328+D327</f>
        <v>4100000</v>
      </c>
      <c r="E328" s="69" t="n">
        <f aca="false">D328+E327</f>
        <v>4100000</v>
      </c>
      <c r="F328" s="69" t="n">
        <f aca="false">E328+F327</f>
        <v>4100000</v>
      </c>
      <c r="G328" s="69" t="n">
        <f aca="false">F328+G327</f>
        <v>4100000</v>
      </c>
      <c r="H328" s="69" t="n">
        <f aca="false">G328+H327</f>
        <v>4100000</v>
      </c>
      <c r="I328" s="69" t="n">
        <f aca="false">H328+I327</f>
        <v>4100000</v>
      </c>
      <c r="J328" s="69" t="n">
        <f aca="false">I328+J327</f>
        <v>4100000</v>
      </c>
      <c r="K328" s="69" t="n">
        <f aca="false">J328+K327</f>
        <v>4100000</v>
      </c>
      <c r="L328" s="69" t="n">
        <f aca="false">K328+L327</f>
        <v>4100000</v>
      </c>
      <c r="M328" s="69" t="n">
        <f aca="false">L328+M327</f>
        <v>4100000</v>
      </c>
      <c r="N328" s="69" t="n">
        <f aca="false">M328+N327</f>
        <v>4100000</v>
      </c>
      <c r="O328" s="69" t="n">
        <f aca="false">N328+O327</f>
        <v>4140000</v>
      </c>
      <c r="P328" s="69" t="n">
        <f aca="false">O328+P327</f>
        <v>4140000</v>
      </c>
      <c r="Q328" s="69" t="n">
        <f aca="false">P328+Q327</f>
        <v>4140000</v>
      </c>
      <c r="R328" s="69" t="n">
        <f aca="false">Q328+R327</f>
        <v>4140000</v>
      </c>
      <c r="S328" s="69" t="n">
        <f aca="false">R328+S327</f>
        <v>4140000</v>
      </c>
      <c r="T328" s="69" t="n">
        <f aca="false">S328+T327</f>
        <v>4140000</v>
      </c>
      <c r="U328" s="69" t="n">
        <f aca="false">T328+U327</f>
        <v>4140000</v>
      </c>
      <c r="V328" s="69" t="n">
        <f aca="false">U328+V327</f>
        <v>4140000</v>
      </c>
      <c r="W328" s="69" t="n">
        <f aca="false">V328+W327</f>
        <v>4140000</v>
      </c>
      <c r="X328" s="69" t="n">
        <f aca="false">W328+X327</f>
        <v>4140000</v>
      </c>
      <c r="Y328" s="69" t="n">
        <f aca="false">X328+Y327</f>
        <v>4140000</v>
      </c>
      <c r="Z328" s="69" t="n">
        <f aca="false">Y328+Z327</f>
        <v>4140000</v>
      </c>
      <c r="AA328" s="69" t="n">
        <f aca="false">Z328+AA327</f>
        <v>4180000</v>
      </c>
      <c r="AB328" s="69" t="n">
        <f aca="false">AA328+AB327</f>
        <v>4180000</v>
      </c>
      <c r="AC328" s="69" t="n">
        <f aca="false">AB328+AC327</f>
        <v>4180000</v>
      </c>
      <c r="AD328" s="69" t="n">
        <f aca="false">AC328+AD327</f>
        <v>4180000</v>
      </c>
      <c r="AE328" s="69" t="n">
        <f aca="false">AD328+AE327</f>
        <v>4180000</v>
      </c>
      <c r="AF328" s="69" t="n">
        <f aca="false">AE328+AF327</f>
        <v>4180000</v>
      </c>
      <c r="AG328" s="69" t="n">
        <f aca="false">AF328+AG327</f>
        <v>4180000</v>
      </c>
      <c r="AH328" s="69" t="n">
        <f aca="false">AG328+AH327</f>
        <v>4180000</v>
      </c>
      <c r="AI328" s="69" t="n">
        <f aca="false">AH328+AI327</f>
        <v>4180000</v>
      </c>
      <c r="AJ328" s="69" t="n">
        <f aca="false">AI328+AJ327</f>
        <v>4180000</v>
      </c>
      <c r="AK328" s="69" t="n">
        <f aca="false">AJ328+AK327</f>
        <v>4180000</v>
      </c>
      <c r="AL328" s="69" t="n">
        <f aca="false">AK328+AL327</f>
        <v>4180000</v>
      </c>
      <c r="AM328" s="69" t="n">
        <f aca="false">AL328+AM327</f>
        <v>4220000</v>
      </c>
      <c r="AN328" s="69" t="n">
        <f aca="false">AM328+AN327</f>
        <v>4220000</v>
      </c>
      <c r="AO328" s="69" t="n">
        <f aca="false">AN328+AO327</f>
        <v>4220000</v>
      </c>
      <c r="AP328" s="69" t="n">
        <f aca="false">AO328+AP327</f>
        <v>4220000</v>
      </c>
      <c r="AQ328" s="69" t="n">
        <f aca="false">AP328+AQ327</f>
        <v>4220000</v>
      </c>
      <c r="AR328" s="69" t="n">
        <f aca="false">AQ328+AR327</f>
        <v>4220000</v>
      </c>
      <c r="AS328" s="69" t="n">
        <f aca="false">AR328+AS327</f>
        <v>4220000</v>
      </c>
      <c r="AT328" s="69" t="n">
        <f aca="false">AS328+AT327</f>
        <v>4220000</v>
      </c>
      <c r="AU328" s="69" t="n">
        <f aca="false">AT328+AU327</f>
        <v>4220000</v>
      </c>
      <c r="AV328" s="69" t="n">
        <f aca="false">AU328+AV327</f>
        <v>4220000</v>
      </c>
      <c r="AW328" s="69" t="n">
        <f aca="false">AV328+AW327</f>
        <v>4220000</v>
      </c>
      <c r="AX328" s="69" t="n">
        <f aca="false">AW328+AX327</f>
        <v>4220000</v>
      </c>
      <c r="AY328" s="69" t="n">
        <f aca="false">AX328+AY327</f>
        <v>4260000</v>
      </c>
      <c r="AZ328" s="69" t="n">
        <f aca="false">AY328+AZ327</f>
        <v>4260000</v>
      </c>
      <c r="BA328" s="69" t="n">
        <f aca="false">AZ328+BA327</f>
        <v>4260000</v>
      </c>
      <c r="BB328" s="69" t="n">
        <f aca="false">BA328+BB327</f>
        <v>4260000</v>
      </c>
      <c r="BC328" s="69" t="n">
        <f aca="false">BB328+BC327</f>
        <v>4260000</v>
      </c>
      <c r="BD328" s="69" t="n">
        <f aca="false">BC328+BD327</f>
        <v>4260000</v>
      </c>
      <c r="BE328" s="69" t="n">
        <f aca="false">BD328+BE327</f>
        <v>4260000</v>
      </c>
      <c r="BF328" s="69" t="n">
        <f aca="false">BE328+BF327</f>
        <v>4260000</v>
      </c>
      <c r="BG328" s="69" t="n">
        <f aca="false">BF328+BG327</f>
        <v>4260000</v>
      </c>
      <c r="BH328" s="69" t="n">
        <f aca="false">BG328+BH327</f>
        <v>4260000</v>
      </c>
      <c r="BI328" s="69" t="n">
        <f aca="false">BH328+BI327</f>
        <v>4260000</v>
      </c>
      <c r="BJ328" s="69" t="n">
        <f aca="false">BI328+BJ327</f>
        <v>4260000</v>
      </c>
    </row>
    <row r="329" customFormat="false" ht="15" hidden="false" customHeight="false" outlineLevel="0" collapsed="false">
      <c r="A329" s="6" t="s">
        <v>78</v>
      </c>
      <c r="C329" s="69" t="n">
        <f aca="false">-MIN(C328/MAX(1,Inputs!$D$78*12),C327)</f>
        <v>-28472.2222222222</v>
      </c>
      <c r="D329" s="69" t="n">
        <f aca="false">-MIN(D328/MAX(1,Inputs!$D$78*12),C331+D327)</f>
        <v>-28472.2222222222</v>
      </c>
      <c r="E329" s="69" t="n">
        <f aca="false">-MIN(E328/MAX(1,Inputs!$D$78*12),D331+E327)</f>
        <v>-28472.2222222222</v>
      </c>
      <c r="F329" s="69" t="n">
        <f aca="false">-MIN(F328/MAX(1,Inputs!$D$78*12),E331+F327)</f>
        <v>-28472.2222222222</v>
      </c>
      <c r="G329" s="69" t="n">
        <f aca="false">-MIN(G328/MAX(1,Inputs!$D$78*12),F331+G327)</f>
        <v>-28472.2222222222</v>
      </c>
      <c r="H329" s="69" t="n">
        <f aca="false">-MIN(H328/MAX(1,Inputs!$D$78*12),G331+H327)</f>
        <v>-28472.2222222222</v>
      </c>
      <c r="I329" s="69" t="n">
        <f aca="false">-MIN(I328/MAX(1,Inputs!$D$78*12),H331+I327)</f>
        <v>-28472.2222222222</v>
      </c>
      <c r="J329" s="69" t="n">
        <f aca="false">-MIN(J328/MAX(1,Inputs!$D$78*12),I331+J327)</f>
        <v>-28472.2222222222</v>
      </c>
      <c r="K329" s="69" t="n">
        <f aca="false">-MIN(K328/MAX(1,Inputs!$D$78*12),J331+K327)</f>
        <v>-28472.2222222222</v>
      </c>
      <c r="L329" s="69" t="n">
        <f aca="false">-MIN(L328/MAX(1,Inputs!$D$78*12),K331+L327)</f>
        <v>-28472.2222222222</v>
      </c>
      <c r="M329" s="69" t="n">
        <f aca="false">-MIN(M328/MAX(1,Inputs!$D$78*12),L331+M327)</f>
        <v>-28472.2222222222</v>
      </c>
      <c r="N329" s="69" t="n">
        <f aca="false">-MIN(N328/MAX(1,Inputs!$D$78*12),M331+N327)</f>
        <v>-28472.2222222222</v>
      </c>
      <c r="O329" s="69" t="n">
        <f aca="false">-MIN(O328/MAX(1,Inputs!$D$78*12),N331+O327)</f>
        <v>-28750</v>
      </c>
      <c r="P329" s="69" t="n">
        <f aca="false">-MIN(P328/MAX(1,Inputs!$D$78*12),O331+P327)</f>
        <v>-28750</v>
      </c>
      <c r="Q329" s="69" t="n">
        <f aca="false">-MIN(Q328/MAX(1,Inputs!$D$78*12),P331+Q327)</f>
        <v>-28750</v>
      </c>
      <c r="R329" s="69" t="n">
        <f aca="false">-MIN(R328/MAX(1,Inputs!$D$78*12),Q331+R327)</f>
        <v>-28750</v>
      </c>
      <c r="S329" s="69" t="n">
        <f aca="false">-MIN(S328/MAX(1,Inputs!$D$78*12),R331+S327)</f>
        <v>-28750</v>
      </c>
      <c r="T329" s="69" t="n">
        <f aca="false">-MIN(T328/MAX(1,Inputs!$D$78*12),S331+T327)</f>
        <v>-28750</v>
      </c>
      <c r="U329" s="69" t="n">
        <f aca="false">-MIN(U328/MAX(1,Inputs!$D$78*12),T331+U327)</f>
        <v>-28750</v>
      </c>
      <c r="V329" s="69" t="n">
        <f aca="false">-MIN(V328/MAX(1,Inputs!$D$78*12),U331+V327)</f>
        <v>-28750</v>
      </c>
      <c r="W329" s="69" t="n">
        <f aca="false">-MIN(W328/MAX(1,Inputs!$D$78*12),V331+W327)</f>
        <v>-28750</v>
      </c>
      <c r="X329" s="69" t="n">
        <f aca="false">-MIN(X328/MAX(1,Inputs!$D$78*12),W331+X327)</f>
        <v>-28750</v>
      </c>
      <c r="Y329" s="69" t="n">
        <f aca="false">-MIN(Y328/MAX(1,Inputs!$D$78*12),X331+Y327)</f>
        <v>-28750</v>
      </c>
      <c r="Z329" s="69" t="n">
        <f aca="false">-MIN(Z328/MAX(1,Inputs!$D$78*12),Y331+Z327)</f>
        <v>-28750</v>
      </c>
      <c r="AA329" s="69" t="n">
        <f aca="false">-MIN(AA328/MAX(1,Inputs!$D$78*12),Z331+AA327)</f>
        <v>-29027.7777777778</v>
      </c>
      <c r="AB329" s="69" t="n">
        <f aca="false">-MIN(AB328/MAX(1,Inputs!$D$78*12),AA331+AB327)</f>
        <v>-29027.7777777778</v>
      </c>
      <c r="AC329" s="69" t="n">
        <f aca="false">-MIN(AC328/MAX(1,Inputs!$D$78*12),AB331+AC327)</f>
        <v>-29027.7777777778</v>
      </c>
      <c r="AD329" s="69" t="n">
        <f aca="false">-MIN(AD328/MAX(1,Inputs!$D$78*12),AC331+AD327)</f>
        <v>-29027.7777777778</v>
      </c>
      <c r="AE329" s="69" t="n">
        <f aca="false">-MIN(AE328/MAX(1,Inputs!$D$78*12),AD331+AE327)</f>
        <v>-29027.7777777778</v>
      </c>
      <c r="AF329" s="69" t="n">
        <f aca="false">-MIN(AF328/MAX(1,Inputs!$D$78*12),AE331+AF327)</f>
        <v>-29027.7777777778</v>
      </c>
      <c r="AG329" s="69" t="n">
        <f aca="false">-MIN(AG328/MAX(1,Inputs!$D$78*12),AF331+AG327)</f>
        <v>-29027.7777777778</v>
      </c>
      <c r="AH329" s="69" t="n">
        <f aca="false">-MIN(AH328/MAX(1,Inputs!$D$78*12),AG331+AH327)</f>
        <v>-29027.7777777778</v>
      </c>
      <c r="AI329" s="69" t="n">
        <f aca="false">-MIN(AI328/MAX(1,Inputs!$D$78*12),AH331+AI327)</f>
        <v>-29027.7777777778</v>
      </c>
      <c r="AJ329" s="69" t="n">
        <f aca="false">-MIN(AJ328/MAX(1,Inputs!$D$78*12),AI331+AJ327)</f>
        <v>-29027.7777777778</v>
      </c>
      <c r="AK329" s="69" t="n">
        <f aca="false">-MIN(AK328/MAX(1,Inputs!$D$78*12),AJ331+AK327)</f>
        <v>-29027.7777777778</v>
      </c>
      <c r="AL329" s="69" t="n">
        <f aca="false">-MIN(AL328/MAX(1,Inputs!$D$78*12),AK331+AL327)</f>
        <v>-29027.7777777778</v>
      </c>
      <c r="AM329" s="69" t="n">
        <f aca="false">-MIN(AM328/MAX(1,Inputs!$D$78*12),AL331+AM327)</f>
        <v>-29305.5555555556</v>
      </c>
      <c r="AN329" s="69" t="n">
        <f aca="false">-MIN(AN328/MAX(1,Inputs!$D$78*12),AM331+AN327)</f>
        <v>-29305.5555555556</v>
      </c>
      <c r="AO329" s="69" t="n">
        <f aca="false">-MIN(AO328/MAX(1,Inputs!$D$78*12),AN331+AO327)</f>
        <v>-29305.5555555556</v>
      </c>
      <c r="AP329" s="69" t="n">
        <f aca="false">-MIN(AP328/MAX(1,Inputs!$D$78*12),AO331+AP327)</f>
        <v>-29305.5555555556</v>
      </c>
      <c r="AQ329" s="69" t="n">
        <f aca="false">-MIN(AQ328/MAX(1,Inputs!$D$78*12),AP331+AQ327)</f>
        <v>-29305.5555555556</v>
      </c>
      <c r="AR329" s="69" t="n">
        <f aca="false">-MIN(AR328/MAX(1,Inputs!$D$78*12),AQ331+AR327)</f>
        <v>-29305.5555555556</v>
      </c>
      <c r="AS329" s="69" t="n">
        <f aca="false">-MIN(AS328/MAX(1,Inputs!$D$78*12),AR331+AS327)</f>
        <v>-29305.5555555556</v>
      </c>
      <c r="AT329" s="69" t="n">
        <f aca="false">-MIN(AT328/MAX(1,Inputs!$D$78*12),AS331+AT327)</f>
        <v>-29305.5555555556</v>
      </c>
      <c r="AU329" s="69" t="n">
        <f aca="false">-MIN(AU328/MAX(1,Inputs!$D$78*12),AT331+AU327)</f>
        <v>-29305.5555555556</v>
      </c>
      <c r="AV329" s="69" t="n">
        <f aca="false">-MIN(AV328/MAX(1,Inputs!$D$78*12),AU331+AV327)</f>
        <v>-29305.5555555556</v>
      </c>
      <c r="AW329" s="69" t="n">
        <f aca="false">-MIN(AW328/MAX(1,Inputs!$D$78*12),AV331+AW327)</f>
        <v>-29305.5555555556</v>
      </c>
      <c r="AX329" s="69" t="n">
        <f aca="false">-MIN(AX328/MAX(1,Inputs!$D$78*12),AW331+AX327)</f>
        <v>-29305.5555555556</v>
      </c>
      <c r="AY329" s="69" t="n">
        <f aca="false">-MIN(AY328/MAX(1,Inputs!$D$78*12),AX331+AY327)</f>
        <v>-29583.3333333333</v>
      </c>
      <c r="AZ329" s="69" t="n">
        <f aca="false">-MIN(AZ328/MAX(1,Inputs!$D$78*12),AY331+AZ327)</f>
        <v>-29583.3333333333</v>
      </c>
      <c r="BA329" s="69" t="n">
        <f aca="false">-MIN(BA328/MAX(1,Inputs!$D$78*12),AZ331+BA327)</f>
        <v>-29583.3333333333</v>
      </c>
      <c r="BB329" s="69" t="n">
        <f aca="false">-MIN(BB328/MAX(1,Inputs!$D$78*12),BA331+BB327)</f>
        <v>-29583.3333333333</v>
      </c>
      <c r="BC329" s="69" t="n">
        <f aca="false">-MIN(BC328/MAX(1,Inputs!$D$78*12),BB331+BC327)</f>
        <v>-29583.3333333333</v>
      </c>
      <c r="BD329" s="69" t="n">
        <f aca="false">-MIN(BD328/MAX(1,Inputs!$D$78*12),BC331+BD327)</f>
        <v>-29583.3333333333</v>
      </c>
      <c r="BE329" s="69" t="n">
        <f aca="false">-MIN(BE328/MAX(1,Inputs!$D$78*12),BD331+BE327)</f>
        <v>-29583.3333333333</v>
      </c>
      <c r="BF329" s="69" t="n">
        <f aca="false">-MIN(BF328/MAX(1,Inputs!$D$78*12),BE331+BF327)</f>
        <v>-29583.3333333333</v>
      </c>
      <c r="BG329" s="69" t="n">
        <f aca="false">-MIN(BG328/MAX(1,Inputs!$D$78*12),BF331+BG327)</f>
        <v>-29583.3333333333</v>
      </c>
      <c r="BH329" s="69" t="n">
        <f aca="false">-MIN(BH328/MAX(1,Inputs!$D$78*12),BG331+BH327)</f>
        <v>-29583.3333333333</v>
      </c>
      <c r="BI329" s="69" t="n">
        <f aca="false">-MIN(BI328/MAX(1,Inputs!$D$78*12),BH331+BI327)</f>
        <v>-29583.3333333333</v>
      </c>
      <c r="BJ329" s="69" t="n">
        <f aca="false">-MIN(BJ328/MAX(1,Inputs!$D$78*12),BI331+BJ327)</f>
        <v>-29583.3333333333</v>
      </c>
    </row>
    <row r="330" customFormat="false" ht="15" hidden="false" customHeight="false" outlineLevel="0" collapsed="false">
      <c r="A330" s="6" t="s">
        <v>451</v>
      </c>
      <c r="C330" s="69" t="n">
        <f aca="false">C329</f>
        <v>-28472.2222222222</v>
      </c>
      <c r="D330" s="69" t="n">
        <f aca="false">C330+D329</f>
        <v>-56944.4444444444</v>
      </c>
      <c r="E330" s="69" t="n">
        <f aca="false">D330+E329</f>
        <v>-85416.6666666667</v>
      </c>
      <c r="F330" s="69" t="n">
        <f aca="false">E330+F329</f>
        <v>-113888.888888889</v>
      </c>
      <c r="G330" s="69" t="n">
        <f aca="false">F330+G329</f>
        <v>-142361.111111111</v>
      </c>
      <c r="H330" s="69" t="n">
        <f aca="false">G330+H329</f>
        <v>-170833.333333333</v>
      </c>
      <c r="I330" s="69" t="n">
        <f aca="false">H330+I329</f>
        <v>-199305.555555556</v>
      </c>
      <c r="J330" s="69" t="n">
        <f aca="false">I330+J329</f>
        <v>-227777.777777778</v>
      </c>
      <c r="K330" s="69" t="n">
        <f aca="false">J330+K329</f>
        <v>-256250</v>
      </c>
      <c r="L330" s="69" t="n">
        <f aca="false">K330+L329</f>
        <v>-284722.222222222</v>
      </c>
      <c r="M330" s="69" t="n">
        <f aca="false">L330+M329</f>
        <v>-313194.444444445</v>
      </c>
      <c r="N330" s="69" t="n">
        <f aca="false">M330+N329</f>
        <v>-341666.666666667</v>
      </c>
      <c r="O330" s="69" t="n">
        <f aca="false">N330+O329</f>
        <v>-370416.666666667</v>
      </c>
      <c r="P330" s="69" t="n">
        <f aca="false">O330+P329</f>
        <v>-399166.666666667</v>
      </c>
      <c r="Q330" s="69" t="n">
        <f aca="false">P330+Q329</f>
        <v>-427916.666666667</v>
      </c>
      <c r="R330" s="69" t="n">
        <f aca="false">Q330+R329</f>
        <v>-456666.666666667</v>
      </c>
      <c r="S330" s="69" t="n">
        <f aca="false">R330+S329</f>
        <v>-485416.666666667</v>
      </c>
      <c r="T330" s="69" t="n">
        <f aca="false">S330+T329</f>
        <v>-514166.666666667</v>
      </c>
      <c r="U330" s="69" t="n">
        <f aca="false">T330+U329</f>
        <v>-542916.666666667</v>
      </c>
      <c r="V330" s="69" t="n">
        <f aca="false">U330+V329</f>
        <v>-571666.666666667</v>
      </c>
      <c r="W330" s="69" t="n">
        <f aca="false">V330+W329</f>
        <v>-600416.666666667</v>
      </c>
      <c r="X330" s="69" t="n">
        <f aca="false">W330+X329</f>
        <v>-629166.666666667</v>
      </c>
      <c r="Y330" s="69" t="n">
        <f aca="false">X330+Y329</f>
        <v>-657916.666666667</v>
      </c>
      <c r="Z330" s="69" t="n">
        <f aca="false">Y330+Z329</f>
        <v>-686666.666666667</v>
      </c>
      <c r="AA330" s="69" t="n">
        <f aca="false">Z330+AA329</f>
        <v>-715694.444444445</v>
      </c>
      <c r="AB330" s="69" t="n">
        <f aca="false">AA330+AB329</f>
        <v>-744722.222222222</v>
      </c>
      <c r="AC330" s="69" t="n">
        <f aca="false">AB330+AC329</f>
        <v>-773750</v>
      </c>
      <c r="AD330" s="69" t="n">
        <f aca="false">AC330+AD329</f>
        <v>-802777.777777778</v>
      </c>
      <c r="AE330" s="69" t="n">
        <f aca="false">AD330+AE329</f>
        <v>-831805.555555556</v>
      </c>
      <c r="AF330" s="69" t="n">
        <f aca="false">AE330+AF329</f>
        <v>-860833.333333333</v>
      </c>
      <c r="AG330" s="69" t="n">
        <f aca="false">AF330+AG329</f>
        <v>-889861.111111111</v>
      </c>
      <c r="AH330" s="69" t="n">
        <f aca="false">AG330+AH329</f>
        <v>-918888.888888889</v>
      </c>
      <c r="AI330" s="69" t="n">
        <f aca="false">AH330+AI329</f>
        <v>-947916.666666667</v>
      </c>
      <c r="AJ330" s="69" t="n">
        <f aca="false">AI330+AJ329</f>
        <v>-976944.444444444</v>
      </c>
      <c r="AK330" s="69" t="n">
        <f aca="false">AJ330+AK329</f>
        <v>-1005972.22222222</v>
      </c>
      <c r="AL330" s="69" t="n">
        <f aca="false">AK330+AL329</f>
        <v>-1035000</v>
      </c>
      <c r="AM330" s="69" t="n">
        <f aca="false">AL330+AM329</f>
        <v>-1064305.55555556</v>
      </c>
      <c r="AN330" s="69" t="n">
        <f aca="false">AM330+AN329</f>
        <v>-1093611.11111111</v>
      </c>
      <c r="AO330" s="69" t="n">
        <f aca="false">AN330+AO329</f>
        <v>-1122916.66666667</v>
      </c>
      <c r="AP330" s="69" t="n">
        <f aca="false">AO330+AP329</f>
        <v>-1152222.22222222</v>
      </c>
      <c r="AQ330" s="69" t="n">
        <f aca="false">AP330+AQ329</f>
        <v>-1181527.77777778</v>
      </c>
      <c r="AR330" s="69" t="n">
        <f aca="false">AQ330+AR329</f>
        <v>-1210833.33333333</v>
      </c>
      <c r="AS330" s="69" t="n">
        <f aca="false">AR330+AS329</f>
        <v>-1240138.88888889</v>
      </c>
      <c r="AT330" s="69" t="n">
        <f aca="false">AS330+AT329</f>
        <v>-1269444.44444444</v>
      </c>
      <c r="AU330" s="69" t="n">
        <f aca="false">AT330+AU329</f>
        <v>-1298750</v>
      </c>
      <c r="AV330" s="69" t="n">
        <f aca="false">AU330+AV329</f>
        <v>-1328055.55555555</v>
      </c>
      <c r="AW330" s="69" t="n">
        <f aca="false">AV330+AW329</f>
        <v>-1357361.11111111</v>
      </c>
      <c r="AX330" s="69" t="n">
        <f aca="false">AW330+AX329</f>
        <v>-1386666.66666667</v>
      </c>
      <c r="AY330" s="69" t="n">
        <f aca="false">AX330+AY329</f>
        <v>-1416250</v>
      </c>
      <c r="AZ330" s="69" t="n">
        <f aca="false">AY330+AZ329</f>
        <v>-1445833.33333333</v>
      </c>
      <c r="BA330" s="69" t="n">
        <f aca="false">AZ330+BA329</f>
        <v>-1475416.66666667</v>
      </c>
      <c r="BB330" s="69" t="n">
        <f aca="false">BA330+BB329</f>
        <v>-1505000</v>
      </c>
      <c r="BC330" s="69" t="n">
        <f aca="false">BB330+BC329</f>
        <v>-1534583.33333333</v>
      </c>
      <c r="BD330" s="69" t="n">
        <f aca="false">BC330+BD329</f>
        <v>-1564166.66666667</v>
      </c>
      <c r="BE330" s="69" t="n">
        <f aca="false">BD330+BE329</f>
        <v>-1593750</v>
      </c>
      <c r="BF330" s="69" t="n">
        <f aca="false">BE330+BF329</f>
        <v>-1623333.33333333</v>
      </c>
      <c r="BG330" s="69" t="n">
        <f aca="false">BF330+BG329</f>
        <v>-1652916.66666667</v>
      </c>
      <c r="BH330" s="69" t="n">
        <f aca="false">BG330+BH329</f>
        <v>-1682500</v>
      </c>
      <c r="BI330" s="69" t="n">
        <f aca="false">BH330+BI329</f>
        <v>-1712083.33333333</v>
      </c>
      <c r="BJ330" s="69" t="n">
        <f aca="false">BI330+BJ329</f>
        <v>-1741666.66666666</v>
      </c>
    </row>
    <row r="331" customFormat="false" ht="15" hidden="false" customHeight="false" outlineLevel="0" collapsed="false">
      <c r="A331" s="4" t="s">
        <v>92</v>
      </c>
      <c r="C331" s="75" t="n">
        <f aca="false">C328+C330</f>
        <v>4071527.77777778</v>
      </c>
      <c r="D331" s="75" t="n">
        <f aca="false">D328+D330</f>
        <v>4043055.55555556</v>
      </c>
      <c r="E331" s="75" t="n">
        <f aca="false">E328+E330</f>
        <v>4014583.33333333</v>
      </c>
      <c r="F331" s="75" t="n">
        <f aca="false">F328+F330</f>
        <v>3986111.11111111</v>
      </c>
      <c r="G331" s="75" t="n">
        <f aca="false">G328+G330</f>
        <v>3957638.88888889</v>
      </c>
      <c r="H331" s="75" t="n">
        <f aca="false">H328+H330</f>
        <v>3929166.66666667</v>
      </c>
      <c r="I331" s="75" t="n">
        <f aca="false">I328+I330</f>
        <v>3900694.44444444</v>
      </c>
      <c r="J331" s="75" t="n">
        <f aca="false">J328+J330</f>
        <v>3872222.22222222</v>
      </c>
      <c r="K331" s="75" t="n">
        <f aca="false">K328+K330</f>
        <v>3843750</v>
      </c>
      <c r="L331" s="75" t="n">
        <f aca="false">L328+L330</f>
        <v>3815277.77777778</v>
      </c>
      <c r="M331" s="75" t="n">
        <f aca="false">M328+M330</f>
        <v>3786805.55555556</v>
      </c>
      <c r="N331" s="75" t="n">
        <f aca="false">N328+N330</f>
        <v>3758333.33333333</v>
      </c>
      <c r="O331" s="75" t="n">
        <f aca="false">O328+O330</f>
        <v>3769583.33333333</v>
      </c>
      <c r="P331" s="75" t="n">
        <f aca="false">P328+P330</f>
        <v>3740833.33333333</v>
      </c>
      <c r="Q331" s="75" t="n">
        <f aca="false">Q328+Q330</f>
        <v>3712083.33333333</v>
      </c>
      <c r="R331" s="75" t="n">
        <f aca="false">R328+R330</f>
        <v>3683333.33333333</v>
      </c>
      <c r="S331" s="75" t="n">
        <f aca="false">S328+S330</f>
        <v>3654583.33333333</v>
      </c>
      <c r="T331" s="75" t="n">
        <f aca="false">T328+T330</f>
        <v>3625833.33333333</v>
      </c>
      <c r="U331" s="75" t="n">
        <f aca="false">U328+U330</f>
        <v>3597083.33333333</v>
      </c>
      <c r="V331" s="75" t="n">
        <f aca="false">V328+V330</f>
        <v>3568333.33333333</v>
      </c>
      <c r="W331" s="75" t="n">
        <f aca="false">W328+W330</f>
        <v>3539583.33333333</v>
      </c>
      <c r="X331" s="75" t="n">
        <f aca="false">X328+X330</f>
        <v>3510833.33333333</v>
      </c>
      <c r="Y331" s="75" t="n">
        <f aca="false">Y328+Y330</f>
        <v>3482083.33333333</v>
      </c>
      <c r="Z331" s="75" t="n">
        <f aca="false">Z328+Z330</f>
        <v>3453333.33333333</v>
      </c>
      <c r="AA331" s="75" t="n">
        <f aca="false">AA328+AA330</f>
        <v>3464305.55555556</v>
      </c>
      <c r="AB331" s="75" t="n">
        <f aca="false">AB328+AB330</f>
        <v>3435277.77777778</v>
      </c>
      <c r="AC331" s="75" t="n">
        <f aca="false">AC328+AC330</f>
        <v>3406250</v>
      </c>
      <c r="AD331" s="75" t="n">
        <f aca="false">AD328+AD330</f>
        <v>3377222.22222222</v>
      </c>
      <c r="AE331" s="75" t="n">
        <f aca="false">AE328+AE330</f>
        <v>3348194.44444444</v>
      </c>
      <c r="AF331" s="75" t="n">
        <f aca="false">AF328+AF330</f>
        <v>3319166.66666667</v>
      </c>
      <c r="AG331" s="75" t="n">
        <f aca="false">AG328+AG330</f>
        <v>3290138.88888889</v>
      </c>
      <c r="AH331" s="75" t="n">
        <f aca="false">AH328+AH330</f>
        <v>3261111.11111111</v>
      </c>
      <c r="AI331" s="75" t="n">
        <f aca="false">AI328+AI330</f>
        <v>3232083.33333333</v>
      </c>
      <c r="AJ331" s="75" t="n">
        <f aca="false">AJ328+AJ330</f>
        <v>3203055.55555556</v>
      </c>
      <c r="AK331" s="75" t="n">
        <f aca="false">AK328+AK330</f>
        <v>3174027.77777778</v>
      </c>
      <c r="AL331" s="75" t="n">
        <f aca="false">AL328+AL330</f>
        <v>3145000</v>
      </c>
      <c r="AM331" s="75" t="n">
        <f aca="false">AM328+AM330</f>
        <v>3155694.44444445</v>
      </c>
      <c r="AN331" s="75" t="n">
        <f aca="false">AN328+AN330</f>
        <v>3126388.88888889</v>
      </c>
      <c r="AO331" s="75" t="n">
        <f aca="false">AO328+AO330</f>
        <v>3097083.33333333</v>
      </c>
      <c r="AP331" s="75" t="n">
        <f aca="false">AP328+AP330</f>
        <v>3067777.77777778</v>
      </c>
      <c r="AQ331" s="75" t="n">
        <f aca="false">AQ328+AQ330</f>
        <v>3038472.22222222</v>
      </c>
      <c r="AR331" s="75" t="n">
        <f aca="false">AR328+AR330</f>
        <v>3009166.66666667</v>
      </c>
      <c r="AS331" s="75" t="n">
        <f aca="false">AS328+AS330</f>
        <v>2979861.11111111</v>
      </c>
      <c r="AT331" s="75" t="n">
        <f aca="false">AT328+AT330</f>
        <v>2950555.55555556</v>
      </c>
      <c r="AU331" s="75" t="n">
        <f aca="false">AU328+AU330</f>
        <v>2921250</v>
      </c>
      <c r="AV331" s="75" t="n">
        <f aca="false">AV328+AV330</f>
        <v>2891944.44444445</v>
      </c>
      <c r="AW331" s="75" t="n">
        <f aca="false">AW328+AW330</f>
        <v>2862638.88888889</v>
      </c>
      <c r="AX331" s="75" t="n">
        <f aca="false">AX328+AX330</f>
        <v>2833333.33333333</v>
      </c>
      <c r="AY331" s="75" t="n">
        <f aca="false">AY328+AY330</f>
        <v>2843750</v>
      </c>
      <c r="AZ331" s="75" t="n">
        <f aca="false">AZ328+AZ330</f>
        <v>2814166.66666667</v>
      </c>
      <c r="BA331" s="75" t="n">
        <f aca="false">BA328+BA330</f>
        <v>2784583.33333333</v>
      </c>
      <c r="BB331" s="75" t="n">
        <f aca="false">BB328+BB330</f>
        <v>2755000</v>
      </c>
      <c r="BC331" s="75" t="n">
        <f aca="false">BC328+BC330</f>
        <v>2725416.66666667</v>
      </c>
      <c r="BD331" s="75" t="n">
        <f aca="false">BD328+BD330</f>
        <v>2695833.33333334</v>
      </c>
      <c r="BE331" s="75" t="n">
        <f aca="false">BE328+BE330</f>
        <v>2666250</v>
      </c>
      <c r="BF331" s="75" t="n">
        <f aca="false">BF328+BF330</f>
        <v>2636666.66666667</v>
      </c>
      <c r="BG331" s="75" t="n">
        <f aca="false">BG328+BG330</f>
        <v>2607083.33333334</v>
      </c>
      <c r="BH331" s="75" t="n">
        <f aca="false">BH328+BH330</f>
        <v>2577500</v>
      </c>
      <c r="BI331" s="75" t="n">
        <f aca="false">BI328+BI330</f>
        <v>2547916.66666667</v>
      </c>
      <c r="BJ331" s="75" t="n">
        <f aca="false">BJ328+BJ330</f>
        <v>2518333.33333334</v>
      </c>
    </row>
    <row r="333" customFormat="false" ht="15.75" hidden="false" customHeight="true" outlineLevel="0" collapsed="false">
      <c r="A333" s="7" t="s">
        <v>452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</row>
    <row r="334" customFormat="false" ht="15" hidden="false" customHeight="false" outlineLevel="0" collapsed="false">
      <c r="A334" s="6" t="s">
        <v>453</v>
      </c>
      <c r="C334" s="69" t="n">
        <f aca="false">0</f>
        <v>0</v>
      </c>
      <c r="D334" s="69" t="n">
        <f aca="false">C337</f>
        <v>3000000</v>
      </c>
      <c r="E334" s="69" t="n">
        <f aca="false">D337</f>
        <v>2975000</v>
      </c>
      <c r="F334" s="69" t="n">
        <f aca="false">E337</f>
        <v>2950000</v>
      </c>
      <c r="G334" s="69" t="n">
        <f aca="false">F337</f>
        <v>2925000</v>
      </c>
      <c r="H334" s="69" t="n">
        <f aca="false">G337</f>
        <v>2900000</v>
      </c>
      <c r="I334" s="69" t="n">
        <f aca="false">H337</f>
        <v>2875000</v>
      </c>
      <c r="J334" s="69" t="n">
        <f aca="false">I337</f>
        <v>2850000</v>
      </c>
      <c r="K334" s="69" t="n">
        <f aca="false">J337</f>
        <v>2825000</v>
      </c>
      <c r="L334" s="69" t="n">
        <f aca="false">K337</f>
        <v>2800000</v>
      </c>
      <c r="M334" s="69" t="n">
        <f aca="false">L337</f>
        <v>2775000</v>
      </c>
      <c r="N334" s="69" t="n">
        <f aca="false">M337</f>
        <v>2750000</v>
      </c>
      <c r="O334" s="69" t="n">
        <f aca="false">N337</f>
        <v>2725000</v>
      </c>
      <c r="P334" s="69" t="n">
        <f aca="false">O337</f>
        <v>2700000</v>
      </c>
      <c r="Q334" s="69" t="n">
        <f aca="false">P337</f>
        <v>2675000</v>
      </c>
      <c r="R334" s="69" t="n">
        <f aca="false">Q337</f>
        <v>2650000</v>
      </c>
      <c r="S334" s="69" t="n">
        <f aca="false">R337</f>
        <v>2625000</v>
      </c>
      <c r="T334" s="69" t="n">
        <f aca="false">S337</f>
        <v>2600000</v>
      </c>
      <c r="U334" s="69" t="n">
        <f aca="false">T337</f>
        <v>2575000</v>
      </c>
      <c r="V334" s="69" t="n">
        <f aca="false">U337</f>
        <v>2550000</v>
      </c>
      <c r="W334" s="69" t="n">
        <f aca="false">V337</f>
        <v>2525000</v>
      </c>
      <c r="X334" s="69" t="n">
        <f aca="false">W337</f>
        <v>2500000</v>
      </c>
      <c r="Y334" s="69" t="n">
        <f aca="false">X337</f>
        <v>2475000</v>
      </c>
      <c r="Z334" s="69" t="n">
        <f aca="false">Y337</f>
        <v>2450000</v>
      </c>
      <c r="AA334" s="69" t="n">
        <f aca="false">Z337</f>
        <v>2425000</v>
      </c>
      <c r="AB334" s="69" t="n">
        <f aca="false">AA337</f>
        <v>2400000</v>
      </c>
      <c r="AC334" s="69" t="n">
        <f aca="false">AB337</f>
        <v>2375000</v>
      </c>
      <c r="AD334" s="69" t="n">
        <f aca="false">AC337</f>
        <v>2350000</v>
      </c>
      <c r="AE334" s="69" t="n">
        <f aca="false">AD337</f>
        <v>2325000</v>
      </c>
      <c r="AF334" s="69" t="n">
        <f aca="false">AE337</f>
        <v>2300000</v>
      </c>
      <c r="AG334" s="69" t="n">
        <f aca="false">AF337</f>
        <v>2275000</v>
      </c>
      <c r="AH334" s="69" t="n">
        <f aca="false">AG337</f>
        <v>2250000</v>
      </c>
      <c r="AI334" s="69" t="n">
        <f aca="false">AH337</f>
        <v>2225000</v>
      </c>
      <c r="AJ334" s="69" t="n">
        <f aca="false">AI337</f>
        <v>2200000</v>
      </c>
      <c r="AK334" s="69" t="n">
        <f aca="false">AJ337</f>
        <v>2175000</v>
      </c>
      <c r="AL334" s="69" t="n">
        <f aca="false">AK337</f>
        <v>2150000</v>
      </c>
      <c r="AM334" s="69" t="n">
        <f aca="false">AL337</f>
        <v>2125000</v>
      </c>
      <c r="AN334" s="69" t="n">
        <f aca="false">AM337</f>
        <v>2100000</v>
      </c>
      <c r="AO334" s="69" t="n">
        <f aca="false">AN337</f>
        <v>2075000</v>
      </c>
      <c r="AP334" s="69" t="n">
        <f aca="false">AO337</f>
        <v>2050000</v>
      </c>
      <c r="AQ334" s="69" t="n">
        <f aca="false">AP337</f>
        <v>2025000</v>
      </c>
      <c r="AR334" s="69" t="n">
        <f aca="false">AQ337</f>
        <v>2000000</v>
      </c>
      <c r="AS334" s="69" t="n">
        <f aca="false">AR337</f>
        <v>1975000</v>
      </c>
      <c r="AT334" s="69" t="n">
        <f aca="false">AS337</f>
        <v>1950000</v>
      </c>
      <c r="AU334" s="69" t="n">
        <f aca="false">AT337</f>
        <v>1925000</v>
      </c>
      <c r="AV334" s="69" t="n">
        <f aca="false">AU337</f>
        <v>1900000</v>
      </c>
      <c r="AW334" s="69" t="n">
        <f aca="false">AV337</f>
        <v>1875000</v>
      </c>
      <c r="AX334" s="69" t="n">
        <f aca="false">AW337</f>
        <v>1850000</v>
      </c>
      <c r="AY334" s="69" t="n">
        <f aca="false">AX337</f>
        <v>1825000</v>
      </c>
      <c r="AZ334" s="69" t="n">
        <f aca="false">AY337</f>
        <v>1800000</v>
      </c>
      <c r="BA334" s="69" t="n">
        <f aca="false">AZ337</f>
        <v>1775000</v>
      </c>
      <c r="BB334" s="69" t="n">
        <f aca="false">BA337</f>
        <v>1750000</v>
      </c>
      <c r="BC334" s="69" t="n">
        <f aca="false">BB337</f>
        <v>1725000</v>
      </c>
      <c r="BD334" s="69" t="n">
        <f aca="false">BC337</f>
        <v>1700000</v>
      </c>
      <c r="BE334" s="69" t="n">
        <f aca="false">BD337</f>
        <v>1675000</v>
      </c>
      <c r="BF334" s="69" t="n">
        <f aca="false">BE337</f>
        <v>1650000</v>
      </c>
      <c r="BG334" s="69" t="n">
        <f aca="false">BF337</f>
        <v>1625000</v>
      </c>
      <c r="BH334" s="69" t="n">
        <f aca="false">BG337</f>
        <v>1600000</v>
      </c>
      <c r="BI334" s="69" t="n">
        <f aca="false">BH337</f>
        <v>1575000</v>
      </c>
      <c r="BJ334" s="69" t="n">
        <f aca="false">BI337</f>
        <v>1550000</v>
      </c>
    </row>
    <row r="335" customFormat="false" ht="15" hidden="false" customHeight="false" outlineLevel="0" collapsed="false">
      <c r="A335" s="6" t="s">
        <v>85</v>
      </c>
      <c r="C335" s="69" t="n">
        <f aca="false">IF(C$260=1,Inputs!$D$68,0)</f>
        <v>3000000</v>
      </c>
      <c r="D335" s="69" t="n">
        <f aca="false">IF(D$260=1,Inputs!$D$68,0)</f>
        <v>0</v>
      </c>
      <c r="E335" s="69" t="n">
        <f aca="false">IF(E$260=1,Inputs!$D$68,0)</f>
        <v>0</v>
      </c>
      <c r="F335" s="69" t="n">
        <f aca="false">IF(F$260=1,Inputs!$D$68,0)</f>
        <v>0</v>
      </c>
      <c r="G335" s="69" t="n">
        <f aca="false">IF(G$260=1,Inputs!$D$68,0)</f>
        <v>0</v>
      </c>
      <c r="H335" s="69" t="n">
        <f aca="false">IF(H$260=1,Inputs!$D$68,0)</f>
        <v>0</v>
      </c>
      <c r="I335" s="69" t="n">
        <f aca="false">IF(I$260=1,Inputs!$D$68,0)</f>
        <v>0</v>
      </c>
      <c r="J335" s="69" t="n">
        <f aca="false">IF(J$260=1,Inputs!$D$68,0)</f>
        <v>0</v>
      </c>
      <c r="K335" s="69" t="n">
        <f aca="false">IF(K$260=1,Inputs!$D$68,0)</f>
        <v>0</v>
      </c>
      <c r="L335" s="69" t="n">
        <f aca="false">IF(L$260=1,Inputs!$D$68,0)</f>
        <v>0</v>
      </c>
      <c r="M335" s="69" t="n">
        <f aca="false">IF(M$260=1,Inputs!$D$68,0)</f>
        <v>0</v>
      </c>
      <c r="N335" s="69" t="n">
        <f aca="false">IF(N$260=1,Inputs!$D$68,0)</f>
        <v>0</v>
      </c>
      <c r="O335" s="69" t="n">
        <f aca="false">IF(O$260=1,Inputs!$D$68,0)</f>
        <v>0</v>
      </c>
      <c r="P335" s="69" t="n">
        <f aca="false">IF(P$260=1,Inputs!$D$68,0)</f>
        <v>0</v>
      </c>
      <c r="Q335" s="69" t="n">
        <f aca="false">IF(Q$260=1,Inputs!$D$68,0)</f>
        <v>0</v>
      </c>
      <c r="R335" s="69" t="n">
        <f aca="false">IF(R$260=1,Inputs!$D$68,0)</f>
        <v>0</v>
      </c>
      <c r="S335" s="69" t="n">
        <f aca="false">IF(S$260=1,Inputs!$D$68,0)</f>
        <v>0</v>
      </c>
      <c r="T335" s="69" t="n">
        <f aca="false">IF(T$260=1,Inputs!$D$68,0)</f>
        <v>0</v>
      </c>
      <c r="U335" s="69" t="n">
        <f aca="false">IF(U$260=1,Inputs!$D$68,0)</f>
        <v>0</v>
      </c>
      <c r="V335" s="69" t="n">
        <f aca="false">IF(V$260=1,Inputs!$D$68,0)</f>
        <v>0</v>
      </c>
      <c r="W335" s="69" t="n">
        <f aca="false">IF(W$260=1,Inputs!$D$68,0)</f>
        <v>0</v>
      </c>
      <c r="X335" s="69" t="n">
        <f aca="false">IF(X$260=1,Inputs!$D$68,0)</f>
        <v>0</v>
      </c>
      <c r="Y335" s="69" t="n">
        <f aca="false">IF(Y$260=1,Inputs!$D$68,0)</f>
        <v>0</v>
      </c>
      <c r="Z335" s="69" t="n">
        <f aca="false">IF(Z$260=1,Inputs!$D$68,0)</f>
        <v>0</v>
      </c>
      <c r="AA335" s="69" t="n">
        <f aca="false">IF(AA$260=1,Inputs!$D$68,0)</f>
        <v>0</v>
      </c>
      <c r="AB335" s="69" t="n">
        <f aca="false">IF(AB$260=1,Inputs!$D$68,0)</f>
        <v>0</v>
      </c>
      <c r="AC335" s="69" t="n">
        <f aca="false">IF(AC$260=1,Inputs!$D$68,0)</f>
        <v>0</v>
      </c>
      <c r="AD335" s="69" t="n">
        <f aca="false">IF(AD$260=1,Inputs!$D$68,0)</f>
        <v>0</v>
      </c>
      <c r="AE335" s="69" t="n">
        <f aca="false">IF(AE$260=1,Inputs!$D$68,0)</f>
        <v>0</v>
      </c>
      <c r="AF335" s="69" t="n">
        <f aca="false">IF(AF$260=1,Inputs!$D$68,0)</f>
        <v>0</v>
      </c>
      <c r="AG335" s="69" t="n">
        <f aca="false">IF(AG$260=1,Inputs!$D$68,0)</f>
        <v>0</v>
      </c>
      <c r="AH335" s="69" t="n">
        <f aca="false">IF(AH$260=1,Inputs!$D$68,0)</f>
        <v>0</v>
      </c>
      <c r="AI335" s="69" t="n">
        <f aca="false">IF(AI$260=1,Inputs!$D$68,0)</f>
        <v>0</v>
      </c>
      <c r="AJ335" s="69" t="n">
        <f aca="false">IF(AJ$260=1,Inputs!$D$68,0)</f>
        <v>0</v>
      </c>
      <c r="AK335" s="69" t="n">
        <f aca="false">IF(AK$260=1,Inputs!$D$68,0)</f>
        <v>0</v>
      </c>
      <c r="AL335" s="69" t="n">
        <f aca="false">IF(AL$260=1,Inputs!$D$68,0)</f>
        <v>0</v>
      </c>
      <c r="AM335" s="69" t="n">
        <f aca="false">IF(AM$260=1,Inputs!$D$68,0)</f>
        <v>0</v>
      </c>
      <c r="AN335" s="69" t="n">
        <f aca="false">IF(AN$260=1,Inputs!$D$68,0)</f>
        <v>0</v>
      </c>
      <c r="AO335" s="69" t="n">
        <f aca="false">IF(AO$260=1,Inputs!$D$68,0)</f>
        <v>0</v>
      </c>
      <c r="AP335" s="69" t="n">
        <f aca="false">IF(AP$260=1,Inputs!$D$68,0)</f>
        <v>0</v>
      </c>
      <c r="AQ335" s="69" t="n">
        <f aca="false">IF(AQ$260=1,Inputs!$D$68,0)</f>
        <v>0</v>
      </c>
      <c r="AR335" s="69" t="n">
        <f aca="false">IF(AR$260=1,Inputs!$D$68,0)</f>
        <v>0</v>
      </c>
      <c r="AS335" s="69" t="n">
        <f aca="false">IF(AS$260=1,Inputs!$D$68,0)</f>
        <v>0</v>
      </c>
      <c r="AT335" s="69" t="n">
        <f aca="false">IF(AT$260=1,Inputs!$D$68,0)</f>
        <v>0</v>
      </c>
      <c r="AU335" s="69" t="n">
        <f aca="false">IF(AU$260=1,Inputs!$D$68,0)</f>
        <v>0</v>
      </c>
      <c r="AV335" s="69" t="n">
        <f aca="false">IF(AV$260=1,Inputs!$D$68,0)</f>
        <v>0</v>
      </c>
      <c r="AW335" s="69" t="n">
        <f aca="false">IF(AW$260=1,Inputs!$D$68,0)</f>
        <v>0</v>
      </c>
      <c r="AX335" s="69" t="n">
        <f aca="false">IF(AX$260=1,Inputs!$D$68,0)</f>
        <v>0</v>
      </c>
      <c r="AY335" s="69" t="n">
        <f aca="false">IF(AY$260=1,Inputs!$D$68,0)</f>
        <v>0</v>
      </c>
      <c r="AZ335" s="69" t="n">
        <f aca="false">IF(AZ$260=1,Inputs!$D$68,0)</f>
        <v>0</v>
      </c>
      <c r="BA335" s="69" t="n">
        <f aca="false">IF(BA$260=1,Inputs!$D$68,0)</f>
        <v>0</v>
      </c>
      <c r="BB335" s="69" t="n">
        <f aca="false">IF(BB$260=1,Inputs!$D$68,0)</f>
        <v>0</v>
      </c>
      <c r="BC335" s="69" t="n">
        <f aca="false">IF(BC$260=1,Inputs!$D$68,0)</f>
        <v>0</v>
      </c>
      <c r="BD335" s="69" t="n">
        <f aca="false">IF(BD$260=1,Inputs!$D$68,0)</f>
        <v>0</v>
      </c>
      <c r="BE335" s="69" t="n">
        <f aca="false">IF(BE$260=1,Inputs!$D$68,0)</f>
        <v>0</v>
      </c>
      <c r="BF335" s="69" t="n">
        <f aca="false">IF(BF$260=1,Inputs!$D$68,0)</f>
        <v>0</v>
      </c>
      <c r="BG335" s="69" t="n">
        <f aca="false">IF(BG$260=1,Inputs!$D$68,0)</f>
        <v>0</v>
      </c>
      <c r="BH335" s="69" t="n">
        <f aca="false">IF(BH$260=1,Inputs!$D$68,0)</f>
        <v>0</v>
      </c>
      <c r="BI335" s="69" t="n">
        <f aca="false">IF(BI$260=1,Inputs!$D$68,0)</f>
        <v>0</v>
      </c>
      <c r="BJ335" s="69" t="n">
        <f aca="false">IF(BJ$260=1,Inputs!$D$68,0)</f>
        <v>0</v>
      </c>
    </row>
    <row r="336" customFormat="false" ht="15" hidden="false" customHeight="false" outlineLevel="0" collapsed="false">
      <c r="A336" s="6" t="s">
        <v>86</v>
      </c>
      <c r="C336" s="69" t="n">
        <f aca="false">-MIN(C334,Inputs!$D$68/MAX(1,Inputs!$D$70*12))</f>
        <v>-0</v>
      </c>
      <c r="D336" s="69" t="n">
        <f aca="false">-MIN(D334,Inputs!$D$68/MAX(1,Inputs!$D$70*12))</f>
        <v>-25000</v>
      </c>
      <c r="E336" s="69" t="n">
        <f aca="false">-MIN(E334,Inputs!$D$68/MAX(1,Inputs!$D$70*12))</f>
        <v>-25000</v>
      </c>
      <c r="F336" s="69" t="n">
        <f aca="false">-MIN(F334,Inputs!$D$68/MAX(1,Inputs!$D$70*12))</f>
        <v>-25000</v>
      </c>
      <c r="G336" s="69" t="n">
        <f aca="false">-MIN(G334,Inputs!$D$68/MAX(1,Inputs!$D$70*12))</f>
        <v>-25000</v>
      </c>
      <c r="H336" s="69" t="n">
        <f aca="false">-MIN(H334,Inputs!$D$68/MAX(1,Inputs!$D$70*12))</f>
        <v>-25000</v>
      </c>
      <c r="I336" s="69" t="n">
        <f aca="false">-MIN(I334,Inputs!$D$68/MAX(1,Inputs!$D$70*12))</f>
        <v>-25000</v>
      </c>
      <c r="J336" s="69" t="n">
        <f aca="false">-MIN(J334,Inputs!$D$68/MAX(1,Inputs!$D$70*12))</f>
        <v>-25000</v>
      </c>
      <c r="K336" s="69" t="n">
        <f aca="false">-MIN(K334,Inputs!$D$68/MAX(1,Inputs!$D$70*12))</f>
        <v>-25000</v>
      </c>
      <c r="L336" s="69" t="n">
        <f aca="false">-MIN(L334,Inputs!$D$68/MAX(1,Inputs!$D$70*12))</f>
        <v>-25000</v>
      </c>
      <c r="M336" s="69" t="n">
        <f aca="false">-MIN(M334,Inputs!$D$68/MAX(1,Inputs!$D$70*12))</f>
        <v>-25000</v>
      </c>
      <c r="N336" s="69" t="n">
        <f aca="false">-MIN(N334,Inputs!$D$68/MAX(1,Inputs!$D$70*12))</f>
        <v>-25000</v>
      </c>
      <c r="O336" s="69" t="n">
        <f aca="false">-MIN(O334,Inputs!$D$68/MAX(1,Inputs!$D$70*12))</f>
        <v>-25000</v>
      </c>
      <c r="P336" s="69" t="n">
        <f aca="false">-MIN(P334,Inputs!$D$68/MAX(1,Inputs!$D$70*12))</f>
        <v>-25000</v>
      </c>
      <c r="Q336" s="69" t="n">
        <f aca="false">-MIN(Q334,Inputs!$D$68/MAX(1,Inputs!$D$70*12))</f>
        <v>-25000</v>
      </c>
      <c r="R336" s="69" t="n">
        <f aca="false">-MIN(R334,Inputs!$D$68/MAX(1,Inputs!$D$70*12))</f>
        <v>-25000</v>
      </c>
      <c r="S336" s="69" t="n">
        <f aca="false">-MIN(S334,Inputs!$D$68/MAX(1,Inputs!$D$70*12))</f>
        <v>-25000</v>
      </c>
      <c r="T336" s="69" t="n">
        <f aca="false">-MIN(T334,Inputs!$D$68/MAX(1,Inputs!$D$70*12))</f>
        <v>-25000</v>
      </c>
      <c r="U336" s="69" t="n">
        <f aca="false">-MIN(U334,Inputs!$D$68/MAX(1,Inputs!$D$70*12))</f>
        <v>-25000</v>
      </c>
      <c r="V336" s="69" t="n">
        <f aca="false">-MIN(V334,Inputs!$D$68/MAX(1,Inputs!$D$70*12))</f>
        <v>-25000</v>
      </c>
      <c r="W336" s="69" t="n">
        <f aca="false">-MIN(W334,Inputs!$D$68/MAX(1,Inputs!$D$70*12))</f>
        <v>-25000</v>
      </c>
      <c r="X336" s="69" t="n">
        <f aca="false">-MIN(X334,Inputs!$D$68/MAX(1,Inputs!$D$70*12))</f>
        <v>-25000</v>
      </c>
      <c r="Y336" s="69" t="n">
        <f aca="false">-MIN(Y334,Inputs!$D$68/MAX(1,Inputs!$D$70*12))</f>
        <v>-25000</v>
      </c>
      <c r="Z336" s="69" t="n">
        <f aca="false">-MIN(Z334,Inputs!$D$68/MAX(1,Inputs!$D$70*12))</f>
        <v>-25000</v>
      </c>
      <c r="AA336" s="69" t="n">
        <f aca="false">-MIN(AA334,Inputs!$D$68/MAX(1,Inputs!$D$70*12))</f>
        <v>-25000</v>
      </c>
      <c r="AB336" s="69" t="n">
        <f aca="false">-MIN(AB334,Inputs!$D$68/MAX(1,Inputs!$D$70*12))</f>
        <v>-25000</v>
      </c>
      <c r="AC336" s="69" t="n">
        <f aca="false">-MIN(AC334,Inputs!$D$68/MAX(1,Inputs!$D$70*12))</f>
        <v>-25000</v>
      </c>
      <c r="AD336" s="69" t="n">
        <f aca="false">-MIN(AD334,Inputs!$D$68/MAX(1,Inputs!$D$70*12))</f>
        <v>-25000</v>
      </c>
      <c r="AE336" s="69" t="n">
        <f aca="false">-MIN(AE334,Inputs!$D$68/MAX(1,Inputs!$D$70*12))</f>
        <v>-25000</v>
      </c>
      <c r="AF336" s="69" t="n">
        <f aca="false">-MIN(AF334,Inputs!$D$68/MAX(1,Inputs!$D$70*12))</f>
        <v>-25000</v>
      </c>
      <c r="AG336" s="69" t="n">
        <f aca="false">-MIN(AG334,Inputs!$D$68/MAX(1,Inputs!$D$70*12))</f>
        <v>-25000</v>
      </c>
      <c r="AH336" s="69" t="n">
        <f aca="false">-MIN(AH334,Inputs!$D$68/MAX(1,Inputs!$D$70*12))</f>
        <v>-25000</v>
      </c>
      <c r="AI336" s="69" t="n">
        <f aca="false">-MIN(AI334,Inputs!$D$68/MAX(1,Inputs!$D$70*12))</f>
        <v>-25000</v>
      </c>
      <c r="AJ336" s="69" t="n">
        <f aca="false">-MIN(AJ334,Inputs!$D$68/MAX(1,Inputs!$D$70*12))</f>
        <v>-25000</v>
      </c>
      <c r="AK336" s="69" t="n">
        <f aca="false">-MIN(AK334,Inputs!$D$68/MAX(1,Inputs!$D$70*12))</f>
        <v>-25000</v>
      </c>
      <c r="AL336" s="69" t="n">
        <f aca="false">-MIN(AL334,Inputs!$D$68/MAX(1,Inputs!$D$70*12))</f>
        <v>-25000</v>
      </c>
      <c r="AM336" s="69" t="n">
        <f aca="false">-MIN(AM334,Inputs!$D$68/MAX(1,Inputs!$D$70*12))</f>
        <v>-25000</v>
      </c>
      <c r="AN336" s="69" t="n">
        <f aca="false">-MIN(AN334,Inputs!$D$68/MAX(1,Inputs!$D$70*12))</f>
        <v>-25000</v>
      </c>
      <c r="AO336" s="69" t="n">
        <f aca="false">-MIN(AO334,Inputs!$D$68/MAX(1,Inputs!$D$70*12))</f>
        <v>-25000</v>
      </c>
      <c r="AP336" s="69" t="n">
        <f aca="false">-MIN(AP334,Inputs!$D$68/MAX(1,Inputs!$D$70*12))</f>
        <v>-25000</v>
      </c>
      <c r="AQ336" s="69" t="n">
        <f aca="false">-MIN(AQ334,Inputs!$D$68/MAX(1,Inputs!$D$70*12))</f>
        <v>-25000</v>
      </c>
      <c r="AR336" s="69" t="n">
        <f aca="false">-MIN(AR334,Inputs!$D$68/MAX(1,Inputs!$D$70*12))</f>
        <v>-25000</v>
      </c>
      <c r="AS336" s="69" t="n">
        <f aca="false">-MIN(AS334,Inputs!$D$68/MAX(1,Inputs!$D$70*12))</f>
        <v>-25000</v>
      </c>
      <c r="AT336" s="69" t="n">
        <f aca="false">-MIN(AT334,Inputs!$D$68/MAX(1,Inputs!$D$70*12))</f>
        <v>-25000</v>
      </c>
      <c r="AU336" s="69" t="n">
        <f aca="false">-MIN(AU334,Inputs!$D$68/MAX(1,Inputs!$D$70*12))</f>
        <v>-25000</v>
      </c>
      <c r="AV336" s="69" t="n">
        <f aca="false">-MIN(AV334,Inputs!$D$68/MAX(1,Inputs!$D$70*12))</f>
        <v>-25000</v>
      </c>
      <c r="AW336" s="69" t="n">
        <f aca="false">-MIN(AW334,Inputs!$D$68/MAX(1,Inputs!$D$70*12))</f>
        <v>-25000</v>
      </c>
      <c r="AX336" s="69" t="n">
        <f aca="false">-MIN(AX334,Inputs!$D$68/MAX(1,Inputs!$D$70*12))</f>
        <v>-25000</v>
      </c>
      <c r="AY336" s="69" t="n">
        <f aca="false">-MIN(AY334,Inputs!$D$68/MAX(1,Inputs!$D$70*12))</f>
        <v>-25000</v>
      </c>
      <c r="AZ336" s="69" t="n">
        <f aca="false">-MIN(AZ334,Inputs!$D$68/MAX(1,Inputs!$D$70*12))</f>
        <v>-25000</v>
      </c>
      <c r="BA336" s="69" t="n">
        <f aca="false">-MIN(BA334,Inputs!$D$68/MAX(1,Inputs!$D$70*12))</f>
        <v>-25000</v>
      </c>
      <c r="BB336" s="69" t="n">
        <f aca="false">-MIN(BB334,Inputs!$D$68/MAX(1,Inputs!$D$70*12))</f>
        <v>-25000</v>
      </c>
      <c r="BC336" s="69" t="n">
        <f aca="false">-MIN(BC334,Inputs!$D$68/MAX(1,Inputs!$D$70*12))</f>
        <v>-25000</v>
      </c>
      <c r="BD336" s="69" t="n">
        <f aca="false">-MIN(BD334,Inputs!$D$68/MAX(1,Inputs!$D$70*12))</f>
        <v>-25000</v>
      </c>
      <c r="BE336" s="69" t="n">
        <f aca="false">-MIN(BE334,Inputs!$D$68/MAX(1,Inputs!$D$70*12))</f>
        <v>-25000</v>
      </c>
      <c r="BF336" s="69" t="n">
        <f aca="false">-MIN(BF334,Inputs!$D$68/MAX(1,Inputs!$D$70*12))</f>
        <v>-25000</v>
      </c>
      <c r="BG336" s="69" t="n">
        <f aca="false">-MIN(BG334,Inputs!$D$68/MAX(1,Inputs!$D$70*12))</f>
        <v>-25000</v>
      </c>
      <c r="BH336" s="69" t="n">
        <f aca="false">-MIN(BH334,Inputs!$D$68/MAX(1,Inputs!$D$70*12))</f>
        <v>-25000</v>
      </c>
      <c r="BI336" s="69" t="n">
        <f aca="false">-MIN(BI334,Inputs!$D$68/MAX(1,Inputs!$D$70*12))</f>
        <v>-25000</v>
      </c>
      <c r="BJ336" s="69" t="n">
        <f aca="false">-MIN(BJ334,Inputs!$D$68/MAX(1,Inputs!$D$70*12))</f>
        <v>-25000</v>
      </c>
    </row>
    <row r="337" customFormat="false" ht="15" hidden="false" customHeight="false" outlineLevel="0" collapsed="false">
      <c r="A337" s="4" t="s">
        <v>454</v>
      </c>
      <c r="C337" s="75" t="n">
        <f aca="false">C334+C335+C336</f>
        <v>3000000</v>
      </c>
      <c r="D337" s="75" t="n">
        <f aca="false">D334+D335+D336</f>
        <v>2975000</v>
      </c>
      <c r="E337" s="75" t="n">
        <f aca="false">E334+E335+E336</f>
        <v>2950000</v>
      </c>
      <c r="F337" s="75" t="n">
        <f aca="false">F334+F335+F336</f>
        <v>2925000</v>
      </c>
      <c r="G337" s="75" t="n">
        <f aca="false">G334+G335+G336</f>
        <v>2900000</v>
      </c>
      <c r="H337" s="75" t="n">
        <f aca="false">H334+H335+H336</f>
        <v>2875000</v>
      </c>
      <c r="I337" s="75" t="n">
        <f aca="false">I334+I335+I336</f>
        <v>2850000</v>
      </c>
      <c r="J337" s="75" t="n">
        <f aca="false">J334+J335+J336</f>
        <v>2825000</v>
      </c>
      <c r="K337" s="75" t="n">
        <f aca="false">K334+K335+K336</f>
        <v>2800000</v>
      </c>
      <c r="L337" s="75" t="n">
        <f aca="false">L334+L335+L336</f>
        <v>2775000</v>
      </c>
      <c r="M337" s="75" t="n">
        <f aca="false">M334+M335+M336</f>
        <v>2750000</v>
      </c>
      <c r="N337" s="75" t="n">
        <f aca="false">N334+N335+N336</f>
        <v>2725000</v>
      </c>
      <c r="O337" s="75" t="n">
        <f aca="false">O334+O335+O336</f>
        <v>2700000</v>
      </c>
      <c r="P337" s="75" t="n">
        <f aca="false">P334+P335+P336</f>
        <v>2675000</v>
      </c>
      <c r="Q337" s="75" t="n">
        <f aca="false">Q334+Q335+Q336</f>
        <v>2650000</v>
      </c>
      <c r="R337" s="75" t="n">
        <f aca="false">R334+R335+R336</f>
        <v>2625000</v>
      </c>
      <c r="S337" s="75" t="n">
        <f aca="false">S334+S335+S336</f>
        <v>2600000</v>
      </c>
      <c r="T337" s="75" t="n">
        <f aca="false">T334+T335+T336</f>
        <v>2575000</v>
      </c>
      <c r="U337" s="75" t="n">
        <f aca="false">U334+U335+U336</f>
        <v>2550000</v>
      </c>
      <c r="V337" s="75" t="n">
        <f aca="false">V334+V335+V336</f>
        <v>2525000</v>
      </c>
      <c r="W337" s="75" t="n">
        <f aca="false">W334+W335+W336</f>
        <v>2500000</v>
      </c>
      <c r="X337" s="75" t="n">
        <f aca="false">X334+X335+X336</f>
        <v>2475000</v>
      </c>
      <c r="Y337" s="75" t="n">
        <f aca="false">Y334+Y335+Y336</f>
        <v>2450000</v>
      </c>
      <c r="Z337" s="75" t="n">
        <f aca="false">Z334+Z335+Z336</f>
        <v>2425000</v>
      </c>
      <c r="AA337" s="75" t="n">
        <f aca="false">AA334+AA335+AA336</f>
        <v>2400000</v>
      </c>
      <c r="AB337" s="75" t="n">
        <f aca="false">AB334+AB335+AB336</f>
        <v>2375000</v>
      </c>
      <c r="AC337" s="75" t="n">
        <f aca="false">AC334+AC335+AC336</f>
        <v>2350000</v>
      </c>
      <c r="AD337" s="75" t="n">
        <f aca="false">AD334+AD335+AD336</f>
        <v>2325000</v>
      </c>
      <c r="AE337" s="75" t="n">
        <f aca="false">AE334+AE335+AE336</f>
        <v>2300000</v>
      </c>
      <c r="AF337" s="75" t="n">
        <f aca="false">AF334+AF335+AF336</f>
        <v>2275000</v>
      </c>
      <c r="AG337" s="75" t="n">
        <f aca="false">AG334+AG335+AG336</f>
        <v>2250000</v>
      </c>
      <c r="AH337" s="75" t="n">
        <f aca="false">AH334+AH335+AH336</f>
        <v>2225000</v>
      </c>
      <c r="AI337" s="75" t="n">
        <f aca="false">AI334+AI335+AI336</f>
        <v>2200000</v>
      </c>
      <c r="AJ337" s="75" t="n">
        <f aca="false">AJ334+AJ335+AJ336</f>
        <v>2175000</v>
      </c>
      <c r="AK337" s="75" t="n">
        <f aca="false">AK334+AK335+AK336</f>
        <v>2150000</v>
      </c>
      <c r="AL337" s="75" t="n">
        <f aca="false">AL334+AL335+AL336</f>
        <v>2125000</v>
      </c>
      <c r="AM337" s="75" t="n">
        <f aca="false">AM334+AM335+AM336</f>
        <v>2100000</v>
      </c>
      <c r="AN337" s="75" t="n">
        <f aca="false">AN334+AN335+AN336</f>
        <v>2075000</v>
      </c>
      <c r="AO337" s="75" t="n">
        <f aca="false">AO334+AO335+AO336</f>
        <v>2050000</v>
      </c>
      <c r="AP337" s="75" t="n">
        <f aca="false">AP334+AP335+AP336</f>
        <v>2025000</v>
      </c>
      <c r="AQ337" s="75" t="n">
        <f aca="false">AQ334+AQ335+AQ336</f>
        <v>2000000</v>
      </c>
      <c r="AR337" s="75" t="n">
        <f aca="false">AR334+AR335+AR336</f>
        <v>1975000</v>
      </c>
      <c r="AS337" s="75" t="n">
        <f aca="false">AS334+AS335+AS336</f>
        <v>1950000</v>
      </c>
      <c r="AT337" s="75" t="n">
        <f aca="false">AT334+AT335+AT336</f>
        <v>1925000</v>
      </c>
      <c r="AU337" s="75" t="n">
        <f aca="false">AU334+AU335+AU336</f>
        <v>1900000</v>
      </c>
      <c r="AV337" s="75" t="n">
        <f aca="false">AV334+AV335+AV336</f>
        <v>1875000</v>
      </c>
      <c r="AW337" s="75" t="n">
        <f aca="false">AW334+AW335+AW336</f>
        <v>1850000</v>
      </c>
      <c r="AX337" s="75" t="n">
        <f aca="false">AX334+AX335+AX336</f>
        <v>1825000</v>
      </c>
      <c r="AY337" s="75" t="n">
        <f aca="false">AY334+AY335+AY336</f>
        <v>1800000</v>
      </c>
      <c r="AZ337" s="75" t="n">
        <f aca="false">AZ334+AZ335+AZ336</f>
        <v>1775000</v>
      </c>
      <c r="BA337" s="75" t="n">
        <f aca="false">BA334+BA335+BA336</f>
        <v>1750000</v>
      </c>
      <c r="BB337" s="75" t="n">
        <f aca="false">BB334+BB335+BB336</f>
        <v>1725000</v>
      </c>
      <c r="BC337" s="75" t="n">
        <f aca="false">BC334+BC335+BC336</f>
        <v>1700000</v>
      </c>
      <c r="BD337" s="75" t="n">
        <f aca="false">BD334+BD335+BD336</f>
        <v>1675000</v>
      </c>
      <c r="BE337" s="75" t="n">
        <f aca="false">BE334+BE335+BE336</f>
        <v>1650000</v>
      </c>
      <c r="BF337" s="75" t="n">
        <f aca="false">BF334+BF335+BF336</f>
        <v>1625000</v>
      </c>
      <c r="BG337" s="75" t="n">
        <f aca="false">BG334+BG335+BG336</f>
        <v>1600000</v>
      </c>
      <c r="BH337" s="75" t="n">
        <f aca="false">BH334+BH335+BH336</f>
        <v>1575000</v>
      </c>
      <c r="BI337" s="75" t="n">
        <f aca="false">BI334+BI335+BI336</f>
        <v>1550000</v>
      </c>
      <c r="BJ337" s="75" t="n">
        <f aca="false">BJ334+BJ335+BJ336</f>
        <v>1525000</v>
      </c>
    </row>
    <row r="339" customFormat="false" ht="15.75" hidden="false" customHeight="true" outlineLevel="0" collapsed="false">
      <c r="A339" s="7" t="s">
        <v>324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</row>
    <row r="340" customFormat="false" ht="15" hidden="false" customHeight="false" outlineLevel="0" collapsed="false">
      <c r="A340" s="6" t="s">
        <v>90</v>
      </c>
      <c r="C340" s="69" t="n">
        <f aca="false">C293*Inputs!$D$73/30</f>
        <v>5198.9604</v>
      </c>
      <c r="D340" s="69" t="n">
        <f aca="false">D293*Inputs!$D$73/30</f>
        <v>5859.19155748571</v>
      </c>
      <c r="E340" s="69" t="n">
        <f aca="false">E293*Inputs!$D$73/30</f>
        <v>7318.95840516998</v>
      </c>
      <c r="F340" s="69" t="n">
        <f aca="false">F293*Inputs!$D$73/30</f>
        <v>8103.93478763312</v>
      </c>
      <c r="G340" s="69" t="n">
        <f aca="false">G293*Inputs!$D$73/30</f>
        <v>8905.40953042885</v>
      </c>
      <c r="H340" s="69" t="n">
        <f aca="false">H293*Inputs!$D$73/30</f>
        <v>9722.85468602656</v>
      </c>
      <c r="I340" s="69" t="n">
        <f aca="false">I293*Inputs!$D$73/30</f>
        <v>10555.7592012166</v>
      </c>
      <c r="J340" s="69" t="n">
        <f aca="false">J293*Inputs!$D$73/30</f>
        <v>11403.6283764919</v>
      </c>
      <c r="K340" s="69" t="n">
        <f aca="false">K293*Inputs!$D$73/30</f>
        <v>11686.0972284442</v>
      </c>
      <c r="L340" s="69" t="n">
        <f aca="false">L293*Inputs!$D$73/30</f>
        <v>11959.527077134</v>
      </c>
      <c r="M340" s="69" t="n">
        <f aca="false">M293*Inputs!$D$73/30</f>
        <v>12224.2071706657</v>
      </c>
      <c r="N340" s="69" t="n">
        <f aca="false">N293*Inputs!$D$73/30</f>
        <v>11326.2948345377</v>
      </c>
      <c r="O340" s="69" t="n">
        <f aca="false">O293*Inputs!$D$73/30</f>
        <v>11901.5652514275</v>
      </c>
      <c r="P340" s="69" t="n">
        <f aca="false">P293*Inputs!$D$73/30</f>
        <v>12137.3394129818</v>
      </c>
      <c r="Q340" s="69" t="n">
        <f aca="false">Q293*Inputs!$D$73/30</f>
        <v>13554.3151480331</v>
      </c>
      <c r="R340" s="69" t="n">
        <f aca="false">R293*Inputs!$D$73/30</f>
        <v>13803.039572096</v>
      </c>
      <c r="S340" s="69" t="n">
        <f aca="false">S293*Inputs!$D$73/30</f>
        <v>14043.8048145889</v>
      </c>
      <c r="T340" s="69" t="n">
        <f aca="false">T293*Inputs!$D$73/30</f>
        <v>14276.8655693221</v>
      </c>
      <c r="U340" s="69" t="n">
        <f aca="false">U293*Inputs!$D$73/30</f>
        <v>14502.4683799038</v>
      </c>
      <c r="V340" s="69" t="n">
        <f aca="false">V293*Inputs!$D$73/30</f>
        <v>14720.8519005469</v>
      </c>
      <c r="W340" s="69" t="n">
        <f aca="false">W293*Inputs!$D$73/30</f>
        <v>14932.2471485294</v>
      </c>
      <c r="X340" s="69" t="n">
        <f aca="false">X293*Inputs!$D$73/30</f>
        <v>15136.8777485764</v>
      </c>
      <c r="Y340" s="69" t="n">
        <f aca="false">Y293*Inputs!$D$73/30</f>
        <v>15334.960169422</v>
      </c>
      <c r="Z340" s="69" t="n">
        <f aca="false">Z293*Inputs!$D$73/30</f>
        <v>14337.9576061338</v>
      </c>
      <c r="AA340" s="69" t="n">
        <f aca="false">AA293*Inputs!$D$73/30</f>
        <v>14939.5093527076</v>
      </c>
      <c r="AB340" s="69" t="n">
        <f aca="false">AB293*Inputs!$D$73/30</f>
        <v>15114.306278509</v>
      </c>
      <c r="AC340" s="69" t="n">
        <f aca="false">AC293*Inputs!$D$73/30</f>
        <v>16507.9184397514</v>
      </c>
      <c r="AD340" s="69" t="n">
        <f aca="false">AD293*Inputs!$D$73/30</f>
        <v>16700.3396817433</v>
      </c>
      <c r="AE340" s="69" t="n">
        <f aca="false">AE293*Inputs!$D$73/30</f>
        <v>16886.6034439915</v>
      </c>
      <c r="AF340" s="69" t="n">
        <f aca="false">AF293*Inputs!$D$73/30</f>
        <v>17066.9067658478</v>
      </c>
      <c r="AG340" s="69" t="n">
        <f aca="false">AG293*Inputs!$D$73/30</f>
        <v>17241.4403814047</v>
      </c>
      <c r="AH340" s="69" t="n">
        <f aca="false">AH293*Inputs!$D$73/30</f>
        <v>17410.3889212637</v>
      </c>
      <c r="AI340" s="69" t="n">
        <f aca="false">AI293*Inputs!$D$73/30</f>
        <v>17573.9311078473</v>
      </c>
      <c r="AJ340" s="69" t="n">
        <f aca="false">AJ293*Inputs!$D$73/30</f>
        <v>17732.2399444602</v>
      </c>
      <c r="AK340" s="69" t="n">
        <f aca="false">AK293*Inputs!$D$73/30</f>
        <v>17885.4828983015</v>
      </c>
      <c r="AL340" s="69" t="n">
        <f aca="false">AL293*Inputs!$D$73/30</f>
        <v>16809.4133405531</v>
      </c>
      <c r="AM340" s="69" t="n">
        <f aca="false">AM293*Inputs!$D$73/30</f>
        <v>17442.1532563977</v>
      </c>
      <c r="AN340" s="69" t="n">
        <f aca="false">AN293*Inputs!$D$73/30</f>
        <v>17576.5488490177</v>
      </c>
      <c r="AO340" s="69" t="n">
        <f aca="false">AO293*Inputs!$D$73/30</f>
        <v>18967.7847818524</v>
      </c>
      <c r="AP340" s="69" t="n">
        <f aca="false">AP293*Inputs!$D$73/30</f>
        <v>19123.207974843</v>
      </c>
      <c r="AQ340" s="69" t="n">
        <f aca="false">AQ293*Inputs!$D$73/30</f>
        <v>19273.657625658</v>
      </c>
      <c r="AR340" s="69" t="n">
        <f aca="false">AR293*Inputs!$D$73/30</f>
        <v>19419.2928876468</v>
      </c>
      <c r="AS340" s="69" t="n">
        <f aca="false">AS293*Inputs!$D$73/30</f>
        <v>19560.2678212521</v>
      </c>
      <c r="AT340" s="69" t="n">
        <f aca="false">AT293*Inputs!$D$73/30</f>
        <v>19696.7315569819</v>
      </c>
      <c r="AU340" s="69" t="n">
        <f aca="false">AU293*Inputs!$D$73/30</f>
        <v>19828.8284531684</v>
      </c>
      <c r="AV340" s="69" t="n">
        <f aca="false">AV293*Inputs!$D$73/30</f>
        <v>19956.698248677</v>
      </c>
      <c r="AW340" s="69" t="n">
        <f aca="false">AW293*Inputs!$D$73/30</f>
        <v>20080.4762107292</v>
      </c>
      <c r="AX340" s="69" t="n">
        <f aca="false">AX293*Inputs!$D$73/30</f>
        <v>18939.1522788171</v>
      </c>
      <c r="AY340" s="69" t="n">
        <f aca="false">AY293*Inputs!$D$73/30</f>
        <v>19607.7984167197</v>
      </c>
      <c r="AZ340" s="69" t="n">
        <f aca="false">AZ293*Inputs!$D$73/30</f>
        <v>19716.4400929509</v>
      </c>
      <c r="BA340" s="69" t="n">
        <f aca="false">BA293*Inputs!$D$73/30</f>
        <v>21120.5804646967</v>
      </c>
      <c r="BB340" s="69" t="n">
        <f aca="false">BB293*Inputs!$D$73/30</f>
        <v>21252.7563588535</v>
      </c>
      <c r="BC340" s="69" t="n">
        <f aca="false">BC293*Inputs!$D$73/30</f>
        <v>21380.7026243973</v>
      </c>
      <c r="BD340" s="69" t="n">
        <f aca="false">BD293*Inputs!$D$73/30</f>
        <v>21504.5546094437</v>
      </c>
      <c r="BE340" s="69" t="n">
        <f aca="false">BE293*Inputs!$D$73/30</f>
        <v>21624.4433309686</v>
      </c>
      <c r="BF340" s="69" t="n">
        <f aca="false">BF293*Inputs!$D$73/30</f>
        <v>21740.4956134047</v>
      </c>
      <c r="BG340" s="69" t="n">
        <f aca="false">BG293*Inputs!$D$73/30</f>
        <v>21852.8342228028</v>
      </c>
      <c r="BH340" s="69" t="n">
        <f aca="false">BH293*Inputs!$D$73/30</f>
        <v>21961.5779967002</v>
      </c>
      <c r="BI340" s="69" t="n">
        <f aca="false">BI293*Inputs!$D$73/30</f>
        <v>22066.8419698329</v>
      </c>
      <c r="BJ340" s="69" t="n">
        <f aca="false">BJ293*Inputs!$D$73/30</f>
        <v>20869.7622666713</v>
      </c>
    </row>
    <row r="341" customFormat="false" ht="15" hidden="false" customHeight="false" outlineLevel="0" collapsed="false">
      <c r="A341" s="6" t="s">
        <v>91</v>
      </c>
      <c r="C341" s="69" t="n">
        <f aca="false">-C301*Inputs!$D$74/30</f>
        <v>4770.66839184</v>
      </c>
      <c r="D341" s="69" t="n">
        <f aca="false">-D301*Inputs!$D$74/30</f>
        <v>5382.27904784969</v>
      </c>
      <c r="E341" s="69" t="n">
        <f aca="false">-E301*Inputs!$D$74/30</f>
        <v>6871.05603161437</v>
      </c>
      <c r="F341" s="69" t="n">
        <f aca="false">-F301*Inputs!$D$74/30</f>
        <v>7627.20091558303</v>
      </c>
      <c r="G341" s="69" t="n">
        <f aca="false">-G301*Inputs!$D$74/30</f>
        <v>8402.29390589326</v>
      </c>
      <c r="H341" s="69" t="n">
        <f aca="false">-H301*Inputs!$D$74/30</f>
        <v>9195.72866314213</v>
      </c>
      <c r="I341" s="69" t="n">
        <f aca="false">-I301*Inputs!$D$74/30</f>
        <v>10006.9182507876</v>
      </c>
      <c r="J341" s="69" t="n">
        <f aca="false">-J301*Inputs!$D$74/30</f>
        <v>10835.294514257</v>
      </c>
      <c r="K341" s="69" t="n">
        <f aca="false">-K301*Inputs!$D$74/30</f>
        <v>11159.7055306897</v>
      </c>
      <c r="L341" s="69" t="n">
        <f aca="false">-L301*Inputs!$D$74/30</f>
        <v>11473.7353945965</v>
      </c>
      <c r="M341" s="69" t="n">
        <f aca="false">-M301*Inputs!$D$74/30</f>
        <v>11777.7163028583</v>
      </c>
      <c r="N341" s="69" t="n">
        <f aca="false">-N301*Inputs!$D$74/30</f>
        <v>10598.9000939005</v>
      </c>
      <c r="O341" s="69" t="n">
        <f aca="false">-O301*Inputs!$D$74/30</f>
        <v>11116.7621242939</v>
      </c>
      <c r="P341" s="69" t="n">
        <f aca="false">-P301*Inputs!$D$74/30</f>
        <v>11358.0584853725</v>
      </c>
      <c r="Q341" s="69" t="n">
        <f aca="false">-Q301*Inputs!$D$74/30</f>
        <v>13187.0344454995</v>
      </c>
      <c r="R341" s="69" t="n">
        <f aca="false">-R301*Inputs!$D$74/30</f>
        <v>13471.5573933626</v>
      </c>
      <c r="S341" s="69" t="n">
        <f aca="false">-S301*Inputs!$D$74/30</f>
        <v>13746.9756068941</v>
      </c>
      <c r="T341" s="69" t="n">
        <f aca="false">-T301*Inputs!$D$74/30</f>
        <v>14013.5804375926</v>
      </c>
      <c r="U341" s="69" t="n">
        <f aca="false">-U301*Inputs!$D$74/30</f>
        <v>14271.6539137088</v>
      </c>
      <c r="V341" s="69" t="n">
        <f aca="false">-V301*Inputs!$D$74/30</f>
        <v>14521.4690385892</v>
      </c>
      <c r="W341" s="69" t="n">
        <f aca="false">-W301*Inputs!$D$74/30</f>
        <v>14763.2900794735</v>
      </c>
      <c r="X341" s="69" t="n">
        <f aca="false">-X301*Inputs!$D$74/30</f>
        <v>14997.3728470494</v>
      </c>
      <c r="Y341" s="69" t="n">
        <f aca="false">-Y301*Inputs!$D$74/30</f>
        <v>15223.964966063</v>
      </c>
      <c r="Z341" s="69" t="n">
        <f aca="false">-Z301*Inputs!$D$74/30</f>
        <v>13610.2185975339</v>
      </c>
      <c r="AA341" s="69" t="n">
        <f aca="false">-AA301*Inputs!$D$74/30</f>
        <v>14140.2798475285</v>
      </c>
      <c r="AB341" s="69" t="n">
        <f aca="false">-AB301*Inputs!$D$74/30</f>
        <v>14318.480579052</v>
      </c>
      <c r="AC341" s="69" t="n">
        <f aca="false">-AC301*Inputs!$D$74/30</f>
        <v>16432.9511563697</v>
      </c>
      <c r="AD341" s="69" t="n">
        <f aca="false">-AD301*Inputs!$D$74/30</f>
        <v>16652.1949244122</v>
      </c>
      <c r="AE341" s="69" t="n">
        <f aca="false">-AE301*Inputs!$D$74/30</f>
        <v>16864.4228918773</v>
      </c>
      <c r="AF341" s="69" t="n">
        <f aca="false">-AF301*Inputs!$D$74/30</f>
        <v>17069.8595643836</v>
      </c>
      <c r="AG341" s="69" t="n">
        <f aca="false">-AG301*Inputs!$D$74/30</f>
        <v>17268.7222633696</v>
      </c>
      <c r="AH341" s="69" t="n">
        <f aca="false">-AH301*Inputs!$D$74/30</f>
        <v>17461.2213559881</v>
      </c>
      <c r="AI341" s="69" t="n">
        <f aca="false">-AI301*Inputs!$D$74/30</f>
        <v>17647.5604776428</v>
      </c>
      <c r="AJ341" s="69" t="n">
        <f aca="false">-AJ301*Inputs!$D$74/30</f>
        <v>17827.9367474046</v>
      </c>
      <c r="AK341" s="69" t="n">
        <f aca="false">-AK301*Inputs!$D$74/30</f>
        <v>18002.540976534</v>
      </c>
      <c r="AL341" s="69" t="n">
        <f aca="false">-AL301*Inputs!$D$74/30</f>
        <v>16046.5963172562</v>
      </c>
      <c r="AM341" s="69" t="n">
        <f aca="false">-AM301*Inputs!$D$74/30</f>
        <v>16595.8652958779</v>
      </c>
      <c r="AN341" s="69" t="n">
        <f aca="false">-AN301*Inputs!$D$74/30</f>
        <v>16732.3498576667</v>
      </c>
      <c r="AO341" s="69" t="n">
        <f aca="false">-AO301*Inputs!$D$74/30</f>
        <v>19090.7324627737</v>
      </c>
      <c r="AP341" s="69" t="n">
        <f aca="false">-AP301*Inputs!$D$74/30</f>
        <v>19267.1196338926</v>
      </c>
      <c r="AQ341" s="69" t="n">
        <f aca="false">-AQ301*Inputs!$D$74/30</f>
        <v>19437.8624155358</v>
      </c>
      <c r="AR341" s="69" t="n">
        <f aca="false">-AR301*Inputs!$D$74/30</f>
        <v>19603.1414281663</v>
      </c>
      <c r="AS341" s="69" t="n">
        <f aca="false">-AS301*Inputs!$D$74/30</f>
        <v>19763.1315123927</v>
      </c>
      <c r="AT341" s="69" t="n">
        <f aca="false">-AT301*Inputs!$D$74/30</f>
        <v>19918.0019139238</v>
      </c>
      <c r="AU341" s="69" t="n">
        <f aca="false">-AU301*Inputs!$D$74/30</f>
        <v>20067.9164626059</v>
      </c>
      <c r="AV341" s="69" t="n">
        <f aca="false">-AV301*Inputs!$D$74/30</f>
        <v>20213.0337457302</v>
      </c>
      <c r="AW341" s="69" t="n">
        <f aca="false">-AW301*Inputs!$D$74/30</f>
        <v>20353.5072757946</v>
      </c>
      <c r="AX341" s="69" t="n">
        <f aca="false">-AX301*Inputs!$D$74/30</f>
        <v>18116.1328254164</v>
      </c>
      <c r="AY341" s="69" t="n">
        <f aca="false">-AY301*Inputs!$D$74/30</f>
        <v>18690.5626142707</v>
      </c>
      <c r="AZ341" s="69" t="n">
        <f aca="false">-AZ301*Inputs!$D$74/30</f>
        <v>18800.4681223868</v>
      </c>
      <c r="BA341" s="69" t="n">
        <f aca="false">-BA301*Inputs!$D$74/30</f>
        <v>21378.19134294</v>
      </c>
      <c r="BB341" s="69" t="n">
        <f aca="false">-BB301*Inputs!$D$74/30</f>
        <v>21527.6021117695</v>
      </c>
      <c r="BC341" s="69" t="n">
        <f aca="false">-BC301*Inputs!$D$74/30</f>
        <v>21672.2317359964</v>
      </c>
      <c r="BD341" s="69" t="n">
        <f aca="false">-BD301*Inputs!$D$74/30</f>
        <v>21812.2332122481</v>
      </c>
      <c r="BE341" s="69" t="n">
        <f aca="false">-BE301*Inputs!$D$74/30</f>
        <v>21947.7546412597</v>
      </c>
      <c r="BF341" s="69" t="n">
        <f aca="false">-BF301*Inputs!$D$74/30</f>
        <v>22078.939384543</v>
      </c>
      <c r="BG341" s="69" t="n">
        <f aca="false">-BG301*Inputs!$D$74/30</f>
        <v>22205.9262160412</v>
      </c>
      <c r="BH341" s="69" t="n">
        <f aca="false">-BH301*Inputs!$D$74/30</f>
        <v>22328.8494689314</v>
      </c>
      <c r="BI341" s="69" t="n">
        <f aca="false">-BI301*Inputs!$D$74/30</f>
        <v>22447.8391777292</v>
      </c>
      <c r="BJ341" s="69" t="n">
        <f aca="false">-BJ301*Inputs!$D$74/30</f>
        <v>19967.2069276171</v>
      </c>
    </row>
    <row r="342" customFormat="false" ht="15" hidden="false" customHeight="false" outlineLevel="0" collapsed="false">
      <c r="A342" s="6" t="s">
        <v>94</v>
      </c>
      <c r="C342" s="69" t="n">
        <f aca="false">-C301*Inputs!$D$75/30</f>
        <v>7951.1139864</v>
      </c>
      <c r="D342" s="69" t="n">
        <f aca="false">-D301*Inputs!$D$75/30</f>
        <v>8970.46507974949</v>
      </c>
      <c r="E342" s="69" t="n">
        <f aca="false">-E301*Inputs!$D$75/30</f>
        <v>11451.7600526906</v>
      </c>
      <c r="F342" s="69" t="n">
        <f aca="false">-F301*Inputs!$D$75/30</f>
        <v>12712.0015259717</v>
      </c>
      <c r="G342" s="69" t="n">
        <f aca="false">-G301*Inputs!$D$75/30</f>
        <v>14003.8231764888</v>
      </c>
      <c r="H342" s="69" t="n">
        <f aca="false">-H301*Inputs!$D$75/30</f>
        <v>15326.2144385702</v>
      </c>
      <c r="I342" s="69" t="n">
        <f aca="false">-I301*Inputs!$D$75/30</f>
        <v>16678.197084646</v>
      </c>
      <c r="J342" s="69" t="n">
        <f aca="false">-J301*Inputs!$D$75/30</f>
        <v>18058.8241904284</v>
      </c>
      <c r="K342" s="69" t="n">
        <f aca="false">-K301*Inputs!$D$75/30</f>
        <v>18599.5092178161</v>
      </c>
      <c r="L342" s="69" t="n">
        <f aca="false">-L301*Inputs!$D$75/30</f>
        <v>19122.8923243275</v>
      </c>
      <c r="M342" s="69" t="n">
        <f aca="false">-M301*Inputs!$D$75/30</f>
        <v>19629.5271714305</v>
      </c>
      <c r="N342" s="69" t="n">
        <f aca="false">-N301*Inputs!$D$75/30</f>
        <v>17664.8334898342</v>
      </c>
      <c r="O342" s="69" t="n">
        <f aca="false">-O301*Inputs!$D$75/30</f>
        <v>18527.9368738232</v>
      </c>
      <c r="P342" s="69" t="n">
        <f aca="false">-P301*Inputs!$D$75/30</f>
        <v>18930.0974756209</v>
      </c>
      <c r="Q342" s="69" t="n">
        <f aca="false">-Q301*Inputs!$D$75/30</f>
        <v>21978.3907424992</v>
      </c>
      <c r="R342" s="69" t="n">
        <f aca="false">-R301*Inputs!$D$75/30</f>
        <v>22452.5956556044</v>
      </c>
      <c r="S342" s="69" t="n">
        <f aca="false">-S301*Inputs!$D$75/30</f>
        <v>22911.6260114902</v>
      </c>
      <c r="T342" s="69" t="n">
        <f aca="false">-T301*Inputs!$D$75/30</f>
        <v>23355.9673959877</v>
      </c>
      <c r="U342" s="69" t="n">
        <f aca="false">-U301*Inputs!$D$75/30</f>
        <v>23786.0898561813</v>
      </c>
      <c r="V342" s="69" t="n">
        <f aca="false">-V301*Inputs!$D$75/30</f>
        <v>24202.4483976487</v>
      </c>
      <c r="W342" s="69" t="n">
        <f aca="false">-W301*Inputs!$D$75/30</f>
        <v>24605.4834657891</v>
      </c>
      <c r="X342" s="69" t="n">
        <f aca="false">-X301*Inputs!$D$75/30</f>
        <v>24995.6214117491</v>
      </c>
      <c r="Y342" s="69" t="n">
        <f aca="false">-Y301*Inputs!$D$75/30</f>
        <v>25373.2749434383</v>
      </c>
      <c r="Z342" s="69" t="n">
        <f aca="false">-Z301*Inputs!$D$75/30</f>
        <v>22683.6976625564</v>
      </c>
      <c r="AA342" s="69" t="n">
        <f aca="false">-AA301*Inputs!$D$75/30</f>
        <v>23567.1330792141</v>
      </c>
      <c r="AB342" s="69" t="n">
        <f aca="false">-AB301*Inputs!$D$75/30</f>
        <v>23864.13429842</v>
      </c>
      <c r="AC342" s="69" t="n">
        <f aca="false">-AC301*Inputs!$D$75/30</f>
        <v>27388.2519272828</v>
      </c>
      <c r="AD342" s="69" t="n">
        <f aca="false">-AD301*Inputs!$D$75/30</f>
        <v>27753.6582073536</v>
      </c>
      <c r="AE342" s="69" t="n">
        <f aca="false">-AE301*Inputs!$D$75/30</f>
        <v>28107.3714864622</v>
      </c>
      <c r="AF342" s="69" t="n">
        <f aca="false">-AF301*Inputs!$D$75/30</f>
        <v>28449.7659406393</v>
      </c>
      <c r="AG342" s="69" t="n">
        <f aca="false">-AG301*Inputs!$D$75/30</f>
        <v>28781.2037722827</v>
      </c>
      <c r="AH342" s="69" t="n">
        <f aca="false">-AH301*Inputs!$D$75/30</f>
        <v>29102.0355933135</v>
      </c>
      <c r="AI342" s="69" t="n">
        <f aca="false">-AI301*Inputs!$D$75/30</f>
        <v>29412.6007960714</v>
      </c>
      <c r="AJ342" s="69" t="n">
        <f aca="false">-AJ301*Inputs!$D$75/30</f>
        <v>29713.227912341</v>
      </c>
      <c r="AK342" s="69" t="n">
        <f aca="false">-AK301*Inputs!$D$75/30</f>
        <v>30004.23496089</v>
      </c>
      <c r="AL342" s="69" t="n">
        <f aca="false">-AL301*Inputs!$D$75/30</f>
        <v>26744.3271954271</v>
      </c>
      <c r="AM342" s="69" t="n">
        <f aca="false">-AM301*Inputs!$D$75/30</f>
        <v>27659.7754931298</v>
      </c>
      <c r="AN342" s="69" t="n">
        <f aca="false">-AN301*Inputs!$D$75/30</f>
        <v>27887.2497627778</v>
      </c>
      <c r="AO342" s="69" t="n">
        <f aca="false">-AO301*Inputs!$D$75/30</f>
        <v>31817.8874379562</v>
      </c>
      <c r="AP342" s="69" t="n">
        <f aca="false">-AP301*Inputs!$D$75/30</f>
        <v>32111.8660564877</v>
      </c>
      <c r="AQ342" s="69" t="n">
        <f aca="false">-AQ301*Inputs!$D$75/30</f>
        <v>32396.4373592263</v>
      </c>
      <c r="AR342" s="69" t="n">
        <f aca="false">-AR301*Inputs!$D$75/30</f>
        <v>32671.9023802772</v>
      </c>
      <c r="AS342" s="69" t="n">
        <f aca="false">-AS301*Inputs!$D$75/30</f>
        <v>32938.5525206545</v>
      </c>
      <c r="AT342" s="69" t="n">
        <f aca="false">-AT301*Inputs!$D$75/30</f>
        <v>33196.6698565397</v>
      </c>
      <c r="AU342" s="69" t="n">
        <f aca="false">-AU301*Inputs!$D$75/30</f>
        <v>33446.5274376766</v>
      </c>
      <c r="AV342" s="69" t="n">
        <f aca="false">-AV301*Inputs!$D$75/30</f>
        <v>33688.3895762171</v>
      </c>
      <c r="AW342" s="69" t="n">
        <f aca="false">-AW301*Inputs!$D$75/30</f>
        <v>33922.5121263243</v>
      </c>
      <c r="AX342" s="69" t="n">
        <f aca="false">-AX301*Inputs!$D$75/30</f>
        <v>30193.5547090274</v>
      </c>
      <c r="AY342" s="69" t="n">
        <f aca="false">-AY301*Inputs!$D$75/30</f>
        <v>31150.9376904512</v>
      </c>
      <c r="AZ342" s="69" t="n">
        <f aca="false">-AZ301*Inputs!$D$75/30</f>
        <v>31334.1135373113</v>
      </c>
      <c r="BA342" s="69" t="n">
        <f aca="false">-BA301*Inputs!$D$75/30</f>
        <v>35630.3189049</v>
      </c>
      <c r="BB342" s="69" t="n">
        <f aca="false">-BB301*Inputs!$D$75/30</f>
        <v>35879.3368529492</v>
      </c>
      <c r="BC342" s="69" t="n">
        <f aca="false">-BC301*Inputs!$D$75/30</f>
        <v>36120.3862266607</v>
      </c>
      <c r="BD342" s="69" t="n">
        <f aca="false">-BD301*Inputs!$D$75/30</f>
        <v>36353.7220204135</v>
      </c>
      <c r="BE342" s="69" t="n">
        <f aca="false">-BE301*Inputs!$D$75/30</f>
        <v>36579.5910687662</v>
      </c>
      <c r="BF342" s="69" t="n">
        <f aca="false">-BF301*Inputs!$D$75/30</f>
        <v>36798.2323075717</v>
      </c>
      <c r="BG342" s="69" t="n">
        <f aca="false">-BG301*Inputs!$D$75/30</f>
        <v>37009.8770267353</v>
      </c>
      <c r="BH342" s="69" t="n">
        <f aca="false">-BH301*Inputs!$D$75/30</f>
        <v>37214.7491148857</v>
      </c>
      <c r="BI342" s="69" t="n">
        <f aca="false">-BI301*Inputs!$D$75/30</f>
        <v>37413.0652962153</v>
      </c>
      <c r="BJ342" s="69" t="n">
        <f aca="false">-BJ301*Inputs!$D$75/30</f>
        <v>33278.6782126951</v>
      </c>
    </row>
    <row r="343" customFormat="false" ht="15" hidden="false" customHeight="false" outlineLevel="0" collapsed="false">
      <c r="A343" s="6" t="s">
        <v>346</v>
      </c>
      <c r="C343" s="69" t="n">
        <f aca="false">-C340</f>
        <v>-5198.9604</v>
      </c>
      <c r="D343" s="69" t="n">
        <f aca="false">C340-D340</f>
        <v>-660.231157485714</v>
      </c>
      <c r="E343" s="69" t="n">
        <f aca="false">D340-E340</f>
        <v>-1459.76684768427</v>
      </c>
      <c r="F343" s="69" t="n">
        <f aca="false">E340-F340</f>
        <v>-784.976382463133</v>
      </c>
      <c r="G343" s="69" t="n">
        <f aca="false">F340-G340</f>
        <v>-801.474742795738</v>
      </c>
      <c r="H343" s="69" t="n">
        <f aca="false">G340-H340</f>
        <v>-817.445155597705</v>
      </c>
      <c r="I343" s="69" t="n">
        <f aca="false">H340-I340</f>
        <v>-832.904515190008</v>
      </c>
      <c r="J343" s="69" t="n">
        <f aca="false">I340-J340</f>
        <v>-847.869175275357</v>
      </c>
      <c r="K343" s="69" t="n">
        <f aca="false">J340-K340</f>
        <v>-282.468851952259</v>
      </c>
      <c r="L343" s="69" t="n">
        <f aca="false">K340-L340</f>
        <v>-273.429848689786</v>
      </c>
      <c r="M343" s="69" t="n">
        <f aca="false">L340-M340</f>
        <v>-264.680093531713</v>
      </c>
      <c r="N343" s="69" t="n">
        <f aca="false">M340-N340</f>
        <v>897.912336127969</v>
      </c>
      <c r="O343" s="69" t="n">
        <f aca="false">N340-O340</f>
        <v>-575.270416889765</v>
      </c>
      <c r="P343" s="69" t="n">
        <f aca="false">O340-P340</f>
        <v>-235.774161554322</v>
      </c>
      <c r="Q343" s="69" t="n">
        <f aca="false">P340-Q340</f>
        <v>-1416.97573505125</v>
      </c>
      <c r="R343" s="69" t="n">
        <f aca="false">Q340-R340</f>
        <v>-248.724424062943</v>
      </c>
      <c r="S343" s="69" t="n">
        <f aca="false">R340-S340</f>
        <v>-240.765242492929</v>
      </c>
      <c r="T343" s="69" t="n">
        <f aca="false">S340-T340</f>
        <v>-233.060754733153</v>
      </c>
      <c r="U343" s="69" t="n">
        <f aca="false">T340-U340</f>
        <v>-225.602810581695</v>
      </c>
      <c r="V343" s="69" t="n">
        <f aca="false">U340-V340</f>
        <v>-218.383520643079</v>
      </c>
      <c r="W343" s="69" t="n">
        <f aca="false">V340-W340</f>
        <v>-211.395247982502</v>
      </c>
      <c r="X343" s="69" t="n">
        <f aca="false">W340-X340</f>
        <v>-204.630600047058</v>
      </c>
      <c r="Y343" s="69" t="n">
        <f aca="false">X340-Y340</f>
        <v>-198.082420845558</v>
      </c>
      <c r="Z343" s="69" t="n">
        <f aca="false">Y340-Z340</f>
        <v>997.002563288172</v>
      </c>
      <c r="AA343" s="69" t="n">
        <f aca="false">Z340-AA340</f>
        <v>-601.551746573841</v>
      </c>
      <c r="AB343" s="69" t="n">
        <f aca="false">AA340-AB340</f>
        <v>-174.796925801356</v>
      </c>
      <c r="AC343" s="69" t="n">
        <f aca="false">AB340-AC340</f>
        <v>-1393.61216124238</v>
      </c>
      <c r="AD343" s="69" t="n">
        <f aca="false">AC340-AD340</f>
        <v>-192.421241991957</v>
      </c>
      <c r="AE343" s="69" t="n">
        <f aca="false">AD340-AE340</f>
        <v>-186.263762248214</v>
      </c>
      <c r="AF343" s="69" t="n">
        <f aca="false">AE340-AF340</f>
        <v>-180.303321856271</v>
      </c>
      <c r="AG343" s="69" t="n">
        <f aca="false">AF340-AG340</f>
        <v>-174.533615556869</v>
      </c>
      <c r="AH343" s="69" t="n">
        <f aca="false">AG340-AH340</f>
        <v>-168.948539859051</v>
      </c>
      <c r="AI343" s="69" t="n">
        <f aca="false">AH340-AI340</f>
        <v>-163.54218658356</v>
      </c>
      <c r="AJ343" s="69" t="n">
        <f aca="false">AI340-AJ340</f>
        <v>-158.308836612887</v>
      </c>
      <c r="AK343" s="69" t="n">
        <f aca="false">AJ340-AK340</f>
        <v>-153.242953841273</v>
      </c>
      <c r="AL343" s="69" t="n">
        <f aca="false">AK340-AL340</f>
        <v>1076.06955774832</v>
      </c>
      <c r="AM343" s="69" t="n">
        <f aca="false">AL340-AM340</f>
        <v>-632.739915844606</v>
      </c>
      <c r="AN343" s="69" t="n">
        <f aca="false">AM340-AN340</f>
        <v>-134.395592619909</v>
      </c>
      <c r="AO343" s="69" t="n">
        <f aca="false">AN340-AO340</f>
        <v>-1391.23593283474</v>
      </c>
      <c r="AP343" s="69" t="n">
        <f aca="false">AO340-AP340</f>
        <v>-155.423192990642</v>
      </c>
      <c r="AQ343" s="69" t="n">
        <f aca="false">AP340-AQ340</f>
        <v>-150.449650814942</v>
      </c>
      <c r="AR343" s="69" t="n">
        <f aca="false">AQ340-AR340</f>
        <v>-145.635261988868</v>
      </c>
      <c r="AS343" s="69" t="n">
        <f aca="false">AR340-AS340</f>
        <v>-140.974933605219</v>
      </c>
      <c r="AT343" s="69" t="n">
        <f aca="false">AS340-AT340</f>
        <v>-136.463735729856</v>
      </c>
      <c r="AU343" s="69" t="n">
        <f aca="false">AT340-AU340</f>
        <v>-132.0968961865</v>
      </c>
      <c r="AV343" s="69" t="n">
        <f aca="false">AU340-AV340</f>
        <v>-127.86979550853</v>
      </c>
      <c r="AW343" s="69" t="n">
        <f aca="false">AV340-AW340</f>
        <v>-123.77796205226</v>
      </c>
      <c r="AX343" s="69" t="n">
        <f aca="false">AW340-AX340</f>
        <v>1141.32393191208</v>
      </c>
      <c r="AY343" s="69" t="n">
        <f aca="false">AX340-AY340</f>
        <v>-668.64613790252</v>
      </c>
      <c r="AZ343" s="69" t="n">
        <f aca="false">AY340-AZ340</f>
        <v>-108.641676231218</v>
      </c>
      <c r="BA343" s="69" t="n">
        <f aca="false">AZ340-BA340</f>
        <v>-1404.14037174585</v>
      </c>
      <c r="BB343" s="69" t="n">
        <f aca="false">BA340-BB340</f>
        <v>-132.17589415679</v>
      </c>
      <c r="BC343" s="69" t="n">
        <f aca="false">BB340-BC340</f>
        <v>-127.946265543782</v>
      </c>
      <c r="BD343" s="69" t="n">
        <f aca="false">BC340-BD340</f>
        <v>-123.851985046374</v>
      </c>
      <c r="BE343" s="69" t="n">
        <f aca="false">BD340-BE340</f>
        <v>-119.888721524894</v>
      </c>
      <c r="BF343" s="69" t="n">
        <f aca="false">BE340-BF340</f>
        <v>-116.052282436092</v>
      </c>
      <c r="BG343" s="69" t="n">
        <f aca="false">BF340-BG340</f>
        <v>-112.338609398139</v>
      </c>
      <c r="BH343" s="69" t="n">
        <f aca="false">BG340-BH340</f>
        <v>-108.743773897404</v>
      </c>
      <c r="BI343" s="69" t="n">
        <f aca="false">BH340-BI340</f>
        <v>-105.263973132682</v>
      </c>
      <c r="BJ343" s="69" t="n">
        <f aca="false">BI340-BJ340</f>
        <v>1197.07970316159</v>
      </c>
    </row>
    <row r="344" customFormat="false" ht="15" hidden="false" customHeight="false" outlineLevel="0" collapsed="false">
      <c r="A344" s="6" t="s">
        <v>347</v>
      </c>
      <c r="C344" s="69" t="n">
        <f aca="false">-C341</f>
        <v>-4770.66839184</v>
      </c>
      <c r="D344" s="69" t="n">
        <f aca="false">C341-D341</f>
        <v>-611.610656009691</v>
      </c>
      <c r="E344" s="69" t="n">
        <f aca="false">D341-E341</f>
        <v>-1488.77698376468</v>
      </c>
      <c r="F344" s="69" t="n">
        <f aca="false">E341-F341</f>
        <v>-756.144883968658</v>
      </c>
      <c r="G344" s="69" t="n">
        <f aca="false">F341-G341</f>
        <v>-775.092990310232</v>
      </c>
      <c r="H344" s="69" t="n">
        <f aca="false">G341-H341</f>
        <v>-793.434757248877</v>
      </c>
      <c r="I344" s="69" t="n">
        <f aca="false">H341-I341</f>
        <v>-811.189587645482</v>
      </c>
      <c r="J344" s="69" t="n">
        <f aca="false">I341-J341</f>
        <v>-828.376263469401</v>
      </c>
      <c r="K344" s="69" t="n">
        <f aca="false">J341-K341</f>
        <v>-324.411016432667</v>
      </c>
      <c r="L344" s="69" t="n">
        <f aca="false">K341-L341</f>
        <v>-314.029863906815</v>
      </c>
      <c r="M344" s="69" t="n">
        <f aca="false">L341-M341</f>
        <v>-303.980908261801</v>
      </c>
      <c r="N344" s="69" t="n">
        <f aca="false">M341-N341</f>
        <v>1178.81620895778</v>
      </c>
      <c r="O344" s="69" t="n">
        <f aca="false">N341-O341</f>
        <v>-517.8620303934</v>
      </c>
      <c r="P344" s="69" t="n">
        <f aca="false">O341-P341</f>
        <v>-241.296361078596</v>
      </c>
      <c r="Q344" s="69" t="n">
        <f aca="false">P341-Q341</f>
        <v>-1828.97596012699</v>
      </c>
      <c r="R344" s="69" t="n">
        <f aca="false">Q341-R341</f>
        <v>-284.522947863128</v>
      </c>
      <c r="S344" s="69" t="n">
        <f aca="false">R341-S341</f>
        <v>-275.41821353151</v>
      </c>
      <c r="T344" s="69" t="n">
        <f aca="false">S341-T341</f>
        <v>-266.604830698498</v>
      </c>
      <c r="U344" s="69" t="n">
        <f aca="false">T341-U341</f>
        <v>-258.073476116146</v>
      </c>
      <c r="V344" s="69" t="n">
        <f aca="false">U341-V341</f>
        <v>-249.815124880432</v>
      </c>
      <c r="W344" s="69" t="n">
        <f aca="false">V341-W341</f>
        <v>-241.821040884255</v>
      </c>
      <c r="X344" s="69" t="n">
        <f aca="false">W341-X341</f>
        <v>-234.082767575957</v>
      </c>
      <c r="Y344" s="69" t="n">
        <f aca="false">X341-Y341</f>
        <v>-226.59211901353</v>
      </c>
      <c r="Z344" s="69" t="n">
        <f aca="false">Y341-Z341</f>
        <v>1613.7463685291</v>
      </c>
      <c r="AA344" s="69" t="n">
        <f aca="false">Z341-AA341</f>
        <v>-530.061249994591</v>
      </c>
      <c r="AB344" s="69" t="n">
        <f aca="false">AA341-AB341</f>
        <v>-178.200731523568</v>
      </c>
      <c r="AC344" s="69" t="n">
        <f aca="false">AB341-AC341</f>
        <v>-2114.47057731764</v>
      </c>
      <c r="AD344" s="69" t="n">
        <f aca="false">AC341-AD341</f>
        <v>-219.243768042496</v>
      </c>
      <c r="AE344" s="69" t="n">
        <f aca="false">AD341-AE341</f>
        <v>-212.227967465144</v>
      </c>
      <c r="AF344" s="69" t="n">
        <f aca="false">AE341-AF341</f>
        <v>-205.436672506254</v>
      </c>
      <c r="AG344" s="69" t="n">
        <f aca="false">AF341-AG341</f>
        <v>-198.862698986057</v>
      </c>
      <c r="AH344" s="69" t="n">
        <f aca="false">AG341-AH341</f>
        <v>-192.499092618498</v>
      </c>
      <c r="AI344" s="69" t="n">
        <f aca="false">AH341-AI341</f>
        <v>-186.339121654713</v>
      </c>
      <c r="AJ344" s="69" t="n">
        <f aca="false">AI341-AJ341</f>
        <v>-180.376269761757</v>
      </c>
      <c r="AK344" s="69" t="n">
        <f aca="false">AJ341-AK341</f>
        <v>-174.604229129382</v>
      </c>
      <c r="AL344" s="69" t="n">
        <f aca="false">AK341-AL341</f>
        <v>1955.94465927773</v>
      </c>
      <c r="AM344" s="69" t="n">
        <f aca="false">AL341-AM341</f>
        <v>-549.268978621638</v>
      </c>
      <c r="AN344" s="69" t="n">
        <f aca="false">AM341-AN341</f>
        <v>-136.48456178878</v>
      </c>
      <c r="AO344" s="69" t="n">
        <f aca="false">AN341-AO341</f>
        <v>-2358.38260510704</v>
      </c>
      <c r="AP344" s="69" t="n">
        <f aca="false">AO341-AP341</f>
        <v>-176.387171118935</v>
      </c>
      <c r="AQ344" s="69" t="n">
        <f aca="false">AP341-AQ341</f>
        <v>-170.742781643134</v>
      </c>
      <c r="AR344" s="69" t="n">
        <f aca="false">AQ341-AR341</f>
        <v>-165.279012630552</v>
      </c>
      <c r="AS344" s="69" t="n">
        <f aca="false">AR341-AS341</f>
        <v>-159.990084226371</v>
      </c>
      <c r="AT344" s="69" t="n">
        <f aca="false">AS341-AT341</f>
        <v>-154.870401531127</v>
      </c>
      <c r="AU344" s="69" t="n">
        <f aca="false">AT341-AU341</f>
        <v>-149.914548682136</v>
      </c>
      <c r="AV344" s="69" t="n">
        <f aca="false">AU341-AV341</f>
        <v>-145.117283124302</v>
      </c>
      <c r="AW344" s="69" t="n">
        <f aca="false">AV341-AW341</f>
        <v>-140.473530064326</v>
      </c>
      <c r="AX344" s="69" t="n">
        <f aca="false">AW341-AX341</f>
        <v>2237.37445037813</v>
      </c>
      <c r="AY344" s="69" t="n">
        <f aca="false">AX341-AY341</f>
        <v>-574.429788854275</v>
      </c>
      <c r="AZ344" s="69" t="n">
        <f aca="false">AY341-AZ341</f>
        <v>-109.905508116037</v>
      </c>
      <c r="BA344" s="69" t="n">
        <f aca="false">AZ341-BA341</f>
        <v>-2577.72322055326</v>
      </c>
      <c r="BB344" s="69" t="n">
        <f aca="false">BA341-BB341</f>
        <v>-149.41076882949</v>
      </c>
      <c r="BC344" s="69" t="n">
        <f aca="false">BB341-BC341</f>
        <v>-144.629624226942</v>
      </c>
      <c r="BD344" s="69" t="n">
        <f aca="false">BC341-BD341</f>
        <v>-140.00147625168</v>
      </c>
      <c r="BE344" s="69" t="n">
        <f aca="false">BD341-BE341</f>
        <v>-135.52142901162</v>
      </c>
      <c r="BF344" s="69" t="n">
        <f aca="false">BE341-BF341</f>
        <v>-131.184743283255</v>
      </c>
      <c r="BG344" s="69" t="n">
        <f aca="false">BF341-BG341</f>
        <v>-126.986831498183</v>
      </c>
      <c r="BH344" s="69" t="n">
        <f aca="false">BG341-BH341</f>
        <v>-122.923252890254</v>
      </c>
      <c r="BI344" s="69" t="n">
        <f aca="false">BH341-BI341</f>
        <v>-118.989708797755</v>
      </c>
      <c r="BJ344" s="69" t="n">
        <f aca="false">BI341-BJ341</f>
        <v>2480.63225011212</v>
      </c>
    </row>
    <row r="345" customFormat="false" ht="15" hidden="false" customHeight="false" outlineLevel="0" collapsed="false">
      <c r="A345" s="6" t="s">
        <v>348</v>
      </c>
      <c r="C345" s="69" t="n">
        <f aca="false">C342</f>
        <v>7951.1139864</v>
      </c>
      <c r="D345" s="69" t="n">
        <f aca="false">D342-C342</f>
        <v>1019.35109334948</v>
      </c>
      <c r="E345" s="69" t="n">
        <f aca="false">E342-D342</f>
        <v>2481.29497294113</v>
      </c>
      <c r="F345" s="69" t="n">
        <f aca="false">F342-E342</f>
        <v>1260.2414732811</v>
      </c>
      <c r="G345" s="69" t="n">
        <f aca="false">G342-F342</f>
        <v>1291.82165051705</v>
      </c>
      <c r="H345" s="69" t="n">
        <f aca="false">H342-G342</f>
        <v>1322.39126208146</v>
      </c>
      <c r="I345" s="69" t="n">
        <f aca="false">I342-H342</f>
        <v>1351.9826460758</v>
      </c>
      <c r="J345" s="69" t="n">
        <f aca="false">J342-I342</f>
        <v>1380.62710578234</v>
      </c>
      <c r="K345" s="69" t="n">
        <f aca="false">K342-J342</f>
        <v>540.685027387779</v>
      </c>
      <c r="L345" s="69" t="n">
        <f aca="false">L342-K342</f>
        <v>523.383106511359</v>
      </c>
      <c r="M345" s="69" t="n">
        <f aca="false">M342-L342</f>
        <v>506.634847103007</v>
      </c>
      <c r="N345" s="69" t="n">
        <f aca="false">N342-M342</f>
        <v>-1964.6936815963</v>
      </c>
      <c r="O345" s="69" t="n">
        <f aca="false">O342-N342</f>
        <v>863.103383989001</v>
      </c>
      <c r="P345" s="69" t="n">
        <f aca="false">P342-O342</f>
        <v>402.160601797659</v>
      </c>
      <c r="Q345" s="69" t="n">
        <f aca="false">Q342-P342</f>
        <v>3048.29326687832</v>
      </c>
      <c r="R345" s="69" t="n">
        <f aca="false">R342-Q342</f>
        <v>474.204913105212</v>
      </c>
      <c r="S345" s="69" t="n">
        <f aca="false">S342-R342</f>
        <v>459.03035588585</v>
      </c>
      <c r="T345" s="69" t="n">
        <f aca="false">T342-S342</f>
        <v>444.341384497493</v>
      </c>
      <c r="U345" s="69" t="n">
        <f aca="false">U342-T342</f>
        <v>430.122460193579</v>
      </c>
      <c r="V345" s="69" t="n">
        <f aca="false">V342-U342</f>
        <v>416.358541467387</v>
      </c>
      <c r="W345" s="69" t="n">
        <f aca="false">W342-V342</f>
        <v>403.03506814042</v>
      </c>
      <c r="X345" s="69" t="n">
        <f aca="false">X342-W342</f>
        <v>390.137945959934</v>
      </c>
      <c r="Y345" s="69" t="n">
        <f aca="false">Y342-X342</f>
        <v>377.653531689222</v>
      </c>
      <c r="Z345" s="69" t="n">
        <f aca="false">Z342-Y342</f>
        <v>-2689.57728088183</v>
      </c>
      <c r="AA345" s="69" t="n">
        <f aca="false">AA342-Z342</f>
        <v>883.435416657652</v>
      </c>
      <c r="AB345" s="69" t="n">
        <f aca="false">AB342-AA342</f>
        <v>297.001219205948</v>
      </c>
      <c r="AC345" s="69" t="n">
        <f aca="false">AC342-AB342</f>
        <v>3524.11762886274</v>
      </c>
      <c r="AD345" s="69" t="n">
        <f aca="false">AD342-AC342</f>
        <v>365.406280070827</v>
      </c>
      <c r="AE345" s="69" t="n">
        <f aca="false">AE342-AD342</f>
        <v>353.713279108571</v>
      </c>
      <c r="AF345" s="69" t="n">
        <f aca="false">AF342-AE342</f>
        <v>342.394454177087</v>
      </c>
      <c r="AG345" s="69" t="n">
        <f aca="false">AG342-AF342</f>
        <v>331.43783164343</v>
      </c>
      <c r="AH345" s="69" t="n">
        <f aca="false">AH342-AG342</f>
        <v>320.831821030828</v>
      </c>
      <c r="AI345" s="69" t="n">
        <f aca="false">AI342-AH342</f>
        <v>310.565202757858</v>
      </c>
      <c r="AJ345" s="69" t="n">
        <f aca="false">AJ342-AI342</f>
        <v>300.627116269592</v>
      </c>
      <c r="AK345" s="69" t="n">
        <f aca="false">AK342-AJ342</f>
        <v>291.007048548974</v>
      </c>
      <c r="AL345" s="69" t="n">
        <f aca="false">AL342-AK342</f>
        <v>-3259.9077654629</v>
      </c>
      <c r="AM345" s="69" t="n">
        <f aca="false">AM342-AL342</f>
        <v>915.448297702737</v>
      </c>
      <c r="AN345" s="69" t="n">
        <f aca="false">AN342-AM342</f>
        <v>227.474269647966</v>
      </c>
      <c r="AO345" s="69" t="n">
        <f aca="false">AO342-AN342</f>
        <v>3930.63767517839</v>
      </c>
      <c r="AP345" s="69" t="n">
        <f aca="false">AP342-AO342</f>
        <v>293.978618531557</v>
      </c>
      <c r="AQ345" s="69" t="n">
        <f aca="false">AQ342-AP342</f>
        <v>284.571302738557</v>
      </c>
      <c r="AR345" s="69" t="n">
        <f aca="false">AR342-AQ342</f>
        <v>275.465021050917</v>
      </c>
      <c r="AS345" s="69" t="n">
        <f aca="false">AS342-AR342</f>
        <v>266.650140377289</v>
      </c>
      <c r="AT345" s="69" t="n">
        <f aca="false">AT342-AS342</f>
        <v>258.11733588521</v>
      </c>
      <c r="AU345" s="69" t="n">
        <f aca="false">AU342-AT342</f>
        <v>249.857581136894</v>
      </c>
      <c r="AV345" s="69" t="n">
        <f aca="false">AV342-AU342</f>
        <v>241.862138540499</v>
      </c>
      <c r="AW345" s="69" t="n">
        <f aca="false">AW342-AV342</f>
        <v>234.122550107211</v>
      </c>
      <c r="AX345" s="69" t="n">
        <f aca="false">AX342-AW342</f>
        <v>-3728.95741729689</v>
      </c>
      <c r="AY345" s="69" t="n">
        <f aca="false">AY342-AX342</f>
        <v>957.382981423791</v>
      </c>
      <c r="AZ345" s="69" t="n">
        <f aca="false">AZ342-AY342</f>
        <v>183.175846860064</v>
      </c>
      <c r="BA345" s="69" t="n">
        <f aca="false">BA342-AZ342</f>
        <v>4296.20536758877</v>
      </c>
      <c r="BB345" s="69" t="n">
        <f aca="false">BB342-BA342</f>
        <v>249.01794804915</v>
      </c>
      <c r="BC345" s="69" t="n">
        <f aca="false">BC342-BB342</f>
        <v>241.049373711568</v>
      </c>
      <c r="BD345" s="69" t="n">
        <f aca="false">BD342-BC342</f>
        <v>233.335793752798</v>
      </c>
      <c r="BE345" s="69" t="n">
        <f aca="false">BE342-BD342</f>
        <v>225.869048352703</v>
      </c>
      <c r="BF345" s="69" t="n">
        <f aca="false">BF342-BE342</f>
        <v>218.64123880543</v>
      </c>
      <c r="BG345" s="69" t="n">
        <f aca="false">BG342-BF342</f>
        <v>211.64471916364</v>
      </c>
      <c r="BH345" s="69" t="n">
        <f aca="false">BH342-BG342</f>
        <v>204.872088150412</v>
      </c>
      <c r="BI345" s="69" t="n">
        <f aca="false">BI342-BH342</f>
        <v>198.316181329603</v>
      </c>
      <c r="BJ345" s="69" t="n">
        <f aca="false">BJ342-BI342</f>
        <v>-4134.3870835202</v>
      </c>
    </row>
    <row r="347" customFormat="false" ht="15.75" hidden="false" customHeight="true" outlineLevel="0" collapsed="false">
      <c r="A347" s="7" t="s">
        <v>455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</row>
    <row r="348" customFormat="false" ht="15" hidden="false" customHeight="false" outlineLevel="0" collapsed="false">
      <c r="A348" s="4" t="s">
        <v>52</v>
      </c>
      <c r="C348" s="75" t="n">
        <f aca="false">C320-C329+C343+C344+C345</f>
        <v>-48412.1122557867</v>
      </c>
      <c r="D348" s="75" t="n">
        <f aca="false">D320-D329+D343+D344+D345</f>
        <v>-37877.3004535596</v>
      </c>
      <c r="E348" s="75" t="n">
        <f aca="false">E320-E329+E343+E344+E345</f>
        <v>-18996.0265108535</v>
      </c>
      <c r="F348" s="75" t="n">
        <f aca="false">F320-F329+F343+F344+F345</f>
        <v>-8370.21814315336</v>
      </c>
      <c r="G348" s="75" t="n">
        <f aca="false">G320-G329+G343+G344+G345</f>
        <v>2274.93406205737</v>
      </c>
      <c r="H348" s="75" t="n">
        <f aca="false">H320-H329+H343+H344+H345</f>
        <v>13123.0826466823</v>
      </c>
      <c r="I348" s="75" t="n">
        <f aca="false">I320-I329+I343+I344+I345</f>
        <v>24167.7317265802</v>
      </c>
      <c r="J348" s="75" t="n">
        <f aca="false">J320-J329+J343+J344+J345</f>
        <v>35402.5932859024</v>
      </c>
      <c r="K348" s="75" t="n">
        <f aca="false">K320-K329+K343+K344+K345</f>
        <v>39397.3108576195</v>
      </c>
      <c r="L348" s="75" t="n">
        <f aca="false">L320-L329+L343+L344+L345</f>
        <v>43049.9004283979</v>
      </c>
      <c r="M348" s="75" t="n">
        <f aca="false">M320-M329+M343+M344+M345</f>
        <v>46591.2737995781</v>
      </c>
      <c r="N348" s="75" t="n">
        <f aca="false">N320-N329+N343+N344+N345</f>
        <v>35831.3655270874</v>
      </c>
      <c r="O348" s="75" t="n">
        <f aca="false">O320-O329+O343+O344+O345</f>
        <v>42087.1171261968</v>
      </c>
      <c r="P348" s="75" t="n">
        <f aca="false">P320-P329+P343+P344+P345</f>
        <v>45473.3393031467</v>
      </c>
      <c r="Q348" s="75" t="n">
        <f aca="false">Q320-Q329+Q343+Q344+Q345</f>
        <v>63124.3582345302</v>
      </c>
      <c r="R348" s="75" t="n">
        <f aca="false">R320-R329+R343+R344+R345</f>
        <v>66601.8780025604</v>
      </c>
      <c r="S348" s="75" t="n">
        <f aca="false">S320-S329+S343+S344+S345</f>
        <v>69841.492904907</v>
      </c>
      <c r="T348" s="75" t="n">
        <f aca="false">T320-T329+T343+T344+T345</f>
        <v>72983.106797045</v>
      </c>
      <c r="U348" s="75" t="n">
        <f aca="false">U320-U329+U343+U344+U345</f>
        <v>70906.8954588906</v>
      </c>
      <c r="V348" s="75" t="n">
        <f aca="false">V320-V329+V343+V344+V345</f>
        <v>68424.5860864531</v>
      </c>
      <c r="W348" s="75" t="n">
        <f aca="false">W320-W329+W343+W344+W345</f>
        <v>70689.0972471117</v>
      </c>
      <c r="X348" s="75" t="n">
        <f aca="false">X320-X329+X343+X344+X345</f>
        <v>72885.6207172959</v>
      </c>
      <c r="Y348" s="75" t="n">
        <f aca="false">Y320-Y329+Y343+Y344+Y345</f>
        <v>75016.332103101</v>
      </c>
      <c r="Z348" s="75" t="n">
        <f aca="false">Z320-Z329+Z343+Z344+Z345</f>
        <v>65859.6594828507</v>
      </c>
      <c r="AA348" s="75" t="n">
        <f aca="false">AA320-AA329+AA343+AA344+AA345</f>
        <v>71103.5274705798</v>
      </c>
      <c r="AB348" s="75" t="n">
        <f aca="false">AB320-AB329+AB343+AB344+AB345</f>
        <v>73225.3908606437</v>
      </c>
      <c r="AC348" s="75" t="n">
        <f aca="false">AC320-AC329+AC343+AC344+AC345</f>
        <v>86610.7586209591</v>
      </c>
      <c r="AD348" s="75" t="n">
        <f aca="false">AD320-AD329+AD343+AD344+AD345</f>
        <v>88622.1473981236</v>
      </c>
      <c r="AE348" s="75" t="n">
        <f aca="false">AE320-AE329+AE343+AE344+AE345</f>
        <v>90635.4289048622</v>
      </c>
      <c r="AF348" s="75" t="n">
        <f aca="false">AF320-AF329+AF343+AF344+AF345</f>
        <v>92588.7620700518</v>
      </c>
      <c r="AG348" s="75" t="n">
        <f aca="false">AG320-AG329+AG343+AG344+AG345</f>
        <v>94484.065240622</v>
      </c>
      <c r="AH348" s="75" t="n">
        <f aca="false">AH320-AH329+AH343+AH344+AH345</f>
        <v>96323.1953764006</v>
      </c>
      <c r="AI348" s="75" t="n">
        <f aca="false">AI320-AI329+AI343+AI344+AI345</f>
        <v>98107.950014501</v>
      </c>
      <c r="AJ348" s="75" t="n">
        <f aca="false">AJ320-AJ329+AJ343+AJ344+AJ345</f>
        <v>99840.0691708489</v>
      </c>
      <c r="AK348" s="75" t="n">
        <f aca="false">AK320-AK329+AK343+AK344+AK345</f>
        <v>101521.23718086</v>
      </c>
      <c r="AL348" s="75" t="n">
        <f aca="false">AL320-AL329+AL343+AL344+AL345</f>
        <v>91809.0479025196</v>
      </c>
      <c r="AM348" s="75" t="n">
        <f aca="false">AM320-AM329+AM343+AM344+AM345</f>
        <v>97381.154847546</v>
      </c>
      <c r="AN348" s="75" t="n">
        <f aca="false">AN320-AN329+AN343+AN344+AN345</f>
        <v>99121.1475578018</v>
      </c>
      <c r="AO348" s="75" t="n">
        <f aca="false">AO320-AO329+AO343+AO344+AO345</f>
        <v>112245.369701155</v>
      </c>
      <c r="AP348" s="75" t="n">
        <f aca="false">AP320-AP329+AP343+AP344+AP345</f>
        <v>113729.487758245</v>
      </c>
      <c r="AQ348" s="75" t="n">
        <f aca="false">AQ320-AQ329+AQ343+AQ344+AQ345</f>
        <v>115383.648974598</v>
      </c>
      <c r="AR348" s="75" t="n">
        <f aca="false">AR320-AR329+AR343+AR344+AR345</f>
        <v>116989.353698694</v>
      </c>
      <c r="AS348" s="75" t="n">
        <f aca="false">AS320-AS329+AS343+AS344+AS345</f>
        <v>118548.152538286</v>
      </c>
      <c r="AT348" s="75" t="n">
        <f aca="false">AT320-AT329+AT343+AT344+AT345</f>
        <v>120061.546481677</v>
      </c>
      <c r="AU348" s="75" t="n">
        <f aca="false">AU320-AU329+AU343+AU344+AU345</f>
        <v>121530.988485547</v>
      </c>
      <c r="AV348" s="75" t="n">
        <f aca="false">AV320-AV329+AV343+AV344+AV345</f>
        <v>122957.885011959</v>
      </c>
      <c r="AW348" s="75" t="n">
        <f aca="false">AW320-AW329+AW343+AW344+AW345</f>
        <v>124343.597516193</v>
      </c>
      <c r="AX348" s="75" t="n">
        <f aca="false">AX320-AX329+AX343+AX344+AX345</f>
        <v>114173.726294968</v>
      </c>
      <c r="AY348" s="75" t="n">
        <f aca="false">AY320-AY329+AY343+AY344+AY345</f>
        <v>120100.0055218</v>
      </c>
      <c r="AZ348" s="75" t="n">
        <f aca="false">AZ320-AZ329+AZ343+AZ344+AZ345</f>
        <v>121603.976123495</v>
      </c>
      <c r="BA348" s="75" t="n">
        <f aca="false">BA320-BA329+BA343+BA344+BA345</f>
        <v>134659.84578632</v>
      </c>
      <c r="BB348" s="75" t="n">
        <f aca="false">BB320-BB329+BB343+BB344+BB345</f>
        <v>135783.046460434</v>
      </c>
      <c r="BC348" s="75" t="n">
        <f aca="false">BC320-BC329+BC343+BC344+BC345</f>
        <v>137211.63293306</v>
      </c>
      <c r="BD348" s="75" t="n">
        <f aca="false">BD320-BD329+BD343+BD344+BD345</f>
        <v>138598.981305229</v>
      </c>
      <c r="BE348" s="75" t="n">
        <f aca="false">BE320-BE329+BE343+BE344+BE345</f>
        <v>139946.411196156</v>
      </c>
      <c r="BF348" s="75" t="n">
        <f aca="false">BF320-BF329+BF343+BF344+BF345</f>
        <v>141255.199997239</v>
      </c>
      <c r="BG348" s="75" t="n">
        <f aca="false">BG320-BG329+BG343+BG344+BG345</f>
        <v>142526.584223354</v>
      </c>
      <c r="BH348" s="75" t="n">
        <f aca="false">BH320-BH329+BH343+BH344+BH345</f>
        <v>143761.760820901</v>
      </c>
      <c r="BI348" s="75" t="n">
        <f aca="false">BI320-BI329+BI343+BI344+BI345</f>
        <v>144961.888433992</v>
      </c>
      <c r="BJ348" s="75" t="n">
        <f aca="false">BJ320-BJ329+BJ343+BJ344+BJ345</f>
        <v>134405.051110392</v>
      </c>
    </row>
    <row r="349" customFormat="false" ht="15" hidden="false" customHeight="false" outlineLevel="0" collapsed="false">
      <c r="A349" s="6" t="s">
        <v>456</v>
      </c>
      <c r="C349" s="69" t="n">
        <f aca="false">-C327</f>
        <v>-4100000</v>
      </c>
      <c r="D349" s="69" t="n">
        <f aca="false">-D327</f>
        <v>-0</v>
      </c>
      <c r="E349" s="69" t="n">
        <f aca="false">-E327</f>
        <v>-0</v>
      </c>
      <c r="F349" s="69" t="n">
        <f aca="false">-F327</f>
        <v>-0</v>
      </c>
      <c r="G349" s="69" t="n">
        <f aca="false">-G327</f>
        <v>-0</v>
      </c>
      <c r="H349" s="69" t="n">
        <f aca="false">-H327</f>
        <v>-0</v>
      </c>
      <c r="I349" s="69" t="n">
        <f aca="false">-I327</f>
        <v>-0</v>
      </c>
      <c r="J349" s="69" t="n">
        <f aca="false">-J327</f>
        <v>-0</v>
      </c>
      <c r="K349" s="69" t="n">
        <f aca="false">-K327</f>
        <v>-0</v>
      </c>
      <c r="L349" s="69" t="n">
        <f aca="false">-L327</f>
        <v>-0</v>
      </c>
      <c r="M349" s="69" t="n">
        <f aca="false">-M327</f>
        <v>-0</v>
      </c>
      <c r="N349" s="69" t="n">
        <f aca="false">-N327</f>
        <v>-0</v>
      </c>
      <c r="O349" s="69" t="n">
        <f aca="false">-O327</f>
        <v>-40000</v>
      </c>
      <c r="P349" s="69" t="n">
        <f aca="false">-P327</f>
        <v>-0</v>
      </c>
      <c r="Q349" s="69" t="n">
        <f aca="false">-Q327</f>
        <v>-0</v>
      </c>
      <c r="R349" s="69" t="n">
        <f aca="false">-R327</f>
        <v>-0</v>
      </c>
      <c r="S349" s="69" t="n">
        <f aca="false">-S327</f>
        <v>-0</v>
      </c>
      <c r="T349" s="69" t="n">
        <f aca="false">-T327</f>
        <v>-0</v>
      </c>
      <c r="U349" s="69" t="n">
        <f aca="false">-U327</f>
        <v>-0</v>
      </c>
      <c r="V349" s="69" t="n">
        <f aca="false">-V327</f>
        <v>-0</v>
      </c>
      <c r="W349" s="69" t="n">
        <f aca="false">-W327</f>
        <v>-0</v>
      </c>
      <c r="X349" s="69" t="n">
        <f aca="false">-X327</f>
        <v>-0</v>
      </c>
      <c r="Y349" s="69" t="n">
        <f aca="false">-Y327</f>
        <v>-0</v>
      </c>
      <c r="Z349" s="69" t="n">
        <f aca="false">-Z327</f>
        <v>-0</v>
      </c>
      <c r="AA349" s="69" t="n">
        <f aca="false">-AA327</f>
        <v>-40000</v>
      </c>
      <c r="AB349" s="69" t="n">
        <f aca="false">-AB327</f>
        <v>-0</v>
      </c>
      <c r="AC349" s="69" t="n">
        <f aca="false">-AC327</f>
        <v>-0</v>
      </c>
      <c r="AD349" s="69" t="n">
        <f aca="false">-AD327</f>
        <v>-0</v>
      </c>
      <c r="AE349" s="69" t="n">
        <f aca="false">-AE327</f>
        <v>-0</v>
      </c>
      <c r="AF349" s="69" t="n">
        <f aca="false">-AF327</f>
        <v>-0</v>
      </c>
      <c r="AG349" s="69" t="n">
        <f aca="false">-AG327</f>
        <v>-0</v>
      </c>
      <c r="AH349" s="69" t="n">
        <f aca="false">-AH327</f>
        <v>-0</v>
      </c>
      <c r="AI349" s="69" t="n">
        <f aca="false">-AI327</f>
        <v>-0</v>
      </c>
      <c r="AJ349" s="69" t="n">
        <f aca="false">-AJ327</f>
        <v>-0</v>
      </c>
      <c r="AK349" s="69" t="n">
        <f aca="false">-AK327</f>
        <v>-0</v>
      </c>
      <c r="AL349" s="69" t="n">
        <f aca="false">-AL327</f>
        <v>-0</v>
      </c>
      <c r="AM349" s="69" t="n">
        <f aca="false">-AM327</f>
        <v>-40000</v>
      </c>
      <c r="AN349" s="69" t="n">
        <f aca="false">-AN327</f>
        <v>-0</v>
      </c>
      <c r="AO349" s="69" t="n">
        <f aca="false">-AO327</f>
        <v>-0</v>
      </c>
      <c r="AP349" s="69" t="n">
        <f aca="false">-AP327</f>
        <v>-0</v>
      </c>
      <c r="AQ349" s="69" t="n">
        <f aca="false">-AQ327</f>
        <v>-0</v>
      </c>
      <c r="AR349" s="69" t="n">
        <f aca="false">-AR327</f>
        <v>-0</v>
      </c>
      <c r="AS349" s="69" t="n">
        <f aca="false">-AS327</f>
        <v>-0</v>
      </c>
      <c r="AT349" s="69" t="n">
        <f aca="false">-AT327</f>
        <v>-0</v>
      </c>
      <c r="AU349" s="69" t="n">
        <f aca="false">-AU327</f>
        <v>-0</v>
      </c>
      <c r="AV349" s="69" t="n">
        <f aca="false">-AV327</f>
        <v>-0</v>
      </c>
      <c r="AW349" s="69" t="n">
        <f aca="false">-AW327</f>
        <v>-0</v>
      </c>
      <c r="AX349" s="69" t="n">
        <f aca="false">-AX327</f>
        <v>-0</v>
      </c>
      <c r="AY349" s="69" t="n">
        <f aca="false">-AY327</f>
        <v>-40000</v>
      </c>
      <c r="AZ349" s="69" t="n">
        <f aca="false">-AZ327</f>
        <v>-0</v>
      </c>
      <c r="BA349" s="69" t="n">
        <f aca="false">-BA327</f>
        <v>-0</v>
      </c>
      <c r="BB349" s="69" t="n">
        <f aca="false">-BB327</f>
        <v>-0</v>
      </c>
      <c r="BC349" s="69" t="n">
        <f aca="false">-BC327</f>
        <v>-0</v>
      </c>
      <c r="BD349" s="69" t="n">
        <f aca="false">-BD327</f>
        <v>-0</v>
      </c>
      <c r="BE349" s="69" t="n">
        <f aca="false">-BE327</f>
        <v>-0</v>
      </c>
      <c r="BF349" s="69" t="n">
        <f aca="false">-BF327</f>
        <v>-0</v>
      </c>
      <c r="BG349" s="69" t="n">
        <f aca="false">-BG327</f>
        <v>-0</v>
      </c>
      <c r="BH349" s="69" t="n">
        <f aca="false">-BH327</f>
        <v>-0</v>
      </c>
      <c r="BI349" s="69" t="n">
        <f aca="false">-BI327</f>
        <v>-0</v>
      </c>
      <c r="BJ349" s="69" t="n">
        <f aca="false">-BJ327</f>
        <v>-0</v>
      </c>
    </row>
    <row r="350" customFormat="false" ht="15" hidden="false" customHeight="false" outlineLevel="0" collapsed="false">
      <c r="A350" s="6" t="s">
        <v>64</v>
      </c>
      <c r="C350" s="69" t="n">
        <f aca="false">IF(C$260=1,Inputs!$D$67,0)</f>
        <v>2100000</v>
      </c>
      <c r="D350" s="69" t="n">
        <f aca="false">IF(D$260=1,Inputs!$D$67,0)</f>
        <v>0</v>
      </c>
      <c r="E350" s="69" t="n">
        <f aca="false">IF(E$260=1,Inputs!$D$67,0)</f>
        <v>0</v>
      </c>
      <c r="F350" s="69" t="n">
        <f aca="false">IF(F$260=1,Inputs!$D$67,0)</f>
        <v>0</v>
      </c>
      <c r="G350" s="69" t="n">
        <f aca="false">IF(G$260=1,Inputs!$D$67,0)</f>
        <v>0</v>
      </c>
      <c r="H350" s="69" t="n">
        <f aca="false">IF(H$260=1,Inputs!$D$67,0)</f>
        <v>0</v>
      </c>
      <c r="I350" s="69" t="n">
        <f aca="false">IF(I$260=1,Inputs!$D$67,0)</f>
        <v>0</v>
      </c>
      <c r="J350" s="69" t="n">
        <f aca="false">IF(J$260=1,Inputs!$D$67,0)</f>
        <v>0</v>
      </c>
      <c r="K350" s="69" t="n">
        <f aca="false">IF(K$260=1,Inputs!$D$67,0)</f>
        <v>0</v>
      </c>
      <c r="L350" s="69" t="n">
        <f aca="false">IF(L$260=1,Inputs!$D$67,0)</f>
        <v>0</v>
      </c>
      <c r="M350" s="69" t="n">
        <f aca="false">IF(M$260=1,Inputs!$D$67,0)</f>
        <v>0</v>
      </c>
      <c r="N350" s="69" t="n">
        <f aca="false">IF(N$260=1,Inputs!$D$67,0)</f>
        <v>0</v>
      </c>
      <c r="O350" s="69" t="n">
        <f aca="false">IF(O$260=1,Inputs!$D$67,0)</f>
        <v>0</v>
      </c>
      <c r="P350" s="69" t="n">
        <f aca="false">IF(P$260=1,Inputs!$D$67,0)</f>
        <v>0</v>
      </c>
      <c r="Q350" s="69" t="n">
        <f aca="false">IF(Q$260=1,Inputs!$D$67,0)</f>
        <v>0</v>
      </c>
      <c r="R350" s="69" t="n">
        <f aca="false">IF(R$260=1,Inputs!$D$67,0)</f>
        <v>0</v>
      </c>
      <c r="S350" s="69" t="n">
        <f aca="false">IF(S$260=1,Inputs!$D$67,0)</f>
        <v>0</v>
      </c>
      <c r="T350" s="69" t="n">
        <f aca="false">IF(T$260=1,Inputs!$D$67,0)</f>
        <v>0</v>
      </c>
      <c r="U350" s="69" t="n">
        <f aca="false">IF(U$260=1,Inputs!$D$67,0)</f>
        <v>0</v>
      </c>
      <c r="V350" s="69" t="n">
        <f aca="false">IF(V$260=1,Inputs!$D$67,0)</f>
        <v>0</v>
      </c>
      <c r="W350" s="69" t="n">
        <f aca="false">IF(W$260=1,Inputs!$D$67,0)</f>
        <v>0</v>
      </c>
      <c r="X350" s="69" t="n">
        <f aca="false">IF(X$260=1,Inputs!$D$67,0)</f>
        <v>0</v>
      </c>
      <c r="Y350" s="69" t="n">
        <f aca="false">IF(Y$260=1,Inputs!$D$67,0)</f>
        <v>0</v>
      </c>
      <c r="Z350" s="69" t="n">
        <f aca="false">IF(Z$260=1,Inputs!$D$67,0)</f>
        <v>0</v>
      </c>
      <c r="AA350" s="69" t="n">
        <f aca="false">IF(AA$260=1,Inputs!$D$67,0)</f>
        <v>0</v>
      </c>
      <c r="AB350" s="69" t="n">
        <f aca="false">IF(AB$260=1,Inputs!$D$67,0)</f>
        <v>0</v>
      </c>
      <c r="AC350" s="69" t="n">
        <f aca="false">IF(AC$260=1,Inputs!$D$67,0)</f>
        <v>0</v>
      </c>
      <c r="AD350" s="69" t="n">
        <f aca="false">IF(AD$260=1,Inputs!$D$67,0)</f>
        <v>0</v>
      </c>
      <c r="AE350" s="69" t="n">
        <f aca="false">IF(AE$260=1,Inputs!$D$67,0)</f>
        <v>0</v>
      </c>
      <c r="AF350" s="69" t="n">
        <f aca="false">IF(AF$260=1,Inputs!$D$67,0)</f>
        <v>0</v>
      </c>
      <c r="AG350" s="69" t="n">
        <f aca="false">IF(AG$260=1,Inputs!$D$67,0)</f>
        <v>0</v>
      </c>
      <c r="AH350" s="69" t="n">
        <f aca="false">IF(AH$260=1,Inputs!$D$67,0)</f>
        <v>0</v>
      </c>
      <c r="AI350" s="69" t="n">
        <f aca="false">IF(AI$260=1,Inputs!$D$67,0)</f>
        <v>0</v>
      </c>
      <c r="AJ350" s="69" t="n">
        <f aca="false">IF(AJ$260=1,Inputs!$D$67,0)</f>
        <v>0</v>
      </c>
      <c r="AK350" s="69" t="n">
        <f aca="false">IF(AK$260=1,Inputs!$D$67,0)</f>
        <v>0</v>
      </c>
      <c r="AL350" s="69" t="n">
        <f aca="false">IF(AL$260=1,Inputs!$D$67,0)</f>
        <v>0</v>
      </c>
      <c r="AM350" s="69" t="n">
        <f aca="false">IF(AM$260=1,Inputs!$D$67,0)</f>
        <v>0</v>
      </c>
      <c r="AN350" s="69" t="n">
        <f aca="false">IF(AN$260=1,Inputs!$D$67,0)</f>
        <v>0</v>
      </c>
      <c r="AO350" s="69" t="n">
        <f aca="false">IF(AO$260=1,Inputs!$D$67,0)</f>
        <v>0</v>
      </c>
      <c r="AP350" s="69" t="n">
        <f aca="false">IF(AP$260=1,Inputs!$D$67,0)</f>
        <v>0</v>
      </c>
      <c r="AQ350" s="69" t="n">
        <f aca="false">IF(AQ$260=1,Inputs!$D$67,0)</f>
        <v>0</v>
      </c>
      <c r="AR350" s="69" t="n">
        <f aca="false">IF(AR$260=1,Inputs!$D$67,0)</f>
        <v>0</v>
      </c>
      <c r="AS350" s="69" t="n">
        <f aca="false">IF(AS$260=1,Inputs!$D$67,0)</f>
        <v>0</v>
      </c>
      <c r="AT350" s="69" t="n">
        <f aca="false">IF(AT$260=1,Inputs!$D$67,0)</f>
        <v>0</v>
      </c>
      <c r="AU350" s="69" t="n">
        <f aca="false">IF(AU$260=1,Inputs!$D$67,0)</f>
        <v>0</v>
      </c>
      <c r="AV350" s="69" t="n">
        <f aca="false">IF(AV$260=1,Inputs!$D$67,0)</f>
        <v>0</v>
      </c>
      <c r="AW350" s="69" t="n">
        <f aca="false">IF(AW$260=1,Inputs!$D$67,0)</f>
        <v>0</v>
      </c>
      <c r="AX350" s="69" t="n">
        <f aca="false">IF(AX$260=1,Inputs!$D$67,0)</f>
        <v>0</v>
      </c>
      <c r="AY350" s="69" t="n">
        <f aca="false">IF(AY$260=1,Inputs!$D$67,0)</f>
        <v>0</v>
      </c>
      <c r="AZ350" s="69" t="n">
        <f aca="false">IF(AZ$260=1,Inputs!$D$67,0)</f>
        <v>0</v>
      </c>
      <c r="BA350" s="69" t="n">
        <f aca="false">IF(BA$260=1,Inputs!$D$67,0)</f>
        <v>0</v>
      </c>
      <c r="BB350" s="69" t="n">
        <f aca="false">IF(BB$260=1,Inputs!$D$67,0)</f>
        <v>0</v>
      </c>
      <c r="BC350" s="69" t="n">
        <f aca="false">IF(BC$260=1,Inputs!$D$67,0)</f>
        <v>0</v>
      </c>
      <c r="BD350" s="69" t="n">
        <f aca="false">IF(BD$260=1,Inputs!$D$67,0)</f>
        <v>0</v>
      </c>
      <c r="BE350" s="69" t="n">
        <f aca="false">IF(BE$260=1,Inputs!$D$67,0)</f>
        <v>0</v>
      </c>
      <c r="BF350" s="69" t="n">
        <f aca="false">IF(BF$260=1,Inputs!$D$67,0)</f>
        <v>0</v>
      </c>
      <c r="BG350" s="69" t="n">
        <f aca="false">IF(BG$260=1,Inputs!$D$67,0)</f>
        <v>0</v>
      </c>
      <c r="BH350" s="69" t="n">
        <f aca="false">IF(BH$260=1,Inputs!$D$67,0)</f>
        <v>0</v>
      </c>
      <c r="BI350" s="69" t="n">
        <f aca="false">IF(BI$260=1,Inputs!$D$67,0)</f>
        <v>0</v>
      </c>
      <c r="BJ350" s="69" t="n">
        <f aca="false">IF(BJ$260=1,Inputs!$D$67,0)</f>
        <v>0</v>
      </c>
    </row>
    <row r="351" customFormat="false" ht="15" hidden="false" customHeight="false" outlineLevel="0" collapsed="false">
      <c r="A351" s="6" t="s">
        <v>54</v>
      </c>
      <c r="C351" s="69" t="n">
        <f aca="false">C350+C335+C336</f>
        <v>5100000</v>
      </c>
      <c r="D351" s="69" t="n">
        <f aca="false">D350+D335+D336</f>
        <v>-25000</v>
      </c>
      <c r="E351" s="69" t="n">
        <f aca="false">E350+E335+E336</f>
        <v>-25000</v>
      </c>
      <c r="F351" s="69" t="n">
        <f aca="false">F350+F335+F336</f>
        <v>-25000</v>
      </c>
      <c r="G351" s="69" t="n">
        <f aca="false">G350+G335+G336</f>
        <v>-25000</v>
      </c>
      <c r="H351" s="69" t="n">
        <f aca="false">H350+H335+H336</f>
        <v>-25000</v>
      </c>
      <c r="I351" s="69" t="n">
        <f aca="false">I350+I335+I336</f>
        <v>-25000</v>
      </c>
      <c r="J351" s="69" t="n">
        <f aca="false">J350+J335+J336</f>
        <v>-25000</v>
      </c>
      <c r="K351" s="69" t="n">
        <f aca="false">K350+K335+K336</f>
        <v>-25000</v>
      </c>
      <c r="L351" s="69" t="n">
        <f aca="false">L350+L335+L336</f>
        <v>-25000</v>
      </c>
      <c r="M351" s="69" t="n">
        <f aca="false">M350+M335+M336</f>
        <v>-25000</v>
      </c>
      <c r="N351" s="69" t="n">
        <f aca="false">N350+N335+N336</f>
        <v>-25000</v>
      </c>
      <c r="O351" s="69" t="n">
        <f aca="false">O350+O335+O336</f>
        <v>-25000</v>
      </c>
      <c r="P351" s="69" t="n">
        <f aca="false">P350+P335+P336</f>
        <v>-25000</v>
      </c>
      <c r="Q351" s="69" t="n">
        <f aca="false">Q350+Q335+Q336</f>
        <v>-25000</v>
      </c>
      <c r="R351" s="69" t="n">
        <f aca="false">R350+R335+R336</f>
        <v>-25000</v>
      </c>
      <c r="S351" s="69" t="n">
        <f aca="false">S350+S335+S336</f>
        <v>-25000</v>
      </c>
      <c r="T351" s="69" t="n">
        <f aca="false">T350+T335+T336</f>
        <v>-25000</v>
      </c>
      <c r="U351" s="69" t="n">
        <f aca="false">U350+U335+U336</f>
        <v>-25000</v>
      </c>
      <c r="V351" s="69" t="n">
        <f aca="false">V350+V335+V336</f>
        <v>-25000</v>
      </c>
      <c r="W351" s="69" t="n">
        <f aca="false">W350+W335+W336</f>
        <v>-25000</v>
      </c>
      <c r="X351" s="69" t="n">
        <f aca="false">X350+X335+X336</f>
        <v>-25000</v>
      </c>
      <c r="Y351" s="69" t="n">
        <f aca="false">Y350+Y335+Y336</f>
        <v>-25000</v>
      </c>
      <c r="Z351" s="69" t="n">
        <f aca="false">Z350+Z335+Z336</f>
        <v>-25000</v>
      </c>
      <c r="AA351" s="69" t="n">
        <f aca="false">AA350+AA335+AA336</f>
        <v>-25000</v>
      </c>
      <c r="AB351" s="69" t="n">
        <f aca="false">AB350+AB335+AB336</f>
        <v>-25000</v>
      </c>
      <c r="AC351" s="69" t="n">
        <f aca="false">AC350+AC335+AC336</f>
        <v>-25000</v>
      </c>
      <c r="AD351" s="69" t="n">
        <f aca="false">AD350+AD335+AD336</f>
        <v>-25000</v>
      </c>
      <c r="AE351" s="69" t="n">
        <f aca="false">AE350+AE335+AE336</f>
        <v>-25000</v>
      </c>
      <c r="AF351" s="69" t="n">
        <f aca="false">AF350+AF335+AF336</f>
        <v>-25000</v>
      </c>
      <c r="AG351" s="69" t="n">
        <f aca="false">AG350+AG335+AG336</f>
        <v>-25000</v>
      </c>
      <c r="AH351" s="69" t="n">
        <f aca="false">AH350+AH335+AH336</f>
        <v>-25000</v>
      </c>
      <c r="AI351" s="69" t="n">
        <f aca="false">AI350+AI335+AI336</f>
        <v>-25000</v>
      </c>
      <c r="AJ351" s="69" t="n">
        <f aca="false">AJ350+AJ335+AJ336</f>
        <v>-25000</v>
      </c>
      <c r="AK351" s="69" t="n">
        <f aca="false">AK350+AK335+AK336</f>
        <v>-25000</v>
      </c>
      <c r="AL351" s="69" t="n">
        <f aca="false">AL350+AL335+AL336</f>
        <v>-25000</v>
      </c>
      <c r="AM351" s="69" t="n">
        <f aca="false">AM350+AM335+AM336</f>
        <v>-25000</v>
      </c>
      <c r="AN351" s="69" t="n">
        <f aca="false">AN350+AN335+AN336</f>
        <v>-25000</v>
      </c>
      <c r="AO351" s="69" t="n">
        <f aca="false">AO350+AO335+AO336</f>
        <v>-25000</v>
      </c>
      <c r="AP351" s="69" t="n">
        <f aca="false">AP350+AP335+AP336</f>
        <v>-25000</v>
      </c>
      <c r="AQ351" s="69" t="n">
        <f aca="false">AQ350+AQ335+AQ336</f>
        <v>-25000</v>
      </c>
      <c r="AR351" s="69" t="n">
        <f aca="false">AR350+AR335+AR336</f>
        <v>-25000</v>
      </c>
      <c r="AS351" s="69" t="n">
        <f aca="false">AS350+AS335+AS336</f>
        <v>-25000</v>
      </c>
      <c r="AT351" s="69" t="n">
        <f aca="false">AT350+AT335+AT336</f>
        <v>-25000</v>
      </c>
      <c r="AU351" s="69" t="n">
        <f aca="false">AU350+AU335+AU336</f>
        <v>-25000</v>
      </c>
      <c r="AV351" s="69" t="n">
        <f aca="false">AV350+AV335+AV336</f>
        <v>-25000</v>
      </c>
      <c r="AW351" s="69" t="n">
        <f aca="false">AW350+AW335+AW336</f>
        <v>-25000</v>
      </c>
      <c r="AX351" s="69" t="n">
        <f aca="false">AX350+AX335+AX336</f>
        <v>-25000</v>
      </c>
      <c r="AY351" s="69" t="n">
        <f aca="false">AY350+AY335+AY336</f>
        <v>-25000</v>
      </c>
      <c r="AZ351" s="69" t="n">
        <f aca="false">AZ350+AZ335+AZ336</f>
        <v>-25000</v>
      </c>
      <c r="BA351" s="69" t="n">
        <f aca="false">BA350+BA335+BA336</f>
        <v>-25000</v>
      </c>
      <c r="BB351" s="69" t="n">
        <f aca="false">BB350+BB335+BB336</f>
        <v>-25000</v>
      </c>
      <c r="BC351" s="69" t="n">
        <f aca="false">BC350+BC335+BC336</f>
        <v>-25000</v>
      </c>
      <c r="BD351" s="69" t="n">
        <f aca="false">BD350+BD335+BD336</f>
        <v>-25000</v>
      </c>
      <c r="BE351" s="69" t="n">
        <f aca="false">BE350+BE335+BE336</f>
        <v>-25000</v>
      </c>
      <c r="BF351" s="69" t="n">
        <f aca="false">BF350+BF335+BF336</f>
        <v>-25000</v>
      </c>
      <c r="BG351" s="69" t="n">
        <f aca="false">BG350+BG335+BG336</f>
        <v>-25000</v>
      </c>
      <c r="BH351" s="69" t="n">
        <f aca="false">BH350+BH335+BH336</f>
        <v>-25000</v>
      </c>
      <c r="BI351" s="69" t="n">
        <f aca="false">BI350+BI335+BI336</f>
        <v>-25000</v>
      </c>
      <c r="BJ351" s="69" t="n">
        <f aca="false">BJ350+BJ335+BJ336</f>
        <v>-25000</v>
      </c>
    </row>
    <row r="352" customFormat="false" ht="15" hidden="false" customHeight="false" outlineLevel="0" collapsed="false">
      <c r="A352" s="113" t="s">
        <v>457</v>
      </c>
      <c r="C352" s="70" t="n">
        <f aca="false">C348+C349+C351</f>
        <v>951587.887744214</v>
      </c>
      <c r="D352" s="70" t="n">
        <f aca="false">D348+D349+D351</f>
        <v>-62877.3004535596</v>
      </c>
      <c r="E352" s="70" t="n">
        <f aca="false">E348+E349+E351</f>
        <v>-43996.0265108535</v>
      </c>
      <c r="F352" s="70" t="n">
        <f aca="false">F348+F349+F351</f>
        <v>-33370.2181431534</v>
      </c>
      <c r="G352" s="70" t="n">
        <f aca="false">G348+G349+G351</f>
        <v>-22725.0659379426</v>
      </c>
      <c r="H352" s="70" t="n">
        <f aca="false">H348+H349+H351</f>
        <v>-11876.9173533177</v>
      </c>
      <c r="I352" s="70" t="n">
        <f aca="false">I348+I349+I351</f>
        <v>-832.268273419762</v>
      </c>
      <c r="J352" s="70" t="n">
        <f aca="false">J348+J349+J351</f>
        <v>10402.5932859024</v>
      </c>
      <c r="K352" s="70" t="n">
        <f aca="false">K348+K349+K351</f>
        <v>14397.3108576195</v>
      </c>
      <c r="L352" s="70" t="n">
        <f aca="false">L348+L349+L351</f>
        <v>18049.9004283979</v>
      </c>
      <c r="M352" s="70" t="n">
        <f aca="false">M348+M349+M351</f>
        <v>21591.2737995781</v>
      </c>
      <c r="N352" s="70" t="n">
        <f aca="false">N348+N349+N351</f>
        <v>10831.3655270874</v>
      </c>
      <c r="O352" s="70" t="n">
        <f aca="false">O348+O349+O351</f>
        <v>-22912.8828738032</v>
      </c>
      <c r="P352" s="70" t="n">
        <f aca="false">P348+P349+P351</f>
        <v>20473.3393031467</v>
      </c>
      <c r="Q352" s="70" t="n">
        <f aca="false">Q348+Q349+Q351</f>
        <v>38124.3582345302</v>
      </c>
      <c r="R352" s="70" t="n">
        <f aca="false">R348+R349+R351</f>
        <v>41601.8780025604</v>
      </c>
      <c r="S352" s="70" t="n">
        <f aca="false">S348+S349+S351</f>
        <v>44841.492904907</v>
      </c>
      <c r="T352" s="70" t="n">
        <f aca="false">T348+T349+T351</f>
        <v>47983.106797045</v>
      </c>
      <c r="U352" s="70" t="n">
        <f aca="false">U348+U349+U351</f>
        <v>45906.8954588906</v>
      </c>
      <c r="V352" s="70" t="n">
        <f aca="false">V348+V349+V351</f>
        <v>43424.5860864531</v>
      </c>
      <c r="W352" s="70" t="n">
        <f aca="false">W348+W349+W351</f>
        <v>45689.0972471117</v>
      </c>
      <c r="X352" s="70" t="n">
        <f aca="false">X348+X349+X351</f>
        <v>47885.6207172959</v>
      </c>
      <c r="Y352" s="70" t="n">
        <f aca="false">Y348+Y349+Y351</f>
        <v>50016.332103101</v>
      </c>
      <c r="Z352" s="70" t="n">
        <f aca="false">Z348+Z349+Z351</f>
        <v>40859.6594828507</v>
      </c>
      <c r="AA352" s="70" t="n">
        <f aca="false">AA348+AA349+AA351</f>
        <v>6103.52747057975</v>
      </c>
      <c r="AB352" s="70" t="n">
        <f aca="false">AB348+AB349+AB351</f>
        <v>48225.3908606437</v>
      </c>
      <c r="AC352" s="70" t="n">
        <f aca="false">AC348+AC349+AC351</f>
        <v>61610.7586209591</v>
      </c>
      <c r="AD352" s="70" t="n">
        <f aca="false">AD348+AD349+AD351</f>
        <v>63622.1473981236</v>
      </c>
      <c r="AE352" s="70" t="n">
        <f aca="false">AE348+AE349+AE351</f>
        <v>65635.4289048622</v>
      </c>
      <c r="AF352" s="70" t="n">
        <f aca="false">AF348+AF349+AF351</f>
        <v>67588.7620700518</v>
      </c>
      <c r="AG352" s="70" t="n">
        <f aca="false">AG348+AG349+AG351</f>
        <v>69484.065240622</v>
      </c>
      <c r="AH352" s="70" t="n">
        <f aca="false">AH348+AH349+AH351</f>
        <v>71323.1953764006</v>
      </c>
      <c r="AI352" s="70" t="n">
        <f aca="false">AI348+AI349+AI351</f>
        <v>73107.950014501</v>
      </c>
      <c r="AJ352" s="70" t="n">
        <f aca="false">AJ348+AJ349+AJ351</f>
        <v>74840.0691708489</v>
      </c>
      <c r="AK352" s="70" t="n">
        <f aca="false">AK348+AK349+AK351</f>
        <v>76521.2371808602</v>
      </c>
      <c r="AL352" s="70" t="n">
        <f aca="false">AL348+AL349+AL351</f>
        <v>66809.0479025196</v>
      </c>
      <c r="AM352" s="70" t="n">
        <f aca="false">AM348+AM349+AM351</f>
        <v>32381.154847546</v>
      </c>
      <c r="AN352" s="70" t="n">
        <f aca="false">AN348+AN349+AN351</f>
        <v>74121.1475578018</v>
      </c>
      <c r="AO352" s="70" t="n">
        <f aca="false">AO348+AO349+AO351</f>
        <v>87245.3697011551</v>
      </c>
      <c r="AP352" s="70" t="n">
        <f aca="false">AP348+AP349+AP351</f>
        <v>88729.4877582449</v>
      </c>
      <c r="AQ352" s="70" t="n">
        <f aca="false">AQ348+AQ349+AQ351</f>
        <v>90383.6489745977</v>
      </c>
      <c r="AR352" s="70" t="n">
        <f aca="false">AR348+AR349+AR351</f>
        <v>91989.3536986939</v>
      </c>
      <c r="AS352" s="70" t="n">
        <f aca="false">AS348+AS349+AS351</f>
        <v>93548.1525382856</v>
      </c>
      <c r="AT352" s="70" t="n">
        <f aca="false">AT348+AT349+AT351</f>
        <v>95061.5464816771</v>
      </c>
      <c r="AU352" s="70" t="n">
        <f aca="false">AU348+AU349+AU351</f>
        <v>96530.9884855466</v>
      </c>
      <c r="AV352" s="70" t="n">
        <f aca="false">AV348+AV349+AV351</f>
        <v>97957.8850119591</v>
      </c>
      <c r="AW352" s="70" t="n">
        <f aca="false">AW348+AW349+AW351</f>
        <v>99343.597516193</v>
      </c>
      <c r="AX352" s="70" t="n">
        <f aca="false">AX348+AX349+AX351</f>
        <v>89173.7262949684</v>
      </c>
      <c r="AY352" s="70" t="n">
        <f aca="false">AY348+AY349+AY351</f>
        <v>55100.0055217995</v>
      </c>
      <c r="AZ352" s="70" t="n">
        <f aca="false">AZ348+AZ349+AZ351</f>
        <v>96603.9761234952</v>
      </c>
      <c r="BA352" s="70" t="n">
        <f aca="false">BA348+BA349+BA351</f>
        <v>109659.84578632</v>
      </c>
      <c r="BB352" s="70" t="n">
        <f aca="false">BB348+BB349+BB351</f>
        <v>110783.046460434</v>
      </c>
      <c r="BC352" s="70" t="n">
        <f aca="false">BC348+BC349+BC351</f>
        <v>112211.63293306</v>
      </c>
      <c r="BD352" s="70" t="n">
        <f aca="false">BD348+BD349+BD351</f>
        <v>113598.981305229</v>
      </c>
      <c r="BE352" s="70" t="n">
        <f aca="false">BE348+BE349+BE351</f>
        <v>114946.411196156</v>
      </c>
      <c r="BF352" s="70" t="n">
        <f aca="false">BF348+BF349+BF351</f>
        <v>116255.199997239</v>
      </c>
      <c r="BG352" s="70" t="n">
        <f aca="false">BG348+BG349+BG351</f>
        <v>117526.584223354</v>
      </c>
      <c r="BH352" s="70" t="n">
        <f aca="false">BH348+BH349+BH351</f>
        <v>118761.760820901</v>
      </c>
      <c r="BI352" s="70" t="n">
        <f aca="false">BI348+BI349+BI351</f>
        <v>119961.888433992</v>
      </c>
      <c r="BJ352" s="70" t="n">
        <f aca="false">BJ348+BJ349+BJ351</f>
        <v>109405.051110392</v>
      </c>
    </row>
    <row r="353" customFormat="false" ht="15" hidden="false" customHeight="false" outlineLevel="0" collapsed="false">
      <c r="A353" s="6" t="s">
        <v>349</v>
      </c>
      <c r="C353" s="69" t="n">
        <f aca="false">0</f>
        <v>0</v>
      </c>
      <c r="D353" s="69" t="n">
        <f aca="false">C354</f>
        <v>951587.887744214</v>
      </c>
      <c r="E353" s="69" t="n">
        <f aca="false">D354</f>
        <v>888710.587290654</v>
      </c>
      <c r="F353" s="69" t="n">
        <f aca="false">E354</f>
        <v>844714.5607798</v>
      </c>
      <c r="G353" s="69" t="n">
        <f aca="false">F354</f>
        <v>811344.342636647</v>
      </c>
      <c r="H353" s="69" t="n">
        <f aca="false">G354</f>
        <v>788619.276698705</v>
      </c>
      <c r="I353" s="69" t="n">
        <f aca="false">H354</f>
        <v>776742.359345387</v>
      </c>
      <c r="J353" s="69" t="n">
        <f aca="false">I354</f>
        <v>775910.091071967</v>
      </c>
      <c r="K353" s="69" t="n">
        <f aca="false">J354</f>
        <v>786312.684357869</v>
      </c>
      <c r="L353" s="69" t="n">
        <f aca="false">K354</f>
        <v>800709.995215489</v>
      </c>
      <c r="M353" s="69" t="n">
        <f aca="false">L354</f>
        <v>818759.895643887</v>
      </c>
      <c r="N353" s="69" t="n">
        <f aca="false">M354</f>
        <v>840351.169443465</v>
      </c>
      <c r="O353" s="69" t="n">
        <f aca="false">N354</f>
        <v>851182.534970552</v>
      </c>
      <c r="P353" s="69" t="n">
        <f aca="false">O354</f>
        <v>828269.652096749</v>
      </c>
      <c r="Q353" s="69" t="n">
        <f aca="false">P354</f>
        <v>848742.991399896</v>
      </c>
      <c r="R353" s="69" t="n">
        <f aca="false">Q354</f>
        <v>886867.349634426</v>
      </c>
      <c r="S353" s="69" t="n">
        <f aca="false">R354</f>
        <v>928469.227636986</v>
      </c>
      <c r="T353" s="69" t="n">
        <f aca="false">S354</f>
        <v>973310.720541893</v>
      </c>
      <c r="U353" s="69" t="n">
        <f aca="false">T354</f>
        <v>1021293.82733894</v>
      </c>
      <c r="V353" s="69" t="n">
        <f aca="false">U354</f>
        <v>1067200.72279783</v>
      </c>
      <c r="W353" s="69" t="n">
        <f aca="false">V354</f>
        <v>1110625.30888428</v>
      </c>
      <c r="X353" s="69" t="n">
        <f aca="false">W354</f>
        <v>1156314.40613139</v>
      </c>
      <c r="Y353" s="69" t="n">
        <f aca="false">X354</f>
        <v>1204200.02684869</v>
      </c>
      <c r="Z353" s="69" t="n">
        <f aca="false">Y354</f>
        <v>1254216.35895179</v>
      </c>
      <c r="AA353" s="69" t="n">
        <f aca="false">Z354</f>
        <v>1295076.01843464</v>
      </c>
      <c r="AB353" s="69" t="n">
        <f aca="false">AA354</f>
        <v>1301179.54590522</v>
      </c>
      <c r="AC353" s="69" t="n">
        <f aca="false">AB354</f>
        <v>1349404.93676587</v>
      </c>
      <c r="AD353" s="69" t="n">
        <f aca="false">AC354</f>
        <v>1411015.69538682</v>
      </c>
      <c r="AE353" s="69" t="n">
        <f aca="false">AD354</f>
        <v>1474637.84278495</v>
      </c>
      <c r="AF353" s="69" t="n">
        <f aca="false">AE354</f>
        <v>1540273.27168981</v>
      </c>
      <c r="AG353" s="69" t="n">
        <f aca="false">AF354</f>
        <v>1607862.03375986</v>
      </c>
      <c r="AH353" s="69" t="n">
        <f aca="false">AG354</f>
        <v>1677346.09900048</v>
      </c>
      <c r="AI353" s="69" t="n">
        <f aca="false">AH354</f>
        <v>1748669.29437688</v>
      </c>
      <c r="AJ353" s="69" t="n">
        <f aca="false">AI354</f>
        <v>1821777.24439139</v>
      </c>
      <c r="AK353" s="69" t="n">
        <f aca="false">AJ354</f>
        <v>1896617.31356223</v>
      </c>
      <c r="AL353" s="69" t="n">
        <f aca="false">AK354</f>
        <v>1973138.55074309</v>
      </c>
      <c r="AM353" s="69" t="n">
        <f aca="false">AL354</f>
        <v>2039947.59864561</v>
      </c>
      <c r="AN353" s="69" t="n">
        <f aca="false">AM354</f>
        <v>2072328.75349316</v>
      </c>
      <c r="AO353" s="69" t="n">
        <f aca="false">AN354</f>
        <v>2146449.90105096</v>
      </c>
      <c r="AP353" s="69" t="n">
        <f aca="false">AO354</f>
        <v>2233695.27075212</v>
      </c>
      <c r="AQ353" s="69" t="n">
        <f aca="false">AP354</f>
        <v>2322424.75851036</v>
      </c>
      <c r="AR353" s="69" t="n">
        <f aca="false">AQ354</f>
        <v>2412808.40748496</v>
      </c>
      <c r="AS353" s="69" t="n">
        <f aca="false">AR354</f>
        <v>2504797.76118365</v>
      </c>
      <c r="AT353" s="69" t="n">
        <f aca="false">AS354</f>
        <v>2598345.91372194</v>
      </c>
      <c r="AU353" s="69" t="n">
        <f aca="false">AT354</f>
        <v>2693407.46020362</v>
      </c>
      <c r="AV353" s="69" t="n">
        <f aca="false">AU354</f>
        <v>2789938.44868916</v>
      </c>
      <c r="AW353" s="69" t="n">
        <f aca="false">AV354</f>
        <v>2887896.33370112</v>
      </c>
      <c r="AX353" s="69" t="n">
        <f aca="false">AW354</f>
        <v>2987239.93121731</v>
      </c>
      <c r="AY353" s="69" t="n">
        <f aca="false">AX354</f>
        <v>3076413.65751228</v>
      </c>
      <c r="AZ353" s="69" t="n">
        <f aca="false">AY354</f>
        <v>3131513.66303408</v>
      </c>
      <c r="BA353" s="69" t="n">
        <f aca="false">AZ354</f>
        <v>3228117.63915758</v>
      </c>
      <c r="BB353" s="69" t="n">
        <f aca="false">BA354</f>
        <v>3337777.4849439</v>
      </c>
      <c r="BC353" s="69" t="n">
        <f aca="false">BB354</f>
        <v>3448560.53140433</v>
      </c>
      <c r="BD353" s="69" t="n">
        <f aca="false">BC354</f>
        <v>3560772.16433739</v>
      </c>
      <c r="BE353" s="69" t="n">
        <f aca="false">BD354</f>
        <v>3674371.14564262</v>
      </c>
      <c r="BF353" s="69" t="n">
        <f aca="false">BE354</f>
        <v>3789317.55683878</v>
      </c>
      <c r="BG353" s="69" t="n">
        <f aca="false">BF354</f>
        <v>3905572.75683601</v>
      </c>
      <c r="BH353" s="69" t="n">
        <f aca="false">BG354</f>
        <v>4023099.34105937</v>
      </c>
      <c r="BI353" s="69" t="n">
        <f aca="false">BH354</f>
        <v>4141861.10188027</v>
      </c>
      <c r="BJ353" s="69" t="n">
        <f aca="false">BI354</f>
        <v>4261822.99031426</v>
      </c>
    </row>
    <row r="354" customFormat="false" ht="15" hidden="false" customHeight="false" outlineLevel="0" collapsed="false">
      <c r="A354" s="113" t="s">
        <v>87</v>
      </c>
      <c r="C354" s="70" t="n">
        <f aca="false">C353+C352</f>
        <v>951587.887744214</v>
      </c>
      <c r="D354" s="70" t="n">
        <f aca="false">D353+D352</f>
        <v>888710.587290654</v>
      </c>
      <c r="E354" s="70" t="n">
        <f aca="false">E353+E352</f>
        <v>844714.5607798</v>
      </c>
      <c r="F354" s="70" t="n">
        <f aca="false">F353+F352</f>
        <v>811344.342636647</v>
      </c>
      <c r="G354" s="70" t="n">
        <f aca="false">G353+G352</f>
        <v>788619.276698705</v>
      </c>
      <c r="H354" s="70" t="n">
        <f aca="false">H353+H352</f>
        <v>776742.359345387</v>
      </c>
      <c r="I354" s="70" t="n">
        <f aca="false">I353+I352</f>
        <v>775910.091071967</v>
      </c>
      <c r="J354" s="70" t="n">
        <f aca="false">J353+J352</f>
        <v>786312.684357869</v>
      </c>
      <c r="K354" s="70" t="n">
        <f aca="false">K353+K352</f>
        <v>800709.995215489</v>
      </c>
      <c r="L354" s="70" t="n">
        <f aca="false">L353+L352</f>
        <v>818759.895643887</v>
      </c>
      <c r="M354" s="70" t="n">
        <f aca="false">M353+M352</f>
        <v>840351.169443465</v>
      </c>
      <c r="N354" s="70" t="n">
        <f aca="false">N353+N352</f>
        <v>851182.534970552</v>
      </c>
      <c r="O354" s="70" t="n">
        <f aca="false">O353+O352</f>
        <v>828269.652096749</v>
      </c>
      <c r="P354" s="70" t="n">
        <f aca="false">P353+P352</f>
        <v>848742.991399896</v>
      </c>
      <c r="Q354" s="70" t="n">
        <f aca="false">Q353+Q352</f>
        <v>886867.349634426</v>
      </c>
      <c r="R354" s="70" t="n">
        <f aca="false">R353+R352</f>
        <v>928469.227636986</v>
      </c>
      <c r="S354" s="70" t="n">
        <f aca="false">S353+S352</f>
        <v>973310.720541893</v>
      </c>
      <c r="T354" s="70" t="n">
        <f aca="false">T353+T352</f>
        <v>1021293.82733894</v>
      </c>
      <c r="U354" s="70" t="n">
        <f aca="false">U353+U352</f>
        <v>1067200.72279783</v>
      </c>
      <c r="V354" s="70" t="n">
        <f aca="false">V353+V352</f>
        <v>1110625.30888428</v>
      </c>
      <c r="W354" s="70" t="n">
        <f aca="false">W353+W352</f>
        <v>1156314.40613139</v>
      </c>
      <c r="X354" s="70" t="n">
        <f aca="false">X353+X352</f>
        <v>1204200.02684869</v>
      </c>
      <c r="Y354" s="70" t="n">
        <f aca="false">Y353+Y352</f>
        <v>1254216.35895179</v>
      </c>
      <c r="Z354" s="70" t="n">
        <f aca="false">Z353+Z352</f>
        <v>1295076.01843464</v>
      </c>
      <c r="AA354" s="70" t="n">
        <f aca="false">AA353+AA352</f>
        <v>1301179.54590522</v>
      </c>
      <c r="AB354" s="70" t="n">
        <f aca="false">AB353+AB352</f>
        <v>1349404.93676587</v>
      </c>
      <c r="AC354" s="70" t="n">
        <f aca="false">AC353+AC352</f>
        <v>1411015.69538682</v>
      </c>
      <c r="AD354" s="70" t="n">
        <f aca="false">AD353+AD352</f>
        <v>1474637.84278495</v>
      </c>
      <c r="AE354" s="70" t="n">
        <f aca="false">AE353+AE352</f>
        <v>1540273.27168981</v>
      </c>
      <c r="AF354" s="70" t="n">
        <f aca="false">AF353+AF352</f>
        <v>1607862.03375986</v>
      </c>
      <c r="AG354" s="70" t="n">
        <f aca="false">AG353+AG352</f>
        <v>1677346.09900048</v>
      </c>
      <c r="AH354" s="70" t="n">
        <f aca="false">AH353+AH352</f>
        <v>1748669.29437688</v>
      </c>
      <c r="AI354" s="70" t="n">
        <f aca="false">AI353+AI352</f>
        <v>1821777.24439139</v>
      </c>
      <c r="AJ354" s="70" t="n">
        <f aca="false">AJ353+AJ352</f>
        <v>1896617.31356223</v>
      </c>
      <c r="AK354" s="70" t="n">
        <f aca="false">AK353+AK352</f>
        <v>1973138.55074309</v>
      </c>
      <c r="AL354" s="70" t="n">
        <f aca="false">AL353+AL352</f>
        <v>2039947.59864561</v>
      </c>
      <c r="AM354" s="70" t="n">
        <f aca="false">AM353+AM352</f>
        <v>2072328.75349316</v>
      </c>
      <c r="AN354" s="70" t="n">
        <f aca="false">AN353+AN352</f>
        <v>2146449.90105096</v>
      </c>
      <c r="AO354" s="70" t="n">
        <f aca="false">AO353+AO352</f>
        <v>2233695.27075212</v>
      </c>
      <c r="AP354" s="70" t="n">
        <f aca="false">AP353+AP352</f>
        <v>2322424.75851036</v>
      </c>
      <c r="AQ354" s="70" t="n">
        <f aca="false">AQ353+AQ352</f>
        <v>2412808.40748496</v>
      </c>
      <c r="AR354" s="70" t="n">
        <f aca="false">AR353+AR352</f>
        <v>2504797.76118365</v>
      </c>
      <c r="AS354" s="70" t="n">
        <f aca="false">AS353+AS352</f>
        <v>2598345.91372194</v>
      </c>
      <c r="AT354" s="70" t="n">
        <f aca="false">AT353+AT352</f>
        <v>2693407.46020362</v>
      </c>
      <c r="AU354" s="70" t="n">
        <f aca="false">AU353+AU352</f>
        <v>2789938.44868916</v>
      </c>
      <c r="AV354" s="70" t="n">
        <f aca="false">AV353+AV352</f>
        <v>2887896.33370112</v>
      </c>
      <c r="AW354" s="70" t="n">
        <f aca="false">AW353+AW352</f>
        <v>2987239.93121731</v>
      </c>
      <c r="AX354" s="70" t="n">
        <f aca="false">AX353+AX352</f>
        <v>3076413.65751228</v>
      </c>
      <c r="AY354" s="70" t="n">
        <f aca="false">AY353+AY352</f>
        <v>3131513.66303408</v>
      </c>
      <c r="AZ354" s="70" t="n">
        <f aca="false">AZ353+AZ352</f>
        <v>3228117.63915758</v>
      </c>
      <c r="BA354" s="70" t="n">
        <f aca="false">BA353+BA352</f>
        <v>3337777.4849439</v>
      </c>
      <c r="BB354" s="70" t="n">
        <f aca="false">BB353+BB352</f>
        <v>3448560.53140433</v>
      </c>
      <c r="BC354" s="70" t="n">
        <f aca="false">BC353+BC352</f>
        <v>3560772.16433739</v>
      </c>
      <c r="BD354" s="70" t="n">
        <f aca="false">BD353+BD352</f>
        <v>3674371.14564262</v>
      </c>
      <c r="BE354" s="70" t="n">
        <f aca="false">BE353+BE352</f>
        <v>3789317.55683878</v>
      </c>
      <c r="BF354" s="70" t="n">
        <f aca="false">BF353+BF352</f>
        <v>3905572.75683601</v>
      </c>
      <c r="BG354" s="70" t="n">
        <f aca="false">BG353+BG352</f>
        <v>4023099.34105937</v>
      </c>
      <c r="BH354" s="70" t="n">
        <f aca="false">BH353+BH352</f>
        <v>4141861.10188027</v>
      </c>
      <c r="BI354" s="70" t="n">
        <f aca="false">BI353+BI352</f>
        <v>4261822.99031426</v>
      </c>
      <c r="BJ354" s="70" t="n">
        <f aca="false">BJ353+BJ352</f>
        <v>4371228.04142465</v>
      </c>
    </row>
    <row r="355" customFormat="false" ht="15" hidden="false" customHeight="false" outlineLevel="0" collapsed="false">
      <c r="A355" s="116" t="s">
        <v>458</v>
      </c>
      <c r="C355" s="118" t="n">
        <f aca="false">IF(C311&gt;0,1,0)</f>
        <v>0</v>
      </c>
      <c r="D355" s="118" t="n">
        <f aca="false">IF(D311&gt;0,1,0)</f>
        <v>0</v>
      </c>
      <c r="E355" s="118" t="n">
        <f aca="false">IF(E311&gt;0,1,0)</f>
        <v>1</v>
      </c>
      <c r="F355" s="118" t="n">
        <f aca="false">IF(F311&gt;0,1,0)</f>
        <v>1</v>
      </c>
      <c r="G355" s="118" t="n">
        <f aca="false">IF(G311&gt;0,1,0)</f>
        <v>1</v>
      </c>
      <c r="H355" s="118" t="n">
        <f aca="false">IF(H311&gt;0,1,0)</f>
        <v>1</v>
      </c>
      <c r="I355" s="118" t="n">
        <f aca="false">IF(I311&gt;0,1,0)</f>
        <v>1</v>
      </c>
      <c r="J355" s="118" t="n">
        <f aca="false">IF(J311&gt;0,1,0)</f>
        <v>1</v>
      </c>
      <c r="K355" s="118" t="n">
        <f aca="false">IF(K311&gt;0,1,0)</f>
        <v>1</v>
      </c>
      <c r="L355" s="118" t="n">
        <f aca="false">IF(L311&gt;0,1,0)</f>
        <v>1</v>
      </c>
      <c r="M355" s="118" t="n">
        <f aca="false">IF(M311&gt;0,1,0)</f>
        <v>1</v>
      </c>
      <c r="N355" s="118" t="n">
        <f aca="false">IF(N311&gt;0,1,0)</f>
        <v>1</v>
      </c>
      <c r="O355" s="118" t="n">
        <f aca="false">IF(O311&gt;0,1,0)</f>
        <v>1</v>
      </c>
      <c r="P355" s="118" t="n">
        <f aca="false">IF(P311&gt;0,1,0)</f>
        <v>1</v>
      </c>
      <c r="Q355" s="118" t="n">
        <f aca="false">IF(Q311&gt;0,1,0)</f>
        <v>1</v>
      </c>
      <c r="R355" s="118" t="n">
        <f aca="false">IF(R311&gt;0,1,0)</f>
        <v>1</v>
      </c>
      <c r="S355" s="118" t="n">
        <f aca="false">IF(S311&gt;0,1,0)</f>
        <v>1</v>
      </c>
      <c r="T355" s="118" t="n">
        <f aca="false">IF(T311&gt;0,1,0)</f>
        <v>1</v>
      </c>
      <c r="U355" s="118" t="n">
        <f aca="false">IF(U311&gt;0,1,0)</f>
        <v>1</v>
      </c>
      <c r="V355" s="118" t="n">
        <f aca="false">IF(V311&gt;0,1,0)</f>
        <v>1</v>
      </c>
      <c r="W355" s="118" t="n">
        <f aca="false">IF(W311&gt;0,1,0)</f>
        <v>1</v>
      </c>
      <c r="X355" s="118" t="n">
        <f aca="false">IF(X311&gt;0,1,0)</f>
        <v>1</v>
      </c>
      <c r="Y355" s="118" t="n">
        <f aca="false">IF(Y311&gt;0,1,0)</f>
        <v>1</v>
      </c>
      <c r="Z355" s="118" t="n">
        <f aca="false">IF(Z311&gt;0,1,0)</f>
        <v>1</v>
      </c>
      <c r="AA355" s="118" t="n">
        <f aca="false">IF(AA311&gt;0,1,0)</f>
        <v>1</v>
      </c>
      <c r="AB355" s="118" t="n">
        <f aca="false">IF(AB311&gt;0,1,0)</f>
        <v>1</v>
      </c>
      <c r="AC355" s="118" t="n">
        <f aca="false">IF(AC311&gt;0,1,0)</f>
        <v>1</v>
      </c>
      <c r="AD355" s="118" t="n">
        <f aca="false">IF(AD311&gt;0,1,0)</f>
        <v>1</v>
      </c>
      <c r="AE355" s="118" t="n">
        <f aca="false">IF(AE311&gt;0,1,0)</f>
        <v>1</v>
      </c>
      <c r="AF355" s="118" t="n">
        <f aca="false">IF(AF311&gt;0,1,0)</f>
        <v>1</v>
      </c>
      <c r="AG355" s="118" t="n">
        <f aca="false">IF(AG311&gt;0,1,0)</f>
        <v>1</v>
      </c>
      <c r="AH355" s="118" t="n">
        <f aca="false">IF(AH311&gt;0,1,0)</f>
        <v>1</v>
      </c>
      <c r="AI355" s="118" t="n">
        <f aca="false">IF(AI311&gt;0,1,0)</f>
        <v>1</v>
      </c>
      <c r="AJ355" s="118" t="n">
        <f aca="false">IF(AJ311&gt;0,1,0)</f>
        <v>1</v>
      </c>
      <c r="AK355" s="118" t="n">
        <f aca="false">IF(AK311&gt;0,1,0)</f>
        <v>1</v>
      </c>
      <c r="AL355" s="118" t="n">
        <f aca="false">IF(AL311&gt;0,1,0)</f>
        <v>1</v>
      </c>
      <c r="AM355" s="118" t="n">
        <f aca="false">IF(AM311&gt;0,1,0)</f>
        <v>1</v>
      </c>
      <c r="AN355" s="118" t="n">
        <f aca="false">IF(AN311&gt;0,1,0)</f>
        <v>1</v>
      </c>
      <c r="AO355" s="118" t="n">
        <f aca="false">IF(AO311&gt;0,1,0)</f>
        <v>1</v>
      </c>
      <c r="AP355" s="118" t="n">
        <f aca="false">IF(AP311&gt;0,1,0)</f>
        <v>1</v>
      </c>
      <c r="AQ355" s="118" t="n">
        <f aca="false">IF(AQ311&gt;0,1,0)</f>
        <v>1</v>
      </c>
      <c r="AR355" s="118" t="n">
        <f aca="false">IF(AR311&gt;0,1,0)</f>
        <v>1</v>
      </c>
      <c r="AS355" s="118" t="n">
        <f aca="false">IF(AS311&gt;0,1,0)</f>
        <v>1</v>
      </c>
      <c r="AT355" s="118" t="n">
        <f aca="false">IF(AT311&gt;0,1,0)</f>
        <v>1</v>
      </c>
      <c r="AU355" s="118" t="n">
        <f aca="false">IF(AU311&gt;0,1,0)</f>
        <v>1</v>
      </c>
      <c r="AV355" s="118" t="n">
        <f aca="false">IF(AV311&gt;0,1,0)</f>
        <v>1</v>
      </c>
      <c r="AW355" s="118" t="n">
        <f aca="false">IF(AW311&gt;0,1,0)</f>
        <v>1</v>
      </c>
      <c r="AX355" s="118" t="n">
        <f aca="false">IF(AX311&gt;0,1,0)</f>
        <v>1</v>
      </c>
      <c r="AY355" s="118" t="n">
        <f aca="false">IF(AY311&gt;0,1,0)</f>
        <v>1</v>
      </c>
      <c r="AZ355" s="118" t="n">
        <f aca="false">IF(AZ311&gt;0,1,0)</f>
        <v>1</v>
      </c>
      <c r="BA355" s="118" t="n">
        <f aca="false">IF(BA311&gt;0,1,0)</f>
        <v>1</v>
      </c>
      <c r="BB355" s="118" t="n">
        <f aca="false">IF(BB311&gt;0,1,0)</f>
        <v>1</v>
      </c>
      <c r="BC355" s="118" t="n">
        <f aca="false">IF(BC311&gt;0,1,0)</f>
        <v>1</v>
      </c>
      <c r="BD355" s="118" t="n">
        <f aca="false">IF(BD311&gt;0,1,0)</f>
        <v>1</v>
      </c>
      <c r="BE355" s="118" t="n">
        <f aca="false">IF(BE311&gt;0,1,0)</f>
        <v>1</v>
      </c>
      <c r="BF355" s="118" t="n">
        <f aca="false">IF(BF311&gt;0,1,0)</f>
        <v>1</v>
      </c>
      <c r="BG355" s="118" t="n">
        <f aca="false">IF(BG311&gt;0,1,0)</f>
        <v>1</v>
      </c>
      <c r="BH355" s="118" t="n">
        <f aca="false">IF(BH311&gt;0,1,0)</f>
        <v>1</v>
      </c>
      <c r="BI355" s="118" t="n">
        <f aca="false">IF(BI311&gt;0,1,0)</f>
        <v>1</v>
      </c>
      <c r="BJ355" s="118" t="n">
        <f aca="false">IF(BJ311&gt;0,1,0)</f>
        <v>1</v>
      </c>
    </row>
    <row r="357" customFormat="false" ht="15.75" hidden="false" customHeight="true" outlineLevel="0" collapsed="false">
      <c r="A357" s="7" t="s">
        <v>459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 customFormat="false" ht="15" hidden="false" customHeight="false" outlineLevel="0" collapsed="false">
      <c r="A358" s="116" t="s">
        <v>460</v>
      </c>
      <c r="C358" s="118" t="n">
        <f aca="false">IF(C320&gt;0,1,0)</f>
        <v>0</v>
      </c>
      <c r="D358" s="118" t="n">
        <f aca="false">IF(D320&gt;0,1,0)</f>
        <v>0</v>
      </c>
      <c r="E358" s="118" t="n">
        <f aca="false">IF(E320&gt;0,1,0)</f>
        <v>0</v>
      </c>
      <c r="F358" s="118" t="n">
        <f aca="false">IF(F320&gt;0,1,0)</f>
        <v>0</v>
      </c>
      <c r="G358" s="118" t="n">
        <f aca="false">IF(G320&gt;0,1,0)</f>
        <v>0</v>
      </c>
      <c r="H358" s="118" t="n">
        <f aca="false">IF(H320&gt;0,1,0)</f>
        <v>0</v>
      </c>
      <c r="I358" s="118" t="n">
        <f aca="false">IF(I320&gt;0,1,0)</f>
        <v>0</v>
      </c>
      <c r="J358" s="118" t="n">
        <f aca="false">IF(J320&gt;0,1,0)</f>
        <v>1</v>
      </c>
      <c r="K358" s="118" t="n">
        <f aca="false">IF(K320&gt;0,1,0)</f>
        <v>1</v>
      </c>
      <c r="L358" s="118" t="n">
        <f aca="false">IF(L320&gt;0,1,0)</f>
        <v>1</v>
      </c>
      <c r="M358" s="118" t="n">
        <f aca="false">IF(M320&gt;0,1,0)</f>
        <v>1</v>
      </c>
      <c r="N358" s="118" t="n">
        <f aca="false">IF(N320&gt;0,1,0)</f>
        <v>1</v>
      </c>
      <c r="O358" s="118" t="n">
        <f aca="false">IF(O320&gt;0,1,0)</f>
        <v>1</v>
      </c>
      <c r="P358" s="118" t="n">
        <f aca="false">IF(P320&gt;0,1,0)</f>
        <v>1</v>
      </c>
      <c r="Q358" s="118" t="n">
        <f aca="false">IF(Q320&gt;0,1,0)</f>
        <v>1</v>
      </c>
      <c r="R358" s="118" t="n">
        <f aca="false">IF(R320&gt;0,1,0)</f>
        <v>1</v>
      </c>
      <c r="S358" s="118" t="n">
        <f aca="false">IF(S320&gt;0,1,0)</f>
        <v>1</v>
      </c>
      <c r="T358" s="118" t="n">
        <f aca="false">IF(T320&gt;0,1,0)</f>
        <v>1</v>
      </c>
      <c r="U358" s="118" t="n">
        <f aca="false">IF(U320&gt;0,1,0)</f>
        <v>1</v>
      </c>
      <c r="V358" s="118" t="n">
        <f aca="false">IF(V320&gt;0,1,0)</f>
        <v>1</v>
      </c>
      <c r="W358" s="118" t="n">
        <f aca="false">IF(W320&gt;0,1,0)</f>
        <v>1</v>
      </c>
      <c r="X358" s="118" t="n">
        <f aca="false">IF(X320&gt;0,1,0)</f>
        <v>1</v>
      </c>
      <c r="Y358" s="118" t="n">
        <f aca="false">IF(Y320&gt;0,1,0)</f>
        <v>1</v>
      </c>
      <c r="Z358" s="118" t="n">
        <f aca="false">IF(Z320&gt;0,1,0)</f>
        <v>1</v>
      </c>
      <c r="AA358" s="118" t="n">
        <f aca="false">IF(AA320&gt;0,1,0)</f>
        <v>1</v>
      </c>
      <c r="AB358" s="118" t="n">
        <f aca="false">IF(AB320&gt;0,1,0)</f>
        <v>1</v>
      </c>
      <c r="AC358" s="118" t="n">
        <f aca="false">IF(AC320&gt;0,1,0)</f>
        <v>1</v>
      </c>
      <c r="AD358" s="118" t="n">
        <f aca="false">IF(AD320&gt;0,1,0)</f>
        <v>1</v>
      </c>
      <c r="AE358" s="118" t="n">
        <f aca="false">IF(AE320&gt;0,1,0)</f>
        <v>1</v>
      </c>
      <c r="AF358" s="118" t="n">
        <f aca="false">IF(AF320&gt;0,1,0)</f>
        <v>1</v>
      </c>
      <c r="AG358" s="118" t="n">
        <f aca="false">IF(AG320&gt;0,1,0)</f>
        <v>1</v>
      </c>
      <c r="AH358" s="118" t="n">
        <f aca="false">IF(AH320&gt;0,1,0)</f>
        <v>1</v>
      </c>
      <c r="AI358" s="118" t="n">
        <f aca="false">IF(AI320&gt;0,1,0)</f>
        <v>1</v>
      </c>
      <c r="AJ358" s="118" t="n">
        <f aca="false">IF(AJ320&gt;0,1,0)</f>
        <v>1</v>
      </c>
      <c r="AK358" s="118" t="n">
        <f aca="false">IF(AK320&gt;0,1,0)</f>
        <v>1</v>
      </c>
      <c r="AL358" s="118" t="n">
        <f aca="false">IF(AL320&gt;0,1,0)</f>
        <v>1</v>
      </c>
      <c r="AM358" s="118" t="n">
        <f aca="false">IF(AM320&gt;0,1,0)</f>
        <v>1</v>
      </c>
      <c r="AN358" s="118" t="n">
        <f aca="false">IF(AN320&gt;0,1,0)</f>
        <v>1</v>
      </c>
      <c r="AO358" s="118" t="n">
        <f aca="false">IF(AO320&gt;0,1,0)</f>
        <v>1</v>
      </c>
      <c r="AP358" s="118" t="n">
        <f aca="false">IF(AP320&gt;0,1,0)</f>
        <v>1</v>
      </c>
      <c r="AQ358" s="118" t="n">
        <f aca="false">IF(AQ320&gt;0,1,0)</f>
        <v>1</v>
      </c>
      <c r="AR358" s="118" t="n">
        <f aca="false">IF(AR320&gt;0,1,0)</f>
        <v>1</v>
      </c>
      <c r="AS358" s="118" t="n">
        <f aca="false">IF(AS320&gt;0,1,0)</f>
        <v>1</v>
      </c>
      <c r="AT358" s="118" t="n">
        <f aca="false">IF(AT320&gt;0,1,0)</f>
        <v>1</v>
      </c>
      <c r="AU358" s="118" t="n">
        <f aca="false">IF(AU320&gt;0,1,0)</f>
        <v>1</v>
      </c>
      <c r="AV358" s="118" t="n">
        <f aca="false">IF(AV320&gt;0,1,0)</f>
        <v>1</v>
      </c>
      <c r="AW358" s="118" t="n">
        <f aca="false">IF(AW320&gt;0,1,0)</f>
        <v>1</v>
      </c>
      <c r="AX358" s="118" t="n">
        <f aca="false">IF(AX320&gt;0,1,0)</f>
        <v>1</v>
      </c>
      <c r="AY358" s="118" t="n">
        <f aca="false">IF(AY320&gt;0,1,0)</f>
        <v>1</v>
      </c>
      <c r="AZ358" s="118" t="n">
        <f aca="false">IF(AZ320&gt;0,1,0)</f>
        <v>1</v>
      </c>
      <c r="BA358" s="118" t="n">
        <f aca="false">IF(BA320&gt;0,1,0)</f>
        <v>1</v>
      </c>
      <c r="BB358" s="118" t="n">
        <f aca="false">IF(BB320&gt;0,1,0)</f>
        <v>1</v>
      </c>
      <c r="BC358" s="118" t="n">
        <f aca="false">IF(BC320&gt;0,1,0)</f>
        <v>1</v>
      </c>
      <c r="BD358" s="118" t="n">
        <f aca="false">IF(BD320&gt;0,1,0)</f>
        <v>1</v>
      </c>
      <c r="BE358" s="118" t="n">
        <f aca="false">IF(BE320&gt;0,1,0)</f>
        <v>1</v>
      </c>
      <c r="BF358" s="118" t="n">
        <f aca="false">IF(BF320&gt;0,1,0)</f>
        <v>1</v>
      </c>
      <c r="BG358" s="118" t="n">
        <f aca="false">IF(BG320&gt;0,1,0)</f>
        <v>1</v>
      </c>
      <c r="BH358" s="118" t="n">
        <f aca="false">IF(BH320&gt;0,1,0)</f>
        <v>1</v>
      </c>
      <c r="BI358" s="118" t="n">
        <f aca="false">IF(BI320&gt;0,1,0)</f>
        <v>1</v>
      </c>
      <c r="BJ358" s="118" t="n">
        <f aca="false">IF(BJ320&gt;0,1,0)</f>
        <v>1</v>
      </c>
    </row>
    <row r="359" customFormat="false" ht="15" hidden="false" customHeight="false" outlineLevel="0" collapsed="false">
      <c r="A359" s="6" t="s">
        <v>461</v>
      </c>
      <c r="C359" s="69" t="n">
        <f aca="false">C348+C349</f>
        <v>-4148412.11225579</v>
      </c>
      <c r="D359" s="69" t="n">
        <f aca="false">D348+D349</f>
        <v>-37877.3004535596</v>
      </c>
      <c r="E359" s="69" t="n">
        <f aca="false">E348+E349</f>
        <v>-18996.0265108535</v>
      </c>
      <c r="F359" s="69" t="n">
        <f aca="false">F348+F349</f>
        <v>-8370.21814315336</v>
      </c>
      <c r="G359" s="69" t="n">
        <f aca="false">G348+G349</f>
        <v>2274.93406205737</v>
      </c>
      <c r="H359" s="69" t="n">
        <f aca="false">H348+H349</f>
        <v>13123.0826466823</v>
      </c>
      <c r="I359" s="69" t="n">
        <f aca="false">I348+I349</f>
        <v>24167.7317265802</v>
      </c>
      <c r="J359" s="69" t="n">
        <f aca="false">J348+J349</f>
        <v>35402.5932859024</v>
      </c>
      <c r="K359" s="69" t="n">
        <f aca="false">K348+K349</f>
        <v>39397.3108576195</v>
      </c>
      <c r="L359" s="69" t="n">
        <f aca="false">L348+L349</f>
        <v>43049.9004283979</v>
      </c>
      <c r="M359" s="69" t="n">
        <f aca="false">M348+M349</f>
        <v>46591.2737995781</v>
      </c>
      <c r="N359" s="69" t="n">
        <f aca="false">N348+N349</f>
        <v>35831.3655270874</v>
      </c>
      <c r="O359" s="69" t="n">
        <f aca="false">O348+O349</f>
        <v>2087.11712619683</v>
      </c>
      <c r="P359" s="69" t="n">
        <f aca="false">P348+P349</f>
        <v>45473.3393031467</v>
      </c>
      <c r="Q359" s="69" t="n">
        <f aca="false">Q348+Q349</f>
        <v>63124.3582345302</v>
      </c>
      <c r="R359" s="69" t="n">
        <f aca="false">R348+R349</f>
        <v>66601.8780025604</v>
      </c>
      <c r="S359" s="69" t="n">
        <f aca="false">S348+S349</f>
        <v>69841.492904907</v>
      </c>
      <c r="T359" s="69" t="n">
        <f aca="false">T348+T349</f>
        <v>72983.106797045</v>
      </c>
      <c r="U359" s="69" t="n">
        <f aca="false">U348+U349</f>
        <v>70906.8954588906</v>
      </c>
      <c r="V359" s="69" t="n">
        <f aca="false">V348+V349</f>
        <v>68424.5860864531</v>
      </c>
      <c r="W359" s="69" t="n">
        <f aca="false">W348+W349</f>
        <v>70689.0972471117</v>
      </c>
      <c r="X359" s="69" t="n">
        <f aca="false">X348+X349</f>
        <v>72885.6207172959</v>
      </c>
      <c r="Y359" s="69" t="n">
        <f aca="false">Y348+Y349</f>
        <v>75016.332103101</v>
      </c>
      <c r="Z359" s="69" t="n">
        <f aca="false">Z348+Z349</f>
        <v>65859.6594828507</v>
      </c>
      <c r="AA359" s="69" t="n">
        <f aca="false">AA348+AA349</f>
        <v>31103.5274705798</v>
      </c>
      <c r="AB359" s="69" t="n">
        <f aca="false">AB348+AB349</f>
        <v>73225.3908606437</v>
      </c>
      <c r="AC359" s="69" t="n">
        <f aca="false">AC348+AC349</f>
        <v>86610.7586209591</v>
      </c>
      <c r="AD359" s="69" t="n">
        <f aca="false">AD348+AD349</f>
        <v>88622.1473981236</v>
      </c>
      <c r="AE359" s="69" t="n">
        <f aca="false">AE348+AE349</f>
        <v>90635.4289048622</v>
      </c>
      <c r="AF359" s="69" t="n">
        <f aca="false">AF348+AF349</f>
        <v>92588.7620700518</v>
      </c>
      <c r="AG359" s="69" t="n">
        <f aca="false">AG348+AG349</f>
        <v>94484.065240622</v>
      </c>
      <c r="AH359" s="69" t="n">
        <f aca="false">AH348+AH349</f>
        <v>96323.1953764006</v>
      </c>
      <c r="AI359" s="69" t="n">
        <f aca="false">AI348+AI349</f>
        <v>98107.950014501</v>
      </c>
      <c r="AJ359" s="69" t="n">
        <f aca="false">AJ348+AJ349</f>
        <v>99840.0691708489</v>
      </c>
      <c r="AK359" s="69" t="n">
        <f aca="false">AK348+AK349</f>
        <v>101521.23718086</v>
      </c>
      <c r="AL359" s="69" t="n">
        <f aca="false">AL348+AL349</f>
        <v>91809.0479025196</v>
      </c>
      <c r="AM359" s="69" t="n">
        <f aca="false">AM348+AM349</f>
        <v>57381.154847546</v>
      </c>
      <c r="AN359" s="69" t="n">
        <f aca="false">AN348+AN349</f>
        <v>99121.1475578018</v>
      </c>
      <c r="AO359" s="69" t="n">
        <f aca="false">AO348+AO349</f>
        <v>112245.369701155</v>
      </c>
      <c r="AP359" s="69" t="n">
        <f aca="false">AP348+AP349</f>
        <v>113729.487758245</v>
      </c>
      <c r="AQ359" s="69" t="n">
        <f aca="false">AQ348+AQ349</f>
        <v>115383.648974598</v>
      </c>
      <c r="AR359" s="69" t="n">
        <f aca="false">AR348+AR349</f>
        <v>116989.353698694</v>
      </c>
      <c r="AS359" s="69" t="n">
        <f aca="false">AS348+AS349</f>
        <v>118548.152538286</v>
      </c>
      <c r="AT359" s="69" t="n">
        <f aca="false">AT348+AT349</f>
        <v>120061.546481677</v>
      </c>
      <c r="AU359" s="69" t="n">
        <f aca="false">AU348+AU349</f>
        <v>121530.988485547</v>
      </c>
      <c r="AV359" s="69" t="n">
        <f aca="false">AV348+AV349</f>
        <v>122957.885011959</v>
      </c>
      <c r="AW359" s="69" t="n">
        <f aca="false">AW348+AW349</f>
        <v>124343.597516193</v>
      </c>
      <c r="AX359" s="69" t="n">
        <f aca="false">AX348+AX349</f>
        <v>114173.726294968</v>
      </c>
      <c r="AY359" s="69" t="n">
        <f aca="false">AY348+AY349</f>
        <v>80100.0055217995</v>
      </c>
      <c r="AZ359" s="69" t="n">
        <f aca="false">AZ348+AZ349</f>
        <v>121603.976123495</v>
      </c>
      <c r="BA359" s="69" t="n">
        <f aca="false">BA348+BA349</f>
        <v>134659.84578632</v>
      </c>
      <c r="BB359" s="69" t="n">
        <f aca="false">BB348+BB349</f>
        <v>135783.046460434</v>
      </c>
      <c r="BC359" s="69" t="n">
        <f aca="false">BC348+BC349</f>
        <v>137211.63293306</v>
      </c>
      <c r="BD359" s="69" t="n">
        <f aca="false">BD348+BD349</f>
        <v>138598.981305229</v>
      </c>
      <c r="BE359" s="69" t="n">
        <f aca="false">BE348+BE349</f>
        <v>139946.411196156</v>
      </c>
      <c r="BF359" s="69" t="n">
        <f aca="false">BF348+BF349</f>
        <v>141255.199997239</v>
      </c>
      <c r="BG359" s="69" t="n">
        <f aca="false">BG348+BG349</f>
        <v>142526.584223354</v>
      </c>
      <c r="BH359" s="69" t="n">
        <f aca="false">BH348+BH349</f>
        <v>143761.760820901</v>
      </c>
      <c r="BI359" s="69" t="n">
        <f aca="false">BI348+BI349</f>
        <v>144961.888433992</v>
      </c>
      <c r="BJ359" s="69" t="n">
        <f aca="false">BJ348+BJ349</f>
        <v>134405.051110392</v>
      </c>
    </row>
    <row r="360" customFormat="false" ht="15" hidden="false" customHeight="false" outlineLevel="0" collapsed="false">
      <c r="A360" s="6" t="s">
        <v>462</v>
      </c>
      <c r="C360" s="69" t="n">
        <f aca="false">C359</f>
        <v>-4148412.11225579</v>
      </c>
      <c r="D360" s="69" t="n">
        <f aca="false">C360+D359</f>
        <v>-4186289.41270935</v>
      </c>
      <c r="E360" s="69" t="n">
        <f aca="false">D360+E359</f>
        <v>-4205285.4392202</v>
      </c>
      <c r="F360" s="69" t="n">
        <f aca="false">E360+F359</f>
        <v>-4213655.65736335</v>
      </c>
      <c r="G360" s="69" t="n">
        <f aca="false">F360+G359</f>
        <v>-4211380.7233013</v>
      </c>
      <c r="H360" s="69" t="n">
        <f aca="false">G360+H359</f>
        <v>-4198257.64065461</v>
      </c>
      <c r="I360" s="69" t="n">
        <f aca="false">H360+I359</f>
        <v>-4174089.90892803</v>
      </c>
      <c r="J360" s="69" t="n">
        <f aca="false">I360+J359</f>
        <v>-4138687.31564213</v>
      </c>
      <c r="K360" s="69" t="n">
        <f aca="false">J360+K359</f>
        <v>-4099290.00478451</v>
      </c>
      <c r="L360" s="69" t="n">
        <f aca="false">K360+L359</f>
        <v>-4056240.10435611</v>
      </c>
      <c r="M360" s="69" t="n">
        <f aca="false">L360+M359</f>
        <v>-4009648.83055653</v>
      </c>
      <c r="N360" s="69" t="n">
        <f aca="false">M360+N359</f>
        <v>-3973817.46502945</v>
      </c>
      <c r="O360" s="69" t="n">
        <f aca="false">N360+O359</f>
        <v>-3971730.34790325</v>
      </c>
      <c r="P360" s="69" t="n">
        <f aca="false">O360+P359</f>
        <v>-3926257.0086001</v>
      </c>
      <c r="Q360" s="69" t="n">
        <f aca="false">P360+Q359</f>
        <v>-3863132.65036557</v>
      </c>
      <c r="R360" s="69" t="n">
        <f aca="false">Q360+R359</f>
        <v>-3796530.77236301</v>
      </c>
      <c r="S360" s="69" t="n">
        <f aca="false">R360+S359</f>
        <v>-3726689.27945811</v>
      </c>
      <c r="T360" s="69" t="n">
        <f aca="false">S360+T359</f>
        <v>-3653706.17266106</v>
      </c>
      <c r="U360" s="69" t="n">
        <f aca="false">T360+U359</f>
        <v>-3582799.27720217</v>
      </c>
      <c r="V360" s="69" t="n">
        <f aca="false">U360+V359</f>
        <v>-3514374.69111572</v>
      </c>
      <c r="W360" s="69" t="n">
        <f aca="false">V360+W359</f>
        <v>-3443685.59386861</v>
      </c>
      <c r="X360" s="69" t="n">
        <f aca="false">W360+X359</f>
        <v>-3370799.97315131</v>
      </c>
      <c r="Y360" s="69" t="n">
        <f aca="false">X360+Y359</f>
        <v>-3295783.64104821</v>
      </c>
      <c r="Z360" s="69" t="n">
        <f aca="false">Y360+Z359</f>
        <v>-3229923.98156536</v>
      </c>
      <c r="AA360" s="69" t="n">
        <f aca="false">Z360+AA359</f>
        <v>-3198820.45409478</v>
      </c>
      <c r="AB360" s="69" t="n">
        <f aca="false">AA360+AB359</f>
        <v>-3125595.06323414</v>
      </c>
      <c r="AC360" s="69" t="n">
        <f aca="false">AB360+AC359</f>
        <v>-3038984.30461318</v>
      </c>
      <c r="AD360" s="69" t="n">
        <f aca="false">AC360+AD359</f>
        <v>-2950362.15721505</v>
      </c>
      <c r="AE360" s="69" t="n">
        <f aca="false">AD360+AE359</f>
        <v>-2859726.72831019</v>
      </c>
      <c r="AF360" s="69" t="n">
        <f aca="false">AE360+AF359</f>
        <v>-2767137.96624014</v>
      </c>
      <c r="AG360" s="69" t="n">
        <f aca="false">AF360+AG359</f>
        <v>-2672653.90099952</v>
      </c>
      <c r="AH360" s="69" t="n">
        <f aca="false">AG360+AH359</f>
        <v>-2576330.70562312</v>
      </c>
      <c r="AI360" s="69" t="n">
        <f aca="false">AH360+AI359</f>
        <v>-2478222.75560861</v>
      </c>
      <c r="AJ360" s="69" t="n">
        <f aca="false">AI360+AJ359</f>
        <v>-2378382.68643777</v>
      </c>
      <c r="AK360" s="69" t="n">
        <f aca="false">AJ360+AK359</f>
        <v>-2276861.44925691</v>
      </c>
      <c r="AL360" s="69" t="n">
        <f aca="false">AK360+AL359</f>
        <v>-2185052.40135439</v>
      </c>
      <c r="AM360" s="69" t="n">
        <f aca="false">AL360+AM359</f>
        <v>-2127671.24650684</v>
      </c>
      <c r="AN360" s="69" t="n">
        <f aca="false">AM360+AN359</f>
        <v>-2028550.09894904</v>
      </c>
      <c r="AO360" s="69" t="n">
        <f aca="false">AN360+AO359</f>
        <v>-1916304.72924788</v>
      </c>
      <c r="AP360" s="69" t="n">
        <f aca="false">AO360+AP359</f>
        <v>-1802575.24148964</v>
      </c>
      <c r="AQ360" s="69" t="n">
        <f aca="false">AP360+AQ359</f>
        <v>-1687191.59251504</v>
      </c>
      <c r="AR360" s="69" t="n">
        <f aca="false">AQ360+AR359</f>
        <v>-1570202.23881635</v>
      </c>
      <c r="AS360" s="69" t="n">
        <f aca="false">AR360+AS359</f>
        <v>-1451654.08627806</v>
      </c>
      <c r="AT360" s="69" t="n">
        <f aca="false">AS360+AT359</f>
        <v>-1331592.53979638</v>
      </c>
      <c r="AU360" s="69" t="n">
        <f aca="false">AT360+AU359</f>
        <v>-1210061.55131084</v>
      </c>
      <c r="AV360" s="69" t="n">
        <f aca="false">AU360+AV359</f>
        <v>-1087103.66629888</v>
      </c>
      <c r="AW360" s="69" t="n">
        <f aca="false">AV360+AW359</f>
        <v>-962760.068782685</v>
      </c>
      <c r="AX360" s="69" t="n">
        <f aca="false">AW360+AX359</f>
        <v>-848586.342487717</v>
      </c>
      <c r="AY360" s="69" t="n">
        <f aca="false">AX360+AY359</f>
        <v>-768486.336965917</v>
      </c>
      <c r="AZ360" s="69" t="n">
        <f aca="false">AY360+AZ359</f>
        <v>-646882.360842422</v>
      </c>
      <c r="BA360" s="69" t="n">
        <f aca="false">AZ360+BA359</f>
        <v>-512222.515056102</v>
      </c>
      <c r="BB360" s="69" t="n">
        <f aca="false">BA360+BB359</f>
        <v>-376439.468595669</v>
      </c>
      <c r="BC360" s="69" t="n">
        <f aca="false">BB360+BC359</f>
        <v>-239227.835662608</v>
      </c>
      <c r="BD360" s="69" t="n">
        <f aca="false">BC360+BD359</f>
        <v>-100628.854357379</v>
      </c>
      <c r="BE360" s="69" t="n">
        <f aca="false">BD360+BE359</f>
        <v>39317.5568387765</v>
      </c>
      <c r="BF360" s="69" t="n">
        <f aca="false">BE360+BF359</f>
        <v>180572.756836016</v>
      </c>
      <c r="BG360" s="69" t="n">
        <f aca="false">BF360+BG359</f>
        <v>323099.34105937</v>
      </c>
      <c r="BH360" s="69" t="n">
        <f aca="false">BG360+BH359</f>
        <v>466861.101880271</v>
      </c>
      <c r="BI360" s="69" t="n">
        <f aca="false">BH360+BI359</f>
        <v>611822.990314263</v>
      </c>
      <c r="BJ360" s="69" t="n">
        <f aca="false">BI360+BJ359</f>
        <v>746228.041424656</v>
      </c>
    </row>
    <row r="361" customFormat="false" ht="15" hidden="false" customHeight="false" outlineLevel="0" collapsed="false">
      <c r="A361" s="116" t="s">
        <v>463</v>
      </c>
      <c r="C361" s="69" t="n">
        <f aca="false">C360</f>
        <v>-4148412.11225579</v>
      </c>
      <c r="D361" s="69" t="n">
        <f aca="false">MIN(C361,D360)</f>
        <v>-4186289.41270935</v>
      </c>
      <c r="E361" s="69" t="n">
        <f aca="false">MIN(D361,E360)</f>
        <v>-4205285.4392202</v>
      </c>
      <c r="F361" s="69" t="n">
        <f aca="false">MIN(E361,F360)</f>
        <v>-4213655.65736335</v>
      </c>
      <c r="G361" s="69" t="n">
        <f aca="false">MIN(F361,G360)</f>
        <v>-4213655.65736335</v>
      </c>
      <c r="H361" s="69" t="n">
        <f aca="false">MIN(G361,H360)</f>
        <v>-4213655.65736335</v>
      </c>
      <c r="I361" s="69" t="n">
        <f aca="false">MIN(H361,I360)</f>
        <v>-4213655.65736335</v>
      </c>
      <c r="J361" s="69" t="n">
        <f aca="false">MIN(I361,J360)</f>
        <v>-4213655.65736335</v>
      </c>
      <c r="K361" s="69" t="n">
        <f aca="false">MIN(J361,K360)</f>
        <v>-4213655.65736335</v>
      </c>
      <c r="L361" s="69" t="n">
        <f aca="false">MIN(K361,L360)</f>
        <v>-4213655.65736335</v>
      </c>
      <c r="M361" s="69" t="n">
        <f aca="false">MIN(L361,M360)</f>
        <v>-4213655.65736335</v>
      </c>
      <c r="N361" s="69" t="n">
        <f aca="false">MIN(M361,N360)</f>
        <v>-4213655.65736335</v>
      </c>
      <c r="O361" s="69" t="n">
        <f aca="false">MIN(N361,O360)</f>
        <v>-4213655.65736335</v>
      </c>
      <c r="P361" s="69" t="n">
        <f aca="false">MIN(O361,P360)</f>
        <v>-4213655.65736335</v>
      </c>
      <c r="Q361" s="69" t="n">
        <f aca="false">MIN(P361,Q360)</f>
        <v>-4213655.65736335</v>
      </c>
      <c r="R361" s="69" t="n">
        <f aca="false">MIN(Q361,R360)</f>
        <v>-4213655.65736335</v>
      </c>
      <c r="S361" s="69" t="n">
        <f aca="false">MIN(R361,S360)</f>
        <v>-4213655.65736335</v>
      </c>
      <c r="T361" s="69" t="n">
        <f aca="false">MIN(S361,T360)</f>
        <v>-4213655.65736335</v>
      </c>
      <c r="U361" s="69" t="n">
        <f aca="false">MIN(T361,U360)</f>
        <v>-4213655.65736335</v>
      </c>
      <c r="V361" s="69" t="n">
        <f aca="false">MIN(U361,V360)</f>
        <v>-4213655.65736335</v>
      </c>
      <c r="W361" s="69" t="n">
        <f aca="false">MIN(V361,W360)</f>
        <v>-4213655.65736335</v>
      </c>
      <c r="X361" s="69" t="n">
        <f aca="false">MIN(W361,X360)</f>
        <v>-4213655.65736335</v>
      </c>
      <c r="Y361" s="69" t="n">
        <f aca="false">MIN(X361,Y360)</f>
        <v>-4213655.65736335</v>
      </c>
      <c r="Z361" s="69" t="n">
        <f aca="false">MIN(Y361,Z360)</f>
        <v>-4213655.65736335</v>
      </c>
      <c r="AA361" s="69" t="n">
        <f aca="false">MIN(Z361,AA360)</f>
        <v>-4213655.65736335</v>
      </c>
      <c r="AB361" s="69" t="n">
        <f aca="false">MIN(AA361,AB360)</f>
        <v>-4213655.65736335</v>
      </c>
      <c r="AC361" s="69" t="n">
        <f aca="false">MIN(AB361,AC360)</f>
        <v>-4213655.65736335</v>
      </c>
      <c r="AD361" s="69" t="n">
        <f aca="false">MIN(AC361,AD360)</f>
        <v>-4213655.65736335</v>
      </c>
      <c r="AE361" s="69" t="n">
        <f aca="false">MIN(AD361,AE360)</f>
        <v>-4213655.65736335</v>
      </c>
      <c r="AF361" s="69" t="n">
        <f aca="false">MIN(AE361,AF360)</f>
        <v>-4213655.65736335</v>
      </c>
      <c r="AG361" s="69" t="n">
        <f aca="false">MIN(AF361,AG360)</f>
        <v>-4213655.65736335</v>
      </c>
      <c r="AH361" s="69" t="n">
        <f aca="false">MIN(AG361,AH360)</f>
        <v>-4213655.65736335</v>
      </c>
      <c r="AI361" s="69" t="n">
        <f aca="false">MIN(AH361,AI360)</f>
        <v>-4213655.65736335</v>
      </c>
      <c r="AJ361" s="69" t="n">
        <f aca="false">MIN(AI361,AJ360)</f>
        <v>-4213655.65736335</v>
      </c>
      <c r="AK361" s="69" t="n">
        <f aca="false">MIN(AJ361,AK360)</f>
        <v>-4213655.65736335</v>
      </c>
      <c r="AL361" s="69" t="n">
        <f aca="false">MIN(AK361,AL360)</f>
        <v>-4213655.65736335</v>
      </c>
      <c r="AM361" s="69" t="n">
        <f aca="false">MIN(AL361,AM360)</f>
        <v>-4213655.65736335</v>
      </c>
      <c r="AN361" s="69" t="n">
        <f aca="false">MIN(AM361,AN360)</f>
        <v>-4213655.65736335</v>
      </c>
      <c r="AO361" s="69" t="n">
        <f aca="false">MIN(AN361,AO360)</f>
        <v>-4213655.65736335</v>
      </c>
      <c r="AP361" s="69" t="n">
        <f aca="false">MIN(AO361,AP360)</f>
        <v>-4213655.65736335</v>
      </c>
      <c r="AQ361" s="69" t="n">
        <f aca="false">MIN(AP361,AQ360)</f>
        <v>-4213655.65736335</v>
      </c>
      <c r="AR361" s="69" t="n">
        <f aca="false">MIN(AQ361,AR360)</f>
        <v>-4213655.65736335</v>
      </c>
      <c r="AS361" s="69" t="n">
        <f aca="false">MIN(AR361,AS360)</f>
        <v>-4213655.65736335</v>
      </c>
      <c r="AT361" s="69" t="n">
        <f aca="false">MIN(AS361,AT360)</f>
        <v>-4213655.65736335</v>
      </c>
      <c r="AU361" s="69" t="n">
        <f aca="false">MIN(AT361,AU360)</f>
        <v>-4213655.65736335</v>
      </c>
      <c r="AV361" s="69" t="n">
        <f aca="false">MIN(AU361,AV360)</f>
        <v>-4213655.65736335</v>
      </c>
      <c r="AW361" s="69" t="n">
        <f aca="false">MIN(AV361,AW360)</f>
        <v>-4213655.65736335</v>
      </c>
      <c r="AX361" s="69" t="n">
        <f aca="false">MIN(AW361,AX360)</f>
        <v>-4213655.65736335</v>
      </c>
      <c r="AY361" s="69" t="n">
        <f aca="false">MIN(AX361,AY360)</f>
        <v>-4213655.65736335</v>
      </c>
      <c r="AZ361" s="69" t="n">
        <f aca="false">MIN(AY361,AZ360)</f>
        <v>-4213655.65736335</v>
      </c>
      <c r="BA361" s="69" t="n">
        <f aca="false">MIN(AZ361,BA360)</f>
        <v>-4213655.65736335</v>
      </c>
      <c r="BB361" s="69" t="n">
        <f aca="false">MIN(BA361,BB360)</f>
        <v>-4213655.65736335</v>
      </c>
      <c r="BC361" s="69" t="n">
        <f aca="false">MIN(BB361,BC360)</f>
        <v>-4213655.65736335</v>
      </c>
      <c r="BD361" s="69" t="n">
        <f aca="false">MIN(BC361,BD360)</f>
        <v>-4213655.65736335</v>
      </c>
      <c r="BE361" s="69" t="n">
        <f aca="false">MIN(BD361,BE360)</f>
        <v>-4213655.65736335</v>
      </c>
      <c r="BF361" s="69" t="n">
        <f aca="false">MIN(BE361,BF360)</f>
        <v>-4213655.65736335</v>
      </c>
      <c r="BG361" s="69" t="n">
        <f aca="false">MIN(BF361,BG360)</f>
        <v>-4213655.65736335</v>
      </c>
      <c r="BH361" s="69" t="n">
        <f aca="false">MIN(BG361,BH360)</f>
        <v>-4213655.65736335</v>
      </c>
      <c r="BI361" s="69" t="n">
        <f aca="false">MIN(BH361,BI360)</f>
        <v>-4213655.65736335</v>
      </c>
      <c r="BJ361" s="69" t="n">
        <f aca="false">MIN(BI361,BJ360)</f>
        <v>-4213655.65736335</v>
      </c>
    </row>
    <row r="362" customFormat="false" ht="15" hidden="false" customHeight="false" outlineLevel="0" collapsed="false">
      <c r="A362" s="116" t="s">
        <v>464</v>
      </c>
      <c r="C362" s="118" t="n">
        <f aca="false">IF(AND(C360&gt;=0,C361&lt;0),1,0)</f>
        <v>0</v>
      </c>
      <c r="D362" s="118" t="n">
        <f aca="false">IF(AND(D360&gt;=0,D361&lt;0),1,0)</f>
        <v>0</v>
      </c>
      <c r="E362" s="118" t="n">
        <f aca="false">IF(AND(E360&gt;=0,E361&lt;0),1,0)</f>
        <v>0</v>
      </c>
      <c r="F362" s="118" t="n">
        <f aca="false">IF(AND(F360&gt;=0,F361&lt;0),1,0)</f>
        <v>0</v>
      </c>
      <c r="G362" s="118" t="n">
        <f aca="false">IF(AND(G360&gt;=0,G361&lt;0),1,0)</f>
        <v>0</v>
      </c>
      <c r="H362" s="118" t="n">
        <f aca="false">IF(AND(H360&gt;=0,H361&lt;0),1,0)</f>
        <v>0</v>
      </c>
      <c r="I362" s="118" t="n">
        <f aca="false">IF(AND(I360&gt;=0,I361&lt;0),1,0)</f>
        <v>0</v>
      </c>
      <c r="J362" s="118" t="n">
        <f aca="false">IF(AND(J360&gt;=0,J361&lt;0),1,0)</f>
        <v>0</v>
      </c>
      <c r="K362" s="118" t="n">
        <f aca="false">IF(AND(K360&gt;=0,K361&lt;0),1,0)</f>
        <v>0</v>
      </c>
      <c r="L362" s="118" t="n">
        <f aca="false">IF(AND(L360&gt;=0,L361&lt;0),1,0)</f>
        <v>0</v>
      </c>
      <c r="M362" s="118" t="n">
        <f aca="false">IF(AND(M360&gt;=0,M361&lt;0),1,0)</f>
        <v>0</v>
      </c>
      <c r="N362" s="118" t="n">
        <f aca="false">IF(AND(N360&gt;=0,N361&lt;0),1,0)</f>
        <v>0</v>
      </c>
      <c r="O362" s="118" t="n">
        <f aca="false">IF(AND(O360&gt;=0,O361&lt;0),1,0)</f>
        <v>0</v>
      </c>
      <c r="P362" s="118" t="n">
        <f aca="false">IF(AND(P360&gt;=0,P361&lt;0),1,0)</f>
        <v>0</v>
      </c>
      <c r="Q362" s="118" t="n">
        <f aca="false">IF(AND(Q360&gt;=0,Q361&lt;0),1,0)</f>
        <v>0</v>
      </c>
      <c r="R362" s="118" t="n">
        <f aca="false">IF(AND(R360&gt;=0,R361&lt;0),1,0)</f>
        <v>0</v>
      </c>
      <c r="S362" s="118" t="n">
        <f aca="false">IF(AND(S360&gt;=0,S361&lt;0),1,0)</f>
        <v>0</v>
      </c>
      <c r="T362" s="118" t="n">
        <f aca="false">IF(AND(T360&gt;=0,T361&lt;0),1,0)</f>
        <v>0</v>
      </c>
      <c r="U362" s="118" t="n">
        <f aca="false">IF(AND(U360&gt;=0,U361&lt;0),1,0)</f>
        <v>0</v>
      </c>
      <c r="V362" s="118" t="n">
        <f aca="false">IF(AND(V360&gt;=0,V361&lt;0),1,0)</f>
        <v>0</v>
      </c>
      <c r="W362" s="118" t="n">
        <f aca="false">IF(AND(W360&gt;=0,W361&lt;0),1,0)</f>
        <v>0</v>
      </c>
      <c r="X362" s="118" t="n">
        <f aca="false">IF(AND(X360&gt;=0,X361&lt;0),1,0)</f>
        <v>0</v>
      </c>
      <c r="Y362" s="118" t="n">
        <f aca="false">IF(AND(Y360&gt;=0,Y361&lt;0),1,0)</f>
        <v>0</v>
      </c>
      <c r="Z362" s="118" t="n">
        <f aca="false">IF(AND(Z360&gt;=0,Z361&lt;0),1,0)</f>
        <v>0</v>
      </c>
      <c r="AA362" s="118" t="n">
        <f aca="false">IF(AND(AA360&gt;=0,AA361&lt;0),1,0)</f>
        <v>0</v>
      </c>
      <c r="AB362" s="118" t="n">
        <f aca="false">IF(AND(AB360&gt;=0,AB361&lt;0),1,0)</f>
        <v>0</v>
      </c>
      <c r="AC362" s="118" t="n">
        <f aca="false">IF(AND(AC360&gt;=0,AC361&lt;0),1,0)</f>
        <v>0</v>
      </c>
      <c r="AD362" s="118" t="n">
        <f aca="false">IF(AND(AD360&gt;=0,AD361&lt;0),1,0)</f>
        <v>0</v>
      </c>
      <c r="AE362" s="118" t="n">
        <f aca="false">IF(AND(AE360&gt;=0,AE361&lt;0),1,0)</f>
        <v>0</v>
      </c>
      <c r="AF362" s="118" t="n">
        <f aca="false">IF(AND(AF360&gt;=0,AF361&lt;0),1,0)</f>
        <v>0</v>
      </c>
      <c r="AG362" s="118" t="n">
        <f aca="false">IF(AND(AG360&gt;=0,AG361&lt;0),1,0)</f>
        <v>0</v>
      </c>
      <c r="AH362" s="118" t="n">
        <f aca="false">IF(AND(AH360&gt;=0,AH361&lt;0),1,0)</f>
        <v>0</v>
      </c>
      <c r="AI362" s="118" t="n">
        <f aca="false">IF(AND(AI360&gt;=0,AI361&lt;0),1,0)</f>
        <v>0</v>
      </c>
      <c r="AJ362" s="118" t="n">
        <f aca="false">IF(AND(AJ360&gt;=0,AJ361&lt;0),1,0)</f>
        <v>0</v>
      </c>
      <c r="AK362" s="118" t="n">
        <f aca="false">IF(AND(AK360&gt;=0,AK361&lt;0),1,0)</f>
        <v>0</v>
      </c>
      <c r="AL362" s="118" t="n">
        <f aca="false">IF(AND(AL360&gt;=0,AL361&lt;0),1,0)</f>
        <v>0</v>
      </c>
      <c r="AM362" s="118" t="n">
        <f aca="false">IF(AND(AM360&gt;=0,AM361&lt;0),1,0)</f>
        <v>0</v>
      </c>
      <c r="AN362" s="118" t="n">
        <f aca="false">IF(AND(AN360&gt;=0,AN361&lt;0),1,0)</f>
        <v>0</v>
      </c>
      <c r="AO362" s="118" t="n">
        <f aca="false">IF(AND(AO360&gt;=0,AO361&lt;0),1,0)</f>
        <v>0</v>
      </c>
      <c r="AP362" s="118" t="n">
        <f aca="false">IF(AND(AP360&gt;=0,AP361&lt;0),1,0)</f>
        <v>0</v>
      </c>
      <c r="AQ362" s="118" t="n">
        <f aca="false">IF(AND(AQ360&gt;=0,AQ361&lt;0),1,0)</f>
        <v>0</v>
      </c>
      <c r="AR362" s="118" t="n">
        <f aca="false">IF(AND(AR360&gt;=0,AR361&lt;0),1,0)</f>
        <v>0</v>
      </c>
      <c r="AS362" s="118" t="n">
        <f aca="false">IF(AND(AS360&gt;=0,AS361&lt;0),1,0)</f>
        <v>0</v>
      </c>
      <c r="AT362" s="118" t="n">
        <f aca="false">IF(AND(AT360&gt;=0,AT361&lt;0),1,0)</f>
        <v>0</v>
      </c>
      <c r="AU362" s="118" t="n">
        <f aca="false">IF(AND(AU360&gt;=0,AU361&lt;0),1,0)</f>
        <v>0</v>
      </c>
      <c r="AV362" s="118" t="n">
        <f aca="false">IF(AND(AV360&gt;=0,AV361&lt;0),1,0)</f>
        <v>0</v>
      </c>
      <c r="AW362" s="118" t="n">
        <f aca="false">IF(AND(AW360&gt;=0,AW361&lt;0),1,0)</f>
        <v>0</v>
      </c>
      <c r="AX362" s="118" t="n">
        <f aca="false">IF(AND(AX360&gt;=0,AX361&lt;0),1,0)</f>
        <v>0</v>
      </c>
      <c r="AY362" s="118" t="n">
        <f aca="false">IF(AND(AY360&gt;=0,AY361&lt;0),1,0)</f>
        <v>0</v>
      </c>
      <c r="AZ362" s="118" t="n">
        <f aca="false">IF(AND(AZ360&gt;=0,AZ361&lt;0),1,0)</f>
        <v>0</v>
      </c>
      <c r="BA362" s="118" t="n">
        <f aca="false">IF(AND(BA360&gt;=0,BA361&lt;0),1,0)</f>
        <v>0</v>
      </c>
      <c r="BB362" s="118" t="n">
        <f aca="false">IF(AND(BB360&gt;=0,BB361&lt;0),1,0)</f>
        <v>0</v>
      </c>
      <c r="BC362" s="118" t="n">
        <f aca="false">IF(AND(BC360&gt;=0,BC361&lt;0),1,0)</f>
        <v>0</v>
      </c>
      <c r="BD362" s="118" t="n">
        <f aca="false">IF(AND(BD360&gt;=0,BD361&lt;0),1,0)</f>
        <v>0</v>
      </c>
      <c r="BE362" s="118" t="n">
        <f aca="false">IF(AND(BE360&gt;=0,BE361&lt;0),1,0)</f>
        <v>1</v>
      </c>
      <c r="BF362" s="118" t="n">
        <f aca="false">IF(AND(BF360&gt;=0,BF361&lt;0),1,0)</f>
        <v>1</v>
      </c>
      <c r="BG362" s="118" t="n">
        <f aca="false">IF(AND(BG360&gt;=0,BG361&lt;0),1,0)</f>
        <v>1</v>
      </c>
      <c r="BH362" s="118" t="n">
        <f aca="false">IF(AND(BH360&gt;=0,BH361&lt;0),1,0)</f>
        <v>1</v>
      </c>
      <c r="BI362" s="118" t="n">
        <f aca="false">IF(AND(BI360&gt;=0,BI361&lt;0),1,0)</f>
        <v>1</v>
      </c>
      <c r="BJ362" s="118" t="n">
        <f aca="false">IF(AND(BJ360&gt;=0,BJ361&lt;0),1,0)</f>
        <v>1</v>
      </c>
    </row>
    <row r="363" customFormat="false" ht="15" hidden="false" customHeight="false" outlineLevel="0" collapsed="false">
      <c r="A363" s="6" t="s">
        <v>465</v>
      </c>
      <c r="C363" s="69" t="n">
        <f aca="false">C348-C315*(1-Inputs!$D$79)+C349</f>
        <v>-4131624.61225579</v>
      </c>
      <c r="D363" s="69" t="n">
        <f aca="false">D348-D315*(1-Inputs!$D$79)+D349</f>
        <v>-21159.7483702263</v>
      </c>
      <c r="E363" s="69" t="n">
        <f aca="false">E348-E315*(1-Inputs!$D$79)+E349</f>
        <v>-2418.37026085349</v>
      </c>
      <c r="F363" s="69" t="n">
        <f aca="false">F348-F315*(1-Inputs!$D$79)+F349</f>
        <v>8067.54227351331</v>
      </c>
      <c r="G363" s="69" t="n">
        <f aca="false">G348-G315*(1-Inputs!$D$79)+G349</f>
        <v>18572.7986453907</v>
      </c>
      <c r="H363" s="69" t="n">
        <f aca="false">H348-H315*(1-Inputs!$D$79)+H349</f>
        <v>29281.0513966823</v>
      </c>
      <c r="I363" s="69" t="n">
        <f aca="false">I348-I315*(1-Inputs!$D$79)+I349</f>
        <v>40185.8046432469</v>
      </c>
      <c r="J363" s="69" t="n">
        <f aca="false">J348-J315*(1-Inputs!$D$79)+J349</f>
        <v>51280.7703692357</v>
      </c>
      <c r="K363" s="69" t="n">
        <f aca="false">K348-K315*(1-Inputs!$D$79)+K349</f>
        <v>55135.5921076195</v>
      </c>
      <c r="L363" s="69" t="n">
        <f aca="false">L348-L315*(1-Inputs!$D$79)+L349</f>
        <v>58648.2858450646</v>
      </c>
      <c r="M363" s="69" t="n">
        <f aca="false">M348-M315*(1-Inputs!$D$79)+M349</f>
        <v>62049.7633829114</v>
      </c>
      <c r="N363" s="69" t="n">
        <f aca="false">N348-N315*(1-Inputs!$D$79)+N349</f>
        <v>51149.9592770874</v>
      </c>
      <c r="O363" s="69" t="n">
        <f aca="false">O348-O315*(1-Inputs!$D$79)+O349</f>
        <v>17265.8150428635</v>
      </c>
      <c r="P363" s="69" t="n">
        <f aca="false">P348-P315*(1-Inputs!$D$79)+P349</f>
        <v>60512.14138648</v>
      </c>
      <c r="Q363" s="69" t="n">
        <f aca="false">Q348-Q315*(1-Inputs!$D$79)+Q349</f>
        <v>78023.2644845302</v>
      </c>
      <c r="R363" s="69" t="n">
        <f aca="false">R348-R315*(1-Inputs!$D$79)+R349</f>
        <v>81360.8884192271</v>
      </c>
      <c r="S363" s="69" t="n">
        <f aca="false">S348-S315*(1-Inputs!$D$79)+S349</f>
        <v>84460.6074882403</v>
      </c>
      <c r="T363" s="69" t="n">
        <f aca="false">T348-T315*(1-Inputs!$D$79)+T349</f>
        <v>87462.325547045</v>
      </c>
      <c r="U363" s="69" t="n">
        <f aca="false">U348-U315*(1-Inputs!$D$79)+U349</f>
        <v>85246.2183755572</v>
      </c>
      <c r="V363" s="69" t="n">
        <f aca="false">V348-V315*(1-Inputs!$D$79)+V349</f>
        <v>82624.0131697864</v>
      </c>
      <c r="W363" s="69" t="n">
        <f aca="false">W348-W315*(1-Inputs!$D$79)+W349</f>
        <v>84748.6284971117</v>
      </c>
      <c r="X363" s="69" t="n">
        <f aca="false">X348-X315*(1-Inputs!$D$79)+X349</f>
        <v>86805.2561339626</v>
      </c>
      <c r="Y363" s="69" t="n">
        <f aca="false">Y348-Y315*(1-Inputs!$D$79)+Y349</f>
        <v>88796.0716864343</v>
      </c>
      <c r="Z363" s="69" t="n">
        <f aca="false">Z348-Z315*(1-Inputs!$D$79)+Z349</f>
        <v>79499.5032328507</v>
      </c>
      <c r="AA363" s="69" t="n">
        <f aca="false">AA348-AA315*(1-Inputs!$D$79)+AA349</f>
        <v>44603.4753872464</v>
      </c>
      <c r="AB363" s="69" t="n">
        <f aca="false">AB348-AB315*(1-Inputs!$D$79)+AB349</f>
        <v>86585.4429439771</v>
      </c>
      <c r="AC363" s="69" t="n">
        <f aca="false">AC348-AC315*(1-Inputs!$D$79)+AC349</f>
        <v>99830.9148709591</v>
      </c>
      <c r="AD363" s="69" t="n">
        <f aca="false">AD348-AD315*(1-Inputs!$D$79)+AD349</f>
        <v>101702.40781479</v>
      </c>
      <c r="AE363" s="69" t="n">
        <f aca="false">AE348-AE315*(1-Inputs!$D$79)+AE349</f>
        <v>103575.793488196</v>
      </c>
      <c r="AF363" s="69" t="n">
        <f aca="false">AF348-AF315*(1-Inputs!$D$79)+AF349</f>
        <v>105389.230820052</v>
      </c>
      <c r="AG363" s="69" t="n">
        <f aca="false">AG348-AG315*(1-Inputs!$D$79)+AG349</f>
        <v>107144.638157289</v>
      </c>
      <c r="AH363" s="69" t="n">
        <f aca="false">AH348-AH315*(1-Inputs!$D$79)+AH349</f>
        <v>108843.872459734</v>
      </c>
      <c r="AI363" s="69" t="n">
        <f aca="false">AI348-AI315*(1-Inputs!$D$79)+AI349</f>
        <v>110488.731264501</v>
      </c>
      <c r="AJ363" s="69" t="n">
        <f aca="false">AJ348-AJ315*(1-Inputs!$D$79)+AJ349</f>
        <v>112080.954587516</v>
      </c>
      <c r="AK363" s="69" t="n">
        <f aca="false">AK348-AK315*(1-Inputs!$D$79)+AK349</f>
        <v>113622.226764194</v>
      </c>
      <c r="AL363" s="69" t="n">
        <f aca="false">AL348-AL315*(1-Inputs!$D$79)+AL349</f>
        <v>103770.14165252</v>
      </c>
      <c r="AM363" s="69" t="n">
        <f aca="false">AM348-AM315*(1-Inputs!$D$79)+AM349</f>
        <v>69202.3527642127</v>
      </c>
      <c r="AN363" s="69" t="n">
        <f aca="false">AN348-AN315*(1-Inputs!$D$79)+AN349</f>
        <v>110802.449641135</v>
      </c>
      <c r="AO363" s="69" t="n">
        <f aca="false">AO348-AO315*(1-Inputs!$D$79)+AO349</f>
        <v>123786.775951155</v>
      </c>
      <c r="AP363" s="69" t="n">
        <f aca="false">AP348-AP315*(1-Inputs!$D$79)+AP349</f>
        <v>125130.998174912</v>
      </c>
      <c r="AQ363" s="69" t="n">
        <f aca="false">AQ348-AQ315*(1-Inputs!$D$79)+AQ349</f>
        <v>126645.263557931</v>
      </c>
      <c r="AR363" s="69" t="n">
        <f aca="false">AR348-AR315*(1-Inputs!$D$79)+AR349</f>
        <v>128111.072448694</v>
      </c>
      <c r="AS363" s="69" t="n">
        <f aca="false">AS348-AS315*(1-Inputs!$D$79)+AS349</f>
        <v>129529.975454952</v>
      </c>
      <c r="AT363" s="69" t="n">
        <f aca="false">AT348-AT315*(1-Inputs!$D$79)+AT349</f>
        <v>130903.47356501</v>
      </c>
      <c r="AU363" s="69" t="n">
        <f aca="false">AU348-AU315*(1-Inputs!$D$79)+AU349</f>
        <v>132233.019735547</v>
      </c>
      <c r="AV363" s="69" t="n">
        <f aca="false">AV348-AV315*(1-Inputs!$D$79)+AV349</f>
        <v>133520.020428626</v>
      </c>
      <c r="AW363" s="69" t="n">
        <f aca="false">AW348-AW315*(1-Inputs!$D$79)+AW349</f>
        <v>134765.837099526</v>
      </c>
      <c r="AX363" s="69" t="n">
        <f aca="false">AX348-AX315*(1-Inputs!$D$79)+AX349</f>
        <v>124456.070044968</v>
      </c>
      <c r="AY363" s="69" t="n">
        <f aca="false">AY348-AY315*(1-Inputs!$D$79)+AY349</f>
        <v>90242.4534384662</v>
      </c>
      <c r="AZ363" s="69" t="n">
        <f aca="false">AZ348-AZ315*(1-Inputs!$D$79)+AZ349</f>
        <v>131606.528206829</v>
      </c>
      <c r="BA363" s="69" t="n">
        <f aca="false">BA348-BA315*(1-Inputs!$D$79)+BA349</f>
        <v>144522.50203632</v>
      </c>
      <c r="BB363" s="69" t="n">
        <f aca="false">BB348-BB315*(1-Inputs!$D$79)+BB349</f>
        <v>145505.8068771</v>
      </c>
      <c r="BC363" s="69" t="n">
        <f aca="false">BC348-BC315*(1-Inputs!$D$79)+BC349</f>
        <v>146794.497516394</v>
      </c>
      <c r="BD363" s="69" t="n">
        <f aca="false">BD348-BD315*(1-Inputs!$D$79)+BD349</f>
        <v>148041.950055229</v>
      </c>
      <c r="BE363" s="69" t="n">
        <f aca="false">BE348-BE315*(1-Inputs!$D$79)+BE349</f>
        <v>149249.484112822</v>
      </c>
      <c r="BF363" s="69" t="n">
        <f aca="false">BF348-BF315*(1-Inputs!$D$79)+BF349</f>
        <v>150418.377080572</v>
      </c>
      <c r="BG363" s="69" t="n">
        <f aca="false">BG348-BG315*(1-Inputs!$D$79)+BG349</f>
        <v>151549.865473354</v>
      </c>
      <c r="BH363" s="69" t="n">
        <f aca="false">BH348-BH315*(1-Inputs!$D$79)+BH349</f>
        <v>152645.146237568</v>
      </c>
      <c r="BI363" s="69" t="n">
        <f aca="false">BI348-BI315*(1-Inputs!$D$79)+BI349</f>
        <v>153705.378017326</v>
      </c>
      <c r="BJ363" s="69" t="n">
        <f aca="false">BJ348-BJ315*(1-Inputs!$D$79)+BJ349</f>
        <v>143008.644860392</v>
      </c>
    </row>
    <row r="365" customFormat="false" ht="15.75" hidden="false" customHeight="true" outlineLevel="0" collapsed="false">
      <c r="A365" s="7" t="s">
        <v>466</v>
      </c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</row>
    <row r="366" customFormat="false" ht="15" hidden="false" customHeight="false" outlineLevel="0" collapsed="false">
      <c r="A366" s="6" t="s">
        <v>97</v>
      </c>
      <c r="C366" s="69" t="n">
        <f aca="false">C350</f>
        <v>2100000</v>
      </c>
      <c r="D366" s="69" t="n">
        <f aca="false">C366+D350</f>
        <v>2100000</v>
      </c>
      <c r="E366" s="69" t="n">
        <f aca="false">D366+E350</f>
        <v>2100000</v>
      </c>
      <c r="F366" s="69" t="n">
        <f aca="false">E366+F350</f>
        <v>2100000</v>
      </c>
      <c r="G366" s="69" t="n">
        <f aca="false">F366+G350</f>
        <v>2100000</v>
      </c>
      <c r="H366" s="69" t="n">
        <f aca="false">G366+H350</f>
        <v>2100000</v>
      </c>
      <c r="I366" s="69" t="n">
        <f aca="false">H366+I350</f>
        <v>2100000</v>
      </c>
      <c r="J366" s="69" t="n">
        <f aca="false">I366+J350</f>
        <v>2100000</v>
      </c>
      <c r="K366" s="69" t="n">
        <f aca="false">J366+K350</f>
        <v>2100000</v>
      </c>
      <c r="L366" s="69" t="n">
        <f aca="false">K366+L350</f>
        <v>2100000</v>
      </c>
      <c r="M366" s="69" t="n">
        <f aca="false">L366+M350</f>
        <v>2100000</v>
      </c>
      <c r="N366" s="69" t="n">
        <f aca="false">M366+N350</f>
        <v>2100000</v>
      </c>
      <c r="O366" s="69" t="n">
        <f aca="false">N366+O350</f>
        <v>2100000</v>
      </c>
      <c r="P366" s="69" t="n">
        <f aca="false">O366+P350</f>
        <v>2100000</v>
      </c>
      <c r="Q366" s="69" t="n">
        <f aca="false">P366+Q350</f>
        <v>2100000</v>
      </c>
      <c r="R366" s="69" t="n">
        <f aca="false">Q366+R350</f>
        <v>2100000</v>
      </c>
      <c r="S366" s="69" t="n">
        <f aca="false">R366+S350</f>
        <v>2100000</v>
      </c>
      <c r="T366" s="69" t="n">
        <f aca="false">S366+T350</f>
        <v>2100000</v>
      </c>
      <c r="U366" s="69" t="n">
        <f aca="false">T366+U350</f>
        <v>2100000</v>
      </c>
      <c r="V366" s="69" t="n">
        <f aca="false">U366+V350</f>
        <v>2100000</v>
      </c>
      <c r="W366" s="69" t="n">
        <f aca="false">V366+W350</f>
        <v>2100000</v>
      </c>
      <c r="X366" s="69" t="n">
        <f aca="false">W366+X350</f>
        <v>2100000</v>
      </c>
      <c r="Y366" s="69" t="n">
        <f aca="false">X366+Y350</f>
        <v>2100000</v>
      </c>
      <c r="Z366" s="69" t="n">
        <f aca="false">Y366+Z350</f>
        <v>2100000</v>
      </c>
      <c r="AA366" s="69" t="n">
        <f aca="false">Z366+AA350</f>
        <v>2100000</v>
      </c>
      <c r="AB366" s="69" t="n">
        <f aca="false">AA366+AB350</f>
        <v>2100000</v>
      </c>
      <c r="AC366" s="69" t="n">
        <f aca="false">AB366+AC350</f>
        <v>2100000</v>
      </c>
      <c r="AD366" s="69" t="n">
        <f aca="false">AC366+AD350</f>
        <v>2100000</v>
      </c>
      <c r="AE366" s="69" t="n">
        <f aca="false">AD366+AE350</f>
        <v>2100000</v>
      </c>
      <c r="AF366" s="69" t="n">
        <f aca="false">AE366+AF350</f>
        <v>2100000</v>
      </c>
      <c r="AG366" s="69" t="n">
        <f aca="false">AF366+AG350</f>
        <v>2100000</v>
      </c>
      <c r="AH366" s="69" t="n">
        <f aca="false">AG366+AH350</f>
        <v>2100000</v>
      </c>
      <c r="AI366" s="69" t="n">
        <f aca="false">AH366+AI350</f>
        <v>2100000</v>
      </c>
      <c r="AJ366" s="69" t="n">
        <f aca="false">AI366+AJ350</f>
        <v>2100000</v>
      </c>
      <c r="AK366" s="69" t="n">
        <f aca="false">AJ366+AK350</f>
        <v>2100000</v>
      </c>
      <c r="AL366" s="69" t="n">
        <f aca="false">AK366+AL350</f>
        <v>2100000</v>
      </c>
      <c r="AM366" s="69" t="n">
        <f aca="false">AL366+AM350</f>
        <v>2100000</v>
      </c>
      <c r="AN366" s="69" t="n">
        <f aca="false">AM366+AN350</f>
        <v>2100000</v>
      </c>
      <c r="AO366" s="69" t="n">
        <f aca="false">AN366+AO350</f>
        <v>2100000</v>
      </c>
      <c r="AP366" s="69" t="n">
        <f aca="false">AO366+AP350</f>
        <v>2100000</v>
      </c>
      <c r="AQ366" s="69" t="n">
        <f aca="false">AP366+AQ350</f>
        <v>2100000</v>
      </c>
      <c r="AR366" s="69" t="n">
        <f aca="false">AQ366+AR350</f>
        <v>2100000</v>
      </c>
      <c r="AS366" s="69" t="n">
        <f aca="false">AR366+AS350</f>
        <v>2100000</v>
      </c>
      <c r="AT366" s="69" t="n">
        <f aca="false">AS366+AT350</f>
        <v>2100000</v>
      </c>
      <c r="AU366" s="69" t="n">
        <f aca="false">AT366+AU350</f>
        <v>2100000</v>
      </c>
      <c r="AV366" s="69" t="n">
        <f aca="false">AU366+AV350</f>
        <v>2100000</v>
      </c>
      <c r="AW366" s="69" t="n">
        <f aca="false">AV366+AW350</f>
        <v>2100000</v>
      </c>
      <c r="AX366" s="69" t="n">
        <f aca="false">AW366+AX350</f>
        <v>2100000</v>
      </c>
      <c r="AY366" s="69" t="n">
        <f aca="false">AX366+AY350</f>
        <v>2100000</v>
      </c>
      <c r="AZ366" s="69" t="n">
        <f aca="false">AY366+AZ350</f>
        <v>2100000</v>
      </c>
      <c r="BA366" s="69" t="n">
        <f aca="false">AZ366+BA350</f>
        <v>2100000</v>
      </c>
      <c r="BB366" s="69" t="n">
        <f aca="false">BA366+BB350</f>
        <v>2100000</v>
      </c>
      <c r="BC366" s="69" t="n">
        <f aca="false">BB366+BC350</f>
        <v>2100000</v>
      </c>
      <c r="BD366" s="69" t="n">
        <f aca="false">BC366+BD350</f>
        <v>2100000</v>
      </c>
      <c r="BE366" s="69" t="n">
        <f aca="false">BD366+BE350</f>
        <v>2100000</v>
      </c>
      <c r="BF366" s="69" t="n">
        <f aca="false">BE366+BF350</f>
        <v>2100000</v>
      </c>
      <c r="BG366" s="69" t="n">
        <f aca="false">BF366+BG350</f>
        <v>2100000</v>
      </c>
      <c r="BH366" s="69" t="n">
        <f aca="false">BG366+BH350</f>
        <v>2100000</v>
      </c>
      <c r="BI366" s="69" t="n">
        <f aca="false">BH366+BI350</f>
        <v>2100000</v>
      </c>
      <c r="BJ366" s="69" t="n">
        <f aca="false">BI366+BJ350</f>
        <v>2100000</v>
      </c>
    </row>
    <row r="367" customFormat="false" ht="15" hidden="false" customHeight="false" outlineLevel="0" collapsed="false">
      <c r="A367" s="6" t="s">
        <v>98</v>
      </c>
      <c r="C367" s="69" t="n">
        <f aca="false">C320</f>
        <v>-74865.8196725689</v>
      </c>
      <c r="D367" s="69" t="n">
        <f aca="false">C367+D320</f>
        <v>-140962.851628205</v>
      </c>
      <c r="E367" s="69" t="n">
        <f aca="false">D367+E320</f>
        <v>-187963.851502773</v>
      </c>
      <c r="F367" s="69" t="n">
        <f aca="false">E367+F320</f>
        <v>-224525.412074998</v>
      </c>
      <c r="G367" s="69" t="n">
        <f aca="false">F367+G320</f>
        <v>-250437.954152574</v>
      </c>
      <c r="H367" s="69" t="n">
        <f aca="false">G367+H320</f>
        <v>-265498.605077348</v>
      </c>
      <c r="I367" s="69" t="n">
        <f aca="false">H367+I320</f>
        <v>-269510.984116231</v>
      </c>
      <c r="J367" s="69" t="n">
        <f aca="false">I367+J320</f>
        <v>-262284.994719588</v>
      </c>
      <c r="K367" s="69" t="n">
        <f aca="false">J367+K320</f>
        <v>-251293.711243194</v>
      </c>
      <c r="L367" s="69" t="n">
        <f aca="false">K367+L320</f>
        <v>-236651.956430933</v>
      </c>
      <c r="M367" s="69" t="n">
        <f aca="false">L367+M320</f>
        <v>-218470.878698886</v>
      </c>
      <c r="N367" s="69" t="n">
        <f aca="false">M367+N320</f>
        <v>-211223.770257511</v>
      </c>
      <c r="O367" s="69" t="n">
        <f aca="false">N367+O320</f>
        <v>-197656.62406802</v>
      </c>
      <c r="P367" s="69" t="n">
        <f aca="false">O367+P320</f>
        <v>-180858.374844038</v>
      </c>
      <c r="Q367" s="69" t="n">
        <f aca="false">P367+Q320</f>
        <v>-146286.358181208</v>
      </c>
      <c r="R367" s="69" t="n">
        <f aca="false">Q367+R320</f>
        <v>-108375.437719826</v>
      </c>
      <c r="S367" s="69" t="n">
        <f aca="false">R367+S320</f>
        <v>-67226.7917147807</v>
      </c>
      <c r="T367" s="69" t="n">
        <f aca="false">S367+T320</f>
        <v>-22938.3607168015</v>
      </c>
      <c r="U367" s="69" t="n">
        <f aca="false">T367+U320</f>
        <v>19272.0885685933</v>
      </c>
      <c r="V367" s="69" t="n">
        <f aca="false">U367+V320</f>
        <v>58998.5147591025</v>
      </c>
      <c r="W367" s="69" t="n">
        <f aca="false">V367+W320</f>
        <v>100987.793226941</v>
      </c>
      <c r="X367" s="69" t="n">
        <f aca="false">W367+X320</f>
        <v>145171.9893659</v>
      </c>
      <c r="Y367" s="69" t="n">
        <f aca="false">X367+Y320</f>
        <v>191485.34247717</v>
      </c>
      <c r="Z367" s="69" t="n">
        <f aca="false">Y367+Z320</f>
        <v>228673.830309086</v>
      </c>
      <c r="AA367" s="69" t="n">
        <f aca="false">Z367+AA320</f>
        <v>270997.757581798</v>
      </c>
      <c r="AB367" s="69" t="n">
        <f aca="false">AA367+AB320</f>
        <v>315251.367102783</v>
      </c>
      <c r="AC367" s="69" t="n">
        <f aca="false">AB367+AC320</f>
        <v>372818.313055662</v>
      </c>
      <c r="AD367" s="69" t="n">
        <f aca="false">AC367+AD320</f>
        <v>432458.941405971</v>
      </c>
      <c r="AE367" s="69" t="n">
        <f aca="false">AD367+AE320</f>
        <v>494111.370983661</v>
      </c>
      <c r="AF367" s="69" t="n">
        <f aca="false">AE367+AF320</f>
        <v>557715.70081612</v>
      </c>
      <c r="AG367" s="69" t="n">
        <f aca="false">AF367+AG320</f>
        <v>623213.946761864</v>
      </c>
      <c r="AH367" s="69" t="n">
        <f aca="false">AG367+AH320</f>
        <v>690549.980171933</v>
      </c>
      <c r="AI367" s="69" t="n">
        <f aca="false">AH367+AI320</f>
        <v>759669.468514137</v>
      </c>
      <c r="AJ367" s="69" t="n">
        <f aca="false">AI367+AJ320</f>
        <v>830519.817897313</v>
      </c>
      <c r="AK367" s="69" t="n">
        <f aca="false">AJ367+AK320</f>
        <v>903050.117434817</v>
      </c>
      <c r="AL367" s="69" t="n">
        <f aca="false">AK367+AL320</f>
        <v>966059.281107996</v>
      </c>
      <c r="AM367" s="69" t="n">
        <f aca="false">AL367+AM320</f>
        <v>1034401.44099675</v>
      </c>
      <c r="AN367" s="69" t="n">
        <f aca="false">AM367+AN320</f>
        <v>1104260.43888376</v>
      </c>
      <c r="AO367" s="69" t="n">
        <f aca="false">AN367+AO320</f>
        <v>1187019.23389212</v>
      </c>
      <c r="AP367" s="69" t="n">
        <f aca="false">AO367+AP320</f>
        <v>1271480.99784039</v>
      </c>
      <c r="AQ367" s="69" t="n">
        <f aca="false">AP367+AQ320</f>
        <v>1357595.71238915</v>
      </c>
      <c r="AR367" s="69" t="n">
        <f aca="false">AQ367+AR320</f>
        <v>1445314.95978586</v>
      </c>
      <c r="AS367" s="69" t="n">
        <f aca="false">AR367+AS320</f>
        <v>1534591.87164604</v>
      </c>
      <c r="AT367" s="69" t="n">
        <f aca="false">AS367+AT320</f>
        <v>1625381.07937354</v>
      </c>
      <c r="AU367" s="69" t="n">
        <f aca="false">AT367+AU320</f>
        <v>1717638.66616726</v>
      </c>
      <c r="AV367" s="69" t="n">
        <f aca="false">AU367+AV320</f>
        <v>1811322.12056376</v>
      </c>
      <c r="AW367" s="69" t="n">
        <f aca="false">AV367+AW320</f>
        <v>1906390.2914664</v>
      </c>
      <c r="AX367" s="69" t="n">
        <f aca="false">AW367+AX320</f>
        <v>1991608.72124082</v>
      </c>
      <c r="AY367" s="69" t="n">
        <f aca="false">AX367+AY320</f>
        <v>2082411.08637462</v>
      </c>
      <c r="AZ367" s="69" t="n">
        <f aca="false">AY367+AZ320</f>
        <v>2174467.10050227</v>
      </c>
      <c r="BA367" s="69" t="n">
        <f aca="false">AZ367+BA320</f>
        <v>2279229.27117997</v>
      </c>
      <c r="BB367" s="69" t="n">
        <f aca="false">BA367+BB320</f>
        <v>2385461.553022</v>
      </c>
      <c r="BC367" s="69" t="n">
        <f aca="false">BB367+BC320</f>
        <v>2493121.37913779</v>
      </c>
      <c r="BD367" s="69" t="n">
        <f aca="false">BC367+BD320</f>
        <v>2602167.54477723</v>
      </c>
      <c r="BE367" s="69" t="n">
        <f aca="false">BD367+BE320</f>
        <v>2712560.16374224</v>
      </c>
      <c r="BF367" s="69" t="n">
        <f aca="false">BE367+BF320</f>
        <v>2824260.62619306</v>
      </c>
      <c r="BG367" s="69" t="n">
        <f aca="false">BF367+BG320</f>
        <v>2937231.55780481</v>
      </c>
      <c r="BH367" s="69" t="n">
        <f aca="false">BG367+BH320</f>
        <v>3051436.78023102</v>
      </c>
      <c r="BI367" s="69" t="n">
        <f aca="false">BH367+BI320</f>
        <v>3166841.27283228</v>
      </c>
      <c r="BJ367" s="69" t="n">
        <f aca="false">BI367+BJ320</f>
        <v>3272119.66573958</v>
      </c>
    </row>
    <row r="368" customFormat="false" ht="15" hidden="false" customHeight="false" outlineLevel="0" collapsed="false">
      <c r="A368" s="4" t="s">
        <v>93</v>
      </c>
      <c r="C368" s="75" t="n">
        <f aca="false">C354+C340+C341+C331</f>
        <v>5033085.29431383</v>
      </c>
      <c r="D368" s="75" t="n">
        <f aca="false">D354+D340+D341+D331</f>
        <v>4943007.61345155</v>
      </c>
      <c r="E368" s="75" t="n">
        <f aca="false">E354+E340+E341+E331</f>
        <v>4873487.90854992</v>
      </c>
      <c r="F368" s="75" t="n">
        <f aca="false">F354+F340+F341+F331</f>
        <v>4813186.58945097</v>
      </c>
      <c r="G368" s="75" t="n">
        <f aca="false">G354+G340+G341+G331</f>
        <v>4763565.86902392</v>
      </c>
      <c r="H368" s="75" t="n">
        <f aca="false">H354+H340+H341+H331</f>
        <v>4724827.60936122</v>
      </c>
      <c r="I368" s="75" t="n">
        <f aca="false">I354+I340+I341+I331</f>
        <v>4697167.21296842</v>
      </c>
      <c r="J368" s="75" t="n">
        <f aca="false">J354+J340+J341+J331</f>
        <v>4680773.82947084</v>
      </c>
      <c r="K368" s="75" t="n">
        <f aca="false">K354+K340+K341+K331</f>
        <v>4667305.79797462</v>
      </c>
      <c r="L368" s="75" t="n">
        <f aca="false">L354+L340+L341+L331</f>
        <v>4657470.9358934</v>
      </c>
      <c r="M368" s="75" t="n">
        <f aca="false">M354+M340+M341+M331</f>
        <v>4651158.64847255</v>
      </c>
      <c r="N368" s="75" t="n">
        <f aca="false">N354+N340+N341+N331</f>
        <v>4631441.06323232</v>
      </c>
      <c r="O368" s="75" t="n">
        <f aca="false">O354+O340+O341+O331</f>
        <v>4620871.3128058</v>
      </c>
      <c r="P368" s="75" t="n">
        <f aca="false">P354+P340+P341+P331</f>
        <v>4613071.72263158</v>
      </c>
      <c r="Q368" s="75" t="n">
        <f aca="false">Q354+Q340+Q341+Q331</f>
        <v>4625692.03256129</v>
      </c>
      <c r="R368" s="75" t="n">
        <f aca="false">R354+R340+R341+R331</f>
        <v>4639077.15793578</v>
      </c>
      <c r="S368" s="75" t="n">
        <f aca="false">S354+S340+S341+S331</f>
        <v>4655684.83429671</v>
      </c>
      <c r="T368" s="75" t="n">
        <f aca="false">T354+T340+T341+T331</f>
        <v>4675417.60667919</v>
      </c>
      <c r="U368" s="75" t="n">
        <f aca="false">U354+U340+U341+U331</f>
        <v>4693058.17842478</v>
      </c>
      <c r="V368" s="75" t="n">
        <f aca="false">V354+V340+V341+V331</f>
        <v>4708200.96315675</v>
      </c>
      <c r="W368" s="75" t="n">
        <f aca="false">W354+W340+W341+W331</f>
        <v>4725593.27669273</v>
      </c>
      <c r="X368" s="75" t="n">
        <f aca="false">X354+X340+X341+X331</f>
        <v>4745167.61077765</v>
      </c>
      <c r="Y368" s="75" t="n">
        <f aca="false">Y354+Y340+Y341+Y331</f>
        <v>4766858.61742061</v>
      </c>
      <c r="Z368" s="75" t="n">
        <f aca="false">Z354+Z340+Z341+Z331</f>
        <v>4776357.52797164</v>
      </c>
      <c r="AA368" s="75" t="n">
        <f aca="false">AA354+AA340+AA341+AA331</f>
        <v>4794564.89066101</v>
      </c>
      <c r="AB368" s="75" t="n">
        <f aca="false">AB354+AB340+AB341+AB331</f>
        <v>4814115.50140121</v>
      </c>
      <c r="AC368" s="75" t="n">
        <f aca="false">AC354+AC340+AC341+AC331</f>
        <v>4850206.56498295</v>
      </c>
      <c r="AD368" s="75" t="n">
        <f aca="false">AD354+AD340+AD341+AD331</f>
        <v>4885212.59961333</v>
      </c>
      <c r="AE368" s="75" t="n">
        <f aca="false">AE354+AE340+AE341+AE331</f>
        <v>4922218.74247012</v>
      </c>
      <c r="AF368" s="75" t="n">
        <f aca="false">AF354+AF340+AF341+AF331</f>
        <v>4961165.46675676</v>
      </c>
      <c r="AG368" s="75" t="n">
        <f aca="false">AG354+AG340+AG341+AG331</f>
        <v>5001995.15053415</v>
      </c>
      <c r="AH368" s="75" t="n">
        <f aca="false">AH354+AH340+AH341+AH331</f>
        <v>5044652.01576525</v>
      </c>
      <c r="AI368" s="75" t="n">
        <f aca="false">AI354+AI340+AI341+AI331</f>
        <v>5089082.06931021</v>
      </c>
      <c r="AJ368" s="75" t="n">
        <f aca="false">AJ354+AJ340+AJ341+AJ331</f>
        <v>5135233.04580965</v>
      </c>
      <c r="AK368" s="75" t="n">
        <f aca="false">AK354+AK340+AK341+AK331</f>
        <v>5183054.35239571</v>
      </c>
      <c r="AL368" s="75" t="n">
        <f aca="false">AL354+AL340+AL341+AL331</f>
        <v>5217803.60830342</v>
      </c>
      <c r="AM368" s="75" t="n">
        <f aca="false">AM354+AM340+AM341+AM331</f>
        <v>5262061.21648988</v>
      </c>
      <c r="AN368" s="75" t="n">
        <f aca="false">AN354+AN340+AN341+AN331</f>
        <v>5307147.68864653</v>
      </c>
      <c r="AO368" s="75" t="n">
        <f aca="false">AO354+AO340+AO341+AO331</f>
        <v>5368837.12133008</v>
      </c>
      <c r="AP368" s="75" t="n">
        <f aca="false">AP354+AP340+AP341+AP331</f>
        <v>5428592.86389688</v>
      </c>
      <c r="AQ368" s="75" t="n">
        <f aca="false">AQ354+AQ340+AQ341+AQ331</f>
        <v>5489992.14974838</v>
      </c>
      <c r="AR368" s="75" t="n">
        <f aca="false">AR354+AR340+AR341+AR331</f>
        <v>5552986.86216613</v>
      </c>
      <c r="AS368" s="75" t="n">
        <f aca="false">AS354+AS340+AS341+AS331</f>
        <v>5617530.4241667</v>
      </c>
      <c r="AT368" s="75" t="n">
        <f aca="false">AT354+AT340+AT341+AT331</f>
        <v>5683577.74923008</v>
      </c>
      <c r="AU368" s="75" t="n">
        <f aca="false">AU354+AU340+AU341+AU331</f>
        <v>5751085.19360494</v>
      </c>
      <c r="AV368" s="75" t="n">
        <f aca="false">AV354+AV340+AV341+AV331</f>
        <v>5820010.51013997</v>
      </c>
      <c r="AW368" s="75" t="n">
        <f aca="false">AW354+AW340+AW341+AW331</f>
        <v>5890312.80359273</v>
      </c>
      <c r="AX368" s="75" t="n">
        <f aca="false">AX354+AX340+AX341+AX331</f>
        <v>5946802.27594985</v>
      </c>
      <c r="AY368" s="75" t="n">
        <f aca="false">AY354+AY340+AY341+AY331</f>
        <v>6013562.02406507</v>
      </c>
      <c r="AZ368" s="75" t="n">
        <f aca="false">AZ354+AZ340+AZ341+AZ331</f>
        <v>6080801.21403958</v>
      </c>
      <c r="BA368" s="75" t="n">
        <f aca="false">BA354+BA340+BA341+BA331</f>
        <v>6164859.59008487</v>
      </c>
      <c r="BB368" s="75" t="n">
        <f aca="false">BB354+BB340+BB341+BB331</f>
        <v>6246340.88987495</v>
      </c>
      <c r="BC368" s="75" t="n">
        <f aca="false">BC354+BC340+BC341+BC331</f>
        <v>6329241.76536445</v>
      </c>
      <c r="BD368" s="75" t="n">
        <f aca="false">BD354+BD340+BD341+BD331</f>
        <v>6413521.26679765</v>
      </c>
      <c r="BE368" s="75" t="n">
        <f aca="false">BE354+BE340+BE341+BE331</f>
        <v>6499139.75481101</v>
      </c>
      <c r="BF368" s="75" t="n">
        <f aca="false">BF354+BF340+BF341+BF331</f>
        <v>6586058.85850063</v>
      </c>
      <c r="BG368" s="75" t="n">
        <f aca="false">BG354+BG340+BG341+BG331</f>
        <v>6674241.43483155</v>
      </c>
      <c r="BH368" s="75" t="n">
        <f aca="false">BH354+BH340+BH341+BH331</f>
        <v>6763651.5293459</v>
      </c>
      <c r="BI368" s="75" t="n">
        <f aca="false">BI354+BI340+BI341+BI331</f>
        <v>6854254.33812849</v>
      </c>
      <c r="BJ368" s="75" t="n">
        <f aca="false">BJ354+BJ340+BJ341+BJ331</f>
        <v>6930398.34395228</v>
      </c>
    </row>
    <row r="369" customFormat="false" ht="15" hidden="false" customHeight="false" outlineLevel="0" collapsed="false">
      <c r="A369" s="6" t="s">
        <v>96</v>
      </c>
      <c r="C369" s="69" t="n">
        <f aca="false">C342+C337</f>
        <v>3007951.1139864</v>
      </c>
      <c r="D369" s="69" t="n">
        <f aca="false">D342+D337</f>
        <v>2983970.46507975</v>
      </c>
      <c r="E369" s="69" t="n">
        <f aca="false">E342+E337</f>
        <v>2961451.76005269</v>
      </c>
      <c r="F369" s="69" t="n">
        <f aca="false">F342+F337</f>
        <v>2937712.00152597</v>
      </c>
      <c r="G369" s="69" t="n">
        <f aca="false">G342+G337</f>
        <v>2914003.82317649</v>
      </c>
      <c r="H369" s="69" t="n">
        <f aca="false">H342+H337</f>
        <v>2890326.21443857</v>
      </c>
      <c r="I369" s="69" t="n">
        <f aca="false">I342+I337</f>
        <v>2866678.19708465</v>
      </c>
      <c r="J369" s="69" t="n">
        <f aca="false">J342+J337</f>
        <v>2843058.82419043</v>
      </c>
      <c r="K369" s="69" t="n">
        <f aca="false">K342+K337</f>
        <v>2818599.50921782</v>
      </c>
      <c r="L369" s="69" t="n">
        <f aca="false">L342+L337</f>
        <v>2794122.89232433</v>
      </c>
      <c r="M369" s="69" t="n">
        <f aca="false">M342+M337</f>
        <v>2769629.52717143</v>
      </c>
      <c r="N369" s="69" t="n">
        <f aca="false">N342+N337</f>
        <v>2742664.83348983</v>
      </c>
      <c r="O369" s="69" t="n">
        <f aca="false">O342+O337</f>
        <v>2718527.93687382</v>
      </c>
      <c r="P369" s="69" t="n">
        <f aca="false">P342+P337</f>
        <v>2693930.09747562</v>
      </c>
      <c r="Q369" s="69" t="n">
        <f aca="false">Q342+Q337</f>
        <v>2671978.3907425</v>
      </c>
      <c r="R369" s="69" t="n">
        <f aca="false">R342+R337</f>
        <v>2647452.5956556</v>
      </c>
      <c r="S369" s="69" t="n">
        <f aca="false">S342+S337</f>
        <v>2622911.62601149</v>
      </c>
      <c r="T369" s="69" t="n">
        <f aca="false">T342+T337</f>
        <v>2598355.96739599</v>
      </c>
      <c r="U369" s="69" t="n">
        <f aca="false">U342+U337</f>
        <v>2573786.08985618</v>
      </c>
      <c r="V369" s="69" t="n">
        <f aca="false">V342+V337</f>
        <v>2549202.44839765</v>
      </c>
      <c r="W369" s="69" t="n">
        <f aca="false">W342+W337</f>
        <v>2524605.48346579</v>
      </c>
      <c r="X369" s="69" t="n">
        <f aca="false">X342+X337</f>
        <v>2499995.62141175</v>
      </c>
      <c r="Y369" s="69" t="n">
        <f aca="false">Y342+Y337</f>
        <v>2475373.27494344</v>
      </c>
      <c r="Z369" s="69" t="n">
        <f aca="false">Z342+Z337</f>
        <v>2447683.69766256</v>
      </c>
      <c r="AA369" s="69" t="n">
        <f aca="false">AA342+AA337</f>
        <v>2423567.13307921</v>
      </c>
      <c r="AB369" s="69" t="n">
        <f aca="false">AB342+AB337</f>
        <v>2398864.13429842</v>
      </c>
      <c r="AC369" s="69" t="n">
        <f aca="false">AC342+AC337</f>
        <v>2377388.25192728</v>
      </c>
      <c r="AD369" s="69" t="n">
        <f aca="false">AD342+AD337</f>
        <v>2352753.65820735</v>
      </c>
      <c r="AE369" s="69" t="n">
        <f aca="false">AE342+AE337</f>
        <v>2328107.37148646</v>
      </c>
      <c r="AF369" s="69" t="n">
        <f aca="false">AF342+AF337</f>
        <v>2303449.76594064</v>
      </c>
      <c r="AG369" s="69" t="n">
        <f aca="false">AG342+AG337</f>
        <v>2278781.20377228</v>
      </c>
      <c r="AH369" s="69" t="n">
        <f aca="false">AH342+AH337</f>
        <v>2254102.03559331</v>
      </c>
      <c r="AI369" s="69" t="n">
        <f aca="false">AI342+AI337</f>
        <v>2229412.60079607</v>
      </c>
      <c r="AJ369" s="69" t="n">
        <f aca="false">AJ342+AJ337</f>
        <v>2204713.22791234</v>
      </c>
      <c r="AK369" s="69" t="n">
        <f aca="false">AK342+AK337</f>
        <v>2180004.23496089</v>
      </c>
      <c r="AL369" s="69" t="n">
        <f aca="false">AL342+AL337</f>
        <v>2151744.32719543</v>
      </c>
      <c r="AM369" s="69" t="n">
        <f aca="false">AM342+AM337</f>
        <v>2127659.77549313</v>
      </c>
      <c r="AN369" s="69" t="n">
        <f aca="false">AN342+AN337</f>
        <v>2102887.24976278</v>
      </c>
      <c r="AO369" s="69" t="n">
        <f aca="false">AO342+AO337</f>
        <v>2081817.88743796</v>
      </c>
      <c r="AP369" s="69" t="n">
        <f aca="false">AP342+AP337</f>
        <v>2057111.86605649</v>
      </c>
      <c r="AQ369" s="69" t="n">
        <f aca="false">AQ342+AQ337</f>
        <v>2032396.43735923</v>
      </c>
      <c r="AR369" s="69" t="n">
        <f aca="false">AR342+AR337</f>
        <v>2007671.90238028</v>
      </c>
      <c r="AS369" s="69" t="n">
        <f aca="false">AS342+AS337</f>
        <v>1982938.55252065</v>
      </c>
      <c r="AT369" s="69" t="n">
        <f aca="false">AT342+AT337</f>
        <v>1958196.66985654</v>
      </c>
      <c r="AU369" s="69" t="n">
        <f aca="false">AU342+AU337</f>
        <v>1933446.52743768</v>
      </c>
      <c r="AV369" s="69" t="n">
        <f aca="false">AV342+AV337</f>
        <v>1908688.38957622</v>
      </c>
      <c r="AW369" s="69" t="n">
        <f aca="false">AW342+AW337</f>
        <v>1883922.51212632</v>
      </c>
      <c r="AX369" s="69" t="n">
        <f aca="false">AX342+AX337</f>
        <v>1855193.55470903</v>
      </c>
      <c r="AY369" s="69" t="n">
        <f aca="false">AY342+AY337</f>
        <v>1831150.93769045</v>
      </c>
      <c r="AZ369" s="69" t="n">
        <f aca="false">AZ342+AZ337</f>
        <v>1806334.11353731</v>
      </c>
      <c r="BA369" s="69" t="n">
        <f aca="false">BA342+BA337</f>
        <v>1785630.3189049</v>
      </c>
      <c r="BB369" s="69" t="n">
        <f aca="false">BB342+BB337</f>
        <v>1760879.33685295</v>
      </c>
      <c r="BC369" s="69" t="n">
        <f aca="false">BC342+BC337</f>
        <v>1736120.38622666</v>
      </c>
      <c r="BD369" s="69" t="n">
        <f aca="false">BD342+BD337</f>
        <v>1711353.72202041</v>
      </c>
      <c r="BE369" s="69" t="n">
        <f aca="false">BE342+BE337</f>
        <v>1686579.59106877</v>
      </c>
      <c r="BF369" s="69" t="n">
        <f aca="false">BF342+BF337</f>
        <v>1661798.23230757</v>
      </c>
      <c r="BG369" s="69" t="n">
        <f aca="false">BG342+BG337</f>
        <v>1637009.87702674</v>
      </c>
      <c r="BH369" s="69" t="n">
        <f aca="false">BH342+BH337</f>
        <v>1612214.74911489</v>
      </c>
      <c r="BI369" s="69" t="n">
        <f aca="false">BI342+BI337</f>
        <v>1587413.06529622</v>
      </c>
      <c r="BJ369" s="69" t="n">
        <f aca="false">BJ342+BJ337</f>
        <v>1558278.6782127</v>
      </c>
    </row>
    <row r="370" customFormat="false" ht="15" hidden="false" customHeight="false" outlineLevel="0" collapsed="false">
      <c r="A370" s="6" t="s">
        <v>99</v>
      </c>
      <c r="C370" s="69" t="n">
        <f aca="false">C366+C367</f>
        <v>2025134.18032743</v>
      </c>
      <c r="D370" s="69" t="n">
        <f aca="false">D366+D367</f>
        <v>1959037.1483718</v>
      </c>
      <c r="E370" s="69" t="n">
        <f aca="false">E366+E367</f>
        <v>1912036.14849723</v>
      </c>
      <c r="F370" s="69" t="n">
        <f aca="false">F366+F367</f>
        <v>1875474.587925</v>
      </c>
      <c r="G370" s="69" t="n">
        <f aca="false">G366+G367</f>
        <v>1849562.04584743</v>
      </c>
      <c r="H370" s="69" t="n">
        <f aca="false">H366+H367</f>
        <v>1834501.39492265</v>
      </c>
      <c r="I370" s="69" t="n">
        <f aca="false">I366+I367</f>
        <v>1830489.01588377</v>
      </c>
      <c r="J370" s="69" t="n">
        <f aca="false">J366+J367</f>
        <v>1837715.00528041</v>
      </c>
      <c r="K370" s="69" t="n">
        <f aca="false">K366+K367</f>
        <v>1848706.28875681</v>
      </c>
      <c r="L370" s="69" t="n">
        <f aca="false">L366+L367</f>
        <v>1863348.04356907</v>
      </c>
      <c r="M370" s="69" t="n">
        <f aca="false">M366+M367</f>
        <v>1881529.12130111</v>
      </c>
      <c r="N370" s="69" t="n">
        <f aca="false">N366+N367</f>
        <v>1888776.22974249</v>
      </c>
      <c r="O370" s="69" t="n">
        <f aca="false">O366+O367</f>
        <v>1902343.37593198</v>
      </c>
      <c r="P370" s="69" t="n">
        <f aca="false">P366+P367</f>
        <v>1919141.62515596</v>
      </c>
      <c r="Q370" s="69" t="n">
        <f aca="false">Q366+Q367</f>
        <v>1953713.64181879</v>
      </c>
      <c r="R370" s="69" t="n">
        <f aca="false">R366+R367</f>
        <v>1991624.56228017</v>
      </c>
      <c r="S370" s="69" t="n">
        <f aca="false">S366+S367</f>
        <v>2032773.20828522</v>
      </c>
      <c r="T370" s="69" t="n">
        <f aca="false">T366+T367</f>
        <v>2077061.6392832</v>
      </c>
      <c r="U370" s="69" t="n">
        <f aca="false">U366+U367</f>
        <v>2119272.08856859</v>
      </c>
      <c r="V370" s="69" t="n">
        <f aca="false">V366+V367</f>
        <v>2158998.5147591</v>
      </c>
      <c r="W370" s="69" t="n">
        <f aca="false">W366+W367</f>
        <v>2200987.79322694</v>
      </c>
      <c r="X370" s="69" t="n">
        <f aca="false">X366+X367</f>
        <v>2245171.9893659</v>
      </c>
      <c r="Y370" s="69" t="n">
        <f aca="false">Y366+Y367</f>
        <v>2291485.34247717</v>
      </c>
      <c r="Z370" s="69" t="n">
        <f aca="false">Z366+Z367</f>
        <v>2328673.83030909</v>
      </c>
      <c r="AA370" s="69" t="n">
        <f aca="false">AA366+AA367</f>
        <v>2370997.7575818</v>
      </c>
      <c r="AB370" s="69" t="n">
        <f aca="false">AB366+AB367</f>
        <v>2415251.36710278</v>
      </c>
      <c r="AC370" s="69" t="n">
        <f aca="false">AC366+AC367</f>
        <v>2472818.31305566</v>
      </c>
      <c r="AD370" s="69" t="n">
        <f aca="false">AD366+AD367</f>
        <v>2532458.94140597</v>
      </c>
      <c r="AE370" s="69" t="n">
        <f aca="false">AE366+AE367</f>
        <v>2594111.37098366</v>
      </c>
      <c r="AF370" s="69" t="n">
        <f aca="false">AF366+AF367</f>
        <v>2657715.70081612</v>
      </c>
      <c r="AG370" s="69" t="n">
        <f aca="false">AG366+AG367</f>
        <v>2723213.94676186</v>
      </c>
      <c r="AH370" s="69" t="n">
        <f aca="false">AH366+AH367</f>
        <v>2790549.98017193</v>
      </c>
      <c r="AI370" s="69" t="n">
        <f aca="false">AI366+AI367</f>
        <v>2859669.46851414</v>
      </c>
      <c r="AJ370" s="69" t="n">
        <f aca="false">AJ366+AJ367</f>
        <v>2930519.81789731</v>
      </c>
      <c r="AK370" s="69" t="n">
        <f aca="false">AK366+AK367</f>
        <v>3003050.11743482</v>
      </c>
      <c r="AL370" s="69" t="n">
        <f aca="false">AL366+AL367</f>
        <v>3066059.281108</v>
      </c>
      <c r="AM370" s="69" t="n">
        <f aca="false">AM366+AM367</f>
        <v>3134401.44099675</v>
      </c>
      <c r="AN370" s="69" t="n">
        <f aca="false">AN366+AN367</f>
        <v>3204260.43888376</v>
      </c>
      <c r="AO370" s="69" t="n">
        <f aca="false">AO366+AO367</f>
        <v>3287019.23389212</v>
      </c>
      <c r="AP370" s="69" t="n">
        <f aca="false">AP366+AP367</f>
        <v>3371480.99784039</v>
      </c>
      <c r="AQ370" s="69" t="n">
        <f aca="false">AQ366+AQ367</f>
        <v>3457595.71238915</v>
      </c>
      <c r="AR370" s="69" t="n">
        <f aca="false">AR366+AR367</f>
        <v>3545314.95978586</v>
      </c>
      <c r="AS370" s="69" t="n">
        <f aca="false">AS366+AS367</f>
        <v>3634591.87164604</v>
      </c>
      <c r="AT370" s="69" t="n">
        <f aca="false">AT366+AT367</f>
        <v>3725381.07937354</v>
      </c>
      <c r="AU370" s="69" t="n">
        <f aca="false">AU366+AU367</f>
        <v>3817638.66616726</v>
      </c>
      <c r="AV370" s="69" t="n">
        <f aca="false">AV366+AV367</f>
        <v>3911322.12056376</v>
      </c>
      <c r="AW370" s="69" t="n">
        <f aca="false">AW366+AW367</f>
        <v>4006390.2914664</v>
      </c>
      <c r="AX370" s="69" t="n">
        <f aca="false">AX366+AX367</f>
        <v>4091608.72124082</v>
      </c>
      <c r="AY370" s="69" t="n">
        <f aca="false">AY366+AY367</f>
        <v>4182411.08637462</v>
      </c>
      <c r="AZ370" s="69" t="n">
        <f aca="false">AZ366+AZ367</f>
        <v>4274467.10050227</v>
      </c>
      <c r="BA370" s="69" t="n">
        <f aca="false">BA366+BA367</f>
        <v>4379229.27117997</v>
      </c>
      <c r="BB370" s="69" t="n">
        <f aca="false">BB366+BB367</f>
        <v>4485461.55302201</v>
      </c>
      <c r="BC370" s="69" t="n">
        <f aca="false">BC366+BC367</f>
        <v>4593121.37913779</v>
      </c>
      <c r="BD370" s="69" t="n">
        <f aca="false">BD366+BD367</f>
        <v>4702167.54477723</v>
      </c>
      <c r="BE370" s="69" t="n">
        <f aca="false">BE366+BE367</f>
        <v>4812560.16374224</v>
      </c>
      <c r="BF370" s="69" t="n">
        <f aca="false">BF366+BF367</f>
        <v>4924260.62619306</v>
      </c>
      <c r="BG370" s="69" t="n">
        <f aca="false">BG366+BG367</f>
        <v>5037231.55780481</v>
      </c>
      <c r="BH370" s="69" t="n">
        <f aca="false">BH366+BH367</f>
        <v>5151436.78023102</v>
      </c>
      <c r="BI370" s="69" t="n">
        <f aca="false">BI366+BI367</f>
        <v>5266841.27283228</v>
      </c>
      <c r="BJ370" s="69" t="n">
        <f aca="false">BJ366+BJ367</f>
        <v>5372119.66573958</v>
      </c>
    </row>
    <row r="371" customFormat="false" ht="15" hidden="false" customHeight="false" outlineLevel="0" collapsed="false">
      <c r="A371" s="4" t="s">
        <v>100</v>
      </c>
      <c r="C371" s="75" t="n">
        <f aca="false">C369+C370</f>
        <v>5033085.29431383</v>
      </c>
      <c r="D371" s="75" t="n">
        <f aca="false">D369+D370</f>
        <v>4943007.61345154</v>
      </c>
      <c r="E371" s="75" t="n">
        <f aca="false">E369+E370</f>
        <v>4873487.90854992</v>
      </c>
      <c r="F371" s="75" t="n">
        <f aca="false">F369+F370</f>
        <v>4813186.58945097</v>
      </c>
      <c r="G371" s="75" t="n">
        <f aca="false">G369+G370</f>
        <v>4763565.86902392</v>
      </c>
      <c r="H371" s="75" t="n">
        <f aca="false">H369+H370</f>
        <v>4724827.60936122</v>
      </c>
      <c r="I371" s="75" t="n">
        <f aca="false">I369+I370</f>
        <v>4697167.21296842</v>
      </c>
      <c r="J371" s="75" t="n">
        <f aca="false">J369+J370</f>
        <v>4680773.82947084</v>
      </c>
      <c r="K371" s="75" t="n">
        <f aca="false">K369+K370</f>
        <v>4667305.79797462</v>
      </c>
      <c r="L371" s="75" t="n">
        <f aca="false">L369+L370</f>
        <v>4657470.9358934</v>
      </c>
      <c r="M371" s="75" t="n">
        <f aca="false">M369+M370</f>
        <v>4651158.64847254</v>
      </c>
      <c r="N371" s="75" t="n">
        <f aca="false">N369+N370</f>
        <v>4631441.06323232</v>
      </c>
      <c r="O371" s="75" t="n">
        <f aca="false">O369+O370</f>
        <v>4620871.3128058</v>
      </c>
      <c r="P371" s="75" t="n">
        <f aca="false">P369+P370</f>
        <v>4613071.72263158</v>
      </c>
      <c r="Q371" s="75" t="n">
        <f aca="false">Q369+Q370</f>
        <v>4625692.03256129</v>
      </c>
      <c r="R371" s="75" t="n">
        <f aca="false">R369+R370</f>
        <v>4639077.15793578</v>
      </c>
      <c r="S371" s="75" t="n">
        <f aca="false">S369+S370</f>
        <v>4655684.83429671</v>
      </c>
      <c r="T371" s="75" t="n">
        <f aca="false">T369+T370</f>
        <v>4675417.60667919</v>
      </c>
      <c r="U371" s="75" t="n">
        <f aca="false">U369+U370</f>
        <v>4693058.17842478</v>
      </c>
      <c r="V371" s="75" t="n">
        <f aca="false">V369+V370</f>
        <v>4708200.96315675</v>
      </c>
      <c r="W371" s="75" t="n">
        <f aca="false">W369+W370</f>
        <v>4725593.27669273</v>
      </c>
      <c r="X371" s="75" t="n">
        <f aca="false">X369+X370</f>
        <v>4745167.61077765</v>
      </c>
      <c r="Y371" s="75" t="n">
        <f aca="false">Y369+Y370</f>
        <v>4766858.61742061</v>
      </c>
      <c r="Z371" s="75" t="n">
        <f aca="false">Z369+Z370</f>
        <v>4776357.52797164</v>
      </c>
      <c r="AA371" s="75" t="n">
        <f aca="false">AA369+AA370</f>
        <v>4794564.89066101</v>
      </c>
      <c r="AB371" s="75" t="n">
        <f aca="false">AB369+AB370</f>
        <v>4814115.5014012</v>
      </c>
      <c r="AC371" s="75" t="n">
        <f aca="false">AC369+AC370</f>
        <v>4850206.56498295</v>
      </c>
      <c r="AD371" s="75" t="n">
        <f aca="false">AD369+AD370</f>
        <v>4885212.59961333</v>
      </c>
      <c r="AE371" s="75" t="n">
        <f aca="false">AE369+AE370</f>
        <v>4922218.74247012</v>
      </c>
      <c r="AF371" s="75" t="n">
        <f aca="false">AF369+AF370</f>
        <v>4961165.46675676</v>
      </c>
      <c r="AG371" s="75" t="n">
        <f aca="false">AG369+AG370</f>
        <v>5001995.15053415</v>
      </c>
      <c r="AH371" s="75" t="n">
        <f aca="false">AH369+AH370</f>
        <v>5044652.01576525</v>
      </c>
      <c r="AI371" s="75" t="n">
        <f aca="false">AI369+AI370</f>
        <v>5089082.06931021</v>
      </c>
      <c r="AJ371" s="75" t="n">
        <f aca="false">AJ369+AJ370</f>
        <v>5135233.04580965</v>
      </c>
      <c r="AK371" s="75" t="n">
        <f aca="false">AK369+AK370</f>
        <v>5183054.35239571</v>
      </c>
      <c r="AL371" s="75" t="n">
        <f aca="false">AL369+AL370</f>
        <v>5217803.60830342</v>
      </c>
      <c r="AM371" s="75" t="n">
        <f aca="false">AM369+AM370</f>
        <v>5262061.21648988</v>
      </c>
      <c r="AN371" s="75" t="n">
        <f aca="false">AN369+AN370</f>
        <v>5307147.68864653</v>
      </c>
      <c r="AO371" s="75" t="n">
        <f aca="false">AO369+AO370</f>
        <v>5368837.12133008</v>
      </c>
      <c r="AP371" s="75" t="n">
        <f aca="false">AP369+AP370</f>
        <v>5428592.86389688</v>
      </c>
      <c r="AQ371" s="75" t="n">
        <f aca="false">AQ369+AQ370</f>
        <v>5489992.14974838</v>
      </c>
      <c r="AR371" s="75" t="n">
        <f aca="false">AR369+AR370</f>
        <v>5552986.86216613</v>
      </c>
      <c r="AS371" s="75" t="n">
        <f aca="false">AS369+AS370</f>
        <v>5617530.42416669</v>
      </c>
      <c r="AT371" s="75" t="n">
        <f aca="false">AT369+AT370</f>
        <v>5683577.74923008</v>
      </c>
      <c r="AU371" s="75" t="n">
        <f aca="false">AU369+AU370</f>
        <v>5751085.19360494</v>
      </c>
      <c r="AV371" s="75" t="n">
        <f aca="false">AV369+AV370</f>
        <v>5820010.51013997</v>
      </c>
      <c r="AW371" s="75" t="n">
        <f aca="false">AW369+AW370</f>
        <v>5890312.80359273</v>
      </c>
      <c r="AX371" s="75" t="n">
        <f aca="false">AX369+AX370</f>
        <v>5946802.27594985</v>
      </c>
      <c r="AY371" s="75" t="n">
        <f aca="false">AY369+AY370</f>
        <v>6013562.02406507</v>
      </c>
      <c r="AZ371" s="75" t="n">
        <f aca="false">AZ369+AZ370</f>
        <v>6080801.21403958</v>
      </c>
      <c r="BA371" s="75" t="n">
        <f aca="false">BA369+BA370</f>
        <v>6164859.59008487</v>
      </c>
      <c r="BB371" s="75" t="n">
        <f aca="false">BB369+BB370</f>
        <v>6246340.88987495</v>
      </c>
      <c r="BC371" s="75" t="n">
        <f aca="false">BC369+BC370</f>
        <v>6329241.76536445</v>
      </c>
      <c r="BD371" s="75" t="n">
        <f aca="false">BD369+BD370</f>
        <v>6413521.26679765</v>
      </c>
      <c r="BE371" s="75" t="n">
        <f aca="false">BE369+BE370</f>
        <v>6499139.754811</v>
      </c>
      <c r="BF371" s="75" t="n">
        <f aca="false">BF369+BF370</f>
        <v>6586058.85850063</v>
      </c>
      <c r="BG371" s="75" t="n">
        <f aca="false">BG369+BG370</f>
        <v>6674241.43483155</v>
      </c>
      <c r="BH371" s="75" t="n">
        <f aca="false">BH369+BH370</f>
        <v>6763651.5293459</v>
      </c>
      <c r="BI371" s="75" t="n">
        <f aca="false">BI369+BI370</f>
        <v>6854254.33812849</v>
      </c>
      <c r="BJ371" s="75" t="n">
        <f aca="false">BJ369+BJ370</f>
        <v>6930398.34395228</v>
      </c>
    </row>
    <row r="372" customFormat="false" ht="15" hidden="false" customHeight="false" outlineLevel="0" collapsed="false">
      <c r="A372" s="6" t="s">
        <v>467</v>
      </c>
      <c r="C372" s="69" t="n">
        <f aca="false">C368-C371</f>
        <v>0</v>
      </c>
      <c r="D372" s="69" t="n">
        <f aca="false">D368-D371</f>
        <v>0</v>
      </c>
      <c r="E372" s="69" t="n">
        <f aca="false">E368-E371</f>
        <v>0</v>
      </c>
      <c r="F372" s="69" t="n">
        <f aca="false">F368-F371</f>
        <v>0</v>
      </c>
      <c r="G372" s="69" t="n">
        <f aca="false">G368-G371</f>
        <v>0</v>
      </c>
      <c r="H372" s="69" t="n">
        <f aca="false">H368-H371</f>
        <v>0</v>
      </c>
      <c r="I372" s="69" t="n">
        <f aca="false">I368-I371</f>
        <v>0</v>
      </c>
      <c r="J372" s="69" t="n">
        <f aca="false">J368-J371</f>
        <v>0</v>
      </c>
      <c r="K372" s="69" t="n">
        <f aca="false">K368-K371</f>
        <v>0</v>
      </c>
      <c r="L372" s="69" t="n">
        <f aca="false">L368-L371</f>
        <v>0</v>
      </c>
      <c r="M372" s="69" t="n">
        <f aca="false">M368-M371</f>
        <v>0</v>
      </c>
      <c r="N372" s="69" t="n">
        <f aca="false">N368-N371</f>
        <v>0</v>
      </c>
      <c r="O372" s="69" t="n">
        <f aca="false">O368-O371</f>
        <v>0</v>
      </c>
      <c r="P372" s="69" t="n">
        <f aca="false">P368-P371</f>
        <v>0</v>
      </c>
      <c r="Q372" s="69" t="n">
        <f aca="false">Q368-Q371</f>
        <v>0</v>
      </c>
      <c r="R372" s="69" t="n">
        <f aca="false">R368-R371</f>
        <v>0</v>
      </c>
      <c r="S372" s="69" t="n">
        <f aca="false">S368-S371</f>
        <v>0</v>
      </c>
      <c r="T372" s="69" t="n">
        <f aca="false">T368-T371</f>
        <v>0</v>
      </c>
      <c r="U372" s="69" t="n">
        <f aca="false">U368-U371</f>
        <v>0</v>
      </c>
      <c r="V372" s="69" t="n">
        <f aca="false">V368-V371</f>
        <v>0</v>
      </c>
      <c r="W372" s="69" t="n">
        <f aca="false">W368-W371</f>
        <v>0</v>
      </c>
      <c r="X372" s="69" t="n">
        <f aca="false">X368-X371</f>
        <v>0</v>
      </c>
      <c r="Y372" s="69" t="n">
        <f aca="false">Y368-Y371</f>
        <v>0</v>
      </c>
      <c r="Z372" s="69" t="n">
        <f aca="false">Z368-Z371</f>
        <v>0</v>
      </c>
      <c r="AA372" s="69" t="n">
        <f aca="false">AA368-AA371</f>
        <v>0</v>
      </c>
      <c r="AB372" s="69" t="n">
        <f aca="false">AB368-AB371</f>
        <v>0</v>
      </c>
      <c r="AC372" s="69" t="n">
        <f aca="false">AC368-AC371</f>
        <v>0</v>
      </c>
      <c r="AD372" s="69" t="n">
        <f aca="false">AD368-AD371</f>
        <v>0</v>
      </c>
      <c r="AE372" s="69" t="n">
        <f aca="false">AE368-AE371</f>
        <v>0</v>
      </c>
      <c r="AF372" s="69" t="n">
        <f aca="false">AF368-AF371</f>
        <v>0</v>
      </c>
      <c r="AG372" s="69" t="n">
        <f aca="false">AG368-AG371</f>
        <v>0</v>
      </c>
      <c r="AH372" s="69" t="n">
        <f aca="false">AH368-AH371</f>
        <v>0</v>
      </c>
      <c r="AI372" s="69" t="n">
        <f aca="false">AI368-AI371</f>
        <v>0</v>
      </c>
      <c r="AJ372" s="69" t="n">
        <f aca="false">AJ368-AJ371</f>
        <v>0</v>
      </c>
      <c r="AK372" s="69" t="n">
        <f aca="false">AK368-AK371</f>
        <v>0</v>
      </c>
      <c r="AL372" s="69" t="n">
        <f aca="false">AL368-AL371</f>
        <v>0</v>
      </c>
      <c r="AM372" s="69" t="n">
        <f aca="false">AM368-AM371</f>
        <v>0</v>
      </c>
      <c r="AN372" s="69" t="n">
        <f aca="false">AN368-AN371</f>
        <v>0</v>
      </c>
      <c r="AO372" s="69" t="n">
        <f aca="false">AO368-AO371</f>
        <v>0</v>
      </c>
      <c r="AP372" s="69" t="n">
        <f aca="false">AP368-AP371</f>
        <v>0</v>
      </c>
      <c r="AQ372" s="69" t="n">
        <f aca="false">AQ368-AQ371</f>
        <v>0</v>
      </c>
      <c r="AR372" s="69" t="n">
        <f aca="false">AR368-AR371</f>
        <v>0</v>
      </c>
      <c r="AS372" s="69" t="n">
        <f aca="false">AS368-AS371</f>
        <v>0</v>
      </c>
      <c r="AT372" s="69" t="n">
        <f aca="false">AT368-AT371</f>
        <v>0</v>
      </c>
      <c r="AU372" s="69" t="n">
        <f aca="false">AU368-AU371</f>
        <v>0</v>
      </c>
      <c r="AV372" s="69" t="n">
        <f aca="false">AV368-AV371</f>
        <v>0</v>
      </c>
      <c r="AW372" s="69" t="n">
        <f aca="false">AW368-AW371</f>
        <v>0</v>
      </c>
      <c r="AX372" s="69" t="n">
        <f aca="false">AX368-AX371</f>
        <v>0</v>
      </c>
      <c r="AY372" s="69" t="n">
        <f aca="false">AY368-AY371</f>
        <v>0</v>
      </c>
      <c r="AZ372" s="69" t="n">
        <f aca="false">AZ368-AZ371</f>
        <v>0</v>
      </c>
      <c r="BA372" s="69" t="n">
        <f aca="false">BA368-BA371</f>
        <v>0</v>
      </c>
      <c r="BB372" s="69" t="n">
        <f aca="false">BB368-BB371</f>
        <v>0</v>
      </c>
      <c r="BC372" s="69" t="n">
        <f aca="false">BC368-BC371</f>
        <v>0</v>
      </c>
      <c r="BD372" s="69" t="n">
        <f aca="false">BD368-BD371</f>
        <v>0</v>
      </c>
      <c r="BE372" s="69" t="n">
        <f aca="false">BE368-BE371</f>
        <v>0</v>
      </c>
      <c r="BF372" s="69" t="n">
        <f aca="false">BF368-BF371</f>
        <v>0</v>
      </c>
      <c r="BG372" s="69" t="n">
        <f aca="false">BG368-BG371</f>
        <v>0</v>
      </c>
      <c r="BH372" s="69" t="n">
        <f aca="false">BH368-BH371</f>
        <v>0</v>
      </c>
      <c r="BI372" s="69" t="n">
        <f aca="false">BI368-BI371</f>
        <v>0</v>
      </c>
      <c r="BJ372" s="69" t="n">
        <f aca="false">BJ368-BJ371</f>
        <v>0</v>
      </c>
    </row>
    <row r="374" customFormat="false" ht="15.75" hidden="false" customHeight="true" outlineLevel="0" collapsed="false">
      <c r="A374" s="7" t="s">
        <v>469</v>
      </c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</row>
    <row r="375" customFormat="false" ht="15" hidden="false" customHeight="false" outlineLevel="0" collapsed="false">
      <c r="A375" s="6" t="s">
        <v>470</v>
      </c>
      <c r="C375" s="117" t="n">
        <f aca="false">Inputs!$D$55*(1+Inputs!$D$57)^(C$261-1)*MAX(0,MIN(1,C$260*1-Inputs!$D$58+1))/1</f>
        <v>1</v>
      </c>
      <c r="D375" s="117" t="n">
        <f aca="false">Inputs!$D$55*(1+Inputs!$D$57)^(D$261-1)*MAX(0,MIN(1,D$260*1-Inputs!$D$58+1))/1</f>
        <v>1</v>
      </c>
      <c r="E375" s="117" t="n">
        <f aca="false">Inputs!$D$55*(1+Inputs!$D$57)^(E$261-1)*MAX(0,MIN(1,E$260*1-Inputs!$D$58+1))/1</f>
        <v>1</v>
      </c>
      <c r="F375" s="117" t="n">
        <f aca="false">Inputs!$D$55*(1+Inputs!$D$57)^(F$261-1)*MAX(0,MIN(1,F$260*1-Inputs!$D$58+1))/1</f>
        <v>1</v>
      </c>
      <c r="G375" s="117" t="n">
        <f aca="false">Inputs!$D$55*(1+Inputs!$D$57)^(G$261-1)*MAX(0,MIN(1,G$260*1-Inputs!$D$58+1))/1</f>
        <v>1</v>
      </c>
      <c r="H375" s="117" t="n">
        <f aca="false">Inputs!$D$55*(1+Inputs!$D$57)^(H$261-1)*MAX(0,MIN(1,H$260*1-Inputs!$D$58+1))/1</f>
        <v>1</v>
      </c>
      <c r="I375" s="117" t="n">
        <f aca="false">Inputs!$D$55*(1+Inputs!$D$57)^(I$261-1)*MAX(0,MIN(1,I$260*1-Inputs!$D$58+1))/1</f>
        <v>1</v>
      </c>
      <c r="J375" s="117" t="n">
        <f aca="false">Inputs!$D$55*(1+Inputs!$D$57)^(J$261-1)*MAX(0,MIN(1,J$260*1-Inputs!$D$58+1))/1</f>
        <v>1</v>
      </c>
      <c r="K375" s="117" t="n">
        <f aca="false">Inputs!$D$55*(1+Inputs!$D$57)^(K$261-1)*MAX(0,MIN(1,K$260*1-Inputs!$D$58+1))/1</f>
        <v>1</v>
      </c>
      <c r="L375" s="117" t="n">
        <f aca="false">Inputs!$D$55*(1+Inputs!$D$57)^(L$261-1)*MAX(0,MIN(1,L$260*1-Inputs!$D$58+1))/1</f>
        <v>1</v>
      </c>
      <c r="M375" s="117" t="n">
        <f aca="false">Inputs!$D$55*(1+Inputs!$D$57)^(M$261-1)*MAX(0,MIN(1,M$260*1-Inputs!$D$58+1))/1</f>
        <v>1</v>
      </c>
      <c r="N375" s="117" t="n">
        <f aca="false">Inputs!$D$55*(1+Inputs!$D$57)^(N$261-1)*MAX(0,MIN(1,N$260*1-Inputs!$D$58+1))/1</f>
        <v>1</v>
      </c>
      <c r="O375" s="117" t="n">
        <f aca="false">Inputs!$D$55*(1+Inputs!$D$57)^(O$261-1)*MAX(0,MIN(1,O$260*1-Inputs!$D$58+1))/1</f>
        <v>1</v>
      </c>
      <c r="P375" s="117" t="n">
        <f aca="false">Inputs!$D$55*(1+Inputs!$D$57)^(P$261-1)*MAX(0,MIN(1,P$260*1-Inputs!$D$58+1))/1</f>
        <v>1</v>
      </c>
      <c r="Q375" s="117" t="n">
        <f aca="false">Inputs!$D$55*(1+Inputs!$D$57)^(Q$261-1)*MAX(0,MIN(1,Q$260*1-Inputs!$D$58+1))/1</f>
        <v>1</v>
      </c>
      <c r="R375" s="117" t="n">
        <f aca="false">Inputs!$D$55*(1+Inputs!$D$57)^(R$261-1)*MAX(0,MIN(1,R$260*1-Inputs!$D$58+1))/1</f>
        <v>1</v>
      </c>
      <c r="S375" s="117" t="n">
        <f aca="false">Inputs!$D$55*(1+Inputs!$D$57)^(S$261-1)*MAX(0,MIN(1,S$260*1-Inputs!$D$58+1))/1</f>
        <v>1</v>
      </c>
      <c r="T375" s="117" t="n">
        <f aca="false">Inputs!$D$55*(1+Inputs!$D$57)^(T$261-1)*MAX(0,MIN(1,T$260*1-Inputs!$D$58+1))/1</f>
        <v>1</v>
      </c>
      <c r="U375" s="117" t="n">
        <f aca="false">Inputs!$D$55*(1+Inputs!$D$57)^(U$261-1)*MAX(0,MIN(1,U$260*1-Inputs!$D$58+1))/1</f>
        <v>1</v>
      </c>
      <c r="V375" s="117" t="n">
        <f aca="false">Inputs!$D$55*(1+Inputs!$D$57)^(V$261-1)*MAX(0,MIN(1,V$260*1-Inputs!$D$58+1))/1</f>
        <v>1</v>
      </c>
      <c r="W375" s="117" t="n">
        <f aca="false">Inputs!$D$55*(1+Inputs!$D$57)^(W$261-1)*MAX(0,MIN(1,W$260*1-Inputs!$D$58+1))/1</f>
        <v>1</v>
      </c>
      <c r="X375" s="117" t="n">
        <f aca="false">Inputs!$D$55*(1+Inputs!$D$57)^(X$261-1)*MAX(0,MIN(1,X$260*1-Inputs!$D$58+1))/1</f>
        <v>1</v>
      </c>
      <c r="Y375" s="117" t="n">
        <f aca="false">Inputs!$D$55*(1+Inputs!$D$57)^(Y$261-1)*MAX(0,MIN(1,Y$260*1-Inputs!$D$58+1))/1</f>
        <v>1</v>
      </c>
      <c r="Z375" s="117" t="n">
        <f aca="false">Inputs!$D$55*(1+Inputs!$D$57)^(Z$261-1)*MAX(0,MIN(1,Z$260*1-Inputs!$D$58+1))/1</f>
        <v>1</v>
      </c>
      <c r="AA375" s="117" t="n">
        <f aca="false">Inputs!$D$55*(1+Inputs!$D$57)^(AA$261-1)*MAX(0,MIN(1,AA$260*1-Inputs!$D$58+1))/1</f>
        <v>1</v>
      </c>
      <c r="AB375" s="117" t="n">
        <f aca="false">Inputs!$D$55*(1+Inputs!$D$57)^(AB$261-1)*MAX(0,MIN(1,AB$260*1-Inputs!$D$58+1))/1</f>
        <v>1</v>
      </c>
      <c r="AC375" s="117" t="n">
        <f aca="false">Inputs!$D$55*(1+Inputs!$D$57)^(AC$261-1)*MAX(0,MIN(1,AC$260*1-Inputs!$D$58+1))/1</f>
        <v>1</v>
      </c>
      <c r="AD375" s="117" t="n">
        <f aca="false">Inputs!$D$55*(1+Inputs!$D$57)^(AD$261-1)*MAX(0,MIN(1,AD$260*1-Inputs!$D$58+1))/1</f>
        <v>1</v>
      </c>
      <c r="AE375" s="117" t="n">
        <f aca="false">Inputs!$D$55*(1+Inputs!$D$57)^(AE$261-1)*MAX(0,MIN(1,AE$260*1-Inputs!$D$58+1))/1</f>
        <v>1</v>
      </c>
      <c r="AF375" s="117" t="n">
        <f aca="false">Inputs!$D$55*(1+Inputs!$D$57)^(AF$261-1)*MAX(0,MIN(1,AF$260*1-Inputs!$D$58+1))/1</f>
        <v>1</v>
      </c>
      <c r="AG375" s="117" t="n">
        <f aca="false">Inputs!$D$55*(1+Inputs!$D$57)^(AG$261-1)*MAX(0,MIN(1,AG$260*1-Inputs!$D$58+1))/1</f>
        <v>1</v>
      </c>
      <c r="AH375" s="117" t="n">
        <f aca="false">Inputs!$D$55*(1+Inputs!$D$57)^(AH$261-1)*MAX(0,MIN(1,AH$260*1-Inputs!$D$58+1))/1</f>
        <v>1</v>
      </c>
      <c r="AI375" s="117" t="n">
        <f aca="false">Inputs!$D$55*(1+Inputs!$D$57)^(AI$261-1)*MAX(0,MIN(1,AI$260*1-Inputs!$D$58+1))/1</f>
        <v>1</v>
      </c>
      <c r="AJ375" s="117" t="n">
        <f aca="false">Inputs!$D$55*(1+Inputs!$D$57)^(AJ$261-1)*MAX(0,MIN(1,AJ$260*1-Inputs!$D$58+1))/1</f>
        <v>1</v>
      </c>
      <c r="AK375" s="117" t="n">
        <f aca="false">Inputs!$D$55*(1+Inputs!$D$57)^(AK$261-1)*MAX(0,MIN(1,AK$260*1-Inputs!$D$58+1))/1</f>
        <v>1</v>
      </c>
      <c r="AL375" s="117" t="n">
        <f aca="false">Inputs!$D$55*(1+Inputs!$D$57)^(AL$261-1)*MAX(0,MIN(1,AL$260*1-Inputs!$D$58+1))/1</f>
        <v>1</v>
      </c>
      <c r="AM375" s="117" t="n">
        <f aca="false">Inputs!$D$55*(1+Inputs!$D$57)^(AM$261-1)*MAX(0,MIN(1,AM$260*1-Inputs!$D$58+1))/1</f>
        <v>1</v>
      </c>
      <c r="AN375" s="117" t="n">
        <f aca="false">Inputs!$D$55*(1+Inputs!$D$57)^(AN$261-1)*MAX(0,MIN(1,AN$260*1-Inputs!$D$58+1))/1</f>
        <v>1</v>
      </c>
      <c r="AO375" s="117" t="n">
        <f aca="false">Inputs!$D$55*(1+Inputs!$D$57)^(AO$261-1)*MAX(0,MIN(1,AO$260*1-Inputs!$D$58+1))/1</f>
        <v>1</v>
      </c>
      <c r="AP375" s="117" t="n">
        <f aca="false">Inputs!$D$55*(1+Inputs!$D$57)^(AP$261-1)*MAX(0,MIN(1,AP$260*1-Inputs!$D$58+1))/1</f>
        <v>1</v>
      </c>
      <c r="AQ375" s="117" t="n">
        <f aca="false">Inputs!$D$55*(1+Inputs!$D$57)^(AQ$261-1)*MAX(0,MIN(1,AQ$260*1-Inputs!$D$58+1))/1</f>
        <v>1</v>
      </c>
      <c r="AR375" s="117" t="n">
        <f aca="false">Inputs!$D$55*(1+Inputs!$D$57)^(AR$261-1)*MAX(0,MIN(1,AR$260*1-Inputs!$D$58+1))/1</f>
        <v>1</v>
      </c>
      <c r="AS375" s="117" t="n">
        <f aca="false">Inputs!$D$55*(1+Inputs!$D$57)^(AS$261-1)*MAX(0,MIN(1,AS$260*1-Inputs!$D$58+1))/1</f>
        <v>1</v>
      </c>
      <c r="AT375" s="117" t="n">
        <f aca="false">Inputs!$D$55*(1+Inputs!$D$57)^(AT$261-1)*MAX(0,MIN(1,AT$260*1-Inputs!$D$58+1))/1</f>
        <v>1</v>
      </c>
      <c r="AU375" s="117" t="n">
        <f aca="false">Inputs!$D$55*(1+Inputs!$D$57)^(AU$261-1)*MAX(0,MIN(1,AU$260*1-Inputs!$D$58+1))/1</f>
        <v>1</v>
      </c>
      <c r="AV375" s="117" t="n">
        <f aca="false">Inputs!$D$55*(1+Inputs!$D$57)^(AV$261-1)*MAX(0,MIN(1,AV$260*1-Inputs!$D$58+1))/1</f>
        <v>1</v>
      </c>
      <c r="AW375" s="117" t="n">
        <f aca="false">Inputs!$D$55*(1+Inputs!$D$57)^(AW$261-1)*MAX(0,MIN(1,AW$260*1-Inputs!$D$58+1))/1</f>
        <v>1</v>
      </c>
      <c r="AX375" s="117" t="n">
        <f aca="false">Inputs!$D$55*(1+Inputs!$D$57)^(AX$261-1)*MAX(0,MIN(1,AX$260*1-Inputs!$D$58+1))/1</f>
        <v>1</v>
      </c>
      <c r="AY375" s="117" t="n">
        <f aca="false">Inputs!$D$55*(1+Inputs!$D$57)^(AY$261-1)*MAX(0,MIN(1,AY$260*1-Inputs!$D$58+1))/1</f>
        <v>1</v>
      </c>
      <c r="AZ375" s="117" t="n">
        <f aca="false">Inputs!$D$55*(1+Inputs!$D$57)^(AZ$261-1)*MAX(0,MIN(1,AZ$260*1-Inputs!$D$58+1))/1</f>
        <v>1</v>
      </c>
      <c r="BA375" s="117" t="n">
        <f aca="false">Inputs!$D$55*(1+Inputs!$D$57)^(BA$261-1)*MAX(0,MIN(1,BA$260*1-Inputs!$D$58+1))/1</f>
        <v>1</v>
      </c>
      <c r="BB375" s="117" t="n">
        <f aca="false">Inputs!$D$55*(1+Inputs!$D$57)^(BB$261-1)*MAX(0,MIN(1,BB$260*1-Inputs!$D$58+1))/1</f>
        <v>1</v>
      </c>
      <c r="BC375" s="117" t="n">
        <f aca="false">Inputs!$D$55*(1+Inputs!$D$57)^(BC$261-1)*MAX(0,MIN(1,BC$260*1-Inputs!$D$58+1))/1</f>
        <v>1</v>
      </c>
      <c r="BD375" s="117" t="n">
        <f aca="false">Inputs!$D$55*(1+Inputs!$D$57)^(BD$261-1)*MAX(0,MIN(1,BD$260*1-Inputs!$D$58+1))/1</f>
        <v>1</v>
      </c>
      <c r="BE375" s="117" t="n">
        <f aca="false">Inputs!$D$55*(1+Inputs!$D$57)^(BE$261-1)*MAX(0,MIN(1,BE$260*1-Inputs!$D$58+1))/1</f>
        <v>1</v>
      </c>
      <c r="BF375" s="117" t="n">
        <f aca="false">Inputs!$D$55*(1+Inputs!$D$57)^(BF$261-1)*MAX(0,MIN(1,BF$260*1-Inputs!$D$58+1))/1</f>
        <v>1</v>
      </c>
      <c r="BG375" s="117" t="n">
        <f aca="false">Inputs!$D$55*(1+Inputs!$D$57)^(BG$261-1)*MAX(0,MIN(1,BG$260*1-Inputs!$D$58+1))/1</f>
        <v>1</v>
      </c>
      <c r="BH375" s="117" t="n">
        <f aca="false">Inputs!$D$55*(1+Inputs!$D$57)^(BH$261-1)*MAX(0,MIN(1,BH$260*1-Inputs!$D$58+1))/1</f>
        <v>1</v>
      </c>
      <c r="BI375" s="117" t="n">
        <f aca="false">Inputs!$D$55*(1+Inputs!$D$57)^(BI$261-1)*MAX(0,MIN(1,BI$260*1-Inputs!$D$58+1))/1</f>
        <v>1</v>
      </c>
      <c r="BJ375" s="117" t="n">
        <f aca="false">Inputs!$D$55*(1+Inputs!$D$57)^(BJ$261-1)*MAX(0,MIN(1,BJ$260*1-Inputs!$D$58+1))/1</f>
        <v>1</v>
      </c>
    </row>
    <row r="376" customFormat="false" ht="15" hidden="false" customHeight="false" outlineLevel="0" collapsed="false">
      <c r="A376" s="6" t="s">
        <v>471</v>
      </c>
      <c r="C376" s="117" t="n">
        <f aca="false">Inputs!$D$59*(1+Inputs!$D$61)^(C$261-1)*MAX(0,MIN(1,C$260*1-Inputs!$D$62+1))/1</f>
        <v>10</v>
      </c>
      <c r="D376" s="117" t="n">
        <f aca="false">Inputs!$D$59*(1+Inputs!$D$61)^(D$261-1)*MAX(0,MIN(1,D$260*1-Inputs!$D$62+1))/1</f>
        <v>10</v>
      </c>
      <c r="E376" s="117" t="n">
        <f aca="false">Inputs!$D$59*(1+Inputs!$D$61)^(E$261-1)*MAX(0,MIN(1,E$260*1-Inputs!$D$62+1))/1</f>
        <v>10</v>
      </c>
      <c r="F376" s="117" t="n">
        <f aca="false">Inputs!$D$59*(1+Inputs!$D$61)^(F$261-1)*MAX(0,MIN(1,F$260*1-Inputs!$D$62+1))/1</f>
        <v>10</v>
      </c>
      <c r="G376" s="117" t="n">
        <f aca="false">Inputs!$D$59*(1+Inputs!$D$61)^(G$261-1)*MAX(0,MIN(1,G$260*1-Inputs!$D$62+1))/1</f>
        <v>10</v>
      </c>
      <c r="H376" s="117" t="n">
        <f aca="false">Inputs!$D$59*(1+Inputs!$D$61)^(H$261-1)*MAX(0,MIN(1,H$260*1-Inputs!$D$62+1))/1</f>
        <v>10</v>
      </c>
      <c r="I376" s="117" t="n">
        <f aca="false">Inputs!$D$59*(1+Inputs!$D$61)^(I$261-1)*MAX(0,MIN(1,I$260*1-Inputs!$D$62+1))/1</f>
        <v>10</v>
      </c>
      <c r="J376" s="117" t="n">
        <f aca="false">Inputs!$D$59*(1+Inputs!$D$61)^(J$261-1)*MAX(0,MIN(1,J$260*1-Inputs!$D$62+1))/1</f>
        <v>10</v>
      </c>
      <c r="K376" s="117" t="n">
        <f aca="false">Inputs!$D$59*(1+Inputs!$D$61)^(K$261-1)*MAX(0,MIN(1,K$260*1-Inputs!$D$62+1))/1</f>
        <v>10</v>
      </c>
      <c r="L376" s="117" t="n">
        <f aca="false">Inputs!$D$59*(1+Inputs!$D$61)^(L$261-1)*MAX(0,MIN(1,L$260*1-Inputs!$D$62+1))/1</f>
        <v>10</v>
      </c>
      <c r="M376" s="117" t="n">
        <f aca="false">Inputs!$D$59*(1+Inputs!$D$61)^(M$261-1)*MAX(0,MIN(1,M$260*1-Inputs!$D$62+1))/1</f>
        <v>10</v>
      </c>
      <c r="N376" s="117" t="n">
        <f aca="false">Inputs!$D$59*(1+Inputs!$D$61)^(N$261-1)*MAX(0,MIN(1,N$260*1-Inputs!$D$62+1))/1</f>
        <v>10</v>
      </c>
      <c r="O376" s="117" t="n">
        <f aca="false">Inputs!$D$59*(1+Inputs!$D$61)^(O$261-1)*MAX(0,MIN(1,O$260*1-Inputs!$D$62+1))/1</f>
        <v>10</v>
      </c>
      <c r="P376" s="117" t="n">
        <f aca="false">Inputs!$D$59*(1+Inputs!$D$61)^(P$261-1)*MAX(0,MIN(1,P$260*1-Inputs!$D$62+1))/1</f>
        <v>10</v>
      </c>
      <c r="Q376" s="117" t="n">
        <f aca="false">Inputs!$D$59*(1+Inputs!$D$61)^(Q$261-1)*MAX(0,MIN(1,Q$260*1-Inputs!$D$62+1))/1</f>
        <v>10</v>
      </c>
      <c r="R376" s="117" t="n">
        <f aca="false">Inputs!$D$59*(1+Inputs!$D$61)^(R$261-1)*MAX(0,MIN(1,R$260*1-Inputs!$D$62+1))/1</f>
        <v>10</v>
      </c>
      <c r="S376" s="117" t="n">
        <f aca="false">Inputs!$D$59*(1+Inputs!$D$61)^(S$261-1)*MAX(0,MIN(1,S$260*1-Inputs!$D$62+1))/1</f>
        <v>10</v>
      </c>
      <c r="T376" s="117" t="n">
        <f aca="false">Inputs!$D$59*(1+Inputs!$D$61)^(T$261-1)*MAX(0,MIN(1,T$260*1-Inputs!$D$62+1))/1</f>
        <v>10</v>
      </c>
      <c r="U376" s="117" t="n">
        <f aca="false">Inputs!$D$59*(1+Inputs!$D$61)^(U$261-1)*MAX(0,MIN(1,U$260*1-Inputs!$D$62+1))/1</f>
        <v>10</v>
      </c>
      <c r="V376" s="117" t="n">
        <f aca="false">Inputs!$D$59*(1+Inputs!$D$61)^(V$261-1)*MAX(0,MIN(1,V$260*1-Inputs!$D$62+1))/1</f>
        <v>10</v>
      </c>
      <c r="W376" s="117" t="n">
        <f aca="false">Inputs!$D$59*(1+Inputs!$D$61)^(W$261-1)*MAX(0,MIN(1,W$260*1-Inputs!$D$62+1))/1</f>
        <v>10</v>
      </c>
      <c r="X376" s="117" t="n">
        <f aca="false">Inputs!$D$59*(1+Inputs!$D$61)^(X$261-1)*MAX(0,MIN(1,X$260*1-Inputs!$D$62+1))/1</f>
        <v>10</v>
      </c>
      <c r="Y376" s="117" t="n">
        <f aca="false">Inputs!$D$59*(1+Inputs!$D$61)^(Y$261-1)*MAX(0,MIN(1,Y$260*1-Inputs!$D$62+1))/1</f>
        <v>10</v>
      </c>
      <c r="Z376" s="117" t="n">
        <f aca="false">Inputs!$D$59*(1+Inputs!$D$61)^(Z$261-1)*MAX(0,MIN(1,Z$260*1-Inputs!$D$62+1))/1</f>
        <v>10</v>
      </c>
      <c r="AA376" s="117" t="n">
        <f aca="false">Inputs!$D$59*(1+Inputs!$D$61)^(AA$261-1)*MAX(0,MIN(1,AA$260*1-Inputs!$D$62+1))/1</f>
        <v>10</v>
      </c>
      <c r="AB376" s="117" t="n">
        <f aca="false">Inputs!$D$59*(1+Inputs!$D$61)^(AB$261-1)*MAX(0,MIN(1,AB$260*1-Inputs!$D$62+1))/1</f>
        <v>10</v>
      </c>
      <c r="AC376" s="117" t="n">
        <f aca="false">Inputs!$D$59*(1+Inputs!$D$61)^(AC$261-1)*MAX(0,MIN(1,AC$260*1-Inputs!$D$62+1))/1</f>
        <v>10</v>
      </c>
      <c r="AD376" s="117" t="n">
        <f aca="false">Inputs!$D$59*(1+Inputs!$D$61)^(AD$261-1)*MAX(0,MIN(1,AD$260*1-Inputs!$D$62+1))/1</f>
        <v>10</v>
      </c>
      <c r="AE376" s="117" t="n">
        <f aca="false">Inputs!$D$59*(1+Inputs!$D$61)^(AE$261-1)*MAX(0,MIN(1,AE$260*1-Inputs!$D$62+1))/1</f>
        <v>10</v>
      </c>
      <c r="AF376" s="117" t="n">
        <f aca="false">Inputs!$D$59*(1+Inputs!$D$61)^(AF$261-1)*MAX(0,MIN(1,AF$260*1-Inputs!$D$62+1))/1</f>
        <v>10</v>
      </c>
      <c r="AG376" s="117" t="n">
        <f aca="false">Inputs!$D$59*(1+Inputs!$D$61)^(AG$261-1)*MAX(0,MIN(1,AG$260*1-Inputs!$D$62+1))/1</f>
        <v>10</v>
      </c>
      <c r="AH376" s="117" t="n">
        <f aca="false">Inputs!$D$59*(1+Inputs!$D$61)^(AH$261-1)*MAX(0,MIN(1,AH$260*1-Inputs!$D$62+1))/1</f>
        <v>10</v>
      </c>
      <c r="AI376" s="117" t="n">
        <f aca="false">Inputs!$D$59*(1+Inputs!$D$61)^(AI$261-1)*MAX(0,MIN(1,AI$260*1-Inputs!$D$62+1))/1</f>
        <v>10</v>
      </c>
      <c r="AJ376" s="117" t="n">
        <f aca="false">Inputs!$D$59*(1+Inputs!$D$61)^(AJ$261-1)*MAX(0,MIN(1,AJ$260*1-Inputs!$D$62+1))/1</f>
        <v>10</v>
      </c>
      <c r="AK376" s="117" t="n">
        <f aca="false">Inputs!$D$59*(1+Inputs!$D$61)^(AK$261-1)*MAX(0,MIN(1,AK$260*1-Inputs!$D$62+1))/1</f>
        <v>10</v>
      </c>
      <c r="AL376" s="117" t="n">
        <f aca="false">Inputs!$D$59*(1+Inputs!$D$61)^(AL$261-1)*MAX(0,MIN(1,AL$260*1-Inputs!$D$62+1))/1</f>
        <v>10</v>
      </c>
      <c r="AM376" s="117" t="n">
        <f aca="false">Inputs!$D$59*(1+Inputs!$D$61)^(AM$261-1)*MAX(0,MIN(1,AM$260*1-Inputs!$D$62+1))/1</f>
        <v>10</v>
      </c>
      <c r="AN376" s="117" t="n">
        <f aca="false">Inputs!$D$59*(1+Inputs!$D$61)^(AN$261-1)*MAX(0,MIN(1,AN$260*1-Inputs!$D$62+1))/1</f>
        <v>10</v>
      </c>
      <c r="AO376" s="117" t="n">
        <f aca="false">Inputs!$D$59*(1+Inputs!$D$61)^(AO$261-1)*MAX(0,MIN(1,AO$260*1-Inputs!$D$62+1))/1</f>
        <v>10</v>
      </c>
      <c r="AP376" s="117" t="n">
        <f aca="false">Inputs!$D$59*(1+Inputs!$D$61)^(AP$261-1)*MAX(0,MIN(1,AP$260*1-Inputs!$D$62+1))/1</f>
        <v>10</v>
      </c>
      <c r="AQ376" s="117" t="n">
        <f aca="false">Inputs!$D$59*(1+Inputs!$D$61)^(AQ$261-1)*MAX(0,MIN(1,AQ$260*1-Inputs!$D$62+1))/1</f>
        <v>10</v>
      </c>
      <c r="AR376" s="117" t="n">
        <f aca="false">Inputs!$D$59*(1+Inputs!$D$61)^(AR$261-1)*MAX(0,MIN(1,AR$260*1-Inputs!$D$62+1))/1</f>
        <v>10</v>
      </c>
      <c r="AS376" s="117" t="n">
        <f aca="false">Inputs!$D$59*(1+Inputs!$D$61)^(AS$261-1)*MAX(0,MIN(1,AS$260*1-Inputs!$D$62+1))/1</f>
        <v>10</v>
      </c>
      <c r="AT376" s="117" t="n">
        <f aca="false">Inputs!$D$59*(1+Inputs!$D$61)^(AT$261-1)*MAX(0,MIN(1,AT$260*1-Inputs!$D$62+1))/1</f>
        <v>10</v>
      </c>
      <c r="AU376" s="117" t="n">
        <f aca="false">Inputs!$D$59*(1+Inputs!$D$61)^(AU$261-1)*MAX(0,MIN(1,AU$260*1-Inputs!$D$62+1))/1</f>
        <v>10</v>
      </c>
      <c r="AV376" s="117" t="n">
        <f aca="false">Inputs!$D$59*(1+Inputs!$D$61)^(AV$261-1)*MAX(0,MIN(1,AV$260*1-Inputs!$D$62+1))/1</f>
        <v>10</v>
      </c>
      <c r="AW376" s="117" t="n">
        <f aca="false">Inputs!$D$59*(1+Inputs!$D$61)^(AW$261-1)*MAX(0,MIN(1,AW$260*1-Inputs!$D$62+1))/1</f>
        <v>10</v>
      </c>
      <c r="AX376" s="117" t="n">
        <f aca="false">Inputs!$D$59*(1+Inputs!$D$61)^(AX$261-1)*MAX(0,MIN(1,AX$260*1-Inputs!$D$62+1))/1</f>
        <v>10</v>
      </c>
      <c r="AY376" s="117" t="n">
        <f aca="false">Inputs!$D$59*(1+Inputs!$D$61)^(AY$261-1)*MAX(0,MIN(1,AY$260*1-Inputs!$D$62+1))/1</f>
        <v>10</v>
      </c>
      <c r="AZ376" s="117" t="n">
        <f aca="false">Inputs!$D$59*(1+Inputs!$D$61)^(AZ$261-1)*MAX(0,MIN(1,AZ$260*1-Inputs!$D$62+1))/1</f>
        <v>10</v>
      </c>
      <c r="BA376" s="117" t="n">
        <f aca="false">Inputs!$D$59*(1+Inputs!$D$61)^(BA$261-1)*MAX(0,MIN(1,BA$260*1-Inputs!$D$62+1))/1</f>
        <v>10</v>
      </c>
      <c r="BB376" s="117" t="n">
        <f aca="false">Inputs!$D$59*(1+Inputs!$D$61)^(BB$261-1)*MAX(0,MIN(1,BB$260*1-Inputs!$D$62+1))/1</f>
        <v>10</v>
      </c>
      <c r="BC376" s="117" t="n">
        <f aca="false">Inputs!$D$59*(1+Inputs!$D$61)^(BC$261-1)*MAX(0,MIN(1,BC$260*1-Inputs!$D$62+1))/1</f>
        <v>10</v>
      </c>
      <c r="BD376" s="117" t="n">
        <f aca="false">Inputs!$D$59*(1+Inputs!$D$61)^(BD$261-1)*MAX(0,MIN(1,BD$260*1-Inputs!$D$62+1))/1</f>
        <v>10</v>
      </c>
      <c r="BE376" s="117" t="n">
        <f aca="false">Inputs!$D$59*(1+Inputs!$D$61)^(BE$261-1)*MAX(0,MIN(1,BE$260*1-Inputs!$D$62+1))/1</f>
        <v>10</v>
      </c>
      <c r="BF376" s="117" t="n">
        <f aca="false">Inputs!$D$59*(1+Inputs!$D$61)^(BF$261-1)*MAX(0,MIN(1,BF$260*1-Inputs!$D$62+1))/1</f>
        <v>10</v>
      </c>
      <c r="BG376" s="117" t="n">
        <f aca="false">Inputs!$D$59*(1+Inputs!$D$61)^(BG$261-1)*MAX(0,MIN(1,BG$260*1-Inputs!$D$62+1))/1</f>
        <v>10</v>
      </c>
      <c r="BH376" s="117" t="n">
        <f aca="false">Inputs!$D$59*(1+Inputs!$D$61)^(BH$261-1)*MAX(0,MIN(1,BH$260*1-Inputs!$D$62+1))/1</f>
        <v>10</v>
      </c>
      <c r="BI376" s="117" t="n">
        <f aca="false">Inputs!$D$59*(1+Inputs!$D$61)^(BI$261-1)*MAX(0,MIN(1,BI$260*1-Inputs!$D$62+1))/1</f>
        <v>10</v>
      </c>
      <c r="BJ376" s="117" t="n">
        <f aca="false">Inputs!$D$59*(1+Inputs!$D$61)^(BJ$261-1)*MAX(0,MIN(1,BJ$260*1-Inputs!$D$62+1))/1</f>
        <v>10</v>
      </c>
    </row>
    <row r="377" customFormat="false" ht="15" hidden="false" customHeight="false" outlineLevel="0" collapsed="false">
      <c r="A377" s="113" t="s">
        <v>472</v>
      </c>
      <c r="C377" s="123" t="n">
        <f aca="false">C375+C376</f>
        <v>11</v>
      </c>
      <c r="D377" s="123" t="n">
        <f aca="false">D375+D376</f>
        <v>11</v>
      </c>
      <c r="E377" s="123" t="n">
        <f aca="false">E375+E376</f>
        <v>11</v>
      </c>
      <c r="F377" s="123" t="n">
        <f aca="false">F375+F376</f>
        <v>11</v>
      </c>
      <c r="G377" s="123" t="n">
        <f aca="false">G375+G376</f>
        <v>11</v>
      </c>
      <c r="H377" s="123" t="n">
        <f aca="false">H375+H376</f>
        <v>11</v>
      </c>
      <c r="I377" s="123" t="n">
        <f aca="false">I375+I376</f>
        <v>11</v>
      </c>
      <c r="J377" s="123" t="n">
        <f aca="false">J375+J376</f>
        <v>11</v>
      </c>
      <c r="K377" s="123" t="n">
        <f aca="false">K375+K376</f>
        <v>11</v>
      </c>
      <c r="L377" s="123" t="n">
        <f aca="false">L375+L376</f>
        <v>11</v>
      </c>
      <c r="M377" s="123" t="n">
        <f aca="false">M375+M376</f>
        <v>11</v>
      </c>
      <c r="N377" s="123" t="n">
        <f aca="false">N375+N376</f>
        <v>11</v>
      </c>
      <c r="O377" s="123" t="n">
        <f aca="false">O375+O376</f>
        <v>11</v>
      </c>
      <c r="P377" s="123" t="n">
        <f aca="false">P375+P376</f>
        <v>11</v>
      </c>
      <c r="Q377" s="123" t="n">
        <f aca="false">Q375+Q376</f>
        <v>11</v>
      </c>
      <c r="R377" s="123" t="n">
        <f aca="false">R375+R376</f>
        <v>11</v>
      </c>
      <c r="S377" s="123" t="n">
        <f aca="false">S375+S376</f>
        <v>11</v>
      </c>
      <c r="T377" s="123" t="n">
        <f aca="false">T375+T376</f>
        <v>11</v>
      </c>
      <c r="U377" s="123" t="n">
        <f aca="false">U375+U376</f>
        <v>11</v>
      </c>
      <c r="V377" s="123" t="n">
        <f aca="false">V375+V376</f>
        <v>11</v>
      </c>
      <c r="W377" s="123" t="n">
        <f aca="false">W375+W376</f>
        <v>11</v>
      </c>
      <c r="X377" s="123" t="n">
        <f aca="false">X375+X376</f>
        <v>11</v>
      </c>
      <c r="Y377" s="123" t="n">
        <f aca="false">Y375+Y376</f>
        <v>11</v>
      </c>
      <c r="Z377" s="123" t="n">
        <f aca="false">Z375+Z376</f>
        <v>11</v>
      </c>
      <c r="AA377" s="123" t="n">
        <f aca="false">AA375+AA376</f>
        <v>11</v>
      </c>
      <c r="AB377" s="123" t="n">
        <f aca="false">AB375+AB376</f>
        <v>11</v>
      </c>
      <c r="AC377" s="123" t="n">
        <f aca="false">AC375+AC376</f>
        <v>11</v>
      </c>
      <c r="AD377" s="123" t="n">
        <f aca="false">AD375+AD376</f>
        <v>11</v>
      </c>
      <c r="AE377" s="123" t="n">
        <f aca="false">AE375+AE376</f>
        <v>11</v>
      </c>
      <c r="AF377" s="123" t="n">
        <f aca="false">AF375+AF376</f>
        <v>11</v>
      </c>
      <c r="AG377" s="123" t="n">
        <f aca="false">AG375+AG376</f>
        <v>11</v>
      </c>
      <c r="AH377" s="123" t="n">
        <f aca="false">AH375+AH376</f>
        <v>11</v>
      </c>
      <c r="AI377" s="123" t="n">
        <f aca="false">AI375+AI376</f>
        <v>11</v>
      </c>
      <c r="AJ377" s="123" t="n">
        <f aca="false">AJ375+AJ376</f>
        <v>11</v>
      </c>
      <c r="AK377" s="123" t="n">
        <f aca="false">AK375+AK376</f>
        <v>11</v>
      </c>
      <c r="AL377" s="123" t="n">
        <f aca="false">AL375+AL376</f>
        <v>11</v>
      </c>
      <c r="AM377" s="123" t="n">
        <f aca="false">AM375+AM376</f>
        <v>11</v>
      </c>
      <c r="AN377" s="123" t="n">
        <f aca="false">AN375+AN376</f>
        <v>11</v>
      </c>
      <c r="AO377" s="123" t="n">
        <f aca="false">AO375+AO376</f>
        <v>11</v>
      </c>
      <c r="AP377" s="123" t="n">
        <f aca="false">AP375+AP376</f>
        <v>11</v>
      </c>
      <c r="AQ377" s="123" t="n">
        <f aca="false">AQ375+AQ376</f>
        <v>11</v>
      </c>
      <c r="AR377" s="123" t="n">
        <f aca="false">AR375+AR376</f>
        <v>11</v>
      </c>
      <c r="AS377" s="123" t="n">
        <f aca="false">AS375+AS376</f>
        <v>11</v>
      </c>
      <c r="AT377" s="123" t="n">
        <f aca="false">AT375+AT376</f>
        <v>11</v>
      </c>
      <c r="AU377" s="123" t="n">
        <f aca="false">AU375+AU376</f>
        <v>11</v>
      </c>
      <c r="AV377" s="123" t="n">
        <f aca="false">AV375+AV376</f>
        <v>11</v>
      </c>
      <c r="AW377" s="123" t="n">
        <f aca="false">AW375+AW376</f>
        <v>11</v>
      </c>
      <c r="AX377" s="123" t="n">
        <f aca="false">AX375+AX376</f>
        <v>11</v>
      </c>
      <c r="AY377" s="123" t="n">
        <f aca="false">AY375+AY376</f>
        <v>11</v>
      </c>
      <c r="AZ377" s="123" t="n">
        <f aca="false">AZ375+AZ376</f>
        <v>11</v>
      </c>
      <c r="BA377" s="123" t="n">
        <f aca="false">BA375+BA376</f>
        <v>11</v>
      </c>
      <c r="BB377" s="123" t="n">
        <f aca="false">BB375+BB376</f>
        <v>11</v>
      </c>
      <c r="BC377" s="123" t="n">
        <f aca="false">BC375+BC376</f>
        <v>11</v>
      </c>
      <c r="BD377" s="123" t="n">
        <f aca="false">BD375+BD376</f>
        <v>11</v>
      </c>
      <c r="BE377" s="123" t="n">
        <f aca="false">BE375+BE376</f>
        <v>11</v>
      </c>
      <c r="BF377" s="123" t="n">
        <f aca="false">BF375+BF376</f>
        <v>11</v>
      </c>
      <c r="BG377" s="123" t="n">
        <f aca="false">BG375+BG376</f>
        <v>11</v>
      </c>
      <c r="BH377" s="123" t="n">
        <f aca="false">BH375+BH376</f>
        <v>11</v>
      </c>
      <c r="BI377" s="123" t="n">
        <f aca="false">BI375+BI376</f>
        <v>11</v>
      </c>
      <c r="BJ377" s="123" t="n">
        <f aca="false">BJ375+BJ376</f>
        <v>11</v>
      </c>
    </row>
    <row r="379" customFormat="false" ht="15.75" hidden="false" customHeight="true" outlineLevel="0" collapsed="false">
      <c r="A379" s="7" t="s">
        <v>473</v>
      </c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</row>
    <row r="380" customFormat="false" ht="15" hidden="false" customHeight="false" outlineLevel="0" collapsed="false">
      <c r="A380" s="6" t="s">
        <v>474</v>
      </c>
      <c r="C380" s="69" t="n">
        <f aca="false">-C375*Inputs!$D$56/12*1*(1+Inputs!$D$63)*(1+Inputs!$D$64)^(C$261-1)</f>
        <v>-6720</v>
      </c>
      <c r="D380" s="69" t="n">
        <f aca="false">-D375*Inputs!$D$56/12*1*(1+Inputs!$D$63)*(1+Inputs!$D$64)^(D$261-1)</f>
        <v>-6720</v>
      </c>
      <c r="E380" s="69" t="n">
        <f aca="false">-E375*Inputs!$D$56/12*1*(1+Inputs!$D$63)*(1+Inputs!$D$64)^(E$261-1)</f>
        <v>-6720</v>
      </c>
      <c r="F380" s="69" t="n">
        <f aca="false">-F375*Inputs!$D$56/12*1*(1+Inputs!$D$63)*(1+Inputs!$D$64)^(F$261-1)</f>
        <v>-6720</v>
      </c>
      <c r="G380" s="69" t="n">
        <f aca="false">-G375*Inputs!$D$56/12*1*(1+Inputs!$D$63)*(1+Inputs!$D$64)^(G$261-1)</f>
        <v>-6720</v>
      </c>
      <c r="H380" s="69" t="n">
        <f aca="false">-H375*Inputs!$D$56/12*1*(1+Inputs!$D$63)*(1+Inputs!$D$64)^(H$261-1)</f>
        <v>-6720</v>
      </c>
      <c r="I380" s="69" t="n">
        <f aca="false">-I375*Inputs!$D$56/12*1*(1+Inputs!$D$63)*(1+Inputs!$D$64)^(I$261-1)</f>
        <v>-6720</v>
      </c>
      <c r="J380" s="69" t="n">
        <f aca="false">-J375*Inputs!$D$56/12*1*(1+Inputs!$D$63)*(1+Inputs!$D$64)^(J$261-1)</f>
        <v>-6720</v>
      </c>
      <c r="K380" s="69" t="n">
        <f aca="false">-K375*Inputs!$D$56/12*1*(1+Inputs!$D$63)*(1+Inputs!$D$64)^(K$261-1)</f>
        <v>-6720</v>
      </c>
      <c r="L380" s="69" t="n">
        <f aca="false">-L375*Inputs!$D$56/12*1*(1+Inputs!$D$63)*(1+Inputs!$D$64)^(L$261-1)</f>
        <v>-6720</v>
      </c>
      <c r="M380" s="69" t="n">
        <f aca="false">-M375*Inputs!$D$56/12*1*(1+Inputs!$D$63)*(1+Inputs!$D$64)^(M$261-1)</f>
        <v>-6720</v>
      </c>
      <c r="N380" s="69" t="n">
        <f aca="false">-N375*Inputs!$D$56/12*1*(1+Inputs!$D$63)*(1+Inputs!$D$64)^(N$261-1)</f>
        <v>-6720</v>
      </c>
      <c r="O380" s="69" t="n">
        <f aca="false">-O375*Inputs!$D$56/12*1*(1+Inputs!$D$63)*(1+Inputs!$D$64)^(O$261-1)</f>
        <v>-6921.6</v>
      </c>
      <c r="P380" s="69" t="n">
        <f aca="false">-P375*Inputs!$D$56/12*1*(1+Inputs!$D$63)*(1+Inputs!$D$64)^(P$261-1)</f>
        <v>-6921.6</v>
      </c>
      <c r="Q380" s="69" t="n">
        <f aca="false">-Q375*Inputs!$D$56/12*1*(1+Inputs!$D$63)*(1+Inputs!$D$64)^(Q$261-1)</f>
        <v>-6921.6</v>
      </c>
      <c r="R380" s="69" t="n">
        <f aca="false">-R375*Inputs!$D$56/12*1*(1+Inputs!$D$63)*(1+Inputs!$D$64)^(R$261-1)</f>
        <v>-6921.6</v>
      </c>
      <c r="S380" s="69" t="n">
        <f aca="false">-S375*Inputs!$D$56/12*1*(1+Inputs!$D$63)*(1+Inputs!$D$64)^(S$261-1)</f>
        <v>-6921.6</v>
      </c>
      <c r="T380" s="69" t="n">
        <f aca="false">-T375*Inputs!$D$56/12*1*(1+Inputs!$D$63)*(1+Inputs!$D$64)^(T$261-1)</f>
        <v>-6921.6</v>
      </c>
      <c r="U380" s="69" t="n">
        <f aca="false">-U375*Inputs!$D$56/12*1*(1+Inputs!$D$63)*(1+Inputs!$D$64)^(U$261-1)</f>
        <v>-6921.6</v>
      </c>
      <c r="V380" s="69" t="n">
        <f aca="false">-V375*Inputs!$D$56/12*1*(1+Inputs!$D$63)*(1+Inputs!$D$64)^(V$261-1)</f>
        <v>-6921.6</v>
      </c>
      <c r="W380" s="69" t="n">
        <f aca="false">-W375*Inputs!$D$56/12*1*(1+Inputs!$D$63)*(1+Inputs!$D$64)^(W$261-1)</f>
        <v>-6921.6</v>
      </c>
      <c r="X380" s="69" t="n">
        <f aca="false">-X375*Inputs!$D$56/12*1*(1+Inputs!$D$63)*(1+Inputs!$D$64)^(X$261-1)</f>
        <v>-6921.6</v>
      </c>
      <c r="Y380" s="69" t="n">
        <f aca="false">-Y375*Inputs!$D$56/12*1*(1+Inputs!$D$63)*(1+Inputs!$D$64)^(Y$261-1)</f>
        <v>-6921.6</v>
      </c>
      <c r="Z380" s="69" t="n">
        <f aca="false">-Z375*Inputs!$D$56/12*1*(1+Inputs!$D$63)*(1+Inputs!$D$64)^(Z$261-1)</f>
        <v>-6921.6</v>
      </c>
      <c r="AA380" s="69" t="n">
        <f aca="false">-AA375*Inputs!$D$56/12*1*(1+Inputs!$D$63)*(1+Inputs!$D$64)^(AA$261-1)</f>
        <v>-7129.248</v>
      </c>
      <c r="AB380" s="69" t="n">
        <f aca="false">-AB375*Inputs!$D$56/12*1*(1+Inputs!$D$63)*(1+Inputs!$D$64)^(AB$261-1)</f>
        <v>-7129.248</v>
      </c>
      <c r="AC380" s="69" t="n">
        <f aca="false">-AC375*Inputs!$D$56/12*1*(1+Inputs!$D$63)*(1+Inputs!$D$64)^(AC$261-1)</f>
        <v>-7129.248</v>
      </c>
      <c r="AD380" s="69" t="n">
        <f aca="false">-AD375*Inputs!$D$56/12*1*(1+Inputs!$D$63)*(1+Inputs!$D$64)^(AD$261-1)</f>
        <v>-7129.248</v>
      </c>
      <c r="AE380" s="69" t="n">
        <f aca="false">-AE375*Inputs!$D$56/12*1*(1+Inputs!$D$63)*(1+Inputs!$D$64)^(AE$261-1)</f>
        <v>-7129.248</v>
      </c>
      <c r="AF380" s="69" t="n">
        <f aca="false">-AF375*Inputs!$D$56/12*1*(1+Inputs!$D$63)*(1+Inputs!$D$64)^(AF$261-1)</f>
        <v>-7129.248</v>
      </c>
      <c r="AG380" s="69" t="n">
        <f aca="false">-AG375*Inputs!$D$56/12*1*(1+Inputs!$D$63)*(1+Inputs!$D$64)^(AG$261-1)</f>
        <v>-7129.248</v>
      </c>
      <c r="AH380" s="69" t="n">
        <f aca="false">-AH375*Inputs!$D$56/12*1*(1+Inputs!$D$63)*(1+Inputs!$D$64)^(AH$261-1)</f>
        <v>-7129.248</v>
      </c>
      <c r="AI380" s="69" t="n">
        <f aca="false">-AI375*Inputs!$D$56/12*1*(1+Inputs!$D$63)*(1+Inputs!$D$64)^(AI$261-1)</f>
        <v>-7129.248</v>
      </c>
      <c r="AJ380" s="69" t="n">
        <f aca="false">-AJ375*Inputs!$D$56/12*1*(1+Inputs!$D$63)*(1+Inputs!$D$64)^(AJ$261-1)</f>
        <v>-7129.248</v>
      </c>
      <c r="AK380" s="69" t="n">
        <f aca="false">-AK375*Inputs!$D$56/12*1*(1+Inputs!$D$63)*(1+Inputs!$D$64)^(AK$261-1)</f>
        <v>-7129.248</v>
      </c>
      <c r="AL380" s="69" t="n">
        <f aca="false">-AL375*Inputs!$D$56/12*1*(1+Inputs!$D$63)*(1+Inputs!$D$64)^(AL$261-1)</f>
        <v>-7129.248</v>
      </c>
      <c r="AM380" s="69" t="n">
        <f aca="false">-AM375*Inputs!$D$56/12*1*(1+Inputs!$D$63)*(1+Inputs!$D$64)^(AM$261-1)</f>
        <v>-7343.12544</v>
      </c>
      <c r="AN380" s="69" t="n">
        <f aca="false">-AN375*Inputs!$D$56/12*1*(1+Inputs!$D$63)*(1+Inputs!$D$64)^(AN$261-1)</f>
        <v>-7343.12544</v>
      </c>
      <c r="AO380" s="69" t="n">
        <f aca="false">-AO375*Inputs!$D$56/12*1*(1+Inputs!$D$63)*(1+Inputs!$D$64)^(AO$261-1)</f>
        <v>-7343.12544</v>
      </c>
      <c r="AP380" s="69" t="n">
        <f aca="false">-AP375*Inputs!$D$56/12*1*(1+Inputs!$D$63)*(1+Inputs!$D$64)^(AP$261-1)</f>
        <v>-7343.12544</v>
      </c>
      <c r="AQ380" s="69" t="n">
        <f aca="false">-AQ375*Inputs!$D$56/12*1*(1+Inputs!$D$63)*(1+Inputs!$D$64)^(AQ$261-1)</f>
        <v>-7343.12544</v>
      </c>
      <c r="AR380" s="69" t="n">
        <f aca="false">-AR375*Inputs!$D$56/12*1*(1+Inputs!$D$63)*(1+Inputs!$D$64)^(AR$261-1)</f>
        <v>-7343.12544</v>
      </c>
      <c r="AS380" s="69" t="n">
        <f aca="false">-AS375*Inputs!$D$56/12*1*(1+Inputs!$D$63)*(1+Inputs!$D$64)^(AS$261-1)</f>
        <v>-7343.12544</v>
      </c>
      <c r="AT380" s="69" t="n">
        <f aca="false">-AT375*Inputs!$D$56/12*1*(1+Inputs!$D$63)*(1+Inputs!$D$64)^(AT$261-1)</f>
        <v>-7343.12544</v>
      </c>
      <c r="AU380" s="69" t="n">
        <f aca="false">-AU375*Inputs!$D$56/12*1*(1+Inputs!$D$63)*(1+Inputs!$D$64)^(AU$261-1)</f>
        <v>-7343.12544</v>
      </c>
      <c r="AV380" s="69" t="n">
        <f aca="false">-AV375*Inputs!$D$56/12*1*(1+Inputs!$D$63)*(1+Inputs!$D$64)^(AV$261-1)</f>
        <v>-7343.12544</v>
      </c>
      <c r="AW380" s="69" t="n">
        <f aca="false">-AW375*Inputs!$D$56/12*1*(1+Inputs!$D$63)*(1+Inputs!$D$64)^(AW$261-1)</f>
        <v>-7343.12544</v>
      </c>
      <c r="AX380" s="69" t="n">
        <f aca="false">-AX375*Inputs!$D$56/12*1*(1+Inputs!$D$63)*(1+Inputs!$D$64)^(AX$261-1)</f>
        <v>-7343.12544</v>
      </c>
      <c r="AY380" s="69" t="n">
        <f aca="false">-AY375*Inputs!$D$56/12*1*(1+Inputs!$D$63)*(1+Inputs!$D$64)^(AY$261-1)</f>
        <v>-7563.4192032</v>
      </c>
      <c r="AZ380" s="69" t="n">
        <f aca="false">-AZ375*Inputs!$D$56/12*1*(1+Inputs!$D$63)*(1+Inputs!$D$64)^(AZ$261-1)</f>
        <v>-7563.4192032</v>
      </c>
      <c r="BA380" s="69" t="n">
        <f aca="false">-BA375*Inputs!$D$56/12*1*(1+Inputs!$D$63)*(1+Inputs!$D$64)^(BA$261-1)</f>
        <v>-7563.4192032</v>
      </c>
      <c r="BB380" s="69" t="n">
        <f aca="false">-BB375*Inputs!$D$56/12*1*(1+Inputs!$D$63)*(1+Inputs!$D$64)^(BB$261-1)</f>
        <v>-7563.4192032</v>
      </c>
      <c r="BC380" s="69" t="n">
        <f aca="false">-BC375*Inputs!$D$56/12*1*(1+Inputs!$D$63)*(1+Inputs!$D$64)^(BC$261-1)</f>
        <v>-7563.4192032</v>
      </c>
      <c r="BD380" s="69" t="n">
        <f aca="false">-BD375*Inputs!$D$56/12*1*(1+Inputs!$D$63)*(1+Inputs!$D$64)^(BD$261-1)</f>
        <v>-7563.4192032</v>
      </c>
      <c r="BE380" s="69" t="n">
        <f aca="false">-BE375*Inputs!$D$56/12*1*(1+Inputs!$D$63)*(1+Inputs!$D$64)^(BE$261-1)</f>
        <v>-7563.4192032</v>
      </c>
      <c r="BF380" s="69" t="n">
        <f aca="false">-BF375*Inputs!$D$56/12*1*(1+Inputs!$D$63)*(1+Inputs!$D$64)^(BF$261-1)</f>
        <v>-7563.4192032</v>
      </c>
      <c r="BG380" s="69" t="n">
        <f aca="false">-BG375*Inputs!$D$56/12*1*(1+Inputs!$D$63)*(1+Inputs!$D$64)^(BG$261-1)</f>
        <v>-7563.4192032</v>
      </c>
      <c r="BH380" s="69" t="n">
        <f aca="false">-BH375*Inputs!$D$56/12*1*(1+Inputs!$D$63)*(1+Inputs!$D$64)^(BH$261-1)</f>
        <v>-7563.4192032</v>
      </c>
      <c r="BI380" s="69" t="n">
        <f aca="false">-BI375*Inputs!$D$56/12*1*(1+Inputs!$D$63)*(1+Inputs!$D$64)^(BI$261-1)</f>
        <v>-7563.4192032</v>
      </c>
      <c r="BJ380" s="69" t="n">
        <f aca="false">-BJ375*Inputs!$D$56/12*1*(1+Inputs!$D$63)*(1+Inputs!$D$64)^(BJ$261-1)</f>
        <v>-7563.4192032</v>
      </c>
    </row>
    <row r="381" customFormat="false" ht="15" hidden="false" customHeight="false" outlineLevel="0" collapsed="false">
      <c r="A381" s="6" t="s">
        <v>475</v>
      </c>
      <c r="C381" s="69" t="n">
        <f aca="false">-C376*Inputs!$D$60/12*1*(1+Inputs!$D$63)*(1+Inputs!$D$64)^(C$261-1)</f>
        <v>-29866.6666666667</v>
      </c>
      <c r="D381" s="69" t="n">
        <f aca="false">-D376*Inputs!$D$60/12*1*(1+Inputs!$D$63)*(1+Inputs!$D$64)^(D$261-1)</f>
        <v>-29866.6666666667</v>
      </c>
      <c r="E381" s="69" t="n">
        <f aca="false">-E376*Inputs!$D$60/12*1*(1+Inputs!$D$63)*(1+Inputs!$D$64)^(E$261-1)</f>
        <v>-29866.6666666667</v>
      </c>
      <c r="F381" s="69" t="n">
        <f aca="false">-F376*Inputs!$D$60/12*1*(1+Inputs!$D$63)*(1+Inputs!$D$64)^(F$261-1)</f>
        <v>-29866.6666666667</v>
      </c>
      <c r="G381" s="69" t="n">
        <f aca="false">-G376*Inputs!$D$60/12*1*(1+Inputs!$D$63)*(1+Inputs!$D$64)^(G$261-1)</f>
        <v>-29866.6666666667</v>
      </c>
      <c r="H381" s="69" t="n">
        <f aca="false">-H376*Inputs!$D$60/12*1*(1+Inputs!$D$63)*(1+Inputs!$D$64)^(H$261-1)</f>
        <v>-29866.6666666667</v>
      </c>
      <c r="I381" s="69" t="n">
        <f aca="false">-I376*Inputs!$D$60/12*1*(1+Inputs!$D$63)*(1+Inputs!$D$64)^(I$261-1)</f>
        <v>-29866.6666666667</v>
      </c>
      <c r="J381" s="69" t="n">
        <f aca="false">-J376*Inputs!$D$60/12*1*(1+Inputs!$D$63)*(1+Inputs!$D$64)^(J$261-1)</f>
        <v>-29866.6666666667</v>
      </c>
      <c r="K381" s="69" t="n">
        <f aca="false">-K376*Inputs!$D$60/12*1*(1+Inputs!$D$63)*(1+Inputs!$D$64)^(K$261-1)</f>
        <v>-29866.6666666667</v>
      </c>
      <c r="L381" s="69" t="n">
        <f aca="false">-L376*Inputs!$D$60/12*1*(1+Inputs!$D$63)*(1+Inputs!$D$64)^(L$261-1)</f>
        <v>-29866.6666666667</v>
      </c>
      <c r="M381" s="69" t="n">
        <f aca="false">-M376*Inputs!$D$60/12*1*(1+Inputs!$D$63)*(1+Inputs!$D$64)^(M$261-1)</f>
        <v>-29866.6666666667</v>
      </c>
      <c r="N381" s="69" t="n">
        <f aca="false">-N376*Inputs!$D$60/12*1*(1+Inputs!$D$63)*(1+Inputs!$D$64)^(N$261-1)</f>
        <v>-29866.6666666667</v>
      </c>
      <c r="O381" s="69" t="n">
        <f aca="false">-O376*Inputs!$D$60/12*1*(1+Inputs!$D$63)*(1+Inputs!$D$64)^(O$261-1)</f>
        <v>-30762.6666666667</v>
      </c>
      <c r="P381" s="69" t="n">
        <f aca="false">-P376*Inputs!$D$60/12*1*(1+Inputs!$D$63)*(1+Inputs!$D$64)^(P$261-1)</f>
        <v>-30762.6666666667</v>
      </c>
      <c r="Q381" s="69" t="n">
        <f aca="false">-Q376*Inputs!$D$60/12*1*(1+Inputs!$D$63)*(1+Inputs!$D$64)^(Q$261-1)</f>
        <v>-30762.6666666667</v>
      </c>
      <c r="R381" s="69" t="n">
        <f aca="false">-R376*Inputs!$D$60/12*1*(1+Inputs!$D$63)*(1+Inputs!$D$64)^(R$261-1)</f>
        <v>-30762.6666666667</v>
      </c>
      <c r="S381" s="69" t="n">
        <f aca="false">-S376*Inputs!$D$60/12*1*(1+Inputs!$D$63)*(1+Inputs!$D$64)^(S$261-1)</f>
        <v>-30762.6666666667</v>
      </c>
      <c r="T381" s="69" t="n">
        <f aca="false">-T376*Inputs!$D$60/12*1*(1+Inputs!$D$63)*(1+Inputs!$D$64)^(T$261-1)</f>
        <v>-30762.6666666667</v>
      </c>
      <c r="U381" s="69" t="n">
        <f aca="false">-U376*Inputs!$D$60/12*1*(1+Inputs!$D$63)*(1+Inputs!$D$64)^(U$261-1)</f>
        <v>-30762.6666666667</v>
      </c>
      <c r="V381" s="69" t="n">
        <f aca="false">-V376*Inputs!$D$60/12*1*(1+Inputs!$D$63)*(1+Inputs!$D$64)^(V$261-1)</f>
        <v>-30762.6666666667</v>
      </c>
      <c r="W381" s="69" t="n">
        <f aca="false">-W376*Inputs!$D$60/12*1*(1+Inputs!$D$63)*(1+Inputs!$D$64)^(W$261-1)</f>
        <v>-30762.6666666667</v>
      </c>
      <c r="X381" s="69" t="n">
        <f aca="false">-X376*Inputs!$D$60/12*1*(1+Inputs!$D$63)*(1+Inputs!$D$64)^(X$261-1)</f>
        <v>-30762.6666666667</v>
      </c>
      <c r="Y381" s="69" t="n">
        <f aca="false">-Y376*Inputs!$D$60/12*1*(1+Inputs!$D$63)*(1+Inputs!$D$64)^(Y$261-1)</f>
        <v>-30762.6666666667</v>
      </c>
      <c r="Z381" s="69" t="n">
        <f aca="false">-Z376*Inputs!$D$60/12*1*(1+Inputs!$D$63)*(1+Inputs!$D$64)^(Z$261-1)</f>
        <v>-30762.6666666667</v>
      </c>
      <c r="AA381" s="69" t="n">
        <f aca="false">-AA376*Inputs!$D$60/12*1*(1+Inputs!$D$63)*(1+Inputs!$D$64)^(AA$261-1)</f>
        <v>-31685.5466666667</v>
      </c>
      <c r="AB381" s="69" t="n">
        <f aca="false">-AB376*Inputs!$D$60/12*1*(1+Inputs!$D$63)*(1+Inputs!$D$64)^(AB$261-1)</f>
        <v>-31685.5466666667</v>
      </c>
      <c r="AC381" s="69" t="n">
        <f aca="false">-AC376*Inputs!$D$60/12*1*(1+Inputs!$D$63)*(1+Inputs!$D$64)^(AC$261-1)</f>
        <v>-31685.5466666667</v>
      </c>
      <c r="AD381" s="69" t="n">
        <f aca="false">-AD376*Inputs!$D$60/12*1*(1+Inputs!$D$63)*(1+Inputs!$D$64)^(AD$261-1)</f>
        <v>-31685.5466666667</v>
      </c>
      <c r="AE381" s="69" t="n">
        <f aca="false">-AE376*Inputs!$D$60/12*1*(1+Inputs!$D$63)*(1+Inputs!$D$64)^(AE$261-1)</f>
        <v>-31685.5466666667</v>
      </c>
      <c r="AF381" s="69" t="n">
        <f aca="false">-AF376*Inputs!$D$60/12*1*(1+Inputs!$D$63)*(1+Inputs!$D$64)^(AF$261-1)</f>
        <v>-31685.5466666667</v>
      </c>
      <c r="AG381" s="69" t="n">
        <f aca="false">-AG376*Inputs!$D$60/12*1*(1+Inputs!$D$63)*(1+Inputs!$D$64)^(AG$261-1)</f>
        <v>-31685.5466666667</v>
      </c>
      <c r="AH381" s="69" t="n">
        <f aca="false">-AH376*Inputs!$D$60/12*1*(1+Inputs!$D$63)*(1+Inputs!$D$64)^(AH$261-1)</f>
        <v>-31685.5466666667</v>
      </c>
      <c r="AI381" s="69" t="n">
        <f aca="false">-AI376*Inputs!$D$60/12*1*(1+Inputs!$D$63)*(1+Inputs!$D$64)^(AI$261-1)</f>
        <v>-31685.5466666667</v>
      </c>
      <c r="AJ381" s="69" t="n">
        <f aca="false">-AJ376*Inputs!$D$60/12*1*(1+Inputs!$D$63)*(1+Inputs!$D$64)^(AJ$261-1)</f>
        <v>-31685.5466666667</v>
      </c>
      <c r="AK381" s="69" t="n">
        <f aca="false">-AK376*Inputs!$D$60/12*1*(1+Inputs!$D$63)*(1+Inputs!$D$64)^(AK$261-1)</f>
        <v>-31685.5466666667</v>
      </c>
      <c r="AL381" s="69" t="n">
        <f aca="false">-AL376*Inputs!$D$60/12*1*(1+Inputs!$D$63)*(1+Inputs!$D$64)^(AL$261-1)</f>
        <v>-31685.5466666667</v>
      </c>
      <c r="AM381" s="69" t="n">
        <f aca="false">-AM376*Inputs!$D$60/12*1*(1+Inputs!$D$63)*(1+Inputs!$D$64)^(AM$261-1)</f>
        <v>-32636.1130666667</v>
      </c>
      <c r="AN381" s="69" t="n">
        <f aca="false">-AN376*Inputs!$D$60/12*1*(1+Inputs!$D$63)*(1+Inputs!$D$64)^(AN$261-1)</f>
        <v>-32636.1130666667</v>
      </c>
      <c r="AO381" s="69" t="n">
        <f aca="false">-AO376*Inputs!$D$60/12*1*(1+Inputs!$D$63)*(1+Inputs!$D$64)^(AO$261-1)</f>
        <v>-32636.1130666667</v>
      </c>
      <c r="AP381" s="69" t="n">
        <f aca="false">-AP376*Inputs!$D$60/12*1*(1+Inputs!$D$63)*(1+Inputs!$D$64)^(AP$261-1)</f>
        <v>-32636.1130666667</v>
      </c>
      <c r="AQ381" s="69" t="n">
        <f aca="false">-AQ376*Inputs!$D$60/12*1*(1+Inputs!$D$63)*(1+Inputs!$D$64)^(AQ$261-1)</f>
        <v>-32636.1130666667</v>
      </c>
      <c r="AR381" s="69" t="n">
        <f aca="false">-AR376*Inputs!$D$60/12*1*(1+Inputs!$D$63)*(1+Inputs!$D$64)^(AR$261-1)</f>
        <v>-32636.1130666667</v>
      </c>
      <c r="AS381" s="69" t="n">
        <f aca="false">-AS376*Inputs!$D$60/12*1*(1+Inputs!$D$63)*(1+Inputs!$D$64)^(AS$261-1)</f>
        <v>-32636.1130666667</v>
      </c>
      <c r="AT381" s="69" t="n">
        <f aca="false">-AT376*Inputs!$D$60/12*1*(1+Inputs!$D$63)*(1+Inputs!$D$64)^(AT$261-1)</f>
        <v>-32636.1130666667</v>
      </c>
      <c r="AU381" s="69" t="n">
        <f aca="false">-AU376*Inputs!$D$60/12*1*(1+Inputs!$D$63)*(1+Inputs!$D$64)^(AU$261-1)</f>
        <v>-32636.1130666667</v>
      </c>
      <c r="AV381" s="69" t="n">
        <f aca="false">-AV376*Inputs!$D$60/12*1*(1+Inputs!$D$63)*(1+Inputs!$D$64)^(AV$261-1)</f>
        <v>-32636.1130666667</v>
      </c>
      <c r="AW381" s="69" t="n">
        <f aca="false">-AW376*Inputs!$D$60/12*1*(1+Inputs!$D$63)*(1+Inputs!$D$64)^(AW$261-1)</f>
        <v>-32636.1130666667</v>
      </c>
      <c r="AX381" s="69" t="n">
        <f aca="false">-AX376*Inputs!$D$60/12*1*(1+Inputs!$D$63)*(1+Inputs!$D$64)^(AX$261-1)</f>
        <v>-32636.1130666667</v>
      </c>
      <c r="AY381" s="69" t="n">
        <f aca="false">-AY376*Inputs!$D$60/12*1*(1+Inputs!$D$63)*(1+Inputs!$D$64)^(AY$261-1)</f>
        <v>-33615.1964586667</v>
      </c>
      <c r="AZ381" s="69" t="n">
        <f aca="false">-AZ376*Inputs!$D$60/12*1*(1+Inputs!$D$63)*(1+Inputs!$D$64)^(AZ$261-1)</f>
        <v>-33615.1964586667</v>
      </c>
      <c r="BA381" s="69" t="n">
        <f aca="false">-BA376*Inputs!$D$60/12*1*(1+Inputs!$D$63)*(1+Inputs!$D$64)^(BA$261-1)</f>
        <v>-33615.1964586667</v>
      </c>
      <c r="BB381" s="69" t="n">
        <f aca="false">-BB376*Inputs!$D$60/12*1*(1+Inputs!$D$63)*(1+Inputs!$D$64)^(BB$261-1)</f>
        <v>-33615.1964586667</v>
      </c>
      <c r="BC381" s="69" t="n">
        <f aca="false">-BC376*Inputs!$D$60/12*1*(1+Inputs!$D$63)*(1+Inputs!$D$64)^(BC$261-1)</f>
        <v>-33615.1964586667</v>
      </c>
      <c r="BD381" s="69" t="n">
        <f aca="false">-BD376*Inputs!$D$60/12*1*(1+Inputs!$D$63)*(1+Inputs!$D$64)^(BD$261-1)</f>
        <v>-33615.1964586667</v>
      </c>
      <c r="BE381" s="69" t="n">
        <f aca="false">-BE376*Inputs!$D$60/12*1*(1+Inputs!$D$63)*(1+Inputs!$D$64)^(BE$261-1)</f>
        <v>-33615.1964586667</v>
      </c>
      <c r="BF381" s="69" t="n">
        <f aca="false">-BF376*Inputs!$D$60/12*1*(1+Inputs!$D$63)*(1+Inputs!$D$64)^(BF$261-1)</f>
        <v>-33615.1964586667</v>
      </c>
      <c r="BG381" s="69" t="n">
        <f aca="false">-BG376*Inputs!$D$60/12*1*(1+Inputs!$D$63)*(1+Inputs!$D$64)^(BG$261-1)</f>
        <v>-33615.1964586667</v>
      </c>
      <c r="BH381" s="69" t="n">
        <f aca="false">-BH376*Inputs!$D$60/12*1*(1+Inputs!$D$63)*(1+Inputs!$D$64)^(BH$261-1)</f>
        <v>-33615.1964586667</v>
      </c>
      <c r="BI381" s="69" t="n">
        <f aca="false">-BI376*Inputs!$D$60/12*1*(1+Inputs!$D$63)*(1+Inputs!$D$64)^(BI$261-1)</f>
        <v>-33615.1964586667</v>
      </c>
      <c r="BJ381" s="69" t="n">
        <f aca="false">-BJ376*Inputs!$D$60/12*1*(1+Inputs!$D$63)*(1+Inputs!$D$64)^(BJ$261-1)</f>
        <v>-33615.1964586667</v>
      </c>
    </row>
    <row r="382" customFormat="false" ht="15" hidden="false" customHeight="false" outlineLevel="0" collapsed="false">
      <c r="A382" s="113" t="s">
        <v>476</v>
      </c>
      <c r="C382" s="70" t="n">
        <f aca="false">C380+C381</f>
        <v>-36586.6666666667</v>
      </c>
      <c r="D382" s="70" t="n">
        <f aca="false">D380+D381</f>
        <v>-36586.6666666667</v>
      </c>
      <c r="E382" s="70" t="n">
        <f aca="false">E380+E381</f>
        <v>-36586.6666666667</v>
      </c>
      <c r="F382" s="70" t="n">
        <f aca="false">F380+F381</f>
        <v>-36586.6666666667</v>
      </c>
      <c r="G382" s="70" t="n">
        <f aca="false">G380+G381</f>
        <v>-36586.6666666667</v>
      </c>
      <c r="H382" s="70" t="n">
        <f aca="false">H380+H381</f>
        <v>-36586.6666666667</v>
      </c>
      <c r="I382" s="70" t="n">
        <f aca="false">I380+I381</f>
        <v>-36586.6666666667</v>
      </c>
      <c r="J382" s="70" t="n">
        <f aca="false">J380+J381</f>
        <v>-36586.6666666667</v>
      </c>
      <c r="K382" s="70" t="n">
        <f aca="false">K380+K381</f>
        <v>-36586.6666666667</v>
      </c>
      <c r="L382" s="70" t="n">
        <f aca="false">L380+L381</f>
        <v>-36586.6666666667</v>
      </c>
      <c r="M382" s="70" t="n">
        <f aca="false">M380+M381</f>
        <v>-36586.6666666667</v>
      </c>
      <c r="N382" s="70" t="n">
        <f aca="false">N380+N381</f>
        <v>-36586.6666666667</v>
      </c>
      <c r="O382" s="70" t="n">
        <f aca="false">O380+O381</f>
        <v>-37684.2666666667</v>
      </c>
      <c r="P382" s="70" t="n">
        <f aca="false">P380+P381</f>
        <v>-37684.2666666667</v>
      </c>
      <c r="Q382" s="70" t="n">
        <f aca="false">Q380+Q381</f>
        <v>-37684.2666666667</v>
      </c>
      <c r="R382" s="70" t="n">
        <f aca="false">R380+R381</f>
        <v>-37684.2666666667</v>
      </c>
      <c r="S382" s="70" t="n">
        <f aca="false">S380+S381</f>
        <v>-37684.2666666667</v>
      </c>
      <c r="T382" s="70" t="n">
        <f aca="false">T380+T381</f>
        <v>-37684.2666666667</v>
      </c>
      <c r="U382" s="70" t="n">
        <f aca="false">U380+U381</f>
        <v>-37684.2666666667</v>
      </c>
      <c r="V382" s="70" t="n">
        <f aca="false">V380+V381</f>
        <v>-37684.2666666667</v>
      </c>
      <c r="W382" s="70" t="n">
        <f aca="false">W380+W381</f>
        <v>-37684.2666666667</v>
      </c>
      <c r="X382" s="70" t="n">
        <f aca="false">X380+X381</f>
        <v>-37684.2666666667</v>
      </c>
      <c r="Y382" s="70" t="n">
        <f aca="false">Y380+Y381</f>
        <v>-37684.2666666667</v>
      </c>
      <c r="Z382" s="70" t="n">
        <f aca="false">Z380+Z381</f>
        <v>-37684.2666666667</v>
      </c>
      <c r="AA382" s="70" t="n">
        <f aca="false">AA380+AA381</f>
        <v>-38814.7946666667</v>
      </c>
      <c r="AB382" s="70" t="n">
        <f aca="false">AB380+AB381</f>
        <v>-38814.7946666667</v>
      </c>
      <c r="AC382" s="70" t="n">
        <f aca="false">AC380+AC381</f>
        <v>-38814.7946666667</v>
      </c>
      <c r="AD382" s="70" t="n">
        <f aca="false">AD380+AD381</f>
        <v>-38814.7946666667</v>
      </c>
      <c r="AE382" s="70" t="n">
        <f aca="false">AE380+AE381</f>
        <v>-38814.7946666667</v>
      </c>
      <c r="AF382" s="70" t="n">
        <f aca="false">AF380+AF381</f>
        <v>-38814.7946666667</v>
      </c>
      <c r="AG382" s="70" t="n">
        <f aca="false">AG380+AG381</f>
        <v>-38814.7946666667</v>
      </c>
      <c r="AH382" s="70" t="n">
        <f aca="false">AH380+AH381</f>
        <v>-38814.7946666667</v>
      </c>
      <c r="AI382" s="70" t="n">
        <f aca="false">AI380+AI381</f>
        <v>-38814.7946666667</v>
      </c>
      <c r="AJ382" s="70" t="n">
        <f aca="false">AJ380+AJ381</f>
        <v>-38814.7946666667</v>
      </c>
      <c r="AK382" s="70" t="n">
        <f aca="false">AK380+AK381</f>
        <v>-38814.7946666667</v>
      </c>
      <c r="AL382" s="70" t="n">
        <f aca="false">AL380+AL381</f>
        <v>-38814.7946666667</v>
      </c>
      <c r="AM382" s="70" t="n">
        <f aca="false">AM380+AM381</f>
        <v>-39979.2385066667</v>
      </c>
      <c r="AN382" s="70" t="n">
        <f aca="false">AN380+AN381</f>
        <v>-39979.2385066667</v>
      </c>
      <c r="AO382" s="70" t="n">
        <f aca="false">AO380+AO381</f>
        <v>-39979.2385066667</v>
      </c>
      <c r="AP382" s="70" t="n">
        <f aca="false">AP380+AP381</f>
        <v>-39979.2385066667</v>
      </c>
      <c r="AQ382" s="70" t="n">
        <f aca="false">AQ380+AQ381</f>
        <v>-39979.2385066667</v>
      </c>
      <c r="AR382" s="70" t="n">
        <f aca="false">AR380+AR381</f>
        <v>-39979.2385066667</v>
      </c>
      <c r="AS382" s="70" t="n">
        <f aca="false">AS380+AS381</f>
        <v>-39979.2385066667</v>
      </c>
      <c r="AT382" s="70" t="n">
        <f aca="false">AT380+AT381</f>
        <v>-39979.2385066667</v>
      </c>
      <c r="AU382" s="70" t="n">
        <f aca="false">AU380+AU381</f>
        <v>-39979.2385066667</v>
      </c>
      <c r="AV382" s="70" t="n">
        <f aca="false">AV380+AV381</f>
        <v>-39979.2385066667</v>
      </c>
      <c r="AW382" s="70" t="n">
        <f aca="false">AW380+AW381</f>
        <v>-39979.2385066667</v>
      </c>
      <c r="AX382" s="70" t="n">
        <f aca="false">AX380+AX381</f>
        <v>-39979.2385066667</v>
      </c>
      <c r="AY382" s="70" t="n">
        <f aca="false">AY380+AY381</f>
        <v>-41178.6156618667</v>
      </c>
      <c r="AZ382" s="70" t="n">
        <f aca="false">AZ380+AZ381</f>
        <v>-41178.6156618667</v>
      </c>
      <c r="BA382" s="70" t="n">
        <f aca="false">BA380+BA381</f>
        <v>-41178.6156618667</v>
      </c>
      <c r="BB382" s="70" t="n">
        <f aca="false">BB380+BB381</f>
        <v>-41178.6156618667</v>
      </c>
      <c r="BC382" s="70" t="n">
        <f aca="false">BC380+BC381</f>
        <v>-41178.6156618667</v>
      </c>
      <c r="BD382" s="70" t="n">
        <f aca="false">BD380+BD381</f>
        <v>-41178.6156618667</v>
      </c>
      <c r="BE382" s="70" t="n">
        <f aca="false">BE380+BE381</f>
        <v>-41178.6156618667</v>
      </c>
      <c r="BF382" s="70" t="n">
        <f aca="false">BF380+BF381</f>
        <v>-41178.6156618667</v>
      </c>
      <c r="BG382" s="70" t="n">
        <f aca="false">BG380+BG381</f>
        <v>-41178.6156618667</v>
      </c>
      <c r="BH382" s="70" t="n">
        <f aca="false">BH380+BH381</f>
        <v>-41178.6156618667</v>
      </c>
      <c r="BI382" s="70" t="n">
        <f aca="false">BI380+BI381</f>
        <v>-41178.6156618667</v>
      </c>
      <c r="BJ382" s="70" t="n">
        <f aca="false">BJ380+BJ381</f>
        <v>-41178.6156618667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482</v>
      </c>
    </row>
    <row r="3" customFormat="false" ht="15" hidden="false" customHeight="false" outlineLevel="0" collapsed="false">
      <c r="A3" s="33" t="s">
        <v>483</v>
      </c>
      <c r="B3" s="33" t="s">
        <v>484</v>
      </c>
      <c r="C3" s="33" t="s">
        <v>485</v>
      </c>
    </row>
    <row r="4" customFormat="false" ht="15" hidden="false" customHeight="false" outlineLevel="0" collapsed="false">
      <c r="A4" s="6" t="s">
        <v>486</v>
      </c>
      <c r="B4" s="4" t="str">
        <f aca="false">IF(ABS(SUM('P&amp;L'!$B$5:$F$5)-SUM(Monthly!$C$37:$BJ$37))&lt;0.5,"PASS","FAIL")</f>
        <v>PASS</v>
      </c>
      <c r="C4" s="18" t="s">
        <v>487</v>
      </c>
    </row>
    <row r="5" customFormat="false" ht="15" hidden="false" customHeight="false" outlineLevel="0" collapsed="false">
      <c r="A5" s="6" t="s">
        <v>488</v>
      </c>
      <c r="B5" s="4" t="str">
        <f aca="false">IF(ABS(SUM('P&amp;L'!$B$22:$F$22)-SUM(Monthly!$C$64:$BJ$64))&lt;0.5,"PASS","FAIL")</f>
        <v>PASS</v>
      </c>
      <c r="C5" s="18" t="s">
        <v>489</v>
      </c>
    </row>
    <row r="6" customFormat="false" ht="15" hidden="false" customHeight="false" outlineLevel="0" collapsed="false">
      <c r="A6" s="6" t="s">
        <v>490</v>
      </c>
      <c r="B6" s="4" t="str">
        <f aca="false">IF(ABS(SUM(Monthly!$C$55:$BJ$55)-SUM(Monthly!$C$46:$BJ$46)-SUM(Monthly!$C$54:$BJ$54))&lt;0.5,"PASS","FAIL")</f>
        <v>PASS</v>
      </c>
      <c r="C6" s="18" t="s">
        <v>491</v>
      </c>
    </row>
    <row r="7" customFormat="false" ht="15" hidden="false" customHeight="false" outlineLevel="0" collapsed="false">
      <c r="A7" s="6" t="s">
        <v>492</v>
      </c>
      <c r="B7" s="4" t="str">
        <f aca="false">IF(ABS(INDEX(Monthly!$C$98:$BJ$98,60)-SUM(Monthly!$C$96:$BJ$96))&lt;0.5,"PASS","FAIL")</f>
        <v>PASS</v>
      </c>
      <c r="C7" s="18" t="s">
        <v>493</v>
      </c>
    </row>
    <row r="8" customFormat="false" ht="15" hidden="false" customHeight="false" outlineLevel="0" collapsed="false">
      <c r="A8" s="6" t="s">
        <v>494</v>
      </c>
      <c r="B8" s="4" t="str">
        <f aca="false">IF(AND(ISNUMBER(Dashboard!B4),Dashboard!B4&gt;=1,Dashboard!B4&lt;=3,INT(Dashboard!B4)=Dashboard!B4),"PASS","FAIL")</f>
        <v>PASS</v>
      </c>
      <c r="C8" s="18" t="s">
        <v>495</v>
      </c>
    </row>
    <row r="9" customFormat="false" ht="15" hidden="false" customHeight="false" outlineLevel="0" collapsed="false">
      <c r="A9" s="6" t="s">
        <v>496</v>
      </c>
      <c r="B9" s="4" t="str">
        <f aca="false">IF(AND(Inputs!$B$7&lt;=Inputs!$C$7,Inputs!$C$7&lt;=Inputs!$D$7,Inputs!$B$9&gt;=Inputs!$C$9,Inputs!$C$9&gt;=Inputs!$D$9,Inputs!$B$10&lt;=Inputs!$C$10,Inputs!$C$10&lt;=Inputs!$D$10,Inputs!$B$11&gt;=Inputs!$C$11,Inputs!$C$11&gt;=Inputs!$D$11,Inputs!$B$19&lt;=Inputs!$C$19,Inputs!$C$19&lt;=Inputs!$D$19,Inputs!$B$20&lt;=Inputs!$C$20,Inputs!$C$20&lt;=Inputs!$D$20,Inputs!$B$21&lt;=Inputs!$C$21,Inputs!$C$21&lt;=Inputs!$D$21,Inputs!$B$22&lt;=Inputs!$C$22,Inputs!$C$22&lt;=Inputs!$D$22,Inputs!$B$23&gt;=Inputs!$C$23,Inputs!$C$23&gt;=Inputs!$D$23,Inputs!$B$24&gt;=Inputs!$C$24,Inputs!$C$24&gt;=Inputs!$D$24,Inputs!$B$27&lt;=Inputs!$C$27,Inputs!$C$27&lt;=Inputs!$D$27,Inputs!$B$28&lt;=Inputs!$C$28,Inputs!$C$28&lt;=Inputs!$D$28,Inputs!$B$29&lt;=Inputs!$C$29,Inputs!$C$29&lt;=Inputs!$D$29,Inputs!$B$30&lt;=Inputs!$C$30,Inputs!$C$30&lt;=Inputs!$D$30,Inputs!$B$33&gt;=Inputs!$C$33,Inputs!$C$33&gt;=Inputs!$D$33,Inputs!$B$34&gt;=Inputs!$C$34,Inputs!$C$34&gt;=Inputs!$D$34,Inputs!$B$35&gt;=Inputs!$C$35,Inputs!$C$35&gt;=Inputs!$D$35,Inputs!$B$36&gt;=Inputs!$C$36,Inputs!$C$36&gt;=Inputs!$D$36,Inputs!$B$37&gt;=Inputs!$C$37,Inputs!$C$37&gt;=Inputs!$D$37,Inputs!$B$38&gt;=Inputs!$C$38,Inputs!$C$38&gt;=Inputs!$D$38,Inputs!$B$46&lt;=Inputs!$C$46,Inputs!$C$46&lt;=Inputs!$D$46,Inputs!$B$55&lt;=Inputs!$C$55,Inputs!$C$55&lt;=Inputs!$D$55,Inputs!$B$57&lt;=Inputs!$C$57,Inputs!$C$57&lt;=Inputs!$D$57,Inputs!$B$59&lt;=Inputs!$C$59,Inputs!$C$59&lt;=Inputs!$D$59,Inputs!$B$61&lt;=Inputs!$C$61,Inputs!$C$61&lt;=Inputs!$D$61,Inputs!$B$85&gt;=Inputs!$C$85,Inputs!$C$85&gt;=Inputs!$D$85,Inputs!$B$86&lt;=Inputs!$C$86,Inputs!$C$86&lt;=Inputs!$D$86,Inputs!$B$87&lt;=Inputs!$C$87,Inputs!$C$87&lt;=Inputs!$D$87),"PASS","FAIL")</f>
        <v>PASS</v>
      </c>
      <c r="C9" s="18" t="s">
        <v>497</v>
      </c>
    </row>
    <row r="10" customFormat="false" ht="15" hidden="false" customHeight="false" outlineLevel="0" collapsed="false">
      <c r="A10" s="6" t="s">
        <v>498</v>
      </c>
      <c r="B10" s="4" t="str">
        <f aca="false">IF(AND(MIN('P&amp;L'!$B$8:$F$8)&gt;=0,MAX('P&amp;L'!$B$8:$F$8)&lt;=1),"PASS","FAIL")</f>
        <v>PASS</v>
      </c>
      <c r="C10" s="18" t="s">
        <v>499</v>
      </c>
    </row>
    <row r="11" customFormat="false" ht="15" hidden="false" customHeight="false" outlineLevel="0" collapsed="false">
      <c r="A11" s="6" t="s">
        <v>500</v>
      </c>
      <c r="B11" s="4" t="str">
        <f aca="false">IF(MIN(Monthly!$C$81:$BJ$81)&gt;=-0.5,"PASS","FAIL")</f>
        <v>PASS</v>
      </c>
      <c r="C11" s="18" t="s">
        <v>501</v>
      </c>
    </row>
    <row r="12" customFormat="false" ht="15" hidden="false" customHeight="false" outlineLevel="0" collapsed="false">
      <c r="A12" s="6" t="s">
        <v>502</v>
      </c>
      <c r="B12" s="4" t="str">
        <f aca="false">IF(ABS('Break-even'!B18-('Break-even'!B16-'Break-even'!B10))&lt;0.5,"PASS","FAIL")</f>
        <v>PASS</v>
      </c>
      <c r="C12" s="18" t="s">
        <v>503</v>
      </c>
    </row>
    <row r="13" customFormat="false" ht="15" hidden="false" customHeight="false" outlineLevel="0" collapsed="false">
      <c r="A13" s="6" t="s">
        <v>504</v>
      </c>
      <c r="B13" s="4" t="str">
        <f aca="false">IF(ABS(Valuation!B23-NPV(Valuation!B6,Valuation!$B$17:$F$17))&lt;0.5,"PASS","FAIL")</f>
        <v>PASS</v>
      </c>
      <c r="C13" s="18" t="s">
        <v>505</v>
      </c>
    </row>
    <row r="14" customFormat="false" ht="15" hidden="false" customHeight="false" outlineLevel="0" collapsed="false">
      <c r="A14" s="6" t="s">
        <v>506</v>
      </c>
      <c r="B14" s="4" t="str">
        <f aca="false">IF(Valuation!B6&gt;Valuation!B7,"PASS","FAIL")</f>
        <v>PASS</v>
      </c>
      <c r="C14" s="18" t="s">
        <v>507</v>
      </c>
    </row>
    <row r="15" customFormat="false" ht="15" hidden="false" customHeight="false" outlineLevel="0" collapsed="false">
      <c r="A15" s="6" t="s">
        <v>508</v>
      </c>
      <c r="B15" s="4" t="str">
        <f aca="false">IF(ABS(Valuation!D36-Valuation!B27)&lt;0.5,"PASS","FAIL")</f>
        <v>PASS</v>
      </c>
      <c r="C15" s="18" t="s">
        <v>509</v>
      </c>
    </row>
    <row r="16" customFormat="false" ht="15" hidden="false" customHeight="false" outlineLevel="0" collapsed="false">
      <c r="A16" s="6" t="s">
        <v>510</v>
      </c>
      <c r="B16" s="4" t="str">
        <f aca="false">IF(Valuation!$F$17&gt;0,"PASS","WARN")</f>
        <v>PASS</v>
      </c>
      <c r="C16" s="18" t="s">
        <v>511</v>
      </c>
    </row>
    <row r="17" customFormat="false" ht="15" hidden="false" customHeight="false" outlineLevel="0" collapsed="false">
      <c r="A17" s="6" t="s">
        <v>512</v>
      </c>
      <c r="B17" s="4" t="str">
        <f aca="false">IF(ABS('Sources &amp; Uses'!B21-'Sources &amp; Uses'!B28)&lt;0.5,"PASS","FAIL")</f>
        <v>PASS</v>
      </c>
      <c r="C17" s="18" t="s">
        <v>513</v>
      </c>
    </row>
    <row r="18" customFormat="false" ht="15" hidden="false" customHeight="false" outlineLevel="0" collapsed="false">
      <c r="A18" s="6" t="s">
        <v>514</v>
      </c>
      <c r="B18" s="4" t="str">
        <f aca="false">IF(SUMPRODUCT(--ISERROR(Monthly!$C$4:$BJ$116))+SUMPRODUCT(--ISERROR(Headcount!$C$4:$BJ$15))+SUMPRODUCT(--ISERROR('P&amp;L'!$B$3:$F$23))+SUMPRODUCT(--ISERROR('Cash Flow'!$B$3:$F$18))+SUMPRODUCT(--ISERROR('Balance Sheet'!$B$3:$F$17))+SUMPRODUCT(--ISERROR(KPIs!$B$27:$F$52))+SUMPRODUCT(--ISERROR('Break-even'!$B$26:$F$33))+SUMPRODUCT(--ISERROR(Valuation!$B$14:$F$19))+SUMPRODUCT(--ISERROR('Break-even'!$B$3:$F$35))+SUMPRODUCT(--ISERROR(Valuation!$A$3:$F$40))+SUMPRODUCT(--ISERROR('Sources &amp; Uses'!$B$3:$C$30))+SUMPRODUCT(--ISERROR(Dashboard!$A$6:$W$44))+SUMPRODUCT(--ISERROR(Summary!$A$5:$S$52))+SUMPRODUCT(--ISERROR(KPIs!$A$4:$G$52))+SUMPRODUCT(--ISERROR('Scenario calc'!$C$6:$BJ$128))+SUMPRODUCT(--ISERROR('Scenario calc'!$C$133:$BJ$255))+SUMPRODUCT(--ISERROR('Scenario calc'!$C$260:$BJ$382))+SUMPRODUCT(--ISERROR(Scenarios!$B$5:$F$51))=0,"PASS","FAIL")</f>
        <v>PASS</v>
      </c>
      <c r="C18" s="18" t="s">
        <v>515</v>
      </c>
    </row>
    <row r="19" customFormat="false" ht="15" hidden="false" customHeight="false" outlineLevel="0" collapsed="false">
      <c r="A19" s="6" t="s">
        <v>516</v>
      </c>
      <c r="B19" s="4" t="str">
        <f aca="false">IF(IFERROR(AND(SUMPRODUCT(--(ABS(Summary!$B$7:$F$7-'P&amp;L'!$B$5:$F$5)&gt;0.5))=0,SUMPRODUCT(--(ABS(Summary!$B$19:$F$19-'P&amp;L'!$B$22:$F$22)&gt;0.5))=0,SUMPRODUCT(--(ABS(Summary!$B$31:$F$31-'Cash Flow'!$B$18:$F$18)&gt;0.5))=0,SUMPRODUCT(--(ABS(Summary!$B$41:$F$41-'Balance Sheet'!$B$5:$F$5)&gt;0.5))=0,ABS(SUM(Summary!$H$7:$S$7)-INDEX(Summary!$B$7:$F$7,Summary!$R$2))&lt;0.5,ABS(SUM(Summary!$H$19:$S$19)-INDEX(Summary!$B$19:$F$19,Summary!$R$2))&lt;0.5,ABS(Summary!$S$31-INDEX(Summary!$B$31:$F$31,Summary!$R$2))&lt;0.5),FALSE()),"PASS","FAIL")</f>
        <v>PASS</v>
      </c>
      <c r="C19" s="18" t="s">
        <v>517</v>
      </c>
    </row>
    <row r="20" customFormat="false" ht="15" hidden="false" customHeight="false" outlineLevel="0" collapsed="false">
      <c r="A20" s="6" t="s">
        <v>518</v>
      </c>
      <c r="B20" s="4" t="str">
        <f aca="false">IF(SUMPRODUCT(--(ABS(KPIs!$B$24:$F$24)&gt;0.000000001))&gt;0,"FAIL",IF(SUMPRODUCT(ISNUMBER(KPIs!$B$23:$F$23)*ISNUMBER(KPIs!$B$16:$F$16))=0,"n/a","PASS"))</f>
        <v>PASS</v>
      </c>
      <c r="C20" s="18" t="s">
        <v>519</v>
      </c>
    </row>
    <row r="21" customFormat="false" ht="15" hidden="false" customHeight="false" outlineLevel="0" collapsed="false">
      <c r="A21" s="6" t="s">
        <v>520</v>
      </c>
      <c r="B21" s="4" t="str">
        <f aca="false">IF(IFERROR(AND(ABS(Scenarios!E18-INDEX(Scenarios!B18:D18,1,Dashboard!$B$4))&lt;0.5,ABS(Scenarios!E19-INDEX(Scenarios!B19:D19,1,Dashboard!$B$4))&lt;0.5,ABS(Scenarios!E20-INDEX(Scenarios!B20:D20,1,Dashboard!$B$4))&lt;0.5,ABS(Scenarios!E21-INDEX(Scenarios!B21:D21,1,Dashboard!$B$4))&lt;0.000001,ABS(Scenarios!E22-INDEX(Scenarios!B22:D22,1,Dashboard!$B$4))&lt;0.5,ABS(Scenarios!E23-INDEX(Scenarios!B23:D23,1,Dashboard!$B$4))&lt;0.5,ABS(Scenarios!E24-INDEX(Scenarios!B24:D24,1,Dashboard!$B$4))&lt;0.5,ABS(Scenarios!E25-INDEX(Scenarios!B25:D25,1,Dashboard!$B$4))&lt;0.5,ABS(Scenarios!E26-INDEX(Scenarios!B26:D26,1,Dashboard!$B$4))&lt;0.5,ABS(Scenarios!E27-INDEX(Scenarios!B27:D27,1,Dashboard!$B$4))&lt;0.5),FALSE()),"PASS","FAIL")</f>
        <v>PASS</v>
      </c>
      <c r="C21" s="18" t="s">
        <v>521</v>
      </c>
    </row>
    <row r="22" customFormat="false" ht="15" hidden="false" customHeight="false" outlineLevel="0" collapsed="false">
      <c r="A22" s="6" t="s">
        <v>522</v>
      </c>
      <c r="B22" s="4" t="str">
        <f aca="false">IF(SUMPRODUCT(--(ABS(Monthly!$C$116:$BJ$116)&gt;0.5))=0,"PASS","FAIL")</f>
        <v>PASS</v>
      </c>
      <c r="C22" s="18" t="s">
        <v>523</v>
      </c>
    </row>
    <row r="23" customFormat="false" ht="15" hidden="false" customHeight="false" outlineLevel="0" collapsed="false">
      <c r="A23" s="6" t="s">
        <v>524</v>
      </c>
      <c r="B23" s="4" t="str">
        <f aca="false">IF(MIN(Monthly!$C$98:$BJ$98)&gt;=0,"PASS","WARN")</f>
        <v>PASS</v>
      </c>
      <c r="C23" s="18" t="s">
        <v>525</v>
      </c>
    </row>
    <row r="25" customFormat="false" ht="15" hidden="false" customHeight="false" outlineLevel="0" collapsed="false">
      <c r="A25" s="72" t="s">
        <v>526</v>
      </c>
      <c r="B25" s="72" t="str">
        <f aca="false">IF(COUNTIF(B4:B23,"FAIL")&gt;0,"FAIL",IF(COUNTIF(B4:B23,"WARN")&gt;0,"PASS WITH WARNINGS","PASS"))</f>
        <v>PASS</v>
      </c>
      <c r="C25" s="124"/>
    </row>
  </sheetData>
  <conditionalFormatting sqref="B4:B25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2026-10-21T14:40:07Z</dcterms:created>
  <dc:creator/>
  <dc:description/>
  <dc:language>en-US</dc:language>
  <cp:lastModifiedBy/>
  <dcterms:modified xsi:type="dcterms:W3CDTF">2026-10-21T14:40:10Z</dcterms:modified>
  <cp:revision>0</cp:revision>
  <dc:subject/>
  <dc:title>Car wash financial model (planning)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