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<sst xmlns="http://schemas.openxmlformats.org/spreadsheetml/2006/main" count="793" uniqueCount="492">
  <si>
    <t xml:space="preserve">Car wash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</si>
  <si>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</si>
  <si>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</si>
  <si>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</si>
  <si>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</si>
  <si>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</si>
  <si>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</si>
  <si>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</si>
  <si>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</si>
  <si>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</si>
  <si>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</si>
  <si>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</si>
  <si>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</si>
  <si>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</si>
  <si>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</si>
  <si>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</si>
  <si>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</si>
  <si>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</si>
  <si>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</si>
  <si>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</si>
  <si>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</si>
  <si>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</si>
  <si>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</si>
  <si>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</si>
  <si>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</si>
  <si>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</si>
  <si>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</si>
  <si>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</si>
  <si>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</si>
  <si>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</si>
  <si>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</si>
  <si>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</si>
  <si>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</si>
  <si>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</si>
  <si>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</si>
  <si>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</si>
  <si>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</si>
  <si>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</si>
  <si>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</si>
  <si>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</si>
  <si>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</si>
  <si>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</si>
  <si>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</si>
  <si>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</si>
  <si>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</si>
  <si>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</si>
  <si>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</si>
  <si>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</si>
  <si>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</si>
  <si>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</si>
  <si>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</si>
  <si>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</si>
  <si>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</si>
  <si>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</si>
  <si>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</si>
  <si>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</si>
  <si>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</si>
  <si>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</si>
  <si>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</si>
  <si>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</si>
  <si>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</si>
  <si>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</si>
  <si>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</si>
  <si>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</si>
  <si>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</si>
  <si>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</si>
  <si>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</si>
  <si>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</si>
  <si>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</si>
  <si>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</si>
  <si>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</si>
  <si>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</si>
  <si>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</si>
  <si>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</si>
  <si>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</si>
  <si>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</si>
  <si>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</si>
  <si>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</si>
  <si>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</si>
  <si>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</si>
  <si>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</si>
  <si>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</si>
  <si>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</si>
  <si>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</si>
  <si>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</si>
  <si>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</si>
  <si>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</si>
  <si>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</si>
  <si>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</si>
  <si>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</si>
  <si>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</si>
  <si>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</si>
  <si>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</si>
  <si>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</si>
  <si>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</si>
  <si>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</si>
  <si>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</si>
  <si>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</si>
  <si>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</si>
  <si>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</si>
  <si>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</si>
  <si>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</si>
  <si>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</si>
  <si>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</si>
  <si>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</si>
  <si>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</si>
  <si>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</si>
  <si>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</si>
  <si>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</si>
  <si>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</si>
  <si>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</si>
  <si>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</si>
  <si>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</si>
  <si>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</si>
  <si>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</si>
  <si>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</si>
  <si>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</si>
  <si>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</si>
  <si>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</si>
  <si>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</si>
  <si>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</si>
  <si>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</si>
  <si>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</si>
  <si>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</si>
  <si>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</si>
  <si>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</si>
  <si>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</si>
  <si>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</si>
  <si>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</si>
  <si>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</si>
  <si>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</si>
  <si>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</si>
  <si>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</si>
  <si>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</si>
  <si>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</si>
  <si>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</si>
  <si>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</si>
  <si>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</si>
  <si>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</si>
  <si>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</si>
  <si>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</si>
  <si>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</si>
  <si>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</si>
  <si>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</si>
  <si>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</si>
  <si>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</si>
  <si>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</si>
  <si>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</si>
  <si>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</si>
  <si>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</si>
  <si>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</si>
  <si>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</si>
  <si>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</si>
  <si>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</si>
  <si>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</si>
  <si>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</si>
  <si>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</si>
  <si>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</si>
  <si>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</si>
  <si>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</si>
  <si>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</si>
  <si>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</si>
  <si>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</si>
  <si>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</si>
  <si>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</si>
  <si>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</si>
  <si>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</si>
  <si>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</si>
  <si>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</si>
  <si>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</si>
  <si>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</si>
  <si>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</si>
  <si>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</si>
  <si>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</si>
  <si>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</si>
  <si>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</si>
  <si>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</si>
  <si>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</si>
  <si>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</si>
  <si>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</si>
  <si>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</si>
  <si>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</si>
  <si>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</si>
  <si>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</si>
  <si>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</si>
  <si>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</si>
  <si>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</si>
  <si>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</si>
  <si>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</si>
  <si>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</si>
  <si>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</si>
  <si>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</si>
  <si>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</si>
  <si>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</si>
  <si>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</si>
  <si>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</si>
  <si>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</si>
  <si>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</si>
  <si>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</si>
  <si>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</si>
  <si>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</si>
  <si>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</si>
  <si>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</si>
  <si>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</si>
  <si>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</si>
  <si>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</si>
  <si>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</si>
  <si>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</si>
  <si>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</si>
  <si>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</si>
  <si>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</si>
  <si>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</si>
  <si>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</si>
  <si>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</si>
  <si>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</si>
  <si>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</si>
  <si>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</si>
  <si>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</si>
  <si>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</si>
  <si>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</si>
  <si>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</si>
  <si>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</si>
  <si>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</si>
  <si>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</si>
  <si>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</si>
  <si>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</si>
  <si>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</si>
  <si>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</si>
  <si>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</si>
  <si>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</si>
  <si>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</si>
  <si>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</si>
  <si>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</si>
  <si>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</si>
  <si>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</si>
  <si>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</si>
  <si>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%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</si>
  <si>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</si>
  <si>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</si>
  <si>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</si>
  <si>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</si>
  <si>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</si>
  <si>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</si>
  <si>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</si>
  <si>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</si>
  <si>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</si>
  <si>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</si>
  <si>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</si>
  <si>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</si>
  <si>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</si>
  <si>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</si>
  <si>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</si>
  <si>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</si>
  <si>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</si>
  <si>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</si>
  <si>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</si>
  <si>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</si>
  <si>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</si>
  <si>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</si>
  <si>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</si>
  <si>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</si>
  <si>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</si>
  <si>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</si>
  <si>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</si>
  <si>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</si>
  <si>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</si>
  <si>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</si>
  <si>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</si>
  <si>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</si>
  <si>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</si>
  <si>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</si>
  <si>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</si>
  <si>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</si>
  <si>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</si>
  <si>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</si>
  <si>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</si>
  <si>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</si>
  <si>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</si>
  <si>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</si>
  <si>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</si>
  <si>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</si>
  <si>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</si>
  <si>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</si>
  <si>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</si>
  <si>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</si>
  <si>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</si>
  <si>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</si>
  <si>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</si>
  <si>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</si>
  <si>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</si>
  <si>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</si>
  <si>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</si>
  <si>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</si>
  <si>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</si>
  <si>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</si>
  <si>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</si>
  <si>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</si>
  <si>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</si>
  <si>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</si>
  <si>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</si>
  <si>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</si>
  <si>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</si>
  <si>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</si>
  <si>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</si>
  <si>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</si>
  <si>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</si>
  <si>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</si>
  <si>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</si>
  <si>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</si>
  <si>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</si>
  <si>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</si>
  <si>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</si>
  <si>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</si>
  <si>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</si>
  <si>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</si>
  <si>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</si>
  <si>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</si>
  <si>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</si>
  <si>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</si>
  <si>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</si>
  <si>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</si>
  <si>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</si>
  <si>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</si>
  <si>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</si>
  <si>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</si>
  <si>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</si>
  <si>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</si>
  <si>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</si>
  <si>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</si>
  <si>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</si>
  <si>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</si>
  <si>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</si>
  <si>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</si>
  <si>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</si>
  <si>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</si>
  <si>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</si>
  <si>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</si>
  <si>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</si>
  <si>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</si>
  <si>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</si>
  <si>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</si>
  <si>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</si>
  <si>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</si>
  <si>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</si>
  <si>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</si>
  <si>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</si>
  <si>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</si>
  <si>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</si>
  <si>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</si>
  <si>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</si>
  <si>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</si>
  <si>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</si>
  <si>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</si>
  <si>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</si>
  <si>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</si>
  <si>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</si>
  <si>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</si>
  <si>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</si>
  <si>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</si>
  <si>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</si>
  <si>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</si>
  <si>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</si>
  <si>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</si>
  <si>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</si>
  <si>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</si>
  <si>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</si>
  <si>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</si>
  <si>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</si>
  <si>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</si>
  <si>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</si>
  <si>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</si>
  <si>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</si>
  <si>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</si>
  <si>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</si>
  <si>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</si>
  <si>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</si>
  <si>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</si>
  <si>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</si>
  <si>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</si>
  <si>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</si>
  <si>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</si>
  <si>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</si>
  <si>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</si>
  <si>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</si>
  <si>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</si>
  <si>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</si>
  <si>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</si>
  <si>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</si>
  <si>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</si>
  <si>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</si>
  <si>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</si>
  <si>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</si>
  <si>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</si>
  <si>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</si>
  <si>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</si>
  <si>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</si>
  <si>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</si>
  <si>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</si>
  <si>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</si>
  <si>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</si>
  <si>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</si>
  <si>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</si>
  <si>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</si>
  <si>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</si>
  <si>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</si>
  <si>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</si>
  <si>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</si>
  <si>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</si>
  <si>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</si>
  <si>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</si>
  <si>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</si>
  <si>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</si>
  <si>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</si>
  <si>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</si>
  <si>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</si>
  <si>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</si>
  <si>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</si>
  <si>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</si>
  <si>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</si>
  <si>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</si>
  <si>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</si>
  <si>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Equipment refresh &amp; upgrades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</si>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</sst>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;\(#,##0\);\-"/>
    <numFmt numFmtId="190" formatCode="\$#,##0.00;&quot;($&quot;#,##0.00\);\-"/>
    <numFmt numFmtId="191" formatCode="[&gt;=1000000]\$#,##0.0,,\M;[&gt;=1000]\$#,##0,\k;\$#,##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  <c:pt idx="3">
                  <c:v>2282431.11225691</c:v>
                </c:pt>
                <c:pt idx="4">
                  <c:v>2440877.21952545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  <c:pt idx="3">
                  <c:v>754095.188500905</c:v>
                </c:pt>
                <c:pt idx="4">
                  <c:v>861881.484690629</c:v>
                </c:pt>
              </c:numCache>
            </c:numRef>
          </c:val>
        </c:ser>
        <c:gapWidth val="60"/>
        <c:overlap val="0"/>
        <c:axId val="11855146"/>
        <c:axId val="4967695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  <c:pt idx="3">
                  <c:v>0.330391215073843</c:v>
                </c:pt>
                <c:pt idx="4">
                  <c:v>0.353103170366838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943167"/>
        <c:axId val="50698459"/>
      </c:lineChart>
      <c:catAx>
        <c:axId val="118551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676959"/>
        <c:crosses val="autoZero"/>
        <c:auto val="1"/>
        <c:lblAlgn val="ctr"/>
        <c:lblOffset val="100"/>
        <c:noMultiLvlLbl val="0"/>
      </c:catAx>
      <c:valAx>
        <c:axId val="496769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855146"/>
        <c:crosses val="autoZero"/>
        <c:crossBetween val="between"/>
      </c:valAx>
      <c:catAx>
        <c:axId val="7994316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98459"/>
        <c:crosses val="autoZero"/>
        <c:auto val="1"/>
        <c:lblAlgn val="ctr"/>
        <c:lblOffset val="100"/>
        <c:noMultiLvlLbl val="0"/>
      </c:catAx>
      <c:valAx>
        <c:axId val="506984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94316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-369557.792453481</c:v>
                </c:pt>
                <c:pt idx="1">
                  <c:v>174478.453532665</c:v>
                </c:pt>
                <c:pt idx="2">
                  <c:v>412515.85538278</c:v>
                </c:pt>
                <c:pt idx="3">
                  <c:v>586141.123842083</c:v>
                </c:pt>
                <c:pt idx="4">
                  <c:v>719465.283116606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  <c:pt idx="3">
                  <c:v>-300000</c:v>
                </c:pt>
                <c:pt idx="4">
                  <c:v>-300000</c:v>
                </c:pt>
              </c:numCache>
            </c:numRef>
          </c:val>
        </c:ser>
        <c:gapWidth val="60"/>
        <c:overlap val="0"/>
        <c:axId val="60289745"/>
        <c:axId val="95478922"/>
      </c:barChart>
      <c:catAx>
        <c:axId val="602897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478922"/>
        <c:crosses val="autoZero"/>
        <c:auto val="1"/>
        <c:lblAlgn val="ctr"/>
        <c:lblOffset val="100"/>
        <c:noMultiLvlLbl val="0"/>
      </c:catAx>
      <c:valAx>
        <c:axId val="954789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897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  <c:pt idx="3">
                  <c:v>508577.640304047</c:v>
                </c:pt>
                <c:pt idx="4">
                  <c:v>888042.923420652</c:v>
                </c:pt>
              </c:numCache>
            </c:numRef>
          </c:val>
        </c:ser>
        <c:gapWidth val="60"/>
        <c:overlap val="0"/>
        <c:axId val="61374535"/>
        <c:axId val="85183533"/>
      </c:barChart>
      <c:catAx>
        <c:axId val="613745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183533"/>
        <c:crosses val="autoZero"/>
        <c:auto val="1"/>
        <c:lblAlgn val="ctr"/>
        <c:lblOffset val="100"/>
        <c:noMultiLvlLbl val="0"/>
      </c:catAx>
      <c:valAx>
        <c:axId val="851835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374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#,##0;\(#,##0\);\-</c:formatCode>
                <c:ptCount val="5"/>
                <c:pt idx="0">
                  <c:v>255.65215282268</c:v>
                </c:pt>
                <c:pt idx="1">
                  <c:v>401.36880504265</c:v>
                </c:pt>
                <c:pt idx="2">
                  <c:v>466.968087719058</c:v>
                </c:pt>
                <c:pt idx="3">
                  <c:v>510.312874958441</c:v>
                </c:pt>
                <c:pt idx="4">
                  <c:v>540.179689032592</c:v>
                </c:pt>
              </c:numCache>
            </c:numRef>
          </c:val>
        </c:ser>
        <c:gapWidth val="60"/>
        <c:overlap val="0"/>
        <c:axId val="13866199"/>
        <c:axId val="97154011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  <c:pt idx="3">
                  <c:v>0.602494539502291</c:v>
                </c:pt>
                <c:pt idx="4">
                  <c:v>0.637756421526083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255835"/>
        <c:axId val="28076388"/>
      </c:lineChart>
      <c:catAx>
        <c:axId val="1386619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154011"/>
        <c:crosses val="autoZero"/>
        <c:auto val="1"/>
        <c:lblAlgn val="ctr"/>
        <c:lblOffset val="100"/>
        <c:noMultiLvlLbl val="0"/>
      </c:catAx>
      <c:valAx>
        <c:axId val="971540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866199"/>
        <c:crosses val="autoZero"/>
        <c:crossBetween val="between"/>
      </c:valAx>
      <c:catAx>
        <c:axId val="4025583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76388"/>
        <c:crosses val="autoZero"/>
        <c:auto val="1"/>
        <c:lblAlgn val="ctr"/>
        <c:lblOffset val="100"/>
        <c:noMultiLvlLbl val="0"/>
      </c:catAx>
      <c:valAx>
        <c:axId val="2807638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25583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38812862"/>
        <c:axId val="61886692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812862"/>
        <c:axId val="61886692"/>
      </c:lineChart>
      <c:catAx>
        <c:axId val="3881286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886692"/>
        <c:crosses val="autoZero"/>
        <c:auto val="1"/>
        <c:lblAlgn val="ctr"/>
        <c:lblOffset val="100"/>
        <c:noMultiLvlLbl val="0"/>
      </c:catAx>
      <c:valAx>
        <c:axId val="618866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128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-74804.1630306</c:v>
                </c:pt>
                <c:pt idx="1">
                  <c:v>-68444.5087441057</c:v>
                </c:pt>
                <c:pt idx="2">
                  <c:v>-53080.977367098</c:v>
                </c:pt>
                <c:pt idx="3">
                  <c:v>-45827.3689705868</c:v>
                </c:pt>
                <c:pt idx="4">
                  <c:v>-38528.8683473374</c:v>
                </c:pt>
                <c:pt idx="5">
                  <c:v>-31107.7584114402</c:v>
                </c:pt>
                <c:pt idx="6">
                  <c:v>-23568.9435354011</c:v>
                </c:pt>
                <c:pt idx="7">
                  <c:v>-15917.1319168258</c:v>
                </c:pt>
                <c:pt idx="8">
                  <c:v>-8156.84342541571</c:v>
                </c:pt>
                <c:pt idx="9">
                  <c:v>-292.417136084256</c:v>
                </c:pt>
                <c:pt idx="10">
                  <c:v>2150.10605857762</c:v>
                </c:pt>
                <c:pt idx="11">
                  <c:v>-11978.9176271636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62220788"/>
        <c:axId val="5780764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84739"/>
        <c:axId val="78581658"/>
      </c:lineChart>
      <c:catAx>
        <c:axId val="6222078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807643"/>
        <c:crosses val="autoZero"/>
        <c:auto val="1"/>
        <c:lblAlgn val="ctr"/>
        <c:lblOffset val="100"/>
        <c:noMultiLvlLbl val="0"/>
      </c:catAx>
      <c:valAx>
        <c:axId val="578076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220788"/>
        <c:crosses val="autoZero"/>
        <c:crossBetween val="between"/>
      </c:valAx>
      <c:catAx>
        <c:axId val="268473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581658"/>
        <c:crosses val="autoZero"/>
        <c:auto val="1"/>
        <c:lblAlgn val="ctr"/>
        <c:lblOffset val="100"/>
        <c:noMultiLvlLbl val="0"/>
      </c:catAx>
      <c:valAx>
        <c:axId val="78581658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847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41127509"/>
        <c:axId val="9804176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127509"/>
        <c:axId val="98041763"/>
      </c:lineChart>
      <c:catAx>
        <c:axId val="4112750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041763"/>
        <c:crosses val="autoZero"/>
        <c:auto val="1"/>
        <c:lblAlgn val="ctr"/>
        <c:lblOffset val="100"/>
        <c:noMultiLvlLbl val="0"/>
      </c:catAx>
      <c:valAx>
        <c:axId val="980417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1275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369557.792453481</c:v>
                </c:pt>
                <c:pt idx="1">
                  <c:v>4100000</c:v>
                </c:pt>
                <c:pt idx="2">
                  <c:v>275000</c:v>
                </c:pt>
                <c:pt idx="3">
                  <c:v>355442.207546519</c:v>
                </c:pt>
              </c:numCache>
            </c:numRef>
          </c:val>
        </c:ser>
        <c:gapWidth val="60"/>
        <c:overlap val="0"/>
        <c:axId val="81525148"/>
        <c:axId val="71879764"/>
      </c:barChart>
      <c:catAx>
        <c:axId val="8152514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79764"/>
        <c:crosses val="autoZero"/>
        <c:auto val="1"/>
        <c:lblAlgn val="ctr"/>
        <c:lblOffset val="100"/>
        <c:noMultiLvlLbl val="0"/>
      </c:catAx>
      <c:valAx>
        <c:axId val="718797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52514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0.847123969825669</c:v>
                </c:pt>
                <c:pt idx="1">
                  <c:v>0.840145068471817</c:v>
                </c:pt>
                <c:pt idx="2">
                  <c:v>0.83491490995181</c:v>
                </c:pt>
                <c:pt idx="3">
                  <c:v>0.831414635206437</c:v>
                </c:pt>
                <c:pt idx="4">
                  <c:v>0.828711093639644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  <c:pt idx="3">
                  <c:v>0.330391215073843</c:v>
                </c:pt>
                <c:pt idx="4">
                  <c:v>0.353103170366838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-0.600951460800047</c:v>
                </c:pt>
                <c:pt idx="1">
                  <c:v>-0.0942940025033336</c:v>
                </c:pt>
                <c:pt idx="2">
                  <c:v>0.0309199644358894</c:v>
                </c:pt>
                <c:pt idx="3">
                  <c:v>0.102764775933284</c:v>
                </c:pt>
                <c:pt idx="4">
                  <c:v>0.149334215492205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54097"/>
        <c:axId val="29967573"/>
      </c:lineChart>
      <c:catAx>
        <c:axId val="675409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967573"/>
        <c:crosses val="autoZero"/>
        <c:auto val="1"/>
        <c:lblAlgn val="ctr"/>
        <c:lblOffset val="100"/>
        <c:noMultiLvlLbl val="0"/>
      </c:catAx>
      <c:valAx>
        <c:axId val="299675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40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-0.171702955749435</c:v>
                </c:pt>
                <c:pt idx="1">
                  <c:v>-0.0464726723709948</c:v>
                </c:pt>
                <c:pt idx="2">
                  <c:v>0.0187455245178273</c:v>
                </c:pt>
                <c:pt idx="3">
                  <c:v>0.0696399688840208</c:v>
                </c:pt>
                <c:pt idx="4">
                  <c:v>0.106133256937759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-0.50995744920361</c:v>
                </c:pt>
                <c:pt idx="1">
                  <c:v>-0.139521541300192</c:v>
                </c:pt>
                <c:pt idx="2">
                  <c:v>0.0500636521561513</c:v>
                </c:pt>
                <c:pt idx="3">
                  <c:v>0.154376581364551</c:v>
                </c:pt>
                <c:pt idx="4">
                  <c:v>0.193488545477448</c:v>
                </c:pt>
              </c:numCache>
            </c:numRef>
          </c:val>
        </c:ser>
        <c:gapWidth val="60"/>
        <c:overlap val="0"/>
        <c:axId val="27699476"/>
        <c:axId val="84572440"/>
      </c:barChart>
      <c:catAx>
        <c:axId val="276994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572440"/>
        <c:crosses val="autoZero"/>
        <c:auto val="1"/>
        <c:lblAlgn val="ctr"/>
        <c:lblOffset val="100"/>
        <c:noMultiLvlLbl val="0"/>
      </c:catAx>
      <c:valAx>
        <c:axId val="845724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6994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#,##0;\(#,##0\);\-</c:formatCode>
                <c:ptCount val="5"/>
                <c:pt idx="0">
                  <c:v>64869.1333333333</c:v>
                </c:pt>
                <c:pt idx="1">
                  <c:v>83520</c:v>
                </c:pt>
                <c:pt idx="2">
                  <c:v>83520</c:v>
                </c:pt>
                <c:pt idx="3">
                  <c:v>83520</c:v>
                </c:pt>
                <c:pt idx="4">
                  <c:v>83520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KPIs!$B$35:$F$35</c:f>
              <c:numCache>
                <c:formatCode>#,##0;\(#,##0\);\-</c:formatCode>
                <c:ptCount val="5"/>
                <c:pt idx="0">
                  <c:v>24097.8158489592</c:v>
                </c:pt>
                <c:pt idx="1">
                  <c:v>56156.3441548421</c:v>
                </c:pt>
                <c:pt idx="2">
                  <c:v>78984.8945262322</c:v>
                </c:pt>
                <c:pt idx="3">
                  <c:v>94068.8804855373</c:v>
                </c:pt>
                <c:pt idx="4">
                  <c:v>104462.531783342</c:v>
                </c:pt>
              </c:numCache>
            </c:numRef>
          </c:val>
        </c:ser>
        <c:gapWidth val="60"/>
        <c:overlap val="100"/>
        <c:axId val="48951165"/>
        <c:axId val="12960737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  <c:pt idx="3">
                  <c:v>0.602494539502291</c:v>
                </c:pt>
                <c:pt idx="4">
                  <c:v>0.637756421526083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742741"/>
        <c:axId val="52885448"/>
      </c:lineChart>
      <c:catAx>
        <c:axId val="489511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60737"/>
        <c:crosses val="autoZero"/>
        <c:auto val="1"/>
        <c:lblAlgn val="ctr"/>
        <c:lblOffset val="100"/>
        <c:noMultiLvlLbl val="0"/>
      </c:catAx>
      <c:valAx>
        <c:axId val="129607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951165"/>
        <c:crosses val="autoZero"/>
        <c:crossBetween val="between"/>
      </c:valAx>
      <c:catAx>
        <c:axId val="6674274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85448"/>
        <c:crosses val="autoZero"/>
        <c:auto val="1"/>
        <c:lblAlgn val="ctr"/>
        <c:lblOffset val="100"/>
        <c:noMultiLvlLbl val="0"/>
      </c:catAx>
      <c:valAx>
        <c:axId val="5288544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7427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\$#,##0,;"($"#,##0,\);\-</c:formatCode>
                <c:ptCount val="5"/>
                <c:pt idx="0">
                  <c:v>940602.433333333</c:v>
                </c:pt>
                <c:pt idx="1">
                  <c:v>1235260.8</c:v>
                </c:pt>
                <c:pt idx="2">
                  <c:v>1259966.016</c:v>
                </c:pt>
                <c:pt idx="3">
                  <c:v>1285165.33632</c:v>
                </c:pt>
                <c:pt idx="4">
                  <c:v>1310868.6430464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239579.958312896</c:v>
                </c:pt>
                <c:pt idx="1">
                  <c:v>570620.666663197</c:v>
                </c:pt>
                <c:pt idx="2">
                  <c:v>820310.581087405</c:v>
                </c:pt>
                <c:pt idx="3">
                  <c:v>997265.775936914</c:v>
                </c:pt>
                <c:pt idx="4">
                  <c:v>1130008.57647905</c:v>
                </c:pt>
              </c:numCache>
            </c:numRef>
          </c:val>
        </c:ser>
        <c:gapWidth val="60"/>
        <c:overlap val="100"/>
        <c:axId val="61193545"/>
        <c:axId val="58596329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KPIs!$B$52:$F$52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  <c:pt idx="3">
                  <c:v>0.330391215073843</c:v>
                </c:pt>
                <c:pt idx="4">
                  <c:v>0.353103170366838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388322"/>
        <c:axId val="54425824"/>
      </c:lineChart>
      <c:catAx>
        <c:axId val="611935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596329"/>
        <c:crosses val="autoZero"/>
        <c:auto val="1"/>
        <c:lblAlgn val="ctr"/>
        <c:lblOffset val="100"/>
        <c:noMultiLvlLbl val="0"/>
      </c:catAx>
      <c:valAx>
        <c:axId val="585963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193545"/>
        <c:crosses val="autoZero"/>
        <c:crossBetween val="between"/>
      </c:valAx>
      <c:catAx>
        <c:axId val="5338832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425824"/>
        <c:crosses val="autoZero"/>
        <c:auto val="1"/>
        <c:lblAlgn val="ctr"/>
        <c:lblOffset val="100"/>
        <c:noMultiLvlLbl val="0"/>
      </c:catAx>
      <c:valAx>
        <c:axId val="5442582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38832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2440877.21952545</v>
      </c>
      <c r="B7" s="25"/>
      <c r="C7" s="26" t="n">
        <f aca="false">F17</f>
        <v>0.353103170366838</v>
      </c>
      <c r="D7" s="26"/>
      <c r="E7" s="26"/>
      <c r="F7" s="26"/>
      <c r="H7" s="25" t="n">
        <f aca="false">F18</f>
        <v>364506.484690629</v>
      </c>
      <c r="I7" s="25"/>
      <c r="J7" s="25"/>
      <c r="K7" s="25"/>
      <c r="L7" s="25" t="n">
        <f aca="false">F39</f>
        <v>131554.538556901</v>
      </c>
      <c r="M7" s="25"/>
      <c r="N7" s="25"/>
      <c r="O7" s="25"/>
      <c r="P7" s="25" t="n">
        <f aca="false">F37</f>
        <v>5249445.4614431</v>
      </c>
      <c r="Q7" s="25"/>
      <c r="R7" s="25"/>
      <c r="S7" s="25"/>
      <c r="T7" s="25" t="n">
        <f aca="false">F44</f>
        <v>-1277795.63828136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0.199220933401085</v>
      </c>
      <c r="B8" s="27"/>
      <c r="C8" s="28" t="n">
        <f aca="false">F16</f>
        <v>861881.484690629</v>
      </c>
      <c r="D8" s="28"/>
      <c r="E8" s="28"/>
      <c r="F8" s="28"/>
      <c r="H8" s="29" t="n">
        <f aca="false">F19</f>
        <v>0.149334215492205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149445.461443098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SUMIF(Monthly!$C$5:$BJ$5,B$11,Monthly!$C$37:$BJ$37)</f>
        <v>1180182.39164623</v>
      </c>
      <c r="C12" s="35" t="n">
        <f aca="false">SUMIF(Monthly!$C$5:$BJ$5,C$11,Monthly!$C$37:$BJ$37)</f>
        <v>1805881.4666632</v>
      </c>
      <c r="D12" s="35" t="n">
        <f aca="false">SUMIF(Monthly!$C$5:$BJ$5,D$11,Monthly!$C$37:$BJ$37)</f>
        <v>2080276.59708741</v>
      </c>
      <c r="E12" s="35" t="n">
        <f aca="false">SUMIF(Monthly!$C$5:$BJ$5,E$11,Monthly!$C$37:$BJ$37)</f>
        <v>2282431.11225691</v>
      </c>
      <c r="F12" s="35" t="n">
        <f aca="false">SUMIF(Monthly!$C$5:$BJ$5,F$11,Monthly!$C$37:$BJ$37)</f>
        <v>2440877.21952545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SUMIF(Monthly!$C$5:$BJ$5,B$11,Monthly!$C$46:$BJ$46)</f>
        <v>999760.792729705</v>
      </c>
      <c r="C13" s="37" t="n">
        <f aca="false">SUMIF(Monthly!$C$5:$BJ$5,C$11,Monthly!$C$46:$BJ$46)</f>
        <v>1517202.40846174</v>
      </c>
      <c r="D13" s="37" t="n">
        <f aca="false">SUMIF(Monthly!$C$5:$BJ$5,D$11,Monthly!$C$46:$BJ$46)</f>
        <v>1736853.94773209</v>
      </c>
      <c r="E13" s="37" t="n">
        <f aca="false">SUMIF(Monthly!$C$5:$BJ$5,E$11,Monthly!$C$46:$BJ$46)</f>
        <v>1897646.63058091</v>
      </c>
      <c r="F13" s="37" t="n">
        <f aca="false">SUMIF(Monthly!$C$5:$BJ$5,F$11,Monthly!$C$46:$BJ$46)</f>
        <v>2022782.03003303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0.847123969825669</v>
      </c>
      <c r="C14" s="39" t="n">
        <f aca="false">IF(C12=0,0,C13/C12)</f>
        <v>0.840145068471817</v>
      </c>
      <c r="D14" s="39" t="n">
        <f aca="false">IF(D12=0,0,D13/D12)</f>
        <v>0.83491490995181</v>
      </c>
      <c r="E14" s="39" t="n">
        <f aca="false">IF(E12=0,0,E13/E12)</f>
        <v>0.831414635206437</v>
      </c>
      <c r="F14" s="39" t="n">
        <f aca="false">IF(F12=0,0,F13/F12)</f>
        <v>0.828711093639644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SUMIF(Monthly!$C$5:$BJ$5,B$11,Monthly!$C$54:$BJ$54)</f>
        <v>-1123040</v>
      </c>
      <c r="C15" s="35" t="n">
        <f aca="false">SUMIF(Monthly!$C$5:$BJ$5,C$11,Monthly!$C$54:$BJ$54)</f>
        <v>-1123611.2</v>
      </c>
      <c r="D15" s="35" t="n">
        <f aca="false">SUMIF(Monthly!$C$5:$BJ$5,D$11,Monthly!$C$54:$BJ$54)</f>
        <v>-1130823.536</v>
      </c>
      <c r="E15" s="35" t="n">
        <f aca="false">SUMIF(Monthly!$C$5:$BJ$5,E$11,Monthly!$C$54:$BJ$54)</f>
        <v>-1143551.44208</v>
      </c>
      <c r="F15" s="35" t="n">
        <f aca="false">SUMIF(Monthly!$C$5:$BJ$5,F$11,Monthly!$C$54:$BJ$54)</f>
        <v>-1160900.5453424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SUMIF(Monthly!$C$5:$BJ$5,B$11,Monthly!$C$55:$BJ$55)</f>
        <v>-123279.207270295</v>
      </c>
      <c r="C16" s="37" t="n">
        <f aca="false">SUMIF(Monthly!$C$5:$BJ$5,C$11,Monthly!$C$55:$BJ$55)</f>
        <v>393591.208461737</v>
      </c>
      <c r="D16" s="37" t="n">
        <f aca="false">SUMIF(Monthly!$C$5:$BJ$5,D$11,Monthly!$C$55:$BJ$55)</f>
        <v>606030.411732089</v>
      </c>
      <c r="E16" s="37" t="n">
        <f aca="false">SUMIF(Monthly!$C$5:$BJ$5,E$11,Monthly!$C$55:$BJ$55)</f>
        <v>754095.188500905</v>
      </c>
      <c r="F16" s="37" t="n">
        <f aca="false">SUMIF(Monthly!$C$5:$BJ$5,F$11,Monthly!$C$55:$BJ$55)</f>
        <v>861881.484690629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-0.104457758515049</v>
      </c>
      <c r="C17" s="39" t="n">
        <f aca="false">IF(C12=0,0,C16/C12)</f>
        <v>0.217949636079378</v>
      </c>
      <c r="D17" s="39" t="n">
        <f aca="false">IF(D12=0,0,D16/D12)</f>
        <v>0.291322035050816</v>
      </c>
      <c r="E17" s="39" t="n">
        <f aca="false">IF(E12=0,0,E16/E12)</f>
        <v>0.330391215073843</v>
      </c>
      <c r="F17" s="39" t="n">
        <f aca="false">IF(F12=0,0,F16/F12)</f>
        <v>0.353103170366838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SUMIF(Monthly!$C$5:$BJ$5,B$11,Monthly!$C$64:$BJ$64)</f>
        <v>-709232.332270295</v>
      </c>
      <c r="C18" s="41" t="n">
        <f aca="false">SUMIF(Monthly!$C$5:$BJ$5,C$11,Monthly!$C$64:$BJ$64)</f>
        <v>-170283.791538263</v>
      </c>
      <c r="D18" s="41" t="n">
        <f aca="false">SUMIF(Monthly!$C$5:$BJ$5,D$11,Monthly!$C$64:$BJ$64)</f>
        <v>64322.0783987556</v>
      </c>
      <c r="E18" s="41" t="n">
        <f aca="false">SUMIF(Monthly!$C$5:$BJ$5,E$11,Monthly!$C$64:$BJ$64)</f>
        <v>234553.521834239</v>
      </c>
      <c r="F18" s="41" t="n">
        <f aca="false">SUMIF(Monthly!$C$5:$BJ$5,F$11,Monthly!$C$64:$BJ$64)</f>
        <v>364506.484690629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-0.600951460800047</v>
      </c>
      <c r="C19" s="39" t="n">
        <f aca="false">IF(C12=0,0,C18/C12)</f>
        <v>-0.0942940025033336</v>
      </c>
      <c r="D19" s="39" t="n">
        <f aca="false">IF(D12=0,0,D18/D12)</f>
        <v>0.0309199644358894</v>
      </c>
      <c r="E19" s="39" t="n">
        <f aca="false">IF(E12=0,0,E18/E12)</f>
        <v>0.102764775933284</v>
      </c>
      <c r="F19" s="39" t="n">
        <f aca="false">IF(F12=0,0,F18/F12)</f>
        <v>0.149334215492205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SUMIF(Monthly!$C$5:$BJ$5,B$11,Monthly!$C$92:$BJ$92)</f>
        <v>-369557.792453481</v>
      </c>
      <c r="C20" s="35" t="n">
        <f aca="false">SUMIF(Monthly!$C$5:$BJ$5,C$11,Monthly!$C$92:$BJ$92)</f>
        <v>174478.453532665</v>
      </c>
      <c r="D20" s="35" t="n">
        <f aca="false">SUMIF(Monthly!$C$5:$BJ$5,D$11,Monthly!$C$92:$BJ$92)</f>
        <v>412515.85538278</v>
      </c>
      <c r="E20" s="35" t="n">
        <f aca="false">SUMIF(Monthly!$C$5:$BJ$5,E$11,Monthly!$C$92:$BJ$92)</f>
        <v>586141.123842083</v>
      </c>
      <c r="F20" s="35" t="n">
        <f aca="false">SUMIF(Monthly!$C$5:$BJ$5,F$11,Monthly!$C$92:$BJ$92)</f>
        <v>719465.283116606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SUMIF(Monthly!$C$5:$BJ$5,B$11,Monthly!$C$93:$BJ$93)</f>
        <v>-4100000</v>
      </c>
      <c r="C21" s="35" t="n">
        <f aca="false">SUMIF(Monthly!$C$5:$BJ$5,C$11,Monthly!$C$93:$BJ$93)</f>
        <v>-40000</v>
      </c>
      <c r="D21" s="35" t="n">
        <f aca="false">SUMIF(Monthly!$C$5:$BJ$5,D$11,Monthly!$C$93:$BJ$93)</f>
        <v>-40000</v>
      </c>
      <c r="E21" s="35" t="n">
        <f aca="false">SUMIF(Monthly!$C$5:$BJ$5,E$11,Monthly!$C$93:$BJ$93)</f>
        <v>-40000</v>
      </c>
      <c r="F21" s="35" t="n">
        <f aca="false">SUMIF(Monthly!$C$5:$BJ$5,F$11,Monthly!$C$93:$BJ$93)</f>
        <v>-40000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SUMIF(Monthly!$C$5:$BJ$5,B$11,Monthly!$C$95:$BJ$95)</f>
        <v>4825000</v>
      </c>
      <c r="C22" s="35" t="n">
        <f aca="false">SUMIF(Monthly!$C$5:$BJ$5,C$11,Monthly!$C$95:$BJ$95)</f>
        <v>-300000</v>
      </c>
      <c r="D22" s="35" t="n">
        <f aca="false">SUMIF(Monthly!$C$5:$BJ$5,D$11,Monthly!$C$95:$BJ$95)</f>
        <v>-300000</v>
      </c>
      <c r="E22" s="35" t="n">
        <f aca="false">SUMIF(Monthly!$C$5:$BJ$5,E$11,Monthly!$C$95:$BJ$95)</f>
        <v>-300000</v>
      </c>
      <c r="F22" s="35" t="n">
        <f aca="false">SUMIF(Monthly!$C$5:$BJ$5,F$11,Monthly!$C$95:$BJ$95)</f>
        <v>-300000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SUMIF(Monthly!$C$5:$BJ$5,B$11,Monthly!$C$96:$BJ$96)</f>
        <v>355442.207546519</v>
      </c>
      <c r="C23" s="37" t="n">
        <f aca="false">SUMIF(Monthly!$C$5:$BJ$5,C$11,Monthly!$C$96:$BJ$96)</f>
        <v>-165521.546467335</v>
      </c>
      <c r="D23" s="37" t="n">
        <f aca="false">SUMIF(Monthly!$C$5:$BJ$5,D$11,Monthly!$C$96:$BJ$96)</f>
        <v>72515.8553827797</v>
      </c>
      <c r="E23" s="37" t="n">
        <f aca="false">SUMIF(Monthly!$C$5:$BJ$5,E$11,Monthly!$C$96:$BJ$96)</f>
        <v>246141.123842083</v>
      </c>
      <c r="F23" s="37" t="n">
        <f aca="false">SUMIF(Monthly!$C$5:$BJ$5,F$11,Monthly!$C$96:$BJ$96)</f>
        <v>379465.283116606</v>
      </c>
    </row>
    <row r="24" customFormat="false" ht="15" hidden="false" customHeight="false" outlineLevel="0" collapsed="false">
      <c r="A24" s="40" t="s">
        <v>54</v>
      </c>
      <c r="B24" s="41" t="n">
        <f aca="false">INDEX(Monthly!$C$98:$BJ$98,B$11*12)</f>
        <v>355442.207546519</v>
      </c>
      <c r="C24" s="41" t="n">
        <f aca="false">INDEX(Monthly!$C$98:$BJ$98,C$11*12)</f>
        <v>189920.661079184</v>
      </c>
      <c r="D24" s="41" t="n">
        <f aca="false">INDEX(Monthly!$C$98:$BJ$98,D$11*12)</f>
        <v>262436.516461964</v>
      </c>
      <c r="E24" s="41" t="n">
        <f aca="false">INDEX(Monthly!$C$98:$BJ$98,E$11*12)</f>
        <v>508577.640304047</v>
      </c>
      <c r="F24" s="41" t="n">
        <f aca="false">INDEX(Monthly!$C$98:$BJ$98,F$11*12)</f>
        <v>888042.923420652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42" t="n">
        <f aca="false">KPIs!B29</f>
        <v>972.089183697303</v>
      </c>
      <c r="C28" s="42" t="n">
        <f aca="false">KPIs!C29</f>
        <v>1644.34338061813</v>
      </c>
      <c r="D28" s="42" t="n">
        <f aca="false">KPIs!D29</f>
        <v>2081.65600865264</v>
      </c>
      <c r="E28" s="42" t="n">
        <f aca="false">KPIs!E29</f>
        <v>2376.28844113691</v>
      </c>
      <c r="F28" s="42" t="n">
        <f aca="false">KPIs!F29</f>
        <v>2584.83366154401</v>
      </c>
    </row>
    <row r="29" customFormat="false" ht="15" hidden="false" customHeight="false" outlineLevel="0" collapsed="false">
      <c r="A29" s="6" t="s">
        <v>57</v>
      </c>
      <c r="B29" s="42" t="n">
        <f aca="false">KPIs!B37</f>
        <v>255.65215282268</v>
      </c>
      <c r="C29" s="42" t="n">
        <f aca="false">KPIs!C37</f>
        <v>401.36880504265</v>
      </c>
      <c r="D29" s="42" t="n">
        <f aca="false">KPIs!D37</f>
        <v>466.968087719058</v>
      </c>
      <c r="E29" s="42" t="n">
        <f aca="false">KPIs!E37</f>
        <v>510.312874958441</v>
      </c>
      <c r="F29" s="42" t="n">
        <f aca="false">KPIs!F37</f>
        <v>540.179689032592</v>
      </c>
    </row>
    <row r="30" customFormat="false" ht="15" hidden="false" customHeight="false" outlineLevel="0" collapsed="false">
      <c r="A30" s="6" t="s">
        <v>58</v>
      </c>
      <c r="B30" s="43" t="n">
        <f aca="false">KPIs!B39</f>
        <v>0.301832529896906</v>
      </c>
      <c r="C30" s="43" t="n">
        <f aca="false">KPIs!C39</f>
        <v>0.473871080333707</v>
      </c>
      <c r="D30" s="43" t="n">
        <f aca="false">KPIs!D39</f>
        <v>0.551320056338912</v>
      </c>
      <c r="E30" s="43" t="n">
        <f aca="false">KPIs!E39</f>
        <v>0.602494539502291</v>
      </c>
      <c r="F30" s="43" t="n">
        <f aca="false">KPIs!F39</f>
        <v>0.637756421526083</v>
      </c>
    </row>
    <row r="31" customFormat="false" ht="15" hidden="false" customHeight="false" outlineLevel="0" collapsed="false">
      <c r="A31" s="6" t="s">
        <v>59</v>
      </c>
      <c r="B31" s="44" t="n">
        <f aca="false">KPIs!B45</f>
        <v>13.2654025173781</v>
      </c>
      <c r="C31" s="44" t="n">
        <f aca="false">KPIs!C45</f>
        <v>12.9290430501334</v>
      </c>
      <c r="D31" s="44" t="n">
        <f aca="false">KPIs!D45</f>
        <v>12.8013165582013</v>
      </c>
      <c r="E31" s="44" t="n">
        <f aca="false">KPIs!E45</f>
        <v>12.852331215877</v>
      </c>
      <c r="F31" s="44" t="n">
        <f aca="false">KPIs!F45</f>
        <v>12.9845959428755</v>
      </c>
    </row>
    <row r="32" customFormat="false" ht="15" hidden="false" customHeight="false" outlineLevel="0" collapsed="false">
      <c r="A32" s="6" t="s">
        <v>60</v>
      </c>
      <c r="B32" s="45" t="n">
        <f aca="false">INDEX(Headcount!$C$10:$BJ$10,B$27*12)</f>
        <v>11</v>
      </c>
      <c r="C32" s="45" t="n">
        <f aca="false">INDEX(Headcount!$C$10:$BJ$10,C$27*12)</f>
        <v>11</v>
      </c>
      <c r="D32" s="45" t="n">
        <f aca="false">INDEX(Headcount!$C$10:$BJ$10,D$27*12)</f>
        <v>11</v>
      </c>
      <c r="E32" s="45" t="n">
        <f aca="false">INDEX(Headcount!$C$10:$BJ$10,E$27*12)</f>
        <v>11</v>
      </c>
      <c r="F32" s="45" t="n">
        <f aca="false">INDEX(Headcount!$C$10:$BJ$10,F$27*12)</f>
        <v>11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6"/>
      <c r="C35" s="46"/>
      <c r="D35" s="46"/>
      <c r="E35" s="46"/>
      <c r="F35" s="47" t="n">
        <f aca="false">Inputs!$E$67</f>
        <v>2100000</v>
      </c>
    </row>
    <row r="36" customFormat="false" ht="15" hidden="false" customHeight="false" outlineLevel="0" collapsed="false">
      <c r="A36" s="6" t="s">
        <v>63</v>
      </c>
      <c r="B36" s="46"/>
      <c r="C36" s="46"/>
      <c r="D36" s="46"/>
      <c r="E36" s="46"/>
      <c r="F36" s="47" t="n">
        <f aca="false">Inputs!$E$68</f>
        <v>3000000</v>
      </c>
    </row>
    <row r="37" customFormat="false" ht="15" hidden="false" customHeight="false" outlineLevel="0" collapsed="false">
      <c r="A37" s="6" t="s">
        <v>64</v>
      </c>
      <c r="B37" s="46"/>
      <c r="C37" s="46"/>
      <c r="D37" s="46"/>
      <c r="E37" s="46"/>
      <c r="F37" s="47" t="n">
        <f aca="false">'Break-even'!B12</f>
        <v>5249445.4614431</v>
      </c>
    </row>
    <row r="38" customFormat="false" ht="15" hidden="false" customHeight="false" outlineLevel="0" collapsed="false">
      <c r="A38" s="36" t="s">
        <v>65</v>
      </c>
      <c r="B38" s="36"/>
      <c r="C38" s="36"/>
      <c r="D38" s="36"/>
      <c r="E38" s="36"/>
      <c r="F38" s="37" t="n">
        <f aca="false">'Break-even'!B17</f>
        <v>-149445.461443098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6"/>
      <c r="C39" s="46"/>
      <c r="D39" s="46"/>
      <c r="E39" s="46"/>
      <c r="F39" s="47" t="n">
        <f aca="false">'Break-even'!B18</f>
        <v>131554.538556901</v>
      </c>
    </row>
    <row r="40" customFormat="false" ht="15" hidden="false" customHeight="false" outlineLevel="0" collapsed="false">
      <c r="A40" s="6" t="s">
        <v>66</v>
      </c>
      <c r="B40" s="46"/>
      <c r="C40" s="46"/>
      <c r="D40" s="46"/>
      <c r="E40" s="46"/>
      <c r="F40" s="48" t="n">
        <f aca="false">'Break-even'!B21</f>
        <v>8</v>
      </c>
    </row>
    <row r="41" customFormat="false" ht="15" hidden="false" customHeight="false" outlineLevel="0" collapsed="false">
      <c r="A41" s="6" t="s">
        <v>67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68</v>
      </c>
      <c r="B42" s="46"/>
      <c r="C42" s="46"/>
      <c r="D42" s="46"/>
      <c r="E42" s="46"/>
      <c r="F42" s="47" t="n">
        <f aca="false">Valuation!B27</f>
        <v>-1267217.70199455</v>
      </c>
    </row>
    <row r="43" customFormat="false" ht="15" hidden="false" customHeight="false" outlineLevel="0" collapsed="false">
      <c r="A43" s="6" t="s">
        <v>69</v>
      </c>
      <c r="B43" s="46"/>
      <c r="C43" s="46"/>
      <c r="D43" s="46"/>
      <c r="E43" s="46"/>
      <c r="F43" s="47" t="n">
        <f aca="false">Valuation!C27</f>
        <v>-1288373.57456816</v>
      </c>
    </row>
    <row r="44" customFormat="false" ht="15" hidden="false" customHeight="false" outlineLevel="0" collapsed="false">
      <c r="A44" s="40" t="s">
        <v>70</v>
      </c>
      <c r="B44" s="40"/>
      <c r="C44" s="40"/>
      <c r="D44" s="40"/>
      <c r="E44" s="40"/>
      <c r="F44" s="41" t="n">
        <f aca="false">Valuation!B30</f>
        <v>-1277795.63828136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9" t="n">
        <v>1</v>
      </c>
      <c r="S2" s="49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42</v>
      </c>
      <c r="B7" s="35" t="n">
        <f aca="false">'P&amp;L'!B5</f>
        <v>1180182.39164623</v>
      </c>
      <c r="C7" s="35" t="n">
        <f aca="false">'P&amp;L'!C5</f>
        <v>1805881.4666632</v>
      </c>
      <c r="D7" s="35" t="n">
        <f aca="false">'P&amp;L'!D5</f>
        <v>2080276.59708741</v>
      </c>
      <c r="E7" s="35" t="n">
        <f aca="false">'P&amp;L'!E5</f>
        <v>2282431.11225691</v>
      </c>
      <c r="F7" s="35" t="n">
        <f aca="false">'P&amp;L'!F5</f>
        <v>2440877.21952545</v>
      </c>
      <c r="H7" s="35" t="n">
        <f aca="false">INDEX(Monthly!$C$37:$BJ$37,($R$2-1)*12+1)</f>
        <v>47943.358</v>
      </c>
      <c r="I7" s="35" t="n">
        <f aca="false">INDEX(Monthly!$C$37:$BJ$37,($R$2-1)*12+2)</f>
        <v>54448.9359022222</v>
      </c>
      <c r="J7" s="35" t="n">
        <f aca="false">INDEX(Monthly!$C$37:$BJ$37,($R$2-1)*12+3)</f>
        <v>72773.4017994667</v>
      </c>
      <c r="K7" s="35" t="n">
        <f aca="false">INDEX(Monthly!$C$37:$BJ$37,($R$2-1)*12+4)</f>
        <v>81051.8988385991</v>
      </c>
      <c r="L7" s="35" t="n">
        <f aca="false">INDEX(Monthly!$C$37:$BJ$37,($R$2-1)*12+5)</f>
        <v>89490.2764406107</v>
      </c>
      <c r="M7" s="35" t="n">
        <f aca="false">INDEX(Monthly!$C$37:$BJ$37,($R$2-1)*12+6)</f>
        <v>98082.1393829863</v>
      </c>
      <c r="N7" s="35" t="n">
        <f aca="false">INDEX(Monthly!$C$37:$BJ$37,($R$2-1)*12+7)</f>
        <v>106821.348252111</v>
      </c>
      <c r="O7" s="35" t="n">
        <f aca="false">INDEX(Monthly!$C$37:$BJ$37,($R$2-1)*12+8)</f>
        <v>115702.009210916</v>
      </c>
      <c r="P7" s="35" t="n">
        <f aca="false">INDEX(Monthly!$C$37:$BJ$37,($R$2-1)*12+9)</f>
        <v>124718.464175812</v>
      </c>
      <c r="Q7" s="35" t="n">
        <f aca="false">INDEX(Monthly!$C$37:$BJ$37,($R$2-1)*12+10)</f>
        <v>133865.281386558</v>
      </c>
      <c r="R7" s="35" t="n">
        <f aca="false">INDEX(Monthly!$C$37:$BJ$37,($R$2-1)*12+11)</f>
        <v>136545.550131095</v>
      </c>
      <c r="S7" s="35" t="n">
        <f aca="false">INDEX(Monthly!$C$37:$BJ$37,($R$2-1)*12+12)</f>
        <v>118739.728125852</v>
      </c>
    </row>
    <row r="8" customFormat="false" ht="15" hidden="false" customHeight="false" outlineLevel="0" collapsed="false">
      <c r="A8" s="51" t="s">
        <v>74</v>
      </c>
      <c r="B8" s="35" t="n">
        <f aca="false">'P&amp;L'!B6</f>
        <v>-180421.598916524</v>
      </c>
      <c r="C8" s="35" t="n">
        <f aca="false">'P&amp;L'!C6</f>
        <v>-288679.05820146</v>
      </c>
      <c r="D8" s="35" t="n">
        <f aca="false">'P&amp;L'!D6</f>
        <v>-343422.649355316</v>
      </c>
      <c r="E8" s="35" t="n">
        <f aca="false">'P&amp;L'!E6</f>
        <v>-384784.481676009</v>
      </c>
      <c r="F8" s="35" t="n">
        <f aca="false">'P&amp;L'!F6</f>
        <v>-418095.189492422</v>
      </c>
      <c r="H8" s="35" t="n">
        <f aca="false">INDEX(Monthly!$C$45:$BJ$45,($R$2-1)*12+1)</f>
        <v>-7071.9457459</v>
      </c>
      <c r="I8" s="35" t="n">
        <f aca="false">INDEX(Monthly!$C$45:$BJ$45,($R$2-1)*12+2)</f>
        <v>-8031.44880631956</v>
      </c>
      <c r="J8" s="35" t="n">
        <f aca="false">INDEX(Monthly!$C$45:$BJ$45,($R$2-1)*12+3)</f>
        <v>-11076.8352569627</v>
      </c>
      <c r="K8" s="35" t="n">
        <f aca="false">INDEX(Monthly!$C$45:$BJ$45,($R$2-1)*12+4)</f>
        <v>-12361.6968813842</v>
      </c>
      <c r="L8" s="35" t="n">
        <f aca="false">INDEX(Monthly!$C$45:$BJ$45,($R$2-1)*12+5)</f>
        <v>-13678.7184810288</v>
      </c>
      <c r="M8" s="35" t="n">
        <f aca="false">INDEX(Monthly!$C$45:$BJ$45,($R$2-1)*12+6)</f>
        <v>-15026.6136568877</v>
      </c>
      <c r="N8" s="35" t="n">
        <f aca="false">INDEX(Monthly!$C$45:$BJ$45,($R$2-1)*12+7)</f>
        <v>-16404.1474659122</v>
      </c>
      <c r="O8" s="35" t="n">
        <f aca="false">INDEX(Monthly!$C$45:$BJ$45,($R$2-1)*12+8)</f>
        <v>-17810.1343627757</v>
      </c>
      <c r="P8" s="35" t="n">
        <f aca="false">INDEX(Monthly!$C$45:$BJ$45,($R$2-1)*12+9)</f>
        <v>-19243.4362239647</v>
      </c>
      <c r="Q8" s="35" t="n">
        <f aca="false">INDEX(Monthly!$C$45:$BJ$45,($R$2-1)*12+10)</f>
        <v>-20702.9604509061</v>
      </c>
      <c r="R8" s="35" t="n">
        <f aca="false">INDEX(Monthly!$C$45:$BJ$45,($R$2-1)*12+11)</f>
        <v>-21242.0965088698</v>
      </c>
      <c r="S8" s="35" t="n">
        <f aca="false">INDEX(Monthly!$C$45:$BJ$45,($R$2-1)*12+12)</f>
        <v>-17771.5650756123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999760.792729705</v>
      </c>
      <c r="C9" s="37" t="n">
        <f aca="false">'P&amp;L'!C7</f>
        <v>1517202.40846174</v>
      </c>
      <c r="D9" s="37" t="n">
        <f aca="false">'P&amp;L'!D7</f>
        <v>1736853.94773209</v>
      </c>
      <c r="E9" s="37" t="n">
        <f aca="false">'P&amp;L'!E7</f>
        <v>1897646.63058091</v>
      </c>
      <c r="F9" s="37" t="n">
        <f aca="false">'P&amp;L'!F7</f>
        <v>2022782.03003303</v>
      </c>
      <c r="H9" s="37" t="n">
        <f aca="false">INDEX(Monthly!$C$46:$BJ$46,($R$2-1)*12+1)</f>
        <v>40871.4122541</v>
      </c>
      <c r="I9" s="37" t="n">
        <f aca="false">INDEX(Monthly!$C$46:$BJ$46,($R$2-1)*12+2)</f>
        <v>46417.4870959027</v>
      </c>
      <c r="J9" s="37" t="n">
        <f aca="false">INDEX(Monthly!$C$46:$BJ$46,($R$2-1)*12+3)</f>
        <v>61696.566542504</v>
      </c>
      <c r="K9" s="37" t="n">
        <f aca="false">INDEX(Monthly!$C$46:$BJ$46,($R$2-1)*12+4)</f>
        <v>68690.2019572149</v>
      </c>
      <c r="L9" s="37" t="n">
        <f aca="false">INDEX(Monthly!$C$46:$BJ$46,($R$2-1)*12+5)</f>
        <v>75811.5579595819</v>
      </c>
      <c r="M9" s="37" t="n">
        <f aca="false">INDEX(Monthly!$C$46:$BJ$46,($R$2-1)*12+6)</f>
        <v>83055.5257260986</v>
      </c>
      <c r="N9" s="37" t="n">
        <f aca="false">INDEX(Monthly!$C$46:$BJ$46,($R$2-1)*12+7)</f>
        <v>90417.2007861991</v>
      </c>
      <c r="O9" s="37" t="n">
        <f aca="false">INDEX(Monthly!$C$46:$BJ$46,($R$2-1)*12+8)</f>
        <v>97891.87484814</v>
      </c>
      <c r="P9" s="37" t="n">
        <f aca="false">INDEX(Monthly!$C$46:$BJ$46,($R$2-1)*12+9)</f>
        <v>105475.027951848</v>
      </c>
      <c r="Q9" s="37" t="n">
        <f aca="false">INDEX(Monthly!$C$46:$BJ$46,($R$2-1)*12+10)</f>
        <v>113162.320935652</v>
      </c>
      <c r="R9" s="37" t="n">
        <f aca="false">INDEX(Monthly!$C$46:$BJ$46,($R$2-1)*12+11)</f>
        <v>115303.453622226</v>
      </c>
      <c r="S9" s="37" t="n">
        <f aca="false">INDEX(Monthly!$C$46:$BJ$46,($R$2-1)*12+12)</f>
        <v>100968.163050239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0.847123969825669</v>
      </c>
      <c r="C10" s="39" t="n">
        <f aca="false">'P&amp;L'!C8</f>
        <v>0.840145068471817</v>
      </c>
      <c r="D10" s="39" t="n">
        <f aca="false">'P&amp;L'!D8</f>
        <v>0.83491490995181</v>
      </c>
      <c r="E10" s="39" t="n">
        <f aca="false">'P&amp;L'!E8</f>
        <v>0.831414635206437</v>
      </c>
      <c r="F10" s="39" t="n">
        <f aca="false">'P&amp;L'!F8</f>
        <v>0.828711093639644</v>
      </c>
      <c r="H10" s="39" t="n">
        <f aca="false">IF(H7=0,0,H9/H7)</f>
        <v>0.852493733419758</v>
      </c>
      <c r="I10" s="39" t="n">
        <f aca="false">IF(I7=0,0,I9/I7)</f>
        <v>0.852495761887024</v>
      </c>
      <c r="J10" s="39" t="n">
        <f aca="false">IF(J7=0,0,J9/J7)</f>
        <v>0.847790058138468</v>
      </c>
      <c r="K10" s="39" t="n">
        <f aca="false">IF(K7=0,0,K9/K7)</f>
        <v>0.847484179167716</v>
      </c>
      <c r="L10" s="39" t="n">
        <f aca="false">IF(L7=0,0,L9/L7)</f>
        <v>0.847148550377911</v>
      </c>
      <c r="M10" s="39" t="n">
        <f aca="false">IF(M7=0,0,M9/M7)</f>
        <v>0.84679561690419</v>
      </c>
      <c r="N10" s="39" t="n">
        <f aca="false">IF(N7=0,0,N9/N7)</f>
        <v>0.846433809960941</v>
      </c>
      <c r="O10" s="39" t="n">
        <f aca="false">IF(O7=0,0,O9/O7)</f>
        <v>0.846068927547237</v>
      </c>
      <c r="P10" s="39" t="n">
        <f aca="false">IF(P7=0,0,P9/P7)</f>
        <v>0.845704993634</v>
      </c>
      <c r="Q10" s="39" t="n">
        <f aca="false">IF(Q7=0,0,Q9/Q7)</f>
        <v>0.845344810570241</v>
      </c>
      <c r="R10" s="39" t="n">
        <f aca="false">IF(R7=0,0,R9/R7)</f>
        <v>0.844432158437418</v>
      </c>
      <c r="S10" s="39" t="n">
        <f aca="false">IF(S7=0,0,S9/S7)</f>
        <v>0.850331768851818</v>
      </c>
    </row>
    <row r="11" customFormat="false" ht="15" hidden="false" customHeight="false" outlineLevel="0" collapsed="false">
      <c r="A11" s="51" t="s">
        <v>75</v>
      </c>
      <c r="B11" s="35" t="n">
        <f aca="false">'P&amp;L'!B14</f>
        <v>-1123040</v>
      </c>
      <c r="C11" s="35" t="n">
        <f aca="false">'P&amp;L'!C14</f>
        <v>-1123611.2</v>
      </c>
      <c r="D11" s="35" t="n">
        <f aca="false">'P&amp;L'!D14</f>
        <v>-1130823.536</v>
      </c>
      <c r="E11" s="35" t="n">
        <f aca="false">'P&amp;L'!E14</f>
        <v>-1143551.44208</v>
      </c>
      <c r="F11" s="35" t="n">
        <f aca="false">'P&amp;L'!F14</f>
        <v>-1160900.5453424</v>
      </c>
      <c r="H11" s="35" t="n">
        <f aca="false">INDEX(Monthly!$C$54:$BJ$54,($R$2-1)*12+1)</f>
        <v>-93586.6666666667</v>
      </c>
      <c r="I11" s="35" t="n">
        <f aca="false">INDEX(Monthly!$C$54:$BJ$54,($R$2-1)*12+2)</f>
        <v>-93586.6666666667</v>
      </c>
      <c r="J11" s="35" t="n">
        <f aca="false">INDEX(Monthly!$C$54:$BJ$54,($R$2-1)*12+3)</f>
        <v>-93586.6666666667</v>
      </c>
      <c r="K11" s="35" t="n">
        <f aca="false">INDEX(Monthly!$C$54:$BJ$54,($R$2-1)*12+4)</f>
        <v>-93586.6666666667</v>
      </c>
      <c r="L11" s="35" t="n">
        <f aca="false">INDEX(Monthly!$C$54:$BJ$54,($R$2-1)*12+5)</f>
        <v>-93586.6666666667</v>
      </c>
      <c r="M11" s="35" t="n">
        <f aca="false">INDEX(Monthly!$C$54:$BJ$54,($R$2-1)*12+6)</f>
        <v>-93586.6666666667</v>
      </c>
      <c r="N11" s="35" t="n">
        <f aca="false">INDEX(Monthly!$C$54:$BJ$54,($R$2-1)*12+7)</f>
        <v>-93586.6666666667</v>
      </c>
      <c r="O11" s="35" t="n">
        <f aca="false">INDEX(Monthly!$C$54:$BJ$54,($R$2-1)*12+8)</f>
        <v>-93586.6666666667</v>
      </c>
      <c r="P11" s="35" t="n">
        <f aca="false">INDEX(Monthly!$C$54:$BJ$54,($R$2-1)*12+9)</f>
        <v>-93586.6666666667</v>
      </c>
      <c r="Q11" s="35" t="n">
        <f aca="false">INDEX(Monthly!$C$54:$BJ$54,($R$2-1)*12+10)</f>
        <v>-93586.6666666667</v>
      </c>
      <c r="R11" s="35" t="n">
        <f aca="false">INDEX(Monthly!$C$54:$BJ$54,($R$2-1)*12+11)</f>
        <v>-93586.6666666667</v>
      </c>
      <c r="S11" s="35" t="n">
        <f aca="false">INDEX(Monthly!$C$54:$BJ$54,($R$2-1)*12+12)</f>
        <v>-93586.6666666667</v>
      </c>
    </row>
    <row r="12" customFormat="false" ht="15" hidden="false" customHeight="false" outlineLevel="0" collapsed="false">
      <c r="A12" s="36" t="s">
        <v>46</v>
      </c>
      <c r="B12" s="37" t="n">
        <f aca="false">'P&amp;L'!B15</f>
        <v>-123279.207270295</v>
      </c>
      <c r="C12" s="37" t="n">
        <f aca="false">'P&amp;L'!C15</f>
        <v>393591.208461737</v>
      </c>
      <c r="D12" s="37" t="n">
        <f aca="false">'P&amp;L'!D15</f>
        <v>606030.411732089</v>
      </c>
      <c r="E12" s="37" t="n">
        <f aca="false">'P&amp;L'!E15</f>
        <v>754095.188500905</v>
      </c>
      <c r="F12" s="37" t="n">
        <f aca="false">'P&amp;L'!F15</f>
        <v>861881.484690629</v>
      </c>
      <c r="H12" s="37" t="n">
        <f aca="false">INDEX(Monthly!$C$55:$BJ$55,($R$2-1)*12+1)</f>
        <v>-52715.2544125667</v>
      </c>
      <c r="I12" s="37" t="n">
        <f aca="false">INDEX(Monthly!$C$55:$BJ$55,($R$2-1)*12+2)</f>
        <v>-47169.179570764</v>
      </c>
      <c r="J12" s="37" t="n">
        <f aca="false">INDEX(Monthly!$C$55:$BJ$55,($R$2-1)*12+3)</f>
        <v>-31890.1001241627</v>
      </c>
      <c r="K12" s="37" t="n">
        <f aca="false">INDEX(Monthly!$C$55:$BJ$55,($R$2-1)*12+4)</f>
        <v>-24896.4647094518</v>
      </c>
      <c r="L12" s="37" t="n">
        <f aca="false">INDEX(Monthly!$C$55:$BJ$55,($R$2-1)*12+5)</f>
        <v>-17775.1087070848</v>
      </c>
      <c r="M12" s="37" t="n">
        <f aca="false">INDEX(Monthly!$C$55:$BJ$55,($R$2-1)*12+6)</f>
        <v>-10531.1409405681</v>
      </c>
      <c r="N12" s="37" t="n">
        <f aca="false">INDEX(Monthly!$C$55:$BJ$55,($R$2-1)*12+7)</f>
        <v>-3169.46588046759</v>
      </c>
      <c r="O12" s="37" t="n">
        <f aca="false">INDEX(Monthly!$C$55:$BJ$55,($R$2-1)*12+8)</f>
        <v>4305.20818147335</v>
      </c>
      <c r="P12" s="37" t="n">
        <f aca="false">INDEX(Monthly!$C$55:$BJ$55,($R$2-1)*12+9)</f>
        <v>11888.3612851811</v>
      </c>
      <c r="Q12" s="37" t="n">
        <f aca="false">INDEX(Monthly!$C$55:$BJ$55,($R$2-1)*12+10)</f>
        <v>19575.654268985</v>
      </c>
      <c r="R12" s="37" t="n">
        <f aca="false">INDEX(Monthly!$C$55:$BJ$55,($R$2-1)*12+11)</f>
        <v>21716.7869555589</v>
      </c>
      <c r="S12" s="37" t="n">
        <f aca="false">INDEX(Monthly!$C$55:$BJ$55,($R$2-1)*12+12)</f>
        <v>7381.49638357262</v>
      </c>
    </row>
    <row r="13" customFormat="false" ht="15" hidden="false" customHeight="false" outlineLevel="0" collapsed="false">
      <c r="A13" s="38" t="s">
        <v>47</v>
      </c>
      <c r="B13" s="39" t="n">
        <f aca="false">'P&amp;L'!B16</f>
        <v>-0.104457758515049</v>
      </c>
      <c r="C13" s="39" t="n">
        <f aca="false">'P&amp;L'!C16</f>
        <v>0.217949636079378</v>
      </c>
      <c r="D13" s="39" t="n">
        <f aca="false">'P&amp;L'!D16</f>
        <v>0.291322035050816</v>
      </c>
      <c r="E13" s="39" t="n">
        <f aca="false">'P&amp;L'!E16</f>
        <v>0.330391215073843</v>
      </c>
      <c r="F13" s="39" t="n">
        <f aca="false">'P&amp;L'!F16</f>
        <v>0.353103170366838</v>
      </c>
      <c r="H13" s="39" t="n">
        <f aca="false">IF(H7=0,0,H12/H7)</f>
        <v>-1.09953196045564</v>
      </c>
      <c r="I13" s="39" t="n">
        <f aca="false">IF(I7=0,0,I12/I7)</f>
        <v>-0.866301219466787</v>
      </c>
      <c r="J13" s="39" t="n">
        <f aca="false">IF(J7=0,0,J12/J7)</f>
        <v>-0.438210930582009</v>
      </c>
      <c r="K13" s="39" t="n">
        <f aca="false">IF(K7=0,0,K12/K7)</f>
        <v>-0.307166951869059</v>
      </c>
      <c r="L13" s="39" t="n">
        <f aca="false">IF(L7=0,0,L12/L7)</f>
        <v>-0.198626145924145</v>
      </c>
      <c r="M13" s="39" t="n">
        <f aca="false">IF(M7=0,0,M12/M7)</f>
        <v>-0.107370628402044</v>
      </c>
      <c r="N13" s="39" t="n">
        <f aca="false">IF(N7=0,0,N12/N7)</f>
        <v>-0.0296707159414171</v>
      </c>
      <c r="O13" s="39" t="n">
        <f aca="false">IF(O7=0,0,O12/O7)</f>
        <v>0.0372094504739783</v>
      </c>
      <c r="P13" s="39" t="n">
        <f aca="false">IF(P7=0,0,P12/P7)</f>
        <v>0.0953215818022131</v>
      </c>
      <c r="Q13" s="39" t="n">
        <f aca="false">IF(Q7=0,0,Q12/Q7)</f>
        <v>0.146233990368698</v>
      </c>
      <c r="R13" s="39" t="n">
        <f aca="false">IF(R7=0,0,R12/R7)</f>
        <v>0.159044267167322</v>
      </c>
      <c r="S13" s="39" t="n">
        <f aca="false">IF(S7=0,0,S12/S7)</f>
        <v>0.0621653468479313</v>
      </c>
    </row>
    <row r="14" customFormat="false" ht="15" hidden="false" customHeight="false" outlineLevel="0" collapsed="false">
      <c r="A14" s="51" t="s">
        <v>76</v>
      </c>
      <c r="B14" s="35" t="n">
        <f aca="false">'P&amp;L'!B17</f>
        <v>-341666.666666667</v>
      </c>
      <c r="C14" s="35" t="n">
        <f aca="false">'P&amp;L'!C17</f>
        <v>-345000</v>
      </c>
      <c r="D14" s="35" t="n">
        <f aca="false">'P&amp;L'!D17</f>
        <v>-348333.333333333</v>
      </c>
      <c r="E14" s="35" t="n">
        <f aca="false">'P&amp;L'!E17</f>
        <v>-351666.666666667</v>
      </c>
      <c r="F14" s="35" t="n">
        <f aca="false">'P&amp;L'!F17</f>
        <v>-355000</v>
      </c>
      <c r="H14" s="35" t="n">
        <f aca="false">INDEX(Monthly!$C$73:$BJ$73,($R$2-1)*12+1)</f>
        <v>-28472.2222222222</v>
      </c>
      <c r="I14" s="35" t="n">
        <f aca="false">INDEX(Monthly!$C$73:$BJ$73,($R$2-1)*12+2)</f>
        <v>-28472.2222222222</v>
      </c>
      <c r="J14" s="35" t="n">
        <f aca="false">INDEX(Monthly!$C$73:$BJ$73,($R$2-1)*12+3)</f>
        <v>-28472.2222222222</v>
      </c>
      <c r="K14" s="35" t="n">
        <f aca="false">INDEX(Monthly!$C$73:$BJ$73,($R$2-1)*12+4)</f>
        <v>-28472.2222222222</v>
      </c>
      <c r="L14" s="35" t="n">
        <f aca="false">INDEX(Monthly!$C$73:$BJ$73,($R$2-1)*12+5)</f>
        <v>-28472.2222222222</v>
      </c>
      <c r="M14" s="35" t="n">
        <f aca="false">INDEX(Monthly!$C$73:$BJ$73,($R$2-1)*12+6)</f>
        <v>-28472.2222222222</v>
      </c>
      <c r="N14" s="35" t="n">
        <f aca="false">INDEX(Monthly!$C$73:$BJ$73,($R$2-1)*12+7)</f>
        <v>-28472.2222222222</v>
      </c>
      <c r="O14" s="35" t="n">
        <f aca="false">INDEX(Monthly!$C$73:$BJ$73,($R$2-1)*12+8)</f>
        <v>-28472.2222222222</v>
      </c>
      <c r="P14" s="35" t="n">
        <f aca="false">INDEX(Monthly!$C$73:$BJ$73,($R$2-1)*12+9)</f>
        <v>-28472.2222222222</v>
      </c>
      <c r="Q14" s="35" t="n">
        <f aca="false">INDEX(Monthly!$C$73:$BJ$73,($R$2-1)*12+10)</f>
        <v>-28472.2222222222</v>
      </c>
      <c r="R14" s="35" t="n">
        <f aca="false">INDEX(Monthly!$C$73:$BJ$73,($R$2-1)*12+11)</f>
        <v>-28472.2222222222</v>
      </c>
      <c r="S14" s="35" t="n">
        <f aca="false">INDEX(Monthly!$C$73:$BJ$73,($R$2-1)*12+12)</f>
        <v>-28472.2222222222</v>
      </c>
    </row>
    <row r="15" customFormat="false" ht="15" hidden="false" customHeight="false" outlineLevel="0" collapsed="false">
      <c r="A15" s="36" t="s">
        <v>77</v>
      </c>
      <c r="B15" s="37" t="n">
        <f aca="false">'P&amp;L'!B18</f>
        <v>-464945.873936961</v>
      </c>
      <c r="C15" s="37" t="n">
        <f aca="false">'P&amp;L'!C18</f>
        <v>48591.2084617368</v>
      </c>
      <c r="D15" s="37" t="n">
        <f aca="false">'P&amp;L'!D18</f>
        <v>257697.078398756</v>
      </c>
      <c r="E15" s="37" t="n">
        <f aca="false">'P&amp;L'!E18</f>
        <v>402428.521834239</v>
      </c>
      <c r="F15" s="37" t="n">
        <f aca="false">'P&amp;L'!F18</f>
        <v>506881.484690629</v>
      </c>
      <c r="H15" s="37" t="n">
        <f aca="false">INDEX(Monthly!$C$58:$BJ$58,($R$2-1)*12+1)</f>
        <v>-81187.4766347889</v>
      </c>
      <c r="I15" s="37" t="n">
        <f aca="false">INDEX(Monthly!$C$58:$BJ$58,($R$2-1)*12+2)</f>
        <v>-75641.4017929862</v>
      </c>
      <c r="J15" s="37" t="n">
        <f aca="false">INDEX(Monthly!$C$58:$BJ$58,($R$2-1)*12+3)</f>
        <v>-60362.3223463849</v>
      </c>
      <c r="K15" s="37" t="n">
        <f aca="false">INDEX(Monthly!$C$58:$BJ$58,($R$2-1)*12+4)</f>
        <v>-53368.686931674</v>
      </c>
      <c r="L15" s="37" t="n">
        <f aca="false">INDEX(Monthly!$C$58:$BJ$58,($R$2-1)*12+5)</f>
        <v>-46247.330929307</v>
      </c>
      <c r="M15" s="37" t="n">
        <f aca="false">INDEX(Monthly!$C$58:$BJ$58,($R$2-1)*12+6)</f>
        <v>-39003.3631627903</v>
      </c>
      <c r="N15" s="37" t="n">
        <f aca="false">INDEX(Monthly!$C$58:$BJ$58,($R$2-1)*12+7)</f>
        <v>-31641.6881026898</v>
      </c>
      <c r="O15" s="37" t="n">
        <f aca="false">INDEX(Monthly!$C$58:$BJ$58,($R$2-1)*12+8)</f>
        <v>-24167.0140407489</v>
      </c>
      <c r="P15" s="37" t="n">
        <f aca="false">INDEX(Monthly!$C$58:$BJ$58,($R$2-1)*12+9)</f>
        <v>-16583.8609370411</v>
      </c>
      <c r="Q15" s="37" t="n">
        <f aca="false">INDEX(Monthly!$C$58:$BJ$58,($R$2-1)*12+10)</f>
        <v>-8896.56795323726</v>
      </c>
      <c r="R15" s="37" t="n">
        <f aca="false">INDEX(Monthly!$C$58:$BJ$58,($R$2-1)*12+11)</f>
        <v>-6755.43526666334</v>
      </c>
      <c r="S15" s="37" t="n">
        <f aca="false">INDEX(Monthly!$C$58:$BJ$58,($R$2-1)*12+12)</f>
        <v>-21090.7258386496</v>
      </c>
    </row>
    <row r="16" customFormat="false" ht="15" hidden="false" customHeight="false" outlineLevel="0" collapsed="false">
      <c r="A16" s="51" t="s">
        <v>78</v>
      </c>
      <c r="B16" s="35" t="n">
        <f aca="false">'P&amp;L'!B19</f>
        <v>-244286.458333333</v>
      </c>
      <c r="C16" s="35" t="n">
        <f aca="false">'P&amp;L'!C19</f>
        <v>-218875</v>
      </c>
      <c r="D16" s="35" t="n">
        <f aca="false">'P&amp;L'!D19</f>
        <v>-193375</v>
      </c>
      <c r="E16" s="35" t="n">
        <f aca="false">'P&amp;L'!E19</f>
        <v>-167875</v>
      </c>
      <c r="F16" s="35" t="n">
        <f aca="false">'P&amp;L'!F19</f>
        <v>-142375</v>
      </c>
      <c r="H16" s="35" t="n">
        <f aca="false">INDEX(Monthly!$C$59:$BJ$59,($R$2-1)*12+1)</f>
        <v>-21250</v>
      </c>
      <c r="I16" s="35" t="n">
        <f aca="false">INDEX(Monthly!$C$59:$BJ$59,($R$2-1)*12+2)</f>
        <v>-21161.4583333333</v>
      </c>
      <c r="J16" s="35" t="n">
        <f aca="false">INDEX(Monthly!$C$59:$BJ$59,($R$2-1)*12+3)</f>
        <v>-20984.375</v>
      </c>
      <c r="K16" s="35" t="n">
        <f aca="false">INDEX(Monthly!$C$59:$BJ$59,($R$2-1)*12+4)</f>
        <v>-20807.2916666667</v>
      </c>
      <c r="L16" s="35" t="n">
        <f aca="false">INDEX(Monthly!$C$59:$BJ$59,($R$2-1)*12+5)</f>
        <v>-20630.2083333333</v>
      </c>
      <c r="M16" s="35" t="n">
        <f aca="false">INDEX(Monthly!$C$59:$BJ$59,($R$2-1)*12+6)</f>
        <v>-20453.125</v>
      </c>
      <c r="N16" s="35" t="n">
        <f aca="false">INDEX(Monthly!$C$59:$BJ$59,($R$2-1)*12+7)</f>
        <v>-20276.0416666667</v>
      </c>
      <c r="O16" s="35" t="n">
        <f aca="false">INDEX(Monthly!$C$59:$BJ$59,($R$2-1)*12+8)</f>
        <v>-20098.9583333333</v>
      </c>
      <c r="P16" s="35" t="n">
        <f aca="false">INDEX(Monthly!$C$59:$BJ$59,($R$2-1)*12+9)</f>
        <v>-19921.875</v>
      </c>
      <c r="Q16" s="35" t="n">
        <f aca="false">INDEX(Monthly!$C$59:$BJ$59,($R$2-1)*12+10)</f>
        <v>-19744.7916666667</v>
      </c>
      <c r="R16" s="35" t="n">
        <f aca="false">INDEX(Monthly!$C$59:$BJ$59,($R$2-1)*12+11)</f>
        <v>-19567.7083333333</v>
      </c>
      <c r="S16" s="35" t="n">
        <f aca="false">INDEX(Monthly!$C$59:$BJ$59,($R$2-1)*12+12)</f>
        <v>-19390.625</v>
      </c>
    </row>
    <row r="17" customFormat="false" ht="15" hidden="false" customHeight="false" outlineLevel="0" collapsed="false">
      <c r="A17" s="51" t="s">
        <v>79</v>
      </c>
      <c r="B17" s="35" t="n">
        <f aca="false">'P&amp;L'!B20</f>
        <v>-709232.332270295</v>
      </c>
      <c r="C17" s="35" t="n">
        <f aca="false">'P&amp;L'!C20</f>
        <v>-170283.791538263</v>
      </c>
      <c r="D17" s="35" t="n">
        <f aca="false">'P&amp;L'!D20</f>
        <v>64322.0783987556</v>
      </c>
      <c r="E17" s="35" t="n">
        <f aca="false">'P&amp;L'!E20</f>
        <v>234553.521834239</v>
      </c>
      <c r="F17" s="35" t="n">
        <f aca="false">'P&amp;L'!F20</f>
        <v>364506.484690629</v>
      </c>
      <c r="H17" s="35" t="n">
        <f aca="false">INDEX(Monthly!$C$60:$BJ$60,($R$2-1)*12+1)</f>
        <v>-102437.476634789</v>
      </c>
      <c r="I17" s="35" t="n">
        <f aca="false">INDEX(Monthly!$C$60:$BJ$60,($R$2-1)*12+2)</f>
        <v>-96802.8601263196</v>
      </c>
      <c r="J17" s="35" t="n">
        <f aca="false">INDEX(Monthly!$C$60:$BJ$60,($R$2-1)*12+3)</f>
        <v>-81346.6973463849</v>
      </c>
      <c r="K17" s="35" t="n">
        <f aca="false">INDEX(Monthly!$C$60:$BJ$60,($R$2-1)*12+4)</f>
        <v>-74175.9785983407</v>
      </c>
      <c r="L17" s="35" t="n">
        <f aca="false">INDEX(Monthly!$C$60:$BJ$60,($R$2-1)*12+5)</f>
        <v>-66877.5392626404</v>
      </c>
      <c r="M17" s="35" t="n">
        <f aca="false">INDEX(Monthly!$C$60:$BJ$60,($R$2-1)*12+6)</f>
        <v>-59456.4881627903</v>
      </c>
      <c r="N17" s="35" t="n">
        <f aca="false">INDEX(Monthly!$C$60:$BJ$60,($R$2-1)*12+7)</f>
        <v>-51917.7297693565</v>
      </c>
      <c r="O17" s="35" t="n">
        <f aca="false">INDEX(Monthly!$C$60:$BJ$60,($R$2-1)*12+8)</f>
        <v>-44265.9723740822</v>
      </c>
      <c r="P17" s="35" t="n">
        <f aca="false">INDEX(Monthly!$C$60:$BJ$60,($R$2-1)*12+9)</f>
        <v>-36505.7359370411</v>
      </c>
      <c r="Q17" s="35" t="n">
        <f aca="false">INDEX(Monthly!$C$60:$BJ$60,($R$2-1)*12+10)</f>
        <v>-28641.3596199039</v>
      </c>
      <c r="R17" s="35" t="n">
        <f aca="false">INDEX(Monthly!$C$60:$BJ$60,($R$2-1)*12+11)</f>
        <v>-26323.1435999967</v>
      </c>
      <c r="S17" s="35" t="n">
        <f aca="false">INDEX(Monthly!$C$60:$BJ$60,($R$2-1)*12+12)</f>
        <v>-40481.3508386496</v>
      </c>
    </row>
    <row r="18" customFormat="false" ht="15" hidden="false" customHeight="false" outlineLevel="0" collapsed="false">
      <c r="A18" s="51" t="s">
        <v>80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0</v>
      </c>
      <c r="H18" s="35" t="n">
        <f aca="false">INDEX(Monthly!$C$63:$BJ$63,($R$2-1)*12+1)</f>
        <v>-0</v>
      </c>
      <c r="I18" s="35" t="n">
        <f aca="false">INDEX(Monthly!$C$63:$BJ$63,($R$2-1)*12+2)</f>
        <v>-0</v>
      </c>
      <c r="J18" s="35" t="n">
        <f aca="false">INDEX(Monthly!$C$63:$BJ$63,($R$2-1)*12+3)</f>
        <v>-0</v>
      </c>
      <c r="K18" s="35" t="n">
        <f aca="false">INDEX(Monthly!$C$63:$BJ$63,($R$2-1)*12+4)</f>
        <v>-0</v>
      </c>
      <c r="L18" s="35" t="n">
        <f aca="false">INDEX(Monthly!$C$63:$BJ$63,($R$2-1)*12+5)</f>
        <v>-0</v>
      </c>
      <c r="M18" s="35" t="n">
        <f aca="false">INDEX(Monthly!$C$63:$BJ$63,($R$2-1)*12+6)</f>
        <v>-0</v>
      </c>
      <c r="N18" s="35" t="n">
        <f aca="false">INDEX(Monthly!$C$63:$BJ$63,($R$2-1)*12+7)</f>
        <v>-0</v>
      </c>
      <c r="O18" s="35" t="n">
        <f aca="false">INDEX(Monthly!$C$63:$BJ$63,($R$2-1)*12+8)</f>
        <v>-0</v>
      </c>
      <c r="P18" s="35" t="n">
        <f aca="false">INDEX(Monthly!$C$63:$BJ$63,($R$2-1)*12+9)</f>
        <v>-0</v>
      </c>
      <c r="Q18" s="35" t="n">
        <f aca="false">INDEX(Monthly!$C$63:$BJ$63,($R$2-1)*12+10)</f>
        <v>-0</v>
      </c>
      <c r="R18" s="35" t="n">
        <f aca="false">INDEX(Monthly!$C$63:$BJ$63,($R$2-1)*12+11)</f>
        <v>-0</v>
      </c>
      <c r="S18" s="35" t="n">
        <f aca="false">INDEX(Monthly!$C$63:$BJ$63,($R$2-1)*12+12)</f>
        <v>-0</v>
      </c>
    </row>
    <row r="19" customFormat="false" ht="15" hidden="false" customHeight="false" outlineLevel="0" collapsed="false">
      <c r="A19" s="40" t="s">
        <v>48</v>
      </c>
      <c r="B19" s="41" t="n">
        <f aca="false">'P&amp;L'!B22</f>
        <v>-709232.332270295</v>
      </c>
      <c r="C19" s="41" t="n">
        <f aca="false">'P&amp;L'!C22</f>
        <v>-170283.791538263</v>
      </c>
      <c r="D19" s="41" t="n">
        <f aca="false">'P&amp;L'!D22</f>
        <v>64322.0783987556</v>
      </c>
      <c r="E19" s="41" t="n">
        <f aca="false">'P&amp;L'!E22</f>
        <v>234553.521834239</v>
      </c>
      <c r="F19" s="41" t="n">
        <f aca="false">'P&amp;L'!F22</f>
        <v>364506.484690629</v>
      </c>
      <c r="H19" s="41" t="n">
        <f aca="false">INDEX(Monthly!$C$64:$BJ$64,($R$2-1)*12+1)</f>
        <v>-102437.476634789</v>
      </c>
      <c r="I19" s="41" t="n">
        <f aca="false">INDEX(Monthly!$C$64:$BJ$64,($R$2-1)*12+2)</f>
        <v>-96802.8601263196</v>
      </c>
      <c r="J19" s="41" t="n">
        <f aca="false">INDEX(Monthly!$C$64:$BJ$64,($R$2-1)*12+3)</f>
        <v>-81346.6973463849</v>
      </c>
      <c r="K19" s="41" t="n">
        <f aca="false">INDEX(Monthly!$C$64:$BJ$64,($R$2-1)*12+4)</f>
        <v>-74175.9785983407</v>
      </c>
      <c r="L19" s="41" t="n">
        <f aca="false">INDEX(Monthly!$C$64:$BJ$64,($R$2-1)*12+5)</f>
        <v>-66877.5392626404</v>
      </c>
      <c r="M19" s="41" t="n">
        <f aca="false">INDEX(Monthly!$C$64:$BJ$64,($R$2-1)*12+6)</f>
        <v>-59456.4881627903</v>
      </c>
      <c r="N19" s="41" t="n">
        <f aca="false">INDEX(Monthly!$C$64:$BJ$64,($R$2-1)*12+7)</f>
        <v>-51917.7297693565</v>
      </c>
      <c r="O19" s="41" t="n">
        <f aca="false">INDEX(Monthly!$C$64:$BJ$64,($R$2-1)*12+8)</f>
        <v>-44265.9723740822</v>
      </c>
      <c r="P19" s="41" t="n">
        <f aca="false">INDEX(Monthly!$C$64:$BJ$64,($R$2-1)*12+9)</f>
        <v>-36505.7359370411</v>
      </c>
      <c r="Q19" s="41" t="n">
        <f aca="false">INDEX(Monthly!$C$64:$BJ$64,($R$2-1)*12+10)</f>
        <v>-28641.3596199039</v>
      </c>
      <c r="R19" s="41" t="n">
        <f aca="false">INDEX(Monthly!$C$64:$BJ$64,($R$2-1)*12+11)</f>
        <v>-26323.1435999967</v>
      </c>
      <c r="S19" s="41" t="n">
        <f aca="false">INDEX(Monthly!$C$64:$BJ$64,($R$2-1)*12+12)</f>
        <v>-40481.3508386496</v>
      </c>
    </row>
    <row r="20" customFormat="false" ht="15" hidden="false" customHeight="false" outlineLevel="0" collapsed="false">
      <c r="A20" s="38" t="s">
        <v>49</v>
      </c>
      <c r="B20" s="39" t="n">
        <f aca="false">'P&amp;L'!B23</f>
        <v>-0.600951460800047</v>
      </c>
      <c r="C20" s="39" t="n">
        <f aca="false">'P&amp;L'!C23</f>
        <v>-0.0942940025033336</v>
      </c>
      <c r="D20" s="39" t="n">
        <f aca="false">'P&amp;L'!D23</f>
        <v>0.0309199644358894</v>
      </c>
      <c r="E20" s="39" t="n">
        <f aca="false">'P&amp;L'!E23</f>
        <v>0.102764775933284</v>
      </c>
      <c r="F20" s="39" t="n">
        <f aca="false">'P&amp;L'!F23</f>
        <v>0.149334215492205</v>
      </c>
      <c r="H20" s="39" t="n">
        <f aca="false">IF(H7=0,0,H19/H7)</f>
        <v>-2.13663541537472</v>
      </c>
      <c r="I20" s="39" t="n">
        <f aca="false">IF(I7=0,0,I19/I7)</f>
        <v>-1.77786504956048</v>
      </c>
      <c r="J20" s="39" t="n">
        <f aca="false">IF(J7=0,0,J19/J7)</f>
        <v>-1.11780809107348</v>
      </c>
      <c r="K20" s="39" t="n">
        <f aca="false">IF(K7=0,0,K19/K7)</f>
        <v>-0.915166450894005</v>
      </c>
      <c r="L20" s="39" t="n">
        <f aca="false">IF(L7=0,0,L19/L7)</f>
        <v>-0.747316266332275</v>
      </c>
      <c r="M20" s="39" t="n">
        <f aca="false">IF(M7=0,0,M19/M7)</f>
        <v>-0.606190775780569</v>
      </c>
      <c r="N20" s="39" t="n">
        <f aca="false">IF(N7=0,0,N19/N7)</f>
        <v>-0.486023913935484</v>
      </c>
      <c r="O20" s="39" t="n">
        <f aca="false">IF(O7=0,0,O19/O7)</f>
        <v>-0.382586030060972</v>
      </c>
      <c r="P20" s="39" t="n">
        <f aca="false">IF(P7=0,0,P19/P7)</f>
        <v>-0.292705143366582</v>
      </c>
      <c r="Q20" s="39" t="n">
        <f aca="false">IF(Q7=0,0,Q19/Q7)</f>
        <v>-0.213956593698088</v>
      </c>
      <c r="R20" s="39" t="n">
        <f aca="false">IF(R7=0,0,R19/R7)</f>
        <v>-0.192779212319436</v>
      </c>
      <c r="S20" s="39" t="n">
        <f aca="false">IF(S7=0,0,S19/S7)</f>
        <v>-0.340925076026312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-369557.792453481</v>
      </c>
      <c r="C24" s="37" t="n">
        <f aca="false">'Cash Flow'!C10</f>
        <v>174478.453532665</v>
      </c>
      <c r="D24" s="37" t="n">
        <f aca="false">'Cash Flow'!D10</f>
        <v>412515.85538278</v>
      </c>
      <c r="E24" s="37" t="n">
        <f aca="false">'Cash Flow'!E10</f>
        <v>586141.123842083</v>
      </c>
      <c r="F24" s="37" t="n">
        <f aca="false">'Cash Flow'!F10</f>
        <v>719465.283116606</v>
      </c>
      <c r="H24" s="37" t="n">
        <f aca="false">INDEX(Monthly!$C$92:$BJ$92,($R$2-1)*12+1)</f>
        <v>-74804.1630306</v>
      </c>
      <c r="I24" s="37" t="n">
        <f aca="false">INDEX(Monthly!$C$92:$BJ$92,($R$2-1)*12+2)</f>
        <v>-68444.5087441057</v>
      </c>
      <c r="J24" s="37" t="n">
        <f aca="false">INDEX(Monthly!$C$92:$BJ$92,($R$2-1)*12+3)</f>
        <v>-53080.977367098</v>
      </c>
      <c r="K24" s="37" t="n">
        <f aca="false">INDEX(Monthly!$C$92:$BJ$92,($R$2-1)*12+4)</f>
        <v>-45827.3689705868</v>
      </c>
      <c r="L24" s="37" t="n">
        <f aca="false">INDEX(Monthly!$C$92:$BJ$92,($R$2-1)*12+5)</f>
        <v>-38528.8683473374</v>
      </c>
      <c r="M24" s="37" t="n">
        <f aca="false">INDEX(Monthly!$C$92:$BJ$92,($R$2-1)*12+6)</f>
        <v>-31107.7584114402</v>
      </c>
      <c r="N24" s="37" t="n">
        <f aca="false">INDEX(Monthly!$C$92:$BJ$92,($R$2-1)*12+7)</f>
        <v>-23568.9435354011</v>
      </c>
      <c r="O24" s="37" t="n">
        <f aca="false">INDEX(Monthly!$C$92:$BJ$92,($R$2-1)*12+8)</f>
        <v>-15917.1319168258</v>
      </c>
      <c r="P24" s="37" t="n">
        <f aca="false">INDEX(Monthly!$C$92:$BJ$92,($R$2-1)*12+9)</f>
        <v>-8156.84342541571</v>
      </c>
      <c r="Q24" s="37" t="n">
        <f aca="false">INDEX(Monthly!$C$92:$BJ$92,($R$2-1)*12+10)</f>
        <v>-292.417136084256</v>
      </c>
      <c r="R24" s="37" t="n">
        <f aca="false">INDEX(Monthly!$C$92:$BJ$92,($R$2-1)*12+11)</f>
        <v>2150.10605857762</v>
      </c>
      <c r="S24" s="37" t="n">
        <f aca="false">INDEX(Monthly!$C$92:$BJ$92,($R$2-1)*12+12)</f>
        <v>-11978.9176271636</v>
      </c>
    </row>
    <row r="25" customFormat="false" ht="15" hidden="false" customHeight="false" outlineLevel="0" collapsed="false">
      <c r="A25" s="51" t="s">
        <v>82</v>
      </c>
      <c r="B25" s="35" t="n">
        <f aca="false">'Cash Flow'!B11</f>
        <v>-4100000</v>
      </c>
      <c r="C25" s="35" t="n">
        <f aca="false">'Cash Flow'!C11</f>
        <v>-40000</v>
      </c>
      <c r="D25" s="35" t="n">
        <f aca="false">'Cash Flow'!D11</f>
        <v>-40000</v>
      </c>
      <c r="E25" s="35" t="n">
        <f aca="false">'Cash Flow'!E11</f>
        <v>-40000</v>
      </c>
      <c r="F25" s="35" t="n">
        <f aca="false">'Cash Flow'!F11</f>
        <v>-40000</v>
      </c>
      <c r="H25" s="35" t="n">
        <f aca="false">INDEX(Monthly!$C$93:$BJ$93,($R$2-1)*12+1)</f>
        <v>-4100000</v>
      </c>
      <c r="I25" s="35" t="n">
        <f aca="false">INDEX(Monthly!$C$93:$BJ$93,($R$2-1)*12+2)</f>
        <v>-0</v>
      </c>
      <c r="J25" s="35" t="n">
        <f aca="false">INDEX(Monthly!$C$93:$BJ$93,($R$2-1)*12+3)</f>
        <v>-0</v>
      </c>
      <c r="K25" s="35" t="n">
        <f aca="false">INDEX(Monthly!$C$93:$BJ$93,($R$2-1)*12+4)</f>
        <v>-0</v>
      </c>
      <c r="L25" s="35" t="n">
        <f aca="false">INDEX(Monthly!$C$93:$BJ$93,($R$2-1)*12+5)</f>
        <v>-0</v>
      </c>
      <c r="M25" s="35" t="n">
        <f aca="false">INDEX(Monthly!$C$93:$BJ$93,($R$2-1)*12+6)</f>
        <v>-0</v>
      </c>
      <c r="N25" s="35" t="n">
        <f aca="false">INDEX(Monthly!$C$93:$BJ$93,($R$2-1)*12+7)</f>
        <v>-0</v>
      </c>
      <c r="O25" s="35" t="n">
        <f aca="false">INDEX(Monthly!$C$93:$BJ$93,($R$2-1)*12+8)</f>
        <v>-0</v>
      </c>
      <c r="P25" s="35" t="n">
        <f aca="false">INDEX(Monthly!$C$93:$BJ$93,($R$2-1)*12+9)</f>
        <v>-0</v>
      </c>
      <c r="Q25" s="35" t="n">
        <f aca="false">INDEX(Monthly!$C$93:$BJ$93,($R$2-1)*12+10)</f>
        <v>-0</v>
      </c>
      <c r="R25" s="35" t="n">
        <f aca="false">INDEX(Monthly!$C$93:$BJ$93,($R$2-1)*12+11)</f>
        <v>-0</v>
      </c>
      <c r="S25" s="35" t="n">
        <f aca="false">INDEX(Monthly!$C$93:$BJ$93,($R$2-1)*12+12)</f>
        <v>-0</v>
      </c>
    </row>
    <row r="26" customFormat="false" ht="15" hidden="false" customHeight="false" outlineLevel="0" collapsed="false">
      <c r="A26" s="51" t="s">
        <v>62</v>
      </c>
      <c r="B26" s="35" t="n">
        <f aca="false">'Cash Flow'!B12</f>
        <v>2100000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INDEX(Monthly!$C$94:$BJ$94,($R$2-1)*12+1)</f>
        <v>2100000</v>
      </c>
      <c r="I26" s="35" t="n">
        <f aca="false">INDEX(Monthly!$C$94:$BJ$94,($R$2-1)*12+2)</f>
        <v>0</v>
      </c>
      <c r="J26" s="35" t="n">
        <f aca="false">INDEX(Monthly!$C$94:$BJ$94,($R$2-1)*12+3)</f>
        <v>0</v>
      </c>
      <c r="K26" s="35" t="n">
        <f aca="false">INDEX(Monthly!$C$94:$BJ$94,($R$2-1)*12+4)</f>
        <v>0</v>
      </c>
      <c r="L26" s="35" t="n">
        <f aca="false">INDEX(Monthly!$C$94:$BJ$94,($R$2-1)*12+5)</f>
        <v>0</v>
      </c>
      <c r="M26" s="35" t="n">
        <f aca="false">INDEX(Monthly!$C$94:$BJ$94,($R$2-1)*12+6)</f>
        <v>0</v>
      </c>
      <c r="N26" s="35" t="n">
        <f aca="false">INDEX(Monthly!$C$94:$BJ$94,($R$2-1)*12+7)</f>
        <v>0</v>
      </c>
      <c r="O26" s="35" t="n">
        <f aca="false">INDEX(Monthly!$C$94:$BJ$94,($R$2-1)*12+8)</f>
        <v>0</v>
      </c>
      <c r="P26" s="35" t="n">
        <f aca="false">INDEX(Monthly!$C$94:$BJ$94,($R$2-1)*12+9)</f>
        <v>0</v>
      </c>
      <c r="Q26" s="35" t="n">
        <f aca="false">INDEX(Monthly!$C$94:$BJ$94,($R$2-1)*12+10)</f>
        <v>0</v>
      </c>
      <c r="R26" s="35" t="n">
        <f aca="false">INDEX(Monthly!$C$94:$BJ$94,($R$2-1)*12+11)</f>
        <v>0</v>
      </c>
      <c r="S26" s="35" t="n">
        <f aca="false">INDEX(Monthly!$C$94:$BJ$94,($R$2-1)*12+12)</f>
        <v>0</v>
      </c>
    </row>
    <row r="27" customFormat="false" ht="15" hidden="false" customHeight="false" outlineLevel="0" collapsed="false">
      <c r="A27" s="51" t="s">
        <v>83</v>
      </c>
      <c r="B27" s="35" t="n">
        <f aca="false">'Cash Flow'!B13</f>
        <v>3000000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INDEX(Monthly!$C$79:$BJ$79,($R$2-1)*12+1)</f>
        <v>3000000</v>
      </c>
      <c r="I27" s="35" t="n">
        <f aca="false">INDEX(Monthly!$C$79:$BJ$79,($R$2-1)*12+2)</f>
        <v>0</v>
      </c>
      <c r="J27" s="35" t="n">
        <f aca="false">INDEX(Monthly!$C$79:$BJ$79,($R$2-1)*12+3)</f>
        <v>0</v>
      </c>
      <c r="K27" s="35" t="n">
        <f aca="false">INDEX(Monthly!$C$79:$BJ$79,($R$2-1)*12+4)</f>
        <v>0</v>
      </c>
      <c r="L27" s="35" t="n">
        <f aca="false">INDEX(Monthly!$C$79:$BJ$79,($R$2-1)*12+5)</f>
        <v>0</v>
      </c>
      <c r="M27" s="35" t="n">
        <f aca="false">INDEX(Monthly!$C$79:$BJ$79,($R$2-1)*12+6)</f>
        <v>0</v>
      </c>
      <c r="N27" s="35" t="n">
        <f aca="false">INDEX(Monthly!$C$79:$BJ$79,($R$2-1)*12+7)</f>
        <v>0</v>
      </c>
      <c r="O27" s="35" t="n">
        <f aca="false">INDEX(Monthly!$C$79:$BJ$79,($R$2-1)*12+8)</f>
        <v>0</v>
      </c>
      <c r="P27" s="35" t="n">
        <f aca="false">INDEX(Monthly!$C$79:$BJ$79,($R$2-1)*12+9)</f>
        <v>0</v>
      </c>
      <c r="Q27" s="35" t="n">
        <f aca="false">INDEX(Monthly!$C$79:$BJ$79,($R$2-1)*12+10)</f>
        <v>0</v>
      </c>
      <c r="R27" s="35" t="n">
        <f aca="false">INDEX(Monthly!$C$79:$BJ$79,($R$2-1)*12+11)</f>
        <v>0</v>
      </c>
      <c r="S27" s="35" t="n">
        <f aca="false">INDEX(Monthly!$C$79:$BJ$79,($R$2-1)*12+12)</f>
        <v>0</v>
      </c>
    </row>
    <row r="28" customFormat="false" ht="15" hidden="false" customHeight="false" outlineLevel="0" collapsed="false">
      <c r="A28" s="51" t="s">
        <v>84</v>
      </c>
      <c r="B28" s="35" t="n">
        <f aca="false">'Cash Flow'!B14</f>
        <v>-275000</v>
      </c>
      <c r="C28" s="35" t="n">
        <f aca="false">'Cash Flow'!C14</f>
        <v>-300000</v>
      </c>
      <c r="D28" s="35" t="n">
        <f aca="false">'Cash Flow'!D14</f>
        <v>-300000</v>
      </c>
      <c r="E28" s="35" t="n">
        <f aca="false">'Cash Flow'!E14</f>
        <v>-300000</v>
      </c>
      <c r="F28" s="35" t="n">
        <f aca="false">'Cash Flow'!F14</f>
        <v>-300000</v>
      </c>
      <c r="H28" s="35" t="n">
        <f aca="false">INDEX(Monthly!$C$80:$BJ$80,($R$2-1)*12+1)</f>
        <v>-0</v>
      </c>
      <c r="I28" s="35" t="n">
        <f aca="false">INDEX(Monthly!$C$80:$BJ$80,($R$2-1)*12+2)</f>
        <v>-25000</v>
      </c>
      <c r="J28" s="35" t="n">
        <f aca="false">INDEX(Monthly!$C$80:$BJ$80,($R$2-1)*12+3)</f>
        <v>-25000</v>
      </c>
      <c r="K28" s="35" t="n">
        <f aca="false">INDEX(Monthly!$C$80:$BJ$80,($R$2-1)*12+4)</f>
        <v>-25000</v>
      </c>
      <c r="L28" s="35" t="n">
        <f aca="false">INDEX(Monthly!$C$80:$BJ$80,($R$2-1)*12+5)</f>
        <v>-25000</v>
      </c>
      <c r="M28" s="35" t="n">
        <f aca="false">INDEX(Monthly!$C$80:$BJ$80,($R$2-1)*12+6)</f>
        <v>-25000</v>
      </c>
      <c r="N28" s="35" t="n">
        <f aca="false">INDEX(Monthly!$C$80:$BJ$80,($R$2-1)*12+7)</f>
        <v>-25000</v>
      </c>
      <c r="O28" s="35" t="n">
        <f aca="false">INDEX(Monthly!$C$80:$BJ$80,($R$2-1)*12+8)</f>
        <v>-25000</v>
      </c>
      <c r="P28" s="35" t="n">
        <f aca="false">INDEX(Monthly!$C$80:$BJ$80,($R$2-1)*12+9)</f>
        <v>-25000</v>
      </c>
      <c r="Q28" s="35" t="n">
        <f aca="false">INDEX(Monthly!$C$80:$BJ$80,($R$2-1)*12+10)</f>
        <v>-25000</v>
      </c>
      <c r="R28" s="35" t="n">
        <f aca="false">INDEX(Monthly!$C$80:$BJ$80,($R$2-1)*12+11)</f>
        <v>-25000</v>
      </c>
      <c r="S28" s="35" t="n">
        <f aca="false">INDEX(Monthly!$C$80:$BJ$80,($R$2-1)*12+12)</f>
        <v>-25000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4825000</v>
      </c>
      <c r="C29" s="37" t="n">
        <f aca="false">'Cash Flow'!C15</f>
        <v>-300000</v>
      </c>
      <c r="D29" s="37" t="n">
        <f aca="false">'Cash Flow'!D15</f>
        <v>-300000</v>
      </c>
      <c r="E29" s="37" t="n">
        <f aca="false">'Cash Flow'!E15</f>
        <v>-300000</v>
      </c>
      <c r="F29" s="37" t="n">
        <f aca="false">'Cash Flow'!F15</f>
        <v>-300000</v>
      </c>
      <c r="H29" s="37" t="n">
        <f aca="false">INDEX(Monthly!$C$95:$BJ$95,($R$2-1)*12+1)</f>
        <v>5100000</v>
      </c>
      <c r="I29" s="37" t="n">
        <f aca="false">INDEX(Monthly!$C$95:$BJ$95,($R$2-1)*12+2)</f>
        <v>-25000</v>
      </c>
      <c r="J29" s="37" t="n">
        <f aca="false">INDEX(Monthly!$C$95:$BJ$95,($R$2-1)*12+3)</f>
        <v>-25000</v>
      </c>
      <c r="K29" s="37" t="n">
        <f aca="false">INDEX(Monthly!$C$95:$BJ$95,($R$2-1)*12+4)</f>
        <v>-25000</v>
      </c>
      <c r="L29" s="37" t="n">
        <f aca="false">INDEX(Monthly!$C$95:$BJ$95,($R$2-1)*12+5)</f>
        <v>-25000</v>
      </c>
      <c r="M29" s="37" t="n">
        <f aca="false">INDEX(Monthly!$C$95:$BJ$95,($R$2-1)*12+6)</f>
        <v>-25000</v>
      </c>
      <c r="N29" s="37" t="n">
        <f aca="false">INDEX(Monthly!$C$95:$BJ$95,($R$2-1)*12+7)</f>
        <v>-25000</v>
      </c>
      <c r="O29" s="37" t="n">
        <f aca="false">INDEX(Monthly!$C$95:$BJ$95,($R$2-1)*12+8)</f>
        <v>-25000</v>
      </c>
      <c r="P29" s="37" t="n">
        <f aca="false">INDEX(Monthly!$C$95:$BJ$95,($R$2-1)*12+9)</f>
        <v>-25000</v>
      </c>
      <c r="Q29" s="37" t="n">
        <f aca="false">INDEX(Monthly!$C$95:$BJ$95,($R$2-1)*12+10)</f>
        <v>-25000</v>
      </c>
      <c r="R29" s="37" t="n">
        <f aca="false">INDEX(Monthly!$C$95:$BJ$95,($R$2-1)*12+11)</f>
        <v>-25000</v>
      </c>
      <c r="S29" s="37" t="n">
        <f aca="false">INDEX(Monthly!$C$95:$BJ$95,($R$2-1)*12+12)</f>
        <v>-25000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355442.207546519</v>
      </c>
      <c r="C30" s="37" t="n">
        <f aca="false">'Cash Flow'!C16</f>
        <v>-165521.546467335</v>
      </c>
      <c r="D30" s="37" t="n">
        <f aca="false">'Cash Flow'!D16</f>
        <v>72515.8553827797</v>
      </c>
      <c r="E30" s="37" t="n">
        <f aca="false">'Cash Flow'!E16</f>
        <v>246141.123842083</v>
      </c>
      <c r="F30" s="37" t="n">
        <f aca="false">'Cash Flow'!F16</f>
        <v>379465.283116606</v>
      </c>
      <c r="H30" s="37" t="n">
        <f aca="false">INDEX(Monthly!$C$96:$BJ$96,($R$2-1)*12+1)</f>
        <v>925195.8369694</v>
      </c>
      <c r="I30" s="37" t="n">
        <f aca="false">INDEX(Monthly!$C$96:$BJ$96,($R$2-1)*12+2)</f>
        <v>-93444.5087441057</v>
      </c>
      <c r="J30" s="37" t="n">
        <f aca="false">INDEX(Monthly!$C$96:$BJ$96,($R$2-1)*12+3)</f>
        <v>-78080.977367098</v>
      </c>
      <c r="K30" s="37" t="n">
        <f aca="false">INDEX(Monthly!$C$96:$BJ$96,($R$2-1)*12+4)</f>
        <v>-70827.3689705868</v>
      </c>
      <c r="L30" s="37" t="n">
        <f aca="false">INDEX(Monthly!$C$96:$BJ$96,($R$2-1)*12+5)</f>
        <v>-63528.8683473374</v>
      </c>
      <c r="M30" s="37" t="n">
        <f aca="false">INDEX(Monthly!$C$96:$BJ$96,($R$2-1)*12+6)</f>
        <v>-56107.7584114402</v>
      </c>
      <c r="N30" s="37" t="n">
        <f aca="false">INDEX(Monthly!$C$96:$BJ$96,($R$2-1)*12+7)</f>
        <v>-48568.9435354011</v>
      </c>
      <c r="O30" s="37" t="n">
        <f aca="false">INDEX(Monthly!$C$96:$BJ$96,($R$2-1)*12+8)</f>
        <v>-40917.1319168258</v>
      </c>
      <c r="P30" s="37" t="n">
        <f aca="false">INDEX(Monthly!$C$96:$BJ$96,($R$2-1)*12+9)</f>
        <v>-33156.8434254157</v>
      </c>
      <c r="Q30" s="37" t="n">
        <f aca="false">INDEX(Monthly!$C$96:$BJ$96,($R$2-1)*12+10)</f>
        <v>-25292.4171360843</v>
      </c>
      <c r="R30" s="37" t="n">
        <f aca="false">INDEX(Monthly!$C$96:$BJ$96,($R$2-1)*12+11)</f>
        <v>-22849.8939414224</v>
      </c>
      <c r="S30" s="37" t="n">
        <f aca="false">INDEX(Monthly!$C$96:$BJ$96,($R$2-1)*12+12)</f>
        <v>-36978.9176271636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355442.207546519</v>
      </c>
      <c r="C31" s="41" t="n">
        <f aca="false">'Cash Flow'!C18</f>
        <v>189920.661079184</v>
      </c>
      <c r="D31" s="41" t="n">
        <f aca="false">'Cash Flow'!D18</f>
        <v>262436.516461964</v>
      </c>
      <c r="E31" s="41" t="n">
        <f aca="false">'Cash Flow'!E18</f>
        <v>508577.640304047</v>
      </c>
      <c r="F31" s="41" t="n">
        <f aca="false">'Cash Flow'!F18</f>
        <v>888042.923420652</v>
      </c>
      <c r="H31" s="41" t="n">
        <f aca="false">INDEX(Monthly!$C$98:$BJ$98,($R$2-1)*12+1)</f>
        <v>925195.8369694</v>
      </c>
      <c r="I31" s="41" t="n">
        <f aca="false">INDEX(Monthly!$C$98:$BJ$98,($R$2-1)*12+2)</f>
        <v>831751.328225294</v>
      </c>
      <c r="J31" s="41" t="n">
        <f aca="false">INDEX(Monthly!$C$98:$BJ$98,($R$2-1)*12+3)</f>
        <v>753670.350858196</v>
      </c>
      <c r="K31" s="41" t="n">
        <f aca="false">INDEX(Monthly!$C$98:$BJ$98,($R$2-1)*12+4)</f>
        <v>682842.981887609</v>
      </c>
      <c r="L31" s="41" t="n">
        <f aca="false">INDEX(Monthly!$C$98:$BJ$98,($R$2-1)*12+5)</f>
        <v>619314.113540272</v>
      </c>
      <c r="M31" s="41" t="n">
        <f aca="false">INDEX(Monthly!$C$98:$BJ$98,($R$2-1)*12+6)</f>
        <v>563206.355128832</v>
      </c>
      <c r="N31" s="41" t="n">
        <f aca="false">INDEX(Monthly!$C$98:$BJ$98,($R$2-1)*12+7)</f>
        <v>514637.411593431</v>
      </c>
      <c r="O31" s="41" t="n">
        <f aca="false">INDEX(Monthly!$C$98:$BJ$98,($R$2-1)*12+8)</f>
        <v>473720.279676605</v>
      </c>
      <c r="P31" s="41" t="n">
        <f aca="false">INDEX(Monthly!$C$98:$BJ$98,($R$2-1)*12+9)</f>
        <v>440563.436251189</v>
      </c>
      <c r="Q31" s="41" t="n">
        <f aca="false">INDEX(Monthly!$C$98:$BJ$98,($R$2-1)*12+10)</f>
        <v>415271.019115105</v>
      </c>
      <c r="R31" s="41" t="n">
        <f aca="false">INDEX(Monthly!$C$98:$BJ$98,($R$2-1)*12+11)</f>
        <v>392421.125173683</v>
      </c>
      <c r="S31" s="41" t="n">
        <f aca="false">INDEX(Monthly!$C$98:$BJ$98,($R$2-1)*12+12)</f>
        <v>355442.207546519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87</v>
      </c>
      <c r="B41" s="35" t="n">
        <f aca="false">'Balance Sheet'!B5</f>
        <v>355442.207546519</v>
      </c>
      <c r="C41" s="35" t="n">
        <f aca="false">'Balance Sheet'!C5</f>
        <v>189920.661079184</v>
      </c>
      <c r="D41" s="35" t="n">
        <f aca="false">'Balance Sheet'!D5</f>
        <v>262436.516461964</v>
      </c>
      <c r="E41" s="35" t="n">
        <f aca="false">'Balance Sheet'!E5</f>
        <v>508577.640304047</v>
      </c>
      <c r="F41" s="35" t="n">
        <f aca="false">'Balance Sheet'!F5</f>
        <v>888042.923420652</v>
      </c>
      <c r="H41" s="35" t="n">
        <f aca="false">INDEX(Monthly!$C$98:$BJ$98,($R$2-1)*12+1)</f>
        <v>925195.8369694</v>
      </c>
      <c r="I41" s="35" t="n">
        <f aca="false">INDEX(Monthly!$C$98:$BJ$98,($R$2-1)*12+2)</f>
        <v>831751.328225294</v>
      </c>
      <c r="J41" s="35" t="n">
        <f aca="false">INDEX(Monthly!$C$98:$BJ$98,($R$2-1)*12+3)</f>
        <v>753670.350858196</v>
      </c>
      <c r="K41" s="35" t="n">
        <f aca="false">INDEX(Monthly!$C$98:$BJ$98,($R$2-1)*12+4)</f>
        <v>682842.981887609</v>
      </c>
      <c r="L41" s="35" t="n">
        <f aca="false">INDEX(Monthly!$C$98:$BJ$98,($R$2-1)*12+5)</f>
        <v>619314.113540272</v>
      </c>
      <c r="M41" s="35" t="n">
        <f aca="false">INDEX(Monthly!$C$98:$BJ$98,($R$2-1)*12+6)</f>
        <v>563206.355128832</v>
      </c>
      <c r="N41" s="35" t="n">
        <f aca="false">INDEX(Monthly!$C$98:$BJ$98,($R$2-1)*12+7)</f>
        <v>514637.411593431</v>
      </c>
      <c r="O41" s="35" t="n">
        <f aca="false">INDEX(Monthly!$C$98:$BJ$98,($R$2-1)*12+8)</f>
        <v>473720.279676605</v>
      </c>
      <c r="P41" s="35" t="n">
        <f aca="false">INDEX(Monthly!$C$98:$BJ$98,($R$2-1)*12+9)</f>
        <v>440563.436251189</v>
      </c>
      <c r="Q41" s="35" t="n">
        <f aca="false">INDEX(Monthly!$C$98:$BJ$98,($R$2-1)*12+10)</f>
        <v>415271.019115105</v>
      </c>
      <c r="R41" s="35" t="n">
        <f aca="false">INDEX(Monthly!$C$98:$BJ$98,($R$2-1)*12+11)</f>
        <v>392421.125173683</v>
      </c>
      <c r="S41" s="35" t="n">
        <f aca="false">INDEX(Monthly!$C$98:$BJ$98,($R$2-1)*12+12)</f>
        <v>355442.207546519</v>
      </c>
    </row>
    <row r="42" customFormat="false" ht="15" hidden="false" customHeight="false" outlineLevel="0" collapsed="false">
      <c r="A42" s="51" t="s">
        <v>88</v>
      </c>
      <c r="B42" s="35" t="n">
        <f aca="false">'Balance Sheet'!B6</f>
        <v>7915.98187505677</v>
      </c>
      <c r="C42" s="35" t="n">
        <f aca="false">'Balance Sheet'!C6</f>
        <v>9704.5001468268</v>
      </c>
      <c r="D42" s="35" t="n">
        <f aca="false">'Balance Sheet'!D6</f>
        <v>10979.0083873678</v>
      </c>
      <c r="E42" s="35" t="n">
        <f aca="false">'Balance Sheet'!E6</f>
        <v>11939.7876657886</v>
      </c>
      <c r="F42" s="35" t="n">
        <f aca="false">'Balance Sheet'!F6</f>
        <v>12712.4671462142</v>
      </c>
      <c r="H42" s="35" t="n">
        <f aca="false">INDEX(Monthly!$C$84:$BJ$84,($R$2-1)*12+1)</f>
        <v>3196.22386666667</v>
      </c>
      <c r="I42" s="35" t="n">
        <f aca="false">INDEX(Monthly!$C$84:$BJ$84,($R$2-1)*12+2)</f>
        <v>3629.92906014815</v>
      </c>
      <c r="J42" s="35" t="n">
        <f aca="false">INDEX(Monthly!$C$84:$BJ$84,($R$2-1)*12+3)</f>
        <v>4851.56011996444</v>
      </c>
      <c r="K42" s="35" t="n">
        <f aca="false">INDEX(Monthly!$C$84:$BJ$84,($R$2-1)*12+4)</f>
        <v>5403.45992257327</v>
      </c>
      <c r="L42" s="35" t="n">
        <f aca="false">INDEX(Monthly!$C$84:$BJ$84,($R$2-1)*12+5)</f>
        <v>5966.01842937405</v>
      </c>
      <c r="M42" s="35" t="n">
        <f aca="false">INDEX(Monthly!$C$84:$BJ$84,($R$2-1)*12+6)</f>
        <v>6538.80929219909</v>
      </c>
      <c r="N42" s="35" t="n">
        <f aca="false">INDEX(Monthly!$C$84:$BJ$84,($R$2-1)*12+7)</f>
        <v>7121.42321680742</v>
      </c>
      <c r="O42" s="35" t="n">
        <f aca="false">INDEX(Monthly!$C$84:$BJ$84,($R$2-1)*12+8)</f>
        <v>7713.46728072771</v>
      </c>
      <c r="P42" s="35" t="n">
        <f aca="false">INDEX(Monthly!$C$84:$BJ$84,($R$2-1)*12+9)</f>
        <v>8314.5642783875</v>
      </c>
      <c r="Q42" s="35" t="n">
        <f aca="false">INDEX(Monthly!$C$84:$BJ$84,($R$2-1)*12+10)</f>
        <v>8924.35209243718</v>
      </c>
      <c r="R42" s="35" t="n">
        <f aca="false">INDEX(Monthly!$C$84:$BJ$84,($R$2-1)*12+11)</f>
        <v>9103.03667540636</v>
      </c>
      <c r="S42" s="35" t="n">
        <f aca="false">INDEX(Monthly!$C$84:$BJ$84,($R$2-1)*12+12)</f>
        <v>7915.98187505677</v>
      </c>
    </row>
    <row r="43" customFormat="false" ht="15" hidden="false" customHeight="false" outlineLevel="0" collapsed="false">
      <c r="A43" s="51" t="s">
        <v>89</v>
      </c>
      <c r="B43" s="35" t="n">
        <f aca="false">'Balance Sheet'!B7</f>
        <v>8885.78253780614</v>
      </c>
      <c r="C43" s="35" t="n">
        <f aca="false">'Balance Sheet'!C7</f>
        <v>11211.9275518532</v>
      </c>
      <c r="D43" s="35" t="n">
        <f aca="false">'Balance Sheet'!D7</f>
        <v>12914.3553887009</v>
      </c>
      <c r="E43" s="35" t="n">
        <f aca="false">'Balance Sheet'!E7</f>
        <v>14236.9273180993</v>
      </c>
      <c r="F43" s="35" t="n">
        <f aca="false">'Balance Sheet'!F7</f>
        <v>15334.1441777025</v>
      </c>
      <c r="H43" s="35" t="n">
        <f aca="false">INDEX(Monthly!$C$85:$BJ$85,($R$2-1)*12+1)</f>
        <v>3535.97287295</v>
      </c>
      <c r="I43" s="35" t="n">
        <f aca="false">INDEX(Monthly!$C$85:$BJ$85,($R$2-1)*12+2)</f>
        <v>4015.72440315978</v>
      </c>
      <c r="J43" s="35" t="n">
        <f aca="false">INDEX(Monthly!$C$85:$BJ$85,($R$2-1)*12+3)</f>
        <v>5538.41762848136</v>
      </c>
      <c r="K43" s="35" t="n">
        <f aca="false">INDEX(Monthly!$C$85:$BJ$85,($R$2-1)*12+4)</f>
        <v>6180.84844069211</v>
      </c>
      <c r="L43" s="35" t="n">
        <f aca="false">INDEX(Monthly!$C$85:$BJ$85,($R$2-1)*12+5)</f>
        <v>6839.35924051442</v>
      </c>
      <c r="M43" s="35" t="n">
        <f aca="false">INDEX(Monthly!$C$85:$BJ$85,($R$2-1)*12+6)</f>
        <v>7513.30682844384</v>
      </c>
      <c r="N43" s="35" t="n">
        <f aca="false">INDEX(Monthly!$C$85:$BJ$85,($R$2-1)*12+7)</f>
        <v>8202.07373295609</v>
      </c>
      <c r="O43" s="35" t="n">
        <f aca="false">INDEX(Monthly!$C$85:$BJ$85,($R$2-1)*12+8)</f>
        <v>8905.06718138785</v>
      </c>
      <c r="P43" s="35" t="n">
        <f aca="false">INDEX(Monthly!$C$85:$BJ$85,($R$2-1)*12+9)</f>
        <v>9621.71811198233</v>
      </c>
      <c r="Q43" s="35" t="n">
        <f aca="false">INDEX(Monthly!$C$85:$BJ$85,($R$2-1)*12+10)</f>
        <v>10351.480225453</v>
      </c>
      <c r="R43" s="35" t="n">
        <f aca="false">INDEX(Monthly!$C$85:$BJ$85,($R$2-1)*12+11)</f>
        <v>10621.0482544349</v>
      </c>
      <c r="S43" s="35" t="n">
        <f aca="false">INDEX(Monthly!$C$85:$BJ$85,($R$2-1)*12+12)</f>
        <v>8885.78253780614</v>
      </c>
    </row>
    <row r="44" customFormat="false" ht="15" hidden="false" customHeight="false" outlineLevel="0" collapsed="false">
      <c r="A44" s="51" t="s">
        <v>90</v>
      </c>
      <c r="B44" s="35" t="n">
        <f aca="false">'Balance Sheet'!B8</f>
        <v>3758333.33333333</v>
      </c>
      <c r="C44" s="35" t="n">
        <f aca="false">'Balance Sheet'!C8</f>
        <v>3453333.33333333</v>
      </c>
      <c r="D44" s="35" t="n">
        <f aca="false">'Balance Sheet'!D8</f>
        <v>3145000</v>
      </c>
      <c r="E44" s="35" t="n">
        <f aca="false">'Balance Sheet'!E8</f>
        <v>2833333.33333333</v>
      </c>
      <c r="F44" s="35" t="n">
        <f aca="false">'Balance Sheet'!F8</f>
        <v>2518333.33333334</v>
      </c>
      <c r="H44" s="35" t="n">
        <f aca="false">INDEX(Monthly!$C$75:$BJ$75,($R$2-1)*12+1)</f>
        <v>4071527.77777778</v>
      </c>
      <c r="I44" s="35" t="n">
        <f aca="false">INDEX(Monthly!$C$75:$BJ$75,($R$2-1)*12+2)</f>
        <v>4043055.55555556</v>
      </c>
      <c r="J44" s="35" t="n">
        <f aca="false">INDEX(Monthly!$C$75:$BJ$75,($R$2-1)*12+3)</f>
        <v>4014583.33333333</v>
      </c>
      <c r="K44" s="35" t="n">
        <f aca="false">INDEX(Monthly!$C$75:$BJ$75,($R$2-1)*12+4)</f>
        <v>3986111.11111111</v>
      </c>
      <c r="L44" s="35" t="n">
        <f aca="false">INDEX(Monthly!$C$75:$BJ$75,($R$2-1)*12+5)</f>
        <v>3957638.88888889</v>
      </c>
      <c r="M44" s="35" t="n">
        <f aca="false">INDEX(Monthly!$C$75:$BJ$75,($R$2-1)*12+6)</f>
        <v>3929166.66666667</v>
      </c>
      <c r="N44" s="35" t="n">
        <f aca="false">INDEX(Monthly!$C$75:$BJ$75,($R$2-1)*12+7)</f>
        <v>3900694.44444444</v>
      </c>
      <c r="O44" s="35" t="n">
        <f aca="false">INDEX(Monthly!$C$75:$BJ$75,($R$2-1)*12+8)</f>
        <v>3872222.22222222</v>
      </c>
      <c r="P44" s="35" t="n">
        <f aca="false">INDEX(Monthly!$C$75:$BJ$75,($R$2-1)*12+9)</f>
        <v>3843750</v>
      </c>
      <c r="Q44" s="35" t="n">
        <f aca="false">INDEX(Monthly!$C$75:$BJ$75,($R$2-1)*12+10)</f>
        <v>3815277.77777778</v>
      </c>
      <c r="R44" s="35" t="n">
        <f aca="false">INDEX(Monthly!$C$75:$BJ$75,($R$2-1)*12+11)</f>
        <v>3786805.55555556</v>
      </c>
      <c r="S44" s="35" t="n">
        <f aca="false">INDEX(Monthly!$C$75:$BJ$75,($R$2-1)*12+12)</f>
        <v>3758333.33333333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4130577.30529272</v>
      </c>
      <c r="C45" s="37" t="n">
        <f aca="false">'Balance Sheet'!C9</f>
        <v>3664170.4221112</v>
      </c>
      <c r="D45" s="37" t="n">
        <f aca="false">'Balance Sheet'!D9</f>
        <v>3431329.88023803</v>
      </c>
      <c r="E45" s="37" t="n">
        <f aca="false">'Balance Sheet'!E9</f>
        <v>3368087.68862127</v>
      </c>
      <c r="F45" s="37" t="n">
        <f aca="false">'Balance Sheet'!F9</f>
        <v>3434422.8680779</v>
      </c>
      <c r="H45" s="37" t="n">
        <f aca="false">INDEX(Monthly!$C$112:$BJ$112,($R$2-1)*12+1)</f>
        <v>5003455.8114868</v>
      </c>
      <c r="I45" s="37" t="n">
        <f aca="false">INDEX(Monthly!$C$112:$BJ$112,($R$2-1)*12+2)</f>
        <v>4882452.53724416</v>
      </c>
      <c r="J45" s="37" t="n">
        <f aca="false">INDEX(Monthly!$C$112:$BJ$112,($R$2-1)*12+3)</f>
        <v>4778643.66193998</v>
      </c>
      <c r="K45" s="37" t="n">
        <f aca="false">INDEX(Monthly!$C$112:$BJ$112,($R$2-1)*12+4)</f>
        <v>4680538.40136199</v>
      </c>
      <c r="L45" s="37" t="n">
        <f aca="false">INDEX(Monthly!$C$112:$BJ$112,($R$2-1)*12+5)</f>
        <v>4589758.38009905</v>
      </c>
      <c r="M45" s="37" t="n">
        <f aca="false">INDEX(Monthly!$C$112:$BJ$112,($R$2-1)*12+6)</f>
        <v>4506425.13791614</v>
      </c>
      <c r="N45" s="37" t="n">
        <f aca="false">INDEX(Monthly!$C$112:$BJ$112,($R$2-1)*12+7)</f>
        <v>4430655.35298764</v>
      </c>
      <c r="O45" s="37" t="n">
        <f aca="false">INDEX(Monthly!$C$112:$BJ$112,($R$2-1)*12+8)</f>
        <v>4362561.03636094</v>
      </c>
      <c r="P45" s="37" t="n">
        <f aca="false">INDEX(Monthly!$C$112:$BJ$112,($R$2-1)*12+9)</f>
        <v>4302249.71864156</v>
      </c>
      <c r="Q45" s="37" t="n">
        <f aca="false">INDEX(Monthly!$C$112:$BJ$112,($R$2-1)*12+10)</f>
        <v>4249824.62921077</v>
      </c>
      <c r="R45" s="37" t="n">
        <f aca="false">INDEX(Monthly!$C$112:$BJ$112,($R$2-1)*12+11)</f>
        <v>4198950.76565908</v>
      </c>
      <c r="S45" s="37" t="n">
        <f aca="false">INDEX(Monthly!$C$112:$BJ$112,($R$2-1)*12+12)</f>
        <v>4130577.30529272</v>
      </c>
    </row>
    <row r="46" customFormat="false" ht="15" hidden="false" customHeight="false" outlineLevel="0" collapsed="false">
      <c r="A46" s="51" t="s">
        <v>92</v>
      </c>
      <c r="B46" s="35" t="n">
        <f aca="false">'Balance Sheet'!B10</f>
        <v>14809.6375630102</v>
      </c>
      <c r="C46" s="35" t="n">
        <f aca="false">'Balance Sheet'!C10</f>
        <v>18686.5459197554</v>
      </c>
      <c r="D46" s="35" t="n">
        <f aca="false">'Balance Sheet'!D10</f>
        <v>21523.9256478349</v>
      </c>
      <c r="E46" s="35" t="n">
        <f aca="false">'Balance Sheet'!E10</f>
        <v>23728.2121968321</v>
      </c>
      <c r="F46" s="35" t="n">
        <f aca="false">'Balance Sheet'!F10</f>
        <v>25556.9069628375</v>
      </c>
      <c r="H46" s="35" t="n">
        <f aca="false">INDEX(Monthly!$C$86:$BJ$86,($R$2-1)*12+1)</f>
        <v>5893.28812158333</v>
      </c>
      <c r="I46" s="35" t="n">
        <f aca="false">INDEX(Monthly!$C$86:$BJ$86,($R$2-1)*12+2)</f>
        <v>6692.8740052663</v>
      </c>
      <c r="J46" s="35" t="n">
        <f aca="false">INDEX(Monthly!$C$86:$BJ$86,($R$2-1)*12+3)</f>
        <v>9230.69604746893</v>
      </c>
      <c r="K46" s="35" t="n">
        <f aca="false">INDEX(Monthly!$C$86:$BJ$86,($R$2-1)*12+4)</f>
        <v>10301.4140678202</v>
      </c>
      <c r="L46" s="35" t="n">
        <f aca="false">INDEX(Monthly!$C$86:$BJ$86,($R$2-1)*12+5)</f>
        <v>11398.932067524</v>
      </c>
      <c r="M46" s="35" t="n">
        <f aca="false">INDEX(Monthly!$C$86:$BJ$86,($R$2-1)*12+6)</f>
        <v>12522.1780474064</v>
      </c>
      <c r="N46" s="35" t="n">
        <f aca="false">INDEX(Monthly!$C$86:$BJ$86,($R$2-1)*12+7)</f>
        <v>13670.1228882601</v>
      </c>
      <c r="O46" s="35" t="n">
        <f aca="false">INDEX(Monthly!$C$86:$BJ$86,($R$2-1)*12+8)</f>
        <v>14841.7786356464</v>
      </c>
      <c r="P46" s="35" t="n">
        <f aca="false">INDEX(Monthly!$C$86:$BJ$86,($R$2-1)*12+9)</f>
        <v>16036.1968533039</v>
      </c>
      <c r="Q46" s="35" t="n">
        <f aca="false">INDEX(Monthly!$C$86:$BJ$86,($R$2-1)*12+10)</f>
        <v>17252.4670424217</v>
      </c>
      <c r="R46" s="35" t="n">
        <f aca="false">INDEX(Monthly!$C$86:$BJ$86,($R$2-1)*12+11)</f>
        <v>17701.7470907249</v>
      </c>
      <c r="S46" s="35" t="n">
        <f aca="false">INDEX(Monthly!$C$86:$BJ$86,($R$2-1)*12+12)</f>
        <v>14809.6375630102</v>
      </c>
    </row>
    <row r="47" customFormat="false" ht="15" hidden="false" customHeight="false" outlineLevel="0" collapsed="false">
      <c r="A47" s="51" t="s">
        <v>93</v>
      </c>
      <c r="B47" s="35" t="n">
        <f aca="false">'Balance Sheet'!B11</f>
        <v>2725000</v>
      </c>
      <c r="C47" s="35" t="n">
        <f aca="false">'Balance Sheet'!C11</f>
        <v>2425000</v>
      </c>
      <c r="D47" s="35" t="n">
        <f aca="false">'Balance Sheet'!D11</f>
        <v>2125000</v>
      </c>
      <c r="E47" s="35" t="n">
        <f aca="false">'Balance Sheet'!E11</f>
        <v>1825000</v>
      </c>
      <c r="F47" s="35" t="n">
        <f aca="false">'Balance Sheet'!F11</f>
        <v>1525000</v>
      </c>
      <c r="H47" s="35" t="n">
        <f aca="false">INDEX(Monthly!$C$81:$BJ$81,($R$2-1)*12+1)</f>
        <v>3000000</v>
      </c>
      <c r="I47" s="35" t="n">
        <f aca="false">INDEX(Monthly!$C$81:$BJ$81,($R$2-1)*12+2)</f>
        <v>2975000</v>
      </c>
      <c r="J47" s="35" t="n">
        <f aca="false">INDEX(Monthly!$C$81:$BJ$81,($R$2-1)*12+3)</f>
        <v>2950000</v>
      </c>
      <c r="K47" s="35" t="n">
        <f aca="false">INDEX(Monthly!$C$81:$BJ$81,($R$2-1)*12+4)</f>
        <v>2925000</v>
      </c>
      <c r="L47" s="35" t="n">
        <f aca="false">INDEX(Monthly!$C$81:$BJ$81,($R$2-1)*12+5)</f>
        <v>2900000</v>
      </c>
      <c r="M47" s="35" t="n">
        <f aca="false">INDEX(Monthly!$C$81:$BJ$81,($R$2-1)*12+6)</f>
        <v>2875000</v>
      </c>
      <c r="N47" s="35" t="n">
        <f aca="false">INDEX(Monthly!$C$81:$BJ$81,($R$2-1)*12+7)</f>
        <v>2850000</v>
      </c>
      <c r="O47" s="35" t="n">
        <f aca="false">INDEX(Monthly!$C$81:$BJ$81,($R$2-1)*12+8)</f>
        <v>2825000</v>
      </c>
      <c r="P47" s="35" t="n">
        <f aca="false">INDEX(Monthly!$C$81:$BJ$81,($R$2-1)*12+9)</f>
        <v>2800000</v>
      </c>
      <c r="Q47" s="35" t="n">
        <f aca="false">INDEX(Monthly!$C$81:$BJ$81,($R$2-1)*12+10)</f>
        <v>2775000</v>
      </c>
      <c r="R47" s="35" t="n">
        <f aca="false">INDEX(Monthly!$C$81:$BJ$81,($R$2-1)*12+11)</f>
        <v>2750000</v>
      </c>
      <c r="S47" s="35" t="n">
        <f aca="false">INDEX(Monthly!$C$81:$BJ$81,($R$2-1)*12+12)</f>
        <v>2725000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2739809.63756301</v>
      </c>
      <c r="C48" s="37" t="n">
        <f aca="false">'Balance Sheet'!C12</f>
        <v>2443686.54591976</v>
      </c>
      <c r="D48" s="37" t="n">
        <f aca="false">'Balance Sheet'!D12</f>
        <v>2146523.92564784</v>
      </c>
      <c r="E48" s="37" t="n">
        <f aca="false">'Balance Sheet'!E12</f>
        <v>1848728.21219683</v>
      </c>
      <c r="F48" s="37" t="n">
        <f aca="false">'Balance Sheet'!F12</f>
        <v>1550556.90696284</v>
      </c>
      <c r="H48" s="37" t="n">
        <f aca="false">INDEX(Monthly!$C$113:$BJ$113,($R$2-1)*12+1)</f>
        <v>3005893.28812158</v>
      </c>
      <c r="I48" s="37" t="n">
        <f aca="false">INDEX(Monthly!$C$113:$BJ$113,($R$2-1)*12+2)</f>
        <v>2981692.87400527</v>
      </c>
      <c r="J48" s="37" t="n">
        <f aca="false">INDEX(Monthly!$C$113:$BJ$113,($R$2-1)*12+3)</f>
        <v>2959230.69604747</v>
      </c>
      <c r="K48" s="37" t="n">
        <f aca="false">INDEX(Monthly!$C$113:$BJ$113,($R$2-1)*12+4)</f>
        <v>2935301.41406782</v>
      </c>
      <c r="L48" s="37" t="n">
        <f aca="false">INDEX(Monthly!$C$113:$BJ$113,($R$2-1)*12+5)</f>
        <v>2911398.93206752</v>
      </c>
      <c r="M48" s="37" t="n">
        <f aca="false">INDEX(Monthly!$C$113:$BJ$113,($R$2-1)*12+6)</f>
        <v>2887522.17804741</v>
      </c>
      <c r="N48" s="37" t="n">
        <f aca="false">INDEX(Monthly!$C$113:$BJ$113,($R$2-1)*12+7)</f>
        <v>2863670.12288826</v>
      </c>
      <c r="O48" s="37" t="n">
        <f aca="false">INDEX(Monthly!$C$113:$BJ$113,($R$2-1)*12+8)</f>
        <v>2839841.77863565</v>
      </c>
      <c r="P48" s="37" t="n">
        <f aca="false">INDEX(Monthly!$C$113:$BJ$113,($R$2-1)*12+9)</f>
        <v>2816036.1968533</v>
      </c>
      <c r="Q48" s="37" t="n">
        <f aca="false">INDEX(Monthly!$C$113:$BJ$113,($R$2-1)*12+10)</f>
        <v>2792252.46704242</v>
      </c>
      <c r="R48" s="37" t="n">
        <f aca="false">INDEX(Monthly!$C$113:$BJ$113,($R$2-1)*12+11)</f>
        <v>2767701.74709072</v>
      </c>
      <c r="S48" s="37" t="n">
        <f aca="false">INDEX(Monthly!$C$113:$BJ$113,($R$2-1)*12+12)</f>
        <v>2739809.63756301</v>
      </c>
    </row>
    <row r="49" customFormat="false" ht="15" hidden="false" customHeight="false" outlineLevel="0" collapsed="false">
      <c r="A49" s="51" t="s">
        <v>95</v>
      </c>
      <c r="B49" s="35" t="n">
        <f aca="false">'Balance Sheet'!B13</f>
        <v>2100000</v>
      </c>
      <c r="C49" s="35" t="n">
        <f aca="false">'Balance Sheet'!C13</f>
        <v>2100000</v>
      </c>
      <c r="D49" s="35" t="n">
        <f aca="false">'Balance Sheet'!D13</f>
        <v>2100000</v>
      </c>
      <c r="E49" s="35" t="n">
        <f aca="false">'Balance Sheet'!E13</f>
        <v>2100000</v>
      </c>
      <c r="F49" s="35" t="n">
        <f aca="false">'Balance Sheet'!F13</f>
        <v>2100000</v>
      </c>
      <c r="H49" s="35" t="n">
        <f aca="false">INDEX(Monthly!$C$110:$BJ$110,($R$2-1)*12+1)</f>
        <v>2100000</v>
      </c>
      <c r="I49" s="35" t="n">
        <f aca="false">INDEX(Monthly!$C$110:$BJ$110,($R$2-1)*12+2)</f>
        <v>2100000</v>
      </c>
      <c r="J49" s="35" t="n">
        <f aca="false">INDEX(Monthly!$C$110:$BJ$110,($R$2-1)*12+3)</f>
        <v>2100000</v>
      </c>
      <c r="K49" s="35" t="n">
        <f aca="false">INDEX(Monthly!$C$110:$BJ$110,($R$2-1)*12+4)</f>
        <v>2100000</v>
      </c>
      <c r="L49" s="35" t="n">
        <f aca="false">INDEX(Monthly!$C$110:$BJ$110,($R$2-1)*12+5)</f>
        <v>2100000</v>
      </c>
      <c r="M49" s="35" t="n">
        <f aca="false">INDEX(Monthly!$C$110:$BJ$110,($R$2-1)*12+6)</f>
        <v>2100000</v>
      </c>
      <c r="N49" s="35" t="n">
        <f aca="false">INDEX(Monthly!$C$110:$BJ$110,($R$2-1)*12+7)</f>
        <v>2100000</v>
      </c>
      <c r="O49" s="35" t="n">
        <f aca="false">INDEX(Monthly!$C$110:$BJ$110,($R$2-1)*12+8)</f>
        <v>2100000</v>
      </c>
      <c r="P49" s="35" t="n">
        <f aca="false">INDEX(Monthly!$C$110:$BJ$110,($R$2-1)*12+9)</f>
        <v>2100000</v>
      </c>
      <c r="Q49" s="35" t="n">
        <f aca="false">INDEX(Monthly!$C$110:$BJ$110,($R$2-1)*12+10)</f>
        <v>2100000</v>
      </c>
      <c r="R49" s="35" t="n">
        <f aca="false">INDEX(Monthly!$C$110:$BJ$110,($R$2-1)*12+11)</f>
        <v>2100000</v>
      </c>
      <c r="S49" s="35" t="n">
        <f aca="false">INDEX(Monthly!$C$110:$BJ$110,($R$2-1)*12+12)</f>
        <v>2100000</v>
      </c>
    </row>
    <row r="50" customFormat="false" ht="15" hidden="false" customHeight="false" outlineLevel="0" collapsed="false">
      <c r="A50" s="51" t="s">
        <v>96</v>
      </c>
      <c r="B50" s="35" t="n">
        <f aca="false">'Balance Sheet'!B14</f>
        <v>-709232.332270295</v>
      </c>
      <c r="C50" s="35" t="n">
        <f aca="false">'Balance Sheet'!C14</f>
        <v>-879516.123808558</v>
      </c>
      <c r="D50" s="35" t="n">
        <f aca="false">'Balance Sheet'!D14</f>
        <v>-815194.045409802</v>
      </c>
      <c r="E50" s="35" t="n">
        <f aca="false">'Balance Sheet'!E14</f>
        <v>-580640.523575564</v>
      </c>
      <c r="F50" s="35" t="n">
        <f aca="false">'Balance Sheet'!F14</f>
        <v>-216134.038884935</v>
      </c>
      <c r="H50" s="35" t="n">
        <f aca="false">INDEX(Monthly!$C$111:$BJ$111,($R$2-1)*12+1)</f>
        <v>-102437.476634789</v>
      </c>
      <c r="I50" s="35" t="n">
        <f aca="false">INDEX(Monthly!$C$111:$BJ$111,($R$2-1)*12+2)</f>
        <v>-199240.336761108</v>
      </c>
      <c r="J50" s="35" t="n">
        <f aca="false">INDEX(Monthly!$C$111:$BJ$111,($R$2-1)*12+3)</f>
        <v>-280587.034107493</v>
      </c>
      <c r="K50" s="35" t="n">
        <f aca="false">INDEX(Monthly!$C$111:$BJ$111,($R$2-1)*12+4)</f>
        <v>-354763.012705834</v>
      </c>
      <c r="L50" s="35" t="n">
        <f aca="false">INDEX(Monthly!$C$111:$BJ$111,($R$2-1)*12+5)</f>
        <v>-421640.551968474</v>
      </c>
      <c r="M50" s="35" t="n">
        <f aca="false">INDEX(Monthly!$C$111:$BJ$111,($R$2-1)*12+6)</f>
        <v>-481097.040131265</v>
      </c>
      <c r="N50" s="35" t="n">
        <f aca="false">INDEX(Monthly!$C$111:$BJ$111,($R$2-1)*12+7)</f>
        <v>-533014.769900621</v>
      </c>
      <c r="O50" s="35" t="n">
        <f aca="false">INDEX(Monthly!$C$111:$BJ$111,($R$2-1)*12+8)</f>
        <v>-577280.742274703</v>
      </c>
      <c r="P50" s="35" t="n">
        <f aca="false">INDEX(Monthly!$C$111:$BJ$111,($R$2-1)*12+9)</f>
        <v>-613786.478211745</v>
      </c>
      <c r="Q50" s="35" t="n">
        <f aca="false">INDEX(Monthly!$C$111:$BJ$111,($R$2-1)*12+10)</f>
        <v>-642427.837831648</v>
      </c>
      <c r="R50" s="35" t="n">
        <f aca="false">INDEX(Monthly!$C$111:$BJ$111,($R$2-1)*12+11)</f>
        <v>-668750.981431645</v>
      </c>
      <c r="S50" s="35" t="n">
        <f aca="false">INDEX(Monthly!$C$111:$BJ$111,($R$2-1)*12+12)</f>
        <v>-709232.332270295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1390767.66772971</v>
      </c>
      <c r="C51" s="37" t="n">
        <f aca="false">'Balance Sheet'!C15</f>
        <v>1220483.87619144</v>
      </c>
      <c r="D51" s="37" t="n">
        <f aca="false">'Balance Sheet'!D15</f>
        <v>1284805.9545902</v>
      </c>
      <c r="E51" s="37" t="n">
        <f aca="false">'Balance Sheet'!E15</f>
        <v>1519359.47642444</v>
      </c>
      <c r="F51" s="37" t="n">
        <f aca="false">'Balance Sheet'!F15</f>
        <v>1883865.96111507</v>
      </c>
      <c r="H51" s="37" t="n">
        <f aca="false">INDEX(Monthly!$C$114:$BJ$114,($R$2-1)*12+1)</f>
        <v>1997562.52336521</v>
      </c>
      <c r="I51" s="37" t="n">
        <f aca="false">INDEX(Monthly!$C$114:$BJ$114,($R$2-1)*12+2)</f>
        <v>1900759.66323889</v>
      </c>
      <c r="J51" s="37" t="n">
        <f aca="false">INDEX(Monthly!$C$114:$BJ$114,($R$2-1)*12+3)</f>
        <v>1819412.96589251</v>
      </c>
      <c r="K51" s="37" t="n">
        <f aca="false">INDEX(Monthly!$C$114:$BJ$114,($R$2-1)*12+4)</f>
        <v>1745236.98729417</v>
      </c>
      <c r="L51" s="37" t="n">
        <f aca="false">INDEX(Monthly!$C$114:$BJ$114,($R$2-1)*12+5)</f>
        <v>1678359.44803153</v>
      </c>
      <c r="M51" s="37" t="n">
        <f aca="false">INDEX(Monthly!$C$114:$BJ$114,($R$2-1)*12+6)</f>
        <v>1618902.95986874</v>
      </c>
      <c r="N51" s="37" t="n">
        <f aca="false">INDEX(Monthly!$C$114:$BJ$114,($R$2-1)*12+7)</f>
        <v>1566985.23009938</v>
      </c>
      <c r="O51" s="37" t="n">
        <f aca="false">INDEX(Monthly!$C$114:$BJ$114,($R$2-1)*12+8)</f>
        <v>1522719.2577253</v>
      </c>
      <c r="P51" s="37" t="n">
        <f aca="false">INDEX(Monthly!$C$114:$BJ$114,($R$2-1)*12+9)</f>
        <v>1486213.52178826</v>
      </c>
      <c r="Q51" s="37" t="n">
        <f aca="false">INDEX(Monthly!$C$114:$BJ$114,($R$2-1)*12+10)</f>
        <v>1457572.16216835</v>
      </c>
      <c r="R51" s="37" t="n">
        <f aca="false">INDEX(Monthly!$C$114:$BJ$114,($R$2-1)*12+11)</f>
        <v>1431249.01856836</v>
      </c>
      <c r="S51" s="37" t="n">
        <f aca="false">INDEX(Monthly!$C$114:$BJ$114,($R$2-1)*12+12)</f>
        <v>1390767.66772971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4130577.30529272</v>
      </c>
      <c r="C52" s="41" t="n">
        <f aca="false">'Balance Sheet'!C16</f>
        <v>3664170.4221112</v>
      </c>
      <c r="D52" s="41" t="n">
        <f aca="false">'Balance Sheet'!D16</f>
        <v>3431329.88023803</v>
      </c>
      <c r="E52" s="41" t="n">
        <f aca="false">'Balance Sheet'!E16</f>
        <v>3368087.68862127</v>
      </c>
      <c r="F52" s="41" t="n">
        <f aca="false">'Balance Sheet'!F16</f>
        <v>3434422.8680779</v>
      </c>
      <c r="H52" s="41" t="n">
        <f aca="false">INDEX(Monthly!$C$115:$BJ$115,($R$2-1)*12+1)</f>
        <v>5003455.8114868</v>
      </c>
      <c r="I52" s="41" t="n">
        <f aca="false">INDEX(Monthly!$C$115:$BJ$115,($R$2-1)*12+2)</f>
        <v>4882452.53724416</v>
      </c>
      <c r="J52" s="41" t="n">
        <f aca="false">INDEX(Monthly!$C$115:$BJ$115,($R$2-1)*12+3)</f>
        <v>4778643.66193998</v>
      </c>
      <c r="K52" s="41" t="n">
        <f aca="false">INDEX(Monthly!$C$115:$BJ$115,($R$2-1)*12+4)</f>
        <v>4680538.40136199</v>
      </c>
      <c r="L52" s="41" t="n">
        <f aca="false">INDEX(Monthly!$C$115:$BJ$115,($R$2-1)*12+5)</f>
        <v>4589758.38009905</v>
      </c>
      <c r="M52" s="41" t="n">
        <f aca="false">INDEX(Monthly!$C$115:$BJ$115,($R$2-1)*12+6)</f>
        <v>4506425.13791614</v>
      </c>
      <c r="N52" s="41" t="n">
        <f aca="false">INDEX(Monthly!$C$115:$BJ$115,($R$2-1)*12+7)</f>
        <v>4430655.35298764</v>
      </c>
      <c r="O52" s="41" t="n">
        <f aca="false">INDEX(Monthly!$C$115:$BJ$115,($R$2-1)*12+8)</f>
        <v>4362561.03636094</v>
      </c>
      <c r="P52" s="41" t="n">
        <f aca="false">INDEX(Monthly!$C$115:$BJ$115,($R$2-1)*12+9)</f>
        <v>4302249.71864156</v>
      </c>
      <c r="Q52" s="41" t="n">
        <f aca="false">INDEX(Monthly!$C$115:$BJ$115,($R$2-1)*12+10)</f>
        <v>4249824.62921077</v>
      </c>
      <c r="R52" s="41" t="n">
        <f aca="false">INDEX(Monthly!$C$115:$BJ$115,($R$2-1)*12+11)</f>
        <v>4198950.76565908</v>
      </c>
      <c r="S52" s="41" t="n">
        <f aca="false">INDEX(Monthly!$C$115:$BJ$115,($R$2-1)*12+12)</f>
        <v>4130577.30529272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2" t="n">
        <f aca="false">MATCH(MIN(Monthly!$C$98:$BJ$98),Monthly!$C$98:$BJ$98,0)</f>
        <v>26</v>
      </c>
    </row>
    <row r="7" customFormat="false" ht="15" hidden="false" customHeight="false" outlineLevel="0" collapsed="false">
      <c r="A7" s="6" t="s">
        <v>104</v>
      </c>
      <c r="B7" s="53" t="n">
        <f aca="false">SUMPRODUCT(--(Monthly!$C$4:$BJ$4&lt;=$B$6),Monthly!$C$71:$BJ$71)</f>
        <v>4180000</v>
      </c>
    </row>
    <row r="8" customFormat="false" ht="15" hidden="false" customHeight="false" outlineLevel="0" collapsed="false">
      <c r="A8" s="6" t="s">
        <v>105</v>
      </c>
      <c r="B8" s="53" t="n">
        <f aca="false">-SUMPRODUCT(--(Monthly!$C$4:$BJ$4&lt;=$B$6),Monthly!$C$92:$BJ$92)</f>
        <v>163445.461443099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3" t="n">
        <f aca="false">-SUMPRODUCT(--(Monthly!$C$4:$BJ$4&lt;=$B$6),Monthly!$C$80:$BJ$80)</f>
        <v>625000</v>
      </c>
    </row>
    <row r="10" customFormat="false" ht="15" hidden="false" customHeight="false" outlineLevel="0" collapsed="false">
      <c r="A10" s="4" t="s">
        <v>108</v>
      </c>
      <c r="B10" s="54" t="n">
        <f aca="false">B7+B8+B9</f>
        <v>4968445.4614431</v>
      </c>
    </row>
    <row r="11" customFormat="false" ht="15" hidden="false" customHeight="false" outlineLevel="0" collapsed="false">
      <c r="A11" s="6" t="s">
        <v>109</v>
      </c>
      <c r="B11" s="55" t="n">
        <f aca="false">Inputs!$E$82</f>
        <v>281000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4" t="n">
        <f aca="false">B10+B11</f>
        <v>5249445.4614431</v>
      </c>
    </row>
    <row r="14" customFormat="false" ht="15" hidden="false" customHeight="false" outlineLevel="0" collapsed="false">
      <c r="A14" s="6" t="s">
        <v>62</v>
      </c>
      <c r="B14" s="55" t="n">
        <f aca="false">Inputs!$E$67</f>
        <v>2100000</v>
      </c>
    </row>
    <row r="15" customFormat="false" ht="15" hidden="false" customHeight="false" outlineLevel="0" collapsed="false">
      <c r="A15" s="6" t="s">
        <v>63</v>
      </c>
      <c r="B15" s="55" t="n">
        <f aca="false">Inputs!$E$68</f>
        <v>3000000</v>
      </c>
    </row>
    <row r="16" customFormat="false" ht="15" hidden="false" customHeight="false" outlineLevel="0" collapsed="false">
      <c r="A16" s="4" t="s">
        <v>112</v>
      </c>
      <c r="B16" s="54" t="n">
        <f aca="false">B14+B15</f>
        <v>5100000</v>
      </c>
    </row>
    <row r="17" customFormat="false" ht="15" hidden="false" customHeight="false" outlineLevel="0" collapsed="false">
      <c r="A17" s="56" t="s">
        <v>65</v>
      </c>
      <c r="B17" s="57" t="n">
        <f aca="false">B16-B12</f>
        <v>-149445.461443098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3" t="n">
        <f aca="false">MIN(Monthly!$C$98:$BJ$98)</f>
        <v>131554.538556901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2" t="n">
        <f aca="false">IFERROR(MATCH(1,Monthly!$C$99:$BJ$99,0),"Not within horizon")</f>
        <v>8</v>
      </c>
    </row>
    <row r="22" customFormat="false" ht="15" hidden="false" customHeight="false" outlineLevel="0" collapsed="false">
      <c r="A22" s="6" t="s">
        <v>118</v>
      </c>
      <c r="B22" s="52" t="n">
        <f aca="false">IFERROR(MATCH(1,Monthly!$C$102:$BJ$102,0),"Not within horizon")</f>
        <v>27</v>
      </c>
    </row>
    <row r="23" customFormat="false" ht="15" hidden="false" customHeight="false" outlineLevel="0" collapsed="false">
      <c r="A23" s="6" t="s">
        <v>119</v>
      </c>
      <c r="B23" s="52" t="str">
        <f aca="false">IF(MIN(Monthly!$C$104:$BJ$104)&gt;=0,"No investment to pay back",IFERROR(MATCH(1,Monthly!$C$106:$BJ$106,0),"Not within horizon"))</f>
        <v>Not within horizon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8" t="s">
        <v>122</v>
      </c>
      <c r="B26" s="58" t="n">
        <v>1</v>
      </c>
      <c r="C26" s="58" t="n">
        <v>2</v>
      </c>
      <c r="D26" s="58" t="n">
        <v>3</v>
      </c>
      <c r="E26" s="58" t="n">
        <v>4</v>
      </c>
      <c r="F26" s="58" t="n">
        <v>5</v>
      </c>
    </row>
    <row r="27" customFormat="false" ht="15" hidden="false" customHeight="false" outlineLevel="0" collapsed="false">
      <c r="A27" s="33"/>
      <c r="B27" s="59" t="s">
        <v>123</v>
      </c>
      <c r="C27" s="59" t="s">
        <v>124</v>
      </c>
      <c r="D27" s="59" t="s">
        <v>125</v>
      </c>
      <c r="E27" s="59" t="s">
        <v>126</v>
      </c>
      <c r="F27" s="59" t="s">
        <v>127</v>
      </c>
    </row>
    <row r="28" customFormat="false" ht="15" hidden="false" customHeight="false" outlineLevel="0" collapsed="false">
      <c r="A28" s="4" t="s">
        <v>42</v>
      </c>
      <c r="B28" s="60" t="n">
        <f aca="false">SUMIF(Monthly!$C$5:$BJ$5,B$26,Monthly!$C$37:$BJ$37)</f>
        <v>1180182.39164623</v>
      </c>
      <c r="C28" s="60" t="n">
        <f aca="false">SUMIF(Monthly!$C$5:$BJ$5,C$26,Monthly!$C$37:$BJ$37)</f>
        <v>1805881.4666632</v>
      </c>
      <c r="D28" s="60" t="n">
        <f aca="false">SUMIF(Monthly!$C$5:$BJ$5,D$26,Monthly!$C$37:$BJ$37)</f>
        <v>2080276.59708741</v>
      </c>
      <c r="E28" s="60" t="n">
        <f aca="false">SUMIF(Monthly!$C$5:$BJ$5,E$26,Monthly!$C$37:$BJ$37)</f>
        <v>2282431.11225691</v>
      </c>
      <c r="F28" s="60" t="n">
        <f aca="false">SUMIF(Monthly!$C$5:$BJ$5,F$26,Monthly!$C$37:$BJ$37)</f>
        <v>2440877.21952545</v>
      </c>
    </row>
    <row r="29" customFormat="false" ht="15" hidden="false" customHeight="false" outlineLevel="0" collapsed="false">
      <c r="A29" s="6" t="s">
        <v>43</v>
      </c>
      <c r="B29" s="53" t="n">
        <f aca="false">SUMIF(Monthly!$C$5:$BJ$5,B$26,Monthly!$C$46:$BJ$46)</f>
        <v>999760.792729705</v>
      </c>
      <c r="C29" s="53" t="n">
        <f aca="false">SUMIF(Monthly!$C$5:$BJ$5,C$26,Monthly!$C$46:$BJ$46)</f>
        <v>1517202.40846174</v>
      </c>
      <c r="D29" s="53" t="n">
        <f aca="false">SUMIF(Monthly!$C$5:$BJ$5,D$26,Monthly!$C$46:$BJ$46)</f>
        <v>1736853.94773209</v>
      </c>
      <c r="E29" s="53" t="n">
        <f aca="false">SUMIF(Monthly!$C$5:$BJ$5,E$26,Monthly!$C$46:$BJ$46)</f>
        <v>1897646.63058091</v>
      </c>
      <c r="F29" s="53" t="n">
        <f aca="false">SUMIF(Monthly!$C$5:$BJ$5,F$26,Monthly!$C$46:$BJ$46)</f>
        <v>2022782.03003303</v>
      </c>
    </row>
    <row r="30" customFormat="false" ht="15" hidden="false" customHeight="false" outlineLevel="0" collapsed="false">
      <c r="A30" s="38" t="s">
        <v>128</v>
      </c>
      <c r="B30" s="61" t="n">
        <f aca="false">IF(B28=0,0,B29/B28)</f>
        <v>0.847123969825669</v>
      </c>
      <c r="C30" s="61" t="n">
        <f aca="false">IF(C28=0,0,C29/C28)</f>
        <v>0.840145068471817</v>
      </c>
      <c r="D30" s="61" t="n">
        <f aca="false">IF(D28=0,0,D29/D28)</f>
        <v>0.83491490995181</v>
      </c>
      <c r="E30" s="61" t="n">
        <f aca="false">IF(E28=0,0,E29/E28)</f>
        <v>0.831414635206437</v>
      </c>
      <c r="F30" s="61" t="n">
        <f aca="false">IF(F28=0,0,F29/F28)</f>
        <v>0.828711093639644</v>
      </c>
    </row>
    <row r="31" customFormat="false" ht="15" hidden="false" customHeight="false" outlineLevel="0" collapsed="false">
      <c r="A31" s="6" t="s">
        <v>129</v>
      </c>
      <c r="B31" s="53" t="n">
        <f aca="false">-SUMIF(Monthly!$C$5:$BJ$5,B$26,Monthly!$C$54:$BJ$54)</f>
        <v>1123040</v>
      </c>
      <c r="C31" s="53" t="n">
        <f aca="false">-SUMIF(Monthly!$C$5:$BJ$5,C$26,Monthly!$C$54:$BJ$54)</f>
        <v>1123611.2</v>
      </c>
      <c r="D31" s="53" t="n">
        <f aca="false">-SUMIF(Monthly!$C$5:$BJ$5,D$26,Monthly!$C$54:$BJ$54)</f>
        <v>1130823.536</v>
      </c>
      <c r="E31" s="53" t="n">
        <f aca="false">-SUMIF(Monthly!$C$5:$BJ$5,E$26,Monthly!$C$54:$BJ$54)</f>
        <v>1143551.44208</v>
      </c>
      <c r="F31" s="53" t="n">
        <f aca="false">-SUMIF(Monthly!$C$5:$BJ$5,F$26,Monthly!$C$54:$BJ$54)</f>
        <v>1160900.5453424</v>
      </c>
    </row>
    <row r="32" customFormat="false" ht="15" hidden="false" customHeight="false" outlineLevel="0" collapsed="false">
      <c r="A32" s="4" t="s">
        <v>130</v>
      </c>
      <c r="B32" s="60" t="n">
        <f aca="false">IF(B30&gt;0,B31/B30,"n/a")</f>
        <v>1325709.15238193</v>
      </c>
      <c r="C32" s="60" t="n">
        <f aca="false">IF(C30&gt;0,C31/C30,"n/a")</f>
        <v>1337401.4109775</v>
      </c>
      <c r="D32" s="60" t="n">
        <f aca="false">IF(D30&gt;0,D31/D30,"n/a")</f>
        <v>1354417.70475182</v>
      </c>
      <c r="E32" s="60" t="n">
        <f aca="false">IF(E30&gt;0,E31/E30,"n/a")</f>
        <v>1375428.56915919</v>
      </c>
      <c r="F32" s="60" t="n">
        <f aca="false">IF(F30&gt;0,F31/F30,"n/a")</f>
        <v>1400850.73586236</v>
      </c>
    </row>
    <row r="33" customFormat="false" ht="15" hidden="false" customHeight="false" outlineLevel="0" collapsed="false">
      <c r="A33" s="38" t="s">
        <v>131</v>
      </c>
      <c r="B33" s="61" t="n">
        <f aca="false">IF(AND(ISNUMBER(B32),B28&gt;0),(B28-B32)/B28,"n/a")</f>
        <v>-0.123308703608688</v>
      </c>
      <c r="C33" s="61" t="n">
        <f aca="false">IF(AND(ISNUMBER(C32),C28&gt;0),(C28-C32)/C28,"n/a")</f>
        <v>0.259419050659689</v>
      </c>
      <c r="D33" s="61" t="n">
        <f aca="false">IF(AND(ISNUMBER(D32),D28&gt;0),(D28-D32)/D28,"n/a")</f>
        <v>0.34892422159239</v>
      </c>
      <c r="E33" s="61" t="n">
        <f aca="false">IF(AND(ISNUMBER(E32),E28&gt;0),(E28-E32)/E28,"n/a")</f>
        <v>0.397384410958569</v>
      </c>
      <c r="F33" s="61" t="n">
        <f aca="false">IF(AND(ISNUMBER(F32),F28&gt;0),(F28-F32)/F28,"n/a")</f>
        <v>0.426087176914735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2" t="n">
        <f aca="false">Inputs!$E$85</f>
        <v>0.25</v>
      </c>
    </row>
    <row r="7" customFormat="false" ht="15" hidden="false" customHeight="false" outlineLevel="0" collapsed="false">
      <c r="A7" s="38" t="s">
        <v>137</v>
      </c>
      <c r="B7" s="62" t="n">
        <f aca="false">Inputs!$E$86</f>
        <v>0.02</v>
      </c>
    </row>
    <row r="8" customFormat="false" ht="15" hidden="false" customHeight="false" outlineLevel="0" collapsed="false">
      <c r="A8" s="6" t="s">
        <v>138</v>
      </c>
      <c r="B8" s="63" t="n">
        <f aca="false">Inputs!$E$87</f>
        <v>4</v>
      </c>
    </row>
    <row r="9" customFormat="false" ht="15" hidden="false" customHeight="false" outlineLevel="0" collapsed="false">
      <c r="A9" s="38" t="s">
        <v>139</v>
      </c>
      <c r="B9" s="62" t="n">
        <f aca="false">Inputs!$E$79</f>
        <v>0.21</v>
      </c>
    </row>
    <row r="10" customFormat="false" ht="15" hidden="false" customHeight="false" outlineLevel="0" collapsed="false">
      <c r="A10" s="38" t="s">
        <v>140</v>
      </c>
      <c r="B10" s="62" t="n">
        <f aca="false">Inputs!$E$88</f>
        <v>0.01</v>
      </c>
    </row>
    <row r="11" customFormat="false" ht="15" hidden="false" customHeight="false" outlineLevel="0" collapsed="false">
      <c r="A11" s="38" t="s">
        <v>141</v>
      </c>
      <c r="B11" s="62" t="n">
        <f aca="false">Inputs!$E$89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8" t="s">
        <v>122</v>
      </c>
      <c r="B14" s="58" t="n">
        <v>1</v>
      </c>
      <c r="C14" s="58" t="n">
        <v>2</v>
      </c>
      <c r="D14" s="58" t="n">
        <v>3</v>
      </c>
      <c r="E14" s="58" t="n">
        <v>4</v>
      </c>
      <c r="F14" s="58" t="n">
        <v>5</v>
      </c>
    </row>
    <row r="15" customFormat="false" ht="15" hidden="false" customHeight="false" outlineLevel="0" collapsed="false">
      <c r="A15" s="33"/>
      <c r="B15" s="59" t="s">
        <v>123</v>
      </c>
      <c r="C15" s="59" t="s">
        <v>124</v>
      </c>
      <c r="D15" s="59" t="s">
        <v>125</v>
      </c>
      <c r="E15" s="59" t="s">
        <v>126</v>
      </c>
      <c r="F15" s="59" t="s">
        <v>127</v>
      </c>
    </row>
    <row r="16" customFormat="false" ht="15" hidden="false" customHeight="false" outlineLevel="0" collapsed="false">
      <c r="A16" s="6" t="s">
        <v>46</v>
      </c>
      <c r="B16" s="53" t="n">
        <f aca="false">SUMIF(Monthly!$C$5:$BJ$5,B$14,Monthly!$C$55:$BJ$55)</f>
        <v>-123279.207270295</v>
      </c>
      <c r="C16" s="53" t="n">
        <f aca="false">SUMIF(Monthly!$C$5:$BJ$5,C$14,Monthly!$C$55:$BJ$55)</f>
        <v>393591.208461737</v>
      </c>
      <c r="D16" s="53" t="n">
        <f aca="false">SUMIF(Monthly!$C$5:$BJ$5,D$14,Monthly!$C$55:$BJ$55)</f>
        <v>606030.411732089</v>
      </c>
      <c r="E16" s="53" t="n">
        <f aca="false">SUMIF(Monthly!$C$5:$BJ$5,E$14,Monthly!$C$55:$BJ$55)</f>
        <v>754095.188500905</v>
      </c>
      <c r="F16" s="53" t="n">
        <f aca="false">SUMIF(Monthly!$C$5:$BJ$5,F$14,Monthly!$C$55:$BJ$55)</f>
        <v>861881.484690629</v>
      </c>
    </row>
    <row r="17" customFormat="false" ht="15" hidden="false" customHeight="false" outlineLevel="0" collapsed="false">
      <c r="A17" s="4" t="s">
        <v>143</v>
      </c>
      <c r="B17" s="60" t="n">
        <f aca="false">SUMIF(Monthly!$C$5:$BJ$5,B$14,Monthly!$C$107:$BJ$107)</f>
        <v>-4276571.49037015</v>
      </c>
      <c r="C17" s="60" t="n">
        <f aca="false">SUMIF(Monthly!$C$5:$BJ$5,C$14,Monthly!$C$107:$BJ$107)</f>
        <v>307389.703532665</v>
      </c>
      <c r="D17" s="60" t="n">
        <f aca="false">SUMIF(Monthly!$C$5:$BJ$5,D$14,Monthly!$C$107:$BJ$107)</f>
        <v>525282.10538278</v>
      </c>
      <c r="E17" s="60" t="n">
        <f aca="false">SUMIF(Monthly!$C$5:$BJ$5,E$14,Monthly!$C$107:$BJ$107)</f>
        <v>678762.373842083</v>
      </c>
      <c r="F17" s="60" t="n">
        <f aca="false">SUMIF(Monthly!$C$5:$BJ$5,F$14,Monthly!$C$107:$BJ$107)</f>
        <v>791941.533116606</v>
      </c>
    </row>
    <row r="18" customFormat="false" ht="15" hidden="false" customHeight="false" outlineLevel="0" collapsed="false">
      <c r="A18" s="6" t="s">
        <v>144</v>
      </c>
      <c r="B18" s="64" t="n">
        <f aca="false">1/(1+Inputs!$E$85)^B$14</f>
        <v>0.8</v>
      </c>
      <c r="C18" s="64" t="n">
        <f aca="false">1/(1+Inputs!$E$85)^C$14</f>
        <v>0.64</v>
      </c>
      <c r="D18" s="64" t="n">
        <f aca="false">1/(1+Inputs!$E$85)^D$14</f>
        <v>0.512</v>
      </c>
      <c r="E18" s="64" t="n">
        <f aca="false">1/(1+Inputs!$E$85)^E$14</f>
        <v>0.4096</v>
      </c>
      <c r="F18" s="64" t="n">
        <f aca="false">1/(1+Inputs!$E$85)^F$14</f>
        <v>0.32768</v>
      </c>
    </row>
    <row r="19" customFormat="false" ht="15" hidden="false" customHeight="false" outlineLevel="0" collapsed="false">
      <c r="A19" s="6" t="s">
        <v>145</v>
      </c>
      <c r="B19" s="53" t="n">
        <f aca="false">B17*B18</f>
        <v>-3421257.19229612</v>
      </c>
      <c r="C19" s="53" t="n">
        <f aca="false">C17*C18</f>
        <v>196729.410260905</v>
      </c>
      <c r="D19" s="53" t="n">
        <f aca="false">D17*D18</f>
        <v>268944.437955983</v>
      </c>
      <c r="E19" s="53" t="n">
        <f aca="false">E17*E18</f>
        <v>278021.068325717</v>
      </c>
      <c r="F19" s="53" t="n">
        <f aca="false">F17*F18</f>
        <v>259503.401571649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9" t="s">
        <v>147</v>
      </c>
      <c r="C22" s="59" t="s">
        <v>148</v>
      </c>
    </row>
    <row r="23" customFormat="false" ht="15" hidden="false" customHeight="false" outlineLevel="0" collapsed="false">
      <c r="A23" s="6" t="s">
        <v>149</v>
      </c>
      <c r="B23" s="53" t="n">
        <f aca="false">SUM($B$19:$F$19)</f>
        <v>-2418058.87418186</v>
      </c>
      <c r="C23" s="53" t="n">
        <f aca="false">B23</f>
        <v>-2418058.87418186</v>
      </c>
    </row>
    <row r="24" customFormat="false" ht="15" hidden="false" customHeight="false" outlineLevel="0" collapsed="false">
      <c r="A24" s="6" t="s">
        <v>150</v>
      </c>
      <c r="B24" s="53" t="n">
        <f aca="false">$F$17</f>
        <v>791941.533116606</v>
      </c>
      <c r="C24" s="53" t="n">
        <f aca="false">$F$16</f>
        <v>861881.484690629</v>
      </c>
    </row>
    <row r="25" customFormat="false" ht="15" hidden="false" customHeight="false" outlineLevel="0" collapsed="false">
      <c r="A25" s="6" t="s">
        <v>151</v>
      </c>
      <c r="B25" s="53" t="n">
        <f aca="false">IF($B$6&gt;$B$7,B24*(1+$B$7)/($B$6-$B$7),0)</f>
        <v>3512088.53816929</v>
      </c>
      <c r="C25" s="53" t="n">
        <f aca="false">C24*$B$8</f>
        <v>3447525.93876252</v>
      </c>
    </row>
    <row r="26" customFormat="false" ht="15" hidden="false" customHeight="false" outlineLevel="0" collapsed="false">
      <c r="A26" s="6" t="s">
        <v>152</v>
      </c>
      <c r="B26" s="53" t="n">
        <f aca="false">B25/(1+$B$6)^$F$14</f>
        <v>1150841.17218731</v>
      </c>
      <c r="C26" s="53" t="n">
        <f aca="false">C25/(1+$B$6)^$F$14</f>
        <v>1129685.2996137</v>
      </c>
    </row>
    <row r="27" customFormat="false" ht="15" hidden="false" customHeight="false" outlineLevel="0" collapsed="false">
      <c r="A27" s="4" t="s">
        <v>146</v>
      </c>
      <c r="B27" s="54" t="n">
        <f aca="false">B23+B26</f>
        <v>-1267217.70199455</v>
      </c>
      <c r="C27" s="54" t="n">
        <f aca="false">C23+C26</f>
        <v>-1288373.57456816</v>
      </c>
    </row>
    <row r="28" customFormat="false" ht="15" hidden="false" customHeight="false" outlineLevel="0" collapsed="false">
      <c r="A28" s="38" t="s">
        <v>153</v>
      </c>
      <c r="B28" s="61" t="n">
        <f aca="false">IF(B27&lt;&gt;0,B26/B27,0)</f>
        <v>-0.908163743590338</v>
      </c>
      <c r="C28" s="61" t="n">
        <f aca="false">IF(C27&lt;&gt;0,C26/C27,0)</f>
        <v>-0.876830541943046</v>
      </c>
    </row>
    <row r="29" customFormat="false" ht="15" hidden="false" customHeight="false" outlineLevel="0" collapsed="false">
      <c r="A29" s="6" t="s">
        <v>154</v>
      </c>
      <c r="B29" s="65" t="n">
        <f aca="false">IF(C24&gt;0,B25/C24,"n/a")</f>
        <v>4.07490890633293</v>
      </c>
      <c r="C29" s="61" t="n">
        <f aca="false">IF(C25+B24&lt;&gt;0,(C25*$B$6-B24)/(C25+B24),"n/a")</f>
        <v>0.0164973436022197</v>
      </c>
    </row>
    <row r="30" customFormat="false" ht="15" hidden="false" customHeight="false" outlineLevel="0" collapsed="false">
      <c r="A30" s="56" t="s">
        <v>155</v>
      </c>
      <c r="B30" s="57" t="n">
        <f aca="false">AVERAGE(B27,C27)</f>
        <v>-1277795.63828136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0.23</v>
      </c>
      <c r="B34" s="53" t="n">
        <f aca="false">IF($A34&gt;B$33,SUMPRODUCT($B$17:$F$17/(1+$A34)^$B$14:$F$14)+$F$17*(1+B$33)/($A34-B$33)/(1+$A34)^$F$14,"n/a")</f>
        <v>-1122165.65413009</v>
      </c>
      <c r="C34" s="53" t="n">
        <f aca="false">IF($A34&gt;C$33,SUMPRODUCT($B$17:$F$17/(1+$A34)^$B$14:$F$14)+$F$17*(1+C$33)/($A34-C$33)/(1+$A34)^$F$14,"n/a")</f>
        <v>-1085590.88968112</v>
      </c>
      <c r="D34" s="53" t="n">
        <f aca="false">IF($A34&gt;D$33,SUMPRODUCT($B$17:$F$17/(1+$A34)^$B$14:$F$14)+$F$17*(1+D$33)/($A34-D$33)/(1+$A34)^$F$14,"n/a")</f>
        <v>-1047274.4697822</v>
      </c>
      <c r="E34" s="53" t="n">
        <f aca="false">IF($A34&gt;E$33,SUMPRODUCT($B$17:$F$17/(1+$A34)^$B$14:$F$14)+$F$17*(1+E$33)/($A34-E$33)/(1+$A34)^$F$14,"n/a")</f>
        <v>-1007088.95622967</v>
      </c>
      <c r="F34" s="53" t="n">
        <f aca="false">IF($A34&gt;F$33,SUMPRODUCT($B$17:$F$17/(1+$A34)^$B$14:$F$14)+$F$17*(1+F$33)/($A34-F$33)/(1+$A34)^$F$14,"n/a")</f>
        <v>-964894.166999517</v>
      </c>
    </row>
    <row r="35" customFormat="false" ht="15" hidden="false" customHeight="false" outlineLevel="0" collapsed="false">
      <c r="A35" s="61" t="n">
        <f aca="false">$B$6+(-1)*$B$10</f>
        <v>0.24</v>
      </c>
      <c r="B35" s="53" t="n">
        <f aca="false">IF($A35&gt;B$33,SUMPRODUCT($B$17:$F$17/(1+$A35)^$B$14:$F$14)+$F$17*(1+B$33)/($A35-B$33)/(1+$A35)^$F$14,"n/a")</f>
        <v>-1229937.51273921</v>
      </c>
      <c r="C35" s="53" t="n">
        <f aca="false">IF($A35&gt;C$33,SUMPRODUCT($B$17:$F$17/(1+$A35)^$B$14:$F$14)+$F$17*(1+C$33)/($A35-C$33)/(1+$A35)^$F$14,"n/a")</f>
        <v>-1197573.2267974</v>
      </c>
      <c r="D35" s="53" t="n">
        <f aca="false">IF($A35&gt;D$33,SUMPRODUCT($B$17:$F$17/(1+$A35)^$B$14:$F$14)+$F$17*(1+D$33)/($A35-D$33)/(1+$A35)^$F$14,"n/a")</f>
        <v>-1163737.83694915</v>
      </c>
      <c r="E35" s="53" t="n">
        <f aca="false">IF($A35&gt;E$33,SUMPRODUCT($B$17:$F$17/(1+$A35)^$B$14:$F$14)+$F$17*(1+E$33)/($A35-E$33)/(1+$A35)^$F$14,"n/a")</f>
        <v>-1128328.70803819</v>
      </c>
      <c r="F35" s="53" t="n">
        <f aca="false">IF($A35&gt;F$33,SUMPRODUCT($B$17:$F$17/(1+$A35)^$B$14:$F$14)+$F$17*(1+F$33)/($A35-F$33)/(1+$A35)^$F$14,"n/a")</f>
        <v>-1091233.43013147</v>
      </c>
    </row>
    <row r="36" customFormat="false" ht="15" hidden="false" customHeight="false" outlineLevel="0" collapsed="false">
      <c r="A36" s="61" t="n">
        <f aca="false">$B$6+(0)*$B$10</f>
        <v>0.25</v>
      </c>
      <c r="B36" s="53" t="n">
        <f aca="false">IF($A36&gt;B$33,SUMPRODUCT($B$17:$F$17/(1+$A36)^$B$14:$F$14)+$F$17*(1+B$33)/($A36-B$33)/(1+$A36)^$F$14,"n/a")</f>
        <v>-1325982.05923451</v>
      </c>
      <c r="C36" s="53" t="n">
        <f aca="false">IF($A36&gt;C$33,SUMPRODUCT($B$17:$F$17/(1+$A36)^$B$14:$F$14)+$F$17*(1+C$33)/($A36-C$33)/(1+$A36)^$F$14,"n/a")</f>
        <v>-1297225.03335112</v>
      </c>
      <c r="D36" s="53" t="n">
        <f aca="false">IF($A36&gt;D$33,SUMPRODUCT($B$17:$F$17/(1+$A36)^$B$14:$F$14)+$F$17*(1+D$33)/($A36-D$33)/(1+$A36)^$F$14,"n/a")</f>
        <v>-1267217.70199455</v>
      </c>
      <c r="E36" s="53" t="n">
        <f aca="false">IF($A36&gt;E$33,SUMPRODUCT($B$17:$F$17/(1+$A36)^$B$14:$F$14)+$F$17*(1+E$33)/($A36-E$33)/(1+$A36)^$F$14,"n/a")</f>
        <v>-1235876.71146657</v>
      </c>
      <c r="F36" s="53" t="n">
        <f aca="false">IF($A36&gt;F$33,SUMPRODUCT($B$17:$F$17/(1+$A36)^$B$14:$F$14)+$F$17*(1+F$33)/($A36-F$33)/(1+$A36)^$F$14,"n/a")</f>
        <v>-1203111.13046005</v>
      </c>
    </row>
    <row r="37" customFormat="false" ht="15" hidden="false" customHeight="false" outlineLevel="0" collapsed="false">
      <c r="A37" s="61" t="n">
        <f aca="false">$B$6+(1)*$B$10</f>
        <v>0.26</v>
      </c>
      <c r="B37" s="53" t="n">
        <f aca="false">IF($A37&gt;B$33,SUMPRODUCT($B$17:$F$17/(1+$A37)^$B$14:$F$14)+$F$17*(1+B$33)/($A37-B$33)/(1+$A37)^$F$14,"n/a")</f>
        <v>-1411780.26753248</v>
      </c>
      <c r="C37" s="53" t="n">
        <f aca="false">IF($A37&gt;C$33,SUMPRODUCT($B$17:$F$17/(1+$A37)^$B$14:$F$14)+$F$17*(1+C$33)/($A37-C$33)/(1+$A37)^$F$14,"n/a")</f>
        <v>-1386131.00688806</v>
      </c>
      <c r="D37" s="53" t="n">
        <f aca="false">IF($A37&gt;D$33,SUMPRODUCT($B$17:$F$17/(1+$A37)^$B$14:$F$14)+$F$17*(1+D$33)/($A37-D$33)/(1+$A37)^$F$14,"n/a")</f>
        <v>-1359413.02705011</v>
      </c>
      <c r="E37" s="53" t="n">
        <f aca="false">IF($A37&gt;E$33,SUMPRODUCT($B$17:$F$17/(1+$A37)^$B$14:$F$14)+$F$17*(1+E$33)/($A37-E$33)/(1+$A37)^$F$14,"n/a")</f>
        <v>-1331558.11189991</v>
      </c>
      <c r="F37" s="53" t="n">
        <f aca="false">IF($A37&gt;F$33,SUMPRODUCT($B$17:$F$17/(1+$A37)^$B$14:$F$14)+$F$17*(1+F$33)/($A37-F$33)/(1+$A37)^$F$14,"n/a")</f>
        <v>-1302492.11348231</v>
      </c>
    </row>
    <row r="38" customFormat="false" ht="15" hidden="false" customHeight="false" outlineLevel="0" collapsed="false">
      <c r="A38" s="61" t="n">
        <f aca="false">$B$6+(2)*$B$10</f>
        <v>0.27</v>
      </c>
      <c r="B38" s="53" t="n">
        <f aca="false">IF($A38&gt;B$33,SUMPRODUCT($B$17:$F$17/(1+$A38)^$B$14:$F$14)+$F$17*(1+B$33)/($A38-B$33)/(1+$A38)^$F$14,"n/a")</f>
        <v>-1488582.60167943</v>
      </c>
      <c r="C38" s="53" t="n">
        <f aca="false">IF($A38&gt;C$33,SUMPRODUCT($B$17:$F$17/(1+$A38)^$B$14:$F$14)+$F$17*(1+C$33)/($A38-C$33)/(1+$A38)^$F$14,"n/a")</f>
        <v>-1465624.56676066</v>
      </c>
      <c r="D38" s="53" t="n">
        <f aca="false">IF($A38&gt;D$33,SUMPRODUCT($B$17:$F$17/(1+$A38)^$B$14:$F$14)+$F$17*(1+D$33)/($A38-D$33)/(1+$A38)^$F$14,"n/a")</f>
        <v>-1441748.21044513</v>
      </c>
      <c r="E38" s="53" t="n">
        <f aca="false">IF($A38&gt;E$33,SUMPRODUCT($B$17:$F$17/(1+$A38)^$B$14:$F$14)+$F$17*(1+E$33)/($A38-E$33)/(1+$A38)^$F$14,"n/a")</f>
        <v>-1416897.30897387</v>
      </c>
      <c r="F38" s="53" t="n">
        <f aca="false">IF($A38&gt;F$33,SUMPRODUCT($B$17:$F$17/(1+$A38)^$B$14:$F$14)+$F$17*(1+F$33)/($A38-F$33)/(1+$A38)^$F$14,"n/a")</f>
        <v>-1391010.95327463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9" t="s">
        <v>162</v>
      </c>
      <c r="C6" s="59" t="s">
        <v>163</v>
      </c>
    </row>
    <row r="7" customFormat="false" ht="15" hidden="false" customHeight="false" outlineLevel="0" collapsed="false">
      <c r="A7" s="6" t="s">
        <v>164</v>
      </c>
      <c r="B7" s="67" t="n">
        <f aca="false">Inputs!$E$67</f>
        <v>2100000</v>
      </c>
      <c r="C7" s="61" t="n">
        <f aca="false">IF($B$9=0,0,B7/$B$9)</f>
        <v>0.411764705882353</v>
      </c>
    </row>
    <row r="8" customFormat="false" ht="15" hidden="false" customHeight="false" outlineLevel="0" collapsed="false">
      <c r="A8" s="6" t="s">
        <v>165</v>
      </c>
      <c r="B8" s="67" t="n">
        <f aca="false">Inputs!$E$68</f>
        <v>3000000</v>
      </c>
      <c r="C8" s="61" t="n">
        <f aca="false">IF($B$9=0,0,B8/$B$9)</f>
        <v>0.588235294117647</v>
      </c>
    </row>
    <row r="9" customFormat="false" ht="15" hidden="false" customHeight="false" outlineLevel="0" collapsed="false">
      <c r="A9" s="4" t="s">
        <v>166</v>
      </c>
      <c r="B9" s="68" t="n">
        <f aca="false">B7+B8</f>
        <v>5100000</v>
      </c>
      <c r="C9" s="69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5" t="n">
        <f aca="false">IF(B7&lt;=0,IF(B8&gt;0,"n/a",0),B8/B7)</f>
        <v>1.42857142857143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7" t="n">
        <f aca="false">'Break-even'!B12</f>
        <v>5249445.4614431</v>
      </c>
    </row>
    <row r="12" customFormat="false" ht="15" hidden="false" customHeight="false" outlineLevel="0" collapsed="false">
      <c r="A12" s="56" t="s">
        <v>65</v>
      </c>
      <c r="B12" s="70" t="n">
        <f aca="false">'Break-even'!B17</f>
        <v>-149445.461443098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71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2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9" t="s">
        <v>162</v>
      </c>
      <c r="C17" s="59" t="s">
        <v>163</v>
      </c>
    </row>
    <row r="18" customFormat="false" ht="15" hidden="false" customHeight="false" outlineLevel="0" collapsed="false">
      <c r="A18" s="6" t="s">
        <v>62</v>
      </c>
      <c r="B18" s="72" t="n">
        <f aca="false">SUMPRODUCT(--(Monthly!$C$4:$BJ$4&lt;=$B$16),Monthly!$C$94:$BJ$94)</f>
        <v>2100000</v>
      </c>
      <c r="C18" s="61" t="n">
        <f aca="false">IF($B$21=0,0,B18/$B$21)</f>
        <v>0.411764705882353</v>
      </c>
    </row>
    <row r="19" customFormat="false" ht="15" hidden="false" customHeight="false" outlineLevel="0" collapsed="false">
      <c r="A19" s="6" t="s">
        <v>174</v>
      </c>
      <c r="B19" s="72" t="n">
        <f aca="false">SUMPRODUCT(--(Monthly!$C$4:$BJ$4&lt;=$B$16),Monthly!$C$79:$BJ$79)</f>
        <v>3000000</v>
      </c>
      <c r="C19" s="61" t="n">
        <f aca="false">IF($B$21=0,0,B19/$B$21)</f>
        <v>0.588235294117647</v>
      </c>
    </row>
    <row r="20" customFormat="false" ht="15" hidden="false" customHeight="false" outlineLevel="0" collapsed="false">
      <c r="A20" s="6" t="s">
        <v>175</v>
      </c>
      <c r="B20" s="72" t="n">
        <f aca="false">MAX(0,SUMPRODUCT(--(Monthly!$C$4:$BJ$4&lt;=$B$16),Monthly!$C$92:$BJ$92))</f>
        <v>0</v>
      </c>
      <c r="C20" s="61" t="n">
        <f aca="false">IF($B$21=0,0,B20/$B$21)</f>
        <v>0</v>
      </c>
    </row>
    <row r="21" customFormat="false" ht="15" hidden="false" customHeight="false" outlineLevel="0" collapsed="false">
      <c r="A21" s="4" t="s">
        <v>176</v>
      </c>
      <c r="B21" s="68" t="n">
        <f aca="false">SUM(B18:B20)</f>
        <v>5100000</v>
      </c>
      <c r="C21" s="69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9" t="s">
        <v>162</v>
      </c>
      <c r="C23" s="59" t="s">
        <v>163</v>
      </c>
    </row>
    <row r="24" customFormat="false" ht="15" hidden="false" customHeight="false" outlineLevel="0" collapsed="false">
      <c r="A24" s="6" t="s">
        <v>178</v>
      </c>
      <c r="B24" s="72" t="n">
        <f aca="false">MAX(0,-SUMPRODUCT(--(Monthly!$C$4:$BJ$4&lt;=$B$16),Monthly!$C$92:$BJ$92))</f>
        <v>369557.792453481</v>
      </c>
      <c r="C24" s="61" t="n">
        <f aca="false">IF($B$28=0,0,B24/$B$28)</f>
        <v>0.0724623122457806</v>
      </c>
    </row>
    <row r="25" customFormat="false" ht="15" hidden="false" customHeight="false" outlineLevel="0" collapsed="false">
      <c r="A25" s="6" t="s">
        <v>82</v>
      </c>
      <c r="B25" s="72" t="n">
        <f aca="false">-SUMPRODUCT(--(Monthly!$C$4:$BJ$4&lt;=$B$16),Monthly!$C$93:$BJ$93)</f>
        <v>4100000</v>
      </c>
      <c r="C25" s="61" t="n">
        <f aca="false">IF($B$28=0,0,B25/$B$28)</f>
        <v>0.803921568627451</v>
      </c>
    </row>
    <row r="26" customFormat="false" ht="15" hidden="false" customHeight="false" outlineLevel="0" collapsed="false">
      <c r="A26" s="6" t="s">
        <v>179</v>
      </c>
      <c r="B26" s="72" t="n">
        <f aca="false">-SUMPRODUCT(--(Monthly!$C$4:$BJ$4&lt;=$B$16),Monthly!$C$80:$BJ$80)</f>
        <v>275000</v>
      </c>
      <c r="C26" s="61" t="n">
        <f aca="false">IF($B$28=0,0,B26/$B$28)</f>
        <v>0.053921568627451</v>
      </c>
    </row>
    <row r="27" customFormat="false" ht="15" hidden="false" customHeight="false" outlineLevel="0" collapsed="false">
      <c r="A27" s="6" t="s">
        <v>180</v>
      </c>
      <c r="B27" s="72" t="n">
        <f aca="false">INDEX(Monthly!$C$98:$BJ$98,$B$16)</f>
        <v>355442.207546519</v>
      </c>
      <c r="C27" s="61" t="n">
        <f aca="false">IF($B$28=0,0,B27/$B$28)</f>
        <v>0.0696945504993175</v>
      </c>
    </row>
    <row r="28" customFormat="false" ht="15" hidden="false" customHeight="false" outlineLevel="0" collapsed="false">
      <c r="A28" s="4" t="s">
        <v>181</v>
      </c>
      <c r="B28" s="68" t="n">
        <f aca="false">SUM(B24:B27)</f>
        <v>5100000</v>
      </c>
      <c r="C28" s="69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2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9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0.530171505223175</v>
      </c>
      <c r="D6" s="39" t="n">
        <f aca="false">IF(N('P&amp;L'!C5)&lt;=0,"n/a",'P&amp;L'!D5/'P&amp;L'!C5-1)</f>
        <v>0.151945260798993</v>
      </c>
      <c r="E6" s="39" t="n">
        <f aca="false">IF(N('P&amp;L'!D5)&lt;=0,"n/a",'P&amp;L'!E5/'P&amp;L'!D5-1)</f>
        <v>0.0971767482519128</v>
      </c>
      <c r="F6" s="39" t="n">
        <f aca="false">IF(N('P&amp;L'!E5)&lt;=0,"n/a",'P&amp;L'!F5/'P&amp;L'!E5-1)</f>
        <v>0.0694198858478854</v>
      </c>
      <c r="G6" s="73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0.847123969825669</v>
      </c>
      <c r="C7" s="39" t="n">
        <f aca="false">IF('P&amp;L'!C5&lt;=0,"n/a",'P&amp;L'!C7/'P&amp;L'!C5)</f>
        <v>0.840145068471817</v>
      </c>
      <c r="D7" s="39" t="n">
        <f aca="false">IF('P&amp;L'!D5&lt;=0,"n/a",'P&amp;L'!D7/'P&amp;L'!D5)</f>
        <v>0.83491490995181</v>
      </c>
      <c r="E7" s="39" t="n">
        <f aca="false">IF('P&amp;L'!E5&lt;=0,"n/a",'P&amp;L'!E7/'P&amp;L'!E5)</f>
        <v>0.831414635206437</v>
      </c>
      <c r="F7" s="39" t="n">
        <f aca="false">IF('P&amp;L'!F5&lt;=0,"n/a",'P&amp;L'!F7/'P&amp;L'!F5)</f>
        <v>0.828711093639644</v>
      </c>
      <c r="G7" s="73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IF('P&amp;L'!B5&lt;=0,"n/a",'P&amp;L'!B15/'P&amp;L'!B5)</f>
        <v>-0.104457758515049</v>
      </c>
      <c r="C8" s="39" t="n">
        <f aca="false">IF('P&amp;L'!C5&lt;=0,"n/a",'P&amp;L'!C15/'P&amp;L'!C5)</f>
        <v>0.217949636079378</v>
      </c>
      <c r="D8" s="39" t="n">
        <f aca="false">IF('P&amp;L'!D5&lt;=0,"n/a",'P&amp;L'!D15/'P&amp;L'!D5)</f>
        <v>0.291322035050816</v>
      </c>
      <c r="E8" s="39" t="n">
        <f aca="false">IF('P&amp;L'!E5&lt;=0,"n/a",'P&amp;L'!E15/'P&amp;L'!E5)</f>
        <v>0.330391215073843</v>
      </c>
      <c r="F8" s="39" t="n">
        <f aca="false">IF('P&amp;L'!F5&lt;=0,"n/a",'P&amp;L'!F15/'P&amp;L'!F5)</f>
        <v>0.353103170366838</v>
      </c>
      <c r="G8" s="73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IF('P&amp;L'!B5&lt;=0,"n/a",'P&amp;L'!B22/'P&amp;L'!B5)</f>
        <v>-0.600951460800047</v>
      </c>
      <c r="C9" s="39" t="n">
        <f aca="false">IF('P&amp;L'!C5&lt;=0,"n/a",'P&amp;L'!C22/'P&amp;L'!C5)</f>
        <v>-0.0942940025033336</v>
      </c>
      <c r="D9" s="39" t="n">
        <f aca="false">IF('P&amp;L'!D5&lt;=0,"n/a",'P&amp;L'!D22/'P&amp;L'!D5)</f>
        <v>0.0309199644358894</v>
      </c>
      <c r="E9" s="39" t="n">
        <f aca="false">IF('P&amp;L'!E5&lt;=0,"n/a",'P&amp;L'!E22/'P&amp;L'!E5)</f>
        <v>0.102764775933284</v>
      </c>
      <c r="F9" s="39" t="n">
        <f aca="false">IF('P&amp;L'!F5&lt;=0,"n/a",'P&amp;L'!F22/'P&amp;L'!F5)</f>
        <v>0.149334215492205</v>
      </c>
      <c r="G9" s="73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IF('P&amp;L'!B5&lt;=0,"n/a",-SUMIF(Headcount!$C$5:$BJ$5,B$5,Headcount!$C$15:$BJ$15)/'P&amp;L'!B5)</f>
        <v>0.372010295279517</v>
      </c>
      <c r="C10" s="39" t="n">
        <f aca="false">IF('P&amp;L'!C5&lt;=0,"n/a",-SUMIF(Headcount!$C$5:$BJ$5,C$5,Headcount!$C$15:$BJ$15)/'P&amp;L'!C5)</f>
        <v>0.250410233643723</v>
      </c>
      <c r="D10" s="39" t="n">
        <f aca="false">IF('P&amp;L'!D5&lt;=0,"n/a",-SUMIF(Headcount!$C$5:$BJ$5,D$5,Headcount!$C$15:$BJ$15)/'P&amp;L'!D5)</f>
        <v>0.223901733381097</v>
      </c>
      <c r="E10" s="39" t="n">
        <f aca="false">IF('P&amp;L'!E5&lt;=0,"n/a",-SUMIF(Headcount!$C$5:$BJ$5,E$5,Headcount!$C$15:$BJ$15)/'P&amp;L'!E5)</f>
        <v>0.210192920830637</v>
      </c>
      <c r="F10" s="39" t="n">
        <f aca="false">IF('P&amp;L'!F5&lt;=0,"n/a",-SUMIF(Headcount!$C$5:$BJ$5,F$5,Headcount!$C$15:$BJ$15)/'P&amp;L'!F5)</f>
        <v>0.202444999686822</v>
      </c>
      <c r="G10" s="73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IF('P&amp;L'!B5&lt;=0,"n/a",-'P&amp;L'!B13/'P&amp;L'!B5)</f>
        <v>0.1220150385392</v>
      </c>
      <c r="C11" s="39" t="n">
        <f aca="false">IF('P&amp;L'!C5&lt;=0,"n/a",-'P&amp;L'!C13/'P&amp;L'!C5)</f>
        <v>0.0637915622517905</v>
      </c>
      <c r="D11" s="39" t="n">
        <f aca="false">IF('P&amp;L'!D5&lt;=0,"n/a",-'P&amp;L'!D13/'P&amp;L'!D5)</f>
        <v>0.0443018010821413</v>
      </c>
      <c r="E11" s="39" t="n">
        <f aca="false">IF('P&amp;L'!E5&lt;=0,"n/a",-'P&amp;L'!E13/'P&amp;L'!E5)</f>
        <v>0.0323023987905143</v>
      </c>
      <c r="F11" s="39" t="n">
        <f aca="false">IF('P&amp;L'!F5&lt;=0,"n/a",-'P&amp;L'!F13/'P&amp;L'!F5)</f>
        <v>0.0241644272510631</v>
      </c>
      <c r="G11" s="73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IF('P&amp;L'!B5&lt;=0,"n/a",-'P&amp;L'!B14/'P&amp;L'!B5)</f>
        <v>0.951581728340717</v>
      </c>
      <c r="C12" s="39" t="n">
        <f aca="false">IF('P&amp;L'!C5&lt;=0,"n/a",-'P&amp;L'!C14/'P&amp;L'!C5)</f>
        <v>0.622195432392439</v>
      </c>
      <c r="D12" s="39" t="n">
        <f aca="false">IF('P&amp;L'!D5&lt;=0,"n/a",-'P&amp;L'!D14/'P&amp;L'!D5)</f>
        <v>0.543592874900994</v>
      </c>
      <c r="E12" s="39" t="n">
        <f aca="false">IF('P&amp;L'!E5&lt;=0,"n/a",-'P&amp;L'!E14/'P&amp;L'!E5)</f>
        <v>0.501023420132594</v>
      </c>
      <c r="F12" s="39" t="n">
        <f aca="false">IF('P&amp;L'!F5&lt;=0,"n/a",-'P&amp;L'!F14/'P&amp;L'!F5)</f>
        <v>0.475607923272806</v>
      </c>
      <c r="G12" s="73"/>
    </row>
    <row r="13" customFormat="false" ht="15" hidden="false" customHeight="false" outlineLevel="0" collapsed="false">
      <c r="A13" s="6" t="s">
        <v>191</v>
      </c>
      <c r="B13" s="74" t="n">
        <f aca="false">IF(('Balance Sheet'!B12-'Balance Sheet'!B11)&lt;=0,"n/a",('Balance Sheet'!B5+'Balance Sheet'!B6+'Balance Sheet'!B7)/('Balance Sheet'!B12-'Balance Sheet'!B11))</f>
        <v>25.1352519854456</v>
      </c>
      <c r="C13" s="74" t="n">
        <f aca="false">IF(('Balance Sheet'!C12-'Balance Sheet'!C11)&lt;=0,"n/a",('Balance Sheet'!C5+'Balance Sheet'!C6+'Balance Sheet'!C7)/('Balance Sheet'!C12-'Balance Sheet'!C11))</f>
        <v>11.2828282810129</v>
      </c>
      <c r="D13" s="74" t="n">
        <f aca="false">IF(('Balance Sheet'!D12-'Balance Sheet'!D11)&lt;=0,"n/a",('Balance Sheet'!D5+'Balance Sheet'!D6+'Balance Sheet'!D7)/('Balance Sheet'!D12-'Balance Sheet'!D11))</f>
        <v>13.3028651428572</v>
      </c>
      <c r="E13" s="74" t="n">
        <f aca="false">IF(('Balance Sheet'!E12-'Balance Sheet'!E11)&lt;=0,"n/a",('Balance Sheet'!E5+'Balance Sheet'!E6+'Balance Sheet'!E7)/('Balance Sheet'!E12-'Balance Sheet'!E11))</f>
        <v>22.5366475506878</v>
      </c>
      <c r="F13" s="74" t="n">
        <f aca="false">IF(('Balance Sheet'!F12-'Balance Sheet'!F11)&lt;=0,"n/a",('Balance Sheet'!F5+'Balance Sheet'!F6+'Balance Sheet'!F7)/('Balance Sheet'!F12-'Balance Sheet'!F11))</f>
        <v>35.8450862648074</v>
      </c>
      <c r="G13" s="75"/>
    </row>
    <row r="14" customFormat="false" ht="15" hidden="false" customHeight="false" outlineLevel="0" collapsed="false">
      <c r="A14" s="6" t="s">
        <v>192</v>
      </c>
      <c r="B14" s="74" t="n">
        <f aca="false">IF('Balance Sheet'!B15&lt;=0,"n/a",'Balance Sheet'!B11/'Balance Sheet'!B15)</f>
        <v>1.95934954718088</v>
      </c>
      <c r="C14" s="74" t="n">
        <f aca="false">IF('Balance Sheet'!C15&lt;=0,"n/a",'Balance Sheet'!C11/'Balance Sheet'!C15)</f>
        <v>1.9869168674045</v>
      </c>
      <c r="D14" s="74" t="n">
        <f aca="false">IF('Balance Sheet'!D15&lt;=0,"n/a",'Balance Sheet'!D11/'Balance Sheet'!D15)</f>
        <v>1.65394625733797</v>
      </c>
      <c r="E14" s="74" t="n">
        <f aca="false">IF('Balance Sheet'!E15&lt;=0,"n/a",'Balance Sheet'!E11/'Balance Sheet'!E15)</f>
        <v>1.20116406177611</v>
      </c>
      <c r="F14" s="74" t="n">
        <f aca="false">IF('Balance Sheet'!F15&lt;=0,"n/a",'Balance Sheet'!F11/'Balance Sheet'!F15)</f>
        <v>0.809505576021634</v>
      </c>
      <c r="G14" s="75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Sheet'!B9&lt;=0,"n/a",'P&amp;L'!B22/'Balance Sheet'!B9)</f>
        <v>-0.171702955749435</v>
      </c>
      <c r="C15" s="39" t="n">
        <f aca="false">IF('Balance Sheet'!C9&lt;=0,"n/a",'P&amp;L'!C22/'Balance Sheet'!C9)</f>
        <v>-0.0464726723709948</v>
      </c>
      <c r="D15" s="39" t="n">
        <f aca="false">IF('Balance Sheet'!D9&lt;=0,"n/a",'P&amp;L'!D22/'Balance Sheet'!D9)</f>
        <v>0.0187455245178273</v>
      </c>
      <c r="E15" s="39" t="n">
        <f aca="false">IF('Balance Sheet'!E9&lt;=0,"n/a",'P&amp;L'!E22/'Balance Sheet'!E9)</f>
        <v>0.0696399688840208</v>
      </c>
      <c r="F15" s="39" t="n">
        <f aca="false">IF('Balance Sheet'!F9&lt;=0,"n/a",'P&amp;L'!F22/'Balance Sheet'!F9)</f>
        <v>0.106133256937759</v>
      </c>
      <c r="G15" s="73"/>
    </row>
    <row r="16" customFormat="false" ht="15" hidden="false" customHeight="false" outlineLevel="0" collapsed="false">
      <c r="A16" s="38" t="s">
        <v>194</v>
      </c>
      <c r="B16" s="39" t="n">
        <f aca="false">IF('Balance Sheet'!B15&lt;=0,"n/a",'P&amp;L'!B22/'Balance Sheet'!B15)</f>
        <v>-0.50995744920361</v>
      </c>
      <c r="C16" s="39" t="n">
        <f aca="false">IF('Balance Sheet'!C15&lt;=0,"n/a",'P&amp;L'!C22/'Balance Sheet'!C15)</f>
        <v>-0.139521541300192</v>
      </c>
      <c r="D16" s="39" t="n">
        <f aca="false">IF('Balance Sheet'!D15&lt;=0,"n/a",'P&amp;L'!D22/'Balance Sheet'!D15)</f>
        <v>0.0500636521561513</v>
      </c>
      <c r="E16" s="39" t="n">
        <f aca="false">IF('Balance Sheet'!E15&lt;=0,"n/a",'P&amp;L'!E22/'Balance Sheet'!E15)</f>
        <v>0.154376581364551</v>
      </c>
      <c r="F16" s="39" t="n">
        <f aca="false">IF('Balance Sheet'!F15&lt;=0,"n/a",'P&amp;L'!F22/'Balance Sheet'!F15)</f>
        <v>0.193488545477448</v>
      </c>
      <c r="G16" s="73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49</v>
      </c>
      <c r="B20" s="39" t="n">
        <f aca="false">IF('P&amp;L'!B5&lt;=0,"n/a",'P&amp;L'!B22/'P&amp;L'!B5)</f>
        <v>-0.600951460800047</v>
      </c>
      <c r="C20" s="39" t="n">
        <f aca="false">IF('P&amp;L'!C5&lt;=0,"n/a",'P&amp;L'!C22/'P&amp;L'!C5)</f>
        <v>-0.0942940025033336</v>
      </c>
      <c r="D20" s="39" t="n">
        <f aca="false">IF('P&amp;L'!D5&lt;=0,"n/a",'P&amp;L'!D22/'P&amp;L'!D5)</f>
        <v>0.0309199644358894</v>
      </c>
      <c r="E20" s="39" t="n">
        <f aca="false">IF('P&amp;L'!E5&lt;=0,"n/a",'P&amp;L'!E22/'P&amp;L'!E5)</f>
        <v>0.102764775933284</v>
      </c>
      <c r="F20" s="39" t="n">
        <f aca="false">IF('P&amp;L'!F5&lt;=0,"n/a",'P&amp;L'!F22/'P&amp;L'!F5)</f>
        <v>0.149334215492205</v>
      </c>
    </row>
    <row r="21" customFormat="false" ht="15" hidden="false" customHeight="false" outlineLevel="0" collapsed="false">
      <c r="A21" s="51" t="s">
        <v>196</v>
      </c>
      <c r="B21" s="74" t="n">
        <f aca="false">IF('Balance Sheet'!B9&lt;=0,"n/a",'P&amp;L'!B5/'Balance Sheet'!B9)</f>
        <v>0.285718509646098</v>
      </c>
      <c r="C21" s="74" t="n">
        <f aca="false">IF('Balance Sheet'!C9&lt;=0,"n/a",'P&amp;L'!C5/'Balance Sheet'!C9)</f>
        <v>0.492848655664519</v>
      </c>
      <c r="D21" s="74" t="n">
        <f aca="false">IF('Balance Sheet'!D9&lt;=0,"n/a",'P&amp;L'!D5/'Balance Sheet'!D9)</f>
        <v>0.606259575643918</v>
      </c>
      <c r="E21" s="74" t="n">
        <f aca="false">IF('Balance Sheet'!E9&lt;=0,"n/a",'P&amp;L'!E5/'Balance Sheet'!E9)</f>
        <v>0.677663803103425</v>
      </c>
      <c r="F21" s="74" t="n">
        <f aca="false">IF('Balance Sheet'!F9&lt;=0,"n/a",'P&amp;L'!F5/'Balance Sheet'!F9)</f>
        <v>0.710709575752244</v>
      </c>
    </row>
    <row r="22" customFormat="false" ht="15" hidden="false" customHeight="false" outlineLevel="0" collapsed="false">
      <c r="A22" s="51" t="s">
        <v>197</v>
      </c>
      <c r="B22" s="74" t="n">
        <f aca="false">IF('Balance Sheet'!B15&lt;=0,"n/a",'Balance Sheet'!B9/'Balance Sheet'!B15)</f>
        <v>2.96999808173243</v>
      </c>
      <c r="C22" s="74" t="n">
        <f aca="false">IF('Balance Sheet'!C15&lt;=0,"n/a",'Balance Sheet'!C9/'Balance Sheet'!C15)</f>
        <v>3.002227635768</v>
      </c>
      <c r="D22" s="74" t="n">
        <f aca="false">IF('Balance Sheet'!D15&lt;=0,"n/a",'Balance Sheet'!D9/'Balance Sheet'!D15)</f>
        <v>2.67069892381725</v>
      </c>
      <c r="E22" s="74" t="n">
        <f aca="false">IF('Balance Sheet'!E15&lt;=0,"n/a",'Balance Sheet'!E9/'Balance Sheet'!E15)</f>
        <v>2.2167813087575</v>
      </c>
      <c r="F22" s="74" t="n">
        <f aca="false">IF('Balance Sheet'!F15&lt;=0,"n/a",'Balance Sheet'!F9/'Balance Sheet'!F15)</f>
        <v>1.8230717784428</v>
      </c>
    </row>
    <row r="23" customFormat="false" ht="15" hidden="false" customHeight="false" outlineLevel="0" collapsed="false">
      <c r="A23" s="40" t="s">
        <v>198</v>
      </c>
      <c r="B23" s="76" t="n">
        <f aca="false">IF(AND(ISNUMBER(B20),ISNUMBER(B21),ISNUMBER(B22)),B20*B21*B22,"n/a")</f>
        <v>-0.50995744920361</v>
      </c>
      <c r="C23" s="76" t="n">
        <f aca="false">IF(AND(ISNUMBER(C20),ISNUMBER(C21),ISNUMBER(C22)),C20*C21*C22,"n/a")</f>
        <v>-0.139521541300192</v>
      </c>
      <c r="D23" s="76" t="n">
        <f aca="false">IF(AND(ISNUMBER(D20),ISNUMBER(D21),ISNUMBER(D22)),D20*D21*D22,"n/a")</f>
        <v>0.0500636521561513</v>
      </c>
      <c r="E23" s="76" t="n">
        <f aca="false">IF(AND(ISNUMBER(E20),ISNUMBER(E21),ISNUMBER(E22)),E20*E21*E22,"n/a")</f>
        <v>0.154376581364551</v>
      </c>
      <c r="F23" s="76" t="n">
        <f aca="false">IF(AND(ISNUMBER(F20),ISNUMBER(F21),ISNUMBER(F22)),F20*F21*F22,"n/a")</f>
        <v>0.193488545477448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8" t="s">
        <v>122</v>
      </c>
      <c r="B27" s="58" t="n">
        <v>1</v>
      </c>
      <c r="C27" s="58" t="n">
        <v>2</v>
      </c>
      <c r="D27" s="58" t="n">
        <v>3</v>
      </c>
      <c r="E27" s="58" t="n">
        <v>4</v>
      </c>
      <c r="F27" s="58" t="n">
        <v>5</v>
      </c>
    </row>
    <row r="28" customFormat="false" ht="15" hidden="false" customHeight="false" outlineLevel="0" collapsed="false">
      <c r="A28" s="33"/>
      <c r="B28" s="59" t="s">
        <v>123</v>
      </c>
      <c r="C28" s="59" t="s">
        <v>124</v>
      </c>
      <c r="D28" s="59" t="s">
        <v>125</v>
      </c>
      <c r="E28" s="59" t="s">
        <v>126</v>
      </c>
      <c r="F28" s="59" t="s">
        <v>127</v>
      </c>
      <c r="G28" s="59" t="s">
        <v>186</v>
      </c>
    </row>
    <row r="29" customFormat="false" ht="15" hidden="false" customHeight="false" outlineLevel="0" collapsed="false">
      <c r="A29" s="4" t="s">
        <v>56</v>
      </c>
      <c r="B29" s="77" t="n">
        <f aca="false">INDEX(Monthly!$C$19:$BJ$19,B$27*12)</f>
        <v>972.089183697303</v>
      </c>
      <c r="C29" s="77" t="n">
        <f aca="false">INDEX(Monthly!$C$19:$BJ$19,C$27*12)</f>
        <v>1644.34338061813</v>
      </c>
      <c r="D29" s="77" t="n">
        <f aca="false">INDEX(Monthly!$C$19:$BJ$19,D$27*12)</f>
        <v>2081.65600865264</v>
      </c>
      <c r="E29" s="77" t="n">
        <f aca="false">INDEX(Monthly!$C$19:$BJ$19,E$27*12)</f>
        <v>2376.28844113691</v>
      </c>
      <c r="F29" s="77" t="n">
        <f aca="false">INDEX(Monthly!$C$19:$BJ$19,F$27*12)</f>
        <v>2584.83366154401</v>
      </c>
      <c r="G29" s="78"/>
    </row>
    <row r="30" customFormat="false" ht="15" hidden="false" customHeight="false" outlineLevel="0" collapsed="false">
      <c r="A30" s="6" t="s">
        <v>201</v>
      </c>
      <c r="B30" s="79" t="n">
        <f aca="false">SUMIF(Monthly!$C$5:$BJ$5,B$27,Monthly!$C$16:$BJ$16)</f>
        <v>981.453066666667</v>
      </c>
      <c r="C30" s="79" t="n">
        <f aca="false">SUMIF(Monthly!$C$5:$BJ$5,C$27,Monthly!$C$16:$BJ$16)</f>
        <v>1298.16</v>
      </c>
      <c r="D30" s="79" t="n">
        <f aca="false">SUMIF(Monthly!$C$5:$BJ$5,D$27,Monthly!$C$16:$BJ$16)</f>
        <v>1329.66</v>
      </c>
      <c r="E30" s="79" t="n">
        <f aca="false">SUMIF(Monthly!$C$5:$BJ$5,E$27,Monthly!$C$16:$BJ$16)</f>
        <v>1362.735</v>
      </c>
      <c r="F30" s="79" t="n">
        <f aca="false">SUMIF(Monthly!$C$5:$BJ$5,F$27,Monthly!$C$16:$BJ$16)</f>
        <v>1397.46375</v>
      </c>
      <c r="G30" s="78"/>
    </row>
    <row r="31" customFormat="false" ht="15" hidden="false" customHeight="false" outlineLevel="0" collapsed="false">
      <c r="A31" s="6" t="s">
        <v>202</v>
      </c>
      <c r="B31" s="79" t="n">
        <f aca="false">SUMIF(Monthly!$C$5:$BJ$5,B$27,Monthly!$C$18:$BJ$18)</f>
        <v>-259.363882969363</v>
      </c>
      <c r="C31" s="79" t="n">
        <f aca="false">SUMIF(Monthly!$C$5:$BJ$5,C$27,Monthly!$C$18:$BJ$18)</f>
        <v>-625.905803079172</v>
      </c>
      <c r="D31" s="79" t="n">
        <f aca="false">SUMIF(Monthly!$C$5:$BJ$5,D$27,Monthly!$C$18:$BJ$18)</f>
        <v>-892.347371965488</v>
      </c>
      <c r="E31" s="79" t="n">
        <f aca="false">SUMIF(Monthly!$C$5:$BJ$5,E$27,Monthly!$C$18:$BJ$18)</f>
        <v>-1068.10256751574</v>
      </c>
      <c r="F31" s="79" t="n">
        <f aca="false">SUMIF(Monthly!$C$5:$BJ$5,F$27,Monthly!$C$18:$BJ$18)</f>
        <v>-1188.91852959289</v>
      </c>
      <c r="G31" s="78"/>
    </row>
    <row r="32" customFormat="false" ht="15" hidden="false" customHeight="false" outlineLevel="0" collapsed="false">
      <c r="A32" s="38" t="s">
        <v>203</v>
      </c>
      <c r="B32" s="80" t="n">
        <f aca="false">Inputs!$E$23</f>
        <v>0.04</v>
      </c>
      <c r="C32" s="80" t="n">
        <f aca="false">Inputs!$E$23</f>
        <v>0.04</v>
      </c>
      <c r="D32" s="80" t="n">
        <f aca="false">Inputs!$E$23</f>
        <v>0.04</v>
      </c>
      <c r="E32" s="80" t="n">
        <f aca="false">Inputs!$E$23</f>
        <v>0.04</v>
      </c>
      <c r="F32" s="80" t="n">
        <f aca="false">Inputs!$E$23</f>
        <v>0.04</v>
      </c>
      <c r="G32" s="81"/>
    </row>
    <row r="33" customFormat="false" ht="15" hidden="false" customHeight="false" outlineLevel="0" collapsed="false">
      <c r="A33" s="4" t="s">
        <v>204</v>
      </c>
      <c r="B33" s="77" t="n">
        <f aca="false">SUMIF(Monthly!$C$5:$BJ$5,B$27,Monthly!$C$28:$BJ$28)</f>
        <v>88966.9491822926</v>
      </c>
      <c r="C33" s="77" t="n">
        <f aca="false">SUMIF(Monthly!$C$5:$BJ$5,C$27,Monthly!$C$28:$BJ$28)</f>
        <v>139676.344154842</v>
      </c>
      <c r="D33" s="77" t="n">
        <f aca="false">SUMIF(Monthly!$C$5:$BJ$5,D$27,Monthly!$C$28:$BJ$28)</f>
        <v>162504.894526232</v>
      </c>
      <c r="E33" s="77" t="n">
        <f aca="false">SUMIF(Monthly!$C$5:$BJ$5,E$27,Monthly!$C$28:$BJ$28)</f>
        <v>177588.880485537</v>
      </c>
      <c r="F33" s="77" t="n">
        <f aca="false">SUMIF(Monthly!$C$5:$BJ$5,F$27,Monthly!$C$28:$BJ$28)</f>
        <v>187982.531783342</v>
      </c>
      <c r="G33" s="78"/>
    </row>
    <row r="34" customFormat="false" ht="15" hidden="false" customHeight="false" outlineLevel="0" collapsed="false">
      <c r="A34" s="6" t="s">
        <v>205</v>
      </c>
      <c r="B34" s="79" t="n">
        <f aca="false">SUMIF(Monthly!$C$5:$BJ$5,B$27,Monthly!$C$26:$BJ$26)</f>
        <v>64869.1333333333</v>
      </c>
      <c r="C34" s="79" t="n">
        <f aca="false">SUMIF(Monthly!$C$5:$BJ$5,C$27,Monthly!$C$26:$BJ$26)</f>
        <v>83520</v>
      </c>
      <c r="D34" s="79" t="n">
        <f aca="false">SUMIF(Monthly!$C$5:$BJ$5,D$27,Monthly!$C$26:$BJ$26)</f>
        <v>83520</v>
      </c>
      <c r="E34" s="79" t="n">
        <f aca="false">SUMIF(Monthly!$C$5:$BJ$5,E$27,Monthly!$C$26:$BJ$26)</f>
        <v>83520</v>
      </c>
      <c r="F34" s="79" t="n">
        <f aca="false">SUMIF(Monthly!$C$5:$BJ$5,F$27,Monthly!$C$26:$BJ$26)</f>
        <v>83520</v>
      </c>
      <c r="G34" s="78"/>
    </row>
    <row r="35" customFormat="false" ht="15" hidden="false" customHeight="false" outlineLevel="0" collapsed="false">
      <c r="A35" s="6" t="s">
        <v>206</v>
      </c>
      <c r="B35" s="79" t="n">
        <f aca="false">SUMIF(Monthly!$C$5:$BJ$5,B$27,Monthly!$C$27:$BJ$27)</f>
        <v>24097.8158489592</v>
      </c>
      <c r="C35" s="79" t="n">
        <f aca="false">SUMIF(Monthly!$C$5:$BJ$5,C$27,Monthly!$C$27:$BJ$27)</f>
        <v>56156.3441548421</v>
      </c>
      <c r="D35" s="79" t="n">
        <f aca="false">SUMIF(Monthly!$C$5:$BJ$5,D$27,Monthly!$C$27:$BJ$27)</f>
        <v>78984.8945262322</v>
      </c>
      <c r="E35" s="79" t="n">
        <f aca="false">SUMIF(Monthly!$C$5:$BJ$5,E$27,Monthly!$C$27:$BJ$27)</f>
        <v>94068.8804855373</v>
      </c>
      <c r="F35" s="79" t="n">
        <f aca="false">SUMIF(Monthly!$C$5:$BJ$5,F$27,Monthly!$C$27:$BJ$27)</f>
        <v>104462.531783342</v>
      </c>
      <c r="G35" s="78"/>
    </row>
    <row r="36" customFormat="false" ht="15" hidden="false" customHeight="false" outlineLevel="0" collapsed="false">
      <c r="A36" s="38" t="s">
        <v>207</v>
      </c>
      <c r="B36" s="80" t="n">
        <f aca="false">IF(B33=0,0,B35/B33)</f>
        <v>0.270862562675753</v>
      </c>
      <c r="C36" s="80" t="n">
        <f aca="false">IF(C33=0,0,C35/C33)</f>
        <v>0.402046205423221</v>
      </c>
      <c r="D36" s="80" t="n">
        <f aca="false">IF(D33=0,0,D35/D33)</f>
        <v>0.486046249600698</v>
      </c>
      <c r="E36" s="80" t="n">
        <f aca="false">IF(E33=0,0,E35/E33)</f>
        <v>0.529700284321564</v>
      </c>
      <c r="F36" s="80" t="n">
        <f aca="false">IF(F33=0,0,F35/F33)</f>
        <v>0.555703398567584</v>
      </c>
      <c r="G36" s="81"/>
    </row>
    <row r="37" customFormat="false" ht="15" hidden="false" customHeight="false" outlineLevel="0" collapsed="false">
      <c r="A37" s="6" t="s">
        <v>57</v>
      </c>
      <c r="B37" s="79" t="n">
        <f aca="false">IF(Inputs!$E$8=0,0,B33/(Inputs!$E$8*12))</f>
        <v>255.65215282268</v>
      </c>
      <c r="C37" s="79" t="n">
        <f aca="false">IF(Inputs!$E$8=0,0,C33/(Inputs!$E$8*12))</f>
        <v>401.36880504265</v>
      </c>
      <c r="D37" s="79" t="n">
        <f aca="false">IF(Inputs!$E$8=0,0,D33/(Inputs!$E$8*12))</f>
        <v>466.968087719058</v>
      </c>
      <c r="E37" s="79" t="n">
        <f aca="false">IF(Inputs!$E$8=0,0,E33/(Inputs!$E$8*12))</f>
        <v>510.312874958441</v>
      </c>
      <c r="F37" s="79" t="n">
        <f aca="false">IF(Inputs!$E$8=0,0,F33/(Inputs!$E$8*12))</f>
        <v>540.179689032592</v>
      </c>
      <c r="G37" s="78"/>
    </row>
    <row r="38" customFormat="false" ht="15" hidden="false" customHeight="false" outlineLevel="0" collapsed="false">
      <c r="A38" s="6" t="s">
        <v>208</v>
      </c>
      <c r="B38" s="79" t="n">
        <f aca="false">SUMIF(Monthly!$C$5:$BJ$5,B$27,Monthly!$C$24:$BJ$24)</f>
        <v>294756</v>
      </c>
      <c r="C38" s="79" t="n">
        <f aca="false">SUMIF(Monthly!$C$5:$BJ$5,C$27,Monthly!$C$24:$BJ$24)</f>
        <v>294756</v>
      </c>
      <c r="D38" s="79" t="n">
        <f aca="false">SUMIF(Monthly!$C$5:$BJ$5,D$27,Monthly!$C$24:$BJ$24)</f>
        <v>294756</v>
      </c>
      <c r="E38" s="79" t="n">
        <f aca="false">SUMIF(Monthly!$C$5:$BJ$5,E$27,Monthly!$C$24:$BJ$24)</f>
        <v>294756</v>
      </c>
      <c r="F38" s="79" t="n">
        <f aca="false">SUMIF(Monthly!$C$5:$BJ$5,F$27,Monthly!$C$24:$BJ$24)</f>
        <v>294756</v>
      </c>
      <c r="G38" s="78"/>
    </row>
    <row r="39" customFormat="false" ht="15" hidden="false" customHeight="false" outlineLevel="0" collapsed="false">
      <c r="A39" s="38" t="s">
        <v>58</v>
      </c>
      <c r="B39" s="80" t="n">
        <f aca="false">IF(B38=0,0,B33/B38)</f>
        <v>0.301832529896906</v>
      </c>
      <c r="C39" s="80" t="n">
        <f aca="false">IF(C38=0,0,C33/C38)</f>
        <v>0.473871080333707</v>
      </c>
      <c r="D39" s="80" t="n">
        <f aca="false">IF(D38=0,0,D33/D38)</f>
        <v>0.551320056338912</v>
      </c>
      <c r="E39" s="80" t="n">
        <f aca="false">IF(E38=0,0,E33/E38)</f>
        <v>0.602494539502291</v>
      </c>
      <c r="F39" s="80" t="n">
        <f aca="false">IF(F38=0,0,F33/F38)</f>
        <v>0.637756421526083</v>
      </c>
      <c r="G39" s="81"/>
    </row>
    <row r="40" customFormat="false" ht="15" hidden="false" customHeight="false" outlineLevel="0" collapsed="false">
      <c r="A40" s="6" t="s">
        <v>209</v>
      </c>
      <c r="B40" s="79" t="n">
        <f aca="false">SUMIF(Monthly!$C$5:$BJ$5,B$27,Monthly!$C$29:$BJ$29)</f>
        <v>0</v>
      </c>
      <c r="C40" s="79" t="n">
        <f aca="false">SUMIF(Monthly!$C$5:$BJ$5,C$27,Monthly!$C$29:$BJ$29)</f>
        <v>0</v>
      </c>
      <c r="D40" s="79" t="n">
        <f aca="false">SUMIF(Monthly!$C$5:$BJ$5,D$27,Monthly!$C$29:$BJ$29)</f>
        <v>0</v>
      </c>
      <c r="E40" s="79" t="n">
        <f aca="false">SUMIF(Monthly!$C$5:$BJ$5,E$27,Monthly!$C$29:$BJ$29)</f>
        <v>0</v>
      </c>
      <c r="F40" s="79" t="n">
        <f aca="false">SUMIF(Monthly!$C$5:$BJ$5,F$27,Monthly!$C$29:$BJ$29)</f>
        <v>0</v>
      </c>
      <c r="G40" s="78"/>
    </row>
    <row r="41" customFormat="false" ht="15" hidden="false" customHeight="false" outlineLevel="0" collapsed="false">
      <c r="A41" s="4" t="s">
        <v>42</v>
      </c>
      <c r="B41" s="82" t="n">
        <f aca="false">SUMIF(Monthly!$C$5:$BJ$5,B$27,Monthly!$C$37:$BJ$37)</f>
        <v>1180182.39164623</v>
      </c>
      <c r="C41" s="82" t="n">
        <f aca="false">SUMIF(Monthly!$C$5:$BJ$5,C$27,Monthly!$C$37:$BJ$37)</f>
        <v>1805881.4666632</v>
      </c>
      <c r="D41" s="82" t="n">
        <f aca="false">SUMIF(Monthly!$C$5:$BJ$5,D$27,Monthly!$C$37:$BJ$37)</f>
        <v>2080276.59708741</v>
      </c>
      <c r="E41" s="82" t="n">
        <f aca="false">SUMIF(Monthly!$C$5:$BJ$5,E$27,Monthly!$C$37:$BJ$37)</f>
        <v>2282431.11225691</v>
      </c>
      <c r="F41" s="82" t="n">
        <f aca="false">SUMIF(Monthly!$C$5:$BJ$5,F$27,Monthly!$C$37:$BJ$37)</f>
        <v>2440877.21952545</v>
      </c>
      <c r="G41" s="83"/>
    </row>
    <row r="42" customFormat="false" ht="15" hidden="false" customHeight="false" outlineLevel="0" collapsed="false">
      <c r="A42" s="6" t="s">
        <v>210</v>
      </c>
      <c r="B42" s="35" t="n">
        <f aca="false">SUMIF(Monthly!$C$5:$BJ$5,B$27,Monthly!$C$36:$BJ$36)</f>
        <v>239579.958312896</v>
      </c>
      <c r="C42" s="35" t="n">
        <f aca="false">SUMIF(Monthly!$C$5:$BJ$5,C$27,Monthly!$C$36:$BJ$36)</f>
        <v>570620.666663197</v>
      </c>
      <c r="D42" s="35" t="n">
        <f aca="false">SUMIF(Monthly!$C$5:$BJ$5,D$27,Monthly!$C$36:$BJ$36)</f>
        <v>820310.581087405</v>
      </c>
      <c r="E42" s="35" t="n">
        <f aca="false">SUMIF(Monthly!$C$5:$BJ$5,E$27,Monthly!$C$36:$BJ$36)</f>
        <v>997265.775936914</v>
      </c>
      <c r="F42" s="35" t="n">
        <f aca="false">SUMIF(Monthly!$C$5:$BJ$5,F$27,Monthly!$C$36:$BJ$36)</f>
        <v>1130008.57647905</v>
      </c>
      <c r="G42" s="83"/>
    </row>
    <row r="43" customFormat="false" ht="15" hidden="false" customHeight="false" outlineLevel="0" collapsed="false">
      <c r="A43" s="6" t="s">
        <v>211</v>
      </c>
      <c r="B43" s="35" t="n">
        <f aca="false">B41-B42</f>
        <v>940602.433333333</v>
      </c>
      <c r="C43" s="35" t="n">
        <f aca="false">C41-C42</f>
        <v>1235260.8</v>
      </c>
      <c r="D43" s="35" t="n">
        <f aca="false">D41-D42</f>
        <v>1259966.016</v>
      </c>
      <c r="E43" s="35" t="n">
        <f aca="false">E41-E42</f>
        <v>1285165.33632</v>
      </c>
      <c r="F43" s="35" t="n">
        <f aca="false">F41-F42</f>
        <v>1310868.6430464</v>
      </c>
      <c r="G43" s="83"/>
    </row>
    <row r="44" customFormat="false" ht="15" hidden="false" customHeight="false" outlineLevel="0" collapsed="false">
      <c r="A44" s="38" t="s">
        <v>212</v>
      </c>
      <c r="B44" s="80" t="n">
        <f aca="false">IF(B41=0,0,B42/B41)</f>
        <v>0.203002485046999</v>
      </c>
      <c r="C44" s="80" t="n">
        <f aca="false">IF(C41=0,0,C42/C41)</f>
        <v>0.315979025864614</v>
      </c>
      <c r="D44" s="80" t="n">
        <f aca="false">IF(D41=0,0,D42/D41)</f>
        <v>0.394327649619249</v>
      </c>
      <c r="E44" s="80" t="n">
        <f aca="false">IF(E41=0,0,E42/E41)</f>
        <v>0.436931380133001</v>
      </c>
      <c r="F44" s="80" t="n">
        <f aca="false">IF(F41=0,0,F42/F41)</f>
        <v>0.462951830366439</v>
      </c>
      <c r="G44" s="81"/>
    </row>
    <row r="45" customFormat="false" ht="15" hidden="false" customHeight="false" outlineLevel="0" collapsed="false">
      <c r="A45" s="6" t="s">
        <v>213</v>
      </c>
      <c r="B45" s="84" t="n">
        <f aca="false">IF(B33=0,0,B41/B33)</f>
        <v>13.2654025173781</v>
      </c>
      <c r="C45" s="84" t="n">
        <f aca="false">IF(C33=0,0,C41/C33)</f>
        <v>12.9290430501334</v>
      </c>
      <c r="D45" s="84" t="n">
        <f aca="false">IF(D33=0,0,D41/D33)</f>
        <v>12.8013165582013</v>
      </c>
      <c r="E45" s="84" t="n">
        <f aca="false">IF(E33=0,0,E41/E33)</f>
        <v>12.852331215877</v>
      </c>
      <c r="F45" s="84" t="n">
        <f aca="false">IF(F33=0,0,F41/F33)</f>
        <v>12.9845959428755</v>
      </c>
      <c r="G45" s="85"/>
    </row>
    <row r="46" customFormat="false" ht="15" hidden="false" customHeight="false" outlineLevel="0" collapsed="false">
      <c r="A46" s="6" t="s">
        <v>214</v>
      </c>
      <c r="B46" s="84" t="n">
        <f aca="false">IF(B35=0,0,B42/B35)</f>
        <v>9.94197813671329</v>
      </c>
      <c r="C46" s="84" t="n">
        <f aca="false">IF(C35=0,0,C42/C35)</f>
        <v>10.1612858751952</v>
      </c>
      <c r="D46" s="84" t="n">
        <f aca="false">IF(D35=0,0,D42/D35)</f>
        <v>10.385664069159</v>
      </c>
      <c r="E46" s="84" t="n">
        <f aca="false">IF(E35=0,0,E42/E35)</f>
        <v>10.6014419517859</v>
      </c>
      <c r="F46" s="84" t="n">
        <f aca="false">IF(F35=0,0,F42/F35)</f>
        <v>10.8173577376309</v>
      </c>
      <c r="G46" s="85"/>
    </row>
    <row r="47" customFormat="false" ht="15" hidden="false" customHeight="false" outlineLevel="0" collapsed="false">
      <c r="A47" s="6" t="s">
        <v>215</v>
      </c>
      <c r="B47" s="35" t="n">
        <f aca="false">SUMIF(Monthly!$C$5:$BJ$5,B$27,Monthly!$C$43:$BJ$43)</f>
        <v>-145016.127167137</v>
      </c>
      <c r="C47" s="35" t="n">
        <f aca="false">SUMIF(Monthly!$C$5:$BJ$5,C$27,Monthly!$C$43:$BJ$43)</f>
        <v>-234502.614201564</v>
      </c>
      <c r="D47" s="35" t="n">
        <f aca="false">SUMIF(Monthly!$C$5:$BJ$5,D$27,Monthly!$C$43:$BJ$43)</f>
        <v>-281014.351442694</v>
      </c>
      <c r="E47" s="35" t="n">
        <f aca="false">SUMIF(Monthly!$C$5:$BJ$5,E$27,Monthly!$C$43:$BJ$43)</f>
        <v>-316311.548308301</v>
      </c>
      <c r="F47" s="35" t="n">
        <f aca="false">SUMIF(Monthly!$C$5:$BJ$5,F$27,Monthly!$C$43:$BJ$43)</f>
        <v>-344868.872906658</v>
      </c>
      <c r="G47" s="83"/>
    </row>
    <row r="48" customFormat="false" ht="15" hidden="false" customHeight="false" outlineLevel="0" collapsed="false">
      <c r="A48" s="6" t="s">
        <v>216</v>
      </c>
      <c r="B48" s="84" t="n">
        <f aca="false">IF(B33=0,0,-B47/B33)</f>
        <v>1.63</v>
      </c>
      <c r="C48" s="84" t="n">
        <f aca="false">IF(C33=0,0,-C47/C33)</f>
        <v>1.6789</v>
      </c>
      <c r="D48" s="84" t="n">
        <f aca="false">IF(D33=0,0,-D47/D33)</f>
        <v>1.729267</v>
      </c>
      <c r="E48" s="84" t="n">
        <f aca="false">IF(E33=0,0,-E47/E33)</f>
        <v>1.78114501</v>
      </c>
      <c r="F48" s="84" t="n">
        <f aca="false">IF(F33=0,0,-F47/F33)</f>
        <v>1.8345793603</v>
      </c>
      <c r="G48" s="85"/>
    </row>
    <row r="49" customFormat="false" ht="15" hidden="false" customHeight="false" outlineLevel="0" collapsed="false">
      <c r="A49" s="6" t="s">
        <v>43</v>
      </c>
      <c r="B49" s="35" t="n">
        <f aca="false">SUMIF(Monthly!$C$5:$BJ$5,B$27,Monthly!$C$46:$BJ$46)</f>
        <v>999760.792729705</v>
      </c>
      <c r="C49" s="35" t="n">
        <f aca="false">SUMIF(Monthly!$C$5:$BJ$5,C$27,Monthly!$C$46:$BJ$46)</f>
        <v>1517202.40846174</v>
      </c>
      <c r="D49" s="35" t="n">
        <f aca="false">SUMIF(Monthly!$C$5:$BJ$5,D$27,Monthly!$C$46:$BJ$46)</f>
        <v>1736853.94773209</v>
      </c>
      <c r="E49" s="35" t="n">
        <f aca="false">SUMIF(Monthly!$C$5:$BJ$5,E$27,Monthly!$C$46:$BJ$46)</f>
        <v>1897646.63058091</v>
      </c>
      <c r="F49" s="35" t="n">
        <f aca="false">SUMIF(Monthly!$C$5:$BJ$5,F$27,Monthly!$C$46:$BJ$46)</f>
        <v>2022782.03003303</v>
      </c>
      <c r="G49" s="83"/>
    </row>
    <row r="50" customFormat="false" ht="15" hidden="false" customHeight="false" outlineLevel="0" collapsed="false">
      <c r="A50" s="38" t="s">
        <v>44</v>
      </c>
      <c r="B50" s="80" t="n">
        <f aca="false">IF(B41=0,0,B49/B41)</f>
        <v>0.847123969825669</v>
      </c>
      <c r="C50" s="80" t="n">
        <f aca="false">IF(C41=0,0,C49/C41)</f>
        <v>0.840145068471817</v>
      </c>
      <c r="D50" s="80" t="n">
        <f aca="false">IF(D41=0,0,D49/D41)</f>
        <v>0.83491490995181</v>
      </c>
      <c r="E50" s="80" t="n">
        <f aca="false">IF(E41=0,0,E49/E41)</f>
        <v>0.831414635206437</v>
      </c>
      <c r="F50" s="80" t="n">
        <f aca="false">IF(F41=0,0,F49/F41)</f>
        <v>0.828711093639644</v>
      </c>
      <c r="G50" s="81"/>
    </row>
    <row r="51" customFormat="false" ht="15" hidden="false" customHeight="false" outlineLevel="0" collapsed="false">
      <c r="A51" s="6" t="s">
        <v>46</v>
      </c>
      <c r="B51" s="35" t="n">
        <f aca="false">SUMIF(Monthly!$C$5:$BJ$5,B$27,Monthly!$C$55:$BJ$55)</f>
        <v>-123279.207270295</v>
      </c>
      <c r="C51" s="35" t="n">
        <f aca="false">SUMIF(Monthly!$C$5:$BJ$5,C$27,Monthly!$C$55:$BJ$55)</f>
        <v>393591.208461737</v>
      </c>
      <c r="D51" s="35" t="n">
        <f aca="false">SUMIF(Monthly!$C$5:$BJ$5,D$27,Monthly!$C$55:$BJ$55)</f>
        <v>606030.411732089</v>
      </c>
      <c r="E51" s="35" t="n">
        <f aca="false">SUMIF(Monthly!$C$5:$BJ$5,E$27,Monthly!$C$55:$BJ$55)</f>
        <v>754095.188500905</v>
      </c>
      <c r="F51" s="35" t="n">
        <f aca="false">SUMIF(Monthly!$C$5:$BJ$5,F$27,Monthly!$C$55:$BJ$55)</f>
        <v>861881.484690629</v>
      </c>
      <c r="G51" s="83"/>
    </row>
    <row r="52" customFormat="false" ht="15" hidden="false" customHeight="false" outlineLevel="0" collapsed="false">
      <c r="A52" s="38" t="s">
        <v>47</v>
      </c>
      <c r="B52" s="80" t="n">
        <f aca="false">IF(B41=0,0,B51/B41)</f>
        <v>-0.104457758515049</v>
      </c>
      <c r="C52" s="80" t="n">
        <f aca="false">IF(C41=0,0,C51/C41)</f>
        <v>0.217949636079378</v>
      </c>
      <c r="D52" s="80" t="n">
        <f aca="false">IF(D41=0,0,D51/D41)</f>
        <v>0.291322035050816</v>
      </c>
      <c r="E52" s="80" t="n">
        <f aca="false">IF(E41=0,0,E51/E41)</f>
        <v>0.330391215073843</v>
      </c>
      <c r="F52" s="80" t="n">
        <f aca="false">IF(F41=0,0,F51/F41)</f>
        <v>0.353103170366838</v>
      </c>
      <c r="G52" s="81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218</v>
      </c>
    </row>
    <row r="5" customFormat="false" ht="15" hidden="false" customHeight="false" outlineLevel="0" collapsed="false">
      <c r="A5" s="33" t="s">
        <v>219</v>
      </c>
      <c r="B5" s="59" t="s">
        <v>220</v>
      </c>
      <c r="C5" s="59" t="s">
        <v>221</v>
      </c>
      <c r="D5" s="59" t="s">
        <v>222</v>
      </c>
      <c r="E5" s="59" t="s">
        <v>223</v>
      </c>
      <c r="F5" s="33" t="s">
        <v>224</v>
      </c>
      <c r="G5" s="33" t="s">
        <v>225</v>
      </c>
    </row>
    <row r="6" customFormat="false" ht="15.75" hidden="false" customHeight="true" outlineLevel="0" collapsed="false">
      <c r="A6" s="7" t="s">
        <v>226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227</v>
      </c>
      <c r="B7" s="86" t="n">
        <v>200</v>
      </c>
      <c r="C7" s="86" t="n">
        <v>240</v>
      </c>
      <c r="D7" s="86" t="n">
        <v>280</v>
      </c>
      <c r="E7" s="87" t="n">
        <f aca="false">CHOOSE(Dashboard!$B$4,B7,C7,D7)</f>
        <v>240</v>
      </c>
      <c r="F7" s="38" t="s">
        <v>228</v>
      </c>
      <c r="G7" s="88" t="s">
        <v>229</v>
      </c>
    </row>
    <row r="8" customFormat="false" ht="15" hidden="false" customHeight="false" outlineLevel="0" collapsed="false">
      <c r="A8" s="6" t="s">
        <v>230</v>
      </c>
      <c r="B8" s="86" t="n">
        <v>29</v>
      </c>
      <c r="C8" s="86" t="n">
        <v>29</v>
      </c>
      <c r="D8" s="86" t="n">
        <v>29</v>
      </c>
      <c r="E8" s="87" t="n">
        <f aca="false">CHOOSE(Dashboard!$B$4,B8,C8,D8)</f>
        <v>29</v>
      </c>
      <c r="F8" s="38" t="s">
        <v>231</v>
      </c>
      <c r="G8" s="88"/>
    </row>
    <row r="9" customFormat="false" ht="15" hidden="false" customHeight="false" outlineLevel="0" collapsed="false">
      <c r="A9" s="6" t="s">
        <v>232</v>
      </c>
      <c r="B9" s="89" t="n">
        <v>12</v>
      </c>
      <c r="C9" s="89" t="n">
        <v>9</v>
      </c>
      <c r="D9" s="89" t="n">
        <v>7</v>
      </c>
      <c r="E9" s="90" t="n">
        <f aca="false">CHOOSE(Dashboard!$B$4,B9,C9,D9)</f>
        <v>9</v>
      </c>
      <c r="F9" s="38" t="s">
        <v>233</v>
      </c>
      <c r="G9" s="88" t="s">
        <v>234</v>
      </c>
    </row>
    <row r="10" customFormat="false" ht="15" hidden="false" customHeight="false" outlineLevel="0" collapsed="false">
      <c r="A10" s="6" t="s">
        <v>235</v>
      </c>
      <c r="B10" s="91" t="n">
        <v>0.35</v>
      </c>
      <c r="C10" s="91" t="n">
        <v>0.45</v>
      </c>
      <c r="D10" s="91" t="n">
        <v>0.55</v>
      </c>
      <c r="E10" s="92" t="n">
        <f aca="false">CHOOSE(Dashboard!$B$4,B10,C10,D10)</f>
        <v>0.45</v>
      </c>
      <c r="F10" s="38" t="s">
        <v>236</v>
      </c>
      <c r="G10" s="88" t="s">
        <v>229</v>
      </c>
    </row>
    <row r="11" customFormat="false" ht="15" hidden="false" customHeight="false" outlineLevel="0" collapsed="false">
      <c r="A11" s="6" t="s">
        <v>237</v>
      </c>
      <c r="B11" s="91" t="n">
        <v>0.2</v>
      </c>
      <c r="C11" s="91" t="n">
        <v>0.15</v>
      </c>
      <c r="D11" s="91" t="n">
        <v>0.1</v>
      </c>
      <c r="E11" s="92" t="n">
        <f aca="false">CHOOSE(Dashboard!$B$4,B11,C11,D11)</f>
        <v>0.15</v>
      </c>
      <c r="F11" s="38" t="s">
        <v>236</v>
      </c>
      <c r="G11" s="88" t="s">
        <v>234</v>
      </c>
    </row>
    <row r="13" customFormat="false" ht="15.75" hidden="false" customHeight="true" outlineLevel="0" collapsed="false">
      <c r="A13" s="7" t="s">
        <v>238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239</v>
      </c>
      <c r="B14" s="89" t="n">
        <v>140</v>
      </c>
      <c r="C14" s="89" t="n">
        <v>140</v>
      </c>
      <c r="D14" s="89" t="n">
        <v>140</v>
      </c>
      <c r="E14" s="90" t="n">
        <f aca="false">CHOOSE(Dashboard!$B$4,B14,C14,D14)</f>
        <v>140</v>
      </c>
      <c r="F14" s="38" t="s">
        <v>240</v>
      </c>
      <c r="G14" s="88"/>
    </row>
    <row r="15" customFormat="false" ht="15" hidden="false" customHeight="false" outlineLevel="0" collapsed="false">
      <c r="A15" s="6" t="s">
        <v>241</v>
      </c>
      <c r="B15" s="86" t="n">
        <v>11</v>
      </c>
      <c r="C15" s="86" t="n">
        <v>11</v>
      </c>
      <c r="D15" s="86" t="n">
        <v>11</v>
      </c>
      <c r="E15" s="87" t="n">
        <f aca="false">CHOOSE(Dashboard!$B$4,B15,C15,D15)</f>
        <v>11</v>
      </c>
      <c r="F15" s="38" t="s">
        <v>242</v>
      </c>
      <c r="G15" s="88"/>
    </row>
    <row r="16" customFormat="false" ht="15" hidden="false" customHeight="false" outlineLevel="0" collapsed="false">
      <c r="A16" s="6" t="s">
        <v>243</v>
      </c>
      <c r="B16" s="91" t="n">
        <v>0.55</v>
      </c>
      <c r="C16" s="91" t="n">
        <v>0.55</v>
      </c>
      <c r="D16" s="91" t="n">
        <v>0.55</v>
      </c>
      <c r="E16" s="92" t="n">
        <f aca="false">CHOOSE(Dashboard!$B$4,B16,C16,D16)</f>
        <v>0.55</v>
      </c>
      <c r="F16" s="38" t="s">
        <v>236</v>
      </c>
      <c r="G16" s="88"/>
    </row>
    <row r="18" customFormat="false" ht="15.75" hidden="false" customHeight="true" outlineLevel="0" collapsed="false">
      <c r="A18" s="7" t="s">
        <v>244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245</v>
      </c>
      <c r="B19" s="89" t="n">
        <v>150</v>
      </c>
      <c r="C19" s="89" t="n">
        <v>250</v>
      </c>
      <c r="D19" s="89" t="n">
        <v>350</v>
      </c>
      <c r="E19" s="90" t="n">
        <f aca="false">CHOOSE(Dashboard!$B$4,B19,C19,D19)</f>
        <v>250</v>
      </c>
      <c r="F19" s="38" t="s">
        <v>246</v>
      </c>
      <c r="G19" s="88" t="s">
        <v>229</v>
      </c>
    </row>
    <row r="20" customFormat="false" ht="15" hidden="false" customHeight="false" outlineLevel="0" collapsed="false">
      <c r="A20" s="6" t="s">
        <v>247</v>
      </c>
      <c r="B20" s="86" t="n">
        <v>40</v>
      </c>
      <c r="C20" s="86" t="n">
        <v>50</v>
      </c>
      <c r="D20" s="86" t="n">
        <v>60</v>
      </c>
      <c r="E20" s="87" t="n">
        <f aca="false">CHOOSE(Dashboard!$B$4,B20,C20,D20)</f>
        <v>50</v>
      </c>
      <c r="F20" s="38" t="s">
        <v>246</v>
      </c>
      <c r="G20" s="88" t="s">
        <v>229</v>
      </c>
    </row>
    <row r="21" customFormat="false" ht="15" hidden="false" customHeight="false" outlineLevel="0" collapsed="false">
      <c r="A21" s="6" t="s">
        <v>248</v>
      </c>
      <c r="B21" s="91" t="n">
        <v>0</v>
      </c>
      <c r="C21" s="91" t="n">
        <v>0.05</v>
      </c>
      <c r="D21" s="91" t="n">
        <v>0.1</v>
      </c>
      <c r="E21" s="92" t="n">
        <f aca="false">CHOOSE(Dashboard!$B$4,B21,C21,D21)</f>
        <v>0.05</v>
      </c>
      <c r="F21" s="38" t="s">
        <v>236</v>
      </c>
      <c r="G21" s="88" t="s">
        <v>229</v>
      </c>
    </row>
    <row r="22" customFormat="false" ht="15" hidden="false" customHeight="false" outlineLevel="0" collapsed="false">
      <c r="A22" s="6" t="s">
        <v>249</v>
      </c>
      <c r="B22" s="91" t="n">
        <v>0.006</v>
      </c>
      <c r="C22" s="91" t="n">
        <v>0.008</v>
      </c>
      <c r="D22" s="91" t="n">
        <v>0.01</v>
      </c>
      <c r="E22" s="92" t="n">
        <f aca="false">CHOOSE(Dashboard!$B$4,B22,C22,D22)</f>
        <v>0.008</v>
      </c>
      <c r="F22" s="38" t="s">
        <v>236</v>
      </c>
      <c r="G22" s="88" t="s">
        <v>229</v>
      </c>
    </row>
    <row r="23" customFormat="false" ht="15" hidden="false" customHeight="false" outlineLevel="0" collapsed="false">
      <c r="A23" s="6" t="s">
        <v>203</v>
      </c>
      <c r="B23" s="91" t="n">
        <v>0.05</v>
      </c>
      <c r="C23" s="91" t="n">
        <v>0.04</v>
      </c>
      <c r="D23" s="91" t="n">
        <v>0.032</v>
      </c>
      <c r="E23" s="92" t="n">
        <f aca="false">CHOOSE(Dashboard!$B$4,B23,C23,D23)</f>
        <v>0.04</v>
      </c>
      <c r="F23" s="38" t="s">
        <v>236</v>
      </c>
      <c r="G23" s="88" t="s">
        <v>234</v>
      </c>
    </row>
    <row r="24" customFormat="false" ht="15" hidden="false" customHeight="false" outlineLevel="0" collapsed="false">
      <c r="A24" s="6" t="s">
        <v>250</v>
      </c>
      <c r="B24" s="86" t="n">
        <v>3.8</v>
      </c>
      <c r="C24" s="86" t="n">
        <v>3.5</v>
      </c>
      <c r="D24" s="86" t="n">
        <v>3.2</v>
      </c>
      <c r="E24" s="87" t="n">
        <f aca="false">CHOOSE(Dashboard!$B$4,B24,C24,D24)</f>
        <v>3.5</v>
      </c>
      <c r="F24" s="38" t="s">
        <v>251</v>
      </c>
      <c r="G24" s="88" t="s">
        <v>234</v>
      </c>
    </row>
    <row r="26" customFormat="false" ht="15.75" hidden="false" customHeight="true" outlineLevel="0" collapsed="false">
      <c r="A26" s="7" t="s">
        <v>252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253</v>
      </c>
      <c r="B27" s="93" t="n">
        <v>12</v>
      </c>
      <c r="C27" s="93" t="n">
        <v>13</v>
      </c>
      <c r="D27" s="93" t="n">
        <v>14</v>
      </c>
      <c r="E27" s="94" t="n">
        <f aca="false">CHOOSE(Dashboard!$B$4,B27,C27,D27)</f>
        <v>13</v>
      </c>
      <c r="F27" s="38" t="s">
        <v>254</v>
      </c>
      <c r="G27" s="88" t="s">
        <v>229</v>
      </c>
    </row>
    <row r="28" customFormat="false" ht="15" hidden="false" customHeight="false" outlineLevel="0" collapsed="false">
      <c r="A28" s="6" t="s">
        <v>255</v>
      </c>
      <c r="B28" s="93" t="n">
        <v>1.2</v>
      </c>
      <c r="C28" s="93" t="n">
        <v>1.5</v>
      </c>
      <c r="D28" s="93" t="n">
        <v>1.8</v>
      </c>
      <c r="E28" s="94" t="n">
        <f aca="false">CHOOSE(Dashboard!$B$4,B28,C28,D28)</f>
        <v>1.5</v>
      </c>
      <c r="F28" s="38" t="s">
        <v>254</v>
      </c>
      <c r="G28" s="88" t="s">
        <v>229</v>
      </c>
    </row>
    <row r="29" customFormat="false" ht="15" hidden="false" customHeight="false" outlineLevel="0" collapsed="false">
      <c r="A29" s="6" t="s">
        <v>256</v>
      </c>
      <c r="B29" s="93" t="n">
        <v>32</v>
      </c>
      <c r="C29" s="93" t="n">
        <v>35</v>
      </c>
      <c r="D29" s="93" t="n">
        <v>38</v>
      </c>
      <c r="E29" s="94" t="n">
        <f aca="false">CHOOSE(Dashboard!$B$4,B29,C29,D29)</f>
        <v>35</v>
      </c>
      <c r="F29" s="38" t="s">
        <v>254</v>
      </c>
      <c r="G29" s="88" t="s">
        <v>229</v>
      </c>
    </row>
    <row r="30" customFormat="false" ht="15" hidden="false" customHeight="false" outlineLevel="0" collapsed="false">
      <c r="A30" s="6" t="s">
        <v>257</v>
      </c>
      <c r="B30" s="91" t="n">
        <v>0.01</v>
      </c>
      <c r="C30" s="91" t="n">
        <v>0.02</v>
      </c>
      <c r="D30" s="91" t="n">
        <v>0.03</v>
      </c>
      <c r="E30" s="92" t="n">
        <f aca="false">CHOOSE(Dashboard!$B$4,B30,C30,D30)</f>
        <v>0.02</v>
      </c>
      <c r="F30" s="38" t="s">
        <v>236</v>
      </c>
      <c r="G30" s="88" t="s">
        <v>229</v>
      </c>
    </row>
    <row r="32" customFormat="false" ht="15.75" hidden="false" customHeight="true" outlineLevel="0" collapsed="false">
      <c r="A32" s="7" t="s">
        <v>258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259</v>
      </c>
      <c r="B33" s="93" t="n">
        <v>0.95</v>
      </c>
      <c r="C33" s="93" t="n">
        <v>0.85</v>
      </c>
      <c r="D33" s="93" t="n">
        <v>0.75</v>
      </c>
      <c r="E33" s="94" t="n">
        <f aca="false">CHOOSE(Dashboard!$B$4,B33,C33,D33)</f>
        <v>0.85</v>
      </c>
      <c r="F33" s="38" t="s">
        <v>254</v>
      </c>
      <c r="G33" s="88" t="s">
        <v>234</v>
      </c>
    </row>
    <row r="34" customFormat="false" ht="15" hidden="false" customHeight="false" outlineLevel="0" collapsed="false">
      <c r="A34" s="6" t="s">
        <v>260</v>
      </c>
      <c r="B34" s="86" t="n">
        <v>45</v>
      </c>
      <c r="C34" s="86" t="n">
        <v>40</v>
      </c>
      <c r="D34" s="86" t="n">
        <v>36</v>
      </c>
      <c r="E34" s="87" t="n">
        <f aca="false">CHOOSE(Dashboard!$B$4,B34,C34,D34)</f>
        <v>40</v>
      </c>
      <c r="F34" s="38" t="s">
        <v>261</v>
      </c>
      <c r="G34" s="88" t="s">
        <v>234</v>
      </c>
    </row>
    <row r="35" customFormat="false" ht="15" hidden="false" customHeight="false" outlineLevel="0" collapsed="false">
      <c r="A35" s="6" t="s">
        <v>262</v>
      </c>
      <c r="B35" s="93" t="n">
        <v>10</v>
      </c>
      <c r="C35" s="93" t="n">
        <v>9</v>
      </c>
      <c r="D35" s="93" t="n">
        <v>8</v>
      </c>
      <c r="E35" s="94" t="n">
        <f aca="false">CHOOSE(Dashboard!$B$4,B35,C35,D35)</f>
        <v>9</v>
      </c>
      <c r="F35" s="38" t="s">
        <v>254</v>
      </c>
      <c r="G35" s="88" t="s">
        <v>234</v>
      </c>
    </row>
    <row r="36" customFormat="false" ht="15" hidden="false" customHeight="false" outlineLevel="0" collapsed="false">
      <c r="A36" s="6" t="s">
        <v>263</v>
      </c>
      <c r="B36" s="93" t="n">
        <v>0.45</v>
      </c>
      <c r="C36" s="93" t="n">
        <v>0.42</v>
      </c>
      <c r="D36" s="93" t="n">
        <v>0.4</v>
      </c>
      <c r="E36" s="94" t="n">
        <f aca="false">CHOOSE(Dashboard!$B$4,B36,C36,D36)</f>
        <v>0.42</v>
      </c>
      <c r="F36" s="38" t="s">
        <v>254</v>
      </c>
      <c r="G36" s="88" t="s">
        <v>234</v>
      </c>
    </row>
    <row r="37" customFormat="false" ht="15" hidden="false" customHeight="false" outlineLevel="0" collapsed="false">
      <c r="A37" s="6" t="s">
        <v>264</v>
      </c>
      <c r="B37" s="91" t="n">
        <v>0.032</v>
      </c>
      <c r="C37" s="91" t="n">
        <v>0.03</v>
      </c>
      <c r="D37" s="91" t="n">
        <v>0.028</v>
      </c>
      <c r="E37" s="92" t="n">
        <f aca="false">CHOOSE(Dashboard!$B$4,B37,C37,D37)</f>
        <v>0.03</v>
      </c>
      <c r="F37" s="38" t="s">
        <v>236</v>
      </c>
      <c r="G37" s="88" t="s">
        <v>234</v>
      </c>
    </row>
    <row r="38" customFormat="false" ht="15" hidden="false" customHeight="false" outlineLevel="0" collapsed="false">
      <c r="A38" s="6" t="s">
        <v>265</v>
      </c>
      <c r="B38" s="91" t="n">
        <v>0.04</v>
      </c>
      <c r="C38" s="91" t="n">
        <v>0.03</v>
      </c>
      <c r="D38" s="91" t="n">
        <v>0.025</v>
      </c>
      <c r="E38" s="92" t="n">
        <f aca="false">CHOOSE(Dashboard!$B$4,B38,C38,D38)</f>
        <v>0.03</v>
      </c>
      <c r="F38" s="38" t="s">
        <v>236</v>
      </c>
      <c r="G38" s="88" t="s">
        <v>234</v>
      </c>
    </row>
    <row r="40" customFormat="false" ht="15.75" hidden="false" customHeight="true" outlineLevel="0" collapsed="false">
      <c r="A40" s="7" t="s">
        <v>266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A41" s="6" t="s">
        <v>267</v>
      </c>
      <c r="B41" s="95" t="n">
        <v>30000</v>
      </c>
      <c r="C41" s="95" t="n">
        <v>30000</v>
      </c>
      <c r="D41" s="95" t="n">
        <v>30000</v>
      </c>
      <c r="E41" s="96" t="n">
        <f aca="false">CHOOSE(Dashboard!$B$4,B41,C41,D41)</f>
        <v>30000</v>
      </c>
      <c r="F41" s="38" t="s">
        <v>254</v>
      </c>
      <c r="G41" s="88"/>
    </row>
    <row r="42" customFormat="false" ht="15" hidden="false" customHeight="false" outlineLevel="0" collapsed="false">
      <c r="A42" s="6" t="s">
        <v>268</v>
      </c>
      <c r="B42" s="91" t="n">
        <v>0.03</v>
      </c>
      <c r="C42" s="91" t="n">
        <v>0.03</v>
      </c>
      <c r="D42" s="91" t="n">
        <v>0.03</v>
      </c>
      <c r="E42" s="92" t="n">
        <f aca="false">CHOOSE(Dashboard!$B$4,B42,C42,D42)</f>
        <v>0.03</v>
      </c>
      <c r="F42" s="38" t="s">
        <v>236</v>
      </c>
      <c r="G42" s="88"/>
    </row>
    <row r="43" customFormat="false" ht="15" hidden="false" customHeight="false" outlineLevel="0" collapsed="false">
      <c r="A43" s="6" t="s">
        <v>269</v>
      </c>
      <c r="B43" s="95" t="n">
        <v>5500</v>
      </c>
      <c r="C43" s="95" t="n">
        <v>5500</v>
      </c>
      <c r="D43" s="95" t="n">
        <v>5500</v>
      </c>
      <c r="E43" s="96" t="n">
        <f aca="false">CHOOSE(Dashboard!$B$4,B43,C43,D43)</f>
        <v>5500</v>
      </c>
      <c r="F43" s="38" t="s">
        <v>254</v>
      </c>
      <c r="G43" s="88"/>
    </row>
    <row r="44" customFormat="false" ht="15" hidden="false" customHeight="false" outlineLevel="0" collapsed="false">
      <c r="A44" s="6" t="s">
        <v>270</v>
      </c>
      <c r="B44" s="95" t="n">
        <v>9500</v>
      </c>
      <c r="C44" s="95" t="n">
        <v>9500</v>
      </c>
      <c r="D44" s="95" t="n">
        <v>9500</v>
      </c>
      <c r="E44" s="96" t="n">
        <f aca="false">CHOOSE(Dashboard!$B$4,B44,C44,D44)</f>
        <v>9500</v>
      </c>
      <c r="F44" s="38" t="s">
        <v>254</v>
      </c>
      <c r="G44" s="88"/>
    </row>
    <row r="45" customFormat="false" ht="15" hidden="false" customHeight="false" outlineLevel="0" collapsed="false">
      <c r="A45" s="6" t="s">
        <v>271</v>
      </c>
      <c r="B45" s="95" t="n">
        <v>12000</v>
      </c>
      <c r="C45" s="95" t="n">
        <v>12000</v>
      </c>
      <c r="D45" s="95" t="n">
        <v>12000</v>
      </c>
      <c r="E45" s="96" t="n">
        <f aca="false">CHOOSE(Dashboard!$B$4,B45,C45,D45)</f>
        <v>12000</v>
      </c>
      <c r="F45" s="38" t="s">
        <v>254</v>
      </c>
      <c r="G45" s="88"/>
    </row>
    <row r="46" customFormat="false" ht="15" hidden="false" customHeight="false" outlineLevel="0" collapsed="false">
      <c r="A46" s="6" t="s">
        <v>272</v>
      </c>
      <c r="B46" s="91" t="n">
        <v>-0.3</v>
      </c>
      <c r="C46" s="91" t="n">
        <v>-0.2</v>
      </c>
      <c r="D46" s="91" t="n">
        <v>-0.1</v>
      </c>
      <c r="E46" s="92" t="n">
        <f aca="false">CHOOSE(Dashboard!$B$4,B46,C46,D46)</f>
        <v>-0.2</v>
      </c>
      <c r="F46" s="38" t="s">
        <v>236</v>
      </c>
      <c r="G46" s="88" t="s">
        <v>229</v>
      </c>
    </row>
    <row r="48" customFormat="false" ht="15.75" hidden="false" customHeight="true" outlineLevel="0" collapsed="false">
      <c r="A48" s="7" t="s">
        <v>82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273</v>
      </c>
      <c r="B49" s="95" t="n">
        <v>1650000</v>
      </c>
      <c r="C49" s="95" t="n">
        <v>1650000</v>
      </c>
      <c r="D49" s="95" t="n">
        <v>1650000</v>
      </c>
      <c r="E49" s="96" t="n">
        <f aca="false">CHOOSE(Dashboard!$B$4,B49,C49,D49)</f>
        <v>1650000</v>
      </c>
      <c r="F49" s="38" t="s">
        <v>254</v>
      </c>
      <c r="G49" s="88"/>
    </row>
    <row r="50" customFormat="false" ht="15" hidden="false" customHeight="false" outlineLevel="0" collapsed="false">
      <c r="A50" s="6" t="s">
        <v>274</v>
      </c>
      <c r="B50" s="95" t="n">
        <v>2300000</v>
      </c>
      <c r="C50" s="95" t="n">
        <v>2300000</v>
      </c>
      <c r="D50" s="95" t="n">
        <v>2300000</v>
      </c>
      <c r="E50" s="96" t="n">
        <f aca="false">CHOOSE(Dashboard!$B$4,B50,C50,D50)</f>
        <v>2300000</v>
      </c>
      <c r="F50" s="38" t="s">
        <v>254</v>
      </c>
      <c r="G50" s="88"/>
    </row>
    <row r="51" customFormat="false" ht="15" hidden="false" customHeight="false" outlineLevel="0" collapsed="false">
      <c r="A51" s="6" t="s">
        <v>275</v>
      </c>
      <c r="B51" s="95" t="n">
        <v>150000</v>
      </c>
      <c r="C51" s="95" t="n">
        <v>150000</v>
      </c>
      <c r="D51" s="95" t="n">
        <v>150000</v>
      </c>
      <c r="E51" s="96" t="n">
        <f aca="false">CHOOSE(Dashboard!$B$4,B51,C51,D51)</f>
        <v>150000</v>
      </c>
      <c r="F51" s="38" t="s">
        <v>254</v>
      </c>
      <c r="G51" s="88"/>
    </row>
    <row r="52" customFormat="false" ht="15" hidden="false" customHeight="false" outlineLevel="0" collapsed="false">
      <c r="A52" s="6" t="s">
        <v>276</v>
      </c>
      <c r="B52" s="95" t="n">
        <v>40000</v>
      </c>
      <c r="C52" s="95" t="n">
        <v>40000</v>
      </c>
      <c r="D52" s="95" t="n">
        <v>40000</v>
      </c>
      <c r="E52" s="96" t="n">
        <f aca="false">CHOOSE(Dashboard!$B$4,B52,C52,D52)</f>
        <v>40000</v>
      </c>
      <c r="F52" s="38" t="s">
        <v>254</v>
      </c>
      <c r="G52" s="88"/>
    </row>
    <row r="54" customFormat="false" ht="15.75" hidden="false" customHeight="true" outlineLevel="0" collapsed="false">
      <c r="A54" s="7" t="s">
        <v>277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278</v>
      </c>
      <c r="B55" s="86" t="n">
        <v>1</v>
      </c>
      <c r="C55" s="86" t="n">
        <v>1</v>
      </c>
      <c r="D55" s="86" t="n">
        <v>1</v>
      </c>
      <c r="E55" s="87" t="n">
        <f aca="false">CHOOSE(Dashboard!$B$4,B55,C55,D55)</f>
        <v>1</v>
      </c>
      <c r="F55" s="38" t="s">
        <v>279</v>
      </c>
      <c r="G55" s="88" t="s">
        <v>229</v>
      </c>
    </row>
    <row r="56" customFormat="false" ht="15" hidden="false" customHeight="false" outlineLevel="0" collapsed="false">
      <c r="A56" s="6" t="s">
        <v>280</v>
      </c>
      <c r="B56" s="95" t="n">
        <v>72000</v>
      </c>
      <c r="C56" s="95" t="n">
        <v>72000</v>
      </c>
      <c r="D56" s="95" t="n">
        <v>72000</v>
      </c>
      <c r="E56" s="96" t="n">
        <f aca="false">CHOOSE(Dashboard!$B$4,B56,C56,D56)</f>
        <v>72000</v>
      </c>
      <c r="F56" s="38" t="s">
        <v>254</v>
      </c>
      <c r="G56" s="88"/>
    </row>
    <row r="57" customFormat="false" ht="15" hidden="false" customHeight="false" outlineLevel="0" collapsed="false">
      <c r="A57" s="6" t="s">
        <v>281</v>
      </c>
      <c r="B57" s="91" t="n">
        <v>0</v>
      </c>
      <c r="C57" s="91" t="n">
        <v>0</v>
      </c>
      <c r="D57" s="91" t="n">
        <v>0</v>
      </c>
      <c r="E57" s="92" t="n">
        <f aca="false">CHOOSE(Dashboard!$B$4,B57,C57,D57)</f>
        <v>0</v>
      </c>
      <c r="F57" s="38" t="s">
        <v>236</v>
      </c>
      <c r="G57" s="88" t="s">
        <v>229</v>
      </c>
    </row>
    <row r="58" customFormat="false" ht="15" hidden="false" customHeight="false" outlineLevel="0" collapsed="false">
      <c r="A58" s="6" t="s">
        <v>282</v>
      </c>
      <c r="B58" s="89" t="n">
        <v>1</v>
      </c>
      <c r="C58" s="89" t="n">
        <v>1</v>
      </c>
      <c r="D58" s="89" t="n">
        <v>1</v>
      </c>
      <c r="E58" s="90" t="n">
        <f aca="false">CHOOSE(Dashboard!$B$4,B58,C58,D58)</f>
        <v>1</v>
      </c>
      <c r="F58" s="38" t="s">
        <v>283</v>
      </c>
      <c r="G58" s="88"/>
    </row>
    <row r="59" customFormat="false" ht="15" hidden="false" customHeight="false" outlineLevel="0" collapsed="false">
      <c r="A59" s="6" t="s">
        <v>284</v>
      </c>
      <c r="B59" s="86" t="n">
        <v>10</v>
      </c>
      <c r="C59" s="86" t="n">
        <v>10</v>
      </c>
      <c r="D59" s="86" t="n">
        <v>10</v>
      </c>
      <c r="E59" s="87" t="n">
        <f aca="false">CHOOSE(Dashboard!$B$4,B59,C59,D59)</f>
        <v>10</v>
      </c>
      <c r="F59" s="38" t="s">
        <v>279</v>
      </c>
      <c r="G59" s="88" t="s">
        <v>229</v>
      </c>
    </row>
    <row r="60" customFormat="false" ht="15" hidden="false" customHeight="false" outlineLevel="0" collapsed="false">
      <c r="A60" s="6" t="s">
        <v>285</v>
      </c>
      <c r="B60" s="95" t="n">
        <v>32000</v>
      </c>
      <c r="C60" s="95" t="n">
        <v>32000</v>
      </c>
      <c r="D60" s="95" t="n">
        <v>32000</v>
      </c>
      <c r="E60" s="96" t="n">
        <f aca="false">CHOOSE(Dashboard!$B$4,B60,C60,D60)</f>
        <v>32000</v>
      </c>
      <c r="F60" s="38" t="s">
        <v>254</v>
      </c>
      <c r="G60" s="88"/>
    </row>
    <row r="61" customFormat="false" ht="15" hidden="false" customHeight="false" outlineLevel="0" collapsed="false">
      <c r="A61" s="6" t="s">
        <v>286</v>
      </c>
      <c r="B61" s="91" t="n">
        <v>0</v>
      </c>
      <c r="C61" s="91" t="n">
        <v>0</v>
      </c>
      <c r="D61" s="91" t="n">
        <v>0</v>
      </c>
      <c r="E61" s="92" t="n">
        <f aca="false">CHOOSE(Dashboard!$B$4,B61,C61,D61)</f>
        <v>0</v>
      </c>
      <c r="F61" s="38" t="s">
        <v>236</v>
      </c>
      <c r="G61" s="88" t="s">
        <v>229</v>
      </c>
    </row>
    <row r="62" customFormat="false" ht="15" hidden="false" customHeight="false" outlineLevel="0" collapsed="false">
      <c r="A62" s="6" t="s">
        <v>287</v>
      </c>
      <c r="B62" s="89" t="n">
        <v>1</v>
      </c>
      <c r="C62" s="89" t="n">
        <v>1</v>
      </c>
      <c r="D62" s="89" t="n">
        <v>1</v>
      </c>
      <c r="E62" s="90" t="n">
        <f aca="false">CHOOSE(Dashboard!$B$4,B62,C62,D62)</f>
        <v>1</v>
      </c>
      <c r="F62" s="38" t="s">
        <v>283</v>
      </c>
      <c r="G62" s="88"/>
    </row>
    <row r="63" customFormat="false" ht="15" hidden="false" customHeight="false" outlineLevel="0" collapsed="false">
      <c r="A63" s="6" t="s">
        <v>288</v>
      </c>
      <c r="B63" s="91" t="n">
        <v>0.12</v>
      </c>
      <c r="C63" s="91" t="n">
        <v>0.12</v>
      </c>
      <c r="D63" s="91" t="n">
        <v>0.12</v>
      </c>
      <c r="E63" s="92" t="n">
        <f aca="false">CHOOSE(Dashboard!$B$4,B63,C63,D63)</f>
        <v>0.12</v>
      </c>
      <c r="F63" s="38" t="s">
        <v>236</v>
      </c>
      <c r="G63" s="88"/>
    </row>
    <row r="64" customFormat="false" ht="15" hidden="false" customHeight="false" outlineLevel="0" collapsed="false">
      <c r="A64" s="6" t="s">
        <v>289</v>
      </c>
      <c r="B64" s="91" t="n">
        <v>0.03</v>
      </c>
      <c r="C64" s="91" t="n">
        <v>0.03</v>
      </c>
      <c r="D64" s="91" t="n">
        <v>0.03</v>
      </c>
      <c r="E64" s="92" t="n">
        <f aca="false">CHOOSE(Dashboard!$B$4,B64,C64,D64)</f>
        <v>0.03</v>
      </c>
      <c r="F64" s="38" t="s">
        <v>236</v>
      </c>
      <c r="G64" s="88"/>
    </row>
    <row r="66" customFormat="false" ht="15.75" hidden="false" customHeight="true" outlineLevel="0" collapsed="false">
      <c r="A66" s="7" t="s">
        <v>290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291</v>
      </c>
      <c r="B67" s="95" t="n">
        <v>2100000</v>
      </c>
      <c r="C67" s="95" t="n">
        <v>2100000</v>
      </c>
      <c r="D67" s="95" t="n">
        <v>2100000</v>
      </c>
      <c r="E67" s="96" t="n">
        <f aca="false">CHOOSE(Dashboard!$B$4,B67,C67,D67)</f>
        <v>2100000</v>
      </c>
      <c r="F67" s="38" t="s">
        <v>254</v>
      </c>
      <c r="G67" s="88"/>
    </row>
    <row r="68" customFormat="false" ht="15" hidden="false" customHeight="false" outlineLevel="0" collapsed="false">
      <c r="A68" s="6" t="s">
        <v>292</v>
      </c>
      <c r="B68" s="95" t="n">
        <v>3000000</v>
      </c>
      <c r="C68" s="95" t="n">
        <v>3000000</v>
      </c>
      <c r="D68" s="95" t="n">
        <v>3000000</v>
      </c>
      <c r="E68" s="96" t="n">
        <f aca="false">CHOOSE(Dashboard!$B$4,B68,C68,D68)</f>
        <v>3000000</v>
      </c>
      <c r="F68" s="38" t="s">
        <v>254</v>
      </c>
      <c r="G68" s="88"/>
    </row>
    <row r="69" customFormat="false" ht="15" hidden="false" customHeight="false" outlineLevel="0" collapsed="false">
      <c r="A69" s="6" t="s">
        <v>293</v>
      </c>
      <c r="B69" s="91" t="n">
        <v>0.085</v>
      </c>
      <c r="C69" s="91" t="n">
        <v>0.085</v>
      </c>
      <c r="D69" s="91" t="n">
        <v>0.085</v>
      </c>
      <c r="E69" s="92" t="n">
        <f aca="false">CHOOSE(Dashboard!$B$4,B69,C69,D69)</f>
        <v>0.085</v>
      </c>
      <c r="F69" s="38" t="s">
        <v>236</v>
      </c>
      <c r="G69" s="88"/>
    </row>
    <row r="70" customFormat="false" ht="15" hidden="false" customHeight="false" outlineLevel="0" collapsed="false">
      <c r="A70" s="6" t="s">
        <v>294</v>
      </c>
      <c r="B70" s="89" t="n">
        <v>10</v>
      </c>
      <c r="C70" s="89" t="n">
        <v>10</v>
      </c>
      <c r="D70" s="89" t="n">
        <v>10</v>
      </c>
      <c r="E70" s="90" t="n">
        <f aca="false">CHOOSE(Dashboard!$B$4,B70,C70,D70)</f>
        <v>10</v>
      </c>
      <c r="F70" s="38" t="s">
        <v>295</v>
      </c>
      <c r="G70" s="88"/>
    </row>
    <row r="72" customFormat="false" ht="15.75" hidden="false" customHeight="true" outlineLevel="0" collapsed="false">
      <c r="A72" s="7" t="s">
        <v>296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297</v>
      </c>
      <c r="B73" s="89" t="n">
        <v>2</v>
      </c>
      <c r="C73" s="89" t="n">
        <v>2</v>
      </c>
      <c r="D73" s="89" t="n">
        <v>2</v>
      </c>
      <c r="E73" s="90" t="n">
        <f aca="false">CHOOSE(Dashboard!$B$4,B73,C73,D73)</f>
        <v>2</v>
      </c>
      <c r="F73" s="38" t="s">
        <v>231</v>
      </c>
      <c r="G73" s="88"/>
    </row>
    <row r="74" customFormat="false" ht="15" hidden="false" customHeight="false" outlineLevel="0" collapsed="false">
      <c r="A74" s="6" t="s">
        <v>298</v>
      </c>
      <c r="B74" s="89" t="n">
        <v>15</v>
      </c>
      <c r="C74" s="89" t="n">
        <v>15</v>
      </c>
      <c r="D74" s="89" t="n">
        <v>15</v>
      </c>
      <c r="E74" s="90" t="n">
        <f aca="false">CHOOSE(Dashboard!$B$4,B74,C74,D74)</f>
        <v>15</v>
      </c>
      <c r="F74" s="38" t="s">
        <v>231</v>
      </c>
      <c r="G74" s="88"/>
    </row>
    <row r="75" customFormat="false" ht="15" hidden="false" customHeight="false" outlineLevel="0" collapsed="false">
      <c r="A75" s="6" t="s">
        <v>299</v>
      </c>
      <c r="B75" s="89" t="n">
        <v>25</v>
      </c>
      <c r="C75" s="89" t="n">
        <v>25</v>
      </c>
      <c r="D75" s="89" t="n">
        <v>25</v>
      </c>
      <c r="E75" s="90" t="n">
        <f aca="false">CHOOSE(Dashboard!$B$4,B75,C75,D75)</f>
        <v>25</v>
      </c>
      <c r="F75" s="38" t="s">
        <v>231</v>
      </c>
      <c r="G75" s="88"/>
    </row>
    <row r="77" customFormat="false" ht="15.75" hidden="false" customHeight="true" outlineLevel="0" collapsed="false">
      <c r="A77" s="7" t="s">
        <v>300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301</v>
      </c>
      <c r="B78" s="89" t="n">
        <v>12</v>
      </c>
      <c r="C78" s="89" t="n">
        <v>12</v>
      </c>
      <c r="D78" s="89" t="n">
        <v>12</v>
      </c>
      <c r="E78" s="90" t="n">
        <f aca="false">CHOOSE(Dashboard!$B$4,B78,C78,D78)</f>
        <v>12</v>
      </c>
      <c r="F78" s="38" t="s">
        <v>295</v>
      </c>
      <c r="G78" s="88"/>
    </row>
    <row r="79" customFormat="false" ht="15" hidden="false" customHeight="false" outlineLevel="0" collapsed="false">
      <c r="A79" s="6" t="s">
        <v>302</v>
      </c>
      <c r="B79" s="91" t="n">
        <v>0.21</v>
      </c>
      <c r="C79" s="91" t="n">
        <v>0.21</v>
      </c>
      <c r="D79" s="91" t="n">
        <v>0.21</v>
      </c>
      <c r="E79" s="92" t="n">
        <f aca="false">CHOOSE(Dashboard!$B$4,B79,C79,D79)</f>
        <v>0.21</v>
      </c>
      <c r="F79" s="38" t="s">
        <v>236</v>
      </c>
      <c r="G79" s="88"/>
    </row>
    <row r="81" customFormat="false" ht="15.75" hidden="false" customHeight="true" outlineLevel="0" collapsed="false">
      <c r="A81" s="7" t="s">
        <v>303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109</v>
      </c>
      <c r="B82" s="95" t="n">
        <v>281000</v>
      </c>
      <c r="C82" s="95" t="n">
        <v>281000</v>
      </c>
      <c r="D82" s="95" t="n">
        <v>281000</v>
      </c>
      <c r="E82" s="96" t="n">
        <f aca="false">CHOOSE(Dashboard!$B$4,B82,C82,D82)</f>
        <v>281000</v>
      </c>
      <c r="F82" s="38" t="s">
        <v>254</v>
      </c>
      <c r="G82" s="88" t="s">
        <v>304</v>
      </c>
    </row>
    <row r="84" customFormat="false" ht="15.75" hidden="false" customHeight="true" outlineLevel="0" collapsed="false">
      <c r="A84" s="7" t="s">
        <v>305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136</v>
      </c>
      <c r="B85" s="91" t="n">
        <v>0.3</v>
      </c>
      <c r="C85" s="91" t="n">
        <v>0.25</v>
      </c>
      <c r="D85" s="91" t="n">
        <v>0.2</v>
      </c>
      <c r="E85" s="92" t="n">
        <f aca="false">CHOOSE(Dashboard!$B$4,B85,C85,D85)</f>
        <v>0.25</v>
      </c>
      <c r="F85" s="38" t="s">
        <v>236</v>
      </c>
      <c r="G85" s="88" t="s">
        <v>234</v>
      </c>
    </row>
    <row r="86" customFormat="false" ht="15" hidden="false" customHeight="false" outlineLevel="0" collapsed="false">
      <c r="A86" s="6" t="s">
        <v>306</v>
      </c>
      <c r="B86" s="91" t="n">
        <v>0.01</v>
      </c>
      <c r="C86" s="91" t="n">
        <v>0.02</v>
      </c>
      <c r="D86" s="91" t="n">
        <v>0.03</v>
      </c>
      <c r="E86" s="92" t="n">
        <f aca="false">CHOOSE(Dashboard!$B$4,B86,C86,D86)</f>
        <v>0.02</v>
      </c>
      <c r="F86" s="38" t="s">
        <v>236</v>
      </c>
      <c r="G86" s="88" t="s">
        <v>229</v>
      </c>
    </row>
    <row r="87" customFormat="false" ht="15" hidden="false" customHeight="false" outlineLevel="0" collapsed="false">
      <c r="A87" s="6" t="s">
        <v>138</v>
      </c>
      <c r="B87" s="97" t="n">
        <v>3</v>
      </c>
      <c r="C87" s="97" t="n">
        <v>4</v>
      </c>
      <c r="D87" s="97" t="n">
        <v>5</v>
      </c>
      <c r="E87" s="98" t="n">
        <f aca="false">CHOOSE(Dashboard!$B$4,B87,C87,D87)</f>
        <v>4</v>
      </c>
      <c r="F87" s="38" t="s">
        <v>307</v>
      </c>
      <c r="G87" s="88" t="s">
        <v>229</v>
      </c>
    </row>
    <row r="88" customFormat="false" ht="15" hidden="false" customHeight="false" outlineLevel="0" collapsed="false">
      <c r="A88" s="6" t="s">
        <v>308</v>
      </c>
      <c r="B88" s="91" t="n">
        <v>0.01</v>
      </c>
      <c r="C88" s="91" t="n">
        <v>0.01</v>
      </c>
      <c r="D88" s="91" t="n">
        <v>0.01</v>
      </c>
      <c r="E88" s="92" t="n">
        <f aca="false">CHOOSE(Dashboard!$B$4,B88,C88,D88)</f>
        <v>0.01</v>
      </c>
      <c r="F88" s="38" t="s">
        <v>236</v>
      </c>
      <c r="G88" s="88"/>
    </row>
    <row r="89" customFormat="false" ht="15" hidden="false" customHeight="false" outlineLevel="0" collapsed="false">
      <c r="A89" s="6" t="s">
        <v>309</v>
      </c>
      <c r="B89" s="91" t="n">
        <v>0.005</v>
      </c>
      <c r="C89" s="91" t="n">
        <v>0.005</v>
      </c>
      <c r="D89" s="91" t="n">
        <v>0.005</v>
      </c>
      <c r="E89" s="92" t="n">
        <f aca="false">CHOOSE(Dashboard!$B$4,B89,C89,D89)</f>
        <v>0.005</v>
      </c>
      <c r="F89" s="38" t="s">
        <v>236</v>
      </c>
      <c r="G89" s="88"/>
    </row>
    <row r="91" customFormat="false" ht="15" hidden="false" customHeight="false" outlineLevel="0" collapsed="false">
      <c r="A91" s="21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311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4" t="s">
        <v>42</v>
      </c>
      <c r="B5" s="60" t="n">
        <f aca="false">SUMIF(Monthly!$C$5:$BJ$5,B$3,Monthly!$C$37:$BJ$37)</f>
        <v>1180182.39164623</v>
      </c>
      <c r="C5" s="60" t="n">
        <f aca="false">SUMIF(Monthly!$C$5:$BJ$5,C$3,Monthly!$C$37:$BJ$37)</f>
        <v>1805881.4666632</v>
      </c>
      <c r="D5" s="60" t="n">
        <f aca="false">SUMIF(Monthly!$C$5:$BJ$5,D$3,Monthly!$C$37:$BJ$37)</f>
        <v>2080276.59708741</v>
      </c>
      <c r="E5" s="60" t="n">
        <f aca="false">SUMIF(Monthly!$C$5:$BJ$5,E$3,Monthly!$C$37:$BJ$37)</f>
        <v>2282431.11225691</v>
      </c>
      <c r="F5" s="60" t="n">
        <f aca="false">SUMIF(Monthly!$C$5:$BJ$5,F$3,Monthly!$C$37:$BJ$37)</f>
        <v>2440877.21952545</v>
      </c>
    </row>
    <row r="6" customFormat="false" ht="15" hidden="false" customHeight="false" outlineLevel="0" collapsed="false">
      <c r="A6" s="6" t="s">
        <v>74</v>
      </c>
      <c r="B6" s="53" t="n">
        <f aca="false">SUMIF(Monthly!$C$5:$BJ$5,B$3,Monthly!$C$45:$BJ$45)</f>
        <v>-180421.598916524</v>
      </c>
      <c r="C6" s="53" t="n">
        <f aca="false">SUMIF(Monthly!$C$5:$BJ$5,C$3,Monthly!$C$45:$BJ$45)</f>
        <v>-288679.05820146</v>
      </c>
      <c r="D6" s="53" t="n">
        <f aca="false">SUMIF(Monthly!$C$5:$BJ$5,D$3,Monthly!$C$45:$BJ$45)</f>
        <v>-343422.649355316</v>
      </c>
      <c r="E6" s="53" t="n">
        <f aca="false">SUMIF(Monthly!$C$5:$BJ$5,E$3,Monthly!$C$45:$BJ$45)</f>
        <v>-384784.481676009</v>
      </c>
      <c r="F6" s="53" t="n">
        <f aca="false">SUMIF(Monthly!$C$5:$BJ$5,F$3,Monthly!$C$45:$BJ$45)</f>
        <v>-418095.189492422</v>
      </c>
    </row>
    <row r="7" customFormat="false" ht="15" hidden="false" customHeight="false" outlineLevel="0" collapsed="false">
      <c r="A7" s="99" t="s">
        <v>43</v>
      </c>
      <c r="B7" s="54" t="n">
        <f aca="false">SUMIF(Monthly!$C$5:$BJ$5,B$3,Monthly!$C$46:$BJ$46)</f>
        <v>999760.792729705</v>
      </c>
      <c r="C7" s="54" t="n">
        <f aca="false">SUMIF(Monthly!$C$5:$BJ$5,C$3,Monthly!$C$46:$BJ$46)</f>
        <v>1517202.40846174</v>
      </c>
      <c r="D7" s="54" t="n">
        <f aca="false">SUMIF(Monthly!$C$5:$BJ$5,D$3,Monthly!$C$46:$BJ$46)</f>
        <v>1736853.94773209</v>
      </c>
      <c r="E7" s="54" t="n">
        <f aca="false">SUMIF(Monthly!$C$5:$BJ$5,E$3,Monthly!$C$46:$BJ$46)</f>
        <v>1897646.63058091</v>
      </c>
      <c r="F7" s="54" t="n">
        <f aca="false">SUMIF(Monthly!$C$5:$BJ$5,F$3,Monthly!$C$46:$BJ$46)</f>
        <v>2022782.03003303</v>
      </c>
    </row>
    <row r="8" customFormat="false" ht="15" hidden="false" customHeight="false" outlineLevel="0" collapsed="false">
      <c r="A8" s="38" t="s">
        <v>44</v>
      </c>
      <c r="B8" s="61" t="n">
        <f aca="false">IF(B5=0,0,B7/B5)</f>
        <v>0.847123969825669</v>
      </c>
      <c r="C8" s="61" t="n">
        <f aca="false">IF(C5=0,0,C7/C5)</f>
        <v>0.840145068471817</v>
      </c>
      <c r="D8" s="61" t="n">
        <f aca="false">IF(D5=0,0,D7/D5)</f>
        <v>0.83491490995181</v>
      </c>
      <c r="E8" s="61" t="n">
        <f aca="false">IF(E5=0,0,E7/E5)</f>
        <v>0.831414635206437</v>
      </c>
      <c r="F8" s="61" t="n">
        <f aca="false">IF(F5=0,0,F7/F5)</f>
        <v>0.828711093639644</v>
      </c>
    </row>
    <row r="9" customFormat="false" ht="15" hidden="false" customHeight="false" outlineLevel="0" collapsed="false">
      <c r="A9" s="6" t="s">
        <v>312</v>
      </c>
      <c r="B9" s="53" t="n">
        <f aca="false">SUMIF(Monthly!$C$5:$BJ$5,B$3,Monthly!$C$49:$BJ$49)</f>
        <v>-439040</v>
      </c>
      <c r="C9" s="53" t="n">
        <f aca="false">SUMIF(Monthly!$C$5:$BJ$5,C$3,Monthly!$C$49:$BJ$49)</f>
        <v>-452211.2</v>
      </c>
      <c r="D9" s="53" t="n">
        <f aca="false">SUMIF(Monthly!$C$5:$BJ$5,D$3,Monthly!$C$49:$BJ$49)</f>
        <v>-465777.536</v>
      </c>
      <c r="E9" s="53" t="n">
        <f aca="false">SUMIF(Monthly!$C$5:$BJ$5,E$3,Monthly!$C$49:$BJ$49)</f>
        <v>-479750.86208</v>
      </c>
      <c r="F9" s="53" t="n">
        <f aca="false">SUMIF(Monthly!$C$5:$BJ$5,F$3,Monthly!$C$49:$BJ$49)</f>
        <v>-494143.3879424</v>
      </c>
    </row>
    <row r="10" customFormat="false" ht="15" hidden="false" customHeight="false" outlineLevel="0" collapsed="false">
      <c r="A10" s="6" t="s">
        <v>313</v>
      </c>
      <c r="B10" s="53" t="n">
        <f aca="false">SUMIF(Monthly!$C$5:$BJ$5,B$3,Monthly!$C$50:$BJ$50)</f>
        <v>-360000</v>
      </c>
      <c r="C10" s="53" t="n">
        <f aca="false">SUMIF(Monthly!$C$5:$BJ$5,C$3,Monthly!$C$50:$BJ$50)</f>
        <v>-370800</v>
      </c>
      <c r="D10" s="53" t="n">
        <f aca="false">SUMIF(Monthly!$C$5:$BJ$5,D$3,Monthly!$C$50:$BJ$50)</f>
        <v>-381924</v>
      </c>
      <c r="E10" s="53" t="n">
        <f aca="false">SUMIF(Monthly!$C$5:$BJ$5,E$3,Monthly!$C$50:$BJ$50)</f>
        <v>-393381.72</v>
      </c>
      <c r="F10" s="53" t="n">
        <f aca="false">SUMIF(Monthly!$C$5:$BJ$5,F$3,Monthly!$C$50:$BJ$50)</f>
        <v>-405183.1716</v>
      </c>
    </row>
    <row r="11" customFormat="false" ht="15" hidden="false" customHeight="false" outlineLevel="0" collapsed="false">
      <c r="A11" s="6" t="s">
        <v>314</v>
      </c>
      <c r="B11" s="53" t="n">
        <f aca="false">SUMIF(Monthly!$C$5:$BJ$5,B$3,Monthly!$C$51:$BJ$51)</f>
        <v>-66000</v>
      </c>
      <c r="C11" s="53" t="n">
        <f aca="false">SUMIF(Monthly!$C$5:$BJ$5,C$3,Monthly!$C$51:$BJ$51)</f>
        <v>-67980</v>
      </c>
      <c r="D11" s="53" t="n">
        <f aca="false">SUMIF(Monthly!$C$5:$BJ$5,D$3,Monthly!$C$51:$BJ$51)</f>
        <v>-70019.4</v>
      </c>
      <c r="E11" s="53" t="n">
        <f aca="false">SUMIF(Monthly!$C$5:$BJ$5,E$3,Monthly!$C$51:$BJ$51)</f>
        <v>-72119.982</v>
      </c>
      <c r="F11" s="53" t="n">
        <f aca="false">SUMIF(Monthly!$C$5:$BJ$5,F$3,Monthly!$C$51:$BJ$51)</f>
        <v>-74283.58146</v>
      </c>
    </row>
    <row r="12" customFormat="false" ht="15" hidden="false" customHeight="false" outlineLevel="0" collapsed="false">
      <c r="A12" s="6" t="s">
        <v>315</v>
      </c>
      <c r="B12" s="53" t="n">
        <f aca="false">SUMIF(Monthly!$C$5:$BJ$5,B$3,Monthly!$C$52:$BJ$52)</f>
        <v>-114000</v>
      </c>
      <c r="C12" s="53" t="n">
        <f aca="false">SUMIF(Monthly!$C$5:$BJ$5,C$3,Monthly!$C$52:$BJ$52)</f>
        <v>-117420</v>
      </c>
      <c r="D12" s="53" t="n">
        <f aca="false">SUMIF(Monthly!$C$5:$BJ$5,D$3,Monthly!$C$52:$BJ$52)</f>
        <v>-120942.6</v>
      </c>
      <c r="E12" s="53" t="n">
        <f aca="false">SUMIF(Monthly!$C$5:$BJ$5,E$3,Monthly!$C$52:$BJ$52)</f>
        <v>-124570.878</v>
      </c>
      <c r="F12" s="53" t="n">
        <f aca="false">SUMIF(Monthly!$C$5:$BJ$5,F$3,Monthly!$C$52:$BJ$52)</f>
        <v>-128308.00434</v>
      </c>
    </row>
    <row r="13" customFormat="false" ht="15" hidden="false" customHeight="false" outlineLevel="0" collapsed="false">
      <c r="A13" s="6" t="s">
        <v>316</v>
      </c>
      <c r="B13" s="53" t="n">
        <f aca="false">SUMIF(Monthly!$C$5:$BJ$5,B$3,Monthly!$C$53:$BJ$53)</f>
        <v>-144000</v>
      </c>
      <c r="C13" s="53" t="n">
        <f aca="false">SUMIF(Monthly!$C$5:$BJ$5,C$3,Monthly!$C$53:$BJ$53)</f>
        <v>-115200</v>
      </c>
      <c r="D13" s="53" t="n">
        <f aca="false">SUMIF(Monthly!$C$5:$BJ$5,D$3,Monthly!$C$53:$BJ$53)</f>
        <v>-92160</v>
      </c>
      <c r="E13" s="53" t="n">
        <f aca="false">SUMIF(Monthly!$C$5:$BJ$5,E$3,Monthly!$C$53:$BJ$53)</f>
        <v>-73728</v>
      </c>
      <c r="F13" s="53" t="n">
        <f aca="false">SUMIF(Monthly!$C$5:$BJ$5,F$3,Monthly!$C$53:$BJ$53)</f>
        <v>-58982.4</v>
      </c>
    </row>
    <row r="14" customFormat="false" ht="15" hidden="false" customHeight="false" outlineLevel="0" collapsed="false">
      <c r="A14" s="99" t="s">
        <v>75</v>
      </c>
      <c r="B14" s="54" t="n">
        <f aca="false">SUMIF(Monthly!$C$5:$BJ$5,B$3,Monthly!$C$54:$BJ$54)</f>
        <v>-1123040</v>
      </c>
      <c r="C14" s="54" t="n">
        <f aca="false">SUMIF(Monthly!$C$5:$BJ$5,C$3,Monthly!$C$54:$BJ$54)</f>
        <v>-1123611.2</v>
      </c>
      <c r="D14" s="54" t="n">
        <f aca="false">SUMIF(Monthly!$C$5:$BJ$5,D$3,Monthly!$C$54:$BJ$54)</f>
        <v>-1130823.536</v>
      </c>
      <c r="E14" s="54" t="n">
        <f aca="false">SUMIF(Monthly!$C$5:$BJ$5,E$3,Monthly!$C$54:$BJ$54)</f>
        <v>-1143551.44208</v>
      </c>
      <c r="F14" s="54" t="n">
        <f aca="false">SUMIF(Monthly!$C$5:$BJ$5,F$3,Monthly!$C$54:$BJ$54)</f>
        <v>-1160900.5453424</v>
      </c>
    </row>
    <row r="15" customFormat="false" ht="15" hidden="false" customHeight="false" outlineLevel="0" collapsed="false">
      <c r="A15" s="99" t="s">
        <v>46</v>
      </c>
      <c r="B15" s="54" t="n">
        <f aca="false">SUMIF(Monthly!$C$5:$BJ$5,B$3,Monthly!$C$55:$BJ$55)</f>
        <v>-123279.207270295</v>
      </c>
      <c r="C15" s="54" t="n">
        <f aca="false">SUMIF(Monthly!$C$5:$BJ$5,C$3,Monthly!$C$55:$BJ$55)</f>
        <v>393591.208461737</v>
      </c>
      <c r="D15" s="54" t="n">
        <f aca="false">SUMIF(Monthly!$C$5:$BJ$5,D$3,Monthly!$C$55:$BJ$55)</f>
        <v>606030.411732089</v>
      </c>
      <c r="E15" s="54" t="n">
        <f aca="false">SUMIF(Monthly!$C$5:$BJ$5,E$3,Monthly!$C$55:$BJ$55)</f>
        <v>754095.188500905</v>
      </c>
      <c r="F15" s="54" t="n">
        <f aca="false">SUMIF(Monthly!$C$5:$BJ$5,F$3,Monthly!$C$55:$BJ$55)</f>
        <v>861881.484690629</v>
      </c>
    </row>
    <row r="16" customFormat="false" ht="15" hidden="false" customHeight="false" outlineLevel="0" collapsed="false">
      <c r="A16" s="38" t="s">
        <v>47</v>
      </c>
      <c r="B16" s="61" t="n">
        <f aca="false">IF(B5=0,0,B15/B5)</f>
        <v>-0.104457758515049</v>
      </c>
      <c r="C16" s="61" t="n">
        <f aca="false">IF(C5=0,0,C15/C5)</f>
        <v>0.217949636079378</v>
      </c>
      <c r="D16" s="61" t="n">
        <f aca="false">IF(D5=0,0,D15/D5)</f>
        <v>0.291322035050816</v>
      </c>
      <c r="E16" s="61" t="n">
        <f aca="false">IF(E5=0,0,E15/E5)</f>
        <v>0.330391215073843</v>
      </c>
      <c r="F16" s="61" t="n">
        <f aca="false">IF(F5=0,0,F15/F5)</f>
        <v>0.353103170366838</v>
      </c>
    </row>
    <row r="17" customFormat="false" ht="15" hidden="false" customHeight="false" outlineLevel="0" collapsed="false">
      <c r="A17" s="6" t="s">
        <v>76</v>
      </c>
      <c r="B17" s="53" t="n">
        <f aca="false">SUMIF(Monthly!$C$5:$BJ$5,B$3,Monthly!$C$73:$BJ$73)</f>
        <v>-341666.666666667</v>
      </c>
      <c r="C17" s="53" t="n">
        <f aca="false">SUMIF(Monthly!$C$5:$BJ$5,C$3,Monthly!$C$73:$BJ$73)</f>
        <v>-345000</v>
      </c>
      <c r="D17" s="53" t="n">
        <f aca="false">SUMIF(Monthly!$C$5:$BJ$5,D$3,Monthly!$C$73:$BJ$73)</f>
        <v>-348333.333333333</v>
      </c>
      <c r="E17" s="53" t="n">
        <f aca="false">SUMIF(Monthly!$C$5:$BJ$5,E$3,Monthly!$C$73:$BJ$73)</f>
        <v>-351666.666666667</v>
      </c>
      <c r="F17" s="53" t="n">
        <f aca="false">SUMIF(Monthly!$C$5:$BJ$5,F$3,Monthly!$C$73:$BJ$73)</f>
        <v>-355000</v>
      </c>
    </row>
    <row r="18" customFormat="false" ht="15" hidden="false" customHeight="false" outlineLevel="0" collapsed="false">
      <c r="A18" s="4" t="s">
        <v>77</v>
      </c>
      <c r="B18" s="60" t="n">
        <f aca="false">SUMIF(Monthly!$C$5:$BJ$5,B$3,Monthly!$C$58:$BJ$58)</f>
        <v>-464945.873936961</v>
      </c>
      <c r="C18" s="60" t="n">
        <f aca="false">SUMIF(Monthly!$C$5:$BJ$5,C$3,Monthly!$C$58:$BJ$58)</f>
        <v>48591.2084617368</v>
      </c>
      <c r="D18" s="60" t="n">
        <f aca="false">SUMIF(Monthly!$C$5:$BJ$5,D$3,Monthly!$C$58:$BJ$58)</f>
        <v>257697.078398756</v>
      </c>
      <c r="E18" s="60" t="n">
        <f aca="false">SUMIF(Monthly!$C$5:$BJ$5,E$3,Monthly!$C$58:$BJ$58)</f>
        <v>402428.521834239</v>
      </c>
      <c r="F18" s="60" t="n">
        <f aca="false">SUMIF(Monthly!$C$5:$BJ$5,F$3,Monthly!$C$58:$BJ$58)</f>
        <v>506881.484690629</v>
      </c>
    </row>
    <row r="19" customFormat="false" ht="15" hidden="false" customHeight="false" outlineLevel="0" collapsed="false">
      <c r="A19" s="6" t="s">
        <v>78</v>
      </c>
      <c r="B19" s="53" t="n">
        <f aca="false">SUMIF(Monthly!$C$5:$BJ$5,B$3,Monthly!$C$59:$BJ$59)</f>
        <v>-244286.458333333</v>
      </c>
      <c r="C19" s="53" t="n">
        <f aca="false">SUMIF(Monthly!$C$5:$BJ$5,C$3,Monthly!$C$59:$BJ$59)</f>
        <v>-218875</v>
      </c>
      <c r="D19" s="53" t="n">
        <f aca="false">SUMIF(Monthly!$C$5:$BJ$5,D$3,Monthly!$C$59:$BJ$59)</f>
        <v>-193375</v>
      </c>
      <c r="E19" s="53" t="n">
        <f aca="false">SUMIF(Monthly!$C$5:$BJ$5,E$3,Monthly!$C$59:$BJ$59)</f>
        <v>-167875</v>
      </c>
      <c r="F19" s="53" t="n">
        <f aca="false">SUMIF(Monthly!$C$5:$BJ$5,F$3,Monthly!$C$59:$BJ$59)</f>
        <v>-142375</v>
      </c>
    </row>
    <row r="20" customFormat="false" ht="15" hidden="false" customHeight="false" outlineLevel="0" collapsed="false">
      <c r="A20" s="100" t="s">
        <v>79</v>
      </c>
      <c r="B20" s="101" t="n">
        <f aca="false">SUMIF(Monthly!$C$5:$BJ$5,B$3,Monthly!$C$60:$BJ$60)</f>
        <v>-709232.332270295</v>
      </c>
      <c r="C20" s="101" t="n">
        <f aca="false">SUMIF(Monthly!$C$5:$BJ$5,C$3,Monthly!$C$60:$BJ$60)</f>
        <v>-170283.791538263</v>
      </c>
      <c r="D20" s="101" t="n">
        <f aca="false">SUMIF(Monthly!$C$5:$BJ$5,D$3,Monthly!$C$60:$BJ$60)</f>
        <v>64322.0783987556</v>
      </c>
      <c r="E20" s="101" t="n">
        <f aca="false">SUMIF(Monthly!$C$5:$BJ$5,E$3,Monthly!$C$60:$BJ$60)</f>
        <v>234553.521834239</v>
      </c>
      <c r="F20" s="101" t="n">
        <f aca="false">SUMIF(Monthly!$C$5:$BJ$5,F$3,Monthly!$C$60:$BJ$60)</f>
        <v>364506.484690629</v>
      </c>
    </row>
    <row r="21" customFormat="false" ht="15" hidden="false" customHeight="false" outlineLevel="0" collapsed="false">
      <c r="A21" s="6" t="s">
        <v>80</v>
      </c>
      <c r="B21" s="53" t="n">
        <f aca="false">SUMIF(Monthly!$C$5:$BJ$5,B$3,Monthly!$C$63:$BJ$63)</f>
        <v>0</v>
      </c>
      <c r="C21" s="53" t="n">
        <f aca="false">SUMIF(Monthly!$C$5:$BJ$5,C$3,Monthly!$C$63:$BJ$63)</f>
        <v>0</v>
      </c>
      <c r="D21" s="53" t="n">
        <f aca="false">SUMIF(Monthly!$C$5:$BJ$5,D$3,Monthly!$C$63:$BJ$63)</f>
        <v>0</v>
      </c>
      <c r="E21" s="53" t="n">
        <f aca="false">SUMIF(Monthly!$C$5:$BJ$5,E$3,Monthly!$C$63:$BJ$63)</f>
        <v>0</v>
      </c>
      <c r="F21" s="53" t="n">
        <f aca="false">SUMIF(Monthly!$C$5:$BJ$5,F$3,Monthly!$C$63:$BJ$63)</f>
        <v>0</v>
      </c>
    </row>
    <row r="22" customFormat="false" ht="15" hidden="false" customHeight="false" outlineLevel="0" collapsed="false">
      <c r="A22" s="56" t="s">
        <v>48</v>
      </c>
      <c r="B22" s="57" t="n">
        <f aca="false">SUMIF(Monthly!$C$5:$BJ$5,B$3,Monthly!$C$64:$BJ$64)</f>
        <v>-709232.332270295</v>
      </c>
      <c r="C22" s="57" t="n">
        <f aca="false">SUMIF(Monthly!$C$5:$BJ$5,C$3,Monthly!$C$64:$BJ$64)</f>
        <v>-170283.791538263</v>
      </c>
      <c r="D22" s="57" t="n">
        <f aca="false">SUMIF(Monthly!$C$5:$BJ$5,D$3,Monthly!$C$64:$BJ$64)</f>
        <v>64322.0783987556</v>
      </c>
      <c r="E22" s="57" t="n">
        <f aca="false">SUMIF(Monthly!$C$5:$BJ$5,E$3,Monthly!$C$64:$BJ$64)</f>
        <v>234553.521834239</v>
      </c>
      <c r="F22" s="57" t="n">
        <f aca="false">SUMIF(Monthly!$C$5:$BJ$5,F$3,Monthly!$C$64:$BJ$64)</f>
        <v>364506.484690629</v>
      </c>
    </row>
    <row r="23" customFormat="false" ht="15" hidden="false" customHeight="false" outlineLevel="0" collapsed="false">
      <c r="A23" s="38" t="s">
        <v>49</v>
      </c>
      <c r="B23" s="61" t="n">
        <f aca="false">IF(B5=0,0,B22/B5)</f>
        <v>-0.600951460800047</v>
      </c>
      <c r="C23" s="61" t="n">
        <f aca="false">IF(C5=0,0,C22/C5)</f>
        <v>-0.0942940025033336</v>
      </c>
      <c r="D23" s="61" t="n">
        <f aca="false">IF(D5=0,0,D22/D5)</f>
        <v>0.0309199644358894</v>
      </c>
      <c r="E23" s="61" t="n">
        <f aca="false">IF(E5=0,0,E22/E5)</f>
        <v>0.102764775933284</v>
      </c>
      <c r="F23" s="61" t="n">
        <f aca="false">IF(F5=0,0,F22/F5)</f>
        <v>0.149334215492205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311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6" t="s">
        <v>48</v>
      </c>
      <c r="B5" s="53" t="n">
        <f aca="false">SUMIF(Monthly!$C$5:$BJ$5,B$3,Monthly!$C$64:$BJ$64)</f>
        <v>-709232.332270295</v>
      </c>
      <c r="C5" s="53" t="n">
        <f aca="false">SUMIF(Monthly!$C$5:$BJ$5,C$3,Monthly!$C$64:$BJ$64)</f>
        <v>-170283.791538263</v>
      </c>
      <c r="D5" s="53" t="n">
        <f aca="false">SUMIF(Monthly!$C$5:$BJ$5,D$3,Monthly!$C$64:$BJ$64)</f>
        <v>64322.0783987556</v>
      </c>
      <c r="E5" s="53" t="n">
        <f aca="false">SUMIF(Monthly!$C$5:$BJ$5,E$3,Monthly!$C$64:$BJ$64)</f>
        <v>234553.521834239</v>
      </c>
      <c r="F5" s="53" t="n">
        <f aca="false">SUMIF(Monthly!$C$5:$BJ$5,F$3,Monthly!$C$64:$BJ$64)</f>
        <v>364506.484690629</v>
      </c>
    </row>
    <row r="6" customFormat="false" ht="15" hidden="false" customHeight="false" outlineLevel="0" collapsed="false">
      <c r="A6" s="6" t="s">
        <v>317</v>
      </c>
      <c r="B6" s="53" t="n">
        <f aca="false">-SUMIF(Monthly!$C$5:$BJ$5,B$3,Monthly!$C$73:$BJ$73)</f>
        <v>341666.666666667</v>
      </c>
      <c r="C6" s="53" t="n">
        <f aca="false">-SUMIF(Monthly!$C$5:$BJ$5,C$3,Monthly!$C$73:$BJ$73)</f>
        <v>345000</v>
      </c>
      <c r="D6" s="53" t="n">
        <f aca="false">-SUMIF(Monthly!$C$5:$BJ$5,D$3,Monthly!$C$73:$BJ$73)</f>
        <v>348333.333333333</v>
      </c>
      <c r="E6" s="53" t="n">
        <f aca="false">-SUMIF(Monthly!$C$5:$BJ$5,E$3,Monthly!$C$73:$BJ$73)</f>
        <v>351666.666666667</v>
      </c>
      <c r="F6" s="53" t="n">
        <f aca="false">-SUMIF(Monthly!$C$5:$BJ$5,F$3,Monthly!$C$73:$BJ$73)</f>
        <v>355000</v>
      </c>
    </row>
    <row r="7" customFormat="false" ht="15" hidden="false" customHeight="false" outlineLevel="0" collapsed="false">
      <c r="A7" s="6" t="s">
        <v>318</v>
      </c>
      <c r="B7" s="53" t="n">
        <f aca="false">SUMIF(Monthly!$C$5:$BJ$5,B$3,Monthly!$C$87:$BJ$87)</f>
        <v>-7915.98187505677</v>
      </c>
      <c r="C7" s="53" t="n">
        <f aca="false">SUMIF(Monthly!$C$5:$BJ$5,C$3,Monthly!$C$87:$BJ$87)</f>
        <v>-1788.51827177003</v>
      </c>
      <c r="D7" s="53" t="n">
        <f aca="false">SUMIF(Monthly!$C$5:$BJ$5,D$3,Monthly!$C$87:$BJ$87)</f>
        <v>-1274.50824054096</v>
      </c>
      <c r="E7" s="53" t="n">
        <f aca="false">SUMIF(Monthly!$C$5:$BJ$5,E$3,Monthly!$C$87:$BJ$87)</f>
        <v>-960.779278420856</v>
      </c>
      <c r="F7" s="53" t="n">
        <f aca="false">SUMIF(Monthly!$C$5:$BJ$5,F$3,Monthly!$C$87:$BJ$87)</f>
        <v>-772.679480425597</v>
      </c>
    </row>
    <row r="8" customFormat="false" ht="15" hidden="false" customHeight="false" outlineLevel="0" collapsed="false">
      <c r="A8" s="6" t="s">
        <v>319</v>
      </c>
      <c r="B8" s="53" t="n">
        <f aca="false">SUMIF(Monthly!$C$5:$BJ$5,B$3,Monthly!$C$88:$BJ$88)</f>
        <v>-8885.78253780614</v>
      </c>
      <c r="C8" s="53" t="n">
        <f aca="false">SUMIF(Monthly!$C$5:$BJ$5,C$3,Monthly!$C$88:$BJ$88)</f>
        <v>-2326.14501404709</v>
      </c>
      <c r="D8" s="53" t="n">
        <f aca="false">SUMIF(Monthly!$C$5:$BJ$5,D$3,Monthly!$C$88:$BJ$88)</f>
        <v>-1702.42783684768</v>
      </c>
      <c r="E8" s="53" t="n">
        <f aca="false">SUMIF(Monthly!$C$5:$BJ$5,E$3,Monthly!$C$88:$BJ$88)</f>
        <v>-1322.57192939835</v>
      </c>
      <c r="F8" s="53" t="n">
        <f aca="false">SUMIF(Monthly!$C$5:$BJ$5,F$3,Monthly!$C$88:$BJ$88)</f>
        <v>-1097.21685960324</v>
      </c>
    </row>
    <row r="9" customFormat="false" ht="15" hidden="false" customHeight="false" outlineLevel="0" collapsed="false">
      <c r="A9" s="6" t="s">
        <v>320</v>
      </c>
      <c r="B9" s="53" t="n">
        <f aca="false">SUMIF(Monthly!$C$5:$BJ$5,B$3,Monthly!$C$89:$BJ$89)</f>
        <v>14809.6375630102</v>
      </c>
      <c r="C9" s="53" t="n">
        <f aca="false">SUMIF(Monthly!$C$5:$BJ$5,C$3,Monthly!$C$89:$BJ$89)</f>
        <v>3876.90835674514</v>
      </c>
      <c r="D9" s="53" t="n">
        <f aca="false">SUMIF(Monthly!$C$5:$BJ$5,D$3,Monthly!$C$89:$BJ$89)</f>
        <v>2837.37972807948</v>
      </c>
      <c r="E9" s="53" t="n">
        <f aca="false">SUMIF(Monthly!$C$5:$BJ$5,E$3,Monthly!$C$89:$BJ$89)</f>
        <v>2204.28654899725</v>
      </c>
      <c r="F9" s="53" t="n">
        <f aca="false">SUMIF(Monthly!$C$5:$BJ$5,F$3,Monthly!$C$89:$BJ$89)</f>
        <v>1828.6947660054</v>
      </c>
    </row>
    <row r="10" customFormat="false" ht="15" hidden="false" customHeight="false" outlineLevel="0" collapsed="false">
      <c r="A10" s="99" t="s">
        <v>50</v>
      </c>
      <c r="B10" s="54" t="n">
        <f aca="false">SUMIF(Monthly!$C$5:$BJ$5,B$3,Monthly!$C$92:$BJ$92)</f>
        <v>-369557.792453481</v>
      </c>
      <c r="C10" s="54" t="n">
        <f aca="false">SUMIF(Monthly!$C$5:$BJ$5,C$3,Monthly!$C$92:$BJ$92)</f>
        <v>174478.453532665</v>
      </c>
      <c r="D10" s="54" t="n">
        <f aca="false">SUMIF(Monthly!$C$5:$BJ$5,D$3,Monthly!$C$92:$BJ$92)</f>
        <v>412515.85538278</v>
      </c>
      <c r="E10" s="54" t="n">
        <f aca="false">SUMIF(Monthly!$C$5:$BJ$5,E$3,Monthly!$C$92:$BJ$92)</f>
        <v>586141.123842083</v>
      </c>
      <c r="F10" s="54" t="n">
        <f aca="false">SUMIF(Monthly!$C$5:$BJ$5,F$3,Monthly!$C$92:$BJ$92)</f>
        <v>719465.283116606</v>
      </c>
    </row>
    <row r="11" customFormat="false" ht="15" hidden="false" customHeight="false" outlineLevel="0" collapsed="false">
      <c r="A11" s="6" t="s">
        <v>82</v>
      </c>
      <c r="B11" s="53" t="n">
        <f aca="false">SUMIF(Monthly!$C$5:$BJ$5,B$3,Monthly!$C$93:$BJ$93)</f>
        <v>-4100000</v>
      </c>
      <c r="C11" s="53" t="n">
        <f aca="false">SUMIF(Monthly!$C$5:$BJ$5,C$3,Monthly!$C$93:$BJ$93)</f>
        <v>-40000</v>
      </c>
      <c r="D11" s="53" t="n">
        <f aca="false">SUMIF(Monthly!$C$5:$BJ$5,D$3,Monthly!$C$93:$BJ$93)</f>
        <v>-40000</v>
      </c>
      <c r="E11" s="53" t="n">
        <f aca="false">SUMIF(Monthly!$C$5:$BJ$5,E$3,Monthly!$C$93:$BJ$93)</f>
        <v>-40000</v>
      </c>
      <c r="F11" s="53" t="n">
        <f aca="false">SUMIF(Monthly!$C$5:$BJ$5,F$3,Monthly!$C$93:$BJ$93)</f>
        <v>-40000</v>
      </c>
    </row>
    <row r="12" customFormat="false" ht="15" hidden="false" customHeight="false" outlineLevel="0" collapsed="false">
      <c r="A12" s="6" t="s">
        <v>62</v>
      </c>
      <c r="B12" s="53" t="n">
        <f aca="false">SUMIF(Monthly!$C$5:$BJ$5,B$3,Monthly!$C$94:$BJ$94)</f>
        <v>2100000</v>
      </c>
      <c r="C12" s="53" t="n">
        <f aca="false">SUMIF(Monthly!$C$5:$BJ$5,C$3,Monthly!$C$94:$BJ$94)</f>
        <v>0</v>
      </c>
      <c r="D12" s="53" t="n">
        <f aca="false">SUMIF(Monthly!$C$5:$BJ$5,D$3,Monthly!$C$94:$BJ$94)</f>
        <v>0</v>
      </c>
      <c r="E12" s="53" t="n">
        <f aca="false">SUMIF(Monthly!$C$5:$BJ$5,E$3,Monthly!$C$94:$BJ$94)</f>
        <v>0</v>
      </c>
      <c r="F12" s="53" t="n">
        <f aca="false">SUMIF(Monthly!$C$5:$BJ$5,F$3,Monthly!$C$94:$BJ$94)</f>
        <v>0</v>
      </c>
    </row>
    <row r="13" customFormat="false" ht="15" hidden="false" customHeight="false" outlineLevel="0" collapsed="false">
      <c r="A13" s="6" t="s">
        <v>83</v>
      </c>
      <c r="B13" s="53" t="n">
        <f aca="false">SUMIF(Monthly!$C$5:$BJ$5,B$3,Monthly!$C$79:$BJ$79)</f>
        <v>3000000</v>
      </c>
      <c r="C13" s="53" t="n">
        <f aca="false">SUMIF(Monthly!$C$5:$BJ$5,C$3,Monthly!$C$79:$BJ$79)</f>
        <v>0</v>
      </c>
      <c r="D13" s="53" t="n">
        <f aca="false">SUMIF(Monthly!$C$5:$BJ$5,D$3,Monthly!$C$79:$BJ$79)</f>
        <v>0</v>
      </c>
      <c r="E13" s="53" t="n">
        <f aca="false">SUMIF(Monthly!$C$5:$BJ$5,E$3,Monthly!$C$79:$BJ$79)</f>
        <v>0</v>
      </c>
      <c r="F13" s="53" t="n">
        <f aca="false">SUMIF(Monthly!$C$5:$BJ$5,F$3,Monthly!$C$79:$BJ$79)</f>
        <v>0</v>
      </c>
    </row>
    <row r="14" customFormat="false" ht="15" hidden="false" customHeight="false" outlineLevel="0" collapsed="false">
      <c r="A14" s="6" t="s">
        <v>84</v>
      </c>
      <c r="B14" s="53" t="n">
        <f aca="false">SUMIF(Monthly!$C$5:$BJ$5,B$3,Monthly!$C$80:$BJ$80)</f>
        <v>-275000</v>
      </c>
      <c r="C14" s="53" t="n">
        <f aca="false">SUMIF(Monthly!$C$5:$BJ$5,C$3,Monthly!$C$80:$BJ$80)</f>
        <v>-300000</v>
      </c>
      <c r="D14" s="53" t="n">
        <f aca="false">SUMIF(Monthly!$C$5:$BJ$5,D$3,Monthly!$C$80:$BJ$80)</f>
        <v>-300000</v>
      </c>
      <c r="E14" s="53" t="n">
        <f aca="false">SUMIF(Monthly!$C$5:$BJ$5,E$3,Monthly!$C$80:$BJ$80)</f>
        <v>-300000</v>
      </c>
      <c r="F14" s="53" t="n">
        <f aca="false">SUMIF(Monthly!$C$5:$BJ$5,F$3,Monthly!$C$80:$BJ$80)</f>
        <v>-300000</v>
      </c>
    </row>
    <row r="15" customFormat="false" ht="15" hidden="false" customHeight="false" outlineLevel="0" collapsed="false">
      <c r="A15" s="99" t="s">
        <v>52</v>
      </c>
      <c r="B15" s="54" t="n">
        <f aca="false">SUMIF(Monthly!$C$5:$BJ$5,B$3,Monthly!$C$95:$BJ$95)</f>
        <v>4825000</v>
      </c>
      <c r="C15" s="54" t="n">
        <f aca="false">SUMIF(Monthly!$C$5:$BJ$5,C$3,Monthly!$C$95:$BJ$95)</f>
        <v>-300000</v>
      </c>
      <c r="D15" s="54" t="n">
        <f aca="false">SUMIF(Monthly!$C$5:$BJ$5,D$3,Monthly!$C$95:$BJ$95)</f>
        <v>-300000</v>
      </c>
      <c r="E15" s="54" t="n">
        <f aca="false">SUMIF(Monthly!$C$5:$BJ$5,E$3,Monthly!$C$95:$BJ$95)</f>
        <v>-300000</v>
      </c>
      <c r="F15" s="54" t="n">
        <f aca="false">SUMIF(Monthly!$C$5:$BJ$5,F$3,Monthly!$C$95:$BJ$95)</f>
        <v>-300000</v>
      </c>
    </row>
    <row r="16" customFormat="false" ht="15" hidden="false" customHeight="false" outlineLevel="0" collapsed="false">
      <c r="A16" s="4" t="s">
        <v>53</v>
      </c>
      <c r="B16" s="60" t="n">
        <f aca="false">SUMIF(Monthly!$C$5:$BJ$5,B$3,Monthly!$C$96:$BJ$96)</f>
        <v>355442.207546519</v>
      </c>
      <c r="C16" s="60" t="n">
        <f aca="false">SUMIF(Monthly!$C$5:$BJ$5,C$3,Monthly!$C$96:$BJ$96)</f>
        <v>-165521.546467335</v>
      </c>
      <c r="D16" s="60" t="n">
        <f aca="false">SUMIF(Monthly!$C$5:$BJ$5,D$3,Monthly!$C$96:$BJ$96)</f>
        <v>72515.8553827797</v>
      </c>
      <c r="E16" s="60" t="n">
        <f aca="false">SUMIF(Monthly!$C$5:$BJ$5,E$3,Monthly!$C$96:$BJ$96)</f>
        <v>246141.123842083</v>
      </c>
      <c r="F16" s="60" t="n">
        <f aca="false">SUMIF(Monthly!$C$5:$BJ$5,F$3,Monthly!$C$96:$BJ$96)</f>
        <v>379465.283116606</v>
      </c>
    </row>
    <row r="17" customFormat="false" ht="15" hidden="false" customHeight="false" outlineLevel="0" collapsed="false">
      <c r="A17" s="6" t="s">
        <v>321</v>
      </c>
      <c r="B17" s="53" t="n">
        <f aca="false">INDEX(Monthly!$C$97:$BJ$97,(B$3-1)*12+1)</f>
        <v>0</v>
      </c>
      <c r="C17" s="53" t="n">
        <f aca="false">INDEX(Monthly!$C$97:$BJ$97,(C$3-1)*12+1)</f>
        <v>355442.207546519</v>
      </c>
      <c r="D17" s="53" t="n">
        <f aca="false">INDEX(Monthly!$C$97:$BJ$97,(D$3-1)*12+1)</f>
        <v>189920.661079184</v>
      </c>
      <c r="E17" s="53" t="n">
        <f aca="false">INDEX(Monthly!$C$97:$BJ$97,(E$3-1)*12+1)</f>
        <v>262436.516461964</v>
      </c>
      <c r="F17" s="53" t="n">
        <f aca="false">INDEX(Monthly!$C$97:$BJ$97,(F$3-1)*12+1)</f>
        <v>508577.640304047</v>
      </c>
    </row>
    <row r="18" customFormat="false" ht="15" hidden="false" customHeight="false" outlineLevel="0" collapsed="false">
      <c r="A18" s="56" t="s">
        <v>85</v>
      </c>
      <c r="B18" s="57" t="n">
        <f aca="false">INDEX(Monthly!$C$98:$BJ$98,B$3*12)</f>
        <v>355442.207546519</v>
      </c>
      <c r="C18" s="57" t="n">
        <f aca="false">INDEX(Monthly!$C$98:$BJ$98,C$3*12)</f>
        <v>189920.661079184</v>
      </c>
      <c r="D18" s="57" t="n">
        <f aca="false">INDEX(Monthly!$C$98:$BJ$98,D$3*12)</f>
        <v>262436.516461964</v>
      </c>
      <c r="E18" s="57" t="n">
        <f aca="false">INDEX(Monthly!$C$98:$BJ$98,E$3*12)</f>
        <v>508577.640304047</v>
      </c>
      <c r="F18" s="57" t="n">
        <f aca="false">INDEX(Monthly!$C$98:$BJ$98,F$3*12)</f>
        <v>888042.923420652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311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6" t="s">
        <v>87</v>
      </c>
      <c r="B5" s="53" t="n">
        <f aca="false">INDEX(Monthly!$C$98:$BJ$98,B$3*12)</f>
        <v>355442.207546519</v>
      </c>
      <c r="C5" s="53" t="n">
        <f aca="false">INDEX(Monthly!$C$98:$BJ$98,C$3*12)</f>
        <v>189920.661079184</v>
      </c>
      <c r="D5" s="53" t="n">
        <f aca="false">INDEX(Monthly!$C$98:$BJ$98,D$3*12)</f>
        <v>262436.516461964</v>
      </c>
      <c r="E5" s="53" t="n">
        <f aca="false">INDEX(Monthly!$C$98:$BJ$98,E$3*12)</f>
        <v>508577.640304047</v>
      </c>
      <c r="F5" s="53" t="n">
        <f aca="false">INDEX(Monthly!$C$98:$BJ$98,F$3*12)</f>
        <v>888042.923420652</v>
      </c>
    </row>
    <row r="6" customFormat="false" ht="15" hidden="false" customHeight="false" outlineLevel="0" collapsed="false">
      <c r="A6" s="6" t="s">
        <v>88</v>
      </c>
      <c r="B6" s="53" t="n">
        <f aca="false">INDEX(Monthly!$C$84:$BJ$84,B$3*12)</f>
        <v>7915.98187505677</v>
      </c>
      <c r="C6" s="53" t="n">
        <f aca="false">INDEX(Monthly!$C$84:$BJ$84,C$3*12)</f>
        <v>9704.5001468268</v>
      </c>
      <c r="D6" s="53" t="n">
        <f aca="false">INDEX(Monthly!$C$84:$BJ$84,D$3*12)</f>
        <v>10979.0083873678</v>
      </c>
      <c r="E6" s="53" t="n">
        <f aca="false">INDEX(Monthly!$C$84:$BJ$84,E$3*12)</f>
        <v>11939.7876657886</v>
      </c>
      <c r="F6" s="53" t="n">
        <f aca="false">INDEX(Monthly!$C$84:$BJ$84,F$3*12)</f>
        <v>12712.4671462142</v>
      </c>
    </row>
    <row r="7" customFormat="false" ht="15" hidden="false" customHeight="false" outlineLevel="0" collapsed="false">
      <c r="A7" s="6" t="s">
        <v>89</v>
      </c>
      <c r="B7" s="53" t="n">
        <f aca="false">INDEX(Monthly!$C$85:$BJ$85,B$3*12)</f>
        <v>8885.78253780614</v>
      </c>
      <c r="C7" s="53" t="n">
        <f aca="false">INDEX(Monthly!$C$85:$BJ$85,C$3*12)</f>
        <v>11211.9275518532</v>
      </c>
      <c r="D7" s="53" t="n">
        <f aca="false">INDEX(Monthly!$C$85:$BJ$85,D$3*12)</f>
        <v>12914.3553887009</v>
      </c>
      <c r="E7" s="53" t="n">
        <f aca="false">INDEX(Monthly!$C$85:$BJ$85,E$3*12)</f>
        <v>14236.9273180993</v>
      </c>
      <c r="F7" s="53" t="n">
        <f aca="false">INDEX(Monthly!$C$85:$BJ$85,F$3*12)</f>
        <v>15334.1441777025</v>
      </c>
    </row>
    <row r="8" customFormat="false" ht="15" hidden="false" customHeight="false" outlineLevel="0" collapsed="false">
      <c r="A8" s="6" t="s">
        <v>90</v>
      </c>
      <c r="B8" s="53" t="n">
        <f aca="false">INDEX(Monthly!$C$75:$BJ$75,B$3*12)</f>
        <v>3758333.33333333</v>
      </c>
      <c r="C8" s="53" t="n">
        <f aca="false">INDEX(Monthly!$C$75:$BJ$75,C$3*12)</f>
        <v>3453333.33333333</v>
      </c>
      <c r="D8" s="53" t="n">
        <f aca="false">INDEX(Monthly!$C$75:$BJ$75,D$3*12)</f>
        <v>3145000</v>
      </c>
      <c r="E8" s="53" t="n">
        <f aca="false">INDEX(Monthly!$C$75:$BJ$75,E$3*12)</f>
        <v>2833333.33333333</v>
      </c>
      <c r="F8" s="53" t="n">
        <f aca="false">INDEX(Monthly!$C$75:$BJ$75,F$3*12)</f>
        <v>2518333.33333334</v>
      </c>
    </row>
    <row r="9" customFormat="false" ht="15" hidden="false" customHeight="false" outlineLevel="0" collapsed="false">
      <c r="A9" s="99" t="s">
        <v>91</v>
      </c>
      <c r="B9" s="54" t="n">
        <f aca="false">INDEX(Monthly!$C$112:$BJ$112,B$3*12)</f>
        <v>4130577.30529272</v>
      </c>
      <c r="C9" s="54" t="n">
        <f aca="false">INDEX(Monthly!$C$112:$BJ$112,C$3*12)</f>
        <v>3664170.4221112</v>
      </c>
      <c r="D9" s="54" t="n">
        <f aca="false">INDEX(Monthly!$C$112:$BJ$112,D$3*12)</f>
        <v>3431329.88023803</v>
      </c>
      <c r="E9" s="54" t="n">
        <f aca="false">INDEX(Monthly!$C$112:$BJ$112,E$3*12)</f>
        <v>3368087.68862127</v>
      </c>
      <c r="F9" s="54" t="n">
        <f aca="false">INDEX(Monthly!$C$112:$BJ$112,F$3*12)</f>
        <v>3434422.8680779</v>
      </c>
    </row>
    <row r="10" customFormat="false" ht="15" hidden="false" customHeight="false" outlineLevel="0" collapsed="false">
      <c r="A10" s="6" t="s">
        <v>92</v>
      </c>
      <c r="B10" s="53" t="n">
        <f aca="false">INDEX(Monthly!$C$86:$BJ$86,B$3*12)</f>
        <v>14809.6375630102</v>
      </c>
      <c r="C10" s="53" t="n">
        <f aca="false">INDEX(Monthly!$C$86:$BJ$86,C$3*12)</f>
        <v>18686.5459197554</v>
      </c>
      <c r="D10" s="53" t="n">
        <f aca="false">INDEX(Monthly!$C$86:$BJ$86,D$3*12)</f>
        <v>21523.9256478349</v>
      </c>
      <c r="E10" s="53" t="n">
        <f aca="false">INDEX(Monthly!$C$86:$BJ$86,E$3*12)</f>
        <v>23728.2121968321</v>
      </c>
      <c r="F10" s="53" t="n">
        <f aca="false">INDEX(Monthly!$C$86:$BJ$86,F$3*12)</f>
        <v>25556.9069628375</v>
      </c>
    </row>
    <row r="11" customFormat="false" ht="15" hidden="false" customHeight="false" outlineLevel="0" collapsed="false">
      <c r="A11" s="6" t="s">
        <v>93</v>
      </c>
      <c r="B11" s="53" t="n">
        <f aca="false">INDEX(Monthly!$C$81:$BJ$81,B$3*12)</f>
        <v>2725000</v>
      </c>
      <c r="C11" s="53" t="n">
        <f aca="false">INDEX(Monthly!$C$81:$BJ$81,C$3*12)</f>
        <v>2425000</v>
      </c>
      <c r="D11" s="53" t="n">
        <f aca="false">INDEX(Monthly!$C$81:$BJ$81,D$3*12)</f>
        <v>2125000</v>
      </c>
      <c r="E11" s="53" t="n">
        <f aca="false">INDEX(Monthly!$C$81:$BJ$81,E$3*12)</f>
        <v>1825000</v>
      </c>
      <c r="F11" s="53" t="n">
        <f aca="false">INDEX(Monthly!$C$81:$BJ$81,F$3*12)</f>
        <v>1525000</v>
      </c>
    </row>
    <row r="12" customFormat="false" ht="15" hidden="false" customHeight="false" outlineLevel="0" collapsed="false">
      <c r="A12" s="100" t="s">
        <v>94</v>
      </c>
      <c r="B12" s="101" t="n">
        <f aca="false">INDEX(Monthly!$C$113:$BJ$113,B$3*12)</f>
        <v>2739809.63756301</v>
      </c>
      <c r="C12" s="101" t="n">
        <f aca="false">INDEX(Monthly!$C$113:$BJ$113,C$3*12)</f>
        <v>2443686.54591976</v>
      </c>
      <c r="D12" s="101" t="n">
        <f aca="false">INDEX(Monthly!$C$113:$BJ$113,D$3*12)</f>
        <v>2146523.92564784</v>
      </c>
      <c r="E12" s="101" t="n">
        <f aca="false">INDEX(Monthly!$C$113:$BJ$113,E$3*12)</f>
        <v>1848728.21219683</v>
      </c>
      <c r="F12" s="101" t="n">
        <f aca="false">INDEX(Monthly!$C$113:$BJ$113,F$3*12)</f>
        <v>1550556.90696284</v>
      </c>
    </row>
    <row r="13" customFormat="false" ht="15" hidden="false" customHeight="false" outlineLevel="0" collapsed="false">
      <c r="A13" s="6" t="s">
        <v>95</v>
      </c>
      <c r="B13" s="53" t="n">
        <f aca="false">INDEX(Monthly!$C$110:$BJ$110,B$3*12)</f>
        <v>2100000</v>
      </c>
      <c r="C13" s="53" t="n">
        <f aca="false">INDEX(Monthly!$C$110:$BJ$110,C$3*12)</f>
        <v>2100000</v>
      </c>
      <c r="D13" s="53" t="n">
        <f aca="false">INDEX(Monthly!$C$110:$BJ$110,D$3*12)</f>
        <v>2100000</v>
      </c>
      <c r="E13" s="53" t="n">
        <f aca="false">INDEX(Monthly!$C$110:$BJ$110,E$3*12)</f>
        <v>2100000</v>
      </c>
      <c r="F13" s="53" t="n">
        <f aca="false">INDEX(Monthly!$C$110:$BJ$110,F$3*12)</f>
        <v>2100000</v>
      </c>
    </row>
    <row r="14" customFormat="false" ht="15" hidden="false" customHeight="false" outlineLevel="0" collapsed="false">
      <c r="A14" s="6" t="s">
        <v>96</v>
      </c>
      <c r="B14" s="53" t="n">
        <f aca="false">INDEX(Monthly!$C$111:$BJ$111,B$3*12)</f>
        <v>-709232.332270295</v>
      </c>
      <c r="C14" s="53" t="n">
        <f aca="false">INDEX(Monthly!$C$111:$BJ$111,C$3*12)</f>
        <v>-879516.123808558</v>
      </c>
      <c r="D14" s="53" t="n">
        <f aca="false">INDEX(Monthly!$C$111:$BJ$111,D$3*12)</f>
        <v>-815194.045409802</v>
      </c>
      <c r="E14" s="53" t="n">
        <f aca="false">INDEX(Monthly!$C$111:$BJ$111,E$3*12)</f>
        <v>-580640.523575564</v>
      </c>
      <c r="F14" s="53" t="n">
        <f aca="false">INDEX(Monthly!$C$111:$BJ$111,F$3*12)</f>
        <v>-216134.038884935</v>
      </c>
    </row>
    <row r="15" customFormat="false" ht="15" hidden="false" customHeight="false" outlineLevel="0" collapsed="false">
      <c r="A15" s="100" t="s">
        <v>97</v>
      </c>
      <c r="B15" s="101" t="n">
        <f aca="false">INDEX(Monthly!$C$114:$BJ$114,B$3*12)</f>
        <v>1390767.66772971</v>
      </c>
      <c r="C15" s="101" t="n">
        <f aca="false">INDEX(Monthly!$C$114:$BJ$114,C$3*12)</f>
        <v>1220483.87619144</v>
      </c>
      <c r="D15" s="101" t="n">
        <f aca="false">INDEX(Monthly!$C$114:$BJ$114,D$3*12)</f>
        <v>1284805.9545902</v>
      </c>
      <c r="E15" s="101" t="n">
        <f aca="false">INDEX(Monthly!$C$114:$BJ$114,E$3*12)</f>
        <v>1519359.47642444</v>
      </c>
      <c r="F15" s="101" t="n">
        <f aca="false">INDEX(Monthly!$C$114:$BJ$114,F$3*12)</f>
        <v>1883865.96111507</v>
      </c>
    </row>
    <row r="16" customFormat="false" ht="15" hidden="false" customHeight="false" outlineLevel="0" collapsed="false">
      <c r="A16" s="56" t="s">
        <v>98</v>
      </c>
      <c r="B16" s="57" t="n">
        <f aca="false">INDEX(Monthly!$C$115:$BJ$115,B$3*12)</f>
        <v>4130577.30529272</v>
      </c>
      <c r="C16" s="57" t="n">
        <f aca="false">INDEX(Monthly!$C$115:$BJ$115,C$3*12)</f>
        <v>3664170.4221112</v>
      </c>
      <c r="D16" s="57" t="n">
        <f aca="false">INDEX(Monthly!$C$115:$BJ$115,D$3*12)</f>
        <v>3431329.88023803</v>
      </c>
      <c r="E16" s="57" t="n">
        <f aca="false">INDEX(Monthly!$C$115:$BJ$115,E$3*12)</f>
        <v>3368087.68862127</v>
      </c>
      <c r="F16" s="57" t="n">
        <f aca="false">INDEX(Monthly!$C$115:$BJ$115,F$3*12)</f>
        <v>3434422.8680779</v>
      </c>
    </row>
    <row r="17" customFormat="false" ht="15" hidden="false" customHeight="false" outlineLevel="0" collapsed="false">
      <c r="A17" s="6" t="s">
        <v>322</v>
      </c>
      <c r="B17" s="53" t="n">
        <f aca="false">INDEX(Monthly!$C$116:$BJ$116,B$3*12)</f>
        <v>0</v>
      </c>
      <c r="C17" s="53" t="n">
        <f aca="false">INDEX(Monthly!$C$116:$BJ$116,C$3*12)</f>
        <v>0</v>
      </c>
      <c r="D17" s="53" t="n">
        <f aca="false">INDEX(Monthly!$C$116:$BJ$116,D$3*12)</f>
        <v>0</v>
      </c>
      <c r="E17" s="53" t="n">
        <f aca="false">INDEX(Monthly!$C$116:$BJ$116,E$3*12)</f>
        <v>0</v>
      </c>
      <c r="F17" s="53" t="n">
        <f aca="false">INDEX(Monthly!$C$116:$BJ$116,F$3*12)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323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324</v>
      </c>
    </row>
    <row r="3" customFormat="false" ht="15" hidden="false" customHeight="false" outlineLevel="0" collapsed="false">
      <c r="A3" s="33" t="s">
        <v>325</v>
      </c>
      <c r="C3" s="59" t="s">
        <v>326</v>
      </c>
      <c r="D3" s="59" t="s">
        <v>327</v>
      </c>
      <c r="E3" s="59" t="s">
        <v>328</v>
      </c>
      <c r="F3" s="59" t="s">
        <v>329</v>
      </c>
      <c r="G3" s="59" t="s">
        <v>330</v>
      </c>
      <c r="H3" s="59" t="s">
        <v>331</v>
      </c>
      <c r="I3" s="59" t="s">
        <v>332</v>
      </c>
      <c r="J3" s="59" t="s">
        <v>333</v>
      </c>
      <c r="K3" s="59" t="s">
        <v>334</v>
      </c>
      <c r="L3" s="59" t="s">
        <v>335</v>
      </c>
      <c r="M3" s="59" t="s">
        <v>336</v>
      </c>
      <c r="N3" s="59" t="s">
        <v>337</v>
      </c>
      <c r="O3" s="59" t="s">
        <v>338</v>
      </c>
      <c r="P3" s="59" t="s">
        <v>339</v>
      </c>
      <c r="Q3" s="59" t="s">
        <v>340</v>
      </c>
      <c r="R3" s="59" t="s">
        <v>341</v>
      </c>
      <c r="S3" s="59" t="s">
        <v>342</v>
      </c>
      <c r="T3" s="59" t="s">
        <v>343</v>
      </c>
      <c r="U3" s="59" t="s">
        <v>344</v>
      </c>
      <c r="V3" s="59" t="s">
        <v>345</v>
      </c>
      <c r="W3" s="59" t="s">
        <v>346</v>
      </c>
      <c r="X3" s="59" t="s">
        <v>347</v>
      </c>
      <c r="Y3" s="59" t="s">
        <v>348</v>
      </c>
      <c r="Z3" s="59" t="s">
        <v>349</v>
      </c>
      <c r="AA3" s="59" t="s">
        <v>350</v>
      </c>
      <c r="AB3" s="59" t="s">
        <v>351</v>
      </c>
      <c r="AC3" s="59" t="s">
        <v>352</v>
      </c>
      <c r="AD3" s="59" t="s">
        <v>353</v>
      </c>
      <c r="AE3" s="59" t="s">
        <v>354</v>
      </c>
      <c r="AF3" s="59" t="s">
        <v>355</v>
      </c>
      <c r="AG3" s="59" t="s">
        <v>356</v>
      </c>
      <c r="AH3" s="59" t="s">
        <v>357</v>
      </c>
      <c r="AI3" s="59" t="s">
        <v>358</v>
      </c>
      <c r="AJ3" s="59" t="s">
        <v>359</v>
      </c>
      <c r="AK3" s="59" t="s">
        <v>360</v>
      </c>
      <c r="AL3" s="59" t="s">
        <v>361</v>
      </c>
      <c r="AM3" s="59" t="s">
        <v>362</v>
      </c>
      <c r="AN3" s="59" t="s">
        <v>363</v>
      </c>
      <c r="AO3" s="59" t="s">
        <v>364</v>
      </c>
      <c r="AP3" s="59" t="s">
        <v>365</v>
      </c>
      <c r="AQ3" s="59" t="s">
        <v>366</v>
      </c>
      <c r="AR3" s="59" t="s">
        <v>367</v>
      </c>
      <c r="AS3" s="59" t="s">
        <v>368</v>
      </c>
      <c r="AT3" s="59" t="s">
        <v>369</v>
      </c>
      <c r="AU3" s="59" t="s">
        <v>370</v>
      </c>
      <c r="AV3" s="59" t="s">
        <v>371</v>
      </c>
      <c r="AW3" s="59" t="s">
        <v>372</v>
      </c>
      <c r="AX3" s="59" t="s">
        <v>373</v>
      </c>
      <c r="AY3" s="59" t="s">
        <v>374</v>
      </c>
      <c r="AZ3" s="59" t="s">
        <v>375</v>
      </c>
      <c r="BA3" s="59" t="s">
        <v>376</v>
      </c>
      <c r="BB3" s="59" t="s">
        <v>377</v>
      </c>
      <c r="BC3" s="59" t="s">
        <v>378</v>
      </c>
      <c r="BD3" s="59" t="s">
        <v>379</v>
      </c>
      <c r="BE3" s="59" t="s">
        <v>380</v>
      </c>
      <c r="BF3" s="59" t="s">
        <v>381</v>
      </c>
      <c r="BG3" s="59" t="s">
        <v>382</v>
      </c>
      <c r="BH3" s="59" t="s">
        <v>383</v>
      </c>
      <c r="BI3" s="59" t="s">
        <v>384</v>
      </c>
      <c r="BJ3" s="59" t="s">
        <v>385</v>
      </c>
    </row>
    <row r="4" customFormat="false" ht="15" hidden="false" customHeight="false" outlineLevel="0" collapsed="false">
      <c r="A4" s="58" t="s">
        <v>386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122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387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02" t="s">
        <v>388</v>
      </c>
      <c r="C8" s="103" t="n">
        <f aca="false">MAX(0,MIN(1,Inputs!$E$9-(C$4-1)*1))</f>
        <v>1</v>
      </c>
      <c r="D8" s="103" t="n">
        <f aca="false">MAX(0,MIN(1,Inputs!$E$9-(D$4-1)*1))</f>
        <v>1</v>
      </c>
      <c r="E8" s="103" t="n">
        <f aca="false">MAX(0,MIN(1,Inputs!$E$9-(E$4-1)*1))</f>
        <v>1</v>
      </c>
      <c r="F8" s="103" t="n">
        <f aca="false">MAX(0,MIN(1,Inputs!$E$9-(F$4-1)*1))</f>
        <v>1</v>
      </c>
      <c r="G8" s="103" t="n">
        <f aca="false">MAX(0,MIN(1,Inputs!$E$9-(G$4-1)*1))</f>
        <v>1</v>
      </c>
      <c r="H8" s="103" t="n">
        <f aca="false">MAX(0,MIN(1,Inputs!$E$9-(H$4-1)*1))</f>
        <v>1</v>
      </c>
      <c r="I8" s="103" t="n">
        <f aca="false">MAX(0,MIN(1,Inputs!$E$9-(I$4-1)*1))</f>
        <v>1</v>
      </c>
      <c r="J8" s="103" t="n">
        <f aca="false">MAX(0,MIN(1,Inputs!$E$9-(J$4-1)*1))</f>
        <v>1</v>
      </c>
      <c r="K8" s="103" t="n">
        <f aca="false">MAX(0,MIN(1,Inputs!$E$9-(K$4-1)*1))</f>
        <v>1</v>
      </c>
      <c r="L8" s="103" t="n">
        <f aca="false">MAX(0,MIN(1,Inputs!$E$9-(L$4-1)*1))</f>
        <v>0</v>
      </c>
      <c r="M8" s="103" t="n">
        <f aca="false">MAX(0,MIN(1,Inputs!$E$9-(M$4-1)*1))</f>
        <v>0</v>
      </c>
      <c r="N8" s="103" t="n">
        <f aca="false">MAX(0,MIN(1,Inputs!$E$9-(N$4-1)*1))</f>
        <v>0</v>
      </c>
      <c r="O8" s="103" t="n">
        <f aca="false">MAX(0,MIN(1,Inputs!$E$9-(O$4-1)*1))</f>
        <v>0</v>
      </c>
      <c r="P8" s="103" t="n">
        <f aca="false">MAX(0,MIN(1,Inputs!$E$9-(P$4-1)*1))</f>
        <v>0</v>
      </c>
      <c r="Q8" s="103" t="n">
        <f aca="false">MAX(0,MIN(1,Inputs!$E$9-(Q$4-1)*1))</f>
        <v>0</v>
      </c>
      <c r="R8" s="103" t="n">
        <f aca="false">MAX(0,MIN(1,Inputs!$E$9-(R$4-1)*1))</f>
        <v>0</v>
      </c>
      <c r="S8" s="103" t="n">
        <f aca="false">MAX(0,MIN(1,Inputs!$E$9-(S$4-1)*1))</f>
        <v>0</v>
      </c>
      <c r="T8" s="103" t="n">
        <f aca="false">MAX(0,MIN(1,Inputs!$E$9-(T$4-1)*1))</f>
        <v>0</v>
      </c>
      <c r="U8" s="103" t="n">
        <f aca="false">MAX(0,MIN(1,Inputs!$E$9-(U$4-1)*1))</f>
        <v>0</v>
      </c>
      <c r="V8" s="103" t="n">
        <f aca="false">MAX(0,MIN(1,Inputs!$E$9-(V$4-1)*1))</f>
        <v>0</v>
      </c>
      <c r="W8" s="103" t="n">
        <f aca="false">MAX(0,MIN(1,Inputs!$E$9-(W$4-1)*1))</f>
        <v>0</v>
      </c>
      <c r="X8" s="103" t="n">
        <f aca="false">MAX(0,MIN(1,Inputs!$E$9-(X$4-1)*1))</f>
        <v>0</v>
      </c>
      <c r="Y8" s="103" t="n">
        <f aca="false">MAX(0,MIN(1,Inputs!$E$9-(Y$4-1)*1))</f>
        <v>0</v>
      </c>
      <c r="Z8" s="103" t="n">
        <f aca="false">MAX(0,MIN(1,Inputs!$E$9-(Z$4-1)*1))</f>
        <v>0</v>
      </c>
      <c r="AA8" s="103" t="n">
        <f aca="false">MAX(0,MIN(1,Inputs!$E$9-(AA$4-1)*1))</f>
        <v>0</v>
      </c>
      <c r="AB8" s="103" t="n">
        <f aca="false">MAX(0,MIN(1,Inputs!$E$9-(AB$4-1)*1))</f>
        <v>0</v>
      </c>
      <c r="AC8" s="103" t="n">
        <f aca="false">MAX(0,MIN(1,Inputs!$E$9-(AC$4-1)*1))</f>
        <v>0</v>
      </c>
      <c r="AD8" s="103" t="n">
        <f aca="false">MAX(0,MIN(1,Inputs!$E$9-(AD$4-1)*1))</f>
        <v>0</v>
      </c>
      <c r="AE8" s="103" t="n">
        <f aca="false">MAX(0,MIN(1,Inputs!$E$9-(AE$4-1)*1))</f>
        <v>0</v>
      </c>
      <c r="AF8" s="103" t="n">
        <f aca="false">MAX(0,MIN(1,Inputs!$E$9-(AF$4-1)*1))</f>
        <v>0</v>
      </c>
      <c r="AG8" s="103" t="n">
        <f aca="false">MAX(0,MIN(1,Inputs!$E$9-(AG$4-1)*1))</f>
        <v>0</v>
      </c>
      <c r="AH8" s="103" t="n">
        <f aca="false">MAX(0,MIN(1,Inputs!$E$9-(AH$4-1)*1))</f>
        <v>0</v>
      </c>
      <c r="AI8" s="103" t="n">
        <f aca="false">MAX(0,MIN(1,Inputs!$E$9-(AI$4-1)*1))</f>
        <v>0</v>
      </c>
      <c r="AJ8" s="103" t="n">
        <f aca="false">MAX(0,MIN(1,Inputs!$E$9-(AJ$4-1)*1))</f>
        <v>0</v>
      </c>
      <c r="AK8" s="103" t="n">
        <f aca="false">MAX(0,MIN(1,Inputs!$E$9-(AK$4-1)*1))</f>
        <v>0</v>
      </c>
      <c r="AL8" s="103" t="n">
        <f aca="false">MAX(0,MIN(1,Inputs!$E$9-(AL$4-1)*1))</f>
        <v>0</v>
      </c>
      <c r="AM8" s="103" t="n">
        <f aca="false">MAX(0,MIN(1,Inputs!$E$9-(AM$4-1)*1))</f>
        <v>0</v>
      </c>
      <c r="AN8" s="103" t="n">
        <f aca="false">MAX(0,MIN(1,Inputs!$E$9-(AN$4-1)*1))</f>
        <v>0</v>
      </c>
      <c r="AO8" s="103" t="n">
        <f aca="false">MAX(0,MIN(1,Inputs!$E$9-(AO$4-1)*1))</f>
        <v>0</v>
      </c>
      <c r="AP8" s="103" t="n">
        <f aca="false">MAX(0,MIN(1,Inputs!$E$9-(AP$4-1)*1))</f>
        <v>0</v>
      </c>
      <c r="AQ8" s="103" t="n">
        <f aca="false">MAX(0,MIN(1,Inputs!$E$9-(AQ$4-1)*1))</f>
        <v>0</v>
      </c>
      <c r="AR8" s="103" t="n">
        <f aca="false">MAX(0,MIN(1,Inputs!$E$9-(AR$4-1)*1))</f>
        <v>0</v>
      </c>
      <c r="AS8" s="103" t="n">
        <f aca="false">MAX(0,MIN(1,Inputs!$E$9-(AS$4-1)*1))</f>
        <v>0</v>
      </c>
      <c r="AT8" s="103" t="n">
        <f aca="false">MAX(0,MIN(1,Inputs!$E$9-(AT$4-1)*1))</f>
        <v>0</v>
      </c>
      <c r="AU8" s="103" t="n">
        <f aca="false">MAX(0,MIN(1,Inputs!$E$9-(AU$4-1)*1))</f>
        <v>0</v>
      </c>
      <c r="AV8" s="103" t="n">
        <f aca="false">MAX(0,MIN(1,Inputs!$E$9-(AV$4-1)*1))</f>
        <v>0</v>
      </c>
      <c r="AW8" s="103" t="n">
        <f aca="false">MAX(0,MIN(1,Inputs!$E$9-(AW$4-1)*1))</f>
        <v>0</v>
      </c>
      <c r="AX8" s="103" t="n">
        <f aca="false">MAX(0,MIN(1,Inputs!$E$9-(AX$4-1)*1))</f>
        <v>0</v>
      </c>
      <c r="AY8" s="103" t="n">
        <f aca="false">MAX(0,MIN(1,Inputs!$E$9-(AY$4-1)*1))</f>
        <v>0</v>
      </c>
      <c r="AZ8" s="103" t="n">
        <f aca="false">MAX(0,MIN(1,Inputs!$E$9-(AZ$4-1)*1))</f>
        <v>0</v>
      </c>
      <c r="BA8" s="103" t="n">
        <f aca="false">MAX(0,MIN(1,Inputs!$E$9-(BA$4-1)*1))</f>
        <v>0</v>
      </c>
      <c r="BB8" s="103" t="n">
        <f aca="false">MAX(0,MIN(1,Inputs!$E$9-(BB$4-1)*1))</f>
        <v>0</v>
      </c>
      <c r="BC8" s="103" t="n">
        <f aca="false">MAX(0,MIN(1,Inputs!$E$9-(BC$4-1)*1))</f>
        <v>0</v>
      </c>
      <c r="BD8" s="103" t="n">
        <f aca="false">MAX(0,MIN(1,Inputs!$E$9-(BD$4-1)*1))</f>
        <v>0</v>
      </c>
      <c r="BE8" s="103" t="n">
        <f aca="false">MAX(0,MIN(1,Inputs!$E$9-(BE$4-1)*1))</f>
        <v>0</v>
      </c>
      <c r="BF8" s="103" t="n">
        <f aca="false">MAX(0,MIN(1,Inputs!$E$9-(BF$4-1)*1))</f>
        <v>0</v>
      </c>
      <c r="BG8" s="103" t="n">
        <f aca="false">MAX(0,MIN(1,Inputs!$E$9-(BG$4-1)*1))</f>
        <v>0</v>
      </c>
      <c r="BH8" s="103" t="n">
        <f aca="false">MAX(0,MIN(1,Inputs!$E$9-(BH$4-1)*1))</f>
        <v>0</v>
      </c>
      <c r="BI8" s="103" t="n">
        <f aca="false">MAX(0,MIN(1,Inputs!$E$9-(BI$4-1)*1))</f>
        <v>0</v>
      </c>
      <c r="BJ8" s="103" t="n">
        <f aca="false">MAX(0,MIN(1,Inputs!$E$9-(BJ$4-1)*1))</f>
        <v>0</v>
      </c>
    </row>
    <row r="9" customFormat="false" ht="15" hidden="false" customHeight="false" outlineLevel="0" collapsed="false">
      <c r="A9" s="38" t="s">
        <v>389</v>
      </c>
      <c r="C9" s="61" t="n">
        <f aca="false">IF(Inputs!$E$9&lt;=0,1,(C8*Inputs!$E$10+(1-Inputs!$E$10)/Inputs!$E$9*(C8*(C$4-1)*1+C8*(C8-1)/2)+1-C8)/1)</f>
        <v>0.45</v>
      </c>
      <c r="D9" s="61" t="n">
        <f aca="false">IF(Inputs!$E$9&lt;=0,1,(D8*Inputs!$E$10+(1-Inputs!$E$10)/Inputs!$E$9*(D8*(D$4-1)*1+D8*(D8-1)/2)+1-D8)/1)</f>
        <v>0.511111111111111</v>
      </c>
      <c r="E9" s="61" t="n">
        <f aca="false">IF(Inputs!$E$9&lt;=0,1,(E8*Inputs!$E$10+(1-Inputs!$E$10)/Inputs!$E$9*(E8*(E$4-1)*1+E8*(E8-1)/2)+1-E8)/1)</f>
        <v>0.572222222222222</v>
      </c>
      <c r="F9" s="61" t="n">
        <f aca="false">IF(Inputs!$E$9&lt;=0,1,(F8*Inputs!$E$10+(1-Inputs!$E$10)/Inputs!$E$9*(F8*(F$4-1)*1+F8*(F8-1)/2)+1-F8)/1)</f>
        <v>0.633333333333333</v>
      </c>
      <c r="G9" s="61" t="n">
        <f aca="false">IF(Inputs!$E$9&lt;=0,1,(G8*Inputs!$E$10+(1-Inputs!$E$10)/Inputs!$E$9*(G8*(G$4-1)*1+G8*(G8-1)/2)+1-G8)/1)</f>
        <v>0.694444444444444</v>
      </c>
      <c r="H9" s="61" t="n">
        <f aca="false">IF(Inputs!$E$9&lt;=0,1,(H8*Inputs!$E$10+(1-Inputs!$E$10)/Inputs!$E$9*(H8*(H$4-1)*1+H8*(H8-1)/2)+1-H8)/1)</f>
        <v>0.755555555555556</v>
      </c>
      <c r="I9" s="61" t="n">
        <f aca="false">IF(Inputs!$E$9&lt;=0,1,(I8*Inputs!$E$10+(1-Inputs!$E$10)/Inputs!$E$9*(I8*(I$4-1)*1+I8*(I8-1)/2)+1-I8)/1)</f>
        <v>0.816666666666667</v>
      </c>
      <c r="J9" s="61" t="n">
        <f aca="false">IF(Inputs!$E$9&lt;=0,1,(J8*Inputs!$E$10+(1-Inputs!$E$10)/Inputs!$E$9*(J8*(J$4-1)*1+J8*(J8-1)/2)+1-J8)/1)</f>
        <v>0.877777777777778</v>
      </c>
      <c r="K9" s="61" t="n">
        <f aca="false">IF(Inputs!$E$9&lt;=0,1,(K8*Inputs!$E$10+(1-Inputs!$E$10)/Inputs!$E$9*(K8*(K$4-1)*1+K8*(K8-1)/2)+1-K8)/1)</f>
        <v>0.938888888888889</v>
      </c>
      <c r="L9" s="61" t="n">
        <f aca="false">IF(Inputs!$E$9&lt;=0,1,(L8*Inputs!$E$10+(1-Inputs!$E$10)/Inputs!$E$9*(L8*(L$4-1)*1+L8*(L8-1)/2)+1-L8)/1)</f>
        <v>1</v>
      </c>
      <c r="M9" s="61" t="n">
        <f aca="false">IF(Inputs!$E$9&lt;=0,1,(M8*Inputs!$E$10+(1-Inputs!$E$10)/Inputs!$E$9*(M8*(M$4-1)*1+M8*(M8-1)/2)+1-M8)/1)</f>
        <v>1</v>
      </c>
      <c r="N9" s="61" t="n">
        <f aca="false">IF(Inputs!$E$9&lt;=0,1,(N8*Inputs!$E$10+(1-Inputs!$E$10)/Inputs!$E$9*(N8*(N$4-1)*1+N8*(N8-1)/2)+1-N8)/1)</f>
        <v>1</v>
      </c>
      <c r="O9" s="61" t="n">
        <f aca="false">IF(Inputs!$E$9&lt;=0,1,(O8*Inputs!$E$10+(1-Inputs!$E$10)/Inputs!$E$9*(O8*(O$4-1)*1+O8*(O8-1)/2)+1-O8)/1)</f>
        <v>1</v>
      </c>
      <c r="P9" s="61" t="n">
        <f aca="false">IF(Inputs!$E$9&lt;=0,1,(P8*Inputs!$E$10+(1-Inputs!$E$10)/Inputs!$E$9*(P8*(P$4-1)*1+P8*(P8-1)/2)+1-P8)/1)</f>
        <v>1</v>
      </c>
      <c r="Q9" s="61" t="n">
        <f aca="false">IF(Inputs!$E$9&lt;=0,1,(Q8*Inputs!$E$10+(1-Inputs!$E$10)/Inputs!$E$9*(Q8*(Q$4-1)*1+Q8*(Q8-1)/2)+1-Q8)/1)</f>
        <v>1</v>
      </c>
      <c r="R9" s="61" t="n">
        <f aca="false">IF(Inputs!$E$9&lt;=0,1,(R8*Inputs!$E$10+(1-Inputs!$E$10)/Inputs!$E$9*(R8*(R$4-1)*1+R8*(R8-1)/2)+1-R8)/1)</f>
        <v>1</v>
      </c>
      <c r="S9" s="61" t="n">
        <f aca="false">IF(Inputs!$E$9&lt;=0,1,(S8*Inputs!$E$10+(1-Inputs!$E$10)/Inputs!$E$9*(S8*(S$4-1)*1+S8*(S8-1)/2)+1-S8)/1)</f>
        <v>1</v>
      </c>
      <c r="T9" s="61" t="n">
        <f aca="false">IF(Inputs!$E$9&lt;=0,1,(T8*Inputs!$E$10+(1-Inputs!$E$10)/Inputs!$E$9*(T8*(T$4-1)*1+T8*(T8-1)/2)+1-T8)/1)</f>
        <v>1</v>
      </c>
      <c r="U9" s="61" t="n">
        <f aca="false">IF(Inputs!$E$9&lt;=0,1,(U8*Inputs!$E$10+(1-Inputs!$E$10)/Inputs!$E$9*(U8*(U$4-1)*1+U8*(U8-1)/2)+1-U8)/1)</f>
        <v>1</v>
      </c>
      <c r="V9" s="61" t="n">
        <f aca="false">IF(Inputs!$E$9&lt;=0,1,(V8*Inputs!$E$10+(1-Inputs!$E$10)/Inputs!$E$9*(V8*(V$4-1)*1+V8*(V8-1)/2)+1-V8)/1)</f>
        <v>1</v>
      </c>
      <c r="W9" s="61" t="n">
        <f aca="false">IF(Inputs!$E$9&lt;=0,1,(W8*Inputs!$E$10+(1-Inputs!$E$10)/Inputs!$E$9*(W8*(W$4-1)*1+W8*(W8-1)/2)+1-W8)/1)</f>
        <v>1</v>
      </c>
      <c r="X9" s="61" t="n">
        <f aca="false">IF(Inputs!$E$9&lt;=0,1,(X8*Inputs!$E$10+(1-Inputs!$E$10)/Inputs!$E$9*(X8*(X$4-1)*1+X8*(X8-1)/2)+1-X8)/1)</f>
        <v>1</v>
      </c>
      <c r="Y9" s="61" t="n">
        <f aca="false">IF(Inputs!$E$9&lt;=0,1,(Y8*Inputs!$E$10+(1-Inputs!$E$10)/Inputs!$E$9*(Y8*(Y$4-1)*1+Y8*(Y8-1)/2)+1-Y8)/1)</f>
        <v>1</v>
      </c>
      <c r="Z9" s="61" t="n">
        <f aca="false">IF(Inputs!$E$9&lt;=0,1,(Z8*Inputs!$E$10+(1-Inputs!$E$10)/Inputs!$E$9*(Z8*(Z$4-1)*1+Z8*(Z8-1)/2)+1-Z8)/1)</f>
        <v>1</v>
      </c>
      <c r="AA9" s="61" t="n">
        <f aca="false">IF(Inputs!$E$9&lt;=0,1,(AA8*Inputs!$E$10+(1-Inputs!$E$10)/Inputs!$E$9*(AA8*(AA$4-1)*1+AA8*(AA8-1)/2)+1-AA8)/1)</f>
        <v>1</v>
      </c>
      <c r="AB9" s="61" t="n">
        <f aca="false">IF(Inputs!$E$9&lt;=0,1,(AB8*Inputs!$E$10+(1-Inputs!$E$10)/Inputs!$E$9*(AB8*(AB$4-1)*1+AB8*(AB8-1)/2)+1-AB8)/1)</f>
        <v>1</v>
      </c>
      <c r="AC9" s="61" t="n">
        <f aca="false">IF(Inputs!$E$9&lt;=0,1,(AC8*Inputs!$E$10+(1-Inputs!$E$10)/Inputs!$E$9*(AC8*(AC$4-1)*1+AC8*(AC8-1)/2)+1-AC8)/1)</f>
        <v>1</v>
      </c>
      <c r="AD9" s="61" t="n">
        <f aca="false">IF(Inputs!$E$9&lt;=0,1,(AD8*Inputs!$E$10+(1-Inputs!$E$10)/Inputs!$E$9*(AD8*(AD$4-1)*1+AD8*(AD8-1)/2)+1-AD8)/1)</f>
        <v>1</v>
      </c>
      <c r="AE9" s="61" t="n">
        <f aca="false">IF(Inputs!$E$9&lt;=0,1,(AE8*Inputs!$E$10+(1-Inputs!$E$10)/Inputs!$E$9*(AE8*(AE$4-1)*1+AE8*(AE8-1)/2)+1-AE8)/1)</f>
        <v>1</v>
      </c>
      <c r="AF9" s="61" t="n">
        <f aca="false">IF(Inputs!$E$9&lt;=0,1,(AF8*Inputs!$E$10+(1-Inputs!$E$10)/Inputs!$E$9*(AF8*(AF$4-1)*1+AF8*(AF8-1)/2)+1-AF8)/1)</f>
        <v>1</v>
      </c>
      <c r="AG9" s="61" t="n">
        <f aca="false">IF(Inputs!$E$9&lt;=0,1,(AG8*Inputs!$E$10+(1-Inputs!$E$10)/Inputs!$E$9*(AG8*(AG$4-1)*1+AG8*(AG8-1)/2)+1-AG8)/1)</f>
        <v>1</v>
      </c>
      <c r="AH9" s="61" t="n">
        <f aca="false">IF(Inputs!$E$9&lt;=0,1,(AH8*Inputs!$E$10+(1-Inputs!$E$10)/Inputs!$E$9*(AH8*(AH$4-1)*1+AH8*(AH8-1)/2)+1-AH8)/1)</f>
        <v>1</v>
      </c>
      <c r="AI9" s="61" t="n">
        <f aca="false">IF(Inputs!$E$9&lt;=0,1,(AI8*Inputs!$E$10+(1-Inputs!$E$10)/Inputs!$E$9*(AI8*(AI$4-1)*1+AI8*(AI8-1)/2)+1-AI8)/1)</f>
        <v>1</v>
      </c>
      <c r="AJ9" s="61" t="n">
        <f aca="false">IF(Inputs!$E$9&lt;=0,1,(AJ8*Inputs!$E$10+(1-Inputs!$E$10)/Inputs!$E$9*(AJ8*(AJ$4-1)*1+AJ8*(AJ8-1)/2)+1-AJ8)/1)</f>
        <v>1</v>
      </c>
      <c r="AK9" s="61" t="n">
        <f aca="false">IF(Inputs!$E$9&lt;=0,1,(AK8*Inputs!$E$10+(1-Inputs!$E$10)/Inputs!$E$9*(AK8*(AK$4-1)*1+AK8*(AK8-1)/2)+1-AK8)/1)</f>
        <v>1</v>
      </c>
      <c r="AL9" s="61" t="n">
        <f aca="false">IF(Inputs!$E$9&lt;=0,1,(AL8*Inputs!$E$10+(1-Inputs!$E$10)/Inputs!$E$9*(AL8*(AL$4-1)*1+AL8*(AL8-1)/2)+1-AL8)/1)</f>
        <v>1</v>
      </c>
      <c r="AM9" s="61" t="n">
        <f aca="false">IF(Inputs!$E$9&lt;=0,1,(AM8*Inputs!$E$10+(1-Inputs!$E$10)/Inputs!$E$9*(AM8*(AM$4-1)*1+AM8*(AM8-1)/2)+1-AM8)/1)</f>
        <v>1</v>
      </c>
      <c r="AN9" s="61" t="n">
        <f aca="false">IF(Inputs!$E$9&lt;=0,1,(AN8*Inputs!$E$10+(1-Inputs!$E$10)/Inputs!$E$9*(AN8*(AN$4-1)*1+AN8*(AN8-1)/2)+1-AN8)/1)</f>
        <v>1</v>
      </c>
      <c r="AO9" s="61" t="n">
        <f aca="false">IF(Inputs!$E$9&lt;=0,1,(AO8*Inputs!$E$10+(1-Inputs!$E$10)/Inputs!$E$9*(AO8*(AO$4-1)*1+AO8*(AO8-1)/2)+1-AO8)/1)</f>
        <v>1</v>
      </c>
      <c r="AP9" s="61" t="n">
        <f aca="false">IF(Inputs!$E$9&lt;=0,1,(AP8*Inputs!$E$10+(1-Inputs!$E$10)/Inputs!$E$9*(AP8*(AP$4-1)*1+AP8*(AP8-1)/2)+1-AP8)/1)</f>
        <v>1</v>
      </c>
      <c r="AQ9" s="61" t="n">
        <f aca="false">IF(Inputs!$E$9&lt;=0,1,(AQ8*Inputs!$E$10+(1-Inputs!$E$10)/Inputs!$E$9*(AQ8*(AQ$4-1)*1+AQ8*(AQ8-1)/2)+1-AQ8)/1)</f>
        <v>1</v>
      </c>
      <c r="AR9" s="61" t="n">
        <f aca="false">IF(Inputs!$E$9&lt;=0,1,(AR8*Inputs!$E$10+(1-Inputs!$E$10)/Inputs!$E$9*(AR8*(AR$4-1)*1+AR8*(AR8-1)/2)+1-AR8)/1)</f>
        <v>1</v>
      </c>
      <c r="AS9" s="61" t="n">
        <f aca="false">IF(Inputs!$E$9&lt;=0,1,(AS8*Inputs!$E$10+(1-Inputs!$E$10)/Inputs!$E$9*(AS8*(AS$4-1)*1+AS8*(AS8-1)/2)+1-AS8)/1)</f>
        <v>1</v>
      </c>
      <c r="AT9" s="61" t="n">
        <f aca="false">IF(Inputs!$E$9&lt;=0,1,(AT8*Inputs!$E$10+(1-Inputs!$E$10)/Inputs!$E$9*(AT8*(AT$4-1)*1+AT8*(AT8-1)/2)+1-AT8)/1)</f>
        <v>1</v>
      </c>
      <c r="AU9" s="61" t="n">
        <f aca="false">IF(Inputs!$E$9&lt;=0,1,(AU8*Inputs!$E$10+(1-Inputs!$E$10)/Inputs!$E$9*(AU8*(AU$4-1)*1+AU8*(AU8-1)/2)+1-AU8)/1)</f>
        <v>1</v>
      </c>
      <c r="AV9" s="61" t="n">
        <f aca="false">IF(Inputs!$E$9&lt;=0,1,(AV8*Inputs!$E$10+(1-Inputs!$E$10)/Inputs!$E$9*(AV8*(AV$4-1)*1+AV8*(AV8-1)/2)+1-AV8)/1)</f>
        <v>1</v>
      </c>
      <c r="AW9" s="61" t="n">
        <f aca="false">IF(Inputs!$E$9&lt;=0,1,(AW8*Inputs!$E$10+(1-Inputs!$E$10)/Inputs!$E$9*(AW8*(AW$4-1)*1+AW8*(AW8-1)/2)+1-AW8)/1)</f>
        <v>1</v>
      </c>
      <c r="AX9" s="61" t="n">
        <f aca="false">IF(Inputs!$E$9&lt;=0,1,(AX8*Inputs!$E$10+(1-Inputs!$E$10)/Inputs!$E$9*(AX8*(AX$4-1)*1+AX8*(AX8-1)/2)+1-AX8)/1)</f>
        <v>1</v>
      </c>
      <c r="AY9" s="61" t="n">
        <f aca="false">IF(Inputs!$E$9&lt;=0,1,(AY8*Inputs!$E$10+(1-Inputs!$E$10)/Inputs!$E$9*(AY8*(AY$4-1)*1+AY8*(AY8-1)/2)+1-AY8)/1)</f>
        <v>1</v>
      </c>
      <c r="AZ9" s="61" t="n">
        <f aca="false">IF(Inputs!$E$9&lt;=0,1,(AZ8*Inputs!$E$10+(1-Inputs!$E$10)/Inputs!$E$9*(AZ8*(AZ$4-1)*1+AZ8*(AZ8-1)/2)+1-AZ8)/1)</f>
        <v>1</v>
      </c>
      <c r="BA9" s="61" t="n">
        <f aca="false">IF(Inputs!$E$9&lt;=0,1,(BA8*Inputs!$E$10+(1-Inputs!$E$10)/Inputs!$E$9*(BA8*(BA$4-1)*1+BA8*(BA8-1)/2)+1-BA8)/1)</f>
        <v>1</v>
      </c>
      <c r="BB9" s="61" t="n">
        <f aca="false">IF(Inputs!$E$9&lt;=0,1,(BB8*Inputs!$E$10+(1-Inputs!$E$10)/Inputs!$E$9*(BB8*(BB$4-1)*1+BB8*(BB8-1)/2)+1-BB8)/1)</f>
        <v>1</v>
      </c>
      <c r="BC9" s="61" t="n">
        <f aca="false">IF(Inputs!$E$9&lt;=0,1,(BC8*Inputs!$E$10+(1-Inputs!$E$10)/Inputs!$E$9*(BC8*(BC$4-1)*1+BC8*(BC8-1)/2)+1-BC8)/1)</f>
        <v>1</v>
      </c>
      <c r="BD9" s="61" t="n">
        <f aca="false">IF(Inputs!$E$9&lt;=0,1,(BD8*Inputs!$E$10+(1-Inputs!$E$10)/Inputs!$E$9*(BD8*(BD$4-1)*1+BD8*(BD8-1)/2)+1-BD8)/1)</f>
        <v>1</v>
      </c>
      <c r="BE9" s="61" t="n">
        <f aca="false">IF(Inputs!$E$9&lt;=0,1,(BE8*Inputs!$E$10+(1-Inputs!$E$10)/Inputs!$E$9*(BE8*(BE$4-1)*1+BE8*(BE8-1)/2)+1-BE8)/1)</f>
        <v>1</v>
      </c>
      <c r="BF9" s="61" t="n">
        <f aca="false">IF(Inputs!$E$9&lt;=0,1,(BF8*Inputs!$E$10+(1-Inputs!$E$10)/Inputs!$E$9*(BF8*(BF$4-1)*1+BF8*(BF8-1)/2)+1-BF8)/1)</f>
        <v>1</v>
      </c>
      <c r="BG9" s="61" t="n">
        <f aca="false">IF(Inputs!$E$9&lt;=0,1,(BG8*Inputs!$E$10+(1-Inputs!$E$10)/Inputs!$E$9*(BG8*(BG$4-1)*1+BG8*(BG8-1)/2)+1-BG8)/1)</f>
        <v>1</v>
      </c>
      <c r="BH9" s="61" t="n">
        <f aca="false">IF(Inputs!$E$9&lt;=0,1,(BH8*Inputs!$E$10+(1-Inputs!$E$10)/Inputs!$E$9*(BH8*(BH$4-1)*1+BH8*(BH8-1)/2)+1-BH8)/1)</f>
        <v>1</v>
      </c>
      <c r="BI9" s="61" t="n">
        <f aca="false">IF(Inputs!$E$9&lt;=0,1,(BI8*Inputs!$E$10+(1-Inputs!$E$10)/Inputs!$E$9*(BI8*(BI$4-1)*1+BI8*(BI8-1)/2)+1-BI8)/1)</f>
        <v>1</v>
      </c>
      <c r="BJ9" s="61" t="n">
        <f aca="false">IF(Inputs!$E$9&lt;=0,1,(BJ8*Inputs!$E$10+(1-Inputs!$E$10)/Inputs!$E$9*(BJ8*(BJ$4-1)*1+BJ8*(BJ8-1)/2)+1-BJ8)/1)</f>
        <v>1</v>
      </c>
    </row>
    <row r="10" customFormat="false" ht="15" hidden="false" customHeight="false" outlineLevel="0" collapsed="false">
      <c r="A10" s="6" t="s">
        <v>390</v>
      </c>
      <c r="C10" s="64" t="n">
        <f aca="false">IF(OR(MOD(C$4-1,12)&gt;=11,MOD(C$4-1,12)&lt;=1),1-Inputs!$E$11,1+Inputs!$E$11/3)</f>
        <v>0.85</v>
      </c>
      <c r="D10" s="64" t="n">
        <f aca="false">IF(OR(MOD(D$4-1,12)&gt;=11,MOD(D$4-1,12)&lt;=1),1-Inputs!$E$11,1+Inputs!$E$11/3)</f>
        <v>0.85</v>
      </c>
      <c r="E10" s="64" t="n">
        <f aca="false">IF(OR(MOD(E$4-1,12)&gt;=11,MOD(E$4-1,12)&lt;=1),1-Inputs!$E$11,1+Inputs!$E$11/3)</f>
        <v>1.05</v>
      </c>
      <c r="F10" s="64" t="n">
        <f aca="false">IF(OR(MOD(F$4-1,12)&gt;=11,MOD(F$4-1,12)&lt;=1),1-Inputs!$E$11,1+Inputs!$E$11/3)</f>
        <v>1.05</v>
      </c>
      <c r="G10" s="64" t="n">
        <f aca="false">IF(OR(MOD(G$4-1,12)&gt;=11,MOD(G$4-1,12)&lt;=1),1-Inputs!$E$11,1+Inputs!$E$11/3)</f>
        <v>1.05</v>
      </c>
      <c r="H10" s="64" t="n">
        <f aca="false">IF(OR(MOD(H$4-1,12)&gt;=11,MOD(H$4-1,12)&lt;=1),1-Inputs!$E$11,1+Inputs!$E$11/3)</f>
        <v>1.05</v>
      </c>
      <c r="I10" s="64" t="n">
        <f aca="false">IF(OR(MOD(I$4-1,12)&gt;=11,MOD(I$4-1,12)&lt;=1),1-Inputs!$E$11,1+Inputs!$E$11/3)</f>
        <v>1.05</v>
      </c>
      <c r="J10" s="64" t="n">
        <f aca="false">IF(OR(MOD(J$4-1,12)&gt;=11,MOD(J$4-1,12)&lt;=1),1-Inputs!$E$11,1+Inputs!$E$11/3)</f>
        <v>1.05</v>
      </c>
      <c r="K10" s="64" t="n">
        <f aca="false">IF(OR(MOD(K$4-1,12)&gt;=11,MOD(K$4-1,12)&lt;=1),1-Inputs!$E$11,1+Inputs!$E$11/3)</f>
        <v>1.05</v>
      </c>
      <c r="L10" s="64" t="n">
        <f aca="false">IF(OR(MOD(L$4-1,12)&gt;=11,MOD(L$4-1,12)&lt;=1),1-Inputs!$E$11,1+Inputs!$E$11/3)</f>
        <v>1.05</v>
      </c>
      <c r="M10" s="64" t="n">
        <f aca="false">IF(OR(MOD(M$4-1,12)&gt;=11,MOD(M$4-1,12)&lt;=1),1-Inputs!$E$11,1+Inputs!$E$11/3)</f>
        <v>1.05</v>
      </c>
      <c r="N10" s="64" t="n">
        <f aca="false">IF(OR(MOD(N$4-1,12)&gt;=11,MOD(N$4-1,12)&lt;=1),1-Inputs!$E$11,1+Inputs!$E$11/3)</f>
        <v>0.85</v>
      </c>
      <c r="O10" s="64" t="n">
        <f aca="false">IF(OR(MOD(O$4-1,12)&gt;=11,MOD(O$4-1,12)&lt;=1),1-Inputs!$E$11,1+Inputs!$E$11/3)</f>
        <v>0.85</v>
      </c>
      <c r="P10" s="64" t="n">
        <f aca="false">IF(OR(MOD(P$4-1,12)&gt;=11,MOD(P$4-1,12)&lt;=1),1-Inputs!$E$11,1+Inputs!$E$11/3)</f>
        <v>0.85</v>
      </c>
      <c r="Q10" s="64" t="n">
        <f aca="false">IF(OR(MOD(Q$4-1,12)&gt;=11,MOD(Q$4-1,12)&lt;=1),1-Inputs!$E$11,1+Inputs!$E$11/3)</f>
        <v>1.05</v>
      </c>
      <c r="R10" s="64" t="n">
        <f aca="false">IF(OR(MOD(R$4-1,12)&gt;=11,MOD(R$4-1,12)&lt;=1),1-Inputs!$E$11,1+Inputs!$E$11/3)</f>
        <v>1.05</v>
      </c>
      <c r="S10" s="64" t="n">
        <f aca="false">IF(OR(MOD(S$4-1,12)&gt;=11,MOD(S$4-1,12)&lt;=1),1-Inputs!$E$11,1+Inputs!$E$11/3)</f>
        <v>1.05</v>
      </c>
      <c r="T10" s="64" t="n">
        <f aca="false">IF(OR(MOD(T$4-1,12)&gt;=11,MOD(T$4-1,12)&lt;=1),1-Inputs!$E$11,1+Inputs!$E$11/3)</f>
        <v>1.05</v>
      </c>
      <c r="U10" s="64" t="n">
        <f aca="false">IF(OR(MOD(U$4-1,12)&gt;=11,MOD(U$4-1,12)&lt;=1),1-Inputs!$E$11,1+Inputs!$E$11/3)</f>
        <v>1.05</v>
      </c>
      <c r="V10" s="64" t="n">
        <f aca="false">IF(OR(MOD(V$4-1,12)&gt;=11,MOD(V$4-1,12)&lt;=1),1-Inputs!$E$11,1+Inputs!$E$11/3)</f>
        <v>1.05</v>
      </c>
      <c r="W10" s="64" t="n">
        <f aca="false">IF(OR(MOD(W$4-1,12)&gt;=11,MOD(W$4-1,12)&lt;=1),1-Inputs!$E$11,1+Inputs!$E$11/3)</f>
        <v>1.05</v>
      </c>
      <c r="X10" s="64" t="n">
        <f aca="false">IF(OR(MOD(X$4-1,12)&gt;=11,MOD(X$4-1,12)&lt;=1),1-Inputs!$E$11,1+Inputs!$E$11/3)</f>
        <v>1.05</v>
      </c>
      <c r="Y10" s="64" t="n">
        <f aca="false">IF(OR(MOD(Y$4-1,12)&gt;=11,MOD(Y$4-1,12)&lt;=1),1-Inputs!$E$11,1+Inputs!$E$11/3)</f>
        <v>1.05</v>
      </c>
      <c r="Z10" s="64" t="n">
        <f aca="false">IF(OR(MOD(Z$4-1,12)&gt;=11,MOD(Z$4-1,12)&lt;=1),1-Inputs!$E$11,1+Inputs!$E$11/3)</f>
        <v>0.85</v>
      </c>
      <c r="AA10" s="64" t="n">
        <f aca="false">IF(OR(MOD(AA$4-1,12)&gt;=11,MOD(AA$4-1,12)&lt;=1),1-Inputs!$E$11,1+Inputs!$E$11/3)</f>
        <v>0.85</v>
      </c>
      <c r="AB10" s="64" t="n">
        <f aca="false">IF(OR(MOD(AB$4-1,12)&gt;=11,MOD(AB$4-1,12)&lt;=1),1-Inputs!$E$11,1+Inputs!$E$11/3)</f>
        <v>0.85</v>
      </c>
      <c r="AC10" s="64" t="n">
        <f aca="false">IF(OR(MOD(AC$4-1,12)&gt;=11,MOD(AC$4-1,12)&lt;=1),1-Inputs!$E$11,1+Inputs!$E$11/3)</f>
        <v>1.05</v>
      </c>
      <c r="AD10" s="64" t="n">
        <f aca="false">IF(OR(MOD(AD$4-1,12)&gt;=11,MOD(AD$4-1,12)&lt;=1),1-Inputs!$E$11,1+Inputs!$E$11/3)</f>
        <v>1.05</v>
      </c>
      <c r="AE10" s="64" t="n">
        <f aca="false">IF(OR(MOD(AE$4-1,12)&gt;=11,MOD(AE$4-1,12)&lt;=1),1-Inputs!$E$11,1+Inputs!$E$11/3)</f>
        <v>1.05</v>
      </c>
      <c r="AF10" s="64" t="n">
        <f aca="false">IF(OR(MOD(AF$4-1,12)&gt;=11,MOD(AF$4-1,12)&lt;=1),1-Inputs!$E$11,1+Inputs!$E$11/3)</f>
        <v>1.05</v>
      </c>
      <c r="AG10" s="64" t="n">
        <f aca="false">IF(OR(MOD(AG$4-1,12)&gt;=11,MOD(AG$4-1,12)&lt;=1),1-Inputs!$E$11,1+Inputs!$E$11/3)</f>
        <v>1.05</v>
      </c>
      <c r="AH10" s="64" t="n">
        <f aca="false">IF(OR(MOD(AH$4-1,12)&gt;=11,MOD(AH$4-1,12)&lt;=1),1-Inputs!$E$11,1+Inputs!$E$11/3)</f>
        <v>1.05</v>
      </c>
      <c r="AI10" s="64" t="n">
        <f aca="false">IF(OR(MOD(AI$4-1,12)&gt;=11,MOD(AI$4-1,12)&lt;=1),1-Inputs!$E$11,1+Inputs!$E$11/3)</f>
        <v>1.05</v>
      </c>
      <c r="AJ10" s="64" t="n">
        <f aca="false">IF(OR(MOD(AJ$4-1,12)&gt;=11,MOD(AJ$4-1,12)&lt;=1),1-Inputs!$E$11,1+Inputs!$E$11/3)</f>
        <v>1.05</v>
      </c>
      <c r="AK10" s="64" t="n">
        <f aca="false">IF(OR(MOD(AK$4-1,12)&gt;=11,MOD(AK$4-1,12)&lt;=1),1-Inputs!$E$11,1+Inputs!$E$11/3)</f>
        <v>1.05</v>
      </c>
      <c r="AL10" s="64" t="n">
        <f aca="false">IF(OR(MOD(AL$4-1,12)&gt;=11,MOD(AL$4-1,12)&lt;=1),1-Inputs!$E$11,1+Inputs!$E$11/3)</f>
        <v>0.85</v>
      </c>
      <c r="AM10" s="64" t="n">
        <f aca="false">IF(OR(MOD(AM$4-1,12)&gt;=11,MOD(AM$4-1,12)&lt;=1),1-Inputs!$E$11,1+Inputs!$E$11/3)</f>
        <v>0.85</v>
      </c>
      <c r="AN10" s="64" t="n">
        <f aca="false">IF(OR(MOD(AN$4-1,12)&gt;=11,MOD(AN$4-1,12)&lt;=1),1-Inputs!$E$11,1+Inputs!$E$11/3)</f>
        <v>0.85</v>
      </c>
      <c r="AO10" s="64" t="n">
        <f aca="false">IF(OR(MOD(AO$4-1,12)&gt;=11,MOD(AO$4-1,12)&lt;=1),1-Inputs!$E$11,1+Inputs!$E$11/3)</f>
        <v>1.05</v>
      </c>
      <c r="AP10" s="64" t="n">
        <f aca="false">IF(OR(MOD(AP$4-1,12)&gt;=11,MOD(AP$4-1,12)&lt;=1),1-Inputs!$E$11,1+Inputs!$E$11/3)</f>
        <v>1.05</v>
      </c>
      <c r="AQ10" s="64" t="n">
        <f aca="false">IF(OR(MOD(AQ$4-1,12)&gt;=11,MOD(AQ$4-1,12)&lt;=1),1-Inputs!$E$11,1+Inputs!$E$11/3)</f>
        <v>1.05</v>
      </c>
      <c r="AR10" s="64" t="n">
        <f aca="false">IF(OR(MOD(AR$4-1,12)&gt;=11,MOD(AR$4-1,12)&lt;=1),1-Inputs!$E$11,1+Inputs!$E$11/3)</f>
        <v>1.05</v>
      </c>
      <c r="AS10" s="64" t="n">
        <f aca="false">IF(OR(MOD(AS$4-1,12)&gt;=11,MOD(AS$4-1,12)&lt;=1),1-Inputs!$E$11,1+Inputs!$E$11/3)</f>
        <v>1.05</v>
      </c>
      <c r="AT10" s="64" t="n">
        <f aca="false">IF(OR(MOD(AT$4-1,12)&gt;=11,MOD(AT$4-1,12)&lt;=1),1-Inputs!$E$11,1+Inputs!$E$11/3)</f>
        <v>1.05</v>
      </c>
      <c r="AU10" s="64" t="n">
        <f aca="false">IF(OR(MOD(AU$4-1,12)&gt;=11,MOD(AU$4-1,12)&lt;=1),1-Inputs!$E$11,1+Inputs!$E$11/3)</f>
        <v>1.05</v>
      </c>
      <c r="AV10" s="64" t="n">
        <f aca="false">IF(OR(MOD(AV$4-1,12)&gt;=11,MOD(AV$4-1,12)&lt;=1),1-Inputs!$E$11,1+Inputs!$E$11/3)</f>
        <v>1.05</v>
      </c>
      <c r="AW10" s="64" t="n">
        <f aca="false">IF(OR(MOD(AW$4-1,12)&gt;=11,MOD(AW$4-1,12)&lt;=1),1-Inputs!$E$11,1+Inputs!$E$11/3)</f>
        <v>1.05</v>
      </c>
      <c r="AX10" s="64" t="n">
        <f aca="false">IF(OR(MOD(AX$4-1,12)&gt;=11,MOD(AX$4-1,12)&lt;=1),1-Inputs!$E$11,1+Inputs!$E$11/3)</f>
        <v>0.85</v>
      </c>
      <c r="AY10" s="64" t="n">
        <f aca="false">IF(OR(MOD(AY$4-1,12)&gt;=11,MOD(AY$4-1,12)&lt;=1),1-Inputs!$E$11,1+Inputs!$E$11/3)</f>
        <v>0.85</v>
      </c>
      <c r="AZ10" s="64" t="n">
        <f aca="false">IF(OR(MOD(AZ$4-1,12)&gt;=11,MOD(AZ$4-1,12)&lt;=1),1-Inputs!$E$11,1+Inputs!$E$11/3)</f>
        <v>0.85</v>
      </c>
      <c r="BA10" s="64" t="n">
        <f aca="false">IF(OR(MOD(BA$4-1,12)&gt;=11,MOD(BA$4-1,12)&lt;=1),1-Inputs!$E$11,1+Inputs!$E$11/3)</f>
        <v>1.05</v>
      </c>
      <c r="BB10" s="64" t="n">
        <f aca="false">IF(OR(MOD(BB$4-1,12)&gt;=11,MOD(BB$4-1,12)&lt;=1),1-Inputs!$E$11,1+Inputs!$E$11/3)</f>
        <v>1.05</v>
      </c>
      <c r="BC10" s="64" t="n">
        <f aca="false">IF(OR(MOD(BC$4-1,12)&gt;=11,MOD(BC$4-1,12)&lt;=1),1-Inputs!$E$11,1+Inputs!$E$11/3)</f>
        <v>1.05</v>
      </c>
      <c r="BD10" s="64" t="n">
        <f aca="false">IF(OR(MOD(BD$4-1,12)&gt;=11,MOD(BD$4-1,12)&lt;=1),1-Inputs!$E$11,1+Inputs!$E$11/3)</f>
        <v>1.05</v>
      </c>
      <c r="BE10" s="64" t="n">
        <f aca="false">IF(OR(MOD(BE$4-1,12)&gt;=11,MOD(BE$4-1,12)&lt;=1),1-Inputs!$E$11,1+Inputs!$E$11/3)</f>
        <v>1.05</v>
      </c>
      <c r="BF10" s="64" t="n">
        <f aca="false">IF(OR(MOD(BF$4-1,12)&gt;=11,MOD(BF$4-1,12)&lt;=1),1-Inputs!$E$11,1+Inputs!$E$11/3)</f>
        <v>1.05</v>
      </c>
      <c r="BG10" s="64" t="n">
        <f aca="false">IF(OR(MOD(BG$4-1,12)&gt;=11,MOD(BG$4-1,12)&lt;=1),1-Inputs!$E$11,1+Inputs!$E$11/3)</f>
        <v>1.05</v>
      </c>
      <c r="BH10" s="64" t="n">
        <f aca="false">IF(OR(MOD(BH$4-1,12)&gt;=11,MOD(BH$4-1,12)&lt;=1),1-Inputs!$E$11,1+Inputs!$E$11/3)</f>
        <v>1.05</v>
      </c>
      <c r="BI10" s="64" t="n">
        <f aca="false">IF(OR(MOD(BI$4-1,12)&gt;=11,MOD(BI$4-1,12)&lt;=1),1-Inputs!$E$11,1+Inputs!$E$11/3)</f>
        <v>1.05</v>
      </c>
      <c r="BJ10" s="64" t="n">
        <f aca="false">IF(OR(MOD(BJ$4-1,12)&gt;=11,MOD(BJ$4-1,12)&lt;=1),1-Inputs!$E$11,1+Inputs!$E$11/3)</f>
        <v>0.85</v>
      </c>
    </row>
    <row r="11" customFormat="false" ht="15" hidden="false" customHeight="false" outlineLevel="0" collapsed="false">
      <c r="A11" s="6" t="s">
        <v>391</v>
      </c>
      <c r="C11" s="104" t="n">
        <f aca="false">Inputs!$E$7*Inputs!$E$8*1*C9*C10</f>
        <v>2662.2</v>
      </c>
      <c r="D11" s="104" t="n">
        <f aca="false">Inputs!$E$7*Inputs!$E$8*1*D9*D10</f>
        <v>3023.73333333333</v>
      </c>
      <c r="E11" s="104" t="n">
        <f aca="false">Inputs!$E$7*Inputs!$E$8*1*E9*E10</f>
        <v>4181.8</v>
      </c>
      <c r="F11" s="104" t="n">
        <f aca="false">Inputs!$E$7*Inputs!$E$8*1*F9*F10</f>
        <v>4628.4</v>
      </c>
      <c r="G11" s="104" t="n">
        <f aca="false">Inputs!$E$7*Inputs!$E$8*1*G9*G10</f>
        <v>5075</v>
      </c>
      <c r="H11" s="104" t="n">
        <f aca="false">Inputs!$E$7*Inputs!$E$8*1*H9*H10</f>
        <v>5521.6</v>
      </c>
      <c r="I11" s="104" t="n">
        <f aca="false">Inputs!$E$7*Inputs!$E$8*1*I9*I10</f>
        <v>5968.2</v>
      </c>
      <c r="J11" s="104" t="n">
        <f aca="false">Inputs!$E$7*Inputs!$E$8*1*J9*J10</f>
        <v>6414.8</v>
      </c>
      <c r="K11" s="104" t="n">
        <f aca="false">Inputs!$E$7*Inputs!$E$8*1*K9*K10</f>
        <v>6861.4</v>
      </c>
      <c r="L11" s="104" t="n">
        <f aca="false">Inputs!$E$7*Inputs!$E$8*1*L9*L10</f>
        <v>7308</v>
      </c>
      <c r="M11" s="104" t="n">
        <f aca="false">Inputs!$E$7*Inputs!$E$8*1*M9*M10</f>
        <v>7308</v>
      </c>
      <c r="N11" s="104" t="n">
        <f aca="false">Inputs!$E$7*Inputs!$E$8*1*N9*N10</f>
        <v>5916</v>
      </c>
      <c r="O11" s="104" t="n">
        <f aca="false">Inputs!$E$7*Inputs!$E$8*1*O9*O10</f>
        <v>5916</v>
      </c>
      <c r="P11" s="104" t="n">
        <f aca="false">Inputs!$E$7*Inputs!$E$8*1*P9*P10</f>
        <v>5916</v>
      </c>
      <c r="Q11" s="104" t="n">
        <f aca="false">Inputs!$E$7*Inputs!$E$8*1*Q9*Q10</f>
        <v>7308</v>
      </c>
      <c r="R11" s="104" t="n">
        <f aca="false">Inputs!$E$7*Inputs!$E$8*1*R9*R10</f>
        <v>7308</v>
      </c>
      <c r="S11" s="104" t="n">
        <f aca="false">Inputs!$E$7*Inputs!$E$8*1*S9*S10</f>
        <v>7308</v>
      </c>
      <c r="T11" s="104" t="n">
        <f aca="false">Inputs!$E$7*Inputs!$E$8*1*T9*T10</f>
        <v>7308</v>
      </c>
      <c r="U11" s="104" t="n">
        <f aca="false">Inputs!$E$7*Inputs!$E$8*1*U9*U10</f>
        <v>7308</v>
      </c>
      <c r="V11" s="104" t="n">
        <f aca="false">Inputs!$E$7*Inputs!$E$8*1*V9*V10</f>
        <v>7308</v>
      </c>
      <c r="W11" s="104" t="n">
        <f aca="false">Inputs!$E$7*Inputs!$E$8*1*W9*W10</f>
        <v>7308</v>
      </c>
      <c r="X11" s="104" t="n">
        <f aca="false">Inputs!$E$7*Inputs!$E$8*1*X9*X10</f>
        <v>7308</v>
      </c>
      <c r="Y11" s="104" t="n">
        <f aca="false">Inputs!$E$7*Inputs!$E$8*1*Y9*Y10</f>
        <v>7308</v>
      </c>
      <c r="Z11" s="104" t="n">
        <f aca="false">Inputs!$E$7*Inputs!$E$8*1*Z9*Z10</f>
        <v>5916</v>
      </c>
      <c r="AA11" s="104" t="n">
        <f aca="false">Inputs!$E$7*Inputs!$E$8*1*AA9*AA10</f>
        <v>5916</v>
      </c>
      <c r="AB11" s="104" t="n">
        <f aca="false">Inputs!$E$7*Inputs!$E$8*1*AB9*AB10</f>
        <v>5916</v>
      </c>
      <c r="AC11" s="104" t="n">
        <f aca="false">Inputs!$E$7*Inputs!$E$8*1*AC9*AC10</f>
        <v>7308</v>
      </c>
      <c r="AD11" s="104" t="n">
        <f aca="false">Inputs!$E$7*Inputs!$E$8*1*AD9*AD10</f>
        <v>7308</v>
      </c>
      <c r="AE11" s="104" t="n">
        <f aca="false">Inputs!$E$7*Inputs!$E$8*1*AE9*AE10</f>
        <v>7308</v>
      </c>
      <c r="AF11" s="104" t="n">
        <f aca="false">Inputs!$E$7*Inputs!$E$8*1*AF9*AF10</f>
        <v>7308</v>
      </c>
      <c r="AG11" s="104" t="n">
        <f aca="false">Inputs!$E$7*Inputs!$E$8*1*AG9*AG10</f>
        <v>7308</v>
      </c>
      <c r="AH11" s="104" t="n">
        <f aca="false">Inputs!$E$7*Inputs!$E$8*1*AH9*AH10</f>
        <v>7308</v>
      </c>
      <c r="AI11" s="104" t="n">
        <f aca="false">Inputs!$E$7*Inputs!$E$8*1*AI9*AI10</f>
        <v>7308</v>
      </c>
      <c r="AJ11" s="104" t="n">
        <f aca="false">Inputs!$E$7*Inputs!$E$8*1*AJ9*AJ10</f>
        <v>7308</v>
      </c>
      <c r="AK11" s="104" t="n">
        <f aca="false">Inputs!$E$7*Inputs!$E$8*1*AK9*AK10</f>
        <v>7308</v>
      </c>
      <c r="AL11" s="104" t="n">
        <f aca="false">Inputs!$E$7*Inputs!$E$8*1*AL9*AL10</f>
        <v>5916</v>
      </c>
      <c r="AM11" s="104" t="n">
        <f aca="false">Inputs!$E$7*Inputs!$E$8*1*AM9*AM10</f>
        <v>5916</v>
      </c>
      <c r="AN11" s="104" t="n">
        <f aca="false">Inputs!$E$7*Inputs!$E$8*1*AN9*AN10</f>
        <v>5916</v>
      </c>
      <c r="AO11" s="104" t="n">
        <f aca="false">Inputs!$E$7*Inputs!$E$8*1*AO9*AO10</f>
        <v>7308</v>
      </c>
      <c r="AP11" s="104" t="n">
        <f aca="false">Inputs!$E$7*Inputs!$E$8*1*AP9*AP10</f>
        <v>7308</v>
      </c>
      <c r="AQ11" s="104" t="n">
        <f aca="false">Inputs!$E$7*Inputs!$E$8*1*AQ9*AQ10</f>
        <v>7308</v>
      </c>
      <c r="AR11" s="104" t="n">
        <f aca="false">Inputs!$E$7*Inputs!$E$8*1*AR9*AR10</f>
        <v>7308</v>
      </c>
      <c r="AS11" s="104" t="n">
        <f aca="false">Inputs!$E$7*Inputs!$E$8*1*AS9*AS10</f>
        <v>7308</v>
      </c>
      <c r="AT11" s="104" t="n">
        <f aca="false">Inputs!$E$7*Inputs!$E$8*1*AT9*AT10</f>
        <v>7308</v>
      </c>
      <c r="AU11" s="104" t="n">
        <f aca="false">Inputs!$E$7*Inputs!$E$8*1*AU9*AU10</f>
        <v>7308</v>
      </c>
      <c r="AV11" s="104" t="n">
        <f aca="false">Inputs!$E$7*Inputs!$E$8*1*AV9*AV10</f>
        <v>7308</v>
      </c>
      <c r="AW11" s="104" t="n">
        <f aca="false">Inputs!$E$7*Inputs!$E$8*1*AW9*AW10</f>
        <v>7308</v>
      </c>
      <c r="AX11" s="104" t="n">
        <f aca="false">Inputs!$E$7*Inputs!$E$8*1*AX9*AX10</f>
        <v>5916</v>
      </c>
      <c r="AY11" s="104" t="n">
        <f aca="false">Inputs!$E$7*Inputs!$E$8*1*AY9*AY10</f>
        <v>5916</v>
      </c>
      <c r="AZ11" s="104" t="n">
        <f aca="false">Inputs!$E$7*Inputs!$E$8*1*AZ9*AZ10</f>
        <v>5916</v>
      </c>
      <c r="BA11" s="104" t="n">
        <f aca="false">Inputs!$E$7*Inputs!$E$8*1*BA9*BA10</f>
        <v>7308</v>
      </c>
      <c r="BB11" s="104" t="n">
        <f aca="false">Inputs!$E$7*Inputs!$E$8*1*BB9*BB10</f>
        <v>7308</v>
      </c>
      <c r="BC11" s="104" t="n">
        <f aca="false">Inputs!$E$7*Inputs!$E$8*1*BC9*BC10</f>
        <v>7308</v>
      </c>
      <c r="BD11" s="104" t="n">
        <f aca="false">Inputs!$E$7*Inputs!$E$8*1*BD9*BD10</f>
        <v>7308</v>
      </c>
      <c r="BE11" s="104" t="n">
        <f aca="false">Inputs!$E$7*Inputs!$E$8*1*BE9*BE10</f>
        <v>7308</v>
      </c>
      <c r="BF11" s="104" t="n">
        <f aca="false">Inputs!$E$7*Inputs!$E$8*1*BF9*BF10</f>
        <v>7308</v>
      </c>
      <c r="BG11" s="104" t="n">
        <f aca="false">Inputs!$E$7*Inputs!$E$8*1*BG9*BG10</f>
        <v>7308</v>
      </c>
      <c r="BH11" s="104" t="n">
        <f aca="false">Inputs!$E$7*Inputs!$E$8*1*BH9*BH10</f>
        <v>7308</v>
      </c>
      <c r="BI11" s="104" t="n">
        <f aca="false">Inputs!$E$7*Inputs!$E$8*1*BI9*BI10</f>
        <v>7308</v>
      </c>
      <c r="BJ11" s="104" t="n">
        <f aca="false">Inputs!$E$7*Inputs!$E$8*1*BJ9*BJ10</f>
        <v>5916</v>
      </c>
    </row>
    <row r="13" customFormat="false" ht="15.75" hidden="false" customHeight="true" outlineLevel="0" collapsed="false">
      <c r="A13" s="7" t="s">
        <v>392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393</v>
      </c>
      <c r="C14" s="103" t="n">
        <f aca="false">C11*Inputs!$E$22</f>
        <v>21.2976</v>
      </c>
      <c r="D14" s="103" t="n">
        <f aca="false">D11*Inputs!$E$22</f>
        <v>24.1898666666667</v>
      </c>
      <c r="E14" s="103" t="n">
        <f aca="false">E11*Inputs!$E$22</f>
        <v>33.4544</v>
      </c>
      <c r="F14" s="103" t="n">
        <f aca="false">F11*Inputs!$E$22</f>
        <v>37.0272</v>
      </c>
      <c r="G14" s="103" t="n">
        <f aca="false">G11*Inputs!$E$22</f>
        <v>40.6</v>
      </c>
      <c r="H14" s="103" t="n">
        <f aca="false">H11*Inputs!$E$22</f>
        <v>44.1728</v>
      </c>
      <c r="I14" s="103" t="n">
        <f aca="false">I11*Inputs!$E$22</f>
        <v>47.7456</v>
      </c>
      <c r="J14" s="103" t="n">
        <f aca="false">J11*Inputs!$E$22</f>
        <v>51.3184</v>
      </c>
      <c r="K14" s="103" t="n">
        <f aca="false">K11*Inputs!$E$22</f>
        <v>54.8912</v>
      </c>
      <c r="L14" s="103" t="n">
        <f aca="false">L11*Inputs!$E$22</f>
        <v>58.464</v>
      </c>
      <c r="M14" s="103" t="n">
        <f aca="false">M11*Inputs!$E$22</f>
        <v>58.464</v>
      </c>
      <c r="N14" s="103" t="n">
        <f aca="false">N11*Inputs!$E$22</f>
        <v>47.328</v>
      </c>
      <c r="O14" s="103" t="n">
        <f aca="false">O11*Inputs!$E$22</f>
        <v>47.328</v>
      </c>
      <c r="P14" s="103" t="n">
        <f aca="false">P11*Inputs!$E$22</f>
        <v>47.328</v>
      </c>
      <c r="Q14" s="103" t="n">
        <f aca="false">Q11*Inputs!$E$22</f>
        <v>58.464</v>
      </c>
      <c r="R14" s="103" t="n">
        <f aca="false">R11*Inputs!$E$22</f>
        <v>58.464</v>
      </c>
      <c r="S14" s="103" t="n">
        <f aca="false">S11*Inputs!$E$22</f>
        <v>58.464</v>
      </c>
      <c r="T14" s="103" t="n">
        <f aca="false">T11*Inputs!$E$22</f>
        <v>58.464</v>
      </c>
      <c r="U14" s="103" t="n">
        <f aca="false">U11*Inputs!$E$22</f>
        <v>58.464</v>
      </c>
      <c r="V14" s="103" t="n">
        <f aca="false">V11*Inputs!$E$22</f>
        <v>58.464</v>
      </c>
      <c r="W14" s="103" t="n">
        <f aca="false">W11*Inputs!$E$22</f>
        <v>58.464</v>
      </c>
      <c r="X14" s="103" t="n">
        <f aca="false">X11*Inputs!$E$22</f>
        <v>58.464</v>
      </c>
      <c r="Y14" s="103" t="n">
        <f aca="false">Y11*Inputs!$E$22</f>
        <v>58.464</v>
      </c>
      <c r="Z14" s="103" t="n">
        <f aca="false">Z11*Inputs!$E$22</f>
        <v>47.328</v>
      </c>
      <c r="AA14" s="103" t="n">
        <f aca="false">AA11*Inputs!$E$22</f>
        <v>47.328</v>
      </c>
      <c r="AB14" s="103" t="n">
        <f aca="false">AB11*Inputs!$E$22</f>
        <v>47.328</v>
      </c>
      <c r="AC14" s="103" t="n">
        <f aca="false">AC11*Inputs!$E$22</f>
        <v>58.464</v>
      </c>
      <c r="AD14" s="103" t="n">
        <f aca="false">AD11*Inputs!$E$22</f>
        <v>58.464</v>
      </c>
      <c r="AE14" s="103" t="n">
        <f aca="false">AE11*Inputs!$E$22</f>
        <v>58.464</v>
      </c>
      <c r="AF14" s="103" t="n">
        <f aca="false">AF11*Inputs!$E$22</f>
        <v>58.464</v>
      </c>
      <c r="AG14" s="103" t="n">
        <f aca="false">AG11*Inputs!$E$22</f>
        <v>58.464</v>
      </c>
      <c r="AH14" s="103" t="n">
        <f aca="false">AH11*Inputs!$E$22</f>
        <v>58.464</v>
      </c>
      <c r="AI14" s="103" t="n">
        <f aca="false">AI11*Inputs!$E$22</f>
        <v>58.464</v>
      </c>
      <c r="AJ14" s="103" t="n">
        <f aca="false">AJ11*Inputs!$E$22</f>
        <v>58.464</v>
      </c>
      <c r="AK14" s="103" t="n">
        <f aca="false">AK11*Inputs!$E$22</f>
        <v>58.464</v>
      </c>
      <c r="AL14" s="103" t="n">
        <f aca="false">AL11*Inputs!$E$22</f>
        <v>47.328</v>
      </c>
      <c r="AM14" s="103" t="n">
        <f aca="false">AM11*Inputs!$E$22</f>
        <v>47.328</v>
      </c>
      <c r="AN14" s="103" t="n">
        <f aca="false">AN11*Inputs!$E$22</f>
        <v>47.328</v>
      </c>
      <c r="AO14" s="103" t="n">
        <f aca="false">AO11*Inputs!$E$22</f>
        <v>58.464</v>
      </c>
      <c r="AP14" s="103" t="n">
        <f aca="false">AP11*Inputs!$E$22</f>
        <v>58.464</v>
      </c>
      <c r="AQ14" s="103" t="n">
        <f aca="false">AQ11*Inputs!$E$22</f>
        <v>58.464</v>
      </c>
      <c r="AR14" s="103" t="n">
        <f aca="false">AR11*Inputs!$E$22</f>
        <v>58.464</v>
      </c>
      <c r="AS14" s="103" t="n">
        <f aca="false">AS11*Inputs!$E$22</f>
        <v>58.464</v>
      </c>
      <c r="AT14" s="103" t="n">
        <f aca="false">AT11*Inputs!$E$22</f>
        <v>58.464</v>
      </c>
      <c r="AU14" s="103" t="n">
        <f aca="false">AU11*Inputs!$E$22</f>
        <v>58.464</v>
      </c>
      <c r="AV14" s="103" t="n">
        <f aca="false">AV11*Inputs!$E$22</f>
        <v>58.464</v>
      </c>
      <c r="AW14" s="103" t="n">
        <f aca="false">AW11*Inputs!$E$22</f>
        <v>58.464</v>
      </c>
      <c r="AX14" s="103" t="n">
        <f aca="false">AX11*Inputs!$E$22</f>
        <v>47.328</v>
      </c>
      <c r="AY14" s="103" t="n">
        <f aca="false">AY11*Inputs!$E$22</f>
        <v>47.328</v>
      </c>
      <c r="AZ14" s="103" t="n">
        <f aca="false">AZ11*Inputs!$E$22</f>
        <v>47.328</v>
      </c>
      <c r="BA14" s="103" t="n">
        <f aca="false">BA11*Inputs!$E$22</f>
        <v>58.464</v>
      </c>
      <c r="BB14" s="103" t="n">
        <f aca="false">BB11*Inputs!$E$22</f>
        <v>58.464</v>
      </c>
      <c r="BC14" s="103" t="n">
        <f aca="false">BC11*Inputs!$E$22</f>
        <v>58.464</v>
      </c>
      <c r="BD14" s="103" t="n">
        <f aca="false">BD11*Inputs!$E$22</f>
        <v>58.464</v>
      </c>
      <c r="BE14" s="103" t="n">
        <f aca="false">BE11*Inputs!$E$22</f>
        <v>58.464</v>
      </c>
      <c r="BF14" s="103" t="n">
        <f aca="false">BF11*Inputs!$E$22</f>
        <v>58.464</v>
      </c>
      <c r="BG14" s="103" t="n">
        <f aca="false">BG11*Inputs!$E$22</f>
        <v>58.464</v>
      </c>
      <c r="BH14" s="103" t="n">
        <f aca="false">BH11*Inputs!$E$22</f>
        <v>58.464</v>
      </c>
      <c r="BI14" s="103" t="n">
        <f aca="false">BI11*Inputs!$E$22</f>
        <v>58.464</v>
      </c>
      <c r="BJ14" s="103" t="n">
        <f aca="false">BJ11*Inputs!$E$22</f>
        <v>47.328</v>
      </c>
    </row>
    <row r="15" customFormat="false" ht="15" hidden="false" customHeight="false" outlineLevel="0" collapsed="false">
      <c r="A15" s="6" t="s">
        <v>394</v>
      </c>
      <c r="C15" s="103" t="n">
        <f aca="false">Inputs!$E$20*(1+Inputs!$E$21)^(C$5-1)*1*C9</f>
        <v>22.5</v>
      </c>
      <c r="D15" s="103" t="n">
        <f aca="false">Inputs!$E$20*(1+Inputs!$E$21)^(D$5-1)*1*D9</f>
        <v>25.5555555555556</v>
      </c>
      <c r="E15" s="103" t="n">
        <f aca="false">Inputs!$E$20*(1+Inputs!$E$21)^(E$5-1)*1*E9</f>
        <v>28.6111111111111</v>
      </c>
      <c r="F15" s="103" t="n">
        <f aca="false">Inputs!$E$20*(1+Inputs!$E$21)^(F$5-1)*1*F9</f>
        <v>31.6666666666667</v>
      </c>
      <c r="G15" s="103" t="n">
        <f aca="false">Inputs!$E$20*(1+Inputs!$E$21)^(G$5-1)*1*G9</f>
        <v>34.7222222222222</v>
      </c>
      <c r="H15" s="103" t="n">
        <f aca="false">Inputs!$E$20*(1+Inputs!$E$21)^(H$5-1)*1*H9</f>
        <v>37.7777777777778</v>
      </c>
      <c r="I15" s="103" t="n">
        <f aca="false">Inputs!$E$20*(1+Inputs!$E$21)^(I$5-1)*1*I9</f>
        <v>40.8333333333333</v>
      </c>
      <c r="J15" s="103" t="n">
        <f aca="false">Inputs!$E$20*(1+Inputs!$E$21)^(J$5-1)*1*J9</f>
        <v>43.8888888888889</v>
      </c>
      <c r="K15" s="103" t="n">
        <f aca="false">Inputs!$E$20*(1+Inputs!$E$21)^(K$5-1)*1*K9</f>
        <v>46.9444444444444</v>
      </c>
      <c r="L15" s="103" t="n">
        <f aca="false">Inputs!$E$20*(1+Inputs!$E$21)^(L$5-1)*1*L9</f>
        <v>50</v>
      </c>
      <c r="M15" s="103" t="n">
        <f aca="false">Inputs!$E$20*(1+Inputs!$E$21)^(M$5-1)*1*M9</f>
        <v>50</v>
      </c>
      <c r="N15" s="103" t="n">
        <f aca="false">Inputs!$E$20*(1+Inputs!$E$21)^(N$5-1)*1*N9</f>
        <v>50</v>
      </c>
      <c r="O15" s="103" t="n">
        <f aca="false">Inputs!$E$20*(1+Inputs!$E$21)^(O$5-1)*1*O9</f>
        <v>52.5</v>
      </c>
      <c r="P15" s="103" t="n">
        <f aca="false">Inputs!$E$20*(1+Inputs!$E$21)^(P$5-1)*1*P9</f>
        <v>52.5</v>
      </c>
      <c r="Q15" s="103" t="n">
        <f aca="false">Inputs!$E$20*(1+Inputs!$E$21)^(Q$5-1)*1*Q9</f>
        <v>52.5</v>
      </c>
      <c r="R15" s="103" t="n">
        <f aca="false">Inputs!$E$20*(1+Inputs!$E$21)^(R$5-1)*1*R9</f>
        <v>52.5</v>
      </c>
      <c r="S15" s="103" t="n">
        <f aca="false">Inputs!$E$20*(1+Inputs!$E$21)^(S$5-1)*1*S9</f>
        <v>52.5</v>
      </c>
      <c r="T15" s="103" t="n">
        <f aca="false">Inputs!$E$20*(1+Inputs!$E$21)^(T$5-1)*1*T9</f>
        <v>52.5</v>
      </c>
      <c r="U15" s="103" t="n">
        <f aca="false">Inputs!$E$20*(1+Inputs!$E$21)^(U$5-1)*1*U9</f>
        <v>52.5</v>
      </c>
      <c r="V15" s="103" t="n">
        <f aca="false">Inputs!$E$20*(1+Inputs!$E$21)^(V$5-1)*1*V9</f>
        <v>52.5</v>
      </c>
      <c r="W15" s="103" t="n">
        <f aca="false">Inputs!$E$20*(1+Inputs!$E$21)^(W$5-1)*1*W9</f>
        <v>52.5</v>
      </c>
      <c r="X15" s="103" t="n">
        <f aca="false">Inputs!$E$20*(1+Inputs!$E$21)^(X$5-1)*1*X9</f>
        <v>52.5</v>
      </c>
      <c r="Y15" s="103" t="n">
        <f aca="false">Inputs!$E$20*(1+Inputs!$E$21)^(Y$5-1)*1*Y9</f>
        <v>52.5</v>
      </c>
      <c r="Z15" s="103" t="n">
        <f aca="false">Inputs!$E$20*(1+Inputs!$E$21)^(Z$5-1)*1*Z9</f>
        <v>52.5</v>
      </c>
      <c r="AA15" s="103" t="n">
        <f aca="false">Inputs!$E$20*(1+Inputs!$E$21)^(AA$5-1)*1*AA9</f>
        <v>55.125</v>
      </c>
      <c r="AB15" s="103" t="n">
        <f aca="false">Inputs!$E$20*(1+Inputs!$E$21)^(AB$5-1)*1*AB9</f>
        <v>55.125</v>
      </c>
      <c r="AC15" s="103" t="n">
        <f aca="false">Inputs!$E$20*(1+Inputs!$E$21)^(AC$5-1)*1*AC9</f>
        <v>55.125</v>
      </c>
      <c r="AD15" s="103" t="n">
        <f aca="false">Inputs!$E$20*(1+Inputs!$E$21)^(AD$5-1)*1*AD9</f>
        <v>55.125</v>
      </c>
      <c r="AE15" s="103" t="n">
        <f aca="false">Inputs!$E$20*(1+Inputs!$E$21)^(AE$5-1)*1*AE9</f>
        <v>55.125</v>
      </c>
      <c r="AF15" s="103" t="n">
        <f aca="false">Inputs!$E$20*(1+Inputs!$E$21)^(AF$5-1)*1*AF9</f>
        <v>55.125</v>
      </c>
      <c r="AG15" s="103" t="n">
        <f aca="false">Inputs!$E$20*(1+Inputs!$E$21)^(AG$5-1)*1*AG9</f>
        <v>55.125</v>
      </c>
      <c r="AH15" s="103" t="n">
        <f aca="false">Inputs!$E$20*(1+Inputs!$E$21)^(AH$5-1)*1*AH9</f>
        <v>55.125</v>
      </c>
      <c r="AI15" s="103" t="n">
        <f aca="false">Inputs!$E$20*(1+Inputs!$E$21)^(AI$5-1)*1*AI9</f>
        <v>55.125</v>
      </c>
      <c r="AJ15" s="103" t="n">
        <f aca="false">Inputs!$E$20*(1+Inputs!$E$21)^(AJ$5-1)*1*AJ9</f>
        <v>55.125</v>
      </c>
      <c r="AK15" s="103" t="n">
        <f aca="false">Inputs!$E$20*(1+Inputs!$E$21)^(AK$5-1)*1*AK9</f>
        <v>55.125</v>
      </c>
      <c r="AL15" s="103" t="n">
        <f aca="false">Inputs!$E$20*(1+Inputs!$E$21)^(AL$5-1)*1*AL9</f>
        <v>55.125</v>
      </c>
      <c r="AM15" s="103" t="n">
        <f aca="false">Inputs!$E$20*(1+Inputs!$E$21)^(AM$5-1)*1*AM9</f>
        <v>57.88125</v>
      </c>
      <c r="AN15" s="103" t="n">
        <f aca="false">Inputs!$E$20*(1+Inputs!$E$21)^(AN$5-1)*1*AN9</f>
        <v>57.88125</v>
      </c>
      <c r="AO15" s="103" t="n">
        <f aca="false">Inputs!$E$20*(1+Inputs!$E$21)^(AO$5-1)*1*AO9</f>
        <v>57.88125</v>
      </c>
      <c r="AP15" s="103" t="n">
        <f aca="false">Inputs!$E$20*(1+Inputs!$E$21)^(AP$5-1)*1*AP9</f>
        <v>57.88125</v>
      </c>
      <c r="AQ15" s="103" t="n">
        <f aca="false">Inputs!$E$20*(1+Inputs!$E$21)^(AQ$5-1)*1*AQ9</f>
        <v>57.88125</v>
      </c>
      <c r="AR15" s="103" t="n">
        <f aca="false">Inputs!$E$20*(1+Inputs!$E$21)^(AR$5-1)*1*AR9</f>
        <v>57.88125</v>
      </c>
      <c r="AS15" s="103" t="n">
        <f aca="false">Inputs!$E$20*(1+Inputs!$E$21)^(AS$5-1)*1*AS9</f>
        <v>57.88125</v>
      </c>
      <c r="AT15" s="103" t="n">
        <f aca="false">Inputs!$E$20*(1+Inputs!$E$21)^(AT$5-1)*1*AT9</f>
        <v>57.88125</v>
      </c>
      <c r="AU15" s="103" t="n">
        <f aca="false">Inputs!$E$20*(1+Inputs!$E$21)^(AU$5-1)*1*AU9</f>
        <v>57.88125</v>
      </c>
      <c r="AV15" s="103" t="n">
        <f aca="false">Inputs!$E$20*(1+Inputs!$E$21)^(AV$5-1)*1*AV9</f>
        <v>57.88125</v>
      </c>
      <c r="AW15" s="103" t="n">
        <f aca="false">Inputs!$E$20*(1+Inputs!$E$21)^(AW$5-1)*1*AW9</f>
        <v>57.88125</v>
      </c>
      <c r="AX15" s="103" t="n">
        <f aca="false">Inputs!$E$20*(1+Inputs!$E$21)^(AX$5-1)*1*AX9</f>
        <v>57.88125</v>
      </c>
      <c r="AY15" s="103" t="n">
        <f aca="false">Inputs!$E$20*(1+Inputs!$E$21)^(AY$5-1)*1*AY9</f>
        <v>60.7753125</v>
      </c>
      <c r="AZ15" s="103" t="n">
        <f aca="false">Inputs!$E$20*(1+Inputs!$E$21)^(AZ$5-1)*1*AZ9</f>
        <v>60.7753125</v>
      </c>
      <c r="BA15" s="103" t="n">
        <f aca="false">Inputs!$E$20*(1+Inputs!$E$21)^(BA$5-1)*1*BA9</f>
        <v>60.7753125</v>
      </c>
      <c r="BB15" s="103" t="n">
        <f aca="false">Inputs!$E$20*(1+Inputs!$E$21)^(BB$5-1)*1*BB9</f>
        <v>60.7753125</v>
      </c>
      <c r="BC15" s="103" t="n">
        <f aca="false">Inputs!$E$20*(1+Inputs!$E$21)^(BC$5-1)*1*BC9</f>
        <v>60.7753125</v>
      </c>
      <c r="BD15" s="103" t="n">
        <f aca="false">Inputs!$E$20*(1+Inputs!$E$21)^(BD$5-1)*1*BD9</f>
        <v>60.7753125</v>
      </c>
      <c r="BE15" s="103" t="n">
        <f aca="false">Inputs!$E$20*(1+Inputs!$E$21)^(BE$5-1)*1*BE9</f>
        <v>60.7753125</v>
      </c>
      <c r="BF15" s="103" t="n">
        <f aca="false">Inputs!$E$20*(1+Inputs!$E$21)^(BF$5-1)*1*BF9</f>
        <v>60.7753125</v>
      </c>
      <c r="BG15" s="103" t="n">
        <f aca="false">Inputs!$E$20*(1+Inputs!$E$21)^(BG$5-1)*1*BG9</f>
        <v>60.7753125</v>
      </c>
      <c r="BH15" s="103" t="n">
        <f aca="false">Inputs!$E$20*(1+Inputs!$E$21)^(BH$5-1)*1*BH9</f>
        <v>60.7753125</v>
      </c>
      <c r="BI15" s="103" t="n">
        <f aca="false">Inputs!$E$20*(1+Inputs!$E$21)^(BI$5-1)*1*BI9</f>
        <v>60.7753125</v>
      </c>
      <c r="BJ15" s="103" t="n">
        <f aca="false">Inputs!$E$20*(1+Inputs!$E$21)^(BJ$5-1)*1*BJ9</f>
        <v>60.7753125</v>
      </c>
    </row>
    <row r="16" customFormat="false" ht="15" hidden="false" customHeight="false" outlineLevel="0" collapsed="false">
      <c r="A16" s="4" t="s">
        <v>395</v>
      </c>
      <c r="C16" s="105" t="n">
        <f aca="false">C14+C15</f>
        <v>43.7976</v>
      </c>
      <c r="D16" s="105" t="n">
        <f aca="false">D14+D15</f>
        <v>49.7454222222222</v>
      </c>
      <c r="E16" s="105" t="n">
        <f aca="false">E14+E15</f>
        <v>62.0655111111111</v>
      </c>
      <c r="F16" s="105" t="n">
        <f aca="false">F14+F15</f>
        <v>68.6938666666667</v>
      </c>
      <c r="G16" s="105" t="n">
        <f aca="false">G14+G15</f>
        <v>75.3222222222222</v>
      </c>
      <c r="H16" s="105" t="n">
        <f aca="false">H14+H15</f>
        <v>81.9505777777778</v>
      </c>
      <c r="I16" s="105" t="n">
        <f aca="false">I14+I15</f>
        <v>88.5789333333333</v>
      </c>
      <c r="J16" s="105" t="n">
        <f aca="false">J14+J15</f>
        <v>95.2072888888889</v>
      </c>
      <c r="K16" s="105" t="n">
        <f aca="false">K14+K15</f>
        <v>101.835644444444</v>
      </c>
      <c r="L16" s="105" t="n">
        <f aca="false">L14+L15</f>
        <v>108.464</v>
      </c>
      <c r="M16" s="105" t="n">
        <f aca="false">M14+M15</f>
        <v>108.464</v>
      </c>
      <c r="N16" s="105" t="n">
        <f aca="false">N14+N15</f>
        <v>97.328</v>
      </c>
      <c r="O16" s="105" t="n">
        <f aca="false">O14+O15</f>
        <v>99.828</v>
      </c>
      <c r="P16" s="105" t="n">
        <f aca="false">P14+P15</f>
        <v>99.828</v>
      </c>
      <c r="Q16" s="105" t="n">
        <f aca="false">Q14+Q15</f>
        <v>110.964</v>
      </c>
      <c r="R16" s="105" t="n">
        <f aca="false">R14+R15</f>
        <v>110.964</v>
      </c>
      <c r="S16" s="105" t="n">
        <f aca="false">S14+S15</f>
        <v>110.964</v>
      </c>
      <c r="T16" s="105" t="n">
        <f aca="false">T14+T15</f>
        <v>110.964</v>
      </c>
      <c r="U16" s="105" t="n">
        <f aca="false">U14+U15</f>
        <v>110.964</v>
      </c>
      <c r="V16" s="105" t="n">
        <f aca="false">V14+V15</f>
        <v>110.964</v>
      </c>
      <c r="W16" s="105" t="n">
        <f aca="false">W14+W15</f>
        <v>110.964</v>
      </c>
      <c r="X16" s="105" t="n">
        <f aca="false">X14+X15</f>
        <v>110.964</v>
      </c>
      <c r="Y16" s="105" t="n">
        <f aca="false">Y14+Y15</f>
        <v>110.964</v>
      </c>
      <c r="Z16" s="105" t="n">
        <f aca="false">Z14+Z15</f>
        <v>99.828</v>
      </c>
      <c r="AA16" s="105" t="n">
        <f aca="false">AA14+AA15</f>
        <v>102.453</v>
      </c>
      <c r="AB16" s="105" t="n">
        <f aca="false">AB14+AB15</f>
        <v>102.453</v>
      </c>
      <c r="AC16" s="105" t="n">
        <f aca="false">AC14+AC15</f>
        <v>113.589</v>
      </c>
      <c r="AD16" s="105" t="n">
        <f aca="false">AD14+AD15</f>
        <v>113.589</v>
      </c>
      <c r="AE16" s="105" t="n">
        <f aca="false">AE14+AE15</f>
        <v>113.589</v>
      </c>
      <c r="AF16" s="105" t="n">
        <f aca="false">AF14+AF15</f>
        <v>113.589</v>
      </c>
      <c r="AG16" s="105" t="n">
        <f aca="false">AG14+AG15</f>
        <v>113.589</v>
      </c>
      <c r="AH16" s="105" t="n">
        <f aca="false">AH14+AH15</f>
        <v>113.589</v>
      </c>
      <c r="AI16" s="105" t="n">
        <f aca="false">AI14+AI15</f>
        <v>113.589</v>
      </c>
      <c r="AJ16" s="105" t="n">
        <f aca="false">AJ14+AJ15</f>
        <v>113.589</v>
      </c>
      <c r="AK16" s="105" t="n">
        <f aca="false">AK14+AK15</f>
        <v>113.589</v>
      </c>
      <c r="AL16" s="105" t="n">
        <f aca="false">AL14+AL15</f>
        <v>102.453</v>
      </c>
      <c r="AM16" s="105" t="n">
        <f aca="false">AM14+AM15</f>
        <v>105.20925</v>
      </c>
      <c r="AN16" s="105" t="n">
        <f aca="false">AN14+AN15</f>
        <v>105.20925</v>
      </c>
      <c r="AO16" s="105" t="n">
        <f aca="false">AO14+AO15</f>
        <v>116.34525</v>
      </c>
      <c r="AP16" s="105" t="n">
        <f aca="false">AP14+AP15</f>
        <v>116.34525</v>
      </c>
      <c r="AQ16" s="105" t="n">
        <f aca="false">AQ14+AQ15</f>
        <v>116.34525</v>
      </c>
      <c r="AR16" s="105" t="n">
        <f aca="false">AR14+AR15</f>
        <v>116.34525</v>
      </c>
      <c r="AS16" s="105" t="n">
        <f aca="false">AS14+AS15</f>
        <v>116.34525</v>
      </c>
      <c r="AT16" s="105" t="n">
        <f aca="false">AT14+AT15</f>
        <v>116.34525</v>
      </c>
      <c r="AU16" s="105" t="n">
        <f aca="false">AU14+AU15</f>
        <v>116.34525</v>
      </c>
      <c r="AV16" s="105" t="n">
        <f aca="false">AV14+AV15</f>
        <v>116.34525</v>
      </c>
      <c r="AW16" s="105" t="n">
        <f aca="false">AW14+AW15</f>
        <v>116.34525</v>
      </c>
      <c r="AX16" s="105" t="n">
        <f aca="false">AX14+AX15</f>
        <v>105.20925</v>
      </c>
      <c r="AY16" s="105" t="n">
        <f aca="false">AY14+AY15</f>
        <v>108.1033125</v>
      </c>
      <c r="AZ16" s="105" t="n">
        <f aca="false">AZ14+AZ15</f>
        <v>108.1033125</v>
      </c>
      <c r="BA16" s="105" t="n">
        <f aca="false">BA14+BA15</f>
        <v>119.2393125</v>
      </c>
      <c r="BB16" s="105" t="n">
        <f aca="false">BB14+BB15</f>
        <v>119.2393125</v>
      </c>
      <c r="BC16" s="105" t="n">
        <f aca="false">BC14+BC15</f>
        <v>119.2393125</v>
      </c>
      <c r="BD16" s="105" t="n">
        <f aca="false">BD14+BD15</f>
        <v>119.2393125</v>
      </c>
      <c r="BE16" s="105" t="n">
        <f aca="false">BE14+BE15</f>
        <v>119.2393125</v>
      </c>
      <c r="BF16" s="105" t="n">
        <f aca="false">BF14+BF15</f>
        <v>119.2393125</v>
      </c>
      <c r="BG16" s="105" t="n">
        <f aca="false">BG14+BG15</f>
        <v>119.2393125</v>
      </c>
      <c r="BH16" s="105" t="n">
        <f aca="false">BH14+BH15</f>
        <v>119.2393125</v>
      </c>
      <c r="BI16" s="105" t="n">
        <f aca="false">BI14+BI15</f>
        <v>119.2393125</v>
      </c>
      <c r="BJ16" s="105" t="n">
        <f aca="false">BJ14+BJ15</f>
        <v>108.1033125</v>
      </c>
    </row>
    <row r="17" customFormat="false" ht="15" hidden="false" customHeight="false" outlineLevel="0" collapsed="false">
      <c r="A17" s="6" t="s">
        <v>396</v>
      </c>
      <c r="C17" s="106" t="n">
        <f aca="false">Inputs!$E$19</f>
        <v>250</v>
      </c>
      <c r="D17" s="103" t="n">
        <f aca="false">C19</f>
        <v>283.7976</v>
      </c>
      <c r="E17" s="103" t="n">
        <f aca="false">D19</f>
        <v>322.191118222222</v>
      </c>
      <c r="F17" s="103" t="n">
        <f aca="false">E19</f>
        <v>371.368984604444</v>
      </c>
      <c r="G17" s="103" t="n">
        <f aca="false">F19</f>
        <v>425.208091886933</v>
      </c>
      <c r="H17" s="103" t="n">
        <f aca="false">G19</f>
        <v>483.521990433678</v>
      </c>
      <c r="I17" s="103" t="n">
        <f aca="false">H19</f>
        <v>546.131688594109</v>
      </c>
      <c r="J17" s="103" t="n">
        <f aca="false">I19</f>
        <v>612.865354383678</v>
      </c>
      <c r="K17" s="103" t="n">
        <f aca="false">J19</f>
        <v>683.55802909722</v>
      </c>
      <c r="L17" s="103" t="n">
        <f aca="false">K19</f>
        <v>758.051352377775</v>
      </c>
      <c r="M17" s="103" t="n">
        <f aca="false">L19</f>
        <v>836.193298282664</v>
      </c>
      <c r="N17" s="103" t="n">
        <f aca="false">M19</f>
        <v>911.209566351358</v>
      </c>
      <c r="O17" s="103" t="n">
        <f aca="false">N19</f>
        <v>972.089183697303</v>
      </c>
      <c r="P17" s="103" t="n">
        <f aca="false">O19</f>
        <v>1033.03361634941</v>
      </c>
      <c r="Q17" s="103" t="n">
        <f aca="false">P19</f>
        <v>1091.54027169543</v>
      </c>
      <c r="R17" s="103" t="n">
        <f aca="false">Q19</f>
        <v>1158.84266082762</v>
      </c>
      <c r="S17" s="103" t="n">
        <f aca="false">R19</f>
        <v>1223.45295439451</v>
      </c>
      <c r="T17" s="103" t="n">
        <f aca="false">S19</f>
        <v>1285.47883621873</v>
      </c>
      <c r="U17" s="103" t="n">
        <f aca="false">T19</f>
        <v>1345.02368276998</v>
      </c>
      <c r="V17" s="103" t="n">
        <f aca="false">U19</f>
        <v>1402.18673545918</v>
      </c>
      <c r="W17" s="103" t="n">
        <f aca="false">V19</f>
        <v>1457.06326604082</v>
      </c>
      <c r="X17" s="103" t="n">
        <f aca="false">W19</f>
        <v>1509.74473539918</v>
      </c>
      <c r="Y17" s="103" t="n">
        <f aca="false">X19</f>
        <v>1560.31894598322</v>
      </c>
      <c r="Z17" s="103" t="n">
        <f aca="false">Y19</f>
        <v>1608.87018814389</v>
      </c>
      <c r="AA17" s="103" t="n">
        <f aca="false">Z19</f>
        <v>1644.34338061813</v>
      </c>
      <c r="AB17" s="103" t="n">
        <f aca="false">AA19</f>
        <v>1681.02264539341</v>
      </c>
      <c r="AC17" s="103" t="n">
        <f aca="false">AB19</f>
        <v>1716.23473957767</v>
      </c>
      <c r="AD17" s="103" t="n">
        <f aca="false">AC19</f>
        <v>1761.17434999456</v>
      </c>
      <c r="AE17" s="103" t="n">
        <f aca="false">AD19</f>
        <v>1804.31637599478</v>
      </c>
      <c r="AF17" s="103" t="n">
        <f aca="false">AE19</f>
        <v>1845.73272095499</v>
      </c>
      <c r="AG17" s="103" t="n">
        <f aca="false">AF19</f>
        <v>1885.49241211679</v>
      </c>
      <c r="AH17" s="103" t="n">
        <f aca="false">AG19</f>
        <v>1923.66171563212</v>
      </c>
      <c r="AI17" s="103" t="n">
        <f aca="false">AH19</f>
        <v>1960.30424700683</v>
      </c>
      <c r="AJ17" s="103" t="n">
        <f aca="false">AI19</f>
        <v>1995.48107712656</v>
      </c>
      <c r="AK17" s="103" t="n">
        <f aca="false">AJ19</f>
        <v>2029.2508340415</v>
      </c>
      <c r="AL17" s="103" t="n">
        <f aca="false">AK19</f>
        <v>2061.66980067984</v>
      </c>
      <c r="AM17" s="103" t="n">
        <f aca="false">AL19</f>
        <v>2081.65600865264</v>
      </c>
      <c r="AN17" s="103" t="n">
        <f aca="false">AM19</f>
        <v>2103.59901830654</v>
      </c>
      <c r="AO17" s="103" t="n">
        <f aca="false">AN19</f>
        <v>2124.66430757428</v>
      </c>
      <c r="AP17" s="103" t="n">
        <f aca="false">AO19</f>
        <v>2156.0229852713</v>
      </c>
      <c r="AQ17" s="103" t="n">
        <f aca="false">AP19</f>
        <v>2186.12731586045</v>
      </c>
      <c r="AR17" s="103" t="n">
        <f aca="false">AQ19</f>
        <v>2215.02747322603</v>
      </c>
      <c r="AS17" s="103" t="n">
        <f aca="false">AR19</f>
        <v>2242.77162429699</v>
      </c>
      <c r="AT17" s="103" t="n">
        <f aca="false">AS19</f>
        <v>2269.40600932511</v>
      </c>
      <c r="AU17" s="103" t="n">
        <f aca="false">AT19</f>
        <v>2294.97501895211</v>
      </c>
      <c r="AV17" s="103" t="n">
        <f aca="false">AU19</f>
        <v>2319.52126819402</v>
      </c>
      <c r="AW17" s="103" t="n">
        <f aca="false">AV19</f>
        <v>2343.08566746626</v>
      </c>
      <c r="AX17" s="103" t="n">
        <f aca="false">AW19</f>
        <v>2365.70749076761</v>
      </c>
      <c r="AY17" s="103" t="n">
        <f aca="false">AX19</f>
        <v>2376.28844113691</v>
      </c>
      <c r="AZ17" s="103" t="n">
        <f aca="false">AY19</f>
        <v>2389.34021599143</v>
      </c>
      <c r="BA17" s="103" t="n">
        <f aca="false">AZ19</f>
        <v>2401.86991985177</v>
      </c>
      <c r="BB17" s="103" t="n">
        <f aca="false">BA19</f>
        <v>2425.0344355577</v>
      </c>
      <c r="BC17" s="103" t="n">
        <f aca="false">BB19</f>
        <v>2447.27237063539</v>
      </c>
      <c r="BD17" s="103" t="n">
        <f aca="false">BC19</f>
        <v>2468.62078830998</v>
      </c>
      <c r="BE17" s="103" t="n">
        <f aca="false">BD19</f>
        <v>2489.11526927758</v>
      </c>
      <c r="BF17" s="103" t="n">
        <f aca="false">BE19</f>
        <v>2508.78997100648</v>
      </c>
      <c r="BG17" s="103" t="n">
        <f aca="false">BF19</f>
        <v>2527.67768466622</v>
      </c>
      <c r="BH17" s="103" t="n">
        <f aca="false">BG19</f>
        <v>2545.80988977957</v>
      </c>
      <c r="BI17" s="103" t="n">
        <f aca="false">BH19</f>
        <v>2563.21680668838</v>
      </c>
      <c r="BJ17" s="103" t="n">
        <f aca="false">BI19</f>
        <v>2579.92744692085</v>
      </c>
    </row>
    <row r="18" customFormat="false" ht="15" hidden="false" customHeight="false" outlineLevel="0" collapsed="false">
      <c r="A18" s="6" t="s">
        <v>397</v>
      </c>
      <c r="C18" s="103" t="n">
        <f aca="false">C19-C17-C16</f>
        <v>-10</v>
      </c>
      <c r="D18" s="103" t="n">
        <f aca="false">D19-D17-D16</f>
        <v>-11.351904</v>
      </c>
      <c r="E18" s="103" t="n">
        <f aca="false">E19-E17-E16</f>
        <v>-12.8876447288889</v>
      </c>
      <c r="F18" s="103" t="n">
        <f aca="false">F19-F17-F16</f>
        <v>-14.8547593841778</v>
      </c>
      <c r="G18" s="103" t="n">
        <f aca="false">G19-G17-G16</f>
        <v>-17.0083236754773</v>
      </c>
      <c r="H18" s="103" t="n">
        <f aca="false">H19-H17-H16</f>
        <v>-19.3408796173471</v>
      </c>
      <c r="I18" s="103" t="n">
        <f aca="false">I19-I17-I16</f>
        <v>-21.8452675437644</v>
      </c>
      <c r="J18" s="103" t="n">
        <f aca="false">J19-J17-J16</f>
        <v>-24.5146141753471</v>
      </c>
      <c r="K18" s="103" t="n">
        <f aca="false">K19-K17-K16</f>
        <v>-27.3423211638887</v>
      </c>
      <c r="L18" s="103" t="n">
        <f aca="false">L19-L17-L16</f>
        <v>-30.322054095111</v>
      </c>
      <c r="M18" s="103" t="n">
        <f aca="false">M19-M17-M16</f>
        <v>-33.4477319313067</v>
      </c>
      <c r="N18" s="103" t="n">
        <f aca="false">N19-N17-N16</f>
        <v>-36.4483826540543</v>
      </c>
      <c r="O18" s="103" t="n">
        <f aca="false">O19-O17-O16</f>
        <v>-38.8835673478921</v>
      </c>
      <c r="P18" s="103" t="n">
        <f aca="false">P19-P17-P16</f>
        <v>-41.3213446539765</v>
      </c>
      <c r="Q18" s="103" t="n">
        <f aca="false">Q19-Q17-Q16</f>
        <v>-43.6616108678175</v>
      </c>
      <c r="R18" s="103" t="n">
        <f aca="false">R19-R17-R16</f>
        <v>-46.3537064331047</v>
      </c>
      <c r="S18" s="103" t="n">
        <f aca="false">S19-S17-S16</f>
        <v>-48.9381181757806</v>
      </c>
      <c r="T18" s="103" t="n">
        <f aca="false">T19-T17-T16</f>
        <v>-51.4191534487493</v>
      </c>
      <c r="U18" s="103" t="n">
        <f aca="false">U19-U17-U16</f>
        <v>-53.8009473107994</v>
      </c>
      <c r="V18" s="103" t="n">
        <f aca="false">V19-V17-V16</f>
        <v>-56.0874694183675</v>
      </c>
      <c r="W18" s="103" t="n">
        <f aca="false">W19-W17-W16</f>
        <v>-58.2825306416328</v>
      </c>
      <c r="X18" s="103" t="n">
        <f aca="false">X19-X17-X16</f>
        <v>-60.3897894159675</v>
      </c>
      <c r="Y18" s="103" t="n">
        <f aca="false">Y19-Y17-Y16</f>
        <v>-62.4127578393287</v>
      </c>
      <c r="Z18" s="103" t="n">
        <f aca="false">Z19-Z17-Z16</f>
        <v>-64.3548075257557</v>
      </c>
      <c r="AA18" s="103" t="n">
        <f aca="false">AA19-AA17-AA16</f>
        <v>-65.7737352247252</v>
      </c>
      <c r="AB18" s="103" t="n">
        <f aca="false">AB19-AB17-AB16</f>
        <v>-67.2409058157364</v>
      </c>
      <c r="AC18" s="103" t="n">
        <f aca="false">AC19-AC17-AC16</f>
        <v>-68.6493895831068</v>
      </c>
      <c r="AD18" s="103" t="n">
        <f aca="false">AD19-AD17-AD16</f>
        <v>-70.4469739997826</v>
      </c>
      <c r="AE18" s="103" t="n">
        <f aca="false">AE19-AE17-AE16</f>
        <v>-72.1726550397912</v>
      </c>
      <c r="AF18" s="103" t="n">
        <f aca="false">AF19-AF17-AF16</f>
        <v>-73.8293088381998</v>
      </c>
      <c r="AG18" s="103" t="n">
        <f aca="false">AG19-AG17-AG16</f>
        <v>-75.4196964846718</v>
      </c>
      <c r="AH18" s="103" t="n">
        <f aca="false">AH19-AH17-AH16</f>
        <v>-76.9464686252848</v>
      </c>
      <c r="AI18" s="103" t="n">
        <f aca="false">AI19-AI17-AI16</f>
        <v>-78.4121698802733</v>
      </c>
      <c r="AJ18" s="103" t="n">
        <f aca="false">AJ19-AJ17-AJ16</f>
        <v>-79.8192430850625</v>
      </c>
      <c r="AK18" s="103" t="n">
        <f aca="false">AK19-AK17-AK16</f>
        <v>-81.1700333616601</v>
      </c>
      <c r="AL18" s="103" t="n">
        <f aca="false">AL19-AL17-AL16</f>
        <v>-82.4667920271936</v>
      </c>
      <c r="AM18" s="103" t="n">
        <f aca="false">AM19-AM17-AM16</f>
        <v>-83.266240346106</v>
      </c>
      <c r="AN18" s="103" t="n">
        <f aca="false">AN19-AN17-AN16</f>
        <v>-84.1439607322615</v>
      </c>
      <c r="AO18" s="103" t="n">
        <f aca="false">AO19-AO17-AO16</f>
        <v>-84.9865723029713</v>
      </c>
      <c r="AP18" s="103" t="n">
        <f aca="false">AP19-AP17-AP16</f>
        <v>-86.2409194108524</v>
      </c>
      <c r="AQ18" s="103" t="n">
        <f aca="false">AQ19-AQ17-AQ16</f>
        <v>-87.4450926344181</v>
      </c>
      <c r="AR18" s="103" t="n">
        <f aca="false">AR19-AR17-AR16</f>
        <v>-88.6010989290414</v>
      </c>
      <c r="AS18" s="103" t="n">
        <f aca="false">AS19-AS17-AS16</f>
        <v>-89.71086497188</v>
      </c>
      <c r="AT18" s="103" t="n">
        <f aca="false">AT19-AT17-AT16</f>
        <v>-90.7762403730045</v>
      </c>
      <c r="AU18" s="103" t="n">
        <f aca="false">AU19-AU17-AU16</f>
        <v>-91.7990007580844</v>
      </c>
      <c r="AV18" s="103" t="n">
        <f aca="false">AV19-AV17-AV16</f>
        <v>-92.7808507277611</v>
      </c>
      <c r="AW18" s="103" t="n">
        <f aca="false">AW19-AW17-AW16</f>
        <v>-93.7234266986508</v>
      </c>
      <c r="AX18" s="103" t="n">
        <f aca="false">AX19-AX17-AX16</f>
        <v>-94.6282996307047</v>
      </c>
      <c r="AY18" s="103" t="n">
        <f aca="false">AY19-AY17-AY16</f>
        <v>-95.0515376454765</v>
      </c>
      <c r="AZ18" s="103" t="n">
        <f aca="false">AZ19-AZ17-AZ16</f>
        <v>-95.5736086396574</v>
      </c>
      <c r="BA18" s="103" t="n">
        <f aca="false">BA19-BA17-BA16</f>
        <v>-96.0747967940712</v>
      </c>
      <c r="BB18" s="103" t="n">
        <f aca="false">BB19-BB17-BB16</f>
        <v>-97.0013774223081</v>
      </c>
      <c r="BC18" s="103" t="n">
        <f aca="false">BC19-BC17-BC16</f>
        <v>-97.8908948254158</v>
      </c>
      <c r="BD18" s="103" t="n">
        <f aca="false">BD19-BD17-BD16</f>
        <v>-98.7448315323992</v>
      </c>
      <c r="BE18" s="103" t="n">
        <f aca="false">BE19-BE17-BE16</f>
        <v>-99.5646107711033</v>
      </c>
      <c r="BF18" s="103" t="n">
        <f aca="false">BF19-BF17-BF16</f>
        <v>-100.351598840259</v>
      </c>
      <c r="BG18" s="103" t="n">
        <f aca="false">BG19-BG17-BG16</f>
        <v>-101.107107386649</v>
      </c>
      <c r="BH18" s="103" t="n">
        <f aca="false">BH19-BH17-BH16</f>
        <v>-101.832395591183</v>
      </c>
      <c r="BI18" s="103" t="n">
        <f aca="false">BI19-BI17-BI16</f>
        <v>-102.528672267536</v>
      </c>
      <c r="BJ18" s="103" t="n">
        <f aca="false">BJ19-BJ17-BJ16</f>
        <v>-103.197097876834</v>
      </c>
    </row>
    <row r="19" customFormat="false" ht="15" hidden="false" customHeight="false" outlineLevel="0" collapsed="false">
      <c r="A19" s="4" t="s">
        <v>398</v>
      </c>
      <c r="C19" s="105" t="n">
        <f aca="false">C17*(1-Inputs!$E$23)+C16</f>
        <v>283.7976</v>
      </c>
      <c r="D19" s="105" t="n">
        <f aca="false">D17*(1-Inputs!$E$23)+D16</f>
        <v>322.191118222222</v>
      </c>
      <c r="E19" s="105" t="n">
        <f aca="false">E17*(1-Inputs!$E$23)+E16</f>
        <v>371.368984604444</v>
      </c>
      <c r="F19" s="105" t="n">
        <f aca="false">F17*(1-Inputs!$E$23)+F16</f>
        <v>425.208091886933</v>
      </c>
      <c r="G19" s="105" t="n">
        <f aca="false">G17*(1-Inputs!$E$23)+G16</f>
        <v>483.521990433678</v>
      </c>
      <c r="H19" s="105" t="n">
        <f aca="false">H17*(1-Inputs!$E$23)+H16</f>
        <v>546.131688594109</v>
      </c>
      <c r="I19" s="105" t="n">
        <f aca="false">I17*(1-Inputs!$E$23)+I16</f>
        <v>612.865354383678</v>
      </c>
      <c r="J19" s="105" t="n">
        <f aca="false">J17*(1-Inputs!$E$23)+J16</f>
        <v>683.55802909722</v>
      </c>
      <c r="K19" s="105" t="n">
        <f aca="false">K17*(1-Inputs!$E$23)+K16</f>
        <v>758.051352377775</v>
      </c>
      <c r="L19" s="105" t="n">
        <f aca="false">L17*(1-Inputs!$E$23)+L16</f>
        <v>836.193298282664</v>
      </c>
      <c r="M19" s="105" t="n">
        <f aca="false">M17*(1-Inputs!$E$23)+M16</f>
        <v>911.209566351358</v>
      </c>
      <c r="N19" s="105" t="n">
        <f aca="false">N17*(1-Inputs!$E$23)+N16</f>
        <v>972.089183697303</v>
      </c>
      <c r="O19" s="105" t="n">
        <f aca="false">O17*(1-Inputs!$E$23)+O16</f>
        <v>1033.03361634941</v>
      </c>
      <c r="P19" s="105" t="n">
        <f aca="false">P17*(1-Inputs!$E$23)+P16</f>
        <v>1091.54027169543</v>
      </c>
      <c r="Q19" s="105" t="n">
        <f aca="false">Q17*(1-Inputs!$E$23)+Q16</f>
        <v>1158.84266082762</v>
      </c>
      <c r="R19" s="105" t="n">
        <f aca="false">R17*(1-Inputs!$E$23)+R16</f>
        <v>1223.45295439451</v>
      </c>
      <c r="S19" s="105" t="n">
        <f aca="false">S17*(1-Inputs!$E$23)+S16</f>
        <v>1285.47883621873</v>
      </c>
      <c r="T19" s="105" t="n">
        <f aca="false">T17*(1-Inputs!$E$23)+T16</f>
        <v>1345.02368276998</v>
      </c>
      <c r="U19" s="105" t="n">
        <f aca="false">U17*(1-Inputs!$E$23)+U16</f>
        <v>1402.18673545918</v>
      </c>
      <c r="V19" s="105" t="n">
        <f aca="false">V17*(1-Inputs!$E$23)+V16</f>
        <v>1457.06326604082</v>
      </c>
      <c r="W19" s="105" t="n">
        <f aca="false">W17*(1-Inputs!$E$23)+W16</f>
        <v>1509.74473539918</v>
      </c>
      <c r="X19" s="105" t="n">
        <f aca="false">X17*(1-Inputs!$E$23)+X16</f>
        <v>1560.31894598322</v>
      </c>
      <c r="Y19" s="105" t="n">
        <f aca="false">Y17*(1-Inputs!$E$23)+Y16</f>
        <v>1608.87018814389</v>
      </c>
      <c r="Z19" s="105" t="n">
        <f aca="false">Z17*(1-Inputs!$E$23)+Z16</f>
        <v>1644.34338061813</v>
      </c>
      <c r="AA19" s="105" t="n">
        <f aca="false">AA17*(1-Inputs!$E$23)+AA16</f>
        <v>1681.02264539341</v>
      </c>
      <c r="AB19" s="105" t="n">
        <f aca="false">AB17*(1-Inputs!$E$23)+AB16</f>
        <v>1716.23473957767</v>
      </c>
      <c r="AC19" s="105" t="n">
        <f aca="false">AC17*(1-Inputs!$E$23)+AC16</f>
        <v>1761.17434999456</v>
      </c>
      <c r="AD19" s="105" t="n">
        <f aca="false">AD17*(1-Inputs!$E$23)+AD16</f>
        <v>1804.31637599478</v>
      </c>
      <c r="AE19" s="105" t="n">
        <f aca="false">AE17*(1-Inputs!$E$23)+AE16</f>
        <v>1845.73272095499</v>
      </c>
      <c r="AF19" s="105" t="n">
        <f aca="false">AF17*(1-Inputs!$E$23)+AF16</f>
        <v>1885.49241211679</v>
      </c>
      <c r="AG19" s="105" t="n">
        <f aca="false">AG17*(1-Inputs!$E$23)+AG16</f>
        <v>1923.66171563212</v>
      </c>
      <c r="AH19" s="105" t="n">
        <f aca="false">AH17*(1-Inputs!$E$23)+AH16</f>
        <v>1960.30424700683</v>
      </c>
      <c r="AI19" s="105" t="n">
        <f aca="false">AI17*(1-Inputs!$E$23)+AI16</f>
        <v>1995.48107712656</v>
      </c>
      <c r="AJ19" s="105" t="n">
        <f aca="false">AJ17*(1-Inputs!$E$23)+AJ16</f>
        <v>2029.2508340415</v>
      </c>
      <c r="AK19" s="105" t="n">
        <f aca="false">AK17*(1-Inputs!$E$23)+AK16</f>
        <v>2061.66980067984</v>
      </c>
      <c r="AL19" s="105" t="n">
        <f aca="false">AL17*(1-Inputs!$E$23)+AL16</f>
        <v>2081.65600865264</v>
      </c>
      <c r="AM19" s="105" t="n">
        <f aca="false">AM17*(1-Inputs!$E$23)+AM16</f>
        <v>2103.59901830654</v>
      </c>
      <c r="AN19" s="105" t="n">
        <f aca="false">AN17*(1-Inputs!$E$23)+AN16</f>
        <v>2124.66430757428</v>
      </c>
      <c r="AO19" s="105" t="n">
        <f aca="false">AO17*(1-Inputs!$E$23)+AO16</f>
        <v>2156.0229852713</v>
      </c>
      <c r="AP19" s="105" t="n">
        <f aca="false">AP17*(1-Inputs!$E$23)+AP16</f>
        <v>2186.12731586045</v>
      </c>
      <c r="AQ19" s="105" t="n">
        <f aca="false">AQ17*(1-Inputs!$E$23)+AQ16</f>
        <v>2215.02747322603</v>
      </c>
      <c r="AR19" s="105" t="n">
        <f aca="false">AR17*(1-Inputs!$E$23)+AR16</f>
        <v>2242.77162429699</v>
      </c>
      <c r="AS19" s="105" t="n">
        <f aca="false">AS17*(1-Inputs!$E$23)+AS16</f>
        <v>2269.40600932511</v>
      </c>
      <c r="AT19" s="105" t="n">
        <f aca="false">AT17*(1-Inputs!$E$23)+AT16</f>
        <v>2294.97501895211</v>
      </c>
      <c r="AU19" s="105" t="n">
        <f aca="false">AU17*(1-Inputs!$E$23)+AU16</f>
        <v>2319.52126819402</v>
      </c>
      <c r="AV19" s="105" t="n">
        <f aca="false">AV17*(1-Inputs!$E$23)+AV16</f>
        <v>2343.08566746626</v>
      </c>
      <c r="AW19" s="105" t="n">
        <f aca="false">AW17*(1-Inputs!$E$23)+AW16</f>
        <v>2365.70749076761</v>
      </c>
      <c r="AX19" s="105" t="n">
        <f aca="false">AX17*(1-Inputs!$E$23)+AX16</f>
        <v>2376.28844113691</v>
      </c>
      <c r="AY19" s="105" t="n">
        <f aca="false">AY17*(1-Inputs!$E$23)+AY16</f>
        <v>2389.34021599143</v>
      </c>
      <c r="AZ19" s="105" t="n">
        <f aca="false">AZ17*(1-Inputs!$E$23)+AZ16</f>
        <v>2401.86991985177</v>
      </c>
      <c r="BA19" s="105" t="n">
        <f aca="false">BA17*(1-Inputs!$E$23)+BA16</f>
        <v>2425.0344355577</v>
      </c>
      <c r="BB19" s="105" t="n">
        <f aca="false">BB17*(1-Inputs!$E$23)+BB16</f>
        <v>2447.27237063539</v>
      </c>
      <c r="BC19" s="105" t="n">
        <f aca="false">BC17*(1-Inputs!$E$23)+BC16</f>
        <v>2468.62078830998</v>
      </c>
      <c r="BD19" s="105" t="n">
        <f aca="false">BD17*(1-Inputs!$E$23)+BD16</f>
        <v>2489.11526927758</v>
      </c>
      <c r="BE19" s="105" t="n">
        <f aca="false">BE17*(1-Inputs!$E$23)+BE16</f>
        <v>2508.78997100648</v>
      </c>
      <c r="BF19" s="105" t="n">
        <f aca="false">BF17*(1-Inputs!$E$23)+BF16</f>
        <v>2527.67768466622</v>
      </c>
      <c r="BG19" s="105" t="n">
        <f aca="false">BG17*(1-Inputs!$E$23)+BG16</f>
        <v>2545.80988977957</v>
      </c>
      <c r="BH19" s="105" t="n">
        <f aca="false">BH17*(1-Inputs!$E$23)+BH16</f>
        <v>2563.21680668838</v>
      </c>
      <c r="BI19" s="105" t="n">
        <f aca="false">BI17*(1-Inputs!$E$23)+BI16</f>
        <v>2579.92744692085</v>
      </c>
      <c r="BJ19" s="105" t="n">
        <f aca="false">BJ17*(1-Inputs!$E$23)+BJ16</f>
        <v>2584.83366154401</v>
      </c>
    </row>
    <row r="20" customFormat="false" ht="15" hidden="false" customHeight="false" outlineLevel="0" collapsed="false">
      <c r="A20" s="6" t="s">
        <v>399</v>
      </c>
      <c r="C20" s="103" t="n">
        <f aca="false">(C17+C19)/2</f>
        <v>266.8988</v>
      </c>
      <c r="D20" s="103" t="n">
        <f aca="false">(D17+D19)/2</f>
        <v>302.994359111111</v>
      </c>
      <c r="E20" s="103" t="n">
        <f aca="false">(E17+E19)/2</f>
        <v>346.780051413333</v>
      </c>
      <c r="F20" s="103" t="n">
        <f aca="false">(F17+F19)/2</f>
        <v>398.288538245689</v>
      </c>
      <c r="G20" s="103" t="n">
        <f aca="false">(G17+G19)/2</f>
        <v>454.365041160306</v>
      </c>
      <c r="H20" s="103" t="n">
        <f aca="false">(H17+H19)/2</f>
        <v>514.826839513893</v>
      </c>
      <c r="I20" s="103" t="n">
        <f aca="false">(I17+I19)/2</f>
        <v>579.498521488893</v>
      </c>
      <c r="J20" s="103" t="n">
        <f aca="false">(J17+J19)/2</f>
        <v>648.211691740449</v>
      </c>
      <c r="K20" s="103" t="n">
        <f aca="false">(K17+K19)/2</f>
        <v>720.804690737497</v>
      </c>
      <c r="L20" s="103" t="n">
        <f aca="false">(L17+L19)/2</f>
        <v>797.12232533022</v>
      </c>
      <c r="M20" s="103" t="n">
        <f aca="false">(M17+M19)/2</f>
        <v>873.701432317011</v>
      </c>
      <c r="N20" s="103" t="n">
        <f aca="false">(N17+N19)/2</f>
        <v>941.64937502433</v>
      </c>
      <c r="O20" s="103" t="n">
        <f aca="false">(O17+O19)/2</f>
        <v>1002.56140002336</v>
      </c>
      <c r="P20" s="103" t="n">
        <f aca="false">(P17+P19)/2</f>
        <v>1062.28694402242</v>
      </c>
      <c r="Q20" s="103" t="n">
        <f aca="false">(Q17+Q19)/2</f>
        <v>1125.19146626153</v>
      </c>
      <c r="R20" s="103" t="n">
        <f aca="false">(R17+R19)/2</f>
        <v>1191.14780761106</v>
      </c>
      <c r="S20" s="103" t="n">
        <f aca="false">(S17+S19)/2</f>
        <v>1254.46589530662</v>
      </c>
      <c r="T20" s="103" t="n">
        <f aca="false">(T17+T19)/2</f>
        <v>1315.25125949436</v>
      </c>
      <c r="U20" s="103" t="n">
        <f aca="false">(U17+U19)/2</f>
        <v>1373.60520911458</v>
      </c>
      <c r="V20" s="103" t="n">
        <f aca="false">(V17+V19)/2</f>
        <v>1429.62500075</v>
      </c>
      <c r="W20" s="103" t="n">
        <f aca="false">(W17+W19)/2</f>
        <v>1483.40400072</v>
      </c>
      <c r="X20" s="103" t="n">
        <f aca="false">(X17+X19)/2</f>
        <v>1535.0318406912</v>
      </c>
      <c r="Y20" s="103" t="n">
        <f aca="false">(Y17+Y19)/2</f>
        <v>1584.59456706355</v>
      </c>
      <c r="Z20" s="103" t="n">
        <f aca="false">(Z17+Z19)/2</f>
        <v>1626.60678438101</v>
      </c>
      <c r="AA20" s="103" t="n">
        <f aca="false">(AA17+AA19)/2</f>
        <v>1662.68301300577</v>
      </c>
      <c r="AB20" s="103" t="n">
        <f aca="false">(AB17+AB19)/2</f>
        <v>1698.62869248554</v>
      </c>
      <c r="AC20" s="103" t="n">
        <f aca="false">(AC17+AC19)/2</f>
        <v>1738.70454478612</v>
      </c>
      <c r="AD20" s="103" t="n">
        <f aca="false">(AD17+AD19)/2</f>
        <v>1782.74536299467</v>
      </c>
      <c r="AE20" s="103" t="n">
        <f aca="false">(AE17+AE19)/2</f>
        <v>1825.02454847488</v>
      </c>
      <c r="AF20" s="103" t="n">
        <f aca="false">(AF17+AF19)/2</f>
        <v>1865.61256653589</v>
      </c>
      <c r="AG20" s="103" t="n">
        <f aca="false">(AG17+AG19)/2</f>
        <v>1904.57706387445</v>
      </c>
      <c r="AH20" s="103" t="n">
        <f aca="false">(AH17+AH19)/2</f>
        <v>1941.98298131947</v>
      </c>
      <c r="AI20" s="103" t="n">
        <f aca="false">(AI17+AI19)/2</f>
        <v>1977.8926620667</v>
      </c>
      <c r="AJ20" s="103" t="n">
        <f aca="false">(AJ17+AJ19)/2</f>
        <v>2012.36595558403</v>
      </c>
      <c r="AK20" s="103" t="n">
        <f aca="false">(AK17+AK19)/2</f>
        <v>2045.46031736067</v>
      </c>
      <c r="AL20" s="103" t="n">
        <f aca="false">(AL17+AL19)/2</f>
        <v>2071.66290466624</v>
      </c>
      <c r="AM20" s="103" t="n">
        <f aca="false">(AM17+AM19)/2</f>
        <v>2092.62751347959</v>
      </c>
      <c r="AN20" s="103" t="n">
        <f aca="false">(AN17+AN19)/2</f>
        <v>2114.13166294041</v>
      </c>
      <c r="AO20" s="103" t="n">
        <f aca="false">(AO17+AO19)/2</f>
        <v>2140.34364642279</v>
      </c>
      <c r="AP20" s="103" t="n">
        <f aca="false">(AP17+AP19)/2</f>
        <v>2171.07515056588</v>
      </c>
      <c r="AQ20" s="103" t="n">
        <f aca="false">(AQ17+AQ19)/2</f>
        <v>2200.57739454324</v>
      </c>
      <c r="AR20" s="103" t="n">
        <f aca="false">(AR17+AR19)/2</f>
        <v>2228.89954876151</v>
      </c>
      <c r="AS20" s="103" t="n">
        <f aca="false">(AS17+AS19)/2</f>
        <v>2256.08881681105</v>
      </c>
      <c r="AT20" s="103" t="n">
        <f aca="false">(AT17+AT19)/2</f>
        <v>2282.19051413861</v>
      </c>
      <c r="AU20" s="103" t="n">
        <f aca="false">(AU17+AU19)/2</f>
        <v>2307.24814357307</v>
      </c>
      <c r="AV20" s="103" t="n">
        <f aca="false">(AV17+AV19)/2</f>
        <v>2331.30346783014</v>
      </c>
      <c r="AW20" s="103" t="n">
        <f aca="false">(AW17+AW19)/2</f>
        <v>2354.39657911694</v>
      </c>
      <c r="AX20" s="103" t="n">
        <f aca="false">(AX17+AX19)/2</f>
        <v>2370.99796595226</v>
      </c>
      <c r="AY20" s="103" t="n">
        <f aca="false">(AY17+AY19)/2</f>
        <v>2382.81432856417</v>
      </c>
      <c r="AZ20" s="103" t="n">
        <f aca="false">(AZ17+AZ19)/2</f>
        <v>2395.6050679216</v>
      </c>
      <c r="BA20" s="103" t="n">
        <f aca="false">(BA17+BA19)/2</f>
        <v>2413.45217770474</v>
      </c>
      <c r="BB20" s="103" t="n">
        <f aca="false">(BB17+BB19)/2</f>
        <v>2436.15340309655</v>
      </c>
      <c r="BC20" s="103" t="n">
        <f aca="false">(BC17+BC19)/2</f>
        <v>2457.94657947269</v>
      </c>
      <c r="BD20" s="103" t="n">
        <f aca="false">(BD17+BD19)/2</f>
        <v>2478.86802879378</v>
      </c>
      <c r="BE20" s="103" t="n">
        <f aca="false">(BE17+BE19)/2</f>
        <v>2498.95262014203</v>
      </c>
      <c r="BF20" s="103" t="n">
        <f aca="false">(BF17+BF19)/2</f>
        <v>2518.23382783635</v>
      </c>
      <c r="BG20" s="103" t="n">
        <f aca="false">(BG17+BG19)/2</f>
        <v>2536.74378722289</v>
      </c>
      <c r="BH20" s="103" t="n">
        <f aca="false">(BH17+BH19)/2</f>
        <v>2554.51334823398</v>
      </c>
      <c r="BI20" s="103" t="n">
        <f aca="false">(BI17+BI19)/2</f>
        <v>2571.57212680462</v>
      </c>
      <c r="BJ20" s="103" t="n">
        <f aca="false">(BJ17+BJ19)/2</f>
        <v>2582.38055423243</v>
      </c>
    </row>
    <row r="22" customFormat="false" ht="15.75" hidden="false" customHeight="true" outlineLevel="0" collapsed="false">
      <c r="A22" s="7" t="s">
        <v>400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401</v>
      </c>
      <c r="C23" s="104" t="n">
        <f aca="false">C20*Inputs!$E$24*C10*1</f>
        <v>794.02393</v>
      </c>
      <c r="D23" s="104" t="n">
        <f aca="false">D20*Inputs!$E$24*D10*1</f>
        <v>901.408218355555</v>
      </c>
      <c r="E23" s="104" t="n">
        <f aca="false">E20*Inputs!$E$24*E10*1</f>
        <v>1274.416688944</v>
      </c>
      <c r="F23" s="104" t="n">
        <f aca="false">F20*Inputs!$E$24*F10*1</f>
        <v>1463.71037805291</v>
      </c>
      <c r="G23" s="104" t="n">
        <f aca="false">G20*Inputs!$E$24*G10*1</f>
        <v>1669.79152626412</v>
      </c>
      <c r="H23" s="104" t="n">
        <f aca="false">H20*Inputs!$E$24*H10*1</f>
        <v>1891.98863521356</v>
      </c>
      <c r="I23" s="104" t="n">
        <f aca="false">I20*Inputs!$E$24*I10*1</f>
        <v>2129.65706647168</v>
      </c>
      <c r="J23" s="104" t="n">
        <f aca="false">J20*Inputs!$E$24*J10*1</f>
        <v>2382.17796714615</v>
      </c>
      <c r="K23" s="104" t="n">
        <f aca="false">K20*Inputs!$E$24*K10*1</f>
        <v>2648.9572384603</v>
      </c>
      <c r="L23" s="104" t="n">
        <f aca="false">L20*Inputs!$E$24*L10*1</f>
        <v>2929.42454558856</v>
      </c>
      <c r="M23" s="104" t="n">
        <f aca="false">M20*Inputs!$E$24*M10*1</f>
        <v>3210.85276376502</v>
      </c>
      <c r="N23" s="104" t="n">
        <f aca="false">N20*Inputs!$E$24*N10*1</f>
        <v>2801.40689069738</v>
      </c>
      <c r="O23" s="104" t="n">
        <f aca="false">O20*Inputs!$E$24*O10*1</f>
        <v>2982.62016506949</v>
      </c>
      <c r="P23" s="104" t="n">
        <f aca="false">P20*Inputs!$E$24*P10*1</f>
        <v>3160.30365846671</v>
      </c>
      <c r="Q23" s="104" t="n">
        <f aca="false">Q20*Inputs!$E$24*Q10*1</f>
        <v>4135.07863851111</v>
      </c>
      <c r="R23" s="104" t="n">
        <f aca="false">R20*Inputs!$E$24*R10*1</f>
        <v>4377.46819297066</v>
      </c>
      <c r="S23" s="104" t="n">
        <f aca="false">S20*Inputs!$E$24*S10*1</f>
        <v>4610.16216525184</v>
      </c>
      <c r="T23" s="104" t="n">
        <f aca="false">T20*Inputs!$E$24*T10*1</f>
        <v>4833.54837864176</v>
      </c>
      <c r="U23" s="104" t="n">
        <f aca="false">U20*Inputs!$E$24*U10*1</f>
        <v>5047.99914349609</v>
      </c>
      <c r="V23" s="104" t="n">
        <f aca="false">V20*Inputs!$E$24*V10*1</f>
        <v>5253.87187775625</v>
      </c>
      <c r="W23" s="104" t="n">
        <f aca="false">W20*Inputs!$E$24*W10*1</f>
        <v>5451.509702646</v>
      </c>
      <c r="X23" s="104" t="n">
        <f aca="false">X20*Inputs!$E$24*X10*1</f>
        <v>5641.24201454016</v>
      </c>
      <c r="Y23" s="104" t="n">
        <f aca="false">Y20*Inputs!$E$24*Y10*1</f>
        <v>5823.38503395855</v>
      </c>
      <c r="Z23" s="104" t="n">
        <f aca="false">Z20*Inputs!$E$24*Z10*1</f>
        <v>4839.1551835335</v>
      </c>
      <c r="AA23" s="104" t="n">
        <f aca="false">AA20*Inputs!$E$24*AA10*1</f>
        <v>4946.48196369216</v>
      </c>
      <c r="AB23" s="104" t="n">
        <f aca="false">AB20*Inputs!$E$24*AB10*1</f>
        <v>5053.42036014447</v>
      </c>
      <c r="AC23" s="104" t="n">
        <f aca="false">AC20*Inputs!$E$24*AC10*1</f>
        <v>6389.73920208898</v>
      </c>
      <c r="AD23" s="104" t="n">
        <f aca="false">AD20*Inputs!$E$24*AD10*1</f>
        <v>6551.58920900542</v>
      </c>
      <c r="AE23" s="104" t="n">
        <f aca="false">AE20*Inputs!$E$24*AE10*1</f>
        <v>6706.9652156452</v>
      </c>
      <c r="AF23" s="104" t="n">
        <f aca="false">AF20*Inputs!$E$24*AF10*1</f>
        <v>6856.12618201939</v>
      </c>
      <c r="AG23" s="104" t="n">
        <f aca="false">AG20*Inputs!$E$24*AG10*1</f>
        <v>6999.32070973862</v>
      </c>
      <c r="AH23" s="104" t="n">
        <f aca="false">AH20*Inputs!$E$24*AH10*1</f>
        <v>7136.78745634907</v>
      </c>
      <c r="AI23" s="104" t="n">
        <f aca="false">AI20*Inputs!$E$24*AI10*1</f>
        <v>7268.75553309511</v>
      </c>
      <c r="AJ23" s="104" t="n">
        <f aca="false">AJ20*Inputs!$E$24*AJ10*1</f>
        <v>7395.4448867713</v>
      </c>
      <c r="AK23" s="104" t="n">
        <f aca="false">AK20*Inputs!$E$24*AK10*1</f>
        <v>7517.06666630045</v>
      </c>
      <c r="AL23" s="104" t="n">
        <f aca="false">AL20*Inputs!$E$24*AL10*1</f>
        <v>6163.19714138206</v>
      </c>
      <c r="AM23" s="104" t="n">
        <f aca="false">AM20*Inputs!$E$24*AM10*1</f>
        <v>6225.56685260178</v>
      </c>
      <c r="AN23" s="104" t="n">
        <f aca="false">AN20*Inputs!$E$24*AN10*1</f>
        <v>6289.54169724771</v>
      </c>
      <c r="AO23" s="104" t="n">
        <f aca="false">AO20*Inputs!$E$24*AO10*1</f>
        <v>7865.76290060375</v>
      </c>
      <c r="AP23" s="104" t="n">
        <f aca="false">AP20*Inputs!$E$24*AP10*1</f>
        <v>7978.7011783296</v>
      </c>
      <c r="AQ23" s="104" t="n">
        <f aca="false">AQ20*Inputs!$E$24*AQ10*1</f>
        <v>8087.12192494642</v>
      </c>
      <c r="AR23" s="104" t="n">
        <f aca="false">AR20*Inputs!$E$24*AR10*1</f>
        <v>8191.20584169856</v>
      </c>
      <c r="AS23" s="104" t="n">
        <f aca="false">AS20*Inputs!$E$24*AS10*1</f>
        <v>8291.12640178062</v>
      </c>
      <c r="AT23" s="104" t="n">
        <f aca="false">AT20*Inputs!$E$24*AT10*1</f>
        <v>8387.05013945939</v>
      </c>
      <c r="AU23" s="104" t="n">
        <f aca="false">AU20*Inputs!$E$24*AU10*1</f>
        <v>8479.13692763102</v>
      </c>
      <c r="AV23" s="104" t="n">
        <f aca="false">AV20*Inputs!$E$24*AV10*1</f>
        <v>8567.54024427578</v>
      </c>
      <c r="AW23" s="104" t="n">
        <f aca="false">AW20*Inputs!$E$24*AW10*1</f>
        <v>8652.40742825474</v>
      </c>
      <c r="AX23" s="104" t="n">
        <f aca="false">AX20*Inputs!$E$24*AX10*1</f>
        <v>7053.71894870797</v>
      </c>
      <c r="AY23" s="104" t="n">
        <f aca="false">AY20*Inputs!$E$24*AY10*1</f>
        <v>7088.8726274784</v>
      </c>
      <c r="AZ23" s="104" t="n">
        <f aca="false">AZ20*Inputs!$E$24*AZ10*1</f>
        <v>7126.92507706676</v>
      </c>
      <c r="BA23" s="104" t="n">
        <f aca="false">BA20*Inputs!$E$24*BA10*1</f>
        <v>8869.43675306491</v>
      </c>
      <c r="BB23" s="104" t="n">
        <f aca="false">BB20*Inputs!$E$24*BB10*1</f>
        <v>8952.86375637981</v>
      </c>
      <c r="BC23" s="104" t="n">
        <f aca="false">BC20*Inputs!$E$24*BC10*1</f>
        <v>9032.95367956212</v>
      </c>
      <c r="BD23" s="104" t="n">
        <f aca="false">BD20*Inputs!$E$24*BD10*1</f>
        <v>9109.84000581714</v>
      </c>
      <c r="BE23" s="104" t="n">
        <f aca="false">BE20*Inputs!$E$24*BE10*1</f>
        <v>9183.65087902195</v>
      </c>
      <c r="BF23" s="104" t="n">
        <f aca="false">BF20*Inputs!$E$24*BF10*1</f>
        <v>9254.50931729857</v>
      </c>
      <c r="BG23" s="104" t="n">
        <f aca="false">BG20*Inputs!$E$24*BG10*1</f>
        <v>9322.53341804413</v>
      </c>
      <c r="BH23" s="104" t="n">
        <f aca="false">BH20*Inputs!$E$24*BH10*1</f>
        <v>9387.83655475986</v>
      </c>
      <c r="BI23" s="104" t="n">
        <f aca="false">BI20*Inputs!$E$24*BI10*1</f>
        <v>9450.52756600696</v>
      </c>
      <c r="BJ23" s="104" t="n">
        <f aca="false">BJ20*Inputs!$E$24*BJ10*1</f>
        <v>7682.58214884148</v>
      </c>
    </row>
    <row r="24" customFormat="false" ht="15" hidden="false" customHeight="false" outlineLevel="0" collapsed="false">
      <c r="A24" s="6" t="s">
        <v>402</v>
      </c>
      <c r="C24" s="104" t="n">
        <f aca="false">Inputs!$E$14*Inputs!$E$15*Inputs!$E$16*Inputs!$E$8*1</f>
        <v>24563</v>
      </c>
      <c r="D24" s="104" t="n">
        <f aca="false">Inputs!$E$14*Inputs!$E$15*Inputs!$E$16*Inputs!$E$8*1</f>
        <v>24563</v>
      </c>
      <c r="E24" s="104" t="n">
        <f aca="false">Inputs!$E$14*Inputs!$E$15*Inputs!$E$16*Inputs!$E$8*1</f>
        <v>24563</v>
      </c>
      <c r="F24" s="104" t="n">
        <f aca="false">Inputs!$E$14*Inputs!$E$15*Inputs!$E$16*Inputs!$E$8*1</f>
        <v>24563</v>
      </c>
      <c r="G24" s="104" t="n">
        <f aca="false">Inputs!$E$14*Inputs!$E$15*Inputs!$E$16*Inputs!$E$8*1</f>
        <v>24563</v>
      </c>
      <c r="H24" s="104" t="n">
        <f aca="false">Inputs!$E$14*Inputs!$E$15*Inputs!$E$16*Inputs!$E$8*1</f>
        <v>24563</v>
      </c>
      <c r="I24" s="104" t="n">
        <f aca="false">Inputs!$E$14*Inputs!$E$15*Inputs!$E$16*Inputs!$E$8*1</f>
        <v>24563</v>
      </c>
      <c r="J24" s="104" t="n">
        <f aca="false">Inputs!$E$14*Inputs!$E$15*Inputs!$E$16*Inputs!$E$8*1</f>
        <v>24563</v>
      </c>
      <c r="K24" s="104" t="n">
        <f aca="false">Inputs!$E$14*Inputs!$E$15*Inputs!$E$16*Inputs!$E$8*1</f>
        <v>24563</v>
      </c>
      <c r="L24" s="104" t="n">
        <f aca="false">Inputs!$E$14*Inputs!$E$15*Inputs!$E$16*Inputs!$E$8*1</f>
        <v>24563</v>
      </c>
      <c r="M24" s="104" t="n">
        <f aca="false">Inputs!$E$14*Inputs!$E$15*Inputs!$E$16*Inputs!$E$8*1</f>
        <v>24563</v>
      </c>
      <c r="N24" s="104" t="n">
        <f aca="false">Inputs!$E$14*Inputs!$E$15*Inputs!$E$16*Inputs!$E$8*1</f>
        <v>24563</v>
      </c>
      <c r="O24" s="104" t="n">
        <f aca="false">Inputs!$E$14*Inputs!$E$15*Inputs!$E$16*Inputs!$E$8*1</f>
        <v>24563</v>
      </c>
      <c r="P24" s="104" t="n">
        <f aca="false">Inputs!$E$14*Inputs!$E$15*Inputs!$E$16*Inputs!$E$8*1</f>
        <v>24563</v>
      </c>
      <c r="Q24" s="104" t="n">
        <f aca="false">Inputs!$E$14*Inputs!$E$15*Inputs!$E$16*Inputs!$E$8*1</f>
        <v>24563</v>
      </c>
      <c r="R24" s="104" t="n">
        <f aca="false">Inputs!$E$14*Inputs!$E$15*Inputs!$E$16*Inputs!$E$8*1</f>
        <v>24563</v>
      </c>
      <c r="S24" s="104" t="n">
        <f aca="false">Inputs!$E$14*Inputs!$E$15*Inputs!$E$16*Inputs!$E$8*1</f>
        <v>24563</v>
      </c>
      <c r="T24" s="104" t="n">
        <f aca="false">Inputs!$E$14*Inputs!$E$15*Inputs!$E$16*Inputs!$E$8*1</f>
        <v>24563</v>
      </c>
      <c r="U24" s="104" t="n">
        <f aca="false">Inputs!$E$14*Inputs!$E$15*Inputs!$E$16*Inputs!$E$8*1</f>
        <v>24563</v>
      </c>
      <c r="V24" s="104" t="n">
        <f aca="false">Inputs!$E$14*Inputs!$E$15*Inputs!$E$16*Inputs!$E$8*1</f>
        <v>24563</v>
      </c>
      <c r="W24" s="104" t="n">
        <f aca="false">Inputs!$E$14*Inputs!$E$15*Inputs!$E$16*Inputs!$E$8*1</f>
        <v>24563</v>
      </c>
      <c r="X24" s="104" t="n">
        <f aca="false">Inputs!$E$14*Inputs!$E$15*Inputs!$E$16*Inputs!$E$8*1</f>
        <v>24563</v>
      </c>
      <c r="Y24" s="104" t="n">
        <f aca="false">Inputs!$E$14*Inputs!$E$15*Inputs!$E$16*Inputs!$E$8*1</f>
        <v>24563</v>
      </c>
      <c r="Z24" s="104" t="n">
        <f aca="false">Inputs!$E$14*Inputs!$E$15*Inputs!$E$16*Inputs!$E$8*1</f>
        <v>24563</v>
      </c>
      <c r="AA24" s="104" t="n">
        <f aca="false">Inputs!$E$14*Inputs!$E$15*Inputs!$E$16*Inputs!$E$8*1</f>
        <v>24563</v>
      </c>
      <c r="AB24" s="104" t="n">
        <f aca="false">Inputs!$E$14*Inputs!$E$15*Inputs!$E$16*Inputs!$E$8*1</f>
        <v>24563</v>
      </c>
      <c r="AC24" s="104" t="n">
        <f aca="false">Inputs!$E$14*Inputs!$E$15*Inputs!$E$16*Inputs!$E$8*1</f>
        <v>24563</v>
      </c>
      <c r="AD24" s="104" t="n">
        <f aca="false">Inputs!$E$14*Inputs!$E$15*Inputs!$E$16*Inputs!$E$8*1</f>
        <v>24563</v>
      </c>
      <c r="AE24" s="104" t="n">
        <f aca="false">Inputs!$E$14*Inputs!$E$15*Inputs!$E$16*Inputs!$E$8*1</f>
        <v>24563</v>
      </c>
      <c r="AF24" s="104" t="n">
        <f aca="false">Inputs!$E$14*Inputs!$E$15*Inputs!$E$16*Inputs!$E$8*1</f>
        <v>24563</v>
      </c>
      <c r="AG24" s="104" t="n">
        <f aca="false">Inputs!$E$14*Inputs!$E$15*Inputs!$E$16*Inputs!$E$8*1</f>
        <v>24563</v>
      </c>
      <c r="AH24" s="104" t="n">
        <f aca="false">Inputs!$E$14*Inputs!$E$15*Inputs!$E$16*Inputs!$E$8*1</f>
        <v>24563</v>
      </c>
      <c r="AI24" s="104" t="n">
        <f aca="false">Inputs!$E$14*Inputs!$E$15*Inputs!$E$16*Inputs!$E$8*1</f>
        <v>24563</v>
      </c>
      <c r="AJ24" s="104" t="n">
        <f aca="false">Inputs!$E$14*Inputs!$E$15*Inputs!$E$16*Inputs!$E$8*1</f>
        <v>24563</v>
      </c>
      <c r="AK24" s="104" t="n">
        <f aca="false">Inputs!$E$14*Inputs!$E$15*Inputs!$E$16*Inputs!$E$8*1</f>
        <v>24563</v>
      </c>
      <c r="AL24" s="104" t="n">
        <f aca="false">Inputs!$E$14*Inputs!$E$15*Inputs!$E$16*Inputs!$E$8*1</f>
        <v>24563</v>
      </c>
      <c r="AM24" s="104" t="n">
        <f aca="false">Inputs!$E$14*Inputs!$E$15*Inputs!$E$16*Inputs!$E$8*1</f>
        <v>24563</v>
      </c>
      <c r="AN24" s="104" t="n">
        <f aca="false">Inputs!$E$14*Inputs!$E$15*Inputs!$E$16*Inputs!$E$8*1</f>
        <v>24563</v>
      </c>
      <c r="AO24" s="104" t="n">
        <f aca="false">Inputs!$E$14*Inputs!$E$15*Inputs!$E$16*Inputs!$E$8*1</f>
        <v>24563</v>
      </c>
      <c r="AP24" s="104" t="n">
        <f aca="false">Inputs!$E$14*Inputs!$E$15*Inputs!$E$16*Inputs!$E$8*1</f>
        <v>24563</v>
      </c>
      <c r="AQ24" s="104" t="n">
        <f aca="false">Inputs!$E$14*Inputs!$E$15*Inputs!$E$16*Inputs!$E$8*1</f>
        <v>24563</v>
      </c>
      <c r="AR24" s="104" t="n">
        <f aca="false">Inputs!$E$14*Inputs!$E$15*Inputs!$E$16*Inputs!$E$8*1</f>
        <v>24563</v>
      </c>
      <c r="AS24" s="104" t="n">
        <f aca="false">Inputs!$E$14*Inputs!$E$15*Inputs!$E$16*Inputs!$E$8*1</f>
        <v>24563</v>
      </c>
      <c r="AT24" s="104" t="n">
        <f aca="false">Inputs!$E$14*Inputs!$E$15*Inputs!$E$16*Inputs!$E$8*1</f>
        <v>24563</v>
      </c>
      <c r="AU24" s="104" t="n">
        <f aca="false">Inputs!$E$14*Inputs!$E$15*Inputs!$E$16*Inputs!$E$8*1</f>
        <v>24563</v>
      </c>
      <c r="AV24" s="104" t="n">
        <f aca="false">Inputs!$E$14*Inputs!$E$15*Inputs!$E$16*Inputs!$E$8*1</f>
        <v>24563</v>
      </c>
      <c r="AW24" s="104" t="n">
        <f aca="false">Inputs!$E$14*Inputs!$E$15*Inputs!$E$16*Inputs!$E$8*1</f>
        <v>24563</v>
      </c>
      <c r="AX24" s="104" t="n">
        <f aca="false">Inputs!$E$14*Inputs!$E$15*Inputs!$E$16*Inputs!$E$8*1</f>
        <v>24563</v>
      </c>
      <c r="AY24" s="104" t="n">
        <f aca="false">Inputs!$E$14*Inputs!$E$15*Inputs!$E$16*Inputs!$E$8*1</f>
        <v>24563</v>
      </c>
      <c r="AZ24" s="104" t="n">
        <f aca="false">Inputs!$E$14*Inputs!$E$15*Inputs!$E$16*Inputs!$E$8*1</f>
        <v>24563</v>
      </c>
      <c r="BA24" s="104" t="n">
        <f aca="false">Inputs!$E$14*Inputs!$E$15*Inputs!$E$16*Inputs!$E$8*1</f>
        <v>24563</v>
      </c>
      <c r="BB24" s="104" t="n">
        <f aca="false">Inputs!$E$14*Inputs!$E$15*Inputs!$E$16*Inputs!$E$8*1</f>
        <v>24563</v>
      </c>
      <c r="BC24" s="104" t="n">
        <f aca="false">Inputs!$E$14*Inputs!$E$15*Inputs!$E$16*Inputs!$E$8*1</f>
        <v>24563</v>
      </c>
      <c r="BD24" s="104" t="n">
        <f aca="false">Inputs!$E$14*Inputs!$E$15*Inputs!$E$16*Inputs!$E$8*1</f>
        <v>24563</v>
      </c>
      <c r="BE24" s="104" t="n">
        <f aca="false">Inputs!$E$14*Inputs!$E$15*Inputs!$E$16*Inputs!$E$8*1</f>
        <v>24563</v>
      </c>
      <c r="BF24" s="104" t="n">
        <f aca="false">Inputs!$E$14*Inputs!$E$15*Inputs!$E$16*Inputs!$E$8*1</f>
        <v>24563</v>
      </c>
      <c r="BG24" s="104" t="n">
        <f aca="false">Inputs!$E$14*Inputs!$E$15*Inputs!$E$16*Inputs!$E$8*1</f>
        <v>24563</v>
      </c>
      <c r="BH24" s="104" t="n">
        <f aca="false">Inputs!$E$14*Inputs!$E$15*Inputs!$E$16*Inputs!$E$8*1</f>
        <v>24563</v>
      </c>
      <c r="BI24" s="104" t="n">
        <f aca="false">Inputs!$E$14*Inputs!$E$15*Inputs!$E$16*Inputs!$E$8*1</f>
        <v>24563</v>
      </c>
      <c r="BJ24" s="104" t="n">
        <f aca="false">Inputs!$E$14*Inputs!$E$15*Inputs!$E$16*Inputs!$E$8*1</f>
        <v>24563</v>
      </c>
    </row>
    <row r="25" customFormat="false" ht="15" hidden="false" customHeight="false" outlineLevel="0" collapsed="false">
      <c r="A25" s="38" t="s">
        <v>403</v>
      </c>
      <c r="C25" s="61" t="n">
        <f aca="false">IF(C11+C23&lt;=0,1,MIN(1,C24/(C11+C23)))</f>
        <v>1</v>
      </c>
      <c r="D25" s="61" t="n">
        <f aca="false">IF(D11+D23&lt;=0,1,MIN(1,D24/(D11+D23)))</f>
        <v>1</v>
      </c>
      <c r="E25" s="61" t="n">
        <f aca="false">IF(E11+E23&lt;=0,1,MIN(1,E24/(E11+E23)))</f>
        <v>1</v>
      </c>
      <c r="F25" s="61" t="n">
        <f aca="false">IF(F11+F23&lt;=0,1,MIN(1,F24/(F11+F23)))</f>
        <v>1</v>
      </c>
      <c r="G25" s="61" t="n">
        <f aca="false">IF(G11+G23&lt;=0,1,MIN(1,G24/(G11+G23)))</f>
        <v>1</v>
      </c>
      <c r="H25" s="61" t="n">
        <f aca="false">IF(H11+H23&lt;=0,1,MIN(1,H24/(H11+H23)))</f>
        <v>1</v>
      </c>
      <c r="I25" s="61" t="n">
        <f aca="false">IF(I11+I23&lt;=0,1,MIN(1,I24/(I11+I23)))</f>
        <v>1</v>
      </c>
      <c r="J25" s="61" t="n">
        <f aca="false">IF(J11+J23&lt;=0,1,MIN(1,J24/(J11+J23)))</f>
        <v>1</v>
      </c>
      <c r="K25" s="61" t="n">
        <f aca="false">IF(K11+K23&lt;=0,1,MIN(1,K24/(K11+K23)))</f>
        <v>1</v>
      </c>
      <c r="L25" s="61" t="n">
        <f aca="false">IF(L11+L23&lt;=0,1,MIN(1,L24/(L11+L23)))</f>
        <v>1</v>
      </c>
      <c r="M25" s="61" t="n">
        <f aca="false">IF(M11+M23&lt;=0,1,MIN(1,M24/(M11+M23)))</f>
        <v>1</v>
      </c>
      <c r="N25" s="61" t="n">
        <f aca="false">IF(N11+N23&lt;=0,1,MIN(1,N24/(N11+N23)))</f>
        <v>1</v>
      </c>
      <c r="O25" s="61" t="n">
        <f aca="false">IF(O11+O23&lt;=0,1,MIN(1,O24/(O11+O23)))</f>
        <v>1</v>
      </c>
      <c r="P25" s="61" t="n">
        <f aca="false">IF(P11+P23&lt;=0,1,MIN(1,P24/(P11+P23)))</f>
        <v>1</v>
      </c>
      <c r="Q25" s="61" t="n">
        <f aca="false">IF(Q11+Q23&lt;=0,1,MIN(1,Q24/(Q11+Q23)))</f>
        <v>1</v>
      </c>
      <c r="R25" s="61" t="n">
        <f aca="false">IF(R11+R23&lt;=0,1,MIN(1,R24/(R11+R23)))</f>
        <v>1</v>
      </c>
      <c r="S25" s="61" t="n">
        <f aca="false">IF(S11+S23&lt;=0,1,MIN(1,S24/(S11+S23)))</f>
        <v>1</v>
      </c>
      <c r="T25" s="61" t="n">
        <f aca="false">IF(T11+T23&lt;=0,1,MIN(1,T24/(T11+T23)))</f>
        <v>1</v>
      </c>
      <c r="U25" s="61" t="n">
        <f aca="false">IF(U11+U23&lt;=0,1,MIN(1,U24/(U11+U23)))</f>
        <v>1</v>
      </c>
      <c r="V25" s="61" t="n">
        <f aca="false">IF(V11+V23&lt;=0,1,MIN(1,V24/(V11+V23)))</f>
        <v>1</v>
      </c>
      <c r="W25" s="61" t="n">
        <f aca="false">IF(W11+W23&lt;=0,1,MIN(1,W24/(W11+W23)))</f>
        <v>1</v>
      </c>
      <c r="X25" s="61" t="n">
        <f aca="false">IF(X11+X23&lt;=0,1,MIN(1,X24/(X11+X23)))</f>
        <v>1</v>
      </c>
      <c r="Y25" s="61" t="n">
        <f aca="false">IF(Y11+Y23&lt;=0,1,MIN(1,Y24/(Y11+Y23)))</f>
        <v>1</v>
      </c>
      <c r="Z25" s="61" t="n">
        <f aca="false">IF(Z11+Z23&lt;=0,1,MIN(1,Z24/(Z11+Z23)))</f>
        <v>1</v>
      </c>
      <c r="AA25" s="61" t="n">
        <f aca="false">IF(AA11+AA23&lt;=0,1,MIN(1,AA24/(AA11+AA23)))</f>
        <v>1</v>
      </c>
      <c r="AB25" s="61" t="n">
        <f aca="false">IF(AB11+AB23&lt;=0,1,MIN(1,AB24/(AB11+AB23)))</f>
        <v>1</v>
      </c>
      <c r="AC25" s="61" t="n">
        <f aca="false">IF(AC11+AC23&lt;=0,1,MIN(1,AC24/(AC11+AC23)))</f>
        <v>1</v>
      </c>
      <c r="AD25" s="61" t="n">
        <f aca="false">IF(AD11+AD23&lt;=0,1,MIN(1,AD24/(AD11+AD23)))</f>
        <v>1</v>
      </c>
      <c r="AE25" s="61" t="n">
        <f aca="false">IF(AE11+AE23&lt;=0,1,MIN(1,AE24/(AE11+AE23)))</f>
        <v>1</v>
      </c>
      <c r="AF25" s="61" t="n">
        <f aca="false">IF(AF11+AF23&lt;=0,1,MIN(1,AF24/(AF11+AF23)))</f>
        <v>1</v>
      </c>
      <c r="AG25" s="61" t="n">
        <f aca="false">IF(AG11+AG23&lt;=0,1,MIN(1,AG24/(AG11+AG23)))</f>
        <v>1</v>
      </c>
      <c r="AH25" s="61" t="n">
        <f aca="false">IF(AH11+AH23&lt;=0,1,MIN(1,AH24/(AH11+AH23)))</f>
        <v>1</v>
      </c>
      <c r="AI25" s="61" t="n">
        <f aca="false">IF(AI11+AI23&lt;=0,1,MIN(1,AI24/(AI11+AI23)))</f>
        <v>1</v>
      </c>
      <c r="AJ25" s="61" t="n">
        <f aca="false">IF(AJ11+AJ23&lt;=0,1,MIN(1,AJ24/(AJ11+AJ23)))</f>
        <v>1</v>
      </c>
      <c r="AK25" s="61" t="n">
        <f aca="false">IF(AK11+AK23&lt;=0,1,MIN(1,AK24/(AK11+AK23)))</f>
        <v>1</v>
      </c>
      <c r="AL25" s="61" t="n">
        <f aca="false">IF(AL11+AL23&lt;=0,1,MIN(1,AL24/(AL11+AL23)))</f>
        <v>1</v>
      </c>
      <c r="AM25" s="61" t="n">
        <f aca="false">IF(AM11+AM23&lt;=0,1,MIN(1,AM24/(AM11+AM23)))</f>
        <v>1</v>
      </c>
      <c r="AN25" s="61" t="n">
        <f aca="false">IF(AN11+AN23&lt;=0,1,MIN(1,AN24/(AN11+AN23)))</f>
        <v>1</v>
      </c>
      <c r="AO25" s="61" t="n">
        <f aca="false">IF(AO11+AO23&lt;=0,1,MIN(1,AO24/(AO11+AO23)))</f>
        <v>1</v>
      </c>
      <c r="AP25" s="61" t="n">
        <f aca="false">IF(AP11+AP23&lt;=0,1,MIN(1,AP24/(AP11+AP23)))</f>
        <v>1</v>
      </c>
      <c r="AQ25" s="61" t="n">
        <f aca="false">IF(AQ11+AQ23&lt;=0,1,MIN(1,AQ24/(AQ11+AQ23)))</f>
        <v>1</v>
      </c>
      <c r="AR25" s="61" t="n">
        <f aca="false">IF(AR11+AR23&lt;=0,1,MIN(1,AR24/(AR11+AR23)))</f>
        <v>1</v>
      </c>
      <c r="AS25" s="61" t="n">
        <f aca="false">IF(AS11+AS23&lt;=0,1,MIN(1,AS24/(AS11+AS23)))</f>
        <v>1</v>
      </c>
      <c r="AT25" s="61" t="n">
        <f aca="false">IF(AT11+AT23&lt;=0,1,MIN(1,AT24/(AT11+AT23)))</f>
        <v>1</v>
      </c>
      <c r="AU25" s="61" t="n">
        <f aca="false">IF(AU11+AU23&lt;=0,1,MIN(1,AU24/(AU11+AU23)))</f>
        <v>1</v>
      </c>
      <c r="AV25" s="61" t="n">
        <f aca="false">IF(AV11+AV23&lt;=0,1,MIN(1,AV24/(AV11+AV23)))</f>
        <v>1</v>
      </c>
      <c r="AW25" s="61" t="n">
        <f aca="false">IF(AW11+AW23&lt;=0,1,MIN(1,AW24/(AW11+AW23)))</f>
        <v>1</v>
      </c>
      <c r="AX25" s="61" t="n">
        <f aca="false">IF(AX11+AX23&lt;=0,1,MIN(1,AX24/(AX11+AX23)))</f>
        <v>1</v>
      </c>
      <c r="AY25" s="61" t="n">
        <f aca="false">IF(AY11+AY23&lt;=0,1,MIN(1,AY24/(AY11+AY23)))</f>
        <v>1</v>
      </c>
      <c r="AZ25" s="61" t="n">
        <f aca="false">IF(AZ11+AZ23&lt;=0,1,MIN(1,AZ24/(AZ11+AZ23)))</f>
        <v>1</v>
      </c>
      <c r="BA25" s="61" t="n">
        <f aca="false">IF(BA11+BA23&lt;=0,1,MIN(1,BA24/(BA11+BA23)))</f>
        <v>1</v>
      </c>
      <c r="BB25" s="61" t="n">
        <f aca="false">IF(BB11+BB23&lt;=0,1,MIN(1,BB24/(BB11+BB23)))</f>
        <v>1</v>
      </c>
      <c r="BC25" s="61" t="n">
        <f aca="false">IF(BC11+BC23&lt;=0,1,MIN(1,BC24/(BC11+BC23)))</f>
        <v>1</v>
      </c>
      <c r="BD25" s="61" t="n">
        <f aca="false">IF(BD11+BD23&lt;=0,1,MIN(1,BD24/(BD11+BD23)))</f>
        <v>1</v>
      </c>
      <c r="BE25" s="61" t="n">
        <f aca="false">IF(BE11+BE23&lt;=0,1,MIN(1,BE24/(BE11+BE23)))</f>
        <v>1</v>
      </c>
      <c r="BF25" s="61" t="n">
        <f aca="false">IF(BF11+BF23&lt;=0,1,MIN(1,BF24/(BF11+BF23)))</f>
        <v>1</v>
      </c>
      <c r="BG25" s="61" t="n">
        <f aca="false">IF(BG11+BG23&lt;=0,1,MIN(1,BG24/(BG11+BG23)))</f>
        <v>1</v>
      </c>
      <c r="BH25" s="61" t="n">
        <f aca="false">IF(BH11+BH23&lt;=0,1,MIN(1,BH24/(BH11+BH23)))</f>
        <v>1</v>
      </c>
      <c r="BI25" s="61" t="n">
        <f aca="false">IF(BI11+BI23&lt;=0,1,MIN(1,BI24/(BI11+BI23)))</f>
        <v>1</v>
      </c>
      <c r="BJ25" s="61" t="n">
        <f aca="false">IF(BJ11+BJ23&lt;=0,1,MIN(1,BJ24/(BJ11+BJ23)))</f>
        <v>1</v>
      </c>
    </row>
    <row r="26" customFormat="false" ht="15" hidden="false" customHeight="false" outlineLevel="0" collapsed="false">
      <c r="A26" s="6" t="s">
        <v>205</v>
      </c>
      <c r="C26" s="104" t="n">
        <f aca="false">C11*C25</f>
        <v>2662.2</v>
      </c>
      <c r="D26" s="104" t="n">
        <f aca="false">D11*D25</f>
        <v>3023.73333333333</v>
      </c>
      <c r="E26" s="104" t="n">
        <f aca="false">E11*E25</f>
        <v>4181.8</v>
      </c>
      <c r="F26" s="104" t="n">
        <f aca="false">F11*F25</f>
        <v>4628.4</v>
      </c>
      <c r="G26" s="104" t="n">
        <f aca="false">G11*G25</f>
        <v>5075</v>
      </c>
      <c r="H26" s="104" t="n">
        <f aca="false">H11*H25</f>
        <v>5521.6</v>
      </c>
      <c r="I26" s="104" t="n">
        <f aca="false">I11*I25</f>
        <v>5968.2</v>
      </c>
      <c r="J26" s="104" t="n">
        <f aca="false">J11*J25</f>
        <v>6414.8</v>
      </c>
      <c r="K26" s="104" t="n">
        <f aca="false">K11*K25</f>
        <v>6861.4</v>
      </c>
      <c r="L26" s="104" t="n">
        <f aca="false">L11*L25</f>
        <v>7308</v>
      </c>
      <c r="M26" s="104" t="n">
        <f aca="false">M11*M25</f>
        <v>7308</v>
      </c>
      <c r="N26" s="104" t="n">
        <f aca="false">N11*N25</f>
        <v>5916</v>
      </c>
      <c r="O26" s="104" t="n">
        <f aca="false">O11*O25</f>
        <v>5916</v>
      </c>
      <c r="P26" s="104" t="n">
        <f aca="false">P11*P25</f>
        <v>5916</v>
      </c>
      <c r="Q26" s="104" t="n">
        <f aca="false">Q11*Q25</f>
        <v>7308</v>
      </c>
      <c r="R26" s="104" t="n">
        <f aca="false">R11*R25</f>
        <v>7308</v>
      </c>
      <c r="S26" s="104" t="n">
        <f aca="false">S11*S25</f>
        <v>7308</v>
      </c>
      <c r="T26" s="104" t="n">
        <f aca="false">T11*T25</f>
        <v>7308</v>
      </c>
      <c r="U26" s="104" t="n">
        <f aca="false">U11*U25</f>
        <v>7308</v>
      </c>
      <c r="V26" s="104" t="n">
        <f aca="false">V11*V25</f>
        <v>7308</v>
      </c>
      <c r="W26" s="104" t="n">
        <f aca="false">W11*W25</f>
        <v>7308</v>
      </c>
      <c r="X26" s="104" t="n">
        <f aca="false">X11*X25</f>
        <v>7308</v>
      </c>
      <c r="Y26" s="104" t="n">
        <f aca="false">Y11*Y25</f>
        <v>7308</v>
      </c>
      <c r="Z26" s="104" t="n">
        <f aca="false">Z11*Z25</f>
        <v>5916</v>
      </c>
      <c r="AA26" s="104" t="n">
        <f aca="false">AA11*AA25</f>
        <v>5916</v>
      </c>
      <c r="AB26" s="104" t="n">
        <f aca="false">AB11*AB25</f>
        <v>5916</v>
      </c>
      <c r="AC26" s="104" t="n">
        <f aca="false">AC11*AC25</f>
        <v>7308</v>
      </c>
      <c r="AD26" s="104" t="n">
        <f aca="false">AD11*AD25</f>
        <v>7308</v>
      </c>
      <c r="AE26" s="104" t="n">
        <f aca="false">AE11*AE25</f>
        <v>7308</v>
      </c>
      <c r="AF26" s="104" t="n">
        <f aca="false">AF11*AF25</f>
        <v>7308</v>
      </c>
      <c r="AG26" s="104" t="n">
        <f aca="false">AG11*AG25</f>
        <v>7308</v>
      </c>
      <c r="AH26" s="104" t="n">
        <f aca="false">AH11*AH25</f>
        <v>7308</v>
      </c>
      <c r="AI26" s="104" t="n">
        <f aca="false">AI11*AI25</f>
        <v>7308</v>
      </c>
      <c r="AJ26" s="104" t="n">
        <f aca="false">AJ11*AJ25</f>
        <v>7308</v>
      </c>
      <c r="AK26" s="104" t="n">
        <f aca="false">AK11*AK25</f>
        <v>7308</v>
      </c>
      <c r="AL26" s="104" t="n">
        <f aca="false">AL11*AL25</f>
        <v>5916</v>
      </c>
      <c r="AM26" s="104" t="n">
        <f aca="false">AM11*AM25</f>
        <v>5916</v>
      </c>
      <c r="AN26" s="104" t="n">
        <f aca="false">AN11*AN25</f>
        <v>5916</v>
      </c>
      <c r="AO26" s="104" t="n">
        <f aca="false">AO11*AO25</f>
        <v>7308</v>
      </c>
      <c r="AP26" s="104" t="n">
        <f aca="false">AP11*AP25</f>
        <v>7308</v>
      </c>
      <c r="AQ26" s="104" t="n">
        <f aca="false">AQ11*AQ25</f>
        <v>7308</v>
      </c>
      <c r="AR26" s="104" t="n">
        <f aca="false">AR11*AR25</f>
        <v>7308</v>
      </c>
      <c r="AS26" s="104" t="n">
        <f aca="false">AS11*AS25</f>
        <v>7308</v>
      </c>
      <c r="AT26" s="104" t="n">
        <f aca="false">AT11*AT25</f>
        <v>7308</v>
      </c>
      <c r="AU26" s="104" t="n">
        <f aca="false">AU11*AU25</f>
        <v>7308</v>
      </c>
      <c r="AV26" s="104" t="n">
        <f aca="false">AV11*AV25</f>
        <v>7308</v>
      </c>
      <c r="AW26" s="104" t="n">
        <f aca="false">AW11*AW25</f>
        <v>7308</v>
      </c>
      <c r="AX26" s="104" t="n">
        <f aca="false">AX11*AX25</f>
        <v>5916</v>
      </c>
      <c r="AY26" s="104" t="n">
        <f aca="false">AY11*AY25</f>
        <v>5916</v>
      </c>
      <c r="AZ26" s="104" t="n">
        <f aca="false">AZ11*AZ25</f>
        <v>5916</v>
      </c>
      <c r="BA26" s="104" t="n">
        <f aca="false">BA11*BA25</f>
        <v>7308</v>
      </c>
      <c r="BB26" s="104" t="n">
        <f aca="false">BB11*BB25</f>
        <v>7308</v>
      </c>
      <c r="BC26" s="104" t="n">
        <f aca="false">BC11*BC25</f>
        <v>7308</v>
      </c>
      <c r="BD26" s="104" t="n">
        <f aca="false">BD11*BD25</f>
        <v>7308</v>
      </c>
      <c r="BE26" s="104" t="n">
        <f aca="false">BE11*BE25</f>
        <v>7308</v>
      </c>
      <c r="BF26" s="104" t="n">
        <f aca="false">BF11*BF25</f>
        <v>7308</v>
      </c>
      <c r="BG26" s="104" t="n">
        <f aca="false">BG11*BG25</f>
        <v>7308</v>
      </c>
      <c r="BH26" s="104" t="n">
        <f aca="false">BH11*BH25</f>
        <v>7308</v>
      </c>
      <c r="BI26" s="104" t="n">
        <f aca="false">BI11*BI25</f>
        <v>7308</v>
      </c>
      <c r="BJ26" s="104" t="n">
        <f aca="false">BJ11*BJ25</f>
        <v>5916</v>
      </c>
    </row>
    <row r="27" customFormat="false" ht="15" hidden="false" customHeight="false" outlineLevel="0" collapsed="false">
      <c r="A27" s="6" t="s">
        <v>206</v>
      </c>
      <c r="C27" s="104" t="n">
        <f aca="false">C23*C25</f>
        <v>794.02393</v>
      </c>
      <c r="D27" s="104" t="n">
        <f aca="false">D23*D25</f>
        <v>901.408218355555</v>
      </c>
      <c r="E27" s="104" t="n">
        <f aca="false">E23*E25</f>
        <v>1274.416688944</v>
      </c>
      <c r="F27" s="104" t="n">
        <f aca="false">F23*F25</f>
        <v>1463.71037805291</v>
      </c>
      <c r="G27" s="104" t="n">
        <f aca="false">G23*G25</f>
        <v>1669.79152626412</v>
      </c>
      <c r="H27" s="104" t="n">
        <f aca="false">H23*H25</f>
        <v>1891.98863521356</v>
      </c>
      <c r="I27" s="104" t="n">
        <f aca="false">I23*I25</f>
        <v>2129.65706647168</v>
      </c>
      <c r="J27" s="104" t="n">
        <f aca="false">J23*J25</f>
        <v>2382.17796714615</v>
      </c>
      <c r="K27" s="104" t="n">
        <f aca="false">K23*K25</f>
        <v>2648.9572384603</v>
      </c>
      <c r="L27" s="104" t="n">
        <f aca="false">L23*L25</f>
        <v>2929.42454558856</v>
      </c>
      <c r="M27" s="104" t="n">
        <f aca="false">M23*M25</f>
        <v>3210.85276376502</v>
      </c>
      <c r="N27" s="104" t="n">
        <f aca="false">N23*N25</f>
        <v>2801.40689069738</v>
      </c>
      <c r="O27" s="104" t="n">
        <f aca="false">O23*O25</f>
        <v>2982.62016506949</v>
      </c>
      <c r="P27" s="104" t="n">
        <f aca="false">P23*P25</f>
        <v>3160.30365846671</v>
      </c>
      <c r="Q27" s="104" t="n">
        <f aca="false">Q23*Q25</f>
        <v>4135.07863851111</v>
      </c>
      <c r="R27" s="104" t="n">
        <f aca="false">R23*R25</f>
        <v>4377.46819297066</v>
      </c>
      <c r="S27" s="104" t="n">
        <f aca="false">S23*S25</f>
        <v>4610.16216525184</v>
      </c>
      <c r="T27" s="104" t="n">
        <f aca="false">T23*T25</f>
        <v>4833.54837864176</v>
      </c>
      <c r="U27" s="104" t="n">
        <f aca="false">U23*U25</f>
        <v>5047.99914349609</v>
      </c>
      <c r="V27" s="104" t="n">
        <f aca="false">V23*V25</f>
        <v>5253.87187775625</v>
      </c>
      <c r="W27" s="104" t="n">
        <f aca="false">W23*W25</f>
        <v>5451.509702646</v>
      </c>
      <c r="X27" s="104" t="n">
        <f aca="false">X23*X25</f>
        <v>5641.24201454016</v>
      </c>
      <c r="Y27" s="104" t="n">
        <f aca="false">Y23*Y25</f>
        <v>5823.38503395855</v>
      </c>
      <c r="Z27" s="104" t="n">
        <f aca="false">Z23*Z25</f>
        <v>4839.1551835335</v>
      </c>
      <c r="AA27" s="104" t="n">
        <f aca="false">AA23*AA25</f>
        <v>4946.48196369216</v>
      </c>
      <c r="AB27" s="104" t="n">
        <f aca="false">AB23*AB25</f>
        <v>5053.42036014447</v>
      </c>
      <c r="AC27" s="104" t="n">
        <f aca="false">AC23*AC25</f>
        <v>6389.73920208898</v>
      </c>
      <c r="AD27" s="104" t="n">
        <f aca="false">AD23*AD25</f>
        <v>6551.58920900542</v>
      </c>
      <c r="AE27" s="104" t="n">
        <f aca="false">AE23*AE25</f>
        <v>6706.9652156452</v>
      </c>
      <c r="AF27" s="104" t="n">
        <f aca="false">AF23*AF25</f>
        <v>6856.12618201939</v>
      </c>
      <c r="AG27" s="104" t="n">
        <f aca="false">AG23*AG25</f>
        <v>6999.32070973862</v>
      </c>
      <c r="AH27" s="104" t="n">
        <f aca="false">AH23*AH25</f>
        <v>7136.78745634907</v>
      </c>
      <c r="AI27" s="104" t="n">
        <f aca="false">AI23*AI25</f>
        <v>7268.75553309511</v>
      </c>
      <c r="AJ27" s="104" t="n">
        <f aca="false">AJ23*AJ25</f>
        <v>7395.4448867713</v>
      </c>
      <c r="AK27" s="104" t="n">
        <f aca="false">AK23*AK25</f>
        <v>7517.06666630045</v>
      </c>
      <c r="AL27" s="104" t="n">
        <f aca="false">AL23*AL25</f>
        <v>6163.19714138206</v>
      </c>
      <c r="AM27" s="104" t="n">
        <f aca="false">AM23*AM25</f>
        <v>6225.56685260178</v>
      </c>
      <c r="AN27" s="104" t="n">
        <f aca="false">AN23*AN25</f>
        <v>6289.54169724771</v>
      </c>
      <c r="AO27" s="104" t="n">
        <f aca="false">AO23*AO25</f>
        <v>7865.76290060375</v>
      </c>
      <c r="AP27" s="104" t="n">
        <f aca="false">AP23*AP25</f>
        <v>7978.7011783296</v>
      </c>
      <c r="AQ27" s="104" t="n">
        <f aca="false">AQ23*AQ25</f>
        <v>8087.12192494642</v>
      </c>
      <c r="AR27" s="104" t="n">
        <f aca="false">AR23*AR25</f>
        <v>8191.20584169856</v>
      </c>
      <c r="AS27" s="104" t="n">
        <f aca="false">AS23*AS25</f>
        <v>8291.12640178062</v>
      </c>
      <c r="AT27" s="104" t="n">
        <f aca="false">AT23*AT25</f>
        <v>8387.05013945939</v>
      </c>
      <c r="AU27" s="104" t="n">
        <f aca="false">AU23*AU25</f>
        <v>8479.13692763102</v>
      </c>
      <c r="AV27" s="104" t="n">
        <f aca="false">AV23*AV25</f>
        <v>8567.54024427578</v>
      </c>
      <c r="AW27" s="104" t="n">
        <f aca="false">AW23*AW25</f>
        <v>8652.40742825474</v>
      </c>
      <c r="AX27" s="104" t="n">
        <f aca="false">AX23*AX25</f>
        <v>7053.71894870797</v>
      </c>
      <c r="AY27" s="104" t="n">
        <f aca="false">AY23*AY25</f>
        <v>7088.8726274784</v>
      </c>
      <c r="AZ27" s="104" t="n">
        <f aca="false">AZ23*AZ25</f>
        <v>7126.92507706676</v>
      </c>
      <c r="BA27" s="104" t="n">
        <f aca="false">BA23*BA25</f>
        <v>8869.43675306491</v>
      </c>
      <c r="BB27" s="104" t="n">
        <f aca="false">BB23*BB25</f>
        <v>8952.86375637981</v>
      </c>
      <c r="BC27" s="104" t="n">
        <f aca="false">BC23*BC25</f>
        <v>9032.95367956212</v>
      </c>
      <c r="BD27" s="104" t="n">
        <f aca="false">BD23*BD25</f>
        <v>9109.84000581714</v>
      </c>
      <c r="BE27" s="104" t="n">
        <f aca="false">BE23*BE25</f>
        <v>9183.65087902195</v>
      </c>
      <c r="BF27" s="104" t="n">
        <f aca="false">BF23*BF25</f>
        <v>9254.50931729857</v>
      </c>
      <c r="BG27" s="104" t="n">
        <f aca="false">BG23*BG25</f>
        <v>9322.53341804413</v>
      </c>
      <c r="BH27" s="104" t="n">
        <f aca="false">BH23*BH25</f>
        <v>9387.83655475986</v>
      </c>
      <c r="BI27" s="104" t="n">
        <f aca="false">BI23*BI25</f>
        <v>9450.52756600696</v>
      </c>
      <c r="BJ27" s="104" t="n">
        <f aca="false">BJ23*BJ25</f>
        <v>7682.58214884148</v>
      </c>
    </row>
    <row r="28" customFormat="false" ht="15" hidden="false" customHeight="false" outlineLevel="0" collapsed="false">
      <c r="A28" s="4" t="s">
        <v>404</v>
      </c>
      <c r="C28" s="107" t="n">
        <f aca="false">C26+C27</f>
        <v>3456.22393</v>
      </c>
      <c r="D28" s="107" t="n">
        <f aca="false">D26+D27</f>
        <v>3925.14155168889</v>
      </c>
      <c r="E28" s="107" t="n">
        <f aca="false">E26+E27</f>
        <v>5456.216688944</v>
      </c>
      <c r="F28" s="107" t="n">
        <f aca="false">F26+F27</f>
        <v>6092.11037805291</v>
      </c>
      <c r="G28" s="107" t="n">
        <f aca="false">G26+G27</f>
        <v>6744.79152626412</v>
      </c>
      <c r="H28" s="107" t="n">
        <f aca="false">H26+H27</f>
        <v>7413.58863521356</v>
      </c>
      <c r="I28" s="107" t="n">
        <f aca="false">I26+I27</f>
        <v>8097.85706647168</v>
      </c>
      <c r="J28" s="107" t="n">
        <f aca="false">J26+J27</f>
        <v>8796.97796714615</v>
      </c>
      <c r="K28" s="107" t="n">
        <f aca="false">K26+K27</f>
        <v>9510.3572384603</v>
      </c>
      <c r="L28" s="107" t="n">
        <f aca="false">L26+L27</f>
        <v>10237.4245455886</v>
      </c>
      <c r="M28" s="107" t="n">
        <f aca="false">M26+M27</f>
        <v>10518.852763765</v>
      </c>
      <c r="N28" s="107" t="n">
        <f aca="false">N26+N27</f>
        <v>8717.40689069738</v>
      </c>
      <c r="O28" s="107" t="n">
        <f aca="false">O26+O27</f>
        <v>8898.62016506949</v>
      </c>
      <c r="P28" s="107" t="n">
        <f aca="false">P26+P27</f>
        <v>9076.30365846671</v>
      </c>
      <c r="Q28" s="107" t="n">
        <f aca="false">Q26+Q27</f>
        <v>11443.0786385111</v>
      </c>
      <c r="R28" s="107" t="n">
        <f aca="false">R26+R27</f>
        <v>11685.4681929707</v>
      </c>
      <c r="S28" s="107" t="n">
        <f aca="false">S26+S27</f>
        <v>11918.1621652518</v>
      </c>
      <c r="T28" s="107" t="n">
        <f aca="false">T26+T27</f>
        <v>12141.5483786418</v>
      </c>
      <c r="U28" s="107" t="n">
        <f aca="false">U26+U27</f>
        <v>12355.9991434961</v>
      </c>
      <c r="V28" s="107" t="n">
        <f aca="false">V26+V27</f>
        <v>12561.8718777562</v>
      </c>
      <c r="W28" s="107" t="n">
        <f aca="false">W26+W27</f>
        <v>12759.509702646</v>
      </c>
      <c r="X28" s="107" t="n">
        <f aca="false">X26+X27</f>
        <v>12949.2420145402</v>
      </c>
      <c r="Y28" s="107" t="n">
        <f aca="false">Y26+Y27</f>
        <v>13131.3850339586</v>
      </c>
      <c r="Z28" s="107" t="n">
        <f aca="false">Z26+Z27</f>
        <v>10755.1551835335</v>
      </c>
      <c r="AA28" s="107" t="n">
        <f aca="false">AA26+AA27</f>
        <v>10862.4819636922</v>
      </c>
      <c r="AB28" s="107" t="n">
        <f aca="false">AB26+AB27</f>
        <v>10969.4203601445</v>
      </c>
      <c r="AC28" s="107" t="n">
        <f aca="false">AC26+AC27</f>
        <v>13697.739202089</v>
      </c>
      <c r="AD28" s="107" t="n">
        <f aca="false">AD26+AD27</f>
        <v>13859.5892090054</v>
      </c>
      <c r="AE28" s="107" t="n">
        <f aca="false">AE26+AE27</f>
        <v>14014.9652156452</v>
      </c>
      <c r="AF28" s="107" t="n">
        <f aca="false">AF26+AF27</f>
        <v>14164.1261820194</v>
      </c>
      <c r="AG28" s="107" t="n">
        <f aca="false">AG26+AG27</f>
        <v>14307.3207097386</v>
      </c>
      <c r="AH28" s="107" t="n">
        <f aca="false">AH26+AH27</f>
        <v>14444.7874563491</v>
      </c>
      <c r="AI28" s="107" t="n">
        <f aca="false">AI26+AI27</f>
        <v>14576.7555330951</v>
      </c>
      <c r="AJ28" s="107" t="n">
        <f aca="false">AJ26+AJ27</f>
        <v>14703.4448867713</v>
      </c>
      <c r="AK28" s="107" t="n">
        <f aca="false">AK26+AK27</f>
        <v>14825.0666663004</v>
      </c>
      <c r="AL28" s="107" t="n">
        <f aca="false">AL26+AL27</f>
        <v>12079.1971413821</v>
      </c>
      <c r="AM28" s="107" t="n">
        <f aca="false">AM26+AM27</f>
        <v>12141.5668526018</v>
      </c>
      <c r="AN28" s="107" t="n">
        <f aca="false">AN26+AN27</f>
        <v>12205.5416972477</v>
      </c>
      <c r="AO28" s="107" t="n">
        <f aca="false">AO26+AO27</f>
        <v>15173.7629006038</v>
      </c>
      <c r="AP28" s="107" t="n">
        <f aca="false">AP26+AP27</f>
        <v>15286.7011783296</v>
      </c>
      <c r="AQ28" s="107" t="n">
        <f aca="false">AQ26+AQ27</f>
        <v>15395.1219249464</v>
      </c>
      <c r="AR28" s="107" t="n">
        <f aca="false">AR26+AR27</f>
        <v>15499.2058416986</v>
      </c>
      <c r="AS28" s="107" t="n">
        <f aca="false">AS26+AS27</f>
        <v>15599.1264017806</v>
      </c>
      <c r="AT28" s="107" t="n">
        <f aca="false">AT26+AT27</f>
        <v>15695.0501394594</v>
      </c>
      <c r="AU28" s="107" t="n">
        <f aca="false">AU26+AU27</f>
        <v>15787.136927631</v>
      </c>
      <c r="AV28" s="107" t="n">
        <f aca="false">AV26+AV27</f>
        <v>15875.5402442758</v>
      </c>
      <c r="AW28" s="107" t="n">
        <f aca="false">AW26+AW27</f>
        <v>15960.4074282547</v>
      </c>
      <c r="AX28" s="107" t="n">
        <f aca="false">AX26+AX27</f>
        <v>12969.718948708</v>
      </c>
      <c r="AY28" s="107" t="n">
        <f aca="false">AY26+AY27</f>
        <v>13004.8726274784</v>
      </c>
      <c r="AZ28" s="107" t="n">
        <f aca="false">AZ26+AZ27</f>
        <v>13042.9250770668</v>
      </c>
      <c r="BA28" s="107" t="n">
        <f aca="false">BA26+BA27</f>
        <v>16177.4367530649</v>
      </c>
      <c r="BB28" s="107" t="n">
        <f aca="false">BB26+BB27</f>
        <v>16260.8637563798</v>
      </c>
      <c r="BC28" s="107" t="n">
        <f aca="false">BC26+BC27</f>
        <v>16340.9536795621</v>
      </c>
      <c r="BD28" s="107" t="n">
        <f aca="false">BD26+BD27</f>
        <v>16417.8400058171</v>
      </c>
      <c r="BE28" s="107" t="n">
        <f aca="false">BE26+BE27</f>
        <v>16491.650879022</v>
      </c>
      <c r="BF28" s="107" t="n">
        <f aca="false">BF26+BF27</f>
        <v>16562.5093172986</v>
      </c>
      <c r="BG28" s="107" t="n">
        <f aca="false">BG26+BG27</f>
        <v>16630.5334180441</v>
      </c>
      <c r="BH28" s="107" t="n">
        <f aca="false">BH26+BH27</f>
        <v>16695.8365547599</v>
      </c>
      <c r="BI28" s="107" t="n">
        <f aca="false">BI26+BI27</f>
        <v>16758.527566007</v>
      </c>
      <c r="BJ28" s="107" t="n">
        <f aca="false">BJ26+BJ27</f>
        <v>13598.5821488415</v>
      </c>
    </row>
    <row r="29" customFormat="false" ht="15" hidden="false" customHeight="false" outlineLevel="0" collapsed="false">
      <c r="A29" s="6" t="s">
        <v>209</v>
      </c>
      <c r="C29" s="104" t="n">
        <f aca="false">C11+C23-C28</f>
        <v>0</v>
      </c>
      <c r="D29" s="104" t="n">
        <f aca="false">D11+D23-D28</f>
        <v>0</v>
      </c>
      <c r="E29" s="104" t="n">
        <f aca="false">E11+E23-E28</f>
        <v>0</v>
      </c>
      <c r="F29" s="104" t="n">
        <f aca="false">F11+F23-F28</f>
        <v>0</v>
      </c>
      <c r="G29" s="104" t="n">
        <f aca="false">G11+G23-G28</f>
        <v>0</v>
      </c>
      <c r="H29" s="104" t="n">
        <f aca="false">H11+H23-H28</f>
        <v>0</v>
      </c>
      <c r="I29" s="104" t="n">
        <f aca="false">I11+I23-I28</f>
        <v>0</v>
      </c>
      <c r="J29" s="104" t="n">
        <f aca="false">J11+J23-J28</f>
        <v>0</v>
      </c>
      <c r="K29" s="104" t="n">
        <f aca="false">K11+K23-K28</f>
        <v>0</v>
      </c>
      <c r="L29" s="104" t="n">
        <f aca="false">L11+L23-L28</f>
        <v>0</v>
      </c>
      <c r="M29" s="104" t="n">
        <f aca="false">M11+M23-M28</f>
        <v>0</v>
      </c>
      <c r="N29" s="104" t="n">
        <f aca="false">N11+N23-N28</f>
        <v>0</v>
      </c>
      <c r="O29" s="104" t="n">
        <f aca="false">O11+O23-O28</f>
        <v>0</v>
      </c>
      <c r="P29" s="104" t="n">
        <f aca="false">P11+P23-P28</f>
        <v>0</v>
      </c>
      <c r="Q29" s="104" t="n">
        <f aca="false">Q11+Q23-Q28</f>
        <v>0</v>
      </c>
      <c r="R29" s="104" t="n">
        <f aca="false">R11+R23-R28</f>
        <v>0</v>
      </c>
      <c r="S29" s="104" t="n">
        <f aca="false">S11+S23-S28</f>
        <v>0</v>
      </c>
      <c r="T29" s="104" t="n">
        <f aca="false">T11+T23-T28</f>
        <v>0</v>
      </c>
      <c r="U29" s="104" t="n">
        <f aca="false">U11+U23-U28</f>
        <v>0</v>
      </c>
      <c r="V29" s="104" t="n">
        <f aca="false">V11+V23-V28</f>
        <v>0</v>
      </c>
      <c r="W29" s="104" t="n">
        <f aca="false">W11+W23-W28</f>
        <v>0</v>
      </c>
      <c r="X29" s="104" t="n">
        <f aca="false">X11+X23-X28</f>
        <v>0</v>
      </c>
      <c r="Y29" s="104" t="n">
        <f aca="false">Y11+Y23-Y28</f>
        <v>0</v>
      </c>
      <c r="Z29" s="104" t="n">
        <f aca="false">Z11+Z23-Z28</f>
        <v>0</v>
      </c>
      <c r="AA29" s="104" t="n">
        <f aca="false">AA11+AA23-AA28</f>
        <v>0</v>
      </c>
      <c r="AB29" s="104" t="n">
        <f aca="false">AB11+AB23-AB28</f>
        <v>0</v>
      </c>
      <c r="AC29" s="104" t="n">
        <f aca="false">AC11+AC23-AC28</f>
        <v>0</v>
      </c>
      <c r="AD29" s="104" t="n">
        <f aca="false">AD11+AD23-AD28</f>
        <v>0</v>
      </c>
      <c r="AE29" s="104" t="n">
        <f aca="false">AE11+AE23-AE28</f>
        <v>0</v>
      </c>
      <c r="AF29" s="104" t="n">
        <f aca="false">AF11+AF23-AF28</f>
        <v>0</v>
      </c>
      <c r="AG29" s="104" t="n">
        <f aca="false">AG11+AG23-AG28</f>
        <v>0</v>
      </c>
      <c r="AH29" s="104" t="n">
        <f aca="false">AH11+AH23-AH28</f>
        <v>0</v>
      </c>
      <c r="AI29" s="104" t="n">
        <f aca="false">AI11+AI23-AI28</f>
        <v>0</v>
      </c>
      <c r="AJ29" s="104" t="n">
        <f aca="false">AJ11+AJ23-AJ28</f>
        <v>0</v>
      </c>
      <c r="AK29" s="104" t="n">
        <f aca="false">AK11+AK23-AK28</f>
        <v>0</v>
      </c>
      <c r="AL29" s="104" t="n">
        <f aca="false">AL11+AL23-AL28</f>
        <v>0</v>
      </c>
      <c r="AM29" s="104" t="n">
        <f aca="false">AM11+AM23-AM28</f>
        <v>0</v>
      </c>
      <c r="AN29" s="104" t="n">
        <f aca="false">AN11+AN23-AN28</f>
        <v>0</v>
      </c>
      <c r="AO29" s="104" t="n">
        <f aca="false">AO11+AO23-AO28</f>
        <v>0</v>
      </c>
      <c r="AP29" s="104" t="n">
        <f aca="false">AP11+AP23-AP28</f>
        <v>0</v>
      </c>
      <c r="AQ29" s="104" t="n">
        <f aca="false">AQ11+AQ23-AQ28</f>
        <v>0</v>
      </c>
      <c r="AR29" s="104" t="n">
        <f aca="false">AR11+AR23-AR28</f>
        <v>0</v>
      </c>
      <c r="AS29" s="104" t="n">
        <f aca="false">AS11+AS23-AS28</f>
        <v>0</v>
      </c>
      <c r="AT29" s="104" t="n">
        <f aca="false">AT11+AT23-AT28</f>
        <v>0</v>
      </c>
      <c r="AU29" s="104" t="n">
        <f aca="false">AU11+AU23-AU28</f>
        <v>0</v>
      </c>
      <c r="AV29" s="104" t="n">
        <f aca="false">AV11+AV23-AV28</f>
        <v>0</v>
      </c>
      <c r="AW29" s="104" t="n">
        <f aca="false">AW11+AW23-AW28</f>
        <v>0</v>
      </c>
      <c r="AX29" s="104" t="n">
        <f aca="false">AX11+AX23-AX28</f>
        <v>0</v>
      </c>
      <c r="AY29" s="104" t="n">
        <f aca="false">AY11+AY23-AY28</f>
        <v>0</v>
      </c>
      <c r="AZ29" s="104" t="n">
        <f aca="false">AZ11+AZ23-AZ28</f>
        <v>0</v>
      </c>
      <c r="BA29" s="104" t="n">
        <f aca="false">BA11+BA23-BA28</f>
        <v>0</v>
      </c>
      <c r="BB29" s="104" t="n">
        <f aca="false">BB11+BB23-BB28</f>
        <v>0</v>
      </c>
      <c r="BC29" s="104" t="n">
        <f aca="false">BC11+BC23-BC28</f>
        <v>0</v>
      </c>
      <c r="BD29" s="104" t="n">
        <f aca="false">BD11+BD23-BD28</f>
        <v>0</v>
      </c>
      <c r="BE29" s="104" t="n">
        <f aca="false">BE11+BE23-BE28</f>
        <v>0</v>
      </c>
      <c r="BF29" s="104" t="n">
        <f aca="false">BF11+BF23-BF28</f>
        <v>0</v>
      </c>
      <c r="BG29" s="104" t="n">
        <f aca="false">BG11+BG23-BG28</f>
        <v>0</v>
      </c>
      <c r="BH29" s="104" t="n">
        <f aca="false">BH11+BH23-BH28</f>
        <v>0</v>
      </c>
      <c r="BI29" s="104" t="n">
        <f aca="false">BI11+BI23-BI28</f>
        <v>0</v>
      </c>
      <c r="BJ29" s="104" t="n">
        <f aca="false">BJ11+BJ23-BJ28</f>
        <v>0</v>
      </c>
    </row>
    <row r="31" customFormat="false" ht="15.75" hidden="false" customHeight="true" outlineLevel="0" collapsed="false">
      <c r="A31" s="7" t="s">
        <v>42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405</v>
      </c>
      <c r="C32" s="108" t="n">
        <f aca="false">Inputs!$E$27*(1+Inputs!$E$30)^(C$5-1)</f>
        <v>13</v>
      </c>
      <c r="D32" s="108" t="n">
        <f aca="false">Inputs!$E$27*(1+Inputs!$E$30)^(D$5-1)</f>
        <v>13</v>
      </c>
      <c r="E32" s="108" t="n">
        <f aca="false">Inputs!$E$27*(1+Inputs!$E$30)^(E$5-1)</f>
        <v>13</v>
      </c>
      <c r="F32" s="108" t="n">
        <f aca="false">Inputs!$E$27*(1+Inputs!$E$30)^(F$5-1)</f>
        <v>13</v>
      </c>
      <c r="G32" s="108" t="n">
        <f aca="false">Inputs!$E$27*(1+Inputs!$E$30)^(G$5-1)</f>
        <v>13</v>
      </c>
      <c r="H32" s="108" t="n">
        <f aca="false">Inputs!$E$27*(1+Inputs!$E$30)^(H$5-1)</f>
        <v>13</v>
      </c>
      <c r="I32" s="108" t="n">
        <f aca="false">Inputs!$E$27*(1+Inputs!$E$30)^(I$5-1)</f>
        <v>13</v>
      </c>
      <c r="J32" s="108" t="n">
        <f aca="false">Inputs!$E$27*(1+Inputs!$E$30)^(J$5-1)</f>
        <v>13</v>
      </c>
      <c r="K32" s="108" t="n">
        <f aca="false">Inputs!$E$27*(1+Inputs!$E$30)^(K$5-1)</f>
        <v>13</v>
      </c>
      <c r="L32" s="108" t="n">
        <f aca="false">Inputs!$E$27*(1+Inputs!$E$30)^(L$5-1)</f>
        <v>13</v>
      </c>
      <c r="M32" s="108" t="n">
        <f aca="false">Inputs!$E$27*(1+Inputs!$E$30)^(M$5-1)</f>
        <v>13</v>
      </c>
      <c r="N32" s="108" t="n">
        <f aca="false">Inputs!$E$27*(1+Inputs!$E$30)^(N$5-1)</f>
        <v>13</v>
      </c>
      <c r="O32" s="108" t="n">
        <f aca="false">Inputs!$E$27*(1+Inputs!$E$30)^(O$5-1)</f>
        <v>13.26</v>
      </c>
      <c r="P32" s="108" t="n">
        <f aca="false">Inputs!$E$27*(1+Inputs!$E$30)^(P$5-1)</f>
        <v>13.26</v>
      </c>
      <c r="Q32" s="108" t="n">
        <f aca="false">Inputs!$E$27*(1+Inputs!$E$30)^(Q$5-1)</f>
        <v>13.26</v>
      </c>
      <c r="R32" s="108" t="n">
        <f aca="false">Inputs!$E$27*(1+Inputs!$E$30)^(R$5-1)</f>
        <v>13.26</v>
      </c>
      <c r="S32" s="108" t="n">
        <f aca="false">Inputs!$E$27*(1+Inputs!$E$30)^(S$5-1)</f>
        <v>13.26</v>
      </c>
      <c r="T32" s="108" t="n">
        <f aca="false">Inputs!$E$27*(1+Inputs!$E$30)^(T$5-1)</f>
        <v>13.26</v>
      </c>
      <c r="U32" s="108" t="n">
        <f aca="false">Inputs!$E$27*(1+Inputs!$E$30)^(U$5-1)</f>
        <v>13.26</v>
      </c>
      <c r="V32" s="108" t="n">
        <f aca="false">Inputs!$E$27*(1+Inputs!$E$30)^(V$5-1)</f>
        <v>13.26</v>
      </c>
      <c r="W32" s="108" t="n">
        <f aca="false">Inputs!$E$27*(1+Inputs!$E$30)^(W$5-1)</f>
        <v>13.26</v>
      </c>
      <c r="X32" s="108" t="n">
        <f aca="false">Inputs!$E$27*(1+Inputs!$E$30)^(X$5-1)</f>
        <v>13.26</v>
      </c>
      <c r="Y32" s="108" t="n">
        <f aca="false">Inputs!$E$27*(1+Inputs!$E$30)^(Y$5-1)</f>
        <v>13.26</v>
      </c>
      <c r="Z32" s="108" t="n">
        <f aca="false">Inputs!$E$27*(1+Inputs!$E$30)^(Z$5-1)</f>
        <v>13.26</v>
      </c>
      <c r="AA32" s="108" t="n">
        <f aca="false">Inputs!$E$27*(1+Inputs!$E$30)^(AA$5-1)</f>
        <v>13.5252</v>
      </c>
      <c r="AB32" s="108" t="n">
        <f aca="false">Inputs!$E$27*(1+Inputs!$E$30)^(AB$5-1)</f>
        <v>13.5252</v>
      </c>
      <c r="AC32" s="108" t="n">
        <f aca="false">Inputs!$E$27*(1+Inputs!$E$30)^(AC$5-1)</f>
        <v>13.5252</v>
      </c>
      <c r="AD32" s="108" t="n">
        <f aca="false">Inputs!$E$27*(1+Inputs!$E$30)^(AD$5-1)</f>
        <v>13.5252</v>
      </c>
      <c r="AE32" s="108" t="n">
        <f aca="false">Inputs!$E$27*(1+Inputs!$E$30)^(AE$5-1)</f>
        <v>13.5252</v>
      </c>
      <c r="AF32" s="108" t="n">
        <f aca="false">Inputs!$E$27*(1+Inputs!$E$30)^(AF$5-1)</f>
        <v>13.5252</v>
      </c>
      <c r="AG32" s="108" t="n">
        <f aca="false">Inputs!$E$27*(1+Inputs!$E$30)^(AG$5-1)</f>
        <v>13.5252</v>
      </c>
      <c r="AH32" s="108" t="n">
        <f aca="false">Inputs!$E$27*(1+Inputs!$E$30)^(AH$5-1)</f>
        <v>13.5252</v>
      </c>
      <c r="AI32" s="108" t="n">
        <f aca="false">Inputs!$E$27*(1+Inputs!$E$30)^(AI$5-1)</f>
        <v>13.5252</v>
      </c>
      <c r="AJ32" s="108" t="n">
        <f aca="false">Inputs!$E$27*(1+Inputs!$E$30)^(AJ$5-1)</f>
        <v>13.5252</v>
      </c>
      <c r="AK32" s="108" t="n">
        <f aca="false">Inputs!$E$27*(1+Inputs!$E$30)^(AK$5-1)</f>
        <v>13.5252</v>
      </c>
      <c r="AL32" s="108" t="n">
        <f aca="false">Inputs!$E$27*(1+Inputs!$E$30)^(AL$5-1)</f>
        <v>13.5252</v>
      </c>
      <c r="AM32" s="108" t="n">
        <f aca="false">Inputs!$E$27*(1+Inputs!$E$30)^(AM$5-1)</f>
        <v>13.795704</v>
      </c>
      <c r="AN32" s="108" t="n">
        <f aca="false">Inputs!$E$27*(1+Inputs!$E$30)^(AN$5-1)</f>
        <v>13.795704</v>
      </c>
      <c r="AO32" s="108" t="n">
        <f aca="false">Inputs!$E$27*(1+Inputs!$E$30)^(AO$5-1)</f>
        <v>13.795704</v>
      </c>
      <c r="AP32" s="108" t="n">
        <f aca="false">Inputs!$E$27*(1+Inputs!$E$30)^(AP$5-1)</f>
        <v>13.795704</v>
      </c>
      <c r="AQ32" s="108" t="n">
        <f aca="false">Inputs!$E$27*(1+Inputs!$E$30)^(AQ$5-1)</f>
        <v>13.795704</v>
      </c>
      <c r="AR32" s="108" t="n">
        <f aca="false">Inputs!$E$27*(1+Inputs!$E$30)^(AR$5-1)</f>
        <v>13.795704</v>
      </c>
      <c r="AS32" s="108" t="n">
        <f aca="false">Inputs!$E$27*(1+Inputs!$E$30)^(AS$5-1)</f>
        <v>13.795704</v>
      </c>
      <c r="AT32" s="108" t="n">
        <f aca="false">Inputs!$E$27*(1+Inputs!$E$30)^(AT$5-1)</f>
        <v>13.795704</v>
      </c>
      <c r="AU32" s="108" t="n">
        <f aca="false">Inputs!$E$27*(1+Inputs!$E$30)^(AU$5-1)</f>
        <v>13.795704</v>
      </c>
      <c r="AV32" s="108" t="n">
        <f aca="false">Inputs!$E$27*(1+Inputs!$E$30)^(AV$5-1)</f>
        <v>13.795704</v>
      </c>
      <c r="AW32" s="108" t="n">
        <f aca="false">Inputs!$E$27*(1+Inputs!$E$30)^(AW$5-1)</f>
        <v>13.795704</v>
      </c>
      <c r="AX32" s="108" t="n">
        <f aca="false">Inputs!$E$27*(1+Inputs!$E$30)^(AX$5-1)</f>
        <v>13.795704</v>
      </c>
      <c r="AY32" s="108" t="n">
        <f aca="false">Inputs!$E$27*(1+Inputs!$E$30)^(AY$5-1)</f>
        <v>14.07161808</v>
      </c>
      <c r="AZ32" s="108" t="n">
        <f aca="false">Inputs!$E$27*(1+Inputs!$E$30)^(AZ$5-1)</f>
        <v>14.07161808</v>
      </c>
      <c r="BA32" s="108" t="n">
        <f aca="false">Inputs!$E$27*(1+Inputs!$E$30)^(BA$5-1)</f>
        <v>14.07161808</v>
      </c>
      <c r="BB32" s="108" t="n">
        <f aca="false">Inputs!$E$27*(1+Inputs!$E$30)^(BB$5-1)</f>
        <v>14.07161808</v>
      </c>
      <c r="BC32" s="108" t="n">
        <f aca="false">Inputs!$E$27*(1+Inputs!$E$30)^(BC$5-1)</f>
        <v>14.07161808</v>
      </c>
      <c r="BD32" s="108" t="n">
        <f aca="false">Inputs!$E$27*(1+Inputs!$E$30)^(BD$5-1)</f>
        <v>14.07161808</v>
      </c>
      <c r="BE32" s="108" t="n">
        <f aca="false">Inputs!$E$27*(1+Inputs!$E$30)^(BE$5-1)</f>
        <v>14.07161808</v>
      </c>
      <c r="BF32" s="108" t="n">
        <f aca="false">Inputs!$E$27*(1+Inputs!$E$30)^(BF$5-1)</f>
        <v>14.07161808</v>
      </c>
      <c r="BG32" s="108" t="n">
        <f aca="false">Inputs!$E$27*(1+Inputs!$E$30)^(BG$5-1)</f>
        <v>14.07161808</v>
      </c>
      <c r="BH32" s="108" t="n">
        <f aca="false">Inputs!$E$27*(1+Inputs!$E$30)^(BH$5-1)</f>
        <v>14.07161808</v>
      </c>
      <c r="BI32" s="108" t="n">
        <f aca="false">Inputs!$E$27*(1+Inputs!$E$30)^(BI$5-1)</f>
        <v>14.07161808</v>
      </c>
      <c r="BJ32" s="108" t="n">
        <f aca="false">Inputs!$E$27*(1+Inputs!$E$30)^(BJ$5-1)</f>
        <v>14.07161808</v>
      </c>
    </row>
    <row r="33" customFormat="false" ht="15" hidden="false" customHeight="false" outlineLevel="0" collapsed="false">
      <c r="A33" s="6" t="s">
        <v>406</v>
      </c>
      <c r="C33" s="108" t="n">
        <f aca="false">Inputs!$E$29*(1+Inputs!$E$30)^(C$5-1)</f>
        <v>35</v>
      </c>
      <c r="D33" s="108" t="n">
        <f aca="false">Inputs!$E$29*(1+Inputs!$E$30)^(D$5-1)</f>
        <v>35</v>
      </c>
      <c r="E33" s="108" t="n">
        <f aca="false">Inputs!$E$29*(1+Inputs!$E$30)^(E$5-1)</f>
        <v>35</v>
      </c>
      <c r="F33" s="108" t="n">
        <f aca="false">Inputs!$E$29*(1+Inputs!$E$30)^(F$5-1)</f>
        <v>35</v>
      </c>
      <c r="G33" s="108" t="n">
        <f aca="false">Inputs!$E$29*(1+Inputs!$E$30)^(G$5-1)</f>
        <v>35</v>
      </c>
      <c r="H33" s="108" t="n">
        <f aca="false">Inputs!$E$29*(1+Inputs!$E$30)^(H$5-1)</f>
        <v>35</v>
      </c>
      <c r="I33" s="108" t="n">
        <f aca="false">Inputs!$E$29*(1+Inputs!$E$30)^(I$5-1)</f>
        <v>35</v>
      </c>
      <c r="J33" s="108" t="n">
        <f aca="false">Inputs!$E$29*(1+Inputs!$E$30)^(J$5-1)</f>
        <v>35</v>
      </c>
      <c r="K33" s="108" t="n">
        <f aca="false">Inputs!$E$29*(1+Inputs!$E$30)^(K$5-1)</f>
        <v>35</v>
      </c>
      <c r="L33" s="108" t="n">
        <f aca="false">Inputs!$E$29*(1+Inputs!$E$30)^(L$5-1)</f>
        <v>35</v>
      </c>
      <c r="M33" s="108" t="n">
        <f aca="false">Inputs!$E$29*(1+Inputs!$E$30)^(M$5-1)</f>
        <v>35</v>
      </c>
      <c r="N33" s="108" t="n">
        <f aca="false">Inputs!$E$29*(1+Inputs!$E$30)^(N$5-1)</f>
        <v>35</v>
      </c>
      <c r="O33" s="108" t="n">
        <f aca="false">Inputs!$E$29*(1+Inputs!$E$30)^(O$5-1)</f>
        <v>35.7</v>
      </c>
      <c r="P33" s="108" t="n">
        <f aca="false">Inputs!$E$29*(1+Inputs!$E$30)^(P$5-1)</f>
        <v>35.7</v>
      </c>
      <c r="Q33" s="108" t="n">
        <f aca="false">Inputs!$E$29*(1+Inputs!$E$30)^(Q$5-1)</f>
        <v>35.7</v>
      </c>
      <c r="R33" s="108" t="n">
        <f aca="false">Inputs!$E$29*(1+Inputs!$E$30)^(R$5-1)</f>
        <v>35.7</v>
      </c>
      <c r="S33" s="108" t="n">
        <f aca="false">Inputs!$E$29*(1+Inputs!$E$30)^(S$5-1)</f>
        <v>35.7</v>
      </c>
      <c r="T33" s="108" t="n">
        <f aca="false">Inputs!$E$29*(1+Inputs!$E$30)^(T$5-1)</f>
        <v>35.7</v>
      </c>
      <c r="U33" s="108" t="n">
        <f aca="false">Inputs!$E$29*(1+Inputs!$E$30)^(U$5-1)</f>
        <v>35.7</v>
      </c>
      <c r="V33" s="108" t="n">
        <f aca="false">Inputs!$E$29*(1+Inputs!$E$30)^(V$5-1)</f>
        <v>35.7</v>
      </c>
      <c r="W33" s="108" t="n">
        <f aca="false">Inputs!$E$29*(1+Inputs!$E$30)^(W$5-1)</f>
        <v>35.7</v>
      </c>
      <c r="X33" s="108" t="n">
        <f aca="false">Inputs!$E$29*(1+Inputs!$E$30)^(X$5-1)</f>
        <v>35.7</v>
      </c>
      <c r="Y33" s="108" t="n">
        <f aca="false">Inputs!$E$29*(1+Inputs!$E$30)^(Y$5-1)</f>
        <v>35.7</v>
      </c>
      <c r="Z33" s="108" t="n">
        <f aca="false">Inputs!$E$29*(1+Inputs!$E$30)^(Z$5-1)</f>
        <v>35.7</v>
      </c>
      <c r="AA33" s="108" t="n">
        <f aca="false">Inputs!$E$29*(1+Inputs!$E$30)^(AA$5-1)</f>
        <v>36.414</v>
      </c>
      <c r="AB33" s="108" t="n">
        <f aca="false">Inputs!$E$29*(1+Inputs!$E$30)^(AB$5-1)</f>
        <v>36.414</v>
      </c>
      <c r="AC33" s="108" t="n">
        <f aca="false">Inputs!$E$29*(1+Inputs!$E$30)^(AC$5-1)</f>
        <v>36.414</v>
      </c>
      <c r="AD33" s="108" t="n">
        <f aca="false">Inputs!$E$29*(1+Inputs!$E$30)^(AD$5-1)</f>
        <v>36.414</v>
      </c>
      <c r="AE33" s="108" t="n">
        <f aca="false">Inputs!$E$29*(1+Inputs!$E$30)^(AE$5-1)</f>
        <v>36.414</v>
      </c>
      <c r="AF33" s="108" t="n">
        <f aca="false">Inputs!$E$29*(1+Inputs!$E$30)^(AF$5-1)</f>
        <v>36.414</v>
      </c>
      <c r="AG33" s="108" t="n">
        <f aca="false">Inputs!$E$29*(1+Inputs!$E$30)^(AG$5-1)</f>
        <v>36.414</v>
      </c>
      <c r="AH33" s="108" t="n">
        <f aca="false">Inputs!$E$29*(1+Inputs!$E$30)^(AH$5-1)</f>
        <v>36.414</v>
      </c>
      <c r="AI33" s="108" t="n">
        <f aca="false">Inputs!$E$29*(1+Inputs!$E$30)^(AI$5-1)</f>
        <v>36.414</v>
      </c>
      <c r="AJ33" s="108" t="n">
        <f aca="false">Inputs!$E$29*(1+Inputs!$E$30)^(AJ$5-1)</f>
        <v>36.414</v>
      </c>
      <c r="AK33" s="108" t="n">
        <f aca="false">Inputs!$E$29*(1+Inputs!$E$30)^(AK$5-1)</f>
        <v>36.414</v>
      </c>
      <c r="AL33" s="108" t="n">
        <f aca="false">Inputs!$E$29*(1+Inputs!$E$30)^(AL$5-1)</f>
        <v>36.414</v>
      </c>
      <c r="AM33" s="108" t="n">
        <f aca="false">Inputs!$E$29*(1+Inputs!$E$30)^(AM$5-1)</f>
        <v>37.14228</v>
      </c>
      <c r="AN33" s="108" t="n">
        <f aca="false">Inputs!$E$29*(1+Inputs!$E$30)^(AN$5-1)</f>
        <v>37.14228</v>
      </c>
      <c r="AO33" s="108" t="n">
        <f aca="false">Inputs!$E$29*(1+Inputs!$E$30)^(AO$5-1)</f>
        <v>37.14228</v>
      </c>
      <c r="AP33" s="108" t="n">
        <f aca="false">Inputs!$E$29*(1+Inputs!$E$30)^(AP$5-1)</f>
        <v>37.14228</v>
      </c>
      <c r="AQ33" s="108" t="n">
        <f aca="false">Inputs!$E$29*(1+Inputs!$E$30)^(AQ$5-1)</f>
        <v>37.14228</v>
      </c>
      <c r="AR33" s="108" t="n">
        <f aca="false">Inputs!$E$29*(1+Inputs!$E$30)^(AR$5-1)</f>
        <v>37.14228</v>
      </c>
      <c r="AS33" s="108" t="n">
        <f aca="false">Inputs!$E$29*(1+Inputs!$E$30)^(AS$5-1)</f>
        <v>37.14228</v>
      </c>
      <c r="AT33" s="108" t="n">
        <f aca="false">Inputs!$E$29*(1+Inputs!$E$30)^(AT$5-1)</f>
        <v>37.14228</v>
      </c>
      <c r="AU33" s="108" t="n">
        <f aca="false">Inputs!$E$29*(1+Inputs!$E$30)^(AU$5-1)</f>
        <v>37.14228</v>
      </c>
      <c r="AV33" s="108" t="n">
        <f aca="false">Inputs!$E$29*(1+Inputs!$E$30)^(AV$5-1)</f>
        <v>37.14228</v>
      </c>
      <c r="AW33" s="108" t="n">
        <f aca="false">Inputs!$E$29*(1+Inputs!$E$30)^(AW$5-1)</f>
        <v>37.14228</v>
      </c>
      <c r="AX33" s="108" t="n">
        <f aca="false">Inputs!$E$29*(1+Inputs!$E$30)^(AX$5-1)</f>
        <v>37.14228</v>
      </c>
      <c r="AY33" s="108" t="n">
        <f aca="false">Inputs!$E$29*(1+Inputs!$E$30)^(AY$5-1)</f>
        <v>37.8851256</v>
      </c>
      <c r="AZ33" s="108" t="n">
        <f aca="false">Inputs!$E$29*(1+Inputs!$E$30)^(AZ$5-1)</f>
        <v>37.8851256</v>
      </c>
      <c r="BA33" s="108" t="n">
        <f aca="false">Inputs!$E$29*(1+Inputs!$E$30)^(BA$5-1)</f>
        <v>37.8851256</v>
      </c>
      <c r="BB33" s="108" t="n">
        <f aca="false">Inputs!$E$29*(1+Inputs!$E$30)^(BB$5-1)</f>
        <v>37.8851256</v>
      </c>
      <c r="BC33" s="108" t="n">
        <f aca="false">Inputs!$E$29*(1+Inputs!$E$30)^(BC$5-1)</f>
        <v>37.8851256</v>
      </c>
      <c r="BD33" s="108" t="n">
        <f aca="false">Inputs!$E$29*(1+Inputs!$E$30)^(BD$5-1)</f>
        <v>37.8851256</v>
      </c>
      <c r="BE33" s="108" t="n">
        <f aca="false">Inputs!$E$29*(1+Inputs!$E$30)^(BE$5-1)</f>
        <v>37.8851256</v>
      </c>
      <c r="BF33" s="108" t="n">
        <f aca="false">Inputs!$E$29*(1+Inputs!$E$30)^(BF$5-1)</f>
        <v>37.8851256</v>
      </c>
      <c r="BG33" s="108" t="n">
        <f aca="false">Inputs!$E$29*(1+Inputs!$E$30)^(BG$5-1)</f>
        <v>37.8851256</v>
      </c>
      <c r="BH33" s="108" t="n">
        <f aca="false">Inputs!$E$29*(1+Inputs!$E$30)^(BH$5-1)</f>
        <v>37.8851256</v>
      </c>
      <c r="BI33" s="108" t="n">
        <f aca="false">Inputs!$E$29*(1+Inputs!$E$30)^(BI$5-1)</f>
        <v>37.8851256</v>
      </c>
      <c r="BJ33" s="108" t="n">
        <f aca="false">Inputs!$E$29*(1+Inputs!$E$30)^(BJ$5-1)</f>
        <v>37.8851256</v>
      </c>
    </row>
    <row r="34" customFormat="false" ht="15" hidden="false" customHeight="false" outlineLevel="0" collapsed="false">
      <c r="A34" s="6" t="s">
        <v>407</v>
      </c>
      <c r="C34" s="53" t="n">
        <f aca="false">C26*C32</f>
        <v>34608.6</v>
      </c>
      <c r="D34" s="53" t="n">
        <f aca="false">D26*D32</f>
        <v>39308.5333333333</v>
      </c>
      <c r="E34" s="53" t="n">
        <f aca="false">E26*E32</f>
        <v>54363.4</v>
      </c>
      <c r="F34" s="53" t="n">
        <f aca="false">F26*F32</f>
        <v>60169.2</v>
      </c>
      <c r="G34" s="53" t="n">
        <f aca="false">G26*G32</f>
        <v>65975</v>
      </c>
      <c r="H34" s="53" t="n">
        <f aca="false">H26*H32</f>
        <v>71780.8</v>
      </c>
      <c r="I34" s="53" t="n">
        <f aca="false">I26*I32</f>
        <v>77586.6</v>
      </c>
      <c r="J34" s="53" t="n">
        <f aca="false">J26*J32</f>
        <v>83392.4</v>
      </c>
      <c r="K34" s="53" t="n">
        <f aca="false">K26*K32</f>
        <v>89198.2</v>
      </c>
      <c r="L34" s="53" t="n">
        <f aca="false">L26*L32</f>
        <v>95004</v>
      </c>
      <c r="M34" s="53" t="n">
        <f aca="false">M26*M32</f>
        <v>95004</v>
      </c>
      <c r="N34" s="53" t="n">
        <f aca="false">N26*N32</f>
        <v>76908</v>
      </c>
      <c r="O34" s="53" t="n">
        <f aca="false">O26*O32</f>
        <v>78446.16</v>
      </c>
      <c r="P34" s="53" t="n">
        <f aca="false">P26*P32</f>
        <v>78446.16</v>
      </c>
      <c r="Q34" s="53" t="n">
        <f aca="false">Q26*Q32</f>
        <v>96904.08</v>
      </c>
      <c r="R34" s="53" t="n">
        <f aca="false">R26*R32</f>
        <v>96904.08</v>
      </c>
      <c r="S34" s="53" t="n">
        <f aca="false">S26*S32</f>
        <v>96904.08</v>
      </c>
      <c r="T34" s="53" t="n">
        <f aca="false">T26*T32</f>
        <v>96904.08</v>
      </c>
      <c r="U34" s="53" t="n">
        <f aca="false">U26*U32</f>
        <v>96904.08</v>
      </c>
      <c r="V34" s="53" t="n">
        <f aca="false">V26*V32</f>
        <v>96904.08</v>
      </c>
      <c r="W34" s="53" t="n">
        <f aca="false">W26*W32</f>
        <v>96904.08</v>
      </c>
      <c r="X34" s="53" t="n">
        <f aca="false">X26*X32</f>
        <v>96904.08</v>
      </c>
      <c r="Y34" s="53" t="n">
        <f aca="false">Y26*Y32</f>
        <v>96904.08</v>
      </c>
      <c r="Z34" s="53" t="n">
        <f aca="false">Z26*Z32</f>
        <v>78446.16</v>
      </c>
      <c r="AA34" s="53" t="n">
        <f aca="false">AA26*AA32</f>
        <v>80015.0832</v>
      </c>
      <c r="AB34" s="53" t="n">
        <f aca="false">AB26*AB32</f>
        <v>80015.0832</v>
      </c>
      <c r="AC34" s="53" t="n">
        <f aca="false">AC26*AC32</f>
        <v>98842.1616</v>
      </c>
      <c r="AD34" s="53" t="n">
        <f aca="false">AD26*AD32</f>
        <v>98842.1616</v>
      </c>
      <c r="AE34" s="53" t="n">
        <f aca="false">AE26*AE32</f>
        <v>98842.1616</v>
      </c>
      <c r="AF34" s="53" t="n">
        <f aca="false">AF26*AF32</f>
        <v>98842.1616</v>
      </c>
      <c r="AG34" s="53" t="n">
        <f aca="false">AG26*AG32</f>
        <v>98842.1616</v>
      </c>
      <c r="AH34" s="53" t="n">
        <f aca="false">AH26*AH32</f>
        <v>98842.1616</v>
      </c>
      <c r="AI34" s="53" t="n">
        <f aca="false">AI26*AI32</f>
        <v>98842.1616</v>
      </c>
      <c r="AJ34" s="53" t="n">
        <f aca="false">AJ26*AJ32</f>
        <v>98842.1616</v>
      </c>
      <c r="AK34" s="53" t="n">
        <f aca="false">AK26*AK32</f>
        <v>98842.1616</v>
      </c>
      <c r="AL34" s="53" t="n">
        <f aca="false">AL26*AL32</f>
        <v>80015.0832</v>
      </c>
      <c r="AM34" s="53" t="n">
        <f aca="false">AM26*AM32</f>
        <v>81615.384864</v>
      </c>
      <c r="AN34" s="53" t="n">
        <f aca="false">AN26*AN32</f>
        <v>81615.384864</v>
      </c>
      <c r="AO34" s="53" t="n">
        <f aca="false">AO26*AO32</f>
        <v>100819.004832</v>
      </c>
      <c r="AP34" s="53" t="n">
        <f aca="false">AP26*AP32</f>
        <v>100819.004832</v>
      </c>
      <c r="AQ34" s="53" t="n">
        <f aca="false">AQ26*AQ32</f>
        <v>100819.004832</v>
      </c>
      <c r="AR34" s="53" t="n">
        <f aca="false">AR26*AR32</f>
        <v>100819.004832</v>
      </c>
      <c r="AS34" s="53" t="n">
        <f aca="false">AS26*AS32</f>
        <v>100819.004832</v>
      </c>
      <c r="AT34" s="53" t="n">
        <f aca="false">AT26*AT32</f>
        <v>100819.004832</v>
      </c>
      <c r="AU34" s="53" t="n">
        <f aca="false">AU26*AU32</f>
        <v>100819.004832</v>
      </c>
      <c r="AV34" s="53" t="n">
        <f aca="false">AV26*AV32</f>
        <v>100819.004832</v>
      </c>
      <c r="AW34" s="53" t="n">
        <f aca="false">AW26*AW32</f>
        <v>100819.004832</v>
      </c>
      <c r="AX34" s="53" t="n">
        <f aca="false">AX26*AX32</f>
        <v>81615.384864</v>
      </c>
      <c r="AY34" s="53" t="n">
        <f aca="false">AY26*AY32</f>
        <v>83247.69256128</v>
      </c>
      <c r="AZ34" s="53" t="n">
        <f aca="false">AZ26*AZ32</f>
        <v>83247.69256128</v>
      </c>
      <c r="BA34" s="53" t="n">
        <f aca="false">BA26*BA32</f>
        <v>102835.38492864</v>
      </c>
      <c r="BB34" s="53" t="n">
        <f aca="false">BB26*BB32</f>
        <v>102835.38492864</v>
      </c>
      <c r="BC34" s="53" t="n">
        <f aca="false">BC26*BC32</f>
        <v>102835.38492864</v>
      </c>
      <c r="BD34" s="53" t="n">
        <f aca="false">BD26*BD32</f>
        <v>102835.38492864</v>
      </c>
      <c r="BE34" s="53" t="n">
        <f aca="false">BE26*BE32</f>
        <v>102835.38492864</v>
      </c>
      <c r="BF34" s="53" t="n">
        <f aca="false">BF26*BF32</f>
        <v>102835.38492864</v>
      </c>
      <c r="BG34" s="53" t="n">
        <f aca="false">BG26*BG32</f>
        <v>102835.38492864</v>
      </c>
      <c r="BH34" s="53" t="n">
        <f aca="false">BH26*BH32</f>
        <v>102835.38492864</v>
      </c>
      <c r="BI34" s="53" t="n">
        <f aca="false">BI26*BI32</f>
        <v>102835.38492864</v>
      </c>
      <c r="BJ34" s="53" t="n">
        <f aca="false">BJ26*BJ32</f>
        <v>83247.69256128</v>
      </c>
    </row>
    <row r="35" customFormat="false" ht="15" hidden="false" customHeight="false" outlineLevel="0" collapsed="false">
      <c r="A35" s="6" t="s">
        <v>408</v>
      </c>
      <c r="C35" s="53" t="n">
        <f aca="false">C26*Inputs!$E$28*(1+Inputs!$E$30)^(C$5-1)</f>
        <v>3993.3</v>
      </c>
      <c r="D35" s="53" t="n">
        <f aca="false">D26*Inputs!$E$28*(1+Inputs!$E$30)^(D$5-1)</f>
        <v>4535.6</v>
      </c>
      <c r="E35" s="53" t="n">
        <f aca="false">E26*Inputs!$E$28*(1+Inputs!$E$30)^(E$5-1)</f>
        <v>6272.7</v>
      </c>
      <c r="F35" s="53" t="n">
        <f aca="false">F26*Inputs!$E$28*(1+Inputs!$E$30)^(F$5-1)</f>
        <v>6942.6</v>
      </c>
      <c r="G35" s="53" t="n">
        <f aca="false">G26*Inputs!$E$28*(1+Inputs!$E$30)^(G$5-1)</f>
        <v>7612.5</v>
      </c>
      <c r="H35" s="53" t="n">
        <f aca="false">H26*Inputs!$E$28*(1+Inputs!$E$30)^(H$5-1)</f>
        <v>8282.4</v>
      </c>
      <c r="I35" s="53" t="n">
        <f aca="false">I26*Inputs!$E$28*(1+Inputs!$E$30)^(I$5-1)</f>
        <v>8952.3</v>
      </c>
      <c r="J35" s="53" t="n">
        <f aca="false">J26*Inputs!$E$28*(1+Inputs!$E$30)^(J$5-1)</f>
        <v>9622.2</v>
      </c>
      <c r="K35" s="53" t="n">
        <f aca="false">K26*Inputs!$E$28*(1+Inputs!$E$30)^(K$5-1)</f>
        <v>10292.1</v>
      </c>
      <c r="L35" s="53" t="n">
        <f aca="false">L26*Inputs!$E$28*(1+Inputs!$E$30)^(L$5-1)</f>
        <v>10962</v>
      </c>
      <c r="M35" s="53" t="n">
        <f aca="false">M26*Inputs!$E$28*(1+Inputs!$E$30)^(M$5-1)</f>
        <v>10962</v>
      </c>
      <c r="N35" s="53" t="n">
        <f aca="false">N26*Inputs!$E$28*(1+Inputs!$E$30)^(N$5-1)</f>
        <v>8874</v>
      </c>
      <c r="O35" s="53" t="n">
        <f aca="false">O26*Inputs!$E$28*(1+Inputs!$E$30)^(O$5-1)</f>
        <v>9051.48</v>
      </c>
      <c r="P35" s="53" t="n">
        <f aca="false">P26*Inputs!$E$28*(1+Inputs!$E$30)^(P$5-1)</f>
        <v>9051.48</v>
      </c>
      <c r="Q35" s="53" t="n">
        <f aca="false">Q26*Inputs!$E$28*(1+Inputs!$E$30)^(Q$5-1)</f>
        <v>11181.24</v>
      </c>
      <c r="R35" s="53" t="n">
        <f aca="false">R26*Inputs!$E$28*(1+Inputs!$E$30)^(R$5-1)</f>
        <v>11181.24</v>
      </c>
      <c r="S35" s="53" t="n">
        <f aca="false">S26*Inputs!$E$28*(1+Inputs!$E$30)^(S$5-1)</f>
        <v>11181.24</v>
      </c>
      <c r="T35" s="53" t="n">
        <f aca="false">T26*Inputs!$E$28*(1+Inputs!$E$30)^(T$5-1)</f>
        <v>11181.24</v>
      </c>
      <c r="U35" s="53" t="n">
        <f aca="false">U26*Inputs!$E$28*(1+Inputs!$E$30)^(U$5-1)</f>
        <v>11181.24</v>
      </c>
      <c r="V35" s="53" t="n">
        <f aca="false">V26*Inputs!$E$28*(1+Inputs!$E$30)^(V$5-1)</f>
        <v>11181.24</v>
      </c>
      <c r="W35" s="53" t="n">
        <f aca="false">W26*Inputs!$E$28*(1+Inputs!$E$30)^(W$5-1)</f>
        <v>11181.24</v>
      </c>
      <c r="X35" s="53" t="n">
        <f aca="false">X26*Inputs!$E$28*(1+Inputs!$E$30)^(X$5-1)</f>
        <v>11181.24</v>
      </c>
      <c r="Y35" s="53" t="n">
        <f aca="false">Y26*Inputs!$E$28*(1+Inputs!$E$30)^(Y$5-1)</f>
        <v>11181.24</v>
      </c>
      <c r="Z35" s="53" t="n">
        <f aca="false">Z26*Inputs!$E$28*(1+Inputs!$E$30)^(Z$5-1)</f>
        <v>9051.48</v>
      </c>
      <c r="AA35" s="53" t="n">
        <f aca="false">AA26*Inputs!$E$28*(1+Inputs!$E$30)^(AA$5-1)</f>
        <v>9232.5096</v>
      </c>
      <c r="AB35" s="53" t="n">
        <f aca="false">AB26*Inputs!$E$28*(1+Inputs!$E$30)^(AB$5-1)</f>
        <v>9232.5096</v>
      </c>
      <c r="AC35" s="53" t="n">
        <f aca="false">AC26*Inputs!$E$28*(1+Inputs!$E$30)^(AC$5-1)</f>
        <v>11404.8648</v>
      </c>
      <c r="AD35" s="53" t="n">
        <f aca="false">AD26*Inputs!$E$28*(1+Inputs!$E$30)^(AD$5-1)</f>
        <v>11404.8648</v>
      </c>
      <c r="AE35" s="53" t="n">
        <f aca="false">AE26*Inputs!$E$28*(1+Inputs!$E$30)^(AE$5-1)</f>
        <v>11404.8648</v>
      </c>
      <c r="AF35" s="53" t="n">
        <f aca="false">AF26*Inputs!$E$28*(1+Inputs!$E$30)^(AF$5-1)</f>
        <v>11404.8648</v>
      </c>
      <c r="AG35" s="53" t="n">
        <f aca="false">AG26*Inputs!$E$28*(1+Inputs!$E$30)^(AG$5-1)</f>
        <v>11404.8648</v>
      </c>
      <c r="AH35" s="53" t="n">
        <f aca="false">AH26*Inputs!$E$28*(1+Inputs!$E$30)^(AH$5-1)</f>
        <v>11404.8648</v>
      </c>
      <c r="AI35" s="53" t="n">
        <f aca="false">AI26*Inputs!$E$28*(1+Inputs!$E$30)^(AI$5-1)</f>
        <v>11404.8648</v>
      </c>
      <c r="AJ35" s="53" t="n">
        <f aca="false">AJ26*Inputs!$E$28*(1+Inputs!$E$30)^(AJ$5-1)</f>
        <v>11404.8648</v>
      </c>
      <c r="AK35" s="53" t="n">
        <f aca="false">AK26*Inputs!$E$28*(1+Inputs!$E$30)^(AK$5-1)</f>
        <v>11404.8648</v>
      </c>
      <c r="AL35" s="53" t="n">
        <f aca="false">AL26*Inputs!$E$28*(1+Inputs!$E$30)^(AL$5-1)</f>
        <v>9232.5096</v>
      </c>
      <c r="AM35" s="53" t="n">
        <f aca="false">AM26*Inputs!$E$28*(1+Inputs!$E$30)^(AM$5-1)</f>
        <v>9417.159792</v>
      </c>
      <c r="AN35" s="53" t="n">
        <f aca="false">AN26*Inputs!$E$28*(1+Inputs!$E$30)^(AN$5-1)</f>
        <v>9417.159792</v>
      </c>
      <c r="AO35" s="53" t="n">
        <f aca="false">AO26*Inputs!$E$28*(1+Inputs!$E$30)^(AO$5-1)</f>
        <v>11632.962096</v>
      </c>
      <c r="AP35" s="53" t="n">
        <f aca="false">AP26*Inputs!$E$28*(1+Inputs!$E$30)^(AP$5-1)</f>
        <v>11632.962096</v>
      </c>
      <c r="AQ35" s="53" t="n">
        <f aca="false">AQ26*Inputs!$E$28*(1+Inputs!$E$30)^(AQ$5-1)</f>
        <v>11632.962096</v>
      </c>
      <c r="AR35" s="53" t="n">
        <f aca="false">AR26*Inputs!$E$28*(1+Inputs!$E$30)^(AR$5-1)</f>
        <v>11632.962096</v>
      </c>
      <c r="AS35" s="53" t="n">
        <f aca="false">AS26*Inputs!$E$28*(1+Inputs!$E$30)^(AS$5-1)</f>
        <v>11632.962096</v>
      </c>
      <c r="AT35" s="53" t="n">
        <f aca="false">AT26*Inputs!$E$28*(1+Inputs!$E$30)^(AT$5-1)</f>
        <v>11632.962096</v>
      </c>
      <c r="AU35" s="53" t="n">
        <f aca="false">AU26*Inputs!$E$28*(1+Inputs!$E$30)^(AU$5-1)</f>
        <v>11632.962096</v>
      </c>
      <c r="AV35" s="53" t="n">
        <f aca="false">AV26*Inputs!$E$28*(1+Inputs!$E$30)^(AV$5-1)</f>
        <v>11632.962096</v>
      </c>
      <c r="AW35" s="53" t="n">
        <f aca="false">AW26*Inputs!$E$28*(1+Inputs!$E$30)^(AW$5-1)</f>
        <v>11632.962096</v>
      </c>
      <c r="AX35" s="53" t="n">
        <f aca="false">AX26*Inputs!$E$28*(1+Inputs!$E$30)^(AX$5-1)</f>
        <v>9417.159792</v>
      </c>
      <c r="AY35" s="53" t="n">
        <f aca="false">AY26*Inputs!$E$28*(1+Inputs!$E$30)^(AY$5-1)</f>
        <v>9605.50298784</v>
      </c>
      <c r="AZ35" s="53" t="n">
        <f aca="false">AZ26*Inputs!$E$28*(1+Inputs!$E$30)^(AZ$5-1)</f>
        <v>9605.50298784</v>
      </c>
      <c r="BA35" s="53" t="n">
        <f aca="false">BA26*Inputs!$E$28*(1+Inputs!$E$30)^(BA$5-1)</f>
        <v>11865.62133792</v>
      </c>
      <c r="BB35" s="53" t="n">
        <f aca="false">BB26*Inputs!$E$28*(1+Inputs!$E$30)^(BB$5-1)</f>
        <v>11865.62133792</v>
      </c>
      <c r="BC35" s="53" t="n">
        <f aca="false">BC26*Inputs!$E$28*(1+Inputs!$E$30)^(BC$5-1)</f>
        <v>11865.62133792</v>
      </c>
      <c r="BD35" s="53" t="n">
        <f aca="false">BD26*Inputs!$E$28*(1+Inputs!$E$30)^(BD$5-1)</f>
        <v>11865.62133792</v>
      </c>
      <c r="BE35" s="53" t="n">
        <f aca="false">BE26*Inputs!$E$28*(1+Inputs!$E$30)^(BE$5-1)</f>
        <v>11865.62133792</v>
      </c>
      <c r="BF35" s="53" t="n">
        <f aca="false">BF26*Inputs!$E$28*(1+Inputs!$E$30)^(BF$5-1)</f>
        <v>11865.62133792</v>
      </c>
      <c r="BG35" s="53" t="n">
        <f aca="false">BG26*Inputs!$E$28*(1+Inputs!$E$30)^(BG$5-1)</f>
        <v>11865.62133792</v>
      </c>
      <c r="BH35" s="53" t="n">
        <f aca="false">BH26*Inputs!$E$28*(1+Inputs!$E$30)^(BH$5-1)</f>
        <v>11865.62133792</v>
      </c>
      <c r="BI35" s="53" t="n">
        <f aca="false">BI26*Inputs!$E$28*(1+Inputs!$E$30)^(BI$5-1)</f>
        <v>11865.62133792</v>
      </c>
      <c r="BJ35" s="53" t="n">
        <f aca="false">BJ26*Inputs!$E$28*(1+Inputs!$E$30)^(BJ$5-1)</f>
        <v>9605.50298784</v>
      </c>
    </row>
    <row r="36" customFormat="false" ht="15" hidden="false" customHeight="false" outlineLevel="0" collapsed="false">
      <c r="A36" s="6" t="s">
        <v>210</v>
      </c>
      <c r="C36" s="53" t="n">
        <f aca="false">C20*C33*1</f>
        <v>9341.458</v>
      </c>
      <c r="D36" s="53" t="n">
        <f aca="false">D20*D33*1</f>
        <v>10604.8025688889</v>
      </c>
      <c r="E36" s="53" t="n">
        <f aca="false">E20*E33*1</f>
        <v>12137.3017994667</v>
      </c>
      <c r="F36" s="53" t="n">
        <f aca="false">F20*F33*1</f>
        <v>13940.0988385991</v>
      </c>
      <c r="G36" s="53" t="n">
        <f aca="false">G20*G33*1</f>
        <v>15902.7764406107</v>
      </c>
      <c r="H36" s="53" t="n">
        <f aca="false">H20*H33*1</f>
        <v>18018.9393829863</v>
      </c>
      <c r="I36" s="53" t="n">
        <f aca="false">I20*I33*1</f>
        <v>20282.4482521113</v>
      </c>
      <c r="J36" s="53" t="n">
        <f aca="false">J20*J33*1</f>
        <v>22687.4092109157</v>
      </c>
      <c r="K36" s="53" t="n">
        <f aca="false">K20*K33*1</f>
        <v>25228.1641758124</v>
      </c>
      <c r="L36" s="53" t="n">
        <f aca="false">L20*L33*1</f>
        <v>27899.2813865577</v>
      </c>
      <c r="M36" s="53" t="n">
        <f aca="false">M20*M33*1</f>
        <v>30579.5501310954</v>
      </c>
      <c r="N36" s="53" t="n">
        <f aca="false">N20*N33*1</f>
        <v>32957.7281258516</v>
      </c>
      <c r="O36" s="53" t="n">
        <f aca="false">O20*O33*1</f>
        <v>35791.4419808339</v>
      </c>
      <c r="P36" s="53" t="n">
        <f aca="false">P20*P33*1</f>
        <v>37923.6439016005</v>
      </c>
      <c r="Q36" s="53" t="n">
        <f aca="false">Q20*Q33*1</f>
        <v>40169.3353455365</v>
      </c>
      <c r="R36" s="53" t="n">
        <f aca="false">R20*R33*1</f>
        <v>42523.976731715</v>
      </c>
      <c r="S36" s="53" t="n">
        <f aca="false">S20*S33*1</f>
        <v>44784.4324624464</v>
      </c>
      <c r="T36" s="53" t="n">
        <f aca="false">T20*T33*1</f>
        <v>46954.4699639486</v>
      </c>
      <c r="U36" s="53" t="n">
        <f aca="false">U20*U33*1</f>
        <v>49037.7059653906</v>
      </c>
      <c r="V36" s="53" t="n">
        <f aca="false">V20*V33*1</f>
        <v>51037.612526775</v>
      </c>
      <c r="W36" s="53" t="n">
        <f aca="false">W20*W33*1</f>
        <v>52957.522825704</v>
      </c>
      <c r="X36" s="53" t="n">
        <f aca="false">X20*X33*1</f>
        <v>54800.6367126758</v>
      </c>
      <c r="Y36" s="53" t="n">
        <f aca="false">Y20*Y33*1</f>
        <v>56570.0260441688</v>
      </c>
      <c r="Z36" s="53" t="n">
        <f aca="false">Z20*Z33*1</f>
        <v>58069.862202402</v>
      </c>
      <c r="AA36" s="53" t="n">
        <f aca="false">AA20*AA33*1</f>
        <v>60544.9392355921</v>
      </c>
      <c r="AB36" s="53" t="n">
        <f aca="false">AB20*AB33*1</f>
        <v>61853.8652081684</v>
      </c>
      <c r="AC36" s="53" t="n">
        <f aca="false">AC20*AC33*1</f>
        <v>63313.1872938416</v>
      </c>
      <c r="AD36" s="53" t="n">
        <f aca="false">AD20*AD33*1</f>
        <v>64916.889648088</v>
      </c>
      <c r="AE36" s="53" t="n">
        <f aca="false">AE20*AE33*1</f>
        <v>66456.4439081644</v>
      </c>
      <c r="AF36" s="53" t="n">
        <f aca="false">AF20*AF33*1</f>
        <v>67934.4159978379</v>
      </c>
      <c r="AG36" s="53" t="n">
        <f aca="false">AG20*AG33*1</f>
        <v>69353.2692039243</v>
      </c>
      <c r="AH36" s="53" t="n">
        <f aca="false">AH20*AH33*1</f>
        <v>70715.3682817674</v>
      </c>
      <c r="AI36" s="53" t="n">
        <f aca="false">AI20*AI33*1</f>
        <v>72022.9833964967</v>
      </c>
      <c r="AJ36" s="53" t="n">
        <f aca="false">AJ20*AJ33*1</f>
        <v>73278.2939066368</v>
      </c>
      <c r="AK36" s="53" t="n">
        <f aca="false">AK20*AK33*1</f>
        <v>74483.3919963713</v>
      </c>
      <c r="AL36" s="53" t="n">
        <f aca="false">AL20*AL33*1</f>
        <v>75437.5330105165</v>
      </c>
      <c r="AM36" s="53" t="n">
        <f aca="false">AM20*AM33*1</f>
        <v>77724.9570413627</v>
      </c>
      <c r="AN36" s="53" t="n">
        <f aca="false">AN20*AN33*1</f>
        <v>78523.6701817982</v>
      </c>
      <c r="AO36" s="53" t="n">
        <f aca="false">AO20*AO33*1</f>
        <v>79497.2430116563</v>
      </c>
      <c r="AP36" s="53" t="n">
        <f aca="false">AP20*AP33*1</f>
        <v>80638.68114336</v>
      </c>
      <c r="AQ36" s="53" t="n">
        <f aca="false">AQ20*AQ33*1</f>
        <v>81734.4617497956</v>
      </c>
      <c r="AR36" s="53" t="n">
        <f aca="false">AR20*AR33*1</f>
        <v>82786.4111319738</v>
      </c>
      <c r="AS36" s="53" t="n">
        <f aca="false">AS20*AS33*1</f>
        <v>83796.2825388648</v>
      </c>
      <c r="AT36" s="53" t="n">
        <f aca="false">AT20*AT33*1</f>
        <v>84765.7590894802</v>
      </c>
      <c r="AU36" s="53" t="n">
        <f aca="false">AU20*AU33*1</f>
        <v>85696.456578071</v>
      </c>
      <c r="AV36" s="53" t="n">
        <f aca="false">AV20*AV33*1</f>
        <v>86589.9261671182</v>
      </c>
      <c r="AW36" s="53" t="n">
        <f aca="false">AW20*AW33*1</f>
        <v>87447.6569726034</v>
      </c>
      <c r="AX36" s="53" t="n">
        <f aca="false">AX20*AX33*1</f>
        <v>88064.2703308293</v>
      </c>
      <c r="AY36" s="53" t="n">
        <f aca="false">AY20*AY33*1</f>
        <v>90273.2201191332</v>
      </c>
      <c r="AZ36" s="53" t="n">
        <f aca="false">AZ20*AZ33*1</f>
        <v>90757.7988862064</v>
      </c>
      <c r="BA36" s="53" t="n">
        <f aca="false">BA20*BA33*1</f>
        <v>91433.9388819375</v>
      </c>
      <c r="BB36" s="53" t="n">
        <f aca="false">BB20*BB33*1</f>
        <v>92293.9776571802</v>
      </c>
      <c r="BC36" s="53" t="n">
        <f aca="false">BC20*BC33*1</f>
        <v>93119.6148814131</v>
      </c>
      <c r="BD36" s="53" t="n">
        <f aca="false">BD20*BD33*1</f>
        <v>93912.2266166767</v>
      </c>
      <c r="BE36" s="53" t="n">
        <f aca="false">BE20*BE33*1</f>
        <v>94673.1338825298</v>
      </c>
      <c r="BF36" s="53" t="n">
        <f aca="false">BF20*BF33*1</f>
        <v>95403.6048577487</v>
      </c>
      <c r="BG36" s="53" t="n">
        <f aca="false">BG20*BG33*1</f>
        <v>96104.8569939589</v>
      </c>
      <c r="BH36" s="53" t="n">
        <f aca="false">BH20*BH33*1</f>
        <v>96778.0590447207</v>
      </c>
      <c r="BI36" s="53" t="n">
        <f aca="false">BI20*BI33*1</f>
        <v>97424.333013452</v>
      </c>
      <c r="BJ36" s="53" t="n">
        <f aca="false">BJ20*BJ33*1</f>
        <v>97833.8116440933</v>
      </c>
    </row>
    <row r="37" customFormat="false" ht="15" hidden="false" customHeight="false" outlineLevel="0" collapsed="false">
      <c r="A37" s="99" t="s">
        <v>42</v>
      </c>
      <c r="C37" s="54" t="n">
        <f aca="false">C34+C35+C36</f>
        <v>47943.358</v>
      </c>
      <c r="D37" s="54" t="n">
        <f aca="false">D34+D35+D36</f>
        <v>54448.9359022222</v>
      </c>
      <c r="E37" s="54" t="n">
        <f aca="false">E34+E35+E36</f>
        <v>72773.4017994667</v>
      </c>
      <c r="F37" s="54" t="n">
        <f aca="false">F34+F35+F36</f>
        <v>81051.8988385991</v>
      </c>
      <c r="G37" s="54" t="n">
        <f aca="false">G34+G35+G36</f>
        <v>89490.2764406107</v>
      </c>
      <c r="H37" s="54" t="n">
        <f aca="false">H34+H35+H36</f>
        <v>98082.1393829863</v>
      </c>
      <c r="I37" s="54" t="n">
        <f aca="false">I34+I35+I36</f>
        <v>106821.348252111</v>
      </c>
      <c r="J37" s="54" t="n">
        <f aca="false">J34+J35+J36</f>
        <v>115702.009210916</v>
      </c>
      <c r="K37" s="54" t="n">
        <f aca="false">K34+K35+K36</f>
        <v>124718.464175812</v>
      </c>
      <c r="L37" s="54" t="n">
        <f aca="false">L34+L35+L36</f>
        <v>133865.281386558</v>
      </c>
      <c r="M37" s="54" t="n">
        <f aca="false">M34+M35+M36</f>
        <v>136545.550131095</v>
      </c>
      <c r="N37" s="54" t="n">
        <f aca="false">N34+N35+N36</f>
        <v>118739.728125852</v>
      </c>
      <c r="O37" s="54" t="n">
        <f aca="false">O34+O35+O36</f>
        <v>123289.081980834</v>
      </c>
      <c r="P37" s="54" t="n">
        <f aca="false">P34+P35+P36</f>
        <v>125421.283901601</v>
      </c>
      <c r="Q37" s="54" t="n">
        <f aca="false">Q34+Q35+Q36</f>
        <v>148254.655345536</v>
      </c>
      <c r="R37" s="54" t="n">
        <f aca="false">R34+R35+R36</f>
        <v>150609.296731715</v>
      </c>
      <c r="S37" s="54" t="n">
        <f aca="false">S34+S35+S36</f>
        <v>152869.752462446</v>
      </c>
      <c r="T37" s="54" t="n">
        <f aca="false">T34+T35+T36</f>
        <v>155039.789963949</v>
      </c>
      <c r="U37" s="54" t="n">
        <f aca="false">U34+U35+U36</f>
        <v>157123.025965391</v>
      </c>
      <c r="V37" s="54" t="n">
        <f aca="false">V34+V35+V36</f>
        <v>159122.932526775</v>
      </c>
      <c r="W37" s="54" t="n">
        <f aca="false">W34+W35+W36</f>
        <v>161042.842825704</v>
      </c>
      <c r="X37" s="54" t="n">
        <f aca="false">X34+X35+X36</f>
        <v>162885.956712676</v>
      </c>
      <c r="Y37" s="54" t="n">
        <f aca="false">Y34+Y35+Y36</f>
        <v>164655.346044169</v>
      </c>
      <c r="Z37" s="54" t="n">
        <f aca="false">Z34+Z35+Z36</f>
        <v>145567.502202402</v>
      </c>
      <c r="AA37" s="54" t="n">
        <f aca="false">AA34+AA35+AA36</f>
        <v>149792.532035592</v>
      </c>
      <c r="AB37" s="54" t="n">
        <f aca="false">AB34+AB35+AB36</f>
        <v>151101.458008168</v>
      </c>
      <c r="AC37" s="54" t="n">
        <f aca="false">AC34+AC35+AC36</f>
        <v>173560.213693842</v>
      </c>
      <c r="AD37" s="54" t="n">
        <f aca="false">AD34+AD35+AD36</f>
        <v>175163.916048088</v>
      </c>
      <c r="AE37" s="54" t="n">
        <f aca="false">AE34+AE35+AE36</f>
        <v>176703.470308164</v>
      </c>
      <c r="AF37" s="54" t="n">
        <f aca="false">AF34+AF35+AF36</f>
        <v>178181.442397838</v>
      </c>
      <c r="AG37" s="54" t="n">
        <f aca="false">AG34+AG35+AG36</f>
        <v>179600.295603924</v>
      </c>
      <c r="AH37" s="54" t="n">
        <f aca="false">AH34+AH35+AH36</f>
        <v>180962.394681767</v>
      </c>
      <c r="AI37" s="54" t="n">
        <f aca="false">AI34+AI35+AI36</f>
        <v>182270.009796497</v>
      </c>
      <c r="AJ37" s="54" t="n">
        <f aca="false">AJ34+AJ35+AJ36</f>
        <v>183525.320306637</v>
      </c>
      <c r="AK37" s="54" t="n">
        <f aca="false">AK34+AK35+AK36</f>
        <v>184730.418396371</v>
      </c>
      <c r="AL37" s="54" t="n">
        <f aca="false">AL34+AL35+AL36</f>
        <v>164685.125810516</v>
      </c>
      <c r="AM37" s="54" t="n">
        <f aca="false">AM34+AM35+AM36</f>
        <v>168757.501697363</v>
      </c>
      <c r="AN37" s="54" t="n">
        <f aca="false">AN34+AN35+AN36</f>
        <v>169556.214837798</v>
      </c>
      <c r="AO37" s="54" t="n">
        <f aca="false">AO34+AO35+AO36</f>
        <v>191949.209939656</v>
      </c>
      <c r="AP37" s="54" t="n">
        <f aca="false">AP34+AP35+AP36</f>
        <v>193090.64807136</v>
      </c>
      <c r="AQ37" s="54" t="n">
        <f aca="false">AQ34+AQ35+AQ36</f>
        <v>194186.428677796</v>
      </c>
      <c r="AR37" s="54" t="n">
        <f aca="false">AR34+AR35+AR36</f>
        <v>195238.378059974</v>
      </c>
      <c r="AS37" s="54" t="n">
        <f aca="false">AS34+AS35+AS36</f>
        <v>196248.249466865</v>
      </c>
      <c r="AT37" s="54" t="n">
        <f aca="false">AT34+AT35+AT36</f>
        <v>197217.72601748</v>
      </c>
      <c r="AU37" s="54" t="n">
        <f aca="false">AU34+AU35+AU36</f>
        <v>198148.423506071</v>
      </c>
      <c r="AV37" s="54" t="n">
        <f aca="false">AV34+AV35+AV36</f>
        <v>199041.893095118</v>
      </c>
      <c r="AW37" s="54" t="n">
        <f aca="false">AW34+AW35+AW36</f>
        <v>199899.623900603</v>
      </c>
      <c r="AX37" s="54" t="n">
        <f aca="false">AX34+AX35+AX36</f>
        <v>179096.814986829</v>
      </c>
      <c r="AY37" s="54" t="n">
        <f aca="false">AY34+AY35+AY36</f>
        <v>183126.415668253</v>
      </c>
      <c r="AZ37" s="54" t="n">
        <f aca="false">AZ34+AZ35+AZ36</f>
        <v>183610.994435326</v>
      </c>
      <c r="BA37" s="54" t="n">
        <f aca="false">BA34+BA35+BA36</f>
        <v>206134.945148498</v>
      </c>
      <c r="BB37" s="54" t="n">
        <f aca="false">BB34+BB35+BB36</f>
        <v>206994.98392374</v>
      </c>
      <c r="BC37" s="54" t="n">
        <f aca="false">BC34+BC35+BC36</f>
        <v>207820.621147973</v>
      </c>
      <c r="BD37" s="54" t="n">
        <f aca="false">BD34+BD35+BD36</f>
        <v>208613.232883237</v>
      </c>
      <c r="BE37" s="54" t="n">
        <f aca="false">BE34+BE35+BE36</f>
        <v>209374.14014909</v>
      </c>
      <c r="BF37" s="54" t="n">
        <f aca="false">BF34+BF35+BF36</f>
        <v>210104.611124309</v>
      </c>
      <c r="BG37" s="54" t="n">
        <f aca="false">BG34+BG35+BG36</f>
        <v>210805.863260519</v>
      </c>
      <c r="BH37" s="54" t="n">
        <f aca="false">BH34+BH35+BH36</f>
        <v>211479.065311281</v>
      </c>
      <c r="BI37" s="54" t="n">
        <f aca="false">BI34+BI35+BI36</f>
        <v>212125.339280012</v>
      </c>
      <c r="BJ37" s="54" t="n">
        <f aca="false">BJ34+BJ35+BJ36</f>
        <v>190687.007193213</v>
      </c>
    </row>
    <row r="39" customFormat="false" ht="15.75" hidden="false" customHeight="true" outlineLevel="0" collapsed="false">
      <c r="A39" s="7" t="s">
        <v>74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409</v>
      </c>
      <c r="C40" s="53" t="n">
        <f aca="false">-C28*Inputs!$E$33*(1+Inputs!$E$38)^(C$5-1)</f>
        <v>-2937.7903405</v>
      </c>
      <c r="D40" s="53" t="n">
        <f aca="false">-D28*Inputs!$E$33*(1+Inputs!$E$38)^(D$5-1)</f>
        <v>-3336.37031893556</v>
      </c>
      <c r="E40" s="53" t="n">
        <f aca="false">-E28*Inputs!$E$33*(1+Inputs!$E$38)^(E$5-1)</f>
        <v>-4637.7841856024</v>
      </c>
      <c r="F40" s="53" t="n">
        <f aca="false">-F28*Inputs!$E$33*(1+Inputs!$E$38)^(F$5-1)</f>
        <v>-5178.29382134497</v>
      </c>
      <c r="G40" s="53" t="n">
        <f aca="false">-G28*Inputs!$E$33*(1+Inputs!$E$38)^(G$5-1)</f>
        <v>-5733.07279732451</v>
      </c>
      <c r="H40" s="53" t="n">
        <f aca="false">-H28*Inputs!$E$33*(1+Inputs!$E$38)^(H$5-1)</f>
        <v>-6301.55033993153</v>
      </c>
      <c r="I40" s="53" t="n">
        <f aca="false">-I28*Inputs!$E$33*(1+Inputs!$E$38)^(I$5-1)</f>
        <v>-6883.17850650093</v>
      </c>
      <c r="J40" s="53" t="n">
        <f aca="false">-J28*Inputs!$E$33*(1+Inputs!$E$38)^(J$5-1)</f>
        <v>-7477.43127207423</v>
      </c>
      <c r="K40" s="53" t="n">
        <f aca="false">-K28*Inputs!$E$33*(1+Inputs!$E$38)^(K$5-1)</f>
        <v>-8083.80365269126</v>
      </c>
      <c r="L40" s="53" t="n">
        <f aca="false">-L28*Inputs!$E$33*(1+Inputs!$E$38)^(L$5-1)</f>
        <v>-8701.81086375027</v>
      </c>
      <c r="M40" s="53" t="n">
        <f aca="false">-M28*Inputs!$E$33*(1+Inputs!$E$38)^(M$5-1)</f>
        <v>-8941.02484920026</v>
      </c>
      <c r="N40" s="53" t="n">
        <f aca="false">-N28*Inputs!$E$33*(1+Inputs!$E$38)^(N$5-1)</f>
        <v>-7409.79585709278</v>
      </c>
      <c r="O40" s="53" t="n">
        <f aca="false">-O28*Inputs!$E$33*(1+Inputs!$E$38)^(O$5-1)</f>
        <v>-7790.74195451834</v>
      </c>
      <c r="P40" s="53" t="n">
        <f aca="false">-P28*Inputs!$E$33*(1+Inputs!$E$38)^(P$5-1)</f>
        <v>-7946.3038529876</v>
      </c>
      <c r="Q40" s="53" t="n">
        <f aca="false">-Q28*Inputs!$E$33*(1+Inputs!$E$38)^(Q$5-1)</f>
        <v>-10018.4153480165</v>
      </c>
      <c r="R40" s="53" t="n">
        <f aca="false">-R28*Inputs!$E$33*(1+Inputs!$E$38)^(R$5-1)</f>
        <v>-10230.6274029458</v>
      </c>
      <c r="S40" s="53" t="n">
        <f aca="false">-S28*Inputs!$E$33*(1+Inputs!$E$38)^(S$5-1)</f>
        <v>-10434.350975678</v>
      </c>
      <c r="T40" s="53" t="n">
        <f aca="false">-T28*Inputs!$E$33*(1+Inputs!$E$38)^(T$5-1)</f>
        <v>-10629.9256055009</v>
      </c>
      <c r="U40" s="53" t="n">
        <f aca="false">-U28*Inputs!$E$33*(1+Inputs!$E$38)^(U$5-1)</f>
        <v>-10817.6772501308</v>
      </c>
      <c r="V40" s="53" t="n">
        <f aca="false">-V28*Inputs!$E$33*(1+Inputs!$E$38)^(V$5-1)</f>
        <v>-10997.9188289756</v>
      </c>
      <c r="W40" s="53" t="n">
        <f aca="false">-W28*Inputs!$E$33*(1+Inputs!$E$38)^(W$5-1)</f>
        <v>-11170.9507446666</v>
      </c>
      <c r="X40" s="53" t="n">
        <f aca="false">-X28*Inputs!$E$33*(1+Inputs!$E$38)^(X$5-1)</f>
        <v>-11337.0613837299</v>
      </c>
      <c r="Y40" s="53" t="n">
        <f aca="false">-Y28*Inputs!$E$33*(1+Inputs!$E$38)^(Y$5-1)</f>
        <v>-11496.5275972307</v>
      </c>
      <c r="Z40" s="53" t="n">
        <f aca="false">-Z28*Inputs!$E$33*(1+Inputs!$E$38)^(Z$5-1)</f>
        <v>-9416.13836318358</v>
      </c>
      <c r="AA40" s="53" t="n">
        <f aca="false">-AA28*Inputs!$E$33*(1+Inputs!$E$38)^(AA$5-1)</f>
        <v>-9795.40604798886</v>
      </c>
      <c r="AB40" s="53" t="n">
        <f aca="false">-AB28*Inputs!$E$33*(1+Inputs!$E$38)^(AB$5-1)</f>
        <v>-9891.83935106568</v>
      </c>
      <c r="AC40" s="53" t="n">
        <f aca="false">-AC28*Inputs!$E$33*(1+Inputs!$E$38)^(AC$5-1)</f>
        <v>-12352.1417915718</v>
      </c>
      <c r="AD40" s="53" t="n">
        <f aca="false">-AD28*Inputs!$E$33*(1+Inputs!$E$38)^(AD$5-1)</f>
        <v>-12498.0924630588</v>
      </c>
      <c r="AE40" s="53" t="n">
        <f aca="false">-AE28*Inputs!$E$33*(1+Inputs!$E$38)^(AE$5-1)</f>
        <v>-12638.2051076863</v>
      </c>
      <c r="AF40" s="53" t="n">
        <f aca="false">-AF28*Inputs!$E$33*(1+Inputs!$E$38)^(AF$5-1)</f>
        <v>-12772.7132465287</v>
      </c>
      <c r="AG40" s="53" t="n">
        <f aca="false">-AG28*Inputs!$E$33*(1+Inputs!$E$38)^(AG$5-1)</f>
        <v>-12901.8410598174</v>
      </c>
      <c r="AH40" s="53" t="n">
        <f aca="false">-AH28*Inputs!$E$33*(1+Inputs!$E$38)^(AH$5-1)</f>
        <v>-13025.8037605746</v>
      </c>
      <c r="AI40" s="53" t="n">
        <f aca="false">-AI28*Inputs!$E$33*(1+Inputs!$E$38)^(AI$5-1)</f>
        <v>-13144.8079533015</v>
      </c>
      <c r="AJ40" s="53" t="n">
        <f aca="false">-AJ28*Inputs!$E$33*(1+Inputs!$E$38)^(AJ$5-1)</f>
        <v>-13259.0519783193</v>
      </c>
      <c r="AK40" s="53" t="n">
        <f aca="false">-AK28*Inputs!$E$33*(1+Inputs!$E$38)^(AK$5-1)</f>
        <v>-13368.7262423364</v>
      </c>
      <c r="AL40" s="53" t="n">
        <f aca="false">-AL28*Inputs!$E$33*(1+Inputs!$E$38)^(AL$5-1)</f>
        <v>-10892.5972101984</v>
      </c>
      <c r="AM40" s="53" t="n">
        <f aca="false">-AM28*Inputs!$E$33*(1+Inputs!$E$38)^(AM$5-1)</f>
        <v>-11277.3052338215</v>
      </c>
      <c r="AN40" s="53" t="n">
        <f aca="false">-AN28*Inputs!$E$33*(1+Inputs!$E$38)^(AN$5-1)</f>
        <v>-11336.7262178771</v>
      </c>
      <c r="AO40" s="53" t="n">
        <f aca="false">-AO28*Inputs!$E$33*(1+Inputs!$E$38)^(AO$5-1)</f>
        <v>-14093.6633511248</v>
      </c>
      <c r="AP40" s="53" t="n">
        <f aca="false">-AP28*Inputs!$E$33*(1+Inputs!$E$38)^(AP$5-1)</f>
        <v>-14198.5624507187</v>
      </c>
      <c r="AQ40" s="53" t="n">
        <f aca="false">-AQ28*Inputs!$E$33*(1+Inputs!$E$38)^(AQ$5-1)</f>
        <v>-14299.2655863288</v>
      </c>
      <c r="AR40" s="53" t="n">
        <f aca="false">-AR28*Inputs!$E$33*(1+Inputs!$E$38)^(AR$5-1)</f>
        <v>-14395.9405965145</v>
      </c>
      <c r="AS40" s="53" t="n">
        <f aca="false">-AS28*Inputs!$E$33*(1+Inputs!$E$38)^(AS$5-1)</f>
        <v>-14488.7486062928</v>
      </c>
      <c r="AT40" s="53" t="n">
        <f aca="false">-AT28*Inputs!$E$33*(1+Inputs!$E$38)^(AT$5-1)</f>
        <v>-14577.8442956799</v>
      </c>
      <c r="AU40" s="53" t="n">
        <f aca="false">-AU28*Inputs!$E$33*(1+Inputs!$E$38)^(AU$5-1)</f>
        <v>-14663.3761574915</v>
      </c>
      <c r="AV40" s="53" t="n">
        <f aca="false">-AV28*Inputs!$E$33*(1+Inputs!$E$38)^(AV$5-1)</f>
        <v>-14745.4867448307</v>
      </c>
      <c r="AW40" s="53" t="n">
        <f aca="false">-AW28*Inputs!$E$33*(1+Inputs!$E$38)^(AW$5-1)</f>
        <v>-14824.3129086763</v>
      </c>
      <c r="AX40" s="53" t="n">
        <f aca="false">-AX28*Inputs!$E$33*(1+Inputs!$E$38)^(AX$5-1)</f>
        <v>-12046.5077660151</v>
      </c>
      <c r="AY40" s="53" t="n">
        <f aca="false">-AY28*Inputs!$E$33*(1+Inputs!$E$38)^(AY$5-1)</f>
        <v>-12441.5339078816</v>
      </c>
      <c r="AZ40" s="53" t="n">
        <f aca="false">-AZ28*Inputs!$E$33*(1+Inputs!$E$38)^(AZ$5-1)</f>
        <v>-12477.9380200473</v>
      </c>
      <c r="BA40" s="53" t="n">
        <f aca="false">-BA28*Inputs!$E$33*(1+Inputs!$E$38)^(BA$5-1)</f>
        <v>-15476.6704504735</v>
      </c>
      <c r="BB40" s="53" t="n">
        <f aca="false">-BB28*Inputs!$E$33*(1+Inputs!$E$38)^(BB$5-1)</f>
        <v>-15556.4836036129</v>
      </c>
      <c r="BC40" s="53" t="n">
        <f aca="false">-BC28*Inputs!$E$33*(1+Inputs!$E$38)^(BC$5-1)</f>
        <v>-15633.1042306267</v>
      </c>
      <c r="BD40" s="53" t="n">
        <f aca="false">-BD28*Inputs!$E$33*(1+Inputs!$E$38)^(BD$5-1)</f>
        <v>-15706.66003256</v>
      </c>
      <c r="BE40" s="53" t="n">
        <f aca="false">-BE28*Inputs!$E$33*(1+Inputs!$E$38)^(BE$5-1)</f>
        <v>-15777.2736024159</v>
      </c>
      <c r="BF40" s="53" t="n">
        <f aca="false">-BF28*Inputs!$E$33*(1+Inputs!$E$38)^(BF$5-1)</f>
        <v>-15845.0626294776</v>
      </c>
      <c r="BG40" s="53" t="n">
        <f aca="false">-BG28*Inputs!$E$33*(1+Inputs!$E$38)^(BG$5-1)</f>
        <v>-15910.1400954569</v>
      </c>
      <c r="BH40" s="53" t="n">
        <f aca="false">-BH28*Inputs!$E$33*(1+Inputs!$E$38)^(BH$5-1)</f>
        <v>-15972.6144627969</v>
      </c>
      <c r="BI40" s="53" t="n">
        <f aca="false">-BI28*Inputs!$E$33*(1+Inputs!$E$38)^(BI$5-1)</f>
        <v>-16032.5898554434</v>
      </c>
      <c r="BJ40" s="53" t="n">
        <f aca="false">-BJ28*Inputs!$E$33*(1+Inputs!$E$38)^(BJ$5-1)</f>
        <v>-13009.5254102254</v>
      </c>
    </row>
    <row r="41" customFormat="false" ht="15" hidden="false" customHeight="false" outlineLevel="0" collapsed="false">
      <c r="A41" s="6" t="s">
        <v>410</v>
      </c>
      <c r="C41" s="53" t="n">
        <f aca="false">-C28*Inputs!$E$34/1000*Inputs!$E$35*(1+Inputs!$E$38)^(C$5-1)</f>
        <v>-1244.2406148</v>
      </c>
      <c r="D41" s="53" t="n">
        <f aca="false">-D28*Inputs!$E$34/1000*Inputs!$E$35*(1+Inputs!$E$38)^(D$5-1)</f>
        <v>-1413.050958608</v>
      </c>
      <c r="E41" s="53" t="n">
        <f aca="false">-E28*Inputs!$E$34/1000*Inputs!$E$35*(1+Inputs!$E$38)^(E$5-1)</f>
        <v>-1964.23800801984</v>
      </c>
      <c r="F41" s="53" t="n">
        <f aca="false">-F28*Inputs!$E$34/1000*Inputs!$E$35*(1+Inputs!$E$38)^(F$5-1)</f>
        <v>-2193.15973609905</v>
      </c>
      <c r="G41" s="53" t="n">
        <f aca="false">-G28*Inputs!$E$34/1000*Inputs!$E$35*(1+Inputs!$E$38)^(G$5-1)</f>
        <v>-2428.12494945509</v>
      </c>
      <c r="H41" s="53" t="n">
        <f aca="false">-H28*Inputs!$E$34/1000*Inputs!$E$35*(1+Inputs!$E$38)^(H$5-1)</f>
        <v>-2668.89190867688</v>
      </c>
      <c r="I41" s="53" t="n">
        <f aca="false">-I28*Inputs!$E$34/1000*Inputs!$E$35*(1+Inputs!$E$38)^(I$5-1)</f>
        <v>-2915.22854392981</v>
      </c>
      <c r="J41" s="53" t="n">
        <f aca="false">-J28*Inputs!$E$34/1000*Inputs!$E$35*(1+Inputs!$E$38)^(J$5-1)</f>
        <v>-3166.91206817261</v>
      </c>
      <c r="K41" s="53" t="n">
        <f aca="false">-K28*Inputs!$E$34/1000*Inputs!$E$35*(1+Inputs!$E$38)^(K$5-1)</f>
        <v>-3423.72860584571</v>
      </c>
      <c r="L41" s="53" t="n">
        <f aca="false">-L28*Inputs!$E$34/1000*Inputs!$E$35*(1+Inputs!$E$38)^(L$5-1)</f>
        <v>-3685.47283641188</v>
      </c>
      <c r="M41" s="53" t="n">
        <f aca="false">-M28*Inputs!$E$34/1000*Inputs!$E$35*(1+Inputs!$E$38)^(M$5-1)</f>
        <v>-3786.78699495541</v>
      </c>
      <c r="N41" s="53" t="n">
        <f aca="false">-N28*Inputs!$E$34/1000*Inputs!$E$35*(1+Inputs!$E$38)^(N$5-1)</f>
        <v>-3138.26648065106</v>
      </c>
      <c r="O41" s="53" t="n">
        <f aca="false">-O28*Inputs!$E$34/1000*Inputs!$E$35*(1+Inputs!$E$38)^(O$5-1)</f>
        <v>-3299.60835720777</v>
      </c>
      <c r="P41" s="53" t="n">
        <f aca="false">-P28*Inputs!$E$34/1000*Inputs!$E$35*(1+Inputs!$E$38)^(P$5-1)</f>
        <v>-3365.49339655946</v>
      </c>
      <c r="Q41" s="53" t="n">
        <f aca="false">-Q28*Inputs!$E$34/1000*Inputs!$E$35*(1+Inputs!$E$38)^(Q$5-1)</f>
        <v>-4243.09355915992</v>
      </c>
      <c r="R41" s="53" t="n">
        <f aca="false">-R28*Inputs!$E$34/1000*Inputs!$E$35*(1+Inputs!$E$38)^(R$5-1)</f>
        <v>-4332.97160595352</v>
      </c>
      <c r="S41" s="53" t="n">
        <f aca="false">-S28*Inputs!$E$34/1000*Inputs!$E$35*(1+Inputs!$E$38)^(S$5-1)</f>
        <v>-4419.25453087538</v>
      </c>
      <c r="T41" s="53" t="n">
        <f aca="false">-T28*Inputs!$E$34/1000*Inputs!$E$35*(1+Inputs!$E$38)^(T$5-1)</f>
        <v>-4502.08613880037</v>
      </c>
      <c r="U41" s="53" t="n">
        <f aca="false">-U28*Inputs!$E$34/1000*Inputs!$E$35*(1+Inputs!$E$38)^(U$5-1)</f>
        <v>-4581.60448240835</v>
      </c>
      <c r="V41" s="53" t="n">
        <f aca="false">-V28*Inputs!$E$34/1000*Inputs!$E$35*(1+Inputs!$E$38)^(V$5-1)</f>
        <v>-4657.94209227202</v>
      </c>
      <c r="W41" s="53" t="n">
        <f aca="false">-W28*Inputs!$E$34/1000*Inputs!$E$35*(1+Inputs!$E$38)^(W$5-1)</f>
        <v>-4731.22619774114</v>
      </c>
      <c r="X41" s="53" t="n">
        <f aca="false">-X28*Inputs!$E$34/1000*Inputs!$E$35*(1+Inputs!$E$38)^(X$5-1)</f>
        <v>-4801.57893899149</v>
      </c>
      <c r="Y41" s="53" t="n">
        <f aca="false">-Y28*Inputs!$E$34/1000*Inputs!$E$35*(1+Inputs!$E$38)^(Y$5-1)</f>
        <v>-4869.11757059183</v>
      </c>
      <c r="Z41" s="53" t="n">
        <f aca="false">-Z28*Inputs!$E$34/1000*Inputs!$E$35*(1+Inputs!$E$38)^(Z$5-1)</f>
        <v>-3988.01154205422</v>
      </c>
      <c r="AA41" s="53" t="n">
        <f aca="false">-AA28*Inputs!$E$34/1000*Inputs!$E$35*(1+Inputs!$E$38)^(AA$5-1)</f>
        <v>-4148.64256150117</v>
      </c>
      <c r="AB41" s="53" t="n">
        <f aca="false">-AB28*Inputs!$E$34/1000*Inputs!$E$35*(1+Inputs!$E$38)^(AB$5-1)</f>
        <v>-4189.48490162782</v>
      </c>
      <c r="AC41" s="53" t="n">
        <f aca="false">-AC28*Inputs!$E$34/1000*Inputs!$E$35*(1+Inputs!$E$38)^(AC$5-1)</f>
        <v>-5231.49534701863</v>
      </c>
      <c r="AD41" s="53" t="n">
        <f aca="false">-AD28*Inputs!$E$34/1000*Inputs!$E$35*(1+Inputs!$E$38)^(AD$5-1)</f>
        <v>-5293.30974906019</v>
      </c>
      <c r="AE41" s="53" t="n">
        <f aca="false">-AE28*Inputs!$E$34/1000*Inputs!$E$35*(1+Inputs!$E$38)^(AE$5-1)</f>
        <v>-5352.65157502008</v>
      </c>
      <c r="AF41" s="53" t="n">
        <f aca="false">-AF28*Inputs!$E$34/1000*Inputs!$E$35*(1+Inputs!$E$38)^(AF$5-1)</f>
        <v>-5409.61972794158</v>
      </c>
      <c r="AG41" s="53" t="n">
        <f aca="false">-AG28*Inputs!$E$34/1000*Inputs!$E$35*(1+Inputs!$E$38)^(AG$5-1)</f>
        <v>-5464.30915474621</v>
      </c>
      <c r="AH41" s="53" t="n">
        <f aca="false">-AH28*Inputs!$E$34/1000*Inputs!$E$35*(1+Inputs!$E$38)^(AH$5-1)</f>
        <v>-5516.81100447866</v>
      </c>
      <c r="AI41" s="53" t="n">
        <f aca="false">-AI28*Inputs!$E$34/1000*Inputs!$E$35*(1+Inputs!$E$38)^(AI$5-1)</f>
        <v>-5567.21278022182</v>
      </c>
      <c r="AJ41" s="53" t="n">
        <f aca="false">-AJ28*Inputs!$E$34/1000*Inputs!$E$35*(1+Inputs!$E$38)^(AJ$5-1)</f>
        <v>-5615.59848493524</v>
      </c>
      <c r="AK41" s="53" t="n">
        <f aca="false">-AK28*Inputs!$E$34/1000*Inputs!$E$35*(1+Inputs!$E$38)^(AK$5-1)</f>
        <v>-5662.04876146013</v>
      </c>
      <c r="AL41" s="53" t="n">
        <f aca="false">-AL28*Inputs!$E$34/1000*Inputs!$E$35*(1+Inputs!$E$38)^(AL$5-1)</f>
        <v>-4613.3352890252</v>
      </c>
      <c r="AM41" s="53" t="n">
        <f aca="false">-AM28*Inputs!$E$34/1000*Inputs!$E$35*(1+Inputs!$E$38)^(AM$5-1)</f>
        <v>-4776.27045197147</v>
      </c>
      <c r="AN41" s="53" t="n">
        <f aca="false">-AN28*Inputs!$E$34/1000*Inputs!$E$35*(1+Inputs!$E$38)^(AN$5-1)</f>
        <v>-4801.43698639502</v>
      </c>
      <c r="AO41" s="53" t="n">
        <f aca="false">-AO28*Inputs!$E$34/1000*Inputs!$E$35*(1+Inputs!$E$38)^(AO$5-1)</f>
        <v>-5969.08094871169</v>
      </c>
      <c r="AP41" s="53" t="n">
        <f aca="false">-AP28*Inputs!$E$34/1000*Inputs!$E$35*(1+Inputs!$E$38)^(AP$5-1)</f>
        <v>-6013.50880265733</v>
      </c>
      <c r="AQ41" s="53" t="n">
        <f aca="false">-AQ28*Inputs!$E$34/1000*Inputs!$E$35*(1+Inputs!$E$38)^(AQ$5-1)</f>
        <v>-6056.15954244513</v>
      </c>
      <c r="AR41" s="53" t="n">
        <f aca="false">-AR28*Inputs!$E$34/1000*Inputs!$E$35*(1+Inputs!$E$38)^(AR$5-1)</f>
        <v>-6097.10425264143</v>
      </c>
      <c r="AS41" s="53" t="n">
        <f aca="false">-AS28*Inputs!$E$34/1000*Inputs!$E$35*(1+Inputs!$E$38)^(AS$5-1)</f>
        <v>-6136.41117442987</v>
      </c>
      <c r="AT41" s="53" t="n">
        <f aca="false">-AT28*Inputs!$E$34/1000*Inputs!$E$35*(1+Inputs!$E$38)^(AT$5-1)</f>
        <v>-6174.14581934678</v>
      </c>
      <c r="AU41" s="53" t="n">
        <f aca="false">-AU28*Inputs!$E$34/1000*Inputs!$E$35*(1+Inputs!$E$38)^(AU$5-1)</f>
        <v>-6210.37107846701</v>
      </c>
      <c r="AV41" s="53" t="n">
        <f aca="false">-AV28*Inputs!$E$34/1000*Inputs!$E$35*(1+Inputs!$E$38)^(AV$5-1)</f>
        <v>-6245.14732722242</v>
      </c>
      <c r="AW41" s="53" t="n">
        <f aca="false">-AW28*Inputs!$E$34/1000*Inputs!$E$35*(1+Inputs!$E$38)^(AW$5-1)</f>
        <v>-6278.53252602763</v>
      </c>
      <c r="AX41" s="53" t="n">
        <f aca="false">-AX28*Inputs!$E$34/1000*Inputs!$E$35*(1+Inputs!$E$38)^(AX$5-1)</f>
        <v>-5102.05034795933</v>
      </c>
      <c r="AY41" s="53" t="n">
        <f aca="false">-AY28*Inputs!$E$34/1000*Inputs!$E$35*(1+Inputs!$E$38)^(AY$5-1)</f>
        <v>-5269.35553745572</v>
      </c>
      <c r="AZ41" s="53" t="n">
        <f aca="false">-AZ28*Inputs!$E$34/1000*Inputs!$E$35*(1+Inputs!$E$38)^(AZ$5-1)</f>
        <v>-5284.77374966709</v>
      </c>
      <c r="BA41" s="53" t="n">
        <f aca="false">-BA28*Inputs!$E$34/1000*Inputs!$E$35*(1+Inputs!$E$38)^(BA$5-1)</f>
        <v>-6554.82513196525</v>
      </c>
      <c r="BB41" s="53" t="n">
        <f aca="false">-BB28*Inputs!$E$34/1000*Inputs!$E$35*(1+Inputs!$E$38)^(BB$5-1)</f>
        <v>-6588.62834976546</v>
      </c>
      <c r="BC41" s="53" t="n">
        <f aca="false">-BC28*Inputs!$E$34/1000*Inputs!$E$35*(1+Inputs!$E$38)^(BC$5-1)</f>
        <v>-6621.07943885367</v>
      </c>
      <c r="BD41" s="53" t="n">
        <f aca="false">-BD28*Inputs!$E$34/1000*Inputs!$E$35*(1+Inputs!$E$38)^(BD$5-1)</f>
        <v>-6652.23248437835</v>
      </c>
      <c r="BE41" s="53" t="n">
        <f aca="false">-BE28*Inputs!$E$34/1000*Inputs!$E$35*(1+Inputs!$E$38)^(BE$5-1)</f>
        <v>-6682.13940808204</v>
      </c>
      <c r="BF41" s="53" t="n">
        <f aca="false">-BF28*Inputs!$E$34/1000*Inputs!$E$35*(1+Inputs!$E$38)^(BF$5-1)</f>
        <v>-6710.85005483759</v>
      </c>
      <c r="BG41" s="53" t="n">
        <f aca="false">-BG28*Inputs!$E$34/1000*Inputs!$E$35*(1+Inputs!$E$38)^(BG$5-1)</f>
        <v>-6738.41227572291</v>
      </c>
      <c r="BH41" s="53" t="n">
        <f aca="false">-BH28*Inputs!$E$34/1000*Inputs!$E$35*(1+Inputs!$E$38)^(BH$5-1)</f>
        <v>-6764.87200777282</v>
      </c>
      <c r="BI41" s="53" t="n">
        <f aca="false">-BI28*Inputs!$E$34/1000*Inputs!$E$35*(1+Inputs!$E$38)^(BI$5-1)</f>
        <v>-6790.27335054073</v>
      </c>
      <c r="BJ41" s="53" t="n">
        <f aca="false">-BJ28*Inputs!$E$34/1000*Inputs!$E$35*(1+Inputs!$E$38)^(BJ$5-1)</f>
        <v>-5509.91664433074</v>
      </c>
    </row>
    <row r="42" customFormat="false" ht="15" hidden="false" customHeight="false" outlineLevel="0" collapsed="false">
      <c r="A42" s="6" t="s">
        <v>411</v>
      </c>
      <c r="C42" s="53" t="n">
        <f aca="false">-C28*Inputs!$E$36*(1+Inputs!$E$38)^(C$5-1)</f>
        <v>-1451.6140506</v>
      </c>
      <c r="D42" s="53" t="n">
        <f aca="false">-D28*Inputs!$E$36*(1+Inputs!$E$38)^(D$5-1)</f>
        <v>-1648.55945170933</v>
      </c>
      <c r="E42" s="53" t="n">
        <f aca="false">-E28*Inputs!$E$36*(1+Inputs!$E$38)^(E$5-1)</f>
        <v>-2291.61100935648</v>
      </c>
      <c r="F42" s="53" t="n">
        <f aca="false">-F28*Inputs!$E$36*(1+Inputs!$E$38)^(F$5-1)</f>
        <v>-2558.68635878222</v>
      </c>
      <c r="G42" s="53" t="n">
        <f aca="false">-G28*Inputs!$E$36*(1+Inputs!$E$38)^(G$5-1)</f>
        <v>-2832.81244103093</v>
      </c>
      <c r="H42" s="53" t="n">
        <f aca="false">-H28*Inputs!$E$36*(1+Inputs!$E$38)^(H$5-1)</f>
        <v>-3113.70722678969</v>
      </c>
      <c r="I42" s="53" t="n">
        <f aca="false">-I28*Inputs!$E$36*(1+Inputs!$E$38)^(I$5-1)</f>
        <v>-3401.09996791811</v>
      </c>
      <c r="J42" s="53" t="n">
        <f aca="false">-J28*Inputs!$E$36*(1+Inputs!$E$38)^(J$5-1)</f>
        <v>-3694.73074620138</v>
      </c>
      <c r="K42" s="53" t="n">
        <f aca="false">-K28*Inputs!$E$36*(1+Inputs!$E$38)^(K$5-1)</f>
        <v>-3994.35004015333</v>
      </c>
      <c r="L42" s="53" t="n">
        <f aca="false">-L28*Inputs!$E$36*(1+Inputs!$E$38)^(L$5-1)</f>
        <v>-4299.71830914719</v>
      </c>
      <c r="M42" s="53" t="n">
        <f aca="false">-M28*Inputs!$E$36*(1+Inputs!$E$38)^(M$5-1)</f>
        <v>-4417.91816078131</v>
      </c>
      <c r="N42" s="53" t="n">
        <f aca="false">-N28*Inputs!$E$36*(1+Inputs!$E$38)^(N$5-1)</f>
        <v>-3661.3108940929</v>
      </c>
      <c r="O42" s="53" t="n">
        <f aca="false">-O28*Inputs!$E$36*(1+Inputs!$E$38)^(O$5-1)</f>
        <v>-3849.54308340906</v>
      </c>
      <c r="P42" s="53" t="n">
        <f aca="false">-P28*Inputs!$E$36*(1+Inputs!$E$38)^(P$5-1)</f>
        <v>-3926.4089626527</v>
      </c>
      <c r="Q42" s="53" t="n">
        <f aca="false">-Q28*Inputs!$E$36*(1+Inputs!$E$38)^(Q$5-1)</f>
        <v>-4950.27581901991</v>
      </c>
      <c r="R42" s="53" t="n">
        <f aca="false">-R28*Inputs!$E$36*(1+Inputs!$E$38)^(R$5-1)</f>
        <v>-5055.13354027911</v>
      </c>
      <c r="S42" s="53" t="n">
        <f aca="false">-S28*Inputs!$E$36*(1+Inputs!$E$38)^(S$5-1)</f>
        <v>-5155.79695268794</v>
      </c>
      <c r="T42" s="53" t="n">
        <f aca="false">-T28*Inputs!$E$36*(1+Inputs!$E$38)^(T$5-1)</f>
        <v>-5252.43382860043</v>
      </c>
      <c r="U42" s="53" t="n">
        <f aca="false">-U28*Inputs!$E$36*(1+Inputs!$E$38)^(U$5-1)</f>
        <v>-5345.20522947641</v>
      </c>
      <c r="V42" s="53" t="n">
        <f aca="false">-V28*Inputs!$E$36*(1+Inputs!$E$38)^(V$5-1)</f>
        <v>-5434.26577431735</v>
      </c>
      <c r="W42" s="53" t="n">
        <f aca="false">-W28*Inputs!$E$36*(1+Inputs!$E$38)^(W$5-1)</f>
        <v>-5519.76389736466</v>
      </c>
      <c r="X42" s="53" t="n">
        <f aca="false">-X28*Inputs!$E$36*(1+Inputs!$E$38)^(X$5-1)</f>
        <v>-5601.84209549007</v>
      </c>
      <c r="Y42" s="53" t="n">
        <f aca="false">-Y28*Inputs!$E$36*(1+Inputs!$E$38)^(Y$5-1)</f>
        <v>-5680.63716569047</v>
      </c>
      <c r="Z42" s="53" t="n">
        <f aca="false">-Z28*Inputs!$E$36*(1+Inputs!$E$38)^(Z$5-1)</f>
        <v>-4652.68013239659</v>
      </c>
      <c r="AA42" s="53" t="n">
        <f aca="false">-AA28*Inputs!$E$36*(1+Inputs!$E$38)^(AA$5-1)</f>
        <v>-4840.08298841803</v>
      </c>
      <c r="AB42" s="53" t="n">
        <f aca="false">-AB28*Inputs!$E$36*(1+Inputs!$E$38)^(AB$5-1)</f>
        <v>-4887.73238523245</v>
      </c>
      <c r="AC42" s="53" t="n">
        <f aca="false">-AC28*Inputs!$E$36*(1+Inputs!$E$38)^(AC$5-1)</f>
        <v>-6103.4112381884</v>
      </c>
      <c r="AD42" s="53" t="n">
        <f aca="false">-AD28*Inputs!$E$36*(1+Inputs!$E$38)^(AD$5-1)</f>
        <v>-6175.52804057022</v>
      </c>
      <c r="AE42" s="53" t="n">
        <f aca="false">-AE28*Inputs!$E$36*(1+Inputs!$E$38)^(AE$5-1)</f>
        <v>-6244.76017085676</v>
      </c>
      <c r="AF42" s="53" t="n">
        <f aca="false">-AF28*Inputs!$E$36*(1+Inputs!$E$38)^(AF$5-1)</f>
        <v>-6311.22301593184</v>
      </c>
      <c r="AG42" s="53" t="n">
        <f aca="false">-AG28*Inputs!$E$36*(1+Inputs!$E$38)^(AG$5-1)</f>
        <v>-6375.02734720391</v>
      </c>
      <c r="AH42" s="53" t="n">
        <f aca="false">-AH28*Inputs!$E$36*(1+Inputs!$E$38)^(AH$5-1)</f>
        <v>-6436.27950522511</v>
      </c>
      <c r="AI42" s="53" t="n">
        <f aca="false">-AI28*Inputs!$E$36*(1+Inputs!$E$38)^(AI$5-1)</f>
        <v>-6495.08157692545</v>
      </c>
      <c r="AJ42" s="53" t="n">
        <f aca="false">-AJ28*Inputs!$E$36*(1+Inputs!$E$38)^(AJ$5-1)</f>
        <v>-6551.53156575778</v>
      </c>
      <c r="AK42" s="53" t="n">
        <f aca="false">-AK28*Inputs!$E$36*(1+Inputs!$E$38)^(AK$5-1)</f>
        <v>-6605.72355503682</v>
      </c>
      <c r="AL42" s="53" t="n">
        <f aca="false">-AL28*Inputs!$E$36*(1+Inputs!$E$38)^(AL$5-1)</f>
        <v>-5382.22450386274</v>
      </c>
      <c r="AM42" s="53" t="n">
        <f aca="false">-AM28*Inputs!$E$36*(1+Inputs!$E$38)^(AM$5-1)</f>
        <v>-5572.31552730005</v>
      </c>
      <c r="AN42" s="53" t="n">
        <f aca="false">-AN28*Inputs!$E$36*(1+Inputs!$E$38)^(AN$5-1)</f>
        <v>-5601.67648412753</v>
      </c>
      <c r="AO42" s="53" t="n">
        <f aca="false">-AO28*Inputs!$E$36*(1+Inputs!$E$38)^(AO$5-1)</f>
        <v>-6963.92777349698</v>
      </c>
      <c r="AP42" s="53" t="n">
        <f aca="false">-AP28*Inputs!$E$36*(1+Inputs!$E$38)^(AP$5-1)</f>
        <v>-7015.76026976688</v>
      </c>
      <c r="AQ42" s="53" t="n">
        <f aca="false">-AQ28*Inputs!$E$36*(1+Inputs!$E$38)^(AQ$5-1)</f>
        <v>-7065.51946618599</v>
      </c>
      <c r="AR42" s="53" t="n">
        <f aca="false">-AR28*Inputs!$E$36*(1+Inputs!$E$38)^(AR$5-1)</f>
        <v>-7113.28829474833</v>
      </c>
      <c r="AS42" s="53" t="n">
        <f aca="false">-AS28*Inputs!$E$36*(1+Inputs!$E$38)^(AS$5-1)</f>
        <v>-7159.14637016818</v>
      </c>
      <c r="AT42" s="53" t="n">
        <f aca="false">-AT28*Inputs!$E$36*(1+Inputs!$E$38)^(AT$5-1)</f>
        <v>-7203.17012257124</v>
      </c>
      <c r="AU42" s="53" t="n">
        <f aca="false">-AU28*Inputs!$E$36*(1+Inputs!$E$38)^(AU$5-1)</f>
        <v>-7245.43292487817</v>
      </c>
      <c r="AV42" s="53" t="n">
        <f aca="false">-AV28*Inputs!$E$36*(1+Inputs!$E$38)^(AV$5-1)</f>
        <v>-7286.00521509283</v>
      </c>
      <c r="AW42" s="53" t="n">
        <f aca="false">-AW28*Inputs!$E$36*(1+Inputs!$E$38)^(AW$5-1)</f>
        <v>-7324.9546136989</v>
      </c>
      <c r="AX42" s="53" t="n">
        <f aca="false">-AX28*Inputs!$E$36*(1+Inputs!$E$38)^(AX$5-1)</f>
        <v>-5952.39207261922</v>
      </c>
      <c r="AY42" s="53" t="n">
        <f aca="false">-AY28*Inputs!$E$36*(1+Inputs!$E$38)^(AY$5-1)</f>
        <v>-6147.58146036501</v>
      </c>
      <c r="AZ42" s="53" t="n">
        <f aca="false">-AZ28*Inputs!$E$36*(1+Inputs!$E$38)^(AZ$5-1)</f>
        <v>-6165.5693746116</v>
      </c>
      <c r="BA42" s="53" t="n">
        <f aca="false">-BA28*Inputs!$E$36*(1+Inputs!$E$38)^(BA$5-1)</f>
        <v>-7647.29598729279</v>
      </c>
      <c r="BB42" s="53" t="n">
        <f aca="false">-BB28*Inputs!$E$36*(1+Inputs!$E$38)^(BB$5-1)</f>
        <v>-7686.73307472637</v>
      </c>
      <c r="BC42" s="53" t="n">
        <f aca="false">-BC28*Inputs!$E$36*(1+Inputs!$E$38)^(BC$5-1)</f>
        <v>-7724.59267866262</v>
      </c>
      <c r="BD42" s="53" t="n">
        <f aca="false">-BD28*Inputs!$E$36*(1+Inputs!$E$38)^(BD$5-1)</f>
        <v>-7760.93789844141</v>
      </c>
      <c r="BE42" s="53" t="n">
        <f aca="false">-BE28*Inputs!$E$36*(1+Inputs!$E$38)^(BE$5-1)</f>
        <v>-7795.82930942905</v>
      </c>
      <c r="BF42" s="53" t="n">
        <f aca="false">-BF28*Inputs!$E$36*(1+Inputs!$E$38)^(BF$5-1)</f>
        <v>-7829.32506397719</v>
      </c>
      <c r="BG42" s="53" t="n">
        <f aca="false">-BG28*Inputs!$E$36*(1+Inputs!$E$38)^(BG$5-1)</f>
        <v>-7861.48098834339</v>
      </c>
      <c r="BH42" s="53" t="n">
        <f aca="false">-BH28*Inputs!$E$36*(1+Inputs!$E$38)^(BH$5-1)</f>
        <v>-7892.35067573495</v>
      </c>
      <c r="BI42" s="53" t="n">
        <f aca="false">-BI28*Inputs!$E$36*(1+Inputs!$E$38)^(BI$5-1)</f>
        <v>-7921.98557563085</v>
      </c>
      <c r="BJ42" s="53" t="n">
        <f aca="false">-BJ28*Inputs!$E$36*(1+Inputs!$E$38)^(BJ$5-1)</f>
        <v>-6428.23608505253</v>
      </c>
    </row>
    <row r="43" customFormat="false" ht="15" hidden="false" customHeight="false" outlineLevel="0" collapsed="false">
      <c r="A43" s="6" t="s">
        <v>215</v>
      </c>
      <c r="C43" s="53" t="n">
        <f aca="false">C40+C41+C42</f>
        <v>-5633.6450059</v>
      </c>
      <c r="D43" s="53" t="n">
        <f aca="false">D40+D41+D42</f>
        <v>-6397.98072925289</v>
      </c>
      <c r="E43" s="53" t="n">
        <f aca="false">E40+E41+E42</f>
        <v>-8893.63320297872</v>
      </c>
      <c r="F43" s="53" t="n">
        <f aca="false">F40+F41+F42</f>
        <v>-9930.13991622624</v>
      </c>
      <c r="G43" s="53" t="n">
        <f aca="false">G40+G41+G42</f>
        <v>-10994.0101878105</v>
      </c>
      <c r="H43" s="53" t="n">
        <f aca="false">H40+H41+H42</f>
        <v>-12084.1494753981</v>
      </c>
      <c r="I43" s="53" t="n">
        <f aca="false">I40+I41+I42</f>
        <v>-13199.5070183488</v>
      </c>
      <c r="J43" s="53" t="n">
        <f aca="false">J40+J41+J42</f>
        <v>-14339.0740864482</v>
      </c>
      <c r="K43" s="53" t="n">
        <f aca="false">K40+K41+K42</f>
        <v>-15501.8822986903</v>
      </c>
      <c r="L43" s="53" t="n">
        <f aca="false">L40+L41+L42</f>
        <v>-16687.0020093093</v>
      </c>
      <c r="M43" s="53" t="n">
        <f aca="false">M40+M41+M42</f>
        <v>-17145.730004937</v>
      </c>
      <c r="N43" s="53" t="n">
        <f aca="false">N40+N41+N42</f>
        <v>-14209.3732318367</v>
      </c>
      <c r="O43" s="53" t="n">
        <f aca="false">O40+O41+O42</f>
        <v>-14939.8933951352</v>
      </c>
      <c r="P43" s="53" t="n">
        <f aca="false">P40+P41+P42</f>
        <v>-15238.2062121998</v>
      </c>
      <c r="Q43" s="53" t="n">
        <f aca="false">Q40+Q41+Q42</f>
        <v>-19211.7847261963</v>
      </c>
      <c r="R43" s="53" t="n">
        <f aca="false">R40+R41+R42</f>
        <v>-19618.7325491784</v>
      </c>
      <c r="S43" s="53" t="n">
        <f aca="false">S40+S41+S42</f>
        <v>-20009.4024592413</v>
      </c>
      <c r="T43" s="53" t="n">
        <f aca="false">T40+T41+T42</f>
        <v>-20384.4455729017</v>
      </c>
      <c r="U43" s="53" t="n">
        <f aca="false">U40+U41+U42</f>
        <v>-20744.4869620156</v>
      </c>
      <c r="V43" s="53" t="n">
        <f aca="false">V40+V41+V42</f>
        <v>-21090.126695565</v>
      </c>
      <c r="W43" s="53" t="n">
        <f aca="false">W40+W41+W42</f>
        <v>-21421.9408397724</v>
      </c>
      <c r="X43" s="53" t="n">
        <f aca="false">X40+X41+X42</f>
        <v>-21740.4824182115</v>
      </c>
      <c r="Y43" s="53" t="n">
        <f aca="false">Y40+Y41+Y42</f>
        <v>-22046.282333513</v>
      </c>
      <c r="Z43" s="53" t="n">
        <f aca="false">Z40+Z41+Z42</f>
        <v>-18056.8300376344</v>
      </c>
      <c r="AA43" s="53" t="n">
        <f aca="false">AA40+AA41+AA42</f>
        <v>-18784.1315979081</v>
      </c>
      <c r="AB43" s="53" t="n">
        <f aca="false">AB40+AB41+AB42</f>
        <v>-18969.056637926</v>
      </c>
      <c r="AC43" s="53" t="n">
        <f aca="false">AC40+AC41+AC42</f>
        <v>-23687.0483767788</v>
      </c>
      <c r="AD43" s="53" t="n">
        <f aca="false">AD40+AD41+AD42</f>
        <v>-23966.9302526892</v>
      </c>
      <c r="AE43" s="53" t="n">
        <f aca="false">AE40+AE41+AE42</f>
        <v>-24235.6168535631</v>
      </c>
      <c r="AF43" s="53" t="n">
        <f aca="false">AF40+AF41+AF42</f>
        <v>-24493.5559904021</v>
      </c>
      <c r="AG43" s="53" t="n">
        <f aca="false">AG40+AG41+AG42</f>
        <v>-24741.1775617676</v>
      </c>
      <c r="AH43" s="53" t="n">
        <f aca="false">AH40+AH41+AH42</f>
        <v>-24978.8942702784</v>
      </c>
      <c r="AI43" s="53" t="n">
        <f aca="false">AI40+AI41+AI42</f>
        <v>-25207.1023104488</v>
      </c>
      <c r="AJ43" s="53" t="n">
        <f aca="false">AJ40+AJ41+AJ42</f>
        <v>-25426.1820290123</v>
      </c>
      <c r="AK43" s="53" t="n">
        <f aca="false">AK40+AK41+AK42</f>
        <v>-25636.4985588334</v>
      </c>
      <c r="AL43" s="53" t="n">
        <f aca="false">AL40+AL41+AL42</f>
        <v>-20888.1570030863</v>
      </c>
      <c r="AM43" s="53" t="n">
        <f aca="false">AM40+AM41+AM42</f>
        <v>-21625.8912130931</v>
      </c>
      <c r="AN43" s="53" t="n">
        <f aca="false">AN40+AN41+AN42</f>
        <v>-21739.8396883997</v>
      </c>
      <c r="AO43" s="53" t="n">
        <f aca="false">AO40+AO41+AO42</f>
        <v>-27026.6720733335</v>
      </c>
      <c r="AP43" s="53" t="n">
        <f aca="false">AP40+AP41+AP42</f>
        <v>-27227.8315231429</v>
      </c>
      <c r="AQ43" s="53" t="n">
        <f aca="false">AQ40+AQ41+AQ42</f>
        <v>-27420.9445949599</v>
      </c>
      <c r="AR43" s="53" t="n">
        <f aca="false">AR40+AR41+AR42</f>
        <v>-27606.3331439042</v>
      </c>
      <c r="AS43" s="53" t="n">
        <f aca="false">AS40+AS41+AS42</f>
        <v>-27784.3061508908</v>
      </c>
      <c r="AT43" s="53" t="n">
        <f aca="false">AT40+AT41+AT42</f>
        <v>-27955.1602375979</v>
      </c>
      <c r="AU43" s="53" t="n">
        <f aca="false">AU40+AU41+AU42</f>
        <v>-28119.1801608367</v>
      </c>
      <c r="AV43" s="53" t="n">
        <f aca="false">AV40+AV41+AV42</f>
        <v>-28276.639287146</v>
      </c>
      <c r="AW43" s="53" t="n">
        <f aca="false">AW40+AW41+AW42</f>
        <v>-28427.8000484029</v>
      </c>
      <c r="AX43" s="53" t="n">
        <f aca="false">AX40+AX41+AX42</f>
        <v>-23100.9501865936</v>
      </c>
      <c r="AY43" s="53" t="n">
        <f aca="false">AY40+AY41+AY42</f>
        <v>-23858.4709057023</v>
      </c>
      <c r="AZ43" s="53" t="n">
        <f aca="false">AZ40+AZ41+AZ42</f>
        <v>-23928.281144326</v>
      </c>
      <c r="BA43" s="53" t="n">
        <f aca="false">BA40+BA41+BA42</f>
        <v>-29678.7915697315</v>
      </c>
      <c r="BB43" s="53" t="n">
        <f aca="false">BB40+BB41+BB42</f>
        <v>-29831.8450281047</v>
      </c>
      <c r="BC43" s="53" t="n">
        <f aca="false">BC40+BC41+BC42</f>
        <v>-29978.776348143</v>
      </c>
      <c r="BD43" s="53" t="n">
        <f aca="false">BD40+BD41+BD42</f>
        <v>-30119.8304153798</v>
      </c>
      <c r="BE43" s="53" t="n">
        <f aca="false">BE40+BE41+BE42</f>
        <v>-30255.242319927</v>
      </c>
      <c r="BF43" s="53" t="n">
        <f aca="false">BF40+BF41+BF42</f>
        <v>-30385.2377482924</v>
      </c>
      <c r="BG43" s="53" t="n">
        <f aca="false">BG40+BG41+BG42</f>
        <v>-30510.0333595232</v>
      </c>
      <c r="BH43" s="53" t="n">
        <f aca="false">BH40+BH41+BH42</f>
        <v>-30629.8371463047</v>
      </c>
      <c r="BI43" s="53" t="n">
        <f aca="false">BI40+BI41+BI42</f>
        <v>-30744.848781615</v>
      </c>
      <c r="BJ43" s="53" t="n">
        <f aca="false">BJ40+BJ41+BJ42</f>
        <v>-24947.6781396086</v>
      </c>
    </row>
    <row r="44" customFormat="false" ht="15" hidden="false" customHeight="false" outlineLevel="0" collapsed="false">
      <c r="A44" s="6" t="s">
        <v>412</v>
      </c>
      <c r="C44" s="53" t="n">
        <f aca="false">-C37*Inputs!$E$37</f>
        <v>-1438.30074</v>
      </c>
      <c r="D44" s="53" t="n">
        <f aca="false">-D37*Inputs!$E$37</f>
        <v>-1633.46807706667</v>
      </c>
      <c r="E44" s="53" t="n">
        <f aca="false">-E37*Inputs!$E$37</f>
        <v>-2183.202053984</v>
      </c>
      <c r="F44" s="53" t="n">
        <f aca="false">-F37*Inputs!$E$37</f>
        <v>-2431.55696515797</v>
      </c>
      <c r="G44" s="53" t="n">
        <f aca="false">-G37*Inputs!$E$37</f>
        <v>-2684.70829321832</v>
      </c>
      <c r="H44" s="53" t="n">
        <f aca="false">-H37*Inputs!$E$37</f>
        <v>-2942.46418148959</v>
      </c>
      <c r="I44" s="53" t="n">
        <f aca="false">-I37*Inputs!$E$37</f>
        <v>-3204.64044756334</v>
      </c>
      <c r="J44" s="53" t="n">
        <f aca="false">-J37*Inputs!$E$37</f>
        <v>-3471.06027632747</v>
      </c>
      <c r="K44" s="53" t="n">
        <f aca="false">-K37*Inputs!$E$37</f>
        <v>-3741.55392527437</v>
      </c>
      <c r="L44" s="53" t="n">
        <f aca="false">-L37*Inputs!$E$37</f>
        <v>-4015.95844159673</v>
      </c>
      <c r="M44" s="53" t="n">
        <f aca="false">-M37*Inputs!$E$37</f>
        <v>-4096.36650393286</v>
      </c>
      <c r="N44" s="53" t="n">
        <f aca="false">-N37*Inputs!$E$37</f>
        <v>-3562.19184377555</v>
      </c>
      <c r="O44" s="53" t="n">
        <f aca="false">-O37*Inputs!$E$37</f>
        <v>-3698.67245942502</v>
      </c>
      <c r="P44" s="53" t="n">
        <f aca="false">-P37*Inputs!$E$37</f>
        <v>-3762.63851704802</v>
      </c>
      <c r="Q44" s="53" t="n">
        <f aca="false">-Q37*Inputs!$E$37</f>
        <v>-4447.63966036609</v>
      </c>
      <c r="R44" s="53" t="n">
        <f aca="false">-R37*Inputs!$E$37</f>
        <v>-4518.27890195145</v>
      </c>
      <c r="S44" s="53" t="n">
        <f aca="false">-S37*Inputs!$E$37</f>
        <v>-4586.09257387339</v>
      </c>
      <c r="T44" s="53" t="n">
        <f aca="false">-T37*Inputs!$E$37</f>
        <v>-4651.19369891846</v>
      </c>
      <c r="U44" s="53" t="n">
        <f aca="false">-U37*Inputs!$E$37</f>
        <v>-4713.69077896172</v>
      </c>
      <c r="V44" s="53" t="n">
        <f aca="false">-V37*Inputs!$E$37</f>
        <v>-4773.68797580325</v>
      </c>
      <c r="W44" s="53" t="n">
        <f aca="false">-W37*Inputs!$E$37</f>
        <v>-4831.28528477112</v>
      </c>
      <c r="X44" s="53" t="n">
        <f aca="false">-X37*Inputs!$E$37</f>
        <v>-4886.57870138028</v>
      </c>
      <c r="Y44" s="53" t="n">
        <f aca="false">-Y37*Inputs!$E$37</f>
        <v>-4939.66038132506</v>
      </c>
      <c r="Z44" s="53" t="n">
        <f aca="false">-Z37*Inputs!$E$37</f>
        <v>-4367.02506607206</v>
      </c>
      <c r="AA44" s="53" t="n">
        <f aca="false">-AA37*Inputs!$E$37</f>
        <v>-4493.77596106776</v>
      </c>
      <c r="AB44" s="53" t="n">
        <f aca="false">-AB37*Inputs!$E$37</f>
        <v>-4533.04374024505</v>
      </c>
      <c r="AC44" s="53" t="n">
        <f aca="false">-AC37*Inputs!$E$37</f>
        <v>-5206.80641081525</v>
      </c>
      <c r="AD44" s="53" t="n">
        <f aca="false">-AD37*Inputs!$E$37</f>
        <v>-5254.91748144264</v>
      </c>
      <c r="AE44" s="53" t="n">
        <f aca="false">-AE37*Inputs!$E$37</f>
        <v>-5301.10410924493</v>
      </c>
      <c r="AF44" s="53" t="n">
        <f aca="false">-AF37*Inputs!$E$37</f>
        <v>-5345.44327193514</v>
      </c>
      <c r="AG44" s="53" t="n">
        <f aca="false">-AG37*Inputs!$E$37</f>
        <v>-5388.00886811773</v>
      </c>
      <c r="AH44" s="53" t="n">
        <f aca="false">-AH37*Inputs!$E$37</f>
        <v>-5428.87184045302</v>
      </c>
      <c r="AI44" s="53" t="n">
        <f aca="false">-AI37*Inputs!$E$37</f>
        <v>-5468.1002938949</v>
      </c>
      <c r="AJ44" s="53" t="n">
        <f aca="false">-AJ37*Inputs!$E$37</f>
        <v>-5505.7596091991</v>
      </c>
      <c r="AK44" s="53" t="n">
        <f aca="false">-AK37*Inputs!$E$37</f>
        <v>-5541.91255189114</v>
      </c>
      <c r="AL44" s="53" t="n">
        <f aca="false">-AL37*Inputs!$E$37</f>
        <v>-4940.55377431549</v>
      </c>
      <c r="AM44" s="53" t="n">
        <f aca="false">-AM37*Inputs!$E$37</f>
        <v>-5062.72505092088</v>
      </c>
      <c r="AN44" s="53" t="n">
        <f aca="false">-AN37*Inputs!$E$37</f>
        <v>-5086.68644513395</v>
      </c>
      <c r="AO44" s="53" t="n">
        <f aca="false">-AO37*Inputs!$E$37</f>
        <v>-5758.47629818969</v>
      </c>
      <c r="AP44" s="53" t="n">
        <f aca="false">-AP37*Inputs!$E$37</f>
        <v>-5792.7194421408</v>
      </c>
      <c r="AQ44" s="53" t="n">
        <f aca="false">-AQ37*Inputs!$E$37</f>
        <v>-5825.59286033387</v>
      </c>
      <c r="AR44" s="53" t="n">
        <f aca="false">-AR37*Inputs!$E$37</f>
        <v>-5857.15134179922</v>
      </c>
      <c r="AS44" s="53" t="n">
        <f aca="false">-AS37*Inputs!$E$37</f>
        <v>-5887.44748400595</v>
      </c>
      <c r="AT44" s="53" t="n">
        <f aca="false">-AT37*Inputs!$E$37</f>
        <v>-5916.53178052441</v>
      </c>
      <c r="AU44" s="53" t="n">
        <f aca="false">-AU37*Inputs!$E$37</f>
        <v>-5944.45270518213</v>
      </c>
      <c r="AV44" s="53" t="n">
        <f aca="false">-AV37*Inputs!$E$37</f>
        <v>-5971.25679285355</v>
      </c>
      <c r="AW44" s="53" t="n">
        <f aca="false">-AW37*Inputs!$E$37</f>
        <v>-5996.9887170181</v>
      </c>
      <c r="AX44" s="53" t="n">
        <f aca="false">-AX37*Inputs!$E$37</f>
        <v>-5372.90444960488</v>
      </c>
      <c r="AY44" s="53" t="n">
        <f aca="false">-AY37*Inputs!$E$37</f>
        <v>-5493.7924700476</v>
      </c>
      <c r="AZ44" s="53" t="n">
        <f aca="false">-AZ37*Inputs!$E$37</f>
        <v>-5508.32983305979</v>
      </c>
      <c r="BA44" s="53" t="n">
        <f aca="false">-BA37*Inputs!$E$37</f>
        <v>-6184.04835445493</v>
      </c>
      <c r="BB44" s="53" t="n">
        <f aca="false">-BB37*Inputs!$E$37</f>
        <v>-6209.84951771221</v>
      </c>
      <c r="BC44" s="53" t="n">
        <f aca="false">-BC37*Inputs!$E$37</f>
        <v>-6234.61863443919</v>
      </c>
      <c r="BD44" s="53" t="n">
        <f aca="false">-BD37*Inputs!$E$37</f>
        <v>-6258.3969864971</v>
      </c>
      <c r="BE44" s="53" t="n">
        <f aca="false">-BE37*Inputs!$E$37</f>
        <v>-6281.22420447269</v>
      </c>
      <c r="BF44" s="53" t="n">
        <f aca="false">-BF37*Inputs!$E$37</f>
        <v>-6303.13833372926</v>
      </c>
      <c r="BG44" s="53" t="n">
        <f aca="false">-BG37*Inputs!$E$37</f>
        <v>-6324.17589781557</v>
      </c>
      <c r="BH44" s="53" t="n">
        <f aca="false">-BH37*Inputs!$E$37</f>
        <v>-6344.37195933842</v>
      </c>
      <c r="BI44" s="53" t="n">
        <f aca="false">-BI37*Inputs!$E$37</f>
        <v>-6363.76017840036</v>
      </c>
      <c r="BJ44" s="53" t="n">
        <f aca="false">-BJ37*Inputs!$E$37</f>
        <v>-5720.6102157964</v>
      </c>
    </row>
    <row r="45" customFormat="false" ht="15" hidden="false" customHeight="false" outlineLevel="0" collapsed="false">
      <c r="A45" s="4" t="s">
        <v>74</v>
      </c>
      <c r="C45" s="60" t="n">
        <f aca="false">C43+C44</f>
        <v>-7071.9457459</v>
      </c>
      <c r="D45" s="60" t="n">
        <f aca="false">D43+D44</f>
        <v>-8031.44880631956</v>
      </c>
      <c r="E45" s="60" t="n">
        <f aca="false">E43+E44</f>
        <v>-11076.8352569627</v>
      </c>
      <c r="F45" s="60" t="n">
        <f aca="false">F43+F44</f>
        <v>-12361.6968813842</v>
      </c>
      <c r="G45" s="60" t="n">
        <f aca="false">G43+G44</f>
        <v>-13678.7184810288</v>
      </c>
      <c r="H45" s="60" t="n">
        <f aca="false">H43+H44</f>
        <v>-15026.6136568877</v>
      </c>
      <c r="I45" s="60" t="n">
        <f aca="false">I43+I44</f>
        <v>-16404.1474659122</v>
      </c>
      <c r="J45" s="60" t="n">
        <f aca="false">J43+J44</f>
        <v>-17810.1343627757</v>
      </c>
      <c r="K45" s="60" t="n">
        <f aca="false">K43+K44</f>
        <v>-19243.4362239647</v>
      </c>
      <c r="L45" s="60" t="n">
        <f aca="false">L43+L44</f>
        <v>-20702.9604509061</v>
      </c>
      <c r="M45" s="60" t="n">
        <f aca="false">M43+M44</f>
        <v>-21242.0965088698</v>
      </c>
      <c r="N45" s="60" t="n">
        <f aca="false">N43+N44</f>
        <v>-17771.5650756123</v>
      </c>
      <c r="O45" s="60" t="n">
        <f aca="false">O43+O44</f>
        <v>-18638.5658545602</v>
      </c>
      <c r="P45" s="60" t="n">
        <f aca="false">P43+P44</f>
        <v>-19000.8447292478</v>
      </c>
      <c r="Q45" s="60" t="n">
        <f aca="false">Q43+Q44</f>
        <v>-23659.4243865624</v>
      </c>
      <c r="R45" s="60" t="n">
        <f aca="false">R43+R44</f>
        <v>-24137.0114511299</v>
      </c>
      <c r="S45" s="60" t="n">
        <f aca="false">S43+S44</f>
        <v>-24595.4950331147</v>
      </c>
      <c r="T45" s="60" t="n">
        <f aca="false">T43+T44</f>
        <v>-25035.6392718201</v>
      </c>
      <c r="U45" s="60" t="n">
        <f aca="false">U43+U44</f>
        <v>-25458.1777409773</v>
      </c>
      <c r="V45" s="60" t="n">
        <f aca="false">V43+V44</f>
        <v>-25863.8146713682</v>
      </c>
      <c r="W45" s="60" t="n">
        <f aca="false">W43+W44</f>
        <v>-26253.2261245435</v>
      </c>
      <c r="X45" s="60" t="n">
        <f aca="false">X43+X44</f>
        <v>-26627.0611195917</v>
      </c>
      <c r="Y45" s="60" t="n">
        <f aca="false">Y43+Y44</f>
        <v>-26985.9427148381</v>
      </c>
      <c r="Z45" s="60" t="n">
        <f aca="false">Z43+Z44</f>
        <v>-22423.8551037065</v>
      </c>
      <c r="AA45" s="60" t="n">
        <f aca="false">AA43+AA44</f>
        <v>-23277.9075589758</v>
      </c>
      <c r="AB45" s="60" t="n">
        <f aca="false">AB43+AB44</f>
        <v>-23502.100378171</v>
      </c>
      <c r="AC45" s="60" t="n">
        <f aca="false">AC43+AC44</f>
        <v>-28893.854787594</v>
      </c>
      <c r="AD45" s="60" t="n">
        <f aca="false">AD43+AD44</f>
        <v>-29221.8477341318</v>
      </c>
      <c r="AE45" s="60" t="n">
        <f aca="false">AE43+AE44</f>
        <v>-29536.7209628081</v>
      </c>
      <c r="AF45" s="60" t="n">
        <f aca="false">AF43+AF44</f>
        <v>-29838.9992623373</v>
      </c>
      <c r="AG45" s="60" t="n">
        <f aca="false">AG43+AG44</f>
        <v>-30129.1864298853</v>
      </c>
      <c r="AH45" s="60" t="n">
        <f aca="false">AH43+AH44</f>
        <v>-30407.7661107314</v>
      </c>
      <c r="AI45" s="60" t="n">
        <f aca="false">AI43+AI44</f>
        <v>-30675.2026043437</v>
      </c>
      <c r="AJ45" s="60" t="n">
        <f aca="false">AJ43+AJ44</f>
        <v>-30931.9416382114</v>
      </c>
      <c r="AK45" s="60" t="n">
        <f aca="false">AK43+AK44</f>
        <v>-31178.4111107245</v>
      </c>
      <c r="AL45" s="60" t="n">
        <f aca="false">AL43+AL44</f>
        <v>-25828.7107774018</v>
      </c>
      <c r="AM45" s="60" t="n">
        <f aca="false">AM43+AM44</f>
        <v>-26688.616264014</v>
      </c>
      <c r="AN45" s="60" t="n">
        <f aca="false">AN43+AN44</f>
        <v>-26826.5261335336</v>
      </c>
      <c r="AO45" s="60" t="n">
        <f aca="false">AO43+AO44</f>
        <v>-32785.1483715232</v>
      </c>
      <c r="AP45" s="60" t="n">
        <f aca="false">AP43+AP44</f>
        <v>-33020.5509652837</v>
      </c>
      <c r="AQ45" s="60" t="n">
        <f aca="false">AQ43+AQ44</f>
        <v>-33246.5374552938</v>
      </c>
      <c r="AR45" s="60" t="n">
        <f aca="false">AR43+AR44</f>
        <v>-33463.4844857035</v>
      </c>
      <c r="AS45" s="60" t="n">
        <f aca="false">AS43+AS44</f>
        <v>-33671.7536348968</v>
      </c>
      <c r="AT45" s="60" t="n">
        <f aca="false">AT43+AT44</f>
        <v>-33871.6920181223</v>
      </c>
      <c r="AU45" s="60" t="n">
        <f aca="false">AU43+AU44</f>
        <v>-34063.6328660188</v>
      </c>
      <c r="AV45" s="60" t="n">
        <f aca="false">AV43+AV44</f>
        <v>-34247.8960799995</v>
      </c>
      <c r="AW45" s="60" t="n">
        <f aca="false">AW43+AW44</f>
        <v>-34424.788765421</v>
      </c>
      <c r="AX45" s="60" t="n">
        <f aca="false">AX43+AX44</f>
        <v>-28473.8546361985</v>
      </c>
      <c r="AY45" s="60" t="n">
        <f aca="false">AY43+AY44</f>
        <v>-29352.2633757499</v>
      </c>
      <c r="AZ45" s="60" t="n">
        <f aca="false">AZ43+AZ44</f>
        <v>-29436.6109773858</v>
      </c>
      <c r="BA45" s="60" t="n">
        <f aca="false">BA43+BA44</f>
        <v>-35862.8399241865</v>
      </c>
      <c r="BB45" s="60" t="n">
        <f aca="false">BB43+BB44</f>
        <v>-36041.6945458169</v>
      </c>
      <c r="BC45" s="60" t="n">
        <f aca="false">BC43+BC44</f>
        <v>-36213.3949825822</v>
      </c>
      <c r="BD45" s="60" t="n">
        <f aca="false">BD43+BD44</f>
        <v>-36378.2274018769</v>
      </c>
      <c r="BE45" s="60" t="n">
        <f aca="false">BE43+BE44</f>
        <v>-36536.4665243997</v>
      </c>
      <c r="BF45" s="60" t="n">
        <f aca="false">BF43+BF44</f>
        <v>-36688.3760820217</v>
      </c>
      <c r="BG45" s="60" t="n">
        <f aca="false">BG43+BG44</f>
        <v>-36834.2092573387</v>
      </c>
      <c r="BH45" s="60" t="n">
        <f aca="false">BH43+BH44</f>
        <v>-36974.2091056431</v>
      </c>
      <c r="BI45" s="60" t="n">
        <f aca="false">BI43+BI44</f>
        <v>-37108.6089600153</v>
      </c>
      <c r="BJ45" s="60" t="n">
        <f aca="false">BJ43+BJ44</f>
        <v>-30668.288355405</v>
      </c>
    </row>
    <row r="46" customFormat="false" ht="15" hidden="false" customHeight="false" outlineLevel="0" collapsed="false">
      <c r="A46" s="99" t="s">
        <v>43</v>
      </c>
      <c r="C46" s="54" t="n">
        <f aca="false">C37+C45</f>
        <v>40871.4122541</v>
      </c>
      <c r="D46" s="54" t="n">
        <f aca="false">D37+D45</f>
        <v>46417.4870959027</v>
      </c>
      <c r="E46" s="54" t="n">
        <f aca="false">E37+E45</f>
        <v>61696.566542504</v>
      </c>
      <c r="F46" s="54" t="n">
        <f aca="false">F37+F45</f>
        <v>68690.2019572149</v>
      </c>
      <c r="G46" s="54" t="n">
        <f aca="false">G37+G45</f>
        <v>75811.5579595819</v>
      </c>
      <c r="H46" s="54" t="n">
        <f aca="false">H37+H45</f>
        <v>83055.5257260986</v>
      </c>
      <c r="I46" s="54" t="n">
        <f aca="false">I37+I45</f>
        <v>90417.2007861991</v>
      </c>
      <c r="J46" s="54" t="n">
        <f aca="false">J37+J45</f>
        <v>97891.87484814</v>
      </c>
      <c r="K46" s="54" t="n">
        <f aca="false">K37+K45</f>
        <v>105475.027951848</v>
      </c>
      <c r="L46" s="54" t="n">
        <f aca="false">L37+L45</f>
        <v>113162.320935652</v>
      </c>
      <c r="M46" s="54" t="n">
        <f aca="false">M37+M45</f>
        <v>115303.453622226</v>
      </c>
      <c r="N46" s="54" t="n">
        <f aca="false">N37+N45</f>
        <v>100968.163050239</v>
      </c>
      <c r="O46" s="54" t="n">
        <f aca="false">O37+O45</f>
        <v>104650.516126274</v>
      </c>
      <c r="P46" s="54" t="n">
        <f aca="false">P37+P45</f>
        <v>106420.439172353</v>
      </c>
      <c r="Q46" s="54" t="n">
        <f aca="false">Q37+Q45</f>
        <v>124595.230958974</v>
      </c>
      <c r="R46" s="54" t="n">
        <f aca="false">R37+R45</f>
        <v>126472.285280585</v>
      </c>
      <c r="S46" s="54" t="n">
        <f aca="false">S37+S45</f>
        <v>128274.257429332</v>
      </c>
      <c r="T46" s="54" t="n">
        <f aca="false">T37+T45</f>
        <v>130004.150692128</v>
      </c>
      <c r="U46" s="54" t="n">
        <f aca="false">U37+U45</f>
        <v>131664.848224413</v>
      </c>
      <c r="V46" s="54" t="n">
        <f aca="false">V37+V45</f>
        <v>133259.117855407</v>
      </c>
      <c r="W46" s="54" t="n">
        <f aca="false">W37+W45</f>
        <v>134789.616701161</v>
      </c>
      <c r="X46" s="54" t="n">
        <f aca="false">X37+X45</f>
        <v>136258.895593084</v>
      </c>
      <c r="Y46" s="54" t="n">
        <f aca="false">Y37+Y45</f>
        <v>137669.403329331</v>
      </c>
      <c r="Z46" s="54" t="n">
        <f aca="false">Z37+Z45</f>
        <v>123143.647098696</v>
      </c>
      <c r="AA46" s="54" t="n">
        <f aca="false">AA37+AA45</f>
        <v>126514.624476616</v>
      </c>
      <c r="AB46" s="54" t="n">
        <f aca="false">AB37+AB45</f>
        <v>127599.357629997</v>
      </c>
      <c r="AC46" s="54" t="n">
        <f aca="false">AC37+AC45</f>
        <v>144666.358906248</v>
      </c>
      <c r="AD46" s="54" t="n">
        <f aca="false">AD37+AD45</f>
        <v>145942.068313956</v>
      </c>
      <c r="AE46" s="54" t="n">
        <f aca="false">AE37+AE45</f>
        <v>147166.749345356</v>
      </c>
      <c r="AF46" s="54" t="n">
        <f aca="false">AF37+AF45</f>
        <v>148342.443135501</v>
      </c>
      <c r="AG46" s="54" t="n">
        <f aca="false">AG37+AG45</f>
        <v>149471.109174039</v>
      </c>
      <c r="AH46" s="54" t="n">
        <f aca="false">AH37+AH45</f>
        <v>150554.628571036</v>
      </c>
      <c r="AI46" s="54" t="n">
        <f aca="false">AI37+AI45</f>
        <v>151594.807192153</v>
      </c>
      <c r="AJ46" s="54" t="n">
        <f aca="false">AJ37+AJ45</f>
        <v>152593.378668425</v>
      </c>
      <c r="AK46" s="54" t="n">
        <f aca="false">AK37+AK45</f>
        <v>153552.007285647</v>
      </c>
      <c r="AL46" s="54" t="n">
        <f aca="false">AL37+AL45</f>
        <v>138856.415033115</v>
      </c>
      <c r="AM46" s="54" t="n">
        <f aca="false">AM37+AM45</f>
        <v>142068.885433349</v>
      </c>
      <c r="AN46" s="54" t="n">
        <f aca="false">AN37+AN45</f>
        <v>142729.688704265</v>
      </c>
      <c r="AO46" s="54" t="n">
        <f aca="false">AO37+AO45</f>
        <v>159164.061568133</v>
      </c>
      <c r="AP46" s="54" t="n">
        <f aca="false">AP37+AP45</f>
        <v>160070.097106076</v>
      </c>
      <c r="AQ46" s="54" t="n">
        <f aca="false">AQ37+AQ45</f>
        <v>160939.891222502</v>
      </c>
      <c r="AR46" s="54" t="n">
        <f aca="false">AR37+AR45</f>
        <v>161774.89357427</v>
      </c>
      <c r="AS46" s="54" t="n">
        <f aca="false">AS37+AS45</f>
        <v>162576.495831968</v>
      </c>
      <c r="AT46" s="54" t="n">
        <f aca="false">AT37+AT45</f>
        <v>163346.033999358</v>
      </c>
      <c r="AU46" s="54" t="n">
        <f aca="false">AU37+AU45</f>
        <v>164084.790640052</v>
      </c>
      <c r="AV46" s="54" t="n">
        <f aca="false">AV37+AV45</f>
        <v>164793.997015119</v>
      </c>
      <c r="AW46" s="54" t="n">
        <f aca="false">AW37+AW45</f>
        <v>165474.835135182</v>
      </c>
      <c r="AX46" s="54" t="n">
        <f aca="false">AX37+AX45</f>
        <v>150622.960350631</v>
      </c>
      <c r="AY46" s="54" t="n">
        <f aca="false">AY37+AY45</f>
        <v>153774.152292503</v>
      </c>
      <c r="AZ46" s="54" t="n">
        <f aca="false">AZ37+AZ45</f>
        <v>154174.383457941</v>
      </c>
      <c r="BA46" s="54" t="n">
        <f aca="false">BA37+BA45</f>
        <v>170272.105224311</v>
      </c>
      <c r="BB46" s="54" t="n">
        <f aca="false">BB37+BB45</f>
        <v>170953.289377923</v>
      </c>
      <c r="BC46" s="54" t="n">
        <f aca="false">BC37+BC45</f>
        <v>171607.226165391</v>
      </c>
      <c r="BD46" s="54" t="n">
        <f aca="false">BD37+BD45</f>
        <v>172235.00548136</v>
      </c>
      <c r="BE46" s="54" t="n">
        <f aca="false">BE37+BE45</f>
        <v>172837.67362469</v>
      </c>
      <c r="BF46" s="54" t="n">
        <f aca="false">BF37+BF45</f>
        <v>173416.235042287</v>
      </c>
      <c r="BG46" s="54" t="n">
        <f aca="false">BG37+BG45</f>
        <v>173971.65400318</v>
      </c>
      <c r="BH46" s="54" t="n">
        <f aca="false">BH37+BH45</f>
        <v>174504.856205638</v>
      </c>
      <c r="BI46" s="54" t="n">
        <f aca="false">BI37+BI45</f>
        <v>175016.730319997</v>
      </c>
      <c r="BJ46" s="54" t="n">
        <f aca="false">BJ37+BJ45</f>
        <v>160018.718837808</v>
      </c>
    </row>
    <row r="48" customFormat="false" ht="15.75" hidden="false" customHeight="true" outlineLevel="0" collapsed="false">
      <c r="A48" s="7" t="s">
        <v>45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312</v>
      </c>
      <c r="C49" s="55" t="n">
        <f aca="false">Headcount!C15</f>
        <v>-36586.6666666667</v>
      </c>
      <c r="D49" s="55" t="n">
        <f aca="false">Headcount!D15</f>
        <v>-36586.6666666667</v>
      </c>
      <c r="E49" s="55" t="n">
        <f aca="false">Headcount!E15</f>
        <v>-36586.6666666667</v>
      </c>
      <c r="F49" s="55" t="n">
        <f aca="false">Headcount!F15</f>
        <v>-36586.6666666667</v>
      </c>
      <c r="G49" s="55" t="n">
        <f aca="false">Headcount!G15</f>
        <v>-36586.6666666667</v>
      </c>
      <c r="H49" s="55" t="n">
        <f aca="false">Headcount!H15</f>
        <v>-36586.6666666667</v>
      </c>
      <c r="I49" s="55" t="n">
        <f aca="false">Headcount!I15</f>
        <v>-36586.6666666667</v>
      </c>
      <c r="J49" s="55" t="n">
        <f aca="false">Headcount!J15</f>
        <v>-36586.6666666667</v>
      </c>
      <c r="K49" s="55" t="n">
        <f aca="false">Headcount!K15</f>
        <v>-36586.6666666667</v>
      </c>
      <c r="L49" s="55" t="n">
        <f aca="false">Headcount!L15</f>
        <v>-36586.6666666667</v>
      </c>
      <c r="M49" s="55" t="n">
        <f aca="false">Headcount!M15</f>
        <v>-36586.6666666667</v>
      </c>
      <c r="N49" s="55" t="n">
        <f aca="false">Headcount!N15</f>
        <v>-36586.6666666667</v>
      </c>
      <c r="O49" s="55" t="n">
        <f aca="false">Headcount!O15</f>
        <v>-37684.2666666667</v>
      </c>
      <c r="P49" s="55" t="n">
        <f aca="false">Headcount!P15</f>
        <v>-37684.2666666667</v>
      </c>
      <c r="Q49" s="55" t="n">
        <f aca="false">Headcount!Q15</f>
        <v>-37684.2666666667</v>
      </c>
      <c r="R49" s="55" t="n">
        <f aca="false">Headcount!R15</f>
        <v>-37684.2666666667</v>
      </c>
      <c r="S49" s="55" t="n">
        <f aca="false">Headcount!S15</f>
        <v>-37684.2666666667</v>
      </c>
      <c r="T49" s="55" t="n">
        <f aca="false">Headcount!T15</f>
        <v>-37684.2666666667</v>
      </c>
      <c r="U49" s="55" t="n">
        <f aca="false">Headcount!U15</f>
        <v>-37684.2666666667</v>
      </c>
      <c r="V49" s="55" t="n">
        <f aca="false">Headcount!V15</f>
        <v>-37684.2666666667</v>
      </c>
      <c r="W49" s="55" t="n">
        <f aca="false">Headcount!W15</f>
        <v>-37684.2666666667</v>
      </c>
      <c r="X49" s="55" t="n">
        <f aca="false">Headcount!X15</f>
        <v>-37684.2666666667</v>
      </c>
      <c r="Y49" s="55" t="n">
        <f aca="false">Headcount!Y15</f>
        <v>-37684.2666666667</v>
      </c>
      <c r="Z49" s="55" t="n">
        <f aca="false">Headcount!Z15</f>
        <v>-37684.2666666667</v>
      </c>
      <c r="AA49" s="55" t="n">
        <f aca="false">Headcount!AA15</f>
        <v>-38814.7946666667</v>
      </c>
      <c r="AB49" s="55" t="n">
        <f aca="false">Headcount!AB15</f>
        <v>-38814.7946666667</v>
      </c>
      <c r="AC49" s="55" t="n">
        <f aca="false">Headcount!AC15</f>
        <v>-38814.7946666667</v>
      </c>
      <c r="AD49" s="55" t="n">
        <f aca="false">Headcount!AD15</f>
        <v>-38814.7946666667</v>
      </c>
      <c r="AE49" s="55" t="n">
        <f aca="false">Headcount!AE15</f>
        <v>-38814.7946666667</v>
      </c>
      <c r="AF49" s="55" t="n">
        <f aca="false">Headcount!AF15</f>
        <v>-38814.7946666667</v>
      </c>
      <c r="AG49" s="55" t="n">
        <f aca="false">Headcount!AG15</f>
        <v>-38814.7946666667</v>
      </c>
      <c r="AH49" s="55" t="n">
        <f aca="false">Headcount!AH15</f>
        <v>-38814.7946666667</v>
      </c>
      <c r="AI49" s="55" t="n">
        <f aca="false">Headcount!AI15</f>
        <v>-38814.7946666667</v>
      </c>
      <c r="AJ49" s="55" t="n">
        <f aca="false">Headcount!AJ15</f>
        <v>-38814.7946666667</v>
      </c>
      <c r="AK49" s="55" t="n">
        <f aca="false">Headcount!AK15</f>
        <v>-38814.7946666667</v>
      </c>
      <c r="AL49" s="55" t="n">
        <f aca="false">Headcount!AL15</f>
        <v>-38814.7946666667</v>
      </c>
      <c r="AM49" s="55" t="n">
        <f aca="false">Headcount!AM15</f>
        <v>-39979.2385066667</v>
      </c>
      <c r="AN49" s="55" t="n">
        <f aca="false">Headcount!AN15</f>
        <v>-39979.2385066667</v>
      </c>
      <c r="AO49" s="55" t="n">
        <f aca="false">Headcount!AO15</f>
        <v>-39979.2385066667</v>
      </c>
      <c r="AP49" s="55" t="n">
        <f aca="false">Headcount!AP15</f>
        <v>-39979.2385066667</v>
      </c>
      <c r="AQ49" s="55" t="n">
        <f aca="false">Headcount!AQ15</f>
        <v>-39979.2385066667</v>
      </c>
      <c r="AR49" s="55" t="n">
        <f aca="false">Headcount!AR15</f>
        <v>-39979.2385066667</v>
      </c>
      <c r="AS49" s="55" t="n">
        <f aca="false">Headcount!AS15</f>
        <v>-39979.2385066667</v>
      </c>
      <c r="AT49" s="55" t="n">
        <f aca="false">Headcount!AT15</f>
        <v>-39979.2385066667</v>
      </c>
      <c r="AU49" s="55" t="n">
        <f aca="false">Headcount!AU15</f>
        <v>-39979.2385066667</v>
      </c>
      <c r="AV49" s="55" t="n">
        <f aca="false">Headcount!AV15</f>
        <v>-39979.2385066667</v>
      </c>
      <c r="AW49" s="55" t="n">
        <f aca="false">Headcount!AW15</f>
        <v>-39979.2385066667</v>
      </c>
      <c r="AX49" s="55" t="n">
        <f aca="false">Headcount!AX15</f>
        <v>-39979.2385066667</v>
      </c>
      <c r="AY49" s="55" t="n">
        <f aca="false">Headcount!AY15</f>
        <v>-41178.6156618667</v>
      </c>
      <c r="AZ49" s="55" t="n">
        <f aca="false">Headcount!AZ15</f>
        <v>-41178.6156618667</v>
      </c>
      <c r="BA49" s="55" t="n">
        <f aca="false">Headcount!BA15</f>
        <v>-41178.6156618667</v>
      </c>
      <c r="BB49" s="55" t="n">
        <f aca="false">Headcount!BB15</f>
        <v>-41178.6156618667</v>
      </c>
      <c r="BC49" s="55" t="n">
        <f aca="false">Headcount!BC15</f>
        <v>-41178.6156618667</v>
      </c>
      <c r="BD49" s="55" t="n">
        <f aca="false">Headcount!BD15</f>
        <v>-41178.6156618667</v>
      </c>
      <c r="BE49" s="55" t="n">
        <f aca="false">Headcount!BE15</f>
        <v>-41178.6156618667</v>
      </c>
      <c r="BF49" s="55" t="n">
        <f aca="false">Headcount!BF15</f>
        <v>-41178.6156618667</v>
      </c>
      <c r="BG49" s="55" t="n">
        <f aca="false">Headcount!BG15</f>
        <v>-41178.6156618667</v>
      </c>
      <c r="BH49" s="55" t="n">
        <f aca="false">Headcount!BH15</f>
        <v>-41178.6156618667</v>
      </c>
      <c r="BI49" s="55" t="n">
        <f aca="false">Headcount!BI15</f>
        <v>-41178.6156618667</v>
      </c>
      <c r="BJ49" s="55" t="n">
        <f aca="false">Headcount!BJ15</f>
        <v>-41178.6156618667</v>
      </c>
    </row>
    <row r="50" customFormat="false" ht="15" hidden="false" customHeight="false" outlineLevel="0" collapsed="false">
      <c r="A50" s="6" t="s">
        <v>313</v>
      </c>
      <c r="C50" s="53" t="n">
        <f aca="false">-Inputs!$E$41*(1+Inputs!$E$42)^(C$5-1)*1</f>
        <v>-30000</v>
      </c>
      <c r="D50" s="53" t="n">
        <f aca="false">-Inputs!$E$41*(1+Inputs!$E$42)^(D$5-1)*1</f>
        <v>-30000</v>
      </c>
      <c r="E50" s="53" t="n">
        <f aca="false">-Inputs!$E$41*(1+Inputs!$E$42)^(E$5-1)*1</f>
        <v>-30000</v>
      </c>
      <c r="F50" s="53" t="n">
        <f aca="false">-Inputs!$E$41*(1+Inputs!$E$42)^(F$5-1)*1</f>
        <v>-30000</v>
      </c>
      <c r="G50" s="53" t="n">
        <f aca="false">-Inputs!$E$41*(1+Inputs!$E$42)^(G$5-1)*1</f>
        <v>-30000</v>
      </c>
      <c r="H50" s="53" t="n">
        <f aca="false">-Inputs!$E$41*(1+Inputs!$E$42)^(H$5-1)*1</f>
        <v>-30000</v>
      </c>
      <c r="I50" s="53" t="n">
        <f aca="false">-Inputs!$E$41*(1+Inputs!$E$42)^(I$5-1)*1</f>
        <v>-30000</v>
      </c>
      <c r="J50" s="53" t="n">
        <f aca="false">-Inputs!$E$41*(1+Inputs!$E$42)^(J$5-1)*1</f>
        <v>-30000</v>
      </c>
      <c r="K50" s="53" t="n">
        <f aca="false">-Inputs!$E$41*(1+Inputs!$E$42)^(K$5-1)*1</f>
        <v>-30000</v>
      </c>
      <c r="L50" s="53" t="n">
        <f aca="false">-Inputs!$E$41*(1+Inputs!$E$42)^(L$5-1)*1</f>
        <v>-30000</v>
      </c>
      <c r="M50" s="53" t="n">
        <f aca="false">-Inputs!$E$41*(1+Inputs!$E$42)^(M$5-1)*1</f>
        <v>-30000</v>
      </c>
      <c r="N50" s="53" t="n">
        <f aca="false">-Inputs!$E$41*(1+Inputs!$E$42)^(N$5-1)*1</f>
        <v>-30000</v>
      </c>
      <c r="O50" s="53" t="n">
        <f aca="false">-Inputs!$E$41*(1+Inputs!$E$42)^(O$5-1)*1</f>
        <v>-30900</v>
      </c>
      <c r="P50" s="53" t="n">
        <f aca="false">-Inputs!$E$41*(1+Inputs!$E$42)^(P$5-1)*1</f>
        <v>-30900</v>
      </c>
      <c r="Q50" s="53" t="n">
        <f aca="false">-Inputs!$E$41*(1+Inputs!$E$42)^(Q$5-1)*1</f>
        <v>-30900</v>
      </c>
      <c r="R50" s="53" t="n">
        <f aca="false">-Inputs!$E$41*(1+Inputs!$E$42)^(R$5-1)*1</f>
        <v>-30900</v>
      </c>
      <c r="S50" s="53" t="n">
        <f aca="false">-Inputs!$E$41*(1+Inputs!$E$42)^(S$5-1)*1</f>
        <v>-30900</v>
      </c>
      <c r="T50" s="53" t="n">
        <f aca="false">-Inputs!$E$41*(1+Inputs!$E$42)^(T$5-1)*1</f>
        <v>-30900</v>
      </c>
      <c r="U50" s="53" t="n">
        <f aca="false">-Inputs!$E$41*(1+Inputs!$E$42)^(U$5-1)*1</f>
        <v>-30900</v>
      </c>
      <c r="V50" s="53" t="n">
        <f aca="false">-Inputs!$E$41*(1+Inputs!$E$42)^(V$5-1)*1</f>
        <v>-30900</v>
      </c>
      <c r="W50" s="53" t="n">
        <f aca="false">-Inputs!$E$41*(1+Inputs!$E$42)^(W$5-1)*1</f>
        <v>-30900</v>
      </c>
      <c r="X50" s="53" t="n">
        <f aca="false">-Inputs!$E$41*(1+Inputs!$E$42)^(X$5-1)*1</f>
        <v>-30900</v>
      </c>
      <c r="Y50" s="53" t="n">
        <f aca="false">-Inputs!$E$41*(1+Inputs!$E$42)^(Y$5-1)*1</f>
        <v>-30900</v>
      </c>
      <c r="Z50" s="53" t="n">
        <f aca="false">-Inputs!$E$41*(1+Inputs!$E$42)^(Z$5-1)*1</f>
        <v>-30900</v>
      </c>
      <c r="AA50" s="53" t="n">
        <f aca="false">-Inputs!$E$41*(1+Inputs!$E$42)^(AA$5-1)*1</f>
        <v>-31827</v>
      </c>
      <c r="AB50" s="53" t="n">
        <f aca="false">-Inputs!$E$41*(1+Inputs!$E$42)^(AB$5-1)*1</f>
        <v>-31827</v>
      </c>
      <c r="AC50" s="53" t="n">
        <f aca="false">-Inputs!$E$41*(1+Inputs!$E$42)^(AC$5-1)*1</f>
        <v>-31827</v>
      </c>
      <c r="AD50" s="53" t="n">
        <f aca="false">-Inputs!$E$41*(1+Inputs!$E$42)^(AD$5-1)*1</f>
        <v>-31827</v>
      </c>
      <c r="AE50" s="53" t="n">
        <f aca="false">-Inputs!$E$41*(1+Inputs!$E$42)^(AE$5-1)*1</f>
        <v>-31827</v>
      </c>
      <c r="AF50" s="53" t="n">
        <f aca="false">-Inputs!$E$41*(1+Inputs!$E$42)^(AF$5-1)*1</f>
        <v>-31827</v>
      </c>
      <c r="AG50" s="53" t="n">
        <f aca="false">-Inputs!$E$41*(1+Inputs!$E$42)^(AG$5-1)*1</f>
        <v>-31827</v>
      </c>
      <c r="AH50" s="53" t="n">
        <f aca="false">-Inputs!$E$41*(1+Inputs!$E$42)^(AH$5-1)*1</f>
        <v>-31827</v>
      </c>
      <c r="AI50" s="53" t="n">
        <f aca="false">-Inputs!$E$41*(1+Inputs!$E$42)^(AI$5-1)*1</f>
        <v>-31827</v>
      </c>
      <c r="AJ50" s="53" t="n">
        <f aca="false">-Inputs!$E$41*(1+Inputs!$E$42)^(AJ$5-1)*1</f>
        <v>-31827</v>
      </c>
      <c r="AK50" s="53" t="n">
        <f aca="false">-Inputs!$E$41*(1+Inputs!$E$42)^(AK$5-1)*1</f>
        <v>-31827</v>
      </c>
      <c r="AL50" s="53" t="n">
        <f aca="false">-Inputs!$E$41*(1+Inputs!$E$42)^(AL$5-1)*1</f>
        <v>-31827</v>
      </c>
      <c r="AM50" s="53" t="n">
        <f aca="false">-Inputs!$E$41*(1+Inputs!$E$42)^(AM$5-1)*1</f>
        <v>-32781.81</v>
      </c>
      <c r="AN50" s="53" t="n">
        <f aca="false">-Inputs!$E$41*(1+Inputs!$E$42)^(AN$5-1)*1</f>
        <v>-32781.81</v>
      </c>
      <c r="AO50" s="53" t="n">
        <f aca="false">-Inputs!$E$41*(1+Inputs!$E$42)^(AO$5-1)*1</f>
        <v>-32781.81</v>
      </c>
      <c r="AP50" s="53" t="n">
        <f aca="false">-Inputs!$E$41*(1+Inputs!$E$42)^(AP$5-1)*1</f>
        <v>-32781.81</v>
      </c>
      <c r="AQ50" s="53" t="n">
        <f aca="false">-Inputs!$E$41*(1+Inputs!$E$42)^(AQ$5-1)*1</f>
        <v>-32781.81</v>
      </c>
      <c r="AR50" s="53" t="n">
        <f aca="false">-Inputs!$E$41*(1+Inputs!$E$42)^(AR$5-1)*1</f>
        <v>-32781.81</v>
      </c>
      <c r="AS50" s="53" t="n">
        <f aca="false">-Inputs!$E$41*(1+Inputs!$E$42)^(AS$5-1)*1</f>
        <v>-32781.81</v>
      </c>
      <c r="AT50" s="53" t="n">
        <f aca="false">-Inputs!$E$41*(1+Inputs!$E$42)^(AT$5-1)*1</f>
        <v>-32781.81</v>
      </c>
      <c r="AU50" s="53" t="n">
        <f aca="false">-Inputs!$E$41*(1+Inputs!$E$42)^(AU$5-1)*1</f>
        <v>-32781.81</v>
      </c>
      <c r="AV50" s="53" t="n">
        <f aca="false">-Inputs!$E$41*(1+Inputs!$E$42)^(AV$5-1)*1</f>
        <v>-32781.81</v>
      </c>
      <c r="AW50" s="53" t="n">
        <f aca="false">-Inputs!$E$41*(1+Inputs!$E$42)^(AW$5-1)*1</f>
        <v>-32781.81</v>
      </c>
      <c r="AX50" s="53" t="n">
        <f aca="false">-Inputs!$E$41*(1+Inputs!$E$42)^(AX$5-1)*1</f>
        <v>-32781.81</v>
      </c>
      <c r="AY50" s="53" t="n">
        <f aca="false">-Inputs!$E$41*(1+Inputs!$E$42)^(AY$5-1)*1</f>
        <v>-33765.2643</v>
      </c>
      <c r="AZ50" s="53" t="n">
        <f aca="false">-Inputs!$E$41*(1+Inputs!$E$42)^(AZ$5-1)*1</f>
        <v>-33765.2643</v>
      </c>
      <c r="BA50" s="53" t="n">
        <f aca="false">-Inputs!$E$41*(1+Inputs!$E$42)^(BA$5-1)*1</f>
        <v>-33765.2643</v>
      </c>
      <c r="BB50" s="53" t="n">
        <f aca="false">-Inputs!$E$41*(1+Inputs!$E$42)^(BB$5-1)*1</f>
        <v>-33765.2643</v>
      </c>
      <c r="BC50" s="53" t="n">
        <f aca="false">-Inputs!$E$41*(1+Inputs!$E$42)^(BC$5-1)*1</f>
        <v>-33765.2643</v>
      </c>
      <c r="BD50" s="53" t="n">
        <f aca="false">-Inputs!$E$41*(1+Inputs!$E$42)^(BD$5-1)*1</f>
        <v>-33765.2643</v>
      </c>
      <c r="BE50" s="53" t="n">
        <f aca="false">-Inputs!$E$41*(1+Inputs!$E$42)^(BE$5-1)*1</f>
        <v>-33765.2643</v>
      </c>
      <c r="BF50" s="53" t="n">
        <f aca="false">-Inputs!$E$41*(1+Inputs!$E$42)^(BF$5-1)*1</f>
        <v>-33765.2643</v>
      </c>
      <c r="BG50" s="53" t="n">
        <f aca="false">-Inputs!$E$41*(1+Inputs!$E$42)^(BG$5-1)*1</f>
        <v>-33765.2643</v>
      </c>
      <c r="BH50" s="53" t="n">
        <f aca="false">-Inputs!$E$41*(1+Inputs!$E$42)^(BH$5-1)*1</f>
        <v>-33765.2643</v>
      </c>
      <c r="BI50" s="53" t="n">
        <f aca="false">-Inputs!$E$41*(1+Inputs!$E$42)^(BI$5-1)*1</f>
        <v>-33765.2643</v>
      </c>
      <c r="BJ50" s="53" t="n">
        <f aca="false">-Inputs!$E$41*(1+Inputs!$E$42)^(BJ$5-1)*1</f>
        <v>-33765.2643</v>
      </c>
    </row>
    <row r="51" customFormat="false" ht="15" hidden="false" customHeight="false" outlineLevel="0" collapsed="false">
      <c r="A51" s="6" t="s">
        <v>314</v>
      </c>
      <c r="C51" s="53" t="n">
        <f aca="false">-Inputs!$E$43*(1+Inputs!$E$38)^(C$5-1)*1</f>
        <v>-5500</v>
      </c>
      <c r="D51" s="53" t="n">
        <f aca="false">-Inputs!$E$43*(1+Inputs!$E$38)^(D$5-1)*1</f>
        <v>-5500</v>
      </c>
      <c r="E51" s="53" t="n">
        <f aca="false">-Inputs!$E$43*(1+Inputs!$E$38)^(E$5-1)*1</f>
        <v>-5500</v>
      </c>
      <c r="F51" s="53" t="n">
        <f aca="false">-Inputs!$E$43*(1+Inputs!$E$38)^(F$5-1)*1</f>
        <v>-5500</v>
      </c>
      <c r="G51" s="53" t="n">
        <f aca="false">-Inputs!$E$43*(1+Inputs!$E$38)^(G$5-1)*1</f>
        <v>-5500</v>
      </c>
      <c r="H51" s="53" t="n">
        <f aca="false">-Inputs!$E$43*(1+Inputs!$E$38)^(H$5-1)*1</f>
        <v>-5500</v>
      </c>
      <c r="I51" s="53" t="n">
        <f aca="false">-Inputs!$E$43*(1+Inputs!$E$38)^(I$5-1)*1</f>
        <v>-5500</v>
      </c>
      <c r="J51" s="53" t="n">
        <f aca="false">-Inputs!$E$43*(1+Inputs!$E$38)^(J$5-1)*1</f>
        <v>-5500</v>
      </c>
      <c r="K51" s="53" t="n">
        <f aca="false">-Inputs!$E$43*(1+Inputs!$E$38)^(K$5-1)*1</f>
        <v>-5500</v>
      </c>
      <c r="L51" s="53" t="n">
        <f aca="false">-Inputs!$E$43*(1+Inputs!$E$38)^(L$5-1)*1</f>
        <v>-5500</v>
      </c>
      <c r="M51" s="53" t="n">
        <f aca="false">-Inputs!$E$43*(1+Inputs!$E$38)^(M$5-1)*1</f>
        <v>-5500</v>
      </c>
      <c r="N51" s="53" t="n">
        <f aca="false">-Inputs!$E$43*(1+Inputs!$E$38)^(N$5-1)*1</f>
        <v>-5500</v>
      </c>
      <c r="O51" s="53" t="n">
        <f aca="false">-Inputs!$E$43*(1+Inputs!$E$38)^(O$5-1)*1</f>
        <v>-5665</v>
      </c>
      <c r="P51" s="53" t="n">
        <f aca="false">-Inputs!$E$43*(1+Inputs!$E$38)^(P$5-1)*1</f>
        <v>-5665</v>
      </c>
      <c r="Q51" s="53" t="n">
        <f aca="false">-Inputs!$E$43*(1+Inputs!$E$38)^(Q$5-1)*1</f>
        <v>-5665</v>
      </c>
      <c r="R51" s="53" t="n">
        <f aca="false">-Inputs!$E$43*(1+Inputs!$E$38)^(R$5-1)*1</f>
        <v>-5665</v>
      </c>
      <c r="S51" s="53" t="n">
        <f aca="false">-Inputs!$E$43*(1+Inputs!$E$38)^(S$5-1)*1</f>
        <v>-5665</v>
      </c>
      <c r="T51" s="53" t="n">
        <f aca="false">-Inputs!$E$43*(1+Inputs!$E$38)^(T$5-1)*1</f>
        <v>-5665</v>
      </c>
      <c r="U51" s="53" t="n">
        <f aca="false">-Inputs!$E$43*(1+Inputs!$E$38)^(U$5-1)*1</f>
        <v>-5665</v>
      </c>
      <c r="V51" s="53" t="n">
        <f aca="false">-Inputs!$E$43*(1+Inputs!$E$38)^(V$5-1)*1</f>
        <v>-5665</v>
      </c>
      <c r="W51" s="53" t="n">
        <f aca="false">-Inputs!$E$43*(1+Inputs!$E$38)^(W$5-1)*1</f>
        <v>-5665</v>
      </c>
      <c r="X51" s="53" t="n">
        <f aca="false">-Inputs!$E$43*(1+Inputs!$E$38)^(X$5-1)*1</f>
        <v>-5665</v>
      </c>
      <c r="Y51" s="53" t="n">
        <f aca="false">-Inputs!$E$43*(1+Inputs!$E$38)^(Y$5-1)*1</f>
        <v>-5665</v>
      </c>
      <c r="Z51" s="53" t="n">
        <f aca="false">-Inputs!$E$43*(1+Inputs!$E$38)^(Z$5-1)*1</f>
        <v>-5665</v>
      </c>
      <c r="AA51" s="53" t="n">
        <f aca="false">-Inputs!$E$43*(1+Inputs!$E$38)^(AA$5-1)*1</f>
        <v>-5834.95</v>
      </c>
      <c r="AB51" s="53" t="n">
        <f aca="false">-Inputs!$E$43*(1+Inputs!$E$38)^(AB$5-1)*1</f>
        <v>-5834.95</v>
      </c>
      <c r="AC51" s="53" t="n">
        <f aca="false">-Inputs!$E$43*(1+Inputs!$E$38)^(AC$5-1)*1</f>
        <v>-5834.95</v>
      </c>
      <c r="AD51" s="53" t="n">
        <f aca="false">-Inputs!$E$43*(1+Inputs!$E$38)^(AD$5-1)*1</f>
        <v>-5834.95</v>
      </c>
      <c r="AE51" s="53" t="n">
        <f aca="false">-Inputs!$E$43*(1+Inputs!$E$38)^(AE$5-1)*1</f>
        <v>-5834.95</v>
      </c>
      <c r="AF51" s="53" t="n">
        <f aca="false">-Inputs!$E$43*(1+Inputs!$E$38)^(AF$5-1)*1</f>
        <v>-5834.95</v>
      </c>
      <c r="AG51" s="53" t="n">
        <f aca="false">-Inputs!$E$43*(1+Inputs!$E$38)^(AG$5-1)*1</f>
        <v>-5834.95</v>
      </c>
      <c r="AH51" s="53" t="n">
        <f aca="false">-Inputs!$E$43*(1+Inputs!$E$38)^(AH$5-1)*1</f>
        <v>-5834.95</v>
      </c>
      <c r="AI51" s="53" t="n">
        <f aca="false">-Inputs!$E$43*(1+Inputs!$E$38)^(AI$5-1)*1</f>
        <v>-5834.95</v>
      </c>
      <c r="AJ51" s="53" t="n">
        <f aca="false">-Inputs!$E$43*(1+Inputs!$E$38)^(AJ$5-1)*1</f>
        <v>-5834.95</v>
      </c>
      <c r="AK51" s="53" t="n">
        <f aca="false">-Inputs!$E$43*(1+Inputs!$E$38)^(AK$5-1)*1</f>
        <v>-5834.95</v>
      </c>
      <c r="AL51" s="53" t="n">
        <f aca="false">-Inputs!$E$43*(1+Inputs!$E$38)^(AL$5-1)*1</f>
        <v>-5834.95</v>
      </c>
      <c r="AM51" s="53" t="n">
        <f aca="false">-Inputs!$E$43*(1+Inputs!$E$38)^(AM$5-1)*1</f>
        <v>-6009.9985</v>
      </c>
      <c r="AN51" s="53" t="n">
        <f aca="false">-Inputs!$E$43*(1+Inputs!$E$38)^(AN$5-1)*1</f>
        <v>-6009.9985</v>
      </c>
      <c r="AO51" s="53" t="n">
        <f aca="false">-Inputs!$E$43*(1+Inputs!$E$38)^(AO$5-1)*1</f>
        <v>-6009.9985</v>
      </c>
      <c r="AP51" s="53" t="n">
        <f aca="false">-Inputs!$E$43*(1+Inputs!$E$38)^(AP$5-1)*1</f>
        <v>-6009.9985</v>
      </c>
      <c r="AQ51" s="53" t="n">
        <f aca="false">-Inputs!$E$43*(1+Inputs!$E$38)^(AQ$5-1)*1</f>
        <v>-6009.9985</v>
      </c>
      <c r="AR51" s="53" t="n">
        <f aca="false">-Inputs!$E$43*(1+Inputs!$E$38)^(AR$5-1)*1</f>
        <v>-6009.9985</v>
      </c>
      <c r="AS51" s="53" t="n">
        <f aca="false">-Inputs!$E$43*(1+Inputs!$E$38)^(AS$5-1)*1</f>
        <v>-6009.9985</v>
      </c>
      <c r="AT51" s="53" t="n">
        <f aca="false">-Inputs!$E$43*(1+Inputs!$E$38)^(AT$5-1)*1</f>
        <v>-6009.9985</v>
      </c>
      <c r="AU51" s="53" t="n">
        <f aca="false">-Inputs!$E$43*(1+Inputs!$E$38)^(AU$5-1)*1</f>
        <v>-6009.9985</v>
      </c>
      <c r="AV51" s="53" t="n">
        <f aca="false">-Inputs!$E$43*(1+Inputs!$E$38)^(AV$5-1)*1</f>
        <v>-6009.9985</v>
      </c>
      <c r="AW51" s="53" t="n">
        <f aca="false">-Inputs!$E$43*(1+Inputs!$E$38)^(AW$5-1)*1</f>
        <v>-6009.9985</v>
      </c>
      <c r="AX51" s="53" t="n">
        <f aca="false">-Inputs!$E$43*(1+Inputs!$E$38)^(AX$5-1)*1</f>
        <v>-6009.9985</v>
      </c>
      <c r="AY51" s="53" t="n">
        <f aca="false">-Inputs!$E$43*(1+Inputs!$E$38)^(AY$5-1)*1</f>
        <v>-6190.298455</v>
      </c>
      <c r="AZ51" s="53" t="n">
        <f aca="false">-Inputs!$E$43*(1+Inputs!$E$38)^(AZ$5-1)*1</f>
        <v>-6190.298455</v>
      </c>
      <c r="BA51" s="53" t="n">
        <f aca="false">-Inputs!$E$43*(1+Inputs!$E$38)^(BA$5-1)*1</f>
        <v>-6190.298455</v>
      </c>
      <c r="BB51" s="53" t="n">
        <f aca="false">-Inputs!$E$43*(1+Inputs!$E$38)^(BB$5-1)*1</f>
        <v>-6190.298455</v>
      </c>
      <c r="BC51" s="53" t="n">
        <f aca="false">-Inputs!$E$43*(1+Inputs!$E$38)^(BC$5-1)*1</f>
        <v>-6190.298455</v>
      </c>
      <c r="BD51" s="53" t="n">
        <f aca="false">-Inputs!$E$43*(1+Inputs!$E$38)^(BD$5-1)*1</f>
        <v>-6190.298455</v>
      </c>
      <c r="BE51" s="53" t="n">
        <f aca="false">-Inputs!$E$43*(1+Inputs!$E$38)^(BE$5-1)*1</f>
        <v>-6190.298455</v>
      </c>
      <c r="BF51" s="53" t="n">
        <f aca="false">-Inputs!$E$43*(1+Inputs!$E$38)^(BF$5-1)*1</f>
        <v>-6190.298455</v>
      </c>
      <c r="BG51" s="53" t="n">
        <f aca="false">-Inputs!$E$43*(1+Inputs!$E$38)^(BG$5-1)*1</f>
        <v>-6190.298455</v>
      </c>
      <c r="BH51" s="53" t="n">
        <f aca="false">-Inputs!$E$43*(1+Inputs!$E$38)^(BH$5-1)*1</f>
        <v>-6190.298455</v>
      </c>
      <c r="BI51" s="53" t="n">
        <f aca="false">-Inputs!$E$43*(1+Inputs!$E$38)^(BI$5-1)*1</f>
        <v>-6190.298455</v>
      </c>
      <c r="BJ51" s="53" t="n">
        <f aca="false">-Inputs!$E$43*(1+Inputs!$E$38)^(BJ$5-1)*1</f>
        <v>-6190.298455</v>
      </c>
    </row>
    <row r="52" customFormat="false" ht="15" hidden="false" customHeight="false" outlineLevel="0" collapsed="false">
      <c r="A52" s="6" t="s">
        <v>315</v>
      </c>
      <c r="C52" s="53" t="n">
        <f aca="false">-Inputs!$E$44*(1+Inputs!$E$38)^(C$5-1)*1</f>
        <v>-9500</v>
      </c>
      <c r="D52" s="53" t="n">
        <f aca="false">-Inputs!$E$44*(1+Inputs!$E$38)^(D$5-1)*1</f>
        <v>-9500</v>
      </c>
      <c r="E52" s="53" t="n">
        <f aca="false">-Inputs!$E$44*(1+Inputs!$E$38)^(E$5-1)*1</f>
        <v>-9500</v>
      </c>
      <c r="F52" s="53" t="n">
        <f aca="false">-Inputs!$E$44*(1+Inputs!$E$38)^(F$5-1)*1</f>
        <v>-9500</v>
      </c>
      <c r="G52" s="53" t="n">
        <f aca="false">-Inputs!$E$44*(1+Inputs!$E$38)^(G$5-1)*1</f>
        <v>-9500</v>
      </c>
      <c r="H52" s="53" t="n">
        <f aca="false">-Inputs!$E$44*(1+Inputs!$E$38)^(H$5-1)*1</f>
        <v>-9500</v>
      </c>
      <c r="I52" s="53" t="n">
        <f aca="false">-Inputs!$E$44*(1+Inputs!$E$38)^(I$5-1)*1</f>
        <v>-9500</v>
      </c>
      <c r="J52" s="53" t="n">
        <f aca="false">-Inputs!$E$44*(1+Inputs!$E$38)^(J$5-1)*1</f>
        <v>-9500</v>
      </c>
      <c r="K52" s="53" t="n">
        <f aca="false">-Inputs!$E$44*(1+Inputs!$E$38)^(K$5-1)*1</f>
        <v>-9500</v>
      </c>
      <c r="L52" s="53" t="n">
        <f aca="false">-Inputs!$E$44*(1+Inputs!$E$38)^(L$5-1)*1</f>
        <v>-9500</v>
      </c>
      <c r="M52" s="53" t="n">
        <f aca="false">-Inputs!$E$44*(1+Inputs!$E$38)^(M$5-1)*1</f>
        <v>-9500</v>
      </c>
      <c r="N52" s="53" t="n">
        <f aca="false">-Inputs!$E$44*(1+Inputs!$E$38)^(N$5-1)*1</f>
        <v>-9500</v>
      </c>
      <c r="O52" s="53" t="n">
        <f aca="false">-Inputs!$E$44*(1+Inputs!$E$38)^(O$5-1)*1</f>
        <v>-9785</v>
      </c>
      <c r="P52" s="53" t="n">
        <f aca="false">-Inputs!$E$44*(1+Inputs!$E$38)^(P$5-1)*1</f>
        <v>-9785</v>
      </c>
      <c r="Q52" s="53" t="n">
        <f aca="false">-Inputs!$E$44*(1+Inputs!$E$38)^(Q$5-1)*1</f>
        <v>-9785</v>
      </c>
      <c r="R52" s="53" t="n">
        <f aca="false">-Inputs!$E$44*(1+Inputs!$E$38)^(R$5-1)*1</f>
        <v>-9785</v>
      </c>
      <c r="S52" s="53" t="n">
        <f aca="false">-Inputs!$E$44*(1+Inputs!$E$38)^(S$5-1)*1</f>
        <v>-9785</v>
      </c>
      <c r="T52" s="53" t="n">
        <f aca="false">-Inputs!$E$44*(1+Inputs!$E$38)^(T$5-1)*1</f>
        <v>-9785</v>
      </c>
      <c r="U52" s="53" t="n">
        <f aca="false">-Inputs!$E$44*(1+Inputs!$E$38)^(U$5-1)*1</f>
        <v>-9785</v>
      </c>
      <c r="V52" s="53" t="n">
        <f aca="false">-Inputs!$E$44*(1+Inputs!$E$38)^(V$5-1)*1</f>
        <v>-9785</v>
      </c>
      <c r="W52" s="53" t="n">
        <f aca="false">-Inputs!$E$44*(1+Inputs!$E$38)^(W$5-1)*1</f>
        <v>-9785</v>
      </c>
      <c r="X52" s="53" t="n">
        <f aca="false">-Inputs!$E$44*(1+Inputs!$E$38)^(X$5-1)*1</f>
        <v>-9785</v>
      </c>
      <c r="Y52" s="53" t="n">
        <f aca="false">-Inputs!$E$44*(1+Inputs!$E$38)^(Y$5-1)*1</f>
        <v>-9785</v>
      </c>
      <c r="Z52" s="53" t="n">
        <f aca="false">-Inputs!$E$44*(1+Inputs!$E$38)^(Z$5-1)*1</f>
        <v>-9785</v>
      </c>
      <c r="AA52" s="53" t="n">
        <f aca="false">-Inputs!$E$44*(1+Inputs!$E$38)^(AA$5-1)*1</f>
        <v>-10078.55</v>
      </c>
      <c r="AB52" s="53" t="n">
        <f aca="false">-Inputs!$E$44*(1+Inputs!$E$38)^(AB$5-1)*1</f>
        <v>-10078.55</v>
      </c>
      <c r="AC52" s="53" t="n">
        <f aca="false">-Inputs!$E$44*(1+Inputs!$E$38)^(AC$5-1)*1</f>
        <v>-10078.55</v>
      </c>
      <c r="AD52" s="53" t="n">
        <f aca="false">-Inputs!$E$44*(1+Inputs!$E$38)^(AD$5-1)*1</f>
        <v>-10078.55</v>
      </c>
      <c r="AE52" s="53" t="n">
        <f aca="false">-Inputs!$E$44*(1+Inputs!$E$38)^(AE$5-1)*1</f>
        <v>-10078.55</v>
      </c>
      <c r="AF52" s="53" t="n">
        <f aca="false">-Inputs!$E$44*(1+Inputs!$E$38)^(AF$5-1)*1</f>
        <v>-10078.55</v>
      </c>
      <c r="AG52" s="53" t="n">
        <f aca="false">-Inputs!$E$44*(1+Inputs!$E$38)^(AG$5-1)*1</f>
        <v>-10078.55</v>
      </c>
      <c r="AH52" s="53" t="n">
        <f aca="false">-Inputs!$E$44*(1+Inputs!$E$38)^(AH$5-1)*1</f>
        <v>-10078.55</v>
      </c>
      <c r="AI52" s="53" t="n">
        <f aca="false">-Inputs!$E$44*(1+Inputs!$E$38)^(AI$5-1)*1</f>
        <v>-10078.55</v>
      </c>
      <c r="AJ52" s="53" t="n">
        <f aca="false">-Inputs!$E$44*(1+Inputs!$E$38)^(AJ$5-1)*1</f>
        <v>-10078.55</v>
      </c>
      <c r="AK52" s="53" t="n">
        <f aca="false">-Inputs!$E$44*(1+Inputs!$E$38)^(AK$5-1)*1</f>
        <v>-10078.55</v>
      </c>
      <c r="AL52" s="53" t="n">
        <f aca="false">-Inputs!$E$44*(1+Inputs!$E$38)^(AL$5-1)*1</f>
        <v>-10078.55</v>
      </c>
      <c r="AM52" s="53" t="n">
        <f aca="false">-Inputs!$E$44*(1+Inputs!$E$38)^(AM$5-1)*1</f>
        <v>-10380.9065</v>
      </c>
      <c r="AN52" s="53" t="n">
        <f aca="false">-Inputs!$E$44*(1+Inputs!$E$38)^(AN$5-1)*1</f>
        <v>-10380.9065</v>
      </c>
      <c r="AO52" s="53" t="n">
        <f aca="false">-Inputs!$E$44*(1+Inputs!$E$38)^(AO$5-1)*1</f>
        <v>-10380.9065</v>
      </c>
      <c r="AP52" s="53" t="n">
        <f aca="false">-Inputs!$E$44*(1+Inputs!$E$38)^(AP$5-1)*1</f>
        <v>-10380.9065</v>
      </c>
      <c r="AQ52" s="53" t="n">
        <f aca="false">-Inputs!$E$44*(1+Inputs!$E$38)^(AQ$5-1)*1</f>
        <v>-10380.9065</v>
      </c>
      <c r="AR52" s="53" t="n">
        <f aca="false">-Inputs!$E$44*(1+Inputs!$E$38)^(AR$5-1)*1</f>
        <v>-10380.9065</v>
      </c>
      <c r="AS52" s="53" t="n">
        <f aca="false">-Inputs!$E$44*(1+Inputs!$E$38)^(AS$5-1)*1</f>
        <v>-10380.9065</v>
      </c>
      <c r="AT52" s="53" t="n">
        <f aca="false">-Inputs!$E$44*(1+Inputs!$E$38)^(AT$5-1)*1</f>
        <v>-10380.9065</v>
      </c>
      <c r="AU52" s="53" t="n">
        <f aca="false">-Inputs!$E$44*(1+Inputs!$E$38)^(AU$5-1)*1</f>
        <v>-10380.9065</v>
      </c>
      <c r="AV52" s="53" t="n">
        <f aca="false">-Inputs!$E$44*(1+Inputs!$E$38)^(AV$5-1)*1</f>
        <v>-10380.9065</v>
      </c>
      <c r="AW52" s="53" t="n">
        <f aca="false">-Inputs!$E$44*(1+Inputs!$E$38)^(AW$5-1)*1</f>
        <v>-10380.9065</v>
      </c>
      <c r="AX52" s="53" t="n">
        <f aca="false">-Inputs!$E$44*(1+Inputs!$E$38)^(AX$5-1)*1</f>
        <v>-10380.9065</v>
      </c>
      <c r="AY52" s="53" t="n">
        <f aca="false">-Inputs!$E$44*(1+Inputs!$E$38)^(AY$5-1)*1</f>
        <v>-10692.333695</v>
      </c>
      <c r="AZ52" s="53" t="n">
        <f aca="false">-Inputs!$E$44*(1+Inputs!$E$38)^(AZ$5-1)*1</f>
        <v>-10692.333695</v>
      </c>
      <c r="BA52" s="53" t="n">
        <f aca="false">-Inputs!$E$44*(1+Inputs!$E$38)^(BA$5-1)*1</f>
        <v>-10692.333695</v>
      </c>
      <c r="BB52" s="53" t="n">
        <f aca="false">-Inputs!$E$44*(1+Inputs!$E$38)^(BB$5-1)*1</f>
        <v>-10692.333695</v>
      </c>
      <c r="BC52" s="53" t="n">
        <f aca="false">-Inputs!$E$44*(1+Inputs!$E$38)^(BC$5-1)*1</f>
        <v>-10692.333695</v>
      </c>
      <c r="BD52" s="53" t="n">
        <f aca="false">-Inputs!$E$44*(1+Inputs!$E$38)^(BD$5-1)*1</f>
        <v>-10692.333695</v>
      </c>
      <c r="BE52" s="53" t="n">
        <f aca="false">-Inputs!$E$44*(1+Inputs!$E$38)^(BE$5-1)*1</f>
        <v>-10692.333695</v>
      </c>
      <c r="BF52" s="53" t="n">
        <f aca="false">-Inputs!$E$44*(1+Inputs!$E$38)^(BF$5-1)*1</f>
        <v>-10692.333695</v>
      </c>
      <c r="BG52" s="53" t="n">
        <f aca="false">-Inputs!$E$44*(1+Inputs!$E$38)^(BG$5-1)*1</f>
        <v>-10692.333695</v>
      </c>
      <c r="BH52" s="53" t="n">
        <f aca="false">-Inputs!$E$44*(1+Inputs!$E$38)^(BH$5-1)*1</f>
        <v>-10692.333695</v>
      </c>
      <c r="BI52" s="53" t="n">
        <f aca="false">-Inputs!$E$44*(1+Inputs!$E$38)^(BI$5-1)*1</f>
        <v>-10692.333695</v>
      </c>
      <c r="BJ52" s="53" t="n">
        <f aca="false">-Inputs!$E$44*(1+Inputs!$E$38)^(BJ$5-1)*1</f>
        <v>-10692.333695</v>
      </c>
    </row>
    <row r="53" customFormat="false" ht="15" hidden="false" customHeight="false" outlineLevel="0" collapsed="false">
      <c r="A53" s="6" t="s">
        <v>316</v>
      </c>
      <c r="C53" s="53" t="n">
        <f aca="false">-Inputs!$E$45*(1+Inputs!$E$46)^(C$5-1)*1</f>
        <v>-12000</v>
      </c>
      <c r="D53" s="53" t="n">
        <f aca="false">-Inputs!$E$45*(1+Inputs!$E$46)^(D$5-1)*1</f>
        <v>-12000</v>
      </c>
      <c r="E53" s="53" t="n">
        <f aca="false">-Inputs!$E$45*(1+Inputs!$E$46)^(E$5-1)*1</f>
        <v>-12000</v>
      </c>
      <c r="F53" s="53" t="n">
        <f aca="false">-Inputs!$E$45*(1+Inputs!$E$46)^(F$5-1)*1</f>
        <v>-12000</v>
      </c>
      <c r="G53" s="53" t="n">
        <f aca="false">-Inputs!$E$45*(1+Inputs!$E$46)^(G$5-1)*1</f>
        <v>-12000</v>
      </c>
      <c r="H53" s="53" t="n">
        <f aca="false">-Inputs!$E$45*(1+Inputs!$E$46)^(H$5-1)*1</f>
        <v>-12000</v>
      </c>
      <c r="I53" s="53" t="n">
        <f aca="false">-Inputs!$E$45*(1+Inputs!$E$46)^(I$5-1)*1</f>
        <v>-12000</v>
      </c>
      <c r="J53" s="53" t="n">
        <f aca="false">-Inputs!$E$45*(1+Inputs!$E$46)^(J$5-1)*1</f>
        <v>-12000</v>
      </c>
      <c r="K53" s="53" t="n">
        <f aca="false">-Inputs!$E$45*(1+Inputs!$E$46)^(K$5-1)*1</f>
        <v>-12000</v>
      </c>
      <c r="L53" s="53" t="n">
        <f aca="false">-Inputs!$E$45*(1+Inputs!$E$46)^(L$5-1)*1</f>
        <v>-12000</v>
      </c>
      <c r="M53" s="53" t="n">
        <f aca="false">-Inputs!$E$45*(1+Inputs!$E$46)^(M$5-1)*1</f>
        <v>-12000</v>
      </c>
      <c r="N53" s="53" t="n">
        <f aca="false">-Inputs!$E$45*(1+Inputs!$E$46)^(N$5-1)*1</f>
        <v>-12000</v>
      </c>
      <c r="O53" s="53" t="n">
        <f aca="false">-Inputs!$E$45*(1+Inputs!$E$46)^(O$5-1)*1</f>
        <v>-9600</v>
      </c>
      <c r="P53" s="53" t="n">
        <f aca="false">-Inputs!$E$45*(1+Inputs!$E$46)^(P$5-1)*1</f>
        <v>-9600</v>
      </c>
      <c r="Q53" s="53" t="n">
        <f aca="false">-Inputs!$E$45*(1+Inputs!$E$46)^(Q$5-1)*1</f>
        <v>-9600</v>
      </c>
      <c r="R53" s="53" t="n">
        <f aca="false">-Inputs!$E$45*(1+Inputs!$E$46)^(R$5-1)*1</f>
        <v>-9600</v>
      </c>
      <c r="S53" s="53" t="n">
        <f aca="false">-Inputs!$E$45*(1+Inputs!$E$46)^(S$5-1)*1</f>
        <v>-9600</v>
      </c>
      <c r="T53" s="53" t="n">
        <f aca="false">-Inputs!$E$45*(1+Inputs!$E$46)^(T$5-1)*1</f>
        <v>-9600</v>
      </c>
      <c r="U53" s="53" t="n">
        <f aca="false">-Inputs!$E$45*(1+Inputs!$E$46)^(U$5-1)*1</f>
        <v>-9600</v>
      </c>
      <c r="V53" s="53" t="n">
        <f aca="false">-Inputs!$E$45*(1+Inputs!$E$46)^(V$5-1)*1</f>
        <v>-9600</v>
      </c>
      <c r="W53" s="53" t="n">
        <f aca="false">-Inputs!$E$45*(1+Inputs!$E$46)^(W$5-1)*1</f>
        <v>-9600</v>
      </c>
      <c r="X53" s="53" t="n">
        <f aca="false">-Inputs!$E$45*(1+Inputs!$E$46)^(X$5-1)*1</f>
        <v>-9600</v>
      </c>
      <c r="Y53" s="53" t="n">
        <f aca="false">-Inputs!$E$45*(1+Inputs!$E$46)^(Y$5-1)*1</f>
        <v>-9600</v>
      </c>
      <c r="Z53" s="53" t="n">
        <f aca="false">-Inputs!$E$45*(1+Inputs!$E$46)^(Z$5-1)*1</f>
        <v>-9600</v>
      </c>
      <c r="AA53" s="53" t="n">
        <f aca="false">-Inputs!$E$45*(1+Inputs!$E$46)^(AA$5-1)*1</f>
        <v>-7680</v>
      </c>
      <c r="AB53" s="53" t="n">
        <f aca="false">-Inputs!$E$45*(1+Inputs!$E$46)^(AB$5-1)*1</f>
        <v>-7680</v>
      </c>
      <c r="AC53" s="53" t="n">
        <f aca="false">-Inputs!$E$45*(1+Inputs!$E$46)^(AC$5-1)*1</f>
        <v>-7680</v>
      </c>
      <c r="AD53" s="53" t="n">
        <f aca="false">-Inputs!$E$45*(1+Inputs!$E$46)^(AD$5-1)*1</f>
        <v>-7680</v>
      </c>
      <c r="AE53" s="53" t="n">
        <f aca="false">-Inputs!$E$45*(1+Inputs!$E$46)^(AE$5-1)*1</f>
        <v>-7680</v>
      </c>
      <c r="AF53" s="53" t="n">
        <f aca="false">-Inputs!$E$45*(1+Inputs!$E$46)^(AF$5-1)*1</f>
        <v>-7680</v>
      </c>
      <c r="AG53" s="53" t="n">
        <f aca="false">-Inputs!$E$45*(1+Inputs!$E$46)^(AG$5-1)*1</f>
        <v>-7680</v>
      </c>
      <c r="AH53" s="53" t="n">
        <f aca="false">-Inputs!$E$45*(1+Inputs!$E$46)^(AH$5-1)*1</f>
        <v>-7680</v>
      </c>
      <c r="AI53" s="53" t="n">
        <f aca="false">-Inputs!$E$45*(1+Inputs!$E$46)^(AI$5-1)*1</f>
        <v>-7680</v>
      </c>
      <c r="AJ53" s="53" t="n">
        <f aca="false">-Inputs!$E$45*(1+Inputs!$E$46)^(AJ$5-1)*1</f>
        <v>-7680</v>
      </c>
      <c r="AK53" s="53" t="n">
        <f aca="false">-Inputs!$E$45*(1+Inputs!$E$46)^(AK$5-1)*1</f>
        <v>-7680</v>
      </c>
      <c r="AL53" s="53" t="n">
        <f aca="false">-Inputs!$E$45*(1+Inputs!$E$46)^(AL$5-1)*1</f>
        <v>-7680</v>
      </c>
      <c r="AM53" s="53" t="n">
        <f aca="false">-Inputs!$E$45*(1+Inputs!$E$46)^(AM$5-1)*1</f>
        <v>-6144</v>
      </c>
      <c r="AN53" s="53" t="n">
        <f aca="false">-Inputs!$E$45*(1+Inputs!$E$46)^(AN$5-1)*1</f>
        <v>-6144</v>
      </c>
      <c r="AO53" s="53" t="n">
        <f aca="false">-Inputs!$E$45*(1+Inputs!$E$46)^(AO$5-1)*1</f>
        <v>-6144</v>
      </c>
      <c r="AP53" s="53" t="n">
        <f aca="false">-Inputs!$E$45*(1+Inputs!$E$46)^(AP$5-1)*1</f>
        <v>-6144</v>
      </c>
      <c r="AQ53" s="53" t="n">
        <f aca="false">-Inputs!$E$45*(1+Inputs!$E$46)^(AQ$5-1)*1</f>
        <v>-6144</v>
      </c>
      <c r="AR53" s="53" t="n">
        <f aca="false">-Inputs!$E$45*(1+Inputs!$E$46)^(AR$5-1)*1</f>
        <v>-6144</v>
      </c>
      <c r="AS53" s="53" t="n">
        <f aca="false">-Inputs!$E$45*(1+Inputs!$E$46)^(AS$5-1)*1</f>
        <v>-6144</v>
      </c>
      <c r="AT53" s="53" t="n">
        <f aca="false">-Inputs!$E$45*(1+Inputs!$E$46)^(AT$5-1)*1</f>
        <v>-6144</v>
      </c>
      <c r="AU53" s="53" t="n">
        <f aca="false">-Inputs!$E$45*(1+Inputs!$E$46)^(AU$5-1)*1</f>
        <v>-6144</v>
      </c>
      <c r="AV53" s="53" t="n">
        <f aca="false">-Inputs!$E$45*(1+Inputs!$E$46)^(AV$5-1)*1</f>
        <v>-6144</v>
      </c>
      <c r="AW53" s="53" t="n">
        <f aca="false">-Inputs!$E$45*(1+Inputs!$E$46)^(AW$5-1)*1</f>
        <v>-6144</v>
      </c>
      <c r="AX53" s="53" t="n">
        <f aca="false">-Inputs!$E$45*(1+Inputs!$E$46)^(AX$5-1)*1</f>
        <v>-6144</v>
      </c>
      <c r="AY53" s="53" t="n">
        <f aca="false">-Inputs!$E$45*(1+Inputs!$E$46)^(AY$5-1)*1</f>
        <v>-4915.2</v>
      </c>
      <c r="AZ53" s="53" t="n">
        <f aca="false">-Inputs!$E$45*(1+Inputs!$E$46)^(AZ$5-1)*1</f>
        <v>-4915.2</v>
      </c>
      <c r="BA53" s="53" t="n">
        <f aca="false">-Inputs!$E$45*(1+Inputs!$E$46)^(BA$5-1)*1</f>
        <v>-4915.2</v>
      </c>
      <c r="BB53" s="53" t="n">
        <f aca="false">-Inputs!$E$45*(1+Inputs!$E$46)^(BB$5-1)*1</f>
        <v>-4915.2</v>
      </c>
      <c r="BC53" s="53" t="n">
        <f aca="false">-Inputs!$E$45*(1+Inputs!$E$46)^(BC$5-1)*1</f>
        <v>-4915.2</v>
      </c>
      <c r="BD53" s="53" t="n">
        <f aca="false">-Inputs!$E$45*(1+Inputs!$E$46)^(BD$5-1)*1</f>
        <v>-4915.2</v>
      </c>
      <c r="BE53" s="53" t="n">
        <f aca="false">-Inputs!$E$45*(1+Inputs!$E$46)^(BE$5-1)*1</f>
        <v>-4915.2</v>
      </c>
      <c r="BF53" s="53" t="n">
        <f aca="false">-Inputs!$E$45*(1+Inputs!$E$46)^(BF$5-1)*1</f>
        <v>-4915.2</v>
      </c>
      <c r="BG53" s="53" t="n">
        <f aca="false">-Inputs!$E$45*(1+Inputs!$E$46)^(BG$5-1)*1</f>
        <v>-4915.2</v>
      </c>
      <c r="BH53" s="53" t="n">
        <f aca="false">-Inputs!$E$45*(1+Inputs!$E$46)^(BH$5-1)*1</f>
        <v>-4915.2</v>
      </c>
      <c r="BI53" s="53" t="n">
        <f aca="false">-Inputs!$E$45*(1+Inputs!$E$46)^(BI$5-1)*1</f>
        <v>-4915.2</v>
      </c>
      <c r="BJ53" s="53" t="n">
        <f aca="false">-Inputs!$E$45*(1+Inputs!$E$46)^(BJ$5-1)*1</f>
        <v>-4915.2</v>
      </c>
    </row>
    <row r="54" customFormat="false" ht="15" hidden="false" customHeight="false" outlineLevel="0" collapsed="false">
      <c r="A54" s="99" t="s">
        <v>75</v>
      </c>
      <c r="C54" s="54" t="n">
        <f aca="false">C49+C50+C51+C52+C53</f>
        <v>-93586.6666666667</v>
      </c>
      <c r="D54" s="54" t="n">
        <f aca="false">D49+D50+D51+D52+D53</f>
        <v>-93586.6666666667</v>
      </c>
      <c r="E54" s="54" t="n">
        <f aca="false">E49+E50+E51+E52+E53</f>
        <v>-93586.6666666667</v>
      </c>
      <c r="F54" s="54" t="n">
        <f aca="false">F49+F50+F51+F52+F53</f>
        <v>-93586.6666666667</v>
      </c>
      <c r="G54" s="54" t="n">
        <f aca="false">G49+G50+G51+G52+G53</f>
        <v>-93586.6666666667</v>
      </c>
      <c r="H54" s="54" t="n">
        <f aca="false">H49+H50+H51+H52+H53</f>
        <v>-93586.6666666667</v>
      </c>
      <c r="I54" s="54" t="n">
        <f aca="false">I49+I50+I51+I52+I53</f>
        <v>-93586.6666666667</v>
      </c>
      <c r="J54" s="54" t="n">
        <f aca="false">J49+J50+J51+J52+J53</f>
        <v>-93586.6666666667</v>
      </c>
      <c r="K54" s="54" t="n">
        <f aca="false">K49+K50+K51+K52+K53</f>
        <v>-93586.6666666667</v>
      </c>
      <c r="L54" s="54" t="n">
        <f aca="false">L49+L50+L51+L52+L53</f>
        <v>-93586.6666666667</v>
      </c>
      <c r="M54" s="54" t="n">
        <f aca="false">M49+M50+M51+M52+M53</f>
        <v>-93586.6666666667</v>
      </c>
      <c r="N54" s="54" t="n">
        <f aca="false">N49+N50+N51+N52+N53</f>
        <v>-93586.6666666667</v>
      </c>
      <c r="O54" s="54" t="n">
        <f aca="false">O49+O50+O51+O52+O53</f>
        <v>-93634.2666666667</v>
      </c>
      <c r="P54" s="54" t="n">
        <f aca="false">P49+P50+P51+P52+P53</f>
        <v>-93634.2666666667</v>
      </c>
      <c r="Q54" s="54" t="n">
        <f aca="false">Q49+Q50+Q51+Q52+Q53</f>
        <v>-93634.2666666667</v>
      </c>
      <c r="R54" s="54" t="n">
        <f aca="false">R49+R50+R51+R52+R53</f>
        <v>-93634.2666666667</v>
      </c>
      <c r="S54" s="54" t="n">
        <f aca="false">S49+S50+S51+S52+S53</f>
        <v>-93634.2666666667</v>
      </c>
      <c r="T54" s="54" t="n">
        <f aca="false">T49+T50+T51+T52+T53</f>
        <v>-93634.2666666667</v>
      </c>
      <c r="U54" s="54" t="n">
        <f aca="false">U49+U50+U51+U52+U53</f>
        <v>-93634.2666666667</v>
      </c>
      <c r="V54" s="54" t="n">
        <f aca="false">V49+V50+V51+V52+V53</f>
        <v>-93634.2666666667</v>
      </c>
      <c r="W54" s="54" t="n">
        <f aca="false">W49+W50+W51+W52+W53</f>
        <v>-93634.2666666667</v>
      </c>
      <c r="X54" s="54" t="n">
        <f aca="false">X49+X50+X51+X52+X53</f>
        <v>-93634.2666666667</v>
      </c>
      <c r="Y54" s="54" t="n">
        <f aca="false">Y49+Y50+Y51+Y52+Y53</f>
        <v>-93634.2666666667</v>
      </c>
      <c r="Z54" s="54" t="n">
        <f aca="false">Z49+Z50+Z51+Z52+Z53</f>
        <v>-93634.2666666667</v>
      </c>
      <c r="AA54" s="54" t="n">
        <f aca="false">AA49+AA50+AA51+AA52+AA53</f>
        <v>-94235.2946666667</v>
      </c>
      <c r="AB54" s="54" t="n">
        <f aca="false">AB49+AB50+AB51+AB52+AB53</f>
        <v>-94235.2946666667</v>
      </c>
      <c r="AC54" s="54" t="n">
        <f aca="false">AC49+AC50+AC51+AC52+AC53</f>
        <v>-94235.2946666667</v>
      </c>
      <c r="AD54" s="54" t="n">
        <f aca="false">AD49+AD50+AD51+AD52+AD53</f>
        <v>-94235.2946666667</v>
      </c>
      <c r="AE54" s="54" t="n">
        <f aca="false">AE49+AE50+AE51+AE52+AE53</f>
        <v>-94235.2946666667</v>
      </c>
      <c r="AF54" s="54" t="n">
        <f aca="false">AF49+AF50+AF51+AF52+AF53</f>
        <v>-94235.2946666667</v>
      </c>
      <c r="AG54" s="54" t="n">
        <f aca="false">AG49+AG50+AG51+AG52+AG53</f>
        <v>-94235.2946666667</v>
      </c>
      <c r="AH54" s="54" t="n">
        <f aca="false">AH49+AH50+AH51+AH52+AH53</f>
        <v>-94235.2946666667</v>
      </c>
      <c r="AI54" s="54" t="n">
        <f aca="false">AI49+AI50+AI51+AI52+AI53</f>
        <v>-94235.2946666667</v>
      </c>
      <c r="AJ54" s="54" t="n">
        <f aca="false">AJ49+AJ50+AJ51+AJ52+AJ53</f>
        <v>-94235.2946666667</v>
      </c>
      <c r="AK54" s="54" t="n">
        <f aca="false">AK49+AK50+AK51+AK52+AK53</f>
        <v>-94235.2946666667</v>
      </c>
      <c r="AL54" s="54" t="n">
        <f aca="false">AL49+AL50+AL51+AL52+AL53</f>
        <v>-94235.2946666667</v>
      </c>
      <c r="AM54" s="54" t="n">
        <f aca="false">AM49+AM50+AM51+AM52+AM53</f>
        <v>-95295.9535066667</v>
      </c>
      <c r="AN54" s="54" t="n">
        <f aca="false">AN49+AN50+AN51+AN52+AN53</f>
        <v>-95295.9535066667</v>
      </c>
      <c r="AO54" s="54" t="n">
        <f aca="false">AO49+AO50+AO51+AO52+AO53</f>
        <v>-95295.9535066667</v>
      </c>
      <c r="AP54" s="54" t="n">
        <f aca="false">AP49+AP50+AP51+AP52+AP53</f>
        <v>-95295.9535066667</v>
      </c>
      <c r="AQ54" s="54" t="n">
        <f aca="false">AQ49+AQ50+AQ51+AQ52+AQ53</f>
        <v>-95295.9535066667</v>
      </c>
      <c r="AR54" s="54" t="n">
        <f aca="false">AR49+AR50+AR51+AR52+AR53</f>
        <v>-95295.9535066667</v>
      </c>
      <c r="AS54" s="54" t="n">
        <f aca="false">AS49+AS50+AS51+AS52+AS53</f>
        <v>-95295.9535066667</v>
      </c>
      <c r="AT54" s="54" t="n">
        <f aca="false">AT49+AT50+AT51+AT52+AT53</f>
        <v>-95295.9535066667</v>
      </c>
      <c r="AU54" s="54" t="n">
        <f aca="false">AU49+AU50+AU51+AU52+AU53</f>
        <v>-95295.9535066667</v>
      </c>
      <c r="AV54" s="54" t="n">
        <f aca="false">AV49+AV50+AV51+AV52+AV53</f>
        <v>-95295.9535066667</v>
      </c>
      <c r="AW54" s="54" t="n">
        <f aca="false">AW49+AW50+AW51+AW52+AW53</f>
        <v>-95295.9535066667</v>
      </c>
      <c r="AX54" s="54" t="n">
        <f aca="false">AX49+AX50+AX51+AX52+AX53</f>
        <v>-95295.9535066667</v>
      </c>
      <c r="AY54" s="54" t="n">
        <f aca="false">AY49+AY50+AY51+AY52+AY53</f>
        <v>-96741.7121118667</v>
      </c>
      <c r="AZ54" s="54" t="n">
        <f aca="false">AZ49+AZ50+AZ51+AZ52+AZ53</f>
        <v>-96741.7121118667</v>
      </c>
      <c r="BA54" s="54" t="n">
        <f aca="false">BA49+BA50+BA51+BA52+BA53</f>
        <v>-96741.7121118667</v>
      </c>
      <c r="BB54" s="54" t="n">
        <f aca="false">BB49+BB50+BB51+BB52+BB53</f>
        <v>-96741.7121118667</v>
      </c>
      <c r="BC54" s="54" t="n">
        <f aca="false">BC49+BC50+BC51+BC52+BC53</f>
        <v>-96741.7121118667</v>
      </c>
      <c r="BD54" s="54" t="n">
        <f aca="false">BD49+BD50+BD51+BD52+BD53</f>
        <v>-96741.7121118667</v>
      </c>
      <c r="BE54" s="54" t="n">
        <f aca="false">BE49+BE50+BE51+BE52+BE53</f>
        <v>-96741.7121118667</v>
      </c>
      <c r="BF54" s="54" t="n">
        <f aca="false">BF49+BF50+BF51+BF52+BF53</f>
        <v>-96741.7121118667</v>
      </c>
      <c r="BG54" s="54" t="n">
        <f aca="false">BG49+BG50+BG51+BG52+BG53</f>
        <v>-96741.7121118667</v>
      </c>
      <c r="BH54" s="54" t="n">
        <f aca="false">BH49+BH50+BH51+BH52+BH53</f>
        <v>-96741.7121118667</v>
      </c>
      <c r="BI54" s="54" t="n">
        <f aca="false">BI49+BI50+BI51+BI52+BI53</f>
        <v>-96741.7121118667</v>
      </c>
      <c r="BJ54" s="54" t="n">
        <f aca="false">BJ49+BJ50+BJ51+BJ52+BJ53</f>
        <v>-96741.7121118667</v>
      </c>
    </row>
    <row r="55" customFormat="false" ht="15" hidden="false" customHeight="false" outlineLevel="0" collapsed="false">
      <c r="A55" s="99" t="s">
        <v>46</v>
      </c>
      <c r="C55" s="54" t="n">
        <f aca="false">C46+C54</f>
        <v>-52715.2544125667</v>
      </c>
      <c r="D55" s="54" t="n">
        <f aca="false">D46+D54</f>
        <v>-47169.179570764</v>
      </c>
      <c r="E55" s="54" t="n">
        <f aca="false">E46+E54</f>
        <v>-31890.1001241627</v>
      </c>
      <c r="F55" s="54" t="n">
        <f aca="false">F46+F54</f>
        <v>-24896.4647094518</v>
      </c>
      <c r="G55" s="54" t="n">
        <f aca="false">G46+G54</f>
        <v>-17775.1087070848</v>
      </c>
      <c r="H55" s="54" t="n">
        <f aca="false">H46+H54</f>
        <v>-10531.1409405681</v>
      </c>
      <c r="I55" s="54" t="n">
        <f aca="false">I46+I54</f>
        <v>-3169.46588046759</v>
      </c>
      <c r="J55" s="54" t="n">
        <f aca="false">J46+J54</f>
        <v>4305.20818147335</v>
      </c>
      <c r="K55" s="54" t="n">
        <f aca="false">K46+K54</f>
        <v>11888.3612851811</v>
      </c>
      <c r="L55" s="54" t="n">
        <f aca="false">L46+L54</f>
        <v>19575.654268985</v>
      </c>
      <c r="M55" s="54" t="n">
        <f aca="false">M46+M54</f>
        <v>21716.7869555589</v>
      </c>
      <c r="N55" s="54" t="n">
        <f aca="false">N46+N54</f>
        <v>7381.49638357262</v>
      </c>
      <c r="O55" s="54" t="n">
        <f aca="false">O46+O54</f>
        <v>11016.249459607</v>
      </c>
      <c r="P55" s="54" t="n">
        <f aca="false">P46+P54</f>
        <v>12786.1725056861</v>
      </c>
      <c r="Q55" s="54" t="n">
        <f aca="false">Q46+Q54</f>
        <v>30960.9642923074</v>
      </c>
      <c r="R55" s="54" t="n">
        <f aca="false">R46+R54</f>
        <v>32838.0186139185</v>
      </c>
      <c r="S55" s="54" t="n">
        <f aca="false">S46+S54</f>
        <v>34639.9907626651</v>
      </c>
      <c r="T55" s="54" t="n">
        <f aca="false">T46+T54</f>
        <v>36369.8840254618</v>
      </c>
      <c r="U55" s="54" t="n">
        <f aca="false">U46+U54</f>
        <v>38030.5815577466</v>
      </c>
      <c r="V55" s="54" t="n">
        <f aca="false">V46+V54</f>
        <v>39624.8511887401</v>
      </c>
      <c r="W55" s="54" t="n">
        <f aca="false">W46+W54</f>
        <v>41155.3500344938</v>
      </c>
      <c r="X55" s="54" t="n">
        <f aca="false">X46+X54</f>
        <v>42624.6289264174</v>
      </c>
      <c r="Y55" s="54" t="n">
        <f aca="false">Y46+Y54</f>
        <v>44035.136662664</v>
      </c>
      <c r="Z55" s="54" t="n">
        <f aca="false">Z46+Z54</f>
        <v>29509.3804320289</v>
      </c>
      <c r="AA55" s="54" t="n">
        <f aca="false">AA46+AA54</f>
        <v>32279.3298099496</v>
      </c>
      <c r="AB55" s="54" t="n">
        <f aca="false">AB46+AB54</f>
        <v>33364.0629633307</v>
      </c>
      <c r="AC55" s="54" t="n">
        <f aca="false">AC46+AC54</f>
        <v>50431.0642395809</v>
      </c>
      <c r="AD55" s="54" t="n">
        <f aca="false">AD46+AD54</f>
        <v>51706.7736472895</v>
      </c>
      <c r="AE55" s="54" t="n">
        <f aca="false">AE46+AE54</f>
        <v>52931.4546786897</v>
      </c>
      <c r="AF55" s="54" t="n">
        <f aca="false">AF46+AF54</f>
        <v>54107.1484688339</v>
      </c>
      <c r="AG55" s="54" t="n">
        <f aca="false">AG46+AG54</f>
        <v>55235.8145073723</v>
      </c>
      <c r="AH55" s="54" t="n">
        <f aca="false">AH46+AH54</f>
        <v>56319.3339043693</v>
      </c>
      <c r="AI55" s="54" t="n">
        <f aca="false">AI46+AI54</f>
        <v>57359.5125254863</v>
      </c>
      <c r="AJ55" s="54" t="n">
        <f aca="false">AJ46+AJ54</f>
        <v>58358.0840017586</v>
      </c>
      <c r="AK55" s="54" t="n">
        <f aca="false">AK46+AK54</f>
        <v>59316.7126189801</v>
      </c>
      <c r="AL55" s="54" t="n">
        <f aca="false">AL46+AL54</f>
        <v>44621.120366448</v>
      </c>
      <c r="AM55" s="54" t="n">
        <f aca="false">AM46+AM54</f>
        <v>46772.9319266821</v>
      </c>
      <c r="AN55" s="54" t="n">
        <f aca="false">AN46+AN54</f>
        <v>47433.7351975979</v>
      </c>
      <c r="AO55" s="54" t="n">
        <f aca="false">AO46+AO54</f>
        <v>63868.1080614665</v>
      </c>
      <c r="AP55" s="54" t="n">
        <f aca="false">AP46+AP54</f>
        <v>64774.1435994097</v>
      </c>
      <c r="AQ55" s="54" t="n">
        <f aca="false">AQ46+AQ54</f>
        <v>65643.9377158352</v>
      </c>
      <c r="AR55" s="54" t="n">
        <f aca="false">AR46+AR54</f>
        <v>66478.9400676037</v>
      </c>
      <c r="AS55" s="54" t="n">
        <f aca="false">AS46+AS54</f>
        <v>67280.5423253015</v>
      </c>
      <c r="AT55" s="54" t="n">
        <f aca="false">AT46+AT54</f>
        <v>68050.0804926913</v>
      </c>
      <c r="AU55" s="54" t="n">
        <f aca="false">AU46+AU54</f>
        <v>68788.8371333855</v>
      </c>
      <c r="AV55" s="54" t="n">
        <f aca="false">AV46+AV54</f>
        <v>69498.043508452</v>
      </c>
      <c r="AW55" s="54" t="n">
        <f aca="false">AW46+AW54</f>
        <v>70178.8816285158</v>
      </c>
      <c r="AX55" s="54" t="n">
        <f aca="false">AX46+AX54</f>
        <v>55327.0068439641</v>
      </c>
      <c r="AY55" s="54" t="n">
        <f aca="false">AY46+AY54</f>
        <v>57032.4401806366</v>
      </c>
      <c r="AZ55" s="54" t="n">
        <f aca="false">AZ46+AZ54</f>
        <v>57432.671346074</v>
      </c>
      <c r="BA55" s="54" t="n">
        <f aca="false">BA46+BA54</f>
        <v>73530.3931124444</v>
      </c>
      <c r="BB55" s="54" t="n">
        <f aca="false">BB46+BB54</f>
        <v>74211.5772660566</v>
      </c>
      <c r="BC55" s="54" t="n">
        <f aca="false">BC46+BC54</f>
        <v>74865.5140535243</v>
      </c>
      <c r="BD55" s="54" t="n">
        <f aca="false">BD46+BD54</f>
        <v>75493.2933694932</v>
      </c>
      <c r="BE55" s="54" t="n">
        <f aca="false">BE46+BE54</f>
        <v>76095.9615128234</v>
      </c>
      <c r="BF55" s="54" t="n">
        <f aca="false">BF46+BF54</f>
        <v>76674.5229304204</v>
      </c>
      <c r="BG55" s="54" t="n">
        <f aca="false">BG46+BG54</f>
        <v>77229.9418913135</v>
      </c>
      <c r="BH55" s="54" t="n">
        <f aca="false">BH46+BH54</f>
        <v>77763.1440937709</v>
      </c>
      <c r="BI55" s="54" t="n">
        <f aca="false">BI46+BI54</f>
        <v>78275.01820813</v>
      </c>
      <c r="BJ55" s="54" t="n">
        <f aca="false">BJ46+BJ54</f>
        <v>63277.0067259416</v>
      </c>
    </row>
    <row r="57" customFormat="false" ht="15.75" hidden="false" customHeight="true" outlineLevel="0" collapsed="false">
      <c r="A57" s="7" t="s">
        <v>413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77</v>
      </c>
      <c r="C58" s="60" t="n">
        <f aca="false">C55+C73</f>
        <v>-81187.4766347889</v>
      </c>
      <c r="D58" s="60" t="n">
        <f aca="false">D55+D73</f>
        <v>-75641.4017929862</v>
      </c>
      <c r="E58" s="60" t="n">
        <f aca="false">E55+E73</f>
        <v>-60362.3223463849</v>
      </c>
      <c r="F58" s="60" t="n">
        <f aca="false">F55+F73</f>
        <v>-53368.686931674</v>
      </c>
      <c r="G58" s="60" t="n">
        <f aca="false">G55+G73</f>
        <v>-46247.330929307</v>
      </c>
      <c r="H58" s="60" t="n">
        <f aca="false">H55+H73</f>
        <v>-39003.3631627903</v>
      </c>
      <c r="I58" s="60" t="n">
        <f aca="false">I55+I73</f>
        <v>-31641.6881026898</v>
      </c>
      <c r="J58" s="60" t="n">
        <f aca="false">J55+J73</f>
        <v>-24167.0140407489</v>
      </c>
      <c r="K58" s="60" t="n">
        <f aca="false">K55+K73</f>
        <v>-16583.8609370411</v>
      </c>
      <c r="L58" s="60" t="n">
        <f aca="false">L55+L73</f>
        <v>-8896.56795323726</v>
      </c>
      <c r="M58" s="60" t="n">
        <f aca="false">M55+M73</f>
        <v>-6755.43526666334</v>
      </c>
      <c r="N58" s="60" t="n">
        <f aca="false">N55+N73</f>
        <v>-21090.7258386496</v>
      </c>
      <c r="O58" s="60" t="n">
        <f aca="false">O55+O73</f>
        <v>-17733.750540393</v>
      </c>
      <c r="P58" s="60" t="n">
        <f aca="false">P55+P73</f>
        <v>-15963.8274943139</v>
      </c>
      <c r="Q58" s="60" t="n">
        <f aca="false">Q55+Q73</f>
        <v>2210.96429230741</v>
      </c>
      <c r="R58" s="60" t="n">
        <f aca="false">R55+R73</f>
        <v>4088.01861391848</v>
      </c>
      <c r="S58" s="60" t="n">
        <f aca="false">S55+S73</f>
        <v>5889.99076266505</v>
      </c>
      <c r="T58" s="60" t="n">
        <f aca="false">T55+T73</f>
        <v>7619.8840254618</v>
      </c>
      <c r="U58" s="60" t="n">
        <f aca="false">U55+U73</f>
        <v>9280.58155774663</v>
      </c>
      <c r="V58" s="60" t="n">
        <f aca="false">V55+V73</f>
        <v>10874.8511887401</v>
      </c>
      <c r="W58" s="60" t="n">
        <f aca="false">W55+W73</f>
        <v>12405.3500344938</v>
      </c>
      <c r="X58" s="60" t="n">
        <f aca="false">X55+X73</f>
        <v>13874.6289264174</v>
      </c>
      <c r="Y58" s="60" t="n">
        <f aca="false">Y55+Y73</f>
        <v>15285.136662664</v>
      </c>
      <c r="Z58" s="60" t="n">
        <f aca="false">Z55+Z73</f>
        <v>759.380432028891</v>
      </c>
      <c r="AA58" s="60" t="n">
        <f aca="false">AA55+AA73</f>
        <v>3251.55203217178</v>
      </c>
      <c r="AB58" s="60" t="n">
        <f aca="false">AB55+AB73</f>
        <v>4336.28518555293</v>
      </c>
      <c r="AC58" s="60" t="n">
        <f aca="false">AC55+AC73</f>
        <v>21403.2864618032</v>
      </c>
      <c r="AD58" s="60" t="n">
        <f aca="false">AD55+AD73</f>
        <v>22678.9958695117</v>
      </c>
      <c r="AE58" s="60" t="n">
        <f aca="false">AE55+AE73</f>
        <v>23903.6769009119</v>
      </c>
      <c r="AF58" s="60" t="n">
        <f aca="false">AF55+AF73</f>
        <v>25079.3706910562</v>
      </c>
      <c r="AG58" s="60" t="n">
        <f aca="false">AG55+AG73</f>
        <v>26208.0367295946</v>
      </c>
      <c r="AH58" s="60" t="n">
        <f aca="false">AH55+AH73</f>
        <v>27291.5561265915</v>
      </c>
      <c r="AI58" s="60" t="n">
        <f aca="false">AI55+AI73</f>
        <v>28331.7347477085</v>
      </c>
      <c r="AJ58" s="60" t="n">
        <f aca="false">AJ55+AJ73</f>
        <v>29330.3062239809</v>
      </c>
      <c r="AK58" s="60" t="n">
        <f aca="false">AK55+AK73</f>
        <v>30288.9348412023</v>
      </c>
      <c r="AL58" s="60" t="n">
        <f aca="false">AL55+AL73</f>
        <v>15593.3425886702</v>
      </c>
      <c r="AM58" s="60" t="n">
        <f aca="false">AM55+AM73</f>
        <v>17467.3763711266</v>
      </c>
      <c r="AN58" s="60" t="n">
        <f aca="false">AN55+AN73</f>
        <v>18128.1796420424</v>
      </c>
      <c r="AO58" s="60" t="n">
        <f aca="false">AO55+AO73</f>
        <v>34562.5525059109</v>
      </c>
      <c r="AP58" s="60" t="n">
        <f aca="false">AP55+AP73</f>
        <v>35468.5880438541</v>
      </c>
      <c r="AQ58" s="60" t="n">
        <f aca="false">AQ55+AQ73</f>
        <v>36338.3821602796</v>
      </c>
      <c r="AR58" s="60" t="n">
        <f aca="false">AR55+AR73</f>
        <v>37173.3845120481</v>
      </c>
      <c r="AS58" s="60" t="n">
        <f aca="false">AS55+AS73</f>
        <v>37974.9867697459</v>
      </c>
      <c r="AT58" s="60" t="n">
        <f aca="false">AT55+AT73</f>
        <v>38744.5249371357</v>
      </c>
      <c r="AU58" s="60" t="n">
        <f aca="false">AU55+AU73</f>
        <v>39483.28157783</v>
      </c>
      <c r="AV58" s="60" t="n">
        <f aca="false">AV55+AV73</f>
        <v>40192.4879528965</v>
      </c>
      <c r="AW58" s="60" t="n">
        <f aca="false">AW55+AW73</f>
        <v>40873.3260729603</v>
      </c>
      <c r="AX58" s="60" t="n">
        <f aca="false">AX55+AX73</f>
        <v>26021.4512884086</v>
      </c>
      <c r="AY58" s="60" t="n">
        <f aca="false">AY55+AY73</f>
        <v>27449.1068473033</v>
      </c>
      <c r="AZ58" s="60" t="n">
        <f aca="false">AZ55+AZ73</f>
        <v>27849.3380127406</v>
      </c>
      <c r="BA58" s="60" t="n">
        <f aca="false">BA55+BA73</f>
        <v>43947.0597791111</v>
      </c>
      <c r="BB58" s="60" t="n">
        <f aca="false">BB55+BB73</f>
        <v>44628.2439327232</v>
      </c>
      <c r="BC58" s="60" t="n">
        <f aca="false">BC55+BC73</f>
        <v>45282.1807201909</v>
      </c>
      <c r="BD58" s="60" t="n">
        <f aca="false">BD55+BD73</f>
        <v>45909.9600361599</v>
      </c>
      <c r="BE58" s="60" t="n">
        <f aca="false">BE55+BE73</f>
        <v>46512.6281794901</v>
      </c>
      <c r="BF58" s="60" t="n">
        <f aca="false">BF55+BF73</f>
        <v>47091.1895970871</v>
      </c>
      <c r="BG58" s="60" t="n">
        <f aca="false">BG55+BG73</f>
        <v>47646.6085579802</v>
      </c>
      <c r="BH58" s="60" t="n">
        <f aca="false">BH55+BH73</f>
        <v>48179.8107604376</v>
      </c>
      <c r="BI58" s="60" t="n">
        <f aca="false">BI55+BI73</f>
        <v>48691.6848747967</v>
      </c>
      <c r="BJ58" s="60" t="n">
        <f aca="false">BJ55+BJ73</f>
        <v>33693.6733926083</v>
      </c>
    </row>
    <row r="59" customFormat="false" ht="15" hidden="false" customHeight="false" outlineLevel="0" collapsed="false">
      <c r="A59" s="6" t="s">
        <v>414</v>
      </c>
      <c r="C59" s="53" t="n">
        <f aca="false">-(C78+C79+C81)/2*Inputs!$E$69/12</f>
        <v>-21250</v>
      </c>
      <c r="D59" s="53" t="n">
        <f aca="false">-(D78+D79+D81)/2*Inputs!$E$69/12</f>
        <v>-21161.4583333333</v>
      </c>
      <c r="E59" s="53" t="n">
        <f aca="false">-(E78+E79+E81)/2*Inputs!$E$69/12</f>
        <v>-20984.375</v>
      </c>
      <c r="F59" s="53" t="n">
        <f aca="false">-(F78+F79+F81)/2*Inputs!$E$69/12</f>
        <v>-20807.2916666667</v>
      </c>
      <c r="G59" s="53" t="n">
        <f aca="false">-(G78+G79+G81)/2*Inputs!$E$69/12</f>
        <v>-20630.2083333333</v>
      </c>
      <c r="H59" s="53" t="n">
        <f aca="false">-(H78+H79+H81)/2*Inputs!$E$69/12</f>
        <v>-20453.125</v>
      </c>
      <c r="I59" s="53" t="n">
        <f aca="false">-(I78+I79+I81)/2*Inputs!$E$69/12</f>
        <v>-20276.0416666667</v>
      </c>
      <c r="J59" s="53" t="n">
        <f aca="false">-(J78+J79+J81)/2*Inputs!$E$69/12</f>
        <v>-20098.9583333333</v>
      </c>
      <c r="K59" s="53" t="n">
        <f aca="false">-(K78+K79+K81)/2*Inputs!$E$69/12</f>
        <v>-19921.875</v>
      </c>
      <c r="L59" s="53" t="n">
        <f aca="false">-(L78+L79+L81)/2*Inputs!$E$69/12</f>
        <v>-19744.7916666667</v>
      </c>
      <c r="M59" s="53" t="n">
        <f aca="false">-(M78+M79+M81)/2*Inputs!$E$69/12</f>
        <v>-19567.7083333333</v>
      </c>
      <c r="N59" s="53" t="n">
        <f aca="false">-(N78+N79+N81)/2*Inputs!$E$69/12</f>
        <v>-19390.625</v>
      </c>
      <c r="O59" s="53" t="n">
        <f aca="false">-(O78+O79+O81)/2*Inputs!$E$69/12</f>
        <v>-19213.5416666667</v>
      </c>
      <c r="P59" s="53" t="n">
        <f aca="false">-(P78+P79+P81)/2*Inputs!$E$69/12</f>
        <v>-19036.4583333333</v>
      </c>
      <c r="Q59" s="53" t="n">
        <f aca="false">-(Q78+Q79+Q81)/2*Inputs!$E$69/12</f>
        <v>-18859.375</v>
      </c>
      <c r="R59" s="53" t="n">
        <f aca="false">-(R78+R79+R81)/2*Inputs!$E$69/12</f>
        <v>-18682.2916666667</v>
      </c>
      <c r="S59" s="53" t="n">
        <f aca="false">-(S78+S79+S81)/2*Inputs!$E$69/12</f>
        <v>-18505.2083333333</v>
      </c>
      <c r="T59" s="53" t="n">
        <f aca="false">-(T78+T79+T81)/2*Inputs!$E$69/12</f>
        <v>-18328.125</v>
      </c>
      <c r="U59" s="53" t="n">
        <f aca="false">-(U78+U79+U81)/2*Inputs!$E$69/12</f>
        <v>-18151.0416666667</v>
      </c>
      <c r="V59" s="53" t="n">
        <f aca="false">-(V78+V79+V81)/2*Inputs!$E$69/12</f>
        <v>-17973.9583333333</v>
      </c>
      <c r="W59" s="53" t="n">
        <f aca="false">-(W78+W79+W81)/2*Inputs!$E$69/12</f>
        <v>-17796.875</v>
      </c>
      <c r="X59" s="53" t="n">
        <f aca="false">-(X78+X79+X81)/2*Inputs!$E$69/12</f>
        <v>-17619.7916666667</v>
      </c>
      <c r="Y59" s="53" t="n">
        <f aca="false">-(Y78+Y79+Y81)/2*Inputs!$E$69/12</f>
        <v>-17442.7083333333</v>
      </c>
      <c r="Z59" s="53" t="n">
        <f aca="false">-(Z78+Z79+Z81)/2*Inputs!$E$69/12</f>
        <v>-17265.625</v>
      </c>
      <c r="AA59" s="53" t="n">
        <f aca="false">-(AA78+AA79+AA81)/2*Inputs!$E$69/12</f>
        <v>-17088.5416666667</v>
      </c>
      <c r="AB59" s="53" t="n">
        <f aca="false">-(AB78+AB79+AB81)/2*Inputs!$E$69/12</f>
        <v>-16911.4583333333</v>
      </c>
      <c r="AC59" s="53" t="n">
        <f aca="false">-(AC78+AC79+AC81)/2*Inputs!$E$69/12</f>
        <v>-16734.375</v>
      </c>
      <c r="AD59" s="53" t="n">
        <f aca="false">-(AD78+AD79+AD81)/2*Inputs!$E$69/12</f>
        <v>-16557.2916666667</v>
      </c>
      <c r="AE59" s="53" t="n">
        <f aca="false">-(AE78+AE79+AE81)/2*Inputs!$E$69/12</f>
        <v>-16380.2083333333</v>
      </c>
      <c r="AF59" s="53" t="n">
        <f aca="false">-(AF78+AF79+AF81)/2*Inputs!$E$69/12</f>
        <v>-16203.125</v>
      </c>
      <c r="AG59" s="53" t="n">
        <f aca="false">-(AG78+AG79+AG81)/2*Inputs!$E$69/12</f>
        <v>-16026.0416666667</v>
      </c>
      <c r="AH59" s="53" t="n">
        <f aca="false">-(AH78+AH79+AH81)/2*Inputs!$E$69/12</f>
        <v>-15848.9583333333</v>
      </c>
      <c r="AI59" s="53" t="n">
        <f aca="false">-(AI78+AI79+AI81)/2*Inputs!$E$69/12</f>
        <v>-15671.875</v>
      </c>
      <c r="AJ59" s="53" t="n">
        <f aca="false">-(AJ78+AJ79+AJ81)/2*Inputs!$E$69/12</f>
        <v>-15494.7916666667</v>
      </c>
      <c r="AK59" s="53" t="n">
        <f aca="false">-(AK78+AK79+AK81)/2*Inputs!$E$69/12</f>
        <v>-15317.7083333333</v>
      </c>
      <c r="AL59" s="53" t="n">
        <f aca="false">-(AL78+AL79+AL81)/2*Inputs!$E$69/12</f>
        <v>-15140.625</v>
      </c>
      <c r="AM59" s="53" t="n">
        <f aca="false">-(AM78+AM79+AM81)/2*Inputs!$E$69/12</f>
        <v>-14963.5416666667</v>
      </c>
      <c r="AN59" s="53" t="n">
        <f aca="false">-(AN78+AN79+AN81)/2*Inputs!$E$69/12</f>
        <v>-14786.4583333333</v>
      </c>
      <c r="AO59" s="53" t="n">
        <f aca="false">-(AO78+AO79+AO81)/2*Inputs!$E$69/12</f>
        <v>-14609.375</v>
      </c>
      <c r="AP59" s="53" t="n">
        <f aca="false">-(AP78+AP79+AP81)/2*Inputs!$E$69/12</f>
        <v>-14432.2916666667</v>
      </c>
      <c r="AQ59" s="53" t="n">
        <f aca="false">-(AQ78+AQ79+AQ81)/2*Inputs!$E$69/12</f>
        <v>-14255.2083333333</v>
      </c>
      <c r="AR59" s="53" t="n">
        <f aca="false">-(AR78+AR79+AR81)/2*Inputs!$E$69/12</f>
        <v>-14078.125</v>
      </c>
      <c r="AS59" s="53" t="n">
        <f aca="false">-(AS78+AS79+AS81)/2*Inputs!$E$69/12</f>
        <v>-13901.0416666667</v>
      </c>
      <c r="AT59" s="53" t="n">
        <f aca="false">-(AT78+AT79+AT81)/2*Inputs!$E$69/12</f>
        <v>-13723.9583333333</v>
      </c>
      <c r="AU59" s="53" t="n">
        <f aca="false">-(AU78+AU79+AU81)/2*Inputs!$E$69/12</f>
        <v>-13546.875</v>
      </c>
      <c r="AV59" s="53" t="n">
        <f aca="false">-(AV78+AV79+AV81)/2*Inputs!$E$69/12</f>
        <v>-13369.7916666667</v>
      </c>
      <c r="AW59" s="53" t="n">
        <f aca="false">-(AW78+AW79+AW81)/2*Inputs!$E$69/12</f>
        <v>-13192.7083333333</v>
      </c>
      <c r="AX59" s="53" t="n">
        <f aca="false">-(AX78+AX79+AX81)/2*Inputs!$E$69/12</f>
        <v>-13015.625</v>
      </c>
      <c r="AY59" s="53" t="n">
        <f aca="false">-(AY78+AY79+AY81)/2*Inputs!$E$69/12</f>
        <v>-12838.5416666667</v>
      </c>
      <c r="AZ59" s="53" t="n">
        <f aca="false">-(AZ78+AZ79+AZ81)/2*Inputs!$E$69/12</f>
        <v>-12661.4583333333</v>
      </c>
      <c r="BA59" s="53" t="n">
        <f aca="false">-(BA78+BA79+BA81)/2*Inputs!$E$69/12</f>
        <v>-12484.375</v>
      </c>
      <c r="BB59" s="53" t="n">
        <f aca="false">-(BB78+BB79+BB81)/2*Inputs!$E$69/12</f>
        <v>-12307.2916666667</v>
      </c>
      <c r="BC59" s="53" t="n">
        <f aca="false">-(BC78+BC79+BC81)/2*Inputs!$E$69/12</f>
        <v>-12130.2083333333</v>
      </c>
      <c r="BD59" s="53" t="n">
        <f aca="false">-(BD78+BD79+BD81)/2*Inputs!$E$69/12</f>
        <v>-11953.125</v>
      </c>
      <c r="BE59" s="53" t="n">
        <f aca="false">-(BE78+BE79+BE81)/2*Inputs!$E$69/12</f>
        <v>-11776.0416666667</v>
      </c>
      <c r="BF59" s="53" t="n">
        <f aca="false">-(BF78+BF79+BF81)/2*Inputs!$E$69/12</f>
        <v>-11598.9583333333</v>
      </c>
      <c r="BG59" s="53" t="n">
        <f aca="false">-(BG78+BG79+BG81)/2*Inputs!$E$69/12</f>
        <v>-11421.875</v>
      </c>
      <c r="BH59" s="53" t="n">
        <f aca="false">-(BH78+BH79+BH81)/2*Inputs!$E$69/12</f>
        <v>-11244.7916666667</v>
      </c>
      <c r="BI59" s="53" t="n">
        <f aca="false">-(BI78+BI79+BI81)/2*Inputs!$E$69/12</f>
        <v>-11067.7083333333</v>
      </c>
      <c r="BJ59" s="53" t="n">
        <f aca="false">-(BJ78+BJ79+BJ81)/2*Inputs!$E$69/12</f>
        <v>-10890.625</v>
      </c>
    </row>
    <row r="60" customFormat="false" ht="15" hidden="false" customHeight="false" outlineLevel="0" collapsed="false">
      <c r="A60" s="99" t="s">
        <v>79</v>
      </c>
      <c r="C60" s="54" t="n">
        <f aca="false">C58+C59</f>
        <v>-102437.476634789</v>
      </c>
      <c r="D60" s="54" t="n">
        <f aca="false">D58+D59</f>
        <v>-96802.8601263196</v>
      </c>
      <c r="E60" s="54" t="n">
        <f aca="false">E58+E59</f>
        <v>-81346.6973463849</v>
      </c>
      <c r="F60" s="54" t="n">
        <f aca="false">F58+F59</f>
        <v>-74175.9785983407</v>
      </c>
      <c r="G60" s="54" t="n">
        <f aca="false">G58+G59</f>
        <v>-66877.5392626404</v>
      </c>
      <c r="H60" s="54" t="n">
        <f aca="false">H58+H59</f>
        <v>-59456.4881627903</v>
      </c>
      <c r="I60" s="54" t="n">
        <f aca="false">I58+I59</f>
        <v>-51917.7297693565</v>
      </c>
      <c r="J60" s="54" t="n">
        <f aca="false">J58+J59</f>
        <v>-44265.9723740822</v>
      </c>
      <c r="K60" s="54" t="n">
        <f aca="false">K58+K59</f>
        <v>-36505.7359370411</v>
      </c>
      <c r="L60" s="54" t="n">
        <f aca="false">L58+L59</f>
        <v>-28641.3596199039</v>
      </c>
      <c r="M60" s="54" t="n">
        <f aca="false">M58+M59</f>
        <v>-26323.1435999967</v>
      </c>
      <c r="N60" s="54" t="n">
        <f aca="false">N58+N59</f>
        <v>-40481.3508386496</v>
      </c>
      <c r="O60" s="54" t="n">
        <f aca="false">O58+O59</f>
        <v>-36947.2922070597</v>
      </c>
      <c r="P60" s="54" t="n">
        <f aca="false">P58+P59</f>
        <v>-35000.2858276473</v>
      </c>
      <c r="Q60" s="54" t="n">
        <f aca="false">Q58+Q59</f>
        <v>-16648.4107076926</v>
      </c>
      <c r="R60" s="54" t="n">
        <f aca="false">R58+R59</f>
        <v>-14594.2730527482</v>
      </c>
      <c r="S60" s="54" t="n">
        <f aca="false">S58+S59</f>
        <v>-12615.2175706683</v>
      </c>
      <c r="T60" s="54" t="n">
        <f aca="false">T58+T59</f>
        <v>-10708.2409745382</v>
      </c>
      <c r="U60" s="54" t="n">
        <f aca="false">U58+U59</f>
        <v>-8870.46010892004</v>
      </c>
      <c r="V60" s="54" t="n">
        <f aca="false">V58+V59</f>
        <v>-7099.10714459323</v>
      </c>
      <c r="W60" s="54" t="n">
        <f aca="false">W58+W59</f>
        <v>-5391.52496550617</v>
      </c>
      <c r="X60" s="54" t="n">
        <f aca="false">X58+X59</f>
        <v>-3745.16274024923</v>
      </c>
      <c r="Y60" s="54" t="n">
        <f aca="false">Y58+Y59</f>
        <v>-2157.5716706693</v>
      </c>
      <c r="Z60" s="54" t="n">
        <f aca="false">Z58+Z59</f>
        <v>-16506.2445679711</v>
      </c>
      <c r="AA60" s="54" t="n">
        <f aca="false">AA58+AA59</f>
        <v>-13836.9896344949</v>
      </c>
      <c r="AB60" s="54" t="n">
        <f aca="false">AB58+AB59</f>
        <v>-12575.1731477804</v>
      </c>
      <c r="AC60" s="54" t="n">
        <f aca="false">AC58+AC59</f>
        <v>4668.91146180315</v>
      </c>
      <c r="AD60" s="54" t="n">
        <f aca="false">AD58+AD59</f>
        <v>6121.70420284503</v>
      </c>
      <c r="AE60" s="54" t="n">
        <f aca="false">AE58+AE59</f>
        <v>7523.46856757859</v>
      </c>
      <c r="AF60" s="54" t="n">
        <f aca="false">AF58+AF59</f>
        <v>8876.24569105615</v>
      </c>
      <c r="AG60" s="54" t="n">
        <f aca="false">AG58+AG59</f>
        <v>10181.9950629279</v>
      </c>
      <c r="AH60" s="54" t="n">
        <f aca="false">AH58+AH59</f>
        <v>11442.5977932581</v>
      </c>
      <c r="AI60" s="54" t="n">
        <f aca="false">AI58+AI59</f>
        <v>12659.8597477085</v>
      </c>
      <c r="AJ60" s="54" t="n">
        <f aca="false">AJ58+AJ59</f>
        <v>13835.5145573142</v>
      </c>
      <c r="AK60" s="54" t="n">
        <f aca="false">AK58+AK59</f>
        <v>14971.226507869</v>
      </c>
      <c r="AL60" s="54" t="n">
        <f aca="false">AL58+AL59</f>
        <v>452.717588670192</v>
      </c>
      <c r="AM60" s="54" t="n">
        <f aca="false">AM58+AM59</f>
        <v>2503.83470445991</v>
      </c>
      <c r="AN60" s="54" t="n">
        <f aca="false">AN58+AN59</f>
        <v>3341.72130870905</v>
      </c>
      <c r="AO60" s="54" t="n">
        <f aca="false">AO58+AO59</f>
        <v>19953.1775059109</v>
      </c>
      <c r="AP60" s="54" t="n">
        <f aca="false">AP58+AP59</f>
        <v>21036.2963771875</v>
      </c>
      <c r="AQ60" s="54" t="n">
        <f aca="false">AQ58+AQ59</f>
        <v>22083.1738269463</v>
      </c>
      <c r="AR60" s="54" t="n">
        <f aca="false">AR58+AR59</f>
        <v>23095.2595120481</v>
      </c>
      <c r="AS60" s="54" t="n">
        <f aca="false">AS58+AS59</f>
        <v>24073.9451030792</v>
      </c>
      <c r="AT60" s="54" t="n">
        <f aca="false">AT58+AT59</f>
        <v>25020.5666038024</v>
      </c>
      <c r="AU60" s="54" t="n">
        <f aca="false">AU58+AU59</f>
        <v>25936.40657783</v>
      </c>
      <c r="AV60" s="54" t="n">
        <f aca="false">AV58+AV59</f>
        <v>26822.6962862298</v>
      </c>
      <c r="AW60" s="54" t="n">
        <f aca="false">AW58+AW59</f>
        <v>27680.6177396269</v>
      </c>
      <c r="AX60" s="54" t="n">
        <f aca="false">AX58+AX59</f>
        <v>13005.8262884086</v>
      </c>
      <c r="AY60" s="54" t="n">
        <f aca="false">AY58+AY59</f>
        <v>14610.5651806366</v>
      </c>
      <c r="AZ60" s="54" t="n">
        <f aca="false">AZ58+AZ59</f>
        <v>15187.8796794073</v>
      </c>
      <c r="BA60" s="54" t="n">
        <f aca="false">BA58+BA59</f>
        <v>31462.6847791111</v>
      </c>
      <c r="BB60" s="54" t="n">
        <f aca="false">BB58+BB59</f>
        <v>32320.9522660566</v>
      </c>
      <c r="BC60" s="54" t="n">
        <f aca="false">BC58+BC59</f>
        <v>33151.9723868576</v>
      </c>
      <c r="BD60" s="54" t="n">
        <f aca="false">BD58+BD59</f>
        <v>33956.8350361599</v>
      </c>
      <c r="BE60" s="54" t="n">
        <f aca="false">BE58+BE59</f>
        <v>34736.5865128234</v>
      </c>
      <c r="BF60" s="54" t="n">
        <f aca="false">BF58+BF59</f>
        <v>35492.2312637538</v>
      </c>
      <c r="BG60" s="54" t="n">
        <f aca="false">BG58+BG59</f>
        <v>36224.7335579802</v>
      </c>
      <c r="BH60" s="54" t="n">
        <f aca="false">BH58+BH59</f>
        <v>36935.0190937709</v>
      </c>
      <c r="BI60" s="54" t="n">
        <f aca="false">BI58+BI59</f>
        <v>37623.9765414634</v>
      </c>
      <c r="BJ60" s="54" t="n">
        <f aca="false">BJ58+BJ59</f>
        <v>22803.0483926083</v>
      </c>
    </row>
    <row r="61" customFormat="false" ht="15" hidden="false" customHeight="false" outlineLevel="0" collapsed="false">
      <c r="A61" s="102" t="s">
        <v>415</v>
      </c>
      <c r="C61" s="53" t="n">
        <f aca="false">C60</f>
        <v>-102437.476634789</v>
      </c>
      <c r="D61" s="53" t="n">
        <f aca="false">C61+D60</f>
        <v>-199240.336761108</v>
      </c>
      <c r="E61" s="53" t="n">
        <f aca="false">D61+E60</f>
        <v>-280587.034107493</v>
      </c>
      <c r="F61" s="53" t="n">
        <f aca="false">E61+F60</f>
        <v>-354763.012705834</v>
      </c>
      <c r="G61" s="53" t="n">
        <f aca="false">F61+G60</f>
        <v>-421640.551968474</v>
      </c>
      <c r="H61" s="53" t="n">
        <f aca="false">G61+H60</f>
        <v>-481097.040131265</v>
      </c>
      <c r="I61" s="53" t="n">
        <f aca="false">H61+I60</f>
        <v>-533014.769900621</v>
      </c>
      <c r="J61" s="53" t="n">
        <f aca="false">I61+J60</f>
        <v>-577280.742274703</v>
      </c>
      <c r="K61" s="53" t="n">
        <f aca="false">J61+K60</f>
        <v>-613786.478211745</v>
      </c>
      <c r="L61" s="53" t="n">
        <f aca="false">K61+L60</f>
        <v>-642427.837831648</v>
      </c>
      <c r="M61" s="53" t="n">
        <f aca="false">L61+M60</f>
        <v>-668750.981431645</v>
      </c>
      <c r="N61" s="53" t="n">
        <f aca="false">M61+N60</f>
        <v>-709232.332270295</v>
      </c>
      <c r="O61" s="53" t="n">
        <f aca="false">N61+O60</f>
        <v>-746179.624477354</v>
      </c>
      <c r="P61" s="53" t="n">
        <f aca="false">O61+P60</f>
        <v>-781179.910305002</v>
      </c>
      <c r="Q61" s="53" t="n">
        <f aca="false">P61+Q60</f>
        <v>-797828.321012694</v>
      </c>
      <c r="R61" s="53" t="n">
        <f aca="false">Q61+R60</f>
        <v>-812422.594065442</v>
      </c>
      <c r="S61" s="53" t="n">
        <f aca="false">R61+S60</f>
        <v>-825037.811636111</v>
      </c>
      <c r="T61" s="53" t="n">
        <f aca="false">S61+T60</f>
        <v>-835746.052610649</v>
      </c>
      <c r="U61" s="53" t="n">
        <f aca="false">T61+U60</f>
        <v>-844616.512719569</v>
      </c>
      <c r="V61" s="53" t="n">
        <f aca="false">U61+V60</f>
        <v>-851715.619864162</v>
      </c>
      <c r="W61" s="53" t="n">
        <f aca="false">V61+W60</f>
        <v>-857107.144829668</v>
      </c>
      <c r="X61" s="53" t="n">
        <f aca="false">W61+X60</f>
        <v>-860852.307569918</v>
      </c>
      <c r="Y61" s="53" t="n">
        <f aca="false">X61+Y60</f>
        <v>-863009.879240587</v>
      </c>
      <c r="Z61" s="53" t="n">
        <f aca="false">Y61+Z60</f>
        <v>-879516.123808558</v>
      </c>
      <c r="AA61" s="53" t="n">
        <f aca="false">Z61+AA60</f>
        <v>-893353.113443053</v>
      </c>
      <c r="AB61" s="53" t="n">
        <f aca="false">AA61+AB60</f>
        <v>-905928.286590833</v>
      </c>
      <c r="AC61" s="53" t="n">
        <f aca="false">AB61+AC60</f>
        <v>-901259.37512903</v>
      </c>
      <c r="AD61" s="53" t="n">
        <f aca="false">AC61+AD60</f>
        <v>-895137.670926185</v>
      </c>
      <c r="AE61" s="53" t="n">
        <f aca="false">AD61+AE60</f>
        <v>-887614.202358606</v>
      </c>
      <c r="AF61" s="53" t="n">
        <f aca="false">AE61+AF60</f>
        <v>-878737.95666755</v>
      </c>
      <c r="AG61" s="53" t="n">
        <f aca="false">AF61+AG60</f>
        <v>-868555.961604622</v>
      </c>
      <c r="AH61" s="53" t="n">
        <f aca="false">AG61+AH60</f>
        <v>-857113.363811364</v>
      </c>
      <c r="AI61" s="53" t="n">
        <f aca="false">AH61+AI60</f>
        <v>-844453.504063656</v>
      </c>
      <c r="AJ61" s="53" t="n">
        <f aca="false">AI61+AJ60</f>
        <v>-830617.989506341</v>
      </c>
      <c r="AK61" s="53" t="n">
        <f aca="false">AJ61+AK60</f>
        <v>-815646.762998472</v>
      </c>
      <c r="AL61" s="53" t="n">
        <f aca="false">AK61+AL60</f>
        <v>-815194.045409802</v>
      </c>
      <c r="AM61" s="53" t="n">
        <f aca="false">AL61+AM60</f>
        <v>-812690.210705342</v>
      </c>
      <c r="AN61" s="53" t="n">
        <f aca="false">AM61+AN60</f>
        <v>-809348.489396633</v>
      </c>
      <c r="AO61" s="53" t="n">
        <f aca="false">AN61+AO60</f>
        <v>-789395.311890723</v>
      </c>
      <c r="AP61" s="53" t="n">
        <f aca="false">AO61+AP60</f>
        <v>-768359.015513535</v>
      </c>
      <c r="AQ61" s="53" t="n">
        <f aca="false">AP61+AQ60</f>
        <v>-746275.841686589</v>
      </c>
      <c r="AR61" s="53" t="n">
        <f aca="false">AQ61+AR60</f>
        <v>-723180.582174541</v>
      </c>
      <c r="AS61" s="53" t="n">
        <f aca="false">AR61+AS60</f>
        <v>-699106.637071461</v>
      </c>
      <c r="AT61" s="53" t="n">
        <f aca="false">AS61+AT60</f>
        <v>-674086.070467659</v>
      </c>
      <c r="AU61" s="53" t="n">
        <f aca="false">AT61+AU60</f>
        <v>-648149.663889829</v>
      </c>
      <c r="AV61" s="53" t="n">
        <f aca="false">AU61+AV60</f>
        <v>-621326.967603599</v>
      </c>
      <c r="AW61" s="53" t="n">
        <f aca="false">AV61+AW60</f>
        <v>-593646.349863972</v>
      </c>
      <c r="AX61" s="53" t="n">
        <f aca="false">AW61+AX60</f>
        <v>-580640.523575564</v>
      </c>
      <c r="AY61" s="53" t="n">
        <f aca="false">AX61+AY60</f>
        <v>-566029.958394927</v>
      </c>
      <c r="AZ61" s="53" t="n">
        <f aca="false">AY61+AZ60</f>
        <v>-550842.07871552</v>
      </c>
      <c r="BA61" s="53" t="n">
        <f aca="false">AZ61+BA60</f>
        <v>-519379.393936409</v>
      </c>
      <c r="BB61" s="53" t="n">
        <f aca="false">BA61+BB60</f>
        <v>-487058.441670352</v>
      </c>
      <c r="BC61" s="53" t="n">
        <f aca="false">BB61+BC60</f>
        <v>-453906.469283495</v>
      </c>
      <c r="BD61" s="53" t="n">
        <f aca="false">BC61+BD60</f>
        <v>-419949.634247335</v>
      </c>
      <c r="BE61" s="53" t="n">
        <f aca="false">BD61+BE60</f>
        <v>-385213.047734511</v>
      </c>
      <c r="BF61" s="53" t="n">
        <f aca="false">BE61+BF60</f>
        <v>-349720.816470758</v>
      </c>
      <c r="BG61" s="53" t="n">
        <f aca="false">BF61+BG60</f>
        <v>-313496.082912777</v>
      </c>
      <c r="BH61" s="53" t="n">
        <f aca="false">BG61+BH60</f>
        <v>-276561.063819007</v>
      </c>
      <c r="BI61" s="53" t="n">
        <f aca="false">BH61+BI60</f>
        <v>-238937.087277543</v>
      </c>
      <c r="BJ61" s="53" t="n">
        <f aca="false">BI61+BJ60</f>
        <v>-216134.038884935</v>
      </c>
    </row>
    <row r="62" customFormat="false" ht="15" hidden="false" customHeight="false" outlineLevel="0" collapsed="false">
      <c r="A62" s="102" t="s">
        <v>416</v>
      </c>
      <c r="C62" s="53" t="n">
        <f aca="false">MAX(0,C61)</f>
        <v>0</v>
      </c>
      <c r="D62" s="53" t="n">
        <f aca="false">MAX(C62,D61)</f>
        <v>0</v>
      </c>
      <c r="E62" s="53" t="n">
        <f aca="false">MAX(D62,E61)</f>
        <v>0</v>
      </c>
      <c r="F62" s="53" t="n">
        <f aca="false">MAX(E62,F61)</f>
        <v>0</v>
      </c>
      <c r="G62" s="53" t="n">
        <f aca="false">MAX(F62,G61)</f>
        <v>0</v>
      </c>
      <c r="H62" s="53" t="n">
        <f aca="false">MAX(G62,H61)</f>
        <v>0</v>
      </c>
      <c r="I62" s="53" t="n">
        <f aca="false">MAX(H62,I61)</f>
        <v>0</v>
      </c>
      <c r="J62" s="53" t="n">
        <f aca="false">MAX(I62,J61)</f>
        <v>0</v>
      </c>
      <c r="K62" s="53" t="n">
        <f aca="false">MAX(J62,K61)</f>
        <v>0</v>
      </c>
      <c r="L62" s="53" t="n">
        <f aca="false">MAX(K62,L61)</f>
        <v>0</v>
      </c>
      <c r="M62" s="53" t="n">
        <f aca="false">MAX(L62,M61)</f>
        <v>0</v>
      </c>
      <c r="N62" s="53" t="n">
        <f aca="false">MAX(M62,N61)</f>
        <v>0</v>
      </c>
      <c r="O62" s="53" t="n">
        <f aca="false">MAX(N62,O61)</f>
        <v>0</v>
      </c>
      <c r="P62" s="53" t="n">
        <f aca="false">MAX(O62,P61)</f>
        <v>0</v>
      </c>
      <c r="Q62" s="53" t="n">
        <f aca="false">MAX(P62,Q61)</f>
        <v>0</v>
      </c>
      <c r="R62" s="53" t="n">
        <f aca="false">MAX(Q62,R61)</f>
        <v>0</v>
      </c>
      <c r="S62" s="53" t="n">
        <f aca="false">MAX(R62,S61)</f>
        <v>0</v>
      </c>
      <c r="T62" s="53" t="n">
        <f aca="false">MAX(S62,T61)</f>
        <v>0</v>
      </c>
      <c r="U62" s="53" t="n">
        <f aca="false">MAX(T62,U61)</f>
        <v>0</v>
      </c>
      <c r="V62" s="53" t="n">
        <f aca="false">MAX(U62,V61)</f>
        <v>0</v>
      </c>
      <c r="W62" s="53" t="n">
        <f aca="false">MAX(V62,W61)</f>
        <v>0</v>
      </c>
      <c r="X62" s="53" t="n">
        <f aca="false">MAX(W62,X61)</f>
        <v>0</v>
      </c>
      <c r="Y62" s="53" t="n">
        <f aca="false">MAX(X62,Y61)</f>
        <v>0</v>
      </c>
      <c r="Z62" s="53" t="n">
        <f aca="false">MAX(Y62,Z61)</f>
        <v>0</v>
      </c>
      <c r="AA62" s="53" t="n">
        <f aca="false">MAX(Z62,AA61)</f>
        <v>0</v>
      </c>
      <c r="AB62" s="53" t="n">
        <f aca="false">MAX(AA62,AB61)</f>
        <v>0</v>
      </c>
      <c r="AC62" s="53" t="n">
        <f aca="false">MAX(AB62,AC61)</f>
        <v>0</v>
      </c>
      <c r="AD62" s="53" t="n">
        <f aca="false">MAX(AC62,AD61)</f>
        <v>0</v>
      </c>
      <c r="AE62" s="53" t="n">
        <f aca="false">MAX(AD62,AE61)</f>
        <v>0</v>
      </c>
      <c r="AF62" s="53" t="n">
        <f aca="false">MAX(AE62,AF61)</f>
        <v>0</v>
      </c>
      <c r="AG62" s="53" t="n">
        <f aca="false">MAX(AF62,AG61)</f>
        <v>0</v>
      </c>
      <c r="AH62" s="53" t="n">
        <f aca="false">MAX(AG62,AH61)</f>
        <v>0</v>
      </c>
      <c r="AI62" s="53" t="n">
        <f aca="false">MAX(AH62,AI61)</f>
        <v>0</v>
      </c>
      <c r="AJ62" s="53" t="n">
        <f aca="false">MAX(AI62,AJ61)</f>
        <v>0</v>
      </c>
      <c r="AK62" s="53" t="n">
        <f aca="false">MAX(AJ62,AK61)</f>
        <v>0</v>
      </c>
      <c r="AL62" s="53" t="n">
        <f aca="false">MAX(AK62,AL61)</f>
        <v>0</v>
      </c>
      <c r="AM62" s="53" t="n">
        <f aca="false">MAX(AL62,AM61)</f>
        <v>0</v>
      </c>
      <c r="AN62" s="53" t="n">
        <f aca="false">MAX(AM62,AN61)</f>
        <v>0</v>
      </c>
      <c r="AO62" s="53" t="n">
        <f aca="false">MAX(AN62,AO61)</f>
        <v>0</v>
      </c>
      <c r="AP62" s="53" t="n">
        <f aca="false">MAX(AO62,AP61)</f>
        <v>0</v>
      </c>
      <c r="AQ62" s="53" t="n">
        <f aca="false">MAX(AP62,AQ61)</f>
        <v>0</v>
      </c>
      <c r="AR62" s="53" t="n">
        <f aca="false">MAX(AQ62,AR61)</f>
        <v>0</v>
      </c>
      <c r="AS62" s="53" t="n">
        <f aca="false">MAX(AR62,AS61)</f>
        <v>0</v>
      </c>
      <c r="AT62" s="53" t="n">
        <f aca="false">MAX(AS62,AT61)</f>
        <v>0</v>
      </c>
      <c r="AU62" s="53" t="n">
        <f aca="false">MAX(AT62,AU61)</f>
        <v>0</v>
      </c>
      <c r="AV62" s="53" t="n">
        <f aca="false">MAX(AU62,AV61)</f>
        <v>0</v>
      </c>
      <c r="AW62" s="53" t="n">
        <f aca="false">MAX(AV62,AW61)</f>
        <v>0</v>
      </c>
      <c r="AX62" s="53" t="n">
        <f aca="false">MAX(AW62,AX61)</f>
        <v>0</v>
      </c>
      <c r="AY62" s="53" t="n">
        <f aca="false">MAX(AX62,AY61)</f>
        <v>0</v>
      </c>
      <c r="AZ62" s="53" t="n">
        <f aca="false">MAX(AY62,AZ61)</f>
        <v>0</v>
      </c>
      <c r="BA62" s="53" t="n">
        <f aca="false">MAX(AZ62,BA61)</f>
        <v>0</v>
      </c>
      <c r="BB62" s="53" t="n">
        <f aca="false">MAX(BA62,BB61)</f>
        <v>0</v>
      </c>
      <c r="BC62" s="53" t="n">
        <f aca="false">MAX(BB62,BC61)</f>
        <v>0</v>
      </c>
      <c r="BD62" s="53" t="n">
        <f aca="false">MAX(BC62,BD61)</f>
        <v>0</v>
      </c>
      <c r="BE62" s="53" t="n">
        <f aca="false">MAX(BD62,BE61)</f>
        <v>0</v>
      </c>
      <c r="BF62" s="53" t="n">
        <f aca="false">MAX(BE62,BF61)</f>
        <v>0</v>
      </c>
      <c r="BG62" s="53" t="n">
        <f aca="false">MAX(BF62,BG61)</f>
        <v>0</v>
      </c>
      <c r="BH62" s="53" t="n">
        <f aca="false">MAX(BG62,BH61)</f>
        <v>0</v>
      </c>
      <c r="BI62" s="53" t="n">
        <f aca="false">MAX(BH62,BI61)</f>
        <v>0</v>
      </c>
      <c r="BJ62" s="53" t="n">
        <f aca="false">MAX(BI62,BJ61)</f>
        <v>0</v>
      </c>
    </row>
    <row r="63" customFormat="false" ht="15" hidden="false" customHeight="false" outlineLevel="0" collapsed="false">
      <c r="A63" s="6" t="s">
        <v>80</v>
      </c>
      <c r="C63" s="53" t="n">
        <f aca="false">-C62*Inputs!$E$79</f>
        <v>-0</v>
      </c>
      <c r="D63" s="53" t="n">
        <f aca="false">-(D62-C62)*Inputs!$E$79</f>
        <v>-0</v>
      </c>
      <c r="E63" s="53" t="n">
        <f aca="false">-(E62-D62)*Inputs!$E$79</f>
        <v>-0</v>
      </c>
      <c r="F63" s="53" t="n">
        <f aca="false">-(F62-E62)*Inputs!$E$79</f>
        <v>-0</v>
      </c>
      <c r="G63" s="53" t="n">
        <f aca="false">-(G62-F62)*Inputs!$E$79</f>
        <v>-0</v>
      </c>
      <c r="H63" s="53" t="n">
        <f aca="false">-(H62-G62)*Inputs!$E$79</f>
        <v>-0</v>
      </c>
      <c r="I63" s="53" t="n">
        <f aca="false">-(I62-H62)*Inputs!$E$79</f>
        <v>-0</v>
      </c>
      <c r="J63" s="53" t="n">
        <f aca="false">-(J62-I62)*Inputs!$E$79</f>
        <v>-0</v>
      </c>
      <c r="K63" s="53" t="n">
        <f aca="false">-(K62-J62)*Inputs!$E$79</f>
        <v>-0</v>
      </c>
      <c r="L63" s="53" t="n">
        <f aca="false">-(L62-K62)*Inputs!$E$79</f>
        <v>-0</v>
      </c>
      <c r="M63" s="53" t="n">
        <f aca="false">-(M62-L62)*Inputs!$E$79</f>
        <v>-0</v>
      </c>
      <c r="N63" s="53" t="n">
        <f aca="false">-(N62-M62)*Inputs!$E$79</f>
        <v>-0</v>
      </c>
      <c r="O63" s="53" t="n">
        <f aca="false">-(O62-N62)*Inputs!$E$79</f>
        <v>-0</v>
      </c>
      <c r="P63" s="53" t="n">
        <f aca="false">-(P62-O62)*Inputs!$E$79</f>
        <v>-0</v>
      </c>
      <c r="Q63" s="53" t="n">
        <f aca="false">-(Q62-P62)*Inputs!$E$79</f>
        <v>-0</v>
      </c>
      <c r="R63" s="53" t="n">
        <f aca="false">-(R62-Q62)*Inputs!$E$79</f>
        <v>-0</v>
      </c>
      <c r="S63" s="53" t="n">
        <f aca="false">-(S62-R62)*Inputs!$E$79</f>
        <v>-0</v>
      </c>
      <c r="T63" s="53" t="n">
        <f aca="false">-(T62-S62)*Inputs!$E$79</f>
        <v>-0</v>
      </c>
      <c r="U63" s="53" t="n">
        <f aca="false">-(U62-T62)*Inputs!$E$79</f>
        <v>-0</v>
      </c>
      <c r="V63" s="53" t="n">
        <f aca="false">-(V62-U62)*Inputs!$E$79</f>
        <v>-0</v>
      </c>
      <c r="W63" s="53" t="n">
        <f aca="false">-(W62-V62)*Inputs!$E$79</f>
        <v>-0</v>
      </c>
      <c r="X63" s="53" t="n">
        <f aca="false">-(X62-W62)*Inputs!$E$79</f>
        <v>-0</v>
      </c>
      <c r="Y63" s="53" t="n">
        <f aca="false">-(Y62-X62)*Inputs!$E$79</f>
        <v>-0</v>
      </c>
      <c r="Z63" s="53" t="n">
        <f aca="false">-(Z62-Y62)*Inputs!$E$79</f>
        <v>-0</v>
      </c>
      <c r="AA63" s="53" t="n">
        <f aca="false">-(AA62-Z62)*Inputs!$E$79</f>
        <v>-0</v>
      </c>
      <c r="AB63" s="53" t="n">
        <f aca="false">-(AB62-AA62)*Inputs!$E$79</f>
        <v>-0</v>
      </c>
      <c r="AC63" s="53" t="n">
        <f aca="false">-(AC62-AB62)*Inputs!$E$79</f>
        <v>-0</v>
      </c>
      <c r="AD63" s="53" t="n">
        <f aca="false">-(AD62-AC62)*Inputs!$E$79</f>
        <v>-0</v>
      </c>
      <c r="AE63" s="53" t="n">
        <f aca="false">-(AE62-AD62)*Inputs!$E$79</f>
        <v>-0</v>
      </c>
      <c r="AF63" s="53" t="n">
        <f aca="false">-(AF62-AE62)*Inputs!$E$79</f>
        <v>-0</v>
      </c>
      <c r="AG63" s="53" t="n">
        <f aca="false">-(AG62-AF62)*Inputs!$E$79</f>
        <v>-0</v>
      </c>
      <c r="AH63" s="53" t="n">
        <f aca="false">-(AH62-AG62)*Inputs!$E$79</f>
        <v>-0</v>
      </c>
      <c r="AI63" s="53" t="n">
        <f aca="false">-(AI62-AH62)*Inputs!$E$79</f>
        <v>-0</v>
      </c>
      <c r="AJ63" s="53" t="n">
        <f aca="false">-(AJ62-AI62)*Inputs!$E$79</f>
        <v>-0</v>
      </c>
      <c r="AK63" s="53" t="n">
        <f aca="false">-(AK62-AJ62)*Inputs!$E$79</f>
        <v>-0</v>
      </c>
      <c r="AL63" s="53" t="n">
        <f aca="false">-(AL62-AK62)*Inputs!$E$79</f>
        <v>-0</v>
      </c>
      <c r="AM63" s="53" t="n">
        <f aca="false">-(AM62-AL62)*Inputs!$E$79</f>
        <v>-0</v>
      </c>
      <c r="AN63" s="53" t="n">
        <f aca="false">-(AN62-AM62)*Inputs!$E$79</f>
        <v>-0</v>
      </c>
      <c r="AO63" s="53" t="n">
        <f aca="false">-(AO62-AN62)*Inputs!$E$79</f>
        <v>-0</v>
      </c>
      <c r="AP63" s="53" t="n">
        <f aca="false">-(AP62-AO62)*Inputs!$E$79</f>
        <v>-0</v>
      </c>
      <c r="AQ63" s="53" t="n">
        <f aca="false">-(AQ62-AP62)*Inputs!$E$79</f>
        <v>-0</v>
      </c>
      <c r="AR63" s="53" t="n">
        <f aca="false">-(AR62-AQ62)*Inputs!$E$79</f>
        <v>-0</v>
      </c>
      <c r="AS63" s="53" t="n">
        <f aca="false">-(AS62-AR62)*Inputs!$E$79</f>
        <v>-0</v>
      </c>
      <c r="AT63" s="53" t="n">
        <f aca="false">-(AT62-AS62)*Inputs!$E$79</f>
        <v>-0</v>
      </c>
      <c r="AU63" s="53" t="n">
        <f aca="false">-(AU62-AT62)*Inputs!$E$79</f>
        <v>-0</v>
      </c>
      <c r="AV63" s="53" t="n">
        <f aca="false">-(AV62-AU62)*Inputs!$E$79</f>
        <v>-0</v>
      </c>
      <c r="AW63" s="53" t="n">
        <f aca="false">-(AW62-AV62)*Inputs!$E$79</f>
        <v>-0</v>
      </c>
      <c r="AX63" s="53" t="n">
        <f aca="false">-(AX62-AW62)*Inputs!$E$79</f>
        <v>-0</v>
      </c>
      <c r="AY63" s="53" t="n">
        <f aca="false">-(AY62-AX62)*Inputs!$E$79</f>
        <v>-0</v>
      </c>
      <c r="AZ63" s="53" t="n">
        <f aca="false">-(AZ62-AY62)*Inputs!$E$79</f>
        <v>-0</v>
      </c>
      <c r="BA63" s="53" t="n">
        <f aca="false">-(BA62-AZ62)*Inputs!$E$79</f>
        <v>-0</v>
      </c>
      <c r="BB63" s="53" t="n">
        <f aca="false">-(BB62-BA62)*Inputs!$E$79</f>
        <v>-0</v>
      </c>
      <c r="BC63" s="53" t="n">
        <f aca="false">-(BC62-BB62)*Inputs!$E$79</f>
        <v>-0</v>
      </c>
      <c r="BD63" s="53" t="n">
        <f aca="false">-(BD62-BC62)*Inputs!$E$79</f>
        <v>-0</v>
      </c>
      <c r="BE63" s="53" t="n">
        <f aca="false">-(BE62-BD62)*Inputs!$E$79</f>
        <v>-0</v>
      </c>
      <c r="BF63" s="53" t="n">
        <f aca="false">-(BF62-BE62)*Inputs!$E$79</f>
        <v>-0</v>
      </c>
      <c r="BG63" s="53" t="n">
        <f aca="false">-(BG62-BF62)*Inputs!$E$79</f>
        <v>-0</v>
      </c>
      <c r="BH63" s="53" t="n">
        <f aca="false">-(BH62-BG62)*Inputs!$E$79</f>
        <v>-0</v>
      </c>
      <c r="BI63" s="53" t="n">
        <f aca="false">-(BI62-BH62)*Inputs!$E$79</f>
        <v>-0</v>
      </c>
      <c r="BJ63" s="53" t="n">
        <f aca="false">-(BJ62-BI62)*Inputs!$E$79</f>
        <v>-0</v>
      </c>
    </row>
    <row r="64" customFormat="false" ht="15" hidden="false" customHeight="false" outlineLevel="0" collapsed="false">
      <c r="A64" s="99" t="s">
        <v>48</v>
      </c>
      <c r="C64" s="54" t="n">
        <f aca="false">C60+C63</f>
        <v>-102437.476634789</v>
      </c>
      <c r="D64" s="54" t="n">
        <f aca="false">D60+D63</f>
        <v>-96802.8601263196</v>
      </c>
      <c r="E64" s="54" t="n">
        <f aca="false">E60+E63</f>
        <v>-81346.6973463849</v>
      </c>
      <c r="F64" s="54" t="n">
        <f aca="false">F60+F63</f>
        <v>-74175.9785983407</v>
      </c>
      <c r="G64" s="54" t="n">
        <f aca="false">G60+G63</f>
        <v>-66877.5392626404</v>
      </c>
      <c r="H64" s="54" t="n">
        <f aca="false">H60+H63</f>
        <v>-59456.4881627903</v>
      </c>
      <c r="I64" s="54" t="n">
        <f aca="false">I60+I63</f>
        <v>-51917.7297693565</v>
      </c>
      <c r="J64" s="54" t="n">
        <f aca="false">J60+J63</f>
        <v>-44265.9723740822</v>
      </c>
      <c r="K64" s="54" t="n">
        <f aca="false">K60+K63</f>
        <v>-36505.7359370411</v>
      </c>
      <c r="L64" s="54" t="n">
        <f aca="false">L60+L63</f>
        <v>-28641.3596199039</v>
      </c>
      <c r="M64" s="54" t="n">
        <f aca="false">M60+M63</f>
        <v>-26323.1435999967</v>
      </c>
      <c r="N64" s="54" t="n">
        <f aca="false">N60+N63</f>
        <v>-40481.3508386496</v>
      </c>
      <c r="O64" s="54" t="n">
        <f aca="false">O60+O63</f>
        <v>-36947.2922070597</v>
      </c>
      <c r="P64" s="54" t="n">
        <f aca="false">P60+P63</f>
        <v>-35000.2858276473</v>
      </c>
      <c r="Q64" s="54" t="n">
        <f aca="false">Q60+Q63</f>
        <v>-16648.4107076926</v>
      </c>
      <c r="R64" s="54" t="n">
        <f aca="false">R60+R63</f>
        <v>-14594.2730527482</v>
      </c>
      <c r="S64" s="54" t="n">
        <f aca="false">S60+S63</f>
        <v>-12615.2175706683</v>
      </c>
      <c r="T64" s="54" t="n">
        <f aca="false">T60+T63</f>
        <v>-10708.2409745382</v>
      </c>
      <c r="U64" s="54" t="n">
        <f aca="false">U60+U63</f>
        <v>-8870.46010892004</v>
      </c>
      <c r="V64" s="54" t="n">
        <f aca="false">V60+V63</f>
        <v>-7099.10714459323</v>
      </c>
      <c r="W64" s="54" t="n">
        <f aca="false">W60+W63</f>
        <v>-5391.52496550617</v>
      </c>
      <c r="X64" s="54" t="n">
        <f aca="false">X60+X63</f>
        <v>-3745.16274024923</v>
      </c>
      <c r="Y64" s="54" t="n">
        <f aca="false">Y60+Y63</f>
        <v>-2157.5716706693</v>
      </c>
      <c r="Z64" s="54" t="n">
        <f aca="false">Z60+Z63</f>
        <v>-16506.2445679711</v>
      </c>
      <c r="AA64" s="54" t="n">
        <f aca="false">AA60+AA63</f>
        <v>-13836.9896344949</v>
      </c>
      <c r="AB64" s="54" t="n">
        <f aca="false">AB60+AB63</f>
        <v>-12575.1731477804</v>
      </c>
      <c r="AC64" s="54" t="n">
        <f aca="false">AC60+AC63</f>
        <v>4668.91146180315</v>
      </c>
      <c r="AD64" s="54" t="n">
        <f aca="false">AD60+AD63</f>
        <v>6121.70420284503</v>
      </c>
      <c r="AE64" s="54" t="n">
        <f aca="false">AE60+AE63</f>
        <v>7523.46856757859</v>
      </c>
      <c r="AF64" s="54" t="n">
        <f aca="false">AF60+AF63</f>
        <v>8876.24569105615</v>
      </c>
      <c r="AG64" s="54" t="n">
        <f aca="false">AG60+AG63</f>
        <v>10181.9950629279</v>
      </c>
      <c r="AH64" s="54" t="n">
        <f aca="false">AH60+AH63</f>
        <v>11442.5977932581</v>
      </c>
      <c r="AI64" s="54" t="n">
        <f aca="false">AI60+AI63</f>
        <v>12659.8597477085</v>
      </c>
      <c r="AJ64" s="54" t="n">
        <f aca="false">AJ60+AJ63</f>
        <v>13835.5145573142</v>
      </c>
      <c r="AK64" s="54" t="n">
        <f aca="false">AK60+AK63</f>
        <v>14971.226507869</v>
      </c>
      <c r="AL64" s="54" t="n">
        <f aca="false">AL60+AL63</f>
        <v>452.717588670192</v>
      </c>
      <c r="AM64" s="54" t="n">
        <f aca="false">AM60+AM63</f>
        <v>2503.83470445991</v>
      </c>
      <c r="AN64" s="54" t="n">
        <f aca="false">AN60+AN63</f>
        <v>3341.72130870905</v>
      </c>
      <c r="AO64" s="54" t="n">
        <f aca="false">AO60+AO63</f>
        <v>19953.1775059109</v>
      </c>
      <c r="AP64" s="54" t="n">
        <f aca="false">AP60+AP63</f>
        <v>21036.2963771875</v>
      </c>
      <c r="AQ64" s="54" t="n">
        <f aca="false">AQ60+AQ63</f>
        <v>22083.1738269463</v>
      </c>
      <c r="AR64" s="54" t="n">
        <f aca="false">AR60+AR63</f>
        <v>23095.2595120481</v>
      </c>
      <c r="AS64" s="54" t="n">
        <f aca="false">AS60+AS63</f>
        <v>24073.9451030792</v>
      </c>
      <c r="AT64" s="54" t="n">
        <f aca="false">AT60+AT63</f>
        <v>25020.5666038024</v>
      </c>
      <c r="AU64" s="54" t="n">
        <f aca="false">AU60+AU63</f>
        <v>25936.40657783</v>
      </c>
      <c r="AV64" s="54" t="n">
        <f aca="false">AV60+AV63</f>
        <v>26822.6962862298</v>
      </c>
      <c r="AW64" s="54" t="n">
        <f aca="false">AW60+AW63</f>
        <v>27680.6177396269</v>
      </c>
      <c r="AX64" s="54" t="n">
        <f aca="false">AX60+AX63</f>
        <v>13005.8262884086</v>
      </c>
      <c r="AY64" s="54" t="n">
        <f aca="false">AY60+AY63</f>
        <v>14610.5651806366</v>
      </c>
      <c r="AZ64" s="54" t="n">
        <f aca="false">AZ60+AZ63</f>
        <v>15187.8796794073</v>
      </c>
      <c r="BA64" s="54" t="n">
        <f aca="false">BA60+BA63</f>
        <v>31462.6847791111</v>
      </c>
      <c r="BB64" s="54" t="n">
        <f aca="false">BB60+BB63</f>
        <v>32320.9522660566</v>
      </c>
      <c r="BC64" s="54" t="n">
        <f aca="false">BC60+BC63</f>
        <v>33151.9723868576</v>
      </c>
      <c r="BD64" s="54" t="n">
        <f aca="false">BD60+BD63</f>
        <v>33956.8350361599</v>
      </c>
      <c r="BE64" s="54" t="n">
        <f aca="false">BE60+BE63</f>
        <v>34736.5865128234</v>
      </c>
      <c r="BF64" s="54" t="n">
        <f aca="false">BF60+BF63</f>
        <v>35492.2312637538</v>
      </c>
      <c r="BG64" s="54" t="n">
        <f aca="false">BG60+BG63</f>
        <v>36224.7335579802</v>
      </c>
      <c r="BH64" s="54" t="n">
        <f aca="false">BH60+BH63</f>
        <v>36935.0190937709</v>
      </c>
      <c r="BI64" s="54" t="n">
        <f aca="false">BI60+BI63</f>
        <v>37623.9765414634</v>
      </c>
      <c r="BJ64" s="54" t="n">
        <f aca="false">BJ60+BJ63</f>
        <v>22803.0483926083</v>
      </c>
    </row>
    <row r="66" customFormat="false" ht="15.75" hidden="false" customHeight="true" outlineLevel="0" collapsed="false">
      <c r="A66" s="7" t="s">
        <v>417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418</v>
      </c>
      <c r="C67" s="53" t="n">
        <f aca="false">IF(C$4=1,Inputs!$E$49,0)</f>
        <v>1650000</v>
      </c>
      <c r="D67" s="53" t="n">
        <f aca="false">IF(D$4=1,Inputs!$E$49,0)</f>
        <v>0</v>
      </c>
      <c r="E67" s="53" t="n">
        <f aca="false">IF(E$4=1,Inputs!$E$49,0)</f>
        <v>0</v>
      </c>
      <c r="F67" s="53" t="n">
        <f aca="false">IF(F$4=1,Inputs!$E$49,0)</f>
        <v>0</v>
      </c>
      <c r="G67" s="53" t="n">
        <f aca="false">IF(G$4=1,Inputs!$E$49,0)</f>
        <v>0</v>
      </c>
      <c r="H67" s="53" t="n">
        <f aca="false">IF(H$4=1,Inputs!$E$49,0)</f>
        <v>0</v>
      </c>
      <c r="I67" s="53" t="n">
        <f aca="false">IF(I$4=1,Inputs!$E$49,0)</f>
        <v>0</v>
      </c>
      <c r="J67" s="53" t="n">
        <f aca="false">IF(J$4=1,Inputs!$E$49,0)</f>
        <v>0</v>
      </c>
      <c r="K67" s="53" t="n">
        <f aca="false">IF(K$4=1,Inputs!$E$49,0)</f>
        <v>0</v>
      </c>
      <c r="L67" s="53" t="n">
        <f aca="false">IF(L$4=1,Inputs!$E$49,0)</f>
        <v>0</v>
      </c>
      <c r="M67" s="53" t="n">
        <f aca="false">IF(M$4=1,Inputs!$E$49,0)</f>
        <v>0</v>
      </c>
      <c r="N67" s="53" t="n">
        <f aca="false">IF(N$4=1,Inputs!$E$49,0)</f>
        <v>0</v>
      </c>
      <c r="O67" s="53" t="n">
        <f aca="false">IF(O$4=1,Inputs!$E$49,0)</f>
        <v>0</v>
      </c>
      <c r="P67" s="53" t="n">
        <f aca="false">IF(P$4=1,Inputs!$E$49,0)</f>
        <v>0</v>
      </c>
      <c r="Q67" s="53" t="n">
        <f aca="false">IF(Q$4=1,Inputs!$E$49,0)</f>
        <v>0</v>
      </c>
      <c r="R67" s="53" t="n">
        <f aca="false">IF(R$4=1,Inputs!$E$49,0)</f>
        <v>0</v>
      </c>
      <c r="S67" s="53" t="n">
        <f aca="false">IF(S$4=1,Inputs!$E$49,0)</f>
        <v>0</v>
      </c>
      <c r="T67" s="53" t="n">
        <f aca="false">IF(T$4=1,Inputs!$E$49,0)</f>
        <v>0</v>
      </c>
      <c r="U67" s="53" t="n">
        <f aca="false">IF(U$4=1,Inputs!$E$49,0)</f>
        <v>0</v>
      </c>
      <c r="V67" s="53" t="n">
        <f aca="false">IF(V$4=1,Inputs!$E$49,0)</f>
        <v>0</v>
      </c>
      <c r="W67" s="53" t="n">
        <f aca="false">IF(W$4=1,Inputs!$E$49,0)</f>
        <v>0</v>
      </c>
      <c r="X67" s="53" t="n">
        <f aca="false">IF(X$4=1,Inputs!$E$49,0)</f>
        <v>0</v>
      </c>
      <c r="Y67" s="53" t="n">
        <f aca="false">IF(Y$4=1,Inputs!$E$49,0)</f>
        <v>0</v>
      </c>
      <c r="Z67" s="53" t="n">
        <f aca="false">IF(Z$4=1,Inputs!$E$49,0)</f>
        <v>0</v>
      </c>
      <c r="AA67" s="53" t="n">
        <f aca="false">IF(AA$4=1,Inputs!$E$49,0)</f>
        <v>0</v>
      </c>
      <c r="AB67" s="53" t="n">
        <f aca="false">IF(AB$4=1,Inputs!$E$49,0)</f>
        <v>0</v>
      </c>
      <c r="AC67" s="53" t="n">
        <f aca="false">IF(AC$4=1,Inputs!$E$49,0)</f>
        <v>0</v>
      </c>
      <c r="AD67" s="53" t="n">
        <f aca="false">IF(AD$4=1,Inputs!$E$49,0)</f>
        <v>0</v>
      </c>
      <c r="AE67" s="53" t="n">
        <f aca="false">IF(AE$4=1,Inputs!$E$49,0)</f>
        <v>0</v>
      </c>
      <c r="AF67" s="53" t="n">
        <f aca="false">IF(AF$4=1,Inputs!$E$49,0)</f>
        <v>0</v>
      </c>
      <c r="AG67" s="53" t="n">
        <f aca="false">IF(AG$4=1,Inputs!$E$49,0)</f>
        <v>0</v>
      </c>
      <c r="AH67" s="53" t="n">
        <f aca="false">IF(AH$4=1,Inputs!$E$49,0)</f>
        <v>0</v>
      </c>
      <c r="AI67" s="53" t="n">
        <f aca="false">IF(AI$4=1,Inputs!$E$49,0)</f>
        <v>0</v>
      </c>
      <c r="AJ67" s="53" t="n">
        <f aca="false">IF(AJ$4=1,Inputs!$E$49,0)</f>
        <v>0</v>
      </c>
      <c r="AK67" s="53" t="n">
        <f aca="false">IF(AK$4=1,Inputs!$E$49,0)</f>
        <v>0</v>
      </c>
      <c r="AL67" s="53" t="n">
        <f aca="false">IF(AL$4=1,Inputs!$E$49,0)</f>
        <v>0</v>
      </c>
      <c r="AM67" s="53" t="n">
        <f aca="false">IF(AM$4=1,Inputs!$E$49,0)</f>
        <v>0</v>
      </c>
      <c r="AN67" s="53" t="n">
        <f aca="false">IF(AN$4=1,Inputs!$E$49,0)</f>
        <v>0</v>
      </c>
      <c r="AO67" s="53" t="n">
        <f aca="false">IF(AO$4=1,Inputs!$E$49,0)</f>
        <v>0</v>
      </c>
      <c r="AP67" s="53" t="n">
        <f aca="false">IF(AP$4=1,Inputs!$E$49,0)</f>
        <v>0</v>
      </c>
      <c r="AQ67" s="53" t="n">
        <f aca="false">IF(AQ$4=1,Inputs!$E$49,0)</f>
        <v>0</v>
      </c>
      <c r="AR67" s="53" t="n">
        <f aca="false">IF(AR$4=1,Inputs!$E$49,0)</f>
        <v>0</v>
      </c>
      <c r="AS67" s="53" t="n">
        <f aca="false">IF(AS$4=1,Inputs!$E$49,0)</f>
        <v>0</v>
      </c>
      <c r="AT67" s="53" t="n">
        <f aca="false">IF(AT$4=1,Inputs!$E$49,0)</f>
        <v>0</v>
      </c>
      <c r="AU67" s="53" t="n">
        <f aca="false">IF(AU$4=1,Inputs!$E$49,0)</f>
        <v>0</v>
      </c>
      <c r="AV67" s="53" t="n">
        <f aca="false">IF(AV$4=1,Inputs!$E$49,0)</f>
        <v>0</v>
      </c>
      <c r="AW67" s="53" t="n">
        <f aca="false">IF(AW$4=1,Inputs!$E$49,0)</f>
        <v>0</v>
      </c>
      <c r="AX67" s="53" t="n">
        <f aca="false">IF(AX$4=1,Inputs!$E$49,0)</f>
        <v>0</v>
      </c>
      <c r="AY67" s="53" t="n">
        <f aca="false">IF(AY$4=1,Inputs!$E$49,0)</f>
        <v>0</v>
      </c>
      <c r="AZ67" s="53" t="n">
        <f aca="false">IF(AZ$4=1,Inputs!$E$49,0)</f>
        <v>0</v>
      </c>
      <c r="BA67" s="53" t="n">
        <f aca="false">IF(BA$4=1,Inputs!$E$49,0)</f>
        <v>0</v>
      </c>
      <c r="BB67" s="53" t="n">
        <f aca="false">IF(BB$4=1,Inputs!$E$49,0)</f>
        <v>0</v>
      </c>
      <c r="BC67" s="53" t="n">
        <f aca="false">IF(BC$4=1,Inputs!$E$49,0)</f>
        <v>0</v>
      </c>
      <c r="BD67" s="53" t="n">
        <f aca="false">IF(BD$4=1,Inputs!$E$49,0)</f>
        <v>0</v>
      </c>
      <c r="BE67" s="53" t="n">
        <f aca="false">IF(BE$4=1,Inputs!$E$49,0)</f>
        <v>0</v>
      </c>
      <c r="BF67" s="53" t="n">
        <f aca="false">IF(BF$4=1,Inputs!$E$49,0)</f>
        <v>0</v>
      </c>
      <c r="BG67" s="53" t="n">
        <f aca="false">IF(BG$4=1,Inputs!$E$49,0)</f>
        <v>0</v>
      </c>
      <c r="BH67" s="53" t="n">
        <f aca="false">IF(BH$4=1,Inputs!$E$49,0)</f>
        <v>0</v>
      </c>
      <c r="BI67" s="53" t="n">
        <f aca="false">IF(BI$4=1,Inputs!$E$49,0)</f>
        <v>0</v>
      </c>
      <c r="BJ67" s="53" t="n">
        <f aca="false">IF(BJ$4=1,Inputs!$E$49,0)</f>
        <v>0</v>
      </c>
    </row>
    <row r="68" customFormat="false" ht="15" hidden="false" customHeight="false" outlineLevel="0" collapsed="false">
      <c r="A68" s="6" t="s">
        <v>419</v>
      </c>
      <c r="C68" s="53" t="n">
        <f aca="false">IF(C$4=1,Inputs!$E$50,0)</f>
        <v>2300000</v>
      </c>
      <c r="D68" s="53" t="n">
        <f aca="false">IF(D$4=1,Inputs!$E$50,0)</f>
        <v>0</v>
      </c>
      <c r="E68" s="53" t="n">
        <f aca="false">IF(E$4=1,Inputs!$E$50,0)</f>
        <v>0</v>
      </c>
      <c r="F68" s="53" t="n">
        <f aca="false">IF(F$4=1,Inputs!$E$50,0)</f>
        <v>0</v>
      </c>
      <c r="G68" s="53" t="n">
        <f aca="false">IF(G$4=1,Inputs!$E$50,0)</f>
        <v>0</v>
      </c>
      <c r="H68" s="53" t="n">
        <f aca="false">IF(H$4=1,Inputs!$E$50,0)</f>
        <v>0</v>
      </c>
      <c r="I68" s="53" t="n">
        <f aca="false">IF(I$4=1,Inputs!$E$50,0)</f>
        <v>0</v>
      </c>
      <c r="J68" s="53" t="n">
        <f aca="false">IF(J$4=1,Inputs!$E$50,0)</f>
        <v>0</v>
      </c>
      <c r="K68" s="53" t="n">
        <f aca="false">IF(K$4=1,Inputs!$E$50,0)</f>
        <v>0</v>
      </c>
      <c r="L68" s="53" t="n">
        <f aca="false">IF(L$4=1,Inputs!$E$50,0)</f>
        <v>0</v>
      </c>
      <c r="M68" s="53" t="n">
        <f aca="false">IF(M$4=1,Inputs!$E$50,0)</f>
        <v>0</v>
      </c>
      <c r="N68" s="53" t="n">
        <f aca="false">IF(N$4=1,Inputs!$E$50,0)</f>
        <v>0</v>
      </c>
      <c r="O68" s="53" t="n">
        <f aca="false">IF(O$4=1,Inputs!$E$50,0)</f>
        <v>0</v>
      </c>
      <c r="P68" s="53" t="n">
        <f aca="false">IF(P$4=1,Inputs!$E$50,0)</f>
        <v>0</v>
      </c>
      <c r="Q68" s="53" t="n">
        <f aca="false">IF(Q$4=1,Inputs!$E$50,0)</f>
        <v>0</v>
      </c>
      <c r="R68" s="53" t="n">
        <f aca="false">IF(R$4=1,Inputs!$E$50,0)</f>
        <v>0</v>
      </c>
      <c r="S68" s="53" t="n">
        <f aca="false">IF(S$4=1,Inputs!$E$50,0)</f>
        <v>0</v>
      </c>
      <c r="T68" s="53" t="n">
        <f aca="false">IF(T$4=1,Inputs!$E$50,0)</f>
        <v>0</v>
      </c>
      <c r="U68" s="53" t="n">
        <f aca="false">IF(U$4=1,Inputs!$E$50,0)</f>
        <v>0</v>
      </c>
      <c r="V68" s="53" t="n">
        <f aca="false">IF(V$4=1,Inputs!$E$50,0)</f>
        <v>0</v>
      </c>
      <c r="W68" s="53" t="n">
        <f aca="false">IF(W$4=1,Inputs!$E$50,0)</f>
        <v>0</v>
      </c>
      <c r="X68" s="53" t="n">
        <f aca="false">IF(X$4=1,Inputs!$E$50,0)</f>
        <v>0</v>
      </c>
      <c r="Y68" s="53" t="n">
        <f aca="false">IF(Y$4=1,Inputs!$E$50,0)</f>
        <v>0</v>
      </c>
      <c r="Z68" s="53" t="n">
        <f aca="false">IF(Z$4=1,Inputs!$E$50,0)</f>
        <v>0</v>
      </c>
      <c r="AA68" s="53" t="n">
        <f aca="false">IF(AA$4=1,Inputs!$E$50,0)</f>
        <v>0</v>
      </c>
      <c r="AB68" s="53" t="n">
        <f aca="false">IF(AB$4=1,Inputs!$E$50,0)</f>
        <v>0</v>
      </c>
      <c r="AC68" s="53" t="n">
        <f aca="false">IF(AC$4=1,Inputs!$E$50,0)</f>
        <v>0</v>
      </c>
      <c r="AD68" s="53" t="n">
        <f aca="false">IF(AD$4=1,Inputs!$E$50,0)</f>
        <v>0</v>
      </c>
      <c r="AE68" s="53" t="n">
        <f aca="false">IF(AE$4=1,Inputs!$E$50,0)</f>
        <v>0</v>
      </c>
      <c r="AF68" s="53" t="n">
        <f aca="false">IF(AF$4=1,Inputs!$E$50,0)</f>
        <v>0</v>
      </c>
      <c r="AG68" s="53" t="n">
        <f aca="false">IF(AG$4=1,Inputs!$E$50,0)</f>
        <v>0</v>
      </c>
      <c r="AH68" s="53" t="n">
        <f aca="false">IF(AH$4=1,Inputs!$E$50,0)</f>
        <v>0</v>
      </c>
      <c r="AI68" s="53" t="n">
        <f aca="false">IF(AI$4=1,Inputs!$E$50,0)</f>
        <v>0</v>
      </c>
      <c r="AJ68" s="53" t="n">
        <f aca="false">IF(AJ$4=1,Inputs!$E$50,0)</f>
        <v>0</v>
      </c>
      <c r="AK68" s="53" t="n">
        <f aca="false">IF(AK$4=1,Inputs!$E$50,0)</f>
        <v>0</v>
      </c>
      <c r="AL68" s="53" t="n">
        <f aca="false">IF(AL$4=1,Inputs!$E$50,0)</f>
        <v>0</v>
      </c>
      <c r="AM68" s="53" t="n">
        <f aca="false">IF(AM$4=1,Inputs!$E$50,0)</f>
        <v>0</v>
      </c>
      <c r="AN68" s="53" t="n">
        <f aca="false">IF(AN$4=1,Inputs!$E$50,0)</f>
        <v>0</v>
      </c>
      <c r="AO68" s="53" t="n">
        <f aca="false">IF(AO$4=1,Inputs!$E$50,0)</f>
        <v>0</v>
      </c>
      <c r="AP68" s="53" t="n">
        <f aca="false">IF(AP$4=1,Inputs!$E$50,0)</f>
        <v>0</v>
      </c>
      <c r="AQ68" s="53" t="n">
        <f aca="false">IF(AQ$4=1,Inputs!$E$50,0)</f>
        <v>0</v>
      </c>
      <c r="AR68" s="53" t="n">
        <f aca="false">IF(AR$4=1,Inputs!$E$50,0)</f>
        <v>0</v>
      </c>
      <c r="AS68" s="53" t="n">
        <f aca="false">IF(AS$4=1,Inputs!$E$50,0)</f>
        <v>0</v>
      </c>
      <c r="AT68" s="53" t="n">
        <f aca="false">IF(AT$4=1,Inputs!$E$50,0)</f>
        <v>0</v>
      </c>
      <c r="AU68" s="53" t="n">
        <f aca="false">IF(AU$4=1,Inputs!$E$50,0)</f>
        <v>0</v>
      </c>
      <c r="AV68" s="53" t="n">
        <f aca="false">IF(AV$4=1,Inputs!$E$50,0)</f>
        <v>0</v>
      </c>
      <c r="AW68" s="53" t="n">
        <f aca="false">IF(AW$4=1,Inputs!$E$50,0)</f>
        <v>0</v>
      </c>
      <c r="AX68" s="53" t="n">
        <f aca="false">IF(AX$4=1,Inputs!$E$50,0)</f>
        <v>0</v>
      </c>
      <c r="AY68" s="53" t="n">
        <f aca="false">IF(AY$4=1,Inputs!$E$50,0)</f>
        <v>0</v>
      </c>
      <c r="AZ68" s="53" t="n">
        <f aca="false">IF(AZ$4=1,Inputs!$E$50,0)</f>
        <v>0</v>
      </c>
      <c r="BA68" s="53" t="n">
        <f aca="false">IF(BA$4=1,Inputs!$E$50,0)</f>
        <v>0</v>
      </c>
      <c r="BB68" s="53" t="n">
        <f aca="false">IF(BB$4=1,Inputs!$E$50,0)</f>
        <v>0</v>
      </c>
      <c r="BC68" s="53" t="n">
        <f aca="false">IF(BC$4=1,Inputs!$E$50,0)</f>
        <v>0</v>
      </c>
      <c r="BD68" s="53" t="n">
        <f aca="false">IF(BD$4=1,Inputs!$E$50,0)</f>
        <v>0</v>
      </c>
      <c r="BE68" s="53" t="n">
        <f aca="false">IF(BE$4=1,Inputs!$E$50,0)</f>
        <v>0</v>
      </c>
      <c r="BF68" s="53" t="n">
        <f aca="false">IF(BF$4=1,Inputs!$E$50,0)</f>
        <v>0</v>
      </c>
      <c r="BG68" s="53" t="n">
        <f aca="false">IF(BG$4=1,Inputs!$E$50,0)</f>
        <v>0</v>
      </c>
      <c r="BH68" s="53" t="n">
        <f aca="false">IF(BH$4=1,Inputs!$E$50,0)</f>
        <v>0</v>
      </c>
      <c r="BI68" s="53" t="n">
        <f aca="false">IF(BI$4=1,Inputs!$E$50,0)</f>
        <v>0</v>
      </c>
      <c r="BJ68" s="53" t="n">
        <f aca="false">IF(BJ$4=1,Inputs!$E$50,0)</f>
        <v>0</v>
      </c>
    </row>
    <row r="69" customFormat="false" ht="15" hidden="false" customHeight="false" outlineLevel="0" collapsed="false">
      <c r="A69" s="6" t="s">
        <v>420</v>
      </c>
      <c r="C69" s="53" t="n">
        <f aca="false">IF(C$4=1,Inputs!$E$51,0)</f>
        <v>150000</v>
      </c>
      <c r="D69" s="53" t="n">
        <f aca="false">IF(D$4=1,Inputs!$E$51,0)</f>
        <v>0</v>
      </c>
      <c r="E69" s="53" t="n">
        <f aca="false">IF(E$4=1,Inputs!$E$51,0)</f>
        <v>0</v>
      </c>
      <c r="F69" s="53" t="n">
        <f aca="false">IF(F$4=1,Inputs!$E$51,0)</f>
        <v>0</v>
      </c>
      <c r="G69" s="53" t="n">
        <f aca="false">IF(G$4=1,Inputs!$E$51,0)</f>
        <v>0</v>
      </c>
      <c r="H69" s="53" t="n">
        <f aca="false">IF(H$4=1,Inputs!$E$51,0)</f>
        <v>0</v>
      </c>
      <c r="I69" s="53" t="n">
        <f aca="false">IF(I$4=1,Inputs!$E$51,0)</f>
        <v>0</v>
      </c>
      <c r="J69" s="53" t="n">
        <f aca="false">IF(J$4=1,Inputs!$E$51,0)</f>
        <v>0</v>
      </c>
      <c r="K69" s="53" t="n">
        <f aca="false">IF(K$4=1,Inputs!$E$51,0)</f>
        <v>0</v>
      </c>
      <c r="L69" s="53" t="n">
        <f aca="false">IF(L$4=1,Inputs!$E$51,0)</f>
        <v>0</v>
      </c>
      <c r="M69" s="53" t="n">
        <f aca="false">IF(M$4=1,Inputs!$E$51,0)</f>
        <v>0</v>
      </c>
      <c r="N69" s="53" t="n">
        <f aca="false">IF(N$4=1,Inputs!$E$51,0)</f>
        <v>0</v>
      </c>
      <c r="O69" s="53" t="n">
        <f aca="false">IF(O$4=1,Inputs!$E$51,0)</f>
        <v>0</v>
      </c>
      <c r="P69" s="53" t="n">
        <f aca="false">IF(P$4=1,Inputs!$E$51,0)</f>
        <v>0</v>
      </c>
      <c r="Q69" s="53" t="n">
        <f aca="false">IF(Q$4=1,Inputs!$E$51,0)</f>
        <v>0</v>
      </c>
      <c r="R69" s="53" t="n">
        <f aca="false">IF(R$4=1,Inputs!$E$51,0)</f>
        <v>0</v>
      </c>
      <c r="S69" s="53" t="n">
        <f aca="false">IF(S$4=1,Inputs!$E$51,0)</f>
        <v>0</v>
      </c>
      <c r="T69" s="53" t="n">
        <f aca="false">IF(T$4=1,Inputs!$E$51,0)</f>
        <v>0</v>
      </c>
      <c r="U69" s="53" t="n">
        <f aca="false">IF(U$4=1,Inputs!$E$51,0)</f>
        <v>0</v>
      </c>
      <c r="V69" s="53" t="n">
        <f aca="false">IF(V$4=1,Inputs!$E$51,0)</f>
        <v>0</v>
      </c>
      <c r="W69" s="53" t="n">
        <f aca="false">IF(W$4=1,Inputs!$E$51,0)</f>
        <v>0</v>
      </c>
      <c r="X69" s="53" t="n">
        <f aca="false">IF(X$4=1,Inputs!$E$51,0)</f>
        <v>0</v>
      </c>
      <c r="Y69" s="53" t="n">
        <f aca="false">IF(Y$4=1,Inputs!$E$51,0)</f>
        <v>0</v>
      </c>
      <c r="Z69" s="53" t="n">
        <f aca="false">IF(Z$4=1,Inputs!$E$51,0)</f>
        <v>0</v>
      </c>
      <c r="AA69" s="53" t="n">
        <f aca="false">IF(AA$4=1,Inputs!$E$51,0)</f>
        <v>0</v>
      </c>
      <c r="AB69" s="53" t="n">
        <f aca="false">IF(AB$4=1,Inputs!$E$51,0)</f>
        <v>0</v>
      </c>
      <c r="AC69" s="53" t="n">
        <f aca="false">IF(AC$4=1,Inputs!$E$51,0)</f>
        <v>0</v>
      </c>
      <c r="AD69" s="53" t="n">
        <f aca="false">IF(AD$4=1,Inputs!$E$51,0)</f>
        <v>0</v>
      </c>
      <c r="AE69" s="53" t="n">
        <f aca="false">IF(AE$4=1,Inputs!$E$51,0)</f>
        <v>0</v>
      </c>
      <c r="AF69" s="53" t="n">
        <f aca="false">IF(AF$4=1,Inputs!$E$51,0)</f>
        <v>0</v>
      </c>
      <c r="AG69" s="53" t="n">
        <f aca="false">IF(AG$4=1,Inputs!$E$51,0)</f>
        <v>0</v>
      </c>
      <c r="AH69" s="53" t="n">
        <f aca="false">IF(AH$4=1,Inputs!$E$51,0)</f>
        <v>0</v>
      </c>
      <c r="AI69" s="53" t="n">
        <f aca="false">IF(AI$4=1,Inputs!$E$51,0)</f>
        <v>0</v>
      </c>
      <c r="AJ69" s="53" t="n">
        <f aca="false">IF(AJ$4=1,Inputs!$E$51,0)</f>
        <v>0</v>
      </c>
      <c r="AK69" s="53" t="n">
        <f aca="false">IF(AK$4=1,Inputs!$E$51,0)</f>
        <v>0</v>
      </c>
      <c r="AL69" s="53" t="n">
        <f aca="false">IF(AL$4=1,Inputs!$E$51,0)</f>
        <v>0</v>
      </c>
      <c r="AM69" s="53" t="n">
        <f aca="false">IF(AM$4=1,Inputs!$E$51,0)</f>
        <v>0</v>
      </c>
      <c r="AN69" s="53" t="n">
        <f aca="false">IF(AN$4=1,Inputs!$E$51,0)</f>
        <v>0</v>
      </c>
      <c r="AO69" s="53" t="n">
        <f aca="false">IF(AO$4=1,Inputs!$E$51,0)</f>
        <v>0</v>
      </c>
      <c r="AP69" s="53" t="n">
        <f aca="false">IF(AP$4=1,Inputs!$E$51,0)</f>
        <v>0</v>
      </c>
      <c r="AQ69" s="53" t="n">
        <f aca="false">IF(AQ$4=1,Inputs!$E$51,0)</f>
        <v>0</v>
      </c>
      <c r="AR69" s="53" t="n">
        <f aca="false">IF(AR$4=1,Inputs!$E$51,0)</f>
        <v>0</v>
      </c>
      <c r="AS69" s="53" t="n">
        <f aca="false">IF(AS$4=1,Inputs!$E$51,0)</f>
        <v>0</v>
      </c>
      <c r="AT69" s="53" t="n">
        <f aca="false">IF(AT$4=1,Inputs!$E$51,0)</f>
        <v>0</v>
      </c>
      <c r="AU69" s="53" t="n">
        <f aca="false">IF(AU$4=1,Inputs!$E$51,0)</f>
        <v>0</v>
      </c>
      <c r="AV69" s="53" t="n">
        <f aca="false">IF(AV$4=1,Inputs!$E$51,0)</f>
        <v>0</v>
      </c>
      <c r="AW69" s="53" t="n">
        <f aca="false">IF(AW$4=1,Inputs!$E$51,0)</f>
        <v>0</v>
      </c>
      <c r="AX69" s="53" t="n">
        <f aca="false">IF(AX$4=1,Inputs!$E$51,0)</f>
        <v>0</v>
      </c>
      <c r="AY69" s="53" t="n">
        <f aca="false">IF(AY$4=1,Inputs!$E$51,0)</f>
        <v>0</v>
      </c>
      <c r="AZ69" s="53" t="n">
        <f aca="false">IF(AZ$4=1,Inputs!$E$51,0)</f>
        <v>0</v>
      </c>
      <c r="BA69" s="53" t="n">
        <f aca="false">IF(BA$4=1,Inputs!$E$51,0)</f>
        <v>0</v>
      </c>
      <c r="BB69" s="53" t="n">
        <f aca="false">IF(BB$4=1,Inputs!$E$51,0)</f>
        <v>0</v>
      </c>
      <c r="BC69" s="53" t="n">
        <f aca="false">IF(BC$4=1,Inputs!$E$51,0)</f>
        <v>0</v>
      </c>
      <c r="BD69" s="53" t="n">
        <f aca="false">IF(BD$4=1,Inputs!$E$51,0)</f>
        <v>0</v>
      </c>
      <c r="BE69" s="53" t="n">
        <f aca="false">IF(BE$4=1,Inputs!$E$51,0)</f>
        <v>0</v>
      </c>
      <c r="BF69" s="53" t="n">
        <f aca="false">IF(BF$4=1,Inputs!$E$51,0)</f>
        <v>0</v>
      </c>
      <c r="BG69" s="53" t="n">
        <f aca="false">IF(BG$4=1,Inputs!$E$51,0)</f>
        <v>0</v>
      </c>
      <c r="BH69" s="53" t="n">
        <f aca="false">IF(BH$4=1,Inputs!$E$51,0)</f>
        <v>0</v>
      </c>
      <c r="BI69" s="53" t="n">
        <f aca="false">IF(BI$4=1,Inputs!$E$51,0)</f>
        <v>0</v>
      </c>
      <c r="BJ69" s="53" t="n">
        <f aca="false">IF(BJ$4=1,Inputs!$E$51,0)</f>
        <v>0</v>
      </c>
    </row>
    <row r="70" customFormat="false" ht="15" hidden="false" customHeight="false" outlineLevel="0" collapsed="false">
      <c r="A70" s="6" t="s">
        <v>421</v>
      </c>
      <c r="C70" s="53" t="n">
        <f aca="false">IF(AND(C$5&gt;1,MOD(C$4-1,12)=0),Inputs!$E$52,0)</f>
        <v>0</v>
      </c>
      <c r="D70" s="53" t="n">
        <f aca="false">IF(AND(D$5&gt;1,MOD(D$4-1,12)=0),Inputs!$E$52,0)</f>
        <v>0</v>
      </c>
      <c r="E70" s="53" t="n">
        <f aca="false">IF(AND(E$5&gt;1,MOD(E$4-1,12)=0),Inputs!$E$52,0)</f>
        <v>0</v>
      </c>
      <c r="F70" s="53" t="n">
        <f aca="false">IF(AND(F$5&gt;1,MOD(F$4-1,12)=0),Inputs!$E$52,0)</f>
        <v>0</v>
      </c>
      <c r="G70" s="53" t="n">
        <f aca="false">IF(AND(G$5&gt;1,MOD(G$4-1,12)=0),Inputs!$E$52,0)</f>
        <v>0</v>
      </c>
      <c r="H70" s="53" t="n">
        <f aca="false">IF(AND(H$5&gt;1,MOD(H$4-1,12)=0),Inputs!$E$52,0)</f>
        <v>0</v>
      </c>
      <c r="I70" s="53" t="n">
        <f aca="false">IF(AND(I$5&gt;1,MOD(I$4-1,12)=0),Inputs!$E$52,0)</f>
        <v>0</v>
      </c>
      <c r="J70" s="53" t="n">
        <f aca="false">IF(AND(J$5&gt;1,MOD(J$4-1,12)=0),Inputs!$E$52,0)</f>
        <v>0</v>
      </c>
      <c r="K70" s="53" t="n">
        <f aca="false">IF(AND(K$5&gt;1,MOD(K$4-1,12)=0),Inputs!$E$52,0)</f>
        <v>0</v>
      </c>
      <c r="L70" s="53" t="n">
        <f aca="false">IF(AND(L$5&gt;1,MOD(L$4-1,12)=0),Inputs!$E$52,0)</f>
        <v>0</v>
      </c>
      <c r="M70" s="53" t="n">
        <f aca="false">IF(AND(M$5&gt;1,MOD(M$4-1,12)=0),Inputs!$E$52,0)</f>
        <v>0</v>
      </c>
      <c r="N70" s="53" t="n">
        <f aca="false">IF(AND(N$5&gt;1,MOD(N$4-1,12)=0),Inputs!$E$52,0)</f>
        <v>0</v>
      </c>
      <c r="O70" s="53" t="n">
        <f aca="false">IF(AND(O$5&gt;1,MOD(O$4-1,12)=0),Inputs!$E$52,0)</f>
        <v>40000</v>
      </c>
      <c r="P70" s="53" t="n">
        <f aca="false">IF(AND(P$5&gt;1,MOD(P$4-1,12)=0),Inputs!$E$52,0)</f>
        <v>0</v>
      </c>
      <c r="Q70" s="53" t="n">
        <f aca="false">IF(AND(Q$5&gt;1,MOD(Q$4-1,12)=0),Inputs!$E$52,0)</f>
        <v>0</v>
      </c>
      <c r="R70" s="53" t="n">
        <f aca="false">IF(AND(R$5&gt;1,MOD(R$4-1,12)=0),Inputs!$E$52,0)</f>
        <v>0</v>
      </c>
      <c r="S70" s="53" t="n">
        <f aca="false">IF(AND(S$5&gt;1,MOD(S$4-1,12)=0),Inputs!$E$52,0)</f>
        <v>0</v>
      </c>
      <c r="T70" s="53" t="n">
        <f aca="false">IF(AND(T$5&gt;1,MOD(T$4-1,12)=0),Inputs!$E$52,0)</f>
        <v>0</v>
      </c>
      <c r="U70" s="53" t="n">
        <f aca="false">IF(AND(U$5&gt;1,MOD(U$4-1,12)=0),Inputs!$E$52,0)</f>
        <v>0</v>
      </c>
      <c r="V70" s="53" t="n">
        <f aca="false">IF(AND(V$5&gt;1,MOD(V$4-1,12)=0),Inputs!$E$52,0)</f>
        <v>0</v>
      </c>
      <c r="W70" s="53" t="n">
        <f aca="false">IF(AND(W$5&gt;1,MOD(W$4-1,12)=0),Inputs!$E$52,0)</f>
        <v>0</v>
      </c>
      <c r="X70" s="53" t="n">
        <f aca="false">IF(AND(X$5&gt;1,MOD(X$4-1,12)=0),Inputs!$E$52,0)</f>
        <v>0</v>
      </c>
      <c r="Y70" s="53" t="n">
        <f aca="false">IF(AND(Y$5&gt;1,MOD(Y$4-1,12)=0),Inputs!$E$52,0)</f>
        <v>0</v>
      </c>
      <c r="Z70" s="53" t="n">
        <f aca="false">IF(AND(Z$5&gt;1,MOD(Z$4-1,12)=0),Inputs!$E$52,0)</f>
        <v>0</v>
      </c>
      <c r="AA70" s="53" t="n">
        <f aca="false">IF(AND(AA$5&gt;1,MOD(AA$4-1,12)=0),Inputs!$E$52,0)</f>
        <v>40000</v>
      </c>
      <c r="AB70" s="53" t="n">
        <f aca="false">IF(AND(AB$5&gt;1,MOD(AB$4-1,12)=0),Inputs!$E$52,0)</f>
        <v>0</v>
      </c>
      <c r="AC70" s="53" t="n">
        <f aca="false">IF(AND(AC$5&gt;1,MOD(AC$4-1,12)=0),Inputs!$E$52,0)</f>
        <v>0</v>
      </c>
      <c r="AD70" s="53" t="n">
        <f aca="false">IF(AND(AD$5&gt;1,MOD(AD$4-1,12)=0),Inputs!$E$52,0)</f>
        <v>0</v>
      </c>
      <c r="AE70" s="53" t="n">
        <f aca="false">IF(AND(AE$5&gt;1,MOD(AE$4-1,12)=0),Inputs!$E$52,0)</f>
        <v>0</v>
      </c>
      <c r="AF70" s="53" t="n">
        <f aca="false">IF(AND(AF$5&gt;1,MOD(AF$4-1,12)=0),Inputs!$E$52,0)</f>
        <v>0</v>
      </c>
      <c r="AG70" s="53" t="n">
        <f aca="false">IF(AND(AG$5&gt;1,MOD(AG$4-1,12)=0),Inputs!$E$52,0)</f>
        <v>0</v>
      </c>
      <c r="AH70" s="53" t="n">
        <f aca="false">IF(AND(AH$5&gt;1,MOD(AH$4-1,12)=0),Inputs!$E$52,0)</f>
        <v>0</v>
      </c>
      <c r="AI70" s="53" t="n">
        <f aca="false">IF(AND(AI$5&gt;1,MOD(AI$4-1,12)=0),Inputs!$E$52,0)</f>
        <v>0</v>
      </c>
      <c r="AJ70" s="53" t="n">
        <f aca="false">IF(AND(AJ$5&gt;1,MOD(AJ$4-1,12)=0),Inputs!$E$52,0)</f>
        <v>0</v>
      </c>
      <c r="AK70" s="53" t="n">
        <f aca="false">IF(AND(AK$5&gt;1,MOD(AK$4-1,12)=0),Inputs!$E$52,0)</f>
        <v>0</v>
      </c>
      <c r="AL70" s="53" t="n">
        <f aca="false">IF(AND(AL$5&gt;1,MOD(AL$4-1,12)=0),Inputs!$E$52,0)</f>
        <v>0</v>
      </c>
      <c r="AM70" s="53" t="n">
        <f aca="false">IF(AND(AM$5&gt;1,MOD(AM$4-1,12)=0),Inputs!$E$52,0)</f>
        <v>40000</v>
      </c>
      <c r="AN70" s="53" t="n">
        <f aca="false">IF(AND(AN$5&gt;1,MOD(AN$4-1,12)=0),Inputs!$E$52,0)</f>
        <v>0</v>
      </c>
      <c r="AO70" s="53" t="n">
        <f aca="false">IF(AND(AO$5&gt;1,MOD(AO$4-1,12)=0),Inputs!$E$52,0)</f>
        <v>0</v>
      </c>
      <c r="AP70" s="53" t="n">
        <f aca="false">IF(AND(AP$5&gt;1,MOD(AP$4-1,12)=0),Inputs!$E$52,0)</f>
        <v>0</v>
      </c>
      <c r="AQ70" s="53" t="n">
        <f aca="false">IF(AND(AQ$5&gt;1,MOD(AQ$4-1,12)=0),Inputs!$E$52,0)</f>
        <v>0</v>
      </c>
      <c r="AR70" s="53" t="n">
        <f aca="false">IF(AND(AR$5&gt;1,MOD(AR$4-1,12)=0),Inputs!$E$52,0)</f>
        <v>0</v>
      </c>
      <c r="AS70" s="53" t="n">
        <f aca="false">IF(AND(AS$5&gt;1,MOD(AS$4-1,12)=0),Inputs!$E$52,0)</f>
        <v>0</v>
      </c>
      <c r="AT70" s="53" t="n">
        <f aca="false">IF(AND(AT$5&gt;1,MOD(AT$4-1,12)=0),Inputs!$E$52,0)</f>
        <v>0</v>
      </c>
      <c r="AU70" s="53" t="n">
        <f aca="false">IF(AND(AU$5&gt;1,MOD(AU$4-1,12)=0),Inputs!$E$52,0)</f>
        <v>0</v>
      </c>
      <c r="AV70" s="53" t="n">
        <f aca="false">IF(AND(AV$5&gt;1,MOD(AV$4-1,12)=0),Inputs!$E$52,0)</f>
        <v>0</v>
      </c>
      <c r="AW70" s="53" t="n">
        <f aca="false">IF(AND(AW$5&gt;1,MOD(AW$4-1,12)=0),Inputs!$E$52,0)</f>
        <v>0</v>
      </c>
      <c r="AX70" s="53" t="n">
        <f aca="false">IF(AND(AX$5&gt;1,MOD(AX$4-1,12)=0),Inputs!$E$52,0)</f>
        <v>0</v>
      </c>
      <c r="AY70" s="53" t="n">
        <f aca="false">IF(AND(AY$5&gt;1,MOD(AY$4-1,12)=0),Inputs!$E$52,0)</f>
        <v>40000</v>
      </c>
      <c r="AZ70" s="53" t="n">
        <f aca="false">IF(AND(AZ$5&gt;1,MOD(AZ$4-1,12)=0),Inputs!$E$52,0)</f>
        <v>0</v>
      </c>
      <c r="BA70" s="53" t="n">
        <f aca="false">IF(AND(BA$5&gt;1,MOD(BA$4-1,12)=0),Inputs!$E$52,0)</f>
        <v>0</v>
      </c>
      <c r="BB70" s="53" t="n">
        <f aca="false">IF(AND(BB$5&gt;1,MOD(BB$4-1,12)=0),Inputs!$E$52,0)</f>
        <v>0</v>
      </c>
      <c r="BC70" s="53" t="n">
        <f aca="false">IF(AND(BC$5&gt;1,MOD(BC$4-1,12)=0),Inputs!$E$52,0)</f>
        <v>0</v>
      </c>
      <c r="BD70" s="53" t="n">
        <f aca="false">IF(AND(BD$5&gt;1,MOD(BD$4-1,12)=0),Inputs!$E$52,0)</f>
        <v>0</v>
      </c>
      <c r="BE70" s="53" t="n">
        <f aca="false">IF(AND(BE$5&gt;1,MOD(BE$4-1,12)=0),Inputs!$E$52,0)</f>
        <v>0</v>
      </c>
      <c r="BF70" s="53" t="n">
        <f aca="false">IF(AND(BF$5&gt;1,MOD(BF$4-1,12)=0),Inputs!$E$52,0)</f>
        <v>0</v>
      </c>
      <c r="BG70" s="53" t="n">
        <f aca="false">IF(AND(BG$5&gt;1,MOD(BG$4-1,12)=0),Inputs!$E$52,0)</f>
        <v>0</v>
      </c>
      <c r="BH70" s="53" t="n">
        <f aca="false">IF(AND(BH$5&gt;1,MOD(BH$4-1,12)=0),Inputs!$E$52,0)</f>
        <v>0</v>
      </c>
      <c r="BI70" s="53" t="n">
        <f aca="false">IF(AND(BI$5&gt;1,MOD(BI$4-1,12)=0),Inputs!$E$52,0)</f>
        <v>0</v>
      </c>
      <c r="BJ70" s="53" t="n">
        <f aca="false">IF(AND(BJ$5&gt;1,MOD(BJ$4-1,12)=0),Inputs!$E$52,0)</f>
        <v>0</v>
      </c>
    </row>
    <row r="71" customFormat="false" ht="15" hidden="false" customHeight="false" outlineLevel="0" collapsed="false">
      <c r="A71" s="4" t="s">
        <v>82</v>
      </c>
      <c r="C71" s="60" t="n">
        <f aca="false">C67+C68+C69+C70</f>
        <v>4100000</v>
      </c>
      <c r="D71" s="60" t="n">
        <f aca="false">D67+D68+D69+D70</f>
        <v>0</v>
      </c>
      <c r="E71" s="60" t="n">
        <f aca="false">E67+E68+E69+E70</f>
        <v>0</v>
      </c>
      <c r="F71" s="60" t="n">
        <f aca="false">F67+F68+F69+F70</f>
        <v>0</v>
      </c>
      <c r="G71" s="60" t="n">
        <f aca="false">G67+G68+G69+G70</f>
        <v>0</v>
      </c>
      <c r="H71" s="60" t="n">
        <f aca="false">H67+H68+H69+H70</f>
        <v>0</v>
      </c>
      <c r="I71" s="60" t="n">
        <f aca="false">I67+I68+I69+I70</f>
        <v>0</v>
      </c>
      <c r="J71" s="60" t="n">
        <f aca="false">J67+J68+J69+J70</f>
        <v>0</v>
      </c>
      <c r="K71" s="60" t="n">
        <f aca="false">K67+K68+K69+K70</f>
        <v>0</v>
      </c>
      <c r="L71" s="60" t="n">
        <f aca="false">L67+L68+L69+L70</f>
        <v>0</v>
      </c>
      <c r="M71" s="60" t="n">
        <f aca="false">M67+M68+M69+M70</f>
        <v>0</v>
      </c>
      <c r="N71" s="60" t="n">
        <f aca="false">N67+N68+N69+N70</f>
        <v>0</v>
      </c>
      <c r="O71" s="60" t="n">
        <f aca="false">O67+O68+O69+O70</f>
        <v>40000</v>
      </c>
      <c r="P71" s="60" t="n">
        <f aca="false">P67+P68+P69+P70</f>
        <v>0</v>
      </c>
      <c r="Q71" s="60" t="n">
        <f aca="false">Q67+Q68+Q69+Q70</f>
        <v>0</v>
      </c>
      <c r="R71" s="60" t="n">
        <f aca="false">R67+R68+R69+R70</f>
        <v>0</v>
      </c>
      <c r="S71" s="60" t="n">
        <f aca="false">S67+S68+S69+S70</f>
        <v>0</v>
      </c>
      <c r="T71" s="60" t="n">
        <f aca="false">T67+T68+T69+T70</f>
        <v>0</v>
      </c>
      <c r="U71" s="60" t="n">
        <f aca="false">U67+U68+U69+U70</f>
        <v>0</v>
      </c>
      <c r="V71" s="60" t="n">
        <f aca="false">V67+V68+V69+V70</f>
        <v>0</v>
      </c>
      <c r="W71" s="60" t="n">
        <f aca="false">W67+W68+W69+W70</f>
        <v>0</v>
      </c>
      <c r="X71" s="60" t="n">
        <f aca="false">X67+X68+X69+X70</f>
        <v>0</v>
      </c>
      <c r="Y71" s="60" t="n">
        <f aca="false">Y67+Y68+Y69+Y70</f>
        <v>0</v>
      </c>
      <c r="Z71" s="60" t="n">
        <f aca="false">Z67+Z68+Z69+Z70</f>
        <v>0</v>
      </c>
      <c r="AA71" s="60" t="n">
        <f aca="false">AA67+AA68+AA69+AA70</f>
        <v>40000</v>
      </c>
      <c r="AB71" s="60" t="n">
        <f aca="false">AB67+AB68+AB69+AB70</f>
        <v>0</v>
      </c>
      <c r="AC71" s="60" t="n">
        <f aca="false">AC67+AC68+AC69+AC70</f>
        <v>0</v>
      </c>
      <c r="AD71" s="60" t="n">
        <f aca="false">AD67+AD68+AD69+AD70</f>
        <v>0</v>
      </c>
      <c r="AE71" s="60" t="n">
        <f aca="false">AE67+AE68+AE69+AE70</f>
        <v>0</v>
      </c>
      <c r="AF71" s="60" t="n">
        <f aca="false">AF67+AF68+AF69+AF70</f>
        <v>0</v>
      </c>
      <c r="AG71" s="60" t="n">
        <f aca="false">AG67+AG68+AG69+AG70</f>
        <v>0</v>
      </c>
      <c r="AH71" s="60" t="n">
        <f aca="false">AH67+AH68+AH69+AH70</f>
        <v>0</v>
      </c>
      <c r="AI71" s="60" t="n">
        <f aca="false">AI67+AI68+AI69+AI70</f>
        <v>0</v>
      </c>
      <c r="AJ71" s="60" t="n">
        <f aca="false">AJ67+AJ68+AJ69+AJ70</f>
        <v>0</v>
      </c>
      <c r="AK71" s="60" t="n">
        <f aca="false">AK67+AK68+AK69+AK70</f>
        <v>0</v>
      </c>
      <c r="AL71" s="60" t="n">
        <f aca="false">AL67+AL68+AL69+AL70</f>
        <v>0</v>
      </c>
      <c r="AM71" s="60" t="n">
        <f aca="false">AM67+AM68+AM69+AM70</f>
        <v>40000</v>
      </c>
      <c r="AN71" s="60" t="n">
        <f aca="false">AN67+AN68+AN69+AN70</f>
        <v>0</v>
      </c>
      <c r="AO71" s="60" t="n">
        <f aca="false">AO67+AO68+AO69+AO70</f>
        <v>0</v>
      </c>
      <c r="AP71" s="60" t="n">
        <f aca="false">AP67+AP68+AP69+AP70</f>
        <v>0</v>
      </c>
      <c r="AQ71" s="60" t="n">
        <f aca="false">AQ67+AQ68+AQ69+AQ70</f>
        <v>0</v>
      </c>
      <c r="AR71" s="60" t="n">
        <f aca="false">AR67+AR68+AR69+AR70</f>
        <v>0</v>
      </c>
      <c r="AS71" s="60" t="n">
        <f aca="false">AS67+AS68+AS69+AS70</f>
        <v>0</v>
      </c>
      <c r="AT71" s="60" t="n">
        <f aca="false">AT67+AT68+AT69+AT70</f>
        <v>0</v>
      </c>
      <c r="AU71" s="60" t="n">
        <f aca="false">AU67+AU68+AU69+AU70</f>
        <v>0</v>
      </c>
      <c r="AV71" s="60" t="n">
        <f aca="false">AV67+AV68+AV69+AV70</f>
        <v>0</v>
      </c>
      <c r="AW71" s="60" t="n">
        <f aca="false">AW67+AW68+AW69+AW70</f>
        <v>0</v>
      </c>
      <c r="AX71" s="60" t="n">
        <f aca="false">AX67+AX68+AX69+AX70</f>
        <v>0</v>
      </c>
      <c r="AY71" s="60" t="n">
        <f aca="false">AY67+AY68+AY69+AY70</f>
        <v>40000</v>
      </c>
      <c r="AZ71" s="60" t="n">
        <f aca="false">AZ67+AZ68+AZ69+AZ70</f>
        <v>0</v>
      </c>
      <c r="BA71" s="60" t="n">
        <f aca="false">BA67+BA68+BA69+BA70</f>
        <v>0</v>
      </c>
      <c r="BB71" s="60" t="n">
        <f aca="false">BB67+BB68+BB69+BB70</f>
        <v>0</v>
      </c>
      <c r="BC71" s="60" t="n">
        <f aca="false">BC67+BC68+BC69+BC70</f>
        <v>0</v>
      </c>
      <c r="BD71" s="60" t="n">
        <f aca="false">BD67+BD68+BD69+BD70</f>
        <v>0</v>
      </c>
      <c r="BE71" s="60" t="n">
        <f aca="false">BE67+BE68+BE69+BE70</f>
        <v>0</v>
      </c>
      <c r="BF71" s="60" t="n">
        <f aca="false">BF67+BF68+BF69+BF70</f>
        <v>0</v>
      </c>
      <c r="BG71" s="60" t="n">
        <f aca="false">BG67+BG68+BG69+BG70</f>
        <v>0</v>
      </c>
      <c r="BH71" s="60" t="n">
        <f aca="false">BH67+BH68+BH69+BH70</f>
        <v>0</v>
      </c>
      <c r="BI71" s="60" t="n">
        <f aca="false">BI67+BI68+BI69+BI70</f>
        <v>0</v>
      </c>
      <c r="BJ71" s="60" t="n">
        <f aca="false">BJ67+BJ68+BJ69+BJ70</f>
        <v>0</v>
      </c>
    </row>
    <row r="72" customFormat="false" ht="15" hidden="false" customHeight="false" outlineLevel="0" collapsed="false">
      <c r="A72" s="6" t="s">
        <v>422</v>
      </c>
      <c r="C72" s="53" t="n">
        <f aca="false">C71</f>
        <v>4100000</v>
      </c>
      <c r="D72" s="53" t="n">
        <f aca="false">C72+D71</f>
        <v>4100000</v>
      </c>
      <c r="E72" s="53" t="n">
        <f aca="false">D72+E71</f>
        <v>4100000</v>
      </c>
      <c r="F72" s="53" t="n">
        <f aca="false">E72+F71</f>
        <v>4100000</v>
      </c>
      <c r="G72" s="53" t="n">
        <f aca="false">F72+G71</f>
        <v>4100000</v>
      </c>
      <c r="H72" s="53" t="n">
        <f aca="false">G72+H71</f>
        <v>4100000</v>
      </c>
      <c r="I72" s="53" t="n">
        <f aca="false">H72+I71</f>
        <v>4100000</v>
      </c>
      <c r="J72" s="53" t="n">
        <f aca="false">I72+J71</f>
        <v>4100000</v>
      </c>
      <c r="K72" s="53" t="n">
        <f aca="false">J72+K71</f>
        <v>4100000</v>
      </c>
      <c r="L72" s="53" t="n">
        <f aca="false">K72+L71</f>
        <v>4100000</v>
      </c>
      <c r="M72" s="53" t="n">
        <f aca="false">L72+M71</f>
        <v>4100000</v>
      </c>
      <c r="N72" s="53" t="n">
        <f aca="false">M72+N71</f>
        <v>4100000</v>
      </c>
      <c r="O72" s="53" t="n">
        <f aca="false">N72+O71</f>
        <v>4140000</v>
      </c>
      <c r="P72" s="53" t="n">
        <f aca="false">O72+P71</f>
        <v>4140000</v>
      </c>
      <c r="Q72" s="53" t="n">
        <f aca="false">P72+Q71</f>
        <v>4140000</v>
      </c>
      <c r="R72" s="53" t="n">
        <f aca="false">Q72+R71</f>
        <v>4140000</v>
      </c>
      <c r="S72" s="53" t="n">
        <f aca="false">R72+S71</f>
        <v>4140000</v>
      </c>
      <c r="T72" s="53" t="n">
        <f aca="false">S72+T71</f>
        <v>4140000</v>
      </c>
      <c r="U72" s="53" t="n">
        <f aca="false">T72+U71</f>
        <v>4140000</v>
      </c>
      <c r="V72" s="53" t="n">
        <f aca="false">U72+V71</f>
        <v>4140000</v>
      </c>
      <c r="W72" s="53" t="n">
        <f aca="false">V72+W71</f>
        <v>4140000</v>
      </c>
      <c r="X72" s="53" t="n">
        <f aca="false">W72+X71</f>
        <v>4140000</v>
      </c>
      <c r="Y72" s="53" t="n">
        <f aca="false">X72+Y71</f>
        <v>4140000</v>
      </c>
      <c r="Z72" s="53" t="n">
        <f aca="false">Y72+Z71</f>
        <v>4140000</v>
      </c>
      <c r="AA72" s="53" t="n">
        <f aca="false">Z72+AA71</f>
        <v>4180000</v>
      </c>
      <c r="AB72" s="53" t="n">
        <f aca="false">AA72+AB71</f>
        <v>4180000</v>
      </c>
      <c r="AC72" s="53" t="n">
        <f aca="false">AB72+AC71</f>
        <v>4180000</v>
      </c>
      <c r="AD72" s="53" t="n">
        <f aca="false">AC72+AD71</f>
        <v>4180000</v>
      </c>
      <c r="AE72" s="53" t="n">
        <f aca="false">AD72+AE71</f>
        <v>4180000</v>
      </c>
      <c r="AF72" s="53" t="n">
        <f aca="false">AE72+AF71</f>
        <v>4180000</v>
      </c>
      <c r="AG72" s="53" t="n">
        <f aca="false">AF72+AG71</f>
        <v>4180000</v>
      </c>
      <c r="AH72" s="53" t="n">
        <f aca="false">AG72+AH71</f>
        <v>4180000</v>
      </c>
      <c r="AI72" s="53" t="n">
        <f aca="false">AH72+AI71</f>
        <v>4180000</v>
      </c>
      <c r="AJ72" s="53" t="n">
        <f aca="false">AI72+AJ71</f>
        <v>4180000</v>
      </c>
      <c r="AK72" s="53" t="n">
        <f aca="false">AJ72+AK71</f>
        <v>4180000</v>
      </c>
      <c r="AL72" s="53" t="n">
        <f aca="false">AK72+AL71</f>
        <v>4180000</v>
      </c>
      <c r="AM72" s="53" t="n">
        <f aca="false">AL72+AM71</f>
        <v>4220000</v>
      </c>
      <c r="AN72" s="53" t="n">
        <f aca="false">AM72+AN71</f>
        <v>4220000</v>
      </c>
      <c r="AO72" s="53" t="n">
        <f aca="false">AN72+AO71</f>
        <v>4220000</v>
      </c>
      <c r="AP72" s="53" t="n">
        <f aca="false">AO72+AP71</f>
        <v>4220000</v>
      </c>
      <c r="AQ72" s="53" t="n">
        <f aca="false">AP72+AQ71</f>
        <v>4220000</v>
      </c>
      <c r="AR72" s="53" t="n">
        <f aca="false">AQ72+AR71</f>
        <v>4220000</v>
      </c>
      <c r="AS72" s="53" t="n">
        <f aca="false">AR72+AS71</f>
        <v>4220000</v>
      </c>
      <c r="AT72" s="53" t="n">
        <f aca="false">AS72+AT71</f>
        <v>4220000</v>
      </c>
      <c r="AU72" s="53" t="n">
        <f aca="false">AT72+AU71</f>
        <v>4220000</v>
      </c>
      <c r="AV72" s="53" t="n">
        <f aca="false">AU72+AV71</f>
        <v>4220000</v>
      </c>
      <c r="AW72" s="53" t="n">
        <f aca="false">AV72+AW71</f>
        <v>4220000</v>
      </c>
      <c r="AX72" s="53" t="n">
        <f aca="false">AW72+AX71</f>
        <v>4220000</v>
      </c>
      <c r="AY72" s="53" t="n">
        <f aca="false">AX72+AY71</f>
        <v>4260000</v>
      </c>
      <c r="AZ72" s="53" t="n">
        <f aca="false">AY72+AZ71</f>
        <v>4260000</v>
      </c>
      <c r="BA72" s="53" t="n">
        <f aca="false">AZ72+BA71</f>
        <v>4260000</v>
      </c>
      <c r="BB72" s="53" t="n">
        <f aca="false">BA72+BB71</f>
        <v>4260000</v>
      </c>
      <c r="BC72" s="53" t="n">
        <f aca="false">BB72+BC71</f>
        <v>4260000</v>
      </c>
      <c r="BD72" s="53" t="n">
        <f aca="false">BC72+BD71</f>
        <v>4260000</v>
      </c>
      <c r="BE72" s="53" t="n">
        <f aca="false">BD72+BE71</f>
        <v>4260000</v>
      </c>
      <c r="BF72" s="53" t="n">
        <f aca="false">BE72+BF71</f>
        <v>4260000</v>
      </c>
      <c r="BG72" s="53" t="n">
        <f aca="false">BF72+BG71</f>
        <v>4260000</v>
      </c>
      <c r="BH72" s="53" t="n">
        <f aca="false">BG72+BH71</f>
        <v>4260000</v>
      </c>
      <c r="BI72" s="53" t="n">
        <f aca="false">BH72+BI71</f>
        <v>4260000</v>
      </c>
      <c r="BJ72" s="53" t="n">
        <f aca="false">BI72+BJ71</f>
        <v>4260000</v>
      </c>
    </row>
    <row r="73" customFormat="false" ht="15" hidden="false" customHeight="false" outlineLevel="0" collapsed="false">
      <c r="A73" s="6" t="s">
        <v>76</v>
      </c>
      <c r="C73" s="53" t="n">
        <f aca="false">-MIN(C72/MAX(1,Inputs!$E$78*12),C71)</f>
        <v>-28472.2222222222</v>
      </c>
      <c r="D73" s="53" t="n">
        <f aca="false">-MIN(D72/MAX(1,Inputs!$E$78*12),C75+D71)</f>
        <v>-28472.2222222222</v>
      </c>
      <c r="E73" s="53" t="n">
        <f aca="false">-MIN(E72/MAX(1,Inputs!$E$78*12),D75+E71)</f>
        <v>-28472.2222222222</v>
      </c>
      <c r="F73" s="53" t="n">
        <f aca="false">-MIN(F72/MAX(1,Inputs!$E$78*12),E75+F71)</f>
        <v>-28472.2222222222</v>
      </c>
      <c r="G73" s="53" t="n">
        <f aca="false">-MIN(G72/MAX(1,Inputs!$E$78*12),F75+G71)</f>
        <v>-28472.2222222222</v>
      </c>
      <c r="H73" s="53" t="n">
        <f aca="false">-MIN(H72/MAX(1,Inputs!$E$78*12),G75+H71)</f>
        <v>-28472.2222222222</v>
      </c>
      <c r="I73" s="53" t="n">
        <f aca="false">-MIN(I72/MAX(1,Inputs!$E$78*12),H75+I71)</f>
        <v>-28472.2222222222</v>
      </c>
      <c r="J73" s="53" t="n">
        <f aca="false">-MIN(J72/MAX(1,Inputs!$E$78*12),I75+J71)</f>
        <v>-28472.2222222222</v>
      </c>
      <c r="K73" s="53" t="n">
        <f aca="false">-MIN(K72/MAX(1,Inputs!$E$78*12),J75+K71)</f>
        <v>-28472.2222222222</v>
      </c>
      <c r="L73" s="53" t="n">
        <f aca="false">-MIN(L72/MAX(1,Inputs!$E$78*12),K75+L71)</f>
        <v>-28472.2222222222</v>
      </c>
      <c r="M73" s="53" t="n">
        <f aca="false">-MIN(M72/MAX(1,Inputs!$E$78*12),L75+M71)</f>
        <v>-28472.2222222222</v>
      </c>
      <c r="N73" s="53" t="n">
        <f aca="false">-MIN(N72/MAX(1,Inputs!$E$78*12),M75+N71)</f>
        <v>-28472.2222222222</v>
      </c>
      <c r="O73" s="53" t="n">
        <f aca="false">-MIN(O72/MAX(1,Inputs!$E$78*12),N75+O71)</f>
        <v>-28750</v>
      </c>
      <c r="P73" s="53" t="n">
        <f aca="false">-MIN(P72/MAX(1,Inputs!$E$78*12),O75+P71)</f>
        <v>-28750</v>
      </c>
      <c r="Q73" s="53" t="n">
        <f aca="false">-MIN(Q72/MAX(1,Inputs!$E$78*12),P75+Q71)</f>
        <v>-28750</v>
      </c>
      <c r="R73" s="53" t="n">
        <f aca="false">-MIN(R72/MAX(1,Inputs!$E$78*12),Q75+R71)</f>
        <v>-28750</v>
      </c>
      <c r="S73" s="53" t="n">
        <f aca="false">-MIN(S72/MAX(1,Inputs!$E$78*12),R75+S71)</f>
        <v>-28750</v>
      </c>
      <c r="T73" s="53" t="n">
        <f aca="false">-MIN(T72/MAX(1,Inputs!$E$78*12),S75+T71)</f>
        <v>-28750</v>
      </c>
      <c r="U73" s="53" t="n">
        <f aca="false">-MIN(U72/MAX(1,Inputs!$E$78*12),T75+U71)</f>
        <v>-28750</v>
      </c>
      <c r="V73" s="53" t="n">
        <f aca="false">-MIN(V72/MAX(1,Inputs!$E$78*12),U75+V71)</f>
        <v>-28750</v>
      </c>
      <c r="W73" s="53" t="n">
        <f aca="false">-MIN(W72/MAX(1,Inputs!$E$78*12),V75+W71)</f>
        <v>-28750</v>
      </c>
      <c r="X73" s="53" t="n">
        <f aca="false">-MIN(X72/MAX(1,Inputs!$E$78*12),W75+X71)</f>
        <v>-28750</v>
      </c>
      <c r="Y73" s="53" t="n">
        <f aca="false">-MIN(Y72/MAX(1,Inputs!$E$78*12),X75+Y71)</f>
        <v>-28750</v>
      </c>
      <c r="Z73" s="53" t="n">
        <f aca="false">-MIN(Z72/MAX(1,Inputs!$E$78*12),Y75+Z71)</f>
        <v>-28750</v>
      </c>
      <c r="AA73" s="53" t="n">
        <f aca="false">-MIN(AA72/MAX(1,Inputs!$E$78*12),Z75+AA71)</f>
        <v>-29027.7777777778</v>
      </c>
      <c r="AB73" s="53" t="n">
        <f aca="false">-MIN(AB72/MAX(1,Inputs!$E$78*12),AA75+AB71)</f>
        <v>-29027.7777777778</v>
      </c>
      <c r="AC73" s="53" t="n">
        <f aca="false">-MIN(AC72/MAX(1,Inputs!$E$78*12),AB75+AC71)</f>
        <v>-29027.7777777778</v>
      </c>
      <c r="AD73" s="53" t="n">
        <f aca="false">-MIN(AD72/MAX(1,Inputs!$E$78*12),AC75+AD71)</f>
        <v>-29027.7777777778</v>
      </c>
      <c r="AE73" s="53" t="n">
        <f aca="false">-MIN(AE72/MAX(1,Inputs!$E$78*12),AD75+AE71)</f>
        <v>-29027.7777777778</v>
      </c>
      <c r="AF73" s="53" t="n">
        <f aca="false">-MIN(AF72/MAX(1,Inputs!$E$78*12),AE75+AF71)</f>
        <v>-29027.7777777778</v>
      </c>
      <c r="AG73" s="53" t="n">
        <f aca="false">-MIN(AG72/MAX(1,Inputs!$E$78*12),AF75+AG71)</f>
        <v>-29027.7777777778</v>
      </c>
      <c r="AH73" s="53" t="n">
        <f aca="false">-MIN(AH72/MAX(1,Inputs!$E$78*12),AG75+AH71)</f>
        <v>-29027.7777777778</v>
      </c>
      <c r="AI73" s="53" t="n">
        <f aca="false">-MIN(AI72/MAX(1,Inputs!$E$78*12),AH75+AI71)</f>
        <v>-29027.7777777778</v>
      </c>
      <c r="AJ73" s="53" t="n">
        <f aca="false">-MIN(AJ72/MAX(1,Inputs!$E$78*12),AI75+AJ71)</f>
        <v>-29027.7777777778</v>
      </c>
      <c r="AK73" s="53" t="n">
        <f aca="false">-MIN(AK72/MAX(1,Inputs!$E$78*12),AJ75+AK71)</f>
        <v>-29027.7777777778</v>
      </c>
      <c r="AL73" s="53" t="n">
        <f aca="false">-MIN(AL72/MAX(1,Inputs!$E$78*12),AK75+AL71)</f>
        <v>-29027.7777777778</v>
      </c>
      <c r="AM73" s="53" t="n">
        <f aca="false">-MIN(AM72/MAX(1,Inputs!$E$78*12),AL75+AM71)</f>
        <v>-29305.5555555556</v>
      </c>
      <c r="AN73" s="53" t="n">
        <f aca="false">-MIN(AN72/MAX(1,Inputs!$E$78*12),AM75+AN71)</f>
        <v>-29305.5555555556</v>
      </c>
      <c r="AO73" s="53" t="n">
        <f aca="false">-MIN(AO72/MAX(1,Inputs!$E$78*12),AN75+AO71)</f>
        <v>-29305.5555555556</v>
      </c>
      <c r="AP73" s="53" t="n">
        <f aca="false">-MIN(AP72/MAX(1,Inputs!$E$78*12),AO75+AP71)</f>
        <v>-29305.5555555556</v>
      </c>
      <c r="AQ73" s="53" t="n">
        <f aca="false">-MIN(AQ72/MAX(1,Inputs!$E$78*12),AP75+AQ71)</f>
        <v>-29305.5555555556</v>
      </c>
      <c r="AR73" s="53" t="n">
        <f aca="false">-MIN(AR72/MAX(1,Inputs!$E$78*12),AQ75+AR71)</f>
        <v>-29305.5555555556</v>
      </c>
      <c r="AS73" s="53" t="n">
        <f aca="false">-MIN(AS72/MAX(1,Inputs!$E$78*12),AR75+AS71)</f>
        <v>-29305.5555555556</v>
      </c>
      <c r="AT73" s="53" t="n">
        <f aca="false">-MIN(AT72/MAX(1,Inputs!$E$78*12),AS75+AT71)</f>
        <v>-29305.5555555556</v>
      </c>
      <c r="AU73" s="53" t="n">
        <f aca="false">-MIN(AU72/MAX(1,Inputs!$E$78*12),AT75+AU71)</f>
        <v>-29305.5555555556</v>
      </c>
      <c r="AV73" s="53" t="n">
        <f aca="false">-MIN(AV72/MAX(1,Inputs!$E$78*12),AU75+AV71)</f>
        <v>-29305.5555555556</v>
      </c>
      <c r="AW73" s="53" t="n">
        <f aca="false">-MIN(AW72/MAX(1,Inputs!$E$78*12),AV75+AW71)</f>
        <v>-29305.5555555556</v>
      </c>
      <c r="AX73" s="53" t="n">
        <f aca="false">-MIN(AX72/MAX(1,Inputs!$E$78*12),AW75+AX71)</f>
        <v>-29305.5555555556</v>
      </c>
      <c r="AY73" s="53" t="n">
        <f aca="false">-MIN(AY72/MAX(1,Inputs!$E$78*12),AX75+AY71)</f>
        <v>-29583.3333333333</v>
      </c>
      <c r="AZ73" s="53" t="n">
        <f aca="false">-MIN(AZ72/MAX(1,Inputs!$E$78*12),AY75+AZ71)</f>
        <v>-29583.3333333333</v>
      </c>
      <c r="BA73" s="53" t="n">
        <f aca="false">-MIN(BA72/MAX(1,Inputs!$E$78*12),AZ75+BA71)</f>
        <v>-29583.3333333333</v>
      </c>
      <c r="BB73" s="53" t="n">
        <f aca="false">-MIN(BB72/MAX(1,Inputs!$E$78*12),BA75+BB71)</f>
        <v>-29583.3333333333</v>
      </c>
      <c r="BC73" s="53" t="n">
        <f aca="false">-MIN(BC72/MAX(1,Inputs!$E$78*12),BB75+BC71)</f>
        <v>-29583.3333333333</v>
      </c>
      <c r="BD73" s="53" t="n">
        <f aca="false">-MIN(BD72/MAX(1,Inputs!$E$78*12),BC75+BD71)</f>
        <v>-29583.3333333333</v>
      </c>
      <c r="BE73" s="53" t="n">
        <f aca="false">-MIN(BE72/MAX(1,Inputs!$E$78*12),BD75+BE71)</f>
        <v>-29583.3333333333</v>
      </c>
      <c r="BF73" s="53" t="n">
        <f aca="false">-MIN(BF72/MAX(1,Inputs!$E$78*12),BE75+BF71)</f>
        <v>-29583.3333333333</v>
      </c>
      <c r="BG73" s="53" t="n">
        <f aca="false">-MIN(BG72/MAX(1,Inputs!$E$78*12),BF75+BG71)</f>
        <v>-29583.3333333333</v>
      </c>
      <c r="BH73" s="53" t="n">
        <f aca="false">-MIN(BH72/MAX(1,Inputs!$E$78*12),BG75+BH71)</f>
        <v>-29583.3333333333</v>
      </c>
      <c r="BI73" s="53" t="n">
        <f aca="false">-MIN(BI72/MAX(1,Inputs!$E$78*12),BH75+BI71)</f>
        <v>-29583.3333333333</v>
      </c>
      <c r="BJ73" s="53" t="n">
        <f aca="false">-MIN(BJ72/MAX(1,Inputs!$E$78*12),BI75+BJ71)</f>
        <v>-29583.3333333333</v>
      </c>
    </row>
    <row r="74" customFormat="false" ht="15" hidden="false" customHeight="false" outlineLevel="0" collapsed="false">
      <c r="A74" s="6" t="s">
        <v>423</v>
      </c>
      <c r="C74" s="53" t="n">
        <f aca="false">C73</f>
        <v>-28472.2222222222</v>
      </c>
      <c r="D74" s="53" t="n">
        <f aca="false">C74+D73</f>
        <v>-56944.4444444444</v>
      </c>
      <c r="E74" s="53" t="n">
        <f aca="false">D74+E73</f>
        <v>-85416.6666666667</v>
      </c>
      <c r="F74" s="53" t="n">
        <f aca="false">E74+F73</f>
        <v>-113888.888888889</v>
      </c>
      <c r="G74" s="53" t="n">
        <f aca="false">F74+G73</f>
        <v>-142361.111111111</v>
      </c>
      <c r="H74" s="53" t="n">
        <f aca="false">G74+H73</f>
        <v>-170833.333333333</v>
      </c>
      <c r="I74" s="53" t="n">
        <f aca="false">H74+I73</f>
        <v>-199305.555555556</v>
      </c>
      <c r="J74" s="53" t="n">
        <f aca="false">I74+J73</f>
        <v>-227777.777777778</v>
      </c>
      <c r="K74" s="53" t="n">
        <f aca="false">J74+K73</f>
        <v>-256250</v>
      </c>
      <c r="L74" s="53" t="n">
        <f aca="false">K74+L73</f>
        <v>-284722.222222222</v>
      </c>
      <c r="M74" s="53" t="n">
        <f aca="false">L74+M73</f>
        <v>-313194.444444445</v>
      </c>
      <c r="N74" s="53" t="n">
        <f aca="false">M74+N73</f>
        <v>-341666.666666667</v>
      </c>
      <c r="O74" s="53" t="n">
        <f aca="false">N74+O73</f>
        <v>-370416.666666667</v>
      </c>
      <c r="P74" s="53" t="n">
        <f aca="false">O74+P73</f>
        <v>-399166.666666667</v>
      </c>
      <c r="Q74" s="53" t="n">
        <f aca="false">P74+Q73</f>
        <v>-427916.666666667</v>
      </c>
      <c r="R74" s="53" t="n">
        <f aca="false">Q74+R73</f>
        <v>-456666.666666667</v>
      </c>
      <c r="S74" s="53" t="n">
        <f aca="false">R74+S73</f>
        <v>-485416.666666667</v>
      </c>
      <c r="T74" s="53" t="n">
        <f aca="false">S74+T73</f>
        <v>-514166.666666667</v>
      </c>
      <c r="U74" s="53" t="n">
        <f aca="false">T74+U73</f>
        <v>-542916.666666667</v>
      </c>
      <c r="V74" s="53" t="n">
        <f aca="false">U74+V73</f>
        <v>-571666.666666667</v>
      </c>
      <c r="W74" s="53" t="n">
        <f aca="false">V74+W73</f>
        <v>-600416.666666667</v>
      </c>
      <c r="X74" s="53" t="n">
        <f aca="false">W74+X73</f>
        <v>-629166.666666667</v>
      </c>
      <c r="Y74" s="53" t="n">
        <f aca="false">X74+Y73</f>
        <v>-657916.666666667</v>
      </c>
      <c r="Z74" s="53" t="n">
        <f aca="false">Y74+Z73</f>
        <v>-686666.666666667</v>
      </c>
      <c r="AA74" s="53" t="n">
        <f aca="false">Z74+AA73</f>
        <v>-715694.444444445</v>
      </c>
      <c r="AB74" s="53" t="n">
        <f aca="false">AA74+AB73</f>
        <v>-744722.222222222</v>
      </c>
      <c r="AC74" s="53" t="n">
        <f aca="false">AB74+AC73</f>
        <v>-773750</v>
      </c>
      <c r="AD74" s="53" t="n">
        <f aca="false">AC74+AD73</f>
        <v>-802777.777777778</v>
      </c>
      <c r="AE74" s="53" t="n">
        <f aca="false">AD74+AE73</f>
        <v>-831805.555555556</v>
      </c>
      <c r="AF74" s="53" t="n">
        <f aca="false">AE74+AF73</f>
        <v>-860833.333333333</v>
      </c>
      <c r="AG74" s="53" t="n">
        <f aca="false">AF74+AG73</f>
        <v>-889861.111111111</v>
      </c>
      <c r="AH74" s="53" t="n">
        <f aca="false">AG74+AH73</f>
        <v>-918888.888888889</v>
      </c>
      <c r="AI74" s="53" t="n">
        <f aca="false">AH74+AI73</f>
        <v>-947916.666666667</v>
      </c>
      <c r="AJ74" s="53" t="n">
        <f aca="false">AI74+AJ73</f>
        <v>-976944.444444444</v>
      </c>
      <c r="AK74" s="53" t="n">
        <f aca="false">AJ74+AK73</f>
        <v>-1005972.22222222</v>
      </c>
      <c r="AL74" s="53" t="n">
        <f aca="false">AK74+AL73</f>
        <v>-1035000</v>
      </c>
      <c r="AM74" s="53" t="n">
        <f aca="false">AL74+AM73</f>
        <v>-1064305.55555556</v>
      </c>
      <c r="AN74" s="53" t="n">
        <f aca="false">AM74+AN73</f>
        <v>-1093611.11111111</v>
      </c>
      <c r="AO74" s="53" t="n">
        <f aca="false">AN74+AO73</f>
        <v>-1122916.66666667</v>
      </c>
      <c r="AP74" s="53" t="n">
        <f aca="false">AO74+AP73</f>
        <v>-1152222.22222222</v>
      </c>
      <c r="AQ74" s="53" t="n">
        <f aca="false">AP74+AQ73</f>
        <v>-1181527.77777778</v>
      </c>
      <c r="AR74" s="53" t="n">
        <f aca="false">AQ74+AR73</f>
        <v>-1210833.33333333</v>
      </c>
      <c r="AS74" s="53" t="n">
        <f aca="false">AR74+AS73</f>
        <v>-1240138.88888889</v>
      </c>
      <c r="AT74" s="53" t="n">
        <f aca="false">AS74+AT73</f>
        <v>-1269444.44444444</v>
      </c>
      <c r="AU74" s="53" t="n">
        <f aca="false">AT74+AU73</f>
        <v>-1298750</v>
      </c>
      <c r="AV74" s="53" t="n">
        <f aca="false">AU74+AV73</f>
        <v>-1328055.55555555</v>
      </c>
      <c r="AW74" s="53" t="n">
        <f aca="false">AV74+AW73</f>
        <v>-1357361.11111111</v>
      </c>
      <c r="AX74" s="53" t="n">
        <f aca="false">AW74+AX73</f>
        <v>-1386666.66666667</v>
      </c>
      <c r="AY74" s="53" t="n">
        <f aca="false">AX74+AY73</f>
        <v>-1416250</v>
      </c>
      <c r="AZ74" s="53" t="n">
        <f aca="false">AY74+AZ73</f>
        <v>-1445833.33333333</v>
      </c>
      <c r="BA74" s="53" t="n">
        <f aca="false">AZ74+BA73</f>
        <v>-1475416.66666667</v>
      </c>
      <c r="BB74" s="53" t="n">
        <f aca="false">BA74+BB73</f>
        <v>-1505000</v>
      </c>
      <c r="BC74" s="53" t="n">
        <f aca="false">BB74+BC73</f>
        <v>-1534583.33333333</v>
      </c>
      <c r="BD74" s="53" t="n">
        <f aca="false">BC74+BD73</f>
        <v>-1564166.66666667</v>
      </c>
      <c r="BE74" s="53" t="n">
        <f aca="false">BD74+BE73</f>
        <v>-1593750</v>
      </c>
      <c r="BF74" s="53" t="n">
        <f aca="false">BE74+BF73</f>
        <v>-1623333.33333333</v>
      </c>
      <c r="BG74" s="53" t="n">
        <f aca="false">BF74+BG73</f>
        <v>-1652916.66666667</v>
      </c>
      <c r="BH74" s="53" t="n">
        <f aca="false">BG74+BH73</f>
        <v>-1682500</v>
      </c>
      <c r="BI74" s="53" t="n">
        <f aca="false">BH74+BI73</f>
        <v>-1712083.33333333</v>
      </c>
      <c r="BJ74" s="53" t="n">
        <f aca="false">BI74+BJ73</f>
        <v>-1741666.66666666</v>
      </c>
    </row>
    <row r="75" customFormat="false" ht="15" hidden="false" customHeight="false" outlineLevel="0" collapsed="false">
      <c r="A75" s="4" t="s">
        <v>90</v>
      </c>
      <c r="C75" s="60" t="n">
        <f aca="false">C72+C74</f>
        <v>4071527.77777778</v>
      </c>
      <c r="D75" s="60" t="n">
        <f aca="false">D72+D74</f>
        <v>4043055.55555556</v>
      </c>
      <c r="E75" s="60" t="n">
        <f aca="false">E72+E74</f>
        <v>4014583.33333333</v>
      </c>
      <c r="F75" s="60" t="n">
        <f aca="false">F72+F74</f>
        <v>3986111.11111111</v>
      </c>
      <c r="G75" s="60" t="n">
        <f aca="false">G72+G74</f>
        <v>3957638.88888889</v>
      </c>
      <c r="H75" s="60" t="n">
        <f aca="false">H72+H74</f>
        <v>3929166.66666667</v>
      </c>
      <c r="I75" s="60" t="n">
        <f aca="false">I72+I74</f>
        <v>3900694.44444444</v>
      </c>
      <c r="J75" s="60" t="n">
        <f aca="false">J72+J74</f>
        <v>3872222.22222222</v>
      </c>
      <c r="K75" s="60" t="n">
        <f aca="false">K72+K74</f>
        <v>3843750</v>
      </c>
      <c r="L75" s="60" t="n">
        <f aca="false">L72+L74</f>
        <v>3815277.77777778</v>
      </c>
      <c r="M75" s="60" t="n">
        <f aca="false">M72+M74</f>
        <v>3786805.55555556</v>
      </c>
      <c r="N75" s="60" t="n">
        <f aca="false">N72+N74</f>
        <v>3758333.33333333</v>
      </c>
      <c r="O75" s="60" t="n">
        <f aca="false">O72+O74</f>
        <v>3769583.33333333</v>
      </c>
      <c r="P75" s="60" t="n">
        <f aca="false">P72+P74</f>
        <v>3740833.33333333</v>
      </c>
      <c r="Q75" s="60" t="n">
        <f aca="false">Q72+Q74</f>
        <v>3712083.33333333</v>
      </c>
      <c r="R75" s="60" t="n">
        <f aca="false">R72+R74</f>
        <v>3683333.33333333</v>
      </c>
      <c r="S75" s="60" t="n">
        <f aca="false">S72+S74</f>
        <v>3654583.33333333</v>
      </c>
      <c r="T75" s="60" t="n">
        <f aca="false">T72+T74</f>
        <v>3625833.33333333</v>
      </c>
      <c r="U75" s="60" t="n">
        <f aca="false">U72+U74</f>
        <v>3597083.33333333</v>
      </c>
      <c r="V75" s="60" t="n">
        <f aca="false">V72+V74</f>
        <v>3568333.33333333</v>
      </c>
      <c r="W75" s="60" t="n">
        <f aca="false">W72+W74</f>
        <v>3539583.33333333</v>
      </c>
      <c r="X75" s="60" t="n">
        <f aca="false">X72+X74</f>
        <v>3510833.33333333</v>
      </c>
      <c r="Y75" s="60" t="n">
        <f aca="false">Y72+Y74</f>
        <v>3482083.33333333</v>
      </c>
      <c r="Z75" s="60" t="n">
        <f aca="false">Z72+Z74</f>
        <v>3453333.33333333</v>
      </c>
      <c r="AA75" s="60" t="n">
        <f aca="false">AA72+AA74</f>
        <v>3464305.55555556</v>
      </c>
      <c r="AB75" s="60" t="n">
        <f aca="false">AB72+AB74</f>
        <v>3435277.77777778</v>
      </c>
      <c r="AC75" s="60" t="n">
        <f aca="false">AC72+AC74</f>
        <v>3406250</v>
      </c>
      <c r="AD75" s="60" t="n">
        <f aca="false">AD72+AD74</f>
        <v>3377222.22222222</v>
      </c>
      <c r="AE75" s="60" t="n">
        <f aca="false">AE72+AE74</f>
        <v>3348194.44444444</v>
      </c>
      <c r="AF75" s="60" t="n">
        <f aca="false">AF72+AF74</f>
        <v>3319166.66666667</v>
      </c>
      <c r="AG75" s="60" t="n">
        <f aca="false">AG72+AG74</f>
        <v>3290138.88888889</v>
      </c>
      <c r="AH75" s="60" t="n">
        <f aca="false">AH72+AH74</f>
        <v>3261111.11111111</v>
      </c>
      <c r="AI75" s="60" t="n">
        <f aca="false">AI72+AI74</f>
        <v>3232083.33333333</v>
      </c>
      <c r="AJ75" s="60" t="n">
        <f aca="false">AJ72+AJ74</f>
        <v>3203055.55555556</v>
      </c>
      <c r="AK75" s="60" t="n">
        <f aca="false">AK72+AK74</f>
        <v>3174027.77777778</v>
      </c>
      <c r="AL75" s="60" t="n">
        <f aca="false">AL72+AL74</f>
        <v>3145000</v>
      </c>
      <c r="AM75" s="60" t="n">
        <f aca="false">AM72+AM74</f>
        <v>3155694.44444445</v>
      </c>
      <c r="AN75" s="60" t="n">
        <f aca="false">AN72+AN74</f>
        <v>3126388.88888889</v>
      </c>
      <c r="AO75" s="60" t="n">
        <f aca="false">AO72+AO74</f>
        <v>3097083.33333333</v>
      </c>
      <c r="AP75" s="60" t="n">
        <f aca="false">AP72+AP74</f>
        <v>3067777.77777778</v>
      </c>
      <c r="AQ75" s="60" t="n">
        <f aca="false">AQ72+AQ74</f>
        <v>3038472.22222222</v>
      </c>
      <c r="AR75" s="60" t="n">
        <f aca="false">AR72+AR74</f>
        <v>3009166.66666667</v>
      </c>
      <c r="AS75" s="60" t="n">
        <f aca="false">AS72+AS74</f>
        <v>2979861.11111111</v>
      </c>
      <c r="AT75" s="60" t="n">
        <f aca="false">AT72+AT74</f>
        <v>2950555.55555556</v>
      </c>
      <c r="AU75" s="60" t="n">
        <f aca="false">AU72+AU74</f>
        <v>2921250</v>
      </c>
      <c r="AV75" s="60" t="n">
        <f aca="false">AV72+AV74</f>
        <v>2891944.44444445</v>
      </c>
      <c r="AW75" s="60" t="n">
        <f aca="false">AW72+AW74</f>
        <v>2862638.88888889</v>
      </c>
      <c r="AX75" s="60" t="n">
        <f aca="false">AX72+AX74</f>
        <v>2833333.33333333</v>
      </c>
      <c r="AY75" s="60" t="n">
        <f aca="false">AY72+AY74</f>
        <v>2843750</v>
      </c>
      <c r="AZ75" s="60" t="n">
        <f aca="false">AZ72+AZ74</f>
        <v>2814166.66666667</v>
      </c>
      <c r="BA75" s="60" t="n">
        <f aca="false">BA72+BA74</f>
        <v>2784583.33333333</v>
      </c>
      <c r="BB75" s="60" t="n">
        <f aca="false">BB72+BB74</f>
        <v>2755000</v>
      </c>
      <c r="BC75" s="60" t="n">
        <f aca="false">BC72+BC74</f>
        <v>2725416.66666667</v>
      </c>
      <c r="BD75" s="60" t="n">
        <f aca="false">BD72+BD74</f>
        <v>2695833.33333334</v>
      </c>
      <c r="BE75" s="60" t="n">
        <f aca="false">BE72+BE74</f>
        <v>2666250</v>
      </c>
      <c r="BF75" s="60" t="n">
        <f aca="false">BF72+BF74</f>
        <v>2636666.66666667</v>
      </c>
      <c r="BG75" s="60" t="n">
        <f aca="false">BG72+BG74</f>
        <v>2607083.33333334</v>
      </c>
      <c r="BH75" s="60" t="n">
        <f aca="false">BH72+BH74</f>
        <v>2577500</v>
      </c>
      <c r="BI75" s="60" t="n">
        <f aca="false">BI72+BI74</f>
        <v>2547916.66666667</v>
      </c>
      <c r="BJ75" s="60" t="n">
        <f aca="false">BJ72+BJ74</f>
        <v>2518333.33333334</v>
      </c>
    </row>
    <row r="77" customFormat="false" ht="15.75" hidden="false" customHeight="true" outlineLevel="0" collapsed="false">
      <c r="A77" s="7" t="s">
        <v>424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425</v>
      </c>
      <c r="C78" s="53" t="n">
        <f aca="false">0</f>
        <v>0</v>
      </c>
      <c r="D78" s="53" t="n">
        <f aca="false">C81</f>
        <v>3000000</v>
      </c>
      <c r="E78" s="53" t="n">
        <f aca="false">D81</f>
        <v>2975000</v>
      </c>
      <c r="F78" s="53" t="n">
        <f aca="false">E81</f>
        <v>2950000</v>
      </c>
      <c r="G78" s="53" t="n">
        <f aca="false">F81</f>
        <v>2925000</v>
      </c>
      <c r="H78" s="53" t="n">
        <f aca="false">G81</f>
        <v>2900000</v>
      </c>
      <c r="I78" s="53" t="n">
        <f aca="false">H81</f>
        <v>2875000</v>
      </c>
      <c r="J78" s="53" t="n">
        <f aca="false">I81</f>
        <v>2850000</v>
      </c>
      <c r="K78" s="53" t="n">
        <f aca="false">J81</f>
        <v>2825000</v>
      </c>
      <c r="L78" s="53" t="n">
        <f aca="false">K81</f>
        <v>2800000</v>
      </c>
      <c r="M78" s="53" t="n">
        <f aca="false">L81</f>
        <v>2775000</v>
      </c>
      <c r="N78" s="53" t="n">
        <f aca="false">M81</f>
        <v>2750000</v>
      </c>
      <c r="O78" s="53" t="n">
        <f aca="false">N81</f>
        <v>2725000</v>
      </c>
      <c r="P78" s="53" t="n">
        <f aca="false">O81</f>
        <v>2700000</v>
      </c>
      <c r="Q78" s="53" t="n">
        <f aca="false">P81</f>
        <v>2675000</v>
      </c>
      <c r="R78" s="53" t="n">
        <f aca="false">Q81</f>
        <v>2650000</v>
      </c>
      <c r="S78" s="53" t="n">
        <f aca="false">R81</f>
        <v>2625000</v>
      </c>
      <c r="T78" s="53" t="n">
        <f aca="false">S81</f>
        <v>2600000</v>
      </c>
      <c r="U78" s="53" t="n">
        <f aca="false">T81</f>
        <v>2575000</v>
      </c>
      <c r="V78" s="53" t="n">
        <f aca="false">U81</f>
        <v>2550000</v>
      </c>
      <c r="W78" s="53" t="n">
        <f aca="false">V81</f>
        <v>2525000</v>
      </c>
      <c r="X78" s="53" t="n">
        <f aca="false">W81</f>
        <v>2500000</v>
      </c>
      <c r="Y78" s="53" t="n">
        <f aca="false">X81</f>
        <v>2475000</v>
      </c>
      <c r="Z78" s="53" t="n">
        <f aca="false">Y81</f>
        <v>2450000</v>
      </c>
      <c r="AA78" s="53" t="n">
        <f aca="false">Z81</f>
        <v>2425000</v>
      </c>
      <c r="AB78" s="53" t="n">
        <f aca="false">AA81</f>
        <v>2400000</v>
      </c>
      <c r="AC78" s="53" t="n">
        <f aca="false">AB81</f>
        <v>2375000</v>
      </c>
      <c r="AD78" s="53" t="n">
        <f aca="false">AC81</f>
        <v>2350000</v>
      </c>
      <c r="AE78" s="53" t="n">
        <f aca="false">AD81</f>
        <v>2325000</v>
      </c>
      <c r="AF78" s="53" t="n">
        <f aca="false">AE81</f>
        <v>2300000</v>
      </c>
      <c r="AG78" s="53" t="n">
        <f aca="false">AF81</f>
        <v>2275000</v>
      </c>
      <c r="AH78" s="53" t="n">
        <f aca="false">AG81</f>
        <v>2250000</v>
      </c>
      <c r="AI78" s="53" t="n">
        <f aca="false">AH81</f>
        <v>2225000</v>
      </c>
      <c r="AJ78" s="53" t="n">
        <f aca="false">AI81</f>
        <v>2200000</v>
      </c>
      <c r="AK78" s="53" t="n">
        <f aca="false">AJ81</f>
        <v>2175000</v>
      </c>
      <c r="AL78" s="53" t="n">
        <f aca="false">AK81</f>
        <v>2150000</v>
      </c>
      <c r="AM78" s="53" t="n">
        <f aca="false">AL81</f>
        <v>2125000</v>
      </c>
      <c r="AN78" s="53" t="n">
        <f aca="false">AM81</f>
        <v>2100000</v>
      </c>
      <c r="AO78" s="53" t="n">
        <f aca="false">AN81</f>
        <v>2075000</v>
      </c>
      <c r="AP78" s="53" t="n">
        <f aca="false">AO81</f>
        <v>2050000</v>
      </c>
      <c r="AQ78" s="53" t="n">
        <f aca="false">AP81</f>
        <v>2025000</v>
      </c>
      <c r="AR78" s="53" t="n">
        <f aca="false">AQ81</f>
        <v>2000000</v>
      </c>
      <c r="AS78" s="53" t="n">
        <f aca="false">AR81</f>
        <v>1975000</v>
      </c>
      <c r="AT78" s="53" t="n">
        <f aca="false">AS81</f>
        <v>1950000</v>
      </c>
      <c r="AU78" s="53" t="n">
        <f aca="false">AT81</f>
        <v>1925000</v>
      </c>
      <c r="AV78" s="53" t="n">
        <f aca="false">AU81</f>
        <v>1900000</v>
      </c>
      <c r="AW78" s="53" t="n">
        <f aca="false">AV81</f>
        <v>1875000</v>
      </c>
      <c r="AX78" s="53" t="n">
        <f aca="false">AW81</f>
        <v>1850000</v>
      </c>
      <c r="AY78" s="53" t="n">
        <f aca="false">AX81</f>
        <v>1825000</v>
      </c>
      <c r="AZ78" s="53" t="n">
        <f aca="false">AY81</f>
        <v>1800000</v>
      </c>
      <c r="BA78" s="53" t="n">
        <f aca="false">AZ81</f>
        <v>1775000</v>
      </c>
      <c r="BB78" s="53" t="n">
        <f aca="false">BA81</f>
        <v>1750000</v>
      </c>
      <c r="BC78" s="53" t="n">
        <f aca="false">BB81</f>
        <v>1725000</v>
      </c>
      <c r="BD78" s="53" t="n">
        <f aca="false">BC81</f>
        <v>1700000</v>
      </c>
      <c r="BE78" s="53" t="n">
        <f aca="false">BD81</f>
        <v>1675000</v>
      </c>
      <c r="BF78" s="53" t="n">
        <f aca="false">BE81</f>
        <v>1650000</v>
      </c>
      <c r="BG78" s="53" t="n">
        <f aca="false">BF81</f>
        <v>1625000</v>
      </c>
      <c r="BH78" s="53" t="n">
        <f aca="false">BG81</f>
        <v>1600000</v>
      </c>
      <c r="BI78" s="53" t="n">
        <f aca="false">BH81</f>
        <v>1575000</v>
      </c>
      <c r="BJ78" s="53" t="n">
        <f aca="false">BI81</f>
        <v>1550000</v>
      </c>
    </row>
    <row r="79" customFormat="false" ht="15" hidden="false" customHeight="false" outlineLevel="0" collapsed="false">
      <c r="A79" s="6" t="s">
        <v>83</v>
      </c>
      <c r="C79" s="53" t="n">
        <f aca="false">IF(C$4=1,Inputs!$E$68,0)</f>
        <v>3000000</v>
      </c>
      <c r="D79" s="53" t="n">
        <f aca="false">IF(D$4=1,Inputs!$E$68,0)</f>
        <v>0</v>
      </c>
      <c r="E79" s="53" t="n">
        <f aca="false">IF(E$4=1,Inputs!$E$68,0)</f>
        <v>0</v>
      </c>
      <c r="F79" s="53" t="n">
        <f aca="false">IF(F$4=1,Inputs!$E$68,0)</f>
        <v>0</v>
      </c>
      <c r="G79" s="53" t="n">
        <f aca="false">IF(G$4=1,Inputs!$E$68,0)</f>
        <v>0</v>
      </c>
      <c r="H79" s="53" t="n">
        <f aca="false">IF(H$4=1,Inputs!$E$68,0)</f>
        <v>0</v>
      </c>
      <c r="I79" s="53" t="n">
        <f aca="false">IF(I$4=1,Inputs!$E$68,0)</f>
        <v>0</v>
      </c>
      <c r="J79" s="53" t="n">
        <f aca="false">IF(J$4=1,Inputs!$E$68,0)</f>
        <v>0</v>
      </c>
      <c r="K79" s="53" t="n">
        <f aca="false">IF(K$4=1,Inputs!$E$68,0)</f>
        <v>0</v>
      </c>
      <c r="L79" s="53" t="n">
        <f aca="false">IF(L$4=1,Inputs!$E$68,0)</f>
        <v>0</v>
      </c>
      <c r="M79" s="53" t="n">
        <f aca="false">IF(M$4=1,Inputs!$E$68,0)</f>
        <v>0</v>
      </c>
      <c r="N79" s="53" t="n">
        <f aca="false">IF(N$4=1,Inputs!$E$68,0)</f>
        <v>0</v>
      </c>
      <c r="O79" s="53" t="n">
        <f aca="false">IF(O$4=1,Inputs!$E$68,0)</f>
        <v>0</v>
      </c>
      <c r="P79" s="53" t="n">
        <f aca="false">IF(P$4=1,Inputs!$E$68,0)</f>
        <v>0</v>
      </c>
      <c r="Q79" s="53" t="n">
        <f aca="false">IF(Q$4=1,Inputs!$E$68,0)</f>
        <v>0</v>
      </c>
      <c r="R79" s="53" t="n">
        <f aca="false">IF(R$4=1,Inputs!$E$68,0)</f>
        <v>0</v>
      </c>
      <c r="S79" s="53" t="n">
        <f aca="false">IF(S$4=1,Inputs!$E$68,0)</f>
        <v>0</v>
      </c>
      <c r="T79" s="53" t="n">
        <f aca="false">IF(T$4=1,Inputs!$E$68,0)</f>
        <v>0</v>
      </c>
      <c r="U79" s="53" t="n">
        <f aca="false">IF(U$4=1,Inputs!$E$68,0)</f>
        <v>0</v>
      </c>
      <c r="V79" s="53" t="n">
        <f aca="false">IF(V$4=1,Inputs!$E$68,0)</f>
        <v>0</v>
      </c>
      <c r="W79" s="53" t="n">
        <f aca="false">IF(W$4=1,Inputs!$E$68,0)</f>
        <v>0</v>
      </c>
      <c r="X79" s="53" t="n">
        <f aca="false">IF(X$4=1,Inputs!$E$68,0)</f>
        <v>0</v>
      </c>
      <c r="Y79" s="53" t="n">
        <f aca="false">IF(Y$4=1,Inputs!$E$68,0)</f>
        <v>0</v>
      </c>
      <c r="Z79" s="53" t="n">
        <f aca="false">IF(Z$4=1,Inputs!$E$68,0)</f>
        <v>0</v>
      </c>
      <c r="AA79" s="53" t="n">
        <f aca="false">IF(AA$4=1,Inputs!$E$68,0)</f>
        <v>0</v>
      </c>
      <c r="AB79" s="53" t="n">
        <f aca="false">IF(AB$4=1,Inputs!$E$68,0)</f>
        <v>0</v>
      </c>
      <c r="AC79" s="53" t="n">
        <f aca="false">IF(AC$4=1,Inputs!$E$68,0)</f>
        <v>0</v>
      </c>
      <c r="AD79" s="53" t="n">
        <f aca="false">IF(AD$4=1,Inputs!$E$68,0)</f>
        <v>0</v>
      </c>
      <c r="AE79" s="53" t="n">
        <f aca="false">IF(AE$4=1,Inputs!$E$68,0)</f>
        <v>0</v>
      </c>
      <c r="AF79" s="53" t="n">
        <f aca="false">IF(AF$4=1,Inputs!$E$68,0)</f>
        <v>0</v>
      </c>
      <c r="AG79" s="53" t="n">
        <f aca="false">IF(AG$4=1,Inputs!$E$68,0)</f>
        <v>0</v>
      </c>
      <c r="AH79" s="53" t="n">
        <f aca="false">IF(AH$4=1,Inputs!$E$68,0)</f>
        <v>0</v>
      </c>
      <c r="AI79" s="53" t="n">
        <f aca="false">IF(AI$4=1,Inputs!$E$68,0)</f>
        <v>0</v>
      </c>
      <c r="AJ79" s="53" t="n">
        <f aca="false">IF(AJ$4=1,Inputs!$E$68,0)</f>
        <v>0</v>
      </c>
      <c r="AK79" s="53" t="n">
        <f aca="false">IF(AK$4=1,Inputs!$E$68,0)</f>
        <v>0</v>
      </c>
      <c r="AL79" s="53" t="n">
        <f aca="false">IF(AL$4=1,Inputs!$E$68,0)</f>
        <v>0</v>
      </c>
      <c r="AM79" s="53" t="n">
        <f aca="false">IF(AM$4=1,Inputs!$E$68,0)</f>
        <v>0</v>
      </c>
      <c r="AN79" s="53" t="n">
        <f aca="false">IF(AN$4=1,Inputs!$E$68,0)</f>
        <v>0</v>
      </c>
      <c r="AO79" s="53" t="n">
        <f aca="false">IF(AO$4=1,Inputs!$E$68,0)</f>
        <v>0</v>
      </c>
      <c r="AP79" s="53" t="n">
        <f aca="false">IF(AP$4=1,Inputs!$E$68,0)</f>
        <v>0</v>
      </c>
      <c r="AQ79" s="53" t="n">
        <f aca="false">IF(AQ$4=1,Inputs!$E$68,0)</f>
        <v>0</v>
      </c>
      <c r="AR79" s="53" t="n">
        <f aca="false">IF(AR$4=1,Inputs!$E$68,0)</f>
        <v>0</v>
      </c>
      <c r="AS79" s="53" t="n">
        <f aca="false">IF(AS$4=1,Inputs!$E$68,0)</f>
        <v>0</v>
      </c>
      <c r="AT79" s="53" t="n">
        <f aca="false">IF(AT$4=1,Inputs!$E$68,0)</f>
        <v>0</v>
      </c>
      <c r="AU79" s="53" t="n">
        <f aca="false">IF(AU$4=1,Inputs!$E$68,0)</f>
        <v>0</v>
      </c>
      <c r="AV79" s="53" t="n">
        <f aca="false">IF(AV$4=1,Inputs!$E$68,0)</f>
        <v>0</v>
      </c>
      <c r="AW79" s="53" t="n">
        <f aca="false">IF(AW$4=1,Inputs!$E$68,0)</f>
        <v>0</v>
      </c>
      <c r="AX79" s="53" t="n">
        <f aca="false">IF(AX$4=1,Inputs!$E$68,0)</f>
        <v>0</v>
      </c>
      <c r="AY79" s="53" t="n">
        <f aca="false">IF(AY$4=1,Inputs!$E$68,0)</f>
        <v>0</v>
      </c>
      <c r="AZ79" s="53" t="n">
        <f aca="false">IF(AZ$4=1,Inputs!$E$68,0)</f>
        <v>0</v>
      </c>
      <c r="BA79" s="53" t="n">
        <f aca="false">IF(BA$4=1,Inputs!$E$68,0)</f>
        <v>0</v>
      </c>
      <c r="BB79" s="53" t="n">
        <f aca="false">IF(BB$4=1,Inputs!$E$68,0)</f>
        <v>0</v>
      </c>
      <c r="BC79" s="53" t="n">
        <f aca="false">IF(BC$4=1,Inputs!$E$68,0)</f>
        <v>0</v>
      </c>
      <c r="BD79" s="53" t="n">
        <f aca="false">IF(BD$4=1,Inputs!$E$68,0)</f>
        <v>0</v>
      </c>
      <c r="BE79" s="53" t="n">
        <f aca="false">IF(BE$4=1,Inputs!$E$68,0)</f>
        <v>0</v>
      </c>
      <c r="BF79" s="53" t="n">
        <f aca="false">IF(BF$4=1,Inputs!$E$68,0)</f>
        <v>0</v>
      </c>
      <c r="BG79" s="53" t="n">
        <f aca="false">IF(BG$4=1,Inputs!$E$68,0)</f>
        <v>0</v>
      </c>
      <c r="BH79" s="53" t="n">
        <f aca="false">IF(BH$4=1,Inputs!$E$68,0)</f>
        <v>0</v>
      </c>
      <c r="BI79" s="53" t="n">
        <f aca="false">IF(BI$4=1,Inputs!$E$68,0)</f>
        <v>0</v>
      </c>
      <c r="BJ79" s="53" t="n">
        <f aca="false">IF(BJ$4=1,Inputs!$E$68,0)</f>
        <v>0</v>
      </c>
    </row>
    <row r="80" customFormat="false" ht="15" hidden="false" customHeight="false" outlineLevel="0" collapsed="false">
      <c r="A80" s="6" t="s">
        <v>84</v>
      </c>
      <c r="C80" s="53" t="n">
        <f aca="false">-MIN(C78,Inputs!$E$68/MAX(1,Inputs!$E$70*12))</f>
        <v>-0</v>
      </c>
      <c r="D80" s="53" t="n">
        <f aca="false">-MIN(D78,Inputs!$E$68/MAX(1,Inputs!$E$70*12))</f>
        <v>-25000</v>
      </c>
      <c r="E80" s="53" t="n">
        <f aca="false">-MIN(E78,Inputs!$E$68/MAX(1,Inputs!$E$70*12))</f>
        <v>-25000</v>
      </c>
      <c r="F80" s="53" t="n">
        <f aca="false">-MIN(F78,Inputs!$E$68/MAX(1,Inputs!$E$70*12))</f>
        <v>-25000</v>
      </c>
      <c r="G80" s="53" t="n">
        <f aca="false">-MIN(G78,Inputs!$E$68/MAX(1,Inputs!$E$70*12))</f>
        <v>-25000</v>
      </c>
      <c r="H80" s="53" t="n">
        <f aca="false">-MIN(H78,Inputs!$E$68/MAX(1,Inputs!$E$70*12))</f>
        <v>-25000</v>
      </c>
      <c r="I80" s="53" t="n">
        <f aca="false">-MIN(I78,Inputs!$E$68/MAX(1,Inputs!$E$70*12))</f>
        <v>-25000</v>
      </c>
      <c r="J80" s="53" t="n">
        <f aca="false">-MIN(J78,Inputs!$E$68/MAX(1,Inputs!$E$70*12))</f>
        <v>-25000</v>
      </c>
      <c r="K80" s="53" t="n">
        <f aca="false">-MIN(K78,Inputs!$E$68/MAX(1,Inputs!$E$70*12))</f>
        <v>-25000</v>
      </c>
      <c r="L80" s="53" t="n">
        <f aca="false">-MIN(L78,Inputs!$E$68/MAX(1,Inputs!$E$70*12))</f>
        <v>-25000</v>
      </c>
      <c r="M80" s="53" t="n">
        <f aca="false">-MIN(M78,Inputs!$E$68/MAX(1,Inputs!$E$70*12))</f>
        <v>-25000</v>
      </c>
      <c r="N80" s="53" t="n">
        <f aca="false">-MIN(N78,Inputs!$E$68/MAX(1,Inputs!$E$70*12))</f>
        <v>-25000</v>
      </c>
      <c r="O80" s="53" t="n">
        <f aca="false">-MIN(O78,Inputs!$E$68/MAX(1,Inputs!$E$70*12))</f>
        <v>-25000</v>
      </c>
      <c r="P80" s="53" t="n">
        <f aca="false">-MIN(P78,Inputs!$E$68/MAX(1,Inputs!$E$70*12))</f>
        <v>-25000</v>
      </c>
      <c r="Q80" s="53" t="n">
        <f aca="false">-MIN(Q78,Inputs!$E$68/MAX(1,Inputs!$E$70*12))</f>
        <v>-25000</v>
      </c>
      <c r="R80" s="53" t="n">
        <f aca="false">-MIN(R78,Inputs!$E$68/MAX(1,Inputs!$E$70*12))</f>
        <v>-25000</v>
      </c>
      <c r="S80" s="53" t="n">
        <f aca="false">-MIN(S78,Inputs!$E$68/MAX(1,Inputs!$E$70*12))</f>
        <v>-25000</v>
      </c>
      <c r="T80" s="53" t="n">
        <f aca="false">-MIN(T78,Inputs!$E$68/MAX(1,Inputs!$E$70*12))</f>
        <v>-25000</v>
      </c>
      <c r="U80" s="53" t="n">
        <f aca="false">-MIN(U78,Inputs!$E$68/MAX(1,Inputs!$E$70*12))</f>
        <v>-25000</v>
      </c>
      <c r="V80" s="53" t="n">
        <f aca="false">-MIN(V78,Inputs!$E$68/MAX(1,Inputs!$E$70*12))</f>
        <v>-25000</v>
      </c>
      <c r="W80" s="53" t="n">
        <f aca="false">-MIN(W78,Inputs!$E$68/MAX(1,Inputs!$E$70*12))</f>
        <v>-25000</v>
      </c>
      <c r="X80" s="53" t="n">
        <f aca="false">-MIN(X78,Inputs!$E$68/MAX(1,Inputs!$E$70*12))</f>
        <v>-25000</v>
      </c>
      <c r="Y80" s="53" t="n">
        <f aca="false">-MIN(Y78,Inputs!$E$68/MAX(1,Inputs!$E$70*12))</f>
        <v>-25000</v>
      </c>
      <c r="Z80" s="53" t="n">
        <f aca="false">-MIN(Z78,Inputs!$E$68/MAX(1,Inputs!$E$70*12))</f>
        <v>-25000</v>
      </c>
      <c r="AA80" s="53" t="n">
        <f aca="false">-MIN(AA78,Inputs!$E$68/MAX(1,Inputs!$E$70*12))</f>
        <v>-25000</v>
      </c>
      <c r="AB80" s="53" t="n">
        <f aca="false">-MIN(AB78,Inputs!$E$68/MAX(1,Inputs!$E$70*12))</f>
        <v>-25000</v>
      </c>
      <c r="AC80" s="53" t="n">
        <f aca="false">-MIN(AC78,Inputs!$E$68/MAX(1,Inputs!$E$70*12))</f>
        <v>-25000</v>
      </c>
      <c r="AD80" s="53" t="n">
        <f aca="false">-MIN(AD78,Inputs!$E$68/MAX(1,Inputs!$E$70*12))</f>
        <v>-25000</v>
      </c>
      <c r="AE80" s="53" t="n">
        <f aca="false">-MIN(AE78,Inputs!$E$68/MAX(1,Inputs!$E$70*12))</f>
        <v>-25000</v>
      </c>
      <c r="AF80" s="53" t="n">
        <f aca="false">-MIN(AF78,Inputs!$E$68/MAX(1,Inputs!$E$70*12))</f>
        <v>-25000</v>
      </c>
      <c r="AG80" s="53" t="n">
        <f aca="false">-MIN(AG78,Inputs!$E$68/MAX(1,Inputs!$E$70*12))</f>
        <v>-25000</v>
      </c>
      <c r="AH80" s="53" t="n">
        <f aca="false">-MIN(AH78,Inputs!$E$68/MAX(1,Inputs!$E$70*12))</f>
        <v>-25000</v>
      </c>
      <c r="AI80" s="53" t="n">
        <f aca="false">-MIN(AI78,Inputs!$E$68/MAX(1,Inputs!$E$70*12))</f>
        <v>-25000</v>
      </c>
      <c r="AJ80" s="53" t="n">
        <f aca="false">-MIN(AJ78,Inputs!$E$68/MAX(1,Inputs!$E$70*12))</f>
        <v>-25000</v>
      </c>
      <c r="AK80" s="53" t="n">
        <f aca="false">-MIN(AK78,Inputs!$E$68/MAX(1,Inputs!$E$70*12))</f>
        <v>-25000</v>
      </c>
      <c r="AL80" s="53" t="n">
        <f aca="false">-MIN(AL78,Inputs!$E$68/MAX(1,Inputs!$E$70*12))</f>
        <v>-25000</v>
      </c>
      <c r="AM80" s="53" t="n">
        <f aca="false">-MIN(AM78,Inputs!$E$68/MAX(1,Inputs!$E$70*12))</f>
        <v>-25000</v>
      </c>
      <c r="AN80" s="53" t="n">
        <f aca="false">-MIN(AN78,Inputs!$E$68/MAX(1,Inputs!$E$70*12))</f>
        <v>-25000</v>
      </c>
      <c r="AO80" s="53" t="n">
        <f aca="false">-MIN(AO78,Inputs!$E$68/MAX(1,Inputs!$E$70*12))</f>
        <v>-25000</v>
      </c>
      <c r="AP80" s="53" t="n">
        <f aca="false">-MIN(AP78,Inputs!$E$68/MAX(1,Inputs!$E$70*12))</f>
        <v>-25000</v>
      </c>
      <c r="AQ80" s="53" t="n">
        <f aca="false">-MIN(AQ78,Inputs!$E$68/MAX(1,Inputs!$E$70*12))</f>
        <v>-25000</v>
      </c>
      <c r="AR80" s="53" t="n">
        <f aca="false">-MIN(AR78,Inputs!$E$68/MAX(1,Inputs!$E$70*12))</f>
        <v>-25000</v>
      </c>
      <c r="AS80" s="53" t="n">
        <f aca="false">-MIN(AS78,Inputs!$E$68/MAX(1,Inputs!$E$70*12))</f>
        <v>-25000</v>
      </c>
      <c r="AT80" s="53" t="n">
        <f aca="false">-MIN(AT78,Inputs!$E$68/MAX(1,Inputs!$E$70*12))</f>
        <v>-25000</v>
      </c>
      <c r="AU80" s="53" t="n">
        <f aca="false">-MIN(AU78,Inputs!$E$68/MAX(1,Inputs!$E$70*12))</f>
        <v>-25000</v>
      </c>
      <c r="AV80" s="53" t="n">
        <f aca="false">-MIN(AV78,Inputs!$E$68/MAX(1,Inputs!$E$70*12))</f>
        <v>-25000</v>
      </c>
      <c r="AW80" s="53" t="n">
        <f aca="false">-MIN(AW78,Inputs!$E$68/MAX(1,Inputs!$E$70*12))</f>
        <v>-25000</v>
      </c>
      <c r="AX80" s="53" t="n">
        <f aca="false">-MIN(AX78,Inputs!$E$68/MAX(1,Inputs!$E$70*12))</f>
        <v>-25000</v>
      </c>
      <c r="AY80" s="53" t="n">
        <f aca="false">-MIN(AY78,Inputs!$E$68/MAX(1,Inputs!$E$70*12))</f>
        <v>-25000</v>
      </c>
      <c r="AZ80" s="53" t="n">
        <f aca="false">-MIN(AZ78,Inputs!$E$68/MAX(1,Inputs!$E$70*12))</f>
        <v>-25000</v>
      </c>
      <c r="BA80" s="53" t="n">
        <f aca="false">-MIN(BA78,Inputs!$E$68/MAX(1,Inputs!$E$70*12))</f>
        <v>-25000</v>
      </c>
      <c r="BB80" s="53" t="n">
        <f aca="false">-MIN(BB78,Inputs!$E$68/MAX(1,Inputs!$E$70*12))</f>
        <v>-25000</v>
      </c>
      <c r="BC80" s="53" t="n">
        <f aca="false">-MIN(BC78,Inputs!$E$68/MAX(1,Inputs!$E$70*12))</f>
        <v>-25000</v>
      </c>
      <c r="BD80" s="53" t="n">
        <f aca="false">-MIN(BD78,Inputs!$E$68/MAX(1,Inputs!$E$70*12))</f>
        <v>-25000</v>
      </c>
      <c r="BE80" s="53" t="n">
        <f aca="false">-MIN(BE78,Inputs!$E$68/MAX(1,Inputs!$E$70*12))</f>
        <v>-25000</v>
      </c>
      <c r="BF80" s="53" t="n">
        <f aca="false">-MIN(BF78,Inputs!$E$68/MAX(1,Inputs!$E$70*12))</f>
        <v>-25000</v>
      </c>
      <c r="BG80" s="53" t="n">
        <f aca="false">-MIN(BG78,Inputs!$E$68/MAX(1,Inputs!$E$70*12))</f>
        <v>-25000</v>
      </c>
      <c r="BH80" s="53" t="n">
        <f aca="false">-MIN(BH78,Inputs!$E$68/MAX(1,Inputs!$E$70*12))</f>
        <v>-25000</v>
      </c>
      <c r="BI80" s="53" t="n">
        <f aca="false">-MIN(BI78,Inputs!$E$68/MAX(1,Inputs!$E$70*12))</f>
        <v>-25000</v>
      </c>
      <c r="BJ80" s="53" t="n">
        <f aca="false">-MIN(BJ78,Inputs!$E$68/MAX(1,Inputs!$E$70*12))</f>
        <v>-25000</v>
      </c>
    </row>
    <row r="81" customFormat="false" ht="15" hidden="false" customHeight="false" outlineLevel="0" collapsed="false">
      <c r="A81" s="4" t="s">
        <v>426</v>
      </c>
      <c r="C81" s="60" t="n">
        <f aca="false">C78+C79+C80</f>
        <v>3000000</v>
      </c>
      <c r="D81" s="60" t="n">
        <f aca="false">D78+D79+D80</f>
        <v>2975000</v>
      </c>
      <c r="E81" s="60" t="n">
        <f aca="false">E78+E79+E80</f>
        <v>2950000</v>
      </c>
      <c r="F81" s="60" t="n">
        <f aca="false">F78+F79+F80</f>
        <v>2925000</v>
      </c>
      <c r="G81" s="60" t="n">
        <f aca="false">G78+G79+G80</f>
        <v>2900000</v>
      </c>
      <c r="H81" s="60" t="n">
        <f aca="false">H78+H79+H80</f>
        <v>2875000</v>
      </c>
      <c r="I81" s="60" t="n">
        <f aca="false">I78+I79+I80</f>
        <v>2850000</v>
      </c>
      <c r="J81" s="60" t="n">
        <f aca="false">J78+J79+J80</f>
        <v>2825000</v>
      </c>
      <c r="K81" s="60" t="n">
        <f aca="false">K78+K79+K80</f>
        <v>2800000</v>
      </c>
      <c r="L81" s="60" t="n">
        <f aca="false">L78+L79+L80</f>
        <v>2775000</v>
      </c>
      <c r="M81" s="60" t="n">
        <f aca="false">M78+M79+M80</f>
        <v>2750000</v>
      </c>
      <c r="N81" s="60" t="n">
        <f aca="false">N78+N79+N80</f>
        <v>2725000</v>
      </c>
      <c r="O81" s="60" t="n">
        <f aca="false">O78+O79+O80</f>
        <v>2700000</v>
      </c>
      <c r="P81" s="60" t="n">
        <f aca="false">P78+P79+P80</f>
        <v>2675000</v>
      </c>
      <c r="Q81" s="60" t="n">
        <f aca="false">Q78+Q79+Q80</f>
        <v>2650000</v>
      </c>
      <c r="R81" s="60" t="n">
        <f aca="false">R78+R79+R80</f>
        <v>2625000</v>
      </c>
      <c r="S81" s="60" t="n">
        <f aca="false">S78+S79+S80</f>
        <v>2600000</v>
      </c>
      <c r="T81" s="60" t="n">
        <f aca="false">T78+T79+T80</f>
        <v>2575000</v>
      </c>
      <c r="U81" s="60" t="n">
        <f aca="false">U78+U79+U80</f>
        <v>2550000</v>
      </c>
      <c r="V81" s="60" t="n">
        <f aca="false">V78+V79+V80</f>
        <v>2525000</v>
      </c>
      <c r="W81" s="60" t="n">
        <f aca="false">W78+W79+W80</f>
        <v>2500000</v>
      </c>
      <c r="X81" s="60" t="n">
        <f aca="false">X78+X79+X80</f>
        <v>2475000</v>
      </c>
      <c r="Y81" s="60" t="n">
        <f aca="false">Y78+Y79+Y80</f>
        <v>2450000</v>
      </c>
      <c r="Z81" s="60" t="n">
        <f aca="false">Z78+Z79+Z80</f>
        <v>2425000</v>
      </c>
      <c r="AA81" s="60" t="n">
        <f aca="false">AA78+AA79+AA80</f>
        <v>2400000</v>
      </c>
      <c r="AB81" s="60" t="n">
        <f aca="false">AB78+AB79+AB80</f>
        <v>2375000</v>
      </c>
      <c r="AC81" s="60" t="n">
        <f aca="false">AC78+AC79+AC80</f>
        <v>2350000</v>
      </c>
      <c r="AD81" s="60" t="n">
        <f aca="false">AD78+AD79+AD80</f>
        <v>2325000</v>
      </c>
      <c r="AE81" s="60" t="n">
        <f aca="false">AE78+AE79+AE80</f>
        <v>2300000</v>
      </c>
      <c r="AF81" s="60" t="n">
        <f aca="false">AF78+AF79+AF80</f>
        <v>2275000</v>
      </c>
      <c r="AG81" s="60" t="n">
        <f aca="false">AG78+AG79+AG80</f>
        <v>2250000</v>
      </c>
      <c r="AH81" s="60" t="n">
        <f aca="false">AH78+AH79+AH80</f>
        <v>2225000</v>
      </c>
      <c r="AI81" s="60" t="n">
        <f aca="false">AI78+AI79+AI80</f>
        <v>2200000</v>
      </c>
      <c r="AJ81" s="60" t="n">
        <f aca="false">AJ78+AJ79+AJ80</f>
        <v>2175000</v>
      </c>
      <c r="AK81" s="60" t="n">
        <f aca="false">AK78+AK79+AK80</f>
        <v>2150000</v>
      </c>
      <c r="AL81" s="60" t="n">
        <f aca="false">AL78+AL79+AL80</f>
        <v>2125000</v>
      </c>
      <c r="AM81" s="60" t="n">
        <f aca="false">AM78+AM79+AM80</f>
        <v>2100000</v>
      </c>
      <c r="AN81" s="60" t="n">
        <f aca="false">AN78+AN79+AN80</f>
        <v>2075000</v>
      </c>
      <c r="AO81" s="60" t="n">
        <f aca="false">AO78+AO79+AO80</f>
        <v>2050000</v>
      </c>
      <c r="AP81" s="60" t="n">
        <f aca="false">AP78+AP79+AP80</f>
        <v>2025000</v>
      </c>
      <c r="AQ81" s="60" t="n">
        <f aca="false">AQ78+AQ79+AQ80</f>
        <v>2000000</v>
      </c>
      <c r="AR81" s="60" t="n">
        <f aca="false">AR78+AR79+AR80</f>
        <v>1975000</v>
      </c>
      <c r="AS81" s="60" t="n">
        <f aca="false">AS78+AS79+AS80</f>
        <v>1950000</v>
      </c>
      <c r="AT81" s="60" t="n">
        <f aca="false">AT78+AT79+AT80</f>
        <v>1925000</v>
      </c>
      <c r="AU81" s="60" t="n">
        <f aca="false">AU78+AU79+AU80</f>
        <v>1900000</v>
      </c>
      <c r="AV81" s="60" t="n">
        <f aca="false">AV78+AV79+AV80</f>
        <v>1875000</v>
      </c>
      <c r="AW81" s="60" t="n">
        <f aca="false">AW78+AW79+AW80</f>
        <v>1850000</v>
      </c>
      <c r="AX81" s="60" t="n">
        <f aca="false">AX78+AX79+AX80</f>
        <v>1825000</v>
      </c>
      <c r="AY81" s="60" t="n">
        <f aca="false">AY78+AY79+AY80</f>
        <v>1800000</v>
      </c>
      <c r="AZ81" s="60" t="n">
        <f aca="false">AZ78+AZ79+AZ80</f>
        <v>1775000</v>
      </c>
      <c r="BA81" s="60" t="n">
        <f aca="false">BA78+BA79+BA80</f>
        <v>1750000</v>
      </c>
      <c r="BB81" s="60" t="n">
        <f aca="false">BB78+BB79+BB80</f>
        <v>1725000</v>
      </c>
      <c r="BC81" s="60" t="n">
        <f aca="false">BC78+BC79+BC80</f>
        <v>1700000</v>
      </c>
      <c r="BD81" s="60" t="n">
        <f aca="false">BD78+BD79+BD80</f>
        <v>1675000</v>
      </c>
      <c r="BE81" s="60" t="n">
        <f aca="false">BE78+BE79+BE80</f>
        <v>1650000</v>
      </c>
      <c r="BF81" s="60" t="n">
        <f aca="false">BF78+BF79+BF80</f>
        <v>1625000</v>
      </c>
      <c r="BG81" s="60" t="n">
        <f aca="false">BG78+BG79+BG80</f>
        <v>1600000</v>
      </c>
      <c r="BH81" s="60" t="n">
        <f aca="false">BH78+BH79+BH80</f>
        <v>1575000</v>
      </c>
      <c r="BI81" s="60" t="n">
        <f aca="false">BI78+BI79+BI80</f>
        <v>1550000</v>
      </c>
      <c r="BJ81" s="60" t="n">
        <f aca="false">BJ78+BJ79+BJ80</f>
        <v>1525000</v>
      </c>
    </row>
    <row r="83" customFormat="false" ht="15.75" hidden="false" customHeight="true" outlineLevel="0" collapsed="false">
      <c r="A83" s="7" t="s">
        <v>296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88</v>
      </c>
      <c r="C84" s="53" t="n">
        <f aca="false">C37*Inputs!$E$73/30</f>
        <v>3196.22386666667</v>
      </c>
      <c r="D84" s="53" t="n">
        <f aca="false">D37*Inputs!$E$73/30</f>
        <v>3629.92906014815</v>
      </c>
      <c r="E84" s="53" t="n">
        <f aca="false">E37*Inputs!$E$73/30</f>
        <v>4851.56011996444</v>
      </c>
      <c r="F84" s="53" t="n">
        <f aca="false">F37*Inputs!$E$73/30</f>
        <v>5403.45992257327</v>
      </c>
      <c r="G84" s="53" t="n">
        <f aca="false">G37*Inputs!$E$73/30</f>
        <v>5966.01842937405</v>
      </c>
      <c r="H84" s="53" t="n">
        <f aca="false">H37*Inputs!$E$73/30</f>
        <v>6538.80929219909</v>
      </c>
      <c r="I84" s="53" t="n">
        <f aca="false">I37*Inputs!$E$73/30</f>
        <v>7121.42321680742</v>
      </c>
      <c r="J84" s="53" t="n">
        <f aca="false">J37*Inputs!$E$73/30</f>
        <v>7713.46728072771</v>
      </c>
      <c r="K84" s="53" t="n">
        <f aca="false">K37*Inputs!$E$73/30</f>
        <v>8314.5642783875</v>
      </c>
      <c r="L84" s="53" t="n">
        <f aca="false">L37*Inputs!$E$73/30</f>
        <v>8924.35209243718</v>
      </c>
      <c r="M84" s="53" t="n">
        <f aca="false">M37*Inputs!$E$73/30</f>
        <v>9103.03667540636</v>
      </c>
      <c r="N84" s="53" t="n">
        <f aca="false">N37*Inputs!$E$73/30</f>
        <v>7915.98187505677</v>
      </c>
      <c r="O84" s="53" t="n">
        <f aca="false">O37*Inputs!$E$73/30</f>
        <v>8219.27213205559</v>
      </c>
      <c r="P84" s="53" t="n">
        <f aca="false">P37*Inputs!$E$73/30</f>
        <v>8361.41892677337</v>
      </c>
      <c r="Q84" s="53" t="n">
        <f aca="false">Q37*Inputs!$E$73/30</f>
        <v>9883.64368970243</v>
      </c>
      <c r="R84" s="53" t="n">
        <f aca="false">R37*Inputs!$E$73/30</f>
        <v>10040.6197821143</v>
      </c>
      <c r="S84" s="53" t="n">
        <f aca="false">S37*Inputs!$E$73/30</f>
        <v>10191.3168308298</v>
      </c>
      <c r="T84" s="53" t="n">
        <f aca="false">T37*Inputs!$E$73/30</f>
        <v>10335.9859975966</v>
      </c>
      <c r="U84" s="53" t="n">
        <f aca="false">U37*Inputs!$E$73/30</f>
        <v>10474.8683976927</v>
      </c>
      <c r="V84" s="53" t="n">
        <f aca="false">V37*Inputs!$E$73/30</f>
        <v>10608.195501785</v>
      </c>
      <c r="W84" s="53" t="n">
        <f aca="false">W37*Inputs!$E$73/30</f>
        <v>10736.1895217136</v>
      </c>
      <c r="X84" s="53" t="n">
        <f aca="false">X37*Inputs!$E$73/30</f>
        <v>10859.0637808451</v>
      </c>
      <c r="Y84" s="53" t="n">
        <f aca="false">Y37*Inputs!$E$73/30</f>
        <v>10977.0230696113</v>
      </c>
      <c r="Z84" s="53" t="n">
        <f aca="false">Z37*Inputs!$E$73/30</f>
        <v>9704.5001468268</v>
      </c>
      <c r="AA84" s="53" t="n">
        <f aca="false">AA37*Inputs!$E$73/30</f>
        <v>9986.1688023728</v>
      </c>
      <c r="AB84" s="53" t="n">
        <f aca="false">AB37*Inputs!$E$73/30</f>
        <v>10073.4305338779</v>
      </c>
      <c r="AC84" s="53" t="n">
        <f aca="false">AC37*Inputs!$E$73/30</f>
        <v>11570.6809129228</v>
      </c>
      <c r="AD84" s="53" t="n">
        <f aca="false">AD37*Inputs!$E$73/30</f>
        <v>11677.5944032059</v>
      </c>
      <c r="AE84" s="53" t="n">
        <f aca="false">AE37*Inputs!$E$73/30</f>
        <v>11780.2313538776</v>
      </c>
      <c r="AF84" s="53" t="n">
        <f aca="false">AF37*Inputs!$E$73/30</f>
        <v>11878.7628265225</v>
      </c>
      <c r="AG84" s="53" t="n">
        <f aca="false">AG37*Inputs!$E$73/30</f>
        <v>11973.3530402616</v>
      </c>
      <c r="AH84" s="53" t="n">
        <f aca="false">AH37*Inputs!$E$73/30</f>
        <v>12064.1596454512</v>
      </c>
      <c r="AI84" s="53" t="n">
        <f aca="false">AI37*Inputs!$E$73/30</f>
        <v>12151.3339864331</v>
      </c>
      <c r="AJ84" s="53" t="n">
        <f aca="false">AJ37*Inputs!$E$73/30</f>
        <v>12235.0213537758</v>
      </c>
      <c r="AK84" s="53" t="n">
        <f aca="false">AK37*Inputs!$E$73/30</f>
        <v>12315.3612264248</v>
      </c>
      <c r="AL84" s="53" t="n">
        <f aca="false">AL37*Inputs!$E$73/30</f>
        <v>10979.0083873678</v>
      </c>
      <c r="AM84" s="53" t="n">
        <f aca="false">AM37*Inputs!$E$73/30</f>
        <v>11250.5001131575</v>
      </c>
      <c r="AN84" s="53" t="n">
        <f aca="false">AN37*Inputs!$E$73/30</f>
        <v>11303.7476558532</v>
      </c>
      <c r="AO84" s="53" t="n">
        <f aca="false">AO37*Inputs!$E$73/30</f>
        <v>12796.6139959771</v>
      </c>
      <c r="AP84" s="53" t="n">
        <f aca="false">AP37*Inputs!$E$73/30</f>
        <v>12872.709871424</v>
      </c>
      <c r="AQ84" s="53" t="n">
        <f aca="false">AQ37*Inputs!$E$73/30</f>
        <v>12945.761911853</v>
      </c>
      <c r="AR84" s="53" t="n">
        <f aca="false">AR37*Inputs!$E$73/30</f>
        <v>13015.8918706649</v>
      </c>
      <c r="AS84" s="53" t="n">
        <f aca="false">AS37*Inputs!$E$73/30</f>
        <v>13083.2166311243</v>
      </c>
      <c r="AT84" s="53" t="n">
        <f aca="false">AT37*Inputs!$E$73/30</f>
        <v>13147.8484011654</v>
      </c>
      <c r="AU84" s="53" t="n">
        <f aca="false">AU37*Inputs!$E$73/30</f>
        <v>13209.8949004047</v>
      </c>
      <c r="AV84" s="53" t="n">
        <f aca="false">AV37*Inputs!$E$73/30</f>
        <v>13269.4595396745</v>
      </c>
      <c r="AW84" s="53" t="n">
        <f aca="false">AW37*Inputs!$E$73/30</f>
        <v>13326.6415933736</v>
      </c>
      <c r="AX84" s="53" t="n">
        <f aca="false">AX37*Inputs!$E$73/30</f>
        <v>11939.7876657886</v>
      </c>
      <c r="AY84" s="53" t="n">
        <f aca="false">AY37*Inputs!$E$73/30</f>
        <v>12208.4277112169</v>
      </c>
      <c r="AZ84" s="53" t="n">
        <f aca="false">AZ37*Inputs!$E$73/30</f>
        <v>12240.7329623551</v>
      </c>
      <c r="BA84" s="53" t="n">
        <f aca="false">BA37*Inputs!$E$73/30</f>
        <v>13742.3296765665</v>
      </c>
      <c r="BB84" s="53" t="n">
        <f aca="false">BB37*Inputs!$E$73/30</f>
        <v>13799.665594916</v>
      </c>
      <c r="BC84" s="53" t="n">
        <f aca="false">BC37*Inputs!$E$73/30</f>
        <v>13854.7080765315</v>
      </c>
      <c r="BD84" s="53" t="n">
        <f aca="false">BD37*Inputs!$E$73/30</f>
        <v>13907.5488588824</v>
      </c>
      <c r="BE84" s="53" t="n">
        <f aca="false">BE37*Inputs!$E$73/30</f>
        <v>13958.2760099393</v>
      </c>
      <c r="BF84" s="53" t="n">
        <f aca="false">BF37*Inputs!$E$73/30</f>
        <v>14006.9740749539</v>
      </c>
      <c r="BG84" s="53" t="n">
        <f aca="false">BG37*Inputs!$E$73/30</f>
        <v>14053.7242173679</v>
      </c>
      <c r="BH84" s="53" t="n">
        <f aca="false">BH37*Inputs!$E$73/30</f>
        <v>14098.6043540854</v>
      </c>
      <c r="BI84" s="53" t="n">
        <f aca="false">BI37*Inputs!$E$73/30</f>
        <v>14141.6892853341</v>
      </c>
      <c r="BJ84" s="53" t="n">
        <f aca="false">BJ37*Inputs!$E$73/30</f>
        <v>12712.4671462142</v>
      </c>
    </row>
    <row r="85" customFormat="false" ht="15" hidden="false" customHeight="false" outlineLevel="0" collapsed="false">
      <c r="A85" s="6" t="s">
        <v>89</v>
      </c>
      <c r="C85" s="53" t="n">
        <f aca="false">-C45*Inputs!$E$74/30</f>
        <v>3535.97287295</v>
      </c>
      <c r="D85" s="53" t="n">
        <f aca="false">-D45*Inputs!$E$74/30</f>
        <v>4015.72440315978</v>
      </c>
      <c r="E85" s="53" t="n">
        <f aca="false">-E45*Inputs!$E$74/30</f>
        <v>5538.41762848136</v>
      </c>
      <c r="F85" s="53" t="n">
        <f aca="false">-F45*Inputs!$E$74/30</f>
        <v>6180.84844069211</v>
      </c>
      <c r="G85" s="53" t="n">
        <f aca="false">-G45*Inputs!$E$74/30</f>
        <v>6839.35924051442</v>
      </c>
      <c r="H85" s="53" t="n">
        <f aca="false">-H45*Inputs!$E$74/30</f>
        <v>7513.30682844384</v>
      </c>
      <c r="I85" s="53" t="n">
        <f aca="false">-I45*Inputs!$E$74/30</f>
        <v>8202.07373295609</v>
      </c>
      <c r="J85" s="53" t="n">
        <f aca="false">-J45*Inputs!$E$74/30</f>
        <v>8905.06718138785</v>
      </c>
      <c r="K85" s="53" t="n">
        <f aca="false">-K45*Inputs!$E$74/30</f>
        <v>9621.71811198233</v>
      </c>
      <c r="L85" s="53" t="n">
        <f aca="false">-L45*Inputs!$E$74/30</f>
        <v>10351.480225453</v>
      </c>
      <c r="M85" s="53" t="n">
        <f aca="false">-M45*Inputs!$E$74/30</f>
        <v>10621.0482544349</v>
      </c>
      <c r="N85" s="53" t="n">
        <f aca="false">-N45*Inputs!$E$74/30</f>
        <v>8885.78253780614</v>
      </c>
      <c r="O85" s="53" t="n">
        <f aca="false">-O45*Inputs!$E$74/30</f>
        <v>9319.28292728009</v>
      </c>
      <c r="P85" s="53" t="n">
        <f aca="false">-P45*Inputs!$E$74/30</f>
        <v>9500.42236462389</v>
      </c>
      <c r="Q85" s="53" t="n">
        <f aca="false">-Q45*Inputs!$E$74/30</f>
        <v>11829.7121932812</v>
      </c>
      <c r="R85" s="53" t="n">
        <f aca="false">-R45*Inputs!$E$74/30</f>
        <v>12068.5057255649</v>
      </c>
      <c r="S85" s="53" t="n">
        <f aca="false">-S45*Inputs!$E$74/30</f>
        <v>12297.7475165574</v>
      </c>
      <c r="T85" s="53" t="n">
        <f aca="false">-T45*Inputs!$E$74/30</f>
        <v>12517.8196359101</v>
      </c>
      <c r="U85" s="53" t="n">
        <f aca="false">-U45*Inputs!$E$74/30</f>
        <v>12729.0888704887</v>
      </c>
      <c r="V85" s="53" t="n">
        <f aca="false">-V45*Inputs!$E$74/30</f>
        <v>12931.9073356841</v>
      </c>
      <c r="W85" s="53" t="n">
        <f aca="false">-W45*Inputs!$E$74/30</f>
        <v>13126.6130622717</v>
      </c>
      <c r="X85" s="53" t="n">
        <f aca="false">-X45*Inputs!$E$74/30</f>
        <v>13313.5305597959</v>
      </c>
      <c r="Y85" s="53" t="n">
        <f aca="false">-Y45*Inputs!$E$74/30</f>
        <v>13492.971357419</v>
      </c>
      <c r="Z85" s="53" t="n">
        <f aca="false">-Z45*Inputs!$E$74/30</f>
        <v>11211.9275518532</v>
      </c>
      <c r="AA85" s="53" t="n">
        <f aca="false">-AA45*Inputs!$E$74/30</f>
        <v>11638.9537794879</v>
      </c>
      <c r="AB85" s="53" t="n">
        <f aca="false">-AB45*Inputs!$E$74/30</f>
        <v>11751.0501890855</v>
      </c>
      <c r="AC85" s="53" t="n">
        <f aca="false">-AC45*Inputs!$E$74/30</f>
        <v>14446.927393797</v>
      </c>
      <c r="AD85" s="53" t="n">
        <f aca="false">-AD45*Inputs!$E$74/30</f>
        <v>14610.9238670659</v>
      </c>
      <c r="AE85" s="53" t="n">
        <f aca="false">-AE45*Inputs!$E$74/30</f>
        <v>14768.360481404</v>
      </c>
      <c r="AF85" s="53" t="n">
        <f aca="false">-AF45*Inputs!$E$74/30</f>
        <v>14919.4996311686</v>
      </c>
      <c r="AG85" s="53" t="n">
        <f aca="false">-AG45*Inputs!$E$74/30</f>
        <v>15064.5932149426</v>
      </c>
      <c r="AH85" s="53" t="n">
        <f aca="false">-AH45*Inputs!$E$74/30</f>
        <v>15203.8830553657</v>
      </c>
      <c r="AI85" s="53" t="n">
        <f aca="false">-AI45*Inputs!$E$74/30</f>
        <v>15337.6013021718</v>
      </c>
      <c r="AJ85" s="53" t="n">
        <f aca="false">-AJ45*Inputs!$E$74/30</f>
        <v>15465.9708191057</v>
      </c>
      <c r="AK85" s="53" t="n">
        <f aca="false">-AK45*Inputs!$E$74/30</f>
        <v>15589.2055553623</v>
      </c>
      <c r="AL85" s="53" t="n">
        <f aca="false">-AL45*Inputs!$E$74/30</f>
        <v>12914.3553887009</v>
      </c>
      <c r="AM85" s="53" t="n">
        <f aca="false">-AM45*Inputs!$E$74/30</f>
        <v>13344.308132007</v>
      </c>
      <c r="AN85" s="53" t="n">
        <f aca="false">-AN45*Inputs!$E$74/30</f>
        <v>13413.2630667668</v>
      </c>
      <c r="AO85" s="53" t="n">
        <f aca="false">-AO45*Inputs!$E$74/30</f>
        <v>16392.5741857616</v>
      </c>
      <c r="AP85" s="53" t="n">
        <f aca="false">-AP45*Inputs!$E$74/30</f>
        <v>16510.2754826419</v>
      </c>
      <c r="AQ85" s="53" t="n">
        <f aca="false">-AQ45*Inputs!$E$74/30</f>
        <v>16623.2687276469</v>
      </c>
      <c r="AR85" s="53" t="n">
        <f aca="false">-AR45*Inputs!$E$74/30</f>
        <v>16731.7422428517</v>
      </c>
      <c r="AS85" s="53" t="n">
        <f aca="false">-AS45*Inputs!$E$74/30</f>
        <v>16835.8768174484</v>
      </c>
      <c r="AT85" s="53" t="n">
        <f aca="false">-AT45*Inputs!$E$74/30</f>
        <v>16935.8460090612</v>
      </c>
      <c r="AU85" s="53" t="n">
        <f aca="false">-AU45*Inputs!$E$74/30</f>
        <v>17031.8164330094</v>
      </c>
      <c r="AV85" s="53" t="n">
        <f aca="false">-AV45*Inputs!$E$74/30</f>
        <v>17123.9480399998</v>
      </c>
      <c r="AW85" s="53" t="n">
        <f aca="false">-AW45*Inputs!$E$74/30</f>
        <v>17212.3943827105</v>
      </c>
      <c r="AX85" s="53" t="n">
        <f aca="false">-AX45*Inputs!$E$74/30</f>
        <v>14236.9273180993</v>
      </c>
      <c r="AY85" s="53" t="n">
        <f aca="false">-AY45*Inputs!$E$74/30</f>
        <v>14676.131687875</v>
      </c>
      <c r="AZ85" s="53" t="n">
        <f aca="false">-AZ45*Inputs!$E$74/30</f>
        <v>14718.3054886929</v>
      </c>
      <c r="BA85" s="53" t="n">
        <f aca="false">-BA45*Inputs!$E$74/30</f>
        <v>17931.4199620932</v>
      </c>
      <c r="BB85" s="53" t="n">
        <f aca="false">-BB45*Inputs!$E$74/30</f>
        <v>18020.8472729085</v>
      </c>
      <c r="BC85" s="53" t="n">
        <f aca="false">-BC45*Inputs!$E$74/30</f>
        <v>18106.6974912911</v>
      </c>
      <c r="BD85" s="53" t="n">
        <f aca="false">-BD45*Inputs!$E$74/30</f>
        <v>18189.1137009384</v>
      </c>
      <c r="BE85" s="53" t="n">
        <f aca="false">-BE45*Inputs!$E$74/30</f>
        <v>18268.2332621999</v>
      </c>
      <c r="BF85" s="53" t="n">
        <f aca="false">-BF45*Inputs!$E$74/30</f>
        <v>18344.1880410108</v>
      </c>
      <c r="BG85" s="53" t="n">
        <f aca="false">-BG45*Inputs!$E$74/30</f>
        <v>18417.1046286694</v>
      </c>
      <c r="BH85" s="53" t="n">
        <f aca="false">-BH45*Inputs!$E$74/30</f>
        <v>18487.1045528216</v>
      </c>
      <c r="BI85" s="53" t="n">
        <f aca="false">-BI45*Inputs!$E$74/30</f>
        <v>18554.3044800077</v>
      </c>
      <c r="BJ85" s="53" t="n">
        <f aca="false">-BJ45*Inputs!$E$74/30</f>
        <v>15334.1441777025</v>
      </c>
    </row>
    <row r="86" customFormat="false" ht="15" hidden="false" customHeight="false" outlineLevel="0" collapsed="false">
      <c r="A86" s="6" t="s">
        <v>92</v>
      </c>
      <c r="C86" s="53" t="n">
        <f aca="false">-C45*Inputs!$E$75/30</f>
        <v>5893.28812158333</v>
      </c>
      <c r="D86" s="53" t="n">
        <f aca="false">-D45*Inputs!$E$75/30</f>
        <v>6692.8740052663</v>
      </c>
      <c r="E86" s="53" t="n">
        <f aca="false">-E45*Inputs!$E$75/30</f>
        <v>9230.69604746893</v>
      </c>
      <c r="F86" s="53" t="n">
        <f aca="false">-F45*Inputs!$E$75/30</f>
        <v>10301.4140678202</v>
      </c>
      <c r="G86" s="53" t="n">
        <f aca="false">-G45*Inputs!$E$75/30</f>
        <v>11398.932067524</v>
      </c>
      <c r="H86" s="53" t="n">
        <f aca="false">-H45*Inputs!$E$75/30</f>
        <v>12522.1780474064</v>
      </c>
      <c r="I86" s="53" t="n">
        <f aca="false">-I45*Inputs!$E$75/30</f>
        <v>13670.1228882601</v>
      </c>
      <c r="J86" s="53" t="n">
        <f aca="false">-J45*Inputs!$E$75/30</f>
        <v>14841.7786356464</v>
      </c>
      <c r="K86" s="53" t="n">
        <f aca="false">-K45*Inputs!$E$75/30</f>
        <v>16036.1968533039</v>
      </c>
      <c r="L86" s="53" t="n">
        <f aca="false">-L45*Inputs!$E$75/30</f>
        <v>17252.4670424217</v>
      </c>
      <c r="M86" s="53" t="n">
        <f aca="false">-M45*Inputs!$E$75/30</f>
        <v>17701.7470907249</v>
      </c>
      <c r="N86" s="53" t="n">
        <f aca="false">-N45*Inputs!$E$75/30</f>
        <v>14809.6375630102</v>
      </c>
      <c r="O86" s="53" t="n">
        <f aca="false">-O45*Inputs!$E$75/30</f>
        <v>15532.1382121335</v>
      </c>
      <c r="P86" s="53" t="n">
        <f aca="false">-P45*Inputs!$E$75/30</f>
        <v>15834.0372743731</v>
      </c>
      <c r="Q86" s="53" t="n">
        <f aca="false">-Q45*Inputs!$E$75/30</f>
        <v>19716.186988802</v>
      </c>
      <c r="R86" s="53" t="n">
        <f aca="false">-R45*Inputs!$E$75/30</f>
        <v>20114.1762092749</v>
      </c>
      <c r="S86" s="53" t="n">
        <f aca="false">-S45*Inputs!$E$75/30</f>
        <v>20496.2458609289</v>
      </c>
      <c r="T86" s="53" t="n">
        <f aca="false">-T45*Inputs!$E$75/30</f>
        <v>20863.0327265168</v>
      </c>
      <c r="U86" s="53" t="n">
        <f aca="false">-U45*Inputs!$E$75/30</f>
        <v>21215.1481174811</v>
      </c>
      <c r="V86" s="53" t="n">
        <f aca="false">-V45*Inputs!$E$75/30</f>
        <v>21553.1788928068</v>
      </c>
      <c r="W86" s="53" t="n">
        <f aca="false">-W45*Inputs!$E$75/30</f>
        <v>21877.6884371196</v>
      </c>
      <c r="X86" s="53" t="n">
        <f aca="false">-X45*Inputs!$E$75/30</f>
        <v>22189.2175996598</v>
      </c>
      <c r="Y86" s="53" t="n">
        <f aca="false">-Y45*Inputs!$E$75/30</f>
        <v>22488.2855956984</v>
      </c>
      <c r="Z86" s="53" t="n">
        <f aca="false">-Z45*Inputs!$E$75/30</f>
        <v>18686.5459197554</v>
      </c>
      <c r="AA86" s="53" t="n">
        <f aca="false">-AA45*Inputs!$E$75/30</f>
        <v>19398.2562991465</v>
      </c>
      <c r="AB86" s="53" t="n">
        <f aca="false">-AB45*Inputs!$E$75/30</f>
        <v>19585.0836484758</v>
      </c>
      <c r="AC86" s="53" t="n">
        <f aca="false">-AC45*Inputs!$E$75/30</f>
        <v>24078.212322995</v>
      </c>
      <c r="AD86" s="53" t="n">
        <f aca="false">-AD45*Inputs!$E$75/30</f>
        <v>24351.5397784432</v>
      </c>
      <c r="AE86" s="53" t="n">
        <f aca="false">-AE45*Inputs!$E$75/30</f>
        <v>24613.9341356734</v>
      </c>
      <c r="AF86" s="53" t="n">
        <f aca="false">-AF45*Inputs!$E$75/30</f>
        <v>24865.8327186144</v>
      </c>
      <c r="AG86" s="53" t="n">
        <f aca="false">-AG45*Inputs!$E$75/30</f>
        <v>25107.6553582377</v>
      </c>
      <c r="AH86" s="53" t="n">
        <f aca="false">-AH45*Inputs!$E$75/30</f>
        <v>25339.8050922762</v>
      </c>
      <c r="AI86" s="53" t="n">
        <f aca="false">-AI45*Inputs!$E$75/30</f>
        <v>25562.6688369531</v>
      </c>
      <c r="AJ86" s="53" t="n">
        <f aca="false">-AJ45*Inputs!$E$75/30</f>
        <v>25776.6180318429</v>
      </c>
      <c r="AK86" s="53" t="n">
        <f aca="false">-AK45*Inputs!$E$75/30</f>
        <v>25982.0092589371</v>
      </c>
      <c r="AL86" s="53" t="n">
        <f aca="false">-AL45*Inputs!$E$75/30</f>
        <v>21523.9256478349</v>
      </c>
      <c r="AM86" s="53" t="n">
        <f aca="false">-AM45*Inputs!$E$75/30</f>
        <v>22240.513553345</v>
      </c>
      <c r="AN86" s="53" t="n">
        <f aca="false">-AN45*Inputs!$E$75/30</f>
        <v>22355.4384446114</v>
      </c>
      <c r="AO86" s="53" t="n">
        <f aca="false">-AO45*Inputs!$E$75/30</f>
        <v>27320.9569762693</v>
      </c>
      <c r="AP86" s="53" t="n">
        <f aca="false">-AP45*Inputs!$E$75/30</f>
        <v>27517.1258044031</v>
      </c>
      <c r="AQ86" s="53" t="n">
        <f aca="false">-AQ45*Inputs!$E$75/30</f>
        <v>27705.4478794115</v>
      </c>
      <c r="AR86" s="53" t="n">
        <f aca="false">-AR45*Inputs!$E$75/30</f>
        <v>27886.2370714195</v>
      </c>
      <c r="AS86" s="53" t="n">
        <f aca="false">-AS45*Inputs!$E$75/30</f>
        <v>28059.7946957473</v>
      </c>
      <c r="AT86" s="53" t="n">
        <f aca="false">-AT45*Inputs!$E$75/30</f>
        <v>28226.4100151019</v>
      </c>
      <c r="AU86" s="53" t="n">
        <f aca="false">-AU45*Inputs!$E$75/30</f>
        <v>28386.3607216824</v>
      </c>
      <c r="AV86" s="53" t="n">
        <f aca="false">-AV45*Inputs!$E$75/30</f>
        <v>28539.9133999996</v>
      </c>
      <c r="AW86" s="53" t="n">
        <f aca="false">-AW45*Inputs!$E$75/30</f>
        <v>28687.3239711841</v>
      </c>
      <c r="AX86" s="53" t="n">
        <f aca="false">-AX45*Inputs!$E$75/30</f>
        <v>23728.2121968321</v>
      </c>
      <c r="AY86" s="53" t="n">
        <f aca="false">-AY45*Inputs!$E$75/30</f>
        <v>24460.2194797916</v>
      </c>
      <c r="AZ86" s="53" t="n">
        <f aca="false">-AZ45*Inputs!$E$75/30</f>
        <v>24530.5091478215</v>
      </c>
      <c r="BA86" s="53" t="n">
        <f aca="false">-BA45*Inputs!$E$75/30</f>
        <v>29885.6999368221</v>
      </c>
      <c r="BB86" s="53" t="n">
        <f aca="false">-BB45*Inputs!$E$75/30</f>
        <v>30034.7454548475</v>
      </c>
      <c r="BC86" s="53" t="n">
        <f aca="false">-BC45*Inputs!$E$75/30</f>
        <v>30177.8291521518</v>
      </c>
      <c r="BD86" s="53" t="n">
        <f aca="false">-BD45*Inputs!$E$75/30</f>
        <v>30315.189501564</v>
      </c>
      <c r="BE86" s="53" t="n">
        <f aca="false">-BE45*Inputs!$E$75/30</f>
        <v>30447.0554369998</v>
      </c>
      <c r="BF86" s="53" t="n">
        <f aca="false">-BF45*Inputs!$E$75/30</f>
        <v>30573.6467350181</v>
      </c>
      <c r="BG86" s="53" t="n">
        <f aca="false">-BG45*Inputs!$E$75/30</f>
        <v>30695.1743811156</v>
      </c>
      <c r="BH86" s="53" t="n">
        <f aca="false">-BH45*Inputs!$E$75/30</f>
        <v>30811.8409213693</v>
      </c>
      <c r="BI86" s="53" t="n">
        <f aca="false">-BI45*Inputs!$E$75/30</f>
        <v>30923.8408000128</v>
      </c>
      <c r="BJ86" s="53" t="n">
        <f aca="false">-BJ45*Inputs!$E$75/30</f>
        <v>25556.9069628375</v>
      </c>
    </row>
    <row r="87" customFormat="false" ht="15" hidden="false" customHeight="false" outlineLevel="0" collapsed="false">
      <c r="A87" s="6" t="s">
        <v>318</v>
      </c>
      <c r="C87" s="53" t="n">
        <f aca="false">-C84</f>
        <v>-3196.22386666667</v>
      </c>
      <c r="D87" s="53" t="n">
        <f aca="false">C84-D84</f>
        <v>-433.705193481482</v>
      </c>
      <c r="E87" s="53" t="n">
        <f aca="false">D84-E84</f>
        <v>-1221.6310598163</v>
      </c>
      <c r="F87" s="53" t="n">
        <f aca="false">E84-F84</f>
        <v>-551.899802608829</v>
      </c>
      <c r="G87" s="53" t="n">
        <f aca="false">F84-G84</f>
        <v>-562.558506800773</v>
      </c>
      <c r="H87" s="53" t="n">
        <f aca="false">G84-H84</f>
        <v>-572.790862825039</v>
      </c>
      <c r="I87" s="53" t="n">
        <f aca="false">H84-I84</f>
        <v>-582.613924608332</v>
      </c>
      <c r="J87" s="53" t="n">
        <f aca="false">I84-J84</f>
        <v>-592.044063920296</v>
      </c>
      <c r="K87" s="53" t="n">
        <f aca="false">J84-K84</f>
        <v>-601.096997659782</v>
      </c>
      <c r="L87" s="53" t="n">
        <f aca="false">K84-L84</f>
        <v>-609.787814049685</v>
      </c>
      <c r="M87" s="53" t="n">
        <f aca="false">L84-M84</f>
        <v>-178.684582969179</v>
      </c>
      <c r="N87" s="53" t="n">
        <f aca="false">M84-N84</f>
        <v>1187.05480034959</v>
      </c>
      <c r="O87" s="53" t="n">
        <f aca="false">N84-O84</f>
        <v>-303.290256998819</v>
      </c>
      <c r="P87" s="53" t="n">
        <f aca="false">O84-P84</f>
        <v>-142.146794717777</v>
      </c>
      <c r="Q87" s="53" t="n">
        <f aca="false">P84-Q84</f>
        <v>-1522.22476292907</v>
      </c>
      <c r="R87" s="53" t="n">
        <f aca="false">Q84-R84</f>
        <v>-156.976092411904</v>
      </c>
      <c r="S87" s="53" t="n">
        <f aca="false">R84-S84</f>
        <v>-150.697048715427</v>
      </c>
      <c r="T87" s="53" t="n">
        <f aca="false">S84-T84</f>
        <v>-144.669166766809</v>
      </c>
      <c r="U87" s="53" t="n">
        <f aca="false">T84-U84</f>
        <v>-138.882400096136</v>
      </c>
      <c r="V87" s="53" t="n">
        <f aca="false">U84-V84</f>
        <v>-133.327104092292</v>
      </c>
      <c r="W87" s="53" t="n">
        <f aca="false">V84-W84</f>
        <v>-127.994019928599</v>
      </c>
      <c r="X87" s="53" t="n">
        <f aca="false">W84-X84</f>
        <v>-122.874259131457</v>
      </c>
      <c r="Y87" s="53" t="n">
        <f aca="false">X84-Y84</f>
        <v>-117.959288766197</v>
      </c>
      <c r="Z87" s="53" t="n">
        <f aca="false">Y84-Z84</f>
        <v>1272.52292278445</v>
      </c>
      <c r="AA87" s="53" t="n">
        <f aca="false">Z84-AA84</f>
        <v>-281.668655546002</v>
      </c>
      <c r="AB87" s="53" t="n">
        <f aca="false">AA84-AB84</f>
        <v>-87.2617315050902</v>
      </c>
      <c r="AC87" s="53" t="n">
        <f aca="false">AB84-AC84</f>
        <v>-1497.25037904488</v>
      </c>
      <c r="AD87" s="53" t="n">
        <f aca="false">AC84-AD84</f>
        <v>-106.913490283088</v>
      </c>
      <c r="AE87" s="53" t="n">
        <f aca="false">AD84-AE84</f>
        <v>-102.636950671766</v>
      </c>
      <c r="AF87" s="53" t="n">
        <f aca="false">AE84-AF84</f>
        <v>-98.5314726448942</v>
      </c>
      <c r="AG87" s="53" t="n">
        <f aca="false">AF84-AG84</f>
        <v>-94.5902137390985</v>
      </c>
      <c r="AH87" s="53" t="n">
        <f aca="false">AG84-AH84</f>
        <v>-90.806605189533</v>
      </c>
      <c r="AI87" s="53" t="n">
        <f aca="false">AH84-AI84</f>
        <v>-87.1743409819555</v>
      </c>
      <c r="AJ87" s="53" t="n">
        <f aca="false">AI84-AJ84</f>
        <v>-83.6873673426744</v>
      </c>
      <c r="AK87" s="53" t="n">
        <f aca="false">AJ84-AK84</f>
        <v>-80.3398726489686</v>
      </c>
      <c r="AL87" s="53" t="n">
        <f aca="false">AK84-AL84</f>
        <v>1336.35283905699</v>
      </c>
      <c r="AM87" s="53" t="n">
        <f aca="false">AL84-AM84</f>
        <v>-271.491725789752</v>
      </c>
      <c r="AN87" s="53" t="n">
        <f aca="false">AM84-AN84</f>
        <v>-53.2475426956989</v>
      </c>
      <c r="AO87" s="53" t="n">
        <f aca="false">AN84-AO84</f>
        <v>-1492.86634012387</v>
      </c>
      <c r="AP87" s="53" t="n">
        <f aca="false">AO84-AP84</f>
        <v>-76.0958754469157</v>
      </c>
      <c r="AQ87" s="53" t="n">
        <f aca="false">AP84-AQ84</f>
        <v>-73.0520404290382</v>
      </c>
      <c r="AR87" s="53" t="n">
        <f aca="false">AQ84-AR84</f>
        <v>-70.12995881188</v>
      </c>
      <c r="AS87" s="53" t="n">
        <f aca="false">AR84-AS84</f>
        <v>-67.3247604594017</v>
      </c>
      <c r="AT87" s="53" t="n">
        <f aca="false">AS84-AT84</f>
        <v>-64.6317700410273</v>
      </c>
      <c r="AU87" s="53" t="n">
        <f aca="false">AT84-AU84</f>
        <v>-62.0464992393845</v>
      </c>
      <c r="AV87" s="53" t="n">
        <f aca="false">AU84-AV84</f>
        <v>-59.5646392698109</v>
      </c>
      <c r="AW87" s="53" t="n">
        <f aca="false">AV84-AW84</f>
        <v>-57.1820536990163</v>
      </c>
      <c r="AX87" s="53" t="n">
        <f aca="false">AW84-AX84</f>
        <v>1386.85392758494</v>
      </c>
      <c r="AY87" s="53" t="n">
        <f aca="false">AX84-AY84</f>
        <v>-268.640045428259</v>
      </c>
      <c r="AZ87" s="53" t="n">
        <f aca="false">AY84-AZ84</f>
        <v>-32.3052511382139</v>
      </c>
      <c r="BA87" s="53" t="n">
        <f aca="false">AZ84-BA84</f>
        <v>-1501.59671421141</v>
      </c>
      <c r="BB87" s="53" t="n">
        <f aca="false">BA84-BB84</f>
        <v>-57.3359183495086</v>
      </c>
      <c r="BC87" s="53" t="n">
        <f aca="false">BB84-BC84</f>
        <v>-55.0424816155301</v>
      </c>
      <c r="BD87" s="53" t="n">
        <f aca="false">BC84-BD84</f>
        <v>-52.8407823509078</v>
      </c>
      <c r="BE87" s="53" t="n">
        <f aca="false">BD84-BE84</f>
        <v>-50.7271510568717</v>
      </c>
      <c r="BF87" s="53" t="n">
        <f aca="false">BE84-BF84</f>
        <v>-48.6980650145961</v>
      </c>
      <c r="BG87" s="53" t="n">
        <f aca="false">BF84-BG84</f>
        <v>-46.7501424140137</v>
      </c>
      <c r="BH87" s="53" t="n">
        <f aca="false">BG84-BH84</f>
        <v>-44.880136717451</v>
      </c>
      <c r="BI87" s="53" t="n">
        <f aca="false">BH84-BI84</f>
        <v>-43.0849312487553</v>
      </c>
      <c r="BJ87" s="53" t="n">
        <f aca="false">BI84-BJ84</f>
        <v>1429.22213911992</v>
      </c>
    </row>
    <row r="88" customFormat="false" ht="15" hidden="false" customHeight="false" outlineLevel="0" collapsed="false">
      <c r="A88" s="6" t="s">
        <v>319</v>
      </c>
      <c r="C88" s="53" t="n">
        <f aca="false">-C85</f>
        <v>-3535.97287295</v>
      </c>
      <c r="D88" s="53" t="n">
        <f aca="false">C85-D85</f>
        <v>-479.751530209779</v>
      </c>
      <c r="E88" s="53" t="n">
        <f aca="false">D85-E85</f>
        <v>-1522.69322532158</v>
      </c>
      <c r="F88" s="53" t="n">
        <f aca="false">E85-F85</f>
        <v>-642.430812210746</v>
      </c>
      <c r="G88" s="53" t="n">
        <f aca="false">F85-G85</f>
        <v>-658.510799822315</v>
      </c>
      <c r="H88" s="53" t="n">
        <f aca="false">G85-H85</f>
        <v>-673.947587929423</v>
      </c>
      <c r="I88" s="53" t="n">
        <f aca="false">H85-I85</f>
        <v>-688.766904512245</v>
      </c>
      <c r="J88" s="53" t="n">
        <f aca="false">I85-J85</f>
        <v>-702.993448431758</v>
      </c>
      <c r="K88" s="53" t="n">
        <f aca="false">J85-K85</f>
        <v>-716.650930594486</v>
      </c>
      <c r="L88" s="53" t="n">
        <f aca="false">K85-L85</f>
        <v>-729.762113470708</v>
      </c>
      <c r="M88" s="53" t="n">
        <f aca="false">L85-M85</f>
        <v>-269.568028981877</v>
      </c>
      <c r="N88" s="53" t="n">
        <f aca="false">M85-N85</f>
        <v>1735.26571662878</v>
      </c>
      <c r="O88" s="53" t="n">
        <f aca="false">N85-O85</f>
        <v>-433.500389473948</v>
      </c>
      <c r="P88" s="53" t="n">
        <f aca="false">O85-P85</f>
        <v>-181.139437343798</v>
      </c>
      <c r="Q88" s="53" t="n">
        <f aca="false">P85-Q85</f>
        <v>-2329.28982865731</v>
      </c>
      <c r="R88" s="53" t="n">
        <f aca="false">Q85-R85</f>
        <v>-238.793532283751</v>
      </c>
      <c r="S88" s="53" t="n">
        <f aca="false">R85-S85</f>
        <v>-229.241790992404</v>
      </c>
      <c r="T88" s="53" t="n">
        <f aca="false">S85-T85</f>
        <v>-220.072119352706</v>
      </c>
      <c r="U88" s="53" t="n">
        <f aca="false">T85-U85</f>
        <v>-211.269234578596</v>
      </c>
      <c r="V88" s="53" t="n">
        <f aca="false">U85-V85</f>
        <v>-202.818465195453</v>
      </c>
      <c r="W88" s="53" t="n">
        <f aca="false">V85-W85</f>
        <v>-194.705726587636</v>
      </c>
      <c r="X88" s="53" t="n">
        <f aca="false">W85-X85</f>
        <v>-186.917497524129</v>
      </c>
      <c r="Y88" s="53" t="n">
        <f aca="false">X85-Y85</f>
        <v>-179.440797623163</v>
      </c>
      <c r="Z88" s="53" t="n">
        <f aca="false">Y85-Z85</f>
        <v>2281.04380556581</v>
      </c>
      <c r="AA88" s="53" t="n">
        <f aca="false">Z85-AA85</f>
        <v>-427.026227634677</v>
      </c>
      <c r="AB88" s="53" t="n">
        <f aca="false">AA85-AB85</f>
        <v>-112.096409597598</v>
      </c>
      <c r="AC88" s="53" t="n">
        <f aca="false">AB85-AC85</f>
        <v>-2695.87720471152</v>
      </c>
      <c r="AD88" s="53" t="n">
        <f aca="false">AC85-AD85</f>
        <v>-163.996473268882</v>
      </c>
      <c r="AE88" s="53" t="n">
        <f aca="false">AD85-AE85</f>
        <v>-157.436614338127</v>
      </c>
      <c r="AF88" s="53" t="n">
        <f aca="false">AE85-AF85</f>
        <v>-151.139149764602</v>
      </c>
      <c r="AG88" s="53" t="n">
        <f aca="false">AF85-AG85</f>
        <v>-145.093583774014</v>
      </c>
      <c r="AH88" s="53" t="n">
        <f aca="false">AG85-AH85</f>
        <v>-139.289840423056</v>
      </c>
      <c r="AI88" s="53" t="n">
        <f aca="false">AH85-AI85</f>
        <v>-133.718246806135</v>
      </c>
      <c r="AJ88" s="53" t="n">
        <f aca="false">AI85-AJ85</f>
        <v>-128.369516933886</v>
      </c>
      <c r="AK88" s="53" t="n">
        <f aca="false">AJ85-AK85</f>
        <v>-123.234736256534</v>
      </c>
      <c r="AL88" s="53" t="n">
        <f aca="false">AK85-AL85</f>
        <v>2674.85016666134</v>
      </c>
      <c r="AM88" s="53" t="n">
        <f aca="false">AL85-AM85</f>
        <v>-429.952743306061</v>
      </c>
      <c r="AN88" s="53" t="n">
        <f aca="false">AM85-AN85</f>
        <v>-68.9549347598422</v>
      </c>
      <c r="AO88" s="53" t="n">
        <f aca="false">AN85-AO85</f>
        <v>-2979.31111899478</v>
      </c>
      <c r="AP88" s="53" t="n">
        <f aca="false">AO85-AP85</f>
        <v>-117.701296880256</v>
      </c>
      <c r="AQ88" s="53" t="n">
        <f aca="false">AP85-AQ85</f>
        <v>-112.99324500504</v>
      </c>
      <c r="AR88" s="53" t="n">
        <f aca="false">AQ85-AR85</f>
        <v>-108.473515204838</v>
      </c>
      <c r="AS88" s="53" t="n">
        <f aca="false">AR85-AS85</f>
        <v>-104.134574596646</v>
      </c>
      <c r="AT88" s="53" t="n">
        <f aca="false">AS85-AT85</f>
        <v>-99.9691916127777</v>
      </c>
      <c r="AU88" s="53" t="n">
        <f aca="false">AT85-AU85</f>
        <v>-95.9704239482708</v>
      </c>
      <c r="AV88" s="53" t="n">
        <f aca="false">AU85-AV85</f>
        <v>-92.1316069903369</v>
      </c>
      <c r="AW88" s="53" t="n">
        <f aca="false">AV85-AW85</f>
        <v>-88.4463427107257</v>
      </c>
      <c r="AX88" s="53" t="n">
        <f aca="false">AW85-AX85</f>
        <v>2975.46706461122</v>
      </c>
      <c r="AY88" s="53" t="n">
        <f aca="false">AX85-AY85</f>
        <v>-439.204369775691</v>
      </c>
      <c r="AZ88" s="53" t="n">
        <f aca="false">AY85-AZ85</f>
        <v>-42.1738008179291</v>
      </c>
      <c r="BA88" s="53" t="n">
        <f aca="false">AZ85-BA85</f>
        <v>-3213.11447340035</v>
      </c>
      <c r="BB88" s="53" t="n">
        <f aca="false">BA85-BB85</f>
        <v>-89.4273108152374</v>
      </c>
      <c r="BC88" s="53" t="n">
        <f aca="false">BB85-BC85</f>
        <v>-85.8502183826349</v>
      </c>
      <c r="BD88" s="53" t="n">
        <f aca="false">BC85-BD85</f>
        <v>-82.4162096473228</v>
      </c>
      <c r="BE88" s="53" t="n">
        <f aca="false">BD85-BE85</f>
        <v>-79.119561261432</v>
      </c>
      <c r="BF88" s="53" t="n">
        <f aca="false">BE85-BF85</f>
        <v>-75.9547788109776</v>
      </c>
      <c r="BG88" s="53" t="n">
        <f aca="false">BF85-BG85</f>
        <v>-72.9165876585357</v>
      </c>
      <c r="BH88" s="53" t="n">
        <f aca="false">BG85-BH85</f>
        <v>-69.9999241521909</v>
      </c>
      <c r="BI88" s="53" t="n">
        <f aca="false">BH85-BI85</f>
        <v>-67.1999271861059</v>
      </c>
      <c r="BJ88" s="53" t="n">
        <f aca="false">BI85-BJ85</f>
        <v>3220.16030230516</v>
      </c>
    </row>
    <row r="89" customFormat="false" ht="15" hidden="false" customHeight="false" outlineLevel="0" collapsed="false">
      <c r="A89" s="6" t="s">
        <v>320</v>
      </c>
      <c r="C89" s="53" t="n">
        <f aca="false">C86</f>
        <v>5893.28812158333</v>
      </c>
      <c r="D89" s="53" t="n">
        <f aca="false">D86-C86</f>
        <v>799.585883682964</v>
      </c>
      <c r="E89" s="53" t="n">
        <f aca="false">E86-D86</f>
        <v>2537.82204220264</v>
      </c>
      <c r="F89" s="53" t="n">
        <f aca="false">F86-E86</f>
        <v>1070.71802035124</v>
      </c>
      <c r="G89" s="53" t="n">
        <f aca="false">G86-F86</f>
        <v>1097.51799970386</v>
      </c>
      <c r="H89" s="53" t="n">
        <f aca="false">H86-G86</f>
        <v>1123.24597988237</v>
      </c>
      <c r="I89" s="53" t="n">
        <f aca="false">I86-H86</f>
        <v>1147.94484085374</v>
      </c>
      <c r="J89" s="53" t="n">
        <f aca="false">J86-I86</f>
        <v>1171.65574738627</v>
      </c>
      <c r="K89" s="53" t="n">
        <f aca="false">K86-J86</f>
        <v>1194.41821765747</v>
      </c>
      <c r="L89" s="53" t="n">
        <f aca="false">L86-K86</f>
        <v>1216.27018911785</v>
      </c>
      <c r="M89" s="53" t="n">
        <f aca="false">M86-L86</f>
        <v>449.280048303132</v>
      </c>
      <c r="N89" s="53" t="n">
        <f aca="false">N86-M86</f>
        <v>-2892.10952771463</v>
      </c>
      <c r="O89" s="53" t="n">
        <f aca="false">O86-N86</f>
        <v>722.500649123245</v>
      </c>
      <c r="P89" s="53" t="n">
        <f aca="false">P86-O86</f>
        <v>301.899062239663</v>
      </c>
      <c r="Q89" s="53" t="n">
        <f aca="false">Q86-P86</f>
        <v>3882.14971442885</v>
      </c>
      <c r="R89" s="53" t="n">
        <f aca="false">R86-Q86</f>
        <v>397.989220472919</v>
      </c>
      <c r="S89" s="53" t="n">
        <f aca="false">S86-R86</f>
        <v>382.069651654008</v>
      </c>
      <c r="T89" s="53" t="n">
        <f aca="false">T86-S86</f>
        <v>366.786865587845</v>
      </c>
      <c r="U89" s="53" t="n">
        <f aca="false">U86-T86</f>
        <v>352.115390964325</v>
      </c>
      <c r="V89" s="53" t="n">
        <f aca="false">V86-U86</f>
        <v>338.030775325755</v>
      </c>
      <c r="W89" s="53" t="n">
        <f aca="false">W86-V86</f>
        <v>324.509544312728</v>
      </c>
      <c r="X89" s="53" t="n">
        <f aca="false">X86-W86</f>
        <v>311.529162540213</v>
      </c>
      <c r="Y89" s="53" t="n">
        <f aca="false">Y86-X86</f>
        <v>299.067996038604</v>
      </c>
      <c r="Z89" s="53" t="n">
        <f aca="false">Z86-Y86</f>
        <v>-3801.73967594301</v>
      </c>
      <c r="AA89" s="53" t="n">
        <f aca="false">AA86-Z86</f>
        <v>711.71037939113</v>
      </c>
      <c r="AB89" s="53" t="n">
        <f aca="false">AB86-AA86</f>
        <v>186.827349329327</v>
      </c>
      <c r="AC89" s="53" t="n">
        <f aca="false">AC86-AB86</f>
        <v>4493.1286745192</v>
      </c>
      <c r="AD89" s="53" t="n">
        <f aca="false">AD86-AC86</f>
        <v>273.32745544814</v>
      </c>
      <c r="AE89" s="53" t="n">
        <f aca="false">AE86-AD86</f>
        <v>262.394357230209</v>
      </c>
      <c r="AF89" s="53" t="n">
        <f aca="false">AF86-AE86</f>
        <v>251.898582941005</v>
      </c>
      <c r="AG89" s="53" t="n">
        <f aca="false">AG86-AF86</f>
        <v>241.822639623355</v>
      </c>
      <c r="AH89" s="53" t="n">
        <f aca="false">AH86-AG86</f>
        <v>232.14973403843</v>
      </c>
      <c r="AI89" s="53" t="n">
        <f aca="false">AI86-AH86</f>
        <v>222.863744676888</v>
      </c>
      <c r="AJ89" s="53" t="n">
        <f aca="false">AJ86-AI86</f>
        <v>213.94919488981</v>
      </c>
      <c r="AK89" s="53" t="n">
        <f aca="false">AK86-AJ86</f>
        <v>205.391227094224</v>
      </c>
      <c r="AL89" s="53" t="n">
        <f aca="false">AL86-AK86</f>
        <v>-4458.08361110224</v>
      </c>
      <c r="AM89" s="53" t="n">
        <f aca="false">AM86-AL86</f>
        <v>716.5879055101</v>
      </c>
      <c r="AN89" s="53" t="n">
        <f aca="false">AN86-AM86</f>
        <v>114.924891266408</v>
      </c>
      <c r="AO89" s="53" t="n">
        <f aca="false">AO86-AN86</f>
        <v>4965.51853165796</v>
      </c>
      <c r="AP89" s="53" t="n">
        <f aca="false">AP86-AO86</f>
        <v>196.168828133759</v>
      </c>
      <c r="AQ89" s="53" t="n">
        <f aca="false">AQ86-AP86</f>
        <v>188.322075008397</v>
      </c>
      <c r="AR89" s="53" t="n">
        <f aca="false">AR86-AQ86</f>
        <v>180.789192008066</v>
      </c>
      <c r="AS89" s="53" t="n">
        <f aca="false">AS86-AR86</f>
        <v>173.557624327746</v>
      </c>
      <c r="AT89" s="53" t="n">
        <f aca="false">AT86-AS86</f>
        <v>166.615319354627</v>
      </c>
      <c r="AU89" s="53" t="n">
        <f aca="false">AU86-AT86</f>
        <v>159.95070658045</v>
      </c>
      <c r="AV89" s="53" t="n">
        <f aca="false">AV86-AU86</f>
        <v>153.552678317232</v>
      </c>
      <c r="AW89" s="53" t="n">
        <f aca="false">AW86-AV86</f>
        <v>147.41057118454</v>
      </c>
      <c r="AX89" s="53" t="n">
        <f aca="false">AX86-AW86</f>
        <v>-4959.11177435203</v>
      </c>
      <c r="AY89" s="53" t="n">
        <f aca="false">AY86-AX86</f>
        <v>732.007282959483</v>
      </c>
      <c r="AZ89" s="53" t="n">
        <f aca="false">AZ86-AY86</f>
        <v>70.28966802988</v>
      </c>
      <c r="BA89" s="53" t="n">
        <f aca="false">BA86-AZ86</f>
        <v>5355.19078900058</v>
      </c>
      <c r="BB89" s="53" t="n">
        <f aca="false">BB86-BA86</f>
        <v>149.045518025399</v>
      </c>
      <c r="BC89" s="53" t="n">
        <f aca="false">BC86-BB86</f>
        <v>143.083697304388</v>
      </c>
      <c r="BD89" s="53" t="n">
        <f aca="false">BD86-BC86</f>
        <v>137.360349412204</v>
      </c>
      <c r="BE89" s="53" t="n">
        <f aca="false">BE86-BD86</f>
        <v>131.865935435722</v>
      </c>
      <c r="BF89" s="53" t="n">
        <f aca="false">BF86-BE86</f>
        <v>126.591298018295</v>
      </c>
      <c r="BG89" s="53" t="n">
        <f aca="false">BG86-BF86</f>
        <v>121.527646097558</v>
      </c>
      <c r="BH89" s="53" t="n">
        <f aca="false">BH86-BG86</f>
        <v>116.666540253653</v>
      </c>
      <c r="BI89" s="53" t="n">
        <f aca="false">BI86-BH86</f>
        <v>111.99987864351</v>
      </c>
      <c r="BJ89" s="53" t="n">
        <f aca="false">BJ86-BI86</f>
        <v>-5366.93383717527</v>
      </c>
    </row>
    <row r="91" customFormat="false" ht="15.75" hidden="false" customHeight="true" outlineLevel="0" collapsed="false">
      <c r="A91" s="7" t="s">
        <v>427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4" t="s">
        <v>50</v>
      </c>
      <c r="C92" s="60" t="n">
        <f aca="false">C64-C73+C87+C88+C89</f>
        <v>-74804.1630306</v>
      </c>
      <c r="D92" s="60" t="n">
        <f aca="false">D64-D73+D87+D88+D89</f>
        <v>-68444.5087441057</v>
      </c>
      <c r="E92" s="60" t="n">
        <f aca="false">E64-E73+E87+E88+E89</f>
        <v>-53080.977367098</v>
      </c>
      <c r="F92" s="60" t="n">
        <f aca="false">F64-F73+F87+F88+F89</f>
        <v>-45827.3689705868</v>
      </c>
      <c r="G92" s="60" t="n">
        <f aca="false">G64-G73+G87+G88+G89</f>
        <v>-38528.8683473374</v>
      </c>
      <c r="H92" s="60" t="n">
        <f aca="false">H64-H73+H87+H88+H89</f>
        <v>-31107.7584114402</v>
      </c>
      <c r="I92" s="60" t="n">
        <f aca="false">I64-I73+I87+I88+I89</f>
        <v>-23568.9435354011</v>
      </c>
      <c r="J92" s="60" t="n">
        <f aca="false">J64-J73+J87+J88+J89</f>
        <v>-15917.1319168258</v>
      </c>
      <c r="K92" s="60" t="n">
        <f aca="false">K64-K73+K87+K88+K89</f>
        <v>-8156.84342541571</v>
      </c>
      <c r="L92" s="60" t="n">
        <f aca="false">L64-L73+L87+L88+L89</f>
        <v>-292.417136084256</v>
      </c>
      <c r="M92" s="60" t="n">
        <f aca="false">M64-M73+M87+M88+M89</f>
        <v>2150.10605857762</v>
      </c>
      <c r="N92" s="60" t="n">
        <f aca="false">N64-N73+N87+N88+N89</f>
        <v>-11978.9176271636</v>
      </c>
      <c r="O92" s="60" t="n">
        <f aca="false">O64-O73+O87+O88+O89</f>
        <v>-8211.58220440918</v>
      </c>
      <c r="P92" s="60" t="n">
        <f aca="false">P64-P73+P87+P88+P89</f>
        <v>-6271.67299746916</v>
      </c>
      <c r="Q92" s="60" t="n">
        <f aca="false">Q64-Q73+Q87+Q88+Q89</f>
        <v>12132.2244151499</v>
      </c>
      <c r="R92" s="60" t="n">
        <f aca="false">R64-R73+R87+R88+R89</f>
        <v>14157.9465430291</v>
      </c>
      <c r="S92" s="60" t="n">
        <f aca="false">S64-S73+S87+S88+S89</f>
        <v>16136.9132412779</v>
      </c>
      <c r="T92" s="60" t="n">
        <f aca="false">T64-T73+T87+T88+T89</f>
        <v>18043.8046049301</v>
      </c>
      <c r="U92" s="60" t="n">
        <f aca="false">U64-U73+U87+U88+U89</f>
        <v>19881.5036473696</v>
      </c>
      <c r="V92" s="60" t="n">
        <f aca="false">V64-V73+V87+V88+V89</f>
        <v>21652.7780614448</v>
      </c>
      <c r="W92" s="60" t="n">
        <f aca="false">W64-W73+W87+W88+W89</f>
        <v>23360.2848322903</v>
      </c>
      <c r="X92" s="60" t="n">
        <f aca="false">X64-X73+X87+X88+X89</f>
        <v>25006.5746656354</v>
      </c>
      <c r="Y92" s="60" t="n">
        <f aca="false">Y64-Y73+Y87+Y88+Y89</f>
        <v>26594.0962389799</v>
      </c>
      <c r="Z92" s="60" t="n">
        <f aca="false">Z64-Z73+Z87+Z88+Z89</f>
        <v>11995.5824844361</v>
      </c>
      <c r="AA92" s="60" t="n">
        <f aca="false">AA64-AA73+AA87+AA88+AA89</f>
        <v>15193.8036394933</v>
      </c>
      <c r="AB92" s="60" t="n">
        <f aca="false">AB64-AB73+AB87+AB88+AB89</f>
        <v>16440.073838224</v>
      </c>
      <c r="AC92" s="60" t="n">
        <f aca="false">AC64-AC73+AC87+AC88+AC89</f>
        <v>33996.6903303437</v>
      </c>
      <c r="AD92" s="60" t="n">
        <f aca="false">AD64-AD73+AD87+AD88+AD89</f>
        <v>35151.899472519</v>
      </c>
      <c r="AE92" s="60" t="n">
        <f aca="false">AE64-AE73+AE87+AE88+AE89</f>
        <v>36553.5671375767</v>
      </c>
      <c r="AF92" s="60" t="n">
        <f aca="false">AF64-AF73+AF87+AF88+AF89</f>
        <v>37906.2514293654</v>
      </c>
      <c r="AG92" s="60" t="n">
        <f aca="false">AG64-AG73+AG87+AG88+AG89</f>
        <v>39211.9116828159</v>
      </c>
      <c r="AH92" s="60" t="n">
        <f aca="false">AH64-AH73+AH87+AH88+AH89</f>
        <v>40472.4288594618</v>
      </c>
      <c r="AI92" s="60" t="n">
        <f aca="false">AI64-AI73+AI87+AI88+AI89</f>
        <v>41689.6086823751</v>
      </c>
      <c r="AJ92" s="60" t="n">
        <f aca="false">AJ64-AJ73+AJ87+AJ88+AJ89</f>
        <v>42865.1846457052</v>
      </c>
      <c r="AK92" s="60" t="n">
        <f aca="false">AK64-AK73+AK87+AK88+AK89</f>
        <v>44000.8209038355</v>
      </c>
      <c r="AL92" s="60" t="n">
        <f aca="false">AL64-AL73+AL87+AL88+AL89</f>
        <v>29033.6147610641</v>
      </c>
      <c r="AM92" s="60" t="n">
        <f aca="false">AM64-AM73+AM87+AM88+AM89</f>
        <v>31824.5336964297</v>
      </c>
      <c r="AN92" s="60" t="n">
        <f aca="false">AN64-AN73+AN87+AN88+AN89</f>
        <v>32639.9992780755</v>
      </c>
      <c r="AO92" s="60" t="n">
        <f aca="false">AO64-AO73+AO87+AO88+AO89</f>
        <v>49752.0741340058</v>
      </c>
      <c r="AP92" s="60" t="n">
        <f aca="false">AP64-AP73+AP87+AP88+AP89</f>
        <v>50344.2235885496</v>
      </c>
      <c r="AQ92" s="60" t="n">
        <f aca="false">AQ64-AQ73+AQ87+AQ88+AQ89</f>
        <v>51391.0061720762</v>
      </c>
      <c r="AR92" s="60" t="n">
        <f aca="false">AR64-AR73+AR87+AR88+AR89</f>
        <v>52403.000785595</v>
      </c>
      <c r="AS92" s="60" t="n">
        <f aca="false">AS64-AS73+AS87+AS88+AS89</f>
        <v>53381.5989479065</v>
      </c>
      <c r="AT92" s="60" t="n">
        <f aca="false">AT64-AT73+AT87+AT88+AT89</f>
        <v>54328.1365170588</v>
      </c>
      <c r="AU92" s="60" t="n">
        <f aca="false">AU64-AU73+AU87+AU88+AU89</f>
        <v>55243.8959167783</v>
      </c>
      <c r="AV92" s="60" t="n">
        <f aca="false">AV64-AV73+AV87+AV88+AV89</f>
        <v>56130.1082738424</v>
      </c>
      <c r="AW92" s="60" t="n">
        <f aca="false">AW64-AW73+AW87+AW88+AW89</f>
        <v>56987.9554699573</v>
      </c>
      <c r="AX92" s="60" t="n">
        <f aca="false">AX64-AX73+AX87+AX88+AX89</f>
        <v>41714.5910618083</v>
      </c>
      <c r="AY92" s="60" t="n">
        <f aca="false">AY64-AY73+AY87+AY88+AY89</f>
        <v>44218.0613817255</v>
      </c>
      <c r="AZ92" s="60" t="n">
        <f aca="false">AZ64-AZ73+AZ87+AZ88+AZ89</f>
        <v>44767.0236288144</v>
      </c>
      <c r="BA92" s="60" t="n">
        <f aca="false">BA64-BA73+BA87+BA88+BA89</f>
        <v>61686.4977138332</v>
      </c>
      <c r="BB92" s="60" t="n">
        <f aca="false">BB64-BB73+BB87+BB88+BB89</f>
        <v>61906.5678882506</v>
      </c>
      <c r="BC92" s="60" t="n">
        <f aca="false">BC64-BC73+BC87+BC88+BC89</f>
        <v>62737.4967174972</v>
      </c>
      <c r="BD92" s="60" t="n">
        <f aca="false">BD64-BD73+BD87+BD88+BD89</f>
        <v>63542.2717269072</v>
      </c>
      <c r="BE92" s="60" t="n">
        <f aca="false">BE64-BE73+BE87+BE88+BE89</f>
        <v>64321.9390692742</v>
      </c>
      <c r="BF92" s="60" t="n">
        <f aca="false">BF64-BF73+BF87+BF88+BF89</f>
        <v>65077.5030512798</v>
      </c>
      <c r="BG92" s="60" t="n">
        <f aca="false">BG64-BG73+BG87+BG88+BG89</f>
        <v>65809.9278073385</v>
      </c>
      <c r="BH92" s="60" t="n">
        <f aca="false">BH64-BH73+BH87+BH88+BH89</f>
        <v>66520.1389064883</v>
      </c>
      <c r="BI92" s="60" t="n">
        <f aca="false">BI64-BI73+BI87+BI88+BI89</f>
        <v>67209.0248950054</v>
      </c>
      <c r="BJ92" s="60" t="n">
        <f aca="false">BJ64-BJ73+BJ87+BJ88+BJ89</f>
        <v>51668.8303301914</v>
      </c>
    </row>
    <row r="93" customFormat="false" ht="15" hidden="false" customHeight="false" outlineLevel="0" collapsed="false">
      <c r="A93" s="6" t="s">
        <v>428</v>
      </c>
      <c r="C93" s="53" t="n">
        <f aca="false">-C71</f>
        <v>-4100000</v>
      </c>
      <c r="D93" s="53" t="n">
        <f aca="false">-D71</f>
        <v>-0</v>
      </c>
      <c r="E93" s="53" t="n">
        <f aca="false">-E71</f>
        <v>-0</v>
      </c>
      <c r="F93" s="53" t="n">
        <f aca="false">-F71</f>
        <v>-0</v>
      </c>
      <c r="G93" s="53" t="n">
        <f aca="false">-G71</f>
        <v>-0</v>
      </c>
      <c r="H93" s="53" t="n">
        <f aca="false">-H71</f>
        <v>-0</v>
      </c>
      <c r="I93" s="53" t="n">
        <f aca="false">-I71</f>
        <v>-0</v>
      </c>
      <c r="J93" s="53" t="n">
        <f aca="false">-J71</f>
        <v>-0</v>
      </c>
      <c r="K93" s="53" t="n">
        <f aca="false">-K71</f>
        <v>-0</v>
      </c>
      <c r="L93" s="53" t="n">
        <f aca="false">-L71</f>
        <v>-0</v>
      </c>
      <c r="M93" s="53" t="n">
        <f aca="false">-M71</f>
        <v>-0</v>
      </c>
      <c r="N93" s="53" t="n">
        <f aca="false">-N71</f>
        <v>-0</v>
      </c>
      <c r="O93" s="53" t="n">
        <f aca="false">-O71</f>
        <v>-40000</v>
      </c>
      <c r="P93" s="53" t="n">
        <f aca="false">-P71</f>
        <v>-0</v>
      </c>
      <c r="Q93" s="53" t="n">
        <f aca="false">-Q71</f>
        <v>-0</v>
      </c>
      <c r="R93" s="53" t="n">
        <f aca="false">-R71</f>
        <v>-0</v>
      </c>
      <c r="S93" s="53" t="n">
        <f aca="false">-S71</f>
        <v>-0</v>
      </c>
      <c r="T93" s="53" t="n">
        <f aca="false">-T71</f>
        <v>-0</v>
      </c>
      <c r="U93" s="53" t="n">
        <f aca="false">-U71</f>
        <v>-0</v>
      </c>
      <c r="V93" s="53" t="n">
        <f aca="false">-V71</f>
        <v>-0</v>
      </c>
      <c r="W93" s="53" t="n">
        <f aca="false">-W71</f>
        <v>-0</v>
      </c>
      <c r="X93" s="53" t="n">
        <f aca="false">-X71</f>
        <v>-0</v>
      </c>
      <c r="Y93" s="53" t="n">
        <f aca="false">-Y71</f>
        <v>-0</v>
      </c>
      <c r="Z93" s="53" t="n">
        <f aca="false">-Z71</f>
        <v>-0</v>
      </c>
      <c r="AA93" s="53" t="n">
        <f aca="false">-AA71</f>
        <v>-40000</v>
      </c>
      <c r="AB93" s="53" t="n">
        <f aca="false">-AB71</f>
        <v>-0</v>
      </c>
      <c r="AC93" s="53" t="n">
        <f aca="false">-AC71</f>
        <v>-0</v>
      </c>
      <c r="AD93" s="53" t="n">
        <f aca="false">-AD71</f>
        <v>-0</v>
      </c>
      <c r="AE93" s="53" t="n">
        <f aca="false">-AE71</f>
        <v>-0</v>
      </c>
      <c r="AF93" s="53" t="n">
        <f aca="false">-AF71</f>
        <v>-0</v>
      </c>
      <c r="AG93" s="53" t="n">
        <f aca="false">-AG71</f>
        <v>-0</v>
      </c>
      <c r="AH93" s="53" t="n">
        <f aca="false">-AH71</f>
        <v>-0</v>
      </c>
      <c r="AI93" s="53" t="n">
        <f aca="false">-AI71</f>
        <v>-0</v>
      </c>
      <c r="AJ93" s="53" t="n">
        <f aca="false">-AJ71</f>
        <v>-0</v>
      </c>
      <c r="AK93" s="53" t="n">
        <f aca="false">-AK71</f>
        <v>-0</v>
      </c>
      <c r="AL93" s="53" t="n">
        <f aca="false">-AL71</f>
        <v>-0</v>
      </c>
      <c r="AM93" s="53" t="n">
        <f aca="false">-AM71</f>
        <v>-40000</v>
      </c>
      <c r="AN93" s="53" t="n">
        <f aca="false">-AN71</f>
        <v>-0</v>
      </c>
      <c r="AO93" s="53" t="n">
        <f aca="false">-AO71</f>
        <v>-0</v>
      </c>
      <c r="AP93" s="53" t="n">
        <f aca="false">-AP71</f>
        <v>-0</v>
      </c>
      <c r="AQ93" s="53" t="n">
        <f aca="false">-AQ71</f>
        <v>-0</v>
      </c>
      <c r="AR93" s="53" t="n">
        <f aca="false">-AR71</f>
        <v>-0</v>
      </c>
      <c r="AS93" s="53" t="n">
        <f aca="false">-AS71</f>
        <v>-0</v>
      </c>
      <c r="AT93" s="53" t="n">
        <f aca="false">-AT71</f>
        <v>-0</v>
      </c>
      <c r="AU93" s="53" t="n">
        <f aca="false">-AU71</f>
        <v>-0</v>
      </c>
      <c r="AV93" s="53" t="n">
        <f aca="false">-AV71</f>
        <v>-0</v>
      </c>
      <c r="AW93" s="53" t="n">
        <f aca="false">-AW71</f>
        <v>-0</v>
      </c>
      <c r="AX93" s="53" t="n">
        <f aca="false">-AX71</f>
        <v>-0</v>
      </c>
      <c r="AY93" s="53" t="n">
        <f aca="false">-AY71</f>
        <v>-40000</v>
      </c>
      <c r="AZ93" s="53" t="n">
        <f aca="false">-AZ71</f>
        <v>-0</v>
      </c>
      <c r="BA93" s="53" t="n">
        <f aca="false">-BA71</f>
        <v>-0</v>
      </c>
      <c r="BB93" s="53" t="n">
        <f aca="false">-BB71</f>
        <v>-0</v>
      </c>
      <c r="BC93" s="53" t="n">
        <f aca="false">-BC71</f>
        <v>-0</v>
      </c>
      <c r="BD93" s="53" t="n">
        <f aca="false">-BD71</f>
        <v>-0</v>
      </c>
      <c r="BE93" s="53" t="n">
        <f aca="false">-BE71</f>
        <v>-0</v>
      </c>
      <c r="BF93" s="53" t="n">
        <f aca="false">-BF71</f>
        <v>-0</v>
      </c>
      <c r="BG93" s="53" t="n">
        <f aca="false">-BG71</f>
        <v>-0</v>
      </c>
      <c r="BH93" s="53" t="n">
        <f aca="false">-BH71</f>
        <v>-0</v>
      </c>
      <c r="BI93" s="53" t="n">
        <f aca="false">-BI71</f>
        <v>-0</v>
      </c>
      <c r="BJ93" s="53" t="n">
        <f aca="false">-BJ71</f>
        <v>-0</v>
      </c>
    </row>
    <row r="94" customFormat="false" ht="15" hidden="false" customHeight="false" outlineLevel="0" collapsed="false">
      <c r="A94" s="6" t="s">
        <v>62</v>
      </c>
      <c r="C94" s="53" t="n">
        <f aca="false">IF(C$4=1,Inputs!$E$67,0)</f>
        <v>2100000</v>
      </c>
      <c r="D94" s="53" t="n">
        <f aca="false">IF(D$4=1,Inputs!$E$67,0)</f>
        <v>0</v>
      </c>
      <c r="E94" s="53" t="n">
        <f aca="false">IF(E$4=1,Inputs!$E$67,0)</f>
        <v>0</v>
      </c>
      <c r="F94" s="53" t="n">
        <f aca="false">IF(F$4=1,Inputs!$E$67,0)</f>
        <v>0</v>
      </c>
      <c r="G94" s="53" t="n">
        <f aca="false">IF(G$4=1,Inputs!$E$67,0)</f>
        <v>0</v>
      </c>
      <c r="H94" s="53" t="n">
        <f aca="false">IF(H$4=1,Inputs!$E$67,0)</f>
        <v>0</v>
      </c>
      <c r="I94" s="53" t="n">
        <f aca="false">IF(I$4=1,Inputs!$E$67,0)</f>
        <v>0</v>
      </c>
      <c r="J94" s="53" t="n">
        <f aca="false">IF(J$4=1,Inputs!$E$67,0)</f>
        <v>0</v>
      </c>
      <c r="K94" s="53" t="n">
        <f aca="false">IF(K$4=1,Inputs!$E$67,0)</f>
        <v>0</v>
      </c>
      <c r="L94" s="53" t="n">
        <f aca="false">IF(L$4=1,Inputs!$E$67,0)</f>
        <v>0</v>
      </c>
      <c r="M94" s="53" t="n">
        <f aca="false">IF(M$4=1,Inputs!$E$67,0)</f>
        <v>0</v>
      </c>
      <c r="N94" s="53" t="n">
        <f aca="false">IF(N$4=1,Inputs!$E$67,0)</f>
        <v>0</v>
      </c>
      <c r="O94" s="53" t="n">
        <f aca="false">IF(O$4=1,Inputs!$E$67,0)</f>
        <v>0</v>
      </c>
      <c r="P94" s="53" t="n">
        <f aca="false">IF(P$4=1,Inputs!$E$67,0)</f>
        <v>0</v>
      </c>
      <c r="Q94" s="53" t="n">
        <f aca="false">IF(Q$4=1,Inputs!$E$67,0)</f>
        <v>0</v>
      </c>
      <c r="R94" s="53" t="n">
        <f aca="false">IF(R$4=1,Inputs!$E$67,0)</f>
        <v>0</v>
      </c>
      <c r="S94" s="53" t="n">
        <f aca="false">IF(S$4=1,Inputs!$E$67,0)</f>
        <v>0</v>
      </c>
      <c r="T94" s="53" t="n">
        <f aca="false">IF(T$4=1,Inputs!$E$67,0)</f>
        <v>0</v>
      </c>
      <c r="U94" s="53" t="n">
        <f aca="false">IF(U$4=1,Inputs!$E$67,0)</f>
        <v>0</v>
      </c>
      <c r="V94" s="53" t="n">
        <f aca="false">IF(V$4=1,Inputs!$E$67,0)</f>
        <v>0</v>
      </c>
      <c r="W94" s="53" t="n">
        <f aca="false">IF(W$4=1,Inputs!$E$67,0)</f>
        <v>0</v>
      </c>
      <c r="X94" s="53" t="n">
        <f aca="false">IF(X$4=1,Inputs!$E$67,0)</f>
        <v>0</v>
      </c>
      <c r="Y94" s="53" t="n">
        <f aca="false">IF(Y$4=1,Inputs!$E$67,0)</f>
        <v>0</v>
      </c>
      <c r="Z94" s="53" t="n">
        <f aca="false">IF(Z$4=1,Inputs!$E$67,0)</f>
        <v>0</v>
      </c>
      <c r="AA94" s="53" t="n">
        <f aca="false">IF(AA$4=1,Inputs!$E$67,0)</f>
        <v>0</v>
      </c>
      <c r="AB94" s="53" t="n">
        <f aca="false">IF(AB$4=1,Inputs!$E$67,0)</f>
        <v>0</v>
      </c>
      <c r="AC94" s="53" t="n">
        <f aca="false">IF(AC$4=1,Inputs!$E$67,0)</f>
        <v>0</v>
      </c>
      <c r="AD94" s="53" t="n">
        <f aca="false">IF(AD$4=1,Inputs!$E$67,0)</f>
        <v>0</v>
      </c>
      <c r="AE94" s="53" t="n">
        <f aca="false">IF(AE$4=1,Inputs!$E$67,0)</f>
        <v>0</v>
      </c>
      <c r="AF94" s="53" t="n">
        <f aca="false">IF(AF$4=1,Inputs!$E$67,0)</f>
        <v>0</v>
      </c>
      <c r="AG94" s="53" t="n">
        <f aca="false">IF(AG$4=1,Inputs!$E$67,0)</f>
        <v>0</v>
      </c>
      <c r="AH94" s="53" t="n">
        <f aca="false">IF(AH$4=1,Inputs!$E$67,0)</f>
        <v>0</v>
      </c>
      <c r="AI94" s="53" t="n">
        <f aca="false">IF(AI$4=1,Inputs!$E$67,0)</f>
        <v>0</v>
      </c>
      <c r="AJ94" s="53" t="n">
        <f aca="false">IF(AJ$4=1,Inputs!$E$67,0)</f>
        <v>0</v>
      </c>
      <c r="AK94" s="53" t="n">
        <f aca="false">IF(AK$4=1,Inputs!$E$67,0)</f>
        <v>0</v>
      </c>
      <c r="AL94" s="53" t="n">
        <f aca="false">IF(AL$4=1,Inputs!$E$67,0)</f>
        <v>0</v>
      </c>
      <c r="AM94" s="53" t="n">
        <f aca="false">IF(AM$4=1,Inputs!$E$67,0)</f>
        <v>0</v>
      </c>
      <c r="AN94" s="53" t="n">
        <f aca="false">IF(AN$4=1,Inputs!$E$67,0)</f>
        <v>0</v>
      </c>
      <c r="AO94" s="53" t="n">
        <f aca="false">IF(AO$4=1,Inputs!$E$67,0)</f>
        <v>0</v>
      </c>
      <c r="AP94" s="53" t="n">
        <f aca="false">IF(AP$4=1,Inputs!$E$67,0)</f>
        <v>0</v>
      </c>
      <c r="AQ94" s="53" t="n">
        <f aca="false">IF(AQ$4=1,Inputs!$E$67,0)</f>
        <v>0</v>
      </c>
      <c r="AR94" s="53" t="n">
        <f aca="false">IF(AR$4=1,Inputs!$E$67,0)</f>
        <v>0</v>
      </c>
      <c r="AS94" s="53" t="n">
        <f aca="false">IF(AS$4=1,Inputs!$E$67,0)</f>
        <v>0</v>
      </c>
      <c r="AT94" s="53" t="n">
        <f aca="false">IF(AT$4=1,Inputs!$E$67,0)</f>
        <v>0</v>
      </c>
      <c r="AU94" s="53" t="n">
        <f aca="false">IF(AU$4=1,Inputs!$E$67,0)</f>
        <v>0</v>
      </c>
      <c r="AV94" s="53" t="n">
        <f aca="false">IF(AV$4=1,Inputs!$E$67,0)</f>
        <v>0</v>
      </c>
      <c r="AW94" s="53" t="n">
        <f aca="false">IF(AW$4=1,Inputs!$E$67,0)</f>
        <v>0</v>
      </c>
      <c r="AX94" s="53" t="n">
        <f aca="false">IF(AX$4=1,Inputs!$E$67,0)</f>
        <v>0</v>
      </c>
      <c r="AY94" s="53" t="n">
        <f aca="false">IF(AY$4=1,Inputs!$E$67,0)</f>
        <v>0</v>
      </c>
      <c r="AZ94" s="53" t="n">
        <f aca="false">IF(AZ$4=1,Inputs!$E$67,0)</f>
        <v>0</v>
      </c>
      <c r="BA94" s="53" t="n">
        <f aca="false">IF(BA$4=1,Inputs!$E$67,0)</f>
        <v>0</v>
      </c>
      <c r="BB94" s="53" t="n">
        <f aca="false">IF(BB$4=1,Inputs!$E$67,0)</f>
        <v>0</v>
      </c>
      <c r="BC94" s="53" t="n">
        <f aca="false">IF(BC$4=1,Inputs!$E$67,0)</f>
        <v>0</v>
      </c>
      <c r="BD94" s="53" t="n">
        <f aca="false">IF(BD$4=1,Inputs!$E$67,0)</f>
        <v>0</v>
      </c>
      <c r="BE94" s="53" t="n">
        <f aca="false">IF(BE$4=1,Inputs!$E$67,0)</f>
        <v>0</v>
      </c>
      <c r="BF94" s="53" t="n">
        <f aca="false">IF(BF$4=1,Inputs!$E$67,0)</f>
        <v>0</v>
      </c>
      <c r="BG94" s="53" t="n">
        <f aca="false">IF(BG$4=1,Inputs!$E$67,0)</f>
        <v>0</v>
      </c>
      <c r="BH94" s="53" t="n">
        <f aca="false">IF(BH$4=1,Inputs!$E$67,0)</f>
        <v>0</v>
      </c>
      <c r="BI94" s="53" t="n">
        <f aca="false">IF(BI$4=1,Inputs!$E$67,0)</f>
        <v>0</v>
      </c>
      <c r="BJ94" s="53" t="n">
        <f aca="false">IF(BJ$4=1,Inputs!$E$67,0)</f>
        <v>0</v>
      </c>
    </row>
    <row r="95" customFormat="false" ht="15" hidden="false" customHeight="false" outlineLevel="0" collapsed="false">
      <c r="A95" s="6" t="s">
        <v>52</v>
      </c>
      <c r="C95" s="53" t="n">
        <f aca="false">C94+C79+C80</f>
        <v>5100000</v>
      </c>
      <c r="D95" s="53" t="n">
        <f aca="false">D94+D79+D80</f>
        <v>-25000</v>
      </c>
      <c r="E95" s="53" t="n">
        <f aca="false">E94+E79+E80</f>
        <v>-25000</v>
      </c>
      <c r="F95" s="53" t="n">
        <f aca="false">F94+F79+F80</f>
        <v>-25000</v>
      </c>
      <c r="G95" s="53" t="n">
        <f aca="false">G94+G79+G80</f>
        <v>-25000</v>
      </c>
      <c r="H95" s="53" t="n">
        <f aca="false">H94+H79+H80</f>
        <v>-25000</v>
      </c>
      <c r="I95" s="53" t="n">
        <f aca="false">I94+I79+I80</f>
        <v>-25000</v>
      </c>
      <c r="J95" s="53" t="n">
        <f aca="false">J94+J79+J80</f>
        <v>-25000</v>
      </c>
      <c r="K95" s="53" t="n">
        <f aca="false">K94+K79+K80</f>
        <v>-25000</v>
      </c>
      <c r="L95" s="53" t="n">
        <f aca="false">L94+L79+L80</f>
        <v>-25000</v>
      </c>
      <c r="M95" s="53" t="n">
        <f aca="false">M94+M79+M80</f>
        <v>-25000</v>
      </c>
      <c r="N95" s="53" t="n">
        <f aca="false">N94+N79+N80</f>
        <v>-25000</v>
      </c>
      <c r="O95" s="53" t="n">
        <f aca="false">O94+O79+O80</f>
        <v>-25000</v>
      </c>
      <c r="P95" s="53" t="n">
        <f aca="false">P94+P79+P80</f>
        <v>-25000</v>
      </c>
      <c r="Q95" s="53" t="n">
        <f aca="false">Q94+Q79+Q80</f>
        <v>-25000</v>
      </c>
      <c r="R95" s="53" t="n">
        <f aca="false">R94+R79+R80</f>
        <v>-25000</v>
      </c>
      <c r="S95" s="53" t="n">
        <f aca="false">S94+S79+S80</f>
        <v>-25000</v>
      </c>
      <c r="T95" s="53" t="n">
        <f aca="false">T94+T79+T80</f>
        <v>-25000</v>
      </c>
      <c r="U95" s="53" t="n">
        <f aca="false">U94+U79+U80</f>
        <v>-25000</v>
      </c>
      <c r="V95" s="53" t="n">
        <f aca="false">V94+V79+V80</f>
        <v>-25000</v>
      </c>
      <c r="W95" s="53" t="n">
        <f aca="false">W94+W79+W80</f>
        <v>-25000</v>
      </c>
      <c r="X95" s="53" t="n">
        <f aca="false">X94+X79+X80</f>
        <v>-25000</v>
      </c>
      <c r="Y95" s="53" t="n">
        <f aca="false">Y94+Y79+Y80</f>
        <v>-25000</v>
      </c>
      <c r="Z95" s="53" t="n">
        <f aca="false">Z94+Z79+Z80</f>
        <v>-25000</v>
      </c>
      <c r="AA95" s="53" t="n">
        <f aca="false">AA94+AA79+AA80</f>
        <v>-25000</v>
      </c>
      <c r="AB95" s="53" t="n">
        <f aca="false">AB94+AB79+AB80</f>
        <v>-25000</v>
      </c>
      <c r="AC95" s="53" t="n">
        <f aca="false">AC94+AC79+AC80</f>
        <v>-25000</v>
      </c>
      <c r="AD95" s="53" t="n">
        <f aca="false">AD94+AD79+AD80</f>
        <v>-25000</v>
      </c>
      <c r="AE95" s="53" t="n">
        <f aca="false">AE94+AE79+AE80</f>
        <v>-25000</v>
      </c>
      <c r="AF95" s="53" t="n">
        <f aca="false">AF94+AF79+AF80</f>
        <v>-25000</v>
      </c>
      <c r="AG95" s="53" t="n">
        <f aca="false">AG94+AG79+AG80</f>
        <v>-25000</v>
      </c>
      <c r="AH95" s="53" t="n">
        <f aca="false">AH94+AH79+AH80</f>
        <v>-25000</v>
      </c>
      <c r="AI95" s="53" t="n">
        <f aca="false">AI94+AI79+AI80</f>
        <v>-25000</v>
      </c>
      <c r="AJ95" s="53" t="n">
        <f aca="false">AJ94+AJ79+AJ80</f>
        <v>-25000</v>
      </c>
      <c r="AK95" s="53" t="n">
        <f aca="false">AK94+AK79+AK80</f>
        <v>-25000</v>
      </c>
      <c r="AL95" s="53" t="n">
        <f aca="false">AL94+AL79+AL80</f>
        <v>-25000</v>
      </c>
      <c r="AM95" s="53" t="n">
        <f aca="false">AM94+AM79+AM80</f>
        <v>-25000</v>
      </c>
      <c r="AN95" s="53" t="n">
        <f aca="false">AN94+AN79+AN80</f>
        <v>-25000</v>
      </c>
      <c r="AO95" s="53" t="n">
        <f aca="false">AO94+AO79+AO80</f>
        <v>-25000</v>
      </c>
      <c r="AP95" s="53" t="n">
        <f aca="false">AP94+AP79+AP80</f>
        <v>-25000</v>
      </c>
      <c r="AQ95" s="53" t="n">
        <f aca="false">AQ94+AQ79+AQ80</f>
        <v>-25000</v>
      </c>
      <c r="AR95" s="53" t="n">
        <f aca="false">AR94+AR79+AR80</f>
        <v>-25000</v>
      </c>
      <c r="AS95" s="53" t="n">
        <f aca="false">AS94+AS79+AS80</f>
        <v>-25000</v>
      </c>
      <c r="AT95" s="53" t="n">
        <f aca="false">AT94+AT79+AT80</f>
        <v>-25000</v>
      </c>
      <c r="AU95" s="53" t="n">
        <f aca="false">AU94+AU79+AU80</f>
        <v>-25000</v>
      </c>
      <c r="AV95" s="53" t="n">
        <f aca="false">AV94+AV79+AV80</f>
        <v>-25000</v>
      </c>
      <c r="AW95" s="53" t="n">
        <f aca="false">AW94+AW79+AW80</f>
        <v>-25000</v>
      </c>
      <c r="AX95" s="53" t="n">
        <f aca="false">AX94+AX79+AX80</f>
        <v>-25000</v>
      </c>
      <c r="AY95" s="53" t="n">
        <f aca="false">AY94+AY79+AY80</f>
        <v>-25000</v>
      </c>
      <c r="AZ95" s="53" t="n">
        <f aca="false">AZ94+AZ79+AZ80</f>
        <v>-25000</v>
      </c>
      <c r="BA95" s="53" t="n">
        <f aca="false">BA94+BA79+BA80</f>
        <v>-25000</v>
      </c>
      <c r="BB95" s="53" t="n">
        <f aca="false">BB94+BB79+BB80</f>
        <v>-25000</v>
      </c>
      <c r="BC95" s="53" t="n">
        <f aca="false">BC94+BC79+BC80</f>
        <v>-25000</v>
      </c>
      <c r="BD95" s="53" t="n">
        <f aca="false">BD94+BD79+BD80</f>
        <v>-25000</v>
      </c>
      <c r="BE95" s="53" t="n">
        <f aca="false">BE94+BE79+BE80</f>
        <v>-25000</v>
      </c>
      <c r="BF95" s="53" t="n">
        <f aca="false">BF94+BF79+BF80</f>
        <v>-25000</v>
      </c>
      <c r="BG95" s="53" t="n">
        <f aca="false">BG94+BG79+BG80</f>
        <v>-25000</v>
      </c>
      <c r="BH95" s="53" t="n">
        <f aca="false">BH94+BH79+BH80</f>
        <v>-25000</v>
      </c>
      <c r="BI95" s="53" t="n">
        <f aca="false">BI94+BI79+BI80</f>
        <v>-25000</v>
      </c>
      <c r="BJ95" s="53" t="n">
        <f aca="false">BJ94+BJ79+BJ80</f>
        <v>-25000</v>
      </c>
    </row>
    <row r="96" customFormat="false" ht="15" hidden="false" customHeight="false" outlineLevel="0" collapsed="false">
      <c r="A96" s="99" t="s">
        <v>429</v>
      </c>
      <c r="C96" s="54" t="n">
        <f aca="false">C92+C93+C95</f>
        <v>925195.8369694</v>
      </c>
      <c r="D96" s="54" t="n">
        <f aca="false">D92+D93+D95</f>
        <v>-93444.5087441057</v>
      </c>
      <c r="E96" s="54" t="n">
        <f aca="false">E92+E93+E95</f>
        <v>-78080.977367098</v>
      </c>
      <c r="F96" s="54" t="n">
        <f aca="false">F92+F93+F95</f>
        <v>-70827.3689705868</v>
      </c>
      <c r="G96" s="54" t="n">
        <f aca="false">G92+G93+G95</f>
        <v>-63528.8683473374</v>
      </c>
      <c r="H96" s="54" t="n">
        <f aca="false">H92+H93+H95</f>
        <v>-56107.7584114402</v>
      </c>
      <c r="I96" s="54" t="n">
        <f aca="false">I92+I93+I95</f>
        <v>-48568.9435354011</v>
      </c>
      <c r="J96" s="54" t="n">
        <f aca="false">J92+J93+J95</f>
        <v>-40917.1319168258</v>
      </c>
      <c r="K96" s="54" t="n">
        <f aca="false">K92+K93+K95</f>
        <v>-33156.8434254157</v>
      </c>
      <c r="L96" s="54" t="n">
        <f aca="false">L92+L93+L95</f>
        <v>-25292.4171360843</v>
      </c>
      <c r="M96" s="54" t="n">
        <f aca="false">M92+M93+M95</f>
        <v>-22849.8939414224</v>
      </c>
      <c r="N96" s="54" t="n">
        <f aca="false">N92+N93+N95</f>
        <v>-36978.9176271636</v>
      </c>
      <c r="O96" s="54" t="n">
        <f aca="false">O92+O93+O95</f>
        <v>-73211.5822044092</v>
      </c>
      <c r="P96" s="54" t="n">
        <f aca="false">P92+P93+P95</f>
        <v>-31271.6729974692</v>
      </c>
      <c r="Q96" s="54" t="n">
        <f aca="false">Q92+Q93+Q95</f>
        <v>-12867.7755848501</v>
      </c>
      <c r="R96" s="54" t="n">
        <f aca="false">R92+R93+R95</f>
        <v>-10842.0534569709</v>
      </c>
      <c r="S96" s="54" t="n">
        <f aca="false">S92+S93+S95</f>
        <v>-8863.08675872211</v>
      </c>
      <c r="T96" s="54" t="n">
        <f aca="false">T92+T93+T95</f>
        <v>-6956.19539506988</v>
      </c>
      <c r="U96" s="54" t="n">
        <f aca="false">U92+U93+U95</f>
        <v>-5118.49635263045</v>
      </c>
      <c r="V96" s="54" t="n">
        <f aca="false">V92+V93+V95</f>
        <v>-3347.22193855521</v>
      </c>
      <c r="W96" s="54" t="n">
        <f aca="false">W92+W93+W95</f>
        <v>-1639.71516770967</v>
      </c>
      <c r="X96" s="54" t="n">
        <f aca="false">X92+X93+X95</f>
        <v>6.5746656354022</v>
      </c>
      <c r="Y96" s="54" t="n">
        <f aca="false">Y92+Y93+Y95</f>
        <v>1594.09623897995</v>
      </c>
      <c r="Z96" s="54" t="n">
        <f aca="false">Z92+Z93+Z95</f>
        <v>-13004.4175155639</v>
      </c>
      <c r="AA96" s="54" t="n">
        <f aca="false">AA92+AA93+AA95</f>
        <v>-49806.1963605067</v>
      </c>
      <c r="AB96" s="54" t="n">
        <f aca="false">AB92+AB93+AB95</f>
        <v>-8559.92616177598</v>
      </c>
      <c r="AC96" s="54" t="n">
        <f aca="false">AC92+AC93+AC95</f>
        <v>8996.69033034372</v>
      </c>
      <c r="AD96" s="54" t="n">
        <f aca="false">AD92+AD93+AD95</f>
        <v>10151.899472519</v>
      </c>
      <c r="AE96" s="54" t="n">
        <f aca="false">AE92+AE93+AE95</f>
        <v>11553.5671375767</v>
      </c>
      <c r="AF96" s="54" t="n">
        <f aca="false">AF92+AF93+AF95</f>
        <v>12906.2514293654</v>
      </c>
      <c r="AG96" s="54" t="n">
        <f aca="false">AG92+AG93+AG95</f>
        <v>14211.9116828159</v>
      </c>
      <c r="AH96" s="54" t="n">
        <f aca="false">AH92+AH93+AH95</f>
        <v>15472.4288594618</v>
      </c>
      <c r="AI96" s="54" t="n">
        <f aca="false">AI92+AI93+AI95</f>
        <v>16689.6086823751</v>
      </c>
      <c r="AJ96" s="54" t="n">
        <f aca="false">AJ92+AJ93+AJ95</f>
        <v>17865.1846457052</v>
      </c>
      <c r="AK96" s="54" t="n">
        <f aca="false">AK92+AK93+AK95</f>
        <v>19000.8209038355</v>
      </c>
      <c r="AL96" s="54" t="n">
        <f aca="false">AL92+AL93+AL95</f>
        <v>4033.61476106406</v>
      </c>
      <c r="AM96" s="54" t="n">
        <f aca="false">AM92+AM93+AM95</f>
        <v>-33175.4663035703</v>
      </c>
      <c r="AN96" s="54" t="n">
        <f aca="false">AN92+AN93+AN95</f>
        <v>7639.99927807547</v>
      </c>
      <c r="AO96" s="54" t="n">
        <f aca="false">AO92+AO93+AO95</f>
        <v>24752.0741340058</v>
      </c>
      <c r="AP96" s="54" t="n">
        <f aca="false">AP92+AP93+AP95</f>
        <v>25344.2235885496</v>
      </c>
      <c r="AQ96" s="54" t="n">
        <f aca="false">AQ92+AQ93+AQ95</f>
        <v>26391.0061720762</v>
      </c>
      <c r="AR96" s="54" t="n">
        <f aca="false">AR92+AR93+AR95</f>
        <v>27403.000785595</v>
      </c>
      <c r="AS96" s="54" t="n">
        <f aca="false">AS92+AS93+AS95</f>
        <v>28381.5989479065</v>
      </c>
      <c r="AT96" s="54" t="n">
        <f aca="false">AT92+AT93+AT95</f>
        <v>29328.1365170588</v>
      </c>
      <c r="AU96" s="54" t="n">
        <f aca="false">AU92+AU93+AU95</f>
        <v>30243.8959167783</v>
      </c>
      <c r="AV96" s="54" t="n">
        <f aca="false">AV92+AV93+AV95</f>
        <v>31130.1082738424</v>
      </c>
      <c r="AW96" s="54" t="n">
        <f aca="false">AW92+AW93+AW95</f>
        <v>31987.9554699573</v>
      </c>
      <c r="AX96" s="54" t="n">
        <f aca="false">AX92+AX93+AX95</f>
        <v>16714.5910618083</v>
      </c>
      <c r="AY96" s="54" t="n">
        <f aca="false">AY92+AY93+AY95</f>
        <v>-20781.9386182745</v>
      </c>
      <c r="AZ96" s="54" t="n">
        <f aca="false">AZ92+AZ93+AZ95</f>
        <v>19767.0236288144</v>
      </c>
      <c r="BA96" s="54" t="n">
        <f aca="false">BA92+BA93+BA95</f>
        <v>36686.4977138332</v>
      </c>
      <c r="BB96" s="54" t="n">
        <f aca="false">BB92+BB93+BB95</f>
        <v>36906.5678882506</v>
      </c>
      <c r="BC96" s="54" t="n">
        <f aca="false">BC92+BC93+BC95</f>
        <v>37737.4967174972</v>
      </c>
      <c r="BD96" s="54" t="n">
        <f aca="false">BD92+BD93+BD95</f>
        <v>38542.2717269072</v>
      </c>
      <c r="BE96" s="54" t="n">
        <f aca="false">BE92+BE93+BE95</f>
        <v>39321.9390692742</v>
      </c>
      <c r="BF96" s="54" t="n">
        <f aca="false">BF92+BF93+BF95</f>
        <v>40077.5030512798</v>
      </c>
      <c r="BG96" s="54" t="n">
        <f aca="false">BG92+BG93+BG95</f>
        <v>40809.9278073385</v>
      </c>
      <c r="BH96" s="54" t="n">
        <f aca="false">BH92+BH93+BH95</f>
        <v>41520.1389064883</v>
      </c>
      <c r="BI96" s="54" t="n">
        <f aca="false">BI92+BI93+BI95</f>
        <v>42209.0248950054</v>
      </c>
      <c r="BJ96" s="54" t="n">
        <f aca="false">BJ92+BJ93+BJ95</f>
        <v>26668.8303301914</v>
      </c>
    </row>
    <row r="97" customFormat="false" ht="15" hidden="false" customHeight="false" outlineLevel="0" collapsed="false">
      <c r="A97" s="6" t="s">
        <v>321</v>
      </c>
      <c r="C97" s="53" t="n">
        <f aca="false">0</f>
        <v>0</v>
      </c>
      <c r="D97" s="53" t="n">
        <f aca="false">C98</f>
        <v>925195.8369694</v>
      </c>
      <c r="E97" s="53" t="n">
        <f aca="false">D98</f>
        <v>831751.328225294</v>
      </c>
      <c r="F97" s="53" t="n">
        <f aca="false">E98</f>
        <v>753670.350858196</v>
      </c>
      <c r="G97" s="53" t="n">
        <f aca="false">F98</f>
        <v>682842.981887609</v>
      </c>
      <c r="H97" s="53" t="n">
        <f aca="false">G98</f>
        <v>619314.113540272</v>
      </c>
      <c r="I97" s="53" t="n">
        <f aca="false">H98</f>
        <v>563206.355128832</v>
      </c>
      <c r="J97" s="53" t="n">
        <f aca="false">I98</f>
        <v>514637.411593431</v>
      </c>
      <c r="K97" s="53" t="n">
        <f aca="false">J98</f>
        <v>473720.279676605</v>
      </c>
      <c r="L97" s="53" t="n">
        <f aca="false">K98</f>
        <v>440563.436251189</v>
      </c>
      <c r="M97" s="53" t="n">
        <f aca="false">L98</f>
        <v>415271.019115105</v>
      </c>
      <c r="N97" s="53" t="n">
        <f aca="false">M98</f>
        <v>392421.125173683</v>
      </c>
      <c r="O97" s="53" t="n">
        <f aca="false">N98</f>
        <v>355442.207546519</v>
      </c>
      <c r="P97" s="53" t="n">
        <f aca="false">O98</f>
        <v>282230.62534211</v>
      </c>
      <c r="Q97" s="53" t="n">
        <f aca="false">P98</f>
        <v>250958.952344641</v>
      </c>
      <c r="R97" s="53" t="n">
        <f aca="false">Q98</f>
        <v>238091.176759791</v>
      </c>
      <c r="S97" s="53" t="n">
        <f aca="false">R98</f>
        <v>227249.12330282</v>
      </c>
      <c r="T97" s="53" t="n">
        <f aca="false">S98</f>
        <v>218386.036544098</v>
      </c>
      <c r="U97" s="53" t="n">
        <f aca="false">T98</f>
        <v>211429.841149028</v>
      </c>
      <c r="V97" s="53" t="n">
        <f aca="false">U98</f>
        <v>206311.344796397</v>
      </c>
      <c r="W97" s="53" t="n">
        <f aca="false">V98</f>
        <v>202964.122857842</v>
      </c>
      <c r="X97" s="53" t="n">
        <f aca="false">W98</f>
        <v>201324.407690132</v>
      </c>
      <c r="Y97" s="53" t="n">
        <f aca="false">X98</f>
        <v>201330.982355768</v>
      </c>
      <c r="Z97" s="53" t="n">
        <f aca="false">Y98</f>
        <v>202925.078594748</v>
      </c>
      <c r="AA97" s="53" t="n">
        <f aca="false">Z98</f>
        <v>189920.661079184</v>
      </c>
      <c r="AB97" s="53" t="n">
        <f aca="false">AA98</f>
        <v>140114.464718677</v>
      </c>
      <c r="AC97" s="53" t="n">
        <f aca="false">AB98</f>
        <v>131554.538556901</v>
      </c>
      <c r="AD97" s="53" t="n">
        <f aca="false">AC98</f>
        <v>140551.228887245</v>
      </c>
      <c r="AE97" s="53" t="n">
        <f aca="false">AD98</f>
        <v>150703.128359764</v>
      </c>
      <c r="AF97" s="53" t="n">
        <f aca="false">AE98</f>
        <v>162256.695497341</v>
      </c>
      <c r="AG97" s="53" t="n">
        <f aca="false">AF98</f>
        <v>175162.946926706</v>
      </c>
      <c r="AH97" s="53" t="n">
        <f aca="false">AG98</f>
        <v>189374.858609522</v>
      </c>
      <c r="AI97" s="53" t="n">
        <f aca="false">AH98</f>
        <v>204847.287468984</v>
      </c>
      <c r="AJ97" s="53" t="n">
        <f aca="false">AI98</f>
        <v>221536.896151359</v>
      </c>
      <c r="AK97" s="53" t="n">
        <f aca="false">AJ98</f>
        <v>239402.080797064</v>
      </c>
      <c r="AL97" s="53" t="n">
        <f aca="false">AK98</f>
        <v>258402.901700899</v>
      </c>
      <c r="AM97" s="53" t="n">
        <f aca="false">AL98</f>
        <v>262436.516461964</v>
      </c>
      <c r="AN97" s="53" t="n">
        <f aca="false">AM98</f>
        <v>229261.050158393</v>
      </c>
      <c r="AO97" s="53" t="n">
        <f aca="false">AN98</f>
        <v>236901.049436469</v>
      </c>
      <c r="AP97" s="53" t="n">
        <f aca="false">AO98</f>
        <v>261653.123570474</v>
      </c>
      <c r="AQ97" s="53" t="n">
        <f aca="false">AP98</f>
        <v>286997.347159024</v>
      </c>
      <c r="AR97" s="53" t="n">
        <f aca="false">AQ98</f>
        <v>313388.3533311</v>
      </c>
      <c r="AS97" s="53" t="n">
        <f aca="false">AR98</f>
        <v>340791.354116695</v>
      </c>
      <c r="AT97" s="53" t="n">
        <f aca="false">AS98</f>
        <v>369172.953064602</v>
      </c>
      <c r="AU97" s="53" t="n">
        <f aca="false">AT98</f>
        <v>398501.08958166</v>
      </c>
      <c r="AV97" s="53" t="n">
        <f aca="false">AU98</f>
        <v>428744.985498439</v>
      </c>
      <c r="AW97" s="53" t="n">
        <f aca="false">AV98</f>
        <v>459875.093772281</v>
      </c>
      <c r="AX97" s="53" t="n">
        <f aca="false">AW98</f>
        <v>491863.049242238</v>
      </c>
      <c r="AY97" s="53" t="n">
        <f aca="false">AX98</f>
        <v>508577.640304047</v>
      </c>
      <c r="AZ97" s="53" t="n">
        <f aca="false">AY98</f>
        <v>487795.701685772</v>
      </c>
      <c r="BA97" s="53" t="n">
        <f aca="false">AZ98</f>
        <v>507562.725314587</v>
      </c>
      <c r="BB97" s="53" t="n">
        <f aca="false">BA98</f>
        <v>544249.22302842</v>
      </c>
      <c r="BC97" s="53" t="n">
        <f aca="false">BB98</f>
        <v>581155.79091667</v>
      </c>
      <c r="BD97" s="53" t="n">
        <f aca="false">BC98</f>
        <v>618893.287634168</v>
      </c>
      <c r="BE97" s="53" t="n">
        <f aca="false">BD98</f>
        <v>657435.559361075</v>
      </c>
      <c r="BF97" s="53" t="n">
        <f aca="false">BE98</f>
        <v>696757.498430349</v>
      </c>
      <c r="BG97" s="53" t="n">
        <f aca="false">BF98</f>
        <v>736835.001481629</v>
      </c>
      <c r="BH97" s="53" t="n">
        <f aca="false">BG98</f>
        <v>777644.929288967</v>
      </c>
      <c r="BI97" s="53" t="n">
        <f aca="false">BH98</f>
        <v>819165.068195456</v>
      </c>
      <c r="BJ97" s="53" t="n">
        <f aca="false">BI98</f>
        <v>861374.093090461</v>
      </c>
    </row>
    <row r="98" customFormat="false" ht="15" hidden="false" customHeight="false" outlineLevel="0" collapsed="false">
      <c r="A98" s="99" t="s">
        <v>85</v>
      </c>
      <c r="C98" s="54" t="n">
        <f aca="false">C97+C96</f>
        <v>925195.8369694</v>
      </c>
      <c r="D98" s="54" t="n">
        <f aca="false">D97+D96</f>
        <v>831751.328225294</v>
      </c>
      <c r="E98" s="54" t="n">
        <f aca="false">E97+E96</f>
        <v>753670.350858196</v>
      </c>
      <c r="F98" s="54" t="n">
        <f aca="false">F97+F96</f>
        <v>682842.981887609</v>
      </c>
      <c r="G98" s="54" t="n">
        <f aca="false">G97+G96</f>
        <v>619314.113540272</v>
      </c>
      <c r="H98" s="54" t="n">
        <f aca="false">H97+H96</f>
        <v>563206.355128832</v>
      </c>
      <c r="I98" s="54" t="n">
        <f aca="false">I97+I96</f>
        <v>514637.411593431</v>
      </c>
      <c r="J98" s="54" t="n">
        <f aca="false">J97+J96</f>
        <v>473720.279676605</v>
      </c>
      <c r="K98" s="54" t="n">
        <f aca="false">K97+K96</f>
        <v>440563.436251189</v>
      </c>
      <c r="L98" s="54" t="n">
        <f aca="false">L97+L96</f>
        <v>415271.019115105</v>
      </c>
      <c r="M98" s="54" t="n">
        <f aca="false">M97+M96</f>
        <v>392421.125173683</v>
      </c>
      <c r="N98" s="54" t="n">
        <f aca="false">N97+N96</f>
        <v>355442.207546519</v>
      </c>
      <c r="O98" s="54" t="n">
        <f aca="false">O97+O96</f>
        <v>282230.62534211</v>
      </c>
      <c r="P98" s="54" t="n">
        <f aca="false">P97+P96</f>
        <v>250958.952344641</v>
      </c>
      <c r="Q98" s="54" t="n">
        <f aca="false">Q97+Q96</f>
        <v>238091.176759791</v>
      </c>
      <c r="R98" s="54" t="n">
        <f aca="false">R97+R96</f>
        <v>227249.12330282</v>
      </c>
      <c r="S98" s="54" t="n">
        <f aca="false">S97+S96</f>
        <v>218386.036544098</v>
      </c>
      <c r="T98" s="54" t="n">
        <f aca="false">T97+T96</f>
        <v>211429.841149028</v>
      </c>
      <c r="U98" s="54" t="n">
        <f aca="false">U97+U96</f>
        <v>206311.344796397</v>
      </c>
      <c r="V98" s="54" t="n">
        <f aca="false">V97+V96</f>
        <v>202964.122857842</v>
      </c>
      <c r="W98" s="54" t="n">
        <f aca="false">W97+W96</f>
        <v>201324.407690132</v>
      </c>
      <c r="X98" s="54" t="n">
        <f aca="false">X97+X96</f>
        <v>201330.982355768</v>
      </c>
      <c r="Y98" s="54" t="n">
        <f aca="false">Y97+Y96</f>
        <v>202925.078594748</v>
      </c>
      <c r="Z98" s="54" t="n">
        <f aca="false">Z97+Z96</f>
        <v>189920.661079184</v>
      </c>
      <c r="AA98" s="54" t="n">
        <f aca="false">AA97+AA96</f>
        <v>140114.464718677</v>
      </c>
      <c r="AB98" s="54" t="n">
        <f aca="false">AB97+AB96</f>
        <v>131554.538556901</v>
      </c>
      <c r="AC98" s="54" t="n">
        <f aca="false">AC97+AC96</f>
        <v>140551.228887245</v>
      </c>
      <c r="AD98" s="54" t="n">
        <f aca="false">AD97+AD96</f>
        <v>150703.128359764</v>
      </c>
      <c r="AE98" s="54" t="n">
        <f aca="false">AE97+AE96</f>
        <v>162256.695497341</v>
      </c>
      <c r="AF98" s="54" t="n">
        <f aca="false">AF97+AF96</f>
        <v>175162.946926706</v>
      </c>
      <c r="AG98" s="54" t="n">
        <f aca="false">AG97+AG96</f>
        <v>189374.858609522</v>
      </c>
      <c r="AH98" s="54" t="n">
        <f aca="false">AH97+AH96</f>
        <v>204847.287468984</v>
      </c>
      <c r="AI98" s="54" t="n">
        <f aca="false">AI97+AI96</f>
        <v>221536.896151359</v>
      </c>
      <c r="AJ98" s="54" t="n">
        <f aca="false">AJ97+AJ96</f>
        <v>239402.080797064</v>
      </c>
      <c r="AK98" s="54" t="n">
        <f aca="false">AK97+AK96</f>
        <v>258402.901700899</v>
      </c>
      <c r="AL98" s="54" t="n">
        <f aca="false">AL97+AL96</f>
        <v>262436.516461964</v>
      </c>
      <c r="AM98" s="54" t="n">
        <f aca="false">AM97+AM96</f>
        <v>229261.050158393</v>
      </c>
      <c r="AN98" s="54" t="n">
        <f aca="false">AN97+AN96</f>
        <v>236901.049436469</v>
      </c>
      <c r="AO98" s="54" t="n">
        <f aca="false">AO97+AO96</f>
        <v>261653.123570474</v>
      </c>
      <c r="AP98" s="54" t="n">
        <f aca="false">AP97+AP96</f>
        <v>286997.347159024</v>
      </c>
      <c r="AQ98" s="54" t="n">
        <f aca="false">AQ97+AQ96</f>
        <v>313388.3533311</v>
      </c>
      <c r="AR98" s="54" t="n">
        <f aca="false">AR97+AR96</f>
        <v>340791.354116695</v>
      </c>
      <c r="AS98" s="54" t="n">
        <f aca="false">AS97+AS96</f>
        <v>369172.953064602</v>
      </c>
      <c r="AT98" s="54" t="n">
        <f aca="false">AT97+AT96</f>
        <v>398501.08958166</v>
      </c>
      <c r="AU98" s="54" t="n">
        <f aca="false">AU97+AU96</f>
        <v>428744.985498439</v>
      </c>
      <c r="AV98" s="54" t="n">
        <f aca="false">AV97+AV96</f>
        <v>459875.093772281</v>
      </c>
      <c r="AW98" s="54" t="n">
        <f aca="false">AW97+AW96</f>
        <v>491863.049242238</v>
      </c>
      <c r="AX98" s="54" t="n">
        <f aca="false">AX97+AX96</f>
        <v>508577.640304047</v>
      </c>
      <c r="AY98" s="54" t="n">
        <f aca="false">AY97+AY96</f>
        <v>487795.701685772</v>
      </c>
      <c r="AZ98" s="54" t="n">
        <f aca="false">AZ97+AZ96</f>
        <v>507562.725314587</v>
      </c>
      <c r="BA98" s="54" t="n">
        <f aca="false">BA97+BA96</f>
        <v>544249.22302842</v>
      </c>
      <c r="BB98" s="54" t="n">
        <f aca="false">BB97+BB96</f>
        <v>581155.79091667</v>
      </c>
      <c r="BC98" s="54" t="n">
        <f aca="false">BC97+BC96</f>
        <v>618893.287634168</v>
      </c>
      <c r="BD98" s="54" t="n">
        <f aca="false">BD97+BD96</f>
        <v>657435.559361075</v>
      </c>
      <c r="BE98" s="54" t="n">
        <f aca="false">BE97+BE96</f>
        <v>696757.498430349</v>
      </c>
      <c r="BF98" s="54" t="n">
        <f aca="false">BF97+BF96</f>
        <v>736835.001481629</v>
      </c>
      <c r="BG98" s="54" t="n">
        <f aca="false">BG97+BG96</f>
        <v>777644.929288967</v>
      </c>
      <c r="BH98" s="54" t="n">
        <f aca="false">BH97+BH96</f>
        <v>819165.068195456</v>
      </c>
      <c r="BI98" s="54" t="n">
        <f aca="false">BI97+BI96</f>
        <v>861374.093090461</v>
      </c>
      <c r="BJ98" s="54" t="n">
        <f aca="false">BJ97+BJ96</f>
        <v>888042.923420652</v>
      </c>
    </row>
    <row r="99" customFormat="false" ht="15" hidden="false" customHeight="false" outlineLevel="0" collapsed="false">
      <c r="A99" s="102" t="s">
        <v>430</v>
      </c>
      <c r="C99" s="104" t="n">
        <f aca="false">IF(C55&gt;0,1,0)</f>
        <v>0</v>
      </c>
      <c r="D99" s="104" t="n">
        <f aca="false">IF(D55&gt;0,1,0)</f>
        <v>0</v>
      </c>
      <c r="E99" s="104" t="n">
        <f aca="false">IF(E55&gt;0,1,0)</f>
        <v>0</v>
      </c>
      <c r="F99" s="104" t="n">
        <f aca="false">IF(F55&gt;0,1,0)</f>
        <v>0</v>
      </c>
      <c r="G99" s="104" t="n">
        <f aca="false">IF(G55&gt;0,1,0)</f>
        <v>0</v>
      </c>
      <c r="H99" s="104" t="n">
        <f aca="false">IF(H55&gt;0,1,0)</f>
        <v>0</v>
      </c>
      <c r="I99" s="104" t="n">
        <f aca="false">IF(I55&gt;0,1,0)</f>
        <v>0</v>
      </c>
      <c r="J99" s="104" t="n">
        <f aca="false">IF(J55&gt;0,1,0)</f>
        <v>1</v>
      </c>
      <c r="K99" s="104" t="n">
        <f aca="false">IF(K55&gt;0,1,0)</f>
        <v>1</v>
      </c>
      <c r="L99" s="104" t="n">
        <f aca="false">IF(L55&gt;0,1,0)</f>
        <v>1</v>
      </c>
      <c r="M99" s="104" t="n">
        <f aca="false">IF(M55&gt;0,1,0)</f>
        <v>1</v>
      </c>
      <c r="N99" s="104" t="n">
        <f aca="false">IF(N55&gt;0,1,0)</f>
        <v>1</v>
      </c>
      <c r="O99" s="104" t="n">
        <f aca="false">IF(O55&gt;0,1,0)</f>
        <v>1</v>
      </c>
      <c r="P99" s="104" t="n">
        <f aca="false">IF(P55&gt;0,1,0)</f>
        <v>1</v>
      </c>
      <c r="Q99" s="104" t="n">
        <f aca="false">IF(Q55&gt;0,1,0)</f>
        <v>1</v>
      </c>
      <c r="R99" s="104" t="n">
        <f aca="false">IF(R55&gt;0,1,0)</f>
        <v>1</v>
      </c>
      <c r="S99" s="104" t="n">
        <f aca="false">IF(S55&gt;0,1,0)</f>
        <v>1</v>
      </c>
      <c r="T99" s="104" t="n">
        <f aca="false">IF(T55&gt;0,1,0)</f>
        <v>1</v>
      </c>
      <c r="U99" s="104" t="n">
        <f aca="false">IF(U55&gt;0,1,0)</f>
        <v>1</v>
      </c>
      <c r="V99" s="104" t="n">
        <f aca="false">IF(V55&gt;0,1,0)</f>
        <v>1</v>
      </c>
      <c r="W99" s="104" t="n">
        <f aca="false">IF(W55&gt;0,1,0)</f>
        <v>1</v>
      </c>
      <c r="X99" s="104" t="n">
        <f aca="false">IF(X55&gt;0,1,0)</f>
        <v>1</v>
      </c>
      <c r="Y99" s="104" t="n">
        <f aca="false">IF(Y55&gt;0,1,0)</f>
        <v>1</v>
      </c>
      <c r="Z99" s="104" t="n">
        <f aca="false">IF(Z55&gt;0,1,0)</f>
        <v>1</v>
      </c>
      <c r="AA99" s="104" t="n">
        <f aca="false">IF(AA55&gt;0,1,0)</f>
        <v>1</v>
      </c>
      <c r="AB99" s="104" t="n">
        <f aca="false">IF(AB55&gt;0,1,0)</f>
        <v>1</v>
      </c>
      <c r="AC99" s="104" t="n">
        <f aca="false">IF(AC55&gt;0,1,0)</f>
        <v>1</v>
      </c>
      <c r="AD99" s="104" t="n">
        <f aca="false">IF(AD55&gt;0,1,0)</f>
        <v>1</v>
      </c>
      <c r="AE99" s="104" t="n">
        <f aca="false">IF(AE55&gt;0,1,0)</f>
        <v>1</v>
      </c>
      <c r="AF99" s="104" t="n">
        <f aca="false">IF(AF55&gt;0,1,0)</f>
        <v>1</v>
      </c>
      <c r="AG99" s="104" t="n">
        <f aca="false">IF(AG55&gt;0,1,0)</f>
        <v>1</v>
      </c>
      <c r="AH99" s="104" t="n">
        <f aca="false">IF(AH55&gt;0,1,0)</f>
        <v>1</v>
      </c>
      <c r="AI99" s="104" t="n">
        <f aca="false">IF(AI55&gt;0,1,0)</f>
        <v>1</v>
      </c>
      <c r="AJ99" s="104" t="n">
        <f aca="false">IF(AJ55&gt;0,1,0)</f>
        <v>1</v>
      </c>
      <c r="AK99" s="104" t="n">
        <f aca="false">IF(AK55&gt;0,1,0)</f>
        <v>1</v>
      </c>
      <c r="AL99" s="104" t="n">
        <f aca="false">IF(AL55&gt;0,1,0)</f>
        <v>1</v>
      </c>
      <c r="AM99" s="104" t="n">
        <f aca="false">IF(AM55&gt;0,1,0)</f>
        <v>1</v>
      </c>
      <c r="AN99" s="104" t="n">
        <f aca="false">IF(AN55&gt;0,1,0)</f>
        <v>1</v>
      </c>
      <c r="AO99" s="104" t="n">
        <f aca="false">IF(AO55&gt;0,1,0)</f>
        <v>1</v>
      </c>
      <c r="AP99" s="104" t="n">
        <f aca="false">IF(AP55&gt;0,1,0)</f>
        <v>1</v>
      </c>
      <c r="AQ99" s="104" t="n">
        <f aca="false">IF(AQ55&gt;0,1,0)</f>
        <v>1</v>
      </c>
      <c r="AR99" s="104" t="n">
        <f aca="false">IF(AR55&gt;0,1,0)</f>
        <v>1</v>
      </c>
      <c r="AS99" s="104" t="n">
        <f aca="false">IF(AS55&gt;0,1,0)</f>
        <v>1</v>
      </c>
      <c r="AT99" s="104" t="n">
        <f aca="false">IF(AT55&gt;0,1,0)</f>
        <v>1</v>
      </c>
      <c r="AU99" s="104" t="n">
        <f aca="false">IF(AU55&gt;0,1,0)</f>
        <v>1</v>
      </c>
      <c r="AV99" s="104" t="n">
        <f aca="false">IF(AV55&gt;0,1,0)</f>
        <v>1</v>
      </c>
      <c r="AW99" s="104" t="n">
        <f aca="false">IF(AW55&gt;0,1,0)</f>
        <v>1</v>
      </c>
      <c r="AX99" s="104" t="n">
        <f aca="false">IF(AX55&gt;0,1,0)</f>
        <v>1</v>
      </c>
      <c r="AY99" s="104" t="n">
        <f aca="false">IF(AY55&gt;0,1,0)</f>
        <v>1</v>
      </c>
      <c r="AZ99" s="104" t="n">
        <f aca="false">IF(AZ55&gt;0,1,0)</f>
        <v>1</v>
      </c>
      <c r="BA99" s="104" t="n">
        <f aca="false">IF(BA55&gt;0,1,0)</f>
        <v>1</v>
      </c>
      <c r="BB99" s="104" t="n">
        <f aca="false">IF(BB55&gt;0,1,0)</f>
        <v>1</v>
      </c>
      <c r="BC99" s="104" t="n">
        <f aca="false">IF(BC55&gt;0,1,0)</f>
        <v>1</v>
      </c>
      <c r="BD99" s="104" t="n">
        <f aca="false">IF(BD55&gt;0,1,0)</f>
        <v>1</v>
      </c>
      <c r="BE99" s="104" t="n">
        <f aca="false">IF(BE55&gt;0,1,0)</f>
        <v>1</v>
      </c>
      <c r="BF99" s="104" t="n">
        <f aca="false">IF(BF55&gt;0,1,0)</f>
        <v>1</v>
      </c>
      <c r="BG99" s="104" t="n">
        <f aca="false">IF(BG55&gt;0,1,0)</f>
        <v>1</v>
      </c>
      <c r="BH99" s="104" t="n">
        <f aca="false">IF(BH55&gt;0,1,0)</f>
        <v>1</v>
      </c>
      <c r="BI99" s="104" t="n">
        <f aca="false">IF(BI55&gt;0,1,0)</f>
        <v>1</v>
      </c>
      <c r="BJ99" s="104" t="n">
        <f aca="false">IF(BJ55&gt;0,1,0)</f>
        <v>1</v>
      </c>
    </row>
    <row r="101" customFormat="false" ht="15.75" hidden="false" customHeight="true" outlineLevel="0" collapsed="false">
      <c r="A101" s="7" t="s">
        <v>431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102" t="s">
        <v>432</v>
      </c>
      <c r="C102" s="104" t="n">
        <f aca="false">IF(C64&gt;0,1,0)</f>
        <v>0</v>
      </c>
      <c r="D102" s="104" t="n">
        <f aca="false">IF(D64&gt;0,1,0)</f>
        <v>0</v>
      </c>
      <c r="E102" s="104" t="n">
        <f aca="false">IF(E64&gt;0,1,0)</f>
        <v>0</v>
      </c>
      <c r="F102" s="104" t="n">
        <f aca="false">IF(F64&gt;0,1,0)</f>
        <v>0</v>
      </c>
      <c r="G102" s="104" t="n">
        <f aca="false">IF(G64&gt;0,1,0)</f>
        <v>0</v>
      </c>
      <c r="H102" s="104" t="n">
        <f aca="false">IF(H64&gt;0,1,0)</f>
        <v>0</v>
      </c>
      <c r="I102" s="104" t="n">
        <f aca="false">IF(I64&gt;0,1,0)</f>
        <v>0</v>
      </c>
      <c r="J102" s="104" t="n">
        <f aca="false">IF(J64&gt;0,1,0)</f>
        <v>0</v>
      </c>
      <c r="K102" s="104" t="n">
        <f aca="false">IF(K64&gt;0,1,0)</f>
        <v>0</v>
      </c>
      <c r="L102" s="104" t="n">
        <f aca="false">IF(L64&gt;0,1,0)</f>
        <v>0</v>
      </c>
      <c r="M102" s="104" t="n">
        <f aca="false">IF(M64&gt;0,1,0)</f>
        <v>0</v>
      </c>
      <c r="N102" s="104" t="n">
        <f aca="false">IF(N64&gt;0,1,0)</f>
        <v>0</v>
      </c>
      <c r="O102" s="104" t="n">
        <f aca="false">IF(O64&gt;0,1,0)</f>
        <v>0</v>
      </c>
      <c r="P102" s="104" t="n">
        <f aca="false">IF(P64&gt;0,1,0)</f>
        <v>0</v>
      </c>
      <c r="Q102" s="104" t="n">
        <f aca="false">IF(Q64&gt;0,1,0)</f>
        <v>0</v>
      </c>
      <c r="R102" s="104" t="n">
        <f aca="false">IF(R64&gt;0,1,0)</f>
        <v>0</v>
      </c>
      <c r="S102" s="104" t="n">
        <f aca="false">IF(S64&gt;0,1,0)</f>
        <v>0</v>
      </c>
      <c r="T102" s="104" t="n">
        <f aca="false">IF(T64&gt;0,1,0)</f>
        <v>0</v>
      </c>
      <c r="U102" s="104" t="n">
        <f aca="false">IF(U64&gt;0,1,0)</f>
        <v>0</v>
      </c>
      <c r="V102" s="104" t="n">
        <f aca="false">IF(V64&gt;0,1,0)</f>
        <v>0</v>
      </c>
      <c r="W102" s="104" t="n">
        <f aca="false">IF(W64&gt;0,1,0)</f>
        <v>0</v>
      </c>
      <c r="X102" s="104" t="n">
        <f aca="false">IF(X64&gt;0,1,0)</f>
        <v>0</v>
      </c>
      <c r="Y102" s="104" t="n">
        <f aca="false">IF(Y64&gt;0,1,0)</f>
        <v>0</v>
      </c>
      <c r="Z102" s="104" t="n">
        <f aca="false">IF(Z64&gt;0,1,0)</f>
        <v>0</v>
      </c>
      <c r="AA102" s="104" t="n">
        <f aca="false">IF(AA64&gt;0,1,0)</f>
        <v>0</v>
      </c>
      <c r="AB102" s="104" t="n">
        <f aca="false">IF(AB64&gt;0,1,0)</f>
        <v>0</v>
      </c>
      <c r="AC102" s="104" t="n">
        <f aca="false">IF(AC64&gt;0,1,0)</f>
        <v>1</v>
      </c>
      <c r="AD102" s="104" t="n">
        <f aca="false">IF(AD64&gt;0,1,0)</f>
        <v>1</v>
      </c>
      <c r="AE102" s="104" t="n">
        <f aca="false">IF(AE64&gt;0,1,0)</f>
        <v>1</v>
      </c>
      <c r="AF102" s="104" t="n">
        <f aca="false">IF(AF64&gt;0,1,0)</f>
        <v>1</v>
      </c>
      <c r="AG102" s="104" t="n">
        <f aca="false">IF(AG64&gt;0,1,0)</f>
        <v>1</v>
      </c>
      <c r="AH102" s="104" t="n">
        <f aca="false">IF(AH64&gt;0,1,0)</f>
        <v>1</v>
      </c>
      <c r="AI102" s="104" t="n">
        <f aca="false">IF(AI64&gt;0,1,0)</f>
        <v>1</v>
      </c>
      <c r="AJ102" s="104" t="n">
        <f aca="false">IF(AJ64&gt;0,1,0)</f>
        <v>1</v>
      </c>
      <c r="AK102" s="104" t="n">
        <f aca="false">IF(AK64&gt;0,1,0)</f>
        <v>1</v>
      </c>
      <c r="AL102" s="104" t="n">
        <f aca="false">IF(AL64&gt;0,1,0)</f>
        <v>1</v>
      </c>
      <c r="AM102" s="104" t="n">
        <f aca="false">IF(AM64&gt;0,1,0)</f>
        <v>1</v>
      </c>
      <c r="AN102" s="104" t="n">
        <f aca="false">IF(AN64&gt;0,1,0)</f>
        <v>1</v>
      </c>
      <c r="AO102" s="104" t="n">
        <f aca="false">IF(AO64&gt;0,1,0)</f>
        <v>1</v>
      </c>
      <c r="AP102" s="104" t="n">
        <f aca="false">IF(AP64&gt;0,1,0)</f>
        <v>1</v>
      </c>
      <c r="AQ102" s="104" t="n">
        <f aca="false">IF(AQ64&gt;0,1,0)</f>
        <v>1</v>
      </c>
      <c r="AR102" s="104" t="n">
        <f aca="false">IF(AR64&gt;0,1,0)</f>
        <v>1</v>
      </c>
      <c r="AS102" s="104" t="n">
        <f aca="false">IF(AS64&gt;0,1,0)</f>
        <v>1</v>
      </c>
      <c r="AT102" s="104" t="n">
        <f aca="false">IF(AT64&gt;0,1,0)</f>
        <v>1</v>
      </c>
      <c r="AU102" s="104" t="n">
        <f aca="false">IF(AU64&gt;0,1,0)</f>
        <v>1</v>
      </c>
      <c r="AV102" s="104" t="n">
        <f aca="false">IF(AV64&gt;0,1,0)</f>
        <v>1</v>
      </c>
      <c r="AW102" s="104" t="n">
        <f aca="false">IF(AW64&gt;0,1,0)</f>
        <v>1</v>
      </c>
      <c r="AX102" s="104" t="n">
        <f aca="false">IF(AX64&gt;0,1,0)</f>
        <v>1</v>
      </c>
      <c r="AY102" s="104" t="n">
        <f aca="false">IF(AY64&gt;0,1,0)</f>
        <v>1</v>
      </c>
      <c r="AZ102" s="104" t="n">
        <f aca="false">IF(AZ64&gt;0,1,0)</f>
        <v>1</v>
      </c>
      <c r="BA102" s="104" t="n">
        <f aca="false">IF(BA64&gt;0,1,0)</f>
        <v>1</v>
      </c>
      <c r="BB102" s="104" t="n">
        <f aca="false">IF(BB64&gt;0,1,0)</f>
        <v>1</v>
      </c>
      <c r="BC102" s="104" t="n">
        <f aca="false">IF(BC64&gt;0,1,0)</f>
        <v>1</v>
      </c>
      <c r="BD102" s="104" t="n">
        <f aca="false">IF(BD64&gt;0,1,0)</f>
        <v>1</v>
      </c>
      <c r="BE102" s="104" t="n">
        <f aca="false">IF(BE64&gt;0,1,0)</f>
        <v>1</v>
      </c>
      <c r="BF102" s="104" t="n">
        <f aca="false">IF(BF64&gt;0,1,0)</f>
        <v>1</v>
      </c>
      <c r="BG102" s="104" t="n">
        <f aca="false">IF(BG64&gt;0,1,0)</f>
        <v>1</v>
      </c>
      <c r="BH102" s="104" t="n">
        <f aca="false">IF(BH64&gt;0,1,0)</f>
        <v>1</v>
      </c>
      <c r="BI102" s="104" t="n">
        <f aca="false">IF(BI64&gt;0,1,0)</f>
        <v>1</v>
      </c>
      <c r="BJ102" s="104" t="n">
        <f aca="false">IF(BJ64&gt;0,1,0)</f>
        <v>1</v>
      </c>
    </row>
    <row r="103" customFormat="false" ht="15" hidden="false" customHeight="false" outlineLevel="0" collapsed="false">
      <c r="A103" s="6" t="s">
        <v>433</v>
      </c>
      <c r="C103" s="53" t="n">
        <f aca="false">C92+C93</f>
        <v>-4174804.1630306</v>
      </c>
      <c r="D103" s="53" t="n">
        <f aca="false">D92+D93</f>
        <v>-68444.5087441057</v>
      </c>
      <c r="E103" s="53" t="n">
        <f aca="false">E92+E93</f>
        <v>-53080.977367098</v>
      </c>
      <c r="F103" s="53" t="n">
        <f aca="false">F92+F93</f>
        <v>-45827.3689705868</v>
      </c>
      <c r="G103" s="53" t="n">
        <f aca="false">G92+G93</f>
        <v>-38528.8683473374</v>
      </c>
      <c r="H103" s="53" t="n">
        <f aca="false">H92+H93</f>
        <v>-31107.7584114402</v>
      </c>
      <c r="I103" s="53" t="n">
        <f aca="false">I92+I93</f>
        <v>-23568.9435354011</v>
      </c>
      <c r="J103" s="53" t="n">
        <f aca="false">J92+J93</f>
        <v>-15917.1319168258</v>
      </c>
      <c r="K103" s="53" t="n">
        <f aca="false">K92+K93</f>
        <v>-8156.84342541571</v>
      </c>
      <c r="L103" s="53" t="n">
        <f aca="false">L92+L93</f>
        <v>-292.417136084256</v>
      </c>
      <c r="M103" s="53" t="n">
        <f aca="false">M92+M93</f>
        <v>2150.10605857762</v>
      </c>
      <c r="N103" s="53" t="n">
        <f aca="false">N92+N93</f>
        <v>-11978.9176271636</v>
      </c>
      <c r="O103" s="53" t="n">
        <f aca="false">O92+O93</f>
        <v>-48211.5822044092</v>
      </c>
      <c r="P103" s="53" t="n">
        <f aca="false">P92+P93</f>
        <v>-6271.67299746916</v>
      </c>
      <c r="Q103" s="53" t="n">
        <f aca="false">Q92+Q93</f>
        <v>12132.2244151499</v>
      </c>
      <c r="R103" s="53" t="n">
        <f aca="false">R92+R93</f>
        <v>14157.9465430291</v>
      </c>
      <c r="S103" s="53" t="n">
        <f aca="false">S92+S93</f>
        <v>16136.9132412779</v>
      </c>
      <c r="T103" s="53" t="n">
        <f aca="false">T92+T93</f>
        <v>18043.8046049301</v>
      </c>
      <c r="U103" s="53" t="n">
        <f aca="false">U92+U93</f>
        <v>19881.5036473696</v>
      </c>
      <c r="V103" s="53" t="n">
        <f aca="false">V92+V93</f>
        <v>21652.7780614448</v>
      </c>
      <c r="W103" s="53" t="n">
        <f aca="false">W92+W93</f>
        <v>23360.2848322903</v>
      </c>
      <c r="X103" s="53" t="n">
        <f aca="false">X92+X93</f>
        <v>25006.5746656354</v>
      </c>
      <c r="Y103" s="53" t="n">
        <f aca="false">Y92+Y93</f>
        <v>26594.0962389799</v>
      </c>
      <c r="Z103" s="53" t="n">
        <f aca="false">Z92+Z93</f>
        <v>11995.5824844361</v>
      </c>
      <c r="AA103" s="53" t="n">
        <f aca="false">AA92+AA93</f>
        <v>-24806.1963605067</v>
      </c>
      <c r="AB103" s="53" t="n">
        <f aca="false">AB92+AB93</f>
        <v>16440.073838224</v>
      </c>
      <c r="AC103" s="53" t="n">
        <f aca="false">AC92+AC93</f>
        <v>33996.6903303437</v>
      </c>
      <c r="AD103" s="53" t="n">
        <f aca="false">AD92+AD93</f>
        <v>35151.899472519</v>
      </c>
      <c r="AE103" s="53" t="n">
        <f aca="false">AE92+AE93</f>
        <v>36553.5671375767</v>
      </c>
      <c r="AF103" s="53" t="n">
        <f aca="false">AF92+AF93</f>
        <v>37906.2514293654</v>
      </c>
      <c r="AG103" s="53" t="n">
        <f aca="false">AG92+AG93</f>
        <v>39211.9116828159</v>
      </c>
      <c r="AH103" s="53" t="n">
        <f aca="false">AH92+AH93</f>
        <v>40472.4288594618</v>
      </c>
      <c r="AI103" s="53" t="n">
        <f aca="false">AI92+AI93</f>
        <v>41689.6086823751</v>
      </c>
      <c r="AJ103" s="53" t="n">
        <f aca="false">AJ92+AJ93</f>
        <v>42865.1846457052</v>
      </c>
      <c r="AK103" s="53" t="n">
        <f aca="false">AK92+AK93</f>
        <v>44000.8209038355</v>
      </c>
      <c r="AL103" s="53" t="n">
        <f aca="false">AL92+AL93</f>
        <v>29033.6147610641</v>
      </c>
      <c r="AM103" s="53" t="n">
        <f aca="false">AM92+AM93</f>
        <v>-8175.46630357025</v>
      </c>
      <c r="AN103" s="53" t="n">
        <f aca="false">AN92+AN93</f>
        <v>32639.9992780755</v>
      </c>
      <c r="AO103" s="53" t="n">
        <f aca="false">AO92+AO93</f>
        <v>49752.0741340058</v>
      </c>
      <c r="AP103" s="53" t="n">
        <f aca="false">AP92+AP93</f>
        <v>50344.2235885496</v>
      </c>
      <c r="AQ103" s="53" t="n">
        <f aca="false">AQ92+AQ93</f>
        <v>51391.0061720762</v>
      </c>
      <c r="AR103" s="53" t="n">
        <f aca="false">AR92+AR93</f>
        <v>52403.000785595</v>
      </c>
      <c r="AS103" s="53" t="n">
        <f aca="false">AS92+AS93</f>
        <v>53381.5989479065</v>
      </c>
      <c r="AT103" s="53" t="n">
        <f aca="false">AT92+AT93</f>
        <v>54328.1365170588</v>
      </c>
      <c r="AU103" s="53" t="n">
        <f aca="false">AU92+AU93</f>
        <v>55243.8959167783</v>
      </c>
      <c r="AV103" s="53" t="n">
        <f aca="false">AV92+AV93</f>
        <v>56130.1082738424</v>
      </c>
      <c r="AW103" s="53" t="n">
        <f aca="false">AW92+AW93</f>
        <v>56987.9554699573</v>
      </c>
      <c r="AX103" s="53" t="n">
        <f aca="false">AX92+AX93</f>
        <v>41714.5910618083</v>
      </c>
      <c r="AY103" s="53" t="n">
        <f aca="false">AY92+AY93</f>
        <v>4218.06138172551</v>
      </c>
      <c r="AZ103" s="53" t="n">
        <f aca="false">AZ92+AZ93</f>
        <v>44767.0236288144</v>
      </c>
      <c r="BA103" s="53" t="n">
        <f aca="false">BA92+BA93</f>
        <v>61686.4977138332</v>
      </c>
      <c r="BB103" s="53" t="n">
        <f aca="false">BB92+BB93</f>
        <v>61906.5678882506</v>
      </c>
      <c r="BC103" s="53" t="n">
        <f aca="false">BC92+BC93</f>
        <v>62737.4967174972</v>
      </c>
      <c r="BD103" s="53" t="n">
        <f aca="false">BD92+BD93</f>
        <v>63542.2717269072</v>
      </c>
      <c r="BE103" s="53" t="n">
        <f aca="false">BE92+BE93</f>
        <v>64321.9390692742</v>
      </c>
      <c r="BF103" s="53" t="n">
        <f aca="false">BF92+BF93</f>
        <v>65077.5030512798</v>
      </c>
      <c r="BG103" s="53" t="n">
        <f aca="false">BG92+BG93</f>
        <v>65809.9278073385</v>
      </c>
      <c r="BH103" s="53" t="n">
        <f aca="false">BH92+BH93</f>
        <v>66520.1389064883</v>
      </c>
      <c r="BI103" s="53" t="n">
        <f aca="false">BI92+BI93</f>
        <v>67209.0248950054</v>
      </c>
      <c r="BJ103" s="53" t="n">
        <f aca="false">BJ92+BJ93</f>
        <v>51668.8303301914</v>
      </c>
    </row>
    <row r="104" customFormat="false" ht="15" hidden="false" customHeight="false" outlineLevel="0" collapsed="false">
      <c r="A104" s="6" t="s">
        <v>434</v>
      </c>
      <c r="C104" s="53" t="n">
        <f aca="false">C103</f>
        <v>-4174804.1630306</v>
      </c>
      <c r="D104" s="53" t="n">
        <f aca="false">C104+D103</f>
        <v>-4243248.67177471</v>
      </c>
      <c r="E104" s="53" t="n">
        <f aca="false">D104+E103</f>
        <v>-4296329.6491418</v>
      </c>
      <c r="F104" s="53" t="n">
        <f aca="false">E104+F103</f>
        <v>-4342157.01811239</v>
      </c>
      <c r="G104" s="53" t="n">
        <f aca="false">F104+G103</f>
        <v>-4380685.88645973</v>
      </c>
      <c r="H104" s="53" t="n">
        <f aca="false">G104+H103</f>
        <v>-4411793.64487117</v>
      </c>
      <c r="I104" s="53" t="n">
        <f aca="false">H104+I103</f>
        <v>-4435362.58840657</v>
      </c>
      <c r="J104" s="53" t="n">
        <f aca="false">I104+J103</f>
        <v>-4451279.7203234</v>
      </c>
      <c r="K104" s="53" t="n">
        <f aca="false">J104+K103</f>
        <v>-4459436.56374881</v>
      </c>
      <c r="L104" s="53" t="n">
        <f aca="false">K104+L103</f>
        <v>-4459728.9808849</v>
      </c>
      <c r="M104" s="53" t="n">
        <f aca="false">L104+M103</f>
        <v>-4457578.87482632</v>
      </c>
      <c r="N104" s="53" t="n">
        <f aca="false">M104+N103</f>
        <v>-4469557.79245348</v>
      </c>
      <c r="O104" s="53" t="n">
        <f aca="false">N104+O103</f>
        <v>-4517769.37465789</v>
      </c>
      <c r="P104" s="53" t="n">
        <f aca="false">O104+P103</f>
        <v>-4524041.04765536</v>
      </c>
      <c r="Q104" s="53" t="n">
        <f aca="false">P104+Q103</f>
        <v>-4511908.82324021</v>
      </c>
      <c r="R104" s="53" t="n">
        <f aca="false">Q104+R103</f>
        <v>-4497750.87669718</v>
      </c>
      <c r="S104" s="53" t="n">
        <f aca="false">R104+S103</f>
        <v>-4481613.9634559</v>
      </c>
      <c r="T104" s="53" t="n">
        <f aca="false">S104+T103</f>
        <v>-4463570.15885097</v>
      </c>
      <c r="U104" s="53" t="n">
        <f aca="false">T104+U103</f>
        <v>-4443688.6552036</v>
      </c>
      <c r="V104" s="53" t="n">
        <f aca="false">U104+V103</f>
        <v>-4422035.87714216</v>
      </c>
      <c r="W104" s="53" t="n">
        <f aca="false">V104+W103</f>
        <v>-4398675.59230987</v>
      </c>
      <c r="X104" s="53" t="n">
        <f aca="false">W104+X103</f>
        <v>-4373669.01764423</v>
      </c>
      <c r="Y104" s="53" t="n">
        <f aca="false">X104+Y103</f>
        <v>-4347074.92140525</v>
      </c>
      <c r="Z104" s="53" t="n">
        <f aca="false">Y104+Z103</f>
        <v>-4335079.33892082</v>
      </c>
      <c r="AA104" s="53" t="n">
        <f aca="false">Z104+AA103</f>
        <v>-4359885.53528132</v>
      </c>
      <c r="AB104" s="53" t="n">
        <f aca="false">AA104+AB103</f>
        <v>-4343445.4614431</v>
      </c>
      <c r="AC104" s="53" t="n">
        <f aca="false">AB104+AC103</f>
        <v>-4309448.77111276</v>
      </c>
      <c r="AD104" s="53" t="n">
        <f aca="false">AC104+AD103</f>
        <v>-4274296.87164024</v>
      </c>
      <c r="AE104" s="53" t="n">
        <f aca="false">AD104+AE103</f>
        <v>-4237743.30450266</v>
      </c>
      <c r="AF104" s="53" t="n">
        <f aca="false">AE104+AF103</f>
        <v>-4199837.05307329</v>
      </c>
      <c r="AG104" s="53" t="n">
        <f aca="false">AF104+AG103</f>
        <v>-4160625.14139048</v>
      </c>
      <c r="AH104" s="53" t="n">
        <f aca="false">AG104+AH103</f>
        <v>-4120152.71253102</v>
      </c>
      <c r="AI104" s="53" t="n">
        <f aca="false">AH104+AI103</f>
        <v>-4078463.10384864</v>
      </c>
      <c r="AJ104" s="53" t="n">
        <f aca="false">AI104+AJ103</f>
        <v>-4035597.91920294</v>
      </c>
      <c r="AK104" s="53" t="n">
        <f aca="false">AJ104+AK103</f>
        <v>-3991597.0982991</v>
      </c>
      <c r="AL104" s="53" t="n">
        <f aca="false">AK104+AL103</f>
        <v>-3962563.48353804</v>
      </c>
      <c r="AM104" s="53" t="n">
        <f aca="false">AL104+AM103</f>
        <v>-3970738.94984161</v>
      </c>
      <c r="AN104" s="53" t="n">
        <f aca="false">AM104+AN103</f>
        <v>-3938098.95056353</v>
      </c>
      <c r="AO104" s="53" t="n">
        <f aca="false">AN104+AO103</f>
        <v>-3888346.87642953</v>
      </c>
      <c r="AP104" s="53" t="n">
        <f aca="false">AO104+AP103</f>
        <v>-3838002.65284098</v>
      </c>
      <c r="AQ104" s="53" t="n">
        <f aca="false">AP104+AQ103</f>
        <v>-3786611.6466689</v>
      </c>
      <c r="AR104" s="53" t="n">
        <f aca="false">AQ104+AR103</f>
        <v>-3734208.64588331</v>
      </c>
      <c r="AS104" s="53" t="n">
        <f aca="false">AR104+AS103</f>
        <v>-3680827.0469354</v>
      </c>
      <c r="AT104" s="53" t="n">
        <f aca="false">AS104+AT103</f>
        <v>-3626498.91041834</v>
      </c>
      <c r="AU104" s="53" t="n">
        <f aca="false">AT104+AU103</f>
        <v>-3571255.01450156</v>
      </c>
      <c r="AV104" s="53" t="n">
        <f aca="false">AU104+AV103</f>
        <v>-3515124.90622772</v>
      </c>
      <c r="AW104" s="53" t="n">
        <f aca="false">AV104+AW103</f>
        <v>-3458136.95075776</v>
      </c>
      <c r="AX104" s="53" t="n">
        <f aca="false">AW104+AX103</f>
        <v>-3416422.35969596</v>
      </c>
      <c r="AY104" s="53" t="n">
        <f aca="false">AX104+AY103</f>
        <v>-3412204.29831423</v>
      </c>
      <c r="AZ104" s="53" t="n">
        <f aca="false">AY104+AZ103</f>
        <v>-3367437.27468542</v>
      </c>
      <c r="BA104" s="53" t="n">
        <f aca="false">AZ104+BA103</f>
        <v>-3305750.77697158</v>
      </c>
      <c r="BB104" s="53" t="n">
        <f aca="false">BA104+BB103</f>
        <v>-3243844.20908333</v>
      </c>
      <c r="BC104" s="53" t="n">
        <f aca="false">BB104+BC103</f>
        <v>-3181106.71236583</v>
      </c>
      <c r="BD104" s="53" t="n">
        <f aca="false">BC104+BD103</f>
        <v>-3117564.44063893</v>
      </c>
      <c r="BE104" s="53" t="n">
        <f aca="false">BD104+BE103</f>
        <v>-3053242.50156965</v>
      </c>
      <c r="BF104" s="53" t="n">
        <f aca="false">BE104+BF103</f>
        <v>-2988164.99851837</v>
      </c>
      <c r="BG104" s="53" t="n">
        <f aca="false">BF104+BG103</f>
        <v>-2922355.07071103</v>
      </c>
      <c r="BH104" s="53" t="n">
        <f aca="false">BG104+BH103</f>
        <v>-2855834.93180455</v>
      </c>
      <c r="BI104" s="53" t="n">
        <f aca="false">BH104+BI103</f>
        <v>-2788625.90690954</v>
      </c>
      <c r="BJ104" s="53" t="n">
        <f aca="false">BI104+BJ103</f>
        <v>-2736957.07657935</v>
      </c>
    </row>
    <row r="105" customFormat="false" ht="15" hidden="false" customHeight="false" outlineLevel="0" collapsed="false">
      <c r="A105" s="102" t="s">
        <v>435</v>
      </c>
      <c r="C105" s="53" t="n">
        <f aca="false">C104</f>
        <v>-4174804.1630306</v>
      </c>
      <c r="D105" s="53" t="n">
        <f aca="false">MIN(C105,D104)</f>
        <v>-4243248.67177471</v>
      </c>
      <c r="E105" s="53" t="n">
        <f aca="false">MIN(D105,E104)</f>
        <v>-4296329.6491418</v>
      </c>
      <c r="F105" s="53" t="n">
        <f aca="false">MIN(E105,F104)</f>
        <v>-4342157.01811239</v>
      </c>
      <c r="G105" s="53" t="n">
        <f aca="false">MIN(F105,G104)</f>
        <v>-4380685.88645973</v>
      </c>
      <c r="H105" s="53" t="n">
        <f aca="false">MIN(G105,H104)</f>
        <v>-4411793.64487117</v>
      </c>
      <c r="I105" s="53" t="n">
        <f aca="false">MIN(H105,I104)</f>
        <v>-4435362.58840657</v>
      </c>
      <c r="J105" s="53" t="n">
        <f aca="false">MIN(I105,J104)</f>
        <v>-4451279.7203234</v>
      </c>
      <c r="K105" s="53" t="n">
        <f aca="false">MIN(J105,K104)</f>
        <v>-4459436.56374881</v>
      </c>
      <c r="L105" s="53" t="n">
        <f aca="false">MIN(K105,L104)</f>
        <v>-4459728.9808849</v>
      </c>
      <c r="M105" s="53" t="n">
        <f aca="false">MIN(L105,M104)</f>
        <v>-4459728.9808849</v>
      </c>
      <c r="N105" s="53" t="n">
        <f aca="false">MIN(M105,N104)</f>
        <v>-4469557.79245348</v>
      </c>
      <c r="O105" s="53" t="n">
        <f aca="false">MIN(N105,O104)</f>
        <v>-4517769.37465789</v>
      </c>
      <c r="P105" s="53" t="n">
        <f aca="false">MIN(O105,P104)</f>
        <v>-4524041.04765536</v>
      </c>
      <c r="Q105" s="53" t="n">
        <f aca="false">MIN(P105,Q104)</f>
        <v>-4524041.04765536</v>
      </c>
      <c r="R105" s="53" t="n">
        <f aca="false">MIN(Q105,R104)</f>
        <v>-4524041.04765536</v>
      </c>
      <c r="S105" s="53" t="n">
        <f aca="false">MIN(R105,S104)</f>
        <v>-4524041.04765536</v>
      </c>
      <c r="T105" s="53" t="n">
        <f aca="false">MIN(S105,T104)</f>
        <v>-4524041.04765536</v>
      </c>
      <c r="U105" s="53" t="n">
        <f aca="false">MIN(T105,U104)</f>
        <v>-4524041.04765536</v>
      </c>
      <c r="V105" s="53" t="n">
        <f aca="false">MIN(U105,V104)</f>
        <v>-4524041.04765536</v>
      </c>
      <c r="W105" s="53" t="n">
        <f aca="false">MIN(V105,W104)</f>
        <v>-4524041.04765536</v>
      </c>
      <c r="X105" s="53" t="n">
        <f aca="false">MIN(W105,X104)</f>
        <v>-4524041.04765536</v>
      </c>
      <c r="Y105" s="53" t="n">
        <f aca="false">MIN(X105,Y104)</f>
        <v>-4524041.04765536</v>
      </c>
      <c r="Z105" s="53" t="n">
        <f aca="false">MIN(Y105,Z104)</f>
        <v>-4524041.04765536</v>
      </c>
      <c r="AA105" s="53" t="n">
        <f aca="false">MIN(Z105,AA104)</f>
        <v>-4524041.04765536</v>
      </c>
      <c r="AB105" s="53" t="n">
        <f aca="false">MIN(AA105,AB104)</f>
        <v>-4524041.04765536</v>
      </c>
      <c r="AC105" s="53" t="n">
        <f aca="false">MIN(AB105,AC104)</f>
        <v>-4524041.04765536</v>
      </c>
      <c r="AD105" s="53" t="n">
        <f aca="false">MIN(AC105,AD104)</f>
        <v>-4524041.04765536</v>
      </c>
      <c r="AE105" s="53" t="n">
        <f aca="false">MIN(AD105,AE104)</f>
        <v>-4524041.04765536</v>
      </c>
      <c r="AF105" s="53" t="n">
        <f aca="false">MIN(AE105,AF104)</f>
        <v>-4524041.04765536</v>
      </c>
      <c r="AG105" s="53" t="n">
        <f aca="false">MIN(AF105,AG104)</f>
        <v>-4524041.04765536</v>
      </c>
      <c r="AH105" s="53" t="n">
        <f aca="false">MIN(AG105,AH104)</f>
        <v>-4524041.04765536</v>
      </c>
      <c r="AI105" s="53" t="n">
        <f aca="false">MIN(AH105,AI104)</f>
        <v>-4524041.04765536</v>
      </c>
      <c r="AJ105" s="53" t="n">
        <f aca="false">MIN(AI105,AJ104)</f>
        <v>-4524041.04765536</v>
      </c>
      <c r="AK105" s="53" t="n">
        <f aca="false">MIN(AJ105,AK104)</f>
        <v>-4524041.04765536</v>
      </c>
      <c r="AL105" s="53" t="n">
        <f aca="false">MIN(AK105,AL104)</f>
        <v>-4524041.04765536</v>
      </c>
      <c r="AM105" s="53" t="n">
        <f aca="false">MIN(AL105,AM104)</f>
        <v>-4524041.04765536</v>
      </c>
      <c r="AN105" s="53" t="n">
        <f aca="false">MIN(AM105,AN104)</f>
        <v>-4524041.04765536</v>
      </c>
      <c r="AO105" s="53" t="n">
        <f aca="false">MIN(AN105,AO104)</f>
        <v>-4524041.04765536</v>
      </c>
      <c r="AP105" s="53" t="n">
        <f aca="false">MIN(AO105,AP104)</f>
        <v>-4524041.04765536</v>
      </c>
      <c r="AQ105" s="53" t="n">
        <f aca="false">MIN(AP105,AQ104)</f>
        <v>-4524041.04765536</v>
      </c>
      <c r="AR105" s="53" t="n">
        <f aca="false">MIN(AQ105,AR104)</f>
        <v>-4524041.04765536</v>
      </c>
      <c r="AS105" s="53" t="n">
        <f aca="false">MIN(AR105,AS104)</f>
        <v>-4524041.04765536</v>
      </c>
      <c r="AT105" s="53" t="n">
        <f aca="false">MIN(AS105,AT104)</f>
        <v>-4524041.04765536</v>
      </c>
      <c r="AU105" s="53" t="n">
        <f aca="false">MIN(AT105,AU104)</f>
        <v>-4524041.04765536</v>
      </c>
      <c r="AV105" s="53" t="n">
        <f aca="false">MIN(AU105,AV104)</f>
        <v>-4524041.04765536</v>
      </c>
      <c r="AW105" s="53" t="n">
        <f aca="false">MIN(AV105,AW104)</f>
        <v>-4524041.04765536</v>
      </c>
      <c r="AX105" s="53" t="n">
        <f aca="false">MIN(AW105,AX104)</f>
        <v>-4524041.04765536</v>
      </c>
      <c r="AY105" s="53" t="n">
        <f aca="false">MIN(AX105,AY104)</f>
        <v>-4524041.04765536</v>
      </c>
      <c r="AZ105" s="53" t="n">
        <f aca="false">MIN(AY105,AZ104)</f>
        <v>-4524041.04765536</v>
      </c>
      <c r="BA105" s="53" t="n">
        <f aca="false">MIN(AZ105,BA104)</f>
        <v>-4524041.04765536</v>
      </c>
      <c r="BB105" s="53" t="n">
        <f aca="false">MIN(BA105,BB104)</f>
        <v>-4524041.04765536</v>
      </c>
      <c r="BC105" s="53" t="n">
        <f aca="false">MIN(BB105,BC104)</f>
        <v>-4524041.04765536</v>
      </c>
      <c r="BD105" s="53" t="n">
        <f aca="false">MIN(BC105,BD104)</f>
        <v>-4524041.04765536</v>
      </c>
      <c r="BE105" s="53" t="n">
        <f aca="false">MIN(BD105,BE104)</f>
        <v>-4524041.04765536</v>
      </c>
      <c r="BF105" s="53" t="n">
        <f aca="false">MIN(BE105,BF104)</f>
        <v>-4524041.04765536</v>
      </c>
      <c r="BG105" s="53" t="n">
        <f aca="false">MIN(BF105,BG104)</f>
        <v>-4524041.04765536</v>
      </c>
      <c r="BH105" s="53" t="n">
        <f aca="false">MIN(BG105,BH104)</f>
        <v>-4524041.04765536</v>
      </c>
      <c r="BI105" s="53" t="n">
        <f aca="false">MIN(BH105,BI104)</f>
        <v>-4524041.04765536</v>
      </c>
      <c r="BJ105" s="53" t="n">
        <f aca="false">MIN(BI105,BJ104)</f>
        <v>-4524041.04765536</v>
      </c>
    </row>
    <row r="106" customFormat="false" ht="15" hidden="false" customHeight="false" outlineLevel="0" collapsed="false">
      <c r="A106" s="102" t="s">
        <v>436</v>
      </c>
      <c r="C106" s="104" t="n">
        <f aca="false">IF(AND(C104&gt;=0,C105&lt;0),1,0)</f>
        <v>0</v>
      </c>
      <c r="D106" s="104" t="n">
        <f aca="false">IF(AND(D104&gt;=0,D105&lt;0),1,0)</f>
        <v>0</v>
      </c>
      <c r="E106" s="104" t="n">
        <f aca="false">IF(AND(E104&gt;=0,E105&lt;0),1,0)</f>
        <v>0</v>
      </c>
      <c r="F106" s="104" t="n">
        <f aca="false">IF(AND(F104&gt;=0,F105&lt;0),1,0)</f>
        <v>0</v>
      </c>
      <c r="G106" s="104" t="n">
        <f aca="false">IF(AND(G104&gt;=0,G105&lt;0),1,0)</f>
        <v>0</v>
      </c>
      <c r="H106" s="104" t="n">
        <f aca="false">IF(AND(H104&gt;=0,H105&lt;0),1,0)</f>
        <v>0</v>
      </c>
      <c r="I106" s="104" t="n">
        <f aca="false">IF(AND(I104&gt;=0,I105&lt;0),1,0)</f>
        <v>0</v>
      </c>
      <c r="J106" s="104" t="n">
        <f aca="false">IF(AND(J104&gt;=0,J105&lt;0),1,0)</f>
        <v>0</v>
      </c>
      <c r="K106" s="104" t="n">
        <f aca="false">IF(AND(K104&gt;=0,K105&lt;0),1,0)</f>
        <v>0</v>
      </c>
      <c r="L106" s="104" t="n">
        <f aca="false">IF(AND(L104&gt;=0,L105&lt;0),1,0)</f>
        <v>0</v>
      </c>
      <c r="M106" s="104" t="n">
        <f aca="false">IF(AND(M104&gt;=0,M105&lt;0),1,0)</f>
        <v>0</v>
      </c>
      <c r="N106" s="104" t="n">
        <f aca="false">IF(AND(N104&gt;=0,N105&lt;0),1,0)</f>
        <v>0</v>
      </c>
      <c r="O106" s="104" t="n">
        <f aca="false">IF(AND(O104&gt;=0,O105&lt;0),1,0)</f>
        <v>0</v>
      </c>
      <c r="P106" s="104" t="n">
        <f aca="false">IF(AND(P104&gt;=0,P105&lt;0),1,0)</f>
        <v>0</v>
      </c>
      <c r="Q106" s="104" t="n">
        <f aca="false">IF(AND(Q104&gt;=0,Q105&lt;0),1,0)</f>
        <v>0</v>
      </c>
      <c r="R106" s="104" t="n">
        <f aca="false">IF(AND(R104&gt;=0,R105&lt;0),1,0)</f>
        <v>0</v>
      </c>
      <c r="S106" s="104" t="n">
        <f aca="false">IF(AND(S104&gt;=0,S105&lt;0),1,0)</f>
        <v>0</v>
      </c>
      <c r="T106" s="104" t="n">
        <f aca="false">IF(AND(T104&gt;=0,T105&lt;0),1,0)</f>
        <v>0</v>
      </c>
      <c r="U106" s="104" t="n">
        <f aca="false">IF(AND(U104&gt;=0,U105&lt;0),1,0)</f>
        <v>0</v>
      </c>
      <c r="V106" s="104" t="n">
        <f aca="false">IF(AND(V104&gt;=0,V105&lt;0),1,0)</f>
        <v>0</v>
      </c>
      <c r="W106" s="104" t="n">
        <f aca="false">IF(AND(W104&gt;=0,W105&lt;0),1,0)</f>
        <v>0</v>
      </c>
      <c r="X106" s="104" t="n">
        <f aca="false">IF(AND(X104&gt;=0,X105&lt;0),1,0)</f>
        <v>0</v>
      </c>
      <c r="Y106" s="104" t="n">
        <f aca="false">IF(AND(Y104&gt;=0,Y105&lt;0),1,0)</f>
        <v>0</v>
      </c>
      <c r="Z106" s="104" t="n">
        <f aca="false">IF(AND(Z104&gt;=0,Z105&lt;0),1,0)</f>
        <v>0</v>
      </c>
      <c r="AA106" s="104" t="n">
        <f aca="false">IF(AND(AA104&gt;=0,AA105&lt;0),1,0)</f>
        <v>0</v>
      </c>
      <c r="AB106" s="104" t="n">
        <f aca="false">IF(AND(AB104&gt;=0,AB105&lt;0),1,0)</f>
        <v>0</v>
      </c>
      <c r="AC106" s="104" t="n">
        <f aca="false">IF(AND(AC104&gt;=0,AC105&lt;0),1,0)</f>
        <v>0</v>
      </c>
      <c r="AD106" s="104" t="n">
        <f aca="false">IF(AND(AD104&gt;=0,AD105&lt;0),1,0)</f>
        <v>0</v>
      </c>
      <c r="AE106" s="104" t="n">
        <f aca="false">IF(AND(AE104&gt;=0,AE105&lt;0),1,0)</f>
        <v>0</v>
      </c>
      <c r="AF106" s="104" t="n">
        <f aca="false">IF(AND(AF104&gt;=0,AF105&lt;0),1,0)</f>
        <v>0</v>
      </c>
      <c r="AG106" s="104" t="n">
        <f aca="false">IF(AND(AG104&gt;=0,AG105&lt;0),1,0)</f>
        <v>0</v>
      </c>
      <c r="AH106" s="104" t="n">
        <f aca="false">IF(AND(AH104&gt;=0,AH105&lt;0),1,0)</f>
        <v>0</v>
      </c>
      <c r="AI106" s="104" t="n">
        <f aca="false">IF(AND(AI104&gt;=0,AI105&lt;0),1,0)</f>
        <v>0</v>
      </c>
      <c r="AJ106" s="104" t="n">
        <f aca="false">IF(AND(AJ104&gt;=0,AJ105&lt;0),1,0)</f>
        <v>0</v>
      </c>
      <c r="AK106" s="104" t="n">
        <f aca="false">IF(AND(AK104&gt;=0,AK105&lt;0),1,0)</f>
        <v>0</v>
      </c>
      <c r="AL106" s="104" t="n">
        <f aca="false">IF(AND(AL104&gt;=0,AL105&lt;0),1,0)</f>
        <v>0</v>
      </c>
      <c r="AM106" s="104" t="n">
        <f aca="false">IF(AND(AM104&gt;=0,AM105&lt;0),1,0)</f>
        <v>0</v>
      </c>
      <c r="AN106" s="104" t="n">
        <f aca="false">IF(AND(AN104&gt;=0,AN105&lt;0),1,0)</f>
        <v>0</v>
      </c>
      <c r="AO106" s="104" t="n">
        <f aca="false">IF(AND(AO104&gt;=0,AO105&lt;0),1,0)</f>
        <v>0</v>
      </c>
      <c r="AP106" s="104" t="n">
        <f aca="false">IF(AND(AP104&gt;=0,AP105&lt;0),1,0)</f>
        <v>0</v>
      </c>
      <c r="AQ106" s="104" t="n">
        <f aca="false">IF(AND(AQ104&gt;=0,AQ105&lt;0),1,0)</f>
        <v>0</v>
      </c>
      <c r="AR106" s="104" t="n">
        <f aca="false">IF(AND(AR104&gt;=0,AR105&lt;0),1,0)</f>
        <v>0</v>
      </c>
      <c r="AS106" s="104" t="n">
        <f aca="false">IF(AND(AS104&gt;=0,AS105&lt;0),1,0)</f>
        <v>0</v>
      </c>
      <c r="AT106" s="104" t="n">
        <f aca="false">IF(AND(AT104&gt;=0,AT105&lt;0),1,0)</f>
        <v>0</v>
      </c>
      <c r="AU106" s="104" t="n">
        <f aca="false">IF(AND(AU104&gt;=0,AU105&lt;0),1,0)</f>
        <v>0</v>
      </c>
      <c r="AV106" s="104" t="n">
        <f aca="false">IF(AND(AV104&gt;=0,AV105&lt;0),1,0)</f>
        <v>0</v>
      </c>
      <c r="AW106" s="104" t="n">
        <f aca="false">IF(AND(AW104&gt;=0,AW105&lt;0),1,0)</f>
        <v>0</v>
      </c>
      <c r="AX106" s="104" t="n">
        <f aca="false">IF(AND(AX104&gt;=0,AX105&lt;0),1,0)</f>
        <v>0</v>
      </c>
      <c r="AY106" s="104" t="n">
        <f aca="false">IF(AND(AY104&gt;=0,AY105&lt;0),1,0)</f>
        <v>0</v>
      </c>
      <c r="AZ106" s="104" t="n">
        <f aca="false">IF(AND(AZ104&gt;=0,AZ105&lt;0),1,0)</f>
        <v>0</v>
      </c>
      <c r="BA106" s="104" t="n">
        <f aca="false">IF(AND(BA104&gt;=0,BA105&lt;0),1,0)</f>
        <v>0</v>
      </c>
      <c r="BB106" s="104" t="n">
        <f aca="false">IF(AND(BB104&gt;=0,BB105&lt;0),1,0)</f>
        <v>0</v>
      </c>
      <c r="BC106" s="104" t="n">
        <f aca="false">IF(AND(BC104&gt;=0,BC105&lt;0),1,0)</f>
        <v>0</v>
      </c>
      <c r="BD106" s="104" t="n">
        <f aca="false">IF(AND(BD104&gt;=0,BD105&lt;0),1,0)</f>
        <v>0</v>
      </c>
      <c r="BE106" s="104" t="n">
        <f aca="false">IF(AND(BE104&gt;=0,BE105&lt;0),1,0)</f>
        <v>0</v>
      </c>
      <c r="BF106" s="104" t="n">
        <f aca="false">IF(AND(BF104&gt;=0,BF105&lt;0),1,0)</f>
        <v>0</v>
      </c>
      <c r="BG106" s="104" t="n">
        <f aca="false">IF(AND(BG104&gt;=0,BG105&lt;0),1,0)</f>
        <v>0</v>
      </c>
      <c r="BH106" s="104" t="n">
        <f aca="false">IF(AND(BH104&gt;=0,BH105&lt;0),1,0)</f>
        <v>0</v>
      </c>
      <c r="BI106" s="104" t="n">
        <f aca="false">IF(AND(BI104&gt;=0,BI105&lt;0),1,0)</f>
        <v>0</v>
      </c>
      <c r="BJ106" s="104" t="n">
        <f aca="false">IF(AND(BJ104&gt;=0,BJ105&lt;0),1,0)</f>
        <v>0</v>
      </c>
    </row>
    <row r="107" customFormat="false" ht="15" hidden="false" customHeight="false" outlineLevel="0" collapsed="false">
      <c r="A107" s="6" t="s">
        <v>437</v>
      </c>
      <c r="C107" s="53" t="n">
        <f aca="false">C92-C59*(1-Inputs!$E$79)+C93</f>
        <v>-4158016.6630306</v>
      </c>
      <c r="D107" s="53" t="n">
        <f aca="false">D92-D59*(1-Inputs!$E$79)+D93</f>
        <v>-51726.9566607723</v>
      </c>
      <c r="E107" s="53" t="n">
        <f aca="false">E92-E59*(1-Inputs!$E$79)+E93</f>
        <v>-36503.321117098</v>
      </c>
      <c r="F107" s="53" t="n">
        <f aca="false">F92-F59*(1-Inputs!$E$79)+F93</f>
        <v>-29389.6085539201</v>
      </c>
      <c r="G107" s="53" t="n">
        <f aca="false">G92-G59*(1-Inputs!$E$79)+G93</f>
        <v>-22231.0037640041</v>
      </c>
      <c r="H107" s="53" t="n">
        <f aca="false">H92-H59*(1-Inputs!$E$79)+H93</f>
        <v>-14949.7896614402</v>
      </c>
      <c r="I107" s="53" t="n">
        <f aca="false">I92-I59*(1-Inputs!$E$79)+I93</f>
        <v>-7550.87061873443</v>
      </c>
      <c r="J107" s="53" t="n">
        <f aca="false">J92-J59*(1-Inputs!$E$79)+J93</f>
        <v>-38.9548334924384</v>
      </c>
      <c r="K107" s="53" t="n">
        <f aca="false">K92-K59*(1-Inputs!$E$79)+K93</f>
        <v>7581.4378245843</v>
      </c>
      <c r="L107" s="53" t="n">
        <f aca="false">L92-L59*(1-Inputs!$E$79)+L93</f>
        <v>15305.9682805824</v>
      </c>
      <c r="M107" s="53" t="n">
        <f aca="false">M92-M59*(1-Inputs!$E$79)+M93</f>
        <v>17608.595641911</v>
      </c>
      <c r="N107" s="53" t="n">
        <f aca="false">N92-N59*(1-Inputs!$E$79)+N93</f>
        <v>3339.67612283636</v>
      </c>
      <c r="O107" s="53" t="n">
        <f aca="false">O92-O59*(1-Inputs!$E$79)+O93</f>
        <v>-33032.8842877425</v>
      </c>
      <c r="P107" s="53" t="n">
        <f aca="false">P92-P59*(1-Inputs!$E$79)+P93</f>
        <v>8767.12908586418</v>
      </c>
      <c r="Q107" s="53" t="n">
        <f aca="false">Q92-Q59*(1-Inputs!$E$79)+Q93</f>
        <v>27031.1306651499</v>
      </c>
      <c r="R107" s="53" t="n">
        <f aca="false">R92-R59*(1-Inputs!$E$79)+R93</f>
        <v>28916.9569596957</v>
      </c>
      <c r="S107" s="53" t="n">
        <f aca="false">S92-S59*(1-Inputs!$E$79)+S93</f>
        <v>30756.0278246112</v>
      </c>
      <c r="T107" s="53" t="n">
        <f aca="false">T92-T59*(1-Inputs!$E$79)+T93</f>
        <v>32523.0233549301</v>
      </c>
      <c r="U107" s="53" t="n">
        <f aca="false">U92-U59*(1-Inputs!$E$79)+U93</f>
        <v>34220.8265640362</v>
      </c>
      <c r="V107" s="53" t="n">
        <f aca="false">V92-V59*(1-Inputs!$E$79)+V93</f>
        <v>35852.2051447781</v>
      </c>
      <c r="W107" s="53" t="n">
        <f aca="false">W92-W59*(1-Inputs!$E$79)+W93</f>
        <v>37419.8160822903</v>
      </c>
      <c r="X107" s="53" t="n">
        <f aca="false">X92-X59*(1-Inputs!$E$79)+X93</f>
        <v>38926.2100823021</v>
      </c>
      <c r="Y107" s="53" t="n">
        <f aca="false">Y92-Y59*(1-Inputs!$E$79)+Y93</f>
        <v>40373.8358223133</v>
      </c>
      <c r="Z107" s="53" t="n">
        <f aca="false">Z92-Z59*(1-Inputs!$E$79)+Z93</f>
        <v>25635.4262344361</v>
      </c>
      <c r="AA107" s="53" t="n">
        <f aca="false">AA92-AA59*(1-Inputs!$E$79)+AA93</f>
        <v>-11306.24844384</v>
      </c>
      <c r="AB107" s="53" t="n">
        <f aca="false">AB92-AB59*(1-Inputs!$E$79)+AB93</f>
        <v>29800.1259215574</v>
      </c>
      <c r="AC107" s="53" t="n">
        <f aca="false">AC92-AC59*(1-Inputs!$E$79)+AC93</f>
        <v>47216.8465803437</v>
      </c>
      <c r="AD107" s="53" t="n">
        <f aca="false">AD92-AD59*(1-Inputs!$E$79)+AD93</f>
        <v>48232.1598891856</v>
      </c>
      <c r="AE107" s="53" t="n">
        <f aca="false">AE92-AE59*(1-Inputs!$E$79)+AE93</f>
        <v>49493.93172091</v>
      </c>
      <c r="AF107" s="53" t="n">
        <f aca="false">AF92-AF59*(1-Inputs!$E$79)+AF93</f>
        <v>50706.7201793654</v>
      </c>
      <c r="AG107" s="53" t="n">
        <f aca="false">AG92-AG59*(1-Inputs!$E$79)+AG93</f>
        <v>51872.4845994826</v>
      </c>
      <c r="AH107" s="53" t="n">
        <f aca="false">AH92-AH59*(1-Inputs!$E$79)+AH93</f>
        <v>52993.1059427951</v>
      </c>
      <c r="AI107" s="53" t="n">
        <f aca="false">AI92-AI59*(1-Inputs!$E$79)+AI93</f>
        <v>54070.3899323751</v>
      </c>
      <c r="AJ107" s="53" t="n">
        <f aca="false">AJ92-AJ59*(1-Inputs!$E$79)+AJ93</f>
        <v>55106.0700623719</v>
      </c>
      <c r="AK107" s="53" t="n">
        <f aca="false">AK92-AK59*(1-Inputs!$E$79)+AK93</f>
        <v>56101.8104871688</v>
      </c>
      <c r="AL107" s="53" t="n">
        <f aca="false">AL92-AL59*(1-Inputs!$E$79)+AL93</f>
        <v>40994.7085110641</v>
      </c>
      <c r="AM107" s="53" t="n">
        <f aca="false">AM92-AM59*(1-Inputs!$E$79)+AM93</f>
        <v>3645.73161309641</v>
      </c>
      <c r="AN107" s="53" t="n">
        <f aca="false">AN92-AN59*(1-Inputs!$E$79)+AN93</f>
        <v>44321.3013614088</v>
      </c>
      <c r="AO107" s="53" t="n">
        <f aca="false">AO92-AO59*(1-Inputs!$E$79)+AO93</f>
        <v>61293.4803840058</v>
      </c>
      <c r="AP107" s="53" t="n">
        <f aca="false">AP92-AP59*(1-Inputs!$E$79)+AP93</f>
        <v>61745.7340052163</v>
      </c>
      <c r="AQ107" s="53" t="n">
        <f aca="false">AQ92-AQ59*(1-Inputs!$E$79)+AQ93</f>
        <v>62652.6207554095</v>
      </c>
      <c r="AR107" s="53" t="n">
        <f aca="false">AR92-AR59*(1-Inputs!$E$79)+AR93</f>
        <v>63524.719535595</v>
      </c>
      <c r="AS107" s="53" t="n">
        <f aca="false">AS92-AS59*(1-Inputs!$E$79)+AS93</f>
        <v>64363.4218645731</v>
      </c>
      <c r="AT107" s="53" t="n">
        <f aca="false">AT92-AT59*(1-Inputs!$E$79)+AT93</f>
        <v>65170.0636003921</v>
      </c>
      <c r="AU107" s="53" t="n">
        <f aca="false">AU92-AU59*(1-Inputs!$E$79)+AU93</f>
        <v>65945.9271667783</v>
      </c>
      <c r="AV107" s="53" t="n">
        <f aca="false">AV92-AV59*(1-Inputs!$E$79)+AV93</f>
        <v>66692.2436905091</v>
      </c>
      <c r="AW107" s="53" t="n">
        <f aca="false">AW92-AW59*(1-Inputs!$E$79)+AW93</f>
        <v>67410.1950532906</v>
      </c>
      <c r="AX107" s="53" t="n">
        <f aca="false">AX92-AX59*(1-Inputs!$E$79)+AX93</f>
        <v>51996.9348118083</v>
      </c>
      <c r="AY107" s="53" t="n">
        <f aca="false">AY92-AY59*(1-Inputs!$E$79)+AY93</f>
        <v>14360.5092983922</v>
      </c>
      <c r="AZ107" s="53" t="n">
        <f aca="false">AZ92-AZ59*(1-Inputs!$E$79)+AZ93</f>
        <v>54769.5757121477</v>
      </c>
      <c r="BA107" s="53" t="n">
        <f aca="false">BA92-BA59*(1-Inputs!$E$79)+BA93</f>
        <v>71549.1539638332</v>
      </c>
      <c r="BB107" s="53" t="n">
        <f aca="false">BB92-BB59*(1-Inputs!$E$79)+BB93</f>
        <v>71629.3283049172</v>
      </c>
      <c r="BC107" s="53" t="n">
        <f aca="false">BC92-BC59*(1-Inputs!$E$79)+BC93</f>
        <v>72320.3613008305</v>
      </c>
      <c r="BD107" s="53" t="n">
        <f aca="false">BD92-BD59*(1-Inputs!$E$79)+BD93</f>
        <v>72985.2404769072</v>
      </c>
      <c r="BE107" s="53" t="n">
        <f aca="false">BE92-BE59*(1-Inputs!$E$79)+BE93</f>
        <v>73625.0119859409</v>
      </c>
      <c r="BF107" s="53" t="n">
        <f aca="false">BF92-BF59*(1-Inputs!$E$79)+BF93</f>
        <v>74240.6801346131</v>
      </c>
      <c r="BG107" s="53" t="n">
        <f aca="false">BG92-BG59*(1-Inputs!$E$79)+BG93</f>
        <v>74833.2090573385</v>
      </c>
      <c r="BH107" s="53" t="n">
        <f aca="false">BH92-BH59*(1-Inputs!$E$79)+BH93</f>
        <v>75403.524323155</v>
      </c>
      <c r="BI107" s="53" t="n">
        <f aca="false">BI92-BI59*(1-Inputs!$E$79)+BI93</f>
        <v>75952.5144783387</v>
      </c>
      <c r="BJ107" s="53" t="n">
        <f aca="false">BJ92-BJ59*(1-Inputs!$E$79)+BJ93</f>
        <v>60272.4240801914</v>
      </c>
    </row>
    <row r="109" customFormat="false" ht="15.75" hidden="false" customHeight="true" outlineLevel="0" collapsed="false">
      <c r="A109" s="7" t="s">
        <v>438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95</v>
      </c>
      <c r="C110" s="53" t="n">
        <f aca="false">C94</f>
        <v>2100000</v>
      </c>
      <c r="D110" s="53" t="n">
        <f aca="false">C110+D94</f>
        <v>2100000</v>
      </c>
      <c r="E110" s="53" t="n">
        <f aca="false">D110+E94</f>
        <v>2100000</v>
      </c>
      <c r="F110" s="53" t="n">
        <f aca="false">E110+F94</f>
        <v>2100000</v>
      </c>
      <c r="G110" s="53" t="n">
        <f aca="false">F110+G94</f>
        <v>2100000</v>
      </c>
      <c r="H110" s="53" t="n">
        <f aca="false">G110+H94</f>
        <v>2100000</v>
      </c>
      <c r="I110" s="53" t="n">
        <f aca="false">H110+I94</f>
        <v>2100000</v>
      </c>
      <c r="J110" s="53" t="n">
        <f aca="false">I110+J94</f>
        <v>2100000</v>
      </c>
      <c r="K110" s="53" t="n">
        <f aca="false">J110+K94</f>
        <v>2100000</v>
      </c>
      <c r="L110" s="53" t="n">
        <f aca="false">K110+L94</f>
        <v>2100000</v>
      </c>
      <c r="M110" s="53" t="n">
        <f aca="false">L110+M94</f>
        <v>2100000</v>
      </c>
      <c r="N110" s="53" t="n">
        <f aca="false">M110+N94</f>
        <v>2100000</v>
      </c>
      <c r="O110" s="53" t="n">
        <f aca="false">N110+O94</f>
        <v>2100000</v>
      </c>
      <c r="P110" s="53" t="n">
        <f aca="false">O110+P94</f>
        <v>2100000</v>
      </c>
      <c r="Q110" s="53" t="n">
        <f aca="false">P110+Q94</f>
        <v>2100000</v>
      </c>
      <c r="R110" s="53" t="n">
        <f aca="false">Q110+R94</f>
        <v>2100000</v>
      </c>
      <c r="S110" s="53" t="n">
        <f aca="false">R110+S94</f>
        <v>2100000</v>
      </c>
      <c r="T110" s="53" t="n">
        <f aca="false">S110+T94</f>
        <v>2100000</v>
      </c>
      <c r="U110" s="53" t="n">
        <f aca="false">T110+U94</f>
        <v>2100000</v>
      </c>
      <c r="V110" s="53" t="n">
        <f aca="false">U110+V94</f>
        <v>2100000</v>
      </c>
      <c r="W110" s="53" t="n">
        <f aca="false">V110+W94</f>
        <v>2100000</v>
      </c>
      <c r="X110" s="53" t="n">
        <f aca="false">W110+X94</f>
        <v>2100000</v>
      </c>
      <c r="Y110" s="53" t="n">
        <f aca="false">X110+Y94</f>
        <v>2100000</v>
      </c>
      <c r="Z110" s="53" t="n">
        <f aca="false">Y110+Z94</f>
        <v>2100000</v>
      </c>
      <c r="AA110" s="53" t="n">
        <f aca="false">Z110+AA94</f>
        <v>2100000</v>
      </c>
      <c r="AB110" s="53" t="n">
        <f aca="false">AA110+AB94</f>
        <v>2100000</v>
      </c>
      <c r="AC110" s="53" t="n">
        <f aca="false">AB110+AC94</f>
        <v>2100000</v>
      </c>
      <c r="AD110" s="53" t="n">
        <f aca="false">AC110+AD94</f>
        <v>2100000</v>
      </c>
      <c r="AE110" s="53" t="n">
        <f aca="false">AD110+AE94</f>
        <v>2100000</v>
      </c>
      <c r="AF110" s="53" t="n">
        <f aca="false">AE110+AF94</f>
        <v>2100000</v>
      </c>
      <c r="AG110" s="53" t="n">
        <f aca="false">AF110+AG94</f>
        <v>2100000</v>
      </c>
      <c r="AH110" s="53" t="n">
        <f aca="false">AG110+AH94</f>
        <v>2100000</v>
      </c>
      <c r="AI110" s="53" t="n">
        <f aca="false">AH110+AI94</f>
        <v>2100000</v>
      </c>
      <c r="AJ110" s="53" t="n">
        <f aca="false">AI110+AJ94</f>
        <v>2100000</v>
      </c>
      <c r="AK110" s="53" t="n">
        <f aca="false">AJ110+AK94</f>
        <v>2100000</v>
      </c>
      <c r="AL110" s="53" t="n">
        <f aca="false">AK110+AL94</f>
        <v>2100000</v>
      </c>
      <c r="AM110" s="53" t="n">
        <f aca="false">AL110+AM94</f>
        <v>2100000</v>
      </c>
      <c r="AN110" s="53" t="n">
        <f aca="false">AM110+AN94</f>
        <v>2100000</v>
      </c>
      <c r="AO110" s="53" t="n">
        <f aca="false">AN110+AO94</f>
        <v>2100000</v>
      </c>
      <c r="AP110" s="53" t="n">
        <f aca="false">AO110+AP94</f>
        <v>2100000</v>
      </c>
      <c r="AQ110" s="53" t="n">
        <f aca="false">AP110+AQ94</f>
        <v>2100000</v>
      </c>
      <c r="AR110" s="53" t="n">
        <f aca="false">AQ110+AR94</f>
        <v>2100000</v>
      </c>
      <c r="AS110" s="53" t="n">
        <f aca="false">AR110+AS94</f>
        <v>2100000</v>
      </c>
      <c r="AT110" s="53" t="n">
        <f aca="false">AS110+AT94</f>
        <v>2100000</v>
      </c>
      <c r="AU110" s="53" t="n">
        <f aca="false">AT110+AU94</f>
        <v>2100000</v>
      </c>
      <c r="AV110" s="53" t="n">
        <f aca="false">AU110+AV94</f>
        <v>2100000</v>
      </c>
      <c r="AW110" s="53" t="n">
        <f aca="false">AV110+AW94</f>
        <v>2100000</v>
      </c>
      <c r="AX110" s="53" t="n">
        <f aca="false">AW110+AX94</f>
        <v>2100000</v>
      </c>
      <c r="AY110" s="53" t="n">
        <f aca="false">AX110+AY94</f>
        <v>2100000</v>
      </c>
      <c r="AZ110" s="53" t="n">
        <f aca="false">AY110+AZ94</f>
        <v>2100000</v>
      </c>
      <c r="BA110" s="53" t="n">
        <f aca="false">AZ110+BA94</f>
        <v>2100000</v>
      </c>
      <c r="BB110" s="53" t="n">
        <f aca="false">BA110+BB94</f>
        <v>2100000</v>
      </c>
      <c r="BC110" s="53" t="n">
        <f aca="false">BB110+BC94</f>
        <v>2100000</v>
      </c>
      <c r="BD110" s="53" t="n">
        <f aca="false">BC110+BD94</f>
        <v>2100000</v>
      </c>
      <c r="BE110" s="53" t="n">
        <f aca="false">BD110+BE94</f>
        <v>2100000</v>
      </c>
      <c r="BF110" s="53" t="n">
        <f aca="false">BE110+BF94</f>
        <v>2100000</v>
      </c>
      <c r="BG110" s="53" t="n">
        <f aca="false">BF110+BG94</f>
        <v>2100000</v>
      </c>
      <c r="BH110" s="53" t="n">
        <f aca="false">BG110+BH94</f>
        <v>2100000</v>
      </c>
      <c r="BI110" s="53" t="n">
        <f aca="false">BH110+BI94</f>
        <v>2100000</v>
      </c>
      <c r="BJ110" s="53" t="n">
        <f aca="false">BI110+BJ94</f>
        <v>2100000</v>
      </c>
    </row>
    <row r="111" customFormat="false" ht="15" hidden="false" customHeight="false" outlineLevel="0" collapsed="false">
      <c r="A111" s="6" t="s">
        <v>96</v>
      </c>
      <c r="C111" s="53" t="n">
        <f aca="false">C64</f>
        <v>-102437.476634789</v>
      </c>
      <c r="D111" s="53" t="n">
        <f aca="false">C111+D64</f>
        <v>-199240.336761108</v>
      </c>
      <c r="E111" s="53" t="n">
        <f aca="false">D111+E64</f>
        <v>-280587.034107493</v>
      </c>
      <c r="F111" s="53" t="n">
        <f aca="false">E111+F64</f>
        <v>-354763.012705834</v>
      </c>
      <c r="G111" s="53" t="n">
        <f aca="false">F111+G64</f>
        <v>-421640.551968474</v>
      </c>
      <c r="H111" s="53" t="n">
        <f aca="false">G111+H64</f>
        <v>-481097.040131265</v>
      </c>
      <c r="I111" s="53" t="n">
        <f aca="false">H111+I64</f>
        <v>-533014.769900621</v>
      </c>
      <c r="J111" s="53" t="n">
        <f aca="false">I111+J64</f>
        <v>-577280.742274703</v>
      </c>
      <c r="K111" s="53" t="n">
        <f aca="false">J111+K64</f>
        <v>-613786.478211745</v>
      </c>
      <c r="L111" s="53" t="n">
        <f aca="false">K111+L64</f>
        <v>-642427.837831648</v>
      </c>
      <c r="M111" s="53" t="n">
        <f aca="false">L111+M64</f>
        <v>-668750.981431645</v>
      </c>
      <c r="N111" s="53" t="n">
        <f aca="false">M111+N64</f>
        <v>-709232.332270295</v>
      </c>
      <c r="O111" s="53" t="n">
        <f aca="false">N111+O64</f>
        <v>-746179.624477354</v>
      </c>
      <c r="P111" s="53" t="n">
        <f aca="false">O111+P64</f>
        <v>-781179.910305002</v>
      </c>
      <c r="Q111" s="53" t="n">
        <f aca="false">P111+Q64</f>
        <v>-797828.321012694</v>
      </c>
      <c r="R111" s="53" t="n">
        <f aca="false">Q111+R64</f>
        <v>-812422.594065442</v>
      </c>
      <c r="S111" s="53" t="n">
        <f aca="false">R111+S64</f>
        <v>-825037.811636111</v>
      </c>
      <c r="T111" s="53" t="n">
        <f aca="false">S111+T64</f>
        <v>-835746.052610649</v>
      </c>
      <c r="U111" s="53" t="n">
        <f aca="false">T111+U64</f>
        <v>-844616.512719569</v>
      </c>
      <c r="V111" s="53" t="n">
        <f aca="false">U111+V64</f>
        <v>-851715.619864162</v>
      </c>
      <c r="W111" s="53" t="n">
        <f aca="false">V111+W64</f>
        <v>-857107.144829668</v>
      </c>
      <c r="X111" s="53" t="n">
        <f aca="false">W111+X64</f>
        <v>-860852.307569918</v>
      </c>
      <c r="Y111" s="53" t="n">
        <f aca="false">X111+Y64</f>
        <v>-863009.879240587</v>
      </c>
      <c r="Z111" s="53" t="n">
        <f aca="false">Y111+Z64</f>
        <v>-879516.123808558</v>
      </c>
      <c r="AA111" s="53" t="n">
        <f aca="false">Z111+AA64</f>
        <v>-893353.113443053</v>
      </c>
      <c r="AB111" s="53" t="n">
        <f aca="false">AA111+AB64</f>
        <v>-905928.286590833</v>
      </c>
      <c r="AC111" s="53" t="n">
        <f aca="false">AB111+AC64</f>
        <v>-901259.37512903</v>
      </c>
      <c r="AD111" s="53" t="n">
        <f aca="false">AC111+AD64</f>
        <v>-895137.670926185</v>
      </c>
      <c r="AE111" s="53" t="n">
        <f aca="false">AD111+AE64</f>
        <v>-887614.202358606</v>
      </c>
      <c r="AF111" s="53" t="n">
        <f aca="false">AE111+AF64</f>
        <v>-878737.95666755</v>
      </c>
      <c r="AG111" s="53" t="n">
        <f aca="false">AF111+AG64</f>
        <v>-868555.961604622</v>
      </c>
      <c r="AH111" s="53" t="n">
        <f aca="false">AG111+AH64</f>
        <v>-857113.363811364</v>
      </c>
      <c r="AI111" s="53" t="n">
        <f aca="false">AH111+AI64</f>
        <v>-844453.504063656</v>
      </c>
      <c r="AJ111" s="53" t="n">
        <f aca="false">AI111+AJ64</f>
        <v>-830617.989506341</v>
      </c>
      <c r="AK111" s="53" t="n">
        <f aca="false">AJ111+AK64</f>
        <v>-815646.762998472</v>
      </c>
      <c r="AL111" s="53" t="n">
        <f aca="false">AK111+AL64</f>
        <v>-815194.045409802</v>
      </c>
      <c r="AM111" s="53" t="n">
        <f aca="false">AL111+AM64</f>
        <v>-812690.210705342</v>
      </c>
      <c r="AN111" s="53" t="n">
        <f aca="false">AM111+AN64</f>
        <v>-809348.489396633</v>
      </c>
      <c r="AO111" s="53" t="n">
        <f aca="false">AN111+AO64</f>
        <v>-789395.311890723</v>
      </c>
      <c r="AP111" s="53" t="n">
        <f aca="false">AO111+AP64</f>
        <v>-768359.015513535</v>
      </c>
      <c r="AQ111" s="53" t="n">
        <f aca="false">AP111+AQ64</f>
        <v>-746275.841686589</v>
      </c>
      <c r="AR111" s="53" t="n">
        <f aca="false">AQ111+AR64</f>
        <v>-723180.582174541</v>
      </c>
      <c r="AS111" s="53" t="n">
        <f aca="false">AR111+AS64</f>
        <v>-699106.637071461</v>
      </c>
      <c r="AT111" s="53" t="n">
        <f aca="false">AS111+AT64</f>
        <v>-674086.070467659</v>
      </c>
      <c r="AU111" s="53" t="n">
        <f aca="false">AT111+AU64</f>
        <v>-648149.663889829</v>
      </c>
      <c r="AV111" s="53" t="n">
        <f aca="false">AU111+AV64</f>
        <v>-621326.967603599</v>
      </c>
      <c r="AW111" s="53" t="n">
        <f aca="false">AV111+AW64</f>
        <v>-593646.349863972</v>
      </c>
      <c r="AX111" s="53" t="n">
        <f aca="false">AW111+AX64</f>
        <v>-580640.523575564</v>
      </c>
      <c r="AY111" s="53" t="n">
        <f aca="false">AX111+AY64</f>
        <v>-566029.958394927</v>
      </c>
      <c r="AZ111" s="53" t="n">
        <f aca="false">AY111+AZ64</f>
        <v>-550842.07871552</v>
      </c>
      <c r="BA111" s="53" t="n">
        <f aca="false">AZ111+BA64</f>
        <v>-519379.393936409</v>
      </c>
      <c r="BB111" s="53" t="n">
        <f aca="false">BA111+BB64</f>
        <v>-487058.441670352</v>
      </c>
      <c r="BC111" s="53" t="n">
        <f aca="false">BB111+BC64</f>
        <v>-453906.469283495</v>
      </c>
      <c r="BD111" s="53" t="n">
        <f aca="false">BC111+BD64</f>
        <v>-419949.634247335</v>
      </c>
      <c r="BE111" s="53" t="n">
        <f aca="false">BD111+BE64</f>
        <v>-385213.047734511</v>
      </c>
      <c r="BF111" s="53" t="n">
        <f aca="false">BE111+BF64</f>
        <v>-349720.816470758</v>
      </c>
      <c r="BG111" s="53" t="n">
        <f aca="false">BF111+BG64</f>
        <v>-313496.082912777</v>
      </c>
      <c r="BH111" s="53" t="n">
        <f aca="false">BG111+BH64</f>
        <v>-276561.063819007</v>
      </c>
      <c r="BI111" s="53" t="n">
        <f aca="false">BH111+BI64</f>
        <v>-238937.087277543</v>
      </c>
      <c r="BJ111" s="53" t="n">
        <f aca="false">BI111+BJ64</f>
        <v>-216134.038884935</v>
      </c>
    </row>
    <row r="112" customFormat="false" ht="15" hidden="false" customHeight="false" outlineLevel="0" collapsed="false">
      <c r="A112" s="4" t="s">
        <v>91</v>
      </c>
      <c r="C112" s="60" t="n">
        <f aca="false">C98+C84+C85+C75</f>
        <v>5003455.8114868</v>
      </c>
      <c r="D112" s="60" t="n">
        <f aca="false">D98+D84+D85+D75</f>
        <v>4882452.53724416</v>
      </c>
      <c r="E112" s="60" t="n">
        <f aca="false">E98+E84+E85+E75</f>
        <v>4778643.66193998</v>
      </c>
      <c r="F112" s="60" t="n">
        <f aca="false">F98+F84+F85+F75</f>
        <v>4680538.40136199</v>
      </c>
      <c r="G112" s="60" t="n">
        <f aca="false">G98+G84+G85+G75</f>
        <v>4589758.38009905</v>
      </c>
      <c r="H112" s="60" t="n">
        <f aca="false">H98+H84+H85+H75</f>
        <v>4506425.13791614</v>
      </c>
      <c r="I112" s="60" t="n">
        <f aca="false">I98+I84+I85+I75</f>
        <v>4430655.35298764</v>
      </c>
      <c r="J112" s="60" t="n">
        <f aca="false">J98+J84+J85+J75</f>
        <v>4362561.03636094</v>
      </c>
      <c r="K112" s="60" t="n">
        <f aca="false">K98+K84+K85+K75</f>
        <v>4302249.71864156</v>
      </c>
      <c r="L112" s="60" t="n">
        <f aca="false">L98+L84+L85+L75</f>
        <v>4249824.62921077</v>
      </c>
      <c r="M112" s="60" t="n">
        <f aca="false">M98+M84+M85+M75</f>
        <v>4198950.76565908</v>
      </c>
      <c r="N112" s="60" t="n">
        <f aca="false">N98+N84+N85+N75</f>
        <v>4130577.30529272</v>
      </c>
      <c r="O112" s="60" t="n">
        <f aca="false">O98+O84+O85+O75</f>
        <v>4069352.51373478</v>
      </c>
      <c r="P112" s="60" t="n">
        <f aca="false">P98+P84+P85+P75</f>
        <v>4009654.12696937</v>
      </c>
      <c r="Q112" s="60" t="n">
        <f aca="false">Q98+Q84+Q85+Q75</f>
        <v>3971887.86597611</v>
      </c>
      <c r="R112" s="60" t="n">
        <f aca="false">R98+R84+R85+R75</f>
        <v>3932691.58214383</v>
      </c>
      <c r="S112" s="60" t="n">
        <f aca="false">S98+S84+S85+S75</f>
        <v>3895458.43422482</v>
      </c>
      <c r="T112" s="60" t="n">
        <f aca="false">T98+T84+T85+T75</f>
        <v>3860116.98011587</v>
      </c>
      <c r="U112" s="60" t="n">
        <f aca="false">U98+U84+U85+U75</f>
        <v>3826598.63539791</v>
      </c>
      <c r="V112" s="60" t="n">
        <f aca="false">V98+V84+V85+V75</f>
        <v>3794837.55902864</v>
      </c>
      <c r="W112" s="60" t="n">
        <f aca="false">W98+W84+W85+W75</f>
        <v>3764770.54360745</v>
      </c>
      <c r="X112" s="60" t="n">
        <f aca="false">X98+X84+X85+X75</f>
        <v>3736336.91002974</v>
      </c>
      <c r="Y112" s="60" t="n">
        <f aca="false">Y98+Y84+Y85+Y75</f>
        <v>3709478.40635511</v>
      </c>
      <c r="Z112" s="60" t="n">
        <f aca="false">Z98+Z84+Z85+Z75</f>
        <v>3664170.4221112</v>
      </c>
      <c r="AA112" s="60" t="n">
        <f aca="false">AA98+AA84+AA85+AA75</f>
        <v>3626045.14285609</v>
      </c>
      <c r="AB112" s="60" t="n">
        <f aca="false">AB98+AB84+AB85+AB75</f>
        <v>3588656.79705764</v>
      </c>
      <c r="AC112" s="60" t="n">
        <f aca="false">AC98+AC84+AC85+AC75</f>
        <v>3572818.83719396</v>
      </c>
      <c r="AD112" s="60" t="n">
        <f aca="false">AD98+AD84+AD85+AD75</f>
        <v>3554213.86885226</v>
      </c>
      <c r="AE112" s="60" t="n">
        <f aca="false">AE98+AE84+AE85+AE75</f>
        <v>3536999.73177707</v>
      </c>
      <c r="AF112" s="60" t="n">
        <f aca="false">AF98+AF84+AF85+AF75</f>
        <v>3521127.87605106</v>
      </c>
      <c r="AG112" s="60" t="n">
        <f aca="false">AG98+AG84+AG85+AG75</f>
        <v>3506551.69375362</v>
      </c>
      <c r="AH112" s="60" t="n">
        <f aca="false">AH98+AH84+AH85+AH75</f>
        <v>3493226.44128091</v>
      </c>
      <c r="AI112" s="60" t="n">
        <f aca="false">AI98+AI84+AI85+AI75</f>
        <v>3481109.1647733</v>
      </c>
      <c r="AJ112" s="60" t="n">
        <f aca="false">AJ98+AJ84+AJ85+AJ75</f>
        <v>3470158.6285255</v>
      </c>
      <c r="AK112" s="60" t="n">
        <f aca="false">AK98+AK84+AK85+AK75</f>
        <v>3460335.24626046</v>
      </c>
      <c r="AL112" s="60" t="n">
        <f aca="false">AL98+AL84+AL85+AL75</f>
        <v>3431329.88023803</v>
      </c>
      <c r="AM112" s="60" t="n">
        <f aca="false">AM98+AM84+AM85+AM75</f>
        <v>3409550.302848</v>
      </c>
      <c r="AN112" s="60" t="n">
        <f aca="false">AN98+AN84+AN85+AN75</f>
        <v>3388006.94904798</v>
      </c>
      <c r="AO112" s="60" t="n">
        <f aca="false">AO98+AO84+AO85+AO75</f>
        <v>3387925.64508555</v>
      </c>
      <c r="AP112" s="60" t="n">
        <f aca="false">AP98+AP84+AP85+AP75</f>
        <v>3384158.11029087</v>
      </c>
      <c r="AQ112" s="60" t="n">
        <f aca="false">AQ98+AQ84+AQ85+AQ75</f>
        <v>3381429.60619282</v>
      </c>
      <c r="AR112" s="60" t="n">
        <f aca="false">AR98+AR84+AR85+AR75</f>
        <v>3379705.65489688</v>
      </c>
      <c r="AS112" s="60" t="n">
        <f aca="false">AS98+AS84+AS85+AS75</f>
        <v>3378953.15762429</v>
      </c>
      <c r="AT112" s="60" t="n">
        <f aca="false">AT98+AT84+AT85+AT75</f>
        <v>3379140.33954744</v>
      </c>
      <c r="AU112" s="60" t="n">
        <f aca="false">AU98+AU84+AU85+AU75</f>
        <v>3380236.69683185</v>
      </c>
      <c r="AV112" s="60" t="n">
        <f aca="false">AV98+AV84+AV85+AV75</f>
        <v>3382212.9457964</v>
      </c>
      <c r="AW112" s="60" t="n">
        <f aca="false">AW98+AW84+AW85+AW75</f>
        <v>3385040.97410721</v>
      </c>
      <c r="AX112" s="60" t="n">
        <f aca="false">AX98+AX84+AX85+AX75</f>
        <v>3368087.68862127</v>
      </c>
      <c r="AY112" s="60" t="n">
        <f aca="false">AY98+AY84+AY85+AY75</f>
        <v>3358430.26108487</v>
      </c>
      <c r="AZ112" s="60" t="n">
        <f aca="false">AZ98+AZ84+AZ85+AZ75</f>
        <v>3348688.4304323</v>
      </c>
      <c r="BA112" s="60" t="n">
        <f aca="false">BA98+BA84+BA85+BA75</f>
        <v>3360506.30600041</v>
      </c>
      <c r="BB112" s="60" t="n">
        <f aca="false">BB98+BB84+BB85+BB75</f>
        <v>3367976.3037845</v>
      </c>
      <c r="BC112" s="60" t="n">
        <f aca="false">BC98+BC84+BC85+BC75</f>
        <v>3376271.35986866</v>
      </c>
      <c r="BD112" s="60" t="n">
        <f aca="false">BD98+BD84+BD85+BD75</f>
        <v>3385365.55525423</v>
      </c>
      <c r="BE112" s="60" t="n">
        <f aca="false">BE98+BE84+BE85+BE75</f>
        <v>3395234.00770249</v>
      </c>
      <c r="BF112" s="60" t="n">
        <f aca="false">BF98+BF84+BF85+BF75</f>
        <v>3405852.83026426</v>
      </c>
      <c r="BG112" s="60" t="n">
        <f aca="false">BG98+BG84+BG85+BG75</f>
        <v>3417199.09146834</v>
      </c>
      <c r="BH112" s="60" t="n">
        <f aca="false">BH98+BH84+BH85+BH75</f>
        <v>3429250.77710236</v>
      </c>
      <c r="BI112" s="60" t="n">
        <f aca="false">BI98+BI84+BI85+BI75</f>
        <v>3441986.75352247</v>
      </c>
      <c r="BJ112" s="60" t="n">
        <f aca="false">BJ98+BJ84+BJ85+BJ75</f>
        <v>3434422.8680779</v>
      </c>
    </row>
    <row r="113" customFormat="false" ht="15" hidden="false" customHeight="false" outlineLevel="0" collapsed="false">
      <c r="A113" s="6" t="s">
        <v>94</v>
      </c>
      <c r="C113" s="53" t="n">
        <f aca="false">C86+C81</f>
        <v>3005893.28812158</v>
      </c>
      <c r="D113" s="53" t="n">
        <f aca="false">D86+D81</f>
        <v>2981692.87400527</v>
      </c>
      <c r="E113" s="53" t="n">
        <f aca="false">E86+E81</f>
        <v>2959230.69604747</v>
      </c>
      <c r="F113" s="53" t="n">
        <f aca="false">F86+F81</f>
        <v>2935301.41406782</v>
      </c>
      <c r="G113" s="53" t="n">
        <f aca="false">G86+G81</f>
        <v>2911398.93206752</v>
      </c>
      <c r="H113" s="53" t="n">
        <f aca="false">H86+H81</f>
        <v>2887522.17804741</v>
      </c>
      <c r="I113" s="53" t="n">
        <f aca="false">I86+I81</f>
        <v>2863670.12288826</v>
      </c>
      <c r="J113" s="53" t="n">
        <f aca="false">J86+J81</f>
        <v>2839841.77863565</v>
      </c>
      <c r="K113" s="53" t="n">
        <f aca="false">K86+K81</f>
        <v>2816036.1968533</v>
      </c>
      <c r="L113" s="53" t="n">
        <f aca="false">L86+L81</f>
        <v>2792252.46704242</v>
      </c>
      <c r="M113" s="53" t="n">
        <f aca="false">M86+M81</f>
        <v>2767701.74709072</v>
      </c>
      <c r="N113" s="53" t="n">
        <f aca="false">N86+N81</f>
        <v>2739809.63756301</v>
      </c>
      <c r="O113" s="53" t="n">
        <f aca="false">O86+O81</f>
        <v>2715532.13821213</v>
      </c>
      <c r="P113" s="53" t="n">
        <f aca="false">P86+P81</f>
        <v>2690834.03727437</v>
      </c>
      <c r="Q113" s="53" t="n">
        <f aca="false">Q86+Q81</f>
        <v>2669716.1869888</v>
      </c>
      <c r="R113" s="53" t="n">
        <f aca="false">R86+R81</f>
        <v>2645114.17620927</v>
      </c>
      <c r="S113" s="53" t="n">
        <f aca="false">S86+S81</f>
        <v>2620496.24586093</v>
      </c>
      <c r="T113" s="53" t="n">
        <f aca="false">T86+T81</f>
        <v>2595863.03272652</v>
      </c>
      <c r="U113" s="53" t="n">
        <f aca="false">U86+U81</f>
        <v>2571215.14811748</v>
      </c>
      <c r="V113" s="53" t="n">
        <f aca="false">V86+V81</f>
        <v>2546553.17889281</v>
      </c>
      <c r="W113" s="53" t="n">
        <f aca="false">W86+W81</f>
        <v>2521877.68843712</v>
      </c>
      <c r="X113" s="53" t="n">
        <f aca="false">X86+X81</f>
        <v>2497189.21759966</v>
      </c>
      <c r="Y113" s="53" t="n">
        <f aca="false">Y86+Y81</f>
        <v>2472488.2855957</v>
      </c>
      <c r="Z113" s="53" t="n">
        <f aca="false">Z86+Z81</f>
        <v>2443686.54591976</v>
      </c>
      <c r="AA113" s="53" t="n">
        <f aca="false">AA86+AA81</f>
        <v>2419398.25629915</v>
      </c>
      <c r="AB113" s="53" t="n">
        <f aca="false">AB86+AB81</f>
        <v>2394585.08364848</v>
      </c>
      <c r="AC113" s="53" t="n">
        <f aca="false">AC86+AC81</f>
        <v>2374078.212323</v>
      </c>
      <c r="AD113" s="53" t="n">
        <f aca="false">AD86+AD81</f>
        <v>2349351.53977844</v>
      </c>
      <c r="AE113" s="53" t="n">
        <f aca="false">AE86+AE81</f>
        <v>2324613.93413567</v>
      </c>
      <c r="AF113" s="53" t="n">
        <f aca="false">AF86+AF81</f>
        <v>2299865.83271861</v>
      </c>
      <c r="AG113" s="53" t="n">
        <f aca="false">AG86+AG81</f>
        <v>2275107.65535824</v>
      </c>
      <c r="AH113" s="53" t="n">
        <f aca="false">AH86+AH81</f>
        <v>2250339.80509228</v>
      </c>
      <c r="AI113" s="53" t="n">
        <f aca="false">AI86+AI81</f>
        <v>2225562.66883695</v>
      </c>
      <c r="AJ113" s="53" t="n">
        <f aca="false">AJ86+AJ81</f>
        <v>2200776.61803184</v>
      </c>
      <c r="AK113" s="53" t="n">
        <f aca="false">AK86+AK81</f>
        <v>2175982.00925894</v>
      </c>
      <c r="AL113" s="53" t="n">
        <f aca="false">AL86+AL81</f>
        <v>2146523.92564784</v>
      </c>
      <c r="AM113" s="53" t="n">
        <f aca="false">AM86+AM81</f>
        <v>2122240.51355335</v>
      </c>
      <c r="AN113" s="53" t="n">
        <f aca="false">AN86+AN81</f>
        <v>2097355.43844461</v>
      </c>
      <c r="AO113" s="53" t="n">
        <f aca="false">AO86+AO81</f>
        <v>2077320.95697627</v>
      </c>
      <c r="AP113" s="53" t="n">
        <f aca="false">AP86+AP81</f>
        <v>2052517.1258044</v>
      </c>
      <c r="AQ113" s="53" t="n">
        <f aca="false">AQ86+AQ81</f>
        <v>2027705.44787941</v>
      </c>
      <c r="AR113" s="53" t="n">
        <f aca="false">AR86+AR81</f>
        <v>2002886.23707142</v>
      </c>
      <c r="AS113" s="53" t="n">
        <f aca="false">AS86+AS81</f>
        <v>1978059.79469575</v>
      </c>
      <c r="AT113" s="53" t="n">
        <f aca="false">AT86+AT81</f>
        <v>1953226.4100151</v>
      </c>
      <c r="AU113" s="53" t="n">
        <f aca="false">AU86+AU81</f>
        <v>1928386.36072168</v>
      </c>
      <c r="AV113" s="53" t="n">
        <f aca="false">AV86+AV81</f>
        <v>1903539.9134</v>
      </c>
      <c r="AW113" s="53" t="n">
        <f aca="false">AW86+AW81</f>
        <v>1878687.32397118</v>
      </c>
      <c r="AX113" s="53" t="n">
        <f aca="false">AX86+AX81</f>
        <v>1848728.21219683</v>
      </c>
      <c r="AY113" s="53" t="n">
        <f aca="false">AY86+AY81</f>
        <v>1824460.21947979</v>
      </c>
      <c r="AZ113" s="53" t="n">
        <f aca="false">AZ86+AZ81</f>
        <v>1799530.50914782</v>
      </c>
      <c r="BA113" s="53" t="n">
        <f aca="false">BA86+BA81</f>
        <v>1779885.69993682</v>
      </c>
      <c r="BB113" s="53" t="n">
        <f aca="false">BB86+BB81</f>
        <v>1755034.74545485</v>
      </c>
      <c r="BC113" s="53" t="n">
        <f aca="false">BC86+BC81</f>
        <v>1730177.82915215</v>
      </c>
      <c r="BD113" s="53" t="n">
        <f aca="false">BD86+BD81</f>
        <v>1705315.18950156</v>
      </c>
      <c r="BE113" s="53" t="n">
        <f aca="false">BE86+BE81</f>
        <v>1680447.055437</v>
      </c>
      <c r="BF113" s="53" t="n">
        <f aca="false">BF86+BF81</f>
        <v>1655573.64673502</v>
      </c>
      <c r="BG113" s="53" t="n">
        <f aca="false">BG86+BG81</f>
        <v>1630695.17438112</v>
      </c>
      <c r="BH113" s="53" t="n">
        <f aca="false">BH86+BH81</f>
        <v>1605811.84092137</v>
      </c>
      <c r="BI113" s="53" t="n">
        <f aca="false">BI86+BI81</f>
        <v>1580923.84080001</v>
      </c>
      <c r="BJ113" s="53" t="n">
        <f aca="false">BJ86+BJ81</f>
        <v>1550556.90696284</v>
      </c>
    </row>
    <row r="114" customFormat="false" ht="15" hidden="false" customHeight="false" outlineLevel="0" collapsed="false">
      <c r="A114" s="6" t="s">
        <v>97</v>
      </c>
      <c r="C114" s="53" t="n">
        <f aca="false">C110+C111</f>
        <v>1997562.52336521</v>
      </c>
      <c r="D114" s="53" t="n">
        <f aca="false">D110+D111</f>
        <v>1900759.66323889</v>
      </c>
      <c r="E114" s="53" t="n">
        <f aca="false">E110+E111</f>
        <v>1819412.96589251</v>
      </c>
      <c r="F114" s="53" t="n">
        <f aca="false">F110+F111</f>
        <v>1745236.98729417</v>
      </c>
      <c r="G114" s="53" t="n">
        <f aca="false">G110+G111</f>
        <v>1678359.44803153</v>
      </c>
      <c r="H114" s="53" t="n">
        <f aca="false">H110+H111</f>
        <v>1618902.95986874</v>
      </c>
      <c r="I114" s="53" t="n">
        <f aca="false">I110+I111</f>
        <v>1566985.23009938</v>
      </c>
      <c r="J114" s="53" t="n">
        <f aca="false">J110+J111</f>
        <v>1522719.2577253</v>
      </c>
      <c r="K114" s="53" t="n">
        <f aca="false">K110+K111</f>
        <v>1486213.52178826</v>
      </c>
      <c r="L114" s="53" t="n">
        <f aca="false">L110+L111</f>
        <v>1457572.16216835</v>
      </c>
      <c r="M114" s="53" t="n">
        <f aca="false">M110+M111</f>
        <v>1431249.01856836</v>
      </c>
      <c r="N114" s="53" t="n">
        <f aca="false">N110+N111</f>
        <v>1390767.66772971</v>
      </c>
      <c r="O114" s="53" t="n">
        <f aca="false">O110+O111</f>
        <v>1353820.37552265</v>
      </c>
      <c r="P114" s="53" t="n">
        <f aca="false">P110+P111</f>
        <v>1318820.089695</v>
      </c>
      <c r="Q114" s="53" t="n">
        <f aca="false">Q110+Q111</f>
        <v>1302171.67898731</v>
      </c>
      <c r="R114" s="53" t="n">
        <f aca="false">R110+R111</f>
        <v>1287577.40593456</v>
      </c>
      <c r="S114" s="53" t="n">
        <f aca="false">S110+S111</f>
        <v>1274962.18836389</v>
      </c>
      <c r="T114" s="53" t="n">
        <f aca="false">T110+T111</f>
        <v>1264253.94738935</v>
      </c>
      <c r="U114" s="53" t="n">
        <f aca="false">U110+U111</f>
        <v>1255383.48728043</v>
      </c>
      <c r="V114" s="53" t="n">
        <f aca="false">V110+V111</f>
        <v>1248284.38013584</v>
      </c>
      <c r="W114" s="53" t="n">
        <f aca="false">W110+W111</f>
        <v>1242892.85517033</v>
      </c>
      <c r="X114" s="53" t="n">
        <f aca="false">X110+X111</f>
        <v>1239147.69243008</v>
      </c>
      <c r="Y114" s="53" t="n">
        <f aca="false">Y110+Y111</f>
        <v>1236990.12075941</v>
      </c>
      <c r="Z114" s="53" t="n">
        <f aca="false">Z110+Z111</f>
        <v>1220483.87619144</v>
      </c>
      <c r="AA114" s="53" t="n">
        <f aca="false">AA110+AA111</f>
        <v>1206646.88655695</v>
      </c>
      <c r="AB114" s="53" t="n">
        <f aca="false">AB110+AB111</f>
        <v>1194071.71340917</v>
      </c>
      <c r="AC114" s="53" t="n">
        <f aca="false">AC110+AC111</f>
        <v>1198740.62487097</v>
      </c>
      <c r="AD114" s="53" t="n">
        <f aca="false">AD110+AD111</f>
        <v>1204862.32907382</v>
      </c>
      <c r="AE114" s="53" t="n">
        <f aca="false">AE110+AE111</f>
        <v>1212385.79764139</v>
      </c>
      <c r="AF114" s="53" t="n">
        <f aca="false">AF110+AF111</f>
        <v>1221262.04333245</v>
      </c>
      <c r="AG114" s="53" t="n">
        <f aca="false">AG110+AG111</f>
        <v>1231444.03839538</v>
      </c>
      <c r="AH114" s="53" t="n">
        <f aca="false">AH110+AH111</f>
        <v>1242886.63618864</v>
      </c>
      <c r="AI114" s="53" t="n">
        <f aca="false">AI110+AI111</f>
        <v>1255546.49593634</v>
      </c>
      <c r="AJ114" s="53" t="n">
        <f aca="false">AJ110+AJ111</f>
        <v>1269382.01049366</v>
      </c>
      <c r="AK114" s="53" t="n">
        <f aca="false">AK110+AK111</f>
        <v>1284353.23700153</v>
      </c>
      <c r="AL114" s="53" t="n">
        <f aca="false">AL110+AL111</f>
        <v>1284805.9545902</v>
      </c>
      <c r="AM114" s="53" t="n">
        <f aca="false">AM110+AM111</f>
        <v>1287309.78929466</v>
      </c>
      <c r="AN114" s="53" t="n">
        <f aca="false">AN110+AN111</f>
        <v>1290651.51060337</v>
      </c>
      <c r="AO114" s="53" t="n">
        <f aca="false">AO110+AO111</f>
        <v>1310604.68810928</v>
      </c>
      <c r="AP114" s="53" t="n">
        <f aca="false">AP110+AP111</f>
        <v>1331640.98448646</v>
      </c>
      <c r="AQ114" s="53" t="n">
        <f aca="false">AQ110+AQ111</f>
        <v>1353724.15831341</v>
      </c>
      <c r="AR114" s="53" t="n">
        <f aca="false">AR110+AR111</f>
        <v>1376819.41782546</v>
      </c>
      <c r="AS114" s="53" t="n">
        <f aca="false">AS110+AS111</f>
        <v>1400893.36292854</v>
      </c>
      <c r="AT114" s="53" t="n">
        <f aca="false">AT110+AT111</f>
        <v>1425913.92953234</v>
      </c>
      <c r="AU114" s="53" t="n">
        <f aca="false">AU110+AU111</f>
        <v>1451850.33611017</v>
      </c>
      <c r="AV114" s="53" t="n">
        <f aca="false">AV110+AV111</f>
        <v>1478673.0323964</v>
      </c>
      <c r="AW114" s="53" t="n">
        <f aca="false">AW110+AW111</f>
        <v>1506353.65013603</v>
      </c>
      <c r="AX114" s="53" t="n">
        <f aca="false">AX110+AX111</f>
        <v>1519359.47642444</v>
      </c>
      <c r="AY114" s="53" t="n">
        <f aca="false">AY110+AY111</f>
        <v>1533970.04160507</v>
      </c>
      <c r="AZ114" s="53" t="n">
        <f aca="false">AZ110+AZ111</f>
        <v>1549157.92128448</v>
      </c>
      <c r="BA114" s="53" t="n">
        <f aca="false">BA110+BA111</f>
        <v>1580620.60606359</v>
      </c>
      <c r="BB114" s="53" t="n">
        <f aca="false">BB110+BB111</f>
        <v>1612941.55832965</v>
      </c>
      <c r="BC114" s="53" t="n">
        <f aca="false">BC110+BC111</f>
        <v>1646093.53071651</v>
      </c>
      <c r="BD114" s="53" t="n">
        <f aca="false">BD110+BD111</f>
        <v>1680050.36575267</v>
      </c>
      <c r="BE114" s="53" t="n">
        <f aca="false">BE110+BE111</f>
        <v>1714786.95226549</v>
      </c>
      <c r="BF114" s="53" t="n">
        <f aca="false">BF110+BF111</f>
        <v>1750279.18352924</v>
      </c>
      <c r="BG114" s="53" t="n">
        <f aca="false">BG110+BG111</f>
        <v>1786503.91708722</v>
      </c>
      <c r="BH114" s="53" t="n">
        <f aca="false">BH110+BH111</f>
        <v>1823438.93618099</v>
      </c>
      <c r="BI114" s="53" t="n">
        <f aca="false">BI110+BI111</f>
        <v>1861062.91272246</v>
      </c>
      <c r="BJ114" s="53" t="n">
        <f aca="false">BJ110+BJ111</f>
        <v>1883865.96111507</v>
      </c>
    </row>
    <row r="115" customFormat="false" ht="15" hidden="false" customHeight="false" outlineLevel="0" collapsed="false">
      <c r="A115" s="4" t="s">
        <v>98</v>
      </c>
      <c r="C115" s="60" t="n">
        <f aca="false">C113+C114</f>
        <v>5003455.8114868</v>
      </c>
      <c r="D115" s="60" t="n">
        <f aca="false">D113+D114</f>
        <v>4882452.53724416</v>
      </c>
      <c r="E115" s="60" t="n">
        <f aca="false">E113+E114</f>
        <v>4778643.66193998</v>
      </c>
      <c r="F115" s="60" t="n">
        <f aca="false">F113+F114</f>
        <v>4680538.40136199</v>
      </c>
      <c r="G115" s="60" t="n">
        <f aca="false">G113+G114</f>
        <v>4589758.38009905</v>
      </c>
      <c r="H115" s="60" t="n">
        <f aca="false">H113+H114</f>
        <v>4506425.13791614</v>
      </c>
      <c r="I115" s="60" t="n">
        <f aca="false">I113+I114</f>
        <v>4430655.35298764</v>
      </c>
      <c r="J115" s="60" t="n">
        <f aca="false">J113+J114</f>
        <v>4362561.03636094</v>
      </c>
      <c r="K115" s="60" t="n">
        <f aca="false">K113+K114</f>
        <v>4302249.71864156</v>
      </c>
      <c r="L115" s="60" t="n">
        <f aca="false">L113+L114</f>
        <v>4249824.62921077</v>
      </c>
      <c r="M115" s="60" t="n">
        <f aca="false">M113+M114</f>
        <v>4198950.76565908</v>
      </c>
      <c r="N115" s="60" t="n">
        <f aca="false">N113+N114</f>
        <v>4130577.30529272</v>
      </c>
      <c r="O115" s="60" t="n">
        <f aca="false">O113+O114</f>
        <v>4069352.51373478</v>
      </c>
      <c r="P115" s="60" t="n">
        <f aca="false">P113+P114</f>
        <v>4009654.12696937</v>
      </c>
      <c r="Q115" s="60" t="n">
        <f aca="false">Q113+Q114</f>
        <v>3971887.86597611</v>
      </c>
      <c r="R115" s="60" t="n">
        <f aca="false">R113+R114</f>
        <v>3932691.58214383</v>
      </c>
      <c r="S115" s="60" t="n">
        <f aca="false">S113+S114</f>
        <v>3895458.43422482</v>
      </c>
      <c r="T115" s="60" t="n">
        <f aca="false">T113+T114</f>
        <v>3860116.98011587</v>
      </c>
      <c r="U115" s="60" t="n">
        <f aca="false">U113+U114</f>
        <v>3826598.63539791</v>
      </c>
      <c r="V115" s="60" t="n">
        <f aca="false">V113+V114</f>
        <v>3794837.55902864</v>
      </c>
      <c r="W115" s="60" t="n">
        <f aca="false">W113+W114</f>
        <v>3764770.54360745</v>
      </c>
      <c r="X115" s="60" t="n">
        <f aca="false">X113+X114</f>
        <v>3736336.91002974</v>
      </c>
      <c r="Y115" s="60" t="n">
        <f aca="false">Y113+Y114</f>
        <v>3709478.40635511</v>
      </c>
      <c r="Z115" s="60" t="n">
        <f aca="false">Z113+Z114</f>
        <v>3664170.4221112</v>
      </c>
      <c r="AA115" s="60" t="n">
        <f aca="false">AA113+AA114</f>
        <v>3626045.14285609</v>
      </c>
      <c r="AB115" s="60" t="n">
        <f aca="false">AB113+AB114</f>
        <v>3588656.79705764</v>
      </c>
      <c r="AC115" s="60" t="n">
        <f aca="false">AC113+AC114</f>
        <v>3572818.83719397</v>
      </c>
      <c r="AD115" s="60" t="n">
        <f aca="false">AD113+AD114</f>
        <v>3554213.86885226</v>
      </c>
      <c r="AE115" s="60" t="n">
        <f aca="false">AE113+AE114</f>
        <v>3536999.73177707</v>
      </c>
      <c r="AF115" s="60" t="n">
        <f aca="false">AF113+AF114</f>
        <v>3521127.87605106</v>
      </c>
      <c r="AG115" s="60" t="n">
        <f aca="false">AG113+AG114</f>
        <v>3506551.69375362</v>
      </c>
      <c r="AH115" s="60" t="n">
        <f aca="false">AH113+AH114</f>
        <v>3493226.44128091</v>
      </c>
      <c r="AI115" s="60" t="n">
        <f aca="false">AI113+AI114</f>
        <v>3481109.1647733</v>
      </c>
      <c r="AJ115" s="60" t="n">
        <f aca="false">AJ113+AJ114</f>
        <v>3470158.6285255</v>
      </c>
      <c r="AK115" s="60" t="n">
        <f aca="false">AK113+AK114</f>
        <v>3460335.24626046</v>
      </c>
      <c r="AL115" s="60" t="n">
        <f aca="false">AL113+AL114</f>
        <v>3431329.88023803</v>
      </c>
      <c r="AM115" s="60" t="n">
        <f aca="false">AM113+AM114</f>
        <v>3409550.302848</v>
      </c>
      <c r="AN115" s="60" t="n">
        <f aca="false">AN113+AN114</f>
        <v>3388006.94904798</v>
      </c>
      <c r="AO115" s="60" t="n">
        <f aca="false">AO113+AO114</f>
        <v>3387925.64508555</v>
      </c>
      <c r="AP115" s="60" t="n">
        <f aca="false">AP113+AP114</f>
        <v>3384158.11029087</v>
      </c>
      <c r="AQ115" s="60" t="n">
        <f aca="false">AQ113+AQ114</f>
        <v>3381429.60619282</v>
      </c>
      <c r="AR115" s="60" t="n">
        <f aca="false">AR113+AR114</f>
        <v>3379705.65489688</v>
      </c>
      <c r="AS115" s="60" t="n">
        <f aca="false">AS113+AS114</f>
        <v>3378953.15762429</v>
      </c>
      <c r="AT115" s="60" t="n">
        <f aca="false">AT113+AT114</f>
        <v>3379140.33954744</v>
      </c>
      <c r="AU115" s="60" t="n">
        <f aca="false">AU113+AU114</f>
        <v>3380236.69683185</v>
      </c>
      <c r="AV115" s="60" t="n">
        <f aca="false">AV113+AV114</f>
        <v>3382212.9457964</v>
      </c>
      <c r="AW115" s="60" t="n">
        <f aca="false">AW113+AW114</f>
        <v>3385040.97410721</v>
      </c>
      <c r="AX115" s="60" t="n">
        <f aca="false">AX113+AX114</f>
        <v>3368087.68862127</v>
      </c>
      <c r="AY115" s="60" t="n">
        <f aca="false">AY113+AY114</f>
        <v>3358430.26108486</v>
      </c>
      <c r="AZ115" s="60" t="n">
        <f aca="false">AZ113+AZ114</f>
        <v>3348688.4304323</v>
      </c>
      <c r="BA115" s="60" t="n">
        <f aca="false">BA113+BA114</f>
        <v>3360506.30600041</v>
      </c>
      <c r="BB115" s="60" t="n">
        <f aca="false">BB113+BB114</f>
        <v>3367976.3037845</v>
      </c>
      <c r="BC115" s="60" t="n">
        <f aca="false">BC113+BC114</f>
        <v>3376271.35986866</v>
      </c>
      <c r="BD115" s="60" t="n">
        <f aca="false">BD113+BD114</f>
        <v>3385365.55525423</v>
      </c>
      <c r="BE115" s="60" t="n">
        <f aca="false">BE113+BE114</f>
        <v>3395234.00770249</v>
      </c>
      <c r="BF115" s="60" t="n">
        <f aca="false">BF113+BF114</f>
        <v>3405852.83026426</v>
      </c>
      <c r="BG115" s="60" t="n">
        <f aca="false">BG113+BG114</f>
        <v>3417199.09146834</v>
      </c>
      <c r="BH115" s="60" t="n">
        <f aca="false">BH113+BH114</f>
        <v>3429250.77710236</v>
      </c>
      <c r="BI115" s="60" t="n">
        <f aca="false">BI113+BI114</f>
        <v>3441986.75352247</v>
      </c>
      <c r="BJ115" s="60" t="n">
        <f aca="false">BJ113+BJ114</f>
        <v>3434422.8680779</v>
      </c>
    </row>
    <row r="116" customFormat="false" ht="15" hidden="false" customHeight="false" outlineLevel="0" collapsed="false">
      <c r="A116" s="6" t="s">
        <v>439</v>
      </c>
      <c r="C116" s="53" t="n">
        <f aca="false">C112-C115</f>
        <v>0</v>
      </c>
      <c r="D116" s="53" t="n">
        <f aca="false">D112-D115</f>
        <v>0</v>
      </c>
      <c r="E116" s="53" t="n">
        <f aca="false">E112-E115</f>
        <v>0</v>
      </c>
      <c r="F116" s="53" t="n">
        <f aca="false">F112-F115</f>
        <v>0</v>
      </c>
      <c r="G116" s="53" t="n">
        <f aca="false">G112-G115</f>
        <v>0</v>
      </c>
      <c r="H116" s="53" t="n">
        <f aca="false">H112-H115</f>
        <v>0</v>
      </c>
      <c r="I116" s="53" t="n">
        <f aca="false">I112-I115</f>
        <v>0</v>
      </c>
      <c r="J116" s="53" t="n">
        <f aca="false">J112-J115</f>
        <v>0</v>
      </c>
      <c r="K116" s="53" t="n">
        <f aca="false">K112-K115</f>
        <v>0</v>
      </c>
      <c r="L116" s="53" t="n">
        <f aca="false">L112-L115</f>
        <v>0</v>
      </c>
      <c r="M116" s="53" t="n">
        <f aca="false">M112-M115</f>
        <v>0</v>
      </c>
      <c r="N116" s="53" t="n">
        <f aca="false">N112-N115</f>
        <v>0</v>
      </c>
      <c r="O116" s="53" t="n">
        <f aca="false">O112-O115</f>
        <v>0</v>
      </c>
      <c r="P116" s="53" t="n">
        <f aca="false">P112-P115</f>
        <v>0</v>
      </c>
      <c r="Q116" s="53" t="n">
        <f aca="false">Q112-Q115</f>
        <v>0</v>
      </c>
      <c r="R116" s="53" t="n">
        <f aca="false">R112-R115</f>
        <v>0</v>
      </c>
      <c r="S116" s="53" t="n">
        <f aca="false">S112-S115</f>
        <v>0</v>
      </c>
      <c r="T116" s="53" t="n">
        <f aca="false">T112-T115</f>
        <v>0</v>
      </c>
      <c r="U116" s="53" t="n">
        <f aca="false">U112-U115</f>
        <v>0</v>
      </c>
      <c r="V116" s="53" t="n">
        <f aca="false">V112-V115</f>
        <v>0</v>
      </c>
      <c r="W116" s="53" t="n">
        <f aca="false">W112-W115</f>
        <v>0</v>
      </c>
      <c r="X116" s="53" t="n">
        <f aca="false">X112-X115</f>
        <v>0</v>
      </c>
      <c r="Y116" s="53" t="n">
        <f aca="false">Y112-Y115</f>
        <v>0</v>
      </c>
      <c r="Z116" s="53" t="n">
        <f aca="false">Z112-Z115</f>
        <v>0</v>
      </c>
      <c r="AA116" s="53" t="n">
        <f aca="false">AA112-AA115</f>
        <v>0</v>
      </c>
      <c r="AB116" s="53" t="n">
        <f aca="false">AB112-AB115</f>
        <v>0</v>
      </c>
      <c r="AC116" s="53" t="n">
        <f aca="false">AC112-AC115</f>
        <v>0</v>
      </c>
      <c r="AD116" s="53" t="n">
        <f aca="false">AD112-AD115</f>
        <v>0</v>
      </c>
      <c r="AE116" s="53" t="n">
        <f aca="false">AE112-AE115</f>
        <v>0</v>
      </c>
      <c r="AF116" s="53" t="n">
        <f aca="false">AF112-AF115</f>
        <v>0</v>
      </c>
      <c r="AG116" s="53" t="n">
        <f aca="false">AG112-AG115</f>
        <v>0</v>
      </c>
      <c r="AH116" s="53" t="n">
        <f aca="false">AH112-AH115</f>
        <v>0</v>
      </c>
      <c r="AI116" s="53" t="n">
        <f aca="false">AI112-AI115</f>
        <v>0</v>
      </c>
      <c r="AJ116" s="53" t="n">
        <f aca="false">AJ112-AJ115</f>
        <v>0</v>
      </c>
      <c r="AK116" s="53" t="n">
        <f aca="false">AK112-AK115</f>
        <v>0</v>
      </c>
      <c r="AL116" s="53" t="n">
        <f aca="false">AL112-AL115</f>
        <v>0</v>
      </c>
      <c r="AM116" s="53" t="n">
        <f aca="false">AM112-AM115</f>
        <v>0</v>
      </c>
      <c r="AN116" s="53" t="n">
        <f aca="false">AN112-AN115</f>
        <v>0</v>
      </c>
      <c r="AO116" s="53" t="n">
        <f aca="false">AO112-AO115</f>
        <v>0</v>
      </c>
      <c r="AP116" s="53" t="n">
        <f aca="false">AP112-AP115</f>
        <v>0</v>
      </c>
      <c r="AQ116" s="53" t="n">
        <f aca="false">AQ112-AQ115</f>
        <v>0</v>
      </c>
      <c r="AR116" s="53" t="n">
        <f aca="false">AR112-AR115</f>
        <v>0</v>
      </c>
      <c r="AS116" s="53" t="n">
        <f aca="false">AS112-AS115</f>
        <v>0</v>
      </c>
      <c r="AT116" s="53" t="n">
        <f aca="false">AT112-AT115</f>
        <v>0</v>
      </c>
      <c r="AU116" s="53" t="n">
        <f aca="false">AU112-AU115</f>
        <v>0</v>
      </c>
      <c r="AV116" s="53" t="n">
        <f aca="false">AV112-AV115</f>
        <v>0</v>
      </c>
      <c r="AW116" s="53" t="n">
        <f aca="false">AW112-AW115</f>
        <v>0</v>
      </c>
      <c r="AX116" s="53" t="n">
        <f aca="false">AX112-AX115</f>
        <v>0</v>
      </c>
      <c r="AY116" s="53" t="n">
        <f aca="false">AY112-AY115</f>
        <v>0</v>
      </c>
      <c r="AZ116" s="53" t="n">
        <f aca="false">AZ112-AZ115</f>
        <v>0</v>
      </c>
      <c r="BA116" s="53" t="n">
        <f aca="false">BA112-BA115</f>
        <v>0</v>
      </c>
      <c r="BB116" s="53" t="n">
        <f aca="false">BB112-BB115</f>
        <v>0</v>
      </c>
      <c r="BC116" s="53" t="n">
        <f aca="false">BC112-BC115</f>
        <v>0</v>
      </c>
      <c r="BD116" s="53" t="n">
        <f aca="false">BD112-BD115</f>
        <v>0</v>
      </c>
      <c r="BE116" s="53" t="n">
        <f aca="false">BE112-BE115</f>
        <v>0</v>
      </c>
      <c r="BF116" s="53" t="n">
        <f aca="false">BF112-BF115</f>
        <v>0</v>
      </c>
      <c r="BG116" s="53" t="n">
        <f aca="false">BG112-BG115</f>
        <v>0</v>
      </c>
      <c r="BH116" s="53" t="n">
        <f aca="false">BH112-BH115</f>
        <v>0</v>
      </c>
      <c r="BI116" s="53" t="n">
        <f aca="false">BI112-BI115</f>
        <v>0</v>
      </c>
      <c r="BJ116" s="53" t="n">
        <f aca="false">BJ112-BJ115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324</v>
      </c>
    </row>
    <row r="3" customFormat="false" ht="15" hidden="false" customHeight="false" outlineLevel="0" collapsed="false">
      <c r="A3" s="33" t="s">
        <v>325</v>
      </c>
      <c r="C3" s="59" t="s">
        <v>326</v>
      </c>
      <c r="D3" s="59" t="s">
        <v>327</v>
      </c>
      <c r="E3" s="59" t="s">
        <v>328</v>
      </c>
      <c r="F3" s="59" t="s">
        <v>329</v>
      </c>
      <c r="G3" s="59" t="s">
        <v>330</v>
      </c>
      <c r="H3" s="59" t="s">
        <v>331</v>
      </c>
      <c r="I3" s="59" t="s">
        <v>332</v>
      </c>
      <c r="J3" s="59" t="s">
        <v>333</v>
      </c>
      <c r="K3" s="59" t="s">
        <v>334</v>
      </c>
      <c r="L3" s="59" t="s">
        <v>335</v>
      </c>
      <c r="M3" s="59" t="s">
        <v>336</v>
      </c>
      <c r="N3" s="59" t="s">
        <v>337</v>
      </c>
      <c r="O3" s="59" t="s">
        <v>338</v>
      </c>
      <c r="P3" s="59" t="s">
        <v>339</v>
      </c>
      <c r="Q3" s="59" t="s">
        <v>340</v>
      </c>
      <c r="R3" s="59" t="s">
        <v>341</v>
      </c>
      <c r="S3" s="59" t="s">
        <v>342</v>
      </c>
      <c r="T3" s="59" t="s">
        <v>343</v>
      </c>
      <c r="U3" s="59" t="s">
        <v>344</v>
      </c>
      <c r="V3" s="59" t="s">
        <v>345</v>
      </c>
      <c r="W3" s="59" t="s">
        <v>346</v>
      </c>
      <c r="X3" s="59" t="s">
        <v>347</v>
      </c>
      <c r="Y3" s="59" t="s">
        <v>348</v>
      </c>
      <c r="Z3" s="59" t="s">
        <v>349</v>
      </c>
      <c r="AA3" s="59" t="s">
        <v>350</v>
      </c>
      <c r="AB3" s="59" t="s">
        <v>351</v>
      </c>
      <c r="AC3" s="59" t="s">
        <v>352</v>
      </c>
      <c r="AD3" s="59" t="s">
        <v>353</v>
      </c>
      <c r="AE3" s="59" t="s">
        <v>354</v>
      </c>
      <c r="AF3" s="59" t="s">
        <v>355</v>
      </c>
      <c r="AG3" s="59" t="s">
        <v>356</v>
      </c>
      <c r="AH3" s="59" t="s">
        <v>357</v>
      </c>
      <c r="AI3" s="59" t="s">
        <v>358</v>
      </c>
      <c r="AJ3" s="59" t="s">
        <v>359</v>
      </c>
      <c r="AK3" s="59" t="s">
        <v>360</v>
      </c>
      <c r="AL3" s="59" t="s">
        <v>361</v>
      </c>
      <c r="AM3" s="59" t="s">
        <v>362</v>
      </c>
      <c r="AN3" s="59" t="s">
        <v>363</v>
      </c>
      <c r="AO3" s="59" t="s">
        <v>364</v>
      </c>
      <c r="AP3" s="59" t="s">
        <v>365</v>
      </c>
      <c r="AQ3" s="59" t="s">
        <v>366</v>
      </c>
      <c r="AR3" s="59" t="s">
        <v>367</v>
      </c>
      <c r="AS3" s="59" t="s">
        <v>368</v>
      </c>
      <c r="AT3" s="59" t="s">
        <v>369</v>
      </c>
      <c r="AU3" s="59" t="s">
        <v>370</v>
      </c>
      <c r="AV3" s="59" t="s">
        <v>371</v>
      </c>
      <c r="AW3" s="59" t="s">
        <v>372</v>
      </c>
      <c r="AX3" s="59" t="s">
        <v>373</v>
      </c>
      <c r="AY3" s="59" t="s">
        <v>374</v>
      </c>
      <c r="AZ3" s="59" t="s">
        <v>375</v>
      </c>
      <c r="BA3" s="59" t="s">
        <v>376</v>
      </c>
      <c r="BB3" s="59" t="s">
        <v>377</v>
      </c>
      <c r="BC3" s="59" t="s">
        <v>378</v>
      </c>
      <c r="BD3" s="59" t="s">
        <v>379</v>
      </c>
      <c r="BE3" s="59" t="s">
        <v>380</v>
      </c>
      <c r="BF3" s="59" t="s">
        <v>381</v>
      </c>
      <c r="BG3" s="59" t="s">
        <v>382</v>
      </c>
      <c r="BH3" s="59" t="s">
        <v>383</v>
      </c>
      <c r="BI3" s="59" t="s">
        <v>384</v>
      </c>
      <c r="BJ3" s="59" t="s">
        <v>385</v>
      </c>
    </row>
    <row r="4" customFormat="false" ht="15" hidden="false" customHeight="false" outlineLevel="0" collapsed="false">
      <c r="A4" s="58" t="s">
        <v>386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122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441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442</v>
      </c>
      <c r="C8" s="103" t="n">
        <f aca="false">Inputs!$E$55*(1+Inputs!$E$57)^(C$5-1)*MAX(0,MIN(1,C$4*1-Inputs!$E$58+1))/1</f>
        <v>1</v>
      </c>
      <c r="D8" s="103" t="n">
        <f aca="false">Inputs!$E$55*(1+Inputs!$E$57)^(D$5-1)*MAX(0,MIN(1,D$4*1-Inputs!$E$58+1))/1</f>
        <v>1</v>
      </c>
      <c r="E8" s="103" t="n">
        <f aca="false">Inputs!$E$55*(1+Inputs!$E$57)^(E$5-1)*MAX(0,MIN(1,E$4*1-Inputs!$E$58+1))/1</f>
        <v>1</v>
      </c>
      <c r="F8" s="103" t="n">
        <f aca="false">Inputs!$E$55*(1+Inputs!$E$57)^(F$5-1)*MAX(0,MIN(1,F$4*1-Inputs!$E$58+1))/1</f>
        <v>1</v>
      </c>
      <c r="G8" s="103" t="n">
        <f aca="false">Inputs!$E$55*(1+Inputs!$E$57)^(G$5-1)*MAX(0,MIN(1,G$4*1-Inputs!$E$58+1))/1</f>
        <v>1</v>
      </c>
      <c r="H8" s="103" t="n">
        <f aca="false">Inputs!$E$55*(1+Inputs!$E$57)^(H$5-1)*MAX(0,MIN(1,H$4*1-Inputs!$E$58+1))/1</f>
        <v>1</v>
      </c>
      <c r="I8" s="103" t="n">
        <f aca="false">Inputs!$E$55*(1+Inputs!$E$57)^(I$5-1)*MAX(0,MIN(1,I$4*1-Inputs!$E$58+1))/1</f>
        <v>1</v>
      </c>
      <c r="J8" s="103" t="n">
        <f aca="false">Inputs!$E$55*(1+Inputs!$E$57)^(J$5-1)*MAX(0,MIN(1,J$4*1-Inputs!$E$58+1))/1</f>
        <v>1</v>
      </c>
      <c r="K8" s="103" t="n">
        <f aca="false">Inputs!$E$55*(1+Inputs!$E$57)^(K$5-1)*MAX(0,MIN(1,K$4*1-Inputs!$E$58+1))/1</f>
        <v>1</v>
      </c>
      <c r="L8" s="103" t="n">
        <f aca="false">Inputs!$E$55*(1+Inputs!$E$57)^(L$5-1)*MAX(0,MIN(1,L$4*1-Inputs!$E$58+1))/1</f>
        <v>1</v>
      </c>
      <c r="M8" s="103" t="n">
        <f aca="false">Inputs!$E$55*(1+Inputs!$E$57)^(M$5-1)*MAX(0,MIN(1,M$4*1-Inputs!$E$58+1))/1</f>
        <v>1</v>
      </c>
      <c r="N8" s="103" t="n">
        <f aca="false">Inputs!$E$55*(1+Inputs!$E$57)^(N$5-1)*MAX(0,MIN(1,N$4*1-Inputs!$E$58+1))/1</f>
        <v>1</v>
      </c>
      <c r="O8" s="103" t="n">
        <f aca="false">Inputs!$E$55*(1+Inputs!$E$57)^(O$5-1)*MAX(0,MIN(1,O$4*1-Inputs!$E$58+1))/1</f>
        <v>1</v>
      </c>
      <c r="P8" s="103" t="n">
        <f aca="false">Inputs!$E$55*(1+Inputs!$E$57)^(P$5-1)*MAX(0,MIN(1,P$4*1-Inputs!$E$58+1))/1</f>
        <v>1</v>
      </c>
      <c r="Q8" s="103" t="n">
        <f aca="false">Inputs!$E$55*(1+Inputs!$E$57)^(Q$5-1)*MAX(0,MIN(1,Q$4*1-Inputs!$E$58+1))/1</f>
        <v>1</v>
      </c>
      <c r="R8" s="103" t="n">
        <f aca="false">Inputs!$E$55*(1+Inputs!$E$57)^(R$5-1)*MAX(0,MIN(1,R$4*1-Inputs!$E$58+1))/1</f>
        <v>1</v>
      </c>
      <c r="S8" s="103" t="n">
        <f aca="false">Inputs!$E$55*(1+Inputs!$E$57)^(S$5-1)*MAX(0,MIN(1,S$4*1-Inputs!$E$58+1))/1</f>
        <v>1</v>
      </c>
      <c r="T8" s="103" t="n">
        <f aca="false">Inputs!$E$55*(1+Inputs!$E$57)^(T$5-1)*MAX(0,MIN(1,T$4*1-Inputs!$E$58+1))/1</f>
        <v>1</v>
      </c>
      <c r="U8" s="103" t="n">
        <f aca="false">Inputs!$E$55*(1+Inputs!$E$57)^(U$5-1)*MAX(0,MIN(1,U$4*1-Inputs!$E$58+1))/1</f>
        <v>1</v>
      </c>
      <c r="V8" s="103" t="n">
        <f aca="false">Inputs!$E$55*(1+Inputs!$E$57)^(V$5-1)*MAX(0,MIN(1,V$4*1-Inputs!$E$58+1))/1</f>
        <v>1</v>
      </c>
      <c r="W8" s="103" t="n">
        <f aca="false">Inputs!$E$55*(1+Inputs!$E$57)^(W$5-1)*MAX(0,MIN(1,W$4*1-Inputs!$E$58+1))/1</f>
        <v>1</v>
      </c>
      <c r="X8" s="103" t="n">
        <f aca="false">Inputs!$E$55*(1+Inputs!$E$57)^(X$5-1)*MAX(0,MIN(1,X$4*1-Inputs!$E$58+1))/1</f>
        <v>1</v>
      </c>
      <c r="Y8" s="103" t="n">
        <f aca="false">Inputs!$E$55*(1+Inputs!$E$57)^(Y$5-1)*MAX(0,MIN(1,Y$4*1-Inputs!$E$58+1))/1</f>
        <v>1</v>
      </c>
      <c r="Z8" s="103" t="n">
        <f aca="false">Inputs!$E$55*(1+Inputs!$E$57)^(Z$5-1)*MAX(0,MIN(1,Z$4*1-Inputs!$E$58+1))/1</f>
        <v>1</v>
      </c>
      <c r="AA8" s="103" t="n">
        <f aca="false">Inputs!$E$55*(1+Inputs!$E$57)^(AA$5-1)*MAX(0,MIN(1,AA$4*1-Inputs!$E$58+1))/1</f>
        <v>1</v>
      </c>
      <c r="AB8" s="103" t="n">
        <f aca="false">Inputs!$E$55*(1+Inputs!$E$57)^(AB$5-1)*MAX(0,MIN(1,AB$4*1-Inputs!$E$58+1))/1</f>
        <v>1</v>
      </c>
      <c r="AC8" s="103" t="n">
        <f aca="false">Inputs!$E$55*(1+Inputs!$E$57)^(AC$5-1)*MAX(0,MIN(1,AC$4*1-Inputs!$E$58+1))/1</f>
        <v>1</v>
      </c>
      <c r="AD8" s="103" t="n">
        <f aca="false">Inputs!$E$55*(1+Inputs!$E$57)^(AD$5-1)*MAX(0,MIN(1,AD$4*1-Inputs!$E$58+1))/1</f>
        <v>1</v>
      </c>
      <c r="AE8" s="103" t="n">
        <f aca="false">Inputs!$E$55*(1+Inputs!$E$57)^(AE$5-1)*MAX(0,MIN(1,AE$4*1-Inputs!$E$58+1))/1</f>
        <v>1</v>
      </c>
      <c r="AF8" s="103" t="n">
        <f aca="false">Inputs!$E$55*(1+Inputs!$E$57)^(AF$5-1)*MAX(0,MIN(1,AF$4*1-Inputs!$E$58+1))/1</f>
        <v>1</v>
      </c>
      <c r="AG8" s="103" t="n">
        <f aca="false">Inputs!$E$55*(1+Inputs!$E$57)^(AG$5-1)*MAX(0,MIN(1,AG$4*1-Inputs!$E$58+1))/1</f>
        <v>1</v>
      </c>
      <c r="AH8" s="103" t="n">
        <f aca="false">Inputs!$E$55*(1+Inputs!$E$57)^(AH$5-1)*MAX(0,MIN(1,AH$4*1-Inputs!$E$58+1))/1</f>
        <v>1</v>
      </c>
      <c r="AI8" s="103" t="n">
        <f aca="false">Inputs!$E$55*(1+Inputs!$E$57)^(AI$5-1)*MAX(0,MIN(1,AI$4*1-Inputs!$E$58+1))/1</f>
        <v>1</v>
      </c>
      <c r="AJ8" s="103" t="n">
        <f aca="false">Inputs!$E$55*(1+Inputs!$E$57)^(AJ$5-1)*MAX(0,MIN(1,AJ$4*1-Inputs!$E$58+1))/1</f>
        <v>1</v>
      </c>
      <c r="AK8" s="103" t="n">
        <f aca="false">Inputs!$E$55*(1+Inputs!$E$57)^(AK$5-1)*MAX(0,MIN(1,AK$4*1-Inputs!$E$58+1))/1</f>
        <v>1</v>
      </c>
      <c r="AL8" s="103" t="n">
        <f aca="false">Inputs!$E$55*(1+Inputs!$E$57)^(AL$5-1)*MAX(0,MIN(1,AL$4*1-Inputs!$E$58+1))/1</f>
        <v>1</v>
      </c>
      <c r="AM8" s="103" t="n">
        <f aca="false">Inputs!$E$55*(1+Inputs!$E$57)^(AM$5-1)*MAX(0,MIN(1,AM$4*1-Inputs!$E$58+1))/1</f>
        <v>1</v>
      </c>
      <c r="AN8" s="103" t="n">
        <f aca="false">Inputs!$E$55*(1+Inputs!$E$57)^(AN$5-1)*MAX(0,MIN(1,AN$4*1-Inputs!$E$58+1))/1</f>
        <v>1</v>
      </c>
      <c r="AO8" s="103" t="n">
        <f aca="false">Inputs!$E$55*(1+Inputs!$E$57)^(AO$5-1)*MAX(0,MIN(1,AO$4*1-Inputs!$E$58+1))/1</f>
        <v>1</v>
      </c>
      <c r="AP8" s="103" t="n">
        <f aca="false">Inputs!$E$55*(1+Inputs!$E$57)^(AP$5-1)*MAX(0,MIN(1,AP$4*1-Inputs!$E$58+1))/1</f>
        <v>1</v>
      </c>
      <c r="AQ8" s="103" t="n">
        <f aca="false">Inputs!$E$55*(1+Inputs!$E$57)^(AQ$5-1)*MAX(0,MIN(1,AQ$4*1-Inputs!$E$58+1))/1</f>
        <v>1</v>
      </c>
      <c r="AR8" s="103" t="n">
        <f aca="false">Inputs!$E$55*(1+Inputs!$E$57)^(AR$5-1)*MAX(0,MIN(1,AR$4*1-Inputs!$E$58+1))/1</f>
        <v>1</v>
      </c>
      <c r="AS8" s="103" t="n">
        <f aca="false">Inputs!$E$55*(1+Inputs!$E$57)^(AS$5-1)*MAX(0,MIN(1,AS$4*1-Inputs!$E$58+1))/1</f>
        <v>1</v>
      </c>
      <c r="AT8" s="103" t="n">
        <f aca="false">Inputs!$E$55*(1+Inputs!$E$57)^(AT$5-1)*MAX(0,MIN(1,AT$4*1-Inputs!$E$58+1))/1</f>
        <v>1</v>
      </c>
      <c r="AU8" s="103" t="n">
        <f aca="false">Inputs!$E$55*(1+Inputs!$E$57)^(AU$5-1)*MAX(0,MIN(1,AU$4*1-Inputs!$E$58+1))/1</f>
        <v>1</v>
      </c>
      <c r="AV8" s="103" t="n">
        <f aca="false">Inputs!$E$55*(1+Inputs!$E$57)^(AV$5-1)*MAX(0,MIN(1,AV$4*1-Inputs!$E$58+1))/1</f>
        <v>1</v>
      </c>
      <c r="AW8" s="103" t="n">
        <f aca="false">Inputs!$E$55*(1+Inputs!$E$57)^(AW$5-1)*MAX(0,MIN(1,AW$4*1-Inputs!$E$58+1))/1</f>
        <v>1</v>
      </c>
      <c r="AX8" s="103" t="n">
        <f aca="false">Inputs!$E$55*(1+Inputs!$E$57)^(AX$5-1)*MAX(0,MIN(1,AX$4*1-Inputs!$E$58+1))/1</f>
        <v>1</v>
      </c>
      <c r="AY8" s="103" t="n">
        <f aca="false">Inputs!$E$55*(1+Inputs!$E$57)^(AY$5-1)*MAX(0,MIN(1,AY$4*1-Inputs!$E$58+1))/1</f>
        <v>1</v>
      </c>
      <c r="AZ8" s="103" t="n">
        <f aca="false">Inputs!$E$55*(1+Inputs!$E$57)^(AZ$5-1)*MAX(0,MIN(1,AZ$4*1-Inputs!$E$58+1))/1</f>
        <v>1</v>
      </c>
      <c r="BA8" s="103" t="n">
        <f aca="false">Inputs!$E$55*(1+Inputs!$E$57)^(BA$5-1)*MAX(0,MIN(1,BA$4*1-Inputs!$E$58+1))/1</f>
        <v>1</v>
      </c>
      <c r="BB8" s="103" t="n">
        <f aca="false">Inputs!$E$55*(1+Inputs!$E$57)^(BB$5-1)*MAX(0,MIN(1,BB$4*1-Inputs!$E$58+1))/1</f>
        <v>1</v>
      </c>
      <c r="BC8" s="103" t="n">
        <f aca="false">Inputs!$E$55*(1+Inputs!$E$57)^(BC$5-1)*MAX(0,MIN(1,BC$4*1-Inputs!$E$58+1))/1</f>
        <v>1</v>
      </c>
      <c r="BD8" s="103" t="n">
        <f aca="false">Inputs!$E$55*(1+Inputs!$E$57)^(BD$5-1)*MAX(0,MIN(1,BD$4*1-Inputs!$E$58+1))/1</f>
        <v>1</v>
      </c>
      <c r="BE8" s="103" t="n">
        <f aca="false">Inputs!$E$55*(1+Inputs!$E$57)^(BE$5-1)*MAX(0,MIN(1,BE$4*1-Inputs!$E$58+1))/1</f>
        <v>1</v>
      </c>
      <c r="BF8" s="103" t="n">
        <f aca="false">Inputs!$E$55*(1+Inputs!$E$57)^(BF$5-1)*MAX(0,MIN(1,BF$4*1-Inputs!$E$58+1))/1</f>
        <v>1</v>
      </c>
      <c r="BG8" s="103" t="n">
        <f aca="false">Inputs!$E$55*(1+Inputs!$E$57)^(BG$5-1)*MAX(0,MIN(1,BG$4*1-Inputs!$E$58+1))/1</f>
        <v>1</v>
      </c>
      <c r="BH8" s="103" t="n">
        <f aca="false">Inputs!$E$55*(1+Inputs!$E$57)^(BH$5-1)*MAX(0,MIN(1,BH$4*1-Inputs!$E$58+1))/1</f>
        <v>1</v>
      </c>
      <c r="BI8" s="103" t="n">
        <f aca="false">Inputs!$E$55*(1+Inputs!$E$57)^(BI$5-1)*MAX(0,MIN(1,BI$4*1-Inputs!$E$58+1))/1</f>
        <v>1</v>
      </c>
      <c r="BJ8" s="103" t="n">
        <f aca="false">Inputs!$E$55*(1+Inputs!$E$57)^(BJ$5-1)*MAX(0,MIN(1,BJ$4*1-Inputs!$E$58+1))/1</f>
        <v>1</v>
      </c>
    </row>
    <row r="9" customFormat="false" ht="15" hidden="false" customHeight="false" outlineLevel="0" collapsed="false">
      <c r="A9" s="6" t="s">
        <v>443</v>
      </c>
      <c r="C9" s="103" t="n">
        <f aca="false">Inputs!$E$59*(1+Inputs!$E$61)^(C$5-1)*MAX(0,MIN(1,C$4*1-Inputs!$E$62+1))/1</f>
        <v>10</v>
      </c>
      <c r="D9" s="103" t="n">
        <f aca="false">Inputs!$E$59*(1+Inputs!$E$61)^(D$5-1)*MAX(0,MIN(1,D$4*1-Inputs!$E$62+1))/1</f>
        <v>10</v>
      </c>
      <c r="E9" s="103" t="n">
        <f aca="false">Inputs!$E$59*(1+Inputs!$E$61)^(E$5-1)*MAX(0,MIN(1,E$4*1-Inputs!$E$62+1))/1</f>
        <v>10</v>
      </c>
      <c r="F9" s="103" t="n">
        <f aca="false">Inputs!$E$59*(1+Inputs!$E$61)^(F$5-1)*MAX(0,MIN(1,F$4*1-Inputs!$E$62+1))/1</f>
        <v>10</v>
      </c>
      <c r="G9" s="103" t="n">
        <f aca="false">Inputs!$E$59*(1+Inputs!$E$61)^(G$5-1)*MAX(0,MIN(1,G$4*1-Inputs!$E$62+1))/1</f>
        <v>10</v>
      </c>
      <c r="H9" s="103" t="n">
        <f aca="false">Inputs!$E$59*(1+Inputs!$E$61)^(H$5-1)*MAX(0,MIN(1,H$4*1-Inputs!$E$62+1))/1</f>
        <v>10</v>
      </c>
      <c r="I9" s="103" t="n">
        <f aca="false">Inputs!$E$59*(1+Inputs!$E$61)^(I$5-1)*MAX(0,MIN(1,I$4*1-Inputs!$E$62+1))/1</f>
        <v>10</v>
      </c>
      <c r="J9" s="103" t="n">
        <f aca="false">Inputs!$E$59*(1+Inputs!$E$61)^(J$5-1)*MAX(0,MIN(1,J$4*1-Inputs!$E$62+1))/1</f>
        <v>10</v>
      </c>
      <c r="K9" s="103" t="n">
        <f aca="false">Inputs!$E$59*(1+Inputs!$E$61)^(K$5-1)*MAX(0,MIN(1,K$4*1-Inputs!$E$62+1))/1</f>
        <v>10</v>
      </c>
      <c r="L9" s="103" t="n">
        <f aca="false">Inputs!$E$59*(1+Inputs!$E$61)^(L$5-1)*MAX(0,MIN(1,L$4*1-Inputs!$E$62+1))/1</f>
        <v>10</v>
      </c>
      <c r="M9" s="103" t="n">
        <f aca="false">Inputs!$E$59*(1+Inputs!$E$61)^(M$5-1)*MAX(0,MIN(1,M$4*1-Inputs!$E$62+1))/1</f>
        <v>10</v>
      </c>
      <c r="N9" s="103" t="n">
        <f aca="false">Inputs!$E$59*(1+Inputs!$E$61)^(N$5-1)*MAX(0,MIN(1,N$4*1-Inputs!$E$62+1))/1</f>
        <v>10</v>
      </c>
      <c r="O9" s="103" t="n">
        <f aca="false">Inputs!$E$59*(1+Inputs!$E$61)^(O$5-1)*MAX(0,MIN(1,O$4*1-Inputs!$E$62+1))/1</f>
        <v>10</v>
      </c>
      <c r="P9" s="103" t="n">
        <f aca="false">Inputs!$E$59*(1+Inputs!$E$61)^(P$5-1)*MAX(0,MIN(1,P$4*1-Inputs!$E$62+1))/1</f>
        <v>10</v>
      </c>
      <c r="Q9" s="103" t="n">
        <f aca="false">Inputs!$E$59*(1+Inputs!$E$61)^(Q$5-1)*MAX(0,MIN(1,Q$4*1-Inputs!$E$62+1))/1</f>
        <v>10</v>
      </c>
      <c r="R9" s="103" t="n">
        <f aca="false">Inputs!$E$59*(1+Inputs!$E$61)^(R$5-1)*MAX(0,MIN(1,R$4*1-Inputs!$E$62+1))/1</f>
        <v>10</v>
      </c>
      <c r="S9" s="103" t="n">
        <f aca="false">Inputs!$E$59*(1+Inputs!$E$61)^(S$5-1)*MAX(0,MIN(1,S$4*1-Inputs!$E$62+1))/1</f>
        <v>10</v>
      </c>
      <c r="T9" s="103" t="n">
        <f aca="false">Inputs!$E$59*(1+Inputs!$E$61)^(T$5-1)*MAX(0,MIN(1,T$4*1-Inputs!$E$62+1))/1</f>
        <v>10</v>
      </c>
      <c r="U9" s="103" t="n">
        <f aca="false">Inputs!$E$59*(1+Inputs!$E$61)^(U$5-1)*MAX(0,MIN(1,U$4*1-Inputs!$E$62+1))/1</f>
        <v>10</v>
      </c>
      <c r="V9" s="103" t="n">
        <f aca="false">Inputs!$E$59*(1+Inputs!$E$61)^(V$5-1)*MAX(0,MIN(1,V$4*1-Inputs!$E$62+1))/1</f>
        <v>10</v>
      </c>
      <c r="W9" s="103" t="n">
        <f aca="false">Inputs!$E$59*(1+Inputs!$E$61)^(W$5-1)*MAX(0,MIN(1,W$4*1-Inputs!$E$62+1))/1</f>
        <v>10</v>
      </c>
      <c r="X9" s="103" t="n">
        <f aca="false">Inputs!$E$59*(1+Inputs!$E$61)^(X$5-1)*MAX(0,MIN(1,X$4*1-Inputs!$E$62+1))/1</f>
        <v>10</v>
      </c>
      <c r="Y9" s="103" t="n">
        <f aca="false">Inputs!$E$59*(1+Inputs!$E$61)^(Y$5-1)*MAX(0,MIN(1,Y$4*1-Inputs!$E$62+1))/1</f>
        <v>10</v>
      </c>
      <c r="Z9" s="103" t="n">
        <f aca="false">Inputs!$E$59*(1+Inputs!$E$61)^(Z$5-1)*MAX(0,MIN(1,Z$4*1-Inputs!$E$62+1))/1</f>
        <v>10</v>
      </c>
      <c r="AA9" s="103" t="n">
        <f aca="false">Inputs!$E$59*(1+Inputs!$E$61)^(AA$5-1)*MAX(0,MIN(1,AA$4*1-Inputs!$E$62+1))/1</f>
        <v>10</v>
      </c>
      <c r="AB9" s="103" t="n">
        <f aca="false">Inputs!$E$59*(1+Inputs!$E$61)^(AB$5-1)*MAX(0,MIN(1,AB$4*1-Inputs!$E$62+1))/1</f>
        <v>10</v>
      </c>
      <c r="AC9" s="103" t="n">
        <f aca="false">Inputs!$E$59*(1+Inputs!$E$61)^(AC$5-1)*MAX(0,MIN(1,AC$4*1-Inputs!$E$62+1))/1</f>
        <v>10</v>
      </c>
      <c r="AD9" s="103" t="n">
        <f aca="false">Inputs!$E$59*(1+Inputs!$E$61)^(AD$5-1)*MAX(0,MIN(1,AD$4*1-Inputs!$E$62+1))/1</f>
        <v>10</v>
      </c>
      <c r="AE9" s="103" t="n">
        <f aca="false">Inputs!$E$59*(1+Inputs!$E$61)^(AE$5-1)*MAX(0,MIN(1,AE$4*1-Inputs!$E$62+1))/1</f>
        <v>10</v>
      </c>
      <c r="AF9" s="103" t="n">
        <f aca="false">Inputs!$E$59*(1+Inputs!$E$61)^(AF$5-1)*MAX(0,MIN(1,AF$4*1-Inputs!$E$62+1))/1</f>
        <v>10</v>
      </c>
      <c r="AG9" s="103" t="n">
        <f aca="false">Inputs!$E$59*(1+Inputs!$E$61)^(AG$5-1)*MAX(0,MIN(1,AG$4*1-Inputs!$E$62+1))/1</f>
        <v>10</v>
      </c>
      <c r="AH9" s="103" t="n">
        <f aca="false">Inputs!$E$59*(1+Inputs!$E$61)^(AH$5-1)*MAX(0,MIN(1,AH$4*1-Inputs!$E$62+1))/1</f>
        <v>10</v>
      </c>
      <c r="AI9" s="103" t="n">
        <f aca="false">Inputs!$E$59*(1+Inputs!$E$61)^(AI$5-1)*MAX(0,MIN(1,AI$4*1-Inputs!$E$62+1))/1</f>
        <v>10</v>
      </c>
      <c r="AJ9" s="103" t="n">
        <f aca="false">Inputs!$E$59*(1+Inputs!$E$61)^(AJ$5-1)*MAX(0,MIN(1,AJ$4*1-Inputs!$E$62+1))/1</f>
        <v>10</v>
      </c>
      <c r="AK9" s="103" t="n">
        <f aca="false">Inputs!$E$59*(1+Inputs!$E$61)^(AK$5-1)*MAX(0,MIN(1,AK$4*1-Inputs!$E$62+1))/1</f>
        <v>10</v>
      </c>
      <c r="AL9" s="103" t="n">
        <f aca="false">Inputs!$E$59*(1+Inputs!$E$61)^(AL$5-1)*MAX(0,MIN(1,AL$4*1-Inputs!$E$62+1))/1</f>
        <v>10</v>
      </c>
      <c r="AM9" s="103" t="n">
        <f aca="false">Inputs!$E$59*(1+Inputs!$E$61)^(AM$5-1)*MAX(0,MIN(1,AM$4*1-Inputs!$E$62+1))/1</f>
        <v>10</v>
      </c>
      <c r="AN9" s="103" t="n">
        <f aca="false">Inputs!$E$59*(1+Inputs!$E$61)^(AN$5-1)*MAX(0,MIN(1,AN$4*1-Inputs!$E$62+1))/1</f>
        <v>10</v>
      </c>
      <c r="AO9" s="103" t="n">
        <f aca="false">Inputs!$E$59*(1+Inputs!$E$61)^(AO$5-1)*MAX(0,MIN(1,AO$4*1-Inputs!$E$62+1))/1</f>
        <v>10</v>
      </c>
      <c r="AP9" s="103" t="n">
        <f aca="false">Inputs!$E$59*(1+Inputs!$E$61)^(AP$5-1)*MAX(0,MIN(1,AP$4*1-Inputs!$E$62+1))/1</f>
        <v>10</v>
      </c>
      <c r="AQ9" s="103" t="n">
        <f aca="false">Inputs!$E$59*(1+Inputs!$E$61)^(AQ$5-1)*MAX(0,MIN(1,AQ$4*1-Inputs!$E$62+1))/1</f>
        <v>10</v>
      </c>
      <c r="AR9" s="103" t="n">
        <f aca="false">Inputs!$E$59*(1+Inputs!$E$61)^(AR$5-1)*MAX(0,MIN(1,AR$4*1-Inputs!$E$62+1))/1</f>
        <v>10</v>
      </c>
      <c r="AS9" s="103" t="n">
        <f aca="false">Inputs!$E$59*(1+Inputs!$E$61)^(AS$5-1)*MAX(0,MIN(1,AS$4*1-Inputs!$E$62+1))/1</f>
        <v>10</v>
      </c>
      <c r="AT9" s="103" t="n">
        <f aca="false">Inputs!$E$59*(1+Inputs!$E$61)^(AT$5-1)*MAX(0,MIN(1,AT$4*1-Inputs!$E$62+1))/1</f>
        <v>10</v>
      </c>
      <c r="AU9" s="103" t="n">
        <f aca="false">Inputs!$E$59*(1+Inputs!$E$61)^(AU$5-1)*MAX(0,MIN(1,AU$4*1-Inputs!$E$62+1))/1</f>
        <v>10</v>
      </c>
      <c r="AV9" s="103" t="n">
        <f aca="false">Inputs!$E$59*(1+Inputs!$E$61)^(AV$5-1)*MAX(0,MIN(1,AV$4*1-Inputs!$E$62+1))/1</f>
        <v>10</v>
      </c>
      <c r="AW9" s="103" t="n">
        <f aca="false">Inputs!$E$59*(1+Inputs!$E$61)^(AW$5-1)*MAX(0,MIN(1,AW$4*1-Inputs!$E$62+1))/1</f>
        <v>10</v>
      </c>
      <c r="AX9" s="103" t="n">
        <f aca="false">Inputs!$E$59*(1+Inputs!$E$61)^(AX$5-1)*MAX(0,MIN(1,AX$4*1-Inputs!$E$62+1))/1</f>
        <v>10</v>
      </c>
      <c r="AY9" s="103" t="n">
        <f aca="false">Inputs!$E$59*(1+Inputs!$E$61)^(AY$5-1)*MAX(0,MIN(1,AY$4*1-Inputs!$E$62+1))/1</f>
        <v>10</v>
      </c>
      <c r="AZ9" s="103" t="n">
        <f aca="false">Inputs!$E$59*(1+Inputs!$E$61)^(AZ$5-1)*MAX(0,MIN(1,AZ$4*1-Inputs!$E$62+1))/1</f>
        <v>10</v>
      </c>
      <c r="BA9" s="103" t="n">
        <f aca="false">Inputs!$E$59*(1+Inputs!$E$61)^(BA$5-1)*MAX(0,MIN(1,BA$4*1-Inputs!$E$62+1))/1</f>
        <v>10</v>
      </c>
      <c r="BB9" s="103" t="n">
        <f aca="false">Inputs!$E$59*(1+Inputs!$E$61)^(BB$5-1)*MAX(0,MIN(1,BB$4*1-Inputs!$E$62+1))/1</f>
        <v>10</v>
      </c>
      <c r="BC9" s="103" t="n">
        <f aca="false">Inputs!$E$59*(1+Inputs!$E$61)^(BC$5-1)*MAX(0,MIN(1,BC$4*1-Inputs!$E$62+1))/1</f>
        <v>10</v>
      </c>
      <c r="BD9" s="103" t="n">
        <f aca="false">Inputs!$E$59*(1+Inputs!$E$61)^(BD$5-1)*MAX(0,MIN(1,BD$4*1-Inputs!$E$62+1))/1</f>
        <v>10</v>
      </c>
      <c r="BE9" s="103" t="n">
        <f aca="false">Inputs!$E$59*(1+Inputs!$E$61)^(BE$5-1)*MAX(0,MIN(1,BE$4*1-Inputs!$E$62+1))/1</f>
        <v>10</v>
      </c>
      <c r="BF9" s="103" t="n">
        <f aca="false">Inputs!$E$59*(1+Inputs!$E$61)^(BF$5-1)*MAX(0,MIN(1,BF$4*1-Inputs!$E$62+1))/1</f>
        <v>10</v>
      </c>
      <c r="BG9" s="103" t="n">
        <f aca="false">Inputs!$E$59*(1+Inputs!$E$61)^(BG$5-1)*MAX(0,MIN(1,BG$4*1-Inputs!$E$62+1))/1</f>
        <v>10</v>
      </c>
      <c r="BH9" s="103" t="n">
        <f aca="false">Inputs!$E$59*(1+Inputs!$E$61)^(BH$5-1)*MAX(0,MIN(1,BH$4*1-Inputs!$E$62+1))/1</f>
        <v>10</v>
      </c>
      <c r="BI9" s="103" t="n">
        <f aca="false">Inputs!$E$59*(1+Inputs!$E$61)^(BI$5-1)*MAX(0,MIN(1,BI$4*1-Inputs!$E$62+1))/1</f>
        <v>10</v>
      </c>
      <c r="BJ9" s="103" t="n">
        <f aca="false">Inputs!$E$59*(1+Inputs!$E$61)^(BJ$5-1)*MAX(0,MIN(1,BJ$4*1-Inputs!$E$62+1))/1</f>
        <v>10</v>
      </c>
    </row>
    <row r="10" customFormat="false" ht="15" hidden="false" customHeight="false" outlineLevel="0" collapsed="false">
      <c r="A10" s="99" t="s">
        <v>444</v>
      </c>
      <c r="C10" s="109" t="n">
        <f aca="false">C8+C9</f>
        <v>11</v>
      </c>
      <c r="D10" s="109" t="n">
        <f aca="false">D8+D9</f>
        <v>11</v>
      </c>
      <c r="E10" s="109" t="n">
        <f aca="false">E8+E9</f>
        <v>11</v>
      </c>
      <c r="F10" s="109" t="n">
        <f aca="false">F8+F9</f>
        <v>11</v>
      </c>
      <c r="G10" s="109" t="n">
        <f aca="false">G8+G9</f>
        <v>11</v>
      </c>
      <c r="H10" s="109" t="n">
        <f aca="false">H8+H9</f>
        <v>11</v>
      </c>
      <c r="I10" s="109" t="n">
        <f aca="false">I8+I9</f>
        <v>11</v>
      </c>
      <c r="J10" s="109" t="n">
        <f aca="false">J8+J9</f>
        <v>11</v>
      </c>
      <c r="K10" s="109" t="n">
        <f aca="false">K8+K9</f>
        <v>11</v>
      </c>
      <c r="L10" s="109" t="n">
        <f aca="false">L8+L9</f>
        <v>11</v>
      </c>
      <c r="M10" s="109" t="n">
        <f aca="false">M8+M9</f>
        <v>11</v>
      </c>
      <c r="N10" s="109" t="n">
        <f aca="false">N8+N9</f>
        <v>11</v>
      </c>
      <c r="O10" s="109" t="n">
        <f aca="false">O8+O9</f>
        <v>11</v>
      </c>
      <c r="P10" s="109" t="n">
        <f aca="false">P8+P9</f>
        <v>11</v>
      </c>
      <c r="Q10" s="109" t="n">
        <f aca="false">Q8+Q9</f>
        <v>11</v>
      </c>
      <c r="R10" s="109" t="n">
        <f aca="false">R8+R9</f>
        <v>11</v>
      </c>
      <c r="S10" s="109" t="n">
        <f aca="false">S8+S9</f>
        <v>11</v>
      </c>
      <c r="T10" s="109" t="n">
        <f aca="false">T8+T9</f>
        <v>11</v>
      </c>
      <c r="U10" s="109" t="n">
        <f aca="false">U8+U9</f>
        <v>11</v>
      </c>
      <c r="V10" s="109" t="n">
        <f aca="false">V8+V9</f>
        <v>11</v>
      </c>
      <c r="W10" s="109" t="n">
        <f aca="false">W8+W9</f>
        <v>11</v>
      </c>
      <c r="X10" s="109" t="n">
        <f aca="false">X8+X9</f>
        <v>11</v>
      </c>
      <c r="Y10" s="109" t="n">
        <f aca="false">Y8+Y9</f>
        <v>11</v>
      </c>
      <c r="Z10" s="109" t="n">
        <f aca="false">Z8+Z9</f>
        <v>11</v>
      </c>
      <c r="AA10" s="109" t="n">
        <f aca="false">AA8+AA9</f>
        <v>11</v>
      </c>
      <c r="AB10" s="109" t="n">
        <f aca="false">AB8+AB9</f>
        <v>11</v>
      </c>
      <c r="AC10" s="109" t="n">
        <f aca="false">AC8+AC9</f>
        <v>11</v>
      </c>
      <c r="AD10" s="109" t="n">
        <f aca="false">AD8+AD9</f>
        <v>11</v>
      </c>
      <c r="AE10" s="109" t="n">
        <f aca="false">AE8+AE9</f>
        <v>11</v>
      </c>
      <c r="AF10" s="109" t="n">
        <f aca="false">AF8+AF9</f>
        <v>11</v>
      </c>
      <c r="AG10" s="109" t="n">
        <f aca="false">AG8+AG9</f>
        <v>11</v>
      </c>
      <c r="AH10" s="109" t="n">
        <f aca="false">AH8+AH9</f>
        <v>11</v>
      </c>
      <c r="AI10" s="109" t="n">
        <f aca="false">AI8+AI9</f>
        <v>11</v>
      </c>
      <c r="AJ10" s="109" t="n">
        <f aca="false">AJ8+AJ9</f>
        <v>11</v>
      </c>
      <c r="AK10" s="109" t="n">
        <f aca="false">AK8+AK9</f>
        <v>11</v>
      </c>
      <c r="AL10" s="109" t="n">
        <f aca="false">AL8+AL9</f>
        <v>11</v>
      </c>
      <c r="AM10" s="109" t="n">
        <f aca="false">AM8+AM9</f>
        <v>11</v>
      </c>
      <c r="AN10" s="109" t="n">
        <f aca="false">AN8+AN9</f>
        <v>11</v>
      </c>
      <c r="AO10" s="109" t="n">
        <f aca="false">AO8+AO9</f>
        <v>11</v>
      </c>
      <c r="AP10" s="109" t="n">
        <f aca="false">AP8+AP9</f>
        <v>11</v>
      </c>
      <c r="AQ10" s="109" t="n">
        <f aca="false">AQ8+AQ9</f>
        <v>11</v>
      </c>
      <c r="AR10" s="109" t="n">
        <f aca="false">AR8+AR9</f>
        <v>11</v>
      </c>
      <c r="AS10" s="109" t="n">
        <f aca="false">AS8+AS9</f>
        <v>11</v>
      </c>
      <c r="AT10" s="109" t="n">
        <f aca="false">AT8+AT9</f>
        <v>11</v>
      </c>
      <c r="AU10" s="109" t="n">
        <f aca="false">AU8+AU9</f>
        <v>11</v>
      </c>
      <c r="AV10" s="109" t="n">
        <f aca="false">AV8+AV9</f>
        <v>11</v>
      </c>
      <c r="AW10" s="109" t="n">
        <f aca="false">AW8+AW9</f>
        <v>11</v>
      </c>
      <c r="AX10" s="109" t="n">
        <f aca="false">AX8+AX9</f>
        <v>11</v>
      </c>
      <c r="AY10" s="109" t="n">
        <f aca="false">AY8+AY9</f>
        <v>11</v>
      </c>
      <c r="AZ10" s="109" t="n">
        <f aca="false">AZ8+AZ9</f>
        <v>11</v>
      </c>
      <c r="BA10" s="109" t="n">
        <f aca="false">BA8+BA9</f>
        <v>11</v>
      </c>
      <c r="BB10" s="109" t="n">
        <f aca="false">BB8+BB9</f>
        <v>11</v>
      </c>
      <c r="BC10" s="109" t="n">
        <f aca="false">BC8+BC9</f>
        <v>11</v>
      </c>
      <c r="BD10" s="109" t="n">
        <f aca="false">BD8+BD9</f>
        <v>11</v>
      </c>
      <c r="BE10" s="109" t="n">
        <f aca="false">BE8+BE9</f>
        <v>11</v>
      </c>
      <c r="BF10" s="109" t="n">
        <f aca="false">BF8+BF9</f>
        <v>11</v>
      </c>
      <c r="BG10" s="109" t="n">
        <f aca="false">BG8+BG9</f>
        <v>11</v>
      </c>
      <c r="BH10" s="109" t="n">
        <f aca="false">BH8+BH9</f>
        <v>11</v>
      </c>
      <c r="BI10" s="109" t="n">
        <f aca="false">BI8+BI9</f>
        <v>11</v>
      </c>
      <c r="BJ10" s="109" t="n">
        <f aca="false">BJ8+BJ9</f>
        <v>11</v>
      </c>
    </row>
    <row r="12" customFormat="false" ht="15.75" hidden="false" customHeight="true" outlineLevel="0" collapsed="false">
      <c r="A12" s="7" t="s">
        <v>445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446</v>
      </c>
      <c r="C13" s="53" t="n">
        <f aca="false">-C8*Inputs!$E$56/12*1*(1+Inputs!$E$63)*(1+Inputs!$E$64)^(C$5-1)</f>
        <v>-6720</v>
      </c>
      <c r="D13" s="53" t="n">
        <f aca="false">-D8*Inputs!$E$56/12*1*(1+Inputs!$E$63)*(1+Inputs!$E$64)^(D$5-1)</f>
        <v>-6720</v>
      </c>
      <c r="E13" s="53" t="n">
        <f aca="false">-E8*Inputs!$E$56/12*1*(1+Inputs!$E$63)*(1+Inputs!$E$64)^(E$5-1)</f>
        <v>-6720</v>
      </c>
      <c r="F13" s="53" t="n">
        <f aca="false">-F8*Inputs!$E$56/12*1*(1+Inputs!$E$63)*(1+Inputs!$E$64)^(F$5-1)</f>
        <v>-6720</v>
      </c>
      <c r="G13" s="53" t="n">
        <f aca="false">-G8*Inputs!$E$56/12*1*(1+Inputs!$E$63)*(1+Inputs!$E$64)^(G$5-1)</f>
        <v>-6720</v>
      </c>
      <c r="H13" s="53" t="n">
        <f aca="false">-H8*Inputs!$E$56/12*1*(1+Inputs!$E$63)*(1+Inputs!$E$64)^(H$5-1)</f>
        <v>-6720</v>
      </c>
      <c r="I13" s="53" t="n">
        <f aca="false">-I8*Inputs!$E$56/12*1*(1+Inputs!$E$63)*(1+Inputs!$E$64)^(I$5-1)</f>
        <v>-6720</v>
      </c>
      <c r="J13" s="53" t="n">
        <f aca="false">-J8*Inputs!$E$56/12*1*(1+Inputs!$E$63)*(1+Inputs!$E$64)^(J$5-1)</f>
        <v>-6720</v>
      </c>
      <c r="K13" s="53" t="n">
        <f aca="false">-K8*Inputs!$E$56/12*1*(1+Inputs!$E$63)*(1+Inputs!$E$64)^(K$5-1)</f>
        <v>-6720</v>
      </c>
      <c r="L13" s="53" t="n">
        <f aca="false">-L8*Inputs!$E$56/12*1*(1+Inputs!$E$63)*(1+Inputs!$E$64)^(L$5-1)</f>
        <v>-6720</v>
      </c>
      <c r="M13" s="53" t="n">
        <f aca="false">-M8*Inputs!$E$56/12*1*(1+Inputs!$E$63)*(1+Inputs!$E$64)^(M$5-1)</f>
        <v>-6720</v>
      </c>
      <c r="N13" s="53" t="n">
        <f aca="false">-N8*Inputs!$E$56/12*1*(1+Inputs!$E$63)*(1+Inputs!$E$64)^(N$5-1)</f>
        <v>-6720</v>
      </c>
      <c r="O13" s="53" t="n">
        <f aca="false">-O8*Inputs!$E$56/12*1*(1+Inputs!$E$63)*(1+Inputs!$E$64)^(O$5-1)</f>
        <v>-6921.6</v>
      </c>
      <c r="P13" s="53" t="n">
        <f aca="false">-P8*Inputs!$E$56/12*1*(1+Inputs!$E$63)*(1+Inputs!$E$64)^(P$5-1)</f>
        <v>-6921.6</v>
      </c>
      <c r="Q13" s="53" t="n">
        <f aca="false">-Q8*Inputs!$E$56/12*1*(1+Inputs!$E$63)*(1+Inputs!$E$64)^(Q$5-1)</f>
        <v>-6921.6</v>
      </c>
      <c r="R13" s="53" t="n">
        <f aca="false">-R8*Inputs!$E$56/12*1*(1+Inputs!$E$63)*(1+Inputs!$E$64)^(R$5-1)</f>
        <v>-6921.6</v>
      </c>
      <c r="S13" s="53" t="n">
        <f aca="false">-S8*Inputs!$E$56/12*1*(1+Inputs!$E$63)*(1+Inputs!$E$64)^(S$5-1)</f>
        <v>-6921.6</v>
      </c>
      <c r="T13" s="53" t="n">
        <f aca="false">-T8*Inputs!$E$56/12*1*(1+Inputs!$E$63)*(1+Inputs!$E$64)^(T$5-1)</f>
        <v>-6921.6</v>
      </c>
      <c r="U13" s="53" t="n">
        <f aca="false">-U8*Inputs!$E$56/12*1*(1+Inputs!$E$63)*(1+Inputs!$E$64)^(U$5-1)</f>
        <v>-6921.6</v>
      </c>
      <c r="V13" s="53" t="n">
        <f aca="false">-V8*Inputs!$E$56/12*1*(1+Inputs!$E$63)*(1+Inputs!$E$64)^(V$5-1)</f>
        <v>-6921.6</v>
      </c>
      <c r="W13" s="53" t="n">
        <f aca="false">-W8*Inputs!$E$56/12*1*(1+Inputs!$E$63)*(1+Inputs!$E$64)^(W$5-1)</f>
        <v>-6921.6</v>
      </c>
      <c r="X13" s="53" t="n">
        <f aca="false">-X8*Inputs!$E$56/12*1*(1+Inputs!$E$63)*(1+Inputs!$E$64)^(X$5-1)</f>
        <v>-6921.6</v>
      </c>
      <c r="Y13" s="53" t="n">
        <f aca="false">-Y8*Inputs!$E$56/12*1*(1+Inputs!$E$63)*(1+Inputs!$E$64)^(Y$5-1)</f>
        <v>-6921.6</v>
      </c>
      <c r="Z13" s="53" t="n">
        <f aca="false">-Z8*Inputs!$E$56/12*1*(1+Inputs!$E$63)*(1+Inputs!$E$64)^(Z$5-1)</f>
        <v>-6921.6</v>
      </c>
      <c r="AA13" s="53" t="n">
        <f aca="false">-AA8*Inputs!$E$56/12*1*(1+Inputs!$E$63)*(1+Inputs!$E$64)^(AA$5-1)</f>
        <v>-7129.248</v>
      </c>
      <c r="AB13" s="53" t="n">
        <f aca="false">-AB8*Inputs!$E$56/12*1*(1+Inputs!$E$63)*(1+Inputs!$E$64)^(AB$5-1)</f>
        <v>-7129.248</v>
      </c>
      <c r="AC13" s="53" t="n">
        <f aca="false">-AC8*Inputs!$E$56/12*1*(1+Inputs!$E$63)*(1+Inputs!$E$64)^(AC$5-1)</f>
        <v>-7129.248</v>
      </c>
      <c r="AD13" s="53" t="n">
        <f aca="false">-AD8*Inputs!$E$56/12*1*(1+Inputs!$E$63)*(1+Inputs!$E$64)^(AD$5-1)</f>
        <v>-7129.248</v>
      </c>
      <c r="AE13" s="53" t="n">
        <f aca="false">-AE8*Inputs!$E$56/12*1*(1+Inputs!$E$63)*(1+Inputs!$E$64)^(AE$5-1)</f>
        <v>-7129.248</v>
      </c>
      <c r="AF13" s="53" t="n">
        <f aca="false">-AF8*Inputs!$E$56/12*1*(1+Inputs!$E$63)*(1+Inputs!$E$64)^(AF$5-1)</f>
        <v>-7129.248</v>
      </c>
      <c r="AG13" s="53" t="n">
        <f aca="false">-AG8*Inputs!$E$56/12*1*(1+Inputs!$E$63)*(1+Inputs!$E$64)^(AG$5-1)</f>
        <v>-7129.248</v>
      </c>
      <c r="AH13" s="53" t="n">
        <f aca="false">-AH8*Inputs!$E$56/12*1*(1+Inputs!$E$63)*(1+Inputs!$E$64)^(AH$5-1)</f>
        <v>-7129.248</v>
      </c>
      <c r="AI13" s="53" t="n">
        <f aca="false">-AI8*Inputs!$E$56/12*1*(1+Inputs!$E$63)*(1+Inputs!$E$64)^(AI$5-1)</f>
        <v>-7129.248</v>
      </c>
      <c r="AJ13" s="53" t="n">
        <f aca="false">-AJ8*Inputs!$E$56/12*1*(1+Inputs!$E$63)*(1+Inputs!$E$64)^(AJ$5-1)</f>
        <v>-7129.248</v>
      </c>
      <c r="AK13" s="53" t="n">
        <f aca="false">-AK8*Inputs!$E$56/12*1*(1+Inputs!$E$63)*(1+Inputs!$E$64)^(AK$5-1)</f>
        <v>-7129.248</v>
      </c>
      <c r="AL13" s="53" t="n">
        <f aca="false">-AL8*Inputs!$E$56/12*1*(1+Inputs!$E$63)*(1+Inputs!$E$64)^(AL$5-1)</f>
        <v>-7129.248</v>
      </c>
      <c r="AM13" s="53" t="n">
        <f aca="false">-AM8*Inputs!$E$56/12*1*(1+Inputs!$E$63)*(1+Inputs!$E$64)^(AM$5-1)</f>
        <v>-7343.12544</v>
      </c>
      <c r="AN13" s="53" t="n">
        <f aca="false">-AN8*Inputs!$E$56/12*1*(1+Inputs!$E$63)*(1+Inputs!$E$64)^(AN$5-1)</f>
        <v>-7343.12544</v>
      </c>
      <c r="AO13" s="53" t="n">
        <f aca="false">-AO8*Inputs!$E$56/12*1*(1+Inputs!$E$63)*(1+Inputs!$E$64)^(AO$5-1)</f>
        <v>-7343.12544</v>
      </c>
      <c r="AP13" s="53" t="n">
        <f aca="false">-AP8*Inputs!$E$56/12*1*(1+Inputs!$E$63)*(1+Inputs!$E$64)^(AP$5-1)</f>
        <v>-7343.12544</v>
      </c>
      <c r="AQ13" s="53" t="n">
        <f aca="false">-AQ8*Inputs!$E$56/12*1*(1+Inputs!$E$63)*(1+Inputs!$E$64)^(AQ$5-1)</f>
        <v>-7343.12544</v>
      </c>
      <c r="AR13" s="53" t="n">
        <f aca="false">-AR8*Inputs!$E$56/12*1*(1+Inputs!$E$63)*(1+Inputs!$E$64)^(AR$5-1)</f>
        <v>-7343.12544</v>
      </c>
      <c r="AS13" s="53" t="n">
        <f aca="false">-AS8*Inputs!$E$56/12*1*(1+Inputs!$E$63)*(1+Inputs!$E$64)^(AS$5-1)</f>
        <v>-7343.12544</v>
      </c>
      <c r="AT13" s="53" t="n">
        <f aca="false">-AT8*Inputs!$E$56/12*1*(1+Inputs!$E$63)*(1+Inputs!$E$64)^(AT$5-1)</f>
        <v>-7343.12544</v>
      </c>
      <c r="AU13" s="53" t="n">
        <f aca="false">-AU8*Inputs!$E$56/12*1*(1+Inputs!$E$63)*(1+Inputs!$E$64)^(AU$5-1)</f>
        <v>-7343.12544</v>
      </c>
      <c r="AV13" s="53" t="n">
        <f aca="false">-AV8*Inputs!$E$56/12*1*(1+Inputs!$E$63)*(1+Inputs!$E$64)^(AV$5-1)</f>
        <v>-7343.12544</v>
      </c>
      <c r="AW13" s="53" t="n">
        <f aca="false">-AW8*Inputs!$E$56/12*1*(1+Inputs!$E$63)*(1+Inputs!$E$64)^(AW$5-1)</f>
        <v>-7343.12544</v>
      </c>
      <c r="AX13" s="53" t="n">
        <f aca="false">-AX8*Inputs!$E$56/12*1*(1+Inputs!$E$63)*(1+Inputs!$E$64)^(AX$5-1)</f>
        <v>-7343.12544</v>
      </c>
      <c r="AY13" s="53" t="n">
        <f aca="false">-AY8*Inputs!$E$56/12*1*(1+Inputs!$E$63)*(1+Inputs!$E$64)^(AY$5-1)</f>
        <v>-7563.4192032</v>
      </c>
      <c r="AZ13" s="53" t="n">
        <f aca="false">-AZ8*Inputs!$E$56/12*1*(1+Inputs!$E$63)*(1+Inputs!$E$64)^(AZ$5-1)</f>
        <v>-7563.4192032</v>
      </c>
      <c r="BA13" s="53" t="n">
        <f aca="false">-BA8*Inputs!$E$56/12*1*(1+Inputs!$E$63)*(1+Inputs!$E$64)^(BA$5-1)</f>
        <v>-7563.4192032</v>
      </c>
      <c r="BB13" s="53" t="n">
        <f aca="false">-BB8*Inputs!$E$56/12*1*(1+Inputs!$E$63)*(1+Inputs!$E$64)^(BB$5-1)</f>
        <v>-7563.4192032</v>
      </c>
      <c r="BC13" s="53" t="n">
        <f aca="false">-BC8*Inputs!$E$56/12*1*(1+Inputs!$E$63)*(1+Inputs!$E$64)^(BC$5-1)</f>
        <v>-7563.4192032</v>
      </c>
      <c r="BD13" s="53" t="n">
        <f aca="false">-BD8*Inputs!$E$56/12*1*(1+Inputs!$E$63)*(1+Inputs!$E$64)^(BD$5-1)</f>
        <v>-7563.4192032</v>
      </c>
      <c r="BE13" s="53" t="n">
        <f aca="false">-BE8*Inputs!$E$56/12*1*(1+Inputs!$E$63)*(1+Inputs!$E$64)^(BE$5-1)</f>
        <v>-7563.4192032</v>
      </c>
      <c r="BF13" s="53" t="n">
        <f aca="false">-BF8*Inputs!$E$56/12*1*(1+Inputs!$E$63)*(1+Inputs!$E$64)^(BF$5-1)</f>
        <v>-7563.4192032</v>
      </c>
      <c r="BG13" s="53" t="n">
        <f aca="false">-BG8*Inputs!$E$56/12*1*(1+Inputs!$E$63)*(1+Inputs!$E$64)^(BG$5-1)</f>
        <v>-7563.4192032</v>
      </c>
      <c r="BH13" s="53" t="n">
        <f aca="false">-BH8*Inputs!$E$56/12*1*(1+Inputs!$E$63)*(1+Inputs!$E$64)^(BH$5-1)</f>
        <v>-7563.4192032</v>
      </c>
      <c r="BI13" s="53" t="n">
        <f aca="false">-BI8*Inputs!$E$56/12*1*(1+Inputs!$E$63)*(1+Inputs!$E$64)^(BI$5-1)</f>
        <v>-7563.4192032</v>
      </c>
      <c r="BJ13" s="53" t="n">
        <f aca="false">-BJ8*Inputs!$E$56/12*1*(1+Inputs!$E$63)*(1+Inputs!$E$64)^(BJ$5-1)</f>
        <v>-7563.4192032</v>
      </c>
    </row>
    <row r="14" customFormat="false" ht="15" hidden="false" customHeight="false" outlineLevel="0" collapsed="false">
      <c r="A14" s="6" t="s">
        <v>447</v>
      </c>
      <c r="C14" s="53" t="n">
        <f aca="false">-C9*Inputs!$E$60/12*1*(1+Inputs!$E$63)*(1+Inputs!$E$64)^(C$5-1)</f>
        <v>-29866.6666666667</v>
      </c>
      <c r="D14" s="53" t="n">
        <f aca="false">-D9*Inputs!$E$60/12*1*(1+Inputs!$E$63)*(1+Inputs!$E$64)^(D$5-1)</f>
        <v>-29866.6666666667</v>
      </c>
      <c r="E14" s="53" t="n">
        <f aca="false">-E9*Inputs!$E$60/12*1*(1+Inputs!$E$63)*(1+Inputs!$E$64)^(E$5-1)</f>
        <v>-29866.6666666667</v>
      </c>
      <c r="F14" s="53" t="n">
        <f aca="false">-F9*Inputs!$E$60/12*1*(1+Inputs!$E$63)*(1+Inputs!$E$64)^(F$5-1)</f>
        <v>-29866.6666666667</v>
      </c>
      <c r="G14" s="53" t="n">
        <f aca="false">-G9*Inputs!$E$60/12*1*(1+Inputs!$E$63)*(1+Inputs!$E$64)^(G$5-1)</f>
        <v>-29866.6666666667</v>
      </c>
      <c r="H14" s="53" t="n">
        <f aca="false">-H9*Inputs!$E$60/12*1*(1+Inputs!$E$63)*(1+Inputs!$E$64)^(H$5-1)</f>
        <v>-29866.6666666667</v>
      </c>
      <c r="I14" s="53" t="n">
        <f aca="false">-I9*Inputs!$E$60/12*1*(1+Inputs!$E$63)*(1+Inputs!$E$64)^(I$5-1)</f>
        <v>-29866.6666666667</v>
      </c>
      <c r="J14" s="53" t="n">
        <f aca="false">-J9*Inputs!$E$60/12*1*(1+Inputs!$E$63)*(1+Inputs!$E$64)^(J$5-1)</f>
        <v>-29866.6666666667</v>
      </c>
      <c r="K14" s="53" t="n">
        <f aca="false">-K9*Inputs!$E$60/12*1*(1+Inputs!$E$63)*(1+Inputs!$E$64)^(K$5-1)</f>
        <v>-29866.6666666667</v>
      </c>
      <c r="L14" s="53" t="n">
        <f aca="false">-L9*Inputs!$E$60/12*1*(1+Inputs!$E$63)*(1+Inputs!$E$64)^(L$5-1)</f>
        <v>-29866.6666666667</v>
      </c>
      <c r="M14" s="53" t="n">
        <f aca="false">-M9*Inputs!$E$60/12*1*(1+Inputs!$E$63)*(1+Inputs!$E$64)^(M$5-1)</f>
        <v>-29866.6666666667</v>
      </c>
      <c r="N14" s="53" t="n">
        <f aca="false">-N9*Inputs!$E$60/12*1*(1+Inputs!$E$63)*(1+Inputs!$E$64)^(N$5-1)</f>
        <v>-29866.6666666667</v>
      </c>
      <c r="O14" s="53" t="n">
        <f aca="false">-O9*Inputs!$E$60/12*1*(1+Inputs!$E$63)*(1+Inputs!$E$64)^(O$5-1)</f>
        <v>-30762.6666666667</v>
      </c>
      <c r="P14" s="53" t="n">
        <f aca="false">-P9*Inputs!$E$60/12*1*(1+Inputs!$E$63)*(1+Inputs!$E$64)^(P$5-1)</f>
        <v>-30762.6666666667</v>
      </c>
      <c r="Q14" s="53" t="n">
        <f aca="false">-Q9*Inputs!$E$60/12*1*(1+Inputs!$E$63)*(1+Inputs!$E$64)^(Q$5-1)</f>
        <v>-30762.6666666667</v>
      </c>
      <c r="R14" s="53" t="n">
        <f aca="false">-R9*Inputs!$E$60/12*1*(1+Inputs!$E$63)*(1+Inputs!$E$64)^(R$5-1)</f>
        <v>-30762.6666666667</v>
      </c>
      <c r="S14" s="53" t="n">
        <f aca="false">-S9*Inputs!$E$60/12*1*(1+Inputs!$E$63)*(1+Inputs!$E$64)^(S$5-1)</f>
        <v>-30762.6666666667</v>
      </c>
      <c r="T14" s="53" t="n">
        <f aca="false">-T9*Inputs!$E$60/12*1*(1+Inputs!$E$63)*(1+Inputs!$E$64)^(T$5-1)</f>
        <v>-30762.6666666667</v>
      </c>
      <c r="U14" s="53" t="n">
        <f aca="false">-U9*Inputs!$E$60/12*1*(1+Inputs!$E$63)*(1+Inputs!$E$64)^(U$5-1)</f>
        <v>-30762.6666666667</v>
      </c>
      <c r="V14" s="53" t="n">
        <f aca="false">-V9*Inputs!$E$60/12*1*(1+Inputs!$E$63)*(1+Inputs!$E$64)^(V$5-1)</f>
        <v>-30762.6666666667</v>
      </c>
      <c r="W14" s="53" t="n">
        <f aca="false">-W9*Inputs!$E$60/12*1*(1+Inputs!$E$63)*(1+Inputs!$E$64)^(W$5-1)</f>
        <v>-30762.6666666667</v>
      </c>
      <c r="X14" s="53" t="n">
        <f aca="false">-X9*Inputs!$E$60/12*1*(1+Inputs!$E$63)*(1+Inputs!$E$64)^(X$5-1)</f>
        <v>-30762.6666666667</v>
      </c>
      <c r="Y14" s="53" t="n">
        <f aca="false">-Y9*Inputs!$E$60/12*1*(1+Inputs!$E$63)*(1+Inputs!$E$64)^(Y$5-1)</f>
        <v>-30762.6666666667</v>
      </c>
      <c r="Z14" s="53" t="n">
        <f aca="false">-Z9*Inputs!$E$60/12*1*(1+Inputs!$E$63)*(1+Inputs!$E$64)^(Z$5-1)</f>
        <v>-30762.6666666667</v>
      </c>
      <c r="AA14" s="53" t="n">
        <f aca="false">-AA9*Inputs!$E$60/12*1*(1+Inputs!$E$63)*(1+Inputs!$E$64)^(AA$5-1)</f>
        <v>-31685.5466666667</v>
      </c>
      <c r="AB14" s="53" t="n">
        <f aca="false">-AB9*Inputs!$E$60/12*1*(1+Inputs!$E$63)*(1+Inputs!$E$64)^(AB$5-1)</f>
        <v>-31685.5466666667</v>
      </c>
      <c r="AC14" s="53" t="n">
        <f aca="false">-AC9*Inputs!$E$60/12*1*(1+Inputs!$E$63)*(1+Inputs!$E$64)^(AC$5-1)</f>
        <v>-31685.5466666667</v>
      </c>
      <c r="AD14" s="53" t="n">
        <f aca="false">-AD9*Inputs!$E$60/12*1*(1+Inputs!$E$63)*(1+Inputs!$E$64)^(AD$5-1)</f>
        <v>-31685.5466666667</v>
      </c>
      <c r="AE14" s="53" t="n">
        <f aca="false">-AE9*Inputs!$E$60/12*1*(1+Inputs!$E$63)*(1+Inputs!$E$64)^(AE$5-1)</f>
        <v>-31685.5466666667</v>
      </c>
      <c r="AF14" s="53" t="n">
        <f aca="false">-AF9*Inputs!$E$60/12*1*(1+Inputs!$E$63)*(1+Inputs!$E$64)^(AF$5-1)</f>
        <v>-31685.5466666667</v>
      </c>
      <c r="AG14" s="53" t="n">
        <f aca="false">-AG9*Inputs!$E$60/12*1*(1+Inputs!$E$63)*(1+Inputs!$E$64)^(AG$5-1)</f>
        <v>-31685.5466666667</v>
      </c>
      <c r="AH14" s="53" t="n">
        <f aca="false">-AH9*Inputs!$E$60/12*1*(1+Inputs!$E$63)*(1+Inputs!$E$64)^(AH$5-1)</f>
        <v>-31685.5466666667</v>
      </c>
      <c r="AI14" s="53" t="n">
        <f aca="false">-AI9*Inputs!$E$60/12*1*(1+Inputs!$E$63)*(1+Inputs!$E$64)^(AI$5-1)</f>
        <v>-31685.5466666667</v>
      </c>
      <c r="AJ14" s="53" t="n">
        <f aca="false">-AJ9*Inputs!$E$60/12*1*(1+Inputs!$E$63)*(1+Inputs!$E$64)^(AJ$5-1)</f>
        <v>-31685.5466666667</v>
      </c>
      <c r="AK14" s="53" t="n">
        <f aca="false">-AK9*Inputs!$E$60/12*1*(1+Inputs!$E$63)*(1+Inputs!$E$64)^(AK$5-1)</f>
        <v>-31685.5466666667</v>
      </c>
      <c r="AL14" s="53" t="n">
        <f aca="false">-AL9*Inputs!$E$60/12*1*(1+Inputs!$E$63)*(1+Inputs!$E$64)^(AL$5-1)</f>
        <v>-31685.5466666667</v>
      </c>
      <c r="AM14" s="53" t="n">
        <f aca="false">-AM9*Inputs!$E$60/12*1*(1+Inputs!$E$63)*(1+Inputs!$E$64)^(AM$5-1)</f>
        <v>-32636.1130666667</v>
      </c>
      <c r="AN14" s="53" t="n">
        <f aca="false">-AN9*Inputs!$E$60/12*1*(1+Inputs!$E$63)*(1+Inputs!$E$64)^(AN$5-1)</f>
        <v>-32636.1130666667</v>
      </c>
      <c r="AO14" s="53" t="n">
        <f aca="false">-AO9*Inputs!$E$60/12*1*(1+Inputs!$E$63)*(1+Inputs!$E$64)^(AO$5-1)</f>
        <v>-32636.1130666667</v>
      </c>
      <c r="AP14" s="53" t="n">
        <f aca="false">-AP9*Inputs!$E$60/12*1*(1+Inputs!$E$63)*(1+Inputs!$E$64)^(AP$5-1)</f>
        <v>-32636.1130666667</v>
      </c>
      <c r="AQ14" s="53" t="n">
        <f aca="false">-AQ9*Inputs!$E$60/12*1*(1+Inputs!$E$63)*(1+Inputs!$E$64)^(AQ$5-1)</f>
        <v>-32636.1130666667</v>
      </c>
      <c r="AR14" s="53" t="n">
        <f aca="false">-AR9*Inputs!$E$60/12*1*(1+Inputs!$E$63)*(1+Inputs!$E$64)^(AR$5-1)</f>
        <v>-32636.1130666667</v>
      </c>
      <c r="AS14" s="53" t="n">
        <f aca="false">-AS9*Inputs!$E$60/12*1*(1+Inputs!$E$63)*(1+Inputs!$E$64)^(AS$5-1)</f>
        <v>-32636.1130666667</v>
      </c>
      <c r="AT14" s="53" t="n">
        <f aca="false">-AT9*Inputs!$E$60/12*1*(1+Inputs!$E$63)*(1+Inputs!$E$64)^(AT$5-1)</f>
        <v>-32636.1130666667</v>
      </c>
      <c r="AU14" s="53" t="n">
        <f aca="false">-AU9*Inputs!$E$60/12*1*(1+Inputs!$E$63)*(1+Inputs!$E$64)^(AU$5-1)</f>
        <v>-32636.1130666667</v>
      </c>
      <c r="AV14" s="53" t="n">
        <f aca="false">-AV9*Inputs!$E$60/12*1*(1+Inputs!$E$63)*(1+Inputs!$E$64)^(AV$5-1)</f>
        <v>-32636.1130666667</v>
      </c>
      <c r="AW14" s="53" t="n">
        <f aca="false">-AW9*Inputs!$E$60/12*1*(1+Inputs!$E$63)*(1+Inputs!$E$64)^(AW$5-1)</f>
        <v>-32636.1130666667</v>
      </c>
      <c r="AX14" s="53" t="n">
        <f aca="false">-AX9*Inputs!$E$60/12*1*(1+Inputs!$E$63)*(1+Inputs!$E$64)^(AX$5-1)</f>
        <v>-32636.1130666667</v>
      </c>
      <c r="AY14" s="53" t="n">
        <f aca="false">-AY9*Inputs!$E$60/12*1*(1+Inputs!$E$63)*(1+Inputs!$E$64)^(AY$5-1)</f>
        <v>-33615.1964586667</v>
      </c>
      <c r="AZ14" s="53" t="n">
        <f aca="false">-AZ9*Inputs!$E$60/12*1*(1+Inputs!$E$63)*(1+Inputs!$E$64)^(AZ$5-1)</f>
        <v>-33615.1964586667</v>
      </c>
      <c r="BA14" s="53" t="n">
        <f aca="false">-BA9*Inputs!$E$60/12*1*(1+Inputs!$E$63)*(1+Inputs!$E$64)^(BA$5-1)</f>
        <v>-33615.1964586667</v>
      </c>
      <c r="BB14" s="53" t="n">
        <f aca="false">-BB9*Inputs!$E$60/12*1*(1+Inputs!$E$63)*(1+Inputs!$E$64)^(BB$5-1)</f>
        <v>-33615.1964586667</v>
      </c>
      <c r="BC14" s="53" t="n">
        <f aca="false">-BC9*Inputs!$E$60/12*1*(1+Inputs!$E$63)*(1+Inputs!$E$64)^(BC$5-1)</f>
        <v>-33615.1964586667</v>
      </c>
      <c r="BD14" s="53" t="n">
        <f aca="false">-BD9*Inputs!$E$60/12*1*(1+Inputs!$E$63)*(1+Inputs!$E$64)^(BD$5-1)</f>
        <v>-33615.1964586667</v>
      </c>
      <c r="BE14" s="53" t="n">
        <f aca="false">-BE9*Inputs!$E$60/12*1*(1+Inputs!$E$63)*(1+Inputs!$E$64)^(BE$5-1)</f>
        <v>-33615.1964586667</v>
      </c>
      <c r="BF14" s="53" t="n">
        <f aca="false">-BF9*Inputs!$E$60/12*1*(1+Inputs!$E$63)*(1+Inputs!$E$64)^(BF$5-1)</f>
        <v>-33615.1964586667</v>
      </c>
      <c r="BG14" s="53" t="n">
        <f aca="false">-BG9*Inputs!$E$60/12*1*(1+Inputs!$E$63)*(1+Inputs!$E$64)^(BG$5-1)</f>
        <v>-33615.1964586667</v>
      </c>
      <c r="BH14" s="53" t="n">
        <f aca="false">-BH9*Inputs!$E$60/12*1*(1+Inputs!$E$63)*(1+Inputs!$E$64)^(BH$5-1)</f>
        <v>-33615.1964586667</v>
      </c>
      <c r="BI14" s="53" t="n">
        <f aca="false">-BI9*Inputs!$E$60/12*1*(1+Inputs!$E$63)*(1+Inputs!$E$64)^(BI$5-1)</f>
        <v>-33615.1964586667</v>
      </c>
      <c r="BJ14" s="53" t="n">
        <f aca="false">-BJ9*Inputs!$E$60/12*1*(1+Inputs!$E$63)*(1+Inputs!$E$64)^(BJ$5-1)</f>
        <v>-33615.1964586667</v>
      </c>
    </row>
    <row r="15" customFormat="false" ht="15" hidden="false" customHeight="false" outlineLevel="0" collapsed="false">
      <c r="A15" s="99" t="s">
        <v>448</v>
      </c>
      <c r="C15" s="54" t="n">
        <f aca="false">C13+C14</f>
        <v>-36586.6666666667</v>
      </c>
      <c r="D15" s="54" t="n">
        <f aca="false">D13+D14</f>
        <v>-36586.6666666667</v>
      </c>
      <c r="E15" s="54" t="n">
        <f aca="false">E13+E14</f>
        <v>-36586.6666666667</v>
      </c>
      <c r="F15" s="54" t="n">
        <f aca="false">F13+F14</f>
        <v>-36586.6666666667</v>
      </c>
      <c r="G15" s="54" t="n">
        <f aca="false">G13+G14</f>
        <v>-36586.6666666667</v>
      </c>
      <c r="H15" s="54" t="n">
        <f aca="false">H13+H14</f>
        <v>-36586.6666666667</v>
      </c>
      <c r="I15" s="54" t="n">
        <f aca="false">I13+I14</f>
        <v>-36586.6666666667</v>
      </c>
      <c r="J15" s="54" t="n">
        <f aca="false">J13+J14</f>
        <v>-36586.6666666667</v>
      </c>
      <c r="K15" s="54" t="n">
        <f aca="false">K13+K14</f>
        <v>-36586.6666666667</v>
      </c>
      <c r="L15" s="54" t="n">
        <f aca="false">L13+L14</f>
        <v>-36586.6666666667</v>
      </c>
      <c r="M15" s="54" t="n">
        <f aca="false">M13+M14</f>
        <v>-36586.6666666667</v>
      </c>
      <c r="N15" s="54" t="n">
        <f aca="false">N13+N14</f>
        <v>-36586.6666666667</v>
      </c>
      <c r="O15" s="54" t="n">
        <f aca="false">O13+O14</f>
        <v>-37684.2666666667</v>
      </c>
      <c r="P15" s="54" t="n">
        <f aca="false">P13+P14</f>
        <v>-37684.2666666667</v>
      </c>
      <c r="Q15" s="54" t="n">
        <f aca="false">Q13+Q14</f>
        <v>-37684.2666666667</v>
      </c>
      <c r="R15" s="54" t="n">
        <f aca="false">R13+R14</f>
        <v>-37684.2666666667</v>
      </c>
      <c r="S15" s="54" t="n">
        <f aca="false">S13+S14</f>
        <v>-37684.2666666667</v>
      </c>
      <c r="T15" s="54" t="n">
        <f aca="false">T13+T14</f>
        <v>-37684.2666666667</v>
      </c>
      <c r="U15" s="54" t="n">
        <f aca="false">U13+U14</f>
        <v>-37684.2666666667</v>
      </c>
      <c r="V15" s="54" t="n">
        <f aca="false">V13+V14</f>
        <v>-37684.2666666667</v>
      </c>
      <c r="W15" s="54" t="n">
        <f aca="false">W13+W14</f>
        <v>-37684.2666666667</v>
      </c>
      <c r="X15" s="54" t="n">
        <f aca="false">X13+X14</f>
        <v>-37684.2666666667</v>
      </c>
      <c r="Y15" s="54" t="n">
        <f aca="false">Y13+Y14</f>
        <v>-37684.2666666667</v>
      </c>
      <c r="Z15" s="54" t="n">
        <f aca="false">Z13+Z14</f>
        <v>-37684.2666666667</v>
      </c>
      <c r="AA15" s="54" t="n">
        <f aca="false">AA13+AA14</f>
        <v>-38814.7946666667</v>
      </c>
      <c r="AB15" s="54" t="n">
        <f aca="false">AB13+AB14</f>
        <v>-38814.7946666667</v>
      </c>
      <c r="AC15" s="54" t="n">
        <f aca="false">AC13+AC14</f>
        <v>-38814.7946666667</v>
      </c>
      <c r="AD15" s="54" t="n">
        <f aca="false">AD13+AD14</f>
        <v>-38814.7946666667</v>
      </c>
      <c r="AE15" s="54" t="n">
        <f aca="false">AE13+AE14</f>
        <v>-38814.7946666667</v>
      </c>
      <c r="AF15" s="54" t="n">
        <f aca="false">AF13+AF14</f>
        <v>-38814.7946666667</v>
      </c>
      <c r="AG15" s="54" t="n">
        <f aca="false">AG13+AG14</f>
        <v>-38814.7946666667</v>
      </c>
      <c r="AH15" s="54" t="n">
        <f aca="false">AH13+AH14</f>
        <v>-38814.7946666667</v>
      </c>
      <c r="AI15" s="54" t="n">
        <f aca="false">AI13+AI14</f>
        <v>-38814.7946666667</v>
      </c>
      <c r="AJ15" s="54" t="n">
        <f aca="false">AJ13+AJ14</f>
        <v>-38814.7946666667</v>
      </c>
      <c r="AK15" s="54" t="n">
        <f aca="false">AK13+AK14</f>
        <v>-38814.7946666667</v>
      </c>
      <c r="AL15" s="54" t="n">
        <f aca="false">AL13+AL14</f>
        <v>-38814.7946666667</v>
      </c>
      <c r="AM15" s="54" t="n">
        <f aca="false">AM13+AM14</f>
        <v>-39979.2385066667</v>
      </c>
      <c r="AN15" s="54" t="n">
        <f aca="false">AN13+AN14</f>
        <v>-39979.2385066667</v>
      </c>
      <c r="AO15" s="54" t="n">
        <f aca="false">AO13+AO14</f>
        <v>-39979.2385066667</v>
      </c>
      <c r="AP15" s="54" t="n">
        <f aca="false">AP13+AP14</f>
        <v>-39979.2385066667</v>
      </c>
      <c r="AQ15" s="54" t="n">
        <f aca="false">AQ13+AQ14</f>
        <v>-39979.2385066667</v>
      </c>
      <c r="AR15" s="54" t="n">
        <f aca="false">AR13+AR14</f>
        <v>-39979.2385066667</v>
      </c>
      <c r="AS15" s="54" t="n">
        <f aca="false">AS13+AS14</f>
        <v>-39979.2385066667</v>
      </c>
      <c r="AT15" s="54" t="n">
        <f aca="false">AT13+AT14</f>
        <v>-39979.2385066667</v>
      </c>
      <c r="AU15" s="54" t="n">
        <f aca="false">AU13+AU14</f>
        <v>-39979.2385066667</v>
      </c>
      <c r="AV15" s="54" t="n">
        <f aca="false">AV13+AV14</f>
        <v>-39979.2385066667</v>
      </c>
      <c r="AW15" s="54" t="n">
        <f aca="false">AW13+AW14</f>
        <v>-39979.2385066667</v>
      </c>
      <c r="AX15" s="54" t="n">
        <f aca="false">AX13+AX14</f>
        <v>-39979.2385066667</v>
      </c>
      <c r="AY15" s="54" t="n">
        <f aca="false">AY13+AY14</f>
        <v>-41178.6156618667</v>
      </c>
      <c r="AZ15" s="54" t="n">
        <f aca="false">AZ13+AZ14</f>
        <v>-41178.6156618667</v>
      </c>
      <c r="BA15" s="54" t="n">
        <f aca="false">BA13+BA14</f>
        <v>-41178.6156618667</v>
      </c>
      <c r="BB15" s="54" t="n">
        <f aca="false">BB13+BB14</f>
        <v>-41178.6156618667</v>
      </c>
      <c r="BC15" s="54" t="n">
        <f aca="false">BC13+BC14</f>
        <v>-41178.6156618667</v>
      </c>
      <c r="BD15" s="54" t="n">
        <f aca="false">BD13+BD14</f>
        <v>-41178.6156618667</v>
      </c>
      <c r="BE15" s="54" t="n">
        <f aca="false">BE13+BE14</f>
        <v>-41178.6156618667</v>
      </c>
      <c r="BF15" s="54" t="n">
        <f aca="false">BF13+BF14</f>
        <v>-41178.6156618667</v>
      </c>
      <c r="BG15" s="54" t="n">
        <f aca="false">BG13+BG14</f>
        <v>-41178.6156618667</v>
      </c>
      <c r="BH15" s="54" t="n">
        <f aca="false">BH13+BH14</f>
        <v>-41178.6156618667</v>
      </c>
      <c r="BI15" s="54" t="n">
        <f aca="false">BI13+BI14</f>
        <v>-41178.6156618667</v>
      </c>
      <c r="BJ15" s="54" t="n">
        <f aca="false">BJ13+BJ14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449</v>
      </c>
    </row>
    <row r="3" customFormat="false" ht="15" hidden="false" customHeight="false" outlineLevel="0" collapsed="false">
      <c r="A3" s="33" t="s">
        <v>450</v>
      </c>
      <c r="B3" s="33" t="s">
        <v>451</v>
      </c>
      <c r="C3" s="33" t="s">
        <v>452</v>
      </c>
    </row>
    <row r="4" customFormat="false" ht="15" hidden="false" customHeight="false" outlineLevel="0" collapsed="false">
      <c r="A4" s="6" t="s">
        <v>453</v>
      </c>
      <c r="B4" s="4" t="str">
        <f aca="false">IF(ABS(SUM('P&amp;L'!$B$5:$F$5)-SUM(Monthly!$C$37:$BJ$37))&lt;0.5,"PASS","FAIL")</f>
        <v>PASS</v>
      </c>
      <c r="C4" s="18" t="s">
        <v>454</v>
      </c>
    </row>
    <row r="5" customFormat="false" ht="15" hidden="false" customHeight="false" outlineLevel="0" collapsed="false">
      <c r="A5" s="6" t="s">
        <v>455</v>
      </c>
      <c r="B5" s="4" t="str">
        <f aca="false">IF(ABS(SUM('P&amp;L'!$B$22:$F$22)-SUM(Monthly!$C$64:$BJ$64))&lt;0.5,"PASS","FAIL")</f>
        <v>PASS</v>
      </c>
      <c r="C5" s="18" t="s">
        <v>456</v>
      </c>
    </row>
    <row r="6" customFormat="false" ht="15" hidden="false" customHeight="false" outlineLevel="0" collapsed="false">
      <c r="A6" s="6" t="s">
        <v>457</v>
      </c>
      <c r="B6" s="4" t="str">
        <f aca="false">IF(ABS(SUM(Monthly!$C$55:$BJ$55)-SUM(Monthly!$C$46:$BJ$46)-SUM(Monthly!$C$54:$BJ$54))&lt;0.5,"PASS","FAIL")</f>
        <v>PASS</v>
      </c>
      <c r="C6" s="18" t="s">
        <v>458</v>
      </c>
    </row>
    <row r="7" customFormat="false" ht="15" hidden="false" customHeight="false" outlineLevel="0" collapsed="false">
      <c r="A7" s="6" t="s">
        <v>459</v>
      </c>
      <c r="B7" s="4" t="str">
        <f aca="false">IF(ABS(INDEX(Monthly!$C$98:$BJ$98,60)-SUM(Monthly!$C$96:$BJ$96))&lt;0.5,"PASS","FAIL")</f>
        <v>PASS</v>
      </c>
      <c r="C7" s="18" t="s">
        <v>460</v>
      </c>
    </row>
    <row r="8" customFormat="false" ht="15" hidden="false" customHeight="false" outlineLevel="0" collapsed="false">
      <c r="A8" s="6" t="s">
        <v>461</v>
      </c>
      <c r="B8" s="4" t="str">
        <f aca="false">IF(AND(ISNUMBER(Dashboard!B4),Dashboard!B4&gt;=1,Dashboard!B4&lt;=3,INT(Dashboard!B4)=Dashboard!B4),"PASS","FAIL")</f>
        <v>PASS</v>
      </c>
      <c r="C8" s="18" t="s">
        <v>462</v>
      </c>
    </row>
    <row r="9" customFormat="false" ht="15" hidden="false" customHeight="false" outlineLevel="0" collapsed="false">
      <c r="A9" s="6" t="s">
        <v>463</v>
      </c>
      <c r="B9" s="4" t="str">
        <f aca="false">IF(AND(Inputs!$B$7&lt;=Inputs!$C$7,Inputs!$C$7&lt;=Inputs!$D$7,Inputs!$B$9&gt;=Inputs!$C$9,Inputs!$C$9&gt;=Inputs!$D$9,Inputs!$B$10&lt;=Inputs!$C$10,Inputs!$C$10&lt;=Inputs!$D$10,Inputs!$B$11&gt;=Inputs!$C$11,Inputs!$C$11&gt;=Inputs!$D$11,Inputs!$B$19&lt;=Inputs!$C$19,Inputs!$C$19&lt;=Inputs!$D$19,Inputs!$B$20&lt;=Inputs!$C$20,Inputs!$C$20&lt;=Inputs!$D$20,Inputs!$B$21&lt;=Inputs!$C$21,Inputs!$C$21&lt;=Inputs!$D$21,Inputs!$B$22&lt;=Inputs!$C$22,Inputs!$C$22&lt;=Inputs!$D$22,Inputs!$B$23&gt;=Inputs!$C$23,Inputs!$C$23&gt;=Inputs!$D$23,Inputs!$B$24&gt;=Inputs!$C$24,Inputs!$C$24&gt;=Inputs!$D$24,Inputs!$B$27&lt;=Inputs!$C$27,Inputs!$C$27&lt;=Inputs!$D$27,Inputs!$B$28&lt;=Inputs!$C$28,Inputs!$C$28&lt;=Inputs!$D$28,Inputs!$B$29&lt;=Inputs!$C$29,Inputs!$C$29&lt;=Inputs!$D$29,Inputs!$B$30&lt;=Inputs!$C$30,Inputs!$C$30&lt;=Inputs!$D$30,Inputs!$B$33&gt;=Inputs!$C$33,Inputs!$C$33&gt;=Inputs!$D$33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$46&lt;=Inputs!$C$46,Inputs!$C$46&lt;=Inputs!$D$46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464</v>
      </c>
    </row>
    <row r="10" customFormat="false" ht="15" hidden="false" customHeight="false" outlineLevel="0" collapsed="false">
      <c r="A10" s="6" t="s">
        <v>465</v>
      </c>
      <c r="B10" s="4" t="str">
        <f aca="false">IF(AND(MIN('P&amp;L'!$B$8:$F$8)&gt;=0,MAX('P&amp;L'!$B$8:$F$8)&lt;=1),"PASS","FAIL")</f>
        <v>PASS</v>
      </c>
      <c r="C10" s="18" t="s">
        <v>466</v>
      </c>
    </row>
    <row r="11" customFormat="false" ht="15" hidden="false" customHeight="false" outlineLevel="0" collapsed="false">
      <c r="A11" s="6" t="s">
        <v>467</v>
      </c>
      <c r="B11" s="4" t="str">
        <f aca="false">IF(MIN(Monthly!$C$81:$BJ$81)&gt;=-0.5,"PASS","FAIL")</f>
        <v>PASS</v>
      </c>
      <c r="C11" s="18" t="s">
        <v>468</v>
      </c>
    </row>
    <row r="12" customFormat="false" ht="15" hidden="false" customHeight="false" outlineLevel="0" collapsed="false">
      <c r="A12" s="6" t="s">
        <v>469</v>
      </c>
      <c r="B12" s="4" t="str">
        <f aca="false">IF(ABS('Break-even'!B18-('Break-even'!B16-'Break-even'!B10))&lt;0.5,"PASS","FAIL")</f>
        <v>PASS</v>
      </c>
      <c r="C12" s="18" t="s">
        <v>470</v>
      </c>
    </row>
    <row r="13" customFormat="false" ht="15" hidden="false" customHeight="false" outlineLevel="0" collapsed="false">
      <c r="A13" s="6" t="s">
        <v>471</v>
      </c>
      <c r="B13" s="4" t="str">
        <f aca="false">IF(ABS(Valuation!B23-NPV(Valuation!B6,Valuation!$B$17:$F$17))&lt;0.5,"PASS","FAIL")</f>
        <v>PASS</v>
      </c>
      <c r="C13" s="18" t="s">
        <v>472</v>
      </c>
    </row>
    <row r="14" customFormat="false" ht="15" hidden="false" customHeight="false" outlineLevel="0" collapsed="false">
      <c r="A14" s="6" t="s">
        <v>473</v>
      </c>
      <c r="B14" s="4" t="str">
        <f aca="false">IF(Valuation!B6&gt;Valuation!B7,"PASS","FAIL")</f>
        <v>PASS</v>
      </c>
      <c r="C14" s="18" t="s">
        <v>474</v>
      </c>
    </row>
    <row r="15" customFormat="false" ht="15" hidden="false" customHeight="false" outlineLevel="0" collapsed="false">
      <c r="A15" s="6" t="s">
        <v>475</v>
      </c>
      <c r="B15" s="4" t="str">
        <f aca="false">IF(ABS(Valuation!D36-Valuation!B27)&lt;0.5,"PASS","FAIL")</f>
        <v>PASS</v>
      </c>
      <c r="C15" s="18" t="s">
        <v>476</v>
      </c>
    </row>
    <row r="16" customFormat="false" ht="15" hidden="false" customHeight="false" outlineLevel="0" collapsed="false">
      <c r="A16" s="6" t="s">
        <v>477</v>
      </c>
      <c r="B16" s="4" t="str">
        <f aca="false">IF(Valuation!$F$17&gt;0,"PASS","WARN")</f>
        <v>PASS</v>
      </c>
      <c r="C16" s="18" t="s">
        <v>478</v>
      </c>
    </row>
    <row r="17" customFormat="false" ht="15" hidden="false" customHeight="false" outlineLevel="0" collapsed="false">
      <c r="A17" s="6" t="s">
        <v>479</v>
      </c>
      <c r="B17" s="4" t="str">
        <f aca="false">IF(ABS('Sources &amp; Uses'!B21-'Sources &amp; Uses'!B28)&lt;0.5,"PASS","FAIL")</f>
        <v>PASS</v>
      </c>
      <c r="C17" s="18" t="s">
        <v>480</v>
      </c>
    </row>
    <row r="18" customFormat="false" ht="15" hidden="false" customHeight="false" outlineLevel="0" collapsed="false">
      <c r="A18" s="6" t="s">
        <v>481</v>
      </c>
      <c r="B18" s="4" t="str">
        <f aca="false">IF(SUMPRODUCT(--ISERROR(Monthly!$C$4:$BJ$116))+SUMPRODUCT(--ISERROR(Headcount!$C$4:$BJ$15))+SUMPRODUCT(--ISERROR('P&amp;L'!$B$3:$F$23))+SUMPRODUCT(--ISERROR('Cash Flow'!$B$3:$F$18))+SUMPRODUCT(--ISERROR('Balance Sheet'!$B$3:$F$17))+SUMPRODUCT(--ISERROR(KPIs!$B$27:$F$52))+SUMPRODUCT(--ISERROR('Break-even'!$B$26:$F$33))+SUMPRODUCT(--ISERROR(Valuation!$B$14:$F$19))+SUMPRODUCT(--ISERROR('Break-even'!$B$3:$F$35))+SUMPRODUCT(--ISERROR(Valuation!$A$3:$F$40))+SUMPRODUCT(--ISERROR('Sources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Uses'!$B$3:$C$30))+SUMPRODUCT(--ISERROR(Dashboard!$A$6:$W$44))+SUMPRODUCT(--ISERROR(Summary!$A$5:$S$52))+SUMPRODUCT(--ISERROR(KPIs!$A$4:$G$52))=0,"PASS","FAIL")</f>
        <v>PASS</v>
      </c>
      <c r="C18" s="18" t="s">
        <v>482</v>
      </c>
    </row>
    <row r="19" customFormat="false" ht="15" hidden="false" customHeight="false" outlineLevel="0" collapsed="false">
      <c r="A19" s="6" t="s">
        <v>483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484</v>
      </c>
    </row>
    <row r="20" customFormat="false" ht="15" hidden="false" customHeight="false" outlineLevel="0" collapsed="false">
      <c r="A20" s="6" t="s">
        <v>485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486</v>
      </c>
    </row>
    <row r="21" customFormat="false" ht="15" hidden="false" customHeight="false" outlineLevel="0" collapsed="false">
      <c r="A21" s="6" t="s">
        <v>487</v>
      </c>
      <c r="B21" s="4" t="str">
        <f aca="false">IF(SUMPRODUCT(--(ABS(Monthly!$C$116:$BJ$116)&gt;0.5))=0,"PASS","FAIL")</f>
        <v>PASS</v>
      </c>
      <c r="C21" s="18" t="s">
        <v>488</v>
      </c>
    </row>
    <row r="22" customFormat="false" ht="15" hidden="false" customHeight="false" outlineLevel="0" collapsed="false">
      <c r="A22" s="6" t="s">
        <v>489</v>
      </c>
      <c r="B22" s="4" t="str">
        <f aca="false">IF(MIN(Monthly!$C$98:$BJ$98)&gt;=0,"PASS","WARN")</f>
        <v>PASS</v>
      </c>
      <c r="C22" s="18" t="s">
        <v>490</v>
      </c>
    </row>
    <row r="24" customFormat="false" ht="15" hidden="false" customHeight="false" outlineLevel="0" collapsed="false">
      <c r="A24" s="56" t="s">
        <v>491</v>
      </c>
      <c r="B24" s="56" t="str">
        <f aca="false">IF(COUNTIF(B4:B22,"FAIL")&gt;0,"FAIL",IF(COUNTIF(B4:B22,"WARN")&gt;0,"PASS WITH WARNINGS","PASS"))</f>
        <v>PASS</v>
      </c>
      <c r="C24" s="110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2026-10-21T11:26:38Z</dcterms:created>
  <dc:creator/>
  <dc:description/>
  <dc:language>en-US</dc:language>
  <cp:lastModifiedBy/>
  <dcterms:modified xsi:type="dcterms:W3CDTF">2026-10-21T11:26:39Z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